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t-1" sheetId="1" r:id="rId4"/>
    <sheet state="visible" name="Chart-2" sheetId="2" r:id="rId5"/>
    <sheet state="visible" name="Chart-3" sheetId="3" r:id="rId6"/>
    <sheet state="hidden" name="Chart-4" sheetId="4" r:id="rId7"/>
    <sheet state="hidden" name="Chart-5" sheetId="5" r:id="rId8"/>
    <sheet state="visible" name="Key Findings" sheetId="6" r:id="rId9"/>
    <sheet state="visible" name="List of Executives" sheetId="7" r:id="rId10"/>
    <sheet state="visible" name="Executive Pay Breakdown" sheetId="8" r:id="rId11"/>
    <sheet state="visible" name="BEA Data" sheetId="9" r:id="rId12"/>
    <sheet state="visible" name="Federal Tax, Stock Buybacks, &amp; " sheetId="10" r:id="rId13"/>
    <sheet state="hidden" name="Old ITEP" sheetId="11" r:id="rId14"/>
    <sheet state="hidden" name="Extra Executives" sheetId="12" r:id="rId15"/>
    <sheet state="hidden" name="Tesla" sheetId="13" r:id="rId16"/>
    <sheet state="hidden" name="Ford" sheetId="14" r:id="rId17"/>
    <sheet state="hidden" name="T-Mobile" sheetId="15" r:id="rId18"/>
    <sheet state="hidden" name="Netflix" sheetId="16" r:id="rId19"/>
    <sheet state="hidden" name="Military Contractors" sheetId="17" r:id="rId20"/>
  </sheets>
  <definedNames/>
  <calcPr/>
</workbook>
</file>

<file path=xl/sharedStrings.xml><?xml version="1.0" encoding="utf-8"?>
<sst xmlns="http://schemas.openxmlformats.org/spreadsheetml/2006/main" count="22284" uniqueCount="4015">
  <si>
    <t>Domestic Pre-Tax Profits</t>
  </si>
  <si>
    <t>Federal Income Taxes</t>
  </si>
  <si>
    <t>Effective Tax Rate</t>
  </si>
  <si>
    <t>Executive 
Pay</t>
  </si>
  <si>
    <t>Stock Buybacks</t>
  </si>
  <si>
    <t>Dividend Payouts</t>
  </si>
  <si>
    <t>Five-Year Total, 2018 to 2022 (millions of dollars)</t>
  </si>
  <si>
    <t>35 Profitable Corporations That Paid More To Executives Than Federal Taxes</t>
  </si>
  <si>
    <t>29 Profitable Corporations That Paid More To Executives Than Federal Taxes In At Least 2 Years</t>
  </si>
  <si>
    <t>All 64 Corporations</t>
  </si>
  <si>
    <t>35 profitable corporations that paid top executives more than they paid in federal income taxes between 2018 and 2022</t>
  </si>
  <si>
    <t>Executive Pay</t>
  </si>
  <si>
    <t>NextEra Energy</t>
  </si>
  <si>
    <t>T-Mobile US</t>
  </si>
  <si>
    <t>American International Group</t>
  </si>
  <si>
    <t>Duke Energy</t>
  </si>
  <si>
    <t>Netflix</t>
  </si>
  <si>
    <t>DISH Network</t>
  </si>
  <si>
    <t>Principal Financial</t>
  </si>
  <si>
    <t>MetLife</t>
  </si>
  <si>
    <t>American Electric Power</t>
  </si>
  <si>
    <t>Kinder Morgan</t>
  </si>
  <si>
    <t>Dominion Energy</t>
  </si>
  <si>
    <t>Oneok</t>
  </si>
  <si>
    <t>Ford Motor</t>
  </si>
  <si>
    <t>Williams</t>
  </si>
  <si>
    <t>Xcel Energy</t>
  </si>
  <si>
    <t>FirstEnergy</t>
  </si>
  <si>
    <t>NRG Energy</t>
  </si>
  <si>
    <t>Salesforce</t>
  </si>
  <si>
    <t>DTE Energy</t>
  </si>
  <si>
    <t>Ameren</t>
  </si>
  <si>
    <t>Sempra Energy</t>
  </si>
  <si>
    <t>United States Steel</t>
  </si>
  <si>
    <t>Entergy</t>
  </si>
  <si>
    <t>Tesla</t>
  </si>
  <si>
    <t>AmerisourceBergen</t>
  </si>
  <si>
    <t>PPL</t>
  </si>
  <si>
    <t>CMS Energy</t>
  </si>
  <si>
    <t>Evergy</t>
  </si>
  <si>
    <t>Voya Financial</t>
  </si>
  <si>
    <t>Darden Restaurants</t>
  </si>
  <si>
    <t>Atmos Energy</t>
  </si>
  <si>
    <t>Alliant Energy</t>
  </si>
  <si>
    <t>Match Group</t>
  </si>
  <si>
    <t>UGI</t>
  </si>
  <si>
    <t>Agilent Technologies</t>
  </si>
  <si>
    <t>TOTAL</t>
  </si>
  <si>
    <t>29 profitable corporations that paid top executives more than they paid in federal income taxes in at least 2 of the 5 years between 2018 and 2022</t>
  </si>
  <si>
    <t>AT&amp;T</t>
  </si>
  <si>
    <t>General Motors</t>
  </si>
  <si>
    <t>Chevron</t>
  </si>
  <si>
    <t>Marathon Petroleum</t>
  </si>
  <si>
    <t>Southern</t>
  </si>
  <si>
    <t>Charter Communications</t>
  </si>
  <si>
    <t>Honeywell International</t>
  </si>
  <si>
    <t>FedEx</t>
  </si>
  <si>
    <t>Pioneer Natural Resources</t>
  </si>
  <si>
    <t>Exelon</t>
  </si>
  <si>
    <t>Hartford Financial Services</t>
  </si>
  <si>
    <t>Ally Financial</t>
  </si>
  <si>
    <t>Vertex Pharmaceuticals</t>
  </si>
  <si>
    <t>Lumen Technologies</t>
  </si>
  <si>
    <t>Coterra Energy</t>
  </si>
  <si>
    <t>Consolidated Edison</t>
  </si>
  <si>
    <t>Archer Daniels Midland</t>
  </si>
  <si>
    <t>Westlake Chemical</t>
  </si>
  <si>
    <t>American Water Works</t>
  </si>
  <si>
    <t>Penske Automotive Group</t>
  </si>
  <si>
    <t>Whirlpool</t>
  </si>
  <si>
    <t>Taylor Morrison Home</t>
  </si>
  <si>
    <t>Owens Corning</t>
  </si>
  <si>
    <t>Textron</t>
  </si>
  <si>
    <t>Dow</t>
  </si>
  <si>
    <t>Reinsurance Group of America</t>
  </si>
  <si>
    <t>MDU Resources</t>
  </si>
  <si>
    <t>PPG Industries</t>
  </si>
  <si>
    <t>Ecolab</t>
  </si>
  <si>
    <t>Billionaires</t>
  </si>
  <si>
    <t>20 Highest Paid Executives</t>
  </si>
  <si>
    <t>Corporation</t>
  </si>
  <si>
    <t>Five-Year
Corporate Tax Rate</t>
  </si>
  <si>
    <t>Five-Year
Executive Pay</t>
  </si>
  <si>
    <t>Five-Year 
Median Employee Pay</t>
  </si>
  <si>
    <t>Five-Year
Pay Ratio</t>
  </si>
  <si>
    <t>Executive Pay by Year</t>
  </si>
  <si>
    <t>Yes</t>
  </si>
  <si>
    <t>Elon Musk</t>
  </si>
  <si>
    <t>9,696-to-1</t>
  </si>
  <si>
    <t>John J. Legere</t>
  </si>
  <si>
    <t>702-to-1</t>
  </si>
  <si>
    <t>Reed Hastings</t>
  </si>
  <si>
    <t>201-to-1</t>
  </si>
  <si>
    <t>Ted Sarandos</t>
  </si>
  <si>
    <t>184-to-1</t>
  </si>
  <si>
    <t>G. Michael Sievert</t>
  </si>
  <si>
    <t>481-to-1</t>
  </si>
  <si>
    <t>Peter Zaffino</t>
  </si>
  <si>
    <t>422-to-1</t>
  </si>
  <si>
    <t>Marc Benioff</t>
  </si>
  <si>
    <t>162-to-1</t>
  </si>
  <si>
    <t>Thomas M. Rutledge</t>
  </si>
  <si>
    <t>480-to-1</t>
  </si>
  <si>
    <t>James L. Robo</t>
  </si>
  <si>
    <t>200-to-1</t>
  </si>
  <si>
    <t>Michael K. Wirth</t>
  </si>
  <si>
    <t>164-to-1</t>
  </si>
  <si>
    <t>Mary T. Barra</t>
  </si>
  <si>
    <t>277-to-1</t>
  </si>
  <si>
    <t>Jeffrey K. Storey</t>
  </si>
  <si>
    <t>305-to-1</t>
  </si>
  <si>
    <t>Darius Adamczyk</t>
  </si>
  <si>
    <t>312-to-1</t>
  </si>
  <si>
    <t>Thomas A. Fanning</t>
  </si>
  <si>
    <t>160-to-1</t>
  </si>
  <si>
    <t>Juan Ricardo Luciano</t>
  </si>
  <si>
    <t>327-to-1</t>
  </si>
  <si>
    <t>John T. Stankey</t>
  </si>
  <si>
    <t>217-to-1</t>
  </si>
  <si>
    <t>Randall L. Stephenson</t>
  </si>
  <si>
    <t>215-to-1</t>
  </si>
  <si>
    <t>Charles W. Ergen</t>
  </si>
  <si>
    <t>359-to-1</t>
  </si>
  <si>
    <t>Greg Peters</t>
  </si>
  <si>
    <t>98-to-1</t>
  </si>
  <si>
    <t>Jeffrey W. Martin</t>
  </si>
  <si>
    <t>139-to-1</t>
  </si>
  <si>
    <t>Fastest Growing Executive Pay</t>
  </si>
  <si>
    <t xml:space="preserve">Corporate Allegiance </t>
  </si>
  <si>
    <t>Executive
 5-Year Wage Growth</t>
  </si>
  <si>
    <t>Median Worker
 5-Year Wage Growth</t>
  </si>
  <si>
    <t>($)</t>
  </si>
  <si>
    <t>(%)</t>
  </si>
  <si>
    <t>Christopher L. Winfrey</t>
  </si>
  <si>
    <t>Garrick J. Rochow</t>
  </si>
  <si>
    <t>Bob Frenzel</t>
  </si>
  <si>
    <t>Brian D. Chambers</t>
  </si>
  <si>
    <t>Timothy P. Cawley</t>
  </si>
  <si>
    <t>Christophe Beck</t>
  </si>
  <si>
    <t>James D. Farley Jr.</t>
  </si>
  <si>
    <t>John W. Ketchum</t>
  </si>
  <si>
    <t>Gary Swidler</t>
  </si>
  <si>
    <t>Jared F. Sine</t>
  </si>
  <si>
    <t>R. Perreault</t>
  </si>
  <si>
    <t>Vincent Sorgi</t>
  </si>
  <si>
    <t>Gregory P. Lewis</t>
  </si>
  <si>
    <t>Steven E. Strah</t>
  </si>
  <si>
    <t>John O. Larsen</t>
  </si>
  <si>
    <t>Stuart A. Arbuckle</t>
  </si>
  <si>
    <t>J. Kevin Akers</t>
  </si>
  <si>
    <t>James H. Gallegos</t>
  </si>
  <si>
    <t>Alliant Energy
American Water Works</t>
  </si>
  <si>
    <t>John W. Swieringa</t>
  </si>
  <si>
    <t>Andrew S. Marsh</t>
  </si>
  <si>
    <t>David G. Ellen</t>
  </si>
  <si>
    <t>James R. Fitterling</t>
  </si>
  <si>
    <t>Douglas R. Timmerman</t>
  </si>
  <si>
    <t>John D. McCallion</t>
  </si>
  <si>
    <t>Indraneel Dev</t>
  </si>
  <si>
    <t>Robert M. Blue</t>
  </si>
  <si>
    <t>Bret Taylor</t>
  </si>
  <si>
    <t>Roderick K. West</t>
  </si>
  <si>
    <t>Eric E. Silagy</t>
  </si>
  <si>
    <t>Patrick G. Halter</t>
  </si>
  <si>
    <t>DAVID HYMAN</t>
  </si>
  <si>
    <t>W. Erik Carlson</t>
  </si>
  <si>
    <t>R. Beard</t>
  </si>
  <si>
    <t>Mark L. Reuss</t>
  </si>
  <si>
    <t>Dan O. Dinges</t>
  </si>
  <si>
    <t>Christopher M. Crane</t>
  </si>
  <si>
    <t>Gerardo Norcia</t>
  </si>
  <si>
    <t>L. Benjamin Ederington</t>
  </si>
  <si>
    <t>David P. Michels</t>
  </si>
  <si>
    <t>Paul W. Orban</t>
  </si>
  <si>
    <t>Martin J. Lyons Jr.</t>
  </si>
  <si>
    <t>Kimberly A. Dang</t>
  </si>
  <si>
    <t>Mark A. Crosswhite</t>
  </si>
  <si>
    <t>Michel A. Khalaf</t>
  </si>
  <si>
    <t>M. Steven Bender</t>
  </si>
  <si>
    <t>Julia S. Janson</t>
  </si>
  <si>
    <t>David B. Burritt</t>
  </si>
  <si>
    <t>Sharmistha Dubey</t>
  </si>
  <si>
    <t>Jennifer A. LaClair</t>
  </si>
  <si>
    <t>Jason L. Vollmer</t>
  </si>
  <si>
    <t>Scott D. Buckiso</t>
  </si>
  <si>
    <t>Steven K. Young</t>
  </si>
  <si>
    <t>Lynn J. Good</t>
  </si>
  <si>
    <t>Jeffrey J. Brown</t>
  </si>
  <si>
    <t>Duane D. Holloway</t>
  </si>
  <si>
    <t>Julie G. Duffy</t>
  </si>
  <si>
    <t>Robert Sanchez</t>
  </si>
  <si>
    <t>Diane E. Morais</t>
  </si>
  <si>
    <t>Scott A. Stengel</t>
  </si>
  <si>
    <t>Lisa M. Barton</t>
  </si>
  <si>
    <t>Rejji P. Hayes</t>
  </si>
  <si>
    <t>Michael R. McMullen</t>
  </si>
  <si>
    <t>Robert Hoglund</t>
  </si>
  <si>
    <t>Robert J. Durian</t>
  </si>
  <si>
    <t>Trevor I. Mihalik</t>
  </si>
  <si>
    <t>Scott A. Trezise</t>
  </si>
  <si>
    <t>Gregory N. Dudkin</t>
  </si>
  <si>
    <t>Dhiaa M. Jamil</t>
  </si>
  <si>
    <t>Sheridan C. Swords</t>
  </si>
  <si>
    <t>Albert Chao</t>
  </si>
  <si>
    <t>Michael L. Moehn</t>
  </si>
  <si>
    <t>Marcus V. Brown</t>
  </si>
  <si>
    <t>Jacob Thaysen</t>
  </si>
  <si>
    <t>Nicholas K. Akins</t>
  </si>
  <si>
    <t>Nicole A. Kivisto</t>
  </si>
  <si>
    <t>Michael S. Smith</t>
  </si>
  <si>
    <t>Trevor F. Lauer</t>
  </si>
  <si>
    <t>Parker Harris</t>
  </si>
  <si>
    <t>Walter S. Hulse III</t>
  </si>
  <si>
    <t>Alan S. Armstrong</t>
  </si>
  <si>
    <t xml:space="preserve">Sheryl D. Palmer	</t>
  </si>
  <si>
    <t>Rodney O. Martin Jr.</t>
  </si>
  <si>
    <t>Brian F. Rich</t>
  </si>
  <si>
    <t>Leo P. Denault</t>
  </si>
  <si>
    <t>Srinivas Tallapragada</t>
  </si>
  <si>
    <t>David L. Goodin</t>
  </si>
  <si>
    <t>Christopher T. Forsythe</t>
  </si>
  <si>
    <t>William Clay Ford Jr.</t>
  </si>
  <si>
    <t>Deanna D. Strable-Soethout</t>
  </si>
  <si>
    <t>Chad J. Zamarin</t>
  </si>
  <si>
    <t>Kevin L. Burdick</t>
  </si>
  <si>
    <t>Beth Costello</t>
  </si>
  <si>
    <t>Charles P. Nelson</t>
  </si>
  <si>
    <t>Micheal G. Dunn</t>
  </si>
  <si>
    <t>David M. Feinberg</t>
  </si>
  <si>
    <t>A. N. Sreeram</t>
  </si>
  <si>
    <t>Darrell C. Sherman</t>
  </si>
  <si>
    <t>Christopher Swift</t>
  </si>
  <si>
    <t>E. Robert Lupone</t>
  </si>
  <si>
    <t>James R. Chapman</t>
  </si>
  <si>
    <t>Robert F. Martinovich</t>
  </si>
  <si>
    <t>Steven J. Goulart</t>
  </si>
  <si>
    <t>Frank T. Connor</t>
  </si>
  <si>
    <t>Mauricio Gutierrez</t>
  </si>
  <si>
    <t>Daniel J. Houston</t>
  </si>
  <si>
    <t>Mark R. Allen</t>
  </si>
  <si>
    <t>Scott C. Donnelly</t>
  </si>
  <si>
    <t>Scott C. Schroeder</t>
  </si>
  <si>
    <t>Jeffrey S. Thiede</t>
  </si>
  <si>
    <t>Robert Kurnick, Jr.</t>
  </si>
  <si>
    <t>Elizabeth Killinger</t>
  </si>
  <si>
    <t>Roger Penske</t>
  </si>
  <si>
    <t>Christopher M. Cuddy</t>
  </si>
  <si>
    <t>Greg A. Morris</t>
  </si>
  <si>
    <t>Daniel T. Smith</t>
  </si>
  <si>
    <t>Samuel L. Belcher</t>
  </si>
  <si>
    <t>Stacey W. Goff</t>
  </si>
  <si>
    <t>Douglas Elliot</t>
  </si>
  <si>
    <t>A. Christopher Bakken III</t>
  </si>
  <si>
    <t>Roger L. Kearns</t>
  </si>
  <si>
    <t>Ray G. Young</t>
  </si>
  <si>
    <t>Bud Denker</t>
  </si>
  <si>
    <t>Shane Spradlin</t>
  </si>
  <si>
    <t>James Chao</t>
  </si>
  <si>
    <t>Christine Hurtsellers</t>
  </si>
  <si>
    <t>Greg A. Greenwood</t>
  </si>
  <si>
    <t>Howard Ungerleider</t>
  </si>
  <si>
    <t>Kevin T. Hogan</t>
  </si>
  <si>
    <t>M. Gaudiosi</t>
  </si>
  <si>
    <t>Diane Leopold</t>
  </si>
  <si>
    <t>Christopher Moser</t>
  </si>
  <si>
    <t>Robert B. Carter</t>
  </si>
  <si>
    <t>David C. Barney</t>
  </si>
  <si>
    <t>Pierre R. Breber</t>
  </si>
  <si>
    <t>DAVID R. MCATEE</t>
  </si>
  <si>
    <t>Kevin E. Bryant</t>
  </si>
  <si>
    <t>Joseph D. Taets</t>
  </si>
  <si>
    <t>James W. Johnson</t>
  </si>
  <si>
    <t>Joseph Nigro</t>
  </si>
  <si>
    <t>Darrell R. Brown</t>
  </si>
  <si>
    <t>Thomas A. Cullen</t>
  </si>
  <si>
    <t>Walter J. Lynch</t>
  </si>
  <si>
    <t>Robert McMahon</t>
  </si>
  <si>
    <t>Brett Carter</t>
  </si>
  <si>
    <t>Stephen E. Kuczynski</t>
  </si>
  <si>
    <t>Warner L. Baxter</t>
  </si>
  <si>
    <t>Dax A. Sanders</t>
  </si>
  <si>
    <t>T. Jastrzebski</t>
  </si>
  <si>
    <t>Heather A. Humphrey</t>
  </si>
  <si>
    <t>Neville R. Ray</t>
  </si>
  <si>
    <t>Frederick W. Smith</t>
  </si>
  <si>
    <t>Jeffrey M. Leiden</t>
  </si>
  <si>
    <t>Scott D. Sheffield</t>
  </si>
  <si>
    <t>Richard P. Dealy</t>
  </si>
  <si>
    <t>Donald C. Templin</t>
  </si>
  <si>
    <t>Marathon Petroleum
Voya Financial</t>
  </si>
  <si>
    <t>J.D. Hall</t>
  </si>
  <si>
    <t>Mark S. Berg</t>
  </si>
  <si>
    <t>Timothy L. Dove</t>
  </si>
  <si>
    <t>Chris J. Cheatwood</t>
  </si>
  <si>
    <t>Neal H. Shah</t>
  </si>
  <si>
    <t>Marc R. Bitzer</t>
  </si>
  <si>
    <t>Eugene I. Lee, Jr.</t>
  </si>
  <si>
    <t>M. H. McGarry</t>
  </si>
  <si>
    <t>Jerome Guillen</t>
  </si>
  <si>
    <t>Zachary Kirkhorn</t>
  </si>
  <si>
    <t>Ricardo Cardenas</t>
  </si>
  <si>
    <t>Steven H. Collis</t>
  </si>
  <si>
    <t>Andrew Baglino</t>
  </si>
  <si>
    <t>Joseph T. Liotine</t>
  </si>
  <si>
    <t>James W. Peters</t>
  </si>
  <si>
    <t>Brian Duperreault</t>
  </si>
  <si>
    <t>Douglas M. Baker, Jr.</t>
  </si>
  <si>
    <t>John Bickham</t>
  </si>
  <si>
    <t>David R. Carey</t>
  </si>
  <si>
    <t>Todd A. Burrowes</t>
  </si>
  <si>
    <t>James P. Hackett</t>
  </si>
  <si>
    <t>Daniel J. Kiernan</t>
  </si>
  <si>
    <t>Rajesh Subramaniam</t>
  </si>
  <si>
    <t>João C. Brega</t>
  </si>
  <si>
    <t>Douglas A. Dachille</t>
  </si>
  <si>
    <t>J. Braxton Carte</t>
  </si>
  <si>
    <t>David C. George</t>
  </si>
  <si>
    <t>John Stephens</t>
  </si>
  <si>
    <t xml:space="preserve">Jason A. Kilar </t>
  </si>
  <si>
    <t>Ben Fowke</t>
  </si>
  <si>
    <t>Thomas F. Farrell, II</t>
  </si>
  <si>
    <t>M. John Martin</t>
  </si>
  <si>
    <t>Gilles Morel</t>
  </si>
  <si>
    <t>Richard J. DiGeronimo</t>
  </si>
  <si>
    <t>J. L. Walsh</t>
  </si>
  <si>
    <t>V. J. Morales</t>
  </si>
  <si>
    <t>Mark D. Lyons</t>
  </si>
  <si>
    <t>Anna Manning</t>
  </si>
  <si>
    <t>Anne T. Madden</t>
  </si>
  <si>
    <t>JEFFERY S. MCELFRESH</t>
  </si>
  <si>
    <t>John M. Donovan</t>
  </si>
  <si>
    <t>R. B. Liebert</t>
  </si>
  <si>
    <t>Steven A. Kandarian</t>
  </si>
  <si>
    <t>Mark W. Nelson</t>
  </si>
  <si>
    <t>Michael J. Hennigan</t>
  </si>
  <si>
    <t>Lucy Fato</t>
  </si>
  <si>
    <t>Rajesh Vennam</t>
  </si>
  <si>
    <t>Robert P. Mauch</t>
  </si>
  <si>
    <t>Kumar Galhotra</t>
  </si>
  <si>
    <t>Jeff M. Fettig</t>
  </si>
  <si>
    <t>Peter Osvaldik</t>
  </si>
  <si>
    <t>T. M. Knavish</t>
  </si>
  <si>
    <t>James F. Cleary</t>
  </si>
  <si>
    <t>Vincent F. Macciocchi</t>
  </si>
  <si>
    <t>J. Doug Field</t>
  </si>
  <si>
    <t>Bill Pappas</t>
  </si>
  <si>
    <t>Daniel J. Schmechel</t>
  </si>
  <si>
    <t>Alan B. Graf Jr.</t>
  </si>
  <si>
    <t>John T. Lawler</t>
  </si>
  <si>
    <t>Gary R. Heminger</t>
  </si>
  <si>
    <t>Ramy Tadros</t>
  </si>
  <si>
    <t>Michael C. Lenz</t>
  </si>
  <si>
    <t>Donald F. Colleran</t>
  </si>
  <si>
    <t>Steven J. Kean</t>
  </si>
  <si>
    <t>Terry K. Spencer</t>
  </si>
  <si>
    <t>Peter A. Ewens</t>
  </si>
  <si>
    <t>Bernard Kim</t>
  </si>
  <si>
    <t>Thomas E. Jorden</t>
  </si>
  <si>
    <t>David McElroy</t>
  </si>
  <si>
    <t>Paul A. Jacobson</t>
  </si>
  <si>
    <t>Timothy O. Mahoney</t>
  </si>
  <si>
    <t>William H. Spence</t>
  </si>
  <si>
    <t>Gerard M. Anderson</t>
  </si>
  <si>
    <t>Douglas L. Parks</t>
  </si>
  <si>
    <t>Stephen K. Carlisle</t>
  </si>
  <si>
    <t>David A. Miller</t>
  </si>
  <si>
    <t>Michael E. Haefner</t>
  </si>
  <si>
    <t>SPENCER NEUMANN</t>
  </si>
  <si>
    <t>John G. Chou</t>
  </si>
  <si>
    <t>Rajeev Gautam</t>
  </si>
  <si>
    <t>Jeffrey B. Straubel</t>
  </si>
  <si>
    <t>Joseph C. Geagea</t>
  </si>
  <si>
    <t>W. Paul Bowers</t>
  </si>
  <si>
    <t>PASCAL DESROCHES</t>
  </si>
  <si>
    <t>Joseph R. Hinrichs</t>
  </si>
  <si>
    <t>Mark A. Nelson</t>
  </si>
  <si>
    <t>Robert L. Shanks</t>
  </si>
  <si>
    <t>Mark R. James</t>
  </si>
  <si>
    <t>Christine S. Breves</t>
  </si>
  <si>
    <t>Keith Block</t>
  </si>
  <si>
    <t>Gregory J. Goff</t>
  </si>
  <si>
    <t>Rebecca J. Kujawa</t>
  </si>
  <si>
    <t>Dhivya Suryadevara</t>
  </si>
  <si>
    <t>Reshma Kewalramani</t>
  </si>
  <si>
    <t>David J. Bronczek</t>
  </si>
  <si>
    <t>Charles E. Sieving</t>
  </si>
  <si>
    <t>Michael H. Thaman</t>
  </si>
  <si>
    <t>Patricia K. Poppe</t>
  </si>
  <si>
    <t>Charles E. Jones</t>
  </si>
  <si>
    <t>Mark Hawkins</t>
  </si>
  <si>
    <t>Tim Stone</t>
  </si>
  <si>
    <t>Gina K. Clark</t>
  </si>
  <si>
    <t>James E. Bruno</t>
  </si>
  <si>
    <t>Shengpo (Sam) Wu</t>
  </si>
  <si>
    <t>Kim R. Cocklin</t>
  </si>
  <si>
    <t>Martin J. Lippert</t>
  </si>
  <si>
    <t>Gavin Patterson</t>
  </si>
  <si>
    <t>LORI LEE</t>
  </si>
  <si>
    <t>Amy Weaver</t>
  </si>
  <si>
    <t>DAVID L. CUNNINGHAM JR.</t>
  </si>
  <si>
    <t>J.D. Carlson</t>
  </si>
  <si>
    <t>Michael Amend</t>
  </si>
  <si>
    <t>Amy E. Wilson</t>
  </si>
  <si>
    <t>Susan N. Story</t>
  </si>
  <si>
    <t>Kevin C. Sagara</t>
  </si>
  <si>
    <t>Kenneth W. Cornew</t>
  </si>
  <si>
    <t>Kenneth S. Parks</t>
  </si>
  <si>
    <t>Timothy M. Dunbar</t>
  </si>
  <si>
    <t>Terry Bassham</t>
  </si>
  <si>
    <t>Joseph A. Householder</t>
  </si>
  <si>
    <t>A. M. Foulkes</t>
  </si>
  <si>
    <t>Hau Thai-Tang</t>
  </si>
  <si>
    <t>David E. Meador</t>
  </si>
  <si>
    <t>John McAvoy</t>
  </si>
  <si>
    <t>Marcio A. Sandri</t>
  </si>
  <si>
    <t>Jessica M. Fischer</t>
  </si>
  <si>
    <t>Steven W. Lindeman</t>
  </si>
  <si>
    <t>Brian X. Tierney</t>
  </si>
  <si>
    <t>Andrew W. Evans</t>
  </si>
  <si>
    <t>Phillip L. Stalnaker</t>
  </si>
  <si>
    <t>Barry L. Engle II</t>
  </si>
  <si>
    <t>Glen F. Post, III</t>
  </si>
  <si>
    <t>Jeffrey W. Hutton</t>
  </si>
  <si>
    <t>M. Susan Hardwick</t>
  </si>
  <si>
    <t>Timothy T. Griffith</t>
  </si>
  <si>
    <t>Brandon D. Draper</t>
  </si>
  <si>
    <t>Mark Doak</t>
  </si>
  <si>
    <t>Robert F. Buesinger</t>
  </si>
  <si>
    <t>Todd C. Larson</t>
  </si>
  <si>
    <t>Chris Stansbury</t>
  </si>
  <si>
    <t>Deepak Ahuja</t>
  </si>
  <si>
    <t>Timothy P. Mulhere</t>
  </si>
  <si>
    <t xml:space="preserve">Debra L. Reed </t>
  </si>
  <si>
    <t>Paul W. Thomps</t>
  </si>
  <si>
    <t>David A. Campbell</t>
  </si>
  <si>
    <t>Machiel Duijser</t>
  </si>
  <si>
    <t>Shaun C. Andrews</t>
  </si>
  <si>
    <t>Alain P. Néemeh</t>
  </si>
  <si>
    <t>Calvin G. Butler Jr.</t>
  </si>
  <si>
    <t>Pierce H. Norton II</t>
  </si>
  <si>
    <t>Lucian Boldea</t>
  </si>
  <si>
    <t>William Bloom</t>
  </si>
  <si>
    <t>Sam Raha</t>
  </si>
  <si>
    <t>C. David Cone</t>
  </si>
  <si>
    <t>Vimal Kapur</t>
  </si>
  <si>
    <t>Alan S. Batey</t>
  </si>
  <si>
    <t>William A. Von Hoene Jr.</t>
  </si>
  <si>
    <t>Brion Johnson</t>
  </si>
  <si>
    <t>Dennis V. Arriola</t>
  </si>
  <si>
    <t>Maryann Mannen</t>
  </si>
  <si>
    <t>Krishna Mikkilineni</t>
  </si>
  <si>
    <t>John D. Chandler</t>
  </si>
  <si>
    <t>Thomas A. Martin</t>
  </si>
  <si>
    <t>Heather Lavallee</t>
  </si>
  <si>
    <t>Glenn H. Schiffman</t>
  </si>
  <si>
    <t>Michael A. Sgro</t>
  </si>
  <si>
    <t>Shane Fitzsimons</t>
  </si>
  <si>
    <t>Peter B. Oleksiak</t>
  </si>
  <si>
    <t>Patricia E. Yarrington</t>
  </si>
  <si>
    <t>Armando Pimentel Jr.</t>
  </si>
  <si>
    <t>H. J. Gallagher</t>
  </si>
  <si>
    <t>Raymond L. Brooks</t>
  </si>
  <si>
    <t>Luis Valdés</t>
  </si>
  <si>
    <t>Henry J. Maier</t>
  </si>
  <si>
    <t>Daniel Ammann</t>
  </si>
  <si>
    <t>Peter Holicki</t>
  </si>
  <si>
    <t>Joseph P. Bergstein Jr.</t>
  </si>
  <si>
    <t>Paul D. Hinnenkamp</t>
  </si>
  <si>
    <t>Brian Millham</t>
  </si>
  <si>
    <t>Que Thanh Dallara</t>
  </si>
  <si>
    <t>Kevin P. Bradley</t>
  </si>
  <si>
    <t>Jim McCaughan</t>
  </si>
  <si>
    <t>David Robinson</t>
  </si>
  <si>
    <t>Shelley Hulgrave</t>
  </si>
  <si>
    <t>Sunit S. Patel</t>
  </si>
  <si>
    <t>Charles F. Wagner, Jr.</t>
  </si>
  <si>
    <t>Patricia L. Kampling</t>
  </si>
  <si>
    <t>Lanesha T. Minnix</t>
  </si>
  <si>
    <t>George W. Bilicic</t>
  </si>
  <si>
    <t>Siddhartha Sankaran</t>
  </si>
  <si>
    <t>Charles E. Zebula</t>
  </si>
  <si>
    <t>Tim G. Guttman</t>
  </si>
  <si>
    <t>Stephen P. Bell</t>
  </si>
  <si>
    <t>Thomas A. Szlosek</t>
  </si>
  <si>
    <t>Christopher C. Womack</t>
  </si>
  <si>
    <t>Michael R. Madsen</t>
  </si>
  <si>
    <t>Manoochehr K. Nazar</t>
  </si>
  <si>
    <t>David M. Altshuler</t>
  </si>
  <si>
    <t>John W. Schlosser</t>
  </si>
  <si>
    <t>Lloyd M. Yates</t>
  </si>
  <si>
    <t>Michael C. McMurray</t>
  </si>
  <si>
    <t>Jill S. Wyan</t>
  </si>
  <si>
    <t>RACHEL WHETSTONE</t>
  </si>
  <si>
    <t>Douglas R. Matthews</t>
  </si>
  <si>
    <t>Joanne H. Raphael</t>
  </si>
  <si>
    <t>Kirkland Andrews</t>
  </si>
  <si>
    <t>Timothy O'Connor</t>
  </si>
  <si>
    <t>Amy C. Friedrich</t>
  </si>
  <si>
    <t>Kent Larson</t>
  </si>
  <si>
    <t>Tony Cheng</t>
  </si>
  <si>
    <t>Karen S. Carter</t>
  </si>
  <si>
    <t>Richard J. Mark</t>
  </si>
  <si>
    <t>James E. Holland</t>
  </si>
  <si>
    <t>Jonathan Hargis</t>
  </si>
  <si>
    <t>Suzanne Gagle</t>
  </si>
  <si>
    <t>David J. Park</t>
  </si>
  <si>
    <t>Joseph Levin</t>
  </si>
  <si>
    <t>Anthony D. Somma</t>
  </si>
  <si>
    <t>Michael J. Parini</t>
  </si>
  <si>
    <t>Charles K. Stevens III</t>
  </si>
  <si>
    <t>Jane Palmieri</t>
  </si>
  <si>
    <t>John F. Waldron</t>
  </si>
  <si>
    <t>David Ruud</t>
  </si>
  <si>
    <t>Kelly Bennett</t>
  </si>
  <si>
    <t>Laurie M. Marsh</t>
  </si>
  <si>
    <t>Amanda Ginsberg</t>
  </si>
  <si>
    <t>Brian Van Abel</t>
  </si>
  <si>
    <t>Kirkland B. Andrews</t>
  </si>
  <si>
    <t>John P. Laughlin</t>
  </si>
  <si>
    <t>Anne R. Pramaggiore</t>
  </si>
  <si>
    <t>Aamir Hussain</t>
  </si>
  <si>
    <t>K. Jon Taylor</t>
  </si>
  <si>
    <t>Julia A. Sloat</t>
  </si>
  <si>
    <t>Thomas W. Handley</t>
  </si>
  <si>
    <t>Paul D. Koonce</t>
  </si>
  <si>
    <t>Daniel G. Stoddard</t>
  </si>
  <si>
    <t>Robert A. Symons</t>
  </si>
  <si>
    <t>Leslie Barbi</t>
  </si>
  <si>
    <t>Vikram Luthar</t>
  </si>
  <si>
    <t>Scott D. Kirkland</t>
  </si>
  <si>
    <t>Fadi M. Diya</t>
  </si>
  <si>
    <t>Angela M. Busch</t>
  </si>
  <si>
    <t>Natalie Lamarque</t>
  </si>
  <si>
    <t>John C.R. Hele</t>
  </si>
  <si>
    <t>Roberto Inchaustegui</t>
  </si>
  <si>
    <t>Kate Johnson</t>
  </si>
  <si>
    <t>Michael Tang</t>
  </si>
  <si>
    <t>Margaret M. Parent</t>
  </si>
  <si>
    <t>Kenneth E. Jaycox, Jr.</t>
  </si>
  <si>
    <t>Kevin D. Howard</t>
  </si>
  <si>
    <t>Anthony R. Kenney</t>
  </si>
  <si>
    <t>Douglas F Esamann</t>
  </si>
  <si>
    <t>Jonathan W. Thayer</t>
  </si>
  <si>
    <t>John W. Somerhalder II</t>
  </si>
  <si>
    <t>James F. Pearson</t>
  </si>
  <si>
    <t>Henrik Ancher-Jensen</t>
  </si>
  <si>
    <t>Leila L. Vespoli</t>
  </si>
  <si>
    <t>Hyun Park</t>
  </si>
  <si>
    <t>Silvana Battaglia</t>
  </si>
  <si>
    <t>William Von Hoene, Jr.</t>
  </si>
  <si>
    <t>Karen E. Hartsfield</t>
  </si>
  <si>
    <t>Didier Hirsch</t>
  </si>
  <si>
    <t>Kodwo Ghartey-Tagoe</t>
  </si>
  <si>
    <t>Cheryl Norton</t>
  </si>
  <si>
    <t>Amanda Rome</t>
  </si>
  <si>
    <t>Mark F. McGettrick</t>
  </si>
  <si>
    <t>Jessica T. Graziano</t>
  </si>
  <si>
    <t>Robert Gaudette</t>
  </si>
  <si>
    <t>R. Vadlamannat</t>
  </si>
  <si>
    <t>J. Zagorski</t>
  </si>
  <si>
    <t>Art P. Beattie</t>
  </si>
  <si>
    <t>Catherine M. Reynolds</t>
  </si>
  <si>
    <t>G. E. Bost II</t>
  </si>
  <si>
    <t>David Wells</t>
  </si>
  <si>
    <t>R. Hewitt Pate</t>
  </si>
  <si>
    <t>Amit Sachdev</t>
  </si>
  <si>
    <t>Renee Schaaf</t>
  </si>
  <si>
    <t>R. Vadlamannati</t>
  </si>
  <si>
    <t>Barry Diller</t>
  </si>
  <si>
    <t>Alberto Fornaro</t>
  </si>
  <si>
    <t>Daniel S. Tucker</t>
  </si>
  <si>
    <t>Julian Francis</t>
  </si>
  <si>
    <t>Craig B. Glidden</t>
  </si>
  <si>
    <t>Gina A. Beredo</t>
  </si>
  <si>
    <t>Elizabeth A. Simermeyer</t>
  </si>
  <si>
    <t>Mark W. Stiers</t>
  </si>
  <si>
    <t>John C. Griffith</t>
  </si>
  <si>
    <t>Padraig McDonnell</t>
  </si>
  <si>
    <t>Loyd A. Warnock</t>
  </si>
  <si>
    <t>Todd W. Fister</t>
  </si>
  <si>
    <t>John M. Sampson</t>
  </si>
  <si>
    <t>Philip Swift</t>
  </si>
  <si>
    <t>Paul Chodak III</t>
  </si>
  <si>
    <t>Carlos M. Brown</t>
  </si>
  <si>
    <t>Lana L. Hillebrand</t>
  </si>
  <si>
    <t>John P. Stapleton</t>
  </si>
  <si>
    <t>Jean-Francois Brossoit</t>
  </si>
  <si>
    <t>Deneen L. Donnley</t>
  </si>
  <si>
    <t>Prithvi S. Gandhi</t>
  </si>
  <si>
    <t>Scott Wilensky</t>
  </si>
  <si>
    <t>Ronald Herrmann</t>
  </si>
  <si>
    <t>Christopher H. Clason</t>
  </si>
  <si>
    <t>Alain M. Karaoglan</t>
  </si>
  <si>
    <t>Kimberly S. Greene</t>
  </si>
  <si>
    <t>Philip Eigenmann</t>
  </si>
  <si>
    <t>J. E. Sheridan</t>
  </si>
  <si>
    <t>Walter J. Bennett</t>
  </si>
  <si>
    <t>Peter R. Wall</t>
  </si>
  <si>
    <t>Matthew Ketschke</t>
  </si>
  <si>
    <t>Wendy E. Stark</t>
  </si>
  <si>
    <t>Frank H. Yoho</t>
  </si>
  <si>
    <t>Linda G. Sullivan</t>
  </si>
  <si>
    <t>J. Matt Robbins</t>
  </si>
  <si>
    <t>Terry L. Kouba</t>
  </si>
  <si>
    <t>David A. de Leon</t>
  </si>
  <si>
    <t>Mark Stein</t>
  </si>
  <si>
    <t>Gregory L. Nelson</t>
  </si>
  <si>
    <t>Gunner S. Smith</t>
  </si>
  <si>
    <t>Christine L. Walker</t>
  </si>
  <si>
    <t>Gregg Winiarski</t>
  </si>
  <si>
    <t>Martha B. Wyrsch</t>
  </si>
  <si>
    <t>Patricia J. Walsh</t>
  </si>
  <si>
    <t>Charles A. Caisley</t>
  </si>
  <si>
    <t>Melanie M. Kennedy</t>
  </si>
  <si>
    <t>Dominique Grau</t>
  </si>
  <si>
    <t>Ava Harter</t>
  </si>
  <si>
    <t>Bryan Hanson</t>
  </si>
  <si>
    <t>Brian Curci</t>
  </si>
  <si>
    <t>Melissa H. Anderson</t>
  </si>
  <si>
    <t>Deepa Soni</t>
  </si>
  <si>
    <t>Nia Tatsis</t>
  </si>
  <si>
    <t>Shaun M. Johnson</t>
  </si>
  <si>
    <t>Robert P. Reffne</t>
  </si>
  <si>
    <t>Brian D. Savoy</t>
  </si>
  <si>
    <t>Deborah H. Caplan</t>
  </si>
  <si>
    <t xml:space="preserve">Ian F. Smith	</t>
  </si>
  <si>
    <t>Amy Stepnowski</t>
  </si>
  <si>
    <t>James McHugh</t>
  </si>
  <si>
    <t>Lou Steffens</t>
  </si>
  <si>
    <t>John D. Porter</t>
  </si>
  <si>
    <t>Gayle Littleton</t>
  </si>
  <si>
    <t>Terrell Kirk Crews II</t>
  </si>
  <si>
    <t>Jeffrey Chodakewitz</t>
  </si>
  <si>
    <t>Timothy M. Russi</t>
  </si>
  <si>
    <t>Karen L. Sedgwick</t>
  </si>
  <si>
    <t>John E. Poarch</t>
  </si>
  <si>
    <t>Bhavani Amirthalingam</t>
  </si>
  <si>
    <t>David R. Hill</t>
  </si>
  <si>
    <t>K. R. Oliver</t>
  </si>
  <si>
    <t>Donald R. Schneider</t>
  </si>
  <si>
    <t>John Chillemi</t>
  </si>
  <si>
    <t>Elizabeth D. Moor</t>
  </si>
  <si>
    <t>Bradley J. Brown</t>
  </si>
  <si>
    <t>JoAnn Chavez</t>
  </si>
  <si>
    <t>Chonda J. Nwamu</t>
  </si>
  <si>
    <t>Bruce D. Peterson</t>
  </si>
  <si>
    <t>Brian C. Davis</t>
  </si>
  <si>
    <t>Christopher A. Halmy</t>
  </si>
  <si>
    <t>Timothy J. Aydt</t>
  </si>
  <si>
    <t>T. Lane Wilson</t>
  </si>
  <si>
    <t>David Glockner</t>
  </si>
  <si>
    <t>Gil Quiniones</t>
  </si>
  <si>
    <t>John S. McDill</t>
  </si>
  <si>
    <t>Mark C. Birk</t>
  </si>
  <si>
    <t>Gregory S. Floerke</t>
  </si>
  <si>
    <t>James E. Scheel</t>
  </si>
  <si>
    <t>Brian V. Neylon</t>
  </si>
  <si>
    <t>Brandon J. Hofmeister</t>
  </si>
  <si>
    <t>Steven D. Ridge</t>
  </si>
  <si>
    <t>Timothy T. Matson</t>
  </si>
  <si>
    <t>Catherine A. Hendrian</t>
  </si>
  <si>
    <t>Kimberly A. Fontan</t>
  </si>
  <si>
    <t>Brian Chin</t>
  </si>
  <si>
    <t>Paul M. Silva</t>
  </si>
  <si>
    <t>Bruce A. Hauk</t>
  </si>
  <si>
    <t>John R. Crockett III</t>
  </si>
  <si>
    <t>Thomas Graney</t>
  </si>
  <si>
    <t>Adam Noble</t>
  </si>
  <si>
    <t>Gaetan Frotte</t>
  </si>
  <si>
    <t>Jeanne Jones</t>
  </si>
  <si>
    <t>Bennett L. Gaines</t>
  </si>
  <si>
    <t>Michael S. Luhrs</t>
  </si>
  <si>
    <t>Mark Noyes</t>
  </si>
  <si>
    <t>Gary D. Benz</t>
  </si>
  <si>
    <t>Douglas R. Kopp</t>
  </si>
  <si>
    <t>J.S. Watson</t>
  </si>
  <si>
    <t>Steven E. Swain</t>
  </si>
  <si>
    <t>Ann P. Kelly</t>
  </si>
  <si>
    <t>Rank</t>
  </si>
  <si>
    <r>
      <rPr>
        <rFont val="Arial Narrow"/>
        <b/>
        <color rgb="FF000000"/>
      </rPr>
      <t xml:space="preserve">Corporate Pay
</t>
    </r>
    <r>
      <rPr>
        <rFont val="Arial Narrow"/>
        <b val="0"/>
        <i/>
        <color rgb="FF000000"/>
      </rPr>
      <t>2022–2018</t>
    </r>
  </si>
  <si>
    <t>Home State</t>
  </si>
  <si>
    <t>Corporate Executive Annual Pay</t>
  </si>
  <si>
    <t>Corporate Pay &gt; Federal Taxes</t>
  </si>
  <si>
    <t>Domestic Pre-Tax Income ($ millions)</t>
  </si>
  <si>
    <t>Federal Income Tax ($ millions)</t>
  </si>
  <si>
    <t>Current Federal Income Tax Rate</t>
  </si>
  <si>
    <t>Stock Buybacks  ($ millions)</t>
  </si>
  <si>
    <t>Dividend Payouts ($ millions)</t>
  </si>
  <si>
    <t>Median Worker Pay</t>
  </si>
  <si>
    <t>SEC
Sources</t>
  </si>
  <si>
    <t>Five-Year</t>
  </si>
  <si>
    <t>Average</t>
  </si>
  <si>
    <t>Five-Years</t>
  </si>
  <si>
    <t>Texas</t>
  </si>
  <si>
    <t>YES</t>
  </si>
  <si>
    <t>Link</t>
  </si>
  <si>
    <t>New York</t>
  </si>
  <si>
    <t>Iowa</t>
  </si>
  <si>
    <t>Missouri</t>
  </si>
  <si>
    <t>2 of 5</t>
  </si>
  <si>
    <t>Connecticut</t>
  </si>
  <si>
    <t>Washington</t>
  </si>
  <si>
    <t>California</t>
  </si>
  <si>
    <t>Michigan</t>
  </si>
  <si>
    <t>3 of 5</t>
  </si>
  <si>
    <t>Florida</t>
  </si>
  <si>
    <t>New Jersey</t>
  </si>
  <si>
    <t>Ohio</t>
  </si>
  <si>
    <t>Massachusetts</t>
  </si>
  <si>
    <t>Georgia</t>
  </si>
  <si>
    <t>Illinois</t>
  </si>
  <si>
    <t>N/A</t>
  </si>
  <si>
    <t>Louisiana</t>
  </si>
  <si>
    <t>4 of 5</t>
  </si>
  <si>
    <t>Tennessee</t>
  </si>
  <si>
    <t>North Carolina</t>
  </si>
  <si>
    <t>Pennsylvania</t>
  </si>
  <si>
    <t>Colorado</t>
  </si>
  <si>
    <t>Virginia</t>
  </si>
  <si>
    <t>Minnesota</t>
  </si>
  <si>
    <t>Oklahoma</t>
  </si>
  <si>
    <t>Rhode Island</t>
  </si>
  <si>
    <t>Wisconsin</t>
  </si>
  <si>
    <t>Arizona</t>
  </si>
  <si>
    <t>North Dakota</t>
  </si>
  <si>
    <t>Executives</t>
  </si>
  <si>
    <t>Barbara R. Smith</t>
  </si>
  <si>
    <t>Commercial Metals</t>
  </si>
  <si>
    <t>Tracy L. Porter</t>
  </si>
  <si>
    <t>Paul J. Lawrence</t>
  </si>
  <si>
    <t>Mary A. Lindsey</t>
  </si>
  <si>
    <t>Paul K. Kirkpatrick</t>
  </si>
  <si>
    <t>Jody K. Absher</t>
  </si>
  <si>
    <t>Jennifer J. Durbin</t>
  </si>
  <si>
    <t>Ty L. Garrison</t>
  </si>
  <si>
    <t>Pedro J. Pizarro</t>
  </si>
  <si>
    <t>Edison International</t>
  </si>
  <si>
    <t>Maria Rigatti</t>
  </si>
  <si>
    <t>Kevin M. Payne</t>
  </si>
  <si>
    <t>Adam S. Umanoff</t>
  </si>
  <si>
    <t>J. Andrew Murphy</t>
  </si>
  <si>
    <t>Steven D. Powell</t>
  </si>
  <si>
    <t>Caroline Choi</t>
  </si>
  <si>
    <t>Steven J. Demetriou</t>
  </si>
  <si>
    <t>Jacobs Engineering Group</t>
  </si>
  <si>
    <t>Robert V. Pragada</t>
  </si>
  <si>
    <t>Kevin C. Berryman</t>
  </si>
  <si>
    <t>Dawne S. Hickton</t>
  </si>
  <si>
    <t>Joanne E. Caruso</t>
  </si>
  <si>
    <t>Terence D. Hagen</t>
  </si>
  <si>
    <t>Joseph G. Mandel</t>
  </si>
  <si>
    <t>Patrick X. Hill</t>
  </si>
  <si>
    <t>Michael R. Tyler</t>
  </si>
  <si>
    <t>David M. Denton</t>
  </si>
  <si>
    <t>CVS Health
Lowe's</t>
  </si>
  <si>
    <t>David W. Gibbs</t>
  </si>
  <si>
    <t>Yum Brands</t>
  </si>
  <si>
    <t>Tracy L. Skeans</t>
  </si>
  <si>
    <t>Mark King</t>
  </si>
  <si>
    <t>Chris Turner</t>
  </si>
  <si>
    <t>Aaron Powell</t>
  </si>
  <si>
    <t>Tony Lowings</t>
  </si>
  <si>
    <t>Greg Creed</t>
  </si>
  <si>
    <t>Roger G. Eaton</t>
  </si>
  <si>
    <t>Marc L. Kesselman</t>
  </si>
  <si>
    <t>David E. Russell</t>
  </si>
  <si>
    <t>Charles W. Scharf</t>
  </si>
  <si>
    <t>Wells Fargo</t>
  </si>
  <si>
    <t>Mary T. Mack</t>
  </si>
  <si>
    <t>Timothy J. Sloan</t>
  </si>
  <si>
    <t>Scott E. Powell</t>
  </si>
  <si>
    <t>John R. Shrewsberry</t>
  </si>
  <si>
    <t>Michael P. Santomassimo</t>
  </si>
  <si>
    <t>Jonathan G. Weiss</t>
  </si>
  <si>
    <t>Perry G. Pelos</t>
  </si>
  <si>
    <t>Lester J. Owens</t>
  </si>
  <si>
    <t>Avid Modjtabai</t>
  </si>
  <si>
    <t>Saul Van Beurden</t>
  </si>
  <si>
    <t>C. Allen Parker</t>
  </si>
  <si>
    <t>Ather Williams III</t>
  </si>
  <si>
    <t>Robert A. Iger</t>
  </si>
  <si>
    <t>Walt Disney</t>
  </si>
  <si>
    <t>Christine M. McCarthy</t>
  </si>
  <si>
    <t>Robert A. Chapek</t>
  </si>
  <si>
    <t>Alan N. Braverman</t>
  </si>
  <si>
    <t>M. Jayne Parker</t>
  </si>
  <si>
    <t>Zenia B. Mucha</t>
  </si>
  <si>
    <t>Horacio E. Gutierrez</t>
  </si>
  <si>
    <t>Kevin A. Mayer</t>
  </si>
  <si>
    <t>Geoffrey S. Morrell</t>
  </si>
  <si>
    <t>Kristina K. Schake</t>
  </si>
  <si>
    <t>Paul J. Richardson</t>
  </si>
  <si>
    <t>C. Douglas McMillon</t>
  </si>
  <si>
    <t>Walmart</t>
  </si>
  <si>
    <t>Suresh Kumar</t>
  </si>
  <si>
    <t>Judith McKenna</t>
  </si>
  <si>
    <t>John Furner</t>
  </si>
  <si>
    <t>Kathryn McLay</t>
  </si>
  <si>
    <t>John David Rainey</t>
  </si>
  <si>
    <t>M. Brett Biggs</t>
  </si>
  <si>
    <t>Gregory S. Foran</t>
  </si>
  <si>
    <t>Alfred F. Kelly Jr.</t>
  </si>
  <si>
    <t>Visa</t>
  </si>
  <si>
    <t>Ryan McInerney</t>
  </si>
  <si>
    <t>Rajat Taneja</t>
  </si>
  <si>
    <t>Vasant M. Prabhu</t>
  </si>
  <si>
    <t>Kelly Mahon Tullier</t>
  </si>
  <si>
    <t>Paul Fabar</t>
  </si>
  <si>
    <t>Hans Vestberg</t>
  </si>
  <si>
    <t>Verizon Communications</t>
  </si>
  <si>
    <t>Matthew Ellis</t>
  </si>
  <si>
    <t>Tami A. Erwin</t>
  </si>
  <si>
    <t>K. Guru Gowrappan</t>
  </si>
  <si>
    <t>Ronan Dunne</t>
  </si>
  <si>
    <t>Lowell McAdam</t>
  </si>
  <si>
    <t>Kyle Malady</t>
  </si>
  <si>
    <t>John G. Stratton</t>
  </si>
  <si>
    <t>Timothy Armstrong</t>
  </si>
  <si>
    <t>Manon Brouillette</t>
  </si>
  <si>
    <t>Sowmyanarayan Sampath</t>
  </si>
  <si>
    <t>Craig Silliman</t>
  </si>
  <si>
    <t>Marc Reed</t>
  </si>
  <si>
    <t>David P. Abney</t>
  </si>
  <si>
    <t>United Parcel Service</t>
  </si>
  <si>
    <t>Brian O. Newman</t>
  </si>
  <si>
    <t>Scott A. Price</t>
  </si>
  <si>
    <t>Nando Cesarone</t>
  </si>
  <si>
    <t>Kate M. Gutmann</t>
  </si>
  <si>
    <t>James J. Barber Jr.</t>
  </si>
  <si>
    <t>Richard N. Peretz</t>
  </si>
  <si>
    <t>Kevin M. Warren</t>
  </si>
  <si>
    <t>Bala Subramanian</t>
  </si>
  <si>
    <t>George A. Willis</t>
  </si>
  <si>
    <t>Juan R. Perez</t>
  </si>
  <si>
    <t>Lance M. Fritz</t>
  </si>
  <si>
    <t>Union Pacific</t>
  </si>
  <si>
    <t>Elizabeth F. Whited</t>
  </si>
  <si>
    <t>Kenny G. Rocker</t>
  </si>
  <si>
    <t>Robert M. Knight</t>
  </si>
  <si>
    <t>Jennifer L. Hamann</t>
  </si>
  <si>
    <t>Vincenzo J. Vena</t>
  </si>
  <si>
    <t>Eric J. Gehringer</t>
  </si>
  <si>
    <t>Rhonda S. Ferguson</t>
  </si>
  <si>
    <t>Cameron A. Scott</t>
  </si>
  <si>
    <t>Lynden L. Tennison</t>
  </si>
  <si>
    <t>Andrew Cecere</t>
  </si>
  <si>
    <t>U.S. Bancorp</t>
  </si>
  <si>
    <t>Terrance R. Dolan</t>
  </si>
  <si>
    <t>Jeffry H. von Gillern</t>
  </si>
  <si>
    <t>Gunjan Kedia</t>
  </si>
  <si>
    <t>Timothy A. Welsh</t>
  </si>
  <si>
    <t>Shailesh M. Kotwal</t>
  </si>
  <si>
    <t>P.W. (Bill) Parker</t>
  </si>
  <si>
    <t>Alan D. Schnitzer</t>
  </si>
  <si>
    <t>Travelers</t>
  </si>
  <si>
    <t>Avrohom J. Kess</t>
  </si>
  <si>
    <t>Gregory C. Toczydlowski</t>
  </si>
  <si>
    <t>Daniel S. Frey</t>
  </si>
  <si>
    <t>Michael F. Klein</t>
  </si>
  <si>
    <t>William H. Heyman</t>
  </si>
  <si>
    <t>Jay S. Benet</t>
  </si>
  <si>
    <t>Ernie Herrman</t>
  </si>
  <si>
    <t>TJX</t>
  </si>
  <si>
    <t>Carol Meyrowit</t>
  </si>
  <si>
    <t>Richard Sherr</t>
  </si>
  <si>
    <t>Scott Goldenberg</t>
  </si>
  <si>
    <t>Kenneth Canestrari</t>
  </si>
  <si>
    <t>Marc N. Casper</t>
  </si>
  <si>
    <t>Thermo Fisher Scientific</t>
  </si>
  <si>
    <t>Mark P. Stevenson</t>
  </si>
  <si>
    <t>Michel Lagarde</t>
  </si>
  <si>
    <t>Stephen Williamson</t>
  </si>
  <si>
    <t>Gianluca Pettiti</t>
  </si>
  <si>
    <t>Patrick M. Durbin</t>
  </si>
  <si>
    <t>Syed A. Jafry</t>
  </si>
  <si>
    <t>Gregory J. Herrema</t>
  </si>
  <si>
    <t>Michael A. Boxer</t>
  </si>
  <si>
    <t>Richard K. Templeton</t>
  </si>
  <si>
    <t>Texas Instruments</t>
  </si>
  <si>
    <t>Haviv Ilan</t>
  </si>
  <si>
    <t>Rafael R. Lizardi</t>
  </si>
  <si>
    <t>Kyle M. Flessner</t>
  </si>
  <si>
    <t>Hagop H. Kozanian</t>
  </si>
  <si>
    <t>Niels Anderskouv</t>
  </si>
  <si>
    <t>R. Gregory Delagi</t>
  </si>
  <si>
    <t>Brian T. Crutcher</t>
  </si>
  <si>
    <t>Dennis Polk</t>
  </si>
  <si>
    <t>TD Synnex</t>
  </si>
  <si>
    <t>Richard T. Hume</t>
  </si>
  <si>
    <t>Peter Larocque</t>
  </si>
  <si>
    <t>Michael Urban</t>
  </si>
  <si>
    <t>Marshall Witt</t>
  </si>
  <si>
    <t>Christopher Caldwell</t>
  </si>
  <si>
    <t>Simon Leung</t>
  </si>
  <si>
    <t>Patrick Zammit</t>
  </si>
  <si>
    <t>Kevin Murai</t>
  </si>
  <si>
    <t>Brian C. Cornell</t>
  </si>
  <si>
    <t>Target</t>
  </si>
  <si>
    <t>John J. Mulligan</t>
  </si>
  <si>
    <t>Michael E. McNamara</t>
  </si>
  <si>
    <t>Don H. Liu</t>
  </si>
  <si>
    <t>Michael J. Fiddelke</t>
  </si>
  <si>
    <t>Cathy R. Smith</t>
  </si>
  <si>
    <t>A. Christina Hennington</t>
  </si>
  <si>
    <t>Margaret Keane</t>
  </si>
  <si>
    <t>Synchrony Financial</t>
  </si>
  <si>
    <t>Brian Doubles</t>
  </si>
  <si>
    <t>Tom Quindlen</t>
  </si>
  <si>
    <t>Brian Wenzel</t>
  </si>
  <si>
    <t>Neeraj Mehta</t>
  </si>
  <si>
    <t>Carol Juel</t>
  </si>
  <si>
    <t>Henry Greig</t>
  </si>
  <si>
    <t>Alberto Casellas</t>
  </si>
  <si>
    <t>Kevin R. Johnson</t>
  </si>
  <si>
    <t>Starbucks</t>
  </si>
  <si>
    <t>John Culver</t>
  </si>
  <si>
    <t>Howard Schultz</t>
  </si>
  <si>
    <t>Rosalind G. Brewer</t>
  </si>
  <si>
    <t>Patrick J. Grismer</t>
  </si>
  <si>
    <t>Rachel A. Gonzalez</t>
  </si>
  <si>
    <t>Michael Conway</t>
  </si>
  <si>
    <t>Lucy Helm</t>
  </si>
  <si>
    <t>Scott Maw</t>
  </si>
  <si>
    <t>Rachel Ruggeri</t>
  </si>
  <si>
    <t>Susan Patricia Griffith</t>
  </si>
  <si>
    <t>Progressive</t>
  </si>
  <si>
    <t>John P. Sauerland</t>
  </si>
  <si>
    <t>Patrick K. Callahan</t>
  </si>
  <si>
    <t>Michael D. Sieger</t>
  </si>
  <si>
    <t>John A. Barbagallo</t>
  </si>
  <si>
    <t>John Murphy (2)</t>
  </si>
  <si>
    <t>Karen B. Bailo</t>
  </si>
  <si>
    <t>William M. Cody</t>
  </si>
  <si>
    <t>Remi Kent</t>
  </si>
  <si>
    <t>M. Jeffrey Charney</t>
  </si>
  <si>
    <t>David S. Taylor</t>
  </si>
  <si>
    <t>Procter &amp; Gamble</t>
  </si>
  <si>
    <t>Jon R. Moeller</t>
  </si>
  <si>
    <t>Carolyn M. Tastad</t>
  </si>
  <si>
    <t>Mary Lynn Ferguson-McHugh</t>
  </si>
  <si>
    <t>Steven D. Bishop</t>
  </si>
  <si>
    <t>Shailesh Jejurikar</t>
  </si>
  <si>
    <t>Andre Schulten</t>
  </si>
  <si>
    <t>R. Alexandra Keith</t>
  </si>
  <si>
    <t>Ma. Fatima D. Francisco</t>
  </si>
  <si>
    <t>Giovanni Ciserani</t>
  </si>
  <si>
    <t>Deborah P. Majoras</t>
  </si>
  <si>
    <t>William S. Demchak</t>
  </si>
  <si>
    <t>PNC Financial Services Group</t>
  </si>
  <si>
    <t>Michael P. Lyons</t>
  </si>
  <si>
    <t>E. William Parsley III</t>
  </si>
  <si>
    <t>Robert Q. Reilly</t>
  </si>
  <si>
    <t>Karen L. Larrimer</t>
  </si>
  <si>
    <t>Joseph E. Rockey</t>
  </si>
  <si>
    <t>Gregory B. Jordan</t>
  </si>
  <si>
    <t>Ramon L. Laguarta</t>
  </si>
  <si>
    <t>PepsiCo</t>
  </si>
  <si>
    <t>Hugh F. Johnston</t>
  </si>
  <si>
    <t>Silviu Popovici</t>
  </si>
  <si>
    <t>Kirk Tanner</t>
  </si>
  <si>
    <t>Indra K. Nooyi</t>
  </si>
  <si>
    <t>Laxman Narasimhan</t>
  </si>
  <si>
    <t>Steven Williams</t>
  </si>
  <si>
    <t>Albert P. Carey</t>
  </si>
  <si>
    <t>Ronald Schellekens</t>
  </si>
  <si>
    <t>David Yawman</t>
  </si>
  <si>
    <t>Jen-Hsun Huang</t>
  </si>
  <si>
    <t>Nvidia</t>
  </si>
  <si>
    <t>Ajay K. Puri</t>
  </si>
  <si>
    <t>Colette M. Kress</t>
  </si>
  <si>
    <t>Debora Shoquist</t>
  </si>
  <si>
    <t>Timothy S. Teter</t>
  </si>
  <si>
    <t>Leon J. Topalian</t>
  </si>
  <si>
    <t>Nucor</t>
  </si>
  <si>
    <t>John J. Ferriola</t>
  </si>
  <si>
    <t>James D. Frias</t>
  </si>
  <si>
    <t>D. Chad Utermark</t>
  </si>
  <si>
    <t>Ladd R. Hall</t>
  </si>
  <si>
    <t>David A. Sumoski</t>
  </si>
  <si>
    <t>Raymond S. Napolitan, Jr.</t>
  </si>
  <si>
    <t>R. Joseph Stratman</t>
  </si>
  <si>
    <t>MaryEmily Slate</t>
  </si>
  <si>
    <t>Daniel R. Needham</t>
  </si>
  <si>
    <t>K. Rex Query</t>
  </si>
  <si>
    <t>Douglas J. Jellison</t>
  </si>
  <si>
    <t>James R. Darsey</t>
  </si>
  <si>
    <t>Stephen D. Laxton</t>
  </si>
  <si>
    <t>Kathy J. Warden</t>
  </si>
  <si>
    <t>Northrop Grumman</t>
  </si>
  <si>
    <t>Mark A. Caylor</t>
  </si>
  <si>
    <t>Blake E. Larson</t>
  </si>
  <si>
    <t>Wesley G. Bush</t>
  </si>
  <si>
    <t>Janis G. Pamiljans</t>
  </si>
  <si>
    <t>David F. Keffer</t>
  </si>
  <si>
    <t>Kenneth L. Bedingfield</t>
  </si>
  <si>
    <t>Christopher T. Jones</t>
  </si>
  <si>
    <t>Matthew F. Bromberg</t>
  </si>
  <si>
    <t>Thomas H. Jones</t>
  </si>
  <si>
    <t>Mary D. Petryszyn</t>
  </si>
  <si>
    <t>James A. Squires</t>
  </si>
  <si>
    <t>Norfolk Southern</t>
  </si>
  <si>
    <t>Alan H. Shaw</t>
  </si>
  <si>
    <t>Cynthia M. Sanborn</t>
  </si>
  <si>
    <t>Michael J. Wheeler</t>
  </si>
  <si>
    <t>Mark R. George</t>
  </si>
  <si>
    <t>Claude E. Elkins</t>
  </si>
  <si>
    <t>John M. Scheib</t>
  </si>
  <si>
    <t>Ann A. Adams</t>
  </si>
  <si>
    <t>John J. Donahoe, II</t>
  </si>
  <si>
    <t>Nike</t>
  </si>
  <si>
    <t>Mark G. Parker</t>
  </si>
  <si>
    <t>Andrew Campion</t>
  </si>
  <si>
    <t>Matthew Friend</t>
  </si>
  <si>
    <t>Heidi O'Neill</t>
  </si>
  <si>
    <t>Eric D. Sprunk</t>
  </si>
  <si>
    <t>Elliott J. Hill</t>
  </si>
  <si>
    <t>Hilary K. Krane</t>
  </si>
  <si>
    <t>John F. Slusher</t>
  </si>
  <si>
    <t>Monique Matheson</t>
  </si>
  <si>
    <t>James P. Gorman</t>
  </si>
  <si>
    <t>Morgan Stanley</t>
  </si>
  <si>
    <t>Daniel A. Simkowitz</t>
  </si>
  <si>
    <t>Edward N. Pick</t>
  </si>
  <si>
    <t>Jonathan M. Pruzan</t>
  </si>
  <si>
    <t>Andrew M. Saperstein</t>
  </si>
  <si>
    <t>Colm Kelleher</t>
  </si>
  <si>
    <t>Eric F. Grossman</t>
  </si>
  <si>
    <t>Sharon Yeshaya</t>
  </si>
  <si>
    <t>Robert P. Rooney</t>
  </si>
  <si>
    <t>Satya Nadella</t>
  </si>
  <si>
    <t>Microsoft</t>
  </si>
  <si>
    <t>Amy E. Hood</t>
  </si>
  <si>
    <t>Bradford L. Smith</t>
  </si>
  <si>
    <t>Jean-Philippe Courtois</t>
  </si>
  <si>
    <t>Christopher D. Young</t>
  </si>
  <si>
    <t>Margaret L. Johnson</t>
  </si>
  <si>
    <t>Judson B. Althoff</t>
  </si>
  <si>
    <t>Sheryl K. Sandberg</t>
  </si>
  <si>
    <t>Meta Platforms</t>
  </si>
  <si>
    <t>Christopher K. Cox</t>
  </si>
  <si>
    <t>Mark Zuckerberg</t>
  </si>
  <si>
    <t>David M. Wehner</t>
  </si>
  <si>
    <t>Mike Schroepfer</t>
  </si>
  <si>
    <t>Marne Levine</t>
  </si>
  <si>
    <t>Javier Olivan</t>
  </si>
  <si>
    <t>Andrew Bosworth</t>
  </si>
  <si>
    <t>Jennifer G. Newstead</t>
  </si>
  <si>
    <t>Susan Li</t>
  </si>
  <si>
    <t>Christopher Kempczinski</t>
  </si>
  <si>
    <t>McDonald's</t>
  </si>
  <si>
    <t>Stephen Easterbrook</t>
  </si>
  <si>
    <t>Kevin Ozan</t>
  </si>
  <si>
    <t>Joseph Erlinger</t>
  </si>
  <si>
    <t>Ian Borden</t>
  </si>
  <si>
    <t>Desiree Ralls-Morrison</t>
  </si>
  <si>
    <t>Heidi B. Capozzi</t>
  </si>
  <si>
    <t>Jerome Krulewitch</t>
  </si>
  <si>
    <t>Silvia Lagnado</t>
  </si>
  <si>
    <t>Brian Rice</t>
  </si>
  <si>
    <t>Douglas Goare</t>
  </si>
  <si>
    <t>Ajay Banga</t>
  </si>
  <si>
    <t>MasterCard</t>
  </si>
  <si>
    <t>Michael Miebach</t>
  </si>
  <si>
    <t>Craig Vosburg</t>
  </si>
  <si>
    <t>Tim Murphy</t>
  </si>
  <si>
    <t>Sachin Mehra</t>
  </si>
  <si>
    <t>Michael Froman</t>
  </si>
  <si>
    <t>Martina Hund-Mejean</t>
  </si>
  <si>
    <t>Ann Cairns</t>
  </si>
  <si>
    <t>Gilberto Caldart</t>
  </si>
  <si>
    <t>Marvin R. Ellison</t>
  </si>
  <si>
    <t>Lowe's</t>
  </si>
  <si>
    <t>Joseph M. McFarland III</t>
  </si>
  <si>
    <t>William P. Boltz</t>
  </si>
  <si>
    <t>Seemantini Godbole</t>
  </si>
  <si>
    <t>Robert A. Niblock</t>
  </si>
  <si>
    <t>Marisa F. Thalberg</t>
  </si>
  <si>
    <t>Michael P. McDermott</t>
  </si>
  <si>
    <t>Richard D. Maltsbarger</t>
  </si>
  <si>
    <t>Brandon J. Sink</t>
  </si>
  <si>
    <t>Jennifer L. Weber</t>
  </si>
  <si>
    <t>Ross W. McCanless</t>
  </si>
  <si>
    <t>Marshall A. Croom</t>
  </si>
  <si>
    <t>Tiffany L. Mason</t>
  </si>
  <si>
    <t>Marillyn A. Hewson</t>
  </si>
  <si>
    <t>Lockheed Martin</t>
  </si>
  <si>
    <t>James D. Taiclet</t>
  </si>
  <si>
    <t>Frank A. St. John</t>
  </si>
  <si>
    <t>Richard F. Ambrose</t>
  </si>
  <si>
    <t>Kenneth R. Possenriede</t>
  </si>
  <si>
    <t>Bruce L. Tanner</t>
  </si>
  <si>
    <t>Dale P. Bennett</t>
  </si>
  <si>
    <t>Michele A. Evans</t>
  </si>
  <si>
    <t>Jesus Malave</t>
  </si>
  <si>
    <t>Scott T. Greene</t>
  </si>
  <si>
    <t>Gregory M. Ulmer</t>
  </si>
  <si>
    <t>Maryanne R. Lavan</t>
  </si>
  <si>
    <t>Orlando P. Carvalho</t>
  </si>
  <si>
    <t>Richard H. Edwards</t>
  </si>
  <si>
    <t>Stephanie C. Hill</t>
  </si>
  <si>
    <t>John W. Mollard</t>
  </si>
  <si>
    <t>Stuart A. Miller</t>
  </si>
  <si>
    <t>Lennar</t>
  </si>
  <si>
    <t>Rick Beckwitt</t>
  </si>
  <si>
    <t>Jonathan M. Jaffe</t>
  </si>
  <si>
    <t>Jeff McCall</t>
  </si>
  <si>
    <t>Diane J. Bessette</t>
  </si>
  <si>
    <t>Mark Sustana</t>
  </si>
  <si>
    <t>Bruce Gross</t>
  </si>
  <si>
    <t>W. Rodney McMullen</t>
  </si>
  <si>
    <t>Kroger</t>
  </si>
  <si>
    <t>Stuart W. Aitken</t>
  </si>
  <si>
    <t>Michael J. Donnelly</t>
  </si>
  <si>
    <t>Yael Cosset</t>
  </si>
  <si>
    <t>Gary Millerchip</t>
  </si>
  <si>
    <t>J. Michael Schlotman</t>
  </si>
  <si>
    <t>Timothy A. Massa</t>
  </si>
  <si>
    <t>Robert Clark</t>
  </si>
  <si>
    <t>Christopher T. Hjelm</t>
  </si>
  <si>
    <t>James Dimon</t>
  </si>
  <si>
    <t>JPMorgan Chase</t>
  </si>
  <si>
    <t>Daniel Pinto</t>
  </si>
  <si>
    <t>Mary Callahan Erdoes</t>
  </si>
  <si>
    <t>Gordon Smith</t>
  </si>
  <si>
    <t>Jennifer Piepszak</t>
  </si>
  <si>
    <t>Marianne Lake</t>
  </si>
  <si>
    <t>Jeremy Barnum</t>
  </si>
  <si>
    <t>Sasan K. Goodarzi</t>
  </si>
  <si>
    <t>Intuit</t>
  </si>
  <si>
    <t>J. Alexander Chriss</t>
  </si>
  <si>
    <t>Michelle M. Clatterbuck</t>
  </si>
  <si>
    <t>Laura A. Fennell</t>
  </si>
  <si>
    <t>Marianna Tessel</t>
  </si>
  <si>
    <t>Brad D. Smith</t>
  </si>
  <si>
    <t>Gregory N. Johnson</t>
  </si>
  <si>
    <t>H. Tayloe Stansbury</t>
  </si>
  <si>
    <t>R. Neil Williams</t>
  </si>
  <si>
    <t>Patrick P. Gelsinger</t>
  </si>
  <si>
    <t>Intel</t>
  </si>
  <si>
    <t>Robert H. Swan</t>
  </si>
  <si>
    <t>Navin Shenoy</t>
  </si>
  <si>
    <t>Venkata Renduchintala</t>
  </si>
  <si>
    <t>George S. Davis</t>
  </si>
  <si>
    <t>Steven R. Rodgers</t>
  </si>
  <si>
    <t>Gregory M. Bryant</t>
  </si>
  <si>
    <t>Christoph Schell</t>
  </si>
  <si>
    <t>David A. Zinsner</t>
  </si>
  <si>
    <t>Brian M. Krzanich</t>
  </si>
  <si>
    <t>Sandra L. Rivera</t>
  </si>
  <si>
    <t>Michelle Johnston Holthaus</t>
  </si>
  <si>
    <t>Todd Underwood</t>
  </si>
  <si>
    <t>Bruce D. Broussard</t>
  </si>
  <si>
    <t>Humana</t>
  </si>
  <si>
    <t>Brian A. Kane</t>
  </si>
  <si>
    <t>T. Alan Wheatley</t>
  </si>
  <si>
    <t>Timothy S. Huval</t>
  </si>
  <si>
    <t>William K. Fleming</t>
  </si>
  <si>
    <t>Susan M. Diamond</t>
  </si>
  <si>
    <t>Timothy S. Huva</t>
  </si>
  <si>
    <t>Joseph C. Ventura</t>
  </si>
  <si>
    <t>Jody L. Bilney</t>
  </si>
  <si>
    <t>Carol B. Tomé</t>
  </si>
  <si>
    <t>Home Depot</t>
  </si>
  <si>
    <t>Craig A. Menear</t>
  </si>
  <si>
    <t>Edward P. Decker</t>
  </si>
  <si>
    <t>Matthew A. Carey</t>
  </si>
  <si>
    <t>Ann-Marie Campbell</t>
  </si>
  <si>
    <t>Richard V. McPhail</t>
  </si>
  <si>
    <t>Mark Q. Holifield</t>
  </si>
  <si>
    <t>Jeffrey G. Kinnaird</t>
  </si>
  <si>
    <t>Samuel N. Hazen</t>
  </si>
  <si>
    <t>HCA Healthcare</t>
  </si>
  <si>
    <t>William B. Rutherford</t>
  </si>
  <si>
    <t>Jon M. Foster</t>
  </si>
  <si>
    <t>Charles J. Hall</t>
  </si>
  <si>
    <t>R. Milton Johnson</t>
  </si>
  <si>
    <t>Jonathan B. Perlin</t>
  </si>
  <si>
    <t>Michael R. McAlevey</t>
  </si>
  <si>
    <t>Michael S. Cuffe</t>
  </si>
  <si>
    <t>Daniel P. O'Day</t>
  </si>
  <si>
    <t>Gilead Sciences</t>
  </si>
  <si>
    <t>Andrew D. Dickinson</t>
  </si>
  <si>
    <t>Johanna Mercier</t>
  </si>
  <si>
    <t>John F. Milligan</t>
  </si>
  <si>
    <t>Merdad V. Parsey</t>
  </si>
  <si>
    <t>Laura J. Hamill</t>
  </si>
  <si>
    <t>Brett A. Pletcher</t>
  </si>
  <si>
    <t>Gregg H. Alton</t>
  </si>
  <si>
    <t>John G. McHutchison</t>
  </si>
  <si>
    <t>Robin L. Washington</t>
  </si>
  <si>
    <t>Deborah H. Telman</t>
  </si>
  <si>
    <t>Phebe N. Novakovic</t>
  </si>
  <si>
    <t>General Dynamics</t>
  </si>
  <si>
    <t>Jason W. Aiken</t>
  </si>
  <si>
    <t>Mark C. Roualet</t>
  </si>
  <si>
    <t>Mark L. Burns</t>
  </si>
  <si>
    <t>Robert E. Smith</t>
  </si>
  <si>
    <t>John P. Casey</t>
  </si>
  <si>
    <t>S. Daniel Johnson</t>
  </si>
  <si>
    <t>Gregory S. Gallopoulos</t>
  </si>
  <si>
    <t>Frank J. Bisignano</t>
  </si>
  <si>
    <t>Fiserv</t>
  </si>
  <si>
    <t>Robert W. Hau</t>
  </si>
  <si>
    <t>Guy Chiarello</t>
  </si>
  <si>
    <t>Suzan Kereere</t>
  </si>
  <si>
    <t>Adam L. Rosman</t>
  </si>
  <si>
    <t>Jeffery W. Yabuki</t>
  </si>
  <si>
    <t>Devin B. McGranahan</t>
  </si>
  <si>
    <t>Byron C. Vielehr</t>
  </si>
  <si>
    <t>Lynn S. McCreary</t>
  </si>
  <si>
    <t>Greg D. Carmichael</t>
  </si>
  <si>
    <t>Fifth Third Bancorp</t>
  </si>
  <si>
    <t>Timothy N. Spence</t>
  </si>
  <si>
    <t>Lars C. Anderson</t>
  </si>
  <si>
    <t>Frank R. Forrest</t>
  </si>
  <si>
    <t>Tayfun Tuzun</t>
  </si>
  <si>
    <t>James C. Leonard</t>
  </si>
  <si>
    <t>Robert P. Shaffer</t>
  </si>
  <si>
    <t>Kevin P. Lavender</t>
  </si>
  <si>
    <t>Teresa J. Tanner</t>
  </si>
  <si>
    <t>Howard Hammond</t>
  </si>
  <si>
    <t>Darren W. Woods</t>
  </si>
  <si>
    <t>Exxon Mobil</t>
  </si>
  <si>
    <t>Neil A. Chapman</t>
  </si>
  <si>
    <t>Jack P. Williams Jr.</t>
  </si>
  <si>
    <t>Andrew P. Swiger</t>
  </si>
  <si>
    <t>Kathryn A. Mikells</t>
  </si>
  <si>
    <t>Neil W. Duffin</t>
  </si>
  <si>
    <t>Karen T. McKee</t>
  </si>
  <si>
    <t>Liam M. Mallon</t>
  </si>
  <si>
    <t>Gail K. Boudreaux</t>
  </si>
  <si>
    <t>Elevance Health</t>
  </si>
  <si>
    <t>Peter D. Haytaian</t>
  </si>
  <si>
    <t>John E. Gallina</t>
  </si>
  <si>
    <t>Gloria M. McCarthy</t>
  </si>
  <si>
    <t>Felicia F. Norwood</t>
  </si>
  <si>
    <t>Brian T. Griffin</t>
  </si>
  <si>
    <t>Thomas C. Zielinski</t>
  </si>
  <si>
    <t>Richard E. Allison Jr.</t>
  </si>
  <si>
    <t>Domino's Pizza</t>
  </si>
  <si>
    <t>Russell J. Weiner</t>
  </si>
  <si>
    <t>Joseph H. Jordan</t>
  </si>
  <si>
    <t>J. Kevin Vasconi</t>
  </si>
  <si>
    <t>Sandeep Reddy</t>
  </si>
  <si>
    <t>Jeffrey D. Lawrence</t>
  </si>
  <si>
    <t>J. Patrick Doyle</t>
  </si>
  <si>
    <t>Kevin S. Morris</t>
  </si>
  <si>
    <t>Stuart A. Levy</t>
  </si>
  <si>
    <t>Kelly E. Garcia</t>
  </si>
  <si>
    <t>Arthur P. D'Elia</t>
  </si>
  <si>
    <t>Todd J. Vasos</t>
  </si>
  <si>
    <t>Dollar General</t>
  </si>
  <si>
    <t>Jeffery C. Owen</t>
  </si>
  <si>
    <t>John W. Garratt</t>
  </si>
  <si>
    <t>Rhonda M. Taylor</t>
  </si>
  <si>
    <t>Carman R. Wenkoff</t>
  </si>
  <si>
    <t>Jason S. Reiser</t>
  </si>
  <si>
    <t>Emily C. Taylor</t>
  </si>
  <si>
    <t>Robert D. Ravener</t>
  </si>
  <si>
    <t>Roger C. Hochschild</t>
  </si>
  <si>
    <t>Discover Financial Services</t>
  </si>
  <si>
    <t>Diane E. Offereins</t>
  </si>
  <si>
    <t>Carlos M. Minetti</t>
  </si>
  <si>
    <t>John T. Greene</t>
  </si>
  <si>
    <t>Julie A. Loeger</t>
  </si>
  <si>
    <t>Wanjiku J. Walcott</t>
  </si>
  <si>
    <t>David W. Nelms</t>
  </si>
  <si>
    <t>Daniel P. Capozzi</t>
  </si>
  <si>
    <t>Amir S. Arooni</t>
  </si>
  <si>
    <t>R. Mark Graf</t>
  </si>
  <si>
    <t>John C. May</t>
  </si>
  <si>
    <t>Deere</t>
  </si>
  <si>
    <t>Samuel R. Allen</t>
  </si>
  <si>
    <t>Rajesh Kalathur</t>
  </si>
  <si>
    <t>Cory J. Reed</t>
  </si>
  <si>
    <t>James M. Field</t>
  </si>
  <si>
    <t>Ryan D. Campbell</t>
  </si>
  <si>
    <t>Mary K. W. Jones</t>
  </si>
  <si>
    <t>Marc A. Howze</t>
  </si>
  <si>
    <t>Jean H. Gilles</t>
  </si>
  <si>
    <t>Joshua A. Jepsen</t>
  </si>
  <si>
    <t>Donald R. Horton</t>
  </si>
  <si>
    <t>D.R. Horton</t>
  </si>
  <si>
    <t>David V. Auld</t>
  </si>
  <si>
    <t>Michael J. Murray</t>
  </si>
  <si>
    <t>Bill W. Wheat</t>
  </si>
  <si>
    <t>Paul J. Romanowski</t>
  </si>
  <si>
    <t>Larry J. Merlo</t>
  </si>
  <si>
    <t>CVS Health</t>
  </si>
  <si>
    <t>Jonathan C. Roberts</t>
  </si>
  <si>
    <t>Karen S. Lynch</t>
  </si>
  <si>
    <t>Eva C. Boratto</t>
  </si>
  <si>
    <t>Thomas M. Moriarty</t>
  </si>
  <si>
    <t>Alan M. Lotvin</t>
  </si>
  <si>
    <t>Shawn M. Guertin</t>
  </si>
  <si>
    <t>Derica W. Rice</t>
  </si>
  <si>
    <t>Tilak Mandadi</t>
  </si>
  <si>
    <t>Prem S. Shah</t>
  </si>
  <si>
    <t>Troyen A. Brennan</t>
  </si>
  <si>
    <t>W. Craig Jelinek</t>
  </si>
  <si>
    <t>Costco Wholesale</t>
  </si>
  <si>
    <t>Richard A. Galanti</t>
  </si>
  <si>
    <t>Ron M. Vachris</t>
  </si>
  <si>
    <t>James P. Murphy</t>
  </si>
  <si>
    <t>Joseph P. Portera</t>
  </si>
  <si>
    <t>Russ D. Miller</t>
  </si>
  <si>
    <t>Paul G. Moulton</t>
  </si>
  <si>
    <t>Brian L. Roberts</t>
  </si>
  <si>
    <t>Comcast</t>
  </si>
  <si>
    <t>Michael J. Cavanagh</t>
  </si>
  <si>
    <t>David N. Watson</t>
  </si>
  <si>
    <t>Stephen B. Burke</t>
  </si>
  <si>
    <t>Jeffrey Shell</t>
  </si>
  <si>
    <t>David L. Cohen</t>
  </si>
  <si>
    <t>Dana Strong</t>
  </si>
  <si>
    <t>Thomas J. Reid</t>
  </si>
  <si>
    <t>James Quincey</t>
  </si>
  <si>
    <t>Coca-Cola</t>
  </si>
  <si>
    <t>Brian J. Smith</t>
  </si>
  <si>
    <t>John Murphy</t>
  </si>
  <si>
    <t>Manuel Arroyo</t>
  </si>
  <si>
    <t>Bradley M. Gayton</t>
  </si>
  <si>
    <t>Kathy N. Waller</t>
  </si>
  <si>
    <t>Alfredo Rivera</t>
  </si>
  <si>
    <t>Muhtar Kent</t>
  </si>
  <si>
    <t>James L. Dinkins</t>
  </si>
  <si>
    <t>Michael Corbat</t>
  </si>
  <si>
    <t>Citigroup</t>
  </si>
  <si>
    <t>Jane Fraser</t>
  </si>
  <si>
    <t>Paco Ybarra</t>
  </si>
  <si>
    <t>Mark Mason</t>
  </si>
  <si>
    <t>James Forese</t>
  </si>
  <si>
    <t>Peter Babej</t>
  </si>
  <si>
    <t>Stephen Bird</t>
  </si>
  <si>
    <t>John Gerspach</t>
  </si>
  <si>
    <t>Anand Selvakesari</t>
  </si>
  <si>
    <t>Ernesto Torres Cantú</t>
  </si>
  <si>
    <t>Michael Whitaker</t>
  </si>
  <si>
    <t>Bradford Hu</t>
  </si>
  <si>
    <t>Charles H. Robbins</t>
  </si>
  <si>
    <t>Cisco Systems</t>
  </si>
  <si>
    <t>Maria N. Martinez</t>
  </si>
  <si>
    <t>Gerri Elliott</t>
  </si>
  <si>
    <t>Kelly A. Kramer</t>
  </si>
  <si>
    <t>R. Scott Herren</t>
  </si>
  <si>
    <t>David Goeckeler</t>
  </si>
  <si>
    <t>Irving Tan</t>
  </si>
  <si>
    <t>Dev Stahlkopf</t>
  </si>
  <si>
    <t>Jeff Sharritts</t>
  </si>
  <si>
    <t>Mark Chandler</t>
  </si>
  <si>
    <t>David M. Cordani</t>
  </si>
  <si>
    <t>Cigna</t>
  </si>
  <si>
    <t>Timothy C. Wentworth</t>
  </si>
  <si>
    <t>Eric P. Palmer</t>
  </si>
  <si>
    <t>Nicole S. Jones</t>
  </si>
  <si>
    <t>Matthew G. Manders</t>
  </si>
  <si>
    <t>Brian C. Evanko</t>
  </si>
  <si>
    <t>Alan M. Muney</t>
  </si>
  <si>
    <t>Christopher J. Hocevar</t>
  </si>
  <si>
    <t>Noelle K. Eder</t>
  </si>
  <si>
    <t>Lisa R. Bacus</t>
  </si>
  <si>
    <t>Jason D. Sadler</t>
  </si>
  <si>
    <t>W. Anthony Will</t>
  </si>
  <si>
    <t>CF Industries Holdings</t>
  </si>
  <si>
    <t>Bert A. Frost</t>
  </si>
  <si>
    <t>Christopher D. Bohn</t>
  </si>
  <si>
    <t>Douglas C. Barnard</t>
  </si>
  <si>
    <t>Susan L. Menzel</t>
  </si>
  <si>
    <t>Dennis P. Kelleher</t>
  </si>
  <si>
    <t>Robert E. Sulentic</t>
  </si>
  <si>
    <t>CBRE Group</t>
  </si>
  <si>
    <t>Michael J. Lafitte</t>
  </si>
  <si>
    <t>John E. Durburg</t>
  </si>
  <si>
    <t>Daniel G. Queenan</t>
  </si>
  <si>
    <t>Chandra Dhandapani</t>
  </si>
  <si>
    <t>Emma E. Giamartino</t>
  </si>
  <si>
    <t>Leah C. Stearns</t>
  </si>
  <si>
    <t>James R. Groch</t>
  </si>
  <si>
    <t>William F. Concannon</t>
  </si>
  <si>
    <t>Calvin W. Frese, Jr.</t>
  </si>
  <si>
    <t>D. James Umpleby III</t>
  </si>
  <si>
    <t>Caterpillar</t>
  </si>
  <si>
    <t>Andrew R. J. Bonfield</t>
  </si>
  <si>
    <t>Bob De Lange</t>
  </si>
  <si>
    <t>Denise C. Johnson</t>
  </si>
  <si>
    <t>Joseph E. Creed</t>
  </si>
  <si>
    <t>Robert B. Charter</t>
  </si>
  <si>
    <t>William P. Ainsworth</t>
  </si>
  <si>
    <t>Thomas A. Pellette</t>
  </si>
  <si>
    <t>Gerald Johnson</t>
  </si>
  <si>
    <t>Bradley M. Halverson</t>
  </si>
  <si>
    <t>Richard D. Fairbank</t>
  </si>
  <si>
    <t>Capital One Financial</t>
  </si>
  <si>
    <t>Sanjiv Yajnik</t>
  </si>
  <si>
    <t>Frank G. LaPrade III</t>
  </si>
  <si>
    <t>Neal A. Blinde</t>
  </si>
  <si>
    <t>R. Scott Blackley</t>
  </si>
  <si>
    <t>Michael J. Wassmer</t>
  </si>
  <si>
    <t>Andrew M. Young</t>
  </si>
  <si>
    <t>John G. Finneran Jr.</t>
  </si>
  <si>
    <t>Horacio D. Rozanski</t>
  </si>
  <si>
    <t>Booz Allen Hamilton Holding</t>
  </si>
  <si>
    <t>Karen M. Dahut</t>
  </si>
  <si>
    <t>Lloyd W. Howell, Jr.</t>
  </si>
  <si>
    <t>Nancy J. Laben</t>
  </si>
  <si>
    <t>Kristine Martin Anderson</t>
  </si>
  <si>
    <t>Judith H. Dotson</t>
  </si>
  <si>
    <t>Matthew A. Calderone</t>
  </si>
  <si>
    <t>Susan L. Penfield</t>
  </si>
  <si>
    <t>Laurence D. Fink</t>
  </si>
  <si>
    <t>BlackRock</t>
  </si>
  <si>
    <t>Robert S. Kapito</t>
  </si>
  <si>
    <t>Robert L. Goldstein</t>
  </si>
  <si>
    <t>J. Richard Kushel</t>
  </si>
  <si>
    <t>Gary S. Shedlin</t>
  </si>
  <si>
    <t>Mark Wiedman</t>
  </si>
  <si>
    <t>Corie Barry</t>
  </si>
  <si>
    <t>Best Buy</t>
  </si>
  <si>
    <t>Hubert Joly</t>
  </si>
  <si>
    <t>Mike Mohan</t>
  </si>
  <si>
    <t>Kamy Scarlett</t>
  </si>
  <si>
    <t>Matt Bilunas</t>
  </si>
  <si>
    <t>Todd Hartman</t>
  </si>
  <si>
    <t>Keith Nelsen</t>
  </si>
  <si>
    <t>Shari L. Ballard</t>
  </si>
  <si>
    <t>Jason Bonfig</t>
  </si>
  <si>
    <t>Damien Harmon</t>
  </si>
  <si>
    <t>Trish Walker</t>
  </si>
  <si>
    <t>Asheesh Saksena</t>
  </si>
  <si>
    <t>Whit Alexander</t>
  </si>
  <si>
    <t>Brian Tilzer</t>
  </si>
  <si>
    <t>Brian T. Moynihan</t>
  </si>
  <si>
    <t>Bank of America</t>
  </si>
  <si>
    <t>Thomas K. Montag</t>
  </si>
  <si>
    <t>Paul M. Donofrio</t>
  </si>
  <si>
    <t>Geoffrey S. Greener</t>
  </si>
  <si>
    <t>Dean C. Athanasia</t>
  </si>
  <si>
    <t>Matthew M. Koder</t>
  </si>
  <si>
    <t>Alastair M. Borthwick</t>
  </si>
  <si>
    <t>Terrence P. Laughlin</t>
  </si>
  <si>
    <t>James P. DeMare</t>
  </si>
  <si>
    <t>Thong M. Nguyen</t>
  </si>
  <si>
    <t>Carlos A. Rodriguez</t>
  </si>
  <si>
    <t>Automatic Data Processing</t>
  </si>
  <si>
    <t>Maria Black</t>
  </si>
  <si>
    <t>John C. Ayala</t>
  </si>
  <si>
    <t>Donald Weinstein</t>
  </si>
  <si>
    <t>Kathleen A. Winters</t>
  </si>
  <si>
    <t>Don McGuire</t>
  </si>
  <si>
    <t>Michael A. Bonarti</t>
  </si>
  <si>
    <t xml:space="preserve">Jan Siegmund	</t>
  </si>
  <si>
    <t>Joseph DeSilva</t>
  </si>
  <si>
    <t>Thomas J. Perrotti</t>
  </si>
  <si>
    <t>Timothy D. Cook</t>
  </si>
  <si>
    <t>Apple</t>
  </si>
  <si>
    <t>Kate Adams</t>
  </si>
  <si>
    <t>Jeff Williams</t>
  </si>
  <si>
    <t>Luca Maestri</t>
  </si>
  <si>
    <t>Deirdre O'Brien</t>
  </si>
  <si>
    <t>Angela Ahrendts</t>
  </si>
  <si>
    <t>S. J. Squeri</t>
  </si>
  <si>
    <t>American Express</t>
  </si>
  <si>
    <t>D. E. Buckminster</t>
  </si>
  <si>
    <t>J. C. Campbell</t>
  </si>
  <si>
    <t>A. D. Williams</t>
  </si>
  <si>
    <t>L. E. Seeger</t>
  </si>
  <si>
    <t>Kenneth I. Chenault</t>
  </si>
  <si>
    <t>R. Radhakrishnan</t>
  </si>
  <si>
    <t>A. E. Marrs</t>
  </si>
  <si>
    <t>Andrew R. Jassy</t>
  </si>
  <si>
    <t>Amazon</t>
  </si>
  <si>
    <t>Adam N. Selipsky</t>
  </si>
  <si>
    <t>David H. Clark</t>
  </si>
  <si>
    <t>Jeffrey M. Blackburn</t>
  </si>
  <si>
    <t>Douglas J. Herrington</t>
  </si>
  <si>
    <t>Brian T. Olsavsky</t>
  </si>
  <si>
    <t>David A. Zapolsky</t>
  </si>
  <si>
    <t>Jeffrey A. Wilke</t>
  </si>
  <si>
    <t>Jeffrey P. Bezos</t>
  </si>
  <si>
    <t>Sundar Pichai</t>
  </si>
  <si>
    <t>Alphabet</t>
  </si>
  <si>
    <t>Ruth M. Porat</t>
  </si>
  <si>
    <t>Philipp Schindler</t>
  </si>
  <si>
    <t>Prabhakar Raghavan</t>
  </si>
  <si>
    <t>Kent Walker</t>
  </si>
  <si>
    <t>David C. Drummond</t>
  </si>
  <si>
    <t>Eric E. Schmidt</t>
  </si>
  <si>
    <t>Sergey Brin</t>
  </si>
  <si>
    <t>Larry Page</t>
  </si>
  <si>
    <t>Lisa T. Su</t>
  </si>
  <si>
    <t>Advanced Micro Devices</t>
  </si>
  <si>
    <t>Mark Papermaster</t>
  </si>
  <si>
    <t>Darren Grasby</t>
  </si>
  <si>
    <t>Devinder Kumar</t>
  </si>
  <si>
    <t>Victor Peng</t>
  </si>
  <si>
    <t>Rick Bergman</t>
  </si>
  <si>
    <t>Sandeep Chennakeshu</t>
  </si>
  <si>
    <t>Forrest E. Norrod</t>
  </si>
  <si>
    <t>James R. Anderson</t>
  </si>
  <si>
    <t>Harry A. Wolin</t>
  </si>
  <si>
    <t>Michael F. Roman</t>
  </si>
  <si>
    <t>3M</t>
  </si>
  <si>
    <t>Monish Patolawala</t>
  </si>
  <si>
    <t>Michael G. Vale</t>
  </si>
  <si>
    <t>Nicholas C. Gangestad</t>
  </si>
  <si>
    <t>Inge G. Thulin</t>
  </si>
  <si>
    <t>Ashish K. Khandpur</t>
  </si>
  <si>
    <t>Mojdeh Poul</t>
  </si>
  <si>
    <t>Julie L. Bushman</t>
  </si>
  <si>
    <t>Joaquin Delgado</t>
  </si>
  <si>
    <t>Hak Cheol Shin</t>
  </si>
  <si>
    <t>James L. Bauman</t>
  </si>
  <si>
    <t>Jeffrey R. Lavers</t>
  </si>
  <si>
    <t>Eric D. Hammes</t>
  </si>
  <si>
    <t>Frank R. Little</t>
  </si>
  <si>
    <t>Peter D. Gibbons</t>
  </si>
  <si>
    <r>
      <rPr>
        <rFont val="Arial Narrow"/>
        <b/>
        <color theme="1"/>
        <sz val="10.0"/>
      </rPr>
      <t xml:space="preserve">Corporation
</t>
    </r>
    <r>
      <rPr>
        <rFont val="Arial Narrow"/>
        <color theme="1"/>
        <sz val="10.0"/>
      </rPr>
      <t>(with source link)</t>
    </r>
  </si>
  <si>
    <t>Position</t>
  </si>
  <si>
    <t>Income</t>
  </si>
  <si>
    <t>Fiscal Year Start</t>
  </si>
  <si>
    <t>IPS edits &amp; comments</t>
  </si>
  <si>
    <r>
      <rPr>
        <rFont val="Arial Narrow"/>
        <b/>
        <color theme="1"/>
      </rPr>
      <t xml:space="preserve">Proxy Report Sources </t>
    </r>
    <r>
      <rPr>
        <rFont val="Arial Narrow"/>
        <b val="0"/>
        <i/>
        <color theme="1"/>
      </rPr>
      <t>(fiscal year)</t>
    </r>
  </si>
  <si>
    <t>Technoking of Tesla and Chief Executive Officer</t>
  </si>
  <si>
    <t>Chief Executive Officer</t>
  </si>
  <si>
    <t xml:space="preserve">January </t>
  </si>
  <si>
    <t>Master of Coin and Chief Financial Officer</t>
  </si>
  <si>
    <t>Former President, Tesla Heavy Trucking</t>
  </si>
  <si>
    <t>President, Tesla Heavy Trucking</t>
  </si>
  <si>
    <t>Former Chief Financial Officer</t>
  </si>
  <si>
    <t>Chief Technology Officer</t>
  </si>
  <si>
    <t>SVP, Powertrain and Energy Engineering</t>
  </si>
  <si>
    <t>President, Automotive</t>
  </si>
  <si>
    <t>Chief Financial Officer</t>
  </si>
  <si>
    <t>President &amp; CEO</t>
  </si>
  <si>
    <t>X</t>
  </si>
  <si>
    <t>Executive Vice President &amp; Chief Financial Officer</t>
  </si>
  <si>
    <t>President, Technology</t>
  </si>
  <si>
    <t>Former President, Technology</t>
  </si>
  <si>
    <t>Executive Vice President and General Counsel</t>
  </si>
  <si>
    <t>Former Chief Executive Officer</t>
  </si>
  <si>
    <t>Executive Vice President, Corporate Services</t>
  </si>
  <si>
    <t>Executive Vice President, Corporate Strategy &amp; Development</t>
  </si>
  <si>
    <t>Executive Vice President &amp; Chief Financial Office</t>
  </si>
  <si>
    <t>Former Executive Vice President, Emerging Products</t>
  </si>
  <si>
    <t>Former Executive Vice President, General Counsel and Secretary</t>
  </si>
  <si>
    <t>Executive Vice President, General Counsel and Secretary</t>
  </si>
  <si>
    <t>Former Executive Vice President, Corporate Services</t>
  </si>
  <si>
    <t>Former Executive Vice President &amp; Chief Financial Office</t>
  </si>
  <si>
    <t>REED HASTINGS</t>
  </si>
  <si>
    <t>co-Chief Executive Officer, President, and Chairperson of the Board</t>
  </si>
  <si>
    <t>noting that I added link to 2018 proxy</t>
  </si>
  <si>
    <t>co-Chief Executive Officer and Chief Content Officer</t>
  </si>
  <si>
    <t>Chief Operating Officer and Chief Product Officer</t>
  </si>
  <si>
    <t>Chief Marketing Officer</t>
  </si>
  <si>
    <t>Chief Legal Officer</t>
  </si>
  <si>
    <t>noting that Hyman not an NEO in 2018. Comp figure from 2019 proxy</t>
  </si>
  <si>
    <t>Chief Communications Officer</t>
  </si>
  <si>
    <t>Former Chief Marketing Officer</t>
  </si>
  <si>
    <t xml:space="preserve">Chair of the Board and CEO	</t>
  </si>
  <si>
    <t>The Salesforce incomes are off by one year, as are the proxy links which start in 2023 and end in 2019 instead of 2022 to 2018. This means that we can simply get rid of the 2023 incomes from the first columns, shift everything over by one and add these as the corrected 2018 incomes: Marc Benioff, $4,653,362; Keith Block, $1,150,000; Mark Hawkins, $750,000; Parker Harris, $900,000.</t>
  </si>
  <si>
    <t>Former Vice Chair of the Board and Co-CEO</t>
  </si>
  <si>
    <t>Vice Chair of the Board and Co-CEO</t>
  </si>
  <si>
    <t>From Zack: I think that Salesforce is mischaracterize the years they are reporting. It does not make any sense that a report that came out in June 2023 and says there fiscal year ends on Jan 31st is talking about the following year. Our rule of thumb is if the majority days in a fiscal year are in that year it is the year we characterize it as, since that is what ITEP does for their tax data</t>
  </si>
  <si>
    <t xml:space="preserve">Chief Technology Officer and Co-Founder	</t>
  </si>
  <si>
    <t xml:space="preserve">President and Chief Engineering Officer	</t>
  </si>
  <si>
    <t>Harris's incomes are one year off, what's listed as his 2022 income is really his 2023 income and so on. Here are his corrected incomes: 2022, $14,000,260; 2021, $12,911,164; 2020, $13,000,762; 2019, $12,000,571; 2018, $1,800,604.</t>
  </si>
  <si>
    <t>Co-Chief Executive Officer</t>
  </si>
  <si>
    <t xml:space="preserve">President and Chief Financial Officer	</t>
  </si>
  <si>
    <t xml:space="preserve">President and Chief Financial Officer        </t>
  </si>
  <si>
    <t>Former Co-Chief Executive Officer</t>
  </si>
  <si>
    <t>President and Chief Financial Officer (CFO Emeritus</t>
  </si>
  <si>
    <t xml:space="preserve">President and Chief Operating Officer	</t>
  </si>
  <si>
    <t>President and Chief Revenue Officer</t>
  </si>
  <si>
    <t>Chief Technology Officer and Co-Founder</t>
  </si>
  <si>
    <t>Former President and Chief Financial Officer (CFO Emeritus</t>
  </si>
  <si>
    <t>President &amp; Chief Executive Officer, Corebridge Financial, Inc.</t>
  </si>
  <si>
    <t>Executive Vice President and Chief Executive Officer, Life and Retirement</t>
  </si>
  <si>
    <t>Executive Vice President and Chief Investment Officer</t>
  </si>
  <si>
    <t>January</t>
  </si>
  <si>
    <t>Chairman &amp; Chief Executive Officer</t>
  </si>
  <si>
    <t>Former Executive Vice President and Chief Investment Officer</t>
  </si>
  <si>
    <t>Chief Executive Officer and Executive Chair</t>
  </si>
  <si>
    <t>2018 comp figure for Dachille is for 2017. Should be: $9,707,396</t>
  </si>
  <si>
    <t>Executive Vice President, General Counsel &amp; Global Head of Communications and Government Affairs</t>
  </si>
  <si>
    <t>Former Chief Executive Officer and Executive Chair</t>
  </si>
  <si>
    <t>Executive Vice President and Chief Financial Officer</t>
  </si>
  <si>
    <t>Executive Vice President &amp; Chief Executive Officer, General Insurance</t>
  </si>
  <si>
    <t>Executive Vice President and Chief Financial Officer, Global Chief Actuary and Head of Portfolio Management</t>
  </si>
  <si>
    <t>President and Chief Executive Officer</t>
  </si>
  <si>
    <t>President and Global Chief Operating Officer, AIG and Chief Executive Officer, General Insurance</t>
  </si>
  <si>
    <t>Executive Vice President-Chief Executive Officer, General Insurance and Global Chief Operating Officer, AIG</t>
  </si>
  <si>
    <t>Noting that Hogan not an NEO in 2020. Comp figure for that year is from 2021 proxy</t>
  </si>
  <si>
    <t>Former Executive Chairman of NextEra Energy and Former Chairman, President and CEO of NextEra Energy</t>
  </si>
  <si>
    <t>Executive Chairman of NextEra Energy and Former Chairman, President and CEO of NextEra Energy</t>
  </si>
  <si>
    <t>Executive Vice President and General Counsel of NextEra Energy and Executive Vice President of FPL</t>
  </si>
  <si>
    <t>Former President and CEO of NextEra Energy Resources</t>
  </si>
  <si>
    <t>President and CEO of NextEra Energy Resources</t>
  </si>
  <si>
    <t>Former Chairman, President and Chief Executive Officer of FPL</t>
  </si>
  <si>
    <t>President, Nuclear Division of NextEra Energy and FPL</t>
  </si>
  <si>
    <t>Chairman, President and Chief Executive Officer of FPL</t>
  </si>
  <si>
    <t>Chairman, President and CEO of NextEra Energy and Chairman of FPL</t>
  </si>
  <si>
    <t>President and Chief Executive Officer of NextEra Energy Resources</t>
  </si>
  <si>
    <t xml:space="preserve">for 2018, Ketchum: $4,978,069 (see note about source) </t>
  </si>
  <si>
    <t>Executive Vice President, Human Resources and Corporate Services of NextEra Energy and FPL</t>
  </si>
  <si>
    <t>Executive Vice President, Finance and Chief Financial Officer of NextEra Energy and FPL</t>
  </si>
  <si>
    <t>Executive Chair</t>
  </si>
  <si>
    <t>Executive Chairman</t>
  </si>
  <si>
    <t>correction needed for Galholtra in 2021. He was not an NEO that year. I looked back at his 2021 comp in the 2022 proxy and it's: $9,285,825</t>
  </si>
  <si>
    <t>President - New Businesses, Technology and Strategy</t>
  </si>
  <si>
    <t>President - Global Markets</t>
  </si>
  <si>
    <t>Former President and Chief Executive Officer</t>
  </si>
  <si>
    <t>President - Automotive</t>
  </si>
  <si>
    <t>President - Global Operations</t>
  </si>
  <si>
    <t>Chief Advanced Product Development and Technology Officer</t>
  </si>
  <si>
    <t>Chief Enterprise Technology Officer</t>
  </si>
  <si>
    <t>President, Ford Blue</t>
  </si>
  <si>
    <t>Chief EV and Digital Systems Officer, Ford Modele</t>
  </si>
  <si>
    <t>Chief Product Platform &amp; Operations Officer</t>
  </si>
  <si>
    <t>President, Americas and International Markets Group</t>
  </si>
  <si>
    <t>former President and Chief Executive Officer</t>
  </si>
  <si>
    <t>Chairman of the Board, President and Chief Executive Officer</t>
  </si>
  <si>
    <t>Executive Vice Pres. and Chief Investment Officer</t>
  </si>
  <si>
    <t>President, U.S. Business and Europe, the Middle East and Africa</t>
  </si>
  <si>
    <t>Executive Vice Pres. and Chief Financial Officer</t>
  </si>
  <si>
    <t>former Executive Vice President and Chief Financial Officer</t>
  </si>
  <si>
    <t>Correction needed for Hele for 2018: $4,823,990</t>
  </si>
  <si>
    <t>President, U.S. Business</t>
  </si>
  <si>
    <t>former Executive Vice Pres., Global Technology &amp; Operations</t>
  </si>
  <si>
    <t>Executive Vice Pres., Global Technology &amp; Operations</t>
  </si>
  <si>
    <t>Executive Vice President, Global Technology and Operations</t>
  </si>
  <si>
    <t>Chair, President and CEO</t>
  </si>
  <si>
    <t>Executive Vice President and CFO</t>
  </si>
  <si>
    <t>Executive Vice President and Chief Commercial Officer</t>
  </si>
  <si>
    <t>Executive Vice President and COO</t>
  </si>
  <si>
    <t>Executive Vice President and CEO, Duke Energy Carolinas</t>
  </si>
  <si>
    <t>Executive Vice President, Chief Legal Officer and Corporate Secretary</t>
  </si>
  <si>
    <t>Executive Vice President, Energy Solutions and President</t>
  </si>
  <si>
    <t>Executive Vice President, Customer and Delivery Operations and President, Carolinas Region</t>
  </si>
  <si>
    <t>Former Executive Vice President and Chief Human Resources Office</t>
  </si>
  <si>
    <t>Former Executive Vice President, Customer and Delivery Operations and President, Carolinas Region</t>
  </si>
  <si>
    <t>Former Executive Vice President and President, Natural Gas</t>
  </si>
  <si>
    <t>Just noting that Buckiso's 2019 income is sourced from an updated figure on the 2020 proxy link</t>
  </si>
  <si>
    <t>Just noting that Buckiso's 2021 income is sourced from an updated figure on the 2022 proxy link. Same goes for Matthews' 2018 income and the 2019 proxy link</t>
  </si>
  <si>
    <t>Chairman</t>
  </si>
  <si>
    <t>Executive Vice President, Corporate Development</t>
  </si>
  <si>
    <t>Executive Vice President, Group President, DISH TV</t>
  </si>
  <si>
    <t>President and Chief Operating Officer, Wireless</t>
  </si>
  <si>
    <t>Senior Vice President and Chief Financial Officer</t>
  </si>
  <si>
    <t xml:space="preserve">noting that comp figures in 2018 for Michels, Kean, Dang, and Sanders are higher in the original -- these numbers taken from later proxy. Also, Martin not an NEO in 2018. </t>
  </si>
  <si>
    <t>President</t>
  </si>
  <si>
    <t>Vice President (President, Products Pipelines)</t>
  </si>
  <si>
    <t>Vice President and Chief Financial Officer</t>
  </si>
  <si>
    <t>Vice President and Chief Operating Officer</t>
  </si>
  <si>
    <t>Vice President (President, Natural Gas Pipelines)</t>
  </si>
  <si>
    <t>President-Terminals</t>
  </si>
  <si>
    <t>CEO</t>
  </si>
  <si>
    <t>Retired Sr. Exec. Vice Pres. and CFO</t>
  </si>
  <si>
    <t>Sr. Exec. Vice Pres. and CFO</t>
  </si>
  <si>
    <t>Sr. Exec. Vice Pres. &amp; General Counsel</t>
  </si>
  <si>
    <t>Retired Executive Chairman</t>
  </si>
  <si>
    <t>Retired CEO-AT&amp;T Communications, LLC</t>
  </si>
  <si>
    <t>CEO-AT&amp;T Communications, LLC</t>
  </si>
  <si>
    <t>Chief Operating Officer</t>
  </si>
  <si>
    <t>CEO and President</t>
  </si>
  <si>
    <t>Chairman and CEO</t>
  </si>
  <si>
    <t>Chairman, CEO and President</t>
  </si>
  <si>
    <t>GMO &amp; Sr. Exec. Vice Pres. International</t>
  </si>
  <si>
    <t>Sr. Exec. Vice Pres. and General Counsel</t>
  </si>
  <si>
    <t>President and COO</t>
  </si>
  <si>
    <t>CEO - Warner Media, LLC</t>
  </si>
  <si>
    <t>Sr. Exec. Vice Pres. &amp; CFO</t>
  </si>
  <si>
    <t>CEO Latin America &amp; GMO</t>
  </si>
  <si>
    <t>CEO-WarnerMedia</t>
  </si>
  <si>
    <t>Vice President and General Counsel</t>
  </si>
  <si>
    <t>Chairman and Chief Executive Officer</t>
  </si>
  <si>
    <t>Former Vice President and Chief Financial Officer</t>
  </si>
  <si>
    <t>Former Chairman and CEO</t>
  </si>
  <si>
    <t>Executive Vice President, Upstream</t>
  </si>
  <si>
    <t>Executive Vice President, Senior Advisor</t>
  </si>
  <si>
    <t>Executive Vice President and Senior Advisor to Chairman and CEO</t>
  </si>
  <si>
    <t>Executive Vice President, Technology, Projects &amp; Services</t>
  </si>
  <si>
    <t>Executive Vice President, Strategy, Policy and Development</t>
  </si>
  <si>
    <t>Executive Vice President, Downstream &amp; Chemicals</t>
  </si>
  <si>
    <t>Executive Vice President, Technology, Projects and Services</t>
  </si>
  <si>
    <t>Chair and Chief Executive Officer</t>
  </si>
  <si>
    <t>changed 2018 proxy link to correct year</t>
  </si>
  <si>
    <t>Former Executive Vice President and Chief Financial Officer</t>
  </si>
  <si>
    <t>Executive Vice President and President, Global Product Group and Cadillac</t>
  </si>
  <si>
    <t>Executive Vice President and President, North America</t>
  </si>
  <si>
    <t>Former Executive Vice President and President, North America</t>
  </si>
  <si>
    <t>Advisor and Former Executive Vice President and President, North America</t>
  </si>
  <si>
    <t>Advisor and Former Executive Vice President and Chief Financial Officer</t>
  </si>
  <si>
    <t>Executive Vice President, Global Product Development, Purchasing and Supply Chain</t>
  </si>
  <si>
    <t>For 2020 Stapleton - $3,746,801</t>
  </si>
  <si>
    <t>Chief Accounting Officer and Controller</t>
  </si>
  <si>
    <t>Special Advisor to the COO</t>
  </si>
  <si>
    <t>Vice Chairman</t>
  </si>
  <si>
    <t>President and Chief Operating Officer</t>
  </si>
  <si>
    <t>Senior Executive Vice President</t>
  </si>
  <si>
    <t>President, Product and Technology</t>
  </si>
  <si>
    <t>Chief Product &amp; Technology Officer</t>
  </si>
  <si>
    <t>Senior Vice President, Enterprise Transformation (Former President and CEO, Aerospace)</t>
  </si>
  <si>
    <t>President and Chief Executive Officer, Aerospace</t>
  </si>
  <si>
    <t>Senior Vice President, Chief Financial Officer</t>
  </si>
  <si>
    <t>Retired Chief Financial Officer</t>
  </si>
  <si>
    <t>Senior Vice President and General Counsel</t>
  </si>
  <si>
    <t>Senior Vice President, General Counsel</t>
  </si>
  <si>
    <t>President and Chief Executive Officer Performance Materials and Technologies</t>
  </si>
  <si>
    <t>Senior Vice President, Engineering and Information Technology</t>
  </si>
  <si>
    <t>President and Chief Executive Officer, Performance Materials and Technologies</t>
  </si>
  <si>
    <t>President and Chief Executive Officer, Honeywell Connected Enterprise</t>
  </si>
  <si>
    <t>President and Chief Executive Officer Safety and Productivity Solutions</t>
  </si>
  <si>
    <t>Senior Vice President, Human Resources, Security and Communications</t>
  </si>
  <si>
    <t>Just noting that Gautam not an NEO in 2018. Comp figure is from 2019 proxy</t>
  </si>
  <si>
    <t>President and CEO</t>
  </si>
  <si>
    <t>Former Executive Vice President and CFO</t>
  </si>
  <si>
    <t>President, Refining, Marketing and Supply</t>
  </si>
  <si>
    <t>Former Executive Vice President, Refining</t>
  </si>
  <si>
    <t>Former President Speedway LLC</t>
  </si>
  <si>
    <t>Executive Vice President, Speedway LLC</t>
  </si>
  <si>
    <t>President, Speedway</t>
  </si>
  <si>
    <t>General Counsel and Senior Vice President, Government Affairs</t>
  </si>
  <si>
    <t>President, Speedway LLC</t>
  </si>
  <si>
    <t>Executive Vice President, Refining</t>
  </si>
  <si>
    <t>MPLX Executive Vice President and Chief Operating Officer</t>
  </si>
  <si>
    <t>General Counsel and SVP Government Affairs</t>
  </si>
  <si>
    <t>Executive Vice Chairma</t>
  </si>
  <si>
    <t>Executive Vice Chairman</t>
  </si>
  <si>
    <t>just noting that 2021 figure for Gagle is from 2022 proxy. This is # reported in 2021 proxy: $4,744,919</t>
  </si>
  <si>
    <t>General Counsel</t>
  </si>
  <si>
    <t>President and Chief Executive Officer, MPLX</t>
  </si>
  <si>
    <t>Noting that Altshuler is not an NEO in 2021</t>
  </si>
  <si>
    <t>Parini not NEO in 2019</t>
  </si>
  <si>
    <t>Chairman and CEO, Southern Company</t>
  </si>
  <si>
    <t>President, Southern Company</t>
  </si>
  <si>
    <t>Chairman, President and CEO, Alabama Power</t>
  </si>
  <si>
    <t>Former Chairman, President and CEO, Alabama Power</t>
  </si>
  <si>
    <t>Chairman, President and CEO, Southern Nuclear</t>
  </si>
  <si>
    <t>Noting that Kuczynski is not an NEO for 2019. The comp figure for that year is from the 2020 proxy.</t>
  </si>
  <si>
    <t>Executive Vice President and CFO, Southern Company</t>
  </si>
  <si>
    <t>Chairman, President and CEO, Georgia Power</t>
  </si>
  <si>
    <t>Chairman, President and CEO, Southern Company Gas</t>
  </si>
  <si>
    <t>Former Chairman, President and CEO, Georgia Power</t>
  </si>
  <si>
    <t>Board Chair, CEO and President</t>
  </si>
  <si>
    <t>Former Vice Chair and CFO</t>
  </si>
  <si>
    <t>Vice Chairman and CFO</t>
  </si>
  <si>
    <t>Senior Vice President and President, Asia Pacific</t>
  </si>
  <si>
    <t>Senior Vice President and President, Global Business Readiness and Procurement</t>
  </si>
  <si>
    <t>Senior Vice President and President, Global Business Readiness</t>
  </si>
  <si>
    <t>Taet's 2018 income should be 6,592,107 instead of 6,787,025</t>
  </si>
  <si>
    <t>Senior Vice President and President, Agricultural Services and Oilseeds</t>
  </si>
  <si>
    <t>Senior Vice President and President, Ag Services and Oilseeds</t>
  </si>
  <si>
    <t>Senior Vice President and President, Oilseeds</t>
  </si>
  <si>
    <t>Morris's 2022 income seems to be off by $1. The proxy link reports 5,311,334 instead of 5,311,333</t>
  </si>
  <si>
    <t>Senior Vice President and President, Carbohydrate Solutions</t>
  </si>
  <si>
    <t>Senior Vice President, President, Nutrition, and Chief Sales and Marketing Officer</t>
  </si>
  <si>
    <t>Cuddy's 2022 income seems to be off by $1. The proxy link reports 5,117,787 instead of 5,117,786</t>
  </si>
  <si>
    <t>Luthar's 2022 income seems to be off by $1. The proxy link reports 4,438,428 instead of 4,438,427</t>
  </si>
  <si>
    <t>Missing link for 2019 but all of the numbers can be found on the 2020 link. Sharmistha Dubey, Gary Swidler, Jared F. Sine, and Amanda Ginsberg's 2018 income are all correct but sourced from the 2020 link</t>
  </si>
  <si>
    <t>Former Senior Executive Vice President and CFO, Exelon</t>
  </si>
  <si>
    <t>Senior Executive Vice President and CFO, Exelon</t>
  </si>
  <si>
    <t>President and CEO, Exelon</t>
  </si>
  <si>
    <t xml:space="preserve">noting that figures here for Nigro, Butler, and Crane for 2021 and 2020 are from the 2022 proxy and are lower than what originally reported for those years. Figures for Crane, Cornew, Von Hoene, and Nigro for 2019 are from the 2020 proxy and are lower than originally reported. Figures for Crane, Von Hoene and Nigro for 2018 are from 2020 proxy and are lower than originally reported. </t>
  </si>
  <si>
    <t>Senior Executive Vice President and Chief Commercial Officer, Exelon; President and CEO, Exelon Generation</t>
  </si>
  <si>
    <t>Senior Executive Vice President and Chief Executive Officer, Exelon Utilities</t>
  </si>
  <si>
    <t>Former CEO, Exelon</t>
  </si>
  <si>
    <t>CEO, Exelon</t>
  </si>
  <si>
    <t>Senior EVP and Chief Strategy Officer, Exelon</t>
  </si>
  <si>
    <t>Executive Vice President and CFO, Exelon</t>
  </si>
  <si>
    <t>Former EVP and Chief Generation Officer, ExGen</t>
  </si>
  <si>
    <t>Senior Executive Vice President and Chief Strategy Officer, Exelon</t>
  </si>
  <si>
    <t>Senior Executive Vice President and Chief Financial Officer and Chief Transformation Officer, Exelon</t>
  </si>
  <si>
    <t>CEO, ComEd</t>
  </si>
  <si>
    <t>Former EVP and CEO, Constellation</t>
  </si>
  <si>
    <t>Senior Executive Vice President and CEO, Exelon Utilities</t>
  </si>
  <si>
    <t>Executive Vice President and Chief Legal Officer, Exelon</t>
  </si>
  <si>
    <t>Former Senior EVP and Chief Commercial Officer, Exelon; Former President and CEO, ExGen</t>
  </si>
  <si>
    <t>Executive Vice President, Compliance, Audit, and Risk, Exelon</t>
  </si>
  <si>
    <t>Former Senior EVP and Chief Strategy Officer, Exelon</t>
  </si>
  <si>
    <t>correction needed for Dev in 2018. Should be: $2,728,955</t>
  </si>
  <si>
    <t>Executive Chairman and Chairman of the Board</t>
  </si>
  <si>
    <t xml:space="preserve">Chairman of the Board and Chief Executive Officer </t>
  </si>
  <si>
    <t xml:space="preserve">Chairman and Chief Executive Officer </t>
  </si>
  <si>
    <t xml:space="preserve">June </t>
  </si>
  <si>
    <t>Executive Vice President, FedEx Information Services and Chief Information Officer</t>
  </si>
  <si>
    <t xml:space="preserve">Executive Vice President and Chief Financial Officer </t>
  </si>
  <si>
    <t>President and Chief Executive Officer, FedEx Express</t>
  </si>
  <si>
    <t>President and Chief Executive Officer, FedEx Ground</t>
  </si>
  <si>
    <t>President and Chief Financial Officer</t>
  </si>
  <si>
    <t>2018 link is missing, but all info can be found on the 2019 link</t>
  </si>
  <si>
    <t>General Counsel and Corporate Secretary</t>
  </si>
  <si>
    <t>A very small change for Amy E.Wilson's 2020 income, on the 2020 proxy link it appears to be 3,951,552 instead of 3,951,551. its $1 difference but I figured I would point it out. Also, her 2019 income is from the 2020 link</t>
  </si>
  <si>
    <t>President, Packaging and Specialty Plastics</t>
  </si>
  <si>
    <t>Senior Vice President, Research &amp; Development and Chief Technology Office</t>
  </si>
  <si>
    <t>From the 2020 proxy link, Sreeram's 2019 is 4,521,698. Again, small change but $1 higher than the amount listed here.</t>
  </si>
  <si>
    <t>President, Industrial Intermediates &amp; Infrastructure</t>
  </si>
  <si>
    <t>Fitterling's 2019 income  is correct, but sourced from the 2021 proxy link</t>
  </si>
  <si>
    <t>SVP, Operations, M&amp;E</t>
  </si>
  <si>
    <t>SVP Operations, Manufacturing &amp; Engineering</t>
  </si>
  <si>
    <t>Vice Chairman, Chief Financial Officer</t>
  </si>
  <si>
    <t>Vice Chairman, Chief Growth Officer</t>
  </si>
  <si>
    <t>CEO, Investment Management</t>
  </si>
  <si>
    <t>President &amp; CEO-Elec</t>
  </si>
  <si>
    <t>Former EVP &amp; CAO</t>
  </si>
  <si>
    <t>EVP &amp; CLO</t>
  </si>
  <si>
    <t>EVP, Chief Financial Officer</t>
  </si>
  <si>
    <t>EVP &amp; COO</t>
  </si>
  <si>
    <t>Executive Chair and Former Chief Executive Officer</t>
  </si>
  <si>
    <t>Group President, Utility Operations</t>
  </si>
  <si>
    <t>Chief Executive Officer and Former Executive Vice President and Chief Financial Officer</t>
  </si>
  <si>
    <t>Marsh's 2019 income is correct but sourced from the 2020 proxy link</t>
  </si>
  <si>
    <t>Executive Vice President, Entergy Infrastructure</t>
  </si>
  <si>
    <t>Bakken's 2021 compensation is correct but sourced from the 2022 proxy link. Same with his 2019 income and the 2020 link</t>
  </si>
  <si>
    <t>Executive Vice President and Chief Operating Office</t>
  </si>
  <si>
    <t>Hinnenkamp's 2020 compensation is correct but sourced from the 2021 proxy link</t>
  </si>
  <si>
    <t>Chairman, President and Chief Executive Officer</t>
  </si>
  <si>
    <t>President and Chief Executive Officer, Principal Asset Management</t>
  </si>
  <si>
    <t>President U.S. Insurance Solutions</t>
  </si>
  <si>
    <t>President, International Asset Management &amp; Accumulation</t>
  </si>
  <si>
    <t>President, Retirement and Income Solutions</t>
  </si>
  <si>
    <t>President, Global Asset Management</t>
  </si>
  <si>
    <t>Investors CEO</t>
  </si>
  <si>
    <t>Noting that João C. Brega 2020 income is correct but sourced from the 2021 proxy (in case this is needed for citations later on)</t>
  </si>
  <si>
    <t>Chair of the Board and Chief Executive Officer</t>
  </si>
  <si>
    <t>Executive Vice President - Portfolio Optimization</t>
  </si>
  <si>
    <t>Executive Vice President- Chief Administrative Office</t>
  </si>
  <si>
    <t>Former Exec. Vice President and Chief Operations Officer</t>
  </si>
  <si>
    <t>Exec. Vice President and Chief Operations Officer</t>
  </si>
  <si>
    <t>Executive Vice President - Strategy</t>
  </si>
  <si>
    <t>Former Executive Vice President - Strategy</t>
  </si>
  <si>
    <t>Executive Vice President - Generation</t>
  </si>
  <si>
    <t>noting that Chodak not an NEO in 2021. Zebula was not NEO in 2020 and 2019. Fixed spelling of Hillebrand</t>
  </si>
  <si>
    <t>Executive Vice President and Chief Operating Officer</t>
  </si>
  <si>
    <t>Chair, President and Chief Executive Officer</t>
  </si>
  <si>
    <t>Senior Vice President, Chief Nuclear Officer and President-Contracted Assets</t>
  </si>
  <si>
    <t>Executive Vice President and Strategic Advisor</t>
  </si>
  <si>
    <t>Senior Vice President, Chief Legal Officer and General Counsel</t>
  </si>
  <si>
    <t>Former Executive Chairman</t>
  </si>
  <si>
    <t>Executive Vice President</t>
  </si>
  <si>
    <t>Beck's 2018 income is correct, but sourced from the 2019 proxy link</t>
  </si>
  <si>
    <t>Just noting that Chao's 2021 income is sourced from an updated figure on the 2022 proxy link. The same goes for the 2020 income and the 2022 proxy link.</t>
  </si>
  <si>
    <t>3.392,560</t>
  </si>
  <si>
    <t>Just noting that Bender's 2021 income is sourced from an updated figure on the 2022 proxy link The same goes for the 2020 income and the 2022 proxy link.</t>
  </si>
  <si>
    <t>Just noting that Ederington's 2021 income is sourced from an updated figure on the 2022 proxy link. The same goes for the 2020 income and the 2022 proxy link as well as the 2018 income and the 2019 proxy link</t>
  </si>
  <si>
    <t>Just noting that Kearns's 2021 income is sourced from an updated figure on the 2022 proxy link. The same goes for the 2020 income and the 2022 proxy link.</t>
  </si>
  <si>
    <t>Just noting that Buesinger's 2020 income is sourced from an updated figure in the 2021 proxy link.</t>
  </si>
  <si>
    <t>EVP, Corporate Strategic Development</t>
  </si>
  <si>
    <t>EVP and Chief Operating Officer</t>
  </si>
  <si>
    <t>SVP and General Counsel</t>
  </si>
  <si>
    <t>SVP, Chief Financial Officer</t>
  </si>
  <si>
    <t>SVP and Chief Financial Officer</t>
  </si>
  <si>
    <t>SVP, Gathering &amp; Processing</t>
  </si>
  <si>
    <t>SVP, Project Execution</t>
  </si>
  <si>
    <t>SVP, Northeast Gathering &amp; Processing</t>
  </si>
  <si>
    <t>November</t>
  </si>
  <si>
    <t>President and Chief Executive Officer (CEO)</t>
  </si>
  <si>
    <t>Executive Vice President and Chief Operating Officer (COO)</t>
  </si>
  <si>
    <t>Executive Vice President and Chief Financial Officer (CFO)</t>
  </si>
  <si>
    <t>Former Chief Executive — WPD</t>
  </si>
  <si>
    <t>Senior Vice President, General Counsel, Corporate Secretary and Chief Legal Officer (CLO)</t>
  </si>
  <si>
    <t>Former CEO</t>
  </si>
  <si>
    <t>President - LG&amp;E and KU</t>
  </si>
  <si>
    <t xml:space="preserve">Executive Vice President - LG&amp;E and KU Energy LLC (LKE)	</t>
  </si>
  <si>
    <t xml:space="preserve">Chief Executive - Western Power Distribution (WPD)	</t>
  </si>
  <si>
    <t>Executive Vice President, General Counsel and Corporate Secretary</t>
  </si>
  <si>
    <t>October</t>
  </si>
  <si>
    <t>Executive Vice President and Special Advisor to the Chairman &amp; CEO (formerly the Chief Legal Officer)</t>
  </si>
  <si>
    <t>Executive Vice President and Chief Legal Officer</t>
  </si>
  <si>
    <t>Executive Vice President, Chief Legal Officer and Secretary</t>
  </si>
  <si>
    <t>Executive Vice President and Chief Communications &amp; Administration Officer</t>
  </si>
  <si>
    <t>Executive Vice President and Group President</t>
  </si>
  <si>
    <t>Executive Vice President and Chief Human Resources Officer</t>
  </si>
  <si>
    <t>President, Consumer &amp; Commercial Banking</t>
  </si>
  <si>
    <t>Former Senior Operating Advisor and Former Chief Financial Officer</t>
  </si>
  <si>
    <t>Senior Operating Advisor and Former Chief Financial Officer</t>
  </si>
  <si>
    <t>President, Dealer Financial Services</t>
  </si>
  <si>
    <t>Corporate Treasurer and Interim Chief Financial Officer</t>
  </si>
  <si>
    <t>Former President, Auto Finance</t>
  </si>
  <si>
    <t>Chairman, President and CEO</t>
  </si>
  <si>
    <t>Just noting that Frenzel's 2018 income is sourced from an updated figure in the 2020 proxy link</t>
  </si>
  <si>
    <t>Executive Vice President, Group President, Utilities and Chief Customer Officer</t>
  </si>
  <si>
    <t>Executive Vice President, Chief Financial Officer</t>
  </si>
  <si>
    <t>Executive Vice President and Group President, Operations</t>
  </si>
  <si>
    <t>Executive Vice President, Chief Legal and Compliance Officer</t>
  </si>
  <si>
    <t>Executive Vice President, General Counsel</t>
  </si>
  <si>
    <t>Executive Vice President, Chief Operations Officer</t>
  </si>
  <si>
    <t>Former Executive Vice President and Group President, Operations</t>
  </si>
  <si>
    <t>Senior Vice President and Chief Legal Officer</t>
  </si>
  <si>
    <t>Vice Chairman and Chief Administrative Officer</t>
  </si>
  <si>
    <t>President and Chief Operating Officer - DTE Electric</t>
  </si>
  <si>
    <t>President and Chief Operating Officer - DTE Vantage and Energy Trading</t>
  </si>
  <si>
    <t>Senior Vice President</t>
  </si>
  <si>
    <t>Former President &amp; CEO</t>
  </si>
  <si>
    <t>SVP, Operations</t>
  </si>
  <si>
    <t>SVP, CFO &amp; Strategy</t>
  </si>
  <si>
    <t>EVP, Corporate Strategy, Regulatory Affairs &amp; Chief Legal Officer</t>
  </si>
  <si>
    <t>SVP, Chief Human Resources Officer &amp; Corporate Services</t>
  </si>
  <si>
    <t>Just noting that Walker's 2021 income is sourced from an updated figure on the 2022 proxy link.</t>
  </si>
  <si>
    <t>SVP &amp; Chief Legal Officer</t>
  </si>
  <si>
    <t>Former SVP &amp; Chief Legal Officer</t>
  </si>
  <si>
    <t>SVP, Corporate Services &amp; Chief Information Officer</t>
  </si>
  <si>
    <t>Interim President &amp; CEO, Director</t>
  </si>
  <si>
    <t>SVP &amp; Chief Human Resources Officer</t>
  </si>
  <si>
    <t>EVP, Financ</t>
  </si>
  <si>
    <t>EVP, Finance</t>
  </si>
  <si>
    <t>SVP, Strategy</t>
  </si>
  <si>
    <t>President, FE Solutions</t>
  </si>
  <si>
    <t>Executive Chairman, Ameren</t>
  </si>
  <si>
    <t>President and Chief Executive Officer, Ameren</t>
  </si>
  <si>
    <t>Senior Executive Vice President and Chief Financial Officer, Ameren</t>
  </si>
  <si>
    <t>Chairman and President, Ameren Missouri</t>
  </si>
  <si>
    <t>Senior Vice President and Chief Nuclear Officer, Ameren Missou</t>
  </si>
  <si>
    <t>Just noting that Diya's 2018 income is sourced from an updated figure in the 2019 proxy link</t>
  </si>
  <si>
    <t>ecutive Vice President, General Counsel and Secretary, Ameren</t>
  </si>
  <si>
    <t>Chairman and President, Ameren Illinois</t>
  </si>
  <si>
    <t>Senior Vice President and Chief Digital Information Officer, Ameren</t>
  </si>
  <si>
    <t>Just noting that Amirthalingam's 2018 income is sourced from an updated figure in the 2019 proxy link</t>
  </si>
  <si>
    <t>Retired Senior Vice President, General Counsel and Secretary, Ameren</t>
  </si>
  <si>
    <t>Senior Vice President, General Counsel and Secretary, Ameren</t>
  </si>
  <si>
    <t>June</t>
  </si>
  <si>
    <t>Noting that Cardenas 2020 income is correct but sourced from the 2021 proxy (in case this is needed for citations later on). Same is true for everyone else in the 2020 column except Kiernan's, which is sourced from 2022</t>
  </si>
  <si>
    <t>The 2019 proxy link seems to lead to a 2020 document. All of the incomes listed for 2019 here are, in fact, 2020 incomes. Same is true for the 2018 proxy link and incomes, they seem to actually be 2019 incomes.</t>
  </si>
  <si>
    <t>^ As I was writing the above comment I realized that all of the incomes are shifted off by 1 year. Not sure if this is incorrect or a reporting issue on the company, as was the case earlier</t>
  </si>
  <si>
    <t>Noting that Daniel J. Kiernan's 2021 income is correct but sourced from the 2022 proxy (in case this is needed for citations later on)</t>
  </si>
  <si>
    <t>David C. George's 2020 compensation appears to be wrong. His name isn't listed on the webpage that is linked as the 2020 proxy but the webpage linked as the 2019 proxy does list his 2020 income as 3,443,969 not 3,157,676</t>
  </si>
  <si>
    <t>Executive Vice President &amp; Chief Administrative Officer</t>
  </si>
  <si>
    <t>President &amp; Chief Executive Officer; Advisor to the President &amp; Chief Executive Officer</t>
  </si>
  <si>
    <t>corrections needed for Norton. In 2021, his comp was $7,246,578. He should be deleted from 2020 (the figure here is his 2021 pay - no data available for 2020).</t>
  </si>
  <si>
    <t>Former Executive Vice President &amp; Chief Administrative Officer</t>
  </si>
  <si>
    <t>Senior Vice President, Natural Gas Liquids and Natural Gas Gathering and Processing</t>
  </si>
  <si>
    <t>noting that 2018 comp data for Spencer, Martinovich, Hulse, and Burdick are from 2019 proxy</t>
  </si>
  <si>
    <t>Chief Financial Officer, Treasurer &amp; Executive Vice President, Investor Relations &amp; Corporate Development</t>
  </si>
  <si>
    <t>Executive Vice President &amp; Chief Commercial Officer</t>
  </si>
  <si>
    <t>Executive Vice President, NRG Home</t>
  </si>
  <si>
    <t>Head of Competitive Markets and Policy</t>
  </si>
  <si>
    <t>Executive Vice President, Legal and General Counsel</t>
  </si>
  <si>
    <t>Just noting that Gaudette's 2019 income is sourced from an updated figure on the 2020 proxy link</t>
  </si>
  <si>
    <t>Former lnterim Chief Financial Officer</t>
  </si>
  <si>
    <t>Executive Vice President, National   Business Development</t>
  </si>
  <si>
    <t>Andrew's 2021 income appears to be off by $1. On the proxy links it lists 1,611,231 instead of 1,611,232</t>
  </si>
  <si>
    <t>Humphrey's 2021 income is correct, but sourced from the 2022 proxy link.</t>
  </si>
  <si>
    <t xml:space="preserve">President and Chief Executive Officer of the Company and Chief Executive Officer, Con Edison of New York, Director	</t>
  </si>
  <si>
    <t>Senior Vice President and Chief Financial Officer of the Company and Con Edison of New York</t>
  </si>
  <si>
    <t xml:space="preserve">President, Con Edison of New York	</t>
  </si>
  <si>
    <t>Non-executive Chairman, and Former President and Chief Executive Officer of the Company and Chief Executive Offer</t>
  </si>
  <si>
    <t xml:space="preserve">Senior Vice President and General Counsel of the Company and Con Edison of New York	</t>
  </si>
  <si>
    <t xml:space="preserve">President and Chief Executive Officer, Orange &amp; Rockland	</t>
  </si>
  <si>
    <t xml:space="preserve">President and Chief Executive Officer, Orange &amp; Rockland        </t>
  </si>
  <si>
    <t xml:space="preserve">President and Chief Executive Officer, Clean Energy Businesses                                                                                                                                                                                                                                                                                                                </t>
  </si>
  <si>
    <t>Christopher T. Forsythe's 2018 income is correct, but sourced from the 2019 proxy link</t>
  </si>
  <si>
    <t>Karen E. Hartsfield's 2020 income is correct, but sourced from the 2021 proxy link. Her 2018 income is sourced from the 2019 proxy link</t>
  </si>
  <si>
    <t>Park's 2020 income is correct, but sourced from the 2021 proxy link. The same goes for his 2019 income</t>
  </si>
  <si>
    <t>Cocklin's 2018 income is correct, but sourced from the 2019 proxy link</t>
  </si>
  <si>
    <t>Rochow's 2019 compensation is correct, but sourced from the 2020 proxy link</t>
  </si>
  <si>
    <t>Retired President and Chief Executive Officer</t>
  </si>
  <si>
    <t>Senior Vice President, Chief Advisor</t>
  </si>
  <si>
    <t>Executive Vice President, Chief Human Resources Officer</t>
  </si>
  <si>
    <t xml:space="preserve">Executive Vice President and General Counsel </t>
  </si>
  <si>
    <t>Retired Executive Vice President and Chief Financial Officer</t>
  </si>
  <si>
    <t>Chief Technology and Innovation Officer</t>
  </si>
  <si>
    <t>President, Regulated Operations and Military Services Group</t>
  </si>
  <si>
    <t>Former Senior Vice President, Strategic Financial Planning</t>
  </si>
  <si>
    <t>All of the 2018 incomes are correct, but sourced from the 2019 proxy link</t>
  </si>
  <si>
    <t>Chief Executive Officer, Alphabet and Google, and Director</t>
  </si>
  <si>
    <t>Co-Founder and Director</t>
  </si>
  <si>
    <t>Technical Advisor, Former Executive Chairman, Alphabet</t>
  </si>
  <si>
    <t>Senior Vice President, Chief Financial Officer, Alphabet and Google</t>
  </si>
  <si>
    <t>President, Alphabet, and Co-Founder</t>
  </si>
  <si>
    <t>Senior Vice President, Knowledge and Information, Google</t>
  </si>
  <si>
    <t>Chief Executive Officer, Google</t>
  </si>
  <si>
    <t>President, Global Affairs, Chief Legal Officer, and Secretary, Alphabet and Google</t>
  </si>
  <si>
    <t>Senior Vice President, Chief Business Officer, Google</t>
  </si>
  <si>
    <t>Senior Vice President, Corporate Development, Chief Legal Officer, Alphabet</t>
  </si>
  <si>
    <t>Chief Executive Officer, Alphabet, and Co-Founder</t>
  </si>
  <si>
    <t>CEO AWM</t>
  </si>
  <si>
    <t>Co-CEO CCB</t>
  </si>
  <si>
    <t>President and COO; CEO CIB</t>
  </si>
  <si>
    <t>CEO Consumer Lending</t>
  </si>
  <si>
    <t>Co-President and Co-COO; CEO CCB</t>
  </si>
  <si>
    <t>Co-President and Co-COO; CEO CIB</t>
  </si>
  <si>
    <t>July</t>
  </si>
  <si>
    <t>Chief Executive Officer and Director</t>
  </si>
  <si>
    <t>Vice Chair and President</t>
  </si>
  <si>
    <t>President and Chief Legal Officer</t>
  </si>
  <si>
    <t>Executive Vice President, Business Development, Strategy, and Ventures</t>
  </si>
  <si>
    <t>Executive Vice President, President, Global Sales, Marketing and Operations</t>
  </si>
  <si>
    <t>Executive Vice President, Business Development</t>
  </si>
  <si>
    <t>Former Senior Vice President, Retail</t>
  </si>
  <si>
    <t>Senior Vice President, Retail</t>
  </si>
  <si>
    <t>Senior Vice President, General Counsel and Secretary</t>
  </si>
  <si>
    <t>Senior Vice President, Retail + People</t>
  </si>
  <si>
    <t>Vice Chair</t>
  </si>
  <si>
    <t>Former Chief Operating Officer</t>
  </si>
  <si>
    <t>Chief Risk Officer</t>
  </si>
  <si>
    <t>Vice Chair (Former Chief Financial Officer)</t>
  </si>
  <si>
    <t>President, Regional Banking</t>
  </si>
  <si>
    <t>President, Global Markets</t>
  </si>
  <si>
    <t>President, Global Corporate and Investment Banking</t>
  </si>
  <si>
    <t>President, Retail and Preferred &amp; Small Business Banking</t>
  </si>
  <si>
    <t>Former Vice Chairman and Head of Global Wealth &amp; Investment Management</t>
  </si>
  <si>
    <t>Vice Chairman, Bank of America</t>
  </si>
  <si>
    <t>Former Chairman and Chief Executive Officer</t>
  </si>
  <si>
    <t>Former Executive Vice President and President - Global Operations</t>
  </si>
  <si>
    <t>Executive Vice President and Group CEO - Verizon Business</t>
  </si>
  <si>
    <t>Executive Vice President and Group CEO - Verizon Consumer</t>
  </si>
  <si>
    <t>Executive Vice President and Chief Administrative Officer</t>
  </si>
  <si>
    <t>Former Executive Vice President and Group CEO - Verizon Business</t>
  </si>
  <si>
    <t>Former Executive Vice President and Group CEO - Verizon Media</t>
  </si>
  <si>
    <t>Executive Vice President and Group CEO - Verizon Media</t>
  </si>
  <si>
    <t>Executive Vice President and Former Group CEO - Verizon Consumer</t>
  </si>
  <si>
    <t>Executive Vice President and President - Verizon Global Services</t>
  </si>
  <si>
    <t>Executive Vice President and Chief Technology Officer</t>
  </si>
  <si>
    <t>Executive Vice President and President - Verizon Consumer Group</t>
  </si>
  <si>
    <t>Executive Vice President and CEO -Verizon Media Group</t>
  </si>
  <si>
    <t>Former Executive Vice President and President and CEO - Oath</t>
  </si>
  <si>
    <t>Chief Product Officer</t>
  </si>
  <si>
    <t>Chief Business Officer</t>
  </si>
  <si>
    <t>Senior EVP, CEO of CIB</t>
  </si>
  <si>
    <t>Senior EVP and Former Chief Financial Officer</t>
  </si>
  <si>
    <t>Former CEO and President</t>
  </si>
  <si>
    <t>Senior EVP, CEO of CSBB</t>
  </si>
  <si>
    <t>Senior EVP, CEO of Consumer &amp; Small Business Banking</t>
  </si>
  <si>
    <t>Senior EVP and Chief Financial Officer</t>
  </si>
  <si>
    <t>Senior EVP, Payments, Virtual Solutions, and Innovation</t>
  </si>
  <si>
    <t>Senior EVP, Chief Financial Officer</t>
  </si>
  <si>
    <t>Senior EVP and CEO of Commercial Banking</t>
  </si>
  <si>
    <t>Senior EVP, CFO</t>
  </si>
  <si>
    <t>Senior EVP, Chief Operating Officer</t>
  </si>
  <si>
    <t>Senior EVP and CEO of Consumer &amp; Small Business Banking</t>
  </si>
  <si>
    <t>Senior EVP, Wholesale Banking</t>
  </si>
  <si>
    <t>Senior EVP, COO</t>
  </si>
  <si>
    <t>Senior EVP, Head of Strategy, Digital Platform, and Innovation</t>
  </si>
  <si>
    <t>Senior EVP, Head of Operations</t>
  </si>
  <si>
    <t>Senior EVP, Consumer Banking</t>
  </si>
  <si>
    <t>Senior EVP and Head of Technology</t>
  </si>
  <si>
    <t>Former Interim CEO and President; Former General Counsel</t>
  </si>
  <si>
    <t>Chairman of the Board &amp; Chief Executive Officer</t>
  </si>
  <si>
    <t>President &amp; Chief Financial Officer</t>
  </si>
  <si>
    <t>President and CEO of NBCUniversal</t>
  </si>
  <si>
    <t>CEO of Comcast Cable</t>
  </si>
  <si>
    <t>Former CEO of NBCUniversal</t>
  </si>
  <si>
    <t>CEO of NBCUniversal</t>
  </si>
  <si>
    <t>Chief Legal Officer and Secretary</t>
  </si>
  <si>
    <t>CEO of Sky</t>
  </si>
  <si>
    <t>President and CEO of Comcast Cable</t>
  </si>
  <si>
    <t>Former Chair and Former Chief Executive Officer</t>
  </si>
  <si>
    <t>Chairman, Chief Executive Officer &amp; President</t>
  </si>
  <si>
    <t>Executive Vice President - Customer Experience</t>
  </si>
  <si>
    <t>Executive Vice President &amp; Chief Information Officer</t>
  </si>
  <si>
    <t>Executive Vice President - Supply Chain &amp; Product Development</t>
  </si>
  <si>
    <t>Executive Vice President - U.S. Stores and International Operations</t>
  </si>
  <si>
    <t>Executive Vice President - U.S. Stores</t>
  </si>
  <si>
    <t>Executive Vice President - Merchandising</t>
  </si>
  <si>
    <t>Former Chief Financial Officer &amp; Executive Vice President - Corporate Services</t>
  </si>
  <si>
    <t>Chief Financial Officer &amp; Executive Vice President - Corporate Services</t>
  </si>
  <si>
    <t>Former Executive Vice President - Merchandising</t>
  </si>
  <si>
    <t xml:space="preserve">February </t>
  </si>
  <si>
    <t>President and CEO, Walmart U.S.</t>
  </si>
  <si>
    <t>President and CEO, Walmart International</t>
  </si>
  <si>
    <t>President and CEO, Sam's Club</t>
  </si>
  <si>
    <t>President and CEO, Sam's Club U.S.</t>
  </si>
  <si>
    <t>Global Chief Technology and Development Officer</t>
  </si>
  <si>
    <t>Global Chief Technology Officer</t>
  </si>
  <si>
    <t>Founder and Executive Chair, Director</t>
  </si>
  <si>
    <t>Chief Executive Officer, Director</t>
  </si>
  <si>
    <t>President and Chief Executive Officer, Director</t>
  </si>
  <si>
    <t>CEO Amazon Web Services</t>
  </si>
  <si>
    <t>CEO Worldwide Consumer</t>
  </si>
  <si>
    <t>SVP, General Counsel, and Secretary</t>
  </si>
  <si>
    <t>SVP, Business Development</t>
  </si>
  <si>
    <t>CEO Worldwide Amazon Stores</t>
  </si>
  <si>
    <t>Head of Investment Management and Co-Head of Corporate Strategy</t>
  </si>
  <si>
    <t>Former President</t>
  </si>
  <si>
    <t>Co-President and Head of Wealth Management</t>
  </si>
  <si>
    <t>Co-President, Head of Institutional Securities Group, and Co-Head of Corporate Strategy</t>
  </si>
  <si>
    <t>Head of Wealth Management</t>
  </si>
  <si>
    <t>Head of Institutional Securities Group</t>
  </si>
  <si>
    <t xml:space="preserve">Executive Vice President and Chief Operating Officer </t>
  </si>
  <si>
    <t>Head of Technology, Operations and Firm Resilience</t>
  </si>
  <si>
    <t>Former EVP and CFO</t>
  </si>
  <si>
    <t>Former EVP and GM, DPG</t>
  </si>
  <si>
    <t>Executive Vice President General Manager, Data Platforms Group</t>
  </si>
  <si>
    <t>Chief Executive Officer (Prior Interim CEO and Executive Vice President, CFO)</t>
  </si>
  <si>
    <t>EVP and GM, DCAI</t>
  </si>
  <si>
    <t>Former EVP and GC</t>
  </si>
  <si>
    <t>Executive Vice President Group President, Technology, Systems Architecture and Client Group, and Chief Engineering Officer</t>
  </si>
  <si>
    <t>EVP and GM, CCG</t>
  </si>
  <si>
    <t>Former EVP and GM, CCG</t>
  </si>
  <si>
    <t>Executive Vice President Chief Financial Officer</t>
  </si>
  <si>
    <t>Group President, Technology, Systems Architecture and Client Group, and Chief Engineering Officer</t>
  </si>
  <si>
    <t>EVP and CFO</t>
  </si>
  <si>
    <t>Former EVP, CFO and PAO</t>
  </si>
  <si>
    <t>Executive Vice President General Manager, Client Computing Group</t>
  </si>
  <si>
    <t>EVP and CCO, SMG</t>
  </si>
  <si>
    <t>Former Executive Vice President Group President, Technology, Systems Architecture and Client Group, and Chief Engineering Officer</t>
  </si>
  <si>
    <t>Corporate Vice President Chief Financial Officer, Client Computing Group (Former Interim Chief Financial Officer)</t>
  </si>
  <si>
    <t>Vice Chairman, Chief Operating Officer (Former CFO)</t>
  </si>
  <si>
    <t>Vice Chairman, Chief Operating Officer and Chief Financial Officer</t>
  </si>
  <si>
    <t>Vice Chairman and Chief Financial Officer</t>
  </si>
  <si>
    <t>Executive Chairman of the Board and Former Chief Executive Officer</t>
  </si>
  <si>
    <t>Group President - Global Fabric &amp; Home Care and Global Baby &amp; Feminine Care</t>
  </si>
  <si>
    <t>Sector CEO-Health Care, Special Advisor</t>
  </si>
  <si>
    <t>Chief Executive Officer- Health Care</t>
  </si>
  <si>
    <t>Group President-Global Family Care and P&amp;G Ventures</t>
  </si>
  <si>
    <t>Chief Executive Officer- Family Care and New Business</t>
  </si>
  <si>
    <t>Chief Executive Officer-Family Care and P&amp;G Ventures</t>
  </si>
  <si>
    <t>Group President - Global Health Care</t>
  </si>
  <si>
    <t>Chief Executive Officer- Fabric and Home Care</t>
  </si>
  <si>
    <t>Group President-North America and Chief Sales Officer</t>
  </si>
  <si>
    <t>Group President-North America Selling and Market Operations</t>
  </si>
  <si>
    <t>Group President - Global Family Care and P&amp;G Ventures</t>
  </si>
  <si>
    <t>CEO - Baby, Feminine, and Family Care</t>
  </si>
  <si>
    <t>CEO-Beauty</t>
  </si>
  <si>
    <t>December</t>
  </si>
  <si>
    <t>Vice Chair, Chief Financial Officer</t>
  </si>
  <si>
    <t>Vice Chair, Chief People and Administrative Officer</t>
  </si>
  <si>
    <t>Executive Vice President and Chief Risk Officer</t>
  </si>
  <si>
    <t>August</t>
  </si>
  <si>
    <t>Former Executive Vice President and Chief Customer and Partner Officer</t>
  </si>
  <si>
    <t>Former Executive Vice President and General Manager, Networking and Security Business</t>
  </si>
  <si>
    <t>Executive Vice President and General Manager, Networking and Security Business</t>
  </si>
  <si>
    <t>Executive Vice President and General Manager, Networking and  Security Business</t>
  </si>
  <si>
    <t>Executive Vice President and Chief Customer and Partner Officer</t>
  </si>
  <si>
    <t>Executive Vice President and Chief Customer Experience Officer</t>
  </si>
  <si>
    <t>Executive Vice President, Chief Legal Officer and Chief Compliance Officer</t>
  </si>
  <si>
    <t>Former Executive Vice President and Chief of Operations</t>
  </si>
  <si>
    <t>Executive Vice President and Chief Sales and Marketing Officer</t>
  </si>
  <si>
    <t>Former Executive Vice President, Chief Legal Officer and Chief Compliance Officer</t>
  </si>
  <si>
    <t>Executive Vice President and Chief of Operations</t>
  </si>
  <si>
    <t>Former Executive Vice President and President - Pharmacy Services</t>
  </si>
  <si>
    <t>Executive Vice President and Chief Medical Officer</t>
  </si>
  <si>
    <t>Executive Vice President, Chief Policy and Chief Policy and and General Counsel</t>
  </si>
  <si>
    <t>Executive Vice President and Chief Pharmacy Officer, Co-President - Retail</t>
  </si>
  <si>
    <t>Executive Vice President and President of CVS Caremark</t>
  </si>
  <si>
    <t>Executive Vice President, Chief Policy and External Affairs Officer and General Counsel</t>
  </si>
  <si>
    <t>Executive Vice President and Chief Data, Digital and Technology Officer</t>
  </si>
  <si>
    <t>Executive Vice President and President - Pharmacy Services</t>
  </si>
  <si>
    <t>Executive Vice President and President of Aetna</t>
  </si>
  <si>
    <t>Executive Vice President and President - CVS Caremark</t>
  </si>
  <si>
    <t>Executive Vice President and President -CVS Caremark</t>
  </si>
  <si>
    <t>Vice Chair and Chief Financial Officer</t>
  </si>
  <si>
    <t>Vice Chair, Technology and Operations Services</t>
  </si>
  <si>
    <t>Vice Chair, Wealth Management and Investment Services</t>
  </si>
  <si>
    <t>Vice Chair, Consumer and Business Banking</t>
  </si>
  <si>
    <t>Former Vice Chairman and Chief Risk Officer</t>
  </si>
  <si>
    <t>Vice Chair, Payment Services</t>
  </si>
  <si>
    <t>Former Chief Executive Officer; Former Executive Chairman</t>
  </si>
  <si>
    <t>Senior Executive Vice President, General Counsel and Secretary</t>
  </si>
  <si>
    <t>Senior Executive Vice President and Chief Financial Officer</t>
  </si>
  <si>
    <t>Chief Executive Officer; Executive Chairman</t>
  </si>
  <si>
    <t>Senior Executive Vice President and Chief Communications Officer</t>
  </si>
  <si>
    <t>Senior Executive Vice President and Chief Human Resources Officer</t>
  </si>
  <si>
    <t>Former Senior Executive Vice President and Chief Human Resources Officer</t>
  </si>
  <si>
    <t>Former Senior Executive Vice President and Chief Corporate Affairs Officer</t>
  </si>
  <si>
    <t>Chairman, Direct to Consumer and International</t>
  </si>
  <si>
    <t>Senior Executive Vice President and General Counsel</t>
  </si>
  <si>
    <t>Chairman, President &amp; CEO</t>
  </si>
  <si>
    <t>EVP Sustainability &amp; Strategy</t>
  </si>
  <si>
    <t>EVP Marketing &amp; Sales</t>
  </si>
  <si>
    <t>EVP &amp; Chief Financial Officer</t>
  </si>
  <si>
    <t>EVP Operations</t>
  </si>
  <si>
    <t>Retired EVP &amp; Chief Financial Officer</t>
  </si>
  <si>
    <t>Senior Advisor</t>
  </si>
  <si>
    <t>Retired EVP &amp; Chief Strategy Officer</t>
  </si>
  <si>
    <t>EVP Chief Legal Officer &amp; Corp Secretary</t>
  </si>
  <si>
    <t>Retired Vice President (g)</t>
  </si>
  <si>
    <t>Chairman, CEO and President, Director</t>
  </si>
  <si>
    <t>President, Financial Services</t>
  </si>
  <si>
    <t>Senior Advisor to the CEO and Corporate Secretary</t>
  </si>
  <si>
    <t>Chief Enterprise Services Officer and Chief of Staff to the CEO</t>
  </si>
  <si>
    <t>Chief Enterprise Services Officer</t>
  </si>
  <si>
    <t>President, Commercial Banking</t>
  </si>
  <si>
    <t>President, Card</t>
  </si>
  <si>
    <t>President, U.S. Card</t>
  </si>
  <si>
    <t>Former Chairman of the Board, President and Chief Executive Officer</t>
  </si>
  <si>
    <t>Executive Vice President, Chief Digital and Information Officer</t>
  </si>
  <si>
    <t>Executive Vice President, Chief Information Office</t>
  </si>
  <si>
    <t>Executive Vice President, Chief Information Officer</t>
  </si>
  <si>
    <t>Former Executive Vice President, Chief Financial Officer</t>
  </si>
  <si>
    <t>Executive Vice President, Merchandising</t>
  </si>
  <si>
    <t>Executive Vice President, Human Resources</t>
  </si>
  <si>
    <t>Executive Vice President, Stores</t>
  </si>
  <si>
    <t>Former Chief Customer Officer</t>
  </si>
  <si>
    <t>Former Interim Chief Financial Officer, Current Senior Vice President, Corporate Finance &amp; Treasurer</t>
  </si>
  <si>
    <t>President U.S. and UPS Airline</t>
  </si>
  <si>
    <t>Retired Chief Executive Officer</t>
  </si>
  <si>
    <t>President, UPS International</t>
  </si>
  <si>
    <t>President International, Healthcare and Supply Chain Solutions</t>
  </si>
  <si>
    <t>Retired Chief Operating Officer</t>
  </si>
  <si>
    <t>President, U.S. Operations</t>
  </si>
  <si>
    <t>Chief Information and Engineering Officer</t>
  </si>
  <si>
    <t>Chief Strategy and Transformation Officer</t>
  </si>
  <si>
    <t>Chief Digital and Technology Officer</t>
  </si>
  <si>
    <t>Chief Sales and Solutions Officer</t>
  </si>
  <si>
    <t>Retired President, U.S. Operations</t>
  </si>
  <si>
    <t>Former President, Citi; Former CEO, Institutional Clients Group</t>
  </si>
  <si>
    <t>President, Citi; CEO, Institutional Clients Group</t>
  </si>
  <si>
    <t>CFO</t>
  </si>
  <si>
    <t>President, Citi; CEO, Global Consumer Banking</t>
  </si>
  <si>
    <t>CEO, Institutional Clients Group</t>
  </si>
  <si>
    <t>CEO, APAC</t>
  </si>
  <si>
    <t>CEO, Global Consumer Banking</t>
  </si>
  <si>
    <t>CEO, Personal Banking and Wealth Management</t>
  </si>
  <si>
    <t>CEO, Asia Pacific</t>
  </si>
  <si>
    <t>Head of Enterprise Infrastructure, Operations and Technology</t>
  </si>
  <si>
    <t>CEO, Latin America Region</t>
  </si>
  <si>
    <t>CEO, Latin America</t>
  </si>
  <si>
    <t>Retired Chairman and CEO</t>
  </si>
  <si>
    <t>Vice Chairman and Group President, Global Consumer Services Group</t>
  </si>
  <si>
    <t>Group President, Global Consumer Services Group</t>
  </si>
  <si>
    <t>Group President, Enterprise Services and CEO of AENB</t>
  </si>
  <si>
    <t>Executive Vice President and Chief Information Officer</t>
  </si>
  <si>
    <t>Group President, Global Merchant and Network Services</t>
  </si>
  <si>
    <t>President, Global Commercial Services</t>
  </si>
  <si>
    <t>Senior Vice President, General Counsel and Corporate Secretary</t>
  </si>
  <si>
    <t>Former Executive Chairman; Former President and CEO</t>
  </si>
  <si>
    <t>Strategic Advisor to the CEO; Former Chairman, President and Chief Executive Officer</t>
  </si>
  <si>
    <t>Former Executive Vice President, Space</t>
  </si>
  <si>
    <t>Executive Vice President, Space</t>
  </si>
  <si>
    <t>Retired Executive Vice President, Rotary and Mission Systems</t>
  </si>
  <si>
    <t>Retired Executive Vice President Aeronautics</t>
  </si>
  <si>
    <t>Retired Vice President and Treasurer; Former Acting Chief Financial Officer</t>
  </si>
  <si>
    <t>Former Executive Vice President, Aeronautics</t>
  </si>
  <si>
    <t>Executive Vice President, Rotary and Mission Systems</t>
  </si>
  <si>
    <t>Executive Vice President Rotary and Mission Systems</t>
  </si>
  <si>
    <t>Retired Executive Vice President, Missiles and Fire Control</t>
  </si>
  <si>
    <t>Executive Vice President, Aeronautics</t>
  </si>
  <si>
    <t>Vice President and Treasurer; Former Acting Chief Financial Officer</t>
  </si>
  <si>
    <t>Executive Vice President Space</t>
  </si>
  <si>
    <t>Executive Vice President, Rotary &amp; Mission Systems</t>
  </si>
  <si>
    <t>Executive Vice President Lockheed Martin International</t>
  </si>
  <si>
    <t>Chairman, President &amp; Chief Executive Officer</t>
  </si>
  <si>
    <t>Senior Vice President &amp; Chief Financial Officer</t>
  </si>
  <si>
    <t>Director Executive Vice President &amp; Chief Operating Officer</t>
  </si>
  <si>
    <t>Former Chief Executive Officer, Evernorth</t>
  </si>
  <si>
    <t>Chief Executive Officer, Evernorth</t>
  </si>
  <si>
    <t>President, Health Services</t>
  </si>
  <si>
    <t>President, Express Scripts &amp; Cigna Services</t>
  </si>
  <si>
    <t>President and Chief Executive Officer, Evernorth Health Services</t>
  </si>
  <si>
    <t>President, International Markets</t>
  </si>
  <si>
    <t>President, Chief Executive Officer, Evernorth</t>
  </si>
  <si>
    <t>President, Chief Operating Officer, Evernorth</t>
  </si>
  <si>
    <t>Executive Vice President, Global Chief Information Officer</t>
  </si>
  <si>
    <t>Former President, Government and Solutions</t>
  </si>
  <si>
    <t>President, Government and Solutions</t>
  </si>
  <si>
    <t>Former Executive Vice President, Chief Marketing Officer</t>
  </si>
  <si>
    <t>Former Executive Vice President, Total Health Network &amp; Chief Medical Officer</t>
  </si>
  <si>
    <t>President, Strategy and Solutions</t>
  </si>
  <si>
    <t>Former President, Strategy, Segments &amp; Solutions</t>
  </si>
  <si>
    <t>President - American Group</t>
  </si>
  <si>
    <t>Former Chairman and Executive Advisor</t>
  </si>
  <si>
    <t>President - National Group</t>
  </si>
  <si>
    <t>President - Clinical Operations Group and Chief Medical Officer</t>
  </si>
  <si>
    <t>President - Physician Services Group</t>
  </si>
  <si>
    <t>President - Clinical Services Group and Chief Medical Officer</t>
  </si>
  <si>
    <t>EVP and Chief Administrative Officer</t>
  </si>
  <si>
    <t>EVP and President, Carelon and CarelonRx</t>
  </si>
  <si>
    <t>EVP and President, Diversified Business Group and IngenioRx</t>
  </si>
  <si>
    <t>EVP and Chief Financial Officer (CFO)</t>
  </si>
  <si>
    <t>Former EVP and Chief Executive Officer, IngenioRx</t>
  </si>
  <si>
    <t>EVP and President, Government Business Division</t>
  </si>
  <si>
    <t>EVP and General Counsel</t>
  </si>
  <si>
    <t>EVP, Head of Corporate &amp; Institutional Banking</t>
  </si>
  <si>
    <t>EVP &amp; Chief Operating Officer</t>
  </si>
  <si>
    <t>Former EVP, Head of Retail Banking &amp; Chief Customer Officer</t>
  </si>
  <si>
    <t>EVP, Head of Retail Banking &amp; Chief Customer Officer</t>
  </si>
  <si>
    <t>Executive Vice President,  Chief Risk Officer</t>
  </si>
  <si>
    <t>EVP, General Counsel &amp; Chief Administrative Officer</t>
  </si>
  <si>
    <t>Chair, Chief Executive Officer and President</t>
  </si>
  <si>
    <t>Corporate Vice President and President, Mission Systems</t>
  </si>
  <si>
    <t>Former Corporate Vice President and President, Space Systems</t>
  </si>
  <si>
    <t>Former Corporate Vice President and Chief Financial Officer</t>
  </si>
  <si>
    <t>Corporate Vice President and Chief Financial Officer</t>
  </si>
  <si>
    <t>Corporate Vice President and President, Aeronautics Systems</t>
  </si>
  <si>
    <t>Corporate Vice President and President, Aerospace Systems</t>
  </si>
  <si>
    <t>Corporate Vice President and President, Space Systems</t>
  </si>
  <si>
    <t>Corporate Vice President and President, Innovation Systems</t>
  </si>
  <si>
    <t>Corporate Vice President Global Operations</t>
  </si>
  <si>
    <t>Corporate Vice President and President, Defense Systems</t>
  </si>
  <si>
    <t>Corporate Vice President and President, Technology Services</t>
  </si>
  <si>
    <t>Interim Chief Executive Officer and Chief Patient Officer</t>
  </si>
  <si>
    <t>Chief Commercial Officer</t>
  </si>
  <si>
    <t>Executive Vice President Worldwide Commercial Operations</t>
  </si>
  <si>
    <t>Chief Medical Officer</t>
  </si>
  <si>
    <t>Chief Scientific Officer, Head of Research and Development</t>
  </si>
  <si>
    <t>Executive Vice President, Corporate Affairs and General Counsel</t>
  </si>
  <si>
    <t>Former Interim Chief Executive Officer and Chief Patient Officer</t>
  </si>
  <si>
    <t>Former Executive Vice President Worldwide Commercial Operations</t>
  </si>
  <si>
    <t>Former Chief Scientific Officer, Head of Research and Development</t>
  </si>
  <si>
    <t>Former Chief Financial Officer, Treasurer and Executive Vice President</t>
  </si>
  <si>
    <t>Chief Financial Officer, Treasurer and Executive Vice President</t>
  </si>
  <si>
    <t>Former Executive Vice President</t>
  </si>
  <si>
    <t>Chief Digital Officer and Executive Vice President</t>
  </si>
  <si>
    <t>Former Chief Digital Officer and Executive Vice President</t>
  </si>
  <si>
    <t>Vice Chairman, EVP and CFO</t>
  </si>
  <si>
    <t>Former Chairman of the Board and Chief Executive Officer</t>
  </si>
  <si>
    <t>Chairman of the Board and Chief Executive Officer</t>
  </si>
  <si>
    <t>CEO, North America</t>
  </si>
  <si>
    <t>CEO, Europe</t>
  </si>
  <si>
    <t>CEO, PBNA</t>
  </si>
  <si>
    <t>EVP and CHRO</t>
  </si>
  <si>
    <t>CEO, PFNA</t>
  </si>
  <si>
    <t>EVP, General Counsel and Corporate Secretary</t>
  </si>
  <si>
    <t>CEO, ESSA</t>
  </si>
  <si>
    <t>Global Chief Commercial Officer,PepsiCo and CEO,Latin America</t>
  </si>
  <si>
    <t xml:space="preserve">President and Chief Executive Officer	</t>
  </si>
  <si>
    <t>Chief Investment Officer</t>
  </si>
  <si>
    <t>Personal Lines President</t>
  </si>
  <si>
    <t>Commercial Lines President</t>
  </si>
  <si>
    <t>Claims President</t>
  </si>
  <si>
    <t>Former Claims President</t>
  </si>
  <si>
    <t>EVP, President - Payment Services</t>
  </si>
  <si>
    <t>CEO and President and President</t>
  </si>
  <si>
    <t>EVP, President - US Cards</t>
  </si>
  <si>
    <t>EVP, Chief Information Officer</t>
  </si>
  <si>
    <t>EVP, President - Consumer Banking</t>
  </si>
  <si>
    <t>EVP, Chief Legal Officer and General Counsel</t>
  </si>
  <si>
    <t>September</t>
  </si>
  <si>
    <t>Executive Vice President, COO- Eastern &amp; Canadian Divisions</t>
  </si>
  <si>
    <t>Executive Vice President, COO-International Division</t>
  </si>
  <si>
    <t>President, Chief Operating Officer</t>
  </si>
  <si>
    <t>Executive Vice President, COO- Merchandising</t>
  </si>
  <si>
    <t>Senior Executive Vice President, COO-U.S. Operations</t>
  </si>
  <si>
    <t>Executive Vice President &amp; Chief Operating Officer</t>
  </si>
  <si>
    <t>Chair &amp; Chief Executive Officer</t>
  </si>
  <si>
    <t>Executive Vice President and Chief Legal &amp; Risk Officer</t>
  </si>
  <si>
    <t>Executive Vice President and Chief Growth Officer</t>
  </si>
  <si>
    <t>Strategic Advisor and Former Chief Financial Officer</t>
  </si>
  <si>
    <t>Senior Managing Director and Chief Financial Officer</t>
  </si>
  <si>
    <t>Senior Managing Director and Chief Operating Officer</t>
  </si>
  <si>
    <t>Senior Managing Director and Head of the Portfolio Management Group</t>
  </si>
  <si>
    <t>Senior Managing Director and Head of International and of Corporate Strategy</t>
  </si>
  <si>
    <t>Executive Vice President and Co-Chief Operating Officer</t>
  </si>
  <si>
    <t>Former President, Consumer &amp; Marketplace</t>
  </si>
  <si>
    <t>President, Consumer and Marketplace</t>
  </si>
  <si>
    <t>Executive Vice President, Chief Administrative Officer &amp; General Counsel</t>
  </si>
  <si>
    <t>Executive Vice President, Global Human Resources</t>
  </si>
  <si>
    <t>Executive Vice President, Global Sports Marketing</t>
  </si>
  <si>
    <t>Chief Administrative Officer</t>
  </si>
  <si>
    <t>President, International</t>
  </si>
  <si>
    <t>Vice Chairman and President, Strategic Growth</t>
  </si>
  <si>
    <t>Former President, International</t>
  </si>
  <si>
    <t>Executive Vice President and CEO-Diversified &amp; Value and Lifestyle</t>
  </si>
  <si>
    <t>Former Executive Chair</t>
  </si>
  <si>
    <t>Executive Vice President, CFO</t>
  </si>
  <si>
    <t>Executive Vice President, Chief Technology and Operating Officer</t>
  </si>
  <si>
    <t>Executive Vice President, Chief Credit Officer and Capital Management Leader</t>
  </si>
  <si>
    <t>Executive Vice President and Chief Technology and Operating Officer</t>
  </si>
  <si>
    <t>Co-Chief Executive Officer and Co-President</t>
  </si>
  <si>
    <t>Vice President, Chief Financial Officer and Treasurer</t>
  </si>
  <si>
    <t>Vice President, General Counsel and Secretary</t>
  </si>
  <si>
    <t>Former Vice President and Chief Financial Office</t>
  </si>
  <si>
    <t>Group President, Safety and Industrial</t>
  </si>
  <si>
    <t>Former Senior Vice President and Chief Financial Officer</t>
  </si>
  <si>
    <t>Former Executive Chairman of the Board</t>
  </si>
  <si>
    <t>Executive Chairman of the Board</t>
  </si>
  <si>
    <t>Executive Vice President, Safety and Industrial Business Group</t>
  </si>
  <si>
    <t>Former Executive Vice President, Consumer Business Group</t>
  </si>
  <si>
    <t>Former Vice Chair and Executive Vice President</t>
  </si>
  <si>
    <t>Former Group President, Health Care</t>
  </si>
  <si>
    <t>Group President, Transportation and Electronics Business Group</t>
  </si>
  <si>
    <t>Executive Vice President, International Operations</t>
  </si>
  <si>
    <t>Executive Vice President, Chief Financial and Transformation Officer</t>
  </si>
  <si>
    <t>Group President, Health Care Business Group</t>
  </si>
  <si>
    <t>Executive Vice President, Health Care Business Group</t>
  </si>
  <si>
    <t>Group President, Consumer and Interim Group President, Health Care</t>
  </si>
  <si>
    <t>Executive Vice President, Enterprise Operations</t>
  </si>
  <si>
    <t>Group President, Enterprise Operations</t>
  </si>
  <si>
    <t>Former Executive Vice President, Safety and Graphics Business Group</t>
  </si>
  <si>
    <t>Executive Vice President, Industrial Business Group</t>
  </si>
  <si>
    <t>Former Executive Vice President and Chief Operating Officer</t>
  </si>
  <si>
    <t>Executive Vice President and Chief Strategy Officer</t>
  </si>
  <si>
    <t>Executive Vice President and Chief Transformation Officer</t>
  </si>
  <si>
    <t>Executive Vice President and Chief Marketing Officer</t>
  </si>
  <si>
    <t>Former Executive Vice President and Chief Strategy Officer</t>
  </si>
  <si>
    <t>Executive Vice President, Combat Systems</t>
  </si>
  <si>
    <t>Executive Vice President, Technologies and Chief Financial Officer</t>
  </si>
  <si>
    <t>Executive Vice President, Marine Systems</t>
  </si>
  <si>
    <t>Vice President of the company and President, Gulfstream Aerospace</t>
  </si>
  <si>
    <t>Executive Vice President, Information Technology and Mission Systems</t>
  </si>
  <si>
    <t>lChief Administrative Officer</t>
  </si>
  <si>
    <t>Chief Consumer Officer</t>
  </si>
  <si>
    <t>Segment President, Retail</t>
  </si>
  <si>
    <t>Chief Human Resources Officer</t>
  </si>
  <si>
    <t>Segment President, Pharmacy Solutions &amp; Chief Corporate  Affairs Officer</t>
  </si>
  <si>
    <t>PharmD Segment President, Clinical and Pharmacy Solutions</t>
  </si>
  <si>
    <t>Segment President, Healthcare Services</t>
  </si>
  <si>
    <t>Vice Chairman and Chairman of the Investment Policy Committee</t>
  </si>
  <si>
    <t>Vice Chairman and Chief Legal Officer</t>
  </si>
  <si>
    <t>Vice Chairman and former Chief Financial Officer</t>
  </si>
  <si>
    <t>Executive Vice President and President, Business Insurance</t>
  </si>
  <si>
    <t>Executive Vice President and President, Personal Insurance</t>
  </si>
  <si>
    <t>interim chief executive officer</t>
  </si>
  <si>
    <t>Former executive vice president, chief financial officer</t>
  </si>
  <si>
    <t>Executive vice president, chief financial officer</t>
  </si>
  <si>
    <t>executive vice president, chief financial officer</t>
  </si>
  <si>
    <t>executive vice president and chief financial officer</t>
  </si>
  <si>
    <t>Group president, Americas and chief operating officer</t>
  </si>
  <si>
    <t>chief executive officer-elect</t>
  </si>
  <si>
    <t>former group president, Americas and chief operating officer</t>
  </si>
  <si>
    <t>President and chief executive officer</t>
  </si>
  <si>
    <t>group president, International and Channel Development</t>
  </si>
  <si>
    <t>Group president and chief operating officer</t>
  </si>
  <si>
    <t>former president and chief executive officer</t>
  </si>
  <si>
    <t>executive vice president, chief partner officer</t>
  </si>
  <si>
    <t>former group president and chief operating officer</t>
  </si>
  <si>
    <t>executive chairman</t>
  </si>
  <si>
    <t>former executive vice president, general counse</t>
  </si>
  <si>
    <t>Executive vice president, general counse</t>
  </si>
  <si>
    <t>February</t>
  </si>
  <si>
    <t>Executive Vice President, Worldwide Field Operations</t>
  </si>
  <si>
    <t>Executive Vice President, Operations</t>
  </si>
  <si>
    <t>Chief Operating Office</t>
  </si>
  <si>
    <t>President, Worldwide                                                                                                                                                                                        Sales and Marketing</t>
  </si>
  <si>
    <t>Corporate Vice President, Global Product and Technology</t>
  </si>
  <si>
    <t>General Counsel and Secretary</t>
  </si>
  <si>
    <t>President, Global Sales</t>
  </si>
  <si>
    <t>Former Corporate Vice President, Global Product and Technology</t>
  </si>
  <si>
    <t>President, John Deere Financial and Chief Information Officer</t>
  </si>
  <si>
    <t>Former President, Worldwide Construction &amp; Forestry and Power Systems</t>
  </si>
  <si>
    <t>President, Worldwide Construction &amp; Forestry and Power Systems</t>
  </si>
  <si>
    <t>President, Worldwide Ag &amp; Turf Division: Global Harvesting &amp; Turf Platforms, Americas &amp; Australia</t>
  </si>
  <si>
    <t>President, Worldwide Agriculture &amp; Turf Division, Production &amp; Precision Agriculture, Americas and Australia</t>
  </si>
  <si>
    <t>Senior Vice President, John Deere Power Systems, Worldwide Parts Services, Advanced Technology &amp; Engineering, and Global Supply Management &amp; Logistics</t>
  </si>
  <si>
    <t>Senior Vice President, General Counsel and Worldwide Public Affairs</t>
  </si>
  <si>
    <t>Group President, Lifecycle Solutions and Chief Administrative Officer</t>
  </si>
  <si>
    <t>President, Agricultural Solutions and Chief Information Officer</t>
  </si>
  <si>
    <t>Senior Advisor, Office of the Chairman</t>
  </si>
  <si>
    <t>Senior Vice President, General Counsel &amp; Worldwide Public Affairs</t>
  </si>
  <si>
    <t>Former Senior Vice President</t>
  </si>
  <si>
    <t>Senior Vice President; PFO</t>
  </si>
  <si>
    <t>Senior Vice President, PFO</t>
  </si>
  <si>
    <t>President, ExxonMobil Global Projects Company</t>
  </si>
  <si>
    <t>Vice President; President, ExxonMobil Production Company</t>
  </si>
  <si>
    <t>Senior Vice President; CFO</t>
  </si>
  <si>
    <t>President, ExxonMobil Product Solutions</t>
  </si>
  <si>
    <t>President, ExxonMobil Upstream Company</t>
  </si>
  <si>
    <t>SEVP, Group President</t>
  </si>
  <si>
    <t>SEVP, Chief Financial Officer</t>
  </si>
  <si>
    <t>Chief Executive Officer and President</t>
  </si>
  <si>
    <t>President and Chief Executive Officer, Fifth Third Bancorp</t>
  </si>
  <si>
    <t>Executive Chairman and Former Chief Executive Officer</t>
  </si>
  <si>
    <t>Vice Chairman, Strategic Growth Initiatives</t>
  </si>
  <si>
    <t>Executive Vice President and Head of Commercial Bank</t>
  </si>
  <si>
    <t>Executive Vice President and Head of Consumer Bank</t>
  </si>
  <si>
    <t>Former Executive Vice President and Chief Risk Officer</t>
  </si>
  <si>
    <t>Senior Vice President and Chief Merchandising &amp; Marketing Officer</t>
  </si>
  <si>
    <t>Senior Vice President and Chief Information Officer</t>
  </si>
  <si>
    <t>Executive Vice President and Retired Chief Financial Officer</t>
  </si>
  <si>
    <t>Executive Vice President And Chief Operating Officer</t>
  </si>
  <si>
    <t>Senior Vice President, Alternative Business</t>
  </si>
  <si>
    <t>Senior Vice President and Chief People Officer</t>
  </si>
  <si>
    <t>Former Chief Executive Officer &amp; Senior Advisor</t>
  </si>
  <si>
    <t>Executive Vice President &amp; General Counsel</t>
  </si>
  <si>
    <t>Executive Vice President &amp; Chief People Officer</t>
  </si>
  <si>
    <t>Executive Vice President, Store Operations</t>
  </si>
  <si>
    <t>Former Executive Vice President &amp; Chief Merchandising Officer</t>
  </si>
  <si>
    <t>Executive Vice President &amp; Chief Merchandising Officer</t>
  </si>
  <si>
    <t>Chairman of the Board</t>
  </si>
  <si>
    <t>Senior Executive; Former President and Chief Operating Officer</t>
  </si>
  <si>
    <t>Executive Vice President, Chief Financial Officer and President, Enabling Services</t>
  </si>
  <si>
    <t>President, Europe, Middle East and Africa Group</t>
  </si>
  <si>
    <t>President, North America Operating Unit</t>
  </si>
  <si>
    <t>Former Senior Vice President and General Counsel</t>
  </si>
  <si>
    <t>President, Asia Pacific Group</t>
  </si>
  <si>
    <t>President, Coca-Cola North America</t>
  </si>
  <si>
    <t>Chairman &amp; CEO</t>
  </si>
  <si>
    <t>Group President &amp; CFO</t>
  </si>
  <si>
    <t>Group President</t>
  </si>
  <si>
    <t>Director</t>
  </si>
  <si>
    <t>Interim CFO</t>
  </si>
  <si>
    <t>Executive Vice President and Chief People &amp; Places Officer</t>
  </si>
  <si>
    <t>Executive Vice President and General Manager, Small  Business and Self-Employed Group</t>
  </si>
  <si>
    <t>Executive Vice President, Chief Technology Officer</t>
  </si>
  <si>
    <t>Executive Vice President and General Manager, Consumer Group</t>
  </si>
  <si>
    <t>Executive Vice President, Human Resources &amp; Best Buy Canada</t>
  </si>
  <si>
    <t>Chief Executive Office</t>
  </si>
  <si>
    <t>President, Multi-Channel Retail (Former)</t>
  </si>
  <si>
    <t>Executive Vice President, General Counsel, Chief Risk Officer &amp; Secretary</t>
  </si>
  <si>
    <t>Executive Vice President, Omnichannel</t>
  </si>
  <si>
    <t>Executive Vice President, Chief Digital, Analytics and Technology Officer</t>
  </si>
  <si>
    <t>Executive Vice President, Chief Merchandising Officer</t>
  </si>
  <si>
    <t>President, Best Buy Health (Former)</t>
  </si>
  <si>
    <t>General Counsel and Secretary (Former)</t>
  </si>
  <si>
    <t>President, Services and Home Channel</t>
  </si>
  <si>
    <t>Executive Chairman and Chief Executive Officer (Former)</t>
  </si>
  <si>
    <t>Chief Transformation, Innovation and Membership Officer</t>
  </si>
  <si>
    <t>Former President, International Lead Markets and Chief Restaurant Officer</t>
  </si>
  <si>
    <t>President, McDonald’s USA</t>
  </si>
  <si>
    <t>Executive Vice President, Chief Legal Officer</t>
  </si>
  <si>
    <t>Former Corporate Executive Vice President, General Counsel and Secretary</t>
  </si>
  <si>
    <t>Corporate Executive Vice President, General Counsel and Secretary</t>
  </si>
  <si>
    <t>Corporate Executive Vice President –Global Chief People Officer</t>
  </si>
  <si>
    <t>April</t>
  </si>
  <si>
    <t xml:space="preserve">President, U.S. &amp; Global Services	</t>
  </si>
  <si>
    <t xml:space="preserve">Executive Vice President, Chief Financial Officer	</t>
  </si>
  <si>
    <t xml:space="preserve">Executive Vice President, Chief Technology Officer	</t>
  </si>
  <si>
    <t xml:space="preserve">Executive Vice President, International	</t>
  </si>
  <si>
    <t>Former Executive Vice President, Chief Information Officer</t>
  </si>
  <si>
    <t>President, North America Technology Solutions</t>
  </si>
  <si>
    <t>President, North American Technology Solutions</t>
  </si>
  <si>
    <t>President, Chief Executive Officer and Director</t>
  </si>
  <si>
    <t>President, the Americas</t>
  </si>
  <si>
    <t>Executive Vice President and President of Concentrix Corporation</t>
  </si>
  <si>
    <t>Chairman of the Board, Former President and Chief Executive Officer, Director</t>
  </si>
  <si>
    <t>President, Europe and APJ</t>
  </si>
  <si>
    <t>President, Worldwide Technology Solutions Distribution</t>
  </si>
  <si>
    <t>Kevin C. Berryman's 2021 compensation is correct but sourced from the 2022 compensation link</t>
  </si>
  <si>
    <t>Joanne E. Caruso's 2019 compensation is correct, but sourced from the 2021 link</t>
  </si>
  <si>
    <t>Centene</t>
  </si>
  <si>
    <t>Michael F. Neidorff</t>
  </si>
  <si>
    <t>Brent D. Layton</t>
  </si>
  <si>
    <t>Senior Advisor to the Chief Executive Officer and former President and Chief Operating Officer</t>
  </si>
  <si>
    <t>Jesse N. Hunter</t>
  </si>
  <si>
    <t>Former Executive Vice President, Mergers and Acquisitions &amp;  Chief Strategy Officer</t>
  </si>
  <si>
    <t>Sarah M. London</t>
  </si>
  <si>
    <t>Jeffrey A. Schwaneke</t>
  </si>
  <si>
    <t>Executive Vice President, Chief Financial Officer and Treasurer</t>
  </si>
  <si>
    <t>Andrew L. Asher</t>
  </si>
  <si>
    <t>Mark J. Brooks</t>
  </si>
  <si>
    <t>Christopher A. Koster</t>
  </si>
  <si>
    <t>Executive Vice President, Secretary and General Counsel</t>
  </si>
  <si>
    <t>Brandy L. Burkhalter</t>
  </si>
  <si>
    <t>Executive Vice President, Chief Operating Officer</t>
  </si>
  <si>
    <t>Kenneth J. Fasola</t>
  </si>
  <si>
    <t>Kenneth A. Burdick</t>
  </si>
  <si>
    <t>Former Executive Vice President, Markets &amp; Products</t>
  </si>
  <si>
    <t>David P. Thomas</t>
  </si>
  <si>
    <t>Chief Executive Officer of Markets and Medicaid</t>
  </si>
  <si>
    <t>James E. Murray</t>
  </si>
  <si>
    <t>Albertsons</t>
  </si>
  <si>
    <t>Anuj Dhanda</t>
  </si>
  <si>
    <t>Executive Vice President and Chief Technology and Transformation Officer</t>
  </si>
  <si>
    <t>Robert B. Dimond</t>
  </si>
  <si>
    <t>Robert G. Miller</t>
  </si>
  <si>
    <t>March</t>
  </si>
  <si>
    <t>Susan Morris</t>
  </si>
  <si>
    <t>Executive Vice President and Chief Operations Officer</t>
  </si>
  <si>
    <t>Shane Sampson</t>
  </si>
  <si>
    <t>Former Chief Marketing and Merchandising Officer</t>
  </si>
  <si>
    <t>Vivek Sankaran</t>
  </si>
  <si>
    <t>Christine Rupp</t>
  </si>
  <si>
    <t>Executive Vice President and Chief Customer and Digital Officer</t>
  </si>
  <si>
    <t>James L. Donald</t>
  </si>
  <si>
    <t>Co-Chairman, Former Chief Executive Officer</t>
  </si>
  <si>
    <t>Chief Marketing and Merchandising Officer</t>
  </si>
  <si>
    <t>Juliette W. Pryor</t>
  </si>
  <si>
    <t>Sharon McCollam</t>
  </si>
  <si>
    <t>Michael Theilmann</t>
  </si>
  <si>
    <t>UnitedHealth Group</t>
  </si>
  <si>
    <t>John F. Rex</t>
  </si>
  <si>
    <t>David S. Wichmann</t>
  </si>
  <si>
    <t>Stephen J. Hemsley</t>
  </si>
  <si>
    <t>Dirk C. McMahon</t>
  </si>
  <si>
    <t>Marianne D. Short</t>
  </si>
  <si>
    <t>Andrew P. Witty</t>
  </si>
  <si>
    <t>President; CEO, Optum</t>
  </si>
  <si>
    <t>Brian R. Thompson</t>
  </si>
  <si>
    <t>Executive Vice President and CEO, UnitedHealthcare</t>
  </si>
  <si>
    <t>Executive Vice President and CEO, Optum, Director</t>
  </si>
  <si>
    <t>Rupert T. Bondy</t>
  </si>
  <si>
    <t>Patricia L. Lewis</t>
  </si>
  <si>
    <t>Steven H. Nelson</t>
  </si>
  <si>
    <t>Former Executive Vice President and CEO, UnitedHealthcare</t>
  </si>
  <si>
    <t>Berkshire Hathaway</t>
  </si>
  <si>
    <t>Marc D. Hamburg</t>
  </si>
  <si>
    <t>Senior Vice President/CFO</t>
  </si>
  <si>
    <t>Warren E. Buffett</t>
  </si>
  <si>
    <t>Chief Executive Officer/Chairman</t>
  </si>
  <si>
    <t>Charles T. Munger</t>
  </si>
  <si>
    <t>Vice Chairman of the Board</t>
  </si>
  <si>
    <t>Ajit Jain</t>
  </si>
  <si>
    <t>Vice Chairman-Insurance Operations</t>
  </si>
  <si>
    <t>Gregory E. Abel</t>
  </si>
  <si>
    <t>Vice Chairman-Non Insurance Operations</t>
  </si>
  <si>
    <t>Wallace R. Weitz</t>
  </si>
  <si>
    <t>McKesson</t>
  </si>
  <si>
    <t>Brian S. Tyler</t>
  </si>
  <si>
    <t>John H. Hammergren</t>
  </si>
  <si>
    <t>Britt J. Vitalone</t>
  </si>
  <si>
    <t>Lori A. Schechter</t>
  </si>
  <si>
    <t>Executive Vice President, Chief Legal Officer and General Counsel</t>
  </si>
  <si>
    <t>Bansi Nagji</t>
  </si>
  <si>
    <t>Executive Vice President and Chief Strategy and Business Development Officer</t>
  </si>
  <si>
    <t>Nancy Flores Avila</t>
  </si>
  <si>
    <t>Executive Vice President, Chief Information Officer and Chief Technology Officer</t>
  </si>
  <si>
    <t>Tracy L. Faber</t>
  </si>
  <si>
    <t>Executive Vice President, Chief Legal Officer &amp; General Counsel</t>
  </si>
  <si>
    <t>LeAnn B. Smith</t>
  </si>
  <si>
    <t>Thomas L. Rodgers</t>
  </si>
  <si>
    <t>Executive Vice President, General Counsel and Chief Compliance Officer</t>
  </si>
  <si>
    <t>Cardinal Health</t>
  </si>
  <si>
    <t>Michael C. Kaufmann</t>
  </si>
  <si>
    <t>Craig S. Morford</t>
  </si>
  <si>
    <t>Former Chief Legal and Compliance Officer</t>
  </si>
  <si>
    <t>George S. Barrett</t>
  </si>
  <si>
    <t>Executive Chairman of the Board and Former Chairman and Chief Executive Officer</t>
  </si>
  <si>
    <t>July (2022)</t>
  </si>
  <si>
    <t>Jessica L. Mayer</t>
  </si>
  <si>
    <t>Chief Legal and Compliance Officer</t>
  </si>
  <si>
    <t>Jorge M. Gomez</t>
  </si>
  <si>
    <t>Victor L. Crawford</t>
  </si>
  <si>
    <t>Chief Executive Officer - Pharmaceutical Segment</t>
  </si>
  <si>
    <t>Jon L. Giacomin</t>
  </si>
  <si>
    <t>Former Chief Executive Officer - Medical Segment</t>
  </si>
  <si>
    <t>Chief Executive Officer and Former Chief Financial Officer</t>
  </si>
  <si>
    <t>Stephen M. Mason</t>
  </si>
  <si>
    <t>Chief Executive Officer - Medical Segment</t>
  </si>
  <si>
    <t>Donald M. Casey Jr.</t>
  </si>
  <si>
    <t>Jason M. Hollar</t>
  </si>
  <si>
    <t>David C. Evans</t>
  </si>
  <si>
    <t>Former interim Chief Financial Officer</t>
  </si>
  <si>
    <t>Patricia B. Morrison</t>
  </si>
  <si>
    <t>Retired Executive Vice President, Customer Support Services and Chief Information Officer</t>
  </si>
  <si>
    <t>Walgreens Boots Alliance</t>
  </si>
  <si>
    <t>Stefano Pessina</t>
  </si>
  <si>
    <t>James A. Skinner</t>
  </si>
  <si>
    <t>Former Executive Chairman; Director</t>
  </si>
  <si>
    <t>September (2022)</t>
  </si>
  <si>
    <t>Ornella Barra</t>
  </si>
  <si>
    <t>Chief Operating Officer, International</t>
  </si>
  <si>
    <t>Executive Chairman and Former CEO</t>
  </si>
  <si>
    <t>Executive Vice Chairman and Chief Executive Officer</t>
  </si>
  <si>
    <t>James Kehoe</t>
  </si>
  <si>
    <t>Executive Vice President and Global Chief Financial Officer</t>
  </si>
  <si>
    <t>Alexander W. Gourlay</t>
  </si>
  <si>
    <t>Former Co-Chief Operating Officer</t>
  </si>
  <si>
    <t>Co-Chief Operating Officer</t>
  </si>
  <si>
    <t>George R. Fairweather</t>
  </si>
  <si>
    <t>Former Executive Vice President and Global Chief Financial Officer</t>
  </si>
  <si>
    <t>John Standley</t>
  </si>
  <si>
    <t>Former Executive Vice President, Walgreens Boots Alliance, Inc. and President, Walgreens</t>
  </si>
  <si>
    <t>Executive Vice President, Walgreens Boots Alliance, Inc. and President, Walgreens</t>
  </si>
  <si>
    <t>Marco Pagni</t>
  </si>
  <si>
    <t>Former Global Chief Administrative Officer and General Counsel</t>
  </si>
  <si>
    <t>Phillips 66</t>
  </si>
  <si>
    <t>Kevin Mitchell</t>
  </si>
  <si>
    <t>Robert Herman</t>
  </si>
  <si>
    <t>Greg Garland</t>
  </si>
  <si>
    <t>Executive Chairman and former Chief Executive Officer</t>
  </si>
  <si>
    <t>Tim Roberts</t>
  </si>
  <si>
    <t>Executive Vice President, Midstream</t>
  </si>
  <si>
    <t>Paula Johnson</t>
  </si>
  <si>
    <t>Executive Vice President, Legal and Government Affairs, General Counsel and Corporate Secretary</t>
  </si>
  <si>
    <t>Mark Lashier</t>
  </si>
  <si>
    <t>Brian Mandell</t>
  </si>
  <si>
    <t>Executive Vice President, Marketing &amp; Commercial</t>
  </si>
  <si>
    <t>Vanessa Allen Sutherlandy</t>
  </si>
  <si>
    <t>Executive Vice President, Government Affairs,  General Counsel &amp; Corporate Secretar</t>
  </si>
  <si>
    <t>Valero Energy</t>
  </si>
  <si>
    <t>Joseph W. Gorder</t>
  </si>
  <si>
    <t>Chairman of the Board and CEO</t>
  </si>
  <si>
    <t>Michael S. Ciskowski</t>
  </si>
  <si>
    <t>EVP and CFO (retired)</t>
  </si>
  <si>
    <t>R. Lane Riggs</t>
  </si>
  <si>
    <t>Chairman of the Board, President &amp; CEO</t>
  </si>
  <si>
    <t>Gary K. Simmons</t>
  </si>
  <si>
    <t>EVP and Chief Commercial Officer</t>
  </si>
  <si>
    <t>Jay D. Browning</t>
  </si>
  <si>
    <t>Jason W. Fraser</t>
  </si>
  <si>
    <t>EVP and Chief Financial Officer</t>
  </si>
  <si>
    <t>Donna M. Titzman</t>
  </si>
  <si>
    <t>Retired EVP and CFO</t>
  </si>
  <si>
    <t>EVP and COO</t>
  </si>
  <si>
    <t>Cheryl L. Thomas</t>
  </si>
  <si>
    <t>SVP and Chief Technology Officer</t>
  </si>
  <si>
    <t>SVP-Supply, Int'l Ops. &amp; Systems Optimization</t>
  </si>
  <si>
    <t>Dell Technologies</t>
  </si>
  <si>
    <t>Michael S. Dell</t>
  </si>
  <si>
    <t>Thomas W. Sweet</t>
  </si>
  <si>
    <t>Howard D. Elias</t>
  </si>
  <si>
    <t>President, Services and Digital</t>
  </si>
  <si>
    <t>Jeffrey W. Clarke</t>
  </si>
  <si>
    <t>Co-Chief Operating Officer and Vice Chairman</t>
  </si>
  <si>
    <t>Vice Chairman, Products and Operations</t>
  </si>
  <si>
    <t>William F. Scannell</t>
  </si>
  <si>
    <t>President, Global Sales and Customer Operations</t>
  </si>
  <si>
    <t>President, Global Enterprise Sales and Customer  Operations, Dell EMC</t>
  </si>
  <si>
    <t>Anthony Charles Whitten</t>
  </si>
  <si>
    <t>Richard J. Rothberg</t>
  </si>
  <si>
    <t>Allison Dew</t>
  </si>
  <si>
    <t>General Electric</t>
  </si>
  <si>
    <t>H. Lawrence Culp</t>
  </si>
  <si>
    <t>Chairman &amp; CEO, GE and CEO, GE Aerospace</t>
  </si>
  <si>
    <t>Kieran Murphy</t>
  </si>
  <si>
    <t>Former SVP, GE &amp; CEO Healthcare</t>
  </si>
  <si>
    <t>Jamie S. Miller</t>
  </si>
  <si>
    <t>Former SVP &amp; CFO</t>
  </si>
  <si>
    <t>David L. Joyce</t>
  </si>
  <si>
    <t>Vice Chair &amp; CEO Aviation</t>
  </si>
  <si>
    <t>Russell Stokes</t>
  </si>
  <si>
    <t>SVP, GE &amp; CEO Commercial Engines &amp; Services</t>
  </si>
  <si>
    <t>SVP, GE &amp; CEO Healthcare</t>
  </si>
  <si>
    <t>John Flannery</t>
  </si>
  <si>
    <t>Former Chairman &amp; CEO</t>
  </si>
  <si>
    <t>John Slattery</t>
  </si>
  <si>
    <t>EVP &amp; CCO Aerospace</t>
  </si>
  <si>
    <t>SVP, GE &amp; CEO Aviation Services</t>
  </si>
  <si>
    <t>SVP &amp; CFO</t>
  </si>
  <si>
    <t>Carolina Dybeck Happe</t>
  </si>
  <si>
    <t>SVP, GE &amp; CEO Aviation</t>
  </si>
  <si>
    <t>Scott Strazik</t>
  </si>
  <si>
    <t>SVP, GE &amp; CEO, Gas Power</t>
  </si>
  <si>
    <t>SVP, GE &amp; CEO, Power Portfolio</t>
  </si>
  <si>
    <t>SVP &amp; CEO Healthcare</t>
  </si>
  <si>
    <t>Peter Arduini</t>
  </si>
  <si>
    <t>SVP, GE and CEO, HealthCare</t>
  </si>
  <si>
    <t>Kevin Cox</t>
  </si>
  <si>
    <t>SVP &amp; Chief Human Reources Officer</t>
  </si>
  <si>
    <t>Michael Holston</t>
  </si>
  <si>
    <t>SVP &amp; General Counsel</t>
  </si>
  <si>
    <t>Johnson &amp; Johnson</t>
  </si>
  <si>
    <t>Joseph Wolk</t>
  </si>
  <si>
    <t>EVP, CFO</t>
  </si>
  <si>
    <t>Jennifer Taubert</t>
  </si>
  <si>
    <t>EVP, Worldwide Chair Pharmaceuticals</t>
  </si>
  <si>
    <t>Alex Gorsky</t>
  </si>
  <si>
    <t>Chairman/CEO</t>
  </si>
  <si>
    <t>Thibaut Mongon</t>
  </si>
  <si>
    <t>EVP, Worldwide Chair Consumer Health</t>
  </si>
  <si>
    <t>Joaquin Duato</t>
  </si>
  <si>
    <t>Vice Chairman of the Executive Committee</t>
  </si>
  <si>
    <t>Paulus Stoffels</t>
  </si>
  <si>
    <t>VC of the Executive Committee, CSO</t>
  </si>
  <si>
    <t>Sandra E. Peterson</t>
  </si>
  <si>
    <t>Former EVP, Group Worldwide Chairman</t>
  </si>
  <si>
    <t>Michael Ullmann</t>
  </si>
  <si>
    <t>EVP, General Counsel</t>
  </si>
  <si>
    <t>Ashley McEvoy</t>
  </si>
  <si>
    <t>EVP, Worldwide Chair MedTech</t>
  </si>
  <si>
    <t>Dominic J. Caruso</t>
  </si>
  <si>
    <t>Former EVP, CFO</t>
  </si>
  <si>
    <t>Boeing</t>
  </si>
  <si>
    <t>David L. Calhoun</t>
  </si>
  <si>
    <t>J. Michael Luttig</t>
  </si>
  <si>
    <t>Former Executive Vice President, Counselor and Advisor to the Board of Directors</t>
  </si>
  <si>
    <t>Stanley A. Deal</t>
  </si>
  <si>
    <t>Executive Vice President, President and Chief Executive Officer, Commercial Airplanes</t>
  </si>
  <si>
    <t>Gregory D. Smith</t>
  </si>
  <si>
    <t>Former Executive Vice President, Enterprise Operations and Chief Financial Officer</t>
  </si>
  <si>
    <t>Executive Vice President, Enterprise Operations and Chief  Financial Officer</t>
  </si>
  <si>
    <t>Dennis A. Muilenburg</t>
  </si>
  <si>
    <t>Leanne G. Caret</t>
  </si>
  <si>
    <t>Former Executive Vice President, President and Chief Executive Officer, Defense, Space &amp; Security</t>
  </si>
  <si>
    <t>Chief Financial Officer and Executive Vice President,  Enterprise Performance and Strategy; Former Interim President and Chief Executive Officer</t>
  </si>
  <si>
    <t>Chief Financial Officer and Executive Vice President, Enterprise Performance and Strategy</t>
  </si>
  <si>
    <t>Brian J. West</t>
  </si>
  <si>
    <t>Executive Vice President, President and Chief Executive Officer, Defense, Space &amp; Security</t>
  </si>
  <si>
    <t>Kevin G. McAllister</t>
  </si>
  <si>
    <t>Former Executive Vice President, President and Chief Executive Officer, Commercial Airplanes</t>
  </si>
  <si>
    <t>Executive Vice President, President and Chief Executive Officer, Boeing Defense, Space &amp; Security</t>
  </si>
  <si>
    <t>Theodore Colbert III</t>
  </si>
  <si>
    <t>Michael D'Ambrose</t>
  </si>
  <si>
    <t>Gregory L. Hyslop</t>
  </si>
  <si>
    <t>Chief Technology Officer and Senior Vice President, Boeing Engineering, Test &amp; Technology</t>
  </si>
  <si>
    <t>Brett C. Gerry</t>
  </si>
  <si>
    <t>Executive Vice President, Global Compliance and Chief Legal Officer</t>
  </si>
  <si>
    <t>Executive Vice President, President and Chief Executive Officer, Global Services</t>
  </si>
  <si>
    <t>Timothy J. Keating</t>
  </si>
  <si>
    <t>Executive Vice President, Government Operations</t>
  </si>
  <si>
    <t>David A. Dohnalek</t>
  </si>
  <si>
    <t>Senior Vice President and Treasurer, Former Interim Chief Financial Officer</t>
  </si>
  <si>
    <t>International Business Machines</t>
  </si>
  <si>
    <t>James J. Kavanaugh</t>
  </si>
  <si>
    <t>Senior VP and CFO</t>
  </si>
  <si>
    <t>Virginia M. Rometty</t>
  </si>
  <si>
    <t>M. H. Browdy</t>
  </si>
  <si>
    <t>Senior VP and General Counsel</t>
  </si>
  <si>
    <t>John E. Kelly III</t>
  </si>
  <si>
    <t>Arvind Krishna</t>
  </si>
  <si>
    <t>Martin J. Schroeter</t>
  </si>
  <si>
    <t>Senior VP, IBM Global Markets</t>
  </si>
  <si>
    <t>Gary Cohn</t>
  </si>
  <si>
    <t>Erich Clementi</t>
  </si>
  <si>
    <t>Tom Rosamilia</t>
  </si>
  <si>
    <t>Senior VP of IBM Software and Chairman, North America</t>
  </si>
  <si>
    <t>James M. Whitehurst</t>
  </si>
  <si>
    <t>Pfizer</t>
  </si>
  <si>
    <t>Mikael Dolsten</t>
  </si>
  <si>
    <t>Chief Scientific Officer, President, Worldwide Research, Development and Medical</t>
  </si>
  <si>
    <t>President, Worldwide Research and Development</t>
  </si>
  <si>
    <t>Albert Bourla</t>
  </si>
  <si>
    <t>John D. Young</t>
  </si>
  <si>
    <t>Former Group President, Chief Business Officer</t>
  </si>
  <si>
    <t>Chief Business Officer, Group President</t>
  </si>
  <si>
    <t>Group President, Pfizer Innovative Health</t>
  </si>
  <si>
    <t>Frank A. D'Amelio</t>
  </si>
  <si>
    <t>Former Chief Financial Officer, EVP</t>
  </si>
  <si>
    <t>Angela Hwang</t>
  </si>
  <si>
    <t>Chief Commercial Officer and President, Global Biopharmaceuticals Business</t>
  </si>
  <si>
    <t>Chief Financial Officer and EVP, Global Supply</t>
  </si>
  <si>
    <t>Ian C. Read</t>
  </si>
  <si>
    <t>Chief Financial Officer, EVP</t>
  </si>
  <si>
    <t>Group President, Pfizer Biopharmaceuticals Group</t>
  </si>
  <si>
    <t>William Pao</t>
  </si>
  <si>
    <t>Chief Development Officer, EVP</t>
  </si>
  <si>
    <t>Doug Lankler</t>
  </si>
  <si>
    <t>General Counsel, EVP</t>
  </si>
  <si>
    <t>Raytheon Technologies</t>
  </si>
  <si>
    <t>Gregory J. Hayes</t>
  </si>
  <si>
    <t>President &amp; Chief Executive Officer</t>
  </si>
  <si>
    <t>Neil G. Mitchill Jr.</t>
  </si>
  <si>
    <t>Charles Gill Jr.</t>
  </si>
  <si>
    <t>Former Executive Vice President &amp; General Counsel</t>
  </si>
  <si>
    <t>Akhil Johri</t>
  </si>
  <si>
    <t>Special Advisor to the Chairman &amp; Chief Executive Officer</t>
  </si>
  <si>
    <t>Stephen J. Timm</t>
  </si>
  <si>
    <t>President, Collins Aerospace</t>
  </si>
  <si>
    <t>Anthony F. O'Brien III</t>
  </si>
  <si>
    <t>Former Executive Vice President &amp; Chief Financial Officer</t>
  </si>
  <si>
    <t>Robert Kelly Ortberg</t>
  </si>
  <si>
    <t>Special Advisor to the Office of the CEO</t>
  </si>
  <si>
    <t>DAVID L. GITLIN</t>
  </si>
  <si>
    <t>President &amp; Chief Executive Officer, Carrier</t>
  </si>
  <si>
    <t>Christopher T. Calio</t>
  </si>
  <si>
    <t>President &amp; Chief Operating Officer</t>
  </si>
  <si>
    <t>Michael R. Dumais</t>
  </si>
  <si>
    <t>Executive Vice President, Chief Transformation Officer</t>
  </si>
  <si>
    <t>ROBERT J. MCDONOUGH</t>
  </si>
  <si>
    <t>Special Advisor to the President &amp; CEO of Carrier</t>
  </si>
  <si>
    <t>Chief Executive Officer, Collins Aerospace</t>
  </si>
  <si>
    <t>Wesley D. Kremer</t>
  </si>
  <si>
    <t>President, Raytheon Missiles &amp; Defense</t>
  </si>
  <si>
    <t>Chief Executive Officer, Collins Aerospace Systems</t>
  </si>
  <si>
    <t>JUDITH F. MARKS</t>
  </si>
  <si>
    <t>President &amp; Chief Executive Officer, Otis</t>
  </si>
  <si>
    <t>Thomas A. Kennedy</t>
  </si>
  <si>
    <t>Acting Senior Vice President &amp; Chief Financial Officer</t>
  </si>
  <si>
    <t>Prudential Financial</t>
  </si>
  <si>
    <t>Charles F. Lowrey</t>
  </si>
  <si>
    <t>Mark B. Grier</t>
  </si>
  <si>
    <t>Former Vice Chairman</t>
  </si>
  <si>
    <t>Robert M. Falzon</t>
  </si>
  <si>
    <t>John R. Strangfeld</t>
  </si>
  <si>
    <t>Former Chief Executive Officer and current Non-Executive Chairman</t>
  </si>
  <si>
    <t>Scott G. Sleyster</t>
  </si>
  <si>
    <t>Executive Vice President, Market Competitiveness</t>
  </si>
  <si>
    <t>Executive Vice President and Head of International Businesses</t>
  </si>
  <si>
    <t>Stephen Pelletier</t>
  </si>
  <si>
    <t>Former Executive Vice President and Head of U.S. Businesse</t>
  </si>
  <si>
    <t>Kenneth Y. Tanji</t>
  </si>
  <si>
    <t>Executive Vice President and former Head of U.S. Businesses</t>
  </si>
  <si>
    <t>Andrew F. Sullivan</t>
  </si>
  <si>
    <t>Executive Vice President and Head of International Businesses and PGIM</t>
  </si>
  <si>
    <t>Executive Vice President and Head of U.S. Businesses</t>
  </si>
  <si>
    <t>HP</t>
  </si>
  <si>
    <t>Enrique J. Lores</t>
  </si>
  <si>
    <t>President and CEO, Director</t>
  </si>
  <si>
    <t>Kim M. Rivera</t>
  </si>
  <si>
    <t>Former President, Strategy and Business Management and Chief Legal Officer</t>
  </si>
  <si>
    <t>Dion J. Weisler</t>
  </si>
  <si>
    <t>Catherine A. Lesjak</t>
  </si>
  <si>
    <t>Interim Chief Operating Officer</t>
  </si>
  <si>
    <t>Alex Cho</t>
  </si>
  <si>
    <t>President, Personal Systems</t>
  </si>
  <si>
    <t>Steven J. Fieler</t>
  </si>
  <si>
    <t>President, Strategy and Business Management and Chief Legal Officer</t>
  </si>
  <si>
    <t>Marie Myers</t>
  </si>
  <si>
    <t>Tracy S. Keogh</t>
  </si>
  <si>
    <t>Former Chief Commercial Officer</t>
  </si>
  <si>
    <t>President and CEO (formerly President, Imaging, Printing and Solutions)</t>
  </si>
  <si>
    <t>Jon E. Flaxman</t>
  </si>
  <si>
    <t>(Former) Chief Operating Officer</t>
  </si>
  <si>
    <t>Tuan Tran</t>
  </si>
  <si>
    <t>President, Print</t>
  </si>
  <si>
    <t>Julie Jacobs</t>
  </si>
  <si>
    <t>Chief Legal Officer &amp; General Counsel</t>
  </si>
  <si>
    <t>Ron V. Coughlin</t>
  </si>
  <si>
    <t>(Former) President, Personal Systems</t>
  </si>
  <si>
    <t>President, Imaging, Printing and Solutions</t>
  </si>
  <si>
    <t>Goldman Sachs Group</t>
  </si>
  <si>
    <t>Kathryn Ruemmler</t>
  </si>
  <si>
    <t>CLO and General Counsel</t>
  </si>
  <si>
    <t>David M. Solomon</t>
  </si>
  <si>
    <t>Lloyd C. Blankfein</t>
  </si>
  <si>
    <t>Philip Berlinski</t>
  </si>
  <si>
    <t>Global Treasurer</t>
  </si>
  <si>
    <t>John E. Waldron</t>
  </si>
  <si>
    <t>Stephen M. Scherr</t>
  </si>
  <si>
    <t>CFO (Retired)</t>
  </si>
  <si>
    <t>Richard J. Gnodde</t>
  </si>
  <si>
    <t>John F.W. Rogers</t>
  </si>
  <si>
    <t>EVP</t>
  </si>
  <si>
    <t>R. Martin Chavez</t>
  </si>
  <si>
    <t>Executive Vice President and CFO; Vice Chairman</t>
  </si>
  <si>
    <t>Denis Coleman</t>
  </si>
  <si>
    <t>Karen P. Seymour</t>
  </si>
  <si>
    <t>Former EVP and General Counsel</t>
  </si>
  <si>
    <t>Timothy J. O'Neill</t>
  </si>
  <si>
    <t>Sysco</t>
  </si>
  <si>
    <t>Greg D. Bertrand</t>
  </si>
  <si>
    <t>Executive Vice President, US Foodservice Operations</t>
  </si>
  <si>
    <t>Joel T. Grade</t>
  </si>
  <si>
    <t>Thomas L. Bené</t>
  </si>
  <si>
    <t>William J. DeLaney</t>
  </si>
  <si>
    <t>June (2022)</t>
  </si>
  <si>
    <t>Kevin P. Hourican</t>
  </si>
  <si>
    <t>Russell T. Libby</t>
  </si>
  <si>
    <t>Former Executive Vice President, Administration and Corporate Secretary</t>
  </si>
  <si>
    <t>Aaron E. Alt</t>
  </si>
  <si>
    <t>Executive Vice President US Foodservice Operations</t>
  </si>
  <si>
    <t>Executive Vice President, Administration and Corporate Secretary</t>
  </si>
  <si>
    <t>Thomas R. Peck Jr.</t>
  </si>
  <si>
    <t>Executive Vice President, Chief Information and Digital Officer</t>
  </si>
  <si>
    <t>Cathy Marie Robinson</t>
  </si>
  <si>
    <t>Executive Vice President and Chief Supply Chain Officer</t>
  </si>
  <si>
    <t>Wayne R. Shurts</t>
  </si>
  <si>
    <t>Tim Orting Jorgensen</t>
  </si>
  <si>
    <t>Former Executive Vice President and President, Foodservice Operations, International</t>
  </si>
  <si>
    <t>Executive Vice President, U.S. Foodservice Operations</t>
  </si>
  <si>
    <t>Judith S. Sansone</t>
  </si>
  <si>
    <t>Executive Vice President and President, Foodservice Operations, Internal</t>
  </si>
  <si>
    <t>Michael P. Foster</t>
  </si>
  <si>
    <t>Robert S. Charlton</t>
  </si>
  <si>
    <t>Executive Vice President, Supply Chain</t>
  </si>
  <si>
    <t>Paul T. Moskowitz</t>
  </si>
  <si>
    <t>Merck</t>
  </si>
  <si>
    <t>Kenneth C. Frazier</t>
  </si>
  <si>
    <t>Robert M. Davis</t>
  </si>
  <si>
    <t>Chairman, Chief Executive Officer and President</t>
  </si>
  <si>
    <t>Chief Executive Officer, President and Former Chief Financial Officer</t>
  </si>
  <si>
    <t>Roger M. Perlmutter M.D., Ph.D</t>
  </si>
  <si>
    <t>Former Executive Vice President and President, Merck Research Laboratories</t>
  </si>
  <si>
    <t>Executive Vice President and President, Merck Research Laboratories</t>
  </si>
  <si>
    <t>Adam H. Schechter</t>
  </si>
  <si>
    <t>Former Executive Vice President and President, Global Human Health</t>
  </si>
  <si>
    <t>Jennifer Zachary</t>
  </si>
  <si>
    <t>Dean Li M.D., Ph.D.</t>
  </si>
  <si>
    <t>President and Former Chief Financial Officer</t>
  </si>
  <si>
    <t>Caroline Litchfield</t>
  </si>
  <si>
    <t>Sanat Chattopadhyay</t>
  </si>
  <si>
    <t>Executive Vice President and President, Merck Manufacturing Division</t>
  </si>
  <si>
    <t>Frank Clyburn</t>
  </si>
  <si>
    <t>Former Executive Vice President and President, Human Health</t>
  </si>
  <si>
    <t>Chirfi Guindo</t>
  </si>
  <si>
    <t>Chief Marketing Officer, Human Health</t>
  </si>
  <si>
    <t>Richard R. DeLuca Jr.</t>
  </si>
  <si>
    <t>Executive Vice President and President, Merck Animal Health</t>
  </si>
  <si>
    <t>Allstate</t>
  </si>
  <si>
    <t>Thomas J. Wilson</t>
  </si>
  <si>
    <t>Chair, President, and Chief Executive Officer</t>
  </si>
  <si>
    <t>Don Civgin</t>
  </si>
  <si>
    <t>Former Vice Chair and CEO, Protection Products and Services</t>
  </si>
  <si>
    <t>Vice Chair and CEO, Protection Products and Services</t>
  </si>
  <si>
    <t>President, Service Businesses</t>
  </si>
  <si>
    <t>Steven E. Shebik</t>
  </si>
  <si>
    <t>Suren K. Gupta</t>
  </si>
  <si>
    <t>President, Enterprise Solutions</t>
  </si>
  <si>
    <t>John E. Dugenske</t>
  </si>
  <si>
    <t>President, Investments and Financial Products</t>
  </si>
  <si>
    <t>Mario Rizzo</t>
  </si>
  <si>
    <t>President, Investments and Corporate Strategy</t>
  </si>
  <si>
    <t>Executive Vice President and Chief Investment and Corporate Strategy Officer</t>
  </si>
  <si>
    <t>President, Property-Liability</t>
  </si>
  <si>
    <t>Glenn T. Shapiro</t>
  </si>
  <si>
    <t>Former President, Property-Liability</t>
  </si>
  <si>
    <t>Robert Toohey</t>
  </si>
  <si>
    <t>Jesse Merten</t>
  </si>
  <si>
    <t>AbbVie</t>
  </si>
  <si>
    <t>Laura J. Schumacher</t>
  </si>
  <si>
    <t>Vice Chairman, External Affairs and Chief Legal Officer</t>
  </si>
  <si>
    <t>Carlos Alban</t>
  </si>
  <si>
    <t>Vice Chairman, Chief Commercial Officer</t>
  </si>
  <si>
    <t>Richard A. Gonzalez</t>
  </si>
  <si>
    <t>Robert A. Michael</t>
  </si>
  <si>
    <t>Vice Chairman and President</t>
  </si>
  <si>
    <t>Michael E. Severino</t>
  </si>
  <si>
    <t>Jeffrey R. Stewart</t>
  </si>
  <si>
    <t>Executive Vice President, Chief Commercial Officer</t>
  </si>
  <si>
    <t>Vice Chairman, Finance and Commercial Operations and CFO</t>
  </si>
  <si>
    <t>William J. Chase</t>
  </si>
  <si>
    <t>Executive Vice President, Finance and Administration</t>
  </si>
  <si>
    <t>Scott T. Reents</t>
  </si>
  <si>
    <t>Azita Saleki-Gerhardt</t>
  </si>
  <si>
    <t>Tyson Foods</t>
  </si>
  <si>
    <t>John H. Tyson</t>
  </si>
  <si>
    <t>Donnie King</t>
  </si>
  <si>
    <t>Group President International</t>
  </si>
  <si>
    <t>Dennis Leatherby</t>
  </si>
  <si>
    <t>October (2022)</t>
  </si>
  <si>
    <t>Noel White</t>
  </si>
  <si>
    <t>Group President Fresh Meats &amp; International</t>
  </si>
  <si>
    <t>Stewart Glendinning</t>
  </si>
  <si>
    <t>Dean Banks</t>
  </si>
  <si>
    <t>Scott Spradley</t>
  </si>
  <si>
    <t>Executive Vice President, Chief Technology &amp; Automation Officer</t>
  </si>
  <si>
    <t>Tom Hayes</t>
  </si>
  <si>
    <t>Chris Langholz</t>
  </si>
  <si>
    <t>Former President International</t>
  </si>
  <si>
    <t>President International</t>
  </si>
  <si>
    <t>Sally Grimes</t>
  </si>
  <si>
    <t>Group President Prepared Foods</t>
  </si>
  <si>
    <t>Amy Tu</t>
  </si>
  <si>
    <t>Vice President, Chief Legal Officer and Secretary</t>
  </si>
  <si>
    <t>Executive Vice President. Chief Legal Officer and Secretary, Global Governance and Corporate Affairs</t>
  </si>
  <si>
    <t>Noelle O'Mara</t>
  </si>
  <si>
    <t>Former Group President Prepared Foods</t>
  </si>
  <si>
    <t>ConocoPhillips</t>
  </si>
  <si>
    <t>R. M. Lance</t>
  </si>
  <si>
    <t>K. B. Rose</t>
  </si>
  <si>
    <t>Senior Vice President, Legal and General Counsel</t>
  </si>
  <si>
    <t>M. J. Fox</t>
  </si>
  <si>
    <t>A. J. Hirshberg</t>
  </si>
  <si>
    <t>Executive Vice President, Production, Drilling &amp; Projects</t>
  </si>
  <si>
    <t>W. L. Bullock Jr.</t>
  </si>
  <si>
    <t>D. E. Wallette Jr.</t>
  </si>
  <si>
    <t>D. E. Macklon</t>
  </si>
  <si>
    <t>Executive Vice President, Strategy, Sustainability and Technology</t>
  </si>
  <si>
    <t>Senior Vice President, Legal, General Counsel &amp; Corporate Secretary</t>
  </si>
  <si>
    <t>T. A. Leach</t>
  </si>
  <si>
    <t>Advisor to the CEO</t>
  </si>
  <si>
    <t>President, Asia Pacific &amp; Middle East</t>
  </si>
  <si>
    <t>J. L. Carrig</t>
  </si>
  <si>
    <t>Senior Vice President, Legal, General Counsel, &amp; Corporate Secretary</t>
  </si>
  <si>
    <t>N. G. Olds</t>
  </si>
  <si>
    <t>Executive Vice President, Lower 48</t>
  </si>
  <si>
    <t>Senior Vice President, Strategy and Technology</t>
  </si>
  <si>
    <t>StoneX Group</t>
  </si>
  <si>
    <t>Sean M. O'Connor</t>
  </si>
  <si>
    <t>Director, Chief Executive Officer and President</t>
  </si>
  <si>
    <t>William J. Dunaway</t>
  </si>
  <si>
    <t>Charles Lyon</t>
  </si>
  <si>
    <t>President of StoneX Financial Inc.</t>
  </si>
  <si>
    <t>Philip Smith</t>
  </si>
  <si>
    <t>Chief Executive Officer of StoneX Financial Ltd</t>
  </si>
  <si>
    <t>Executive Vice President of StoneX Financial Inc.</t>
  </si>
  <si>
    <t>Executive Vice President of INTL FCStone Financial Inc.</t>
  </si>
  <si>
    <t>Chief Executive Officer of INTL FCStone Ltd</t>
  </si>
  <si>
    <t>Diego Rotsztain</t>
  </si>
  <si>
    <t>Chief Governance and Legal Officer</t>
  </si>
  <si>
    <t>Xuong Nguyen</t>
  </si>
  <si>
    <t>Glenn Stevens</t>
  </si>
  <si>
    <t>Head of Retail and Foreign Exchange</t>
  </si>
  <si>
    <t>Oracle</t>
  </si>
  <si>
    <t>Safra A. Catz</t>
  </si>
  <si>
    <t>Lawrence J. Ellison</t>
  </si>
  <si>
    <t>Chairman and Chief Technology Officer</t>
  </si>
  <si>
    <t>Edward Screven</t>
  </si>
  <si>
    <t>EVP, Chief Corporate Architect</t>
  </si>
  <si>
    <t>Jeffrey O. Henley</t>
  </si>
  <si>
    <t>Thomas Kurian</t>
  </si>
  <si>
    <t>President, Product Development</t>
  </si>
  <si>
    <t>Dorian E. Daley</t>
  </si>
  <si>
    <t>Mark V. Hurd</t>
  </si>
  <si>
    <t>Executive Vice President, Chief Corporate Architect</t>
  </si>
  <si>
    <t>William Corey West</t>
  </si>
  <si>
    <t>Executive Vice President, Corporate Controller and Chief Accounting Officer</t>
  </si>
  <si>
    <t>Delta Air Lines</t>
  </si>
  <si>
    <t>Edward H. Bastian</t>
  </si>
  <si>
    <t>Glen W. Hauenstein</t>
  </si>
  <si>
    <t>Peter W. Carter</t>
  </si>
  <si>
    <t>Executive Vice President - External Affairs</t>
  </si>
  <si>
    <t>Executive Vice President &amp; Chief Legal Officer</t>
  </si>
  <si>
    <t>Alain M. Bellemare</t>
  </si>
  <si>
    <t>Executive Vice President &amp; President - International</t>
  </si>
  <si>
    <t>William C. Carroll</t>
  </si>
  <si>
    <t>Senior Vice President &amp; Interim Co-Chief Financial Officer</t>
  </si>
  <si>
    <t>W. Gil West</t>
  </si>
  <si>
    <t>Senior Executive Vice President &amp; Chief Operating Officer</t>
  </si>
  <si>
    <t>Daniel C. Janki</t>
  </si>
  <si>
    <t>Garrett L. Chase</t>
  </si>
  <si>
    <t>Former Senior Executive Vice President &amp; Chief Operating Officer</t>
  </si>
  <si>
    <t>Rahul D. Samant</t>
  </si>
  <si>
    <t>World Kinect</t>
  </si>
  <si>
    <t>Michael J. Kasbar</t>
  </si>
  <si>
    <t>Ira M. Birns</t>
  </si>
  <si>
    <t>John P. Rau</t>
  </si>
  <si>
    <t>Executive Vice President, Global Aviation, Land and Marine</t>
  </si>
  <si>
    <t>Executive Vice President, Global Aviation and Marine</t>
  </si>
  <si>
    <t>Michael J. Crosby</t>
  </si>
  <si>
    <t>Former Executive Vice President, Global Land</t>
  </si>
  <si>
    <t>Executive Vice President, Global Land</t>
  </si>
  <si>
    <t>Jeffrey P. Smith</t>
  </si>
  <si>
    <t>American Airlines Group</t>
  </si>
  <si>
    <t>Maya Leibman</t>
  </si>
  <si>
    <t>Doug Parker</t>
  </si>
  <si>
    <t>Steve Johnson</t>
  </si>
  <si>
    <t>Executive Vice President Corporate Affairs</t>
  </si>
  <si>
    <t>Robert Isom</t>
  </si>
  <si>
    <t>Derek Kerr</t>
  </si>
  <si>
    <t>David Seymour</t>
  </si>
  <si>
    <t>Abbott Laboratories</t>
  </si>
  <si>
    <t>Hubert L. Allen</t>
  </si>
  <si>
    <t>Miles D. White</t>
  </si>
  <si>
    <t>Chairman of the Board, Chief Executive Officer, and Director</t>
  </si>
  <si>
    <t>Robert B. Ford</t>
  </si>
  <si>
    <t>Brian B. Yoor</t>
  </si>
  <si>
    <t>Executive Vice President, Finance and Chief Financial Officer</t>
  </si>
  <si>
    <t>Stephen R. Fussell</t>
  </si>
  <si>
    <t>Daniel G. Salvadori</t>
  </si>
  <si>
    <t>Executive Vice President and Group President, Established Pharmaceuticals and Nutritional Products</t>
  </si>
  <si>
    <t>Former Executive Vice President, Finance and Chief Financial Officer</t>
  </si>
  <si>
    <t>President and Chief Operating Officer, and Director</t>
  </si>
  <si>
    <t>Robert E. Funck Jr.</t>
  </si>
  <si>
    <t>President and Chief Executive Officer, and Director</t>
  </si>
  <si>
    <t>Executive Vice President, Nutritional Products</t>
  </si>
  <si>
    <t>Andrea F. Wainer</t>
  </si>
  <si>
    <t>Executive Vice President, Rapid and Molecular Diagnostics</t>
  </si>
  <si>
    <t>Lisa D. Earnhardt</t>
  </si>
  <si>
    <t>Executive Vice President, Medical Devices</t>
  </si>
  <si>
    <t>John F. Ginascol</t>
  </si>
  <si>
    <t>Executive Vice President, Core Diagnostics</t>
  </si>
  <si>
    <t>Bristol-Myers Squibb</t>
  </si>
  <si>
    <t>Sandra Leung</t>
  </si>
  <si>
    <t>Charles A. Bancroft</t>
  </si>
  <si>
    <t>EVP, Head of Integration and Strategy &amp; Business Development, Former CFO and EVP, Head of Global Business Operations</t>
  </si>
  <si>
    <t>Chief Financial Officer and EVP, Head of Global Business Operations</t>
  </si>
  <si>
    <t>Giovanni Caforio M.D.</t>
  </si>
  <si>
    <t>Board Chair and Chief Executive Officer</t>
  </si>
  <si>
    <t>Christopher Boerner Ph.D.</t>
  </si>
  <si>
    <t>EVP and Chief Commercialization Officer</t>
  </si>
  <si>
    <t>Rupert Vessey M.A.</t>
  </si>
  <si>
    <t>EVP and President, Research</t>
  </si>
  <si>
    <t>EVP, Research and Early Development</t>
  </si>
  <si>
    <t>Thomas J. Lynch</t>
  </si>
  <si>
    <t>Former EVP and Chief Scientific Officer</t>
  </si>
  <si>
    <t>EVP and Chief Scientific Officer</t>
  </si>
  <si>
    <t>David V. Elkins</t>
  </si>
  <si>
    <t>Louis Schmukler</t>
  </si>
  <si>
    <t>SVP and President, Global Product Development and Supply</t>
  </si>
  <si>
    <t>United Airlines Holdings</t>
  </si>
  <si>
    <t>Gregory L. Hart</t>
  </si>
  <si>
    <t>Gerald Laderman</t>
  </si>
  <si>
    <t>Oscar Munoz</t>
  </si>
  <si>
    <t>Former CEO: Executive Chairman</t>
  </si>
  <si>
    <t>Brett J. Hart</t>
  </si>
  <si>
    <t>Linda P. Jojo</t>
  </si>
  <si>
    <t>Executive Vice President and Chief Customer Officer</t>
  </si>
  <si>
    <t>Andrew Nocella</t>
  </si>
  <si>
    <t>Scott Kirby</t>
  </si>
  <si>
    <t>Executive Vice President, Technology and Chief Digital Officer</t>
  </si>
  <si>
    <t>Andrew Levy</t>
  </si>
  <si>
    <t>Arrow Electronics</t>
  </si>
  <si>
    <t>Michael J. Long</t>
  </si>
  <si>
    <t>Chairman, President, and Chief Executive Officer</t>
  </si>
  <si>
    <t>Sean J. Kerins</t>
  </si>
  <si>
    <t>President, Global Enterprise Computing Solutions</t>
  </si>
  <si>
    <t>Gretchen K. Zech</t>
  </si>
  <si>
    <t>Senior Vice President, Chief Governance, Sustainability, and Human Resources Officer</t>
  </si>
  <si>
    <t>Andrew D. King</t>
  </si>
  <si>
    <t>President, Global Components</t>
  </si>
  <si>
    <t>Christopher D. Stansbury</t>
  </si>
  <si>
    <t>Former Senior Vice President, Chief Financial Officer</t>
  </si>
  <si>
    <t>Vincent P. Melvin</t>
  </si>
  <si>
    <t>Senior Vice President, Chief Information Officer</t>
  </si>
  <si>
    <t>Lily Y. Hughes</t>
  </si>
  <si>
    <t>Senior Vice President, Chief Legal Officer, and Corporate Secretary</t>
  </si>
  <si>
    <t>M. Catherine Morris</t>
  </si>
  <si>
    <t>Senior Vice President, Chief Strategy Officer</t>
  </si>
  <si>
    <t>Rajesh K. Agrawal</t>
  </si>
  <si>
    <t>Kirk D. Schell</t>
  </si>
  <si>
    <t>Richard A. Seidlitz</t>
  </si>
  <si>
    <t>Vice President, Corporate Controller, and Principal Accounting Officer</t>
  </si>
  <si>
    <t>Philip Morris International</t>
  </si>
  <si>
    <t>Jacek Olczak</t>
  </si>
  <si>
    <t>Andre Calantzopoulos</t>
  </si>
  <si>
    <t>Stefano Volpetti</t>
  </si>
  <si>
    <t>President, Smoke-Free Inhalable Products &amp; Chief Consumer Officer</t>
  </si>
  <si>
    <t>Martin G. King</t>
  </si>
  <si>
    <t>Retired CEO, PMI America</t>
  </si>
  <si>
    <t>Miroslaw Zielinski</t>
  </si>
  <si>
    <t>Retired Chief New Ventures Officer</t>
  </si>
  <si>
    <t>Chief New Ventures Officer</t>
  </si>
  <si>
    <t>President, Science &amp; Innovation</t>
  </si>
  <si>
    <t>Emmanuel Babeau</t>
  </si>
  <si>
    <t>Frederic de Wilde</t>
  </si>
  <si>
    <t>President, South and South-East Asia, Commonwealth of Independent States, &amp; Middle East and Africa Region</t>
  </si>
  <si>
    <t>Marc S. Firestone</t>
  </si>
  <si>
    <t>Retired President, External Affairs &amp; General Counsel</t>
  </si>
  <si>
    <t>President, External Affairs &amp; General Counsel</t>
  </si>
  <si>
    <t>Drago Azinovic</t>
  </si>
  <si>
    <t>President, Middle East &amp; Africa Region and PMI Duty Free</t>
  </si>
  <si>
    <t>President, European Union Region</t>
  </si>
  <si>
    <t>CEO, PMI America</t>
  </si>
  <si>
    <t>Jorge Insuasty</t>
  </si>
  <si>
    <t>Chief Life Sciences Officer</t>
  </si>
  <si>
    <t>Qualcomm</t>
  </si>
  <si>
    <t>Cristiano R. Amon</t>
  </si>
  <si>
    <t>Donald J. Rosenberg</t>
  </si>
  <si>
    <t>James H. Thompson</t>
  </si>
  <si>
    <t>Akash Palkhiwala</t>
  </si>
  <si>
    <t>Steven M. Mollenkopf</t>
  </si>
  <si>
    <t>Special Advisor (Former Chief Executive Officer)</t>
  </si>
  <si>
    <t>James J. Cathey</t>
  </si>
  <si>
    <t>Alexander H. Rogers</t>
  </si>
  <si>
    <t>President, Qualcomm Technology Licensing &amp; Global Affairs</t>
  </si>
  <si>
    <t>Executive Vice President and President, Qualcomm Technology Licensing</t>
  </si>
  <si>
    <t>Ann Chaplin</t>
  </si>
  <si>
    <t>Heather Ace</t>
  </si>
  <si>
    <t>David E. Wise</t>
  </si>
  <si>
    <t>Former Senior Vice President and Interim Chief Financial Officer</t>
  </si>
  <si>
    <t>L3Harris Technologies</t>
  </si>
  <si>
    <t>William M. Brown</t>
  </si>
  <si>
    <t>Dana A. Mehnert</t>
  </si>
  <si>
    <t>President, Communication Systems</t>
  </si>
  <si>
    <t>Senior Vice President, Chief Global Business Development Officer</t>
  </si>
  <si>
    <t>Christopher E. Kubasik</t>
  </si>
  <si>
    <t>Chair and Chief Executive Officer and Former Vice Chair</t>
  </si>
  <si>
    <t>Vice Chair and Chief Executive Officer</t>
  </si>
  <si>
    <t>Vice Chair, President and Chief Operating Officer</t>
  </si>
  <si>
    <t>Jesus Malave Jr.</t>
  </si>
  <si>
    <t>Todd W. Gautier</t>
  </si>
  <si>
    <t>Former President, Aviation Systems</t>
  </si>
  <si>
    <t>President, Aviation Systems</t>
  </si>
  <si>
    <t>Robert L. Duffy</t>
  </si>
  <si>
    <t>Senior Vice President, Human Resources and Administration</t>
  </si>
  <si>
    <t>Sheldon J. Fox</t>
  </si>
  <si>
    <t>Senior Vice President, Operations and Information Technology</t>
  </si>
  <si>
    <t>Edward J. Zoiss</t>
  </si>
  <si>
    <t>President, Space &amp; Airborne Systems</t>
  </si>
  <si>
    <t>Scott T. Mikuen</t>
  </si>
  <si>
    <t>Sean J. Stackley</t>
  </si>
  <si>
    <t>Senior Vice President, Strategy, Growth &amp; Technology and Former President, Integrated Mission Systems</t>
  </si>
  <si>
    <t>President, Space and Airborne Systems</t>
  </si>
  <si>
    <t>Rahul Ghai</t>
  </si>
  <si>
    <t>Michelle L. Turner</t>
  </si>
  <si>
    <t>President, Integrated Mission Systems</t>
  </si>
  <si>
    <t>Vice Chairman, President and Chief Operating Officer</t>
  </si>
  <si>
    <t>Jonathan P. Rambeau</t>
  </si>
  <si>
    <t>Leidos</t>
  </si>
  <si>
    <t>Roger A. Krone</t>
  </si>
  <si>
    <t>Jerald S. Howe Jr.</t>
  </si>
  <si>
    <t>James C. Reagan</t>
  </si>
  <si>
    <t>Former Exec. Vice Pres., Chief Financial Officer</t>
  </si>
  <si>
    <t>Jonathan W. Scholl</t>
  </si>
  <si>
    <t>Group President, Health</t>
  </si>
  <si>
    <t>Gerard A. Fasano</t>
  </si>
  <si>
    <t>Group President, Defense</t>
  </si>
  <si>
    <t>Christopher R. Cage</t>
  </si>
  <si>
    <t>Angela L. Heise</t>
  </si>
  <si>
    <t>Former Group President, Civil</t>
  </si>
  <si>
    <t>Group President, Civil</t>
  </si>
  <si>
    <t>Maureen Waterston</t>
  </si>
  <si>
    <t>M. Victoria Schmanske</t>
  </si>
  <si>
    <t>Executive Vice President, Chief Corporate Operations Officer</t>
  </si>
  <si>
    <t>David A. King</t>
  </si>
  <si>
    <t>Group President, Dynetics</t>
  </si>
  <si>
    <t>Huntington Ingalls Industries</t>
  </si>
  <si>
    <t>C. Michael Petters</t>
  </si>
  <si>
    <t>Executive Vice Chairman of the Board</t>
  </si>
  <si>
    <t>Christopher D. Kastner</t>
  </si>
  <si>
    <t>Brian J. Cuccias</t>
  </si>
  <si>
    <t>Executive Vice President and President, Ingalls Shipbuilding</t>
  </si>
  <si>
    <t>Jennifer R. Boykin</t>
  </si>
  <si>
    <t>Executive Vice President and President, Newport News Shipbuilding</t>
  </si>
  <si>
    <t>Executive Vice President, Business Management and Chief Financial Officer</t>
  </si>
  <si>
    <t>Chad N. Boudreaux</t>
  </si>
  <si>
    <t>Edgar A. Green III</t>
  </si>
  <si>
    <t>Executive Vice President and President, Technical Solutions</t>
  </si>
  <si>
    <t>Kellye L. Walker</t>
  </si>
  <si>
    <t>Thomas E. Stiehle</t>
  </si>
  <si>
    <t>Kara R. Wilkinson</t>
  </si>
  <si>
    <t>EIX President and CEO</t>
  </si>
  <si>
    <t>EIX EVP and General Counsel</t>
  </si>
  <si>
    <t>EIX EVP and CFO</t>
  </si>
  <si>
    <t>SCE President and CEO</t>
  </si>
  <si>
    <t xml:space="preserve">EIX SVP	</t>
  </si>
  <si>
    <t>EIX and SCE SVP</t>
  </si>
  <si>
    <t>SCE President and CEO(</t>
  </si>
  <si>
    <t>Former SCE President and CEO(</t>
  </si>
  <si>
    <t>Year ($ billions)</t>
  </si>
  <si>
    <t>Gross Domestic Product</t>
  </si>
  <si>
    <t>National Income</t>
  </si>
  <si>
    <t>Compensation of Employees</t>
  </si>
  <si>
    <t>Corporate profits 
(with IVA &amp; CCAdj)</t>
  </si>
  <si>
    <r>
      <rPr>
        <rFont val="Arial Narrow"/>
        <b/>
        <color theme="1"/>
        <sz val="10.0"/>
      </rPr>
      <t xml:space="preserve">Corporate profits </t>
    </r>
    <r>
      <rPr>
        <rFont val="Arial Narrow"/>
        <b/>
        <color theme="1"/>
        <sz val="10.0"/>
      </rPr>
      <t>(without IVA &amp; CCAdj)</t>
    </r>
  </si>
  <si>
    <t>Taxes on Corporate income</t>
  </si>
  <si>
    <t>Corporate Profits  
(share of GDP)</t>
  </si>
  <si>
    <t>Corporate Taxes 
(share of GDP)</t>
  </si>
  <si>
    <r>
      <rPr>
        <rFont val="Arial Narrow"/>
        <color rgb="FF1155CC"/>
        <sz val="10.0"/>
        <u/>
      </rPr>
      <t xml:space="preserve">Total Federal Revenue  </t>
    </r>
    <r>
      <rPr>
        <rFont val="Arial Narrow"/>
        <sz val="10.0"/>
      </rPr>
      <t xml:space="preserve">              </t>
    </r>
  </si>
  <si>
    <t>Corporation Income Taxes</t>
  </si>
  <si>
    <t>Corporat Tax Share of Federal Revenue</t>
  </si>
  <si>
    <t>Net dividends</t>
  </si>
  <si>
    <t>Consumption of fixed capital</t>
  </si>
  <si>
    <t>Dividends Share of 
National Income</t>
  </si>
  <si>
    <t>Corporate Taxes Share 
of National Income</t>
  </si>
  <si>
    <t xml:space="preserve">Dividends Share of 
Corporate Profits </t>
  </si>
  <si>
    <t>Corporate Domestic business</t>
  </si>
  <si>
    <t>Compensation of DC employees</t>
  </si>
  <si>
    <t>Corporate profits with IVA and CCAdj</t>
  </si>
  <si>
    <t>Effective Corporate Tax Rate</t>
  </si>
  <si>
    <t>Corporate profits share of GDP</t>
  </si>
  <si>
    <t>Corporate Taxes share of GDP</t>
  </si>
  <si>
    <t>Stock Ticker</t>
  </si>
  <si>
    <t>End of Fiscal Year</t>
  </si>
  <si>
    <t>Fortune Rank
(2023)</t>
  </si>
  <si>
    <t>Corporations
($ millions)</t>
  </si>
  <si>
    <t>10-K Income Statement Links</t>
  </si>
  <si>
    <t>Five-Year Totals</t>
  </si>
  <si>
    <t>Domestic Pre-Tax Income</t>
  </si>
  <si>
    <t>Current Federal Income Tax</t>
  </si>
  <si>
    <t xml:space="preserve"> Tax Rate</t>
  </si>
  <si>
    <t>Stock Buybacks ($ millions)</t>
  </si>
  <si>
    <t>Dividend Payouts  ($ millions)</t>
  </si>
  <si>
    <t>Both</t>
  </si>
  <si>
    <t>Buyback</t>
  </si>
  <si>
    <t>Div</t>
  </si>
  <si>
    <t>Profit</t>
  </si>
  <si>
    <t>Tax</t>
  </si>
  <si>
    <t xml:space="preserve">5-Year Total </t>
  </si>
  <si>
    <t>SEC</t>
  </si>
  <si>
    <t>V</t>
  </si>
  <si>
    <t>MMM</t>
  </si>
  <si>
    <t>10-K ('23)</t>
  </si>
  <si>
    <t>10-K ('22)</t>
  </si>
  <si>
    <t>10-K ('21)</t>
  </si>
  <si>
    <t>10-K ('20)</t>
  </si>
  <si>
    <t>10-K ('19)</t>
  </si>
  <si>
    <t>10-K ('18)</t>
  </si>
  <si>
    <t>AMRK</t>
  </si>
  <si>
    <t>A-Mark Precious Metals</t>
  </si>
  <si>
    <t>ABM</t>
  </si>
  <si>
    <t>ABM Industries</t>
  </si>
  <si>
    <t>ATVI</t>
  </si>
  <si>
    <t>Activision Blizzard</t>
  </si>
  <si>
    <t>ADBE</t>
  </si>
  <si>
    <t>Adobe</t>
  </si>
  <si>
    <t>AAP</t>
  </si>
  <si>
    <t>Advance Auto Parts</t>
  </si>
  <si>
    <t>ACM</t>
  </si>
  <si>
    <t>AECOM Technology</t>
  </si>
  <si>
    <t>APD</t>
  </si>
  <si>
    <t>Air Products &amp; Chemicals</t>
  </si>
  <si>
    <t>ACI</t>
  </si>
  <si>
    <t>Febuary</t>
  </si>
  <si>
    <t>Idaho</t>
  </si>
  <si>
    <t>ALLY</t>
  </si>
  <si>
    <t>Y</t>
  </si>
  <si>
    <t>GOOGL</t>
  </si>
  <si>
    <t>AMZN</t>
  </si>
  <si>
    <r>
      <rPr>
        <rFont val="Arial Narrow"/>
        <color rgb="FF1155CC"/>
        <u/>
      </rPr>
      <t>10-K ('22</t>
    </r>
    <r>
      <rPr>
        <rFont val="Arial Narrow"/>
        <color rgb="FF1155CC"/>
        <u/>
      </rPr>
      <t>)</t>
    </r>
  </si>
  <si>
    <t>AEE</t>
  </si>
  <si>
    <t>AEP</t>
  </si>
  <si>
    <t>Z</t>
  </si>
  <si>
    <t>AIG</t>
  </si>
  <si>
    <t>AMP</t>
  </si>
  <si>
    <t>Ameriprise Financial</t>
  </si>
  <si>
    <t>COR</t>
  </si>
  <si>
    <t>AMGN</t>
  </si>
  <si>
    <t>Amgen</t>
  </si>
  <si>
    <t>APH</t>
  </si>
  <si>
    <t>Amphenol</t>
  </si>
  <si>
    <t>ADI</t>
  </si>
  <si>
    <t>Analog Devices</t>
  </si>
  <si>
    <t>AAPL</t>
  </si>
  <si>
    <t>ADM</t>
  </si>
  <si>
    <t>AJG</t>
  </si>
  <si>
    <t>Arthur J. Gallagher</t>
  </si>
  <si>
    <t>ABG</t>
  </si>
  <si>
    <t>Asbury Automotive Group</t>
  </si>
  <si>
    <t>T</t>
  </si>
  <si>
    <t>ADP</t>
  </si>
  <si>
    <t>AN</t>
  </si>
  <si>
    <t>AutoNation</t>
  </si>
  <si>
    <t>AZO</t>
  </si>
  <si>
    <t>AutoZone</t>
  </si>
  <si>
    <t>BALL</t>
  </si>
  <si>
    <t>Ball</t>
  </si>
  <si>
    <t>BAC</t>
  </si>
  <si>
    <t>BK</t>
  </si>
  <si>
    <t>Bank of New York Mellon</t>
  </si>
  <si>
    <t>BBWI</t>
  </si>
  <si>
    <t>Bath &amp; Body Works</t>
  </si>
  <si>
    <t>BERY</t>
  </si>
  <si>
    <t>Berry Global Group</t>
  </si>
  <si>
    <t>Indiana</t>
  </si>
  <si>
    <t>BBY</t>
  </si>
  <si>
    <t>BIIB</t>
  </si>
  <si>
    <t>Biogen</t>
  </si>
  <si>
    <t>BJ</t>
  </si>
  <si>
    <t>BJ's Wholesale Club</t>
  </si>
  <si>
    <t>BLK</t>
  </si>
  <si>
    <t>BCC</t>
  </si>
  <si>
    <t>Boise Cascade</t>
  </si>
  <si>
    <t>BAH</t>
  </si>
  <si>
    <t>BLDR</t>
  </si>
  <si>
    <t>Builders FirstSource</t>
  </si>
  <si>
    <t>CHRW</t>
  </si>
  <si>
    <t>C.H. Robinson Worldwide</t>
  </si>
  <si>
    <t>CPB</t>
  </si>
  <si>
    <t>Campbell Soup</t>
  </si>
  <si>
    <t>COF</t>
  </si>
  <si>
    <t>KMX</t>
  </si>
  <si>
    <t>CarMax</t>
  </si>
  <si>
    <t>U</t>
  </si>
  <si>
    <t>CARR</t>
  </si>
  <si>
    <t>Carrier Global</t>
  </si>
  <si>
    <t>CASY</t>
  </si>
  <si>
    <t>Casey's General Stores</t>
  </si>
  <si>
    <t>CAT</t>
  </si>
  <si>
    <t>CBRE</t>
  </si>
  <si>
    <t>CDW</t>
  </si>
  <si>
    <t>CNC</t>
  </si>
  <si>
    <t>CNP</t>
  </si>
  <si>
    <t>CenterPoint Energy</t>
  </si>
  <si>
    <t>CF</t>
  </si>
  <si>
    <t>SCHW</t>
  </si>
  <si>
    <t>Charles Schwab</t>
  </si>
  <si>
    <t>CHTR</t>
  </si>
  <si>
    <t>CVX</t>
  </si>
  <si>
    <t>CMG</t>
  </si>
  <si>
    <t>Chipotle Mexican Grill</t>
  </si>
  <si>
    <t>CI</t>
  </si>
  <si>
    <t>CTAS</t>
  </si>
  <si>
    <t>May</t>
  </si>
  <si>
    <t>Cintas</t>
  </si>
  <si>
    <t>CSCO</t>
  </si>
  <si>
    <t>C</t>
  </si>
  <si>
    <t>CFG</t>
  </si>
  <si>
    <t>Citizens Financial Group</t>
  </si>
  <si>
    <t>CLF</t>
  </si>
  <si>
    <t>Cleveland-Cliffs</t>
  </si>
  <si>
    <t>CMS</t>
  </si>
  <si>
    <t>KO</t>
  </si>
  <si>
    <t>CMCSA</t>
  </si>
  <si>
    <t>CMC</t>
  </si>
  <si>
    <t>CAG</t>
  </si>
  <si>
    <t>ConAgra Foods</t>
  </si>
  <si>
    <t>COP</t>
  </si>
  <si>
    <t>ED</t>
  </si>
  <si>
    <t>COST</t>
  </si>
  <si>
    <t>CTRA</t>
  </si>
  <si>
    <t>CSX</t>
  </si>
  <si>
    <t>CMI</t>
  </si>
  <si>
    <t>Cummins</t>
  </si>
  <si>
    <t>CVS</t>
  </si>
  <si>
    <t>DHI</t>
  </si>
  <si>
    <t>DHR</t>
  </si>
  <si>
    <t>Danaher</t>
  </si>
  <si>
    <t>District of Columbia</t>
  </si>
  <si>
    <t>DRI</t>
  </si>
  <si>
    <t>DVA</t>
  </si>
  <si>
    <t>DaVita</t>
  </si>
  <si>
    <t>DE</t>
  </si>
  <si>
    <t>DKS</t>
  </si>
  <si>
    <t>Dick's Sporting Goods</t>
  </si>
  <si>
    <t>DFS</t>
  </si>
  <si>
    <t>DISH</t>
  </si>
  <si>
    <t>DG</t>
  </si>
  <si>
    <t>DLTR</t>
  </si>
  <si>
    <t>Dollar Tree</t>
  </si>
  <si>
    <t>D</t>
  </si>
  <si>
    <t>DOV</t>
  </si>
  <si>
    <t>Dover</t>
  </si>
  <si>
    <t>DOW</t>
  </si>
  <si>
    <t>DTE</t>
  </si>
  <si>
    <t>DUK</t>
  </si>
  <si>
    <t>EMN</t>
  </si>
  <si>
    <t>Eastman Chemical</t>
  </si>
  <si>
    <t>ECL</t>
  </si>
  <si>
    <t>ELV</t>
  </si>
  <si>
    <t>EME</t>
  </si>
  <si>
    <t>Emcor Group</t>
  </si>
  <si>
    <t>EMR</t>
  </si>
  <si>
    <t>Emerson Electric</t>
  </si>
  <si>
    <t>ETR</t>
  </si>
  <si>
    <t>ES</t>
  </si>
  <si>
    <t>Eversource Energy</t>
  </si>
  <si>
    <t>EXC</t>
  </si>
  <si>
    <t>EXPD</t>
  </si>
  <si>
    <t>Expeditors International</t>
  </si>
  <si>
    <t>XOM</t>
  </si>
  <si>
    <t>FDX</t>
  </si>
  <si>
    <t>FITB</t>
  </si>
  <si>
    <t>FAF</t>
  </si>
  <si>
    <t>First American</t>
  </si>
  <si>
    <t>FE</t>
  </si>
  <si>
    <t>FL</t>
  </si>
  <si>
    <t>Foot Locker</t>
  </si>
  <si>
    <t>F</t>
  </si>
  <si>
    <t>FBIN</t>
  </si>
  <si>
    <t>Fortune Brands</t>
  </si>
  <si>
    <t>FOXA</t>
  </si>
  <si>
    <t>Fox Corporation</t>
  </si>
  <si>
    <t>BEN</t>
  </si>
  <si>
    <t>Franklin Resources</t>
  </si>
  <si>
    <t>GD</t>
  </si>
  <si>
    <t>GIS</t>
  </si>
  <si>
    <t>General Mills</t>
  </si>
  <si>
    <t>GM</t>
  </si>
  <si>
    <t>GPC</t>
  </si>
  <si>
    <t>Genuine Parts</t>
  </si>
  <si>
    <t>GILD</t>
  </si>
  <si>
    <t>GPK</t>
  </si>
  <si>
    <t>Graphic Packaging</t>
  </si>
  <si>
    <t>GPI</t>
  </si>
  <si>
    <t>Group 1 Automotive</t>
  </si>
  <si>
    <t>HIG</t>
  </si>
  <si>
    <t>HCA</t>
  </si>
  <si>
    <t>HSIC</t>
  </si>
  <si>
    <t>Henry Schein</t>
  </si>
  <si>
    <t>HSY</t>
  </si>
  <si>
    <t>Hershey</t>
  </si>
  <si>
    <t>HD</t>
  </si>
  <si>
    <t>HON</t>
  </si>
  <si>
    <t>HRL</t>
  </si>
  <si>
    <t>Hormel Foods</t>
  </si>
  <si>
    <t>HPQ</t>
  </si>
  <si>
    <t>HUM</t>
  </si>
  <si>
    <t>Kentucky</t>
  </si>
  <si>
    <t>HBAN</t>
  </si>
  <si>
    <t>Huntington Bancshares</t>
  </si>
  <si>
    <t>HII</t>
  </si>
  <si>
    <t>ITW</t>
  </si>
  <si>
    <t>Illinois Tool Works</t>
  </si>
  <si>
    <t>NSIT</t>
  </si>
  <si>
    <t>Insight Enterprises</t>
  </si>
  <si>
    <t>INTC</t>
  </si>
  <si>
    <t>IP</t>
  </si>
  <si>
    <t>International Paper</t>
  </si>
  <si>
    <t>IPG</t>
  </si>
  <si>
    <t>Interpublic Group</t>
  </si>
  <si>
    <t>INTU</t>
  </si>
  <si>
    <t>JBHT</t>
  </si>
  <si>
    <t>J.B. Hunt Transport Services</t>
  </si>
  <si>
    <t>Arkansas</t>
  </si>
  <si>
    <t>J</t>
  </si>
  <si>
    <t>JLL</t>
  </si>
  <si>
    <t>Jones Lang LaSalle</t>
  </si>
  <si>
    <t>JPM</t>
  </si>
  <si>
    <t>K</t>
  </si>
  <si>
    <t>Kellogg</t>
  </si>
  <si>
    <t>KDP</t>
  </si>
  <si>
    <t>Keurig Dr Pepper</t>
  </si>
  <si>
    <t>KEY</t>
  </si>
  <si>
    <t>KeyCorp</t>
  </si>
  <si>
    <t>KMB</t>
  </si>
  <si>
    <t>Kimberly-Clark</t>
  </si>
  <si>
    <t>KMI</t>
  </si>
  <si>
    <t>KLAC</t>
  </si>
  <si>
    <t>KLA</t>
  </si>
  <si>
    <t>KNX</t>
  </si>
  <si>
    <t>Knight-Swift Transportation Holdings</t>
  </si>
  <si>
    <t>KSS</t>
  </si>
  <si>
    <t>Kohl's</t>
  </si>
  <si>
    <t>KR</t>
  </si>
  <si>
    <t>LHX</t>
  </si>
  <si>
    <t>LH</t>
  </si>
  <si>
    <t>Laboratory Corporation of America</t>
  </si>
  <si>
    <t>LSTR</t>
  </si>
  <si>
    <t>Landstar System</t>
  </si>
  <si>
    <t>LEN</t>
  </si>
  <si>
    <t>LAD</t>
  </si>
  <si>
    <t>Lithia Motors</t>
  </si>
  <si>
    <t>Oregon</t>
  </si>
  <si>
    <t>LKQ</t>
  </si>
  <si>
    <t>LMT</t>
  </si>
  <si>
    <t>Maryland</t>
  </si>
  <si>
    <t>LOW</t>
  </si>
  <si>
    <t>LUMN</t>
  </si>
  <si>
    <t>MTB</t>
  </si>
  <si>
    <t>M&amp;T Bank</t>
  </si>
  <si>
    <t>MAN</t>
  </si>
  <si>
    <t>ManpowerGroup</t>
  </si>
  <si>
    <t>MPC</t>
  </si>
  <si>
    <t>MAR</t>
  </si>
  <si>
    <t>Marriott International</t>
  </si>
  <si>
    <t>MMC</t>
  </si>
  <si>
    <t>Marsh &amp; McLennan</t>
  </si>
  <si>
    <t>MAS</t>
  </si>
  <si>
    <t>Masco</t>
  </si>
  <si>
    <t>MTZ</t>
  </si>
  <si>
    <t>Mastec</t>
  </si>
  <si>
    <t>MA</t>
  </si>
  <si>
    <t>MCD</t>
  </si>
  <si>
    <t>META</t>
  </si>
  <si>
    <t>MET</t>
  </si>
  <si>
    <t>MSFT</t>
  </si>
  <si>
    <t>MRNA</t>
  </si>
  <si>
    <t>Moderna</t>
  </si>
  <si>
    <t>MHK</t>
  </si>
  <si>
    <t>Mohawk Industries</t>
  </si>
  <si>
    <t>MOH</t>
  </si>
  <si>
    <t>Molina Healthcare</t>
  </si>
  <si>
    <t>TAP</t>
  </si>
  <si>
    <t>Molson Coors</t>
  </si>
  <si>
    <t>MS</t>
  </si>
  <si>
    <t>MSI</t>
  </si>
  <si>
    <t>Motorola Solutions</t>
  </si>
  <si>
    <t>NFLX</t>
  </si>
  <si>
    <t>NEE</t>
  </si>
  <si>
    <t>NKE</t>
  </si>
  <si>
    <t>NSC</t>
  </si>
  <si>
    <t>NTRS</t>
  </si>
  <si>
    <t>Northern Trust</t>
  </si>
  <si>
    <t>NOC</t>
  </si>
  <si>
    <t>NRG</t>
  </si>
  <si>
    <t>NUE</t>
  </si>
  <si>
    <t>NVDA</t>
  </si>
  <si>
    <t>NVR</t>
  </si>
  <si>
    <t>ORLY</t>
  </si>
  <si>
    <t>O'Reilly Automotive</t>
  </si>
  <si>
    <t>ODP</t>
  </si>
  <si>
    <t>Office Depot</t>
  </si>
  <si>
    <t>OMC</t>
  </si>
  <si>
    <t>Omnicom Group</t>
  </si>
  <si>
    <t>OKE</t>
  </si>
  <si>
    <t>OSK</t>
  </si>
  <si>
    <t>Oshkosh</t>
  </si>
  <si>
    <t>OTIS</t>
  </si>
  <si>
    <t>Otis Worldwide</t>
  </si>
  <si>
    <t>OC</t>
  </si>
  <si>
    <t>PCAR</t>
  </si>
  <si>
    <t>Paccar</t>
  </si>
  <si>
    <t>PKG</t>
  </si>
  <si>
    <t>Packaging Corporation of America</t>
  </si>
  <si>
    <t>PARA</t>
  </si>
  <si>
    <t>Paramount (CBS)</t>
  </si>
  <si>
    <t>PH</t>
  </si>
  <si>
    <t>Parker Hannifin</t>
  </si>
  <si>
    <t>PAG</t>
  </si>
  <si>
    <t>PEP</t>
  </si>
  <si>
    <t>PSX</t>
  </si>
  <si>
    <t>PDX</t>
  </si>
  <si>
    <t>PNC</t>
  </si>
  <si>
    <t>PII</t>
  </si>
  <si>
    <t>Polaris Industries</t>
  </si>
  <si>
    <t>PPG</t>
  </si>
  <si>
    <t>PFG</t>
  </si>
  <si>
    <t>PG</t>
  </si>
  <si>
    <t>PGR</t>
  </si>
  <si>
    <t>(N/A)</t>
  </si>
  <si>
    <t>Publix Super Markets</t>
  </si>
  <si>
    <t>PHM</t>
  </si>
  <si>
    <t>PulteGroup</t>
  </si>
  <si>
    <t>QCOM</t>
  </si>
  <si>
    <t>PWR</t>
  </si>
  <si>
    <t>Quanta Services</t>
  </si>
  <si>
    <t>DGX</t>
  </si>
  <si>
    <t>Quest Diagnostics</t>
  </si>
  <si>
    <t>RJF</t>
  </si>
  <si>
    <t>Raymond James Financial</t>
  </si>
  <si>
    <t>RTX</t>
  </si>
  <si>
    <t>REGN</t>
  </si>
  <si>
    <t>Regeneron Pharmaceuticals</t>
  </si>
  <si>
    <t>RF</t>
  </si>
  <si>
    <t>Regions Financial</t>
  </si>
  <si>
    <t>Alabama</t>
  </si>
  <si>
    <t>RGA</t>
  </si>
  <si>
    <t>RS</t>
  </si>
  <si>
    <t>Reliance Steel &amp; Aluminum</t>
  </si>
  <si>
    <t>RSG</t>
  </si>
  <si>
    <t>Republic Services</t>
  </si>
  <si>
    <t>RHI</t>
  </si>
  <si>
    <t>Robert Half International</t>
  </si>
  <si>
    <t>ROK</t>
  </si>
  <si>
    <t>Rockwell Automation</t>
  </si>
  <si>
    <t>ROST</t>
  </si>
  <si>
    <t>Ross Stores</t>
  </si>
  <si>
    <t>SPGI</t>
  </si>
  <si>
    <t>S&amp;P Global</t>
  </si>
  <si>
    <t>CRM</t>
  </si>
  <si>
    <t>SANM</t>
  </si>
  <si>
    <t>Sanmina-SCI</t>
  </si>
  <si>
    <t>SAIC</t>
  </si>
  <si>
    <t>Science Applications International</t>
  </si>
  <si>
    <t>SRE</t>
  </si>
  <si>
    <t>SHW</t>
  </si>
  <si>
    <t>Sherwin-Williams</t>
  </si>
  <si>
    <t>SAH</t>
  </si>
  <si>
    <t>Sonic Automotive</t>
  </si>
  <si>
    <t>SO</t>
  </si>
  <si>
    <t>LUV</t>
  </si>
  <si>
    <t>Southwest Airlines</t>
  </si>
  <si>
    <t>SPTN</t>
  </si>
  <si>
    <t>SpartanNash</t>
  </si>
  <si>
    <t>SBUX</t>
  </si>
  <si>
    <t>STT</t>
  </si>
  <si>
    <t>State Street</t>
  </si>
  <si>
    <t>STLD</t>
  </si>
  <si>
    <t>Steel Dynamics</t>
  </si>
  <si>
    <t>SNEX</t>
  </si>
  <si>
    <t>SYK</t>
  </si>
  <si>
    <t>Stryker</t>
  </si>
  <si>
    <t>SYF</t>
  </si>
  <si>
    <t>TMUS</t>
  </si>
  <si>
    <t>TGT</t>
  </si>
  <si>
    <t>TMHC</t>
  </si>
  <si>
    <t>TSLA</t>
  </si>
  <si>
    <t>TXN</t>
  </si>
  <si>
    <t>TXT</t>
  </si>
  <si>
    <t>TMO</t>
  </si>
  <si>
    <t>THO</t>
  </si>
  <si>
    <t>Thor Industries</t>
  </si>
  <si>
    <t>TSCO</t>
  </si>
  <si>
    <t>Tractor Supply</t>
  </si>
  <si>
    <t>TRV</t>
  </si>
  <si>
    <t>TFC</t>
  </si>
  <si>
    <t>Truist Financial</t>
  </si>
  <si>
    <t>USB</t>
  </si>
  <si>
    <t>UFPI</t>
  </si>
  <si>
    <t>UFP Industries</t>
  </si>
  <si>
    <t>ULTA</t>
  </si>
  <si>
    <t>Ulta Beauty</t>
  </si>
  <si>
    <t>UNP</t>
  </si>
  <si>
    <t>Nebraska</t>
  </si>
  <si>
    <t>UPS</t>
  </si>
  <si>
    <t>URI</t>
  </si>
  <si>
    <t>United Rentals</t>
  </si>
  <si>
    <t>UHS</t>
  </si>
  <si>
    <t>Universal Health Services</t>
  </si>
  <si>
    <t>UNM</t>
  </si>
  <si>
    <t>Unum Group</t>
  </si>
  <si>
    <t>USFD</t>
  </si>
  <si>
    <t>US Foods Holding</t>
  </si>
  <si>
    <t>VLO</t>
  </si>
  <si>
    <t>VZ</t>
  </si>
  <si>
    <t>VRTX</t>
  </si>
  <si>
    <t>VMC</t>
  </si>
  <si>
    <t>Vulcan Materials</t>
  </si>
  <si>
    <t>WRB</t>
  </si>
  <si>
    <t>W.R. Berkley</t>
  </si>
  <si>
    <t>GWW</t>
  </si>
  <si>
    <t>W.W. Grainger</t>
  </si>
  <si>
    <t>WBA</t>
  </si>
  <si>
    <t>WMT</t>
  </si>
  <si>
    <t>DIS</t>
  </si>
  <si>
    <t>WM</t>
  </si>
  <si>
    <t>Waste Management</t>
  </si>
  <si>
    <t>WCC</t>
  </si>
  <si>
    <t>Wesco International</t>
  </si>
  <si>
    <t>WAB</t>
  </si>
  <si>
    <t>Westinghouse Air Brake</t>
  </si>
  <si>
    <t>WLK</t>
  </si>
  <si>
    <t>WRK</t>
  </si>
  <si>
    <t>Westrock</t>
  </si>
  <si>
    <t>WHR</t>
  </si>
  <si>
    <t>WMB</t>
  </si>
  <si>
    <t>WSM</t>
  </si>
  <si>
    <t>Williams-Sonoma</t>
  </si>
  <si>
    <t>XEL</t>
  </si>
  <si>
    <t>XPO</t>
  </si>
  <si>
    <t>XPO Logistics</t>
  </si>
  <si>
    <t>ZTS</t>
  </si>
  <si>
    <t>Zoetis</t>
  </si>
  <si>
    <t>JEF</t>
  </si>
  <si>
    <t>Jefferies Financial</t>
  </si>
  <si>
    <t>CLX</t>
  </si>
  <si>
    <t>Clorox</t>
  </si>
  <si>
    <t>RUSHA</t>
  </si>
  <si>
    <t>Rush Enterprises</t>
  </si>
  <si>
    <t>AFG</t>
  </si>
  <si>
    <t>American Financial Group</t>
  </si>
  <si>
    <t>FAST</t>
  </si>
  <si>
    <t>Fastenal</t>
  </si>
  <si>
    <t>MDU</t>
  </si>
  <si>
    <t>A</t>
  </si>
  <si>
    <t>YUM</t>
  </si>
  <si>
    <t>FRCB</t>
  </si>
  <si>
    <t>First Republic Bank</t>
  </si>
  <si>
    <t>RPM</t>
  </si>
  <si>
    <t>RPM International</t>
  </si>
  <si>
    <t>TROW</t>
  </si>
  <si>
    <t>T. Rowe Price</t>
  </si>
  <si>
    <t>MLM</t>
  </si>
  <si>
    <t>Martin Marietta</t>
  </si>
  <si>
    <t>SFM</t>
  </si>
  <si>
    <t>Sprouts Farmers Market</t>
  </si>
  <si>
    <t>MKC</t>
  </si>
  <si>
    <t>McCormick &amp; Co</t>
  </si>
  <si>
    <t>SEM</t>
  </si>
  <si>
    <t>Select Medical Holdings</t>
  </si>
  <si>
    <t>NTAP</t>
  </si>
  <si>
    <t>NetApp</t>
  </si>
  <si>
    <t>MNST</t>
  </si>
  <si>
    <t>Monster Beverage</t>
  </si>
  <si>
    <t>ODFL</t>
  </si>
  <si>
    <t>Old Dominion Freight Line</t>
  </si>
  <si>
    <t>NDAQ</t>
  </si>
  <si>
    <t>Nasdaq</t>
  </si>
  <si>
    <t>ISRG</t>
  </si>
  <si>
    <t>Intuitive Surgical</t>
  </si>
  <si>
    <t>CACI</t>
  </si>
  <si>
    <t>CACI International</t>
  </si>
  <si>
    <t>POOL</t>
  </si>
  <si>
    <t>Pool Corporation</t>
  </si>
  <si>
    <t>AME</t>
  </si>
  <si>
    <t>Ametek</t>
  </si>
  <si>
    <t>VOYA</t>
  </si>
  <si>
    <t>EVRG</t>
  </si>
  <si>
    <t>FTV</t>
  </si>
  <si>
    <t>Fortive</t>
  </si>
  <si>
    <t>BR</t>
  </si>
  <si>
    <t>Broadridge Financial</t>
  </si>
  <si>
    <t>HWM</t>
  </si>
  <si>
    <t>Howmet Aerospace</t>
  </si>
  <si>
    <t>SEE</t>
  </si>
  <si>
    <t>Sealed Air</t>
  </si>
  <si>
    <t>SWKS</t>
  </si>
  <si>
    <t>Skyworks Solutions</t>
  </si>
  <si>
    <t>IT</t>
  </si>
  <si>
    <t>Gartner</t>
  </si>
  <si>
    <t>ROP</t>
  </si>
  <si>
    <t>Roper Technologies</t>
  </si>
  <si>
    <t>MCO</t>
  </si>
  <si>
    <t>Moody's</t>
  </si>
  <si>
    <t>TDY</t>
  </si>
  <si>
    <t>Teledyne Technologies</t>
  </si>
  <si>
    <t>TDG</t>
  </si>
  <si>
    <t>Transdigm Group</t>
  </si>
  <si>
    <t>TDS</t>
  </si>
  <si>
    <t>Telephone &amp; Data Systems</t>
  </si>
  <si>
    <t>EW</t>
  </si>
  <si>
    <t>Edwards Lifesciences</t>
  </si>
  <si>
    <t>CHD</t>
  </si>
  <si>
    <t>Church &amp; Dwight</t>
  </si>
  <si>
    <t>JNPR</t>
  </si>
  <si>
    <t>Juniper Networks</t>
  </si>
  <si>
    <t>LEG</t>
  </si>
  <si>
    <t>Leggett &amp; Platt</t>
  </si>
  <si>
    <t>CME</t>
  </si>
  <si>
    <t>CME Group</t>
  </si>
  <si>
    <t>HUBB</t>
  </si>
  <si>
    <t>Hubbell</t>
  </si>
  <si>
    <t>SNA</t>
  </si>
  <si>
    <t>Snap-on</t>
  </si>
  <si>
    <t>EPAM</t>
  </si>
  <si>
    <t>EPAM Systems</t>
  </si>
  <si>
    <t>PAYX</t>
  </si>
  <si>
    <t>Paychex</t>
  </si>
  <si>
    <t>RVTY</t>
  </si>
  <si>
    <t>Revvity</t>
  </si>
  <si>
    <t>DPZ</t>
  </si>
  <si>
    <t>TKR</t>
  </si>
  <si>
    <t>Timken</t>
  </si>
  <si>
    <t>ANET</t>
  </si>
  <si>
    <t>Arista Networks</t>
  </si>
  <si>
    <t>BFH</t>
  </si>
  <si>
    <t>Bread Financial</t>
  </si>
  <si>
    <t>LNT</t>
  </si>
  <si>
    <t>ATO</t>
  </si>
  <si>
    <t>LW</t>
  </si>
  <si>
    <t>Lamb Weston</t>
  </si>
  <si>
    <t>CRL</t>
  </si>
  <si>
    <t>Charles River Laboratories</t>
  </si>
  <si>
    <t>CBOE</t>
  </si>
  <si>
    <t>CBOE Global Markets</t>
  </si>
  <si>
    <t>BF.A</t>
  </si>
  <si>
    <t>Brown-Forman</t>
  </si>
  <si>
    <t>GHC</t>
  </si>
  <si>
    <t>Graham Holdings</t>
  </si>
  <si>
    <t>MTD</t>
  </si>
  <si>
    <t>Mettler Toledo</t>
  </si>
  <si>
    <t>AWK</t>
  </si>
  <si>
    <t>AOS</t>
  </si>
  <si>
    <t>A.O. Smith</t>
  </si>
  <si>
    <t>CMA</t>
  </si>
  <si>
    <t>Comerica</t>
  </si>
  <si>
    <t>ALGN</t>
  </si>
  <si>
    <t>Align Technology</t>
  </si>
  <si>
    <t>TRMB</t>
  </si>
  <si>
    <t>Trimble</t>
  </si>
  <si>
    <t>BRO</t>
  </si>
  <si>
    <t>Brown &amp; Brown</t>
  </si>
  <si>
    <t>CDNS</t>
  </si>
  <si>
    <t>Cadence Design Systems</t>
  </si>
  <si>
    <t>CPRT</t>
  </si>
  <si>
    <t>Copart</t>
  </si>
  <si>
    <t>HRB</t>
  </si>
  <si>
    <t>H&amp;R Block</t>
  </si>
  <si>
    <t>FLT</t>
  </si>
  <si>
    <t>Fleetcor Technologies</t>
  </si>
  <si>
    <t>IDXX</t>
  </si>
  <si>
    <t>IDEXX Laboratories</t>
  </si>
  <si>
    <t>Maine</t>
  </si>
  <si>
    <t>ZION</t>
  </si>
  <si>
    <t>Zions bancorp</t>
  </si>
  <si>
    <t>Utah</t>
  </si>
  <si>
    <t>MTCH</t>
  </si>
  <si>
    <t>IEX</t>
  </si>
  <si>
    <t>IDEX</t>
  </si>
  <si>
    <t>TER</t>
  </si>
  <si>
    <t>Teradyne</t>
  </si>
  <si>
    <t>VRSK</t>
  </si>
  <si>
    <t>Verisk Analytics</t>
  </si>
  <si>
    <t>WAT</t>
  </si>
  <si>
    <t>Waters</t>
  </si>
  <si>
    <t>WST</t>
  </si>
  <si>
    <t>West Pharmaceutical</t>
  </si>
  <si>
    <t>TFX</t>
  </si>
  <si>
    <t>Teleflex</t>
  </si>
  <si>
    <t>FFIV</t>
  </si>
  <si>
    <t>F5 Networks</t>
  </si>
  <si>
    <t>ROL</t>
  </si>
  <si>
    <t>Rollins</t>
  </si>
  <si>
    <t>NDSN</t>
  </si>
  <si>
    <t>Nordson</t>
  </si>
  <si>
    <t>ETSY</t>
  </si>
  <si>
    <t>Etsy</t>
  </si>
  <si>
    <t>ANSS</t>
  </si>
  <si>
    <t>Ansys</t>
  </si>
  <si>
    <t>TECH</t>
  </si>
  <si>
    <t>Bio-Techne</t>
  </si>
  <si>
    <t>CSGP</t>
  </si>
  <si>
    <t>Costar Group</t>
  </si>
  <si>
    <t>FDS</t>
  </si>
  <si>
    <t>Factset</t>
  </si>
  <si>
    <t>IPGP</t>
  </si>
  <si>
    <t>IPG Photonics</t>
  </si>
  <si>
    <t>JKHY</t>
  </si>
  <si>
    <t>Jack Henry &amp; Associates</t>
  </si>
  <si>
    <t>Kansas City Southern</t>
  </si>
  <si>
    <t>MKTX</t>
  </si>
  <si>
    <t>MarketAxess</t>
  </si>
  <si>
    <t>MSCI</t>
  </si>
  <si>
    <t>PAYC</t>
  </si>
  <si>
    <t>Paycom</t>
  </si>
  <si>
    <t>TYL</t>
  </si>
  <si>
    <t>Tyler Technologies</t>
  </si>
  <si>
    <t>VRSN</t>
  </si>
  <si>
    <t>Verisign</t>
  </si>
  <si>
    <t>SNX</t>
  </si>
  <si>
    <t>WX</t>
  </si>
  <si>
    <t>WFC</t>
  </si>
  <si>
    <t>AXP</t>
  </si>
  <si>
    <t>W</t>
  </si>
  <si>
    <t>AMAT</t>
  </si>
  <si>
    <t>Applied Materials</t>
  </si>
  <si>
    <t>AMD</t>
  </si>
  <si>
    <t>FI</t>
  </si>
  <si>
    <t>EIX</t>
  </si>
  <si>
    <t>ORI</t>
  </si>
  <si>
    <t>Old Republic International</t>
  </si>
  <si>
    <t>EA</t>
  </si>
  <si>
    <t>Electronic Arts</t>
  </si>
  <si>
    <t>KEYS</t>
  </si>
  <si>
    <t>Keysight Technologies</t>
  </si>
  <si>
    <t>TPX</t>
  </si>
  <si>
    <t>Tempur Sealy</t>
  </si>
  <si>
    <t>CTLT</t>
  </si>
  <si>
    <t>Catalent</t>
  </si>
  <si>
    <t>COLM</t>
  </si>
  <si>
    <t>Columbia Sportswear</t>
  </si>
  <si>
    <t>UNH</t>
  </si>
  <si>
    <t>NO</t>
  </si>
  <si>
    <t>BRK.A</t>
  </si>
  <si>
    <t>IBM</t>
  </si>
  <si>
    <t>PRU</t>
  </si>
  <si>
    <t>PM</t>
  </si>
  <si>
    <t>GS</t>
  </si>
  <si>
    <t>ABT</t>
  </si>
  <si>
    <t>x</t>
  </si>
  <si>
    <t>ALL</t>
  </si>
  <si>
    <t>AAL</t>
  </si>
  <si>
    <t>BMY</t>
  </si>
  <si>
    <t>GE</t>
  </si>
  <si>
    <t>DINO</t>
  </si>
  <si>
    <t>HF Sinclair</t>
  </si>
  <si>
    <t>JNJ</t>
  </si>
  <si>
    <t>LDOS</t>
  </si>
  <si>
    <t>Leidos Holdings</t>
  </si>
  <si>
    <t>SYY</t>
  </si>
  <si>
    <t>TSN</t>
  </si>
  <si>
    <t>PCG</t>
  </si>
  <si>
    <t>PG&amp;E</t>
  </si>
  <si>
    <t>UBER</t>
  </si>
  <si>
    <t>Uber Technologies</t>
  </si>
  <si>
    <t>ABBV</t>
  </si>
  <si>
    <t>PYPL</t>
  </si>
  <si>
    <t>PayPal Holdings</t>
  </si>
  <si>
    <t>MCK</t>
  </si>
  <si>
    <t>MRK</t>
  </si>
  <si>
    <t>M</t>
  </si>
  <si>
    <t>Macy's</t>
  </si>
  <si>
    <t>WKC</t>
  </si>
  <si>
    <t>SWK</t>
  </si>
  <si>
    <t>Stanley Black &amp; Decker</t>
  </si>
  <si>
    <t>OXY</t>
  </si>
  <si>
    <t>Occidental Petroleum</t>
  </si>
  <si>
    <t>GT</t>
  </si>
  <si>
    <t>Goodyear Tire &amp; Rubber</t>
  </si>
  <si>
    <t>JBL</t>
  </si>
  <si>
    <t>Jabil</t>
  </si>
  <si>
    <t>DAL</t>
  </si>
  <si>
    <t>HAL</t>
  </si>
  <si>
    <t>Halliburton</t>
  </si>
  <si>
    <t>WBD</t>
  </si>
  <si>
    <t>Warner Bros. Discovery</t>
  </si>
  <si>
    <t>CAH</t>
  </si>
  <si>
    <t>UAL</t>
  </si>
  <si>
    <t>DD</t>
  </si>
  <si>
    <t>DuPont</t>
  </si>
  <si>
    <t>KHC</t>
  </si>
  <si>
    <t>Kraft Heinz</t>
  </si>
  <si>
    <t>DELL</t>
  </si>
  <si>
    <t>AVGO</t>
  </si>
  <si>
    <t>Broadcom</t>
  </si>
  <si>
    <t>BA</t>
  </si>
  <si>
    <t>ARW</t>
  </si>
  <si>
    <t>PFE</t>
  </si>
  <si>
    <t>LLY</t>
  </si>
  <si>
    <t>Eli Lilly</t>
  </si>
  <si>
    <t>ORCL</t>
  </si>
  <si>
    <r>
      <rPr>
        <rFont val="Arial Narrow"/>
        <b/>
        <color theme="1"/>
      </rPr>
      <t xml:space="preserve">Corporate Pay
</t>
    </r>
    <r>
      <rPr>
        <rFont val="Arial Narrow"/>
        <b val="0"/>
        <i/>
        <color theme="1"/>
      </rPr>
      <t>2022–2018</t>
    </r>
  </si>
  <si>
    <t>Year</t>
  </si>
  <si>
    <t>Total</t>
  </si>
  <si>
    <t>$ millions</t>
  </si>
  <si>
    <t>Domestic Revenue</t>
  </si>
  <si>
    <t>Total Revenue</t>
  </si>
  <si>
    <t>Domestic Share</t>
  </si>
  <si>
    <t>Domestic Income</t>
  </si>
  <si>
    <t>Total Income</t>
  </si>
  <si>
    <t>Domestic Assets</t>
  </si>
  <si>
    <t>Total Assets</t>
  </si>
  <si>
    <t>Source</t>
  </si>
  <si>
    <t>EBITDA</t>
  </si>
  <si>
    <t>EBIT</t>
  </si>
  <si>
    <t>Interest Expense</t>
  </si>
  <si>
    <t>Interest Share 
of EBITDA</t>
  </si>
  <si>
    <t>Interest Share 
of EBIT</t>
  </si>
  <si>
    <t xml:space="preserve">R&amp;D tax credits        </t>
  </si>
  <si>
    <t xml:space="preserve">Stock option tax break </t>
  </si>
  <si>
    <t>42,428,87</t>
  </si>
  <si>
    <r>
      <rPr>
        <rFont val="Arial Narrow"/>
        <b/>
        <color theme="1"/>
      </rPr>
      <t xml:space="preserve">Corporate Pay
</t>
    </r>
    <r>
      <rPr>
        <rFont val="Arial Narrow"/>
        <b val="0"/>
        <i/>
        <color theme="1"/>
      </rPr>
      <t>2022–2018</t>
    </r>
  </si>
  <si>
    <t>Revenue from the Defense Department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</si>
</sst>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0.0%"/>
    <numFmt numFmtId="166" formatCode="&quot;$&quot;#,##0.00"/>
    <numFmt numFmtId="167" formatCode="&quot;$&quot;#,##0.0000"/>
    <numFmt numFmtId="168" formatCode="#,##0_);\–#,##0_);&quot;—&quot;_)_);@_)"/>
  </numFmts>
  <fonts count="98">
    <font>
      <sz val="10.0"/>
      <color rgb="FF000000"/>
      <name val="Arial Narrow"/>
      <scheme val="minor"/>
    </font>
    <font>
      <color theme="1"/>
      <name val="Arial Narrow"/>
      <scheme val="minor"/>
    </font>
    <font>
      <b/>
      <color theme="1"/>
      <name val="Arial Narrow"/>
      <scheme val="minor"/>
    </font>
    <font/>
    <font>
      <b/>
      <sz val="11.0"/>
      <color rgb="FF000000"/>
      <name val="Arial Narrow"/>
      <scheme val="minor"/>
    </font>
    <font>
      <sz val="12.0"/>
      <color theme="1"/>
      <name val="Arial Narrow"/>
      <scheme val="minor"/>
    </font>
    <font>
      <b/>
      <sz val="12.0"/>
      <color theme="1"/>
      <name val="Arial Narrow"/>
      <scheme val="minor"/>
    </font>
    <font>
      <sz val="12.0"/>
      <color rgb="FF000000"/>
      <name val="Arial Narrow"/>
      <scheme val="minor"/>
    </font>
    <font>
      <sz val="10.0"/>
      <color rgb="FF0000FF"/>
      <name val="Arial Narrow"/>
      <scheme val="minor"/>
    </font>
    <font>
      <b/>
      <sz val="14.0"/>
      <color theme="1"/>
      <name val="Arial Narrow"/>
      <scheme val="minor"/>
    </font>
    <font>
      <b/>
      <sz val="9.0"/>
      <color theme="1"/>
      <name val="Arial Narrow"/>
    </font>
    <font>
      <b/>
      <color theme="1"/>
      <name val="Arial Narrow"/>
    </font>
    <font>
      <b/>
      <color theme="1"/>
      <name val="&quot;Arial Narrow&quot;"/>
    </font>
    <font>
      <color theme="1"/>
      <name val="&quot;Arial Narrow&quot;"/>
    </font>
    <font>
      <color theme="1"/>
      <name val="Arial Narrow"/>
    </font>
    <font>
      <b/>
      <sz val="10.0"/>
      <color theme="1"/>
      <name val="Arial Narrow"/>
      <scheme val="minor"/>
    </font>
    <font>
      <sz val="10.0"/>
      <color rgb="FF000000"/>
      <name val="Arial Narrow"/>
    </font>
    <font>
      <b/>
      <sz val="10.0"/>
      <color theme="1"/>
      <name val="Arial Narrow"/>
    </font>
    <font>
      <sz val="10.0"/>
      <color theme="1"/>
      <name val="Arial Narrow"/>
      <scheme val="minor"/>
    </font>
    <font>
      <b/>
      <color rgb="FF000000"/>
      <name val="Arial Narrow"/>
    </font>
    <font>
      <b/>
      <i/>
      <color theme="1"/>
      <name val="Arial Narrow"/>
    </font>
    <font>
      <b/>
      <sz val="10.0"/>
      <color rgb="FF000000"/>
      <name val="Arial Narrow"/>
      <scheme val="minor"/>
    </font>
    <font>
      <sz val="10.0"/>
      <color theme="1"/>
      <name val="Arial Narrow"/>
    </font>
    <font>
      <i/>
      <u/>
      <sz val="10.0"/>
      <color rgb="FF000000"/>
      <name val="Arial Narrow"/>
      <scheme val="minor"/>
    </font>
    <font>
      <color rgb="FF000000"/>
      <name val="&quot;Arial Narrow&quot;"/>
    </font>
    <font>
      <b/>
      <sz val="9.0"/>
      <color rgb="FF000000"/>
      <name val="Arial Narrow"/>
      <scheme val="minor"/>
    </font>
    <font>
      <u/>
      <color rgb="FF1155CC"/>
      <name val="&quot;Arial Narrow&quot;"/>
    </font>
    <font>
      <sz val="9.0"/>
      <color rgb="FF000000"/>
      <name val="Arial Narrow"/>
      <scheme val="minor"/>
    </font>
    <font>
      <u/>
      <color rgb="FF1155CC"/>
      <name val="Arial Narrow"/>
    </font>
    <font>
      <u/>
      <color rgb="FF0000FF"/>
      <name val="Arial Narrow"/>
    </font>
    <font>
      <u/>
      <color rgb="FF0000FF"/>
      <name val="&quot;Arial Narrow&quot;"/>
    </font>
    <font>
      <i/>
      <u/>
      <color theme="1"/>
      <name val="&quot;Arial Narrow&quot;"/>
    </font>
    <font>
      <u/>
      <color rgb="FF0000FF"/>
      <name val="Arial Narrow"/>
    </font>
    <font>
      <u/>
      <sz val="10.0"/>
      <color rgb="FF0000FF"/>
      <name val="Arial Narrow"/>
    </font>
    <font>
      <i/>
      <u/>
      <color theme="1"/>
      <name val="&quot;Arial Narrow&quot;"/>
    </font>
    <font>
      <u/>
      <color rgb="FF1155CC"/>
      <name val="&quot;Arial Narrow&quot;"/>
    </font>
    <font>
      <color rgb="FF000000"/>
      <name val="Arial Narrow"/>
      <scheme val="minor"/>
    </font>
    <font>
      <i/>
      <color theme="1"/>
      <name val="Arial Narrow"/>
    </font>
    <font>
      <u/>
      <sz val="10.0"/>
      <color rgb="FF0000FF"/>
      <name val="Arial Narrow"/>
    </font>
    <font>
      <b/>
      <color rgb="FFFF0000"/>
      <name val="Arial Narrow"/>
    </font>
    <font>
      <i/>
      <sz val="10.0"/>
      <color theme="1"/>
      <name val="Arial Narrow"/>
    </font>
    <font>
      <color theme="1"/>
      <name val="&quot;docs-Arial Narrow&quot;"/>
    </font>
    <font>
      <u/>
      <color rgb="FF1155CC"/>
      <name val="&quot;Arial Narrow&quot;"/>
    </font>
    <font>
      <i/>
      <sz val="10.0"/>
      <color theme="1"/>
      <name val="Arial Narrow"/>
      <scheme val="minor"/>
    </font>
    <font>
      <u/>
      <color rgb="FF0000FF"/>
      <name val="Arial Narrow"/>
    </font>
    <font>
      <u/>
      <color rgb="FF0000FF"/>
      <name val="Arial Narrow"/>
    </font>
    <font>
      <color rgb="FF000000"/>
      <name val="Arial Narrow"/>
    </font>
    <font>
      <i/>
      <color theme="1"/>
      <name val="&quot;Arial Narrow&quot;"/>
    </font>
    <font>
      <u/>
      <color rgb="FF0000FF"/>
    </font>
    <font>
      <color rgb="FF000000"/>
      <name val="&quot;docs-Arial Narrow&quot;"/>
    </font>
    <font>
      <u/>
      <color rgb="FF0000FF"/>
    </font>
    <font>
      <u/>
      <color rgb="FF1155CC"/>
      <name val="&quot;Arial Narrow&quot;"/>
    </font>
    <font>
      <u/>
      <color rgb="FF0000FF"/>
    </font>
    <font>
      <u/>
      <color rgb="FF0000FF"/>
      <name val="Arial Narrow"/>
    </font>
    <font>
      <u/>
      <color rgb="FF1155CC"/>
      <name val="&quot;Arial Narrow&quot;"/>
    </font>
    <font>
      <u/>
      <color rgb="FF0000FF"/>
    </font>
    <font>
      <u/>
      <color rgb="FF0000FF"/>
      <name val="Arial Narrow"/>
    </font>
    <font>
      <u/>
      <color rgb="FF0000FF"/>
      <name val="Arial Narrow"/>
    </font>
    <font>
      <u/>
      <color rgb="FF0000FF"/>
      <name val="&quot;Arial Narrow&quot;"/>
    </font>
    <font>
      <u/>
      <color rgb="FF0000FF"/>
      <name val="&quot;Arial Narrow&quot;"/>
    </font>
    <font>
      <color theme="1"/>
      <name val="Arial"/>
    </font>
    <font>
      <i/>
      <sz val="10.0"/>
      <color rgb="FF000000"/>
      <name val="Arial Narrow"/>
    </font>
    <font>
      <i/>
      <color theme="1"/>
      <name val="Arial Narrow"/>
      <scheme val="minor"/>
    </font>
    <font>
      <u/>
      <color rgb="FF1155CC"/>
      <name val="&quot;Arial Narrow&quot;"/>
    </font>
    <font>
      <b/>
      <u/>
      <sz val="10.0"/>
      <color rgb="FF0000FF"/>
      <name val="Arial Narrow"/>
    </font>
    <font>
      <u/>
      <sz val="10.0"/>
      <color rgb="FF0000FF"/>
      <name val="Arial Narrow"/>
    </font>
    <font>
      <u/>
      <sz val="10.0"/>
      <color rgb="FF0000FF"/>
      <name val="Arial Narrow"/>
    </font>
    <font>
      <b/>
      <u/>
      <sz val="10.0"/>
      <color rgb="FF0000FF"/>
      <name val="Arial Narrow"/>
    </font>
    <font>
      <u/>
      <color rgb="FF1155CC"/>
      <name val="Arial Narrow"/>
    </font>
    <font>
      <u/>
      <color rgb="FF1155CC"/>
      <name val="&quot;Arial Narrow&quot;"/>
    </font>
    <font>
      <u/>
      <color rgb="FF0000FF"/>
      <name val="&quot;Arial Narrow&quot;"/>
    </font>
    <font>
      <u/>
      <color rgb="FF1155CC"/>
      <name val="Arial Narrow"/>
    </font>
    <font>
      <u/>
      <color rgb="FF0000FF"/>
      <name val="Arial Narrow"/>
    </font>
    <font>
      <u/>
      <color rgb="FF1155CC"/>
      <name val="&quot;Arial Narrow&quot;"/>
    </font>
    <font>
      <u/>
      <color rgb="FF1155CC"/>
      <name val="&quot;Arial Narrow&quot;"/>
    </font>
    <font>
      <u/>
      <sz val="10.0"/>
      <color rgb="FF9900FF"/>
      <name val="Arial Narrow"/>
    </font>
    <font>
      <u/>
      <sz val="10.0"/>
      <color rgb="FF0000FF"/>
      <name val="Arial Narrow"/>
    </font>
    <font>
      <u/>
      <sz val="10.0"/>
      <color rgb="FF9900FF"/>
      <name val="Arial Narrow"/>
    </font>
    <font>
      <u/>
      <color rgb="FF1155CC"/>
      <name val="Arial Narrow"/>
    </font>
    <font>
      <u/>
      <color rgb="FF9900FF"/>
      <name val="Arial Narrow"/>
    </font>
    <font>
      <u/>
      <color rgb="FF0000FF"/>
      <name val="Arial Narrow"/>
    </font>
    <font>
      <i/>
      <sz val="10.0"/>
      <color rgb="FFFF0000"/>
      <name val="Arial Narrow"/>
    </font>
    <font>
      <u/>
      <color rgb="FF9900FF"/>
      <name val="&quot;Arial Narrow&quot;"/>
    </font>
    <font>
      <u/>
      <color rgb="FF0000FF"/>
      <name val="&quot;Arial Narrow&quot;"/>
    </font>
    <font>
      <u/>
      <color rgb="FF1155CC"/>
      <name val="&quot;Arial Narrow&quot;"/>
    </font>
    <font>
      <u/>
      <color rgb="FF0000FF"/>
      <name val="Arial Narrow"/>
    </font>
    <font>
      <b/>
      <sz val="10.0"/>
      <color rgb="FF9900FF"/>
      <name val="Arial Narrow"/>
    </font>
    <font>
      <u/>
      <color rgb="FF0000FF"/>
    </font>
    <font>
      <i/>
      <u/>
      <sz val="10.0"/>
      <color rgb="FF000000"/>
      <name val="Arial Narrow"/>
      <scheme val="minor"/>
    </font>
    <font>
      <i/>
      <u/>
      <color theme="1"/>
      <name val="&quot;Arial Narrow&quot;"/>
    </font>
    <font>
      <i/>
      <u/>
      <sz val="10.0"/>
      <color rgb="FF000000"/>
      <name val="Arial Narrow"/>
      <scheme val="minor"/>
    </font>
    <font>
      <i/>
      <u/>
      <sz val="10.0"/>
      <color rgb="FF000000"/>
      <name val="Arial Narrow"/>
      <scheme val="minor"/>
    </font>
    <font>
      <i/>
      <u/>
      <color theme="1"/>
      <name val="&quot;Arial Narrow&quot;"/>
    </font>
    <font>
      <color rgb="FFFF0000"/>
      <name val="Arial Narrow"/>
    </font>
    <font>
      <color rgb="FFFF0000"/>
      <name val="Arial Narrow"/>
      <scheme val="minor"/>
    </font>
    <font>
      <u/>
      <color rgb="FF0000FF"/>
    </font>
    <font>
      <b/>
      <u/>
      <color rgb="FF1155CC"/>
      <name val="&quot;Arial Narrow&quot;"/>
    </font>
    <font>
      <i/>
      <color rgb="FFFF0000"/>
      <name val="&quot;Arial Narrow&quot;"/>
    </font>
  </fonts>
  <fills count="11">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C9DAF8"/>
        <bgColor rgb="FFC9DAF8"/>
      </patternFill>
    </fill>
    <fill>
      <patternFill patternType="solid">
        <fgColor rgb="FF000000"/>
        <bgColor rgb="FF000000"/>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D9EAD3"/>
        <bgColor rgb="FFD9EAD3"/>
      </patternFill>
    </fill>
  </fills>
  <borders count="2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bottom style="thin">
        <color rgb="FFDDDDDD"/>
      </bottom>
    </border>
    <border>
      <bottom style="thin">
        <color rgb="FFDFDFDF"/>
      </bottom>
    </border>
    <border>
      <right style="thin">
        <color rgb="FF000000"/>
      </right>
    </border>
    <border>
      <left style="thick">
        <color rgb="FF000000"/>
      </left>
    </border>
    <border>
      <bottom style="thin">
        <color rgb="FF000000"/>
      </bottom>
    </border>
    <border>
      <right style="thin">
        <color rgb="FF000000"/>
      </right>
      <bottom style="thin">
        <color rgb="FF000000"/>
      </bottom>
    </border>
    <border>
      <right style="thick">
        <color rgb="FF000000"/>
      </right>
    </border>
    <border>
      <left style="medium">
        <color rgb="FF000000"/>
      </left>
    </border>
    <border>
      <right style="medium">
        <color rgb="FF000000"/>
      </right>
    </border>
    <border>
      <top style="thin">
        <color rgb="FFDDDDDD"/>
      </top>
    </border>
    <border>
      <top style="thin">
        <color rgb="FFDDDDDD"/>
      </top>
      <bottom style="thin">
        <color rgb="FFDDDDDD"/>
      </bottom>
    </border>
  </borders>
  <cellStyleXfs count="1">
    <xf borderId="0" fillId="0" fontId="0" numFmtId="0" applyAlignment="1" applyFont="1"/>
  </cellStyleXfs>
  <cellXfs count="86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3" fillId="0" fontId="3" numFmtId="0" xfId="0" applyBorder="1" applyFont="1"/>
    <xf borderId="4" fillId="0" fontId="3" numFmtId="0" xfId="0" applyBorder="1" applyFont="1"/>
    <xf borderId="1" fillId="2" fontId="4" numFmtId="164" xfId="0" applyAlignment="1" applyBorder="1" applyFill="1" applyFont="1" applyNumberFormat="1">
      <alignment horizontal="left" readingOrder="0" shrinkToFit="0" vertical="center" wrapText="1"/>
    </xf>
    <xf borderId="1" fillId="0" fontId="5" numFmtId="164" xfId="0" applyAlignment="1" applyBorder="1" applyFont="1" applyNumberFormat="1">
      <alignment horizontal="center" vertical="center"/>
    </xf>
    <xf borderId="1" fillId="0" fontId="5" numFmtId="165" xfId="0" applyAlignment="1" applyBorder="1" applyFont="1" applyNumberFormat="1">
      <alignment horizontal="center" vertical="center"/>
    </xf>
    <xf borderId="0" fillId="3" fontId="1" numFmtId="0" xfId="0" applyAlignment="1" applyFill="1" applyFont="1">
      <alignment horizontal="center" shrinkToFit="0" vertical="center" wrapText="1"/>
    </xf>
    <xf borderId="1" fillId="0" fontId="5" numFmtId="164" xfId="0" applyAlignment="1" applyBorder="1" applyFont="1" applyNumberFormat="1">
      <alignment horizontal="center" readingOrder="0" vertical="center"/>
    </xf>
    <xf borderId="1" fillId="0" fontId="6" numFmtId="0" xfId="0" applyAlignment="1" applyBorder="1" applyFont="1">
      <alignment horizontal="left" readingOrder="0" shrinkToFit="0" vertical="center" wrapText="1"/>
    </xf>
    <xf borderId="1" fillId="2" fontId="7" numFmtId="164" xfId="0" applyAlignment="1" applyBorder="1" applyFont="1" applyNumberFormat="1">
      <alignment horizontal="center" readingOrder="0" vertical="center"/>
    </xf>
    <xf borderId="5" fillId="0" fontId="1" numFmtId="0" xfId="0" applyAlignment="1" applyBorder="1" applyFont="1">
      <alignment horizontal="center" shrinkToFit="0" vertical="center" wrapText="1"/>
    </xf>
    <xf borderId="5" fillId="0" fontId="1" numFmtId="0" xfId="0" applyAlignment="1" applyBorder="1" applyFont="1">
      <alignment horizontal="center" vertical="center"/>
    </xf>
    <xf borderId="6" fillId="0" fontId="1" numFmtId="0" xfId="0" applyAlignment="1" applyBorder="1" applyFont="1">
      <alignment horizontal="center" shrinkToFit="0" vertical="center" wrapText="1"/>
    </xf>
    <xf borderId="6" fillId="0" fontId="1" numFmtId="0" xfId="0" applyAlignment="1" applyBorder="1" applyFont="1">
      <alignment horizontal="center" vertical="center"/>
    </xf>
    <xf borderId="7" fillId="0" fontId="8" numFmtId="0" xfId="0" applyAlignment="1" applyBorder="1" applyFont="1">
      <alignment horizontal="left" readingOrder="0" shrinkToFit="0" vertical="center" wrapText="1"/>
    </xf>
    <xf borderId="1" fillId="0" fontId="6"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8" fillId="0" fontId="3" numFmtId="0" xfId="0" applyBorder="1" applyFont="1"/>
    <xf borderId="2" fillId="0" fontId="5"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 fillId="3" fontId="7" numFmtId="0" xfId="0" applyAlignment="1" applyBorder="1" applyFont="1">
      <alignment horizontal="left" shrinkToFit="0" vertical="center" wrapText="1"/>
    </xf>
    <xf borderId="1" fillId="3" fontId="5" numFmtId="164" xfId="0" applyAlignment="1" applyBorder="1" applyFont="1" applyNumberFormat="1">
      <alignment horizontal="center" readingOrder="0" vertical="center"/>
    </xf>
    <xf borderId="1" fillId="3" fontId="5" numFmtId="165" xfId="0" applyAlignment="1" applyBorder="1" applyFont="1" applyNumberFormat="1">
      <alignment horizontal="center" readingOrder="0" vertical="center"/>
    </xf>
    <xf borderId="0" fillId="3" fontId="5" numFmtId="164" xfId="0" applyAlignment="1" applyFont="1" applyNumberFormat="1">
      <alignment horizontal="center" readingOrder="0" vertical="center"/>
    </xf>
    <xf borderId="1" fillId="2" fontId="7" numFmtId="0" xfId="0" applyAlignment="1" applyBorder="1" applyFont="1">
      <alignment horizontal="left" shrinkToFit="0" vertical="center" wrapText="1"/>
    </xf>
    <xf borderId="1" fillId="0" fontId="5" numFmtId="165" xfId="0" applyAlignment="1" applyBorder="1" applyFont="1" applyNumberFormat="1">
      <alignment horizontal="center" readingOrder="0" vertical="center"/>
    </xf>
    <xf borderId="0" fillId="0" fontId="5" numFmtId="164" xfId="0" applyAlignment="1" applyFont="1" applyNumberFormat="1">
      <alignment horizontal="center" readingOrder="0" vertical="center"/>
    </xf>
    <xf borderId="1" fillId="3" fontId="5" numFmtId="0" xfId="0" applyAlignment="1" applyBorder="1" applyFont="1">
      <alignment horizontal="left" readingOrder="0" shrinkToFit="0" vertical="center" wrapText="1"/>
    </xf>
    <xf borderId="1" fillId="0" fontId="5" numFmtId="0" xfId="0" applyAlignment="1" applyBorder="1" applyFont="1">
      <alignment horizontal="left" shrinkToFit="0" vertical="center" wrapText="1"/>
    </xf>
    <xf borderId="1" fillId="3" fontId="5" numFmtId="0" xfId="0" applyAlignment="1" applyBorder="1" applyFont="1">
      <alignment horizontal="left" shrinkToFit="0" vertical="center" wrapText="1"/>
    </xf>
    <xf borderId="1" fillId="0" fontId="5" numFmtId="0" xfId="0" applyAlignment="1" applyBorder="1" applyFont="1">
      <alignment horizontal="left" readingOrder="0" shrinkToFit="0" vertical="center" wrapText="1"/>
    </xf>
    <xf borderId="1" fillId="0" fontId="5" numFmtId="0" xfId="0" applyAlignment="1" applyBorder="1" applyFont="1">
      <alignment horizontal="left" shrinkToFit="0" vertical="center" wrapText="1"/>
    </xf>
    <xf borderId="1" fillId="3" fontId="5" numFmtId="0" xfId="0" applyAlignment="1" applyBorder="1" applyFont="1">
      <alignment horizontal="left" shrinkToFit="0" vertical="center" wrapText="1"/>
    </xf>
    <xf borderId="1" fillId="0" fontId="5" numFmtId="164" xfId="0" applyAlignment="1" applyBorder="1" applyFont="1" applyNumberFormat="1">
      <alignment horizontal="left" readingOrder="0" shrinkToFit="0" vertical="center" wrapText="1"/>
    </xf>
    <xf borderId="1" fillId="3" fontId="5" numFmtId="164" xfId="0" applyAlignment="1" applyBorder="1" applyFont="1" applyNumberFormat="1">
      <alignment horizontal="left" shrinkToFit="0" vertical="center" wrapText="1"/>
    </xf>
    <xf borderId="1" fillId="4" fontId="5" numFmtId="0" xfId="0" applyAlignment="1" applyBorder="1" applyFill="1" applyFont="1">
      <alignment horizontal="left" shrinkToFit="0" vertical="center" wrapText="1"/>
    </xf>
    <xf borderId="1" fillId="4" fontId="5" numFmtId="164" xfId="0" applyAlignment="1" applyBorder="1" applyFont="1" applyNumberFormat="1">
      <alignment horizontal="center" readingOrder="0" vertical="center"/>
    </xf>
    <xf borderId="1" fillId="4" fontId="5" numFmtId="165" xfId="0" applyAlignment="1" applyBorder="1" applyFont="1" applyNumberFormat="1">
      <alignment horizontal="center" readingOrder="0" vertical="center"/>
    </xf>
    <xf borderId="0" fillId="4" fontId="5" numFmtId="164" xfId="0" applyAlignment="1" applyFont="1" applyNumberFormat="1">
      <alignment horizontal="center" readingOrder="0" vertical="center"/>
    </xf>
    <xf borderId="1" fillId="0" fontId="9" numFmtId="0" xfId="0" applyAlignment="1" applyBorder="1" applyFont="1">
      <alignment horizontal="left" readingOrder="0" shrinkToFit="0" vertical="center" wrapText="1"/>
    </xf>
    <xf borderId="1" fillId="0" fontId="9" numFmtId="164" xfId="0" applyAlignment="1" applyBorder="1" applyFont="1" applyNumberFormat="1">
      <alignment horizontal="center" readingOrder="0" vertical="center"/>
    </xf>
    <xf borderId="1" fillId="0" fontId="9" numFmtId="165" xfId="0" applyAlignment="1" applyBorder="1" applyFont="1" applyNumberFormat="1">
      <alignment horizontal="center" readingOrder="0" vertical="center"/>
    </xf>
    <xf borderId="0" fillId="0" fontId="9" numFmtId="164" xfId="0" applyAlignment="1" applyFont="1" applyNumberFormat="1">
      <alignment horizontal="center" readingOrder="0" vertical="center"/>
    </xf>
    <xf borderId="1" fillId="2" fontId="7" numFmtId="0" xfId="0" applyAlignment="1" applyBorder="1" applyFont="1">
      <alignment horizontal="left" readingOrder="0" shrinkToFit="0" vertical="center" wrapText="1"/>
    </xf>
    <xf borderId="0" fillId="0" fontId="10" numFmtId="166" xfId="0" applyAlignment="1" applyFont="1" applyNumberFormat="1">
      <alignment horizontal="center" readingOrder="0" shrinkToFit="0" vertical="center" wrapText="1"/>
    </xf>
    <xf borderId="7" fillId="0" fontId="11" numFmtId="166" xfId="0" applyAlignment="1" applyBorder="1" applyFont="1" applyNumberFormat="1">
      <alignment horizontal="center" readingOrder="0" shrinkToFit="0" vertical="center" wrapText="1"/>
    </xf>
    <xf borderId="7" fillId="0" fontId="11" numFmtId="166" xfId="0" applyAlignment="1" applyBorder="1" applyFont="1" applyNumberFormat="1">
      <alignment horizontal="center" readingOrder="0" vertical="center"/>
    </xf>
    <xf borderId="7" fillId="0" fontId="2" numFmtId="0" xfId="0" applyAlignment="1" applyBorder="1" applyFont="1">
      <alignment horizontal="center" readingOrder="0" shrinkToFit="0" vertical="center" wrapText="1"/>
    </xf>
    <xf borderId="7" fillId="0" fontId="2" numFmtId="0" xfId="0" applyAlignment="1" applyBorder="1" applyFont="1">
      <alignment horizontal="center" readingOrder="0" vertical="center"/>
    </xf>
    <xf borderId="0" fillId="0" fontId="11" numFmtId="0" xfId="0" applyAlignment="1" applyFont="1">
      <alignment horizontal="center" readingOrder="0" vertical="center"/>
    </xf>
    <xf borderId="0" fillId="0" fontId="11" numFmtId="166" xfId="0" applyAlignment="1" applyFont="1" applyNumberFormat="1">
      <alignment horizontal="center" readingOrder="0" vertical="center"/>
    </xf>
    <xf borderId="0" fillId="4" fontId="12" numFmtId="166" xfId="0" applyAlignment="1" applyFont="1" applyNumberFormat="1">
      <alignment horizontal="center" readingOrder="0" vertical="center"/>
    </xf>
    <xf borderId="1" fillId="4" fontId="13" numFmtId="0" xfId="0" applyAlignment="1" applyBorder="1" applyFont="1">
      <alignment vertical="center"/>
    </xf>
    <xf borderId="1" fillId="4" fontId="14" numFmtId="166" xfId="0" applyAlignment="1" applyBorder="1" applyFont="1" applyNumberFormat="1">
      <alignment shrinkToFit="0" vertical="center" wrapText="1"/>
    </xf>
    <xf borderId="1" fillId="4" fontId="1" numFmtId="165" xfId="0" applyAlignment="1" applyBorder="1" applyFont="1" applyNumberFormat="1">
      <alignment horizontal="center" vertical="center"/>
    </xf>
    <xf borderId="1" fillId="4" fontId="0" numFmtId="164" xfId="0" applyAlignment="1" applyBorder="1" applyFont="1" applyNumberFormat="1">
      <alignment horizontal="center" vertical="center"/>
    </xf>
    <xf borderId="1" fillId="4" fontId="14" numFmtId="164" xfId="0" applyAlignment="1" applyBorder="1" applyFont="1" applyNumberFormat="1">
      <alignment horizontal="center" readingOrder="0" vertical="center"/>
    </xf>
    <xf borderId="1" fillId="4" fontId="14" numFmtId="3" xfId="0" applyAlignment="1" applyBorder="1" applyFont="1" applyNumberFormat="1">
      <alignment horizontal="center" readingOrder="0" vertical="center"/>
    </xf>
    <xf borderId="0" fillId="4" fontId="1" numFmtId="164" xfId="0" applyAlignment="1" applyFont="1" applyNumberFormat="1">
      <alignment horizontal="center" vertical="center"/>
    </xf>
    <xf borderId="0" fillId="0" fontId="15" numFmtId="3" xfId="0" applyAlignment="1" applyFont="1" applyNumberFormat="1">
      <alignment horizontal="center" readingOrder="0" vertical="center"/>
    </xf>
    <xf borderId="1" fillId="0" fontId="13" numFmtId="3" xfId="0" applyAlignment="1" applyBorder="1" applyFont="1" applyNumberFormat="1">
      <alignment vertical="center"/>
    </xf>
    <xf borderId="1" fillId="0" fontId="14" numFmtId="166" xfId="0" applyAlignment="1" applyBorder="1" applyFont="1" applyNumberFormat="1">
      <alignment shrinkToFit="0" vertical="center" wrapText="1"/>
    </xf>
    <xf borderId="1" fillId="0" fontId="1" numFmtId="165" xfId="0" applyAlignment="1" applyBorder="1" applyFont="1" applyNumberFormat="1">
      <alignment horizontal="center" vertical="center"/>
    </xf>
    <xf borderId="1" fillId="2" fontId="0" numFmtId="164" xfId="0" applyAlignment="1" applyBorder="1" applyFont="1" applyNumberFormat="1">
      <alignment horizontal="center" vertical="center"/>
    </xf>
    <xf borderId="1" fillId="0" fontId="14" numFmtId="164" xfId="0" applyAlignment="1" applyBorder="1" applyFont="1" applyNumberFormat="1">
      <alignment horizontal="center" readingOrder="0" vertical="center"/>
    </xf>
    <xf borderId="1" fillId="0" fontId="14" numFmtId="3" xfId="0" applyAlignment="1" applyBorder="1" applyFont="1" applyNumberFormat="1">
      <alignment horizontal="center" readingOrder="0" vertical="center"/>
    </xf>
    <xf borderId="0" fillId="0" fontId="1" numFmtId="164" xfId="0" applyAlignment="1" applyFont="1" applyNumberFormat="1">
      <alignment horizontal="center" vertical="center"/>
    </xf>
    <xf borderId="1" fillId="4" fontId="16" numFmtId="166" xfId="0" applyAlignment="1" applyBorder="1" applyFont="1" applyNumberFormat="1">
      <alignment readingOrder="0" shrinkToFit="0" vertical="center" wrapText="0"/>
    </xf>
    <xf borderId="0" fillId="0" fontId="17" numFmtId="164" xfId="0" applyAlignment="1" applyFont="1" applyNumberFormat="1">
      <alignment horizontal="center" readingOrder="0" vertical="center"/>
    </xf>
    <xf borderId="1" fillId="0" fontId="0" numFmtId="166" xfId="0" applyAlignment="1" applyBorder="1" applyFont="1" applyNumberFormat="1">
      <alignment readingOrder="0" shrinkToFit="0" vertical="center" wrapText="0"/>
    </xf>
    <xf borderId="0" fillId="4" fontId="15" numFmtId="3" xfId="0" applyAlignment="1" applyFont="1" applyNumberFormat="1">
      <alignment horizontal="center" readingOrder="0" vertical="center"/>
    </xf>
    <xf borderId="1" fillId="4" fontId="13" numFmtId="3" xfId="0" applyAlignment="1" applyBorder="1" applyFont="1" applyNumberFormat="1">
      <alignment vertical="center"/>
    </xf>
    <xf borderId="1" fillId="0" fontId="14" numFmtId="3" xfId="0" applyAlignment="1" applyBorder="1" applyFont="1" applyNumberFormat="1">
      <alignment vertical="center"/>
    </xf>
    <xf borderId="1" fillId="4" fontId="13" numFmtId="164" xfId="0" applyAlignment="1" applyBorder="1" applyFont="1" applyNumberFormat="1">
      <alignment vertical="center"/>
    </xf>
    <xf borderId="1" fillId="0" fontId="13" numFmtId="166" xfId="0" applyAlignment="1" applyBorder="1" applyFont="1" applyNumberFormat="1">
      <alignment vertical="center"/>
    </xf>
    <xf borderId="1" fillId="4" fontId="1" numFmtId="166" xfId="0" applyAlignment="1" applyBorder="1" applyFont="1" applyNumberFormat="1">
      <alignment vertical="center"/>
    </xf>
    <xf borderId="1" fillId="0" fontId="14" numFmtId="3" xfId="0" applyAlignment="1" applyBorder="1" applyFont="1" applyNumberFormat="1">
      <alignment shrinkToFit="0" vertical="center" wrapText="0"/>
    </xf>
    <xf borderId="1" fillId="0" fontId="14" numFmtId="166" xfId="0" applyAlignment="1" applyBorder="1" applyFont="1" applyNumberFormat="1">
      <alignment readingOrder="0" shrinkToFit="0" vertical="center" wrapText="1"/>
    </xf>
    <xf borderId="0" fillId="0" fontId="12" numFmtId="166" xfId="0" applyAlignment="1" applyFont="1" applyNumberFormat="1">
      <alignment horizontal="center" readingOrder="0" vertical="center"/>
    </xf>
    <xf borderId="1" fillId="0" fontId="13" numFmtId="166" xfId="0" applyAlignment="1" applyBorder="1" applyFont="1" applyNumberFormat="1">
      <alignment readingOrder="0" vertical="center"/>
    </xf>
    <xf borderId="1" fillId="4" fontId="14" numFmtId="166" xfId="0" applyAlignment="1" applyBorder="1" applyFont="1" applyNumberFormat="1">
      <alignment vertical="center"/>
    </xf>
    <xf borderId="0" fillId="4" fontId="17" numFmtId="164" xfId="0" applyAlignment="1" applyFont="1" applyNumberFormat="1">
      <alignment horizontal="center" readingOrder="0" vertical="center"/>
    </xf>
    <xf borderId="1" fillId="4" fontId="0" numFmtId="166" xfId="0" applyAlignment="1" applyBorder="1" applyFont="1" applyNumberFormat="1">
      <alignment readingOrder="0" shrinkToFit="0" vertical="center" wrapText="0"/>
    </xf>
    <xf borderId="0" fillId="0" fontId="14" numFmtId="3" xfId="0" applyAlignment="1" applyFont="1" applyNumberFormat="1">
      <alignment shrinkToFit="0" vertical="center" wrapText="0"/>
    </xf>
    <xf borderId="0" fillId="0" fontId="14" numFmtId="166" xfId="0" applyAlignment="1" applyFont="1" applyNumberFormat="1">
      <alignment vertical="center"/>
    </xf>
    <xf borderId="0" fillId="0" fontId="1" numFmtId="0" xfId="0" applyAlignment="1" applyFont="1">
      <alignment horizontal="center" vertical="center"/>
    </xf>
    <xf borderId="0" fillId="2" fontId="0" numFmtId="164" xfId="0" applyAlignment="1" applyFont="1" applyNumberFormat="1">
      <alignment horizontal="center" vertical="center"/>
    </xf>
    <xf borderId="0" fillId="0" fontId="14" numFmtId="166" xfId="0" applyAlignment="1" applyFont="1" applyNumberFormat="1">
      <alignment horizontal="center" readingOrder="0" vertical="center"/>
    </xf>
    <xf borderId="0" fillId="0" fontId="11" numFmtId="166" xfId="0" applyAlignment="1" applyFont="1" applyNumberFormat="1">
      <alignment vertical="center"/>
    </xf>
    <xf borderId="2" fillId="0" fontId="2" numFmtId="0" xfId="0" applyAlignment="1" applyBorder="1" applyFont="1">
      <alignment horizontal="center" readingOrder="0" vertical="center"/>
    </xf>
    <xf borderId="0" fillId="0" fontId="1" numFmtId="3" xfId="0" applyAlignment="1" applyFont="1" applyNumberFormat="1">
      <alignment vertical="center"/>
    </xf>
    <xf borderId="0" fillId="5" fontId="11" numFmtId="166" xfId="0" applyAlignment="1" applyFill="1" applyFont="1" applyNumberFormat="1">
      <alignment horizontal="center" readingOrder="0" vertical="center"/>
    </xf>
    <xf borderId="1" fillId="0" fontId="1" numFmtId="0" xfId="0" applyAlignment="1" applyBorder="1" applyFont="1">
      <alignment horizontal="center" readingOrder="0" vertical="center"/>
    </xf>
    <xf borderId="1" fillId="0" fontId="11" numFmtId="0" xfId="0" applyAlignment="1" applyBorder="1" applyFont="1">
      <alignment horizontal="center" readingOrder="0" vertical="center"/>
    </xf>
    <xf borderId="0" fillId="5" fontId="14" numFmtId="167" xfId="0" applyAlignment="1" applyFont="1" applyNumberFormat="1">
      <alignment horizontal="center" readingOrder="0" vertical="center"/>
    </xf>
    <xf borderId="0" fillId="6" fontId="17" numFmtId="164" xfId="0" applyAlignment="1" applyFill="1" applyFont="1" applyNumberFormat="1">
      <alignment horizontal="center" readingOrder="0" vertical="center"/>
    </xf>
    <xf borderId="1" fillId="6" fontId="18" numFmtId="166" xfId="0" applyAlignment="1" applyBorder="1" applyFont="1" applyNumberFormat="1">
      <alignment readingOrder="0" shrinkToFit="0" vertical="center" wrapText="0"/>
    </xf>
    <xf borderId="1" fillId="6" fontId="14" numFmtId="166" xfId="0" applyAlignment="1" applyBorder="1" applyFont="1" applyNumberFormat="1">
      <alignment horizontal="center" shrinkToFit="0" vertical="center" wrapText="1"/>
    </xf>
    <xf borderId="1" fillId="6" fontId="1" numFmtId="164" xfId="0" applyAlignment="1" applyBorder="1" applyFont="1" applyNumberFormat="1">
      <alignment horizontal="center" vertical="center"/>
    </xf>
    <xf borderId="1" fillId="6" fontId="14" numFmtId="165" xfId="0" applyAlignment="1" applyBorder="1" applyFont="1" applyNumberFormat="1">
      <alignment horizontal="center" vertical="center"/>
    </xf>
    <xf borderId="0" fillId="6" fontId="0" numFmtId="164" xfId="0" applyAlignment="1" applyFont="1" applyNumberFormat="1">
      <alignment horizontal="center" vertical="center"/>
    </xf>
    <xf borderId="0" fillId="6" fontId="14" numFmtId="0" xfId="0" applyAlignment="1" applyFont="1">
      <alignment vertical="center"/>
    </xf>
    <xf borderId="0" fillId="6" fontId="1" numFmtId="164" xfId="0" applyAlignment="1" applyFont="1" applyNumberFormat="1">
      <alignment horizontal="center" vertical="center"/>
    </xf>
    <xf borderId="1" fillId="0" fontId="14" numFmtId="166" xfId="0" applyAlignment="1" applyBorder="1" applyFont="1" applyNumberFormat="1">
      <alignment horizontal="center" shrinkToFit="0" vertical="center" wrapText="1"/>
    </xf>
    <xf borderId="1" fillId="0" fontId="1" numFmtId="164" xfId="0" applyAlignment="1" applyBorder="1" applyFont="1" applyNumberFormat="1">
      <alignment horizontal="center" vertical="center"/>
    </xf>
    <xf borderId="1" fillId="0" fontId="14" numFmtId="165" xfId="0" applyAlignment="1" applyBorder="1" applyFont="1" applyNumberFormat="1">
      <alignment horizontal="center" vertical="center"/>
    </xf>
    <xf borderId="0" fillId="5" fontId="14" numFmtId="0" xfId="0" applyAlignment="1" applyFont="1">
      <alignment vertical="center"/>
    </xf>
    <xf borderId="1" fillId="6" fontId="0" numFmtId="166" xfId="0" applyAlignment="1" applyBorder="1" applyFont="1" applyNumberFormat="1">
      <alignment readingOrder="0" shrinkToFit="0" vertical="center" wrapText="0"/>
    </xf>
    <xf borderId="0" fillId="6" fontId="15" numFmtId="3" xfId="0" applyAlignment="1" applyFont="1" applyNumberFormat="1">
      <alignment horizontal="center" readingOrder="0" vertical="center"/>
    </xf>
    <xf borderId="1" fillId="6" fontId="13" numFmtId="3" xfId="0" applyAlignment="1" applyBorder="1" applyFont="1" applyNumberFormat="1">
      <alignment vertical="center"/>
    </xf>
    <xf borderId="1" fillId="0" fontId="14" numFmtId="166" xfId="0" applyAlignment="1" applyBorder="1" applyFont="1" applyNumberFormat="1">
      <alignment horizontal="center" readingOrder="0" shrinkToFit="0" vertical="center" wrapText="1"/>
    </xf>
    <xf borderId="0" fillId="6" fontId="12" numFmtId="166" xfId="0" applyAlignment="1" applyFont="1" applyNumberFormat="1">
      <alignment horizontal="center" readingOrder="0" vertical="center"/>
    </xf>
    <xf borderId="1" fillId="6" fontId="13" numFmtId="166" xfId="0" applyAlignment="1" applyBorder="1" applyFont="1" applyNumberFormat="1">
      <alignment vertical="center"/>
    </xf>
    <xf borderId="0" fillId="0" fontId="14" numFmtId="3" xfId="0" applyAlignment="1" applyFont="1" applyNumberFormat="1">
      <alignment readingOrder="0" shrinkToFit="0" vertical="center" wrapText="0"/>
    </xf>
    <xf borderId="0" fillId="0" fontId="14" numFmtId="166" xfId="0" applyAlignment="1" applyFont="1" applyNumberFormat="1">
      <alignment horizontal="center" readingOrder="0" shrinkToFit="0" vertical="center" wrapText="0"/>
    </xf>
    <xf borderId="0" fillId="0" fontId="14" numFmtId="166" xfId="0" applyAlignment="1" applyFont="1" applyNumberFormat="1">
      <alignment horizontal="center" vertical="center"/>
    </xf>
    <xf borderId="0" fillId="0" fontId="14" numFmtId="165" xfId="0" applyAlignment="1" applyFont="1" applyNumberFormat="1">
      <alignment horizontal="center" vertical="center"/>
    </xf>
    <xf borderId="0" fillId="0" fontId="14" numFmtId="3" xfId="0" applyAlignment="1" applyFont="1" applyNumberFormat="1">
      <alignment vertical="center"/>
    </xf>
    <xf borderId="9" fillId="0" fontId="14" numFmtId="3" xfId="0" applyAlignment="1" applyBorder="1" applyFont="1" applyNumberFormat="1">
      <alignment shrinkToFit="0" vertical="center" wrapText="0"/>
    </xf>
    <xf borderId="0" fillId="0" fontId="14" numFmtId="10" xfId="0" applyAlignment="1" applyFont="1" applyNumberFormat="1">
      <alignment horizontal="center" vertical="center"/>
    </xf>
    <xf borderId="10" fillId="0" fontId="14" numFmtId="3" xfId="0" applyAlignment="1" applyBorder="1" applyFont="1" applyNumberFormat="1">
      <alignment shrinkToFit="0" vertical="center" wrapText="0"/>
    </xf>
    <xf borderId="0" fillId="0" fontId="1" numFmtId="0" xfId="0" applyAlignment="1" applyFont="1">
      <alignment readingOrder="0" shrinkToFit="0" vertical="center" wrapText="0"/>
    </xf>
    <xf borderId="0" fillId="0" fontId="13" numFmtId="166" xfId="0" applyAlignment="1" applyFont="1" applyNumberFormat="1">
      <alignment vertical="center"/>
    </xf>
    <xf borderId="0" fillId="7" fontId="1" numFmtId="164" xfId="0" applyAlignment="1" applyFill="1" applyFont="1" applyNumberFormat="1">
      <alignment horizontal="center" vertical="center"/>
    </xf>
    <xf borderId="0" fillId="0" fontId="13" numFmtId="3" xfId="0" applyAlignment="1" applyFont="1" applyNumberFormat="1">
      <alignment vertical="center"/>
    </xf>
    <xf borderId="0" fillId="0" fontId="14" numFmtId="164" xfId="0" applyAlignment="1" applyFont="1" applyNumberFormat="1">
      <alignment shrinkToFit="0" vertical="center" wrapText="0"/>
    </xf>
    <xf borderId="0" fillId="0" fontId="14" numFmtId="166" xfId="0" applyAlignment="1" applyFont="1" applyNumberFormat="1">
      <alignment shrinkToFit="0" vertical="center" wrapText="0"/>
    </xf>
    <xf borderId="0" fillId="0" fontId="13" numFmtId="0" xfId="0" applyAlignment="1" applyFont="1">
      <alignment vertical="center"/>
    </xf>
    <xf borderId="0" fillId="0" fontId="13" numFmtId="164" xfId="0" applyAlignment="1" applyFont="1" applyNumberFormat="1">
      <alignment vertical="center"/>
    </xf>
    <xf borderId="0" fillId="0" fontId="0" numFmtId="166" xfId="0" applyAlignment="1" applyFont="1" applyNumberFormat="1">
      <alignment readingOrder="0" shrinkToFit="0" vertical="center" wrapText="0"/>
    </xf>
    <xf borderId="0" fillId="0" fontId="1" numFmtId="166" xfId="0" applyAlignment="1" applyFont="1" applyNumberFormat="1">
      <alignment vertical="center"/>
    </xf>
    <xf borderId="0" fillId="0" fontId="16" numFmtId="166" xfId="0" applyAlignment="1" applyFont="1" applyNumberFormat="1">
      <alignment readingOrder="0" shrinkToFit="0" vertical="center" wrapText="0"/>
    </xf>
    <xf borderId="0" fillId="0" fontId="13" numFmtId="166" xfId="0" applyAlignment="1" applyFont="1" applyNumberFormat="1">
      <alignment readingOrder="0" vertical="center"/>
    </xf>
    <xf borderId="0" fillId="0" fontId="13" numFmtId="166" xfId="0" applyAlignment="1" applyFont="1" applyNumberFormat="1">
      <alignment readingOrder="0" shrinkToFit="0" vertical="center" wrapText="0"/>
    </xf>
    <xf borderId="0" fillId="0" fontId="14" numFmtId="166" xfId="0" applyAlignment="1" applyFont="1" applyNumberFormat="1">
      <alignment shrinkToFit="0" vertical="center" wrapText="0"/>
    </xf>
    <xf borderId="0" fillId="0" fontId="13" numFmtId="0" xfId="0" applyAlignment="1" applyFont="1">
      <alignment vertical="center"/>
    </xf>
    <xf borderId="0" fillId="0" fontId="18" numFmtId="166" xfId="0" applyAlignment="1" applyFont="1" applyNumberFormat="1">
      <alignment readingOrder="0" shrinkToFit="0" vertical="center" wrapText="0"/>
    </xf>
    <xf borderId="0" fillId="0" fontId="14" numFmtId="3" xfId="0" applyAlignment="1" applyFont="1" applyNumberFormat="1">
      <alignment shrinkToFit="0" vertical="center" wrapText="0"/>
    </xf>
    <xf borderId="0" fillId="0" fontId="14" numFmtId="166" xfId="0" applyAlignment="1" applyFont="1" applyNumberFormat="1">
      <alignment horizontal="left" readingOrder="0" shrinkToFit="0" vertical="center" wrapText="0"/>
    </xf>
    <xf borderId="0" fillId="0" fontId="13" numFmtId="3" xfId="0" applyAlignment="1" applyFont="1" applyNumberFormat="1">
      <alignment readingOrder="0" vertical="center"/>
    </xf>
    <xf borderId="0" fillId="0" fontId="18" numFmtId="3" xfId="0" applyAlignment="1" applyFont="1" applyNumberFormat="1">
      <alignment horizontal="left" readingOrder="0" vertical="center"/>
    </xf>
    <xf borderId="0" fillId="0" fontId="14" numFmtId="164" xfId="0" applyAlignment="1" applyFont="1" applyNumberFormat="1">
      <alignment vertical="center"/>
    </xf>
    <xf borderId="0" fillId="0" fontId="14" numFmtId="0" xfId="0" applyAlignment="1" applyFont="1">
      <alignment shrinkToFit="0" vertical="center" wrapText="0"/>
    </xf>
    <xf borderId="0" fillId="0" fontId="19" numFmtId="0" xfId="0" applyAlignment="1" applyFont="1">
      <alignment horizontal="center" readingOrder="0" vertical="center"/>
    </xf>
    <xf borderId="11" fillId="0" fontId="2" numFmtId="0" xfId="0" applyAlignment="1" applyBorder="1" applyFont="1">
      <alignment horizontal="left" readingOrder="0" vertical="center"/>
    </xf>
    <xf borderId="0" fillId="0" fontId="2" numFmtId="0" xfId="0" applyAlignment="1" applyFont="1">
      <alignment horizontal="center" readingOrder="0" vertical="center"/>
    </xf>
    <xf borderId="0" fillId="5" fontId="1" numFmtId="0" xfId="0" applyAlignment="1" applyFont="1">
      <alignment horizontal="center" vertical="center"/>
    </xf>
    <xf borderId="0" fillId="0" fontId="11" numFmtId="164" xfId="0" applyAlignment="1" applyFont="1" applyNumberFormat="1">
      <alignment horizontal="center" readingOrder="0" shrinkToFit="0" vertical="center" wrapText="1"/>
    </xf>
    <xf borderId="0" fillId="0" fontId="17" numFmtId="0" xfId="0" applyAlignment="1" applyFont="1">
      <alignment horizontal="center" readingOrder="0" vertical="center"/>
    </xf>
    <xf borderId="0" fillId="0" fontId="11" numFmtId="164" xfId="0" applyAlignment="1" applyFont="1" applyNumberFormat="1">
      <alignment horizontal="center" readingOrder="0" vertical="center"/>
    </xf>
    <xf borderId="0" fillId="0" fontId="17" numFmtId="0" xfId="0" applyAlignment="1" applyFont="1">
      <alignment horizontal="center" readingOrder="0" vertical="center"/>
    </xf>
    <xf borderId="0" fillId="0" fontId="13" numFmtId="165" xfId="0" applyAlignment="1" applyFont="1" applyNumberFormat="1">
      <alignment horizontal="center" vertical="center"/>
    </xf>
    <xf borderId="11" fillId="0" fontId="3" numFmtId="0" xfId="0" applyBorder="1" applyFont="1"/>
    <xf borderId="0" fillId="5" fontId="11" numFmtId="0" xfId="0" applyAlignment="1" applyFont="1">
      <alignment horizontal="center" readingOrder="0" vertical="center"/>
    </xf>
    <xf borderId="0" fillId="2" fontId="0" numFmtId="0" xfId="0" applyAlignment="1" applyFont="1">
      <alignment horizontal="center" vertical="center"/>
    </xf>
    <xf borderId="0" fillId="0" fontId="0" numFmtId="0" xfId="0" applyAlignment="1" applyFont="1">
      <alignment horizontal="center" vertical="center"/>
    </xf>
    <xf borderId="0" fillId="0" fontId="20" numFmtId="164" xfId="0" applyAlignment="1" applyFont="1" applyNumberFormat="1">
      <alignment horizontal="center" readingOrder="0" vertical="center"/>
    </xf>
    <xf borderId="0" fillId="2" fontId="21" numFmtId="164" xfId="0" applyAlignment="1" applyFont="1" applyNumberFormat="1">
      <alignment horizontal="center" vertical="center"/>
    </xf>
    <xf borderId="0" fillId="0" fontId="1" numFmtId="164" xfId="0" applyAlignment="1" applyFont="1" applyNumberFormat="1">
      <alignment vertical="center"/>
    </xf>
    <xf borderId="0" fillId="0" fontId="11" numFmtId="0" xfId="0" applyAlignment="1" applyFont="1">
      <alignment horizontal="center" readingOrder="0" shrinkToFit="0" vertical="center" wrapText="1"/>
    </xf>
    <xf borderId="0" fillId="0" fontId="21" numFmtId="164" xfId="0" applyAlignment="1" applyFont="1" applyNumberFormat="1">
      <alignment horizontal="center" vertical="center"/>
    </xf>
    <xf borderId="0" fillId="0" fontId="17" numFmtId="165" xfId="0" applyAlignment="1" applyFont="1" applyNumberFormat="1">
      <alignment horizontal="center" vertical="center"/>
    </xf>
    <xf borderId="0" fillId="0" fontId="22" numFmtId="165" xfId="0" applyAlignment="1" applyFont="1" applyNumberFormat="1">
      <alignment horizontal="center" vertical="center"/>
    </xf>
    <xf borderId="0" fillId="2" fontId="23" numFmtId="164" xfId="0" applyAlignment="1" applyFont="1" applyNumberFormat="1">
      <alignment horizontal="center" readingOrder="0" vertical="center"/>
    </xf>
    <xf borderId="0" fillId="2" fontId="0" numFmtId="164" xfId="0" applyAlignment="1" applyFont="1" applyNumberFormat="1">
      <alignment horizontal="right" readingOrder="0" vertical="center"/>
    </xf>
    <xf borderId="0" fillId="2" fontId="0" numFmtId="10" xfId="0" applyAlignment="1" applyFont="1" applyNumberFormat="1">
      <alignment horizontal="right" readingOrder="0" vertical="center"/>
    </xf>
    <xf borderId="0" fillId="0" fontId="18" numFmtId="3" xfId="0" applyAlignment="1" applyFont="1" applyNumberFormat="1">
      <alignment horizontal="center" readingOrder="0" shrinkToFit="0" vertical="center" wrapText="0"/>
    </xf>
    <xf borderId="0" fillId="0" fontId="24" numFmtId="0" xfId="0" applyAlignment="1" applyFont="1">
      <alignment readingOrder="0" vertical="center"/>
    </xf>
    <xf borderId="11" fillId="2" fontId="0" numFmtId="164" xfId="0" applyAlignment="1" applyBorder="1" applyFont="1" applyNumberFormat="1">
      <alignment horizontal="left" readingOrder="0" vertical="center"/>
    </xf>
    <xf borderId="0" fillId="5" fontId="21" numFmtId="0" xfId="0" applyAlignment="1" applyFont="1">
      <alignment horizontal="center" readingOrder="0" vertical="center"/>
    </xf>
    <xf borderId="0" fillId="0" fontId="25" numFmtId="0" xfId="0" applyAlignment="1" applyFont="1">
      <alignment horizontal="center" readingOrder="0" shrinkToFit="0" vertical="center" wrapText="1"/>
    </xf>
    <xf borderId="0" fillId="0" fontId="25" numFmtId="164" xfId="0" applyAlignment="1" applyFont="1" applyNumberFormat="1">
      <alignment horizontal="center" readingOrder="0" vertical="center"/>
    </xf>
    <xf borderId="0" fillId="2" fontId="21" numFmtId="164" xfId="0" applyAlignment="1" applyFont="1" applyNumberFormat="1">
      <alignment horizontal="center" readingOrder="0" vertical="center"/>
    </xf>
    <xf borderId="0" fillId="2" fontId="0" numFmtId="164" xfId="0" applyAlignment="1" applyFont="1" applyNumberFormat="1">
      <alignment horizontal="center" readingOrder="0" vertical="center"/>
    </xf>
    <xf borderId="0" fillId="0" fontId="21" numFmtId="164" xfId="0" applyAlignment="1" applyFont="1" applyNumberFormat="1">
      <alignment horizontal="center" readingOrder="0" vertical="center"/>
    </xf>
    <xf borderId="0" fillId="0" fontId="0" numFmtId="164" xfId="0" applyAlignment="1" applyFont="1" applyNumberFormat="1">
      <alignment horizontal="center" readingOrder="0" vertical="center"/>
    </xf>
    <xf borderId="0" fillId="0" fontId="14" numFmtId="164" xfId="0" applyAlignment="1" applyFont="1" applyNumberFormat="1">
      <alignment horizontal="center" readingOrder="0" vertical="center"/>
    </xf>
    <xf borderId="0" fillId="0" fontId="13" numFmtId="164" xfId="0" applyAlignment="1" applyFont="1" applyNumberFormat="1">
      <alignment horizontal="center" vertical="center"/>
    </xf>
    <xf borderId="0" fillId="0" fontId="26" numFmtId="0" xfId="0" applyAlignment="1" applyFont="1">
      <alignment horizontal="center" vertical="bottom"/>
    </xf>
    <xf borderId="0" fillId="0" fontId="24" numFmtId="0" xfId="0" applyAlignment="1" applyFont="1">
      <alignment readingOrder="0" vertical="center"/>
    </xf>
    <xf borderId="0" fillId="0" fontId="27" numFmtId="164" xfId="0" applyAlignment="1" applyFont="1" applyNumberFormat="1">
      <alignment horizontal="center" readingOrder="0" vertical="center"/>
    </xf>
    <xf borderId="0" fillId="0" fontId="28" numFmtId="0" xfId="0" applyAlignment="1" applyFont="1">
      <alignment horizontal="center"/>
    </xf>
    <xf borderId="11" fillId="2" fontId="0" numFmtId="164" xfId="0" applyAlignment="1" applyBorder="1" applyFont="1" applyNumberFormat="1">
      <alignment horizontal="left" vertical="center"/>
    </xf>
    <xf borderId="0" fillId="0" fontId="29" numFmtId="164" xfId="0" applyAlignment="1" applyFont="1" applyNumberFormat="1">
      <alignment horizontal="center" readingOrder="0" vertical="center"/>
    </xf>
    <xf borderId="0" fillId="0" fontId="24" numFmtId="0" xfId="0" applyAlignment="1" applyFont="1">
      <alignment vertical="center"/>
    </xf>
    <xf borderId="0" fillId="0" fontId="14" numFmtId="164" xfId="0" applyAlignment="1" applyFont="1" applyNumberFormat="1">
      <alignment horizontal="center" readingOrder="0" shrinkToFit="0" vertical="center" wrapText="0"/>
    </xf>
    <xf borderId="0" fillId="0" fontId="30" numFmtId="164" xfId="0" applyAlignment="1" applyFont="1" applyNumberFormat="1">
      <alignment horizontal="center" readingOrder="0" vertical="center"/>
    </xf>
    <xf borderId="0" fillId="0" fontId="16" numFmtId="0" xfId="0" applyAlignment="1" applyFont="1">
      <alignment vertical="center"/>
    </xf>
    <xf borderId="0" fillId="0" fontId="16" numFmtId="0" xfId="0" applyAlignment="1" applyFont="1">
      <alignment readingOrder="0" vertical="bottom"/>
    </xf>
    <xf borderId="0" fillId="5" fontId="0" numFmtId="10" xfId="0" applyAlignment="1" applyFont="1" applyNumberFormat="1">
      <alignment horizontal="center" readingOrder="0" vertical="center"/>
    </xf>
    <xf borderId="0" fillId="0" fontId="11" numFmtId="165" xfId="0" applyAlignment="1" applyFont="1" applyNumberFormat="1">
      <alignment horizontal="center"/>
    </xf>
    <xf borderId="0" fillId="0" fontId="14" numFmtId="165" xfId="0" applyAlignment="1" applyFont="1" applyNumberFormat="1">
      <alignment horizontal="center"/>
    </xf>
    <xf borderId="0" fillId="2" fontId="31" numFmtId="164" xfId="0" applyAlignment="1" applyFont="1" applyNumberFormat="1">
      <alignment horizontal="center" vertical="bottom"/>
    </xf>
    <xf borderId="0" fillId="0" fontId="18" numFmtId="0" xfId="0" applyAlignment="1" applyFont="1">
      <alignment horizontal="center" readingOrder="0" shrinkToFit="0" vertical="center" wrapText="0"/>
    </xf>
    <xf borderId="0" fillId="0" fontId="16" numFmtId="0" xfId="0" applyAlignment="1" applyFont="1">
      <alignment vertical="bottom"/>
    </xf>
    <xf borderId="0" fillId="2" fontId="24" numFmtId="0" xfId="0" applyAlignment="1" applyFont="1">
      <alignment vertical="center"/>
    </xf>
    <xf borderId="0" fillId="0" fontId="32" numFmtId="0" xfId="0" applyAlignment="1" applyFont="1">
      <alignment horizontal="center" readingOrder="0"/>
    </xf>
    <xf borderId="0" fillId="2" fontId="24" numFmtId="0" xfId="0" applyAlignment="1" applyFont="1">
      <alignment vertical="center"/>
    </xf>
    <xf borderId="0" fillId="0" fontId="14" numFmtId="164" xfId="0" applyAlignment="1" applyFont="1" applyNumberFormat="1">
      <alignment horizontal="right" readingOrder="0" vertical="center"/>
    </xf>
    <xf borderId="0" fillId="0" fontId="33" numFmtId="3" xfId="0" applyAlignment="1" applyFont="1" applyNumberFormat="1">
      <alignment horizontal="center" readingOrder="0" shrinkToFit="0" vertical="center" wrapText="0"/>
    </xf>
    <xf borderId="0" fillId="0" fontId="24" numFmtId="0" xfId="0" applyAlignment="1" applyFont="1">
      <alignment readingOrder="0" vertical="center"/>
    </xf>
    <xf borderId="0" fillId="0" fontId="13" numFmtId="164" xfId="0" applyAlignment="1" applyFont="1" applyNumberFormat="1">
      <alignment horizontal="right" vertical="center"/>
    </xf>
    <xf borderId="0" fillId="0" fontId="24" numFmtId="0" xfId="0" applyAlignment="1" applyFont="1">
      <alignment readingOrder="0" vertical="center"/>
    </xf>
    <xf borderId="0" fillId="2" fontId="34" numFmtId="164" xfId="0" applyAlignment="1" applyFont="1" applyNumberFormat="1">
      <alignment horizontal="center" vertical="center"/>
    </xf>
    <xf borderId="0" fillId="0" fontId="35" numFmtId="3" xfId="0" applyAlignment="1" applyFont="1" applyNumberFormat="1">
      <alignment horizontal="center"/>
    </xf>
    <xf borderId="0" fillId="0" fontId="14" numFmtId="0" xfId="0" applyAlignment="1" applyFont="1">
      <alignment vertical="center"/>
    </xf>
    <xf borderId="0" fillId="2" fontId="24" numFmtId="0" xfId="0" applyAlignment="1" applyFont="1">
      <alignment vertical="center"/>
    </xf>
    <xf borderId="0" fillId="2" fontId="24" numFmtId="0" xfId="0" applyAlignment="1" applyFont="1">
      <alignment readingOrder="0" vertical="center"/>
    </xf>
    <xf borderId="0" fillId="0" fontId="36" numFmtId="0" xfId="0" applyAlignment="1" applyFont="1">
      <alignment vertical="center"/>
    </xf>
    <xf borderId="0" fillId="0" fontId="1" numFmtId="0" xfId="0" applyAlignment="1" applyFont="1">
      <alignment vertical="center"/>
    </xf>
    <xf borderId="0" fillId="7" fontId="37" numFmtId="164" xfId="0" applyAlignment="1" applyFont="1" applyNumberFormat="1">
      <alignment horizontal="center" readingOrder="0" shrinkToFit="0" vertical="center" wrapText="0"/>
    </xf>
    <xf borderId="0" fillId="0" fontId="16" numFmtId="164" xfId="0" applyAlignment="1" applyFont="1" applyNumberFormat="1">
      <alignment horizontal="left" readingOrder="0" vertical="center"/>
    </xf>
    <xf borderId="0" fillId="0" fontId="38" numFmtId="0" xfId="0" applyAlignment="1" applyFont="1">
      <alignment horizontal="center" readingOrder="0" vertical="center"/>
    </xf>
    <xf borderId="0" fillId="0" fontId="16" numFmtId="0" xfId="0" applyAlignment="1" applyFont="1">
      <alignment horizontal="left" readingOrder="0" vertical="center"/>
    </xf>
    <xf borderId="0" fillId="5" fontId="21" numFmtId="164" xfId="0" applyAlignment="1" applyFont="1" applyNumberFormat="1">
      <alignment horizontal="center" vertical="center"/>
    </xf>
    <xf borderId="0" fillId="0" fontId="24" numFmtId="164" xfId="0" applyFont="1" applyNumberFormat="1"/>
    <xf borderId="0" fillId="0" fontId="13" numFmtId="164" xfId="0" applyAlignment="1" applyFont="1" applyNumberFormat="1">
      <alignment horizontal="center"/>
    </xf>
    <xf borderId="0" fillId="0" fontId="13" numFmtId="164" xfId="0" applyAlignment="1" applyFont="1" applyNumberFormat="1">
      <alignment horizontal="center" vertical="bottom"/>
    </xf>
    <xf borderId="11" fillId="2" fontId="21" numFmtId="164" xfId="0" applyAlignment="1" applyBorder="1" applyFont="1" applyNumberFormat="1">
      <alignment horizontal="left" vertical="center"/>
    </xf>
    <xf borderId="0" fillId="0" fontId="13" numFmtId="165" xfId="0" applyAlignment="1" applyFont="1" applyNumberFormat="1">
      <alignment horizontal="left" vertical="center"/>
    </xf>
    <xf borderId="0" fillId="0" fontId="14" numFmtId="9" xfId="0" applyAlignment="1" applyFont="1" applyNumberFormat="1">
      <alignment vertical="center"/>
    </xf>
    <xf borderId="0" fillId="0" fontId="21" numFmtId="10" xfId="0" applyAlignment="1" applyFont="1" applyNumberFormat="1">
      <alignment horizontal="center" readingOrder="0" shrinkToFit="0" vertical="center" wrapText="1"/>
    </xf>
    <xf borderId="0" fillId="0" fontId="11" numFmtId="166" xfId="0" applyAlignment="1" applyFont="1" applyNumberFormat="1">
      <alignment horizontal="center" readingOrder="0" shrinkToFit="0" vertical="center" wrapText="1"/>
    </xf>
    <xf borderId="0" fillId="0" fontId="11" numFmtId="166" xfId="0" applyAlignment="1" applyFont="1" applyNumberFormat="1">
      <alignment horizontal="left" readingOrder="0" vertical="center"/>
    </xf>
    <xf borderId="0" fillId="0" fontId="1" numFmtId="10" xfId="0" applyAlignment="1" applyFont="1" applyNumberFormat="1">
      <alignment vertical="center"/>
    </xf>
    <xf borderId="0" fillId="5" fontId="1" numFmtId="0" xfId="0" applyAlignment="1" applyFont="1">
      <alignment vertical="center"/>
    </xf>
    <xf borderId="0" fillId="0" fontId="39" numFmtId="164" xfId="0" applyAlignment="1" applyFont="1" applyNumberFormat="1">
      <alignment horizontal="center" readingOrder="0" vertical="center"/>
    </xf>
    <xf borderId="0" fillId="0" fontId="14" numFmtId="10" xfId="0" applyAlignment="1" applyFont="1" applyNumberFormat="1">
      <alignment vertical="center"/>
    </xf>
    <xf borderId="9" fillId="0" fontId="13" numFmtId="164" xfId="0" applyAlignment="1" applyBorder="1" applyFont="1" applyNumberFormat="1">
      <alignment vertical="center"/>
    </xf>
    <xf borderId="9" fillId="0" fontId="13" numFmtId="166" xfId="0" applyAlignment="1" applyBorder="1" applyFont="1" applyNumberFormat="1">
      <alignment vertical="center"/>
    </xf>
    <xf borderId="0" fillId="0" fontId="14" numFmtId="166" xfId="0" applyAlignment="1" applyFont="1" applyNumberFormat="1">
      <alignment readingOrder="0" shrinkToFit="0" vertical="center" wrapText="0"/>
    </xf>
    <xf borderId="9" fillId="0" fontId="16" numFmtId="166" xfId="0" applyAlignment="1" applyBorder="1" applyFont="1" applyNumberFormat="1">
      <alignment readingOrder="0" shrinkToFit="0" vertical="center" wrapText="0"/>
    </xf>
    <xf borderId="10" fillId="0" fontId="13" numFmtId="3" xfId="0" applyAlignment="1" applyBorder="1" applyFont="1" applyNumberFormat="1">
      <alignment vertical="center"/>
    </xf>
    <xf borderId="0" fillId="0" fontId="14" numFmtId="166" xfId="0" applyAlignment="1" applyFont="1" applyNumberFormat="1">
      <alignment readingOrder="0" vertical="center"/>
    </xf>
    <xf borderId="9" fillId="0" fontId="13" numFmtId="3" xfId="0" applyAlignment="1" applyBorder="1" applyFont="1" applyNumberFormat="1">
      <alignment vertical="center"/>
    </xf>
    <xf borderId="9" fillId="0" fontId="14" numFmtId="166" xfId="0" applyAlignment="1" applyBorder="1" applyFont="1" applyNumberFormat="1">
      <alignment shrinkToFit="0" vertical="center" wrapText="0"/>
    </xf>
    <xf borderId="0" fillId="0" fontId="1" numFmtId="166" xfId="0" applyAlignment="1" applyFont="1" applyNumberFormat="1">
      <alignment readingOrder="0" vertical="center"/>
    </xf>
    <xf borderId="0" fillId="0" fontId="18" numFmtId="166" xfId="0" applyAlignment="1" applyFont="1" applyNumberFormat="1">
      <alignment horizontal="left" readingOrder="0" shrinkToFit="0" vertical="center" wrapText="0"/>
    </xf>
    <xf borderId="9" fillId="0" fontId="1" numFmtId="0" xfId="0" applyAlignment="1" applyBorder="1" applyFont="1">
      <alignment readingOrder="0" shrinkToFit="0" vertical="center" wrapText="0"/>
    </xf>
    <xf borderId="0" fillId="0" fontId="15" numFmtId="0" xfId="0" applyAlignment="1" applyFont="1">
      <alignment horizontal="center" readingOrder="0" vertical="center"/>
    </xf>
    <xf borderId="0" fillId="0" fontId="18" numFmtId="0" xfId="0" applyAlignment="1" applyFont="1">
      <alignment horizontal="left" readingOrder="0" vertical="center"/>
    </xf>
    <xf borderId="0" fillId="0" fontId="14" numFmtId="166" xfId="0" applyAlignment="1" applyFont="1" applyNumberFormat="1">
      <alignment horizontal="left" vertical="center"/>
    </xf>
    <xf borderId="0" fillId="0" fontId="13" numFmtId="0" xfId="0" applyAlignment="1" applyFont="1">
      <alignment readingOrder="0" vertical="center"/>
    </xf>
    <xf borderId="0" fillId="0" fontId="22" numFmtId="164" xfId="0" applyAlignment="1" applyFont="1" applyNumberFormat="1">
      <alignment horizontal="left" readingOrder="0" vertical="center"/>
    </xf>
    <xf borderId="0" fillId="0" fontId="1" numFmtId="164" xfId="0" applyAlignment="1" applyFont="1" applyNumberFormat="1">
      <alignment readingOrder="0" vertical="center"/>
    </xf>
    <xf borderId="0" fillId="0" fontId="1" numFmtId="166" xfId="0" applyAlignment="1" applyFont="1" applyNumberFormat="1">
      <alignment readingOrder="0" vertical="center"/>
    </xf>
    <xf borderId="0" fillId="0" fontId="15" numFmtId="0" xfId="0" applyAlignment="1" applyFont="1">
      <alignment horizontal="center" readingOrder="0" shrinkToFit="0" vertical="center" wrapText="0"/>
    </xf>
    <xf borderId="0" fillId="0" fontId="18" numFmtId="166" xfId="0" applyAlignment="1" applyFont="1" applyNumberFormat="1">
      <alignment horizontal="center" readingOrder="0" shrinkToFit="0" vertical="center" wrapText="0"/>
    </xf>
    <xf borderId="0" fillId="0" fontId="21" numFmtId="166" xfId="0" applyAlignment="1" applyFont="1" applyNumberFormat="1">
      <alignment horizontal="center" readingOrder="0" shrinkToFit="0" vertical="center" wrapText="0"/>
    </xf>
    <xf borderId="0" fillId="0" fontId="21" numFmtId="166" xfId="0" applyAlignment="1" applyFont="1" applyNumberFormat="1">
      <alignment horizontal="left" readingOrder="0" shrinkToFit="0" vertical="center" wrapText="0"/>
    </xf>
    <xf borderId="0" fillId="0" fontId="21" numFmtId="3" xfId="0" applyAlignment="1" applyFont="1" applyNumberFormat="1">
      <alignment horizontal="center" readingOrder="0" shrinkToFit="0" vertical="center" wrapText="0"/>
    </xf>
    <xf borderId="0" fillId="5" fontId="14" numFmtId="3" xfId="0" applyFont="1" applyNumberFormat="1"/>
    <xf borderId="0" fillId="0" fontId="14" numFmtId="164" xfId="0" applyAlignment="1" applyFont="1" applyNumberFormat="1">
      <alignment horizontal="center" readingOrder="0" shrinkToFit="0" vertical="center" wrapText="0"/>
    </xf>
    <xf borderId="0" fillId="0" fontId="1" numFmtId="1" xfId="0" applyAlignment="1" applyFont="1" applyNumberFormat="1">
      <alignment horizontal="center" readingOrder="0" shrinkToFit="0" vertical="center" wrapText="0"/>
    </xf>
    <xf borderId="0" fillId="0" fontId="40" numFmtId="0" xfId="0" applyAlignment="1" applyFont="1">
      <alignment horizontal="center" readingOrder="0" shrinkToFit="0" vertical="center" wrapText="1"/>
    </xf>
    <xf borderId="0" fillId="0" fontId="15" numFmtId="166" xfId="0" applyAlignment="1" applyFont="1" applyNumberFormat="1">
      <alignment horizontal="center" readingOrder="0" shrinkToFit="0" vertical="center" wrapText="0"/>
    </xf>
    <xf borderId="0" fillId="0" fontId="18" numFmtId="0" xfId="0" applyAlignment="1" applyFont="1">
      <alignment readingOrder="0" shrinkToFit="0" vertical="center" wrapText="0"/>
    </xf>
    <xf borderId="0" fillId="0" fontId="18" numFmtId="166" xfId="0" applyAlignment="1" applyFont="1" applyNumberFormat="1">
      <alignment readingOrder="0" shrinkToFit="0" vertical="center" wrapText="0"/>
    </xf>
    <xf borderId="0" fillId="7" fontId="11" numFmtId="0" xfId="0" applyAlignment="1" applyFont="1">
      <alignment horizontal="left" readingOrder="0" shrinkToFit="0" vertical="center" wrapText="0"/>
    </xf>
    <xf borderId="0" fillId="0" fontId="21" numFmtId="0" xfId="0" applyAlignment="1" applyFont="1">
      <alignment horizontal="center" readingOrder="0" shrinkToFit="0" vertical="center" wrapText="0"/>
    </xf>
    <xf borderId="0" fillId="0" fontId="11" numFmtId="0" xfId="0" applyAlignment="1" applyFont="1">
      <alignment horizontal="center" readingOrder="0" shrinkToFit="0" vertical="center" wrapText="0"/>
    </xf>
    <xf borderId="0" fillId="3" fontId="13" numFmtId="0" xfId="0" applyFont="1"/>
    <xf borderId="0" fillId="3" fontId="13" numFmtId="0" xfId="0" applyAlignment="1" applyFont="1">
      <alignment readingOrder="0"/>
    </xf>
    <xf borderId="0" fillId="3" fontId="13" numFmtId="164" xfId="0" applyAlignment="1" applyFont="1" applyNumberFormat="1">
      <alignment readingOrder="0"/>
    </xf>
    <xf borderId="0" fillId="3" fontId="13" numFmtId="164" xfId="0" applyAlignment="1" applyFont="1" applyNumberFormat="1">
      <alignment horizontal="right" readingOrder="0"/>
    </xf>
    <xf borderId="0" fillId="5" fontId="14" numFmtId="164" xfId="0" applyFont="1" applyNumberFormat="1"/>
    <xf borderId="0" fillId="3" fontId="41" numFmtId="164" xfId="0" applyAlignment="1" applyFont="1" applyNumberFormat="1">
      <alignment horizontal="right" readingOrder="0"/>
    </xf>
    <xf borderId="0" fillId="3" fontId="41" numFmtId="164" xfId="0" applyAlignment="1" applyFont="1" applyNumberFormat="1">
      <alignment readingOrder="0" vertical="bottom"/>
    </xf>
    <xf borderId="0" fillId="3" fontId="13" numFmtId="164" xfId="0" applyFont="1" applyNumberFormat="1"/>
    <xf borderId="0" fillId="3" fontId="42" numFmtId="1" xfId="0" applyAlignment="1" applyFont="1" applyNumberFormat="1">
      <alignment horizontal="center"/>
    </xf>
    <xf borderId="0" fillId="3" fontId="43" numFmtId="166" xfId="0" applyAlignment="1" applyFont="1" applyNumberFormat="1">
      <alignment horizontal="center" readingOrder="0" shrinkToFit="0" vertical="center" wrapText="0"/>
    </xf>
    <xf borderId="0" fillId="3" fontId="18" numFmtId="166" xfId="0" applyAlignment="1" applyFont="1" applyNumberFormat="1">
      <alignment readingOrder="0" shrinkToFit="0" vertical="center" wrapText="0"/>
    </xf>
    <xf borderId="0" fillId="3" fontId="18" numFmtId="0" xfId="0" applyAlignment="1" applyFont="1">
      <alignment readingOrder="0" shrinkToFit="0" vertical="center" wrapText="0"/>
    </xf>
    <xf borderId="0" fillId="7" fontId="13" numFmtId="166" xfId="0" applyAlignment="1" applyFont="1" applyNumberFormat="1">
      <alignment horizontal="left" shrinkToFit="0" wrapText="0"/>
    </xf>
    <xf borderId="0" fillId="3" fontId="13" numFmtId="1" xfId="0" applyFont="1" applyNumberFormat="1"/>
    <xf borderId="0" fillId="3" fontId="43" numFmtId="166" xfId="0" applyAlignment="1" applyFont="1" applyNumberFormat="1">
      <alignment horizontal="center" shrinkToFit="0" vertical="center" wrapText="0"/>
    </xf>
    <xf borderId="0" fillId="3" fontId="13" numFmtId="166" xfId="0" applyAlignment="1" applyFont="1" applyNumberFormat="1">
      <alignment horizontal="center" readingOrder="0"/>
    </xf>
    <xf borderId="0" fillId="3" fontId="13" numFmtId="164" xfId="0" applyAlignment="1" applyFont="1" applyNumberFormat="1">
      <alignment horizontal="center" readingOrder="0"/>
    </xf>
    <xf borderId="0" fillId="0" fontId="18" numFmtId="0" xfId="0" applyAlignment="1" applyFont="1">
      <alignment readingOrder="0" shrinkToFit="0" vertical="center" wrapText="0"/>
    </xf>
    <xf borderId="0" fillId="0" fontId="1" numFmtId="3" xfId="0" applyAlignment="1" applyFont="1" applyNumberFormat="1">
      <alignment readingOrder="0" shrinkToFit="0" vertical="center" wrapText="0"/>
    </xf>
    <xf borderId="0" fillId="0" fontId="1" numFmtId="3" xfId="0" applyAlignment="1" applyFont="1" applyNumberFormat="1">
      <alignment horizontal="left" readingOrder="0" shrinkToFit="0" vertical="center" wrapText="0"/>
    </xf>
    <xf borderId="0" fillId="0" fontId="18" numFmtId="164" xfId="0" applyAlignment="1" applyFont="1" applyNumberFormat="1">
      <alignment horizontal="right" readingOrder="0" shrinkToFit="0" vertical="center" wrapText="0"/>
    </xf>
    <xf borderId="0" fillId="0" fontId="1" numFmtId="164" xfId="0" applyAlignment="1" applyFont="1" applyNumberFormat="1">
      <alignment readingOrder="0" shrinkToFit="0" vertical="center" wrapText="0"/>
    </xf>
    <xf borderId="0" fillId="0" fontId="1" numFmtId="164" xfId="0" applyAlignment="1" applyFont="1" applyNumberFormat="1">
      <alignment horizontal="left" readingOrder="0" shrinkToFit="0" vertical="center" wrapText="0"/>
    </xf>
    <xf borderId="0" fillId="0" fontId="0" numFmtId="164" xfId="0" applyAlignment="1" applyFont="1" applyNumberFormat="1">
      <alignment horizontal="right" readingOrder="0" shrinkToFit="0" vertical="center" wrapText="0"/>
    </xf>
    <xf borderId="0" fillId="0" fontId="14" numFmtId="164" xfId="0" applyAlignment="1" applyFont="1" applyNumberFormat="1">
      <alignment shrinkToFit="0" vertical="center" wrapText="0"/>
    </xf>
    <xf borderId="0" fillId="0" fontId="44" numFmtId="1" xfId="0" applyAlignment="1" applyFont="1" applyNumberFormat="1">
      <alignment horizontal="center" readingOrder="0" shrinkToFit="0" vertical="center" wrapText="0"/>
    </xf>
    <xf borderId="0" fillId="0" fontId="40" numFmtId="166" xfId="0" applyAlignment="1" applyFont="1" applyNumberFormat="1">
      <alignment horizontal="center" readingOrder="0" shrinkToFit="0" vertical="center" wrapText="0"/>
    </xf>
    <xf borderId="0" fillId="7" fontId="14" numFmtId="166" xfId="0" applyAlignment="1" applyFont="1" applyNumberFormat="1">
      <alignment horizontal="left" readingOrder="0" shrinkToFit="0" vertical="center" wrapText="0"/>
    </xf>
    <xf borderId="0" fillId="0" fontId="14" numFmtId="1" xfId="0" applyAlignment="1" applyFont="1" applyNumberFormat="1">
      <alignment horizontal="center" shrinkToFit="0" vertical="center" wrapText="0"/>
    </xf>
    <xf borderId="0" fillId="0" fontId="40" numFmtId="166" xfId="0" applyAlignment="1" applyFont="1" applyNumberFormat="1">
      <alignment horizontal="center" shrinkToFit="0" vertical="center" wrapText="0"/>
    </xf>
    <xf borderId="0" fillId="7" fontId="14" numFmtId="166" xfId="0" applyAlignment="1" applyFont="1" applyNumberFormat="1">
      <alignment horizontal="left" shrinkToFit="0" vertical="center" wrapText="0"/>
    </xf>
    <xf borderId="0" fillId="0" fontId="18" numFmtId="164" xfId="0" applyAlignment="1" applyFont="1" applyNumberFormat="1">
      <alignment horizontal="left" readingOrder="0" shrinkToFit="0" vertical="center" wrapText="0"/>
    </xf>
    <xf borderId="0" fillId="0" fontId="18" numFmtId="164" xfId="0" applyAlignment="1" applyFont="1" applyNumberFormat="1">
      <alignment horizontal="center" shrinkToFit="0" vertical="center" wrapText="0"/>
    </xf>
    <xf borderId="0" fillId="0" fontId="18" numFmtId="164" xfId="0" applyAlignment="1" applyFont="1" applyNumberFormat="1">
      <alignment horizontal="right" shrinkToFit="0" vertical="center" wrapText="0"/>
    </xf>
    <xf borderId="0" fillId="0" fontId="18" numFmtId="166" xfId="0" applyAlignment="1" applyFont="1" applyNumberFormat="1">
      <alignment horizontal="center" shrinkToFit="0" vertical="center" wrapText="0"/>
    </xf>
    <xf borderId="0" fillId="3" fontId="18" numFmtId="3" xfId="0" applyAlignment="1" applyFont="1" applyNumberFormat="1">
      <alignment horizontal="center" readingOrder="0" shrinkToFit="0" vertical="center" wrapText="0"/>
    </xf>
    <xf borderId="0" fillId="3" fontId="18" numFmtId="0" xfId="0" applyAlignment="1" applyFont="1">
      <alignment readingOrder="0" shrinkToFit="0" vertical="center" wrapText="0"/>
    </xf>
    <xf borderId="0" fillId="3" fontId="0" numFmtId="166" xfId="0" applyAlignment="1" applyFont="1" applyNumberFormat="1">
      <alignment readingOrder="0" shrinkToFit="0" vertical="center" wrapText="0"/>
    </xf>
    <xf borderId="0" fillId="3" fontId="0" numFmtId="164" xfId="0" applyAlignment="1" applyFont="1" applyNumberFormat="1">
      <alignment horizontal="left" readingOrder="0" shrinkToFit="0" vertical="center" wrapText="0"/>
    </xf>
    <xf borderId="0" fillId="3" fontId="1" numFmtId="164" xfId="0" applyAlignment="1" applyFont="1" applyNumberFormat="1">
      <alignment shrinkToFit="0" vertical="center" wrapText="0"/>
    </xf>
    <xf borderId="0" fillId="3" fontId="0" numFmtId="164" xfId="0" applyAlignment="1" applyFont="1" applyNumberFormat="1">
      <alignment readingOrder="0" shrinkToFit="0" vertical="center" wrapText="0"/>
    </xf>
    <xf borderId="0" fillId="3" fontId="0" numFmtId="164" xfId="0" applyAlignment="1" applyFont="1" applyNumberFormat="1">
      <alignment horizontal="right" readingOrder="0" shrinkToFit="0" vertical="center" wrapText="0"/>
    </xf>
    <xf borderId="0" fillId="3" fontId="14" numFmtId="164" xfId="0" applyAlignment="1" applyFont="1" applyNumberFormat="1">
      <alignment shrinkToFit="0" vertical="center" wrapText="0"/>
    </xf>
    <xf borderId="0" fillId="3" fontId="45" numFmtId="1" xfId="0" applyAlignment="1" applyFont="1" applyNumberFormat="1">
      <alignment horizontal="center" readingOrder="0" shrinkToFit="0" vertical="center" wrapText="0"/>
    </xf>
    <xf borderId="0" fillId="3" fontId="14" numFmtId="1" xfId="0" applyAlignment="1" applyFont="1" applyNumberFormat="1">
      <alignment horizontal="center" shrinkToFit="0" vertical="center" wrapText="0"/>
    </xf>
    <xf borderId="0" fillId="3" fontId="18" numFmtId="164" xfId="0" applyAlignment="1" applyFont="1" applyNumberFormat="1">
      <alignment readingOrder="0" shrinkToFit="0" vertical="center" wrapText="0"/>
    </xf>
    <xf borderId="0" fillId="3" fontId="14" numFmtId="166" xfId="0" applyAlignment="1" applyFont="1" applyNumberFormat="1">
      <alignment horizontal="left" readingOrder="0" shrinkToFit="0" vertical="center" wrapText="0"/>
    </xf>
    <xf borderId="0" fillId="3" fontId="14" numFmtId="164" xfId="0" applyAlignment="1" applyFont="1" applyNumberFormat="1">
      <alignment horizontal="left" readingOrder="0" shrinkToFit="0" vertical="center" wrapText="0"/>
    </xf>
    <xf borderId="0" fillId="3" fontId="14" numFmtId="164" xfId="0" applyAlignment="1" applyFont="1" applyNumberFormat="1">
      <alignment horizontal="right" readingOrder="0" shrinkToFit="0" vertical="center" wrapText="0"/>
    </xf>
    <xf borderId="0" fillId="3" fontId="14" numFmtId="166" xfId="0" applyAlignment="1" applyFont="1" applyNumberFormat="1">
      <alignment horizontal="center" shrinkToFit="0" vertical="center" wrapText="0"/>
    </xf>
    <xf borderId="0" fillId="3" fontId="14" numFmtId="164" xfId="0" applyAlignment="1" applyFont="1" applyNumberFormat="1">
      <alignment horizontal="center" shrinkToFit="0" vertical="center" wrapText="0"/>
    </xf>
    <xf borderId="0" fillId="3" fontId="14" numFmtId="164" xfId="0" applyAlignment="1" applyFont="1" applyNumberFormat="1">
      <alignment horizontal="right" shrinkToFit="0" vertical="center" wrapText="0"/>
    </xf>
    <xf borderId="0" fillId="0" fontId="1" numFmtId="0" xfId="0" applyAlignment="1" applyFont="1">
      <alignment readingOrder="0" shrinkToFit="0" vertical="center" wrapText="0"/>
    </xf>
    <xf borderId="0" fillId="0" fontId="46" numFmtId="164" xfId="0" applyAlignment="1" applyFont="1" applyNumberFormat="1">
      <alignment horizontal="left" readingOrder="0" shrinkToFit="0" vertical="center" wrapText="0"/>
    </xf>
    <xf borderId="0" fillId="0" fontId="1" numFmtId="164" xfId="0" applyAlignment="1" applyFont="1" applyNumberFormat="1">
      <alignment horizontal="right" readingOrder="0" shrinkToFit="0" vertical="center" wrapText="0"/>
    </xf>
    <xf borderId="0" fillId="0" fontId="46" numFmtId="164" xfId="0" applyAlignment="1" applyFont="1" applyNumberFormat="1">
      <alignment horizontal="right" readingOrder="0" shrinkToFit="0" vertical="center" wrapText="0"/>
    </xf>
    <xf borderId="0" fillId="0" fontId="43" numFmtId="166" xfId="0" applyAlignment="1" applyFont="1" applyNumberFormat="1">
      <alignment horizontal="center" readingOrder="0" shrinkToFit="0" vertical="center" wrapText="0"/>
    </xf>
    <xf borderId="0" fillId="0" fontId="14" numFmtId="1" xfId="0" applyAlignment="1" applyFont="1" applyNumberFormat="1">
      <alignment horizontal="center" readingOrder="0" shrinkToFit="0" vertical="center" wrapText="0"/>
    </xf>
    <xf borderId="0" fillId="8" fontId="14" numFmtId="166" xfId="0" applyAlignment="1" applyFill="1" applyFont="1" applyNumberFormat="1">
      <alignment horizontal="left" readingOrder="0" shrinkToFit="0" vertical="center" wrapText="0"/>
    </xf>
    <xf borderId="0" fillId="3" fontId="13" numFmtId="3" xfId="0" applyFont="1" applyNumberFormat="1"/>
    <xf borderId="0" fillId="3" fontId="13" numFmtId="164" xfId="0" applyAlignment="1" applyFont="1" applyNumberFormat="1">
      <alignment horizontal="right"/>
    </xf>
    <xf borderId="0" fillId="3" fontId="47" numFmtId="166" xfId="0" applyAlignment="1" applyFont="1" applyNumberFormat="1">
      <alignment horizontal="center" readingOrder="0"/>
    </xf>
    <xf borderId="0" fillId="3" fontId="13" numFmtId="166" xfId="0" applyAlignment="1" applyFont="1" applyNumberFormat="1">
      <alignment horizontal="center"/>
    </xf>
    <xf borderId="0" fillId="9" fontId="13" numFmtId="166" xfId="0" applyAlignment="1" applyFill="1" applyFont="1" applyNumberFormat="1">
      <alignment horizontal="left" readingOrder="0" shrinkToFit="0" wrapText="0"/>
    </xf>
    <xf borderId="0" fillId="3" fontId="13" numFmtId="3" xfId="0" applyAlignment="1" applyFont="1" applyNumberFormat="1">
      <alignment horizontal="center"/>
    </xf>
    <xf borderId="0" fillId="3" fontId="13" numFmtId="164" xfId="0" applyAlignment="1" applyFont="1" applyNumberFormat="1">
      <alignment horizontal="center"/>
    </xf>
    <xf borderId="0" fillId="7" fontId="13" numFmtId="166" xfId="0" applyAlignment="1" applyFont="1" applyNumberFormat="1">
      <alignment horizontal="left" readingOrder="0" shrinkToFit="0" wrapText="0"/>
    </xf>
    <xf borderId="0" fillId="0" fontId="48" numFmtId="0" xfId="0" applyAlignment="1" applyFont="1">
      <alignment horizontal="center" readingOrder="0" shrinkToFit="0" vertical="center" wrapText="0"/>
    </xf>
    <xf borderId="0" fillId="0" fontId="40" numFmtId="166" xfId="0" applyAlignment="1" applyFont="1" applyNumberFormat="1">
      <alignment horizontal="center" readingOrder="0" shrinkToFit="0" vertical="center" wrapText="0"/>
    </xf>
    <xf borderId="0" fillId="0" fontId="14" numFmtId="166" xfId="0" applyAlignment="1" applyFont="1" applyNumberFormat="1">
      <alignment horizontal="left" shrinkToFit="0" vertical="center" wrapText="0"/>
    </xf>
    <xf borderId="0" fillId="0" fontId="0" numFmtId="164" xfId="0" applyAlignment="1" applyFont="1" applyNumberFormat="1">
      <alignment horizontal="left" readingOrder="0" shrinkToFit="0" vertical="center" wrapText="0"/>
    </xf>
    <xf borderId="0" fillId="0" fontId="14" numFmtId="1" xfId="0" applyAlignment="1" applyFont="1" applyNumberFormat="1">
      <alignment horizontal="left" readingOrder="0" shrinkToFit="0" vertical="center" wrapText="0"/>
    </xf>
    <xf borderId="0" fillId="0" fontId="49" numFmtId="3" xfId="0" applyAlignment="1" applyFont="1" applyNumberFormat="1">
      <alignment horizontal="left" readingOrder="0" vertical="center"/>
    </xf>
    <xf borderId="0" fillId="0" fontId="49" numFmtId="164" xfId="0" applyAlignment="1" applyFont="1" applyNumberFormat="1">
      <alignment horizontal="left" readingOrder="0" vertical="center"/>
    </xf>
    <xf borderId="0" fillId="3" fontId="18" numFmtId="166" xfId="0" applyAlignment="1" applyFont="1" applyNumberFormat="1">
      <alignment shrinkToFit="0" vertical="center" wrapText="0"/>
    </xf>
    <xf borderId="0" fillId="3" fontId="18" numFmtId="166" xfId="0" applyAlignment="1" applyFont="1" applyNumberFormat="1">
      <alignment shrinkToFit="0" vertical="center" wrapText="0"/>
    </xf>
    <xf borderId="0" fillId="3" fontId="18" numFmtId="166" xfId="0" applyAlignment="1" applyFont="1" applyNumberFormat="1">
      <alignment horizontal="left" shrinkToFit="0" vertical="center" wrapText="0"/>
    </xf>
    <xf borderId="0" fillId="3" fontId="18" numFmtId="164" xfId="0" applyAlignment="1" applyFont="1" applyNumberFormat="1">
      <alignment shrinkToFit="0" vertical="center" wrapText="0"/>
    </xf>
    <xf borderId="0" fillId="3" fontId="18" numFmtId="164" xfId="0" applyAlignment="1" applyFont="1" applyNumberFormat="1">
      <alignment horizontal="right" readingOrder="0" shrinkToFit="0" vertical="center" wrapText="0"/>
    </xf>
    <xf borderId="0" fillId="3" fontId="14" numFmtId="164" xfId="0" applyAlignment="1" applyFont="1" applyNumberFormat="1">
      <alignment horizontal="left" shrinkToFit="0" vertical="center" wrapText="0"/>
    </xf>
    <xf borderId="0" fillId="3" fontId="50" numFmtId="0" xfId="0" applyAlignment="1" applyFont="1">
      <alignment horizontal="center" readingOrder="0" shrinkToFit="0" vertical="center" wrapText="0"/>
    </xf>
    <xf borderId="0" fillId="3" fontId="40" numFmtId="166" xfId="0" applyAlignment="1" applyFont="1" applyNumberFormat="1">
      <alignment horizontal="center" readingOrder="0" shrinkToFit="0" vertical="center" wrapText="0"/>
    </xf>
    <xf borderId="0" fillId="3" fontId="14" numFmtId="166" xfId="0" applyAlignment="1" applyFont="1" applyNumberFormat="1">
      <alignment horizontal="left" readingOrder="0" shrinkToFit="0" vertical="center" wrapText="0"/>
    </xf>
    <xf borderId="0" fillId="3" fontId="14" numFmtId="0" xfId="0" applyAlignment="1" applyFont="1">
      <alignment horizontal="center" shrinkToFit="0" vertical="center" wrapText="0"/>
    </xf>
    <xf borderId="0" fillId="3" fontId="14" numFmtId="166" xfId="0" applyAlignment="1" applyFont="1" applyNumberFormat="1">
      <alignment horizontal="left" shrinkToFit="0" vertical="center" wrapText="0"/>
    </xf>
    <xf borderId="0" fillId="3" fontId="0" numFmtId="166" xfId="0" applyAlignment="1" applyFont="1" applyNumberFormat="1">
      <alignment horizontal="left" readingOrder="0" shrinkToFit="0" vertical="center" wrapText="0"/>
    </xf>
    <xf borderId="0" fillId="3" fontId="0" numFmtId="164" xfId="0" applyAlignment="1" applyFont="1" applyNumberFormat="1">
      <alignment horizontal="center" readingOrder="0" shrinkToFit="0" vertical="center" wrapText="0"/>
    </xf>
    <xf borderId="0" fillId="0" fontId="13" numFmtId="0" xfId="0" applyFont="1"/>
    <xf borderId="0" fillId="0" fontId="13" numFmtId="166" xfId="0" applyFont="1" applyNumberFormat="1"/>
    <xf borderId="0" fillId="0" fontId="13" numFmtId="3" xfId="0" applyFont="1" applyNumberFormat="1"/>
    <xf borderId="0" fillId="0" fontId="13" numFmtId="164" xfId="0" applyAlignment="1" applyFont="1" applyNumberFormat="1">
      <alignment horizontal="right"/>
    </xf>
    <xf borderId="0" fillId="0" fontId="13" numFmtId="164" xfId="0" applyFont="1" applyNumberFormat="1"/>
    <xf borderId="0" fillId="0" fontId="51" numFmtId="1" xfId="0" applyAlignment="1" applyFont="1" applyNumberFormat="1">
      <alignment horizontal="center"/>
    </xf>
    <xf borderId="0" fillId="0" fontId="47" numFmtId="166" xfId="0" applyAlignment="1" applyFont="1" applyNumberFormat="1">
      <alignment horizontal="center" readingOrder="0"/>
    </xf>
    <xf borderId="0" fillId="0" fontId="13" numFmtId="1" xfId="0" applyFont="1" applyNumberFormat="1"/>
    <xf borderId="0" fillId="0" fontId="13" numFmtId="166" xfId="0" applyAlignment="1" applyFont="1" applyNumberFormat="1">
      <alignment horizontal="center"/>
    </xf>
    <xf borderId="0" fillId="0" fontId="13" numFmtId="164" xfId="0" applyAlignment="1" applyFont="1" applyNumberFormat="1">
      <alignment horizontal="right" readingOrder="0"/>
    </xf>
    <xf borderId="0" fillId="0" fontId="13" numFmtId="3" xfId="0" applyAlignment="1" applyFont="1" applyNumberFormat="1">
      <alignment horizontal="center"/>
    </xf>
    <xf borderId="0" fillId="3" fontId="1" numFmtId="3" xfId="0" applyAlignment="1" applyFont="1" applyNumberFormat="1">
      <alignment readingOrder="0" shrinkToFit="0" vertical="center" wrapText="0"/>
    </xf>
    <xf borderId="0" fillId="3" fontId="1" numFmtId="3" xfId="0" applyAlignment="1" applyFont="1" applyNumberFormat="1">
      <alignment horizontal="left" readingOrder="0" shrinkToFit="0" vertical="center" wrapText="0"/>
    </xf>
    <xf borderId="0" fillId="3" fontId="1" numFmtId="164" xfId="0" applyAlignment="1" applyFont="1" applyNumberFormat="1">
      <alignment readingOrder="0" shrinkToFit="0" vertical="center" wrapText="0"/>
    </xf>
    <xf borderId="0" fillId="3" fontId="1" numFmtId="164" xfId="0" applyAlignment="1" applyFont="1" applyNumberFormat="1">
      <alignment horizontal="left" readingOrder="0" shrinkToFit="0" vertical="center" wrapText="0"/>
    </xf>
    <xf borderId="0" fillId="3" fontId="52" numFmtId="1" xfId="0" applyAlignment="1" applyFont="1" applyNumberFormat="1">
      <alignment horizontal="center" readingOrder="0" shrinkToFit="0" vertical="center" wrapText="0"/>
    </xf>
    <xf borderId="0" fillId="3" fontId="40" numFmtId="166" xfId="0" applyAlignment="1" applyFont="1" applyNumberFormat="1">
      <alignment horizontal="center" readingOrder="0" shrinkToFit="0" vertical="center" wrapText="0"/>
    </xf>
    <xf borderId="0" fillId="3" fontId="40" numFmtId="166" xfId="0" applyAlignment="1" applyFont="1" applyNumberFormat="1">
      <alignment horizontal="center" shrinkToFit="0" vertical="center" wrapText="0"/>
    </xf>
    <xf borderId="0" fillId="3" fontId="18" numFmtId="164" xfId="0" applyAlignment="1" applyFont="1" applyNumberFormat="1">
      <alignment horizontal="left" readingOrder="0" shrinkToFit="0" vertical="center" wrapText="0"/>
    </xf>
    <xf borderId="0" fillId="3" fontId="18" numFmtId="164" xfId="0" applyAlignment="1" applyFont="1" applyNumberFormat="1">
      <alignment horizontal="center" shrinkToFit="0" vertical="center" wrapText="0"/>
    </xf>
    <xf borderId="0" fillId="3" fontId="18" numFmtId="164" xfId="0" applyAlignment="1" applyFont="1" applyNumberFormat="1">
      <alignment horizontal="right" shrinkToFit="0" vertical="center" wrapText="0"/>
    </xf>
    <xf borderId="0" fillId="3" fontId="18" numFmtId="166" xfId="0" applyAlignment="1" applyFont="1" applyNumberFormat="1">
      <alignment horizontal="center" shrinkToFit="0" vertical="center" wrapText="0"/>
    </xf>
    <xf borderId="0" fillId="0" fontId="1" numFmtId="3" xfId="0" applyAlignment="1" applyFont="1" applyNumberFormat="1">
      <alignment horizontal="left" shrinkToFit="0" vertical="center" wrapText="0"/>
    </xf>
    <xf borderId="0" fillId="0" fontId="49" numFmtId="164" xfId="0" applyAlignment="1" applyFont="1" applyNumberFormat="1">
      <alignment horizontal="left" readingOrder="0" shrinkToFit="0" vertical="center" wrapText="0"/>
    </xf>
    <xf borderId="0" fillId="0" fontId="13" numFmtId="164" xfId="0" applyAlignment="1" applyFont="1" applyNumberFormat="1">
      <alignment horizontal="center" readingOrder="0"/>
    </xf>
    <xf borderId="0" fillId="0" fontId="13" numFmtId="166" xfId="0" applyAlignment="1" applyFont="1" applyNumberFormat="1">
      <alignment horizontal="center" readingOrder="0"/>
    </xf>
    <xf borderId="0" fillId="3" fontId="14" numFmtId="1" xfId="0" applyAlignment="1" applyFont="1" applyNumberFormat="1">
      <alignment horizontal="center" readingOrder="0" shrinkToFit="0" vertical="center" wrapText="0"/>
    </xf>
    <xf borderId="0" fillId="3" fontId="14" numFmtId="164" xfId="0" applyAlignment="1" applyFont="1" applyNumberFormat="1">
      <alignment shrinkToFit="0" wrapText="0"/>
    </xf>
    <xf borderId="0" fillId="3" fontId="53" numFmtId="0" xfId="0" applyAlignment="1" applyFont="1">
      <alignment horizontal="center" readingOrder="0" shrinkToFit="0" vertical="center" wrapText="0"/>
    </xf>
    <xf borderId="0" fillId="0" fontId="13" numFmtId="164" xfId="0" applyAlignment="1" applyFont="1" applyNumberFormat="1">
      <alignment readingOrder="0"/>
    </xf>
    <xf borderId="0" fillId="0" fontId="54" numFmtId="0" xfId="0" applyAlignment="1" applyFont="1">
      <alignment horizontal="center"/>
    </xf>
    <xf borderId="0" fillId="0" fontId="40" numFmtId="164" xfId="0" applyAlignment="1" applyFont="1" applyNumberFormat="1">
      <alignment horizontal="center" readingOrder="0" shrinkToFit="0" vertical="center" wrapText="0"/>
    </xf>
    <xf borderId="0" fillId="0" fontId="13" numFmtId="0" xfId="0" applyFont="1"/>
    <xf borderId="0" fillId="3" fontId="18" numFmtId="164" xfId="0" applyAlignment="1" applyFont="1" applyNumberFormat="1">
      <alignment horizontal="right" readingOrder="0" shrinkToFit="0" vertical="center" wrapText="0"/>
    </xf>
    <xf borderId="0" fillId="9" fontId="14" numFmtId="166" xfId="0" applyAlignment="1" applyFont="1" applyNumberFormat="1">
      <alignment horizontal="left" readingOrder="0" shrinkToFit="0" vertical="center" wrapText="0"/>
    </xf>
    <xf borderId="0" fillId="0" fontId="18" numFmtId="0" xfId="0" applyAlignment="1" applyFont="1">
      <alignment shrinkToFit="0" vertical="center" wrapText="0"/>
    </xf>
    <xf borderId="0" fillId="0" fontId="0" numFmtId="164" xfId="0" applyAlignment="1" applyFont="1" applyNumberFormat="1">
      <alignment readingOrder="0" shrinkToFit="0" vertical="center" wrapText="0"/>
    </xf>
    <xf borderId="0" fillId="0" fontId="18" numFmtId="164" xfId="0" applyAlignment="1" applyFont="1" applyNumberFormat="1">
      <alignment readingOrder="0" shrinkToFit="0" vertical="center" wrapText="0"/>
    </xf>
    <xf borderId="0" fillId="0" fontId="0" numFmtId="164" xfId="0" applyAlignment="1" applyFont="1" applyNumberFormat="1">
      <alignment horizontal="right" readingOrder="0" shrinkToFit="0" vertical="center" wrapText="0"/>
    </xf>
    <xf borderId="0" fillId="0" fontId="1" numFmtId="164" xfId="0" applyAlignment="1" applyFont="1" applyNumberFormat="1">
      <alignment shrinkToFit="0" vertical="center" wrapText="0"/>
    </xf>
    <xf borderId="0" fillId="0" fontId="55" numFmtId="1" xfId="0" applyAlignment="1" applyFont="1" applyNumberFormat="1">
      <alignment horizontal="center" readingOrder="0" shrinkToFit="0" vertical="center" wrapText="0"/>
    </xf>
    <xf borderId="0" fillId="7" fontId="1" numFmtId="0" xfId="0" applyAlignment="1" applyFont="1">
      <alignment horizontal="left" readingOrder="0" shrinkToFit="0" vertical="center" wrapText="0"/>
    </xf>
    <xf borderId="0" fillId="0" fontId="1" numFmtId="1" xfId="0" applyAlignment="1" applyFont="1" applyNumberFormat="1">
      <alignment horizontal="center" shrinkToFit="0" vertical="center" wrapText="0"/>
    </xf>
    <xf borderId="0" fillId="0" fontId="43" numFmtId="166" xfId="0" applyAlignment="1" applyFont="1" applyNumberFormat="1">
      <alignment horizontal="center" shrinkToFit="0" vertical="center" wrapText="0"/>
    </xf>
    <xf borderId="0" fillId="7" fontId="1" numFmtId="0" xfId="0" applyAlignment="1" applyFont="1">
      <alignment horizontal="left" shrinkToFit="0" vertical="center" wrapText="0"/>
    </xf>
    <xf borderId="0" fillId="0" fontId="0" numFmtId="164" xfId="0" applyAlignment="1" applyFont="1" applyNumberFormat="1">
      <alignment horizontal="right" shrinkToFit="0" vertical="center" wrapText="0"/>
    </xf>
    <xf borderId="0" fillId="3" fontId="18" numFmtId="0" xfId="0" applyAlignment="1" applyFont="1">
      <alignment shrinkToFit="0" vertical="center" wrapText="0"/>
    </xf>
    <xf borderId="0" fillId="3" fontId="1" numFmtId="0" xfId="0" applyAlignment="1" applyFont="1">
      <alignment readingOrder="0" shrinkToFit="0" vertical="center" wrapText="0"/>
    </xf>
    <xf borderId="0" fillId="3" fontId="1" numFmtId="164" xfId="0" applyAlignment="1" applyFont="1" applyNumberFormat="1">
      <alignment horizontal="right" readingOrder="0" shrinkToFit="0" vertical="center" wrapText="0"/>
    </xf>
    <xf borderId="0" fillId="3" fontId="46" numFmtId="164" xfId="0" applyAlignment="1" applyFont="1" applyNumberFormat="1">
      <alignment horizontal="right" readingOrder="0" shrinkToFit="0" vertical="center" wrapText="0"/>
    </xf>
    <xf borderId="0" fillId="3" fontId="46" numFmtId="164" xfId="0" applyAlignment="1" applyFont="1" applyNumberFormat="1">
      <alignment horizontal="left" readingOrder="0" shrinkToFit="0" vertical="center" wrapText="0"/>
    </xf>
    <xf borderId="0" fillId="3" fontId="49" numFmtId="164" xfId="0" applyAlignment="1" applyFont="1" applyNumberFormat="1">
      <alignment horizontal="right" readingOrder="0" shrinkToFit="0" vertical="center" wrapText="0"/>
    </xf>
    <xf borderId="0" fillId="3" fontId="1" numFmtId="164" xfId="0" applyAlignment="1" applyFont="1" applyNumberFormat="1">
      <alignment horizontal="right" shrinkToFit="0" vertical="center" wrapText="0"/>
    </xf>
    <xf borderId="0" fillId="0" fontId="18" numFmtId="166" xfId="0" applyAlignment="1" applyFont="1" applyNumberFormat="1">
      <alignment shrinkToFit="0" vertical="center" wrapText="0"/>
    </xf>
    <xf borderId="0" fillId="0" fontId="0" numFmtId="166" xfId="0" applyAlignment="1" applyFont="1" applyNumberFormat="1">
      <alignment readingOrder="0" shrinkToFit="0" vertical="center" wrapText="0"/>
    </xf>
    <xf borderId="0" fillId="0" fontId="0" numFmtId="166" xfId="0" applyAlignment="1" applyFont="1" applyNumberFormat="1">
      <alignment horizontal="left" readingOrder="0" shrinkToFit="0" vertical="center" wrapText="0"/>
    </xf>
    <xf borderId="0" fillId="0" fontId="14" numFmtId="164" xfId="0" applyAlignment="1" applyFont="1" applyNumberFormat="1">
      <alignment horizontal="left" shrinkToFit="0" vertical="center" wrapText="0"/>
    </xf>
    <xf borderId="0" fillId="0" fontId="56" numFmtId="0" xfId="0" applyAlignment="1" applyFont="1">
      <alignment horizontal="center" readingOrder="0" shrinkToFit="0" vertical="center" wrapText="0"/>
    </xf>
    <xf borderId="0" fillId="0" fontId="14" numFmtId="0" xfId="0" applyAlignment="1" applyFont="1">
      <alignment horizontal="center" shrinkToFit="0" vertical="center" wrapText="0"/>
    </xf>
    <xf borderId="0" fillId="0" fontId="14" numFmtId="166" xfId="0" applyAlignment="1" applyFont="1" applyNumberFormat="1">
      <alignment horizontal="center" shrinkToFit="0" vertical="center" wrapText="0"/>
    </xf>
    <xf borderId="0" fillId="0" fontId="0" numFmtId="164" xfId="0" applyAlignment="1" applyFont="1" applyNumberFormat="1">
      <alignment horizontal="center" readingOrder="0" shrinkToFit="0" vertical="center" wrapText="0"/>
    </xf>
    <xf borderId="0" fillId="3" fontId="13" numFmtId="0" xfId="0" applyAlignment="1" applyFont="1">
      <alignment vertical="center"/>
    </xf>
    <xf borderId="0" fillId="3" fontId="1" numFmtId="3" xfId="0" applyAlignment="1" applyFont="1" applyNumberFormat="1">
      <alignment horizontal="left" shrinkToFit="0" vertical="center" wrapText="0"/>
    </xf>
    <xf borderId="0" fillId="3" fontId="49" numFmtId="164" xfId="0" applyAlignment="1" applyFont="1" applyNumberFormat="1">
      <alignment horizontal="left" readingOrder="0" shrinkToFit="0" vertical="center" wrapText="0"/>
    </xf>
    <xf borderId="0" fillId="3" fontId="47" numFmtId="164" xfId="0" applyAlignment="1" applyFont="1" applyNumberFormat="1">
      <alignment horizontal="center" readingOrder="0" vertical="center"/>
    </xf>
    <xf borderId="0" fillId="3" fontId="13" numFmtId="164" xfId="0" applyAlignment="1" applyFont="1" applyNumberFormat="1">
      <alignment horizontal="center" readingOrder="0" vertical="center"/>
    </xf>
    <xf borderId="0" fillId="3" fontId="1" numFmtId="1" xfId="0" applyAlignment="1" applyFont="1" applyNumberFormat="1">
      <alignment horizontal="center" readingOrder="0" shrinkToFit="0" vertical="center" wrapText="0"/>
    </xf>
    <xf borderId="0" fillId="3" fontId="18" numFmtId="0" xfId="0" applyAlignment="1" applyFont="1">
      <alignment shrinkToFit="0" vertical="center" wrapText="0"/>
    </xf>
    <xf borderId="0" fillId="3" fontId="0" numFmtId="0" xfId="0" applyAlignment="1" applyFont="1">
      <alignment horizontal="left" readingOrder="0" shrinkToFit="0" vertical="center" wrapText="0"/>
    </xf>
    <xf borderId="0" fillId="3" fontId="57" numFmtId="0" xfId="0" applyAlignment="1" applyFont="1">
      <alignment horizontal="center" readingOrder="0" shrinkToFit="0" vertical="center" wrapText="0"/>
    </xf>
    <xf borderId="0" fillId="3" fontId="18" numFmtId="0" xfId="0" applyAlignment="1" applyFont="1">
      <alignment horizontal="left" readingOrder="0" shrinkToFit="0" vertical="center" wrapText="0"/>
    </xf>
    <xf borderId="0" fillId="3" fontId="13" numFmtId="0" xfId="0" applyAlignment="1" applyFont="1">
      <alignment vertical="center"/>
    </xf>
    <xf borderId="0" fillId="0" fontId="14" numFmtId="1" xfId="0" applyAlignment="1" applyFont="1" applyNumberFormat="1">
      <alignment horizontal="center" readingOrder="0" shrinkToFit="0" vertical="center" wrapText="0"/>
    </xf>
    <xf borderId="0" fillId="0" fontId="1" numFmtId="164" xfId="0" applyAlignment="1" applyFont="1" applyNumberFormat="1">
      <alignment horizontal="left" shrinkToFit="0" vertical="center" wrapText="0"/>
    </xf>
    <xf borderId="0" fillId="0" fontId="47" numFmtId="164" xfId="0" applyAlignment="1" applyFont="1" applyNumberFormat="1">
      <alignment horizontal="center" readingOrder="0" vertical="center"/>
    </xf>
    <xf borderId="0" fillId="0" fontId="13" numFmtId="164" xfId="0" applyAlignment="1" applyFont="1" applyNumberFormat="1">
      <alignment horizontal="center" readingOrder="0" vertical="center"/>
    </xf>
    <xf borderId="0" fillId="3" fontId="40" numFmtId="164" xfId="0" applyAlignment="1" applyFont="1" applyNumberFormat="1">
      <alignment horizontal="center" readingOrder="0" shrinkToFit="0" vertical="center" wrapText="0"/>
    </xf>
    <xf borderId="0" fillId="3" fontId="18" numFmtId="0" xfId="0" applyAlignment="1" applyFont="1">
      <alignment horizontal="center" shrinkToFit="0" vertical="center" wrapText="0"/>
    </xf>
    <xf borderId="0" fillId="0" fontId="13" numFmtId="1" xfId="0" applyAlignment="1" applyFont="1" applyNumberFormat="1">
      <alignment horizontal="center"/>
    </xf>
    <xf borderId="0" fillId="0" fontId="41" numFmtId="164" xfId="0" applyFont="1" applyNumberFormat="1"/>
    <xf borderId="0" fillId="3" fontId="18" numFmtId="0" xfId="0" applyAlignment="1" applyFont="1">
      <alignment horizontal="center" readingOrder="0" shrinkToFit="0" vertical="center" wrapText="0"/>
    </xf>
    <xf borderId="0" fillId="0" fontId="22" numFmtId="0" xfId="0" applyAlignment="1" applyFont="1">
      <alignment vertical="bottom"/>
    </xf>
    <xf borderId="0" fillId="0" fontId="13" numFmtId="0" xfId="0" applyAlignment="1" applyFont="1">
      <alignment readingOrder="0"/>
    </xf>
    <xf borderId="0" fillId="3" fontId="13" numFmtId="166" xfId="0" applyAlignment="1" applyFont="1" applyNumberFormat="1">
      <alignment readingOrder="0" vertical="center"/>
    </xf>
    <xf borderId="0" fillId="3" fontId="1" numFmtId="166" xfId="0" applyAlignment="1" applyFont="1" applyNumberFormat="1">
      <alignment readingOrder="0" shrinkToFit="0" vertical="center" wrapText="0"/>
    </xf>
    <xf borderId="0" fillId="3" fontId="1" numFmtId="166" xfId="0" applyAlignment="1" applyFont="1" applyNumberFormat="1">
      <alignment horizontal="left" shrinkToFit="0" vertical="center" wrapText="0"/>
    </xf>
    <xf borderId="0" fillId="3" fontId="49" numFmtId="164" xfId="0" applyAlignment="1" applyFont="1" applyNumberFormat="1">
      <alignment horizontal="left" shrinkToFit="0" vertical="center" wrapText="0"/>
    </xf>
    <xf borderId="0" fillId="3" fontId="18" numFmtId="164" xfId="0" applyAlignment="1" applyFont="1" applyNumberFormat="1">
      <alignment horizontal="left" shrinkToFit="0" vertical="center" wrapText="0"/>
    </xf>
    <xf borderId="0" fillId="3" fontId="0" numFmtId="164" xfId="0" applyAlignment="1" applyFont="1" applyNumberFormat="1">
      <alignment horizontal="left" shrinkToFit="0" vertical="center" wrapText="0"/>
    </xf>
    <xf borderId="0" fillId="3" fontId="58" numFmtId="1" xfId="0" applyAlignment="1" applyFont="1" applyNumberFormat="1">
      <alignment horizontal="center" readingOrder="0"/>
    </xf>
    <xf borderId="0" fillId="3" fontId="40" numFmtId="164" xfId="0" applyAlignment="1" applyFont="1" applyNumberFormat="1">
      <alignment horizontal="center" readingOrder="0" shrinkToFit="0" vertical="center" wrapText="0"/>
    </xf>
    <xf borderId="0" fillId="3" fontId="40" numFmtId="0" xfId="0" applyAlignment="1" applyFont="1">
      <alignment horizontal="left" readingOrder="0" shrinkToFit="0" vertical="center" wrapText="0"/>
    </xf>
    <xf borderId="0" fillId="3" fontId="13" numFmtId="1" xfId="0" applyAlignment="1" applyFont="1" applyNumberFormat="1">
      <alignment horizontal="center" readingOrder="0"/>
    </xf>
    <xf borderId="0" fillId="0" fontId="1" numFmtId="166" xfId="0" applyAlignment="1" applyFont="1" applyNumberFormat="1">
      <alignment readingOrder="0" shrinkToFit="0" vertical="center" wrapText="0"/>
    </xf>
    <xf borderId="0" fillId="0" fontId="1" numFmtId="166" xfId="0" applyAlignment="1" applyFont="1" applyNumberFormat="1">
      <alignment horizontal="left" shrinkToFit="0" vertical="center" wrapText="0"/>
    </xf>
    <xf borderId="0" fillId="0" fontId="49" numFmtId="164" xfId="0" applyAlignment="1" applyFont="1" applyNumberFormat="1">
      <alignment horizontal="left" shrinkToFit="0" vertical="center" wrapText="0"/>
    </xf>
    <xf borderId="0" fillId="0" fontId="18" numFmtId="164" xfId="0" applyAlignment="1" applyFont="1" applyNumberFormat="1">
      <alignment horizontal="left" shrinkToFit="0" vertical="center" wrapText="0"/>
    </xf>
    <xf borderId="0" fillId="0" fontId="0" numFmtId="164" xfId="0" applyAlignment="1" applyFont="1" applyNumberFormat="1">
      <alignment horizontal="left" shrinkToFit="0" vertical="center" wrapText="0"/>
    </xf>
    <xf borderId="0" fillId="0" fontId="59" numFmtId="1" xfId="0" applyAlignment="1" applyFont="1" applyNumberFormat="1">
      <alignment horizontal="center" readingOrder="0"/>
    </xf>
    <xf borderId="0" fillId="0" fontId="40" numFmtId="164" xfId="0" applyAlignment="1" applyFont="1" applyNumberFormat="1">
      <alignment horizontal="center" readingOrder="0" shrinkToFit="0" vertical="center" wrapText="0"/>
    </xf>
    <xf borderId="0" fillId="0" fontId="40" numFmtId="0" xfId="0" applyAlignment="1" applyFont="1">
      <alignment horizontal="left" readingOrder="0" shrinkToFit="0" vertical="center" wrapText="0"/>
    </xf>
    <xf borderId="0" fillId="0" fontId="40" numFmtId="0" xfId="0" applyAlignment="1" applyFont="1">
      <alignment horizontal="center" readingOrder="0" shrinkToFit="0" vertical="center" wrapText="0"/>
    </xf>
    <xf borderId="0" fillId="3" fontId="1" numFmtId="164" xfId="0" applyAlignment="1" applyFont="1" applyNumberFormat="1">
      <alignment readingOrder="0"/>
    </xf>
    <xf borderId="0" fillId="3" fontId="1" numFmtId="3" xfId="0" applyAlignment="1" applyFont="1" applyNumberFormat="1">
      <alignment shrinkToFit="0" vertical="center" wrapText="0"/>
    </xf>
    <xf borderId="0" fillId="3" fontId="1" numFmtId="164" xfId="0" applyAlignment="1" applyFont="1" applyNumberFormat="1">
      <alignment horizontal="left" shrinkToFit="0" vertical="center" wrapText="0"/>
    </xf>
    <xf borderId="0" fillId="0" fontId="1" numFmtId="166" xfId="0" applyAlignment="1" applyFont="1" applyNumberFormat="1">
      <alignment shrinkToFit="0" vertical="center" wrapText="0"/>
    </xf>
    <xf borderId="0" fillId="0" fontId="1" numFmtId="3" xfId="0" applyAlignment="1" applyFont="1" applyNumberFormat="1">
      <alignment shrinkToFit="0" vertical="center" wrapText="0"/>
    </xf>
    <xf borderId="0" fillId="0" fontId="1" numFmtId="1" xfId="0" applyAlignment="1" applyFont="1" applyNumberFormat="1">
      <alignment horizontal="center" shrinkToFit="0" vertical="center" wrapText="0"/>
    </xf>
    <xf borderId="0" fillId="0" fontId="1" numFmtId="166" xfId="0" applyAlignment="1" applyFont="1" applyNumberFormat="1">
      <alignment horizontal="center" shrinkToFit="0" vertical="center" wrapText="0"/>
    </xf>
    <xf borderId="0" fillId="0" fontId="13" numFmtId="166" xfId="0" applyAlignment="1" applyFont="1" applyNumberFormat="1">
      <alignment horizontal="center" vertical="center"/>
    </xf>
    <xf borderId="0" fillId="0" fontId="13" numFmtId="0" xfId="0" applyAlignment="1" applyFont="1">
      <alignment horizontal="center" readingOrder="0" vertical="center"/>
    </xf>
    <xf borderId="0" fillId="3" fontId="49" numFmtId="3" xfId="0" applyAlignment="1" applyFont="1" applyNumberFormat="1">
      <alignment horizontal="left" readingOrder="0"/>
    </xf>
    <xf borderId="0" fillId="3" fontId="49" numFmtId="164" xfId="0" applyAlignment="1" applyFont="1" applyNumberFormat="1">
      <alignment horizontal="left" readingOrder="0"/>
    </xf>
    <xf borderId="0" fillId="3" fontId="40" numFmtId="0" xfId="0" applyAlignment="1" applyFont="1">
      <alignment horizontal="left" readingOrder="0" shrinkToFit="0" vertical="center" wrapText="0"/>
    </xf>
    <xf borderId="0" fillId="3" fontId="40" numFmtId="0" xfId="0" applyAlignment="1" applyFont="1">
      <alignment horizontal="center" readingOrder="0" shrinkToFit="0" vertical="center" wrapText="0"/>
    </xf>
    <xf borderId="0" fillId="3" fontId="1" numFmtId="0" xfId="0" applyAlignment="1" applyFont="1">
      <alignment shrinkToFit="0" vertical="center" wrapText="0"/>
    </xf>
    <xf borderId="0" fillId="0" fontId="40" numFmtId="0" xfId="0" applyAlignment="1" applyFont="1">
      <alignment horizontal="left" readingOrder="0" shrinkToFit="0" vertical="center" wrapText="0"/>
    </xf>
    <xf borderId="0" fillId="7" fontId="11" numFmtId="166" xfId="0" applyAlignment="1" applyFont="1" applyNumberFormat="1">
      <alignment horizontal="left" readingOrder="0" shrinkToFit="0" vertical="center" wrapText="0"/>
    </xf>
    <xf borderId="0" fillId="3" fontId="1" numFmtId="164" xfId="0" applyFont="1" applyNumberFormat="1"/>
    <xf borderId="0" fillId="7" fontId="14" numFmtId="3" xfId="0" applyAlignment="1" applyFont="1" applyNumberFormat="1">
      <alignment horizontal="left" readingOrder="0" shrinkToFit="0" vertical="center" wrapText="0"/>
    </xf>
    <xf borderId="0" fillId="0" fontId="18" numFmtId="3" xfId="0" applyAlignment="1" applyFont="1" applyNumberFormat="1">
      <alignment horizontal="right" readingOrder="0" shrinkToFit="0" vertical="center" wrapText="0"/>
    </xf>
    <xf borderId="0" fillId="0" fontId="0" numFmtId="3" xfId="0" applyAlignment="1" applyFont="1" applyNumberFormat="1">
      <alignment horizontal="right" readingOrder="0" shrinkToFit="0" vertical="center" wrapText="0"/>
    </xf>
    <xf borderId="0" fillId="5" fontId="18" numFmtId="0" xfId="0" applyAlignment="1" applyFont="1">
      <alignment horizontal="center" readingOrder="0" shrinkToFit="0" vertical="center" wrapText="0"/>
    </xf>
    <xf borderId="0" fillId="5" fontId="18" numFmtId="0" xfId="0" applyAlignment="1" applyFont="1">
      <alignment readingOrder="0" shrinkToFit="0" vertical="center" wrapText="0"/>
    </xf>
    <xf borderId="0" fillId="5" fontId="1" numFmtId="3" xfId="0" applyAlignment="1" applyFont="1" applyNumberFormat="1">
      <alignment shrinkToFit="0" vertical="center" wrapText="0"/>
    </xf>
    <xf borderId="0" fillId="5" fontId="1" numFmtId="3" xfId="0" applyAlignment="1" applyFont="1" applyNumberFormat="1">
      <alignment horizontal="left" shrinkToFit="0" vertical="center" wrapText="0"/>
    </xf>
    <xf borderId="0" fillId="5" fontId="18" numFmtId="3" xfId="0" applyAlignment="1" applyFont="1" applyNumberFormat="1">
      <alignment horizontal="right" readingOrder="0" shrinkToFit="0" vertical="center" wrapText="0"/>
    </xf>
    <xf borderId="0" fillId="5" fontId="0" numFmtId="3" xfId="0" applyAlignment="1" applyFont="1" applyNumberFormat="1">
      <alignment horizontal="right" readingOrder="0" shrinkToFit="0" vertical="center" wrapText="0"/>
    </xf>
    <xf borderId="0" fillId="5" fontId="14" numFmtId="164" xfId="0" applyAlignment="1" applyFont="1" applyNumberFormat="1">
      <alignment shrinkToFit="0" vertical="center" wrapText="0"/>
    </xf>
    <xf borderId="0" fillId="5" fontId="14" numFmtId="1" xfId="0" applyAlignment="1" applyFont="1" applyNumberFormat="1">
      <alignment horizontal="center" readingOrder="0" shrinkToFit="0" vertical="center" wrapText="0"/>
    </xf>
    <xf borderId="0" fillId="5" fontId="40" numFmtId="166" xfId="0" applyAlignment="1" applyFont="1" applyNumberFormat="1">
      <alignment horizontal="center" readingOrder="0" shrinkToFit="0" vertical="center" wrapText="0"/>
    </xf>
    <xf borderId="0" fillId="5" fontId="18" numFmtId="0" xfId="0" applyAlignment="1" applyFont="1">
      <alignment readingOrder="0" shrinkToFit="0" vertical="center" wrapText="0"/>
    </xf>
    <xf borderId="0" fillId="5" fontId="18" numFmtId="166" xfId="0" applyAlignment="1" applyFont="1" applyNumberFormat="1">
      <alignment readingOrder="0" shrinkToFit="0" vertical="center" wrapText="0"/>
    </xf>
    <xf borderId="0" fillId="5" fontId="14" numFmtId="166" xfId="0" applyAlignment="1" applyFont="1" applyNumberFormat="1">
      <alignment horizontal="left" shrinkToFit="0" vertical="center" wrapText="0"/>
    </xf>
    <xf borderId="0" fillId="7" fontId="14" numFmtId="164" xfId="0" applyAlignment="1" applyFont="1" applyNumberFormat="1">
      <alignment horizontal="left" shrinkToFit="0" vertical="center" wrapText="0"/>
    </xf>
    <xf borderId="0" fillId="0" fontId="14" numFmtId="164" xfId="0" applyAlignment="1" applyFont="1" applyNumberFormat="1">
      <alignment horizontal="center" shrinkToFit="0" vertical="center" wrapText="0"/>
    </xf>
    <xf borderId="0" fillId="0" fontId="40" numFmtId="164" xfId="0" applyAlignment="1" applyFont="1" applyNumberFormat="1">
      <alignment horizontal="center" shrinkToFit="0" vertical="center" wrapText="0"/>
    </xf>
    <xf borderId="0" fillId="3" fontId="0" numFmtId="3" xfId="0" applyAlignment="1" applyFont="1" applyNumberFormat="1">
      <alignment horizontal="right" readingOrder="0" shrinkToFit="0" vertical="center" wrapText="0"/>
    </xf>
    <xf borderId="0" fillId="3" fontId="1" numFmtId="0" xfId="0" applyAlignment="1" applyFont="1">
      <alignment horizontal="center" readingOrder="0" shrinkToFit="0" vertical="center" wrapText="0"/>
    </xf>
    <xf borderId="0" fillId="3" fontId="0" numFmtId="0" xfId="0" applyAlignment="1" applyFont="1">
      <alignment readingOrder="0" shrinkToFit="0" vertical="center" wrapText="0"/>
    </xf>
    <xf borderId="0" fillId="3" fontId="60" numFmtId="164" xfId="0" applyAlignment="1" applyFont="1" applyNumberFormat="1">
      <alignment horizontal="left" shrinkToFit="0" vertical="center" wrapText="0"/>
    </xf>
    <xf borderId="0" fillId="7" fontId="60" numFmtId="166" xfId="0" applyAlignment="1" applyFont="1" applyNumberFormat="1">
      <alignment horizontal="left" shrinkToFit="0" vertical="center" wrapText="0"/>
    </xf>
    <xf borderId="0" fillId="3" fontId="0" numFmtId="0" xfId="0" applyAlignment="1" applyFont="1">
      <alignment horizontal="center" readingOrder="0" shrinkToFit="0" vertical="center" wrapText="0"/>
    </xf>
    <xf borderId="0" fillId="0" fontId="18" numFmtId="0" xfId="0" applyAlignment="1" applyFont="1">
      <alignment horizontal="left" readingOrder="0" shrinkToFit="0" vertical="center" wrapText="0"/>
    </xf>
    <xf borderId="0" fillId="0" fontId="18" numFmtId="0" xfId="0" applyAlignment="1" applyFont="1">
      <alignment readingOrder="0" shrinkToFit="0" vertical="center" wrapText="0"/>
    </xf>
    <xf borderId="0" fillId="0" fontId="18" numFmtId="0" xfId="0" applyAlignment="1" applyFont="1">
      <alignment horizontal="center" shrinkToFit="0" vertical="center" wrapText="0"/>
    </xf>
    <xf borderId="0" fillId="0" fontId="18" numFmtId="3" xfId="0" applyAlignment="1" applyFont="1" applyNumberFormat="1">
      <alignment horizontal="right" readingOrder="0" shrinkToFit="0" vertical="center" wrapText="0"/>
    </xf>
    <xf borderId="0" fillId="3" fontId="18" numFmtId="166" xfId="0" applyAlignment="1" applyFont="1" applyNumberFormat="1">
      <alignment horizontal="left" readingOrder="0" shrinkToFit="0" vertical="center" wrapText="0"/>
    </xf>
    <xf borderId="0" fillId="3" fontId="18" numFmtId="3" xfId="0" applyAlignment="1" applyFont="1" applyNumberFormat="1">
      <alignment horizontal="right" readingOrder="0" shrinkToFit="0" vertical="center" wrapText="0"/>
    </xf>
    <xf borderId="0" fillId="0" fontId="18" numFmtId="0" xfId="0" applyAlignment="1" applyFont="1">
      <alignment shrinkToFit="0" vertical="center" wrapText="0"/>
    </xf>
    <xf borderId="0" fillId="0" fontId="0" numFmtId="0" xfId="0" applyAlignment="1" applyFont="1">
      <alignment horizontal="left" readingOrder="0" shrinkToFit="0" vertical="center" wrapText="0"/>
    </xf>
    <xf borderId="0" fillId="0" fontId="1" numFmtId="0" xfId="0" applyAlignment="1" applyFont="1">
      <alignment shrinkToFit="0" vertical="center" wrapText="0"/>
    </xf>
    <xf borderId="0" fillId="3" fontId="18" numFmtId="0" xfId="0" applyAlignment="1" applyFont="1">
      <alignment readingOrder="0" shrinkToFit="0" vertical="center" wrapText="0"/>
    </xf>
    <xf borderId="0" fillId="3" fontId="18" numFmtId="3" xfId="0" applyAlignment="1" applyFont="1" applyNumberFormat="1">
      <alignment horizontal="right" readingOrder="0" shrinkToFit="0" vertical="center" wrapText="0"/>
    </xf>
    <xf borderId="0" fillId="3" fontId="14" numFmtId="0" xfId="0" applyAlignment="1" applyFont="1">
      <alignment horizontal="center" readingOrder="0" shrinkToFit="0" vertical="center" wrapText="0"/>
    </xf>
    <xf borderId="0" fillId="3" fontId="37" numFmtId="164" xfId="0" applyAlignment="1" applyFont="1" applyNumberFormat="1">
      <alignment horizontal="left" readingOrder="0" shrinkToFit="0" vertical="center" wrapText="0"/>
    </xf>
    <xf borderId="0" fillId="7" fontId="37" numFmtId="0" xfId="0" applyAlignment="1" applyFont="1">
      <alignment horizontal="left" readingOrder="0" shrinkToFit="0" vertical="center" wrapText="0"/>
    </xf>
    <xf borderId="0" fillId="0" fontId="0" numFmtId="0" xfId="0" applyAlignment="1" applyFont="1">
      <alignment readingOrder="0" shrinkToFit="0" vertical="center" wrapText="0"/>
    </xf>
    <xf borderId="0" fillId="7" fontId="1" numFmtId="164" xfId="0" applyAlignment="1" applyFont="1" applyNumberFormat="1">
      <alignment horizontal="left" readingOrder="0"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readingOrder="0" shrinkToFit="0" vertical="center" wrapText="0"/>
    </xf>
    <xf borderId="0" fillId="0" fontId="1" numFmtId="164" xfId="0" applyAlignment="1" applyFont="1" applyNumberFormat="1">
      <alignment horizontal="center" readingOrder="0" shrinkToFit="0" vertical="center" wrapText="0"/>
    </xf>
    <xf borderId="0" fillId="0" fontId="0" numFmtId="0" xfId="0" applyAlignment="1" applyFont="1">
      <alignment horizontal="center" readingOrder="0" shrinkToFit="0" vertical="center" wrapText="0"/>
    </xf>
    <xf borderId="0" fillId="0" fontId="14" numFmtId="164" xfId="0" applyAlignment="1" applyFont="1" applyNumberFormat="1">
      <alignment horizontal="left" readingOrder="0" shrinkToFit="0" vertical="center" wrapText="0"/>
    </xf>
    <xf borderId="0" fillId="3" fontId="18" numFmtId="3" xfId="0" applyAlignment="1" applyFont="1" applyNumberFormat="1">
      <alignment horizontal="left" readingOrder="0" shrinkToFit="0" vertical="center" wrapText="0"/>
    </xf>
    <xf borderId="0" fillId="3" fontId="18" numFmtId="3" xfId="0" applyAlignment="1" applyFont="1" applyNumberFormat="1">
      <alignment horizontal="right" shrinkToFit="0" vertical="center" wrapText="0"/>
    </xf>
    <xf borderId="0" fillId="3" fontId="61" numFmtId="164" xfId="0" applyAlignment="1" applyFont="1" applyNumberFormat="1">
      <alignment horizontal="center" readingOrder="0" shrinkToFit="0" vertical="center" wrapText="0"/>
    </xf>
    <xf borderId="0" fillId="3" fontId="1" numFmtId="0" xfId="0" applyAlignment="1" applyFont="1">
      <alignment horizontal="center" shrinkToFit="0" vertical="center" wrapText="0"/>
    </xf>
    <xf borderId="0" fillId="0" fontId="13" numFmtId="3" xfId="0" applyAlignment="1" applyFont="1" applyNumberFormat="1">
      <alignment horizontal="right" readingOrder="0" vertical="center"/>
    </xf>
    <xf borderId="0" fillId="0" fontId="13" numFmtId="3" xfId="0" applyAlignment="1" applyFont="1" applyNumberFormat="1">
      <alignment horizontal="right" vertical="center"/>
    </xf>
    <xf borderId="0" fillId="0" fontId="0" numFmtId="3" xfId="0" applyAlignment="1" applyFont="1" applyNumberFormat="1">
      <alignment horizontal="left" readingOrder="0" shrinkToFit="0" vertical="center" wrapText="0"/>
    </xf>
    <xf borderId="0" fillId="0" fontId="18" numFmtId="3" xfId="0" applyAlignment="1" applyFont="1" applyNumberFormat="1">
      <alignment horizontal="right" shrinkToFit="0" vertical="center" wrapText="0"/>
    </xf>
    <xf borderId="0" fillId="0" fontId="18" numFmtId="3" xfId="0" applyAlignment="1" applyFont="1" applyNumberFormat="1">
      <alignment horizontal="left" readingOrder="0" shrinkToFit="0" vertical="center" wrapText="0"/>
    </xf>
    <xf borderId="0" fillId="3" fontId="0" numFmtId="3" xfId="0" applyAlignment="1" applyFont="1" applyNumberFormat="1">
      <alignment horizontal="right" readingOrder="0" shrinkToFit="0" vertical="center" wrapText="0"/>
    </xf>
    <xf borderId="0" fillId="3" fontId="1" numFmtId="1" xfId="0" applyAlignment="1" applyFont="1" applyNumberFormat="1">
      <alignment horizontal="center" shrinkToFit="0" vertical="center" wrapText="0"/>
    </xf>
    <xf borderId="0" fillId="3" fontId="18" numFmtId="166" xfId="0" applyAlignment="1" applyFont="1" applyNumberFormat="1">
      <alignment readingOrder="0" shrinkToFit="0" vertical="center" wrapText="0"/>
    </xf>
    <xf borderId="0" fillId="3" fontId="14" numFmtId="166" xfId="0" applyAlignment="1" applyFont="1" applyNumberFormat="1">
      <alignment readingOrder="0" shrinkToFit="0" vertical="center" wrapText="0"/>
    </xf>
    <xf borderId="0" fillId="3" fontId="13" numFmtId="0" xfId="0" applyAlignment="1" applyFont="1">
      <alignment readingOrder="0" shrinkToFit="0" vertical="center" wrapText="0"/>
    </xf>
    <xf borderId="0" fillId="3" fontId="1" numFmtId="0" xfId="0" applyAlignment="1" applyFont="1">
      <alignment horizontal="left" readingOrder="0" shrinkToFit="0" vertical="center" wrapText="0"/>
    </xf>
    <xf borderId="0" fillId="3" fontId="49" numFmtId="0" xfId="0" applyAlignment="1" applyFont="1">
      <alignment horizontal="left" readingOrder="0" vertical="center"/>
    </xf>
    <xf borderId="0" fillId="3" fontId="1" numFmtId="3" xfId="0" applyAlignment="1" applyFont="1" applyNumberFormat="1">
      <alignment readingOrder="0" vertical="center"/>
    </xf>
    <xf borderId="0" fillId="3" fontId="13" numFmtId="0" xfId="0" applyAlignment="1" applyFont="1">
      <alignment shrinkToFit="0" vertical="center" wrapText="0"/>
    </xf>
    <xf borderId="0" fillId="3" fontId="13" numFmtId="166" xfId="0" applyAlignment="1" applyFont="1" applyNumberFormat="1">
      <alignment readingOrder="0" shrinkToFit="0" vertical="center" wrapText="0"/>
    </xf>
    <xf borderId="0" fillId="3" fontId="13" numFmtId="3" xfId="0" applyAlignment="1" applyFont="1" applyNumberFormat="1">
      <alignment horizontal="right" shrinkToFit="0" vertical="center" wrapText="0"/>
    </xf>
    <xf borderId="0" fillId="3" fontId="13" numFmtId="3" xfId="0" applyAlignment="1" applyFont="1" applyNumberFormat="1">
      <alignment horizontal="right" readingOrder="0" shrinkToFit="0" vertical="center" wrapText="0"/>
    </xf>
    <xf borderId="0" fillId="3" fontId="14" numFmtId="3" xfId="0" applyAlignment="1" applyFont="1" applyNumberFormat="1">
      <alignment horizontal="right" readingOrder="0" shrinkToFit="0" vertical="center" wrapText="0"/>
    </xf>
    <xf borderId="0" fillId="3" fontId="13" numFmtId="0" xfId="0" applyAlignment="1" applyFont="1">
      <alignment shrinkToFit="0" vertical="center" wrapText="0"/>
    </xf>
    <xf borderId="0" fillId="0" fontId="1" numFmtId="3" xfId="0" applyAlignment="1" applyFont="1" applyNumberFormat="1">
      <alignment horizontal="right" readingOrder="0" shrinkToFit="0" vertical="center" wrapText="0"/>
    </xf>
    <xf borderId="0" fillId="0" fontId="46" numFmtId="3" xfId="0" applyAlignment="1" applyFont="1" applyNumberFormat="1">
      <alignment horizontal="right" readingOrder="0" shrinkToFit="0" vertical="center" wrapText="0"/>
    </xf>
    <xf borderId="0" fillId="0" fontId="49" numFmtId="3" xfId="0" applyAlignment="1" applyFont="1" applyNumberFormat="1">
      <alignment horizontal="right" readingOrder="0" shrinkToFit="0" vertical="center" wrapText="0"/>
    </xf>
    <xf borderId="0" fillId="3" fontId="40" numFmtId="0" xfId="0" applyAlignment="1" applyFont="1">
      <alignment horizontal="center" shrinkToFit="0" vertical="center" wrapText="0"/>
    </xf>
    <xf borderId="0" fillId="0" fontId="0" numFmtId="3" xfId="0" applyAlignment="1" applyFont="1" applyNumberFormat="1">
      <alignment horizontal="right" shrinkToFit="0" vertical="center" wrapText="0"/>
    </xf>
    <xf borderId="0" fillId="3" fontId="1" numFmtId="0" xfId="0" applyAlignment="1" applyFont="1">
      <alignment readingOrder="0" vertical="center"/>
    </xf>
    <xf borderId="0" fillId="3" fontId="13" numFmtId="3" xfId="0" applyAlignment="1" applyFont="1" applyNumberFormat="1">
      <alignment horizontal="right"/>
    </xf>
    <xf borderId="0" fillId="3" fontId="46" numFmtId="3" xfId="0" applyAlignment="1" applyFont="1" applyNumberFormat="1">
      <alignment horizontal="left" readingOrder="0"/>
    </xf>
    <xf borderId="0" fillId="3" fontId="22" numFmtId="3" xfId="0" applyAlignment="1" applyFont="1" applyNumberFormat="1">
      <alignment readingOrder="0" shrinkToFit="0" vertical="center" wrapText="0"/>
    </xf>
    <xf borderId="0" fillId="3" fontId="0" numFmtId="3" xfId="0" applyAlignment="1" applyFont="1" applyNumberFormat="1">
      <alignment horizontal="left" readingOrder="0" shrinkToFit="0" vertical="center" wrapText="0"/>
    </xf>
    <xf borderId="0" fillId="0" fontId="46" numFmtId="3" xfId="0" applyAlignment="1" applyFont="1" applyNumberFormat="1">
      <alignment horizontal="left" readingOrder="0"/>
    </xf>
    <xf borderId="0" fillId="3" fontId="1" numFmtId="3" xfId="0" applyAlignment="1" applyFont="1" applyNumberFormat="1">
      <alignment horizontal="right" readingOrder="0" shrinkToFit="0" vertical="center" wrapText="0"/>
    </xf>
    <xf borderId="0" fillId="3" fontId="46" numFmtId="3" xfId="0" applyAlignment="1" applyFont="1" applyNumberFormat="1">
      <alignment horizontal="right" readingOrder="0" shrinkToFit="0" vertical="center" wrapText="0"/>
    </xf>
    <xf borderId="0" fillId="3" fontId="49" numFmtId="3" xfId="0" applyAlignment="1" applyFont="1" applyNumberFormat="1">
      <alignment horizontal="right" readingOrder="0" shrinkToFit="0" vertical="center" wrapText="0"/>
    </xf>
    <xf borderId="0" fillId="3" fontId="0" numFmtId="3" xfId="0" applyAlignment="1" applyFont="1" applyNumberFormat="1">
      <alignment horizontal="right" shrinkToFit="0" vertical="center" wrapText="0"/>
    </xf>
    <xf borderId="0" fillId="0" fontId="49" numFmtId="3" xfId="0" applyAlignment="1" applyFont="1" applyNumberFormat="1">
      <alignment horizontal="left" readingOrder="0"/>
    </xf>
    <xf borderId="0" fillId="0" fontId="13" numFmtId="3" xfId="0" applyAlignment="1" applyFont="1" applyNumberFormat="1">
      <alignment horizontal="right"/>
    </xf>
    <xf borderId="0" fillId="0" fontId="46" numFmtId="3" xfId="0" applyAlignment="1" applyFont="1" applyNumberFormat="1">
      <alignment horizontal="left" readingOrder="0" shrinkToFit="0" vertical="center" wrapText="0"/>
    </xf>
    <xf borderId="0" fillId="0" fontId="13" numFmtId="3" xfId="0" applyAlignment="1" applyFont="1" applyNumberFormat="1">
      <alignment horizontal="right" readingOrder="0"/>
    </xf>
    <xf borderId="0" fillId="0" fontId="14" numFmtId="3" xfId="0" applyAlignment="1" applyFont="1" applyNumberFormat="1">
      <alignment horizontal="right" shrinkToFit="0" vertical="center" wrapText="0"/>
    </xf>
    <xf borderId="0" fillId="0" fontId="14" numFmtId="3" xfId="0" applyAlignment="1" applyFont="1" applyNumberFormat="1">
      <alignment horizontal="right" readingOrder="0" shrinkToFit="0" vertical="center" wrapText="0"/>
    </xf>
    <xf borderId="0" fillId="0" fontId="13" numFmtId="0" xfId="0" applyAlignment="1" applyFont="1">
      <alignment shrinkToFit="0" vertical="center" wrapText="0"/>
    </xf>
    <xf borderId="0" fillId="0" fontId="13"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vertical="center"/>
    </xf>
    <xf borderId="0" fillId="0" fontId="1" numFmtId="3" xfId="0" applyAlignment="1" applyFont="1" applyNumberFormat="1">
      <alignment readingOrder="0" vertical="center"/>
    </xf>
    <xf borderId="0" fillId="3" fontId="14" numFmtId="3" xfId="0" applyAlignment="1" applyFont="1" applyNumberFormat="1">
      <alignment horizontal="right" shrinkToFit="0" vertical="center" wrapText="0"/>
    </xf>
    <xf borderId="0" fillId="0" fontId="13" numFmtId="10" xfId="0" applyFont="1" applyNumberFormat="1"/>
    <xf borderId="0" fillId="0" fontId="13" numFmtId="0" xfId="0" applyAlignment="1" applyFont="1">
      <alignment horizontal="center"/>
    </xf>
    <xf borderId="0" fillId="3" fontId="18" numFmtId="3" xfId="0" applyAlignment="1" applyFont="1" applyNumberFormat="1">
      <alignment readingOrder="0" shrinkToFit="0" vertical="center" wrapText="0"/>
    </xf>
    <xf borderId="0" fillId="3" fontId="62" numFmtId="0" xfId="0" applyAlignment="1" applyFont="1">
      <alignment horizontal="center" readingOrder="0" shrinkToFit="0" vertical="center" wrapText="0"/>
    </xf>
    <xf borderId="0" fillId="0" fontId="14" numFmtId="3" xfId="0" applyAlignment="1" applyFont="1" applyNumberFormat="1">
      <alignment shrinkToFit="0" wrapText="0"/>
    </xf>
    <xf borderId="0" fillId="3" fontId="22" numFmtId="0" xfId="0" applyAlignment="1" applyFont="1">
      <alignment readingOrder="0" shrinkToFit="0" vertical="center" wrapText="0"/>
    </xf>
    <xf borderId="0" fillId="3" fontId="22" numFmtId="0" xfId="0" applyAlignment="1" applyFont="1">
      <alignment shrinkToFit="0" vertical="center" wrapText="0"/>
    </xf>
    <xf borderId="0" fillId="3" fontId="46" numFmtId="3" xfId="0" applyAlignment="1" applyFont="1" applyNumberFormat="1">
      <alignment horizontal="left" readingOrder="0" shrinkToFit="0" vertical="center" wrapText="0"/>
    </xf>
    <xf borderId="0" fillId="0" fontId="62" numFmtId="0" xfId="0" applyAlignment="1" applyFont="1">
      <alignment horizontal="center" readingOrder="0" shrinkToFit="0" vertical="center" wrapText="0"/>
    </xf>
    <xf borderId="0" fillId="0" fontId="62" numFmtId="0" xfId="0" applyAlignment="1" applyFont="1">
      <alignment horizontal="center" shrinkToFit="0" vertical="center" wrapText="0"/>
    </xf>
    <xf borderId="0" fillId="0" fontId="14" numFmtId="3" xfId="0" applyAlignment="1" applyFont="1" applyNumberFormat="1">
      <alignment horizontal="right" shrinkToFit="0" wrapText="0"/>
    </xf>
    <xf borderId="0" fillId="3" fontId="49" numFmtId="3" xfId="0" applyAlignment="1" applyFont="1" applyNumberFormat="1">
      <alignment horizontal="left" readingOrder="0" shrinkToFit="0" vertical="center" wrapText="0"/>
    </xf>
    <xf borderId="0" fillId="2" fontId="49" numFmtId="3" xfId="0" applyAlignment="1" applyFont="1" applyNumberFormat="1">
      <alignment horizontal="left" readingOrder="0" shrinkToFit="0" vertical="center" wrapText="0"/>
    </xf>
    <xf borderId="0" fillId="2" fontId="0" numFmtId="3" xfId="0" applyAlignment="1" applyFont="1" applyNumberFormat="1">
      <alignment horizontal="left" readingOrder="0" shrinkToFit="0" vertical="center" wrapText="0"/>
    </xf>
    <xf borderId="0" fillId="3" fontId="13" numFmtId="3" xfId="0" applyAlignment="1" applyFont="1" applyNumberFormat="1">
      <alignment horizontal="right" readingOrder="0"/>
    </xf>
    <xf borderId="0" fillId="0" fontId="49" numFmtId="3" xfId="0" applyAlignment="1" applyFont="1" applyNumberFormat="1">
      <alignment horizontal="left" readingOrder="0" shrinkToFit="0" vertical="center" wrapText="0"/>
    </xf>
    <xf borderId="0" fillId="3" fontId="13" numFmtId="166" xfId="0" applyFont="1" applyNumberFormat="1"/>
    <xf borderId="0" fillId="3" fontId="41" numFmtId="164" xfId="0" applyFont="1" applyNumberFormat="1"/>
    <xf borderId="0" fillId="3" fontId="13" numFmtId="1" xfId="0" applyAlignment="1" applyFont="1" applyNumberFormat="1">
      <alignment horizontal="center"/>
    </xf>
    <xf borderId="0" fillId="3" fontId="47" numFmtId="166" xfId="0" applyAlignment="1" applyFont="1" applyNumberFormat="1">
      <alignment readingOrder="0"/>
    </xf>
    <xf borderId="0" fillId="0" fontId="1" numFmtId="1" xfId="0" applyAlignment="1" applyFont="1" applyNumberFormat="1">
      <alignment horizontal="center" readingOrder="0" shrinkToFit="0" vertical="center" wrapText="0"/>
    </xf>
    <xf borderId="9" fillId="0" fontId="13" numFmtId="164" xfId="0" applyBorder="1" applyFont="1" applyNumberFormat="1"/>
    <xf borderId="9" fillId="0" fontId="13" numFmtId="3" xfId="0" applyAlignment="1" applyBorder="1" applyFont="1" applyNumberFormat="1">
      <alignment horizontal="right"/>
    </xf>
    <xf borderId="10" fillId="0" fontId="13" numFmtId="164" xfId="0" applyBorder="1" applyFont="1" applyNumberFormat="1"/>
    <xf borderId="9" fillId="0" fontId="13" numFmtId="164" xfId="0" applyAlignment="1" applyBorder="1" applyFont="1" applyNumberFormat="1">
      <alignment horizontal="center"/>
    </xf>
    <xf borderId="10" fillId="0" fontId="13" numFmtId="164" xfId="0" applyAlignment="1" applyBorder="1" applyFont="1" applyNumberFormat="1">
      <alignment horizontal="center"/>
    </xf>
    <xf borderId="0" fillId="2" fontId="13" numFmtId="164" xfId="0" applyFont="1" applyNumberFormat="1"/>
    <xf borderId="0" fillId="3" fontId="47" numFmtId="164" xfId="0" applyAlignment="1" applyFont="1" applyNumberFormat="1">
      <alignment readingOrder="0"/>
    </xf>
    <xf borderId="0" fillId="0" fontId="47" numFmtId="166" xfId="0" applyAlignment="1" applyFont="1" applyNumberFormat="1">
      <alignment readingOrder="0"/>
    </xf>
    <xf borderId="9" fillId="0" fontId="13" numFmtId="166" xfId="0" applyBorder="1" applyFont="1" applyNumberFormat="1"/>
    <xf borderId="0" fillId="2" fontId="13" numFmtId="3" xfId="0" applyFont="1" applyNumberFormat="1"/>
    <xf borderId="9" fillId="0" fontId="13" numFmtId="166" xfId="0" applyAlignment="1" applyBorder="1" applyFont="1" applyNumberFormat="1">
      <alignment horizontal="center"/>
    </xf>
    <xf borderId="10" fillId="0" fontId="13" numFmtId="166" xfId="0" applyBorder="1" applyFont="1" applyNumberFormat="1"/>
    <xf borderId="0" fillId="0" fontId="63" numFmtId="1" xfId="0" applyAlignment="1" applyFont="1" applyNumberFormat="1">
      <alignment horizontal="center" vertical="bottom"/>
    </xf>
    <xf borderId="0" fillId="0" fontId="47" numFmtId="164" xfId="0" applyAlignment="1" applyFont="1" applyNumberFormat="1">
      <alignment readingOrder="0"/>
    </xf>
    <xf borderId="0" fillId="2" fontId="13" numFmtId="0" xfId="0" applyFont="1"/>
    <xf borderId="0" fillId="3" fontId="41" numFmtId="3" xfId="0" applyFont="1" applyNumberFormat="1"/>
    <xf borderId="0" fillId="0" fontId="47" numFmtId="3" xfId="0" applyAlignment="1" applyFont="1" applyNumberFormat="1">
      <alignment readingOrder="0"/>
    </xf>
    <xf borderId="0" fillId="3" fontId="41" numFmtId="164" xfId="0" applyAlignment="1" applyFont="1" applyNumberFormat="1">
      <alignment vertical="bottom"/>
    </xf>
    <xf borderId="0" fillId="2" fontId="41" numFmtId="164" xfId="0" applyAlignment="1" applyFont="1" applyNumberFormat="1">
      <alignment vertical="bottom"/>
    </xf>
    <xf borderId="0" fillId="0" fontId="41" numFmtId="164" xfId="0" applyAlignment="1" applyFont="1" applyNumberFormat="1">
      <alignment horizontal="right"/>
    </xf>
    <xf borderId="0" fillId="3" fontId="41" numFmtId="164" xfId="0" applyAlignment="1" applyFont="1" applyNumberFormat="1">
      <alignment horizontal="right"/>
    </xf>
    <xf borderId="0" fillId="3" fontId="13" numFmtId="164" xfId="0" applyAlignment="1" applyFont="1" applyNumberFormat="1">
      <alignment vertical="bottom"/>
    </xf>
    <xf borderId="0" fillId="2" fontId="13" numFmtId="164" xfId="0" applyAlignment="1" applyFont="1" applyNumberFormat="1">
      <alignment vertical="bottom"/>
    </xf>
    <xf borderId="0" fillId="0" fontId="41" numFmtId="164" xfId="0" applyAlignment="1" applyFont="1" applyNumberFormat="1">
      <alignment vertical="bottom"/>
    </xf>
    <xf borderId="9" fillId="3" fontId="13" numFmtId="166" xfId="0" applyBorder="1" applyFont="1" applyNumberFormat="1"/>
    <xf borderId="9" fillId="3" fontId="13" numFmtId="164" xfId="0" applyBorder="1" applyFont="1" applyNumberFormat="1"/>
    <xf borderId="9" fillId="3" fontId="13" numFmtId="164" xfId="0" applyAlignment="1" applyBorder="1" applyFont="1" applyNumberFormat="1">
      <alignment horizontal="right"/>
    </xf>
    <xf borderId="10" fillId="3" fontId="13" numFmtId="164" xfId="0" applyBorder="1" applyFont="1" applyNumberFormat="1"/>
    <xf borderId="0" fillId="3" fontId="13" numFmtId="0" xfId="0" applyFont="1"/>
    <xf borderId="10" fillId="3" fontId="13" numFmtId="166" xfId="0" applyBorder="1" applyFont="1" applyNumberFormat="1"/>
    <xf borderId="0" fillId="3" fontId="13" numFmtId="0" xfId="0" applyAlignment="1" applyFont="1">
      <alignment readingOrder="0" vertical="bottom"/>
    </xf>
    <xf borderId="0" fillId="3" fontId="13" numFmtId="166" xfId="0" applyAlignment="1" applyFont="1" applyNumberFormat="1">
      <alignment vertical="bottom"/>
    </xf>
    <xf borderId="0" fillId="3" fontId="13" numFmtId="164" xfId="0" applyAlignment="1" applyFont="1" applyNumberFormat="1">
      <alignment horizontal="right" vertical="bottom"/>
    </xf>
    <xf borderId="0" fillId="3" fontId="13" numFmtId="0" xfId="0" applyAlignment="1" applyFont="1">
      <alignment vertical="bottom"/>
    </xf>
    <xf borderId="0" fillId="3" fontId="13" numFmtId="1" xfId="0" applyAlignment="1" applyFont="1" applyNumberFormat="1">
      <alignment vertical="bottom"/>
    </xf>
    <xf borderId="0" fillId="0" fontId="17" numFmtId="0" xfId="0" applyAlignment="1" applyFont="1">
      <alignment readingOrder="0" shrinkToFit="0" vertical="center" wrapText="1"/>
    </xf>
    <xf borderId="0" fillId="0" fontId="17" numFmtId="0" xfId="0" applyAlignment="1" applyFont="1">
      <alignment horizontal="center" vertical="center"/>
    </xf>
    <xf borderId="0" fillId="0" fontId="64" numFmtId="0" xfId="0" applyAlignment="1" applyFont="1">
      <alignment readingOrder="0" shrinkToFit="0" vertical="center" wrapText="1"/>
    </xf>
    <xf borderId="0" fillId="0" fontId="22" numFmtId="164" xfId="0" applyAlignment="1" applyFont="1" applyNumberFormat="1">
      <alignment horizontal="center" vertical="center"/>
    </xf>
    <xf borderId="0" fillId="0" fontId="22" numFmtId="3" xfId="0" applyAlignment="1" applyFont="1" applyNumberFormat="1">
      <alignment vertical="center"/>
    </xf>
    <xf borderId="0" fillId="0" fontId="17" numFmtId="0" xfId="0" applyAlignment="1" applyFont="1">
      <alignment readingOrder="0" shrinkToFit="0" vertical="center" wrapText="1"/>
    </xf>
    <xf borderId="0" fillId="0" fontId="22" numFmtId="164" xfId="0" applyAlignment="1" applyFont="1" applyNumberFormat="1">
      <alignment vertical="center"/>
    </xf>
    <xf borderId="0" fillId="0" fontId="22" numFmtId="0" xfId="0" applyAlignment="1" applyFont="1">
      <alignment readingOrder="0" shrinkToFit="0" vertical="center" wrapText="1"/>
    </xf>
    <xf borderId="0" fillId="0" fontId="17" numFmtId="0" xfId="0" applyAlignment="1" applyFont="1">
      <alignment shrinkToFit="0" vertical="center" wrapText="1"/>
    </xf>
    <xf borderId="0" fillId="0" fontId="22" numFmtId="0" xfId="0" applyAlignment="1" applyFont="1">
      <alignment horizontal="center" vertical="center"/>
    </xf>
    <xf borderId="0" fillId="0" fontId="22" numFmtId="0" xfId="0" applyAlignment="1" applyFont="1">
      <alignment vertical="center"/>
    </xf>
    <xf borderId="0" fillId="0" fontId="65" numFmtId="0" xfId="0" applyAlignment="1" applyFont="1">
      <alignment readingOrder="0" shrinkToFit="0" vertical="center" wrapText="1"/>
    </xf>
    <xf borderId="0" fillId="0" fontId="22" numFmtId="0" xfId="0" applyAlignment="1" applyFont="1">
      <alignment readingOrder="0" shrinkToFit="0" vertical="center" wrapText="1"/>
    </xf>
    <xf borderId="0" fillId="0" fontId="22" numFmtId="0" xfId="0" applyAlignment="1" applyFont="1">
      <alignment shrinkToFit="0" vertical="center" wrapText="1"/>
    </xf>
    <xf borderId="0" fillId="0" fontId="22" numFmtId="9" xfId="0" applyAlignment="1" applyFont="1" applyNumberFormat="1">
      <alignment horizontal="center" vertical="center"/>
    </xf>
    <xf borderId="0" fillId="0" fontId="14" numFmtId="0" xfId="0" applyFont="1"/>
    <xf borderId="0" fillId="0" fontId="22" numFmtId="9" xfId="0" applyAlignment="1" applyFont="1" applyNumberFormat="1">
      <alignment readingOrder="0" shrinkToFit="0" vertical="center" wrapText="1"/>
    </xf>
    <xf borderId="0" fillId="0" fontId="17" numFmtId="9" xfId="0" applyAlignment="1" applyFont="1" applyNumberFormat="1">
      <alignment horizontal="center" vertical="center"/>
    </xf>
    <xf borderId="0" fillId="0" fontId="22" numFmtId="3" xfId="0" applyAlignment="1" applyFont="1" applyNumberFormat="1">
      <alignment horizontal="center" readingOrder="0" vertical="center"/>
    </xf>
    <xf borderId="0" fillId="0" fontId="22" numFmtId="164" xfId="0" applyAlignment="1" applyFont="1" applyNumberFormat="1">
      <alignment horizontal="center" readingOrder="0" vertical="center"/>
    </xf>
    <xf borderId="0" fillId="0" fontId="66" numFmtId="3" xfId="0" applyAlignment="1" applyFont="1" applyNumberFormat="1">
      <alignment readingOrder="0" shrinkToFit="0" vertical="center" wrapText="1"/>
    </xf>
    <xf borderId="0" fillId="0" fontId="22" numFmtId="3" xfId="0" applyAlignment="1" applyFont="1" applyNumberFormat="1">
      <alignment readingOrder="0" shrinkToFit="0" vertical="center" wrapText="1"/>
    </xf>
    <xf borderId="0" fillId="0" fontId="22" numFmtId="9" xfId="0" applyAlignment="1" applyFont="1" applyNumberFormat="1">
      <alignment horizontal="center" readingOrder="0" vertical="center"/>
    </xf>
    <xf borderId="0" fillId="0" fontId="22" numFmtId="10" xfId="0" applyAlignment="1" applyFont="1" applyNumberFormat="1">
      <alignment horizontal="center" readingOrder="0" vertical="center"/>
    </xf>
    <xf borderId="0" fillId="0" fontId="22" numFmtId="0" xfId="0" applyAlignment="1" applyFont="1">
      <alignment horizontal="center" readingOrder="0" vertical="center"/>
    </xf>
    <xf borderId="0" fillId="0" fontId="1" numFmtId="164" xfId="0" applyAlignment="1" applyFont="1" applyNumberFormat="1">
      <alignment horizontal="center" readingOrder="0" vertical="center"/>
    </xf>
    <xf borderId="0" fillId="0" fontId="1" numFmtId="3" xfId="0" applyAlignment="1" applyFont="1" applyNumberFormat="1">
      <alignment readingOrder="0" shrinkToFit="0" vertical="center" wrapText="1"/>
    </xf>
    <xf borderId="0" fillId="0" fontId="22" numFmtId="9" xfId="0" applyAlignment="1" applyFont="1" applyNumberFormat="1">
      <alignment vertical="center"/>
    </xf>
    <xf borderId="0" fillId="0" fontId="22" numFmtId="10" xfId="0" applyAlignment="1" applyFont="1" applyNumberFormat="1">
      <alignment horizontal="center" vertical="center"/>
    </xf>
    <xf borderId="0" fillId="0" fontId="22" numFmtId="0" xfId="0" applyAlignment="1" applyFont="1">
      <alignment readingOrder="0" shrinkToFit="0" vertical="center" wrapText="0"/>
    </xf>
    <xf borderId="0" fillId="0" fontId="17" numFmtId="0" xfId="0" applyAlignment="1" applyFont="1">
      <alignment horizontal="center" readingOrder="0" shrinkToFit="0" vertical="center" wrapText="1"/>
    </xf>
    <xf borderId="0" fillId="0" fontId="67" numFmtId="0" xfId="0" applyAlignment="1" applyFont="1">
      <alignment horizontal="center" readingOrder="0" vertical="center"/>
    </xf>
    <xf borderId="0" fillId="0" fontId="17" numFmtId="168" xfId="0" applyAlignment="1" applyFont="1" applyNumberFormat="1">
      <alignment horizontal="center" vertical="center"/>
    </xf>
    <xf borderId="11" fillId="0" fontId="17" numFmtId="168" xfId="0" applyAlignment="1" applyBorder="1" applyFont="1" applyNumberFormat="1">
      <alignment horizontal="center" vertical="center"/>
    </xf>
    <xf borderId="12" fillId="0" fontId="17" numFmtId="164" xfId="0" applyAlignment="1" applyBorder="1" applyFont="1" applyNumberFormat="1">
      <alignment horizontal="center" vertical="center"/>
    </xf>
    <xf borderId="12" fillId="0" fontId="17" numFmtId="165" xfId="0" applyAlignment="1" applyBorder="1" applyFont="1" applyNumberFormat="1">
      <alignment horizontal="center" vertical="center"/>
    </xf>
    <xf borderId="12" fillId="0" fontId="17" numFmtId="165" xfId="0" applyAlignment="1" applyBorder="1" applyFont="1" applyNumberFormat="1">
      <alignment horizontal="center" readingOrder="0" vertical="center"/>
    </xf>
    <xf borderId="0" fillId="0" fontId="14" numFmtId="0" xfId="0" applyAlignment="1" applyFont="1">
      <alignment vertical="center"/>
    </xf>
    <xf borderId="13" fillId="7" fontId="17" numFmtId="168" xfId="0" applyAlignment="1" applyBorder="1" applyFont="1" applyNumberFormat="1">
      <alignment horizontal="center" vertical="center"/>
    </xf>
    <xf borderId="14" fillId="0" fontId="3" numFmtId="0" xfId="0" applyBorder="1" applyFont="1"/>
    <xf borderId="13" fillId="0" fontId="17" numFmtId="0" xfId="0" applyAlignment="1" applyBorder="1" applyFont="1">
      <alignment horizontal="center" vertical="center"/>
    </xf>
    <xf borderId="13" fillId="0" fontId="17" numFmtId="0" xfId="0" applyAlignment="1" applyBorder="1" applyFont="1">
      <alignment horizontal="center" vertical="center"/>
    </xf>
    <xf borderId="12" fillId="0" fontId="17" numFmtId="0" xfId="0" applyAlignment="1" applyBorder="1" applyFont="1">
      <alignment horizontal="center" readingOrder="0" vertical="center"/>
    </xf>
    <xf borderId="0" fillId="0" fontId="12" numFmtId="0" xfId="0" applyAlignment="1" applyFont="1">
      <alignment horizontal="center" shrinkToFit="0" vertical="center" wrapText="1"/>
    </xf>
    <xf borderId="14" fillId="7" fontId="17" numFmtId="0" xfId="0" applyAlignment="1" applyBorder="1" applyFont="1">
      <alignment horizontal="center" vertical="center"/>
    </xf>
    <xf borderId="13" fillId="0" fontId="17" numFmtId="164" xfId="0" applyAlignment="1" applyBorder="1" applyFont="1" applyNumberFormat="1">
      <alignment horizontal="center" vertical="center"/>
    </xf>
    <xf borderId="14" fillId="0" fontId="17" numFmtId="164" xfId="0" applyAlignment="1" applyBorder="1" applyFont="1" applyNumberFormat="1">
      <alignment horizontal="center" vertical="center"/>
    </xf>
    <xf borderId="14" fillId="0" fontId="17" numFmtId="0" xfId="0" applyAlignment="1" applyBorder="1" applyFont="1">
      <alignment horizontal="center" vertical="center"/>
    </xf>
    <xf borderId="0" fillId="7" fontId="22" numFmtId="0" xfId="0" applyAlignment="1" applyFont="1">
      <alignment horizontal="center" readingOrder="0" vertical="center"/>
    </xf>
    <xf borderId="15" fillId="0" fontId="22" numFmtId="0" xfId="0" applyAlignment="1" applyBorder="1" applyFont="1">
      <alignment horizontal="center" readingOrder="0" vertical="center"/>
    </xf>
    <xf borderId="0" fillId="0" fontId="11" numFmtId="0" xfId="0" applyAlignment="1" applyFont="1">
      <alignment horizontal="center" vertical="center"/>
    </xf>
    <xf borderId="0" fillId="0" fontId="1" numFmtId="165" xfId="0" applyAlignment="1" applyFont="1" applyNumberFormat="1">
      <alignment horizontal="center"/>
    </xf>
    <xf borderId="0" fillId="0" fontId="12" numFmtId="0" xfId="0" applyAlignment="1" applyFont="1">
      <alignment horizontal="center" vertical="center"/>
    </xf>
    <xf borderId="0" fillId="0" fontId="12" numFmtId="164" xfId="0" applyAlignment="1" applyFont="1" applyNumberFormat="1">
      <alignment horizontal="center" readingOrder="0" vertical="center"/>
    </xf>
    <xf borderId="0" fillId="10" fontId="22" numFmtId="0" xfId="0" applyAlignment="1" applyFill="1" applyFont="1">
      <alignment horizontal="center" vertical="center"/>
    </xf>
    <xf borderId="0" fillId="0" fontId="13" numFmtId="3" xfId="0" applyAlignment="1" applyFont="1" applyNumberFormat="1">
      <alignment horizontal="center" readingOrder="0" vertical="center"/>
    </xf>
    <xf borderId="0" fillId="0" fontId="17" numFmtId="168" xfId="0" applyAlignment="1" applyFont="1" applyNumberFormat="1">
      <alignment horizontal="center" readingOrder="0" vertical="center"/>
    </xf>
    <xf borderId="11" fillId="0" fontId="17" numFmtId="164" xfId="0" applyAlignment="1" applyBorder="1" applyFont="1" applyNumberFormat="1">
      <alignment horizontal="center" readingOrder="0" vertical="center"/>
    </xf>
    <xf borderId="11" fillId="0" fontId="22" numFmtId="164" xfId="0" applyAlignment="1" applyBorder="1" applyFont="1" applyNumberFormat="1">
      <alignment horizontal="center" readingOrder="0" vertical="center"/>
    </xf>
    <xf borderId="0" fillId="0" fontId="22" numFmtId="0" xfId="0" applyAlignment="1" applyFont="1">
      <alignment horizontal="left" readingOrder="0" vertical="center"/>
    </xf>
    <xf borderId="12" fillId="0" fontId="12" numFmtId="164" xfId="0" applyAlignment="1" applyBorder="1" applyFont="1" applyNumberFormat="1">
      <alignment horizontal="center" vertical="center"/>
    </xf>
    <xf borderId="0" fillId="0" fontId="16" numFmtId="164" xfId="0" applyAlignment="1" applyFont="1" applyNumberFormat="1">
      <alignment horizontal="center" vertical="center"/>
    </xf>
    <xf borderId="16" fillId="0" fontId="12" numFmtId="164" xfId="0" applyAlignment="1" applyBorder="1" applyFont="1" applyNumberFormat="1">
      <alignment horizontal="center" vertical="center"/>
    </xf>
    <xf borderId="0" fillId="0" fontId="13" numFmtId="164" xfId="0" applyAlignment="1" applyFont="1" applyNumberFormat="1">
      <alignment horizontal="center" readingOrder="0" vertical="center"/>
    </xf>
    <xf borderId="15" fillId="0" fontId="13" numFmtId="164" xfId="0" applyAlignment="1" applyBorder="1" applyFont="1" applyNumberFormat="1">
      <alignment horizontal="center" vertical="center"/>
    </xf>
    <xf borderId="0" fillId="0" fontId="68" numFmtId="0" xfId="0" applyAlignment="1" applyFont="1">
      <alignment horizontal="center" vertical="center"/>
    </xf>
    <xf borderId="0" fillId="0" fontId="14" numFmtId="164" xfId="0" applyAlignment="1" applyFont="1" applyNumberFormat="1">
      <alignment horizontal="center" readingOrder="0" vertical="center"/>
    </xf>
    <xf borderId="0" fillId="0" fontId="13" numFmtId="164" xfId="0" applyAlignment="1" applyFont="1" applyNumberFormat="1">
      <alignment horizontal="center" readingOrder="0" vertical="center"/>
    </xf>
    <xf borderId="0" fillId="6" fontId="22" numFmtId="0" xfId="0" applyAlignment="1" applyFont="1">
      <alignment horizontal="center" vertical="center"/>
    </xf>
    <xf borderId="15" fillId="0" fontId="22" numFmtId="164" xfId="0" applyAlignment="1" applyBorder="1" applyFont="1" applyNumberFormat="1">
      <alignment horizontal="center" readingOrder="0" vertical="center"/>
    </xf>
    <xf borderId="0" fillId="10" fontId="1" numFmtId="0" xfId="0" applyAlignment="1" applyFont="1">
      <alignment horizontal="center" vertical="center"/>
    </xf>
    <xf borderId="15" fillId="0" fontId="22" numFmtId="164" xfId="0" applyAlignment="1" applyBorder="1" applyFont="1" applyNumberFormat="1">
      <alignment horizontal="center" vertical="center"/>
    </xf>
    <xf borderId="0" fillId="10" fontId="22" numFmtId="0" xfId="0" applyAlignment="1" applyFont="1">
      <alignment horizontal="center" readingOrder="0" vertical="center"/>
    </xf>
    <xf borderId="0" fillId="0" fontId="69" numFmtId="164" xfId="0" applyAlignment="1" applyFont="1" applyNumberFormat="1">
      <alignment horizontal="center" vertical="center"/>
    </xf>
    <xf borderId="0" fillId="0" fontId="12" numFmtId="164" xfId="0" applyAlignment="1" applyFont="1" applyNumberFormat="1">
      <alignment horizontal="center" readingOrder="0" vertical="center"/>
    </xf>
    <xf borderId="0" fillId="10" fontId="13" numFmtId="0" xfId="0" applyAlignment="1" applyFont="1">
      <alignment horizontal="center" vertical="center"/>
    </xf>
    <xf borderId="0" fillId="0" fontId="70" numFmtId="0" xfId="0" applyAlignment="1" applyFont="1">
      <alignment readingOrder="0" vertical="center"/>
    </xf>
    <xf borderId="0" fillId="0" fontId="22" numFmtId="168" xfId="0" applyAlignment="1" applyFont="1" applyNumberFormat="1">
      <alignment vertical="center"/>
    </xf>
    <xf borderId="11" fillId="0" fontId="22" numFmtId="0" xfId="0" applyAlignment="1" applyBorder="1" applyFont="1">
      <alignment vertical="center"/>
    </xf>
    <xf borderId="11" fillId="0" fontId="22" numFmtId="164" xfId="0" applyAlignment="1" applyBorder="1" applyFont="1" applyNumberFormat="1">
      <alignment vertical="center"/>
    </xf>
    <xf borderId="0" fillId="0" fontId="71" numFmtId="164" xfId="0" applyAlignment="1" applyFont="1" applyNumberFormat="1">
      <alignment horizontal="center" vertical="center"/>
    </xf>
    <xf borderId="0" fillId="0" fontId="72" numFmtId="3" xfId="0" applyAlignment="1" applyFont="1" applyNumberFormat="1">
      <alignment horizontal="center" readingOrder="0" vertical="center"/>
    </xf>
    <xf borderId="0" fillId="10" fontId="22" numFmtId="164" xfId="0" applyAlignment="1" applyFont="1" applyNumberFormat="1">
      <alignment horizontal="center" vertical="center"/>
    </xf>
    <xf borderId="0" fillId="7" fontId="13" numFmtId="0" xfId="0" applyAlignment="1" applyFont="1">
      <alignment readingOrder="0" vertical="center"/>
    </xf>
    <xf borderId="11" fillId="0" fontId="17" numFmtId="3" xfId="0" applyAlignment="1" applyBorder="1" applyFont="1" applyNumberFormat="1">
      <alignment horizontal="center" vertical="center"/>
    </xf>
    <xf borderId="0" fillId="0" fontId="17" numFmtId="3" xfId="0" applyAlignment="1" applyFont="1" applyNumberFormat="1">
      <alignment horizontal="center" vertical="center"/>
    </xf>
    <xf borderId="11" fillId="0" fontId="17" numFmtId="0" xfId="0" applyAlignment="1" applyBorder="1" applyFont="1">
      <alignment horizontal="center" vertical="center"/>
    </xf>
    <xf borderId="0" fillId="0" fontId="17" numFmtId="10" xfId="0" applyAlignment="1" applyFont="1" applyNumberFormat="1">
      <alignment horizontal="center" vertical="center"/>
    </xf>
    <xf borderId="15" fillId="0" fontId="13" numFmtId="164" xfId="0" applyAlignment="1" applyBorder="1" applyFont="1" applyNumberFormat="1">
      <alignment horizontal="center" readingOrder="0" vertical="center"/>
    </xf>
    <xf borderId="0" fillId="6" fontId="22" numFmtId="0" xfId="0" applyAlignment="1" applyFont="1">
      <alignment horizontal="center" readingOrder="0" vertical="center"/>
    </xf>
    <xf borderId="0" fillId="0" fontId="73" numFmtId="3" xfId="0" applyAlignment="1" applyFont="1" applyNumberFormat="1">
      <alignment horizontal="center" vertical="center"/>
    </xf>
    <xf borderId="0" fillId="2" fontId="13" numFmtId="3" xfId="0" applyAlignment="1" applyFont="1" applyNumberFormat="1">
      <alignment horizontal="center" vertical="center"/>
    </xf>
    <xf borderId="0" fillId="0" fontId="22" numFmtId="0" xfId="0" applyAlignment="1" applyFont="1">
      <alignment readingOrder="0" vertical="center"/>
    </xf>
    <xf borderId="0" fillId="0" fontId="74" numFmtId="0" xfId="0" applyAlignment="1" applyFont="1">
      <alignment horizontal="center" vertical="center"/>
    </xf>
    <xf borderId="0" fillId="2" fontId="75" numFmtId="0" xfId="0" applyAlignment="1" applyFont="1">
      <alignment horizontal="center" readingOrder="0" shrinkToFit="0" vertical="center" wrapText="0"/>
    </xf>
    <xf borderId="0" fillId="2" fontId="16" numFmtId="0" xfId="0" applyAlignment="1" applyFont="1">
      <alignment horizontal="center" readingOrder="0" shrinkToFit="0" vertical="center" wrapText="0"/>
    </xf>
    <xf borderId="0" fillId="2" fontId="13" numFmtId="0" xfId="0" applyAlignment="1" applyFont="1">
      <alignment horizontal="center" vertical="center"/>
    </xf>
    <xf borderId="0" fillId="0" fontId="14" numFmtId="164" xfId="0" applyAlignment="1" applyFont="1" applyNumberFormat="1">
      <alignment horizontal="center" vertical="center"/>
    </xf>
    <xf borderId="0" fillId="6" fontId="13" numFmtId="0" xfId="0" applyAlignment="1" applyFont="1">
      <alignment horizontal="center" vertical="center"/>
    </xf>
    <xf borderId="0" fillId="0" fontId="76" numFmtId="0" xfId="0" applyAlignment="1" applyFont="1">
      <alignment horizontal="left" readingOrder="0" vertical="center"/>
    </xf>
    <xf borderId="0" fillId="0" fontId="12" numFmtId="0" xfId="0" applyAlignment="1" applyFont="1">
      <alignment horizontal="center" readingOrder="0" vertical="center"/>
    </xf>
    <xf borderId="0" fillId="0" fontId="14" numFmtId="164" xfId="0" applyAlignment="1" applyFont="1" applyNumberFormat="1">
      <alignment horizontal="center"/>
    </xf>
    <xf borderId="0" fillId="0" fontId="13" numFmtId="0" xfId="0" applyAlignment="1" applyFont="1">
      <alignment readingOrder="0" vertical="center"/>
    </xf>
    <xf borderId="16" fillId="0" fontId="12" numFmtId="164" xfId="0" applyAlignment="1" applyBorder="1" applyFont="1" applyNumberFormat="1">
      <alignment horizontal="center" readingOrder="0" vertical="center"/>
    </xf>
    <xf borderId="0" fillId="0" fontId="77" numFmtId="3" xfId="0" applyAlignment="1" applyFont="1" applyNumberFormat="1">
      <alignment horizontal="center" readingOrder="0" shrinkToFit="0" vertical="center" wrapText="0"/>
    </xf>
    <xf borderId="0" fillId="10" fontId="13" numFmtId="3" xfId="0" applyAlignment="1" applyFont="1" applyNumberFormat="1">
      <alignment horizontal="center" readingOrder="0" vertical="center"/>
    </xf>
    <xf borderId="0" fillId="0" fontId="14" numFmtId="164" xfId="0" applyAlignment="1" applyFont="1" applyNumberFormat="1">
      <alignment horizontal="center" readingOrder="0" vertical="center"/>
    </xf>
    <xf borderId="0" fillId="0" fontId="78" numFmtId="164" xfId="0" applyAlignment="1" applyFont="1" applyNumberFormat="1">
      <alignment horizontal="center" readingOrder="0" vertical="center"/>
    </xf>
    <xf borderId="0" fillId="0" fontId="79" numFmtId="164" xfId="0" applyAlignment="1" applyFont="1" applyNumberFormat="1">
      <alignment horizontal="center" readingOrder="0" vertical="center"/>
    </xf>
    <xf borderId="0" fillId="0" fontId="80" numFmtId="0" xfId="0" applyAlignment="1" applyFont="1">
      <alignment horizontal="center" readingOrder="0" vertical="center"/>
    </xf>
    <xf borderId="0" fillId="2" fontId="13" numFmtId="164" xfId="0" applyAlignment="1" applyFont="1" applyNumberFormat="1">
      <alignment horizontal="center" vertical="center"/>
    </xf>
    <xf borderId="0" fillId="0" fontId="13" numFmtId="164" xfId="0" applyAlignment="1" applyFont="1" applyNumberFormat="1">
      <alignment readingOrder="0" vertical="center"/>
    </xf>
    <xf borderId="0" fillId="0" fontId="22" numFmtId="166" xfId="0" applyAlignment="1" applyFont="1" applyNumberFormat="1">
      <alignment vertical="center"/>
    </xf>
    <xf borderId="0" fillId="0" fontId="22" numFmtId="164" xfId="0" applyAlignment="1" applyFont="1" applyNumberFormat="1">
      <alignment horizontal="center" readingOrder="0" vertical="center"/>
    </xf>
    <xf borderId="0" fillId="0" fontId="22" numFmtId="0" xfId="0" applyAlignment="1" applyFont="1">
      <alignment readingOrder="0" vertical="center"/>
    </xf>
    <xf borderId="0" fillId="0" fontId="47" numFmtId="0" xfId="0" applyAlignment="1" applyFont="1">
      <alignment horizontal="center" readingOrder="0" vertical="center"/>
    </xf>
    <xf borderId="0" fillId="2" fontId="46" numFmtId="164" xfId="0" applyAlignment="1" applyFont="1" applyNumberFormat="1">
      <alignment horizontal="center" readingOrder="0" vertical="center"/>
    </xf>
    <xf borderId="0" fillId="0" fontId="22" numFmtId="164" xfId="0" applyAlignment="1" applyFont="1" applyNumberFormat="1">
      <alignment readingOrder="0" vertical="center"/>
    </xf>
    <xf borderId="11" fillId="0" fontId="22" numFmtId="164" xfId="0" applyAlignment="1" applyBorder="1" applyFont="1" applyNumberFormat="1">
      <alignment readingOrder="0" vertical="center"/>
    </xf>
    <xf borderId="11" fillId="0" fontId="17" numFmtId="164" xfId="0" applyAlignment="1" applyBorder="1" applyFont="1" applyNumberFormat="1">
      <alignment horizontal="center" vertical="center"/>
    </xf>
    <xf borderId="0" fillId="0" fontId="17" numFmtId="164" xfId="0" applyAlignment="1" applyFont="1" applyNumberFormat="1">
      <alignment horizontal="center" vertical="center"/>
    </xf>
    <xf borderId="0" fillId="0" fontId="22" numFmtId="0" xfId="0" applyAlignment="1" applyFont="1">
      <alignment horizontal="left" readingOrder="0" vertical="center"/>
    </xf>
    <xf borderId="0" fillId="4" fontId="22" numFmtId="0" xfId="0" applyAlignment="1" applyFont="1">
      <alignment horizontal="center" vertical="center"/>
    </xf>
    <xf borderId="0" fillId="0" fontId="14" numFmtId="164" xfId="0" applyAlignment="1" applyFont="1" applyNumberFormat="1">
      <alignment horizontal="left" readingOrder="0" vertical="center"/>
    </xf>
    <xf borderId="17" fillId="0" fontId="22" numFmtId="164" xfId="0" applyAlignment="1" applyBorder="1" applyFont="1" applyNumberFormat="1">
      <alignment horizontal="center" vertical="center"/>
    </xf>
    <xf borderId="17" fillId="0" fontId="22" numFmtId="164" xfId="0" applyAlignment="1" applyBorder="1" applyFont="1" applyNumberFormat="1">
      <alignment horizontal="center" readingOrder="0" vertical="center"/>
    </xf>
    <xf borderId="0" fillId="0" fontId="22" numFmtId="0" xfId="0" applyAlignment="1" applyFont="1">
      <alignment horizontal="center" vertical="center"/>
    </xf>
    <xf borderId="0" fillId="0" fontId="12" numFmtId="164" xfId="0" applyAlignment="1" applyFont="1" applyNumberFormat="1">
      <alignment horizontal="center" vertical="center"/>
    </xf>
    <xf borderId="12" fillId="0" fontId="17" numFmtId="0" xfId="0" applyAlignment="1" applyBorder="1" applyFont="1">
      <alignment horizontal="center" vertical="center"/>
    </xf>
    <xf borderId="13" fillId="7" fontId="17" numFmtId="0" xfId="0" applyAlignment="1" applyBorder="1" applyFont="1">
      <alignment horizontal="center" vertical="center"/>
    </xf>
    <xf borderId="0" fillId="0" fontId="11" numFmtId="0" xfId="0" applyAlignment="1" applyFont="1">
      <alignment horizontal="left" vertical="center"/>
    </xf>
    <xf borderId="0" fillId="0" fontId="14" numFmtId="0" xfId="0" applyAlignment="1" applyFont="1">
      <alignment horizontal="right" readingOrder="0" vertical="center"/>
    </xf>
    <xf borderId="0" fillId="0" fontId="24" numFmtId="164" xfId="0" applyAlignment="1" applyFont="1" applyNumberFormat="1">
      <alignment horizontal="center" vertical="center"/>
    </xf>
    <xf borderId="15" fillId="0" fontId="24" numFmtId="164" xfId="0" applyAlignment="1" applyBorder="1" applyFont="1" applyNumberFormat="1">
      <alignment horizontal="center" vertical="center"/>
    </xf>
    <xf borderId="0" fillId="0" fontId="81" numFmtId="164" xfId="0" applyAlignment="1" applyFont="1" applyNumberFormat="1">
      <alignment horizontal="center" readingOrder="0" vertical="center"/>
    </xf>
    <xf borderId="0" fillId="0" fontId="12" numFmtId="164" xfId="0" applyAlignment="1" applyFont="1" applyNumberFormat="1">
      <alignment horizontal="center" readingOrder="0" vertical="center"/>
    </xf>
    <xf borderId="0" fillId="7" fontId="12" numFmtId="164" xfId="0" applyAlignment="1" applyFont="1" applyNumberFormat="1">
      <alignment horizontal="center" readingOrder="0" vertical="center"/>
    </xf>
    <xf borderId="0" fillId="7" fontId="14" numFmtId="164" xfId="0" applyAlignment="1" applyFont="1" applyNumberFormat="1">
      <alignment horizontal="center" readingOrder="0" vertical="center"/>
    </xf>
    <xf borderId="0" fillId="7" fontId="1" numFmtId="0" xfId="0" applyAlignment="1" applyFont="1">
      <alignment vertical="center"/>
    </xf>
    <xf borderId="0" fillId="7" fontId="13" numFmtId="3" xfId="0" applyAlignment="1" applyFont="1" applyNumberFormat="1">
      <alignment horizontal="center" readingOrder="0" vertical="center"/>
    </xf>
    <xf borderId="0" fillId="7" fontId="12" numFmtId="0" xfId="0" applyAlignment="1" applyFont="1">
      <alignment readingOrder="0" vertical="center"/>
    </xf>
    <xf borderId="0" fillId="7" fontId="17" numFmtId="164" xfId="0" applyAlignment="1" applyFont="1" applyNumberFormat="1">
      <alignment horizontal="center" readingOrder="0" vertical="center"/>
    </xf>
    <xf borderId="11" fillId="7" fontId="17" numFmtId="164" xfId="0" applyAlignment="1" applyBorder="1" applyFont="1" applyNumberFormat="1">
      <alignment horizontal="center" readingOrder="0" vertical="center"/>
    </xf>
    <xf borderId="0" fillId="7" fontId="22" numFmtId="164" xfId="0" applyAlignment="1" applyFont="1" applyNumberFormat="1">
      <alignment horizontal="center" readingOrder="0" vertical="center"/>
    </xf>
    <xf borderId="11" fillId="7" fontId="22" numFmtId="164" xfId="0" applyAlignment="1" applyBorder="1" applyFont="1" applyNumberFormat="1">
      <alignment horizontal="center" readingOrder="0" vertical="center"/>
    </xf>
    <xf borderId="0" fillId="7" fontId="22" numFmtId="0" xfId="0" applyAlignment="1" applyFont="1">
      <alignment vertical="center"/>
    </xf>
    <xf borderId="12" fillId="7" fontId="17" numFmtId="164" xfId="0" applyAlignment="1" applyBorder="1" applyFont="1" applyNumberFormat="1">
      <alignment horizontal="center" vertical="center"/>
    </xf>
    <xf borderId="0" fillId="7" fontId="13" numFmtId="164" xfId="0" applyAlignment="1" applyFont="1" applyNumberFormat="1">
      <alignment horizontal="center" vertical="center"/>
    </xf>
    <xf borderId="0" fillId="7" fontId="13" numFmtId="164" xfId="0" applyAlignment="1" applyFont="1" applyNumberFormat="1">
      <alignment horizontal="center" readingOrder="0" vertical="center"/>
    </xf>
    <xf borderId="0" fillId="7" fontId="17" numFmtId="165" xfId="0" applyAlignment="1" applyFont="1" applyNumberFormat="1">
      <alignment horizontal="center" vertical="center"/>
    </xf>
    <xf borderId="0" fillId="7" fontId="22" numFmtId="165" xfId="0" applyAlignment="1" applyFont="1" applyNumberFormat="1">
      <alignment horizontal="center" vertical="center"/>
    </xf>
    <xf borderId="0" fillId="7" fontId="12" numFmtId="164" xfId="0" applyAlignment="1" applyFont="1" applyNumberFormat="1">
      <alignment horizontal="center" vertical="center"/>
    </xf>
    <xf borderId="0" fillId="7" fontId="22" numFmtId="164" xfId="0" applyAlignment="1" applyFont="1" applyNumberFormat="1">
      <alignment horizontal="center" vertical="center"/>
    </xf>
    <xf borderId="0" fillId="7" fontId="13" numFmtId="164" xfId="0" applyAlignment="1" applyFont="1" applyNumberFormat="1">
      <alignment horizontal="center" readingOrder="0" vertical="center"/>
    </xf>
    <xf borderId="0" fillId="7" fontId="14" numFmtId="164" xfId="0" applyAlignment="1" applyFont="1" applyNumberFormat="1">
      <alignment horizontal="center" readingOrder="0" vertical="center"/>
    </xf>
    <xf borderId="0" fillId="7" fontId="14" numFmtId="164" xfId="0" applyAlignment="1" applyFont="1" applyNumberFormat="1">
      <alignment horizontal="left" readingOrder="0" vertical="center"/>
    </xf>
    <xf borderId="0" fillId="7" fontId="14" numFmtId="164" xfId="0" applyAlignment="1" applyFont="1" applyNumberFormat="1">
      <alignment horizontal="right" readingOrder="0" vertical="center"/>
    </xf>
    <xf borderId="0" fillId="7" fontId="14" numFmtId="0" xfId="0" applyAlignment="1" applyFont="1">
      <alignment horizontal="right" readingOrder="0" vertical="center"/>
    </xf>
    <xf borderId="0" fillId="0" fontId="1" numFmtId="0" xfId="0" applyAlignment="1" applyFont="1">
      <alignment horizontal="center" readingOrder="0" vertical="center"/>
    </xf>
    <xf borderId="0" fillId="0" fontId="13" numFmtId="164" xfId="0" applyAlignment="1" applyFont="1" applyNumberFormat="1">
      <alignment horizontal="left" vertical="center"/>
    </xf>
    <xf borderId="0" fillId="0" fontId="82" numFmtId="164" xfId="0" applyAlignment="1" applyFont="1" applyNumberFormat="1">
      <alignment horizontal="center" vertical="center"/>
    </xf>
    <xf borderId="12" fillId="7" fontId="12" numFmtId="164" xfId="0" applyAlignment="1" applyBorder="1" applyFont="1" applyNumberFormat="1">
      <alignment horizontal="center" vertical="center"/>
    </xf>
    <xf borderId="0" fillId="7" fontId="13" numFmtId="164" xfId="0" applyAlignment="1" applyFont="1" applyNumberFormat="1">
      <alignment horizontal="center" shrinkToFit="0" vertical="center" wrapText="1"/>
    </xf>
    <xf borderId="0" fillId="0" fontId="13" numFmtId="164" xfId="0" applyAlignment="1" applyFont="1" applyNumberFormat="1">
      <alignment horizontal="center" shrinkToFit="0" vertical="center" wrapText="1"/>
    </xf>
    <xf borderId="0" fillId="0" fontId="83" numFmtId="3" xfId="0" applyAlignment="1" applyFont="1" applyNumberFormat="1">
      <alignment horizontal="center" readingOrder="0" vertical="center"/>
    </xf>
    <xf borderId="0" fillId="0" fontId="14" numFmtId="164" xfId="0" applyAlignment="1" applyFont="1" applyNumberFormat="1">
      <alignment horizontal="left" readingOrder="0" vertical="center"/>
    </xf>
    <xf borderId="0" fillId="2" fontId="84" numFmtId="0" xfId="0" applyAlignment="1" applyFont="1">
      <alignment horizontal="center" vertical="center"/>
    </xf>
    <xf borderId="0" fillId="2" fontId="13" numFmtId="3" xfId="0" applyAlignment="1" applyFont="1" applyNumberFormat="1">
      <alignment horizontal="center" readingOrder="0" vertical="center"/>
    </xf>
    <xf borderId="0" fillId="6" fontId="13" numFmtId="3" xfId="0" applyAlignment="1" applyFont="1" applyNumberFormat="1">
      <alignment horizontal="center" readingOrder="0" vertical="center"/>
    </xf>
    <xf borderId="12" fillId="0" fontId="17" numFmtId="10" xfId="0" applyAlignment="1" applyBorder="1" applyFont="1" applyNumberFormat="1">
      <alignment horizontal="center" vertical="center"/>
    </xf>
    <xf borderId="17" fillId="0" fontId="13" numFmtId="164" xfId="0" applyAlignment="1" applyBorder="1" applyFont="1" applyNumberFormat="1">
      <alignment horizontal="center" readingOrder="0" vertical="center"/>
    </xf>
    <xf borderId="0" fillId="0" fontId="85" numFmtId="0" xfId="0" applyAlignment="1" applyFont="1">
      <alignment horizontal="center" readingOrder="0" vertical="center"/>
    </xf>
    <xf borderId="12" fillId="0" fontId="86" numFmtId="0" xfId="0" applyAlignment="1" applyBorder="1" applyFont="1">
      <alignment horizontal="center" readingOrder="0" vertical="center"/>
    </xf>
    <xf borderId="0" fillId="2" fontId="16" numFmtId="0" xfId="0" applyAlignment="1" applyFont="1">
      <alignment shrinkToFit="0" vertical="center" wrapText="0"/>
    </xf>
    <xf borderId="0" fillId="2" fontId="16" numFmtId="0" xfId="0" applyAlignment="1" applyFont="1">
      <alignment readingOrder="0" shrinkToFit="0" vertical="center" wrapText="0"/>
    </xf>
    <xf borderId="0" fillId="0" fontId="87" numFmtId="164" xfId="0" applyAlignment="1" applyFont="1" applyNumberFormat="1">
      <alignment readingOrder="0" vertical="center"/>
    </xf>
    <xf borderId="0" fillId="0" fontId="11" numFmtId="164" xfId="0" applyAlignment="1" applyFont="1" applyNumberFormat="1">
      <alignment horizontal="left" readingOrder="0" vertical="center"/>
    </xf>
    <xf borderId="0" fillId="0" fontId="11" numFmtId="0" xfId="0" applyAlignment="1" applyFont="1">
      <alignment horizontal="left" readingOrder="0" vertical="center"/>
    </xf>
    <xf borderId="0" fillId="2" fontId="0" numFmtId="164" xfId="0" applyAlignment="1" applyFont="1" applyNumberFormat="1">
      <alignment horizontal="left" readingOrder="0" vertical="center"/>
    </xf>
    <xf borderId="0" fillId="2" fontId="13" numFmtId="0" xfId="0" applyAlignment="1" applyFont="1">
      <alignment vertical="center"/>
    </xf>
    <xf borderId="0" fillId="5" fontId="1" numFmtId="10" xfId="0" applyAlignment="1" applyFont="1" applyNumberFormat="1">
      <alignment horizontal="center" vertical="center"/>
    </xf>
    <xf borderId="18" fillId="2" fontId="88" numFmtId="164" xfId="0" applyAlignment="1" applyBorder="1" applyFont="1" applyNumberFormat="1">
      <alignment horizontal="center" readingOrder="0" vertical="center"/>
    </xf>
    <xf borderId="0" fillId="0" fontId="13" numFmtId="0" xfId="0" applyAlignment="1" applyFont="1">
      <alignment readingOrder="0" vertical="center"/>
    </xf>
    <xf borderId="18" fillId="2" fontId="89" numFmtId="164" xfId="0" applyAlignment="1" applyBorder="1" applyFont="1" applyNumberFormat="1">
      <alignment horizontal="center" vertical="center"/>
    </xf>
    <xf borderId="0" fillId="0" fontId="1" numFmtId="164" xfId="0" applyAlignment="1" applyFont="1" applyNumberFormat="1">
      <alignment horizontal="right" readingOrder="0" vertical="center"/>
    </xf>
    <xf borderId="0" fillId="0" fontId="13" numFmtId="164" xfId="0" applyAlignment="1" applyFont="1" applyNumberFormat="1">
      <alignment horizontal="right" readingOrder="0" vertical="center"/>
    </xf>
    <xf borderId="0" fillId="0" fontId="22" numFmtId="0" xfId="0" applyAlignment="1" applyFont="1">
      <alignment readingOrder="0" vertical="bottom"/>
    </xf>
    <xf borderId="19" fillId="2" fontId="90" numFmtId="164" xfId="0" applyAlignment="1" applyBorder="1" applyFont="1" applyNumberFormat="1">
      <alignment horizontal="center" readingOrder="0" vertical="center"/>
    </xf>
    <xf borderId="19" fillId="0" fontId="14" numFmtId="164" xfId="0" applyAlignment="1" applyBorder="1" applyFont="1" applyNumberFormat="1">
      <alignment horizontal="center" readingOrder="0" vertical="center"/>
    </xf>
    <xf borderId="9" fillId="2" fontId="91" numFmtId="164" xfId="0" applyAlignment="1" applyBorder="1" applyFont="1" applyNumberFormat="1">
      <alignment horizontal="center" readingOrder="0" vertical="center"/>
    </xf>
    <xf borderId="9" fillId="0" fontId="14" numFmtId="164" xfId="0" applyAlignment="1" applyBorder="1" applyFont="1" applyNumberFormat="1">
      <alignment horizontal="center" readingOrder="0" vertical="center"/>
    </xf>
    <xf borderId="9" fillId="2" fontId="92" numFmtId="164" xfId="0" applyAlignment="1" applyBorder="1" applyFont="1" applyNumberFormat="1">
      <alignment horizontal="center" vertical="bottom"/>
    </xf>
    <xf borderId="9" fillId="7" fontId="37" numFmtId="164" xfId="0" applyAlignment="1" applyBorder="1" applyFont="1" applyNumberFormat="1">
      <alignment horizontal="center" readingOrder="0" shrinkToFit="0" vertical="center" wrapText="0"/>
    </xf>
    <xf borderId="9" fillId="0" fontId="13" numFmtId="164" xfId="0" applyAlignment="1" applyBorder="1" applyFont="1" applyNumberFormat="1">
      <alignment horizontal="center" vertical="bottom"/>
    </xf>
    <xf borderId="9" fillId="0" fontId="14" numFmtId="164" xfId="0" applyAlignment="1" applyBorder="1" applyFont="1" applyNumberFormat="1">
      <alignment horizontal="center" readingOrder="0" shrinkToFit="0" vertical="center" wrapText="0"/>
    </xf>
    <xf borderId="0" fillId="2" fontId="13" numFmtId="0" xfId="0" applyAlignment="1" applyFont="1">
      <alignment vertical="center"/>
    </xf>
    <xf borderId="0" fillId="2" fontId="13" numFmtId="0" xfId="0" applyAlignment="1" applyFont="1">
      <alignment vertical="center"/>
    </xf>
    <xf borderId="0" fillId="0" fontId="14" numFmtId="3" xfId="0" applyAlignment="1" applyFont="1" applyNumberFormat="1">
      <alignment horizontal="center" readingOrder="0" shrinkToFit="0" vertical="center" wrapText="0"/>
    </xf>
    <xf borderId="0" fillId="5" fontId="21" numFmtId="164" xfId="0" applyAlignment="1" applyFont="1" applyNumberFormat="1">
      <alignment horizontal="center" readingOrder="0" vertical="center"/>
    </xf>
    <xf borderId="0" fillId="2" fontId="13" numFmtId="164" xfId="0" applyAlignment="1" applyFont="1" applyNumberFormat="1">
      <alignment horizontal="center" vertical="bottom"/>
    </xf>
    <xf borderId="0" fillId="0" fontId="18" numFmtId="0" xfId="0" applyAlignment="1" applyFont="1">
      <alignment readingOrder="0" vertical="center"/>
    </xf>
    <xf borderId="0" fillId="0" fontId="2" numFmtId="0" xfId="0" applyAlignment="1" applyFont="1">
      <alignment horizontal="left" readingOrder="0" vertical="center"/>
    </xf>
    <xf borderId="0" fillId="0" fontId="2" numFmtId="0" xfId="0" applyAlignment="1" applyFont="1">
      <alignment horizontal="center" vertical="center"/>
    </xf>
    <xf borderId="0" fillId="0" fontId="1" numFmtId="3" xfId="0" applyAlignment="1" applyFont="1" applyNumberFormat="1">
      <alignment horizontal="left" readingOrder="0" vertical="center"/>
    </xf>
    <xf borderId="0" fillId="0" fontId="2" numFmtId="164" xfId="0" applyAlignment="1" applyFont="1" applyNumberFormat="1">
      <alignment horizontal="center" vertical="center"/>
    </xf>
    <xf borderId="0" fillId="0" fontId="1" numFmtId="3" xfId="0" applyAlignment="1" applyFont="1" applyNumberFormat="1">
      <alignment horizontal="center" readingOrder="0" vertical="center"/>
    </xf>
    <xf borderId="0" fillId="0" fontId="1" numFmtId="0" xfId="0" applyAlignment="1" applyFont="1">
      <alignment horizontal="left" readingOrder="0" vertical="center"/>
    </xf>
    <xf borderId="0" fillId="0" fontId="2" numFmtId="3" xfId="0" applyAlignment="1" applyFont="1" applyNumberFormat="1">
      <alignment horizontal="center" vertical="center"/>
    </xf>
    <xf borderId="0" fillId="0" fontId="2" numFmtId="9" xfId="0" applyAlignment="1" applyFont="1" applyNumberFormat="1">
      <alignment horizontal="center" vertical="center"/>
    </xf>
    <xf borderId="0" fillId="0" fontId="1" numFmtId="0" xfId="0" applyAlignment="1" applyFont="1">
      <alignment horizontal="left" vertical="center"/>
    </xf>
    <xf borderId="0" fillId="0" fontId="93" numFmtId="164" xfId="0" applyAlignment="1" applyFont="1" applyNumberFormat="1">
      <alignment horizontal="center" vertical="center"/>
    </xf>
    <xf borderId="0" fillId="0" fontId="94" numFmtId="164" xfId="0" applyAlignment="1" applyFont="1" applyNumberFormat="1">
      <alignment horizontal="center" readingOrder="0" vertical="center"/>
    </xf>
    <xf borderId="0" fillId="0" fontId="1" numFmtId="9" xfId="0" applyAlignment="1" applyFont="1" applyNumberFormat="1">
      <alignment horizontal="center" vertical="center"/>
    </xf>
    <xf borderId="0" fillId="0" fontId="2" numFmtId="165" xfId="0" applyAlignment="1" applyFont="1" applyNumberFormat="1">
      <alignment horizontal="center" vertical="center"/>
    </xf>
    <xf borderId="0" fillId="0" fontId="2" numFmtId="0" xfId="0" applyAlignment="1" applyFont="1">
      <alignment horizontal="left" readingOrder="0" shrinkToFit="0" vertical="center" wrapText="1"/>
    </xf>
    <xf borderId="0" fillId="0" fontId="95" numFmtId="0" xfId="0" applyAlignment="1" applyFont="1">
      <alignment horizontal="center" readingOrder="0" vertical="center"/>
    </xf>
    <xf borderId="0" fillId="0" fontId="1" numFmtId="3"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2" fontId="46" numFmtId="0" xfId="0" applyAlignment="1" applyFont="1">
      <alignment horizontal="left" readingOrder="0" shrinkToFit="0" wrapText="1"/>
    </xf>
    <xf borderId="0" fillId="0" fontId="2" numFmtId="10" xfId="0" applyAlignment="1" applyFont="1" applyNumberFormat="1">
      <alignment horizontal="center" vertical="center"/>
    </xf>
    <xf borderId="0" fillId="0" fontId="1" numFmtId="10" xfId="0" applyAlignment="1" applyFont="1" applyNumberFormat="1">
      <alignment horizontal="center" vertical="center"/>
    </xf>
    <xf borderId="0" fillId="0" fontId="14" numFmtId="3" xfId="0" applyAlignment="1" applyFont="1" applyNumberFormat="1">
      <alignment horizontal="center" readingOrder="0" vertical="center"/>
    </xf>
    <xf borderId="0" fillId="0" fontId="1" numFmtId="165" xfId="0" applyAlignment="1" applyFont="1" applyNumberFormat="1">
      <alignment horizontal="center" vertical="center"/>
    </xf>
    <xf borderId="0" fillId="0" fontId="1" numFmtId="3" xfId="0" applyAlignment="1" applyFont="1" applyNumberFormat="1">
      <alignment horizontal="center" vertical="center"/>
    </xf>
    <xf borderId="9" fillId="0" fontId="18" numFmtId="166" xfId="0" applyAlignment="1" applyBorder="1" applyFont="1" applyNumberFormat="1">
      <alignment readingOrder="0" shrinkToFit="0" vertical="center" wrapText="0"/>
    </xf>
    <xf borderId="0" fillId="0" fontId="12" numFmtId="0" xfId="0" applyAlignment="1" applyFont="1">
      <alignment horizontal="center"/>
    </xf>
    <xf borderId="0" fillId="0" fontId="15" numFmtId="0" xfId="0" applyAlignment="1" applyFont="1">
      <alignment horizontal="center" readingOrder="0" vertical="center"/>
    </xf>
    <xf borderId="0" fillId="0" fontId="2" numFmtId="164" xfId="0" applyAlignment="1" applyFont="1" applyNumberFormat="1">
      <alignment horizontal="center" readingOrder="0" vertical="center"/>
    </xf>
    <xf borderId="0" fillId="5" fontId="2" numFmtId="0" xfId="0" applyAlignment="1" applyFont="1">
      <alignment horizontal="center" readingOrder="0" vertical="center"/>
    </xf>
    <xf borderId="0" fillId="0" fontId="96" numFmtId="0" xfId="0" applyAlignment="1" applyFont="1">
      <alignment horizontal="center"/>
    </xf>
    <xf borderId="0" fillId="0" fontId="15" numFmtId="165" xfId="0" applyAlignment="1" applyFont="1" applyNumberFormat="1">
      <alignment horizontal="center" vertical="center"/>
    </xf>
    <xf borderId="0" fillId="0" fontId="18" numFmtId="165" xfId="0" applyAlignment="1" applyFont="1" applyNumberFormat="1">
      <alignment horizontal="center" vertical="center"/>
    </xf>
    <xf borderId="0" fillId="0" fontId="18" numFmtId="0" xfId="0" applyAlignment="1" applyFont="1">
      <alignment vertical="center"/>
    </xf>
    <xf borderId="0" fillId="0" fontId="12" numFmtId="164" xfId="0" applyAlignment="1" applyFont="1" applyNumberFormat="1">
      <alignment horizontal="center"/>
    </xf>
    <xf borderId="0" fillId="0" fontId="97" numFmtId="164" xfId="0" applyAlignment="1" applyFont="1" applyNumberFormat="1">
      <alignment horizontal="center"/>
    </xf>
    <xf borderId="0" fillId="0" fontId="1" numFmtId="165" xfId="0" applyAlignment="1" applyFont="1" applyNumberFormat="1">
      <alignment horizontal="left" vertical="center"/>
    </xf>
    <xf borderId="0" fillId="0" fontId="18" numFmtId="0" xfId="0" applyAlignment="1" applyFont="1">
      <alignment vertical="bottom"/>
    </xf>
    <xf borderId="0" fillId="0" fontId="1" numFmtId="164" xfId="0" applyAlignment="1" applyFont="1" applyNumberFormat="1">
      <alignment horizontal="center" readingOrder="0" shrinkToFit="0" vertical="center" wrapText="0"/>
    </xf>
  </cellXfs>
  <cellStyles count="1">
    <cellStyle xfId="0" name="Normal" builtinId="0"/>
  </cellStyles>
  <dxfs count="2">
    <dxf>
      <font>
        <i/>
        <color rgb="FFFF0000"/>
      </font>
      <fill>
        <patternFill patternType="none"/>
      </fill>
      <border/>
    </dxf>
    <dxf>
      <font>
        <i/>
        <color rgb="FFFF0000"/>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19050</xdr:rowOff>
    </xdr:from>
    <xdr:ext cx="3048000" cy="7620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10</xdr:row>
      <xdr:rowOff>171450</xdr:rowOff>
    </xdr:from>
    <xdr:ext cx="2628900" cy="8191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343025" cy="25717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Narrow"/>
        <a:ea typeface="Arial Narrow"/>
        <a:cs typeface="Arial Narrow"/>
      </a:majorFont>
      <a:minorFont>
        <a:latin typeface="Arial Narrow"/>
        <a:ea typeface="Arial Narrow"/>
        <a:cs typeface="Arial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sec.gov/edgar/browse/?CIK=31462&amp;owner=exclude" TargetMode="External"/><Relationship Id="rId42" Type="http://schemas.openxmlformats.org/officeDocument/2006/relationships/hyperlink" Target="https://www.sec.gov/edgar/browse/?CIK=107263&amp;owner=exclude" TargetMode="External"/><Relationship Id="rId41" Type="http://schemas.openxmlformats.org/officeDocument/2006/relationships/hyperlink" Target="https://www.sec.gov/edgar/browse/?CIK=1604665&amp;owner=exclude" TargetMode="External"/><Relationship Id="rId44" Type="http://schemas.openxmlformats.org/officeDocument/2006/relationships/hyperlink" Target="https://www.sec.gov/edgar/browse/?CIK=922224&amp;owner=exclude" TargetMode="External"/><Relationship Id="rId43" Type="http://schemas.openxmlformats.org/officeDocument/2006/relationships/hyperlink" Target="https://www.sec.gov/edgar/browse/?CIK=1090872&amp;owner=exclude" TargetMode="External"/><Relationship Id="rId46" Type="http://schemas.openxmlformats.org/officeDocument/2006/relationships/hyperlink" Target="https://www.sec.gov/edgar/browse/?CIK=217346&amp;owner=exclude" TargetMode="External"/><Relationship Id="rId45" Type="http://schemas.openxmlformats.org/officeDocument/2006/relationships/hyperlink" Target="https://www.sec.gov/edgar/browse/?CIK=1140859&amp;owner=exclude" TargetMode="External"/><Relationship Id="rId1" Type="http://schemas.openxmlformats.org/officeDocument/2006/relationships/hyperlink" Target="https://www.sec.gov/edgar/browse/?CIK=1318605&amp;owner=exclude" TargetMode="External"/><Relationship Id="rId2" Type="http://schemas.openxmlformats.org/officeDocument/2006/relationships/hyperlink" Target="https://www.sec.gov/edgar/browse/?CIK=5272&amp;owner=exclude" TargetMode="External"/><Relationship Id="rId3" Type="http://schemas.openxmlformats.org/officeDocument/2006/relationships/hyperlink" Target="https://www.sec.gov/edgar/browse/?CIK=1099219&amp;owner=exclude" TargetMode="External"/><Relationship Id="rId4" Type="http://schemas.openxmlformats.org/officeDocument/2006/relationships/hyperlink" Target="https://www.sec.gov/edgar/browse/?CIK=1535929&amp;owner=exclude" TargetMode="External"/><Relationship Id="rId9" Type="http://schemas.openxmlformats.org/officeDocument/2006/relationships/hyperlink" Target="https://www.sec.gov/edgar/browse/?CIK=1065280&amp;owner=exclude" TargetMode="External"/><Relationship Id="rId48" Type="http://schemas.openxmlformats.org/officeDocument/2006/relationships/hyperlink" Target="https://www.sec.gov/edgar/browse/?CIK=72903&amp;owner=exclude" TargetMode="External"/><Relationship Id="rId47" Type="http://schemas.openxmlformats.org/officeDocument/2006/relationships/hyperlink" Target="https://www.sec.gov/edgar/browse/?CIK=40729&amp;owner=exclude" TargetMode="External"/><Relationship Id="rId49" Type="http://schemas.openxmlformats.org/officeDocument/2006/relationships/hyperlink" Target="https://www.sec.gov/edgar/browse/?CIK=936340&amp;owner=exclude" TargetMode="External"/><Relationship Id="rId5" Type="http://schemas.openxmlformats.org/officeDocument/2006/relationships/hyperlink" Target="https://www.sec.gov/edgar/browse/?CIK=1126328&amp;owner=exclude" TargetMode="External"/><Relationship Id="rId6" Type="http://schemas.openxmlformats.org/officeDocument/2006/relationships/hyperlink" Target="https://www.sec.gov/edgar/browse/?CIK=898174&amp;owner=exclude" TargetMode="External"/><Relationship Id="rId7" Type="http://schemas.openxmlformats.org/officeDocument/2006/relationships/hyperlink" Target="https://www.sec.gov/edgar/browse/?CIK=874766&amp;owner=exclude" TargetMode="External"/><Relationship Id="rId8" Type="http://schemas.openxmlformats.org/officeDocument/2006/relationships/hyperlink" Target="https://www.sec.gov/edgar/browse/?CIK=1283699&amp;owner=exclude" TargetMode="External"/><Relationship Id="rId31" Type="http://schemas.openxmlformats.org/officeDocument/2006/relationships/hyperlink" Target="https://www.sec.gov/edgar/browse/?CIK=1163302&amp;owner=exclude" TargetMode="External"/><Relationship Id="rId30" Type="http://schemas.openxmlformats.org/officeDocument/2006/relationships/hyperlink" Target="https://www.sec.gov/edgar/browse/?CIK=1326160&amp;owner=exclude" TargetMode="External"/><Relationship Id="rId33" Type="http://schemas.openxmlformats.org/officeDocument/2006/relationships/hyperlink" Target="https://www.sec.gov/edgar/browse/?CIK=65984&amp;owner=exclude" TargetMode="External"/><Relationship Id="rId32" Type="http://schemas.openxmlformats.org/officeDocument/2006/relationships/hyperlink" Target="https://itep.org/corporations-reap-billions-in-tax-breaks-under-bonus-depreciation/" TargetMode="External"/><Relationship Id="rId35" Type="http://schemas.openxmlformats.org/officeDocument/2006/relationships/hyperlink" Target="https://www.sec.gov/edgar/browse/?CIK=1038357&amp;owner=exclude" TargetMode="External"/><Relationship Id="rId34" Type="http://schemas.openxmlformats.org/officeDocument/2006/relationships/hyperlink" Target="https://itep.org/corporations-reap-billions-in-tax-breaks-under-bonus-depreciation/" TargetMode="External"/><Relationship Id="rId37" Type="http://schemas.openxmlformats.org/officeDocument/2006/relationships/hyperlink" Target="https://www.sec.gov/edgar/browse/?CIK=106640" TargetMode="External"/><Relationship Id="rId36" Type="http://schemas.openxmlformats.org/officeDocument/2006/relationships/hyperlink" Target="https://www.sec.gov/edgar/browse/?CIK=1001082" TargetMode="External"/><Relationship Id="rId39" Type="http://schemas.openxmlformats.org/officeDocument/2006/relationships/hyperlink" Target="https://www.sec.gov/edgar/browse/?CIK=715957&amp;owner=exclude" TargetMode="External"/><Relationship Id="rId38" Type="http://schemas.openxmlformats.org/officeDocument/2006/relationships/hyperlink" Target="https://www.sec.gov/edgar/browse/?CIK=4904&amp;owner=exclude" TargetMode="External"/><Relationship Id="rId62" Type="http://schemas.openxmlformats.org/officeDocument/2006/relationships/hyperlink" Target="https://www.sec.gov/edgar/browse/?CIK=811156&amp;owner=exclude" TargetMode="External"/><Relationship Id="rId61" Type="http://schemas.openxmlformats.org/officeDocument/2006/relationships/hyperlink" Target="https://www.sec.gov/edgar/browse/?CIK=731802&amp;owner=exclude" TargetMode="External"/><Relationship Id="rId20" Type="http://schemas.openxmlformats.org/officeDocument/2006/relationships/hyperlink" Target="https://www.sec.gov/edgar/browse/?CIK=875320&amp;owner=exclude" TargetMode="External"/><Relationship Id="rId64" Type="http://schemas.openxmlformats.org/officeDocument/2006/relationships/hyperlink" Target="https://www.sec.gov/edgar/browse/?CIK=1410636&amp;owner=exclude" TargetMode="External"/><Relationship Id="rId63" Type="http://schemas.openxmlformats.org/officeDocument/2006/relationships/hyperlink" Target="https://www.sec.gov/edgar/browse/?CIK=352541&amp;owner=exclude" TargetMode="External"/><Relationship Id="rId22" Type="http://schemas.openxmlformats.org/officeDocument/2006/relationships/hyperlink" Target="https://www.sec.gov/edgar/browse/?CIK=7084&amp;owner=exclude" TargetMode="External"/><Relationship Id="rId66" Type="http://schemas.openxmlformats.org/officeDocument/2006/relationships/hyperlink" Target="https://www.sec.gov/edgar/browse/?CIK=1019849&amp;owner=exclude" TargetMode="External"/><Relationship Id="rId21" Type="http://schemas.openxmlformats.org/officeDocument/2006/relationships/hyperlink" Target="https://www.sec.gov/edgar/browse/?CIK=92122&amp;owner=exclude" TargetMode="External"/><Relationship Id="rId65" Type="http://schemas.openxmlformats.org/officeDocument/2006/relationships/hyperlink" Target="https://www.sec.gov/edgar/browse/?CIK=1562476&amp;owner=exclude" TargetMode="External"/><Relationship Id="rId24" Type="http://schemas.openxmlformats.org/officeDocument/2006/relationships/hyperlink" Target="https://www.sec.gov/edgar/browse/?CIK=1032208&amp;owner=exclude" TargetMode="External"/><Relationship Id="rId68" Type="http://schemas.openxmlformats.org/officeDocument/2006/relationships/drawing" Target="../drawings/drawing6.xml"/><Relationship Id="rId23" Type="http://schemas.openxmlformats.org/officeDocument/2006/relationships/hyperlink" Target="https://www.sec.gov/edgar/browse/?CIK=891103&amp;owner=exclude" TargetMode="External"/><Relationship Id="rId67" Type="http://schemas.openxmlformats.org/officeDocument/2006/relationships/hyperlink" Target="https://www.sec.gov/edgar/browse/?CIK=67716&amp;owner=exclude" TargetMode="External"/><Relationship Id="rId60" Type="http://schemas.openxmlformats.org/officeDocument/2006/relationships/hyperlink" Target="https://www.sec.gov/edgar/browse/?CIK=884614&amp;owner=exclude" TargetMode="External"/><Relationship Id="rId26" Type="http://schemas.openxmlformats.org/officeDocument/2006/relationships/hyperlink" Target="https://www.sec.gov/edgar/browse/?CIK=18926&amp;owner=exclude" TargetMode="External"/><Relationship Id="rId25" Type="http://schemas.openxmlformats.org/officeDocument/2006/relationships/hyperlink" Target="https://www.sec.gov/edgar/browse/?CIK=1109357&amp;owner=exclude" TargetMode="External"/><Relationship Id="rId28" Type="http://schemas.openxmlformats.org/officeDocument/2006/relationships/hyperlink" Target="https://www.sec.gov/edgar/browse/?CIK=1048911&amp;owner=exclude" TargetMode="External"/><Relationship Id="rId27" Type="http://schemas.openxmlformats.org/officeDocument/2006/relationships/hyperlink" Target="https://www.sec.gov/edgar/browse/?CIK=858470&amp;owner=exclude" TargetMode="External"/><Relationship Id="rId29" Type="http://schemas.openxmlformats.org/officeDocument/2006/relationships/hyperlink" Target="https://www.sec.gov/edgar/browse/?CIK=1751788&amp;owner=exclude" TargetMode="External"/><Relationship Id="rId51" Type="http://schemas.openxmlformats.org/officeDocument/2006/relationships/hyperlink" Target="https://www.sec.gov/edgar/browse/?CIK=1031296&amp;owner=exclude" TargetMode="External"/><Relationship Id="rId50" Type="http://schemas.openxmlformats.org/officeDocument/2006/relationships/hyperlink" Target="https://www.sec.gov/edgar/browse/?CIK=79879" TargetMode="External"/><Relationship Id="rId53" Type="http://schemas.openxmlformats.org/officeDocument/2006/relationships/hyperlink" Target="https://www.sec.gov/edgar/browse/?CIK=940944&amp;owner=exclude" TargetMode="External"/><Relationship Id="rId52" Type="http://schemas.openxmlformats.org/officeDocument/2006/relationships/hyperlink" Target="https://www.sec.gov/edgar/browse/?CIK=1002910&amp;owner=exclude" TargetMode="External"/><Relationship Id="rId11" Type="http://schemas.openxmlformats.org/officeDocument/2006/relationships/hyperlink" Target="https://www.sec.gov/edgar/browse/?CIK=732717&amp;owner=exclude" TargetMode="External"/><Relationship Id="rId55" Type="http://schemas.openxmlformats.org/officeDocument/2006/relationships/hyperlink" Target="https://www.sec.gov/edgar/browse/?CIK=1039684&amp;owner=exclude" TargetMode="External"/><Relationship Id="rId10" Type="http://schemas.openxmlformats.org/officeDocument/2006/relationships/hyperlink" Target="https://www.sec.gov/edgar/browse/?CIK=1108524&amp;owner=exclude" TargetMode="External"/><Relationship Id="rId54" Type="http://schemas.openxmlformats.org/officeDocument/2006/relationships/hyperlink" Target="https://www.sec.gov/edgar/browse/?CIK=1506307&amp;owner=exclude" TargetMode="External"/><Relationship Id="rId13" Type="http://schemas.openxmlformats.org/officeDocument/2006/relationships/hyperlink" Target="https://www.sec.gov/edgar/browse/?CIK=93410&amp;owner=exclude" TargetMode="External"/><Relationship Id="rId57" Type="http://schemas.openxmlformats.org/officeDocument/2006/relationships/hyperlink" Target="https://www.sec.gov/edgar/browse/?CIK=1711269&amp;owner=exclude" TargetMode="External"/><Relationship Id="rId12" Type="http://schemas.openxmlformats.org/officeDocument/2006/relationships/hyperlink" Target="https://www.sec.gov/edgar/browse/?CIK=37996&amp;owner=exclude" TargetMode="External"/><Relationship Id="rId56" Type="http://schemas.openxmlformats.org/officeDocument/2006/relationships/hyperlink" Target="https://www.sec.gov/edgar/browse/?CIK=1013871&amp;owner=exclude" TargetMode="External"/><Relationship Id="rId15" Type="http://schemas.openxmlformats.org/officeDocument/2006/relationships/hyperlink" Target="https://www.sec.gov/edgar/browse/?CIK=1467858&amp;owner=exclude" TargetMode="External"/><Relationship Id="rId59" Type="http://schemas.openxmlformats.org/officeDocument/2006/relationships/hyperlink" Target="https://www.sec.gov/edgar/browse/?CIK=1047862&amp;owner=exclude" TargetMode="External"/><Relationship Id="rId14" Type="http://schemas.openxmlformats.org/officeDocument/2006/relationships/hyperlink" Target="https://www.sec.gov/edgar/browse/?CIK=1603145&amp;owner=exclude" TargetMode="External"/><Relationship Id="rId58" Type="http://schemas.openxmlformats.org/officeDocument/2006/relationships/hyperlink" Target="https://www.sec.gov/edgar/browse/?CIK=1370946&amp;owner=exclude" TargetMode="External"/><Relationship Id="rId17" Type="http://schemas.openxmlformats.org/officeDocument/2006/relationships/hyperlink" Target="https://www.sec.gov/edgar/browse/?CIK=773840&amp;owner=exclude" TargetMode="External"/><Relationship Id="rId16" Type="http://schemas.openxmlformats.org/officeDocument/2006/relationships/hyperlink" Target="https://www.sec.gov/edgar/browse/?CIK=1091667&amp;owner=exclude" TargetMode="External"/><Relationship Id="rId19" Type="http://schemas.openxmlformats.org/officeDocument/2006/relationships/hyperlink" Target="https://www.sec.gov/edgar/browse/?CIK=1510295&amp;owner=exclude" TargetMode="External"/><Relationship Id="rId18" Type="http://schemas.openxmlformats.org/officeDocument/2006/relationships/hyperlink" Target="https://itep.org/corporations-reap-billions-in-tax-breaks-under-bonus-depreciation/"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90" Type="http://schemas.openxmlformats.org/officeDocument/2006/relationships/hyperlink" Target="https://www.sec.gov/Archives/edgar/data/107263/000119312522077800/d267503ddef14a.htm" TargetMode="External"/><Relationship Id="rId194" Type="http://schemas.openxmlformats.org/officeDocument/2006/relationships/hyperlink" Target="https://www.sec.gov/Archives/edgar/data/1090872/000095017023001746/a-def-14a-2023_proxy.htm" TargetMode="External"/><Relationship Id="rId193" Type="http://schemas.openxmlformats.org/officeDocument/2006/relationships/hyperlink" Target="https://www.sec.gov/Archives/edgar/data/107263/000119312519089163/d659299ddef14a.htm" TargetMode="External"/><Relationship Id="rId192" Type="http://schemas.openxmlformats.org/officeDocument/2006/relationships/hyperlink" Target="https://www.sec.gov/Archives/edgar/data/107263/000119312520078313/d821961ddef14a.htm" TargetMode="External"/><Relationship Id="rId191" Type="http://schemas.openxmlformats.org/officeDocument/2006/relationships/hyperlink" Target="https://www.sec.gov/Archives/edgar/data/107263/000119312521085137/d131043ddef14a.htm" TargetMode="External"/><Relationship Id="rId187" Type="http://schemas.openxmlformats.org/officeDocument/2006/relationships/hyperlink" Target="https://s26.q4cdn.com/761341895/files/doc_financials/2019/ar/__WLK-Proxy-2020-(as-filed).pdf" TargetMode="External"/><Relationship Id="rId186" Type="http://schemas.openxmlformats.org/officeDocument/2006/relationships/hyperlink" Target="https://s26.q4cdn.com/761341895/files/doc_financials/2020/ar/WLK-proxy.pdf" TargetMode="External"/><Relationship Id="rId185" Type="http://schemas.openxmlformats.org/officeDocument/2006/relationships/hyperlink" Target="https://s26.q4cdn.com/761341895/files/doc_financials/2021/ar/__WLK-Proxy-2022-(as-filed).pdf" TargetMode="External"/><Relationship Id="rId184" Type="http://schemas.openxmlformats.org/officeDocument/2006/relationships/hyperlink" Target="https://s26.q4cdn.com/761341895/files/doc_financials/2022/ar/Final-Proxy-Statement.pdf" TargetMode="External"/><Relationship Id="rId189" Type="http://schemas.openxmlformats.org/officeDocument/2006/relationships/hyperlink" Target="https://www.sec.gov/ixviewer/ix.html?doc=/Archives/edgar/data/0000107263/000119312523072012/d414387ddef14a.htm" TargetMode="External"/><Relationship Id="rId188" Type="http://schemas.openxmlformats.org/officeDocument/2006/relationships/hyperlink" Target="https://s26.q4cdn.com/761341895/files/doc_financials/2019/ar/__WLK-Proxy-2019-(as-filed).pdf" TargetMode="External"/><Relationship Id="rId183" Type="http://schemas.openxmlformats.org/officeDocument/2006/relationships/hyperlink" Target="https://www.sec.gov/Archives/edgar/data/31462/000155837019002166/def14a.htm" TargetMode="External"/><Relationship Id="rId182" Type="http://schemas.openxmlformats.org/officeDocument/2006/relationships/hyperlink" Target="https://www.sec.gov/Archives/edgar/data/31462/000155837020002970/ecl-20200507xdef14a.htm" TargetMode="External"/><Relationship Id="rId181" Type="http://schemas.openxmlformats.org/officeDocument/2006/relationships/hyperlink" Target="https://www.sec.gov/Archives/edgar/data/31462/000155837021003266/ecl-20210506xdef14a.htm" TargetMode="External"/><Relationship Id="rId180" Type="http://schemas.openxmlformats.org/officeDocument/2006/relationships/hyperlink" Target="https://www.sec.gov/Archives/edgar/data/31462/000155837022003929/ecl-20220505xdef14a.htm" TargetMode="External"/><Relationship Id="rId176" Type="http://schemas.openxmlformats.org/officeDocument/2006/relationships/hyperlink" Target="https://www.sec.gov/Archives/edgar/data/715957/000119312521092591/d106702ddef14a.htm" TargetMode="External"/><Relationship Id="rId175" Type="http://schemas.openxmlformats.org/officeDocument/2006/relationships/hyperlink" Target="https://www.sec.gov/Archives/edgar/data/715957/000120677422000855/d3985601-def14a.htm" TargetMode="External"/><Relationship Id="rId174" Type="http://schemas.openxmlformats.org/officeDocument/2006/relationships/hyperlink" Target="https://www.sec.gov/ixviewer/ix.html?doc=/Archives/edgar/data/0000715957/000130817923000385/d4088221-def14a.htm" TargetMode="External"/><Relationship Id="rId173" Type="http://schemas.openxmlformats.org/officeDocument/2006/relationships/hyperlink" Target="https://www.sec.gov/Archives/edgar/data/4904/000119312519072746/d644079ddef14a.htm" TargetMode="External"/><Relationship Id="rId179" Type="http://schemas.openxmlformats.org/officeDocument/2006/relationships/hyperlink" Target="https://www.sec.gov/ixviewer/ix.html?doc=/Archives/edgar/data/0000031462/000155837023004123/ecl-20230504xdef14a.htm" TargetMode="External"/><Relationship Id="rId178" Type="http://schemas.openxmlformats.org/officeDocument/2006/relationships/hyperlink" Target="https://www.sec.gov/Archives/edgar/data/715957/000119312519085276/d693331ddef14a.htm" TargetMode="External"/><Relationship Id="rId177" Type="http://schemas.openxmlformats.org/officeDocument/2006/relationships/hyperlink" Target="https://www.sec.gov/Archives/edgar/data/715957/000119312520085080/d867708ddef14a.htm" TargetMode="External"/><Relationship Id="rId198" Type="http://schemas.openxmlformats.org/officeDocument/2006/relationships/hyperlink" Target="https://www.sec.gov/Archives/edgar/data/1090872/000156459019002283/a-def14a_20190320.htm" TargetMode="External"/><Relationship Id="rId197" Type="http://schemas.openxmlformats.org/officeDocument/2006/relationships/hyperlink" Target="https://www.sec.gov/Archives/edgar/data/1090872/000156459020003589/a-def14a_20200318.htm" TargetMode="External"/><Relationship Id="rId196" Type="http://schemas.openxmlformats.org/officeDocument/2006/relationships/hyperlink" Target="https://www.sec.gov/Archives/edgar/data/1090872/000156459021004195/a-def14a_20210204.htm" TargetMode="External"/><Relationship Id="rId195" Type="http://schemas.openxmlformats.org/officeDocument/2006/relationships/hyperlink" Target="https://www.sec.gov/Archives/edgar/data/1090872/000156459022003730/a-def14a_20220316.htm" TargetMode="External"/><Relationship Id="rId199" Type="http://schemas.openxmlformats.org/officeDocument/2006/relationships/hyperlink" Target="https://www.sec.gov/ixviewer/ix.html?doc=/Archives/edgar/data/0000922224/000119312523090601/d385698ddef14a.htm" TargetMode="External"/><Relationship Id="rId150" Type="http://schemas.openxmlformats.org/officeDocument/2006/relationships/hyperlink" Target="https://www.sec.gov/Archives/edgar/data/65984/000114036122011178/ny20002010x2_def14a.htm" TargetMode="External"/><Relationship Id="rId392" Type="http://schemas.openxmlformats.org/officeDocument/2006/relationships/hyperlink" Target="https://www.sec.gov/edgar/browse/?CIK=80424&amp;owner=exclude" TargetMode="External"/><Relationship Id="rId391" Type="http://schemas.openxmlformats.org/officeDocument/2006/relationships/hyperlink" Target="https://www.sec.gov/edgar/browse/?CIK=80424&amp;owner=exclude" TargetMode="External"/><Relationship Id="rId390" Type="http://schemas.openxmlformats.org/officeDocument/2006/relationships/hyperlink" Target="https://www.sec.gov/Archives/edgar/data/80424/000119312522230548/d305470ddef14a.htm" TargetMode="External"/><Relationship Id="rId1" Type="http://schemas.openxmlformats.org/officeDocument/2006/relationships/hyperlink" Target="https://www.sec.gov/ix?doc=/Archives/edgar/data/0001318605/000119312523094075/d451342ddef14a.htm" TargetMode="External"/><Relationship Id="rId2" Type="http://schemas.openxmlformats.org/officeDocument/2006/relationships/hyperlink" Target="https://www.sec.gov/Archives/edgar/data/0001318605/000156459022024064/tsla-def14a_20220804.htm" TargetMode="External"/><Relationship Id="rId3" Type="http://schemas.openxmlformats.org/officeDocument/2006/relationships/hyperlink" Target="https://www.sec.gov/Archives/edgar/data/0001318605/000156459021045926/tsla-def14a_20210826.htm" TargetMode="External"/><Relationship Id="rId149" Type="http://schemas.openxmlformats.org/officeDocument/2006/relationships/hyperlink" Target="https://www.sec.gov/ixviewer/ix.html?doc=/Archives/edgar/data/0000065984/000114036123013592/ny20006006x501_def14a.htm" TargetMode="External"/><Relationship Id="rId4" Type="http://schemas.openxmlformats.org/officeDocument/2006/relationships/hyperlink" Target="https://www.sec.gov/Archives/edgar/data/0001318605/000156459020027321/tsla-def14a_20200707.htm" TargetMode="External"/><Relationship Id="rId148" Type="http://schemas.openxmlformats.org/officeDocument/2006/relationships/hyperlink" Target="https://www.sec.gov/Archives/edgar/data/1535929/000119312519102855/d690049ddef14a.htm" TargetMode="External"/><Relationship Id="rId9" Type="http://schemas.openxmlformats.org/officeDocument/2006/relationships/hyperlink" Target="https://www.sec.gov/Archives/edgar/data/1283699/000119312520113504/d783130ddef14a.htm" TargetMode="External"/><Relationship Id="rId143" Type="http://schemas.openxmlformats.org/officeDocument/2006/relationships/hyperlink" Target="https://www.sec.gov/Archives/edgar/data/874766/000087476619000020/hartfordproxy2019.htm" TargetMode="External"/><Relationship Id="rId385" Type="http://schemas.openxmlformats.org/officeDocument/2006/relationships/hyperlink" Target="https://www.sec.gov/Archives/edgar/data/0000050863/000005086322000011/proxy2022.htm" TargetMode="External"/><Relationship Id="rId142" Type="http://schemas.openxmlformats.org/officeDocument/2006/relationships/hyperlink" Target="https://www.sec.gov/Archives/edgar/data/874766/000087476620000022/hartfordproxy2020.htm" TargetMode="External"/><Relationship Id="rId384" Type="http://schemas.openxmlformats.org/officeDocument/2006/relationships/hyperlink" Target="https://www.sec.gov/ix?doc=/Archives/edgar/data/0000050863/000005086323000021/intc-20230327.htm" TargetMode="External"/><Relationship Id="rId141" Type="http://schemas.openxmlformats.org/officeDocument/2006/relationships/hyperlink" Target="https://www.sec.gov/Archives/edgar/data/874766/000087476621000024/hartfordproxy2021.htm" TargetMode="External"/><Relationship Id="rId383" Type="http://schemas.openxmlformats.org/officeDocument/2006/relationships/hyperlink" Target="https://www.morganstanley.com/content/dam/msdotcom/en/about-us-2019ams/pdf/2019_Proxy_Statement.pdf" TargetMode="External"/><Relationship Id="rId140" Type="http://schemas.openxmlformats.org/officeDocument/2006/relationships/hyperlink" Target="https://www.sec.gov/Archives/edgar/data/874766/000087476622000028/hartfordproxy2022.htm" TargetMode="External"/><Relationship Id="rId382" Type="http://schemas.openxmlformats.org/officeDocument/2006/relationships/hyperlink" Target="https://www.morganstanley.com/content/dam/msdotcom/en/about-us-2020ams/pdf/2020_Proxy_Statement.pdf" TargetMode="External"/><Relationship Id="rId5" Type="http://schemas.openxmlformats.org/officeDocument/2006/relationships/hyperlink" Target="https://www.sec.gov/Archives/edgar/data/0001318605/000156459019014268/tsla-def14a_20190611.htm" TargetMode="External"/><Relationship Id="rId147" Type="http://schemas.openxmlformats.org/officeDocument/2006/relationships/hyperlink" Target="https://www.sec.gov/Archives/edgar/data/1535929/000119312520100470/d845968ddef14a.htm" TargetMode="External"/><Relationship Id="rId389" Type="http://schemas.openxmlformats.org/officeDocument/2006/relationships/hyperlink" Target="https://www.sec.gov/edgar/browse/?CIK=80424&amp;owner=exclude" TargetMode="External"/><Relationship Id="rId6" Type="http://schemas.openxmlformats.org/officeDocument/2006/relationships/hyperlink" Target="https://www.sec.gov/ixviewer/ix.html?doc=/Archives/edgar/data/0001283699/000119312523126842/d435364ddef14a.htm" TargetMode="External"/><Relationship Id="rId146" Type="http://schemas.openxmlformats.org/officeDocument/2006/relationships/hyperlink" Target="https://www.sec.gov/Archives/edgar/data/1535929/000114036121012612/nc10019245x1_def14a.htm" TargetMode="External"/><Relationship Id="rId388" Type="http://schemas.openxmlformats.org/officeDocument/2006/relationships/hyperlink" Target="https://www.sec.gov/Archives/edgar/data/0000050863/000119312519095785/d648184ddef14a.htm" TargetMode="External"/><Relationship Id="rId7" Type="http://schemas.openxmlformats.org/officeDocument/2006/relationships/hyperlink" Target="https://www.sec.gov/Archives/edgar/data/1283699/000119312522123750/d266878ddef14a.htm" TargetMode="External"/><Relationship Id="rId145" Type="http://schemas.openxmlformats.org/officeDocument/2006/relationships/hyperlink" Target="https://www.sec.gov/Archives/edgar/data/1535929/000114036122014565/ny20001344x1_def14a.htm" TargetMode="External"/><Relationship Id="rId387" Type="http://schemas.openxmlformats.org/officeDocument/2006/relationships/hyperlink" Target="https://www.sec.gov/Archives/edgar/data/0000050863/000119312520091451/d835759ddef14a.htm" TargetMode="External"/><Relationship Id="rId8" Type="http://schemas.openxmlformats.org/officeDocument/2006/relationships/hyperlink" Target="https://www.sec.gov/Archives/edgar/data/1283699/000119312521124685/d71321ddef14a.htm" TargetMode="External"/><Relationship Id="rId144" Type="http://schemas.openxmlformats.org/officeDocument/2006/relationships/hyperlink" Target="https://www.sec.gov/ixviewer/ix.html?doc=/Archives/edgar/data/0001535929/000114036123017762/ny20005872x1_def14a.htm" TargetMode="External"/><Relationship Id="rId386" Type="http://schemas.openxmlformats.org/officeDocument/2006/relationships/hyperlink" Target="https://www.sec.gov/Archives/edgar/data/0000050863/000119312521098458/d86711ddef14a.htm" TargetMode="External"/><Relationship Id="rId381" Type="http://schemas.openxmlformats.org/officeDocument/2006/relationships/hyperlink" Target="https://www.morganstanley.com/content/dam/msdotcom/en/about-us-2021ams/2021_Proxy_Statement.pdf" TargetMode="External"/><Relationship Id="rId380" Type="http://schemas.openxmlformats.org/officeDocument/2006/relationships/hyperlink" Target="https://www.morganstanley.com/content/dam/msdotcom/en/about-us-2022ams/2022_Proxy_Statement.pdf" TargetMode="External"/><Relationship Id="rId139" Type="http://schemas.openxmlformats.org/officeDocument/2006/relationships/hyperlink" Target="https://www.sec.gov/ixviewer/ix.html?doc=/Archives/edgar/data/0000874766/000087476623000037/hig-20230406.htm" TargetMode="External"/><Relationship Id="rId138" Type="http://schemas.openxmlformats.org/officeDocument/2006/relationships/hyperlink" Target="https://www.sec.gov/Archives/edgar/data/0001751788/000119312520056289/d874827ddef14a.htm" TargetMode="External"/><Relationship Id="rId137" Type="http://schemas.openxmlformats.org/officeDocument/2006/relationships/hyperlink" Target="https://www.sec.gov/Archives/edgar/data/0001751788/000119312521071539/d796904ddef14a.htm" TargetMode="External"/><Relationship Id="rId379" Type="http://schemas.openxmlformats.org/officeDocument/2006/relationships/hyperlink" Target="https://www.morganstanley.com/content/dam/msdotcom/en/about-us-2022ams/2023_Proxy_Statement.pdf" TargetMode="External"/><Relationship Id="rId132" Type="http://schemas.openxmlformats.org/officeDocument/2006/relationships/hyperlink" Target="https://www.sec.gov/Archives/edgar/data/0001048911/000120677421002182/fdx3894361-def14a.htm" TargetMode="External"/><Relationship Id="rId374" Type="http://schemas.openxmlformats.org/officeDocument/2006/relationships/hyperlink" Target="https://www.sec.gov/ix?doc=/Archives/edgar/data/0001018724/000110465923044708/tm233694d2_def14a.htm" TargetMode="External"/><Relationship Id="rId131" Type="http://schemas.openxmlformats.org/officeDocument/2006/relationships/hyperlink" Target="https://www.sec.gov/Archives/edgar/data/0001048911/000120677422002023/fdx4050561-def14a.htm" TargetMode="External"/><Relationship Id="rId373" Type="http://schemas.openxmlformats.org/officeDocument/2006/relationships/hyperlink" Target="https://www.sec.gov/Archives/edgar/data/0000104169/000120677419001406/wmt3482341-def14a.htm" TargetMode="External"/><Relationship Id="rId130" Type="http://schemas.openxmlformats.org/officeDocument/2006/relationships/hyperlink" Target="https://s21.q4cdn.com/665674268/files/doc_financials/2023/ar/419402-1-_11_FedEx-Proxy_WR.pdf" TargetMode="External"/><Relationship Id="rId372" Type="http://schemas.openxmlformats.org/officeDocument/2006/relationships/hyperlink" Target="https://www.sec.gov/Archives/edgar/data/0000104169/000120677420001271/wmt3661691-def14a.htm" TargetMode="External"/><Relationship Id="rId371" Type="http://schemas.openxmlformats.org/officeDocument/2006/relationships/hyperlink" Target="https://www.sec.gov/Archives/edgar/data/0000104169/000120677421001200/wmt3839531-def14a.htm" TargetMode="External"/><Relationship Id="rId136" Type="http://schemas.openxmlformats.org/officeDocument/2006/relationships/hyperlink" Target="https://www.sec.gov/Archives/edgar/data/0001751788/000119312522066088/d189067ddef14a.htm" TargetMode="External"/><Relationship Id="rId378" Type="http://schemas.openxmlformats.org/officeDocument/2006/relationships/hyperlink" Target="https://www.sec.gov/Archives/edgar/data/0001018724/000119312519102995/d667736ddef14a.htm" TargetMode="External"/><Relationship Id="rId135" Type="http://schemas.openxmlformats.org/officeDocument/2006/relationships/hyperlink" Target="https://www.sec.gov/ix?doc=/Archives/edgar/data/0001751788/000119312523059993/d403201ddef14a.htm" TargetMode="External"/><Relationship Id="rId377" Type="http://schemas.openxmlformats.org/officeDocument/2006/relationships/hyperlink" Target="https://www.sec.gov/Archives/edgar/data/0001018724/000119312520108422/d897711ddef14a.htm" TargetMode="External"/><Relationship Id="rId134" Type="http://schemas.openxmlformats.org/officeDocument/2006/relationships/hyperlink" Target="https://www.sec.gov/Archives/edgar/data/0001048911/000120677419002626/fdx3608061-def14a.htm" TargetMode="External"/><Relationship Id="rId376" Type="http://schemas.openxmlformats.org/officeDocument/2006/relationships/hyperlink" Target="https://www.sec.gov/Archives/edgar/data/0001018724/000110465921050333/tm2035374-1_def14a.htm" TargetMode="External"/><Relationship Id="rId133" Type="http://schemas.openxmlformats.org/officeDocument/2006/relationships/hyperlink" Target="https://www.sec.gov/Archives/edgar/data/0001048911/000120677420002373/fdx3718221-def14a.htm" TargetMode="External"/><Relationship Id="rId375" Type="http://schemas.openxmlformats.org/officeDocument/2006/relationships/hyperlink" Target="https://www.sec.gov/Archives/edgar/data/0001018724/000110465922045572/tm223357-5_def14a.htm" TargetMode="External"/><Relationship Id="rId172" Type="http://schemas.openxmlformats.org/officeDocument/2006/relationships/hyperlink" Target="https://www.sec.gov/Archives/edgar/data/4904/000000490420000026/def14a2020proxy.htm" TargetMode="External"/><Relationship Id="rId171" Type="http://schemas.openxmlformats.org/officeDocument/2006/relationships/hyperlink" Target="https://www.sec.gov/Archives/edgar/data/4904/000000490421000016/def14a2021proxy.htm" TargetMode="External"/><Relationship Id="rId170" Type="http://schemas.openxmlformats.org/officeDocument/2006/relationships/hyperlink" Target="https://www.sec.gov/Archives/edgar/data/4904/000000490422000033/def14a2022proxy.htm" TargetMode="External"/><Relationship Id="rId165" Type="http://schemas.openxmlformats.org/officeDocument/2006/relationships/hyperlink" Target="https://www.sec.gov/Archives/edgar/data/106640/000119312522066154/d286332ddef14a.htm" TargetMode="External"/><Relationship Id="rId164" Type="http://schemas.openxmlformats.org/officeDocument/2006/relationships/hyperlink" Target="https://www.sec.gov/ixviewer/ix.html?doc=/Archives/edgar/data/0000106640/000119312523064512/d425902ddef14a.htm" TargetMode="External"/><Relationship Id="rId163" Type="http://schemas.openxmlformats.org/officeDocument/2006/relationships/hyperlink" Target="https://www.sec.gov/Archives/edgar/data/1038357/000103835719000019/pxd-2019proxy.htm" TargetMode="External"/><Relationship Id="rId162" Type="http://schemas.openxmlformats.org/officeDocument/2006/relationships/hyperlink" Target="https://www.sec.gov/Archives/edgar/data/1038357/000103835720000021/pxd-2020proxy.htm" TargetMode="External"/><Relationship Id="rId169" Type="http://schemas.openxmlformats.org/officeDocument/2006/relationships/hyperlink" Target="https://www.sec.gov/ixviewer/ix.html?doc=/Archives/edgar/data/0000004904/000000490423000037/aep-20230315.htm" TargetMode="External"/><Relationship Id="rId168" Type="http://schemas.openxmlformats.org/officeDocument/2006/relationships/hyperlink" Target="https://www.sec.gov/Archives/edgar/data/106640/000010664019000042/a2019proxystatement.htm" TargetMode="External"/><Relationship Id="rId167" Type="http://schemas.openxmlformats.org/officeDocument/2006/relationships/hyperlink" Target="https://www.sec.gov/Archives/edgar/data/106640/000119312520064335/d846508ddef14a.htm" TargetMode="External"/><Relationship Id="rId166" Type="http://schemas.openxmlformats.org/officeDocument/2006/relationships/hyperlink" Target="https://www.sec.gov/Archives/edgar/data/106640/000119312521071666/d46951ddef14a.htm" TargetMode="External"/><Relationship Id="rId161" Type="http://schemas.openxmlformats.org/officeDocument/2006/relationships/hyperlink" Target="https://www.sec.gov/Archives/edgar/data/1038357/000103835721000023/pxd-2021proxy.htm" TargetMode="External"/><Relationship Id="rId160" Type="http://schemas.openxmlformats.org/officeDocument/2006/relationships/hyperlink" Target="https://www.sec.gov/Archives/edgar/data/1038357/000103835722000066/pxd-2022proxy.htm" TargetMode="External"/><Relationship Id="rId159" Type="http://schemas.openxmlformats.org/officeDocument/2006/relationships/hyperlink" Target="https://www.sec.gov/ixviewer/ix.html?doc=/Archives/edgar/data/0001038357/000103835723000050/pxd-20230412.htm" TargetMode="External"/><Relationship Id="rId154" Type="http://schemas.openxmlformats.org/officeDocument/2006/relationships/hyperlink" Target="https://www.sec.gov/ixviewer/ix.html?doc=/Archives/edgar/data/0001126328/000110465923040574/tm2233176d3_def14a.htm" TargetMode="External"/><Relationship Id="rId396" Type="http://schemas.openxmlformats.org/officeDocument/2006/relationships/hyperlink" Target="https://www.sec.gov/Archives/edgar/data/1403161/000119312520309539/d75661ddef14a.htm" TargetMode="External"/><Relationship Id="rId153" Type="http://schemas.openxmlformats.org/officeDocument/2006/relationships/hyperlink" Target="https://www.sec.gov/Archives/edgar/data/65984/000006598419000122/d671968ddef14a.htm" TargetMode="External"/><Relationship Id="rId395" Type="http://schemas.openxmlformats.org/officeDocument/2006/relationships/hyperlink" Target="https://www.sec.gov/Archives/edgar/data/1403161/000119312521346291/d184850ddef14a.htm" TargetMode="External"/><Relationship Id="rId152" Type="http://schemas.openxmlformats.org/officeDocument/2006/relationships/hyperlink" Target="https://www.sec.gov/Archives/edgar/data/65984/000114036120007201/nc10008912x1_def14a.htm" TargetMode="External"/><Relationship Id="rId394" Type="http://schemas.openxmlformats.org/officeDocument/2006/relationships/hyperlink" Target="https://www.sec.gov/Archives/edgar/data/0001403161/000119312522296190/d353100ddef14a.htm" TargetMode="External"/><Relationship Id="rId151" Type="http://schemas.openxmlformats.org/officeDocument/2006/relationships/hyperlink" Target="https://www.sec.gov/Archives/edgar/data/65984/000114036121010291/nc10018858x2_def14a.htm" TargetMode="External"/><Relationship Id="rId393" Type="http://schemas.openxmlformats.org/officeDocument/2006/relationships/hyperlink" Target="https://s1.q4cdn.com/695946674/files/doc_financials/2018/64c81b51-d981-fffc-919f-72dfffcb06cf.pdf" TargetMode="External"/><Relationship Id="rId158" Type="http://schemas.openxmlformats.org/officeDocument/2006/relationships/hyperlink" Target="https://www.sec.gov/Archives/edgar/data/1126328/000104746919002071/a2238211zdef14a.htm" TargetMode="External"/><Relationship Id="rId157" Type="http://schemas.openxmlformats.org/officeDocument/2006/relationships/hyperlink" Target="https://www.sec.gov/Archives/edgar/data/1126328/000104746920002116/a2241086zdef14a.htm" TargetMode="External"/><Relationship Id="rId399" Type="http://schemas.openxmlformats.org/officeDocument/2006/relationships/hyperlink" Target="https://www.sec.gov/Archives/edgar/data/858877/000110465922109711/tm2217952-1_def14a.htm" TargetMode="External"/><Relationship Id="rId156" Type="http://schemas.openxmlformats.org/officeDocument/2006/relationships/hyperlink" Target="https://www.sec.gov/Archives/edgar/data/1126328/000104746921000839/a2243096zdef14a.htm" TargetMode="External"/><Relationship Id="rId398" Type="http://schemas.openxmlformats.org/officeDocument/2006/relationships/hyperlink" Target="https://www.sec.gov/Archives/edgar/data/1403161/000119312518343216/d635500ddef14a.htm" TargetMode="External"/><Relationship Id="rId155" Type="http://schemas.openxmlformats.org/officeDocument/2006/relationships/hyperlink" Target="https://www.sec.gov/Archives/edgar/data/1126328/000110465922041995/tm223433-1_def14a.htm" TargetMode="External"/><Relationship Id="rId397" Type="http://schemas.openxmlformats.org/officeDocument/2006/relationships/hyperlink" Target="https://www.sec.gov/Archives/edgar/data/1403161/000119312519307055/d755432ddef14a.htm" TargetMode="External"/><Relationship Id="rId808" Type="http://schemas.openxmlformats.org/officeDocument/2006/relationships/hyperlink" Target="https://www.sec.gov/Archives/edgar/data/0001551152/000155837022004011/tmb-20220506xdef14a.htm" TargetMode="External"/><Relationship Id="rId807" Type="http://schemas.openxmlformats.org/officeDocument/2006/relationships/hyperlink" Target="https://www.sec.gov/ix?doc=/Archives/edgar/data/0001551152/000155837023004204/abbv-20230505xdef14a.htm" TargetMode="External"/><Relationship Id="rId806" Type="http://schemas.openxmlformats.org/officeDocument/2006/relationships/hyperlink" Target="https://www.sec.gov/Archives/edgar/data/0000899051/000120677419001263/all3474231-def14a.htm" TargetMode="External"/><Relationship Id="rId805" Type="http://schemas.openxmlformats.org/officeDocument/2006/relationships/hyperlink" Target="https://www.sec.gov/Archives/edgar/data/0000899051/000120677420001085/all3645741-def14a.htm" TargetMode="External"/><Relationship Id="rId809" Type="http://schemas.openxmlformats.org/officeDocument/2006/relationships/hyperlink" Target="https://www.sec.gov/Archives/edgar/data/0001551152/000155837021003318/tmb-20210507xdef14a.htm" TargetMode="External"/><Relationship Id="rId800" Type="http://schemas.openxmlformats.org/officeDocument/2006/relationships/hyperlink" Target="https://www.sec.gov/Archives/edgar/data/310158/000119312520099563/d766375ddef14a.htm" TargetMode="External"/><Relationship Id="rId804" Type="http://schemas.openxmlformats.org/officeDocument/2006/relationships/hyperlink" Target="https://www.sec.gov/Archives/edgar/data/0000899051/000120677421001081/all3822771-def14a.htm" TargetMode="External"/><Relationship Id="rId803" Type="http://schemas.openxmlformats.org/officeDocument/2006/relationships/hyperlink" Target="https://www.sec.gov/Archives/edgar/data/0000899051/000120677422001068/all3970181-def14a.htm" TargetMode="External"/><Relationship Id="rId802" Type="http://schemas.openxmlformats.org/officeDocument/2006/relationships/hyperlink" Target="https://www.sec.gov/ix?doc=/Archives/edgar/data/0000899051/000130817923000618/all4106341-def14a.htm" TargetMode="External"/><Relationship Id="rId801" Type="http://schemas.openxmlformats.org/officeDocument/2006/relationships/hyperlink" Target="https://www.sec.gov/Archives/edgar/data/310158/000114036119006720/mrk-def14a_052819.htm" TargetMode="External"/><Relationship Id="rId40" Type="http://schemas.openxmlformats.org/officeDocument/2006/relationships/hyperlink" Target="https://www.sec.gov/Archives/edgar/data/1099219/000109921919000018/a2019metlifeproxy.htm" TargetMode="External"/><Relationship Id="rId42" Type="http://schemas.openxmlformats.org/officeDocument/2006/relationships/hyperlink" Target="https://www.sec.gov/Archives/edgar/data/1326160/000110465922036004/tm221429-1_def14a.htm" TargetMode="External"/><Relationship Id="rId41" Type="http://schemas.openxmlformats.org/officeDocument/2006/relationships/hyperlink" Target="https://www.sec.gov/ixviewer/ix.html?doc=/Archives/edgar/data/0001326160/000110465923035850/tm2233174d7_def14a.htm" TargetMode="External"/><Relationship Id="rId44" Type="http://schemas.openxmlformats.org/officeDocument/2006/relationships/hyperlink" Target="https://www.sec.gov/Archives/edgar/data/1326160/000104746920001812/a2240669zdef14a.htm" TargetMode="External"/><Relationship Id="rId43" Type="http://schemas.openxmlformats.org/officeDocument/2006/relationships/hyperlink" Target="https://www.sec.gov/Archives/edgar/data/1326160/000104746921000682/a2243101zdef14a.htm" TargetMode="External"/><Relationship Id="rId46" Type="http://schemas.openxmlformats.org/officeDocument/2006/relationships/hyperlink" Target="https://www.sec.gov/ixviewer/ix.html?doc=/Archives/edgar/data/0001163302/000110465923031198/tm231813d2_def14a.htm" TargetMode="External"/><Relationship Id="rId45" Type="http://schemas.openxmlformats.org/officeDocument/2006/relationships/hyperlink" Target="https://www.sec.gov/Archives/edgar/data/1326160/000104746919001503/a2237701zdef14a.htm" TargetMode="External"/><Relationship Id="rId509" Type="http://schemas.openxmlformats.org/officeDocument/2006/relationships/hyperlink" Target="https://www.sec.gov/Archives/edgar/data/0000909832/000090983222000023/costproxy2022.htm" TargetMode="External"/><Relationship Id="rId508" Type="http://schemas.openxmlformats.org/officeDocument/2006/relationships/hyperlink" Target="https://www.sec.gov/Archives/edgar/data/1393612/000139361219000021/a2019proxy.htm" TargetMode="External"/><Relationship Id="rId503" Type="http://schemas.openxmlformats.org/officeDocument/2006/relationships/hyperlink" Target="https://www.sec.gov/Archives/edgar/data/0000080661/000008066119000018/progressivecorp2019def14a.htm" TargetMode="External"/><Relationship Id="rId745" Type="http://schemas.openxmlformats.org/officeDocument/2006/relationships/hyperlink" Target="https://www.sec.gov/Archives/edgar/data/0001571996/000157199620000024/proxystatementforfy13120.htm" TargetMode="External"/><Relationship Id="rId502" Type="http://schemas.openxmlformats.org/officeDocument/2006/relationships/hyperlink" Target="https://www.sec.gov/Archives/edgar/data/0000080661/000008066120000014/progressivecorp2020def14a.htm" TargetMode="External"/><Relationship Id="rId744" Type="http://schemas.openxmlformats.org/officeDocument/2006/relationships/hyperlink" Target="https://www.sec.gov/Archives/edgar/data/0001571996/000157199621000014/proxystatementforfy12921.htm" TargetMode="External"/><Relationship Id="rId501" Type="http://schemas.openxmlformats.org/officeDocument/2006/relationships/hyperlink" Target="https://www.sec.gov/Archives/edgar/data/0000080661/000008066121000026/progressivecorp2021def14a.htm" TargetMode="External"/><Relationship Id="rId743" Type="http://schemas.openxmlformats.org/officeDocument/2006/relationships/hyperlink" Target="https://www.sec.gov/Archives/edgar/data/0001571996/000119312522153003/d317892ddef14a.htm" TargetMode="External"/><Relationship Id="rId500" Type="http://schemas.openxmlformats.org/officeDocument/2006/relationships/hyperlink" Target="https://www.sec.gov/Archives/edgar/data/0000080661/000008066122000054/progressivecorp2022def14a.htm" TargetMode="External"/><Relationship Id="rId742" Type="http://schemas.openxmlformats.org/officeDocument/2006/relationships/hyperlink" Target="https://investors.delltechnologies.com/static-files/bf4bec86-cc4d-47e2-871d-cf05baac9501" TargetMode="External"/><Relationship Id="rId507" Type="http://schemas.openxmlformats.org/officeDocument/2006/relationships/hyperlink" Target="https://www.sec.gov/Archives/edgar/data/1393612/000139361220000014/a2020proxy.htm" TargetMode="External"/><Relationship Id="rId749" Type="http://schemas.openxmlformats.org/officeDocument/2006/relationships/hyperlink" Target="https://www.sec.gov/Archives/edgar/data/0000040545/000120677421000774/ge3816561-def14a.htm" TargetMode="External"/><Relationship Id="rId506" Type="http://schemas.openxmlformats.org/officeDocument/2006/relationships/hyperlink" Target="https://www.sec.gov/Archives/edgar/data/1393612/000139361221000018/a2021proxy.htm" TargetMode="External"/><Relationship Id="rId748" Type="http://schemas.openxmlformats.org/officeDocument/2006/relationships/hyperlink" Target="https://www.sec.gov/Archives/edgar/data/0000040545/000120677422000763/ge3971291-def14a.htm" TargetMode="External"/><Relationship Id="rId505" Type="http://schemas.openxmlformats.org/officeDocument/2006/relationships/hyperlink" Target="https://www.sec.gov/Archives/edgar/data/1393612/000139361222000011/a2022proxy.htm" TargetMode="External"/><Relationship Id="rId747" Type="http://schemas.openxmlformats.org/officeDocument/2006/relationships/hyperlink" Target="https://www.sec.gov/ix?doc=/Archives/edgar/data/0000040545/000130817923000208/ge4121681-def14a.htm" TargetMode="External"/><Relationship Id="rId504" Type="http://schemas.openxmlformats.org/officeDocument/2006/relationships/hyperlink" Target="https://www.sec.gov/ixviewer/ix.html?doc=/Archives/edgar/data/0001393612/000139361223000018/dfs-20230317.htm" TargetMode="External"/><Relationship Id="rId746" Type="http://schemas.openxmlformats.org/officeDocument/2006/relationships/hyperlink" Target="https://www.sec.gov/Archives/edgar/data/0001571996/000157199619000015/proxystatementforfy2119.htm" TargetMode="External"/><Relationship Id="rId48" Type="http://schemas.openxmlformats.org/officeDocument/2006/relationships/hyperlink" Target="https://www.sec.gov/Archives/edgar/data/1163302/000110465921035691/tm212306-1_def14a.htm" TargetMode="External"/><Relationship Id="rId47" Type="http://schemas.openxmlformats.org/officeDocument/2006/relationships/hyperlink" Target="https://www.sec.gov/Archives/edgar/data/1163302/000110465922032922/tm223374-1_def14a.htm" TargetMode="External"/><Relationship Id="rId49" Type="http://schemas.openxmlformats.org/officeDocument/2006/relationships/hyperlink" Target="https://www.sec.gov/Archives/edgar/data/1163302/000104746920001470/a2240426zdef14a.htm" TargetMode="External"/><Relationship Id="rId741" Type="http://schemas.openxmlformats.org/officeDocument/2006/relationships/hyperlink" Target="https://www.sec.gov/Archives/edgar/data/0001035002/000119312519080420/d684656ddef14a.htm" TargetMode="External"/><Relationship Id="rId740" Type="http://schemas.openxmlformats.org/officeDocument/2006/relationships/hyperlink" Target="https://www.sec.gov/Archives/edgar/data/0001035002/000119312520078074/d879120ddef14a.htm" TargetMode="External"/><Relationship Id="rId31" Type="http://schemas.openxmlformats.org/officeDocument/2006/relationships/hyperlink" Target="https://www.sec.gov/ix?doc=/Archives/edgar/data/37996/000155837023005203/f-20230511xdef14a.htm" TargetMode="External"/><Relationship Id="rId30" Type="http://schemas.openxmlformats.org/officeDocument/2006/relationships/hyperlink" Target="https://d18rn0p25nwr6d.cloudfront.net/CIK-0000037996/fc090df3-ae9d-4abc-91ca-8401174474da.pdf" TargetMode="External"/><Relationship Id="rId33" Type="http://schemas.openxmlformats.org/officeDocument/2006/relationships/hyperlink" Target="https://s201.q4cdn.com/693218008/files/doc_financials/2020/ar/Ford-2021-Proxy-Statement-April-2021.pdf" TargetMode="External"/><Relationship Id="rId32" Type="http://schemas.openxmlformats.org/officeDocument/2006/relationships/hyperlink" Target="https://s201.q4cdn.com/693218008/files/doc_financials/2021/ar/FINAL-2022-Ford-Motor-Company-Proxy-Statement_ADA.pdf" TargetMode="External"/><Relationship Id="rId35" Type="http://schemas.openxmlformats.org/officeDocument/2006/relationships/hyperlink" Target="https://d18rn0p25nwr6d.cloudfront.net/CIK-0000037996/fc090df3-ae9d-4abc-91ca-8401174474da.pdf" TargetMode="External"/><Relationship Id="rId34" Type="http://schemas.openxmlformats.org/officeDocument/2006/relationships/hyperlink" Target="https://d18rn0p25nwr6d.cloudfront.net/CIK-0000037996/ac028f04-a055-4905-a9d7-7aa6d4d739a9.pdf" TargetMode="External"/><Relationship Id="rId739" Type="http://schemas.openxmlformats.org/officeDocument/2006/relationships/hyperlink" Target="https://www.sec.gov/Archives/edgar/data/0001035002/000119312521085910/d112273ddef14a.htm" TargetMode="External"/><Relationship Id="rId734" Type="http://schemas.openxmlformats.org/officeDocument/2006/relationships/hyperlink" Target="https://www.sec.gov/Archives/edgar/data/1534701/000114036121010999/nc10021503x3_def14a.htm" TargetMode="External"/><Relationship Id="rId733" Type="http://schemas.openxmlformats.org/officeDocument/2006/relationships/hyperlink" Target="https://www.sec.gov/Archives/edgar/data/1534701/000120677422000928/psx3965551_def14a.htm" TargetMode="External"/><Relationship Id="rId732" Type="http://schemas.openxmlformats.org/officeDocument/2006/relationships/hyperlink" Target="https://www.sec.gov/ix?doc=/Archives/edgar/data/0001534701/000153470123000064/psx-20230329.htm" TargetMode="External"/><Relationship Id="rId731" Type="http://schemas.openxmlformats.org/officeDocument/2006/relationships/hyperlink" Target="https://s1.q4cdn.com/343380161/files/doc_financials/annual/2018/WBA-2018-Proxy-Statement-Final.pdf" TargetMode="External"/><Relationship Id="rId738" Type="http://schemas.openxmlformats.org/officeDocument/2006/relationships/hyperlink" Target="https://www.sec.gov/Archives/edgar/data/0001035002/000103500222000014/valero2022proxy.htm" TargetMode="External"/><Relationship Id="rId737" Type="http://schemas.openxmlformats.org/officeDocument/2006/relationships/hyperlink" Target="https://www.sec.gov/ix?doc=/Archives/edgar/data/0001035002/000103500223000040/vlo-20230322.htm" TargetMode="External"/><Relationship Id="rId736" Type="http://schemas.openxmlformats.org/officeDocument/2006/relationships/hyperlink" Target="https://www.sec.gov/Archives/edgar/data/0001534701/000119312519092869/d691086ddef14a.htm" TargetMode="External"/><Relationship Id="rId735" Type="http://schemas.openxmlformats.org/officeDocument/2006/relationships/hyperlink" Target="https://www.sec.gov/Archives/edgar/data/0001534701/000119312520085402/d873892ddef14a.htm" TargetMode="External"/><Relationship Id="rId37" Type="http://schemas.openxmlformats.org/officeDocument/2006/relationships/hyperlink" Target="https://www.sec.gov/Archives/edgar/data/1099219/000114036122016708/ny20001550x1_def14a.htm" TargetMode="External"/><Relationship Id="rId36" Type="http://schemas.openxmlformats.org/officeDocument/2006/relationships/hyperlink" Target="https://www.sec.gov/ix?doc=/Archives/edgar/data/0001099219/000109921923000151/met-20230428.htm" TargetMode="External"/><Relationship Id="rId39" Type="http://schemas.openxmlformats.org/officeDocument/2006/relationships/hyperlink" Target="https://www.sec.gov/Archives/edgar/data/1099219/000109921920000196/a2020metlifeproxy.htm" TargetMode="External"/><Relationship Id="rId38" Type="http://schemas.openxmlformats.org/officeDocument/2006/relationships/hyperlink" Target="https://www.sec.gov/Archives/edgar/data/1099219/000109921921000170/a2021metlifeproxynextgen.htm" TargetMode="External"/><Relationship Id="rId730" Type="http://schemas.openxmlformats.org/officeDocument/2006/relationships/hyperlink" Target="https://s1.q4cdn.com/343380161/files/doc_financials/2019/annual/2020-Annual-Meeting-of-Stockholders-and-Proxy-Statement.pdf" TargetMode="External"/><Relationship Id="rId20" Type="http://schemas.openxmlformats.org/officeDocument/2006/relationships/hyperlink" Target="https://s23.q4cdn.com/574569502/files/doc_financials/2019/664082_Salesforce_Proxy_bookmarked.pdf" TargetMode="External"/><Relationship Id="rId22" Type="http://schemas.openxmlformats.org/officeDocument/2006/relationships/hyperlink" Target="https://www.sec.gov/Archives/edgar/data/5272/000110465922039463/tm222679-1_def14a.htm" TargetMode="External"/><Relationship Id="rId21" Type="http://schemas.openxmlformats.org/officeDocument/2006/relationships/hyperlink" Target="https://www.sec.gov/ix?doc=/Archives/edgar/data/0000005272/000000527223000014/aig-20230329.htm" TargetMode="External"/><Relationship Id="rId24" Type="http://schemas.openxmlformats.org/officeDocument/2006/relationships/hyperlink" Target="https://www.sec.gov/Archives/edgar/data/5272/000110465920041186/tm2011795-2_def14a.htm" TargetMode="External"/><Relationship Id="rId23" Type="http://schemas.openxmlformats.org/officeDocument/2006/relationships/hyperlink" Target="https://www.sec.gov/Archives/edgar/data/5272/000110465921044034/tm218784d3_def14a.htm" TargetMode="External"/><Relationship Id="rId525" Type="http://schemas.openxmlformats.org/officeDocument/2006/relationships/hyperlink" Target="https://www.sec.gov/Archives/edgar/data/0000882184/000088218421000238/dhiproxydoc-2022meeting.htm" TargetMode="External"/><Relationship Id="rId767" Type="http://schemas.openxmlformats.org/officeDocument/2006/relationships/hyperlink" Target="https://www.sec.gov/ix?doc=/Archives/edgar/data/0000078003/000007800323000040/pfe-20230315.htm" TargetMode="External"/><Relationship Id="rId524" Type="http://schemas.openxmlformats.org/officeDocument/2006/relationships/hyperlink" Target="https://www.sec.gov/Archives/edgar/data/0000882184/000119312522303898/d399328ddef14a.htm" TargetMode="External"/><Relationship Id="rId766" Type="http://schemas.openxmlformats.org/officeDocument/2006/relationships/hyperlink" Target="https://www.sec.gov/Archives/edgar/data/51143/000110465919013856/a19-2536_1def14a.htm" TargetMode="External"/><Relationship Id="rId523" Type="http://schemas.openxmlformats.org/officeDocument/2006/relationships/hyperlink" Target="https://d18rn0p25nwr6d.cloudfront.net/CIK-0001364742/04947772-e743-41f0-8a3b-ae4883cd4d83.pdf" TargetMode="External"/><Relationship Id="rId765" Type="http://schemas.openxmlformats.org/officeDocument/2006/relationships/hyperlink" Target="https://www.sec.gov/Archives/edgar/data/51143/000119312520067199/d845103ddef14a.htm" TargetMode="External"/><Relationship Id="rId522" Type="http://schemas.openxmlformats.org/officeDocument/2006/relationships/hyperlink" Target="https://d18rn0p25nwr6d.cloudfront.net/CIK-0001364742/a87a3288-59a1-4375-9e48-6e60726cc1b9.pdf" TargetMode="External"/><Relationship Id="rId764" Type="http://schemas.openxmlformats.org/officeDocument/2006/relationships/hyperlink" Target="https://www.sec.gov/Archives/edgar/data/51143/000119312521073223/d46027ddef14a.htm" TargetMode="External"/><Relationship Id="rId529" Type="http://schemas.openxmlformats.org/officeDocument/2006/relationships/hyperlink" Target="https://www.sec.gov/ix?doc=/Archives/edgar/data/0000320187/000032018723000040/nke-20230720.htm" TargetMode="External"/><Relationship Id="rId528" Type="http://schemas.openxmlformats.org/officeDocument/2006/relationships/hyperlink" Target="https://www.sec.gov/Archives/edgar/data/882184/000119312518350016/d427542ddef14a.htm" TargetMode="External"/><Relationship Id="rId527" Type="http://schemas.openxmlformats.org/officeDocument/2006/relationships/hyperlink" Target="https://www.sec.gov/Archives/edgar/data/0000882184/000119312519319220/d844232ddef14a.htm" TargetMode="External"/><Relationship Id="rId769" Type="http://schemas.openxmlformats.org/officeDocument/2006/relationships/hyperlink" Target="https://www.sec.gov/Archives/edgar/data/0000078003/000007800321000047/proxystatement.htm" TargetMode="External"/><Relationship Id="rId526" Type="http://schemas.openxmlformats.org/officeDocument/2006/relationships/hyperlink" Target="https://www.sec.gov/Archives/edgar/data/0000882184/000088218420000173/proxydoc-2021meeting.htm" TargetMode="External"/><Relationship Id="rId768" Type="http://schemas.openxmlformats.org/officeDocument/2006/relationships/hyperlink" Target="https://www.sec.gov/Archives/edgar/data/0000078003/000007800322000038/proxywc22.htm" TargetMode="External"/><Relationship Id="rId26" Type="http://schemas.openxmlformats.org/officeDocument/2006/relationships/hyperlink" Target="https://www.sec.gov/ixviewer/ix.html?doc=/Archives/edgar/data/0000753308/000110465923042222/tm2228016d3_def14a.htm" TargetMode="External"/><Relationship Id="rId25" Type="http://schemas.openxmlformats.org/officeDocument/2006/relationships/hyperlink" Target="https://www.sec.gov/Archives/edgar/data/5272/000114420419017752/tv516319-def14a.htm" TargetMode="External"/><Relationship Id="rId28" Type="http://schemas.openxmlformats.org/officeDocument/2006/relationships/hyperlink" Target="https://www.sec.gov/Archives/edgar/data/753308/000119312521102369/d113783ddef14a.htm" TargetMode="External"/><Relationship Id="rId27" Type="http://schemas.openxmlformats.org/officeDocument/2006/relationships/hyperlink" Target="https://www.sec.gov/Archives/edgar/data/753308/000119312522093764/d200769ddef14a.htm" TargetMode="External"/><Relationship Id="rId521" Type="http://schemas.openxmlformats.org/officeDocument/2006/relationships/hyperlink" Target="https://d18rn0p25nwr6d.cloudfront.net/CIK-0001364742/b95821e8-28aa-4f40-a216-50745bd2aa43.pdf" TargetMode="External"/><Relationship Id="rId763" Type="http://schemas.openxmlformats.org/officeDocument/2006/relationships/hyperlink" Target="https://www.ibm.com/annualreport/assets/downloads/IBM_Proxy_2022.pdf" TargetMode="External"/><Relationship Id="rId29" Type="http://schemas.openxmlformats.org/officeDocument/2006/relationships/hyperlink" Target="https://www.sec.gov/Archives/edgar/data/753308/000119312520098109/d862835ddef14a.htm" TargetMode="External"/><Relationship Id="rId520" Type="http://schemas.openxmlformats.org/officeDocument/2006/relationships/hyperlink" Target="https://d18rn0p25nwr6d.cloudfront.net/CIK-0001364742/c937ab4a-9afa-421b-a1f7-ce922ecd3650.pdf" TargetMode="External"/><Relationship Id="rId762" Type="http://schemas.openxmlformats.org/officeDocument/2006/relationships/hyperlink" Target="https://www.ibm.com/annualreport/assets/downloads/IBM_Proxy_2023.pdf" TargetMode="External"/><Relationship Id="rId761" Type="http://schemas.openxmlformats.org/officeDocument/2006/relationships/hyperlink" Target="https://www.sec.gov/Archives/edgar/data/0000012927/000119312519076793/d686032ddef14a.htm" TargetMode="External"/><Relationship Id="rId760" Type="http://schemas.openxmlformats.org/officeDocument/2006/relationships/hyperlink" Target="https://www.sec.gov/Archives/edgar/data/0000012927/000119312520072864/d806083ddef14a.htm" TargetMode="External"/><Relationship Id="rId11" Type="http://schemas.openxmlformats.org/officeDocument/2006/relationships/hyperlink" Target="https://www.sec.gov/ix?doc=/Archives/edgar/data/0001065280/000119312523110513/d405125ddef14a.htm" TargetMode="External"/><Relationship Id="rId10" Type="http://schemas.openxmlformats.org/officeDocument/2006/relationships/hyperlink" Target="https://www.sec.gov/Archives/edgar/data/1283699/000119312519122304/d910041ddef14a.htm" TargetMode="External"/><Relationship Id="rId13" Type="http://schemas.openxmlformats.org/officeDocument/2006/relationships/hyperlink" Target="https://www.sec.gov/Archives/edgar/data/1065280/000119312521128991/d13481ddef14a.htm" TargetMode="External"/><Relationship Id="rId12" Type="http://schemas.openxmlformats.org/officeDocument/2006/relationships/hyperlink" Target="https://www.sec.gov/Archives/edgar/data/1065280/000119312522115102/d202881ddef14a.htm" TargetMode="External"/><Relationship Id="rId519" Type="http://schemas.openxmlformats.org/officeDocument/2006/relationships/hyperlink" Target="https://d18rn0p25nwr6d.cloudfront.net/CIK-0001364742/a946d613-b6dd-4a0b-ac54-5c3ccc1d25a8.pdf" TargetMode="External"/><Relationship Id="rId514" Type="http://schemas.openxmlformats.org/officeDocument/2006/relationships/hyperlink" Target="https://www.sec.gov/ix?doc=/Archives/edgar/data/27419/000130817923000828/ltgt2023_def14a.htm" TargetMode="External"/><Relationship Id="rId756" Type="http://schemas.openxmlformats.org/officeDocument/2006/relationships/hyperlink" Target="https://www.sec.gov/Archives/edgar/data/0000200406/000020040619000013/a2019jnjproxy.htm" TargetMode="External"/><Relationship Id="rId513" Type="http://schemas.openxmlformats.org/officeDocument/2006/relationships/hyperlink" Target="https://www.sec.gov/Archives/edgar/data/0000909832/000090983219000024/costproxy2019.htm" TargetMode="External"/><Relationship Id="rId755" Type="http://schemas.openxmlformats.org/officeDocument/2006/relationships/hyperlink" Target="https://www.sec.gov/Archives/edgar/data/0000200406/000020040620000018/jnjproxy2020.htm" TargetMode="External"/><Relationship Id="rId512" Type="http://schemas.openxmlformats.org/officeDocument/2006/relationships/hyperlink" Target="https://www.sec.gov/Archives/edgar/data/0000909832/000090983219000027/costproxy2019.htm" TargetMode="External"/><Relationship Id="rId754" Type="http://schemas.openxmlformats.org/officeDocument/2006/relationships/hyperlink" Target="https://www.sec.gov/Archives/edgar/data/0000200406/000020040621000011/jnjproxy2021.htm" TargetMode="External"/><Relationship Id="rId511" Type="http://schemas.openxmlformats.org/officeDocument/2006/relationships/hyperlink" Target="https://www.sec.gov/Archives/edgar/data/909832/000090983220000021/costproxy2020.htm" TargetMode="External"/><Relationship Id="rId753" Type="http://schemas.openxmlformats.org/officeDocument/2006/relationships/hyperlink" Target="https://www.sec.gov/Archives/edgar/data/0000200406/000020040622000026/a2022jnjproxy.htm" TargetMode="External"/><Relationship Id="rId518" Type="http://schemas.openxmlformats.org/officeDocument/2006/relationships/hyperlink" Target="https://www.sec.gov/Archives/edgar/data/0000027419/000130817919000197/ltgt2019_def14a.htm" TargetMode="External"/><Relationship Id="rId517" Type="http://schemas.openxmlformats.org/officeDocument/2006/relationships/hyperlink" Target="https://www.sec.gov/Archives/edgar/data/0000027419/000130817920000217/ltgt2020_def14a.htm" TargetMode="External"/><Relationship Id="rId759" Type="http://schemas.openxmlformats.org/officeDocument/2006/relationships/hyperlink" Target="https://www.sec.gov/Archives/edgar/data/0000012927/000119312521071321/d922634ddef14a.htm" TargetMode="External"/><Relationship Id="rId516" Type="http://schemas.openxmlformats.org/officeDocument/2006/relationships/hyperlink" Target="https://www.sec.gov/Archives/edgar/data/0000027419/000130817921000258/ltgt2021_def14a.htm" TargetMode="External"/><Relationship Id="rId758" Type="http://schemas.openxmlformats.org/officeDocument/2006/relationships/hyperlink" Target="https://www.sec.gov/Archives/edgar/data/0000012927/000119312522073265/d240748ddef14a.htm" TargetMode="External"/><Relationship Id="rId515" Type="http://schemas.openxmlformats.org/officeDocument/2006/relationships/hyperlink" Target="https://www.sec.gov/Archives/edgar/data/0000027419/000130817922000265/ltgt2022_def14a.htm" TargetMode="External"/><Relationship Id="rId757" Type="http://schemas.openxmlformats.org/officeDocument/2006/relationships/hyperlink" Target="https://www.sec.gov/ix?doc=/Archives/edgar/data/0000012927/000119312523059893/d424500ddef14a.htm" TargetMode="External"/><Relationship Id="rId15" Type="http://schemas.openxmlformats.org/officeDocument/2006/relationships/hyperlink" Target="https://s22.q4cdn.com/959853165/files/doc_financials/annual_reports/2018/2019-Netflix-Proxy_Final.pdf" TargetMode="External"/><Relationship Id="rId14" Type="http://schemas.openxmlformats.org/officeDocument/2006/relationships/hyperlink" Target="https://www.sec.gov/Archives/edgar/data/1065280/000119312520114206/d721989ddef14a.htm" TargetMode="External"/><Relationship Id="rId17" Type="http://schemas.openxmlformats.org/officeDocument/2006/relationships/hyperlink" Target="https://www.sec.gov/Archives/edgar/data/1108524/000119312522127612/d301179ddef14a.htm" TargetMode="External"/><Relationship Id="rId16" Type="http://schemas.openxmlformats.org/officeDocument/2006/relationships/hyperlink" Target="https://www.sec.gov/ixviewer/ix.html?doc=/Archives/edgar/data/0001108524/000119312523122123/d406753ddef14a.htm" TargetMode="External"/><Relationship Id="rId19" Type="http://schemas.openxmlformats.org/officeDocument/2006/relationships/hyperlink" Target="https://s23.q4cdn.com/574569502/files/doc_financials/2020/ar/Salesforce-FY-2020-Proxy-Statement.pdf" TargetMode="External"/><Relationship Id="rId510" Type="http://schemas.openxmlformats.org/officeDocument/2006/relationships/hyperlink" Target="https://www.sec.gov/Archives/edgar/data/0000909832/000090983221000017/costproxy2021.htm" TargetMode="External"/><Relationship Id="rId752" Type="http://schemas.openxmlformats.org/officeDocument/2006/relationships/hyperlink" Target="https://www.sec.gov/ix?doc=/Archives/edgar/data/0000200406/000020040623000023/jnj-20230313.htm" TargetMode="External"/><Relationship Id="rId18" Type="http://schemas.openxmlformats.org/officeDocument/2006/relationships/hyperlink" Target="https://s23.q4cdn.com/574569502/files/doc_financials/2021/ar/Salesforce-FY2021-Proxy-Statement.pdf" TargetMode="External"/><Relationship Id="rId751" Type="http://schemas.openxmlformats.org/officeDocument/2006/relationships/hyperlink" Target="https://www.sec.gov/Archives/edgar/data/0000040545/000120677419000903/ge3496121-def14a.htm" TargetMode="External"/><Relationship Id="rId750" Type="http://schemas.openxmlformats.org/officeDocument/2006/relationships/hyperlink" Target="https://www.sec.gov/Archives/edgar/data/0000040545/000120677420000797/ge3662321-def14a.htm" TargetMode="External"/><Relationship Id="rId84" Type="http://schemas.openxmlformats.org/officeDocument/2006/relationships/hyperlink" Target="https://www.sec.gov/Archives/edgar/data/773840/000119312520070931/d836977ddef14a.htm" TargetMode="External"/><Relationship Id="rId83" Type="http://schemas.openxmlformats.org/officeDocument/2006/relationships/hyperlink" Target="https://www.sec.gov/Archives/edgar/data/773840/000119312521111036/d51865ddef14a.htm" TargetMode="External"/><Relationship Id="rId86" Type="http://schemas.openxmlformats.org/officeDocument/2006/relationships/hyperlink" Target="https://www.sec.gov/ix?doc=/Archives/edgar/data/0001510295/000151029523000028/mpc-20230313.htm" TargetMode="External"/><Relationship Id="rId85" Type="http://schemas.openxmlformats.org/officeDocument/2006/relationships/hyperlink" Target="https://www.sec.gov/Archives/edgar/data/773840/000119312519074027/d651931ddef14a.htm" TargetMode="External"/><Relationship Id="rId88" Type="http://schemas.openxmlformats.org/officeDocument/2006/relationships/hyperlink" Target="https://www.sec.gov/Archives/edgar/data/0001510295/000151029521000046/a2021mpcproxystatement.htm" TargetMode="External"/><Relationship Id="rId87" Type="http://schemas.openxmlformats.org/officeDocument/2006/relationships/hyperlink" Target="https://www.sec.gov/Archives/edgar/data/0001510295/000151029522000023/a2022mpcproxystatement.htm" TargetMode="External"/><Relationship Id="rId89" Type="http://schemas.openxmlformats.org/officeDocument/2006/relationships/hyperlink" Target="https://www.sec.gov/Archives/edgar/data/0001510295/000151029520000017/a2020mpcproxystatement.htm" TargetMode="External"/><Relationship Id="rId709" Type="http://schemas.openxmlformats.org/officeDocument/2006/relationships/hyperlink" Target="https://www.sec.gov/Archives/edgar/data/0000731766/000104746921001031/a2243195zdef14a.htm" TargetMode="External"/><Relationship Id="rId708" Type="http://schemas.openxmlformats.org/officeDocument/2006/relationships/hyperlink" Target="https://www.sec.gov/Archives/edgar/data/0000731766/000110465922048923/tm223410-1_def14a.htm" TargetMode="External"/><Relationship Id="rId707" Type="http://schemas.openxmlformats.org/officeDocument/2006/relationships/hyperlink" Target="https://www.sec.gov/ix?doc=/Archives/edgar/data/0000731766/000110465923048439/tm231840d2_def14a.htm" TargetMode="External"/><Relationship Id="rId706" Type="http://schemas.openxmlformats.org/officeDocument/2006/relationships/hyperlink" Target="https://www.sec.gov/Archives/edgar/data/2488/000119312519082205/d659595ddef14a.htm" TargetMode="External"/><Relationship Id="rId80" Type="http://schemas.openxmlformats.org/officeDocument/2006/relationships/hyperlink" Target="https://www.sec.gov/Archives/edgar/data/1091667/000119312519074765/d717086ddef14a.htm" TargetMode="External"/><Relationship Id="rId82" Type="http://schemas.openxmlformats.org/officeDocument/2006/relationships/hyperlink" Target="https://www.sec.gov/Archives/edgar/data/773840/000077384022000024/a2022honeywellproxy.htm" TargetMode="External"/><Relationship Id="rId81" Type="http://schemas.openxmlformats.org/officeDocument/2006/relationships/hyperlink" Target="https://www.sec.gov/ix?doc=/Archives/edgar/data/0000773840/000077384023000024/hon-20230406.htm" TargetMode="External"/><Relationship Id="rId701" Type="http://schemas.openxmlformats.org/officeDocument/2006/relationships/hyperlink" Target="https://www.sec.gov/Archives/edgar/data/798354/000119312519101679/d643515ddef14a.htm" TargetMode="External"/><Relationship Id="rId700" Type="http://schemas.openxmlformats.org/officeDocument/2006/relationships/hyperlink" Target="https://www.sec.gov/Archives/edgar/data/798354/000119312520094642/d873092ddef14a.htm" TargetMode="External"/><Relationship Id="rId705" Type="http://schemas.openxmlformats.org/officeDocument/2006/relationships/hyperlink" Target="https://www.sec.gov/Archives/edgar/data/2488/000000248820000038/amd2020proxystatement.htm" TargetMode="External"/><Relationship Id="rId704" Type="http://schemas.openxmlformats.org/officeDocument/2006/relationships/hyperlink" Target="https://www.sec.gov/Archives/edgar/data/2488/000119312521102463/d85905ddef14a.htm" TargetMode="External"/><Relationship Id="rId703" Type="http://schemas.openxmlformats.org/officeDocument/2006/relationships/hyperlink" Target="https://www.sec.gov/Archives/edgar/data/2488/000119312522091792/d261716ddef14a.htm" TargetMode="External"/><Relationship Id="rId702" Type="http://schemas.openxmlformats.org/officeDocument/2006/relationships/hyperlink" Target="https://www.sec.gov/ixviewer/ix.html?doc=/Archives/edgar/data/0000002488/000119312523088096/d425773ddef14a.htm" TargetMode="External"/><Relationship Id="rId73" Type="http://schemas.openxmlformats.org/officeDocument/2006/relationships/hyperlink" Target="https://www.sec.gov/Archives/edgar/data/0001467858/000119312521143594/d22375ddef14a.htm" TargetMode="External"/><Relationship Id="rId72" Type="http://schemas.openxmlformats.org/officeDocument/2006/relationships/hyperlink" Target="https://www.sec.gov/Archives/edgar/data/0001467858/000119312522131642/d215687ddef14a.htm" TargetMode="External"/><Relationship Id="rId75" Type="http://schemas.openxmlformats.org/officeDocument/2006/relationships/hyperlink" Target="https://www.sec.gov/Archives/edgar/data/1467858/000119312519110751/d613802ddef14a.htm" TargetMode="External"/><Relationship Id="rId74" Type="http://schemas.openxmlformats.org/officeDocument/2006/relationships/hyperlink" Target="https://www.sec.gov/Archives/edgar/data/0001467858/000119312520120812/d752756ddef14a.htm" TargetMode="External"/><Relationship Id="rId77" Type="http://schemas.openxmlformats.org/officeDocument/2006/relationships/hyperlink" Target="https://www.sec.gov/Archives/edgar/data/1091667/000119312522078350/d243396ddef14a.htm" TargetMode="External"/><Relationship Id="rId76" Type="http://schemas.openxmlformats.org/officeDocument/2006/relationships/hyperlink" Target="https://www.sec.gov/ix?doc=/Archives/edgar/data/0001091667/000119312523072624/d460546ddef14a.htm" TargetMode="External"/><Relationship Id="rId79" Type="http://schemas.openxmlformats.org/officeDocument/2006/relationships/hyperlink" Target="https://www.sec.gov/Archives/edgar/data/1091667/000119312520078940/d859544ddef14a.htm" TargetMode="External"/><Relationship Id="rId78" Type="http://schemas.openxmlformats.org/officeDocument/2006/relationships/hyperlink" Target="https://www.sec.gov/Archives/edgar/data/1091667/000119312521085916/d102224ddef14a.htm" TargetMode="External"/><Relationship Id="rId71" Type="http://schemas.openxmlformats.org/officeDocument/2006/relationships/hyperlink" Target="https://www.sec.gov/ix?doc=/Archives/edgar/data/0001467858/000119312523126270/d333787ddef14a.htm" TargetMode="External"/><Relationship Id="rId70" Type="http://schemas.openxmlformats.org/officeDocument/2006/relationships/hyperlink" Target="https://www.sec.gov/Archives/edgar/data/0000093410/000119312519106207/d581752ddef14a.htm" TargetMode="External"/><Relationship Id="rId62" Type="http://schemas.openxmlformats.org/officeDocument/2006/relationships/hyperlink" Target="https://www.sec.gov/Archives/edgar/data/0000732717/000119312522081678/d219457ddef14a.htm" TargetMode="External"/><Relationship Id="rId61" Type="http://schemas.openxmlformats.org/officeDocument/2006/relationships/hyperlink" Target="https://investors.att.com/~/media/Files/A/ATT-IR-V2/financial-reports/annual-reports/2022/2023-notice-of-annual-meeting-of-stockholders-and-proxy-statement.pdf" TargetMode="External"/><Relationship Id="rId64" Type="http://schemas.openxmlformats.org/officeDocument/2006/relationships/hyperlink" Target="https://www.sec.gov/Archives/edgar/data/0000732717/000119312520070302/d867502ddef14a.htm" TargetMode="External"/><Relationship Id="rId63" Type="http://schemas.openxmlformats.org/officeDocument/2006/relationships/hyperlink" Target="http://www.attproxy.com/~/media/Files/A/ATT-Proxy/documents/2021-notice-of-annual-meeting-of-stockholders-and-proxy-statement.pdf" TargetMode="External"/><Relationship Id="rId66" Type="http://schemas.openxmlformats.org/officeDocument/2006/relationships/hyperlink" Target="https://www.sec.gov/ix?doc=/Archives/edgar/data/0000093410/000119312523099292/d433226ddef14a.htm" TargetMode="External"/><Relationship Id="rId65" Type="http://schemas.openxmlformats.org/officeDocument/2006/relationships/hyperlink" Target="https://investors.att.com/~/media/Files/A/ATT-IR/financial-reports/annual-reports/2018/2019-notice-of-annual-meeting-and-proxy-statement.pdf" TargetMode="External"/><Relationship Id="rId68" Type="http://schemas.openxmlformats.org/officeDocument/2006/relationships/hyperlink" Target="https://www.sec.gov/Archives/edgar/data/0000093410/000119312521109793/d74377ddef14a.htm" TargetMode="External"/><Relationship Id="rId67" Type="http://schemas.openxmlformats.org/officeDocument/2006/relationships/hyperlink" Target="https://www.sec.gov/Archives/edgar/data/0000093410/000119312522098301/d292137ddef14a.htm" TargetMode="External"/><Relationship Id="rId729" Type="http://schemas.openxmlformats.org/officeDocument/2006/relationships/hyperlink" Target="https://s1.q4cdn.com/343380161/files/doc_financials/2020/ar/WBA-bookmarked-pdf-Proxy-Statement-12.8.2020-final.pdf" TargetMode="External"/><Relationship Id="rId728" Type="http://schemas.openxmlformats.org/officeDocument/2006/relationships/hyperlink" Target="https://s1.q4cdn.com/343380161/files/doc_financials/2021/ar/12/WBA-2022-Notice-of-Annual-Meeting-and-Proxy-Statement.pdf" TargetMode="External"/><Relationship Id="rId60" Type="http://schemas.openxmlformats.org/officeDocument/2006/relationships/hyperlink" Target="https://www.sec.gov/Archives/edgar/data/0001506307/000104746919001762/a2238099zdef14a.htm" TargetMode="External"/><Relationship Id="rId723" Type="http://schemas.openxmlformats.org/officeDocument/2006/relationships/hyperlink" Target="https://www.sec.gov/Archives/edgar/data/0000721371/000130817921000318/lcah2021_def14a.htm" TargetMode="External"/><Relationship Id="rId722" Type="http://schemas.openxmlformats.org/officeDocument/2006/relationships/hyperlink" Target="https://www.sec.gov/Archives/edgar/data/0000721371/000130817922000365/lcah2022_def14a.htm" TargetMode="External"/><Relationship Id="rId721" Type="http://schemas.openxmlformats.org/officeDocument/2006/relationships/hyperlink" Target="https://www.sec.gov/Archives/edgar/data/0000927653/000119312519178741/d716709ddef14a.htm" TargetMode="External"/><Relationship Id="rId720" Type="http://schemas.openxmlformats.org/officeDocument/2006/relationships/hyperlink" Target="https://www.sec.gov/Archives/edgar/data/0000927653/000119312520172462/d757345ddef14a.htm" TargetMode="External"/><Relationship Id="rId727" Type="http://schemas.openxmlformats.org/officeDocument/2006/relationships/hyperlink" Target="https://s1.q4cdn.com/343380161/files/doc_financials/2022/ar/WBA-2023-Notice-of-Annual-Proxy-Statement.pdf" TargetMode="External"/><Relationship Id="rId726" Type="http://schemas.openxmlformats.org/officeDocument/2006/relationships/hyperlink" Target="https://www.sec.gov/Archives/edgar/data/0000721371/000130817918000266/lcah2018_def14a.htm" TargetMode="External"/><Relationship Id="rId725" Type="http://schemas.openxmlformats.org/officeDocument/2006/relationships/hyperlink" Target="https://www.sec.gov/Archives/edgar/data/0000721371/000130817920000273/lcah2020_def14a.htm" TargetMode="External"/><Relationship Id="rId724" Type="http://schemas.openxmlformats.org/officeDocument/2006/relationships/hyperlink" Target="https://www.sec.gov/Archives/edgar/data/0000721371/000130817921000313/lcah2021_pre14a.htm" TargetMode="External"/><Relationship Id="rId69" Type="http://schemas.openxmlformats.org/officeDocument/2006/relationships/hyperlink" Target="https://www.sec.gov/Archives/edgar/data/0000093410/000119312520100407/d838093ddef14a.htm" TargetMode="External"/><Relationship Id="rId51" Type="http://schemas.openxmlformats.org/officeDocument/2006/relationships/hyperlink" Target="https://www.sec.gov/ixviewer/ix.html?doc=/Archives/edgar/data/0001001082/000110465923033915/tm231497d1_def14a.htm" TargetMode="External"/><Relationship Id="rId50" Type="http://schemas.openxmlformats.org/officeDocument/2006/relationships/hyperlink" Target="https://www.sec.gov/Archives/edgar/data/1163302/000104746919001319/a2237684zdef14a.htm" TargetMode="External"/><Relationship Id="rId53" Type="http://schemas.openxmlformats.org/officeDocument/2006/relationships/hyperlink" Target="https://www.sec.gov/Archives/edgar/data/1001082/000110465921039116/tm212310d1_def14a.htm" TargetMode="External"/><Relationship Id="rId52" Type="http://schemas.openxmlformats.org/officeDocument/2006/relationships/hyperlink" Target="https://www.sec.gov/Archives/edgar/data/1001082/000110465922035588/tm223326d1_def14a.htm" TargetMode="External"/><Relationship Id="rId55" Type="http://schemas.openxmlformats.org/officeDocument/2006/relationships/hyperlink" Target="https://www.sec.gov/Archives/edgar/data/1001082/000110465919016039/a19-2152_1def14a.htm" TargetMode="External"/><Relationship Id="rId54" Type="http://schemas.openxmlformats.org/officeDocument/2006/relationships/hyperlink" Target="https://www.sec.gov/Archives/edgar/data/1001082/000110465920036891/a20-1570_1def14a.htm" TargetMode="External"/><Relationship Id="rId57" Type="http://schemas.openxmlformats.org/officeDocument/2006/relationships/hyperlink" Target="https://www.sec.gov/Archives/edgar/data/0001506307/000110465922041562/tm223408-1_def14a.htm" TargetMode="External"/><Relationship Id="rId56" Type="http://schemas.openxmlformats.org/officeDocument/2006/relationships/hyperlink" Target="https://www.sec.gov/ix?doc=/Archives/edgar/data/0001506307/000110465923039853/tm231838d4_def14a.htm" TargetMode="External"/><Relationship Id="rId719" Type="http://schemas.openxmlformats.org/officeDocument/2006/relationships/hyperlink" Target="https://www.sec.gov/Archives/edgar/data/0000927653/000119312521185412/d59594ddef14a.htm" TargetMode="External"/><Relationship Id="rId718" Type="http://schemas.openxmlformats.org/officeDocument/2006/relationships/hyperlink" Target="https://www.sec.gov/Archives/edgar/data/0000927653/000119312522171040/d308236ddef14a.htm" TargetMode="External"/><Relationship Id="rId717" Type="http://schemas.openxmlformats.org/officeDocument/2006/relationships/hyperlink" Target="https://s24.q4cdn.com/128197368/files/doc_financials/2023/ar/2023-McKesson-Proxy-Statement.pdf" TargetMode="External"/><Relationship Id="rId712" Type="http://schemas.openxmlformats.org/officeDocument/2006/relationships/hyperlink" Target="https://www.sec.gov/ix?doc=/Archives/edgar/data/0001067983/000119312523073948/d362436ddef14a.htm" TargetMode="External"/><Relationship Id="rId711" Type="http://schemas.openxmlformats.org/officeDocument/2006/relationships/hyperlink" Target="https://www.sec.gov/Archives/edgar/data/731766/000104746919002425/a2238439zdef14a.htm" TargetMode="External"/><Relationship Id="rId710" Type="http://schemas.openxmlformats.org/officeDocument/2006/relationships/hyperlink" Target="https://www.sec.gov/Archives/edgar/data/0000731766/000104746920002403/a2241322zdef14a.htm" TargetMode="External"/><Relationship Id="rId716" Type="http://schemas.openxmlformats.org/officeDocument/2006/relationships/hyperlink" Target="https://www.sec.gov/Archives/edgar/data/0001067983/000119312519076915/d684203ddef14a.htm" TargetMode="External"/><Relationship Id="rId715" Type="http://schemas.openxmlformats.org/officeDocument/2006/relationships/hyperlink" Target="https://www.sec.gov/Archives/edgar/data/0001067983/000119312520072952/d856491ddef14a.htm" TargetMode="External"/><Relationship Id="rId714" Type="http://schemas.openxmlformats.org/officeDocument/2006/relationships/hyperlink" Target="https://www.sec.gov/Archives/edgar/data/0001067983/000119312521080418/d938053ddef14a.htm" TargetMode="External"/><Relationship Id="rId713" Type="http://schemas.openxmlformats.org/officeDocument/2006/relationships/hyperlink" Target="https://www.sec.gov/Archives/edgar/data/0001067983/000119312522073447/d208624ddef14a.htm" TargetMode="External"/><Relationship Id="rId59" Type="http://schemas.openxmlformats.org/officeDocument/2006/relationships/hyperlink" Target="https://www.sec.gov/Archives/edgar/data/0001506307/000104746920002038/a2241068zdef14a.htm" TargetMode="External"/><Relationship Id="rId58" Type="http://schemas.openxmlformats.org/officeDocument/2006/relationships/hyperlink" Target="https://www.sec.gov/Archives/edgar/data/0001506307/000110465921045349/tm212360-2_def14a.htm" TargetMode="External"/><Relationship Id="rId590" Type="http://schemas.openxmlformats.org/officeDocument/2006/relationships/hyperlink" Target="https://www.sec.gov/Archives/edgar/data/315189/000120677422000016/de3958541-def14a.htm" TargetMode="External"/><Relationship Id="rId107" Type="http://schemas.openxmlformats.org/officeDocument/2006/relationships/hyperlink" Target="https://www.sec.gov/Archives/edgar/data/891103/000110465922053647/tm223686d1_def14a.htm" TargetMode="External"/><Relationship Id="rId349" Type="http://schemas.openxmlformats.org/officeDocument/2006/relationships/hyperlink" Target="https://www.sec.gov/ix?doc=/Archives/edgar/data/0001326801/000132680123000050/meta-20230414.htm" TargetMode="External"/><Relationship Id="rId106" Type="http://schemas.openxmlformats.org/officeDocument/2006/relationships/hyperlink" Target="https://www.sec.gov/ixviewer/ix.html?doc=/Archives/edgar/data/0000891103/000089110323000039/mtch-20230501.htm" TargetMode="External"/><Relationship Id="rId348" Type="http://schemas.openxmlformats.org/officeDocument/2006/relationships/hyperlink" Target="https://quotes.quotemedia.com/data/downloadFiling?webmasterId=104600&amp;ref=112828875&amp;type=HTML&amp;formType=DEF+14A&amp;formDescription=Other+definitive+proxy+statements&amp;dateFiled=2019-03-18&amp;cik=0000732712" TargetMode="External"/><Relationship Id="rId105" Type="http://schemas.openxmlformats.org/officeDocument/2006/relationships/hyperlink" Target="https://d18rn0p25nwr6d.cloudfront.net/CIK-0000007084/65cc4fb0-7d67-40b1-b7ef-eaa978fe3b0e.pdf" TargetMode="External"/><Relationship Id="rId347" Type="http://schemas.openxmlformats.org/officeDocument/2006/relationships/hyperlink" Target="https://quotes.quotemedia.com/data/downloadFiling?webmasterId=104600&amp;ref=114894696&amp;type=HTML&amp;formType=DEF+14A&amp;formDescription=Other+definitive+proxy+statements&amp;dateFiled=2020-03-23&amp;cik=0000732712" TargetMode="External"/><Relationship Id="rId589" Type="http://schemas.openxmlformats.org/officeDocument/2006/relationships/hyperlink" Target="https://www.sec.gov/Archives/edgar/data/315189/000155837023000200/tmb-20230222xdef14a.htm" TargetMode="External"/><Relationship Id="rId104" Type="http://schemas.openxmlformats.org/officeDocument/2006/relationships/hyperlink" Target="https://d18rn0p25nwr6d.cloudfront.net/CIK-0000007084/9bb5f2b0-f2da-4663-8e97-057238e5f918.pdf" TargetMode="External"/><Relationship Id="rId346" Type="http://schemas.openxmlformats.org/officeDocument/2006/relationships/hyperlink" Target="https://www.sec.gov/Archives/edgar/data/0000732712/000119312521098265/d15375ddef14a.htm" TargetMode="External"/><Relationship Id="rId588" Type="http://schemas.openxmlformats.org/officeDocument/2006/relationships/hyperlink" Target="https://www.sec.gov/Archives/edgar/data/8670/000120677419003299/adp3610941-def14a.htm" TargetMode="External"/><Relationship Id="rId109" Type="http://schemas.openxmlformats.org/officeDocument/2006/relationships/hyperlink" Target="https://www.sec.gov/Archives/edgar/data/891103/000104746919002768/a2238554zdef14a.htm" TargetMode="External"/><Relationship Id="rId108" Type="http://schemas.openxmlformats.org/officeDocument/2006/relationships/hyperlink" Target="https://www.sec.gov/Archives/edgar/data/891103/000110465921059110/tm2113045d1_def14a.htm" TargetMode="External"/><Relationship Id="rId341" Type="http://schemas.openxmlformats.org/officeDocument/2006/relationships/hyperlink" Target="https://investor.bankofamerica.com/regulatory-and-other-filings/all-sec-filings/content/0001193125-21-072547/d937842ddef14a.htm" TargetMode="External"/><Relationship Id="rId583" Type="http://schemas.openxmlformats.org/officeDocument/2006/relationships/hyperlink" Target="https://www.sec.gov/Archives/edgar/data/1045810/000104581019000070/nvda2019definitiveproxysta.htm" TargetMode="External"/><Relationship Id="rId340" Type="http://schemas.openxmlformats.org/officeDocument/2006/relationships/hyperlink" Target="https://d1io3yog0oux5.cloudfront.net/_dc68c00c47f2ba8af7b8e05806405c32/bankofamerica/db/867/9640/proxy_statement/BAC+Proxy+Statement+ADA+%281%29.pdf" TargetMode="External"/><Relationship Id="rId582" Type="http://schemas.openxmlformats.org/officeDocument/2006/relationships/hyperlink" Target="https://www.sec.gov/Archives/edgar/data/1045810/000104581020000055/nvda2020definitiveproxysta.htm" TargetMode="External"/><Relationship Id="rId581" Type="http://schemas.openxmlformats.org/officeDocument/2006/relationships/hyperlink" Target="https://www.sec.gov/Archives/edgar/data/1045810/000104581021000052/nvda2021definitiveproxysta.htm" TargetMode="External"/><Relationship Id="rId580" Type="http://schemas.openxmlformats.org/officeDocument/2006/relationships/hyperlink" Target="https://www.sec.gov/Archives/edgar/data/1045810/000104581022000067/nvda2022definitiveproxysta.htm" TargetMode="External"/><Relationship Id="rId103" Type="http://schemas.openxmlformats.org/officeDocument/2006/relationships/hyperlink" Target="https://d18rn0p25nwr6d.cloudfront.net/CIK-0000007084/fdb1eef9-8e9d-49e0-a853-50d67e8e445e.pdf" TargetMode="External"/><Relationship Id="rId345" Type="http://schemas.openxmlformats.org/officeDocument/2006/relationships/hyperlink" Target="https://www.sec.gov/Archives/edgar/data/0000732712/000119312522086627/d857568ddef14a.htm" TargetMode="External"/><Relationship Id="rId587" Type="http://schemas.openxmlformats.org/officeDocument/2006/relationships/hyperlink" Target="https://www.sec.gov/Archives/edgar/data/8670/000120677420002764/adp3788011-def14a.htm" TargetMode="External"/><Relationship Id="rId102" Type="http://schemas.openxmlformats.org/officeDocument/2006/relationships/hyperlink" Target="https://s1.q4cdn.com/365366812/files/doc_financials/2021/ar/2022-Letter-to-Stockholders-and-Proxy.pdf" TargetMode="External"/><Relationship Id="rId344" Type="http://schemas.openxmlformats.org/officeDocument/2006/relationships/hyperlink" Target="https://www.sec.gov/ix?doc=/Archives/edgar/data/0000732712/000119312523080439/d401667ddef14a.htm" TargetMode="External"/><Relationship Id="rId586" Type="http://schemas.openxmlformats.org/officeDocument/2006/relationships/hyperlink" Target="https://www.sec.gov/Archives/edgar/data/8670/000120677421002512/adp3935971-def14a.htm" TargetMode="External"/><Relationship Id="rId101" Type="http://schemas.openxmlformats.org/officeDocument/2006/relationships/hyperlink" Target="https://s1.q4cdn.com/365366812/files/doc_financials/2022/ar/ADM-Proxy-and-10-k.pdf" TargetMode="External"/><Relationship Id="rId343" Type="http://schemas.openxmlformats.org/officeDocument/2006/relationships/hyperlink" Target="https://investor.bankofamerica.com/regulatory-and-other-filings/all-sec-filings/content/0001193125-19-072939/d641622ddef14a.htm" TargetMode="External"/><Relationship Id="rId585" Type="http://schemas.openxmlformats.org/officeDocument/2006/relationships/hyperlink" Target="https://www.sec.gov/Archives/edgar/data/8670/000120677422002461/adp4094281-def14a.htm" TargetMode="External"/><Relationship Id="rId100" Type="http://schemas.openxmlformats.org/officeDocument/2006/relationships/hyperlink" Target="https://www.sec.gov/Archives/edgar/data/92122/000120677419001244/so3463381-def14a.htm" TargetMode="External"/><Relationship Id="rId342" Type="http://schemas.openxmlformats.org/officeDocument/2006/relationships/hyperlink" Target="https://investor.bankofamerica.com/regulatory-and-other-filings/all-sec-filings/content/0001193125-20-066901/d839807ddef14a.htm" TargetMode="External"/><Relationship Id="rId584" Type="http://schemas.openxmlformats.org/officeDocument/2006/relationships/hyperlink" Target="https://www.sec.gov/ixviewer/ix.html?doc=/Archives/edgar/data/8670/000130817923000987/adp4229101-def14a.htm" TargetMode="External"/><Relationship Id="rId338" Type="http://schemas.openxmlformats.org/officeDocument/2006/relationships/hyperlink" Target="https://www.sec.gov/Archives/edgar/data/0000320193/000119312519004664/d667873ddef14a.htm" TargetMode="External"/><Relationship Id="rId337" Type="http://schemas.openxmlformats.org/officeDocument/2006/relationships/hyperlink" Target="https://www.sec.gov/Archives/edgar/data/0000320193/000119312520001450/d799303ddef14a.htm" TargetMode="External"/><Relationship Id="rId579" Type="http://schemas.openxmlformats.org/officeDocument/2006/relationships/hyperlink" Target="https://www.sec.gov/ixviewer/ix.html?doc=/Archives/edgar/data/0001045810/000104581023000080/nvda-20230508.htm" TargetMode="External"/><Relationship Id="rId336" Type="http://schemas.openxmlformats.org/officeDocument/2006/relationships/hyperlink" Target="https://www.sec.gov/Archives/edgar/data/0000320193/000119312521001987/d767770ddef14a.htm" TargetMode="External"/><Relationship Id="rId578" Type="http://schemas.openxmlformats.org/officeDocument/2006/relationships/hyperlink" Target="https://www.sec.gov/Archives/edgar/data/0000829224/000119312519017145/d623511ddef14a.htm" TargetMode="External"/><Relationship Id="rId335" Type="http://schemas.openxmlformats.org/officeDocument/2006/relationships/hyperlink" Target="https://www.sec.gov/Archives/edgar/data/0000320193/000119312522003583/d222670ddef14a.htm" TargetMode="External"/><Relationship Id="rId577" Type="http://schemas.openxmlformats.org/officeDocument/2006/relationships/hyperlink" Target="https://www.sec.gov/Archives/edgar/data/0000829224/000120677420000230/sbux3632601-def14a.htm" TargetMode="External"/><Relationship Id="rId339" Type="http://schemas.openxmlformats.org/officeDocument/2006/relationships/hyperlink" Target="https://d1io3yog0oux5.cloudfront.net/_dc68c00c47f2ba8af7b8e05806405c32/bankofamerica/db/867/9840/proxy_statement/BAC+2023+Proxy+Statement.pdf" TargetMode="External"/><Relationship Id="rId330" Type="http://schemas.openxmlformats.org/officeDocument/2006/relationships/hyperlink" Target="https://www.sec.gov/Archives/edgar/data/0000789019/000119312521298757/d189481ddef14a.htm" TargetMode="External"/><Relationship Id="rId572" Type="http://schemas.openxmlformats.org/officeDocument/2006/relationships/hyperlink" Target="https://www.sec.gov/Archives/edgar/data/86312/000120677420001051/trv3632281-def14a.htm" TargetMode="External"/><Relationship Id="rId571" Type="http://schemas.openxmlformats.org/officeDocument/2006/relationships/hyperlink" Target="https://www.sec.gov/Archives/edgar/data/86312/000120677421000970/trv3788451-def14a.htm" TargetMode="External"/><Relationship Id="rId570" Type="http://schemas.openxmlformats.org/officeDocument/2006/relationships/hyperlink" Target="https://www.sec.gov/Archives/edgar/data/86312/000008631222000019/a2022proxystatement.htm" TargetMode="External"/><Relationship Id="rId334" Type="http://schemas.openxmlformats.org/officeDocument/2006/relationships/hyperlink" Target="https://www.sec.gov/Archives/edgar/data/0000320193/000130817923000019/laap2023_def14a.htm" TargetMode="External"/><Relationship Id="rId576" Type="http://schemas.openxmlformats.org/officeDocument/2006/relationships/hyperlink" Target="https://www.sec.gov/Archives/edgar/data/829224/000082922421000017/a2021proxystatement.htm" TargetMode="External"/><Relationship Id="rId333" Type="http://schemas.openxmlformats.org/officeDocument/2006/relationships/hyperlink" Target="https://www.sec.gov/Archives/edgar/data/0000789019/000119312518300115/d588721ddef14a.htm" TargetMode="External"/><Relationship Id="rId575" Type="http://schemas.openxmlformats.org/officeDocument/2006/relationships/hyperlink" Target="https://www.sec.gov/Archives/edgar/data/0000829224/000120677422000270/sbux3974881-def14a.htm" TargetMode="External"/><Relationship Id="rId332" Type="http://schemas.openxmlformats.org/officeDocument/2006/relationships/hyperlink" Target="https://www.sec.gov/Archives/edgar/data/0000789019/000119312519268531/d791036ddef14a.htm" TargetMode="External"/><Relationship Id="rId574" Type="http://schemas.openxmlformats.org/officeDocument/2006/relationships/hyperlink" Target="https://www.sec.gov/Archives/edgar/data/0000829224/000082922423000007/a2023proxystatementfinal.htm" TargetMode="External"/><Relationship Id="rId331" Type="http://schemas.openxmlformats.org/officeDocument/2006/relationships/hyperlink" Target="https://www.sec.gov/Archives/edgar/data/0000789019/000119312520272025/d31295ddef14a.htm" TargetMode="External"/><Relationship Id="rId573" Type="http://schemas.openxmlformats.org/officeDocument/2006/relationships/hyperlink" Target="https://www.sec.gov/Archives/edgar/data/86312/000120677419001233/trv3452511-def14a.htm" TargetMode="External"/><Relationship Id="rId370" Type="http://schemas.openxmlformats.org/officeDocument/2006/relationships/hyperlink" Target="https://www.sec.gov/Archives/edgar/data/0000104169/000010416922000019/a2022proxystatement.htm" TargetMode="External"/><Relationship Id="rId129" Type="http://schemas.openxmlformats.org/officeDocument/2006/relationships/hyperlink" Target="https://www.sec.gov/Archives/edgar/data/858470/000130817919000036/lcog2019_def14a.htm" TargetMode="External"/><Relationship Id="rId128" Type="http://schemas.openxmlformats.org/officeDocument/2006/relationships/hyperlink" Target="https://www.sec.gov/Archives/edgar/data/858470/000130817920000038/lcog2020_def14a.htm" TargetMode="External"/><Relationship Id="rId127" Type="http://schemas.openxmlformats.org/officeDocument/2006/relationships/hyperlink" Target="https://www.sec.gov/Archives/edgar/data/858470/000130817921000037/lcog2021_def14a.htm" TargetMode="External"/><Relationship Id="rId369" Type="http://schemas.openxmlformats.org/officeDocument/2006/relationships/hyperlink" Target="https://s201.q4cdn.com/262069030/files/doc_financials/2023/ar/2023-proxy-statement.pdf" TargetMode="External"/><Relationship Id="rId126" Type="http://schemas.openxmlformats.org/officeDocument/2006/relationships/hyperlink" Target="https://www.sec.gov/Archives/edgar/data/858470/000130817922000079/lctra2022_def14a.htm" TargetMode="External"/><Relationship Id="rId368" Type="http://schemas.openxmlformats.org/officeDocument/2006/relationships/hyperlink" Target="https://www.sec.gov/Archives/edgar/data/0000354950/000035495019000014/hd-2019proxystatement.htm" TargetMode="External"/><Relationship Id="rId121" Type="http://schemas.openxmlformats.org/officeDocument/2006/relationships/hyperlink" Target="https://www.sec.gov/Archives/edgar/data/18926/000001892622000013/lumenproxy2022.htm" TargetMode="External"/><Relationship Id="rId363" Type="http://schemas.openxmlformats.org/officeDocument/2006/relationships/hyperlink" Target="https://www.sec.gov/Archives/edgar/data/0001166691/000119312519121456/d696198ddef14a.htm" TargetMode="External"/><Relationship Id="rId120" Type="http://schemas.openxmlformats.org/officeDocument/2006/relationships/hyperlink" Target="https://www.sec.gov/ixviewer/ix.html?doc=/Archives/edgar/data/0000018926/000001892623000038/lumn-20230405.htm" TargetMode="External"/><Relationship Id="rId362" Type="http://schemas.openxmlformats.org/officeDocument/2006/relationships/hyperlink" Target="https://www.sec.gov/Archives/edgar/data/0001166691/000119312520118504/d781322ddef14a.htm" TargetMode="External"/><Relationship Id="rId361" Type="http://schemas.openxmlformats.org/officeDocument/2006/relationships/hyperlink" Target="https://www.sec.gov/Archives/edgar/data/0001166691/000120677421001222/cmcsa3829211-def14a.htm" TargetMode="External"/><Relationship Id="rId360" Type="http://schemas.openxmlformats.org/officeDocument/2006/relationships/hyperlink" Target="https://www.sec.gov/Archives/edgar/data/0001166691/000120677422001186/cmcsa4011221-def14a.htm" TargetMode="External"/><Relationship Id="rId125" Type="http://schemas.openxmlformats.org/officeDocument/2006/relationships/hyperlink" Target="https://www.sec.gov/ixviewer/ix.html?doc=/Archives/edgar/data/0000858470/000130817923000263/lctra2023_def14a.htm" TargetMode="External"/><Relationship Id="rId367" Type="http://schemas.openxmlformats.org/officeDocument/2006/relationships/hyperlink" Target="https://www.sec.gov/Archives/edgar/data/0000354950/000035495020000024/hd-2020proxystatement.htm" TargetMode="External"/><Relationship Id="rId124" Type="http://schemas.openxmlformats.org/officeDocument/2006/relationships/hyperlink" Target="https://www.sec.gov/Archives/edgar/data/18926/000119312519102834/d688340ddef14a.htm" TargetMode="External"/><Relationship Id="rId366" Type="http://schemas.openxmlformats.org/officeDocument/2006/relationships/hyperlink" Target="https://www.sec.gov/Archives/edgar/data/0000354950/000035495021000116/hd-2021proxystatementng.htm" TargetMode="External"/><Relationship Id="rId123" Type="http://schemas.openxmlformats.org/officeDocument/2006/relationships/hyperlink" Target="https://www.sec.gov/Archives/edgar/data/18926/000119312520101324/d851593ddef14a.htm" TargetMode="External"/><Relationship Id="rId365" Type="http://schemas.openxmlformats.org/officeDocument/2006/relationships/hyperlink" Target="https://www.sec.gov/Archives/edgar/data/0000354950/000035495022000116/hd-2022proxystatement.htm" TargetMode="External"/><Relationship Id="rId122" Type="http://schemas.openxmlformats.org/officeDocument/2006/relationships/hyperlink" Target="https://www.sec.gov/Archives/edgar/data/18926/000119312521108871/d445175ddef14a.htm" TargetMode="External"/><Relationship Id="rId364" Type="http://schemas.openxmlformats.org/officeDocument/2006/relationships/hyperlink" Target="https://www.sec.gov/ix?doc=/Archives/edgar/data/0000354950/000035495023000101/hd-20230330.htm" TargetMode="External"/><Relationship Id="rId95" Type="http://schemas.openxmlformats.org/officeDocument/2006/relationships/hyperlink" Target="https://www.sec.gov/Archives/edgar/data/875320/000130817919000189/lvrt2019_def14a.htm" TargetMode="External"/><Relationship Id="rId94" Type="http://schemas.openxmlformats.org/officeDocument/2006/relationships/hyperlink" Target="https://www.sec.gov/Archives/edgar/data/875320/000130817920000229/lvrtx2020_def14a.htm" TargetMode="External"/><Relationship Id="rId97" Type="http://schemas.openxmlformats.org/officeDocument/2006/relationships/hyperlink" Target="https://www.sec.gov/Archives/edgar/data/92122/000120677422001105/so3978871_def14a.htm" TargetMode="External"/><Relationship Id="rId96" Type="http://schemas.openxmlformats.org/officeDocument/2006/relationships/hyperlink" Target="https://www.sec.gov/ixviewer/ix.html?doc=/Archives/edgar/data/0000092122/000130817923000671/so4109301-def14a.htm" TargetMode="External"/><Relationship Id="rId99" Type="http://schemas.openxmlformats.org/officeDocument/2006/relationships/hyperlink" Target="https://www.sec.gov/Archives/edgar/data/92122/000120677420001156/so3664831-def14a.htm" TargetMode="External"/><Relationship Id="rId98" Type="http://schemas.openxmlformats.org/officeDocument/2006/relationships/hyperlink" Target="https://www.sec.gov/Archives/edgar/data/92122/000120677421001083/so3828771-def14a.htm" TargetMode="External"/><Relationship Id="rId91" Type="http://schemas.openxmlformats.org/officeDocument/2006/relationships/hyperlink" Target="https://www.sec.gov/ixviewer/ix.html?doc=/Archives/edgar/data/0000875320/000130817923000591/lvrtx2023_def14a.htm" TargetMode="External"/><Relationship Id="rId90" Type="http://schemas.openxmlformats.org/officeDocument/2006/relationships/hyperlink" Target="https://www.sec.gov/Archives/edgar/data/0001510295/000151029519000021/def14a_2019mpcproxystateme.htm" TargetMode="External"/><Relationship Id="rId93" Type="http://schemas.openxmlformats.org/officeDocument/2006/relationships/hyperlink" Target="https://www.sec.gov/Archives/edgar/data/875320/000130817921000196/lvrtx2021_def14a.htm" TargetMode="External"/><Relationship Id="rId92" Type="http://schemas.openxmlformats.org/officeDocument/2006/relationships/hyperlink" Target="https://www.sec.gov/Archives/edgar/data/875320/000130817922000210/lvrtx2022_def14a.htm" TargetMode="External"/><Relationship Id="rId118" Type="http://schemas.openxmlformats.org/officeDocument/2006/relationships/hyperlink" Target="https://www.sec.gov/Archives/edgar/data/1109357/000120677420000842/exc3645661-def14a.htm" TargetMode="External"/><Relationship Id="rId117" Type="http://schemas.openxmlformats.org/officeDocument/2006/relationships/hyperlink" Target="https://www.sec.gov/Archives/edgar/data/1109357/000120677421000736/exc3825021-def14a.htm" TargetMode="External"/><Relationship Id="rId359" Type="http://schemas.openxmlformats.org/officeDocument/2006/relationships/hyperlink" Target="https://www.sec.gov/ix?doc=/Archives/edgar/data/0001166691/000130817923000809/cmcsa4130111-def14a.htm" TargetMode="External"/><Relationship Id="rId116" Type="http://schemas.openxmlformats.org/officeDocument/2006/relationships/hyperlink" Target="https://www.sec.gov/Archives/edgar/data/1109357/000120677422000727/esc3973661-def14a.htm" TargetMode="External"/><Relationship Id="rId358" Type="http://schemas.openxmlformats.org/officeDocument/2006/relationships/hyperlink" Target="https://www08.wellsfargomedia.com/assets/pdf/about/investor-relations/annual-reports/2019-proxy-statement.pdf" TargetMode="External"/><Relationship Id="rId115" Type="http://schemas.openxmlformats.org/officeDocument/2006/relationships/hyperlink" Target="https://www.sec.gov/ix?doc=/Archives/edgar/data/0001109357/000130817923000188/exc4124431-def14a.htm" TargetMode="External"/><Relationship Id="rId357" Type="http://schemas.openxmlformats.org/officeDocument/2006/relationships/hyperlink" Target="https://www08.wellsfargomedia.com/assets/pdf/about/investor-relations/annual-reports/2020-proxy-statement.pdf" TargetMode="External"/><Relationship Id="rId599" Type="http://schemas.openxmlformats.org/officeDocument/2006/relationships/hyperlink" Target="https://www.sec.gov/ix?doc=/Archives/edgar/data/34088/000119312523100079/d429320ddef14a.htm" TargetMode="External"/><Relationship Id="rId119" Type="http://schemas.openxmlformats.org/officeDocument/2006/relationships/hyperlink" Target="https://www.sec.gov/Archives/edgar/data/1109357/000120677419000934/exc3518081-def14a.htm" TargetMode="External"/><Relationship Id="rId110" Type="http://schemas.openxmlformats.org/officeDocument/2006/relationships/hyperlink" Target="https://www.sec.gov/ix?doc=/Archives/edgar/data/0001032208/000114036123014423/ny20005698x501_def14a.htm" TargetMode="External"/><Relationship Id="rId352" Type="http://schemas.openxmlformats.org/officeDocument/2006/relationships/hyperlink" Target="https://www.sec.gov/Archives/edgar/data/0001326801/000132680120000037/facebook2020definitiveprox.htm" TargetMode="External"/><Relationship Id="rId594" Type="http://schemas.openxmlformats.org/officeDocument/2006/relationships/hyperlink" Target="https://www.sec.gov/ix?doc=/Archives/edgar/data/0000097745/000009774523000025/tmo-20230404.htm" TargetMode="External"/><Relationship Id="rId351" Type="http://schemas.openxmlformats.org/officeDocument/2006/relationships/hyperlink" Target="https://www.sec.gov/Archives/edgar/data/0001326801/000132680121000022/facebook2021definitiveprox.htm" TargetMode="External"/><Relationship Id="rId593" Type="http://schemas.openxmlformats.org/officeDocument/2006/relationships/hyperlink" Target="https://www.sec.gov/Archives/edgar/data/315189/000120677419000056/de3476111-def14a.htm" TargetMode="External"/><Relationship Id="rId350" Type="http://schemas.openxmlformats.org/officeDocument/2006/relationships/hyperlink" Target="https://www.sec.gov/Archives/edgar/data/0001326801/000132680122000043/meta2022definitiveproxysta.htm" TargetMode="External"/><Relationship Id="rId592" Type="http://schemas.openxmlformats.org/officeDocument/2006/relationships/hyperlink" Target="https://www.sec.gov/Archives/edgar/data/315189/000120677420000044/de3653751-def14a.htm" TargetMode="External"/><Relationship Id="rId591" Type="http://schemas.openxmlformats.org/officeDocument/2006/relationships/hyperlink" Target="https://www.sec.gov/Archives/edgar/data/315189/000120677421000055/de3809451-def14a.htm" TargetMode="External"/><Relationship Id="rId114" Type="http://schemas.openxmlformats.org/officeDocument/2006/relationships/hyperlink" Target="https://www.sec.gov/Archives/edgar/data/1032208/000119312519082379/d674771ddef14a.htm" TargetMode="External"/><Relationship Id="rId356" Type="http://schemas.openxmlformats.org/officeDocument/2006/relationships/hyperlink" Target="https://www08.wellsfargomedia.com/assets/pdf/about/investor-relations/annual-reports/2021-proxy-statement.pdf" TargetMode="External"/><Relationship Id="rId598" Type="http://schemas.openxmlformats.org/officeDocument/2006/relationships/hyperlink" Target="https://www.sec.gov/Archives/edgar/data/97745/000119312519101242/d614669ddef14a.htm" TargetMode="External"/><Relationship Id="rId113" Type="http://schemas.openxmlformats.org/officeDocument/2006/relationships/hyperlink" Target="https://www.sec.gov/Archives/edgar/data/1032208/000119312520077350/d855581ddef14a.htm" TargetMode="External"/><Relationship Id="rId355" Type="http://schemas.openxmlformats.org/officeDocument/2006/relationships/hyperlink" Target="https://www08.wellsfargomedia.com/assets/pdf/about/investor-relations/annual-reports/2022-proxy-statement.pdf" TargetMode="External"/><Relationship Id="rId597" Type="http://schemas.openxmlformats.org/officeDocument/2006/relationships/hyperlink" Target="https://www.sec.gov/Archives/edgar/data/97745/000114036120008182/nc10010542x1-def14a.htm" TargetMode="External"/><Relationship Id="rId112" Type="http://schemas.openxmlformats.org/officeDocument/2006/relationships/hyperlink" Target="https://www.sec.gov/Archives/edgar/data/1032208/000119312521095184/d108157ddef14a.htm" TargetMode="External"/><Relationship Id="rId354" Type="http://schemas.openxmlformats.org/officeDocument/2006/relationships/hyperlink" Target="https://www08.wellsfargomedia.com/assets/pdf/about/investor-relations/annual-reports/2023-proxy-statement.pdf" TargetMode="External"/><Relationship Id="rId596" Type="http://schemas.openxmlformats.org/officeDocument/2006/relationships/hyperlink" Target="https://www.sec.gov/Archives/edgar/data/97745/000009774521000019/thermofisher2021proxy.htm" TargetMode="External"/><Relationship Id="rId111" Type="http://schemas.openxmlformats.org/officeDocument/2006/relationships/hyperlink" Target="https://www.sec.gov/Archives/edgar/data/1032208/000103220822000015/sempra2022proxy.htm" TargetMode="External"/><Relationship Id="rId353" Type="http://schemas.openxmlformats.org/officeDocument/2006/relationships/hyperlink" Target="https://www.sec.gov/Archives/edgar/data/1326801/000132680119000025/facebook2019definitiveprox.htm" TargetMode="External"/><Relationship Id="rId595" Type="http://schemas.openxmlformats.org/officeDocument/2006/relationships/hyperlink" Target="https://www.sec.gov/Archives/edgar/data/97745/000009774522000018/thermofisher2022proxy.htm" TargetMode="External"/><Relationship Id="rId305" Type="http://schemas.openxmlformats.org/officeDocument/2006/relationships/hyperlink" Target="https://www.sec.gov/Archives/edgar/data/1562476/000119312522102960/d133356ddef14a.htm" TargetMode="External"/><Relationship Id="rId547" Type="http://schemas.openxmlformats.org/officeDocument/2006/relationships/hyperlink" Target="https://www.sec.gov/Archives/edgar/data/920760/000119312520049029/d861693ddef14a.htm" TargetMode="External"/><Relationship Id="rId789" Type="http://schemas.openxmlformats.org/officeDocument/2006/relationships/hyperlink" Target="https://www.goldmansachs.com/investor-relations/financials/current/proxy-statements/2021-proxy-statement-pdf.pdf" TargetMode="External"/><Relationship Id="rId304" Type="http://schemas.openxmlformats.org/officeDocument/2006/relationships/hyperlink" Target="https://www.sec.gov/ixviewer/ix.html?doc=/Archives/edgar/data/0001562476/000119312523102035/d424405ddef14a.htm" TargetMode="External"/><Relationship Id="rId546" Type="http://schemas.openxmlformats.org/officeDocument/2006/relationships/hyperlink" Target="https://www.sec.gov/Archives/edgar/data/920760/000119312521055634/d112020ddef14a.htm" TargetMode="External"/><Relationship Id="rId788" Type="http://schemas.openxmlformats.org/officeDocument/2006/relationships/hyperlink" Target="https://www.sec.gov/Archives/edgar/data/886982/000119312522079120/d62428ddef14a.htm" TargetMode="External"/><Relationship Id="rId303" Type="http://schemas.openxmlformats.org/officeDocument/2006/relationships/hyperlink" Target="https://www.sec.gov/Archives/edgar/data/1410636/000119312519086369/d685440ddef14a.htm" TargetMode="External"/><Relationship Id="rId545" Type="http://schemas.openxmlformats.org/officeDocument/2006/relationships/hyperlink" Target="https://www.sec.gov/Archives/edgar/data/920760/000119312522059659/d188597ddef14a.htm" TargetMode="External"/><Relationship Id="rId787" Type="http://schemas.openxmlformats.org/officeDocument/2006/relationships/hyperlink" Target="https://www.goldmansachs.com/investor-relations/financials/proxy-statements/2023/2023-proxy-statement-pdf.pdf" TargetMode="External"/><Relationship Id="rId302" Type="http://schemas.openxmlformats.org/officeDocument/2006/relationships/hyperlink" Target="https://www.sec.gov/Archives/edgar/data/1410636/000119312520092636/d844706ddef14a.htm" TargetMode="External"/><Relationship Id="rId544" Type="http://schemas.openxmlformats.org/officeDocument/2006/relationships/hyperlink" Target="https://www.sec.gov/Archives/edgar/data/920760/000119312523055066/d378085ddef14a.htm" TargetMode="External"/><Relationship Id="rId786" Type="http://schemas.openxmlformats.org/officeDocument/2006/relationships/hyperlink" Target="https://www.sec.gov/Archives/edgar/data/0000047217/000120677419000588/hpq3459341-def14a.htm" TargetMode="External"/><Relationship Id="rId309" Type="http://schemas.openxmlformats.org/officeDocument/2006/relationships/hyperlink" Target="https://www.sec.gov/ixviewer/ix.html?doc=/Archives/edgar/data/0001019849/000114036123013983/ny20006368x3_def14a.htm" TargetMode="External"/><Relationship Id="rId308" Type="http://schemas.openxmlformats.org/officeDocument/2006/relationships/hyperlink" Target="https://www.sec.gov/Archives/edgar/data/1562476/000119312519107094/d684340ddef14a.htm" TargetMode="External"/><Relationship Id="rId307" Type="http://schemas.openxmlformats.org/officeDocument/2006/relationships/hyperlink" Target="https://www.sec.gov/Archives/edgar/data/1562476/000119312520109320/d863549ddef14a.htm" TargetMode="External"/><Relationship Id="rId549" Type="http://schemas.openxmlformats.org/officeDocument/2006/relationships/hyperlink" Target="https://www.sec.gov/ix?doc=/Archives/edgar/data/0000066740/000130817923000288/mmm4130681-def14a.htm" TargetMode="External"/><Relationship Id="rId306" Type="http://schemas.openxmlformats.org/officeDocument/2006/relationships/hyperlink" Target="https://www.sec.gov/Archives/edgar/data/1562476/000119312521118443/d32823ddef14a.htm" TargetMode="External"/><Relationship Id="rId548" Type="http://schemas.openxmlformats.org/officeDocument/2006/relationships/hyperlink" Target="https://www.sec.gov/Archives/edgar/data/920760/000119312519055465/d692225ddef14a.htm" TargetMode="External"/><Relationship Id="rId781" Type="http://schemas.openxmlformats.org/officeDocument/2006/relationships/hyperlink" Target="https://d18rn0p25nwr6d.cloudfront.net/CIK-0001137774/815fe118-0cd0-44fd-b000-addc82b8fd83.pdf" TargetMode="External"/><Relationship Id="rId780" Type="http://schemas.openxmlformats.org/officeDocument/2006/relationships/hyperlink" Target="https://media.isgframework.org/Prudential/Prudential_2020_Proxy_Statement.pdf" TargetMode="External"/><Relationship Id="rId301" Type="http://schemas.openxmlformats.org/officeDocument/2006/relationships/hyperlink" Target="https://www.sec.gov/Archives/edgar/data/1410636/000119312521099190/d36836ddef14a.htm" TargetMode="External"/><Relationship Id="rId543" Type="http://schemas.openxmlformats.org/officeDocument/2006/relationships/hyperlink" Target="https://www.sec.gov/Archives/edgar/data/1601712/000119312519099228/d718975ddef14a.htm" TargetMode="External"/><Relationship Id="rId785" Type="http://schemas.openxmlformats.org/officeDocument/2006/relationships/hyperlink" Target="https://www.sec.gov/Archives/edgar/data/47217/000120677420000944/hpq3726931-defc14a.htm" TargetMode="External"/><Relationship Id="rId300" Type="http://schemas.openxmlformats.org/officeDocument/2006/relationships/hyperlink" Target="https://www.sec.gov/Archives/edgar/data/1410636/000119312522087507/d623471ddef14a.htm" TargetMode="External"/><Relationship Id="rId542" Type="http://schemas.openxmlformats.org/officeDocument/2006/relationships/hyperlink" Target="https://www.sec.gov/Archives/edgar/data/1601712/000119312520099542/d847267ddef14a.htm" TargetMode="External"/><Relationship Id="rId784" Type="http://schemas.openxmlformats.org/officeDocument/2006/relationships/hyperlink" Target="https://www.sec.gov/Archives/edgar/data/0000047217/000120677421000494/hpq3871831-def14a.htm" TargetMode="External"/><Relationship Id="rId541" Type="http://schemas.openxmlformats.org/officeDocument/2006/relationships/hyperlink" Target="https://www.sec.gov/Archives/edgar/data/1601712/000119312521107599/d58902ddef14a.htm" TargetMode="External"/><Relationship Id="rId783" Type="http://schemas.openxmlformats.org/officeDocument/2006/relationships/hyperlink" Target="https://www.sec.gov/Archives/edgar/data/0000047217/000120677422000540/hpq3981831-def14a.htm" TargetMode="External"/><Relationship Id="rId540" Type="http://schemas.openxmlformats.org/officeDocument/2006/relationships/hyperlink" Target="https://www.sec.gov/Archives/edgar/data/1601712/000119312522095656/d330618ddef14a.htm" TargetMode="External"/><Relationship Id="rId782" Type="http://schemas.openxmlformats.org/officeDocument/2006/relationships/hyperlink" Target="https://www.sec.gov/Archives/edgar/data/0000047217/000004721723000009/hpq2023proxy.htm" TargetMode="External"/><Relationship Id="rId536" Type="http://schemas.openxmlformats.org/officeDocument/2006/relationships/hyperlink" Target="https://www.sec.gov/Archives/edgar/data/1141391/000114139121000098/mastercard2021proxystateme.htm" TargetMode="External"/><Relationship Id="rId778" Type="http://schemas.openxmlformats.org/officeDocument/2006/relationships/hyperlink" Target="https://d18rn0p25nwr6d.cloudfront.net/CIK-0001137774/f86e2683-0278-470a-9bbd-542782fbb0e4.pdf" TargetMode="External"/><Relationship Id="rId535" Type="http://schemas.openxmlformats.org/officeDocument/2006/relationships/hyperlink" Target="https://www.sec.gov/Archives/edgar/data/1141391/000114139122000099/mastercard2022proxystateme.htm" TargetMode="External"/><Relationship Id="rId777" Type="http://schemas.openxmlformats.org/officeDocument/2006/relationships/hyperlink" Target="https://d18rn0p25nwr6d.cloudfront.net/CIK-0001137774/5f66450e-9d91-4f8b-81e3-0512969ec9bd.pdf" TargetMode="External"/><Relationship Id="rId534" Type="http://schemas.openxmlformats.org/officeDocument/2006/relationships/hyperlink" Target="https://www.sec.gov/ixviewer/ix.html?doc=/Archives/edgar/data/0001141391/000114139123000070/ma-20230428.htm" TargetMode="External"/><Relationship Id="rId776" Type="http://schemas.openxmlformats.org/officeDocument/2006/relationships/hyperlink" Target="https://www.sec.gov/Archives/edgar/data/0000101829/000120677419000888/utc3495271-def14a.htm" TargetMode="External"/><Relationship Id="rId533" Type="http://schemas.openxmlformats.org/officeDocument/2006/relationships/hyperlink" Target="https://www.sec.gov/Archives/edgar/data/0000320187/000032018719000053/nike2019proxy.htm" TargetMode="External"/><Relationship Id="rId775" Type="http://schemas.openxmlformats.org/officeDocument/2006/relationships/hyperlink" Target="https://www.sec.gov/Archives/edgar/data/0000101829/000120677420000806/utx3646311-def14a.htm" TargetMode="External"/><Relationship Id="rId539" Type="http://schemas.openxmlformats.org/officeDocument/2006/relationships/hyperlink" Target="https://www.sec.gov/ix?doc=/Archives/edgar/data/0001601712/000119312523090318/d449242ddef14a.htm" TargetMode="External"/><Relationship Id="rId538" Type="http://schemas.openxmlformats.org/officeDocument/2006/relationships/hyperlink" Target="https://www.sec.gov/Archives/edgar/data/1141391/000114139119000067/mastercard2019proxystateme.htm" TargetMode="External"/><Relationship Id="rId537" Type="http://schemas.openxmlformats.org/officeDocument/2006/relationships/hyperlink" Target="https://www.sec.gov/Archives/edgar/data/1141391/000114139120000096/mastercard2020proxystateme.htm" TargetMode="External"/><Relationship Id="rId779" Type="http://schemas.openxmlformats.org/officeDocument/2006/relationships/hyperlink" Target="http://q4live.s22.clientfiles.s3-website-us-east-1.amazonaws.com/600663696/files/doc_presentations/2021/Prudential-Proxy2021.pdf" TargetMode="External"/><Relationship Id="rId770" Type="http://schemas.openxmlformats.org/officeDocument/2006/relationships/hyperlink" Target="https://www.sec.gov/Archives/edgar/data/0000078003/000093041320000781/c94228_def14a.htm" TargetMode="External"/><Relationship Id="rId532" Type="http://schemas.openxmlformats.org/officeDocument/2006/relationships/hyperlink" Target="https://www.sec.gov/Archives/edgar/data/0000320187/000032018720000049/nike2020proxy.htm" TargetMode="External"/><Relationship Id="rId774" Type="http://schemas.openxmlformats.org/officeDocument/2006/relationships/hyperlink" Target="https://www.sec.gov/Archives/edgar/data/0000101829/000120677421000675/rtx3815711-def14a.htm" TargetMode="External"/><Relationship Id="rId531" Type="http://schemas.openxmlformats.org/officeDocument/2006/relationships/hyperlink" Target="https://www.sec.gov/Archives/edgar/data/0000320187/000032018721000035/nike2021proxy.htm" TargetMode="External"/><Relationship Id="rId773" Type="http://schemas.openxmlformats.org/officeDocument/2006/relationships/hyperlink" Target="https://www.sec.gov/Archives/edgar/data/0000101829/000120677422000689/rtx3925001-def14a.htm" TargetMode="External"/><Relationship Id="rId530" Type="http://schemas.openxmlformats.org/officeDocument/2006/relationships/hyperlink" Target="https://www.sec.gov/Archives/edgar/data/0000320187/000032018722000041/nike2022proxy.htm" TargetMode="External"/><Relationship Id="rId772" Type="http://schemas.openxmlformats.org/officeDocument/2006/relationships/hyperlink" Target="https://www.sec.gov/ix?doc=/Archives/edgar/data/0000101829/000130817923000143/rtx4101921-def14a.htm" TargetMode="External"/><Relationship Id="rId771" Type="http://schemas.openxmlformats.org/officeDocument/2006/relationships/hyperlink" Target="https://s28.q4cdn.com/781576035/files/doc_financials/2018/AR/Pfizer-Proxy2019.pdf" TargetMode="External"/><Relationship Id="rId327" Type="http://schemas.openxmlformats.org/officeDocument/2006/relationships/hyperlink" Target="https://www.jpmorganchase.com/content/dam/jpmc/jpmorgan-chase-and-co/investor-relations/documents/proxy-statement2020.pdf" TargetMode="External"/><Relationship Id="rId569" Type="http://schemas.openxmlformats.org/officeDocument/2006/relationships/hyperlink" Target="https://www.sec.gov/ix?doc=/Archives/edgar/data/0000086312/000008631223000025/trv-20230406.htm" TargetMode="External"/><Relationship Id="rId326" Type="http://schemas.openxmlformats.org/officeDocument/2006/relationships/hyperlink" Target="https://www.jpmorganchase.com/content/dam/jpmc/jpmorgan-chase-and-co/investor-relations/documents/proxy-statement2021.pdf" TargetMode="External"/><Relationship Id="rId568" Type="http://schemas.openxmlformats.org/officeDocument/2006/relationships/hyperlink" Target="https://www.sec.gov/Archives/edgar/data/0000049071/000119312519064676/d662496ddef14a.htm" TargetMode="External"/><Relationship Id="rId325" Type="http://schemas.openxmlformats.org/officeDocument/2006/relationships/hyperlink" Target="https://www.jpmorganchase.com/content/dam/jpmc/jpmorgan-chase-and-co/investor-relations/documents/proxy-statement2022.pdf" TargetMode="External"/><Relationship Id="rId567" Type="http://schemas.openxmlformats.org/officeDocument/2006/relationships/hyperlink" Target="https://www.sec.gov/Archives/edgar/data/0000049071/000119312520060900/d814950ddef14a.htm" TargetMode="External"/><Relationship Id="rId324" Type="http://schemas.openxmlformats.org/officeDocument/2006/relationships/hyperlink" Target="https://www.jpmorganchase.com/content/dam/jpmc/jpmorgan-chase-and-co/investor-relations/documents/proxy-statement2023.pdf" TargetMode="External"/><Relationship Id="rId566" Type="http://schemas.openxmlformats.org/officeDocument/2006/relationships/hyperlink" Target="https://www.sec.gov/Archives/edgar/data/0000049071/000119312521075520/d58753ddef14a.htm" TargetMode="External"/><Relationship Id="rId329" Type="http://schemas.openxmlformats.org/officeDocument/2006/relationships/hyperlink" Target="https://www.sec.gov/Archives/edgar/data/0000789019/000119312522270484/d318171ddef14a.htm" TargetMode="External"/><Relationship Id="rId328" Type="http://schemas.openxmlformats.org/officeDocument/2006/relationships/hyperlink" Target="https://www.jpmorganchase.com/content/dam/jpmc/jpmorgan-chase-and-co/investor-relations/documents/proxy-statement2019.pdf" TargetMode="External"/><Relationship Id="rId561" Type="http://schemas.openxmlformats.org/officeDocument/2006/relationships/hyperlink" Target="https://www.sec.gov/Archives/edgar/data/0000040533/000120677421000818/gd3827871-def14a.htm" TargetMode="External"/><Relationship Id="rId560" Type="http://schemas.openxmlformats.org/officeDocument/2006/relationships/hyperlink" Target="https://www.sec.gov/Archives/edgar/data/0000040533/000130817922000109/lgd2022_def14a.htm" TargetMode="External"/><Relationship Id="rId323" Type="http://schemas.openxmlformats.org/officeDocument/2006/relationships/hyperlink" Target="https://www.sec.gov/Archives/edgar/data/0001652044/000130817919000205/lgoog2019_def14a.htm" TargetMode="External"/><Relationship Id="rId565" Type="http://schemas.openxmlformats.org/officeDocument/2006/relationships/hyperlink" Target="https://www.sec.gov/Archives/edgar/data/0000049071/000119312522069894/d209426ddef14a.htm" TargetMode="External"/><Relationship Id="rId322" Type="http://schemas.openxmlformats.org/officeDocument/2006/relationships/hyperlink" Target="https://www.sec.gov/Archives/edgar/data/0001652044/000130817920000203/lgoog2020_def14a.htm" TargetMode="External"/><Relationship Id="rId564" Type="http://schemas.openxmlformats.org/officeDocument/2006/relationships/hyperlink" Target="https://www.sec.gov/ix?doc=/Archives/edgar/data/0000049071/000119312523063813/d458267ddef14a.htm" TargetMode="External"/><Relationship Id="rId321" Type="http://schemas.openxmlformats.org/officeDocument/2006/relationships/hyperlink" Target="https://www.sec.gov/Archives/edgar/data/0001652044/000130817921000256/lgoog2021_def14a.htm" TargetMode="External"/><Relationship Id="rId563" Type="http://schemas.openxmlformats.org/officeDocument/2006/relationships/hyperlink" Target="https://www.sec.gov/Archives/edgar/data/0000040533/000119312519082041/d711019ddef14a.htm" TargetMode="External"/><Relationship Id="rId320" Type="http://schemas.openxmlformats.org/officeDocument/2006/relationships/hyperlink" Target="https://www.sec.gov/Archives/edgar/data/0001652044/000130817922000223/lgoog2022_pre14a.htm" TargetMode="External"/><Relationship Id="rId562" Type="http://schemas.openxmlformats.org/officeDocument/2006/relationships/hyperlink" Target="https://www.sec.gov/Archives/edgar/data/0000040533/000120677420000937/gd3668711-def14a.htm" TargetMode="External"/><Relationship Id="rId316" Type="http://schemas.openxmlformats.org/officeDocument/2006/relationships/hyperlink" Target="https://www.sec.gov/Archives/edgar/data/67716/000006771621000018/a2021mdudefinitiveproxy-ne.htm" TargetMode="External"/><Relationship Id="rId558" Type="http://schemas.openxmlformats.org/officeDocument/2006/relationships/hyperlink" Target="https://www.sec.gov/Archives/edgar/data/702165/000120677419001116/nsc3509281-def14a.htm" TargetMode="External"/><Relationship Id="rId315" Type="http://schemas.openxmlformats.org/officeDocument/2006/relationships/hyperlink" Target="https://www.sec.gov/Archives/edgar/data/67716/000006771622000018/a2022mdudefinitiveproxy.htm" TargetMode="External"/><Relationship Id="rId557" Type="http://schemas.openxmlformats.org/officeDocument/2006/relationships/hyperlink" Target="https://www.sec.gov/Archives/edgar/data/702165/000155278120000226/e20158_nsc-def14a.htm" TargetMode="External"/><Relationship Id="rId799" Type="http://schemas.openxmlformats.org/officeDocument/2006/relationships/hyperlink" Target="https://www.sec.gov/Archives/edgar/data/310158/000119312521106317/d50486ddef14a.htm" TargetMode="External"/><Relationship Id="rId314" Type="http://schemas.openxmlformats.org/officeDocument/2006/relationships/hyperlink" Target="https://www.sec.gov/ixviewer/ix.html?doc=/Archives/edgar/data/0000067716/000006771623000035/mdu-20230323.htm" TargetMode="External"/><Relationship Id="rId556" Type="http://schemas.openxmlformats.org/officeDocument/2006/relationships/hyperlink" Target="https://www.sec.gov/Archives/edgar/data/702165/000155278121000163/e21086_nsc-def14a.htm" TargetMode="External"/><Relationship Id="rId798" Type="http://schemas.openxmlformats.org/officeDocument/2006/relationships/hyperlink" Target="https://www.sec.gov/Archives/edgar/data/310158/000119312522095134/d154286ddef14a.htm" TargetMode="External"/><Relationship Id="rId313" Type="http://schemas.openxmlformats.org/officeDocument/2006/relationships/hyperlink" Target="https://www.sec.gov/Archives/edgar/data/1019849/000104746919001422/a2237802zdef14a.htm" TargetMode="External"/><Relationship Id="rId555" Type="http://schemas.openxmlformats.org/officeDocument/2006/relationships/hyperlink" Target="https://www.sec.gov/Archives/edgar/data/0000702165/000155278122000298/e22129_nsc-def14a.htm" TargetMode="External"/><Relationship Id="rId797" Type="http://schemas.openxmlformats.org/officeDocument/2006/relationships/hyperlink" Target="https://www.sec.gov/ix?doc=/Archives/edgar/data/0000310158/000119312523089525/d277607ddef14a.htm" TargetMode="External"/><Relationship Id="rId319" Type="http://schemas.openxmlformats.org/officeDocument/2006/relationships/hyperlink" Target="https://www.sec.gov/ix?doc=/Archives/edgar/data/0001652044/000130817923000736/lgoog2023_def14a.htm" TargetMode="External"/><Relationship Id="rId318" Type="http://schemas.openxmlformats.org/officeDocument/2006/relationships/hyperlink" Target="https://www.sec.gov/Archives/edgar/data/67716/000006771619000034/a2019mdudefinitiveproxy.htm" TargetMode="External"/><Relationship Id="rId317" Type="http://schemas.openxmlformats.org/officeDocument/2006/relationships/hyperlink" Target="https://www.sec.gov/Archives/edgar/data/67716/000006771620000020/a2020mdudefinitiveproxy.htm" TargetMode="External"/><Relationship Id="rId559" Type="http://schemas.openxmlformats.org/officeDocument/2006/relationships/hyperlink" Target="https://www.sec.gov/ix?doc=/Archives/edgar/data/0000040533/000130817923000163/lgd2023_pre14a.htm" TargetMode="External"/><Relationship Id="rId550" Type="http://schemas.openxmlformats.org/officeDocument/2006/relationships/hyperlink" Target="https://www.sec.gov/Archives/edgar/data/0000066740/000120677422000811/mmm3983801-def14a.htm" TargetMode="External"/><Relationship Id="rId792" Type="http://schemas.openxmlformats.org/officeDocument/2006/relationships/hyperlink" Target="https://www.sec.gov/Archives/edgar/data/0000096021/000130817922000374/lsysco2022_def14a.htm" TargetMode="External"/><Relationship Id="rId791" Type="http://schemas.openxmlformats.org/officeDocument/2006/relationships/hyperlink" Target="https://www.goldmansachs.com/investor-relations/financials/archived/proxy-statements/docs/2019-proxy-statement-pdf.pdf" TargetMode="External"/><Relationship Id="rId790" Type="http://schemas.openxmlformats.org/officeDocument/2006/relationships/hyperlink" Target="https://www.goldmansachs.com/investor-relations/financials/current/proxy-statements/2020-proxy-statement-pdf.pdf" TargetMode="External"/><Relationship Id="rId312" Type="http://schemas.openxmlformats.org/officeDocument/2006/relationships/hyperlink" Target="https://www.sec.gov/Archives/edgar/data/1019849/000104746920001619/a2241013zdef14a.htm" TargetMode="External"/><Relationship Id="rId554" Type="http://schemas.openxmlformats.org/officeDocument/2006/relationships/hyperlink" Target="https://www.sec.gov/ix?doc=/Archives/edgar/data/0000702165/000155278123000213/e23052_nsc-def14a.htm" TargetMode="External"/><Relationship Id="rId796" Type="http://schemas.openxmlformats.org/officeDocument/2006/relationships/hyperlink" Target="https://www.sec.gov/Archives/edgar/data/0000096021/000130817918000271/lsyy2018_def14a.htm" TargetMode="External"/><Relationship Id="rId311" Type="http://schemas.openxmlformats.org/officeDocument/2006/relationships/hyperlink" Target="https://www.sec.gov/Archives/edgar/data/1019849/000101984921000013/pag-20210319xdef14a.htm" TargetMode="External"/><Relationship Id="rId553" Type="http://schemas.openxmlformats.org/officeDocument/2006/relationships/hyperlink" Target="https://www.sec.gov/Archives/edgar/data/0000066740/000120677419001068/mmm3460801-def14a.htm" TargetMode="External"/><Relationship Id="rId795" Type="http://schemas.openxmlformats.org/officeDocument/2006/relationships/hyperlink" Target="https://www.sec.gov/Archives/edgar/data/0000096021/000130817919000241/lsyy_2019def14a.htm" TargetMode="External"/><Relationship Id="rId310" Type="http://schemas.openxmlformats.org/officeDocument/2006/relationships/hyperlink" Target="https://www.sec.gov/Archives/edgar/data/1019849/000114036122010162/edge20002019x1_def14a.htm" TargetMode="External"/><Relationship Id="rId552" Type="http://schemas.openxmlformats.org/officeDocument/2006/relationships/hyperlink" Target="https://www.sec.gov/Archives/edgar/data/0000066740/000120677420000907/mmm3661701-def14a.htm" TargetMode="External"/><Relationship Id="rId794" Type="http://schemas.openxmlformats.org/officeDocument/2006/relationships/hyperlink" Target="https://www.sec.gov/Archives/edgar/data/0000096021/000130817920000279/lsyy2020_def14a.htm" TargetMode="External"/><Relationship Id="rId551" Type="http://schemas.openxmlformats.org/officeDocument/2006/relationships/hyperlink" Target="https://www.sec.gov/Archives/edgar/data/0000066740/000120677421000799/mmm3819441-def14a.htm" TargetMode="External"/><Relationship Id="rId793" Type="http://schemas.openxmlformats.org/officeDocument/2006/relationships/hyperlink" Target="https://www.sec.gov/Archives/edgar/data/0000096021/000130817921000326/lsysco2021_def14a.htm" TargetMode="External"/><Relationship Id="rId297" Type="http://schemas.openxmlformats.org/officeDocument/2006/relationships/hyperlink" Target="https://www.sec.gov/Archives/edgar/data/352541/000035254120000047/lnt2020def14a.htm" TargetMode="External"/><Relationship Id="rId296" Type="http://schemas.openxmlformats.org/officeDocument/2006/relationships/hyperlink" Target="https://www.sec.gov/Archives/edgar/data/352541/000035254121000043/lnt2021def14a.htm" TargetMode="External"/><Relationship Id="rId295" Type="http://schemas.openxmlformats.org/officeDocument/2006/relationships/hyperlink" Target="https://www.sec.gov/Archives/edgar/data/352541/000035254122000041/lnt2022def14a.htm" TargetMode="External"/><Relationship Id="rId294" Type="http://schemas.openxmlformats.org/officeDocument/2006/relationships/hyperlink" Target="https://www.sec.gov/ixviewer/ix.html?doc=/Archives/edgar/data/0000352541/000035254123000042/lnt-20230403.htm" TargetMode="External"/><Relationship Id="rId299" Type="http://schemas.openxmlformats.org/officeDocument/2006/relationships/hyperlink" Target="https://www.sec.gov/ixviewer/ix.html?doc=/Archives/edgar/data/0001410636/000119312523081511/d432194ddef14a.htm" TargetMode="External"/><Relationship Id="rId298" Type="http://schemas.openxmlformats.org/officeDocument/2006/relationships/hyperlink" Target="https://www.sec.gov/Archives/edgar/data/352541/000035254119000044/lnt2019def14a.htm" TargetMode="External"/><Relationship Id="rId271" Type="http://schemas.openxmlformats.org/officeDocument/2006/relationships/hyperlink" Target="https://www.sec.gov/Archives/edgar/data/1370946/000119312521077863/d74762ddef14a.htm" TargetMode="External"/><Relationship Id="rId270" Type="http://schemas.openxmlformats.org/officeDocument/2006/relationships/hyperlink" Target="https://www.sec.gov/Archives/edgar/data/1370946/000119312522072007/d241910ddef14a.htm" TargetMode="External"/><Relationship Id="rId269" Type="http://schemas.openxmlformats.org/officeDocument/2006/relationships/hyperlink" Target="https://www.sec.gov/ixviewer/ix.html?doc=/Archives/edgar/data/0001370946/000119312523066160/d397228ddef14a.htm" TargetMode="External"/><Relationship Id="rId264" Type="http://schemas.openxmlformats.org/officeDocument/2006/relationships/hyperlink" Target="https://www.sec.gov/ixviewer/ix.html?doc=/Archives/edgar/data/0001711269/000114036123013066/ny20006042x1_def14a.htm" TargetMode="External"/><Relationship Id="rId263" Type="http://schemas.openxmlformats.org/officeDocument/2006/relationships/hyperlink" Target="https://www.sec.gov/Archives/edgar/data/1013871/000104746919001180/a2237960zdef14a.htm" TargetMode="External"/><Relationship Id="rId262" Type="http://schemas.openxmlformats.org/officeDocument/2006/relationships/hyperlink" Target="https://www.sec.gov/Archives/edgar/data/1013871/000110465920034146/a20-1930_5def14a.htm" TargetMode="External"/><Relationship Id="rId261" Type="http://schemas.openxmlformats.org/officeDocument/2006/relationships/hyperlink" Target="https://www.sec.gov/Archives/edgar/data/1013871/000110465921036350/a21-2335_1def14a.htm" TargetMode="External"/><Relationship Id="rId268" Type="http://schemas.openxmlformats.org/officeDocument/2006/relationships/hyperlink" Target="https://www.sec.gov/Archives/edgar/data/1711269/000171126919000024/a2019proxyforyearend123120.htm" TargetMode="External"/><Relationship Id="rId267" Type="http://schemas.openxmlformats.org/officeDocument/2006/relationships/hyperlink" Target="https://www.sec.gov/Archives/edgar/data/1711269/000114036120006439/nc10007628x1_def14a.htm" TargetMode="External"/><Relationship Id="rId266" Type="http://schemas.openxmlformats.org/officeDocument/2006/relationships/hyperlink" Target="https://www.sec.gov/Archives/edgar/data/1711269/000119312521092003/d108138ddef14a.htm" TargetMode="External"/><Relationship Id="rId265" Type="http://schemas.openxmlformats.org/officeDocument/2006/relationships/hyperlink" Target="https://www.sec.gov/Archives/edgar/data/1711269/000114036122010677/edge20001922x1_def14a.htm" TargetMode="External"/><Relationship Id="rId260" Type="http://schemas.openxmlformats.org/officeDocument/2006/relationships/hyperlink" Target="https://www.sec.gov/Archives/edgar/data/1013871/000110465922033958/tm223391d3_def14a.htm" TargetMode="External"/><Relationship Id="rId259" Type="http://schemas.openxmlformats.org/officeDocument/2006/relationships/hyperlink" Target="https://www.sec.gov/ixviewer/ix.html?doc=/Archives/edgar/data/0001013871/000110465923032997/tm231822d2_def14a.htm" TargetMode="External"/><Relationship Id="rId258" Type="http://schemas.openxmlformats.org/officeDocument/2006/relationships/hyperlink" Target="https://www.sec.gov/Archives/edgar/data/1039684/000119312519097910/d652518ddef14a.htm" TargetMode="External"/><Relationship Id="rId253" Type="http://schemas.openxmlformats.org/officeDocument/2006/relationships/hyperlink" Target="https://www.sec.gov/Archives/edgar/data/898174/000089817419000015/proxy2019.htm" TargetMode="External"/><Relationship Id="rId495" Type="http://schemas.openxmlformats.org/officeDocument/2006/relationships/hyperlink" Target="https://www.sec.gov/Archives/edgar/data/0000077476/000120677421000801/pep3793971-def14a.htm" TargetMode="External"/><Relationship Id="rId252" Type="http://schemas.openxmlformats.org/officeDocument/2006/relationships/hyperlink" Target="https://www.sec.gov/Archives/edgar/data/898174/000089817420000015/proxy2020.htm" TargetMode="External"/><Relationship Id="rId494" Type="http://schemas.openxmlformats.org/officeDocument/2006/relationships/hyperlink" Target="https://www.sec.gov/ix?doc=/Archives/edgar/data/0000077476/000130817923000279/pep4134371-def14a.htm" TargetMode="External"/><Relationship Id="rId251" Type="http://schemas.openxmlformats.org/officeDocument/2006/relationships/hyperlink" Target="https://www.sec.gov/Archives/edgar/data/898174/000089817421000010/proxy2021.htm" TargetMode="External"/><Relationship Id="rId493" Type="http://schemas.openxmlformats.org/officeDocument/2006/relationships/hyperlink" Target="https://www.sec.gov/Archives/edgar/data/73309/000119312519082856/d700333ddef14a.htm" TargetMode="External"/><Relationship Id="rId250" Type="http://schemas.openxmlformats.org/officeDocument/2006/relationships/hyperlink" Target="https://www.sec.gov/Archives/edgar/data/898174/000089817422000047/proxy2022.htm" TargetMode="External"/><Relationship Id="rId492" Type="http://schemas.openxmlformats.org/officeDocument/2006/relationships/hyperlink" Target="https://www.sec.gov/Archives/edgar/data/73309/000119312520087744/d827479ddef14a.htm" TargetMode="External"/><Relationship Id="rId257" Type="http://schemas.openxmlformats.org/officeDocument/2006/relationships/hyperlink" Target="https://www.sec.gov/Archives/edgar/data/1039684/000119312520098177/d838960ddef14a.htm" TargetMode="External"/><Relationship Id="rId499" Type="http://schemas.openxmlformats.org/officeDocument/2006/relationships/hyperlink" Target="https://www.sec.gov/ix?doc=/Archives/edgar/data/0000080661/000008066123000017/pgr-20230327.htm" TargetMode="External"/><Relationship Id="rId256" Type="http://schemas.openxmlformats.org/officeDocument/2006/relationships/hyperlink" Target="https://www.sec.gov/Archives/edgar/data/1039684/000119312521108105/d111970ddef14a.htm" TargetMode="External"/><Relationship Id="rId498" Type="http://schemas.openxmlformats.org/officeDocument/2006/relationships/hyperlink" Target="https://www.sec.gov/Archives/edgar/data/0000077476/000120677419000762/pep3495251-pre14a.htm" TargetMode="External"/><Relationship Id="rId255" Type="http://schemas.openxmlformats.org/officeDocument/2006/relationships/hyperlink" Target="https://www.sec.gov/Archives/edgar/data/1039684/000119312522096709/d244135ddef14a.htm" TargetMode="External"/><Relationship Id="rId497" Type="http://schemas.openxmlformats.org/officeDocument/2006/relationships/hyperlink" Target="https://www.sec.gov/Archives/edgar/data/0000077476/000120677419000992/pep3495251-def14a.htm" TargetMode="External"/><Relationship Id="rId254" Type="http://schemas.openxmlformats.org/officeDocument/2006/relationships/hyperlink" Target="https://www.sec.gov/ixviewer/ix.html?doc=/Archives/edgar/data/0001039684/000119312523091474/d406129ddef14a.htm" TargetMode="External"/><Relationship Id="rId496" Type="http://schemas.openxmlformats.org/officeDocument/2006/relationships/hyperlink" Target="https://www.sec.gov/Archives/edgar/data/77476/000120677420000855/pep3615311-def14a.htm" TargetMode="External"/><Relationship Id="rId293" Type="http://schemas.openxmlformats.org/officeDocument/2006/relationships/hyperlink" Target="https://www.sec.gov/Archives/edgar/data/811156/000114036119005318/bp15954x1.htm" TargetMode="External"/><Relationship Id="rId292" Type="http://schemas.openxmlformats.org/officeDocument/2006/relationships/hyperlink" Target="https://www.sec.gov/Archives/edgar/data/811156/000114036120006318/nc10006832x1_def14a.htm" TargetMode="External"/><Relationship Id="rId291" Type="http://schemas.openxmlformats.org/officeDocument/2006/relationships/hyperlink" Target="https://www.sec.gov/Archives/edgar/data/811156/000114036121009992/nc10019849x1_def14a.htm" TargetMode="External"/><Relationship Id="rId290" Type="http://schemas.openxmlformats.org/officeDocument/2006/relationships/hyperlink" Target="https://www.sec.gov/Archives/edgar/data/811156/000114036122010877/ny20001782x1_def14a.htm" TargetMode="External"/><Relationship Id="rId286" Type="http://schemas.openxmlformats.org/officeDocument/2006/relationships/hyperlink" Target="https://www.sec.gov/Archives/edgar/data/731802/000119312520320702/d18693ddef14a.htm" TargetMode="External"/><Relationship Id="rId285" Type="http://schemas.openxmlformats.org/officeDocument/2006/relationships/hyperlink" Target="https://www.sec.gov/Archives/edgar/data/731802/000119312521359868/d201674ddef14a.htm" TargetMode="External"/><Relationship Id="rId284" Type="http://schemas.openxmlformats.org/officeDocument/2006/relationships/hyperlink" Target="https://www.sec.gov/Archives/edgar/data/731802/000119312522306348/d400285ddef14a.htm" TargetMode="External"/><Relationship Id="rId283" Type="http://schemas.openxmlformats.org/officeDocument/2006/relationships/hyperlink" Target="https://www.sec.gov/Archives/edgar/data/884614/000119312518354472/d642538ddef14a.htm" TargetMode="External"/><Relationship Id="rId289" Type="http://schemas.openxmlformats.org/officeDocument/2006/relationships/hyperlink" Target="https://www.sec.gov/ixviewer/ix.html?doc=/Archives/edgar/data/0000811156/000114036123013253/ny20006384_def14a.htm" TargetMode="External"/><Relationship Id="rId288" Type="http://schemas.openxmlformats.org/officeDocument/2006/relationships/hyperlink" Target="https://www.sec.gov/Archives/edgar/data/731802/000119312518355319/d607947ddef14a.htm" TargetMode="External"/><Relationship Id="rId287" Type="http://schemas.openxmlformats.org/officeDocument/2006/relationships/hyperlink" Target="https://www.sec.gov/Archives/edgar/data/731802/000119312519319625/d788859ddef14a.htm" TargetMode="External"/><Relationship Id="rId282" Type="http://schemas.openxmlformats.org/officeDocument/2006/relationships/hyperlink" Target="https://www.sec.gov/Archives/edgar/data/884614/000119312519314012/d762729ddef14a.htm" TargetMode="External"/><Relationship Id="rId281" Type="http://schemas.openxmlformats.org/officeDocument/2006/relationships/hyperlink" Target="https://www.sec.gov/Archives/edgar/data/884614/000119312520321541/d32094ddef14a.htm" TargetMode="External"/><Relationship Id="rId280" Type="http://schemas.openxmlformats.org/officeDocument/2006/relationships/hyperlink" Target="https://www.sec.gov/Archives/edgar/data/884614/000119312521359267/d212031ddef14a.htm" TargetMode="External"/><Relationship Id="rId275" Type="http://schemas.openxmlformats.org/officeDocument/2006/relationships/hyperlink" Target="https://www.sec.gov/Archives/edgar/data/1047862/000119312522095157/d252616ddef14a.htm" TargetMode="External"/><Relationship Id="rId274" Type="http://schemas.openxmlformats.org/officeDocument/2006/relationships/hyperlink" Target="https://www.sec.gov/ixviewer/ix.html?doc=/Archives/edgar/data/0001047862/000119312523089536/d452806ddef14a.htm" TargetMode="External"/><Relationship Id="rId273" Type="http://schemas.openxmlformats.org/officeDocument/2006/relationships/hyperlink" Target="https://www.sec.gov/Archives/edgar/data/1370946/000119312519074852/d644979ddef14a.htm" TargetMode="External"/><Relationship Id="rId272" Type="http://schemas.openxmlformats.org/officeDocument/2006/relationships/hyperlink" Target="https://www.sec.gov/Archives/edgar/data/1370946/000119312520072950/d842381ddef14a.htm" TargetMode="External"/><Relationship Id="rId279" Type="http://schemas.openxmlformats.org/officeDocument/2006/relationships/hyperlink" Target="https://www.sec.gov/Archives/edgar/data/884614/000114036122045549/ny20005605x1_def14a.htm" TargetMode="External"/><Relationship Id="rId278" Type="http://schemas.openxmlformats.org/officeDocument/2006/relationships/hyperlink" Target="https://www.sec.gov/Archives/edgar/data/1047862/000119312519100754/d701300ddef14a.htm" TargetMode="External"/><Relationship Id="rId277" Type="http://schemas.openxmlformats.org/officeDocument/2006/relationships/hyperlink" Target="https://www.sec.gov/Archives/edgar/data/1047862/000119312520099552/d871420ddef14a.htm" TargetMode="External"/><Relationship Id="rId276" Type="http://schemas.openxmlformats.org/officeDocument/2006/relationships/hyperlink" Target="https://www.sec.gov/Archives/edgar/data/1047862/000119312521106431/d197237ddef14a.htm" TargetMode="External"/><Relationship Id="rId629" Type="http://schemas.openxmlformats.org/officeDocument/2006/relationships/hyperlink" Target="https://www.sec.gov/ix?doc=/Archives/edgar/data/0000018230/000130817923000830/lcat2023_def14a.htm" TargetMode="External"/><Relationship Id="rId624" Type="http://schemas.openxmlformats.org/officeDocument/2006/relationships/hyperlink" Target="https://www.sec.gov/ix?doc=/Archives/edgar/data/0000021344/000130817923000117/ko4104401-def14a.htm" TargetMode="External"/><Relationship Id="rId866" Type="http://schemas.openxmlformats.org/officeDocument/2006/relationships/hyperlink" Target="https://www.sec.gov/Archives/edgar/data/7536/000155837019002460/def14a.htm" TargetMode="External"/><Relationship Id="rId623" Type="http://schemas.openxmlformats.org/officeDocument/2006/relationships/hyperlink" Target="https://www.sec.gov/Archives/edgar/data/29534/000119312519097919/d716260ddef14a.htm" TargetMode="External"/><Relationship Id="rId865" Type="http://schemas.openxmlformats.org/officeDocument/2006/relationships/hyperlink" Target="https://www.sec.gov/Archives/edgar/data/7536/000155837020003483/def14a.htm" TargetMode="External"/><Relationship Id="rId622" Type="http://schemas.openxmlformats.org/officeDocument/2006/relationships/hyperlink" Target="https://www.sec.gov/Archives/edgar/data/29534/000110465920042520/tm2010836-2_def14a.htm" TargetMode="External"/><Relationship Id="rId864" Type="http://schemas.openxmlformats.org/officeDocument/2006/relationships/hyperlink" Target="https://www.sec.gov/Archives/edgar/data/7536/000155837021003873/tmb-20210512xdef14a.htm" TargetMode="External"/><Relationship Id="rId621" Type="http://schemas.openxmlformats.org/officeDocument/2006/relationships/hyperlink" Target="https://www.sec.gov/Archives/edgar/data/29534/000110465921045587/tm212529-3_def14a.htm" TargetMode="External"/><Relationship Id="rId863" Type="http://schemas.openxmlformats.org/officeDocument/2006/relationships/hyperlink" Target="https://www.sec.gov/Archives/edgar/data/7536/000155837022004679/tmb-20220511xdef14a.htm" TargetMode="External"/><Relationship Id="rId628" Type="http://schemas.openxmlformats.org/officeDocument/2006/relationships/hyperlink" Target="https://www.sec.gov/Archives/edgar/data/21344/000120677419000735/ko3422831-def14a.htm" TargetMode="External"/><Relationship Id="rId627" Type="http://schemas.openxmlformats.org/officeDocument/2006/relationships/hyperlink" Target="https://www.sec.gov/Archives/edgar/data/21344/000120677420000704/ko3621041-def14a.htm" TargetMode="External"/><Relationship Id="rId869" Type="http://schemas.openxmlformats.org/officeDocument/2006/relationships/hyperlink" Target="https://www.sec.gov/Archives/edgar/data/1413329/000119312521093264/d94090ddef14a.htm" TargetMode="External"/><Relationship Id="rId626" Type="http://schemas.openxmlformats.org/officeDocument/2006/relationships/hyperlink" Target="https://www.sec.gov/Archives/edgar/data/21344/000120677421000597/ko3821491-def14a.htm" TargetMode="External"/><Relationship Id="rId868" Type="http://schemas.openxmlformats.org/officeDocument/2006/relationships/hyperlink" Target="https://www.sec.gov/Archives/edgar/data/1413329/000110465922037508/tm2136562-3_def14a.htm" TargetMode="External"/><Relationship Id="rId625" Type="http://schemas.openxmlformats.org/officeDocument/2006/relationships/hyperlink" Target="https://www.sec.gov/Archives/edgar/data/21344/000120677422000669/ko3966431-def14a.htm" TargetMode="External"/><Relationship Id="rId867" Type="http://schemas.openxmlformats.org/officeDocument/2006/relationships/hyperlink" Target="https://www.sec.gov/ix?doc=/Archives/edgar/data/0001413329/000110465923036062/tm231786d2_def14a.htm" TargetMode="External"/><Relationship Id="rId620" Type="http://schemas.openxmlformats.org/officeDocument/2006/relationships/hyperlink" Target="https://www.sec.gov/Archives/edgar/data/29534/000110465922041763/tm2135878-1_def14a.htm" TargetMode="External"/><Relationship Id="rId862" Type="http://schemas.openxmlformats.org/officeDocument/2006/relationships/hyperlink" Target="https://www.sec.gov/ix?doc=/Archives/edgar/data/0000007536/000155837023005454/arw-20230517xdef14a.htm" TargetMode="External"/><Relationship Id="rId861" Type="http://schemas.openxmlformats.org/officeDocument/2006/relationships/hyperlink" Target="https://www.sec.gov/Archives/edgar/data/100517/000104746919002160/a2238290zdef14a.htm" TargetMode="External"/><Relationship Id="rId860" Type="http://schemas.openxmlformats.org/officeDocument/2006/relationships/hyperlink" Target="https://www.sec.gov/Archives/edgar/data/100517/000104746920002218/a2241177zdef14a.htm" TargetMode="External"/><Relationship Id="rId619" Type="http://schemas.openxmlformats.org/officeDocument/2006/relationships/hyperlink" Target="https://www.sec.gov/ix?doc=/Archives/edgar/data/0000029534/000110465923044057/tm2228297d2_def14a.htm" TargetMode="External"/><Relationship Id="rId618" Type="http://schemas.openxmlformats.org/officeDocument/2006/relationships/hyperlink" Target="https://www.sec.gov/Archives/edgar/data/0000056873/000114036119009096/nc10001224x3_def14a.htm" TargetMode="External"/><Relationship Id="rId613" Type="http://schemas.openxmlformats.org/officeDocument/2006/relationships/hyperlink" Target="https://www.sec.gov/Archives/edgar/data/35527/000119312519064796/d644497ddef14a.htm" TargetMode="External"/><Relationship Id="rId855" Type="http://schemas.openxmlformats.org/officeDocument/2006/relationships/hyperlink" Target="https://www.sec.gov/Archives/edgar/data/14272/000114036120006834/nc10007007x1_def14a.htm" TargetMode="External"/><Relationship Id="rId612" Type="http://schemas.openxmlformats.org/officeDocument/2006/relationships/hyperlink" Target="https://www.sec.gov/Archives/edgar/data/35527/000119312520061684/d826172ddef14a.htm" TargetMode="External"/><Relationship Id="rId854" Type="http://schemas.openxmlformats.org/officeDocument/2006/relationships/hyperlink" Target="https://www.sec.gov/Archives/edgar/data/14272/000114036121010010/nc10020324x2_def14a.htm" TargetMode="External"/><Relationship Id="rId611" Type="http://schemas.openxmlformats.org/officeDocument/2006/relationships/hyperlink" Target="https://www.sec.gov/Archives/edgar/data/35527/000119312521065580/d58594ddef14a.htm" TargetMode="External"/><Relationship Id="rId853" Type="http://schemas.openxmlformats.org/officeDocument/2006/relationships/hyperlink" Target="https://www.sec.gov/Archives/edgar/data/14272/000114036122010987/ny20002084x1_def14a.htm" TargetMode="External"/><Relationship Id="rId610" Type="http://schemas.openxmlformats.org/officeDocument/2006/relationships/hyperlink" Target="https://www.sec.gov/Archives/edgar/data/35527/000119312522061400/d204490ddef14a.htm" TargetMode="External"/><Relationship Id="rId852" Type="http://schemas.openxmlformats.org/officeDocument/2006/relationships/hyperlink" Target="https://www.sec.gov/ix?doc=/Archives/edgar/data/0000014272/000114036123013442/ny20006581x1_def14a.htm" TargetMode="External"/><Relationship Id="rId617" Type="http://schemas.openxmlformats.org/officeDocument/2006/relationships/hyperlink" Target="https://www.sec.gov/Archives/edgar/data/0000056873/000114036120011379/nc10008523x1_def14a.htm" TargetMode="External"/><Relationship Id="rId859" Type="http://schemas.openxmlformats.org/officeDocument/2006/relationships/hyperlink" Target="https://www.sec.gov/Archives/edgar/data/100517/000110465921050803/tm212376-3_def14a.htm" TargetMode="External"/><Relationship Id="rId616" Type="http://schemas.openxmlformats.org/officeDocument/2006/relationships/hyperlink" Target="https://www.sec.gov/Archives/edgar/data/0000056873/000114036121017149/nc10022090x1_def14a.htm" TargetMode="External"/><Relationship Id="rId858" Type="http://schemas.openxmlformats.org/officeDocument/2006/relationships/hyperlink" Target="https://www.sec.gov/Archives/edgar/data/100517/000110465922046108/tm222497-1_def14a.htm" TargetMode="External"/><Relationship Id="rId615" Type="http://schemas.openxmlformats.org/officeDocument/2006/relationships/hyperlink" Target="https://www.sec.gov/Archives/edgar/data/56873/000110465922054782/tm2212949-2_defc14a.htm" TargetMode="External"/><Relationship Id="rId857" Type="http://schemas.openxmlformats.org/officeDocument/2006/relationships/hyperlink" Target="https://www.sec.gov/ix?doc=/Archives/edgar/data/0000100517/000110465923045102/tm238497d2_def14a.htm" TargetMode="External"/><Relationship Id="rId614" Type="http://schemas.openxmlformats.org/officeDocument/2006/relationships/hyperlink" Target="https://www.sec.gov/ix?doc=/Archives/edgar/data/56873/000110465923059456/tm233382d3_def14a.htm" TargetMode="External"/><Relationship Id="rId856" Type="http://schemas.openxmlformats.org/officeDocument/2006/relationships/hyperlink" Target="https://www.sec.gov/Archives/edgar/data/14272/000104746919002763/a2238565zdef14a.htm" TargetMode="External"/><Relationship Id="rId851" Type="http://schemas.openxmlformats.org/officeDocument/2006/relationships/hyperlink" Target="https://www.sec.gov/Archives/edgar/data/1800/000104746919001316/a2237648zdef14a.htm" TargetMode="External"/><Relationship Id="rId850" Type="http://schemas.openxmlformats.org/officeDocument/2006/relationships/hyperlink" Target="https://www.sec.gov/Archives/edgar/data/1800/000104746920001466/a2240611zdef14a.htm" TargetMode="External"/><Relationship Id="rId409" Type="http://schemas.openxmlformats.org/officeDocument/2006/relationships/hyperlink" Target="https://www.sec.gov/ixviewer/ix.html?doc=/Archives/edgar/data/0000036104/000110465923029560/tm2230790d2_def14a.htm" TargetMode="External"/><Relationship Id="rId404" Type="http://schemas.openxmlformats.org/officeDocument/2006/relationships/hyperlink" Target="https://www.sec.gov/ix?doc=/Archives/edgar/data/0000064803/000130817923000606/cvs4106991-def14a.htm" TargetMode="External"/><Relationship Id="rId646" Type="http://schemas.openxmlformats.org/officeDocument/2006/relationships/hyperlink" Target="https://www.sec.gov/Archives/edgar/data/63908/000120677421001039/mcd3798221-def14a.htm" TargetMode="External"/><Relationship Id="rId888" Type="http://schemas.openxmlformats.org/officeDocument/2006/relationships/hyperlink" Target="https://www.sec.gov/Archives/edgar/data/0001501585/000119312522080314/d298364ddef14a.htm" TargetMode="External"/><Relationship Id="rId403" Type="http://schemas.openxmlformats.org/officeDocument/2006/relationships/hyperlink" Target="https://www.sec.gov/Archives/edgar/data/858877/000119312518306418/d611307ddef14a.htm" TargetMode="External"/><Relationship Id="rId645" Type="http://schemas.openxmlformats.org/officeDocument/2006/relationships/hyperlink" Target="https://www.sec.gov/Archives/edgar/data/63908/000120677422000894/mcd3962181-pre14a.htm" TargetMode="External"/><Relationship Id="rId887" Type="http://schemas.openxmlformats.org/officeDocument/2006/relationships/hyperlink" Target="https://www.sec.gov/ix?doc=/Archives/edgar/data/0001501585/000119312523074724/d252789ddef14a.htm" TargetMode="External"/><Relationship Id="rId402" Type="http://schemas.openxmlformats.org/officeDocument/2006/relationships/hyperlink" Target="https://www.sec.gov/Archives/edgar/data/858877/000119312519271676/d718867ddef14a.htm" TargetMode="External"/><Relationship Id="rId644" Type="http://schemas.openxmlformats.org/officeDocument/2006/relationships/hyperlink" Target="https://www.sec.gov/ixviewer/ix.html?doc=/Archives/edgar/data/0000063908/000155837023005957/mcd-20230525xdef14a.htm" TargetMode="External"/><Relationship Id="rId886" Type="http://schemas.openxmlformats.org/officeDocument/2006/relationships/hyperlink" Target="https://www.sec.gov/Archives/edgar/data/0001336920/000119312519074853/d708332ddef14a.htm" TargetMode="External"/><Relationship Id="rId401" Type="http://schemas.openxmlformats.org/officeDocument/2006/relationships/hyperlink" Target="https://www.sec.gov/Archives/edgar/data/858877/000119312520273689/d893355ddef14a.htm" TargetMode="External"/><Relationship Id="rId643" Type="http://schemas.openxmlformats.org/officeDocument/2006/relationships/hyperlink" Target="https://www.sec.gov/Archives/edgar/data/764478/000114036119008156/nc10000834x1_def14a.htm" TargetMode="External"/><Relationship Id="rId885" Type="http://schemas.openxmlformats.org/officeDocument/2006/relationships/hyperlink" Target="https://www.sec.gov/Archives/edgar/data/0001336920/000119312520079546/d869408ddef14a.htm" TargetMode="External"/><Relationship Id="rId408" Type="http://schemas.openxmlformats.org/officeDocument/2006/relationships/hyperlink" Target="https://www.sec.gov/Archives/edgar/data/0000064803/000120677419001240/cvs3508731-def14a.htm" TargetMode="External"/><Relationship Id="rId407" Type="http://schemas.openxmlformats.org/officeDocument/2006/relationships/hyperlink" Target="https://www.sec.gov/Archives/edgar/data/0000064803/000120677420001053/cvs3650331-def14a.htm" TargetMode="External"/><Relationship Id="rId649" Type="http://schemas.openxmlformats.org/officeDocument/2006/relationships/hyperlink" Target="https://www.sec.gov/ixviewer/ix.html?doc=/Archives/edgar/data/0001324404/000110465923035476/tm231975d4_def14a.htm" TargetMode="External"/><Relationship Id="rId406" Type="http://schemas.openxmlformats.org/officeDocument/2006/relationships/hyperlink" Target="https://www.sec.gov/Archives/edgar/data/0000064803/000120677421000974/cvs3833491-def14a.htm" TargetMode="External"/><Relationship Id="rId648" Type="http://schemas.openxmlformats.org/officeDocument/2006/relationships/hyperlink" Target="https://www.sec.gov/Archives/edgar/data/63908/000120677419001299/mcd3477431-def14a.htm" TargetMode="External"/><Relationship Id="rId405" Type="http://schemas.openxmlformats.org/officeDocument/2006/relationships/hyperlink" Target="https://www.sec.gov/Archives/edgar/data/0000064803/000120677422000965/cvs3990751-def14a.htm" TargetMode="External"/><Relationship Id="rId647" Type="http://schemas.openxmlformats.org/officeDocument/2006/relationships/hyperlink" Target="https://www.sec.gov/Archives/edgar/data/63908/000120677420001117/mcd3631831-def14a.htm" TargetMode="External"/><Relationship Id="rId889" Type="http://schemas.openxmlformats.org/officeDocument/2006/relationships/hyperlink" Target="https://www.sec.gov/Archives/edgar/data/0001501585/000119312521087134/d848290ddef14a.htm" TargetMode="External"/><Relationship Id="rId880" Type="http://schemas.openxmlformats.org/officeDocument/2006/relationships/hyperlink" Target="https://www.sec.gov/Archives/edgar/data/0000202058/000114036120005624/nc10006721x5_def14a.htm" TargetMode="External"/><Relationship Id="rId400" Type="http://schemas.openxmlformats.org/officeDocument/2006/relationships/hyperlink" Target="https://www.sec.gov/Archives/edgar/data/858877/000119312521306708/d174342ddef14a.htm" TargetMode="External"/><Relationship Id="rId642" Type="http://schemas.openxmlformats.org/officeDocument/2006/relationships/hyperlink" Target="https://www.sec.gov/Archives/edgar/data/764478/000114036120010133/nc10007505x3_def14a.htm" TargetMode="External"/><Relationship Id="rId884" Type="http://schemas.openxmlformats.org/officeDocument/2006/relationships/hyperlink" Target="https://www.sec.gov/Archives/edgar/data/0001336920/000119312521087525/d25992ddef14a.htm" TargetMode="External"/><Relationship Id="rId641" Type="http://schemas.openxmlformats.org/officeDocument/2006/relationships/hyperlink" Target="https://www.sec.gov/Archives/edgar/data/764478/000114036121015963/nc10018363x1_def14a.htm" TargetMode="External"/><Relationship Id="rId883" Type="http://schemas.openxmlformats.org/officeDocument/2006/relationships/hyperlink" Target="https://www.sec.gov/Archives/edgar/data/0001336920/000119312522077284/d293127ddef14a.htm" TargetMode="External"/><Relationship Id="rId640" Type="http://schemas.openxmlformats.org/officeDocument/2006/relationships/hyperlink" Target="https://www.sec.gov/Archives/edgar/data/764478/000114036122016250/ny20001944x1_def14a.htm" TargetMode="External"/><Relationship Id="rId882" Type="http://schemas.openxmlformats.org/officeDocument/2006/relationships/hyperlink" Target="https://www.sec.gov/ix?doc=/Archives/edgar/data/0001336920/000133692023000024/ldos-20230315.htm" TargetMode="External"/><Relationship Id="rId881" Type="http://schemas.openxmlformats.org/officeDocument/2006/relationships/hyperlink" Target="https://www.sec.gov/Archives/edgar/data/202058/000114036119016433/nc10003368x1_def14a.htm" TargetMode="External"/><Relationship Id="rId635" Type="http://schemas.openxmlformats.org/officeDocument/2006/relationships/hyperlink" Target="https://www.sec.gov/Archives/edgar/data/896878/000110465921143449/tm2132245-1_def14a.htm" TargetMode="External"/><Relationship Id="rId877" Type="http://schemas.openxmlformats.org/officeDocument/2006/relationships/hyperlink" Target="https://www.sec.gov/ix?doc=/Archives/edgar/data/0000202058/000110465923031160/tm2232876d3_def14a.htm" TargetMode="External"/><Relationship Id="rId634" Type="http://schemas.openxmlformats.org/officeDocument/2006/relationships/hyperlink" Target="https://www.sec.gov/Archives/edgar/data/896878/000110465922121633/tm2223271-2_def14a.htm" TargetMode="External"/><Relationship Id="rId876" Type="http://schemas.openxmlformats.org/officeDocument/2006/relationships/hyperlink" Target="https://www.sec.gov/Archives/edgar/data/804328/000120523319000009/proxy2019.htm" TargetMode="External"/><Relationship Id="rId633" Type="http://schemas.openxmlformats.org/officeDocument/2006/relationships/hyperlink" Target="https://www.sec.gov/Archives/edgar/data/0000018230/000130817919000185/lcat2019_def14a.htm" TargetMode="External"/><Relationship Id="rId875" Type="http://schemas.openxmlformats.org/officeDocument/2006/relationships/hyperlink" Target="https://www.sec.gov/Archives/edgar/data/804328/000104746920000446/a2240412zdef14a.htm" TargetMode="External"/><Relationship Id="rId632" Type="http://schemas.openxmlformats.org/officeDocument/2006/relationships/hyperlink" Target="https://www.sec.gov/Archives/edgar/data/0000018230/000130817920000236/lcat2020_def14a.htm" TargetMode="External"/><Relationship Id="rId874" Type="http://schemas.openxmlformats.org/officeDocument/2006/relationships/hyperlink" Target="https://www.sec.gov/Archives/edgar/data/804328/000104746921000158/a2242741zdef14a.htm" TargetMode="External"/><Relationship Id="rId639" Type="http://schemas.openxmlformats.org/officeDocument/2006/relationships/hyperlink" Target="https://www.sec.gov/ix?doc=/Archives/edgar/data/0000764478/000114036123022482/ny20006533x1_def14a.htm" TargetMode="External"/><Relationship Id="rId638" Type="http://schemas.openxmlformats.org/officeDocument/2006/relationships/hyperlink" Target="https://www.sec.gov/Archives/edgar/data/896878/000114420418061215/tv506224-def14a.htm" TargetMode="External"/><Relationship Id="rId637" Type="http://schemas.openxmlformats.org/officeDocument/2006/relationships/hyperlink" Target="https://www.sec.gov/Archives/edgar/data/896878/000110465919068149/tv531778-def14a.htm" TargetMode="External"/><Relationship Id="rId879" Type="http://schemas.openxmlformats.org/officeDocument/2006/relationships/hyperlink" Target="https://www.sec.gov/Archives/edgar/data/0000202058/000114036121008206/nc18250_def14a.htm" TargetMode="External"/><Relationship Id="rId636" Type="http://schemas.openxmlformats.org/officeDocument/2006/relationships/hyperlink" Target="https://www.sec.gov/Archives/edgar/data/896878/000110465920129369/tm2034194-2_def14a.htm" TargetMode="External"/><Relationship Id="rId878" Type="http://schemas.openxmlformats.org/officeDocument/2006/relationships/hyperlink" Target="https://www.sec.gov/Archives/edgar/data/202058/000110465922032801/tm224033-4_def14a.htm" TargetMode="External"/><Relationship Id="rId631" Type="http://schemas.openxmlformats.org/officeDocument/2006/relationships/hyperlink" Target="https://www.sec.gov/Archives/edgar/data/0000018230/000130817921000280/lcat2021_def14a.htm" TargetMode="External"/><Relationship Id="rId873" Type="http://schemas.openxmlformats.org/officeDocument/2006/relationships/hyperlink" Target="https://www.sec.gov/Archives/edgar/data/804328/000110465922005926/tm2127665-1_def14a.htm" TargetMode="External"/><Relationship Id="rId630" Type="http://schemas.openxmlformats.org/officeDocument/2006/relationships/hyperlink" Target="https://www.sec.gov/Archives/edgar/data/0000018230/000130817922000290/lcat2022_def14a.htm" TargetMode="External"/><Relationship Id="rId872" Type="http://schemas.openxmlformats.org/officeDocument/2006/relationships/hyperlink" Target="https://www.sec.gov/Archives/edgar/data/804328/000110465923005003/tm2229835-1_def14a.htm" TargetMode="External"/><Relationship Id="rId871" Type="http://schemas.openxmlformats.org/officeDocument/2006/relationships/hyperlink" Target="https://www.sec.gov/Archives/edgar/data/1413329/000119312519081395/d686733ddef14a.htm" TargetMode="External"/><Relationship Id="rId870" Type="http://schemas.openxmlformats.org/officeDocument/2006/relationships/hyperlink" Target="https://www.sec.gov/Archives/edgar/data/1413329/000119312520085906/d832372ddef14a.htm" TargetMode="External"/><Relationship Id="rId829" Type="http://schemas.openxmlformats.org/officeDocument/2006/relationships/hyperlink" Target="https://www.sec.gov/Archives/edgar/data/0001341439/000119312520249194/d78987ddef14a.htm" TargetMode="External"/><Relationship Id="rId828" Type="http://schemas.openxmlformats.org/officeDocument/2006/relationships/hyperlink" Target="https://www.sec.gov/Archives/edgar/data/0001341439/000119312521282422/d162163ddef14a.htm" TargetMode="External"/><Relationship Id="rId827" Type="http://schemas.openxmlformats.org/officeDocument/2006/relationships/hyperlink" Target="https://www.sec.gov/Archives/edgar/data/0001341439/000119312522250158/d357923ddef14a.htm" TargetMode="External"/><Relationship Id="rId822" Type="http://schemas.openxmlformats.org/officeDocument/2006/relationships/hyperlink" Target="https://www.sec.gov/Archives/edgar/data/0000913760/000091376023000006/a2023proxy.htm" TargetMode="External"/><Relationship Id="rId821" Type="http://schemas.openxmlformats.org/officeDocument/2006/relationships/hyperlink" Target="https://www.sec.gov/Archives/edgar/data/1163165/000120677419001161/cop3493381-def14a.htm" TargetMode="External"/><Relationship Id="rId820" Type="http://schemas.openxmlformats.org/officeDocument/2006/relationships/hyperlink" Target="https://www.sec.gov/Archives/edgar/data/1163165/000120677420000973/cop3661511-def14a.htm" TargetMode="External"/><Relationship Id="rId826" Type="http://schemas.openxmlformats.org/officeDocument/2006/relationships/hyperlink" Target="https://www.sec.gov/Archives/edgar/data/0000913760/000091376019000003/intlfcstoneinc2019proxy.htm" TargetMode="External"/><Relationship Id="rId825" Type="http://schemas.openxmlformats.org/officeDocument/2006/relationships/hyperlink" Target="https://www.sec.gov/Archives/edgar/data/0000913760/000091376020000076/a2020specialmeetingproxy.htm" TargetMode="External"/><Relationship Id="rId824" Type="http://schemas.openxmlformats.org/officeDocument/2006/relationships/hyperlink" Target="https://www.sec.gov/Archives/edgar/data/0000913760/000091376021000005/a2021proxy.htm" TargetMode="External"/><Relationship Id="rId823" Type="http://schemas.openxmlformats.org/officeDocument/2006/relationships/hyperlink" Target="https://www.sec.gov/Archives/edgar/data/0000913760/000091376022000007/a2022proxy.htm" TargetMode="External"/><Relationship Id="rId819" Type="http://schemas.openxmlformats.org/officeDocument/2006/relationships/hyperlink" Target="https://www.sec.gov/Archives/edgar/data/1163165/000120677421000875/cop3840471-def14a.htm" TargetMode="External"/><Relationship Id="rId818" Type="http://schemas.openxmlformats.org/officeDocument/2006/relationships/hyperlink" Target="https://www.sec.gov/Archives/edgar/data/1163165/000120677422000879/cop3949151def14a.htm" TargetMode="External"/><Relationship Id="rId817" Type="http://schemas.openxmlformats.org/officeDocument/2006/relationships/hyperlink" Target="https://www.sec.gov/ix?doc=/Archives/edgar/data/0001163165/000130817923000477/cop4128181-def14a.htm" TargetMode="External"/><Relationship Id="rId816" Type="http://schemas.openxmlformats.org/officeDocument/2006/relationships/hyperlink" Target="https://www.sec.gov/Archives/edgar/data/0000100493/000010049318000169/proxystatement-2018.htm" TargetMode="External"/><Relationship Id="rId811" Type="http://schemas.openxmlformats.org/officeDocument/2006/relationships/hyperlink" Target="https://www.sec.gov/Archives/edgar/data/0001551152/000104746919001544/a2238040zdef14a.htm" TargetMode="External"/><Relationship Id="rId810" Type="http://schemas.openxmlformats.org/officeDocument/2006/relationships/hyperlink" Target="https://www.sec.gov/Archives/edgar/data/0001551152/000104746920001710/a2241076zdef14a.htm" TargetMode="External"/><Relationship Id="rId815" Type="http://schemas.openxmlformats.org/officeDocument/2006/relationships/hyperlink" Target="https://www.sec.gov/Archives/edgar/data/0000100493/000010049319000170/proxystatement-2019.htm" TargetMode="External"/><Relationship Id="rId814" Type="http://schemas.openxmlformats.org/officeDocument/2006/relationships/hyperlink" Target="https://www.sec.gov/Archives/edgar/data/0000100493/000010049320000207/proxystatement-2020.htm" TargetMode="External"/><Relationship Id="rId813" Type="http://schemas.openxmlformats.org/officeDocument/2006/relationships/hyperlink" Target="https://www.sec.gov/Archives/edgar/data/0000100493/000010049321000194/a2021proxystatement.htm" TargetMode="External"/><Relationship Id="rId812" Type="http://schemas.openxmlformats.org/officeDocument/2006/relationships/hyperlink" Target="https://www.sec.gov/Archives/edgar/data/0000100493/000010049322000129/a2022proxystatement.htm" TargetMode="External"/><Relationship Id="rId609" Type="http://schemas.openxmlformats.org/officeDocument/2006/relationships/hyperlink" Target="https://www.sec.gov/ixviewer/ix.html?doc=/Archives/edgar/data/0000035527/000119312523061424/d403014ddef14a.htm" TargetMode="External"/><Relationship Id="rId608" Type="http://schemas.openxmlformats.org/officeDocument/2006/relationships/hyperlink" Target="https://www.sec.gov/Archives/edgar/data/109198/000119312519119221/d656615ddef14a.htm" TargetMode="External"/><Relationship Id="rId607" Type="http://schemas.openxmlformats.org/officeDocument/2006/relationships/hyperlink" Target="https://www.sec.gov/Archives/edgar/data/109198/000119312520116317/d851789ddef14a.htm" TargetMode="External"/><Relationship Id="rId849" Type="http://schemas.openxmlformats.org/officeDocument/2006/relationships/hyperlink" Target="https://www.sec.gov/Archives/edgar/data/1800/000104746921000592/a2242988zdef14a.htm" TargetMode="External"/><Relationship Id="rId602" Type="http://schemas.openxmlformats.org/officeDocument/2006/relationships/hyperlink" Target="https://www.sec.gov/Archives/edgar/data/0000034088/000119312520102226/d869473ddef14a.htm" TargetMode="External"/><Relationship Id="rId844" Type="http://schemas.openxmlformats.org/officeDocument/2006/relationships/hyperlink" Target="https://www.sec.gov/Archives/edgar/data/6201/000119312521140575/d106533ddef14a.htm" TargetMode="External"/><Relationship Id="rId601" Type="http://schemas.openxmlformats.org/officeDocument/2006/relationships/hyperlink" Target="https://d1io3yog0oux5.cloudfront.net/_161f0ad0ee737b82a3ec771e72c07da2/exxonmobil/db/2301/21383/proxy_statement/2021-proxy-statement.pdf" TargetMode="External"/><Relationship Id="rId843" Type="http://schemas.openxmlformats.org/officeDocument/2006/relationships/hyperlink" Target="https://www.sec.gov/Archives/edgar/data/6201/000119312522127772/d261399ddef14a.htm" TargetMode="External"/><Relationship Id="rId600" Type="http://schemas.openxmlformats.org/officeDocument/2006/relationships/hyperlink" Target="https://www.sec.gov/Archives/edgar/data/0000034088/000119312522098314/d280259ddef14a.htm" TargetMode="External"/><Relationship Id="rId842" Type="http://schemas.openxmlformats.org/officeDocument/2006/relationships/hyperlink" Target="https://www.sec.gov/ix?doc=/Archives/edgar/data/0000006201/000119312523085634/d261382ddef14a.htm" TargetMode="External"/><Relationship Id="rId841" Type="http://schemas.openxmlformats.org/officeDocument/2006/relationships/hyperlink" Target="https://www.sec.gov/Archives/edgar/data/0000789460/000104746919002218/a2238414zdef14a.htm" TargetMode="External"/><Relationship Id="rId606" Type="http://schemas.openxmlformats.org/officeDocument/2006/relationships/hyperlink" Target="https://www.sec.gov/Archives/edgar/data/109198/000010919821000016/a2021proxystatement.htm" TargetMode="External"/><Relationship Id="rId848" Type="http://schemas.openxmlformats.org/officeDocument/2006/relationships/hyperlink" Target="https://www.sec.gov/Archives/edgar/data/1800/000120677422000778/abt3910011-def14a.htm" TargetMode="External"/><Relationship Id="rId605" Type="http://schemas.openxmlformats.org/officeDocument/2006/relationships/hyperlink" Target="https://www.sec.gov/Archives/edgar/data/109198/000010919822000024/a2022proxystatement.htm" TargetMode="External"/><Relationship Id="rId847" Type="http://schemas.openxmlformats.org/officeDocument/2006/relationships/hyperlink" Target="https://www.sec.gov/ix?doc=/Archives/edgar/data/0000001800/000130817923000247/abt4116441-def14a.htm" TargetMode="External"/><Relationship Id="rId604" Type="http://schemas.openxmlformats.org/officeDocument/2006/relationships/hyperlink" Target="https://www.sec.gov/ix?doc=/Archives/edgar/data/109198/000010919823000014/tjx-20230427.htm" TargetMode="External"/><Relationship Id="rId846" Type="http://schemas.openxmlformats.org/officeDocument/2006/relationships/hyperlink" Target="https://www.sec.gov/Archives/edgar/data/6201/000119312519125401/d672951ddef14a.htm" TargetMode="External"/><Relationship Id="rId603" Type="http://schemas.openxmlformats.org/officeDocument/2006/relationships/hyperlink" Target="https://www.sec.gov/Archives/edgar/data/0000034088/000119312519103474/d686227ddef14a.htm" TargetMode="External"/><Relationship Id="rId845" Type="http://schemas.openxmlformats.org/officeDocument/2006/relationships/hyperlink" Target="https://www.sec.gov/Archives/edgar/data/6201/000119312520123363/d826751ddef14a.htm" TargetMode="External"/><Relationship Id="rId840" Type="http://schemas.openxmlformats.org/officeDocument/2006/relationships/hyperlink" Target="https://www.sec.gov/Archives/edgar/data/0000789460/000104746920002233/a2241298zdef14a.htm" TargetMode="External"/><Relationship Id="rId839" Type="http://schemas.openxmlformats.org/officeDocument/2006/relationships/hyperlink" Target="https://www.sec.gov/Archives/edgar/data/0000789460/000120677421001065/int3874371-def14a.htm" TargetMode="External"/><Relationship Id="rId838" Type="http://schemas.openxmlformats.org/officeDocument/2006/relationships/hyperlink" Target="https://www.sec.gov/Archives/edgar/data/0000789460/000120677422001034/int3995571-def14a.htm" TargetMode="External"/><Relationship Id="rId833" Type="http://schemas.openxmlformats.org/officeDocument/2006/relationships/hyperlink" Target="https://www.sec.gov/Archives/edgar/data/27904/000130817922000308/ldal2022_def14a.htm" TargetMode="External"/><Relationship Id="rId832" Type="http://schemas.openxmlformats.org/officeDocument/2006/relationships/hyperlink" Target="https://www.sec.gov/ix?doc=/Archives/edgar/data/0000027904/000130817923000817/ldal2023_def14a.htm" TargetMode="External"/><Relationship Id="rId831" Type="http://schemas.openxmlformats.org/officeDocument/2006/relationships/hyperlink" Target="https://www.sec.gov/Archives/edgar/data/0001341439/000119312518283993/d623045ddef14a.htm" TargetMode="External"/><Relationship Id="rId830" Type="http://schemas.openxmlformats.org/officeDocument/2006/relationships/hyperlink" Target="https://www.sec.gov/Archives/edgar/data/0001341439/000119312519257430/d755300ddef14a.htm" TargetMode="External"/><Relationship Id="rId837" Type="http://schemas.openxmlformats.org/officeDocument/2006/relationships/hyperlink" Target="https://www.sec.gov/ix?doc=/Archives/edgar/data/0000789460/000130817923000840/int4181331-def14a.htm" TargetMode="External"/><Relationship Id="rId836" Type="http://schemas.openxmlformats.org/officeDocument/2006/relationships/hyperlink" Target="https://www.sec.gov/Archives/edgar/data/27904/000130817919000187/ldal2019_def14a.htm" TargetMode="External"/><Relationship Id="rId835" Type="http://schemas.openxmlformats.org/officeDocument/2006/relationships/hyperlink" Target="https://www.sec.gov/Archives/edgar/data/27904/000130817920000240/ldal2020_def14a.htm" TargetMode="External"/><Relationship Id="rId834" Type="http://schemas.openxmlformats.org/officeDocument/2006/relationships/hyperlink" Target="https://www.sec.gov/Archives/edgar/data/27904/000130817921000283/ldal2021_def14a.htm" TargetMode="External"/><Relationship Id="rId228" Type="http://schemas.openxmlformats.org/officeDocument/2006/relationships/hyperlink" Target="https://www.sec.gov/Archives/edgar/data/0000936340/000093634019000101/def14a2019.htm" TargetMode="External"/><Relationship Id="rId227" Type="http://schemas.openxmlformats.org/officeDocument/2006/relationships/hyperlink" Target="https://www.sec.gov/Archives/edgar/data/0000936340/000093634020000145/def14a2020.htm" TargetMode="External"/><Relationship Id="rId469" Type="http://schemas.openxmlformats.org/officeDocument/2006/relationships/hyperlink" Target="https://www.sec.gov/ix?doc=/Archives/edgar/data/0001156039/000115603923000050/elv-20230331.htm" TargetMode="External"/><Relationship Id="rId226" Type="http://schemas.openxmlformats.org/officeDocument/2006/relationships/hyperlink" Target="https://www.sec.gov/Archives/edgar/data/0000936340/000093634021000140/def14a2021.htm" TargetMode="External"/><Relationship Id="rId468" Type="http://schemas.openxmlformats.org/officeDocument/2006/relationships/hyperlink" Target="https://www.sec.gov/Archives/edgar/data/0000860730/000119312519076774/d718518ddef14a.htm" TargetMode="External"/><Relationship Id="rId225" Type="http://schemas.openxmlformats.org/officeDocument/2006/relationships/hyperlink" Target="https://www.sec.gov/Archives/edgar/data/0000936340/000093634022000105/def14a2022.htm" TargetMode="External"/><Relationship Id="rId467" Type="http://schemas.openxmlformats.org/officeDocument/2006/relationships/hyperlink" Target="https://www.sec.gov/Archives/edgar/data/0000860730/000119312520080679/d859974ddef14a.htm" TargetMode="External"/><Relationship Id="rId229" Type="http://schemas.openxmlformats.org/officeDocument/2006/relationships/hyperlink" Target="https://www.sec.gov/ixviewer/ix.html?doc=/Archives/edgar/data/0000079879/000155837023003276/tmb-20230420xdef14a.htm" TargetMode="External"/><Relationship Id="rId220" Type="http://schemas.openxmlformats.org/officeDocument/2006/relationships/hyperlink" Target="https://www.sec.gov/Archives/edgar/data/72903/000007290322000019/combinedproxystatement.htm" TargetMode="External"/><Relationship Id="rId462" Type="http://schemas.openxmlformats.org/officeDocument/2006/relationships/hyperlink" Target="https://www.sec.gov/Archives/edgar/data/0001739940/000114036120005769/nc10005480x1_def14a.htm" TargetMode="External"/><Relationship Id="rId461" Type="http://schemas.openxmlformats.org/officeDocument/2006/relationships/hyperlink" Target="https://www.sec.gov/Archives/edgar/data/0001739940/000114036121009343/nc10021080x1_def14a.htm" TargetMode="External"/><Relationship Id="rId460" Type="http://schemas.openxmlformats.org/officeDocument/2006/relationships/hyperlink" Target="https://www.sec.gov/Archives/edgar/data/0001739940/000114036122010160/ny20002777x1_def14a.htm" TargetMode="External"/><Relationship Id="rId224" Type="http://schemas.openxmlformats.org/officeDocument/2006/relationships/hyperlink" Target="https://www.sec.gov/ix?doc=/Archives/edgar/data/0000936340/000155837023004430/dte-20230504xdef14a.htm" TargetMode="External"/><Relationship Id="rId466" Type="http://schemas.openxmlformats.org/officeDocument/2006/relationships/hyperlink" Target="https://www.sec.gov/Archives/edgar/data/0000860730/000119312521087653/d123756ddef14a.htm" TargetMode="External"/><Relationship Id="rId223" Type="http://schemas.openxmlformats.org/officeDocument/2006/relationships/hyperlink" Target="https://www.sec.gov/Archives/edgar/data/72903/000119312519094592/d680037ddef14a.htm" TargetMode="External"/><Relationship Id="rId465" Type="http://schemas.openxmlformats.org/officeDocument/2006/relationships/hyperlink" Target="https://www.sec.gov/Archives/edgar/data/0000860730/000119312522073436/d294830ddef14a.htm" TargetMode="External"/><Relationship Id="rId222" Type="http://schemas.openxmlformats.org/officeDocument/2006/relationships/hyperlink" Target="https://www.sec.gov/Archives/edgar/data/72903/000156459020015928/xel-def14a_20200522.htm" TargetMode="External"/><Relationship Id="rId464" Type="http://schemas.openxmlformats.org/officeDocument/2006/relationships/hyperlink" Target="https://www.sec.gov/ix?doc=/Archives/edgar/data/0000860730/000119312523067645/d374683ddef14a.htm" TargetMode="External"/><Relationship Id="rId221" Type="http://schemas.openxmlformats.org/officeDocument/2006/relationships/hyperlink" Target="https://www.sec.gov/Archives/edgar/data/72903/000007290321000021/a2021xcelproxycombined.htm" TargetMode="External"/><Relationship Id="rId463" Type="http://schemas.openxmlformats.org/officeDocument/2006/relationships/hyperlink" Target="https://www.sec.gov/Archives/edgar/data/0001739940/000114036119005025/s002722x1_def14a.htm" TargetMode="External"/><Relationship Id="rId217" Type="http://schemas.openxmlformats.org/officeDocument/2006/relationships/hyperlink" Target="https://www.sec.gov/Archives/edgar/data/40729/000156459020010475/ally-def14a_20200428.htm" TargetMode="External"/><Relationship Id="rId459" Type="http://schemas.openxmlformats.org/officeDocument/2006/relationships/hyperlink" Target="https://www.sec.gov/ix?doc=/Archives/edgar/data/0001739940/000114036123012300/ny20006075x2_def14a.htm" TargetMode="External"/><Relationship Id="rId216" Type="http://schemas.openxmlformats.org/officeDocument/2006/relationships/hyperlink" Target="https://www.sec.gov/Archives/edgar/data/40729/000156459021013577/ally-def14a_20210504.htm" TargetMode="External"/><Relationship Id="rId458" Type="http://schemas.openxmlformats.org/officeDocument/2006/relationships/hyperlink" Target="https://www.sec.gov/Archives/edgar/data/97476/000119312519071576/d660704ddef14a.htm" TargetMode="External"/><Relationship Id="rId215" Type="http://schemas.openxmlformats.org/officeDocument/2006/relationships/hyperlink" Target="https://www.sec.gov/Archives/edgar/data/40729/000156459022010389/ally-def14a_20220503.htm" TargetMode="External"/><Relationship Id="rId457" Type="http://schemas.openxmlformats.org/officeDocument/2006/relationships/hyperlink" Target="https://www.sec.gov/Archives/edgar/data/97476/000119312520068304/d840106ddef14a.htm" TargetMode="External"/><Relationship Id="rId699" Type="http://schemas.openxmlformats.org/officeDocument/2006/relationships/hyperlink" Target="https://www.sec.gov/Archives/edgar/data/798354/000119312521107584/d39336ddef14a.htm" TargetMode="External"/><Relationship Id="rId214" Type="http://schemas.openxmlformats.org/officeDocument/2006/relationships/hyperlink" Target="https://www.sec.gov/ixviewer/ix.html?doc=/Archives/edgar/data/0000040729/000119312523075751/d381837ddef14a.htm" TargetMode="External"/><Relationship Id="rId456" Type="http://schemas.openxmlformats.org/officeDocument/2006/relationships/hyperlink" Target="https://www.sec.gov/Archives/edgar/data/97476/000119312521074319/d120322ddef14a.htm" TargetMode="External"/><Relationship Id="rId698" Type="http://schemas.openxmlformats.org/officeDocument/2006/relationships/hyperlink" Target="https://www.sec.gov/Archives/edgar/data/798354/000119312522096170/d284282ddef14a.htm" TargetMode="External"/><Relationship Id="rId219" Type="http://schemas.openxmlformats.org/officeDocument/2006/relationships/hyperlink" Target="https://www.sec.gov/ixviewer/ix.html?doc=/Archives/edgar/data/0000072903/000007290323000017/xel-20230410.htm" TargetMode="External"/><Relationship Id="rId218" Type="http://schemas.openxmlformats.org/officeDocument/2006/relationships/hyperlink" Target="https://www.sec.gov/Archives/edgar/data/40729/000156459019008898/ally-def14a_20190508.htm" TargetMode="External"/><Relationship Id="rId451" Type="http://schemas.openxmlformats.org/officeDocument/2006/relationships/hyperlink" Target="https://www.sec.gov/Archives/edgar/data/0000936468/000093646821000035/lockheedmartin2021proxy.htm" TargetMode="External"/><Relationship Id="rId693" Type="http://schemas.openxmlformats.org/officeDocument/2006/relationships/hyperlink" Target="https://www.sec.gov/Archives/edgar/data/0001071739/000107173919000041/def14aproxy2019.htm" TargetMode="External"/><Relationship Id="rId450" Type="http://schemas.openxmlformats.org/officeDocument/2006/relationships/hyperlink" Target="https://www.sec.gov/Archives/edgar/data/0000936468/000093646822000033/lockheedmartin2022proxy.htm" TargetMode="External"/><Relationship Id="rId692" Type="http://schemas.openxmlformats.org/officeDocument/2006/relationships/hyperlink" Target="https://www.sec.gov/Archives/edgar/data/0001071739/000107173920000082/def14aproxy2020.htm" TargetMode="External"/><Relationship Id="rId691" Type="http://schemas.openxmlformats.org/officeDocument/2006/relationships/hyperlink" Target="https://www.sec.gov/Archives/edgar/data/0001071739/000107173921000053/a20210302def14aproxy.htm" TargetMode="External"/><Relationship Id="rId690" Type="http://schemas.openxmlformats.org/officeDocument/2006/relationships/hyperlink" Target="https://www.sec.gov/Archives/edgar/data/1071739/000107173922000096/a202203def14aproxy.htm" TargetMode="External"/><Relationship Id="rId213" Type="http://schemas.openxmlformats.org/officeDocument/2006/relationships/hyperlink" Target="https://www.sec.gov/Archives/edgar/data/217346/000155278119000083/e19115_txt-def14a.htm" TargetMode="External"/><Relationship Id="rId455" Type="http://schemas.openxmlformats.org/officeDocument/2006/relationships/hyperlink" Target="https://www.sec.gov/Archives/edgar/data/97476/000009747622000018/a2022proxystatement.htm" TargetMode="External"/><Relationship Id="rId697" Type="http://schemas.openxmlformats.org/officeDocument/2006/relationships/hyperlink" Target="https://www.sec.gov/ixviewer/ix.html?doc=/Archives/edgar/data/0000798354/000130817923000520/lfisv2023_def14a.htm" TargetMode="External"/><Relationship Id="rId212" Type="http://schemas.openxmlformats.org/officeDocument/2006/relationships/hyperlink" Target="https://www.sec.gov/Archives/edgar/data/217346/000155278120000171/e20122_txt-def14a.htm" TargetMode="External"/><Relationship Id="rId454" Type="http://schemas.openxmlformats.org/officeDocument/2006/relationships/hyperlink" Target="https://www.sec.gov/ixviewer/ix.html?doc=/Archives/edgar/data/0000097476/000009747623000017/txn-20230314.htm" TargetMode="External"/><Relationship Id="rId696" Type="http://schemas.openxmlformats.org/officeDocument/2006/relationships/hyperlink" Target="https://www.sec.gov/Archives/edgar/data/0001646972/000114036121020836/nc10025568x1_pre14a.htm" TargetMode="External"/><Relationship Id="rId211" Type="http://schemas.openxmlformats.org/officeDocument/2006/relationships/hyperlink" Target="https://www.sec.gov/Archives/edgar/data/217346/000155278121000074/e21096_txt-def14a.htm" TargetMode="External"/><Relationship Id="rId453" Type="http://schemas.openxmlformats.org/officeDocument/2006/relationships/hyperlink" Target="https://www.sec.gov/Archives/edgar/data/0000936468/000093646819000014/lockheedmartin2019proxy.htm" TargetMode="External"/><Relationship Id="rId695" Type="http://schemas.openxmlformats.org/officeDocument/2006/relationships/hyperlink" Target="https://www.sec.gov/Archives/edgar/data/0001646972/000114036122023648/ny20003207x1_def14a.htm" TargetMode="External"/><Relationship Id="rId210" Type="http://schemas.openxmlformats.org/officeDocument/2006/relationships/hyperlink" Target="https://www.sec.gov/Archives/edgar/data/217346/000155278122000232/e22091_txt-def14a.htm" TargetMode="External"/><Relationship Id="rId452" Type="http://schemas.openxmlformats.org/officeDocument/2006/relationships/hyperlink" Target="https://www.sec.gov/Archives/edgar/data/0000936468/000093646820000024/lockheedmartin2020proxy.htm" TargetMode="External"/><Relationship Id="rId694" Type="http://schemas.openxmlformats.org/officeDocument/2006/relationships/hyperlink" Target="https://www.sec.gov/ix?doc=/Archives/edgar/data/0001646972/000114036123030647/ny20006801x1_def14a.htm" TargetMode="External"/><Relationship Id="rId491" Type="http://schemas.openxmlformats.org/officeDocument/2006/relationships/hyperlink" Target="https://www.sec.gov/Archives/edgar/data/73309/000119312521095511/d53280ddef14a.htm" TargetMode="External"/><Relationship Id="rId490" Type="http://schemas.openxmlformats.org/officeDocument/2006/relationships/hyperlink" Target="https://www.sec.gov/Archives/edgar/data/73309/000119312522084683/d133417ddef14a.htm" TargetMode="External"/><Relationship Id="rId249" Type="http://schemas.openxmlformats.org/officeDocument/2006/relationships/hyperlink" Target="https://www.sec.gov/ixviewer/ix.html?doc=/Archives/edgar/data/0000898174/000089817423000081/rga-20230412.htm" TargetMode="External"/><Relationship Id="rId248" Type="http://schemas.openxmlformats.org/officeDocument/2006/relationships/hyperlink" Target="https://www.sec.gov/Archives/edgar/data/940944/000094094419000028/def14a2019definitiveproxys.htm" TargetMode="External"/><Relationship Id="rId247" Type="http://schemas.openxmlformats.org/officeDocument/2006/relationships/hyperlink" Target="https://www.sec.gov/Archives/edgar/data/940944/000094094420000053/def14a2020definitiveproxys.htm" TargetMode="External"/><Relationship Id="rId489" Type="http://schemas.openxmlformats.org/officeDocument/2006/relationships/hyperlink" Target="https://www.sec.gov/ixviewer/ix.html?doc=/Archives/edgar/data/0000073309/000119312523078647/d389977ddef14a.htm" TargetMode="External"/><Relationship Id="rId242" Type="http://schemas.openxmlformats.org/officeDocument/2006/relationships/hyperlink" Target="https://www.sec.gov/Archives/edgar/data/1002910/000120677420000931/aee3706041-def14a.htm" TargetMode="External"/><Relationship Id="rId484" Type="http://schemas.openxmlformats.org/officeDocument/2006/relationships/hyperlink" Target="https://www.sec.gov/ixviewer/ix.html?doc=/Archives/edgar/data/0000882095/000130817923000323/gild4141721-def14a.htm" TargetMode="External"/><Relationship Id="rId241" Type="http://schemas.openxmlformats.org/officeDocument/2006/relationships/hyperlink" Target="https://www.sec.gov/Archives/edgar/data/1002910/000110465921039947/tm216176-2_def14a.htm" TargetMode="External"/><Relationship Id="rId483" Type="http://schemas.openxmlformats.org/officeDocument/2006/relationships/hyperlink" Target="https://www.sec.gov/Archives/edgar/data/1133421/000113342122000009/a2022proxystatement.htm" TargetMode="External"/><Relationship Id="rId240" Type="http://schemas.openxmlformats.org/officeDocument/2006/relationships/hyperlink" Target="https://www.sec.gov/Archives/edgar/data/1002910/000110465922039462/tm223339-1_def14a.htm" TargetMode="External"/><Relationship Id="rId482" Type="http://schemas.openxmlformats.org/officeDocument/2006/relationships/hyperlink" Target="https://www.sec.gov/Archives/edgar/data/1133421/000113342121000024/noc-2021xdef14adraft.htm" TargetMode="External"/><Relationship Id="rId481" Type="http://schemas.openxmlformats.org/officeDocument/2006/relationships/hyperlink" Target="https://www.sec.gov/Archives/edgar/data/1133421/000113342120000014/noc-2020xdef14adraft.htm" TargetMode="External"/><Relationship Id="rId246" Type="http://schemas.openxmlformats.org/officeDocument/2006/relationships/hyperlink" Target="https://www.sec.gov/Archives/edgar/data/940944/000119312521240109/d833585ddef14a.htm" TargetMode="External"/><Relationship Id="rId488" Type="http://schemas.openxmlformats.org/officeDocument/2006/relationships/hyperlink" Target="https://www.sec.gov/Archives/edgar/data/882095/000120677419001013/gild3496971-def14a.htm" TargetMode="External"/><Relationship Id="rId245" Type="http://schemas.openxmlformats.org/officeDocument/2006/relationships/hyperlink" Target="https://www.sec.gov/Archives/edgar/data/940944/000119312522214463/d260709ddef14a.htm" TargetMode="External"/><Relationship Id="rId487" Type="http://schemas.openxmlformats.org/officeDocument/2006/relationships/hyperlink" Target="https://www.sec.gov/Archives/edgar/data/882095/000120677420000886/gild3646261-def14a.htm" TargetMode="External"/><Relationship Id="rId244" Type="http://schemas.openxmlformats.org/officeDocument/2006/relationships/hyperlink" Target="https://www.sec.gov/ixviewer/ix.html?doc=/Archives/edgar/data/0000940944/000119312523204713/d402317ddef14a.htm" TargetMode="External"/><Relationship Id="rId486" Type="http://schemas.openxmlformats.org/officeDocument/2006/relationships/hyperlink" Target="https://www.sec.gov/Archives/edgar/data/882095/000120677421000908/gild3818501-def14a.htm" TargetMode="External"/><Relationship Id="rId243" Type="http://schemas.openxmlformats.org/officeDocument/2006/relationships/hyperlink" Target="https://www.sec.gov/Archives/edgar/data/1002910/000120677419000914/aee3518351-def14a.htm" TargetMode="External"/><Relationship Id="rId485" Type="http://schemas.openxmlformats.org/officeDocument/2006/relationships/hyperlink" Target="https://www.sec.gov/Archives/edgar/data/882095/000120677422000832/gild3988061-def14a.htm" TargetMode="External"/><Relationship Id="rId480" Type="http://schemas.openxmlformats.org/officeDocument/2006/relationships/hyperlink" Target="https://www.sec.gov/Archives/edgar/data/1133421/000113342119000015/noc-2019xdef14a.htm" TargetMode="External"/><Relationship Id="rId239" Type="http://schemas.openxmlformats.org/officeDocument/2006/relationships/hyperlink" Target="https://www.sec.gov/ixviewer/ix.html?doc=/Archives/edgar/data/1002910/000110465923037751/tm231804d2_def14a.htm" TargetMode="External"/><Relationship Id="rId238" Type="http://schemas.openxmlformats.org/officeDocument/2006/relationships/hyperlink" Target="https://www.sec.gov/Archives/edgar/data/1031296/000119312519093674/d615586ddef14a.htm" TargetMode="External"/><Relationship Id="rId237" Type="http://schemas.openxmlformats.org/officeDocument/2006/relationships/hyperlink" Target="https://www.sec.gov/Archives/edgar/data/1031296/000119312520093494/d791638ddef14a.htm" TargetMode="External"/><Relationship Id="rId479" Type="http://schemas.openxmlformats.org/officeDocument/2006/relationships/hyperlink" Target="https://www.sec.gov/ix?doc=/Archives/edgar/data/0001133421/000113342123000021/noc-20230331.htm" TargetMode="External"/><Relationship Id="rId236" Type="http://schemas.openxmlformats.org/officeDocument/2006/relationships/hyperlink" Target="https://www.sec.gov/Archives/edgar/data/1031296/000119312521096807/d116252ddef14a.htm" TargetMode="External"/><Relationship Id="rId478" Type="http://schemas.openxmlformats.org/officeDocument/2006/relationships/hyperlink" Target="https://www.sec.gov/Archives/edgar/data/713676/000119312519071394/d641691ddef14a.htm" TargetMode="External"/><Relationship Id="rId231" Type="http://schemas.openxmlformats.org/officeDocument/2006/relationships/hyperlink" Target="https://www.sec.gov/Archives/edgar/data/79879/000155837021002351/tmb-20210415xdef14a.htm" TargetMode="External"/><Relationship Id="rId473" Type="http://schemas.openxmlformats.org/officeDocument/2006/relationships/hyperlink" Target="https://www.sec.gov/Archives/edgar/data/1156039/000155837019002641/def14a.htm" TargetMode="External"/><Relationship Id="rId230" Type="http://schemas.openxmlformats.org/officeDocument/2006/relationships/hyperlink" Target="https://www.sec.gov/Archives/edgar/data/79879/000155837022003240/tmb-20220421xdef14a.htm" TargetMode="External"/><Relationship Id="rId472" Type="http://schemas.openxmlformats.org/officeDocument/2006/relationships/hyperlink" Target="https://www.sec.gov/Archives/edgar/data/1156039/000120677420000962/antm3665831-def14a.htm" TargetMode="External"/><Relationship Id="rId471" Type="http://schemas.openxmlformats.org/officeDocument/2006/relationships/hyperlink" Target="https://www.sec.gov/Archives/edgar/data/1156039/000110465921048745/tm2031344-1_def14a.htm" TargetMode="External"/><Relationship Id="rId470" Type="http://schemas.openxmlformats.org/officeDocument/2006/relationships/hyperlink" Target="https://www.sec.gov/Archives/edgar/data/1156039/000115603922000047/a2022proxystatement.htm" TargetMode="External"/><Relationship Id="rId235" Type="http://schemas.openxmlformats.org/officeDocument/2006/relationships/hyperlink" Target="https://www.sec.gov/Archives/edgar/data/1031296/000119312522082777/d156096ddef14a.htm" TargetMode="External"/><Relationship Id="rId477" Type="http://schemas.openxmlformats.org/officeDocument/2006/relationships/hyperlink" Target="https://www.sec.gov/Archives/edgar/data/713676/000071367620000052/pnc2020proxystatement.htm" TargetMode="External"/><Relationship Id="rId234" Type="http://schemas.openxmlformats.org/officeDocument/2006/relationships/hyperlink" Target="https://www.sec.gov/ixviewer/ix.html?doc=/Archives/edgar/data/0001031296/000119312523082288/d414153ddef14a.htm" TargetMode="External"/><Relationship Id="rId476" Type="http://schemas.openxmlformats.org/officeDocument/2006/relationships/hyperlink" Target="https://www.sec.gov/Archives/edgar/data/713676/000071367621000030/pnc2021proxystatement.htm" TargetMode="External"/><Relationship Id="rId233" Type="http://schemas.openxmlformats.org/officeDocument/2006/relationships/hyperlink" Target="https://d18rn0p25nwr6d.cloudfront.net/CIK-0000079879/ba762aaa-52f4-4c96-b530-3618571bd898.pdf" TargetMode="External"/><Relationship Id="rId475" Type="http://schemas.openxmlformats.org/officeDocument/2006/relationships/hyperlink" Target="https://www.sec.gov/Archives/edgar/data/713676/000071367622000023/pnc2022proxystatement.htm" TargetMode="External"/><Relationship Id="rId232" Type="http://schemas.openxmlformats.org/officeDocument/2006/relationships/hyperlink" Target="https://www.sec.gov/Archives/edgar/data/79879/000155837020002058/def14a.htm" TargetMode="External"/><Relationship Id="rId474" Type="http://schemas.openxmlformats.org/officeDocument/2006/relationships/hyperlink" Target="https://www.sec.gov/ixviewer/ix.html?doc=/Archives/edgar/data/0000713676/000119312523070779/d377505ddef14a.htm" TargetMode="External"/><Relationship Id="rId426" Type="http://schemas.openxmlformats.org/officeDocument/2006/relationships/hyperlink" Target="https://www.sec.gov/Archives/edgar/data/927628/000119312521092722/d70712ddef14a.htm" TargetMode="External"/><Relationship Id="rId668" Type="http://schemas.openxmlformats.org/officeDocument/2006/relationships/hyperlink" Target="https://www.sec.gov/Archives/edgar/data/1443646/000144364619000100/fy19proxystatement.htm" TargetMode="External"/><Relationship Id="rId425" Type="http://schemas.openxmlformats.org/officeDocument/2006/relationships/hyperlink" Target="https://www.sec.gov/Archives/edgar/data/927628/000119312522080548/d296934ddef14a.htm" TargetMode="External"/><Relationship Id="rId667" Type="http://schemas.openxmlformats.org/officeDocument/2006/relationships/hyperlink" Target="https://www.sec.gov/Archives/edgar/data/1443646/000144364620000107/def14a.htm" TargetMode="External"/><Relationship Id="rId424" Type="http://schemas.openxmlformats.org/officeDocument/2006/relationships/hyperlink" Target="https://www.sec.gov/ix?doc=/Archives/edgar/data/0000927628/000119312523076700/d428308ddef14a.htm" TargetMode="External"/><Relationship Id="rId666" Type="http://schemas.openxmlformats.org/officeDocument/2006/relationships/hyperlink" Target="https://www.sec.gov/Archives/edgar/data/1443646/000144364621000112/def14a.htm" TargetMode="External"/><Relationship Id="rId423" Type="http://schemas.openxmlformats.org/officeDocument/2006/relationships/hyperlink" Target="https://www.sec.gov/Archives/edgar/data/100885/000114036119006627/s002687x1_def14a.htm" TargetMode="External"/><Relationship Id="rId665" Type="http://schemas.openxmlformats.org/officeDocument/2006/relationships/hyperlink" Target="https://www.sec.gov/Archives/edgar/data/1443646/000144364622000098/def14afy22.htm" TargetMode="External"/><Relationship Id="rId429" Type="http://schemas.openxmlformats.org/officeDocument/2006/relationships/hyperlink" Target="https://www.sec.gov/ix?doc=/Archives/edgar/data/0000060667/000119312523099980/d392221ddef14a.htm" TargetMode="External"/><Relationship Id="rId428" Type="http://schemas.openxmlformats.org/officeDocument/2006/relationships/hyperlink" Target="https://www.sec.gov/Archives/edgar/data/927628/000119312519080807/d564582ddef14a.htm" TargetMode="External"/><Relationship Id="rId427" Type="http://schemas.openxmlformats.org/officeDocument/2006/relationships/hyperlink" Target="https://www.sec.gov/Archives/edgar/data/927628/000119312520079122/d38527ddef14a.htm" TargetMode="External"/><Relationship Id="rId669" Type="http://schemas.openxmlformats.org/officeDocument/2006/relationships/hyperlink" Target="https://www.sec.gov/ixviewer/ix.html?doc=/Archives/edgar/data/0001286681/000119312523071970/d366824ddef14a.htm" TargetMode="External"/><Relationship Id="rId660" Type="http://schemas.openxmlformats.org/officeDocument/2006/relationships/hyperlink" Target="https://www.sec.gov/Archives/edgar/data/1041061/000119312522100360/d158301ddef14a.htm" TargetMode="External"/><Relationship Id="rId422" Type="http://schemas.openxmlformats.org/officeDocument/2006/relationships/hyperlink" Target="https://www.sec.gov/Archives/edgar/data/100885/000114036121011024/nc10019842x1_def14a.htm" TargetMode="External"/><Relationship Id="rId664" Type="http://schemas.openxmlformats.org/officeDocument/2006/relationships/hyperlink" Target="https://www.sec.gov/ixviewer/ix.html?doc=/Archives/edgar/data/0001443646/000144364623000139/bah-20230615.htm" TargetMode="External"/><Relationship Id="rId421" Type="http://schemas.openxmlformats.org/officeDocument/2006/relationships/hyperlink" Target="https://www.sec.gov/Archives/edgar/data/100885/000114036121011024/nc10019842x1_def14a.htm" TargetMode="External"/><Relationship Id="rId663" Type="http://schemas.openxmlformats.org/officeDocument/2006/relationships/hyperlink" Target="https://www.sec.gov/Archives/edgar/data/1041061/000119312519099256/d616687ddef14a.htm" TargetMode="External"/><Relationship Id="rId420" Type="http://schemas.openxmlformats.org/officeDocument/2006/relationships/hyperlink" Target="https://www.sec.gov/Archives/edgar/data/100885/000114036122011575/ny20001752x1_def14a.htm" TargetMode="External"/><Relationship Id="rId662" Type="http://schemas.openxmlformats.org/officeDocument/2006/relationships/hyperlink" Target="https://www.sec.gov/Archives/edgar/data/1041061/000119312520098155/d793600ddef14a.htm" TargetMode="External"/><Relationship Id="rId661" Type="http://schemas.openxmlformats.org/officeDocument/2006/relationships/hyperlink" Target="https://www.sec.gov/Archives/edgar/data/1041061/000119312521103995/d39521ddef14a.htm" TargetMode="External"/><Relationship Id="rId415" Type="http://schemas.openxmlformats.org/officeDocument/2006/relationships/hyperlink" Target="https://thewaltdisneycompany.com/app/uploads/2022/01/2022-Proxy-Statement.pdf" TargetMode="External"/><Relationship Id="rId657" Type="http://schemas.openxmlformats.org/officeDocument/2006/relationships/hyperlink" Target="https://www.sec.gov/Archives/edgar/data/1138118/000119312520094744/d843359ddef14a.htm" TargetMode="External"/><Relationship Id="rId414" Type="http://schemas.openxmlformats.org/officeDocument/2006/relationships/hyperlink" Target="https://thewaltdisneycompany.com/app/uploads/2023/02/2023-Proxy-Statement.pdf" TargetMode="External"/><Relationship Id="rId656" Type="http://schemas.openxmlformats.org/officeDocument/2006/relationships/hyperlink" Target="https://www.sec.gov/Archives/edgar/data/1138118/000119312521105528/d100729ddef14a.htm" TargetMode="External"/><Relationship Id="rId413" Type="http://schemas.openxmlformats.org/officeDocument/2006/relationships/hyperlink" Target="https://www.sec.gov/Archives/edgar/data/36104/000104746919000911/a2237726zdef14a.htm" TargetMode="External"/><Relationship Id="rId655" Type="http://schemas.openxmlformats.org/officeDocument/2006/relationships/hyperlink" Target="https://www.sec.gov/Archives/edgar/data/1138118/000119312522096842/d278328ddef14a.htm" TargetMode="External"/><Relationship Id="rId897" Type="http://schemas.openxmlformats.org/officeDocument/2006/relationships/drawing" Target="../drawings/drawing8.xml"/><Relationship Id="rId412" Type="http://schemas.openxmlformats.org/officeDocument/2006/relationships/hyperlink" Target="https://www.sec.gov/Archives/edgar/data/36104/000104746920001356/a2240788zdef14a.htm" TargetMode="External"/><Relationship Id="rId654" Type="http://schemas.openxmlformats.org/officeDocument/2006/relationships/hyperlink" Target="https://www.sec.gov/ixviewer/ix.html?doc=/Archives/edgar/data/0001138118/000119312523090344/d455060ddef14a.htm" TargetMode="External"/><Relationship Id="rId896" Type="http://schemas.openxmlformats.org/officeDocument/2006/relationships/hyperlink" Target="https://www.sec.gov/Archives/edgar/data/827052/000120677419000873/edison3497151-def14a.htm" TargetMode="External"/><Relationship Id="rId419" Type="http://schemas.openxmlformats.org/officeDocument/2006/relationships/hyperlink" Target="https://www.sec.gov/ixviewer/ix.html?doc=/Archives/edgar/data/0000100885/000114036123016734/ny20005972x1_def14a.htm" TargetMode="External"/><Relationship Id="rId418" Type="http://schemas.openxmlformats.org/officeDocument/2006/relationships/hyperlink" Target="https://thewaltdisneycompany.com/app/uploads/2019/01/2019-Proxy-Statement.pdf" TargetMode="External"/><Relationship Id="rId417" Type="http://schemas.openxmlformats.org/officeDocument/2006/relationships/hyperlink" Target="https://thewaltdisneycompany.com/app/uploads/2020/01/2020-Proxy-Statement.pdf" TargetMode="External"/><Relationship Id="rId659" Type="http://schemas.openxmlformats.org/officeDocument/2006/relationships/hyperlink" Target="https://www.sec.gov/ixviewer/ix.html?doc=/Archives/edgar/data/0001041061/000119312523095276/d535046ddef14a.htm" TargetMode="External"/><Relationship Id="rId416" Type="http://schemas.openxmlformats.org/officeDocument/2006/relationships/hyperlink" Target="https://thewaltdisneycompany.com/app/uploads/2021/01/2021-Proxy-Statement.pdf" TargetMode="External"/><Relationship Id="rId658" Type="http://schemas.openxmlformats.org/officeDocument/2006/relationships/hyperlink" Target="https://www.sec.gov/Archives/edgar/data/1138118/000119312519097980/d685938ddef14a.htm" TargetMode="External"/><Relationship Id="rId891" Type="http://schemas.openxmlformats.org/officeDocument/2006/relationships/hyperlink" Target="https://www.sec.gov/Archives/edgar/data/0001501585/000119312519077553/d699954ddef14a.htm" TargetMode="External"/><Relationship Id="rId890" Type="http://schemas.openxmlformats.org/officeDocument/2006/relationships/hyperlink" Target="https://www.sec.gov/Archives/edgar/data/0001501585/000119312520074463/d838526ddef14a.htm" TargetMode="External"/><Relationship Id="rId411" Type="http://schemas.openxmlformats.org/officeDocument/2006/relationships/hyperlink" Target="https://www.sec.gov/Archives/edgar/data/36104/000104746921000551/a2242936zdef14a.htm" TargetMode="External"/><Relationship Id="rId653" Type="http://schemas.openxmlformats.org/officeDocument/2006/relationships/hyperlink" Target="https://www.sec.gov/Archives/edgar/data/1324404/000104746919001683/a2237900zdef14a.htm" TargetMode="External"/><Relationship Id="rId895" Type="http://schemas.openxmlformats.org/officeDocument/2006/relationships/hyperlink" Target="https://www.sec.gov/Archives/edgar/data/827052/000120677420000812/eix3661521-def14a.htm" TargetMode="External"/><Relationship Id="rId410" Type="http://schemas.openxmlformats.org/officeDocument/2006/relationships/hyperlink" Target="https://www.sec.gov/Archives/edgar/data/36104/000110465922031532/tm2134246-1_def14a.htm" TargetMode="External"/><Relationship Id="rId652" Type="http://schemas.openxmlformats.org/officeDocument/2006/relationships/hyperlink" Target="https://www.sec.gov/Archives/edgar/data/1324404/000104746920002185/a2241107zdef14a.htm" TargetMode="External"/><Relationship Id="rId894" Type="http://schemas.openxmlformats.org/officeDocument/2006/relationships/hyperlink" Target="https://www.sec.gov/Archives/edgar/data/827052/000120677421000696/eix3851521-def14a.htm" TargetMode="External"/><Relationship Id="rId651" Type="http://schemas.openxmlformats.org/officeDocument/2006/relationships/hyperlink" Target="https://www.sec.gov/Archives/edgar/data/1324404/000104746921000679/a2243056zdef14a.htm" TargetMode="External"/><Relationship Id="rId893" Type="http://schemas.openxmlformats.org/officeDocument/2006/relationships/hyperlink" Target="https://www.sec.gov/Archives/edgar/data/827052/000120677422000780/eix3970771-def14a.htm" TargetMode="External"/><Relationship Id="rId650" Type="http://schemas.openxmlformats.org/officeDocument/2006/relationships/hyperlink" Target="https://www.sec.gov/Archives/edgar/data/1324404/000110465922040102/tm223611-1_def14a.htm" TargetMode="External"/><Relationship Id="rId892" Type="http://schemas.openxmlformats.org/officeDocument/2006/relationships/hyperlink" Target="https://www.sec.gov/ixviewer/ix.html?doc=/Archives/edgar/data/0000827052/000155837023004096/eix-20230427xdef14a.htm" TargetMode="External"/><Relationship Id="rId206" Type="http://schemas.openxmlformats.org/officeDocument/2006/relationships/hyperlink" Target="https://www.sec.gov/Archives/edgar/data/1140859/000110465921008422/tm2039342-1_def14a.htm" TargetMode="External"/><Relationship Id="rId448" Type="http://schemas.openxmlformats.org/officeDocument/2006/relationships/hyperlink" Target="https://www.sec.gov/Archives/edgar/data/4962/000120677419000869/axp3463051-def14a.htm" TargetMode="External"/><Relationship Id="rId205" Type="http://schemas.openxmlformats.org/officeDocument/2006/relationships/hyperlink" Target="https://www.sec.gov/Archives/edgar/data/1140859/000110465922008305/tm2133602-1_def14a.htm" TargetMode="External"/><Relationship Id="rId447" Type="http://schemas.openxmlformats.org/officeDocument/2006/relationships/hyperlink" Target="https://www.sec.gov/Archives/edgar/data/4962/000119312520083487/d804770ddef14a.htm" TargetMode="External"/><Relationship Id="rId689" Type="http://schemas.openxmlformats.org/officeDocument/2006/relationships/hyperlink" Target="https://www.sec.gov/ix?doc=/Archives/edgar/data/0001071739/000107173923000075/cnc-20230324.htm" TargetMode="External"/><Relationship Id="rId204" Type="http://schemas.openxmlformats.org/officeDocument/2006/relationships/hyperlink" Target="https://www.sec.gov/Archives/edgar/data/1140859/000110465923007236/tm2233725-1_def14a.htm" TargetMode="External"/><Relationship Id="rId446" Type="http://schemas.openxmlformats.org/officeDocument/2006/relationships/hyperlink" Target="https://www.sec.gov/Archives/edgar/data/4962/000119312521087284/d919404ddef14a.htm" TargetMode="External"/><Relationship Id="rId688" Type="http://schemas.openxmlformats.org/officeDocument/2006/relationships/hyperlink" Target="https://www.sec.gov/Archives/edgar/data/0000022444/000119312518333950/d647273ddef14a.htm" TargetMode="External"/><Relationship Id="rId203" Type="http://schemas.openxmlformats.org/officeDocument/2006/relationships/hyperlink" Target="https://www.sec.gov/Archives/edgar/data/922224/000119312519095246/d687580ddef14a.htm" TargetMode="External"/><Relationship Id="rId445" Type="http://schemas.openxmlformats.org/officeDocument/2006/relationships/hyperlink" Target="https://www.sec.gov/Archives/edgar/data/4962/000119312522079264/d235027ddef14a.htm" TargetMode="External"/><Relationship Id="rId687" Type="http://schemas.openxmlformats.org/officeDocument/2006/relationships/hyperlink" Target="https://www.sec.gov/Archives/edgar/data/0000022444/000119312519299406/d759795ddef14a.htm" TargetMode="External"/><Relationship Id="rId209" Type="http://schemas.openxmlformats.org/officeDocument/2006/relationships/hyperlink" Target="https://www.sec.gov/ixviewer/ix.html?doc=/Archives/edgar/data/0000217346/000155278123000078/e23065_txt-def14a.htm" TargetMode="External"/><Relationship Id="rId208" Type="http://schemas.openxmlformats.org/officeDocument/2006/relationships/hyperlink" Target="https://www.sec.gov/Archives/edgar/data/0001140859/000104746919000162/a2237492zdef14a.htm" TargetMode="External"/><Relationship Id="rId207" Type="http://schemas.openxmlformats.org/officeDocument/2006/relationships/hyperlink" Target="https://www.sec.gov/Archives/edgar/data/0001140859/000104746920000460/a2240346zdef14a.htm" TargetMode="External"/><Relationship Id="rId449" Type="http://schemas.openxmlformats.org/officeDocument/2006/relationships/hyperlink" Target="https://www.sec.gov/ix?doc=/Archives/edgar/data/0000936468/000093646823000034/lmt-20230313.htm" TargetMode="External"/><Relationship Id="rId440" Type="http://schemas.openxmlformats.org/officeDocument/2006/relationships/hyperlink" Target="https://www.citigroup.com/rcs/citigpa/storage/public/ar22p.pdf" TargetMode="External"/><Relationship Id="rId682" Type="http://schemas.openxmlformats.org/officeDocument/2006/relationships/hyperlink" Target="https://www.sec.gov/Archives/edgar/data/52988/000119312519306275/d795053ddef14a.htm" TargetMode="External"/><Relationship Id="rId681" Type="http://schemas.openxmlformats.org/officeDocument/2006/relationships/hyperlink" Target="https://www.sec.gov/Archives/edgar/data/52988/000119312520315936/d43044ddef14a.htm" TargetMode="External"/><Relationship Id="rId680" Type="http://schemas.openxmlformats.org/officeDocument/2006/relationships/hyperlink" Target="https://www.sec.gov/Archives/edgar/data/52988/000119312521354013/d219676ddef14a.htm" TargetMode="External"/><Relationship Id="rId202" Type="http://schemas.openxmlformats.org/officeDocument/2006/relationships/hyperlink" Target="https://www.sec.gov/Archives/edgar/data/922224/000119312520095982/d853945ddef14a.htm" TargetMode="External"/><Relationship Id="rId444" Type="http://schemas.openxmlformats.org/officeDocument/2006/relationships/hyperlink" Target="https://www.sec.gov/ix?doc=/Archives/edgar/data/0000004962/000119312523073923/d326074ddef14a.htm" TargetMode="External"/><Relationship Id="rId686" Type="http://schemas.openxmlformats.org/officeDocument/2006/relationships/hyperlink" Target="https://www.sec.gov/Archives/edgar/data/0000022444/000119312520301138/d75920ddef14a.htm" TargetMode="External"/><Relationship Id="rId201" Type="http://schemas.openxmlformats.org/officeDocument/2006/relationships/hyperlink" Target="https://www.sec.gov/Archives/edgar/data/922224/000119312521108586/d26143ddef14a.htm" TargetMode="External"/><Relationship Id="rId443" Type="http://schemas.openxmlformats.org/officeDocument/2006/relationships/hyperlink" Target="https://www.citigroup.com/rcs/citigpa/storage/public/ar19p.pdf" TargetMode="External"/><Relationship Id="rId685" Type="http://schemas.openxmlformats.org/officeDocument/2006/relationships/hyperlink" Target="https://www.sec.gov/Archives/edgar/data/0000022444/000119312521338492/d235404ddef14a.htm" TargetMode="External"/><Relationship Id="rId200" Type="http://schemas.openxmlformats.org/officeDocument/2006/relationships/hyperlink" Target="https://www.sec.gov/Archives/edgar/data/922224/000119312522097159/d233196ddef14a.htm" TargetMode="External"/><Relationship Id="rId442" Type="http://schemas.openxmlformats.org/officeDocument/2006/relationships/hyperlink" Target="https://www.citigroup.com/rcs/citigpa/storage/public/ar20p.pdf" TargetMode="External"/><Relationship Id="rId684" Type="http://schemas.openxmlformats.org/officeDocument/2006/relationships/hyperlink" Target="https://www.sec.gov/Archives/edgar/data/0000022444/000119312522290524/d378141ddef14a.htm" TargetMode="External"/><Relationship Id="rId441" Type="http://schemas.openxmlformats.org/officeDocument/2006/relationships/hyperlink" Target="https://www.citigroup.com/rcs/citigpa/storage/public/ar21p.pdf" TargetMode="External"/><Relationship Id="rId683" Type="http://schemas.openxmlformats.org/officeDocument/2006/relationships/hyperlink" Target="https://www.sec.gov/Archives/edgar/data/52988/000119312518342299/d634599ddef14a.htm" TargetMode="External"/><Relationship Id="rId437" Type="http://schemas.openxmlformats.org/officeDocument/2006/relationships/hyperlink" Target="https://www.sec.gov/Archives/edgar/data/1090727/000120677420000863/ups368803-def14a.htm" TargetMode="External"/><Relationship Id="rId679" Type="http://schemas.openxmlformats.org/officeDocument/2006/relationships/hyperlink" Target="https://www.sec.gov/Archives/edgar/data/52988/000119312522303804/d318559ddef14a.htm" TargetMode="External"/><Relationship Id="rId436" Type="http://schemas.openxmlformats.org/officeDocument/2006/relationships/hyperlink" Target="https://www.sec.gov/Archives/edgar/data/1090727/000120677421000883/ups3861781-def14a.htm" TargetMode="External"/><Relationship Id="rId678" Type="http://schemas.openxmlformats.org/officeDocument/2006/relationships/hyperlink" Target="https://www.sec.gov/Archives/edgar/data/1177394/000119312519046797/d625335ddef14a.htm" TargetMode="External"/><Relationship Id="rId435" Type="http://schemas.openxmlformats.org/officeDocument/2006/relationships/hyperlink" Target="https://www.sec.gov/Archives/edgar/data/1090727/000120677422000792/ups3995501-def14a.htm" TargetMode="External"/><Relationship Id="rId677" Type="http://schemas.openxmlformats.org/officeDocument/2006/relationships/hyperlink" Target="https://www.sec.gov/Archives/edgar/data/1177394/000156459020004051/snx-def14a_20200317.htm" TargetMode="External"/><Relationship Id="rId434" Type="http://schemas.openxmlformats.org/officeDocument/2006/relationships/hyperlink" Target="https://www.sec.gov/ix?doc=/Archives/edgar/data/0001090727/000109072723000015/ups-20230320.htm" TargetMode="External"/><Relationship Id="rId676" Type="http://schemas.openxmlformats.org/officeDocument/2006/relationships/hyperlink" Target="https://www.sec.gov/Archives/edgar/data/1177394/000156459021005293/snx-def14a_20210316.htm" TargetMode="External"/><Relationship Id="rId439" Type="http://schemas.openxmlformats.org/officeDocument/2006/relationships/hyperlink" Target="https://www.citigroup.com/rcs/citigpa/storage/public/Citi-2023-proxy-statement.pdf" TargetMode="External"/><Relationship Id="rId438" Type="http://schemas.openxmlformats.org/officeDocument/2006/relationships/hyperlink" Target="https://www.sec.gov/Archives/edgar/data/1090727/000120677419000877/ups3448911-def14a.htm" TargetMode="External"/><Relationship Id="rId671" Type="http://schemas.openxmlformats.org/officeDocument/2006/relationships/hyperlink" Target="https://www.sec.gov/Archives/edgar/data/1286681/000119312521084940/d131065ddef14a.htm" TargetMode="External"/><Relationship Id="rId670" Type="http://schemas.openxmlformats.org/officeDocument/2006/relationships/hyperlink" Target="https://www.sec.gov/Archives/edgar/data/1286681/000119312522077823/d222113ddef14a.htm" TargetMode="External"/><Relationship Id="rId433" Type="http://schemas.openxmlformats.org/officeDocument/2006/relationships/hyperlink" Target="https://www.sec.gov/Archives/edgar/data/0000060667/000119312519110021/d687530ddef14a.htm" TargetMode="External"/><Relationship Id="rId675" Type="http://schemas.openxmlformats.org/officeDocument/2006/relationships/hyperlink" Target="https://www.sec.gov/Archives/edgar/data/1177394/000119312522024635/d286607ddef14a.htm" TargetMode="External"/><Relationship Id="rId432" Type="http://schemas.openxmlformats.org/officeDocument/2006/relationships/hyperlink" Target="https://www.sec.gov/Archives/edgar/data/0000060667/000119312520108770/d876223ddef14a.htm" TargetMode="External"/><Relationship Id="rId674" Type="http://schemas.openxmlformats.org/officeDocument/2006/relationships/hyperlink" Target="https://www.sec.gov/Archives/edgar/data/1177394/000119312523025624/d450342ddef14a.htm" TargetMode="External"/><Relationship Id="rId431" Type="http://schemas.openxmlformats.org/officeDocument/2006/relationships/hyperlink" Target="https://www.sec.gov/Archives/edgar/data/0000060667/000119312521117203/d64263ddef14a.htm" TargetMode="External"/><Relationship Id="rId673" Type="http://schemas.openxmlformats.org/officeDocument/2006/relationships/hyperlink" Target="https://www.sec.gov/Archives/edgar/data/1286681/000119312519074028/d691795ddef14a.htm" TargetMode="External"/><Relationship Id="rId430" Type="http://schemas.openxmlformats.org/officeDocument/2006/relationships/hyperlink" Target="https://www.sec.gov/Archives/edgar/data/0000060667/000119312522105006/d301898ddef14a.htm" TargetMode="External"/><Relationship Id="rId672" Type="http://schemas.openxmlformats.org/officeDocument/2006/relationships/hyperlink" Target="https://www.sec.gov/Archives/edgar/data/1286681/000119312520070928/d837255ddef14a.ht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pps.bea.gov/iTable/?reqid=19&amp;step=3&amp;isuri=1&amp;select_all_years=0&amp;nipa_table_list=53&amp;series=a&amp;first_year=2019&amp;last_year=2022&amp;scale=-9&amp;categories=survey&amp;thetable=)." TargetMode="External"/><Relationship Id="rId2" Type="http://schemas.openxmlformats.org/officeDocument/2006/relationships/hyperlink" Target="https://apps.bea.gov/iTable/?reqid=19&amp;step=3&amp;isuri=1&amp;select_all_years=0&amp;nipa_table_list=53&amp;series=a&amp;first_year=2019&amp;last_year=2022&amp;scale=-9&amp;categories=survey&amp;thetable=)." TargetMode="External"/><Relationship Id="rId3" Type="http://schemas.openxmlformats.org/officeDocument/2006/relationships/hyperlink" Target="https://apps.bea.gov/iTable/?reqid=19&amp;step=3&amp;isuri=1&amp;select_all_years=0&amp;nipa_table_list=53&amp;series=a&amp;first_year=2019&amp;last_year=2022&amp;scale=-9&amp;categories=survey&amp;thetable=)." TargetMode="External"/><Relationship Id="rId4" Type="http://schemas.openxmlformats.org/officeDocument/2006/relationships/hyperlink" Target="https://www.whitehouse.gov/omb/budget/historical-tables/" TargetMode="External"/><Relationship Id="rId9" Type="http://schemas.openxmlformats.org/officeDocument/2006/relationships/drawing" Target="../drawings/drawing9.xml"/><Relationship Id="rId5" Type="http://schemas.openxmlformats.org/officeDocument/2006/relationships/hyperlink" Target="https://apps.bea.gov/iTable/?reqid=19&amp;step=2&amp;isuri=1&amp;categories=survey&amp;_gl=1*oy92q6*_ga*NzY5NTUwMjc4LjE3MDYyODc3MjA.*_ga_J4698JNNFT*MTcwOTMxODQ2Ni4zLjEuMTcwOTMxODUyMy4zLjAuMA.." TargetMode="External"/><Relationship Id="rId6" Type="http://schemas.openxmlformats.org/officeDocument/2006/relationships/hyperlink" Target="https://apps.bea.gov/iTable/?reqid=19&amp;step=2&amp;isuri=1&amp;categories=survey&amp;_gl=1*1tody41*_ga*NzY5NTUwMjc4LjE3MDYyODc3MjA.*_ga_J4698JNNFT*MTcwOTMxODQ2Ni4zLjEuMTcwOTMxODYwNC42MC4wLjA." TargetMode="External"/><Relationship Id="rId7" Type="http://schemas.openxmlformats.org/officeDocument/2006/relationships/hyperlink" Target="https://apps.bea.gov/iTable/?reqid=19&amp;step=2&amp;isuri=1&amp;categories=survey&amp;_gl=1*oy92q6*_ga*NzY5NTUwMjc4LjE3MDYyODc3MjA.*_ga_J4698JNNFT*MTcwOTMxODQ2Ni4zLjEuMTcwOTMxODUyMy4zLjAuMA.." TargetMode="External"/><Relationship Id="rId8" Type="http://schemas.openxmlformats.org/officeDocument/2006/relationships/hyperlink" Target="https://apps.bea.gov/iTable/?reqid=19&amp;step=2&amp;isuri=1&amp;categories=survey&amp;_gl=1*oy92q6*_ga*NzY5NTUwMjc4LjE3MDYyODc3MjA.*_ga_J4698JNNFT*MTcwOTMxODQ2Ni4zLjEuMTcwOTMxODUyMy4zLjAuMA.."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www.wsj.com/market-data/quotes/CNP/financials/annual/income-statement" TargetMode="External"/><Relationship Id="rId194" Type="http://schemas.openxmlformats.org/officeDocument/2006/relationships/hyperlink" Target="https://www.sec.gov/edgar/browse/?CIK=1324404&amp;owner=exclude" TargetMode="External"/><Relationship Id="rId193" Type="http://schemas.openxmlformats.org/officeDocument/2006/relationships/hyperlink" Target="https://www.wsj.com/market-data/quotes/CF/financials/annual/income-statement" TargetMode="External"/><Relationship Id="rId192" Type="http://schemas.openxmlformats.org/officeDocument/2006/relationships/hyperlink" Target="https://www.sec.gov/ix?doc=/Archives/edgar/data/1130310/000113031024000010/cnp-20231231.htm" TargetMode="External"/><Relationship Id="rId191" Type="http://schemas.openxmlformats.org/officeDocument/2006/relationships/hyperlink" Target="https://www.sec.gov/edgar/browse/?CIK=1130310" TargetMode="External"/><Relationship Id="rId187" Type="http://schemas.openxmlformats.org/officeDocument/2006/relationships/hyperlink" Target="https://www.sec.gov/ix?doc=/Archives/edgar/data/0001071739/000107173921000039/cnc-20201231.htm" TargetMode="External"/><Relationship Id="rId186" Type="http://schemas.openxmlformats.org/officeDocument/2006/relationships/hyperlink" Target="https://www.sec.gov/ix?doc=/Archives/edgar/data/0001071739/000107173922000071/cnc-20211231.htm" TargetMode="External"/><Relationship Id="rId185" Type="http://schemas.openxmlformats.org/officeDocument/2006/relationships/hyperlink" Target="https://www.sec.gov/ix?doc=/Archives/edgar/data/0001071739/000107173923000047/cnc-20221231.htm" TargetMode="External"/><Relationship Id="rId184" Type="http://schemas.openxmlformats.org/officeDocument/2006/relationships/hyperlink" Target="https://www.sec.gov/ixviewer/ix.html?doc=/Archives/edgar/data/1071739/000107173924000037/cnc-20231231.htm" TargetMode="External"/><Relationship Id="rId189" Type="http://schemas.openxmlformats.org/officeDocument/2006/relationships/hyperlink" Target="https://www.sec.gov/Archives/edgar/data/0001071739/000107173919000032/form10-k.htm" TargetMode="External"/><Relationship Id="rId188" Type="http://schemas.openxmlformats.org/officeDocument/2006/relationships/hyperlink" Target="https://www.sec.gov/ix?doc=/Archives/edgar/data/0001071739/000107173920000060/form10k.htm" TargetMode="External"/><Relationship Id="rId183" Type="http://schemas.openxmlformats.org/officeDocument/2006/relationships/hyperlink" Target="https://www.sec.gov/edgar/browse/?CIK=1071739&amp;owner=exclude" TargetMode="External"/><Relationship Id="rId182" Type="http://schemas.openxmlformats.org/officeDocument/2006/relationships/hyperlink" Target="https://www.wsj.com/market-data/quotes/CNC/financials/annual/income-statement" TargetMode="External"/><Relationship Id="rId181" Type="http://schemas.openxmlformats.org/officeDocument/2006/relationships/hyperlink" Target="https://www.sec.gov/edgar/browse/?CIK=1402057&amp;owner=exclude" TargetMode="External"/><Relationship Id="rId180" Type="http://schemas.openxmlformats.org/officeDocument/2006/relationships/hyperlink" Target="https://www.wsj.com/market-data/quotes/CDW/financials/annual/income-statement" TargetMode="External"/><Relationship Id="rId176" Type="http://schemas.openxmlformats.org/officeDocument/2006/relationships/hyperlink" Target="https://www.sec.gov/ix?doc=/Archives/edgar/data/0000018230/000001823021000063/cat-20201231.htm" TargetMode="External"/><Relationship Id="rId175" Type="http://schemas.openxmlformats.org/officeDocument/2006/relationships/hyperlink" Target="https://www.sec.gov/ix?doc=/Archives/edgar/data/0000018230/000001823022000050/cat-20211231.htm" TargetMode="External"/><Relationship Id="rId174" Type="http://schemas.openxmlformats.org/officeDocument/2006/relationships/hyperlink" Target="https://www.sec.gov/ix?doc=/Archives/edgar/data/0000018230/000001823023000011/cat-20221231.htm" TargetMode="External"/><Relationship Id="rId173" Type="http://schemas.openxmlformats.org/officeDocument/2006/relationships/hyperlink" Target="https://www.sec.gov/ix?doc=/Archives/edgar/data/18230/000001823024000009/cat-20231231.htm" TargetMode="External"/><Relationship Id="rId179" Type="http://schemas.openxmlformats.org/officeDocument/2006/relationships/hyperlink" Target="https://www.sec.gov/ixviewer/ix.html?doc=/Archives/edgar/data/0001138118/000113811824000006/cbre-20231231.htm" TargetMode="External"/><Relationship Id="rId178" Type="http://schemas.openxmlformats.org/officeDocument/2006/relationships/hyperlink" Target="https://www.sec.gov/edgar/browse/?CIK=1138118&amp;owner=exclude" TargetMode="External"/><Relationship Id="rId177" Type="http://schemas.openxmlformats.org/officeDocument/2006/relationships/hyperlink" Target="https://www.wsj.com/market-data/quotes/CBRE/financials/annual/income-statement" TargetMode="External"/><Relationship Id="rId198" Type="http://schemas.openxmlformats.org/officeDocument/2006/relationships/hyperlink" Target="https://www.wsj.com/market-data/quotes/CHTR/financials/annual/income-statement" TargetMode="External"/><Relationship Id="rId197" Type="http://schemas.openxmlformats.org/officeDocument/2006/relationships/hyperlink" Target="https://www.sec.gov/ix?doc=/Archives/edgar/data/316709/000031670924000018/schw-20231231.htm" TargetMode="External"/><Relationship Id="rId196" Type="http://schemas.openxmlformats.org/officeDocument/2006/relationships/hyperlink" Target="https://www.sec.gov/edgar/browse/?CIK=316709&amp;owner=exclude" TargetMode="External"/><Relationship Id="rId195" Type="http://schemas.openxmlformats.org/officeDocument/2006/relationships/hyperlink" Target="https://www.wsj.com/market-data/quotes/SCHW/financials/annual/income-statement" TargetMode="External"/><Relationship Id="rId199" Type="http://schemas.openxmlformats.org/officeDocument/2006/relationships/hyperlink" Target="https://www.sec.gov/edgar/browse/?CIK=1091667&amp;owner=exclude" TargetMode="External"/><Relationship Id="rId150" Type="http://schemas.openxmlformats.org/officeDocument/2006/relationships/hyperlink" Target="https://www.sec.gov/edgar/browse/?CIK=1443646&amp;owner=exclude" TargetMode="External"/><Relationship Id="rId392" Type="http://schemas.openxmlformats.org/officeDocument/2006/relationships/hyperlink" Target="https://www.wsj.com/market-data/quotes/FDX/financials/annual/income-statement" TargetMode="External"/><Relationship Id="rId391" Type="http://schemas.openxmlformats.org/officeDocument/2006/relationships/hyperlink" Target="https://www.sec.gov/Archives/edgar/data/0000034088/000003408819000010/xom10k2018.htm" TargetMode="External"/><Relationship Id="rId390" Type="http://schemas.openxmlformats.org/officeDocument/2006/relationships/hyperlink" Target="https://www.sec.gov/ix?doc=/Archives/edgar/data/0000034088/000003408820000016/xom10k2019.htm" TargetMode="External"/><Relationship Id="rId1" Type="http://schemas.openxmlformats.org/officeDocument/2006/relationships/hyperlink" Target="https://itep.org/corporate-tax-avoidance-trump-tax-law/" TargetMode="External"/><Relationship Id="rId2" Type="http://schemas.openxmlformats.org/officeDocument/2006/relationships/hyperlink" Target="https://www.wsj.com/market-data/quotes/MMM/financials/annual/income-statement" TargetMode="External"/><Relationship Id="rId3" Type="http://schemas.openxmlformats.org/officeDocument/2006/relationships/hyperlink" Target="https://www.sec.gov/edgar/browse/?CIK=66740&amp;owner=exclude" TargetMode="External"/><Relationship Id="rId149" Type="http://schemas.openxmlformats.org/officeDocument/2006/relationships/hyperlink" Target="https://www.wsj.com/market-data/quotes/BAH/financials/annual/income-statement" TargetMode="External"/><Relationship Id="rId4" Type="http://schemas.openxmlformats.org/officeDocument/2006/relationships/hyperlink" Target="https://www.sec.gov/ixviewer/ix.html?doc=/Archives/edgar/data/66740/000006674024000016/mmm-20231231.htm" TargetMode="External"/><Relationship Id="rId148" Type="http://schemas.openxmlformats.org/officeDocument/2006/relationships/hyperlink" Target="https://www.sec.gov/ixviewer/ix.html?doc=/Archives/edgar/data/1328581/000132858124000018/bcc-20231231.htm" TargetMode="External"/><Relationship Id="rId1090" Type="http://schemas.openxmlformats.org/officeDocument/2006/relationships/hyperlink" Target="https://www.wsj.com/market-data/quotes/CHD/financials/annual/income-statement" TargetMode="External"/><Relationship Id="rId1091" Type="http://schemas.openxmlformats.org/officeDocument/2006/relationships/hyperlink" Target="https://www.wsj.com/market-data/quotes/JNPR/financials/annual/income-statement" TargetMode="External"/><Relationship Id="rId1092" Type="http://schemas.openxmlformats.org/officeDocument/2006/relationships/hyperlink" Target="https://www.wsj.com/market-data/quotes/LEG/financials/annual/income-statement" TargetMode="External"/><Relationship Id="rId1093" Type="http://schemas.openxmlformats.org/officeDocument/2006/relationships/hyperlink" Target="https://www.wsj.com/market-data/quotes/CME/financials/annual/income-statement" TargetMode="External"/><Relationship Id="rId1094" Type="http://schemas.openxmlformats.org/officeDocument/2006/relationships/hyperlink" Target="https://www.sec.gov/edgar/browse/?CIK=1156375&amp;owner=exclude" TargetMode="External"/><Relationship Id="rId9" Type="http://schemas.openxmlformats.org/officeDocument/2006/relationships/hyperlink" Target="https://www.sec.gov/edgar/browse/?CIK=1591588&amp;owner=exclude" TargetMode="External"/><Relationship Id="rId143" Type="http://schemas.openxmlformats.org/officeDocument/2006/relationships/hyperlink" Target="https://www.wsj.com/market-data/quotes/BLK/financials/annual/income-statement" TargetMode="External"/><Relationship Id="rId385" Type="http://schemas.openxmlformats.org/officeDocument/2006/relationships/hyperlink" Target="https://www.sec.gov/edgar/browse/?CIK=34088&amp;owner=exclude" TargetMode="External"/><Relationship Id="rId1095" Type="http://schemas.openxmlformats.org/officeDocument/2006/relationships/hyperlink" Target="https://www.wsj.com/market-data/quotes/HUBB/financials/annual/income-statement" TargetMode="External"/><Relationship Id="rId142" Type="http://schemas.openxmlformats.org/officeDocument/2006/relationships/hyperlink" Target="https://www.sec.gov/edgar/browse/?CIK=1531152&amp;owner=exclude" TargetMode="External"/><Relationship Id="rId384" Type="http://schemas.openxmlformats.org/officeDocument/2006/relationships/hyperlink" Target="https://www.wsj.com/market-data/quotes/XOM/financials/annual/income-statement" TargetMode="External"/><Relationship Id="rId1096" Type="http://schemas.openxmlformats.org/officeDocument/2006/relationships/hyperlink" Target="https://www.wsj.com/market-data/quotes/SNA/financials/annual/income-statement" TargetMode="External"/><Relationship Id="rId141" Type="http://schemas.openxmlformats.org/officeDocument/2006/relationships/hyperlink" Target="https://www.wsj.com/market-data/quotes/BJ/financials/annual/income-statement" TargetMode="External"/><Relationship Id="rId383" Type="http://schemas.openxmlformats.org/officeDocument/2006/relationships/hyperlink" Target="https://www.sec.gov/ix?doc=/Archives/edgar/data/746515/000095017024019394/expd-20231231.htm" TargetMode="External"/><Relationship Id="rId1097" Type="http://schemas.openxmlformats.org/officeDocument/2006/relationships/hyperlink" Target="https://www.wsj.com/market-data/quotes/EPAM/financials/annual/income-statement" TargetMode="External"/><Relationship Id="rId140" Type="http://schemas.openxmlformats.org/officeDocument/2006/relationships/hyperlink" Target="https://www.sec.gov/ixviewer/ix.html?doc=/Archives/edgar/data/875045/000087504524000009/biib-20231231.htm" TargetMode="External"/><Relationship Id="rId382" Type="http://schemas.openxmlformats.org/officeDocument/2006/relationships/hyperlink" Target="https://www.sec.gov/edgar/browse/?CIK=746515" TargetMode="External"/><Relationship Id="rId1098" Type="http://schemas.openxmlformats.org/officeDocument/2006/relationships/hyperlink" Target="https://www.sec.gov/edgar/browse/?CIK=1352010&amp;owner=exclude" TargetMode="External"/><Relationship Id="rId5" Type="http://schemas.openxmlformats.org/officeDocument/2006/relationships/hyperlink" Target="https://www.sec.gov/ix?doc=/Archives/edgar/data/0000066740/000006674023000014/mmm-20221231.htm" TargetMode="External"/><Relationship Id="rId147" Type="http://schemas.openxmlformats.org/officeDocument/2006/relationships/hyperlink" Target="https://www.sec.gov/edgar/browse/?CIK=1328581" TargetMode="External"/><Relationship Id="rId389" Type="http://schemas.openxmlformats.org/officeDocument/2006/relationships/hyperlink" Target="https://www.sec.gov/ix?doc=/Archives/edgar/data/0000034088/000003408821000012/xom-20201231.htm" TargetMode="External"/><Relationship Id="rId1099" Type="http://schemas.openxmlformats.org/officeDocument/2006/relationships/hyperlink" Target="https://www.wsj.com/market-data/quotes/PAYX/financials/annual/income-statement" TargetMode="External"/><Relationship Id="rId6" Type="http://schemas.openxmlformats.org/officeDocument/2006/relationships/hyperlink" Target="https://www.sec.gov/ix?doc=/Archives/edgar/data/0000066740/000006674022000010/mmm-20211231.htm" TargetMode="External"/><Relationship Id="rId146" Type="http://schemas.openxmlformats.org/officeDocument/2006/relationships/hyperlink" Target="https://www.wsj.com/market-data/quotes/BCC/financials/annual/income-statement" TargetMode="External"/><Relationship Id="rId388" Type="http://schemas.openxmlformats.org/officeDocument/2006/relationships/hyperlink" Target="https://www.sec.gov/ix?doc=/Archives/edgar/data/0000034088/000003408822000011/xom-20211231.htm" TargetMode="External"/><Relationship Id="rId7" Type="http://schemas.openxmlformats.org/officeDocument/2006/relationships/hyperlink" Target="https://www.sec.gov/ix?doc=/Archives/edgar/data/0000066740/000155837021000737/mmm-20201231x10k.htm" TargetMode="External"/><Relationship Id="rId145" Type="http://schemas.openxmlformats.org/officeDocument/2006/relationships/hyperlink" Target="https://www.sec.gov/ixviewer/ix.html?doc=/Archives/edgar/data/1364742/000095017024019271/blk-20231231.htm" TargetMode="External"/><Relationship Id="rId387" Type="http://schemas.openxmlformats.org/officeDocument/2006/relationships/hyperlink" Target="https://www.sec.gov/ix?doc=/Archives/edgar/data/0000034088/000003408823000020/xom-20221231.htm" TargetMode="External"/><Relationship Id="rId8" Type="http://schemas.openxmlformats.org/officeDocument/2006/relationships/hyperlink" Target="https://www.wsj.com/market-data/quotes/AMRK/financials/annual/income-statement" TargetMode="External"/><Relationship Id="rId144" Type="http://schemas.openxmlformats.org/officeDocument/2006/relationships/hyperlink" Target="https://www.sec.gov/edgar/browse/?CIK=1364742" TargetMode="External"/><Relationship Id="rId386" Type="http://schemas.openxmlformats.org/officeDocument/2006/relationships/hyperlink" Target="https://www.sec.gov/ixviewer/ix.html?doc=/Archives/edgar/data/0000034088/000003408824000018/xom-20231231.htm" TargetMode="External"/><Relationship Id="rId381" Type="http://schemas.openxmlformats.org/officeDocument/2006/relationships/hyperlink" Target="https://www.wsj.com/market-data/quotes/EXPD/financials/annual/income-statement" TargetMode="External"/><Relationship Id="rId380" Type="http://schemas.openxmlformats.org/officeDocument/2006/relationships/hyperlink" Target="https://www.sec.gov/ix?doc=/Archives/edgar/data/0001109357/000110935721000022/exc-20201231.htm" TargetMode="External"/><Relationship Id="rId139" Type="http://schemas.openxmlformats.org/officeDocument/2006/relationships/hyperlink" Target="https://www.sec.gov/edgar/browse/?CIK=875045&amp;owner=exclude" TargetMode="External"/><Relationship Id="rId138" Type="http://schemas.openxmlformats.org/officeDocument/2006/relationships/hyperlink" Target="https://www.wsj.com/market-data/quotes/BIIB/financials/annual/income-statement" TargetMode="External"/><Relationship Id="rId137" Type="http://schemas.openxmlformats.org/officeDocument/2006/relationships/hyperlink" Target="https://www.sec.gov/ix?doc=/Archives/edgar/data/0000764478/000076447821000024/bby-20210130x10k.htm" TargetMode="External"/><Relationship Id="rId379" Type="http://schemas.openxmlformats.org/officeDocument/2006/relationships/hyperlink" Target="https://www.sec.gov/ix?doc=/Archives/edgar/data/0001109357/000110935722000039/exc-20211231.htm" TargetMode="External"/><Relationship Id="rId1080" Type="http://schemas.openxmlformats.org/officeDocument/2006/relationships/hyperlink" Target="https://www.wsj.com/market-data/quotes/SWKS/financials/annual/income-statement" TargetMode="External"/><Relationship Id="rId1081" Type="http://schemas.openxmlformats.org/officeDocument/2006/relationships/hyperlink" Target="https://www.sec.gov/edgar/browse/?CIK=4127&amp;owner=exclude" TargetMode="External"/><Relationship Id="rId1082" Type="http://schemas.openxmlformats.org/officeDocument/2006/relationships/hyperlink" Target="https://www.wsj.com/market-data/quotes/IT/financials/annual/income-statement" TargetMode="External"/><Relationship Id="rId1083" Type="http://schemas.openxmlformats.org/officeDocument/2006/relationships/hyperlink" Target="https://www.wsj.com/market-data/quotes/ROP/financials/annual/income-statement" TargetMode="External"/><Relationship Id="rId132" Type="http://schemas.openxmlformats.org/officeDocument/2006/relationships/hyperlink" Target="https://www.sec.gov/ixviewer/ix.html?doc=/Archives/edgar/data/1378992/000114036123053869/form10k.htm" TargetMode="External"/><Relationship Id="rId374" Type="http://schemas.openxmlformats.org/officeDocument/2006/relationships/hyperlink" Target="https://www.sec.gov/edgar/browse/?CIK=72741&amp;owner=exclude" TargetMode="External"/><Relationship Id="rId1084" Type="http://schemas.openxmlformats.org/officeDocument/2006/relationships/hyperlink" Target="https://www.wsj.com/market-data/quotes/MCO/financials/annual/income-statement" TargetMode="External"/><Relationship Id="rId131" Type="http://schemas.openxmlformats.org/officeDocument/2006/relationships/hyperlink" Target="https://www.sec.gov/edgar/browse/?CIK=1378992&amp;owner=exclude" TargetMode="External"/><Relationship Id="rId373" Type="http://schemas.openxmlformats.org/officeDocument/2006/relationships/hyperlink" Target="https://www.wsj.com/market-data/quotes/ES/financials/annual/income-statement" TargetMode="External"/><Relationship Id="rId1085" Type="http://schemas.openxmlformats.org/officeDocument/2006/relationships/hyperlink" Target="https://www.wsj.com/market-data/quotes/TDY/financials/annual/income-statement" TargetMode="External"/><Relationship Id="rId130" Type="http://schemas.openxmlformats.org/officeDocument/2006/relationships/hyperlink" Target="https://www.wsj.com/market-data/quotes/BERY/financials/annual/income-statement" TargetMode="External"/><Relationship Id="rId372" Type="http://schemas.openxmlformats.org/officeDocument/2006/relationships/hyperlink" Target="https://www.sec.gov/ixviewer/ix.html?doc=/Archives/edgar/data/65984/000006598424000012/etr-20231231.htm" TargetMode="External"/><Relationship Id="rId1086" Type="http://schemas.openxmlformats.org/officeDocument/2006/relationships/hyperlink" Target="https://www.wsj.com/market-data/quotes/TDG/financials/annual/income-statement" TargetMode="External"/><Relationship Id="rId371" Type="http://schemas.openxmlformats.org/officeDocument/2006/relationships/hyperlink" Target="https://www.sec.gov/edgar/browse/?CIK=65984&amp;owner=exclude" TargetMode="External"/><Relationship Id="rId1087" Type="http://schemas.openxmlformats.org/officeDocument/2006/relationships/hyperlink" Target="https://www.sec.gov/edgar/browse/?CIK=1260221&amp;owner=exclude" TargetMode="External"/><Relationship Id="rId136" Type="http://schemas.openxmlformats.org/officeDocument/2006/relationships/hyperlink" Target="https://www.sec.gov/ix?doc=/Archives/edgar/data/0000764478/000076447822000008/bby-20220129x10k.htm" TargetMode="External"/><Relationship Id="rId378" Type="http://schemas.openxmlformats.org/officeDocument/2006/relationships/hyperlink" Target="https://www.sec.gov/ix?doc=/Archives/edgar/data/0001109357/000110935723000018/exc-20221231.htm" TargetMode="External"/><Relationship Id="rId1088" Type="http://schemas.openxmlformats.org/officeDocument/2006/relationships/hyperlink" Target="https://www.wsj.com/market-data/quotes/TDS/financials/annual/income-statement" TargetMode="External"/><Relationship Id="rId135" Type="http://schemas.openxmlformats.org/officeDocument/2006/relationships/hyperlink" Target="https://www.sec.gov/ix?doc=/Archives/edgar/data/0000764478/000076447823000006/bby-20230128x10k.htm" TargetMode="External"/><Relationship Id="rId377" Type="http://schemas.openxmlformats.org/officeDocument/2006/relationships/hyperlink" Target="https://www.sec.gov/ixviewer/ix.html?doc=/Archives/edgar/data/0001109357/000110935724000053/exc-20231231.htm" TargetMode="External"/><Relationship Id="rId1089" Type="http://schemas.openxmlformats.org/officeDocument/2006/relationships/hyperlink" Target="https://www.wsj.com/market-data/quotes/EW/financials/annual/income-statement" TargetMode="External"/><Relationship Id="rId134" Type="http://schemas.openxmlformats.org/officeDocument/2006/relationships/hyperlink" Target="https://www.sec.gov/edgar/browse/?CIK=764478&amp;owner=exclude" TargetMode="External"/><Relationship Id="rId376" Type="http://schemas.openxmlformats.org/officeDocument/2006/relationships/hyperlink" Target="https://www.sec.gov/edgar/browse/?CIK=1109357&amp;owner=exclude" TargetMode="External"/><Relationship Id="rId133" Type="http://schemas.openxmlformats.org/officeDocument/2006/relationships/hyperlink" Target="https://www.wsj.com/market-data/quotes/BBY/financials/annual/income-statement" TargetMode="External"/><Relationship Id="rId375" Type="http://schemas.openxmlformats.org/officeDocument/2006/relationships/hyperlink" Target="https://www.wsj.com/market-data/quotes/EXC/financials/annual/income-statement" TargetMode="External"/><Relationship Id="rId172" Type="http://schemas.openxmlformats.org/officeDocument/2006/relationships/hyperlink" Target="https://www.sec.gov/edgar/browse/?CIK=18230&amp;owner=exclude" TargetMode="External"/><Relationship Id="rId171" Type="http://schemas.openxmlformats.org/officeDocument/2006/relationships/hyperlink" Target="https://www.wsj.com/market-data/quotes/CAT/financials/annual/income-statement" TargetMode="External"/><Relationship Id="rId170" Type="http://schemas.openxmlformats.org/officeDocument/2006/relationships/hyperlink" Target="https://www.sec.gov/edgar/browse/?CIK=726958&amp;owner=exclude" TargetMode="External"/><Relationship Id="rId165" Type="http://schemas.openxmlformats.org/officeDocument/2006/relationships/hyperlink" Target="https://www.sec.gov/edgar/browse/?CIK=1170010&amp;owner=exclude" TargetMode="External"/><Relationship Id="rId164" Type="http://schemas.openxmlformats.org/officeDocument/2006/relationships/hyperlink" Target="https://www.wsj.com/market-data/quotes/KMX/financials/annual/income-statement" TargetMode="External"/><Relationship Id="rId163" Type="http://schemas.openxmlformats.org/officeDocument/2006/relationships/hyperlink" Target="https://www.sec.gov/ix?doc=/Archives/edgar/data/0000927628/000092762821000094/cof-20201231.htm" TargetMode="External"/><Relationship Id="rId162" Type="http://schemas.openxmlformats.org/officeDocument/2006/relationships/hyperlink" Target="https://www.sec.gov/ix?doc=/Archives/edgar/data/0000927628/000092762822000106/cof-20211231.htm" TargetMode="External"/><Relationship Id="rId169" Type="http://schemas.openxmlformats.org/officeDocument/2006/relationships/hyperlink" Target="https://www.wsj.com/market-data/quotes/CASY/financials/annual/income-statement" TargetMode="External"/><Relationship Id="rId168" Type="http://schemas.openxmlformats.org/officeDocument/2006/relationships/hyperlink" Target="https://www.sec.gov/ixviewer/ix.html?doc=/Archives/edgar/data/1783180/000178318024000009/carr-20231231.htm" TargetMode="External"/><Relationship Id="rId167" Type="http://schemas.openxmlformats.org/officeDocument/2006/relationships/hyperlink" Target="https://www.sec.gov/edgar/browse/?CIK=1783180&amp;owner=exclude" TargetMode="External"/><Relationship Id="rId166" Type="http://schemas.openxmlformats.org/officeDocument/2006/relationships/hyperlink" Target="https://www.wsj.com/market-data/quotes/CARR/financials/annual/income-statement" TargetMode="External"/><Relationship Id="rId161" Type="http://schemas.openxmlformats.org/officeDocument/2006/relationships/hyperlink" Target="https://www.sec.gov/ix?doc=/Archives/edgar/data/0000927628/000092762823000117/cof-20221231.htm" TargetMode="External"/><Relationship Id="rId160" Type="http://schemas.openxmlformats.org/officeDocument/2006/relationships/hyperlink" Target="https://www.sec.gov/ixviewer/ix.html?doc=/Archives/edgar/data/927628/000092762824000094/cof-20231231.htm" TargetMode="External"/><Relationship Id="rId159" Type="http://schemas.openxmlformats.org/officeDocument/2006/relationships/hyperlink" Target="https://www.sec.gov/edgar/browse/?CIK=927628&amp;owner=exclude" TargetMode="External"/><Relationship Id="rId154" Type="http://schemas.openxmlformats.org/officeDocument/2006/relationships/hyperlink" Target="https://www.sec.gov/edgar/browse/?CIK=1043277&amp;owner=exclude" TargetMode="External"/><Relationship Id="rId396" Type="http://schemas.openxmlformats.org/officeDocument/2006/relationships/hyperlink" Target="https://www.sec.gov/ix?doc=/Archives/edgar/data/0001048911/000156459021037031/fdx-10k_20210531.htm" TargetMode="External"/><Relationship Id="rId153" Type="http://schemas.openxmlformats.org/officeDocument/2006/relationships/hyperlink" Target="https://www.wsj.com/market-data/quotes/CHRW/financials/annual/income-statement" TargetMode="External"/><Relationship Id="rId395" Type="http://schemas.openxmlformats.org/officeDocument/2006/relationships/hyperlink" Target="https://www.sec.gov/ix?doc=/Archives/edgar/data/0001048911/000095017022012762/fdx-20220531.htm" TargetMode="External"/><Relationship Id="rId152" Type="http://schemas.openxmlformats.org/officeDocument/2006/relationships/hyperlink" Target="https://www.sec.gov/edgar/browse/?CIK=1316835&amp;owner=exclude" TargetMode="External"/><Relationship Id="rId394" Type="http://schemas.openxmlformats.org/officeDocument/2006/relationships/hyperlink" Target="https://www.sec.gov/ixviewer/ix.html?doc=/Archives/edgar/data/1048911/000095017023033201/fdx-20230531.htm" TargetMode="External"/><Relationship Id="rId151" Type="http://schemas.openxmlformats.org/officeDocument/2006/relationships/hyperlink" Target="https://www.wsj.com/market-data/quotes/BLDR/financials/annual/income-statement" TargetMode="External"/><Relationship Id="rId393" Type="http://schemas.openxmlformats.org/officeDocument/2006/relationships/hyperlink" Target="https://www.sec.gov/edgar/browse/?CIK=1048911&amp;owner=exclude" TargetMode="External"/><Relationship Id="rId158" Type="http://schemas.openxmlformats.org/officeDocument/2006/relationships/hyperlink" Target="https://www.wsj.com/market-data/quotes/COF/financials/annual/income-statement" TargetMode="External"/><Relationship Id="rId157" Type="http://schemas.openxmlformats.org/officeDocument/2006/relationships/hyperlink" Target="https://www.sec.gov/ixviewer/ix.html?doc=/Archives/edgar/data/16732/000001673223000109/cpb-20230730.htm" TargetMode="External"/><Relationship Id="rId399" Type="http://schemas.openxmlformats.org/officeDocument/2006/relationships/hyperlink" Target="https://www.wsj.com/market-data/quotes/FITB/financials/annual/income-statement" TargetMode="External"/><Relationship Id="rId156" Type="http://schemas.openxmlformats.org/officeDocument/2006/relationships/hyperlink" Target="https://www.sec.gov/edgar/browse/?CIK=16732&amp;owner=exclude" TargetMode="External"/><Relationship Id="rId398" Type="http://schemas.openxmlformats.org/officeDocument/2006/relationships/hyperlink" Target="https://www.sec.gov/Archives/edgar/data/0001048911/000156459019025065/fdx-10k_20190531.htm" TargetMode="External"/><Relationship Id="rId155" Type="http://schemas.openxmlformats.org/officeDocument/2006/relationships/hyperlink" Target="https://www.wsj.com/market-data/quotes/CPB/financials/annual/income-statement" TargetMode="External"/><Relationship Id="rId397" Type="http://schemas.openxmlformats.org/officeDocument/2006/relationships/hyperlink" Target="https://www.sec.gov/ix?doc=/Archives/edgar/data/0001048911/000156459020032775/fdx-10k_20200531.htm" TargetMode="External"/><Relationship Id="rId808" Type="http://schemas.openxmlformats.org/officeDocument/2006/relationships/hyperlink" Target="https://www.sec.gov/ixviewer/ix.html?doc=/Archives/edgar/data/872589/000180422024000009/regn-20231231.htm" TargetMode="External"/><Relationship Id="rId807" Type="http://schemas.openxmlformats.org/officeDocument/2006/relationships/hyperlink" Target="https://www.sec.gov/edgar/browse/?CIK=872589&amp;owner=exclude" TargetMode="External"/><Relationship Id="rId806" Type="http://schemas.openxmlformats.org/officeDocument/2006/relationships/hyperlink" Target="https://www.wsj.com/market-data/quotes/REGN/financials/annual/income-statement" TargetMode="External"/><Relationship Id="rId805" Type="http://schemas.openxmlformats.org/officeDocument/2006/relationships/hyperlink" Target="https://www.sec.gov/Archives/edgar/data/0000101829/000010182918000005/a2017-12x31form10xk.htm" TargetMode="External"/><Relationship Id="rId809" Type="http://schemas.openxmlformats.org/officeDocument/2006/relationships/hyperlink" Target="https://www.wsj.com/market-data/quotes/RF/financials/annual/income-statement" TargetMode="External"/><Relationship Id="rId800" Type="http://schemas.openxmlformats.org/officeDocument/2006/relationships/hyperlink" Target="https://www.sec.gov/ixviewer/ix.html?doc=/Archives/edgar/data/101829/000010182924000008/rtx-20231231.htm" TargetMode="External"/><Relationship Id="rId804" Type="http://schemas.openxmlformats.org/officeDocument/2006/relationships/hyperlink" Target="https://www.sec.gov/Archives/edgar/data/0000101829/000010182919000007/a2018-12x31form10xk.htm" TargetMode="External"/><Relationship Id="rId803" Type="http://schemas.openxmlformats.org/officeDocument/2006/relationships/hyperlink" Target="https://www.sec.gov/ix?doc=/Archives/edgar/data/0000101829/000010182920000013/utx-20191231_d2.htm" TargetMode="External"/><Relationship Id="rId802" Type="http://schemas.openxmlformats.org/officeDocument/2006/relationships/hyperlink" Target="https://www.sec.gov/ix?doc=/Archives/edgar/data/0000101829/000010182921000008/rtx-20201231.htm" TargetMode="External"/><Relationship Id="rId801" Type="http://schemas.openxmlformats.org/officeDocument/2006/relationships/hyperlink" Target="https://www.sec.gov/ix?doc=/Archives/edgar/data/101829/000010182923000009/rtx-20221231.htm" TargetMode="External"/><Relationship Id="rId40" Type="http://schemas.openxmlformats.org/officeDocument/2006/relationships/hyperlink" Target="https://www.sec.gov/ix?doc=/Archives/edgar/data/0001652044/000165204423000016/goog-20221231.htm" TargetMode="External"/><Relationship Id="rId42" Type="http://schemas.openxmlformats.org/officeDocument/2006/relationships/hyperlink" Target="https://www.sec.gov/ix?doc=/Archives/edgar/data/0001652044/000165204421000010/goog-20201231.htm" TargetMode="External"/><Relationship Id="rId41" Type="http://schemas.openxmlformats.org/officeDocument/2006/relationships/hyperlink" Target="https://www.sec.gov/ix?doc=/Archives/edgar/data/0001652044/000165204422000019/goog-20211231.htm" TargetMode="External"/><Relationship Id="rId44" Type="http://schemas.openxmlformats.org/officeDocument/2006/relationships/hyperlink" Target="https://www.sec.gov/Archives/edgar/data/1652044/000119312519028757/d705307d10ka.htm" TargetMode="External"/><Relationship Id="rId43" Type="http://schemas.openxmlformats.org/officeDocument/2006/relationships/hyperlink" Target="https://www.sec.gov/ix?doc=/Archives/edgar/data/0001652044/000165204420000008/goog10-k2019.htm" TargetMode="External"/><Relationship Id="rId46" Type="http://schemas.openxmlformats.org/officeDocument/2006/relationships/hyperlink" Target="https://itep.org/corporations-reap-billions-in-tax-breaks-under-bonus-depreciation/" TargetMode="External"/><Relationship Id="rId45" Type="http://schemas.openxmlformats.org/officeDocument/2006/relationships/hyperlink" Target="https://www.wsj.com/market-data/quotes/AMZN/financials/annual/income-statement" TargetMode="External"/><Relationship Id="rId509" Type="http://schemas.openxmlformats.org/officeDocument/2006/relationships/hyperlink" Target="https://www.sec.gov/ix?doc=/Archives/edgar/data/0000050863/000005086323000006/intc-20221231.htm" TargetMode="External"/><Relationship Id="rId508" Type="http://schemas.openxmlformats.org/officeDocument/2006/relationships/hyperlink" Target="https://www.sec.gov/ix?doc=/Archives/edgar/data/50863/000005086324000010/intc-20231230.htm" TargetMode="External"/><Relationship Id="rId503" Type="http://schemas.openxmlformats.org/officeDocument/2006/relationships/hyperlink" Target="https://www.sec.gov/edgar/browse/?CIK=932696&amp;owner=exclude" TargetMode="External"/><Relationship Id="rId745" Type="http://schemas.openxmlformats.org/officeDocument/2006/relationships/hyperlink" Target="https://www.sec.gov/ix?doc=/Archives/edgar/data/0001534701/000153470123000053/psx-20221231.htm" TargetMode="External"/><Relationship Id="rId987" Type="http://schemas.openxmlformats.org/officeDocument/2006/relationships/hyperlink" Target="https://www.sec.gov/Archives/edgar/data/0001618921/000162828018012472/wba-2018831x10k.htm" TargetMode="External"/><Relationship Id="rId502" Type="http://schemas.openxmlformats.org/officeDocument/2006/relationships/hyperlink" Target="https://www.wsj.com/market-data/quotes/NSIT/financials/annual/income-statement" TargetMode="External"/><Relationship Id="rId744" Type="http://schemas.openxmlformats.org/officeDocument/2006/relationships/hyperlink" Target="https://www.sec.gov/edgar/browse/?CIK=1534701&amp;owner=exclude" TargetMode="External"/><Relationship Id="rId986" Type="http://schemas.openxmlformats.org/officeDocument/2006/relationships/hyperlink" Target="https://www.sec.gov/Archives/edgar/data/0001618921/000161892119000069/wba-2019831x10k.htm" TargetMode="External"/><Relationship Id="rId501" Type="http://schemas.openxmlformats.org/officeDocument/2006/relationships/hyperlink" Target="https://www.sec.gov/ixviewer/ix.html?doc=/Archives/edgar/data/49826/000004982624000008/itw-20231231.htm" TargetMode="External"/><Relationship Id="rId743" Type="http://schemas.openxmlformats.org/officeDocument/2006/relationships/hyperlink" Target="https://www.wsj.com/market-data/quotes/PSX/financials/annual/income-statement" TargetMode="External"/><Relationship Id="rId985" Type="http://schemas.openxmlformats.org/officeDocument/2006/relationships/hyperlink" Target="https://www.sec.gov/ix?doc=/Archives/edgar/data/0001618921/000161892120000082/wba-20200831.htm" TargetMode="External"/><Relationship Id="rId500" Type="http://schemas.openxmlformats.org/officeDocument/2006/relationships/hyperlink" Target="https://www.sec.gov/edgar/browse/?CIK=49826" TargetMode="External"/><Relationship Id="rId742" Type="http://schemas.openxmlformats.org/officeDocument/2006/relationships/hyperlink" Target="https://www.sec.gov/Archives/edgar/data/0000077476/000007747619000017/pepsico201810-k.htm" TargetMode="External"/><Relationship Id="rId984" Type="http://schemas.openxmlformats.org/officeDocument/2006/relationships/hyperlink" Target="https://www.sec.gov/ix?doc=/Archives/edgar/data/0001618921/000161892121000085/wba-20210831.htm" TargetMode="External"/><Relationship Id="rId507" Type="http://schemas.openxmlformats.org/officeDocument/2006/relationships/hyperlink" Target="https://www.sec.gov/edgar/browse/?CIK=50863&amp;owner=exclude" TargetMode="External"/><Relationship Id="rId749" Type="http://schemas.openxmlformats.org/officeDocument/2006/relationships/hyperlink" Target="https://www.sec.gov/Archives/edgar/data/0001534701/000153470119000063/psx-20181231_10k.htm" TargetMode="External"/><Relationship Id="rId506" Type="http://schemas.openxmlformats.org/officeDocument/2006/relationships/hyperlink" Target="https://itep.org/corporations-reap-billions-in-tax-breaks-under-bonus-depreciation/" TargetMode="External"/><Relationship Id="rId748" Type="http://schemas.openxmlformats.org/officeDocument/2006/relationships/hyperlink" Target="https://www.sec.gov/ix?doc=/Archives/edgar/data/0001534701/000153470120000070/psx-2019123110k.htm" TargetMode="External"/><Relationship Id="rId505" Type="http://schemas.openxmlformats.org/officeDocument/2006/relationships/hyperlink" Target="https://www.wsj.com/market-data/quotes/INTC/financials/annual/income-statement" TargetMode="External"/><Relationship Id="rId747" Type="http://schemas.openxmlformats.org/officeDocument/2006/relationships/hyperlink" Target="https://www.sec.gov/ix?doc=/Archives/edgar/data/0001534701/000153470121000074/psx-20201231.htm" TargetMode="External"/><Relationship Id="rId989" Type="http://schemas.openxmlformats.org/officeDocument/2006/relationships/hyperlink" Target="https://www.sec.gov/edgar/browse/?CIK=104169&amp;owner=exclude" TargetMode="External"/><Relationship Id="rId504" Type="http://schemas.openxmlformats.org/officeDocument/2006/relationships/hyperlink" Target="https://www.sec.gov/ixviewer/ix.html?doc=/Archives/edgar/data/932696/000162828024006391/nsit-20231231.htm" TargetMode="External"/><Relationship Id="rId746" Type="http://schemas.openxmlformats.org/officeDocument/2006/relationships/hyperlink" Target="https://www.sec.gov/ix?doc=/Archives/edgar/data/0001534701/000153470122000078/psx-20211231.htm" TargetMode="External"/><Relationship Id="rId988" Type="http://schemas.openxmlformats.org/officeDocument/2006/relationships/hyperlink" Target="https://www.wsj.com/market-data/quotes/WMT/financials/annual/income-statement" TargetMode="External"/><Relationship Id="rId48" Type="http://schemas.openxmlformats.org/officeDocument/2006/relationships/hyperlink" Target="https://www.sec.gov/ixviewer/ix.html?doc=/Archives/edgar/data/1018724/000101872424000008/amzn-20231231.htm" TargetMode="External"/><Relationship Id="rId47" Type="http://schemas.openxmlformats.org/officeDocument/2006/relationships/hyperlink" Target="https://www.sec.gov/edgar/browse/?CIK=1018724&amp;owner=exclude" TargetMode="External"/><Relationship Id="rId49" Type="http://schemas.openxmlformats.org/officeDocument/2006/relationships/hyperlink" Target="https://www.sec.gov/ix?doc=/Archives/edgar/data/0001018724/000101872423000004/amzn-20221231.htm" TargetMode="External"/><Relationship Id="rId741" Type="http://schemas.openxmlformats.org/officeDocument/2006/relationships/hyperlink" Target="https://www.sec.gov/ix?doc=/Archives/edgar/data/0000077476/000007747620000015/pepsico201910-k.htm" TargetMode="External"/><Relationship Id="rId983" Type="http://schemas.openxmlformats.org/officeDocument/2006/relationships/hyperlink" Target="https://www.sec.gov/ix?doc=/Archives/edgar/data/0001618921/000161892122000064/wba-20220831.htm" TargetMode="External"/><Relationship Id="rId740" Type="http://schemas.openxmlformats.org/officeDocument/2006/relationships/hyperlink" Target="https://www.sec.gov/ix?doc=/Archives/edgar/data/0000077476/000007747621000007/pep-20201226.htm" TargetMode="External"/><Relationship Id="rId982" Type="http://schemas.openxmlformats.org/officeDocument/2006/relationships/hyperlink" Target="https://www.sec.gov/edgar/browse/?CIK=1618921&amp;owner=exclude" TargetMode="External"/><Relationship Id="rId981" Type="http://schemas.openxmlformats.org/officeDocument/2006/relationships/hyperlink" Target="https://www.wsj.com/market-data/quotes/WBA/financials/annual/income-statement" TargetMode="External"/><Relationship Id="rId980" Type="http://schemas.openxmlformats.org/officeDocument/2006/relationships/hyperlink" Target="https://www.sec.gov/ixviewer/ix.html?doc=/Archives/edgar/data/277135/000027713524000011/gww-20231231.htm" TargetMode="External"/><Relationship Id="rId31" Type="http://schemas.openxmlformats.org/officeDocument/2006/relationships/hyperlink" Target="https://www.sec.gov/ix?doc=/Archives/edgar/data/0001646972/000164697220000022/acify1910-k.htm" TargetMode="External"/><Relationship Id="rId30" Type="http://schemas.openxmlformats.org/officeDocument/2006/relationships/hyperlink" Target="https://www.sec.gov/ix?doc=/Archives/edgar/data/0001646972/000164697221000026/aci-20210227.htm" TargetMode="External"/><Relationship Id="rId33" Type="http://schemas.openxmlformats.org/officeDocument/2006/relationships/hyperlink" Target="https://www.wsj.com/market-data/quotes/ALLY/financials/annual/income-statement" TargetMode="External"/><Relationship Id="rId32" Type="http://schemas.openxmlformats.org/officeDocument/2006/relationships/hyperlink" Target="https://www.sec.gov/ix?doc=/Archives/edgar/data/0001646972/000164697219000036/acify1810-k.htm" TargetMode="External"/><Relationship Id="rId35" Type="http://schemas.openxmlformats.org/officeDocument/2006/relationships/hyperlink" Target="https://www.sec.gov/ixviewer/ix.html?doc=/Archives/edgar/data/0000040729/000004072924000004/ally-20231231.htm" TargetMode="External"/><Relationship Id="rId34" Type="http://schemas.openxmlformats.org/officeDocument/2006/relationships/hyperlink" Target="https://www.sec.gov/edgar/browse/?CIK=40729&amp;owner=exclude" TargetMode="External"/><Relationship Id="rId739" Type="http://schemas.openxmlformats.org/officeDocument/2006/relationships/hyperlink" Target="https://www.sec.gov/ix?doc=/Archives/edgar/data/0000077476/000007747622000010/pep-20211225.htm" TargetMode="External"/><Relationship Id="rId734" Type="http://schemas.openxmlformats.org/officeDocument/2006/relationships/hyperlink" Target="https://www.sec.gov/edgar/browse/?CIK=1019849&amp;owner=exclude" TargetMode="External"/><Relationship Id="rId976" Type="http://schemas.openxmlformats.org/officeDocument/2006/relationships/hyperlink" Target="https://www.sec.gov/edgar/browse/?CIK=11544" TargetMode="External"/><Relationship Id="rId733" Type="http://schemas.openxmlformats.org/officeDocument/2006/relationships/hyperlink" Target="https://www.wsj.com/market-data/quotes/PAG/financials/annual/income-statement" TargetMode="External"/><Relationship Id="rId975" Type="http://schemas.openxmlformats.org/officeDocument/2006/relationships/hyperlink" Target="https://www.wsj.com/market-data/quotes/WRB/financials/annual/income-statement" TargetMode="External"/><Relationship Id="rId732" Type="http://schemas.openxmlformats.org/officeDocument/2006/relationships/hyperlink" Target="https://www.sec.gov/edgar/browse/?CIK=76334&amp;owner=exclude" TargetMode="External"/><Relationship Id="rId974" Type="http://schemas.openxmlformats.org/officeDocument/2006/relationships/hyperlink" Target="https://www.sec.gov/ixviewer/ix.html?doc=/Archives/edgar/data/1396009/000139600924000006/vmc-20231231x10k.htm" TargetMode="External"/><Relationship Id="rId731" Type="http://schemas.openxmlformats.org/officeDocument/2006/relationships/hyperlink" Target="https://www.wsj.com/market-data/quotes/PH/financials/annual/income-statement" TargetMode="External"/><Relationship Id="rId973" Type="http://schemas.openxmlformats.org/officeDocument/2006/relationships/hyperlink" Target="https://www.sec.gov/edgar/browse/?CIK=1396009&amp;owner=exclude" TargetMode="External"/><Relationship Id="rId738" Type="http://schemas.openxmlformats.org/officeDocument/2006/relationships/hyperlink" Target="https://www.sec.gov/ix?doc=/Archives/edgar/data/0000077476/000007747623000007/pep-20221231.htm" TargetMode="External"/><Relationship Id="rId737" Type="http://schemas.openxmlformats.org/officeDocument/2006/relationships/hyperlink" Target="https://www.sec.gov/ixviewer/ix.html?doc=/Archives/edgar/data/0000077476/000007747624000008/pep-20231230.htm" TargetMode="External"/><Relationship Id="rId979" Type="http://schemas.openxmlformats.org/officeDocument/2006/relationships/hyperlink" Target="https://www.sec.gov/edgar/browse/?CIK=277135&amp;owner=exclude" TargetMode="External"/><Relationship Id="rId736" Type="http://schemas.openxmlformats.org/officeDocument/2006/relationships/hyperlink" Target="https://www.sec.gov/edgar/browse/?CIK=77476&amp;owner=exclude" TargetMode="External"/><Relationship Id="rId978" Type="http://schemas.openxmlformats.org/officeDocument/2006/relationships/hyperlink" Target="https://www.wsj.com/market-data/quotes/GWW/financials/annual/income-statement" TargetMode="External"/><Relationship Id="rId735" Type="http://schemas.openxmlformats.org/officeDocument/2006/relationships/hyperlink" Target="https://www.wsj.com/market-data/quotes/PEP/financials/annual/income-statement" TargetMode="External"/><Relationship Id="rId977" Type="http://schemas.openxmlformats.org/officeDocument/2006/relationships/hyperlink" Target="https://www.sec.gov/ixviewer/ix.html?doc=/Archives/edgar/data/11544/000001154424000005/wrb-20231231.htm" TargetMode="External"/><Relationship Id="rId37" Type="http://schemas.openxmlformats.org/officeDocument/2006/relationships/hyperlink" Target="https://itep.org/corporations-reap-billions-in-tax-breaks-under-bonus-depreciation/" TargetMode="External"/><Relationship Id="rId36" Type="http://schemas.openxmlformats.org/officeDocument/2006/relationships/hyperlink" Target="https://www.wsj.com/market-data/quotes/GOOGL/financials/annual/income-statement" TargetMode="External"/><Relationship Id="rId39" Type="http://schemas.openxmlformats.org/officeDocument/2006/relationships/hyperlink" Target="https://www.sec.gov/ixviewer/ix.html?doc=/Archives/edgar/data/0001652044/000165204424000022/goog-20231231.htm" TargetMode="External"/><Relationship Id="rId38" Type="http://schemas.openxmlformats.org/officeDocument/2006/relationships/hyperlink" Target="https://www.sec.gov/edgar/browse/?CIK=1652044&amp;owner=exclude" TargetMode="External"/><Relationship Id="rId730" Type="http://schemas.openxmlformats.org/officeDocument/2006/relationships/hyperlink" Target="https://www.sec.gov/ixviewer/ix.html?doc=/Archives/edgar/data/0000813828/000081382824000007/para-20231231.htm" TargetMode="External"/><Relationship Id="rId972" Type="http://schemas.openxmlformats.org/officeDocument/2006/relationships/hyperlink" Target="https://www.wsj.com/market-data/quotes/VMC/financials/annual/income-statement" TargetMode="External"/><Relationship Id="rId971" Type="http://schemas.openxmlformats.org/officeDocument/2006/relationships/hyperlink" Target="https://www.sec.gov/ixviewer/ix.html?doc=/Archives/edgar/data/1403161/000140316123000099/v-20230930.htm" TargetMode="External"/><Relationship Id="rId970" Type="http://schemas.openxmlformats.org/officeDocument/2006/relationships/hyperlink" Target="https://www.sec.gov/edgar/browse/?CIK=1403161&amp;owner=exclude" TargetMode="External"/><Relationship Id="rId1114" Type="http://schemas.openxmlformats.org/officeDocument/2006/relationships/hyperlink" Target="https://www.sec.gov/edgar/browse/?CIK=1679273&amp;owner=exclude" TargetMode="External"/><Relationship Id="rId1115" Type="http://schemas.openxmlformats.org/officeDocument/2006/relationships/hyperlink" Target="https://www.wsj.com/market-data/quotes/CRL/financials/annual/income-statement" TargetMode="External"/><Relationship Id="rId20" Type="http://schemas.openxmlformats.org/officeDocument/2006/relationships/hyperlink" Target="https://www.wsj.com/market-data/quotes/ACM/financials/annual/income-statement" TargetMode="External"/><Relationship Id="rId1116" Type="http://schemas.openxmlformats.org/officeDocument/2006/relationships/hyperlink" Target="https://www.wsj.com/market-data/quotes/CBOE/financials/annual/income-statement" TargetMode="External"/><Relationship Id="rId1117" Type="http://schemas.openxmlformats.org/officeDocument/2006/relationships/hyperlink" Target="https://www.wsj.com/market-data/quotes/BF.A/financials/annual/income-statement" TargetMode="External"/><Relationship Id="rId22" Type="http://schemas.openxmlformats.org/officeDocument/2006/relationships/hyperlink" Target="https://www.sec.gov/ixviewer/ix.html?doc=/Archives/edgar/data/868857/000110465923118329/acm-20230930x10k.htm" TargetMode="External"/><Relationship Id="rId1118" Type="http://schemas.openxmlformats.org/officeDocument/2006/relationships/hyperlink" Target="https://www.sec.gov/edgar/browse/?CIK=14693&amp;owner=exclude" TargetMode="External"/><Relationship Id="rId21" Type="http://schemas.openxmlformats.org/officeDocument/2006/relationships/hyperlink" Target="https://www.sec.gov/edgar/browse/?CIK=0000868857" TargetMode="External"/><Relationship Id="rId1119" Type="http://schemas.openxmlformats.org/officeDocument/2006/relationships/hyperlink" Target="https://www.wsj.com/market-data/quotes/GHC/financials/annual/income-statement" TargetMode="External"/><Relationship Id="rId24" Type="http://schemas.openxmlformats.org/officeDocument/2006/relationships/hyperlink" Target="https://www.sec.gov/edgar/browse/?CIK=2969&amp;owner=exclude" TargetMode="External"/><Relationship Id="rId23" Type="http://schemas.openxmlformats.org/officeDocument/2006/relationships/hyperlink" Target="https://www.wsj.com/market-data/quotes/APD/financials/annual/income-statement" TargetMode="External"/><Relationship Id="rId525" Type="http://schemas.openxmlformats.org/officeDocument/2006/relationships/hyperlink" Target="https://www.wsj.com/market-data/quotes/J/financials/annual/income-statement" TargetMode="External"/><Relationship Id="rId767" Type="http://schemas.openxmlformats.org/officeDocument/2006/relationships/hyperlink" Target="https://www.sec.gov/ixviewer/ix.html?doc=/Archives/edgar/data/1126328/000110465924025516/pfg-20231231x10k.htm" TargetMode="External"/><Relationship Id="rId524" Type="http://schemas.openxmlformats.org/officeDocument/2006/relationships/hyperlink" Target="https://www.sec.gov/edgar/browse/?CIK=728535&amp;owner=exclude" TargetMode="External"/><Relationship Id="rId766" Type="http://schemas.openxmlformats.org/officeDocument/2006/relationships/hyperlink" Target="https://www.sec.gov/edgar/browse/?CIK=1126328&amp;owner=exclude" TargetMode="External"/><Relationship Id="rId523" Type="http://schemas.openxmlformats.org/officeDocument/2006/relationships/hyperlink" Target="https://www.wsj.com/market-data/quotes/JBHT/financials/annual/income-statement" TargetMode="External"/><Relationship Id="rId765" Type="http://schemas.openxmlformats.org/officeDocument/2006/relationships/hyperlink" Target="https://www.wsj.com/market-data/quotes/PFG/financials/annual/income-statement" TargetMode="External"/><Relationship Id="rId522" Type="http://schemas.openxmlformats.org/officeDocument/2006/relationships/hyperlink" Target="https://www.sec.gov/ixviewer/ix.html?doc=/Archives/edgar/data/896878/000089687823000034/intu-20230731.htm" TargetMode="External"/><Relationship Id="rId764" Type="http://schemas.openxmlformats.org/officeDocument/2006/relationships/hyperlink" Target="https://www.sec.gov/ix?doc=/Archives/edgar/data/922224/000092222424000008/ppl-20231231.htm" TargetMode="External"/><Relationship Id="rId529" Type="http://schemas.openxmlformats.org/officeDocument/2006/relationships/hyperlink" Target="https://www.sec.gov/edgar/browse/?CIK=1037976&amp;owner=exclude" TargetMode="External"/><Relationship Id="rId528" Type="http://schemas.openxmlformats.org/officeDocument/2006/relationships/hyperlink" Target="https://www.wsj.com/market-data/quotes/JLL/financials/annual/income-statement" TargetMode="External"/><Relationship Id="rId527" Type="http://schemas.openxmlformats.org/officeDocument/2006/relationships/hyperlink" Target="https://www.sec.gov/ixviewer/ix.html?doc=/Archives/edgar/data/52988/000005298823000084/jec-20230929.htm" TargetMode="External"/><Relationship Id="rId769" Type="http://schemas.openxmlformats.org/officeDocument/2006/relationships/hyperlink" Target="https://www.sec.gov/edgar/browse/?CIK=80424&amp;owner=exclude" TargetMode="External"/><Relationship Id="rId526" Type="http://schemas.openxmlformats.org/officeDocument/2006/relationships/hyperlink" Target="https://www.sec.gov/edgar/browse/?CIK=0000052988" TargetMode="External"/><Relationship Id="rId768" Type="http://schemas.openxmlformats.org/officeDocument/2006/relationships/hyperlink" Target="https://www.wsj.com/market-data/quotes/PG/financials/annual/income-statement" TargetMode="External"/><Relationship Id="rId26" Type="http://schemas.openxmlformats.org/officeDocument/2006/relationships/hyperlink" Target="https://www.wsj.com/market-data/quotes/ACI/financials/annual/income-statement" TargetMode="External"/><Relationship Id="rId25" Type="http://schemas.openxmlformats.org/officeDocument/2006/relationships/hyperlink" Target="https://www.sec.gov/ixviewer/ix.html?doc=/Archives/edgar/data/2969/000000296923000047/apd-20230930.htm" TargetMode="External"/><Relationship Id="rId28" Type="http://schemas.openxmlformats.org/officeDocument/2006/relationships/hyperlink" Target="https://www.sec.gov/ix?doc=/Archives/edgar/data/0001646972/000164697223000045/aci-20230225.htm" TargetMode="External"/><Relationship Id="rId27" Type="http://schemas.openxmlformats.org/officeDocument/2006/relationships/hyperlink" Target="https://www.sec.gov/edgar/browse/?CIK=1646972&amp;owner=exclude" TargetMode="External"/><Relationship Id="rId521" Type="http://schemas.openxmlformats.org/officeDocument/2006/relationships/hyperlink" Target="https://www.sec.gov/edgar/browse/?CIK=896878&amp;owner=exclude" TargetMode="External"/><Relationship Id="rId763" Type="http://schemas.openxmlformats.org/officeDocument/2006/relationships/hyperlink" Target="https://www.sec.gov/edgar/browse/?CIK=922224&amp;owner=exclude" TargetMode="External"/><Relationship Id="rId1110" Type="http://schemas.openxmlformats.org/officeDocument/2006/relationships/hyperlink" Target="https://www.sec.gov/edgar/browse/?CIK=352541&amp;owner=exclude" TargetMode="External"/><Relationship Id="rId29" Type="http://schemas.openxmlformats.org/officeDocument/2006/relationships/hyperlink" Target="https://www.sec.gov/ix?doc=/Archives/edgar/data/0001646972/000164697222000031/aci-20220226.htm" TargetMode="External"/><Relationship Id="rId520" Type="http://schemas.openxmlformats.org/officeDocument/2006/relationships/hyperlink" Target="https://www.wsj.com/market-data/quotes/INTU/financials/annual/income-statement" TargetMode="External"/><Relationship Id="rId762" Type="http://schemas.openxmlformats.org/officeDocument/2006/relationships/hyperlink" Target="https://www.wsj.com/market-data/quotes/PPL/financials/annual/income-statement" TargetMode="External"/><Relationship Id="rId1111" Type="http://schemas.openxmlformats.org/officeDocument/2006/relationships/hyperlink" Target="https://www.wsj.com/market-data/quotes/ATO/financials/annual/income-statement" TargetMode="External"/><Relationship Id="rId761" Type="http://schemas.openxmlformats.org/officeDocument/2006/relationships/hyperlink" Target="https://www.sec.gov/ixviewer/ix.html?doc=/Archives/edgar/data/79879/000007987924000040/ppg-20231231.htm" TargetMode="External"/><Relationship Id="rId1112" Type="http://schemas.openxmlformats.org/officeDocument/2006/relationships/hyperlink" Target="https://www.sec.gov/edgar/browse/?CIK=731802&amp;owner=exclude" TargetMode="External"/><Relationship Id="rId760" Type="http://schemas.openxmlformats.org/officeDocument/2006/relationships/hyperlink" Target="https://www.sec.gov/edgar/browse/?CIK=79879" TargetMode="External"/><Relationship Id="rId1113" Type="http://schemas.openxmlformats.org/officeDocument/2006/relationships/hyperlink" Target="https://www.wsj.com/market-data/quotes/LW/financials/annual/income-statement" TargetMode="External"/><Relationship Id="rId1103" Type="http://schemas.openxmlformats.org/officeDocument/2006/relationships/hyperlink" Target="https://www.sec.gov/edgar/browse/?CIK=1286681&amp;owner=exclude" TargetMode="External"/><Relationship Id="rId1104" Type="http://schemas.openxmlformats.org/officeDocument/2006/relationships/hyperlink" Target="https://www.wsj.com/market-data/quotes/TKR/financials/annual/income-statement" TargetMode="External"/><Relationship Id="rId1105" Type="http://schemas.openxmlformats.org/officeDocument/2006/relationships/hyperlink" Target="https://www.wsj.com/market-data/quotes/ANET/financials/annual/income-statement" TargetMode="External"/><Relationship Id="rId1106" Type="http://schemas.openxmlformats.org/officeDocument/2006/relationships/hyperlink" Target="https://www.wsj.com/market-data/quotes/BFH/financials/annual/income-statement" TargetMode="External"/><Relationship Id="rId11" Type="http://schemas.openxmlformats.org/officeDocument/2006/relationships/hyperlink" Target="https://www.sec.gov/edgar/browse/?CIK=771497&amp;owner=exclude" TargetMode="External"/><Relationship Id="rId1107" Type="http://schemas.openxmlformats.org/officeDocument/2006/relationships/hyperlink" Target="https://www.sec.gov/edgar/browse/?CIK=1101215" TargetMode="External"/><Relationship Id="rId10" Type="http://schemas.openxmlformats.org/officeDocument/2006/relationships/hyperlink" Target="https://www.wsj.com/market-data/quotes/ABM/financials/annual/income-statement" TargetMode="External"/><Relationship Id="rId1108" Type="http://schemas.openxmlformats.org/officeDocument/2006/relationships/hyperlink" Target="https://www.sec.gov/ixviewer/ix.html?doc=/Archives/edgar/data/0001101215/000110121524000041/bfh-20231231.htm" TargetMode="External"/><Relationship Id="rId13" Type="http://schemas.openxmlformats.org/officeDocument/2006/relationships/hyperlink" Target="https://www.wsj.com/market-data/quotes/ATVI/financials/annual/income-statement" TargetMode="External"/><Relationship Id="rId1109" Type="http://schemas.openxmlformats.org/officeDocument/2006/relationships/hyperlink" Target="https://www.wsj.com/market-data/quotes/LNT/financials/annual/income-statement" TargetMode="External"/><Relationship Id="rId12" Type="http://schemas.openxmlformats.org/officeDocument/2006/relationships/hyperlink" Target="https://www.sec.gov/ix?doc=/Archives/edgar/data/771497/000077149723000025/abm-20231031.htm" TargetMode="External"/><Relationship Id="rId519" Type="http://schemas.openxmlformats.org/officeDocument/2006/relationships/hyperlink" Target="https://www.sec.gov/ixviewer/ix.html?doc=/Archives/edgar/data/51644/000005164424000013/ipg-20231231.htm" TargetMode="External"/><Relationship Id="rId514" Type="http://schemas.openxmlformats.org/officeDocument/2006/relationships/hyperlink" Target="https://www.wsj.com/market-data/quotes/IP/financials/annual/income-statement" TargetMode="External"/><Relationship Id="rId756" Type="http://schemas.openxmlformats.org/officeDocument/2006/relationships/hyperlink" Target="https://www.wsj.com/market-data/quotes/PII/financials/annual/income-statement" TargetMode="External"/><Relationship Id="rId998" Type="http://schemas.openxmlformats.org/officeDocument/2006/relationships/hyperlink" Target="https://www.sec.gov/ix?doc=/Archives/edgar/data/0001744489/000174448922000213/dis-20221001.htm" TargetMode="External"/><Relationship Id="rId513" Type="http://schemas.openxmlformats.org/officeDocument/2006/relationships/hyperlink" Target="https://www.sec.gov/Archives/edgar/data/0000050863/000005086319000007/a12292018q4-10kdocument.htm" TargetMode="External"/><Relationship Id="rId755" Type="http://schemas.openxmlformats.org/officeDocument/2006/relationships/hyperlink" Target="https://www.sec.gov/ixviewer/ix.html?doc=/Archives/edgar/data/713676/000071367624000028/pnc-20231231.htm" TargetMode="External"/><Relationship Id="rId997" Type="http://schemas.openxmlformats.org/officeDocument/2006/relationships/hyperlink" Target="https://www.sec.gov/ix?doc=/Archives/edgar/data/0001744489/000174448923000216/dis-20230930.htm" TargetMode="External"/><Relationship Id="rId512" Type="http://schemas.openxmlformats.org/officeDocument/2006/relationships/hyperlink" Target="https://www.sec.gov/ix?doc=/Archives/edgar/data/0000050863/000005086320000011/a12282019q4-10kdocument.htm" TargetMode="External"/><Relationship Id="rId754" Type="http://schemas.openxmlformats.org/officeDocument/2006/relationships/hyperlink" Target="https://www.sec.gov/edgar/browse/?CIK=713676&amp;owner=exclude" TargetMode="External"/><Relationship Id="rId996" Type="http://schemas.openxmlformats.org/officeDocument/2006/relationships/hyperlink" Target="https://www.sec.gov/edgar/browse/?CIK=1744489&amp;owner=exclude" TargetMode="External"/><Relationship Id="rId511" Type="http://schemas.openxmlformats.org/officeDocument/2006/relationships/hyperlink" Target="https://www.sec.gov/ix?doc=/Archives/edgar/data/0000050863/000005086321000010/intc-20201226.htm" TargetMode="External"/><Relationship Id="rId753" Type="http://schemas.openxmlformats.org/officeDocument/2006/relationships/hyperlink" Target="https://www.wsj.com/market-data/quotes/PNC/financials/annual/income-statement" TargetMode="External"/><Relationship Id="rId995" Type="http://schemas.openxmlformats.org/officeDocument/2006/relationships/hyperlink" Target="https://www.wsj.com/market-data/quotes/DIS/financials/annual/income-statement" TargetMode="External"/><Relationship Id="rId518" Type="http://schemas.openxmlformats.org/officeDocument/2006/relationships/hyperlink" Target="https://www.sec.gov/edgar/browse/?CIK=51644" TargetMode="External"/><Relationship Id="rId517" Type="http://schemas.openxmlformats.org/officeDocument/2006/relationships/hyperlink" Target="https://www.wsj.com/market-data/quotes/IPG/financials/annual/income-statement" TargetMode="External"/><Relationship Id="rId759" Type="http://schemas.openxmlformats.org/officeDocument/2006/relationships/hyperlink" Target="https://www.wsj.com/market-data/quotes/PPG/financials/annual/income-statement" TargetMode="External"/><Relationship Id="rId516" Type="http://schemas.openxmlformats.org/officeDocument/2006/relationships/hyperlink" Target="https://www.sec.gov/ixviewer/ix.html?doc=/Archives/edgar/data/51434/000005143424000024/ip-20231231.htm" TargetMode="External"/><Relationship Id="rId758" Type="http://schemas.openxmlformats.org/officeDocument/2006/relationships/hyperlink" Target="https://www.sec.gov/ixviewer/ix.html?doc=/Archives/edgar/data/931015/000162828024005284/pii-20231231.htm" TargetMode="External"/><Relationship Id="rId515" Type="http://schemas.openxmlformats.org/officeDocument/2006/relationships/hyperlink" Target="https://www.sec.gov/edgar/browse/?CIK=51434&amp;owner=exclude" TargetMode="External"/><Relationship Id="rId757" Type="http://schemas.openxmlformats.org/officeDocument/2006/relationships/hyperlink" Target="https://www.sec.gov/edgar/browse/?CIK=931015&amp;owner=exclude" TargetMode="External"/><Relationship Id="rId999" Type="http://schemas.openxmlformats.org/officeDocument/2006/relationships/hyperlink" Target="https://www.sec.gov/ix?doc=/Archives/edgar/data/0001744489/000174448921000220/dis-20211002.htm" TargetMode="External"/><Relationship Id="rId15" Type="http://schemas.openxmlformats.org/officeDocument/2006/relationships/hyperlink" Target="https://www.wsj.com/market-data/quotes/ADBE/financials/annual/income-statement" TargetMode="External"/><Relationship Id="rId990" Type="http://schemas.openxmlformats.org/officeDocument/2006/relationships/hyperlink" Target="https://www.sec.gov/ix?doc=/Archives/edgar/data/0000104169/000010416923000020/wmt-20230131.htm" TargetMode="External"/><Relationship Id="rId14" Type="http://schemas.openxmlformats.org/officeDocument/2006/relationships/hyperlink" Target="https://www.sec.gov/edgar/browse/?CIK=718877" TargetMode="External"/><Relationship Id="rId17" Type="http://schemas.openxmlformats.org/officeDocument/2006/relationships/hyperlink" Target="https://www.sec.gov/ix?doc=/Archives/edgar/data/796343/000079634324000006/adbe-20231201.htm" TargetMode="External"/><Relationship Id="rId16" Type="http://schemas.openxmlformats.org/officeDocument/2006/relationships/hyperlink" Target="https://www.sec.gov/edgar/browse/?CIK=796343&amp;owner=exclude" TargetMode="External"/><Relationship Id="rId19" Type="http://schemas.openxmlformats.org/officeDocument/2006/relationships/hyperlink" Target="https://www.sec.gov/edgar/browse/?CIK=1158449&amp;owner=exclude" TargetMode="External"/><Relationship Id="rId510" Type="http://schemas.openxmlformats.org/officeDocument/2006/relationships/hyperlink" Target="https://www.sec.gov/ix?doc=/Archives/edgar/data/0000050863/000005086322000007/intc-20211225.htm" TargetMode="External"/><Relationship Id="rId752" Type="http://schemas.openxmlformats.org/officeDocument/2006/relationships/hyperlink" Target="https://www.sec.gov/edgar/browse/?CIK=1038357&amp;owner=exclude" TargetMode="External"/><Relationship Id="rId994" Type="http://schemas.openxmlformats.org/officeDocument/2006/relationships/hyperlink" Target="https://www.sec.gov/Archives/edgar/data/104169/000010416919000016/wmtform10-kx1312019.htm" TargetMode="External"/><Relationship Id="rId18" Type="http://schemas.openxmlformats.org/officeDocument/2006/relationships/hyperlink" Target="https://www.wsj.com/market-data/quotes/AAP/financials/annual/income-statement" TargetMode="External"/><Relationship Id="rId751" Type="http://schemas.openxmlformats.org/officeDocument/2006/relationships/hyperlink" Target="https://itep.org/corporations-reap-billions-in-tax-breaks-under-bonus-depreciation/" TargetMode="External"/><Relationship Id="rId993" Type="http://schemas.openxmlformats.org/officeDocument/2006/relationships/hyperlink" Target="https://www.sec.gov/ix?doc=/Archives/edgar/data/0000104169/000010416920000011/wmtform10-kx1312020.htm" TargetMode="External"/><Relationship Id="rId1100" Type="http://schemas.openxmlformats.org/officeDocument/2006/relationships/hyperlink" Target="https://www.sec.gov/edgar/browse/?CIK=723531&amp;owner=exclude" TargetMode="External"/><Relationship Id="rId750" Type="http://schemas.openxmlformats.org/officeDocument/2006/relationships/hyperlink" Target="https://www.wsj.com/market-data/quotes/PDX/financials/annual/income-statement" TargetMode="External"/><Relationship Id="rId992" Type="http://schemas.openxmlformats.org/officeDocument/2006/relationships/hyperlink" Target="https://www.sec.gov/ix?doc=/Archives/edgar/data/0000104169/000010416921000033/wmt-20210131.htm" TargetMode="External"/><Relationship Id="rId1101" Type="http://schemas.openxmlformats.org/officeDocument/2006/relationships/hyperlink" Target="https://www.wsj.com/market-data/quotes/RVTY/financials/annual/income-statement" TargetMode="External"/><Relationship Id="rId991" Type="http://schemas.openxmlformats.org/officeDocument/2006/relationships/hyperlink" Target="https://www.sec.gov/ix?doc=/Archives/edgar/data/0000104169/000010416922000012/wmt-20220131.htm" TargetMode="External"/><Relationship Id="rId1102" Type="http://schemas.openxmlformats.org/officeDocument/2006/relationships/hyperlink" Target="https://www.wsj.com/market-data/quotes/DPZ/financials/annual/income-statement" TargetMode="External"/><Relationship Id="rId84" Type="http://schemas.openxmlformats.org/officeDocument/2006/relationships/hyperlink" Target="https://www.sec.gov/edgar/browse/?CIK=320193&amp;owner=exclude" TargetMode="External"/><Relationship Id="rId83" Type="http://schemas.openxmlformats.org/officeDocument/2006/relationships/hyperlink" Target="https://www.wsj.com/market-data/quotes/AAPL/financials/annual/income-statement" TargetMode="External"/><Relationship Id="rId86" Type="http://schemas.openxmlformats.org/officeDocument/2006/relationships/hyperlink" Target="https://www.sec.gov/ix?doc=/Archives/edgar/data/0000320193/000032019322000108/aapl-20220924.htm" TargetMode="External"/><Relationship Id="rId85" Type="http://schemas.openxmlformats.org/officeDocument/2006/relationships/hyperlink" Target="https://www.sec.gov/ix?doc=/Archives/edgar/data/320193/000032019323000106/aapl-20230930.htm" TargetMode="External"/><Relationship Id="rId88" Type="http://schemas.openxmlformats.org/officeDocument/2006/relationships/hyperlink" Target="https://www.sec.gov/ix?doc=/Archives/edgar/data/0000320193/000032019320000096/aapl-20200926.htm" TargetMode="External"/><Relationship Id="rId87" Type="http://schemas.openxmlformats.org/officeDocument/2006/relationships/hyperlink" Target="https://www.sec.gov/ix?doc=/Archives/edgar/data/0000320193/000032019321000105/aapl-20210925.htm" TargetMode="External"/><Relationship Id="rId89" Type="http://schemas.openxmlformats.org/officeDocument/2006/relationships/hyperlink" Target="https://www.sec.gov/ix?doc=/Archives/edgar/data/0000320193/000032019319000119/a10-k20199282019.htm" TargetMode="External"/><Relationship Id="rId709" Type="http://schemas.openxmlformats.org/officeDocument/2006/relationships/hyperlink" Target="https://www.sec.gov/ixviewer/ix.html?doc=/Archives/edgar/data/202058/000020205824000029/hrs-20231229.htm" TargetMode="External"/><Relationship Id="rId708" Type="http://schemas.openxmlformats.org/officeDocument/2006/relationships/hyperlink" Target="https://www.wsj.com/market-data/quotes/ODP/financials/annual/income-statement" TargetMode="External"/><Relationship Id="rId707" Type="http://schemas.openxmlformats.org/officeDocument/2006/relationships/hyperlink" Target="https://www.sec.gov/edgar/browse/?CIK=898173&amp;owner=exclude" TargetMode="External"/><Relationship Id="rId949" Type="http://schemas.openxmlformats.org/officeDocument/2006/relationships/hyperlink" Target="https://www.sec.gov/ix?doc=/Archives/edgar/data/5513/000000551324000015/unm-20231231.htm" TargetMode="External"/><Relationship Id="rId706" Type="http://schemas.openxmlformats.org/officeDocument/2006/relationships/hyperlink" Target="https://www.wsj.com/market-data/quotes/ORLY/financials/annual/income-statement" TargetMode="External"/><Relationship Id="rId948" Type="http://schemas.openxmlformats.org/officeDocument/2006/relationships/hyperlink" Target="https://www.sec.gov/edgar/browse/?CIK=5513&amp;owner=exclude" TargetMode="External"/><Relationship Id="rId80" Type="http://schemas.openxmlformats.org/officeDocument/2006/relationships/hyperlink" Target="https://www.wsj.com/market-data/quotes/ADI/financials/annual/income-statement" TargetMode="External"/><Relationship Id="rId82" Type="http://schemas.openxmlformats.org/officeDocument/2006/relationships/hyperlink" Target="https://www.sec.gov/ix?doc=/Archives/edgar/data/6281/000000628123000203/adi-20231028.htm" TargetMode="External"/><Relationship Id="rId81" Type="http://schemas.openxmlformats.org/officeDocument/2006/relationships/hyperlink" Target="https://www.sec.gov/edgar/browse/?CIK=6281&amp;owner=exclude" TargetMode="External"/><Relationship Id="rId701" Type="http://schemas.openxmlformats.org/officeDocument/2006/relationships/hyperlink" Target="https://www.wsj.com/market-data/quotes/NVDA/financials/annual/income-statement" TargetMode="External"/><Relationship Id="rId943" Type="http://schemas.openxmlformats.org/officeDocument/2006/relationships/hyperlink" Target="https://www.sec.gov/edgar/browse/?CIK=1163302&amp;owner=exclude" TargetMode="External"/><Relationship Id="rId700" Type="http://schemas.openxmlformats.org/officeDocument/2006/relationships/hyperlink" Target="https://www.sec.gov/ixviewer/ix.html?doc=/Archives/edgar/data/0000073309/000095017024021195/nue-20231231.htm" TargetMode="External"/><Relationship Id="rId942" Type="http://schemas.openxmlformats.org/officeDocument/2006/relationships/hyperlink" Target="https://www.wsj.com/market-data/quotes/X/financials/annual/income-statement" TargetMode="External"/><Relationship Id="rId941" Type="http://schemas.openxmlformats.org/officeDocument/2006/relationships/hyperlink" Target="https://www.sec.gov/ixviewer/ix.html?doc=/Archives/edgar/data/1067701/000106770124000007/uri-20231231.htm%5C" TargetMode="External"/><Relationship Id="rId940" Type="http://schemas.openxmlformats.org/officeDocument/2006/relationships/hyperlink" Target="https://www.sec.gov/edgar/browse/?CIK=1067701&amp;owner=exclude" TargetMode="External"/><Relationship Id="rId705" Type="http://schemas.openxmlformats.org/officeDocument/2006/relationships/hyperlink" Target="https://www.sec.gov/ixviewer/ix.html?doc=/Archives/edgar/data/906163/000090616324000033/nvr-20231231.htm" TargetMode="External"/><Relationship Id="rId947" Type="http://schemas.openxmlformats.org/officeDocument/2006/relationships/hyperlink" Target="https://www.wsj.com/market-data/quotes/UNM/financials/annual/income-statement" TargetMode="External"/><Relationship Id="rId704" Type="http://schemas.openxmlformats.org/officeDocument/2006/relationships/hyperlink" Target="https://www.sec.gov/edgar/browse/?CIK=906163" TargetMode="External"/><Relationship Id="rId946" Type="http://schemas.openxmlformats.org/officeDocument/2006/relationships/hyperlink" Target="https://www.sec.gov/edgar/browse/?CIK=352915&amp;owner=exclude" TargetMode="External"/><Relationship Id="rId703" Type="http://schemas.openxmlformats.org/officeDocument/2006/relationships/hyperlink" Target="https://www.wsj.com/market-data/quotes/NVR/financials/annual/income-statement" TargetMode="External"/><Relationship Id="rId945" Type="http://schemas.openxmlformats.org/officeDocument/2006/relationships/hyperlink" Target="https://www.wsj.com/market-data/quotes/UHS/financials/annual/income-statement" TargetMode="External"/><Relationship Id="rId702" Type="http://schemas.openxmlformats.org/officeDocument/2006/relationships/hyperlink" Target="https://www.sec.gov/edgar/browse/?CIK=1045810&amp;owner=exclude" TargetMode="External"/><Relationship Id="rId944" Type="http://schemas.openxmlformats.org/officeDocument/2006/relationships/hyperlink" Target="https://www.sec.gov/ixviewer/ix.html?doc=/Archives/edgar/data/0001163302/000116330224000009/x-20231231.htm" TargetMode="External"/><Relationship Id="rId73" Type="http://schemas.openxmlformats.org/officeDocument/2006/relationships/hyperlink" Target="https://www.sec.gov/Archives/edgar/data/0001140859/000114085918000053/a10-kx9302018.htm" TargetMode="External"/><Relationship Id="rId72" Type="http://schemas.openxmlformats.org/officeDocument/2006/relationships/hyperlink" Target="https://www.sec.gov/ix?doc=/Archives/edgar/data/0001140859/000114085919000040/a10-kx9302019.htm" TargetMode="External"/><Relationship Id="rId75" Type="http://schemas.openxmlformats.org/officeDocument/2006/relationships/hyperlink" Target="https://www.sec.gov/edgar/browse/?CIK=318154&amp;owner=exclude" TargetMode="External"/><Relationship Id="rId74" Type="http://schemas.openxmlformats.org/officeDocument/2006/relationships/hyperlink" Target="https://www.wsj.com/market-data/quotes/AMGN/financials/annual/income-statement" TargetMode="External"/><Relationship Id="rId77" Type="http://schemas.openxmlformats.org/officeDocument/2006/relationships/hyperlink" Target="https://www.wsj.com/market-data/quotes/APH/financials/annual/income-statement" TargetMode="External"/><Relationship Id="rId76" Type="http://schemas.openxmlformats.org/officeDocument/2006/relationships/hyperlink" Target="https://www.sec.gov/ixviewer/ix.html?doc=/Archives/edgar/data/0000318154/000031815424000011/amgn-20231231.htm" TargetMode="External"/><Relationship Id="rId79" Type="http://schemas.openxmlformats.org/officeDocument/2006/relationships/hyperlink" Target="https://www.sec.gov/ixviewer/ix.html?doc=/Archives/edgar/data/820313/000155837024000866/aph-20231231x10k.htm" TargetMode="External"/><Relationship Id="rId78" Type="http://schemas.openxmlformats.org/officeDocument/2006/relationships/hyperlink" Target="https://www.sec.gov/edgar/browse/?CIK=820313&amp;owner=exclude" TargetMode="External"/><Relationship Id="rId939" Type="http://schemas.openxmlformats.org/officeDocument/2006/relationships/hyperlink" Target="https://www.wsj.com/market-data/quotes/URI/financials/annual/income-statement" TargetMode="External"/><Relationship Id="rId938" Type="http://schemas.openxmlformats.org/officeDocument/2006/relationships/hyperlink" Target="https://www.sec.gov/Archives/edgar/data/1090727/000109072719000006/ups-12312018x10k.htm" TargetMode="External"/><Relationship Id="rId937" Type="http://schemas.openxmlformats.org/officeDocument/2006/relationships/hyperlink" Target="https://www.sec.gov/ix?doc=/Archives/edgar/data/0001090727/000109072720000005/ups-12312019x10k.htm" TargetMode="External"/><Relationship Id="rId71" Type="http://schemas.openxmlformats.org/officeDocument/2006/relationships/hyperlink" Target="https://www.sec.gov/ix?doc=/Archives/edgar/data/0001140859/000114085920000050/abc-20200930.htm" TargetMode="External"/><Relationship Id="rId70" Type="http://schemas.openxmlformats.org/officeDocument/2006/relationships/hyperlink" Target="https://www.sec.gov/ix?doc=/Archives/edgar/data/0001140859/000114085921000058/abc-20210930.htm" TargetMode="External"/><Relationship Id="rId932" Type="http://schemas.openxmlformats.org/officeDocument/2006/relationships/hyperlink" Target="https://www.sec.gov/edgar/browse/?CIK=1090727&amp;owner=exclude" TargetMode="External"/><Relationship Id="rId931" Type="http://schemas.openxmlformats.org/officeDocument/2006/relationships/hyperlink" Target="https://www.wsj.com/market-data/quotes/UPS/financials/annual/income-statement" TargetMode="External"/><Relationship Id="rId930" Type="http://schemas.openxmlformats.org/officeDocument/2006/relationships/hyperlink" Target="https://www.sec.gov/ixviewer/ix.html?doc=/Archives/edgar/data/0000100885/000143774924003599/unp20231231_10k.htm" TargetMode="External"/><Relationship Id="rId936" Type="http://schemas.openxmlformats.org/officeDocument/2006/relationships/hyperlink" Target="https://www.sec.gov/ix?doc=/Archives/edgar/data/0001090727/000109072722000007/ups-20211231.htm" TargetMode="External"/><Relationship Id="rId935" Type="http://schemas.openxmlformats.org/officeDocument/2006/relationships/hyperlink" Target="https://www.sec.gov/ix?doc=/Archives/edgar/data/0001090727/000109072722000007/ups-20211231.htm" TargetMode="External"/><Relationship Id="rId934" Type="http://schemas.openxmlformats.org/officeDocument/2006/relationships/hyperlink" Target="https://www.sec.gov/ix?doc=/Archives/edgar/data/0001090727/000109072723000006/ups-20221231.htm" TargetMode="External"/><Relationship Id="rId933" Type="http://schemas.openxmlformats.org/officeDocument/2006/relationships/hyperlink" Target="https://www.sec.gov/ixviewer/ix.html?doc=/Archives/edgar/data/1090727/000109072724000008/ups-20231231.htm" TargetMode="External"/><Relationship Id="rId62" Type="http://schemas.openxmlformats.org/officeDocument/2006/relationships/hyperlink" Target="https://www.sec.gov/ix?doc=/Archives/edgar/data/0000005272/000110465922024701/aig-20211231.htm" TargetMode="External"/><Relationship Id="rId61" Type="http://schemas.openxmlformats.org/officeDocument/2006/relationships/hyperlink" Target="https://www.sec.gov/ix?doc=/Archives/edgar/data/0000005272/000000527223000007/aig-20221231.htm" TargetMode="External"/><Relationship Id="rId64" Type="http://schemas.openxmlformats.org/officeDocument/2006/relationships/hyperlink" Target="https://www.wsj.com/market-data/quotes/AMP/financials/annual/income-statement" TargetMode="External"/><Relationship Id="rId63" Type="http://schemas.openxmlformats.org/officeDocument/2006/relationships/hyperlink" Target="https://www.sec.gov/ix?doc=/Archives/edgar/data/0000005272/000110465921025742/aig-20201231.htm" TargetMode="External"/><Relationship Id="rId66" Type="http://schemas.openxmlformats.org/officeDocument/2006/relationships/hyperlink" Target="https://www.wsj.com/market-data/quotes/COR/financials/annual/income-statement" TargetMode="External"/><Relationship Id="rId65" Type="http://schemas.openxmlformats.org/officeDocument/2006/relationships/hyperlink" Target="https://www.sec.gov/edgar/browse/?CIK=820027&amp;owner=exclude" TargetMode="External"/><Relationship Id="rId68" Type="http://schemas.openxmlformats.org/officeDocument/2006/relationships/hyperlink" Target="https://www.sec.gov/ix?doc=/Archives/edgar/data/1140859/000114085923000197/cor-20230930.htm" TargetMode="External"/><Relationship Id="rId67" Type="http://schemas.openxmlformats.org/officeDocument/2006/relationships/hyperlink" Target="https://www.sec.gov/edgar/browse/?CIK=1140859&amp;owner=exclude" TargetMode="External"/><Relationship Id="rId729" Type="http://schemas.openxmlformats.org/officeDocument/2006/relationships/hyperlink" Target="https://www.sec.gov/edgar/browse/?CIK=813828&amp;owner=exclude" TargetMode="External"/><Relationship Id="rId728" Type="http://schemas.openxmlformats.org/officeDocument/2006/relationships/hyperlink" Target="https://www.wsj.com/market-data/quotes/PARA/financials/annual/income-statement" TargetMode="External"/><Relationship Id="rId60" Type="http://schemas.openxmlformats.org/officeDocument/2006/relationships/hyperlink" Target="https://www.sec.gov/ixviewer/ix.html?doc=/Archives/edgar/data/5272/000000527224000023/aig-20231231.htm" TargetMode="External"/><Relationship Id="rId723" Type="http://schemas.openxmlformats.org/officeDocument/2006/relationships/hyperlink" Target="https://www.wsj.com/market-data/quotes/PCAR/financials/annual/income-statement" TargetMode="External"/><Relationship Id="rId965" Type="http://schemas.openxmlformats.org/officeDocument/2006/relationships/hyperlink" Target="https://www.verizon.com/about/sites/default/files/2020-Annual-Report-on-Form-10-K.PDF" TargetMode="External"/><Relationship Id="rId722" Type="http://schemas.openxmlformats.org/officeDocument/2006/relationships/hyperlink" Target="https://www.sec.gov/ixviewer/ix.html?doc=/Archives/edgar/data/1370946/000137094624000046/oc-20231231.htm" TargetMode="External"/><Relationship Id="rId964" Type="http://schemas.openxmlformats.org/officeDocument/2006/relationships/hyperlink" Target="https://www.sec.gov/ix?doc=/Archives/edgar/data/0000732712/000073271222000008/vz-20211231.htm" TargetMode="External"/><Relationship Id="rId721" Type="http://schemas.openxmlformats.org/officeDocument/2006/relationships/hyperlink" Target="https://www.sec.gov/edgar/browse/?CIK=1370946&amp;owner=exclude" TargetMode="External"/><Relationship Id="rId963" Type="http://schemas.openxmlformats.org/officeDocument/2006/relationships/hyperlink" Target="https://www.sec.gov/ix?doc=/Archives/edgar/data/0000732712/000073271223000012/vz-20221231.htm" TargetMode="External"/><Relationship Id="rId720" Type="http://schemas.openxmlformats.org/officeDocument/2006/relationships/hyperlink" Target="https://www.wsj.com/market-data/quotes/OC/financials/annual/income-statement" TargetMode="External"/><Relationship Id="rId962" Type="http://schemas.openxmlformats.org/officeDocument/2006/relationships/hyperlink" Target="https://www.sec.gov/ixviewer/ix.html?doc=/Archives/edgar/data/732712/000073271224000010/vz-20231231.htm" TargetMode="External"/><Relationship Id="rId727" Type="http://schemas.openxmlformats.org/officeDocument/2006/relationships/hyperlink" Target="https://www.sec.gov/edgar/browse/?CIK=75677&amp;owner=exclude" TargetMode="External"/><Relationship Id="rId969" Type="http://schemas.openxmlformats.org/officeDocument/2006/relationships/hyperlink" Target="https://www.wsj.com/market-data/quotes/V/financials/annual/income-statement" TargetMode="External"/><Relationship Id="rId726" Type="http://schemas.openxmlformats.org/officeDocument/2006/relationships/hyperlink" Target="https://www.wsj.com/market-data/quotes/PKG/financials/annual/income-statement" TargetMode="External"/><Relationship Id="rId968" Type="http://schemas.openxmlformats.org/officeDocument/2006/relationships/hyperlink" Target="https://www.sec.gov/ixviewer/ix.html?doc=/Archives/edgar/data/0000875320/000087532024000062/vrtx-20231231.htm" TargetMode="External"/><Relationship Id="rId725" Type="http://schemas.openxmlformats.org/officeDocument/2006/relationships/hyperlink" Target="https://www.sec.gov/ixviewer/ix.html?doc=/Archives/edgar/data/75362/000095017024017900/pcar-20231231.htm" TargetMode="External"/><Relationship Id="rId967" Type="http://schemas.openxmlformats.org/officeDocument/2006/relationships/hyperlink" Target="https://www.sec.gov/edgar/browse/?CIK=875320&amp;owner=exclude" TargetMode="External"/><Relationship Id="rId724" Type="http://schemas.openxmlformats.org/officeDocument/2006/relationships/hyperlink" Target="https://www.sec.gov/edgar/browse/?CIK=75362&amp;owner=exclude" TargetMode="External"/><Relationship Id="rId966" Type="http://schemas.openxmlformats.org/officeDocument/2006/relationships/hyperlink" Target="https://www.wsj.com/market-data/quotes/VRTX/financials/annual/income-statement" TargetMode="External"/><Relationship Id="rId69" Type="http://schemas.openxmlformats.org/officeDocument/2006/relationships/hyperlink" Target="https://www.sec.gov/ix?doc=/Archives/edgar/data/0001140859/000114085922000098/abc-20220930.htm" TargetMode="External"/><Relationship Id="rId961" Type="http://schemas.openxmlformats.org/officeDocument/2006/relationships/hyperlink" Target="https://www.sec.gov/edgar/browse/?CIK=732712&amp;owner=exclude" TargetMode="External"/><Relationship Id="rId960" Type="http://schemas.openxmlformats.org/officeDocument/2006/relationships/hyperlink" Target="https://www.wsj.com/market-data/quotes/VZ/financials/annual/income-statement" TargetMode="External"/><Relationship Id="rId51" Type="http://schemas.openxmlformats.org/officeDocument/2006/relationships/hyperlink" Target="https://www.sec.gov/ix?doc=/Archives/edgar/data/0001018724/000101872421000004/amzn-20201231.htm" TargetMode="External"/><Relationship Id="rId50" Type="http://schemas.openxmlformats.org/officeDocument/2006/relationships/hyperlink" Target="https://www.sec.gov/ix?doc=/Archives/edgar/data/0001018724/000101872422000005/amzn-20211231.htm" TargetMode="External"/><Relationship Id="rId53" Type="http://schemas.openxmlformats.org/officeDocument/2006/relationships/hyperlink" Target="https://www.sec.gov/Archives/edgar/data/0001018724/000101872419000004/amzn-20181231x10k.htm" TargetMode="External"/><Relationship Id="rId52" Type="http://schemas.openxmlformats.org/officeDocument/2006/relationships/hyperlink" Target="https://www.sec.gov/ix?doc=/Archives/edgar/data/0001018724/000101872420000004/amzn-20191231x10k.htm" TargetMode="External"/><Relationship Id="rId55" Type="http://schemas.openxmlformats.org/officeDocument/2006/relationships/hyperlink" Target="https://www.sec.gov/edgar/browse/?CIK=1002910&amp;owner=exclude" TargetMode="External"/><Relationship Id="rId54" Type="http://schemas.openxmlformats.org/officeDocument/2006/relationships/hyperlink" Target="https://www.wsj.com/market-data/quotes/AEE/financials/annual/income-statement" TargetMode="External"/><Relationship Id="rId57" Type="http://schemas.openxmlformats.org/officeDocument/2006/relationships/hyperlink" Target="https://www.sec.gov/edgar/browse/?CIK=4904&amp;owner=exclude" TargetMode="External"/><Relationship Id="rId56" Type="http://schemas.openxmlformats.org/officeDocument/2006/relationships/hyperlink" Target="https://www.wsj.com/market-data/quotes/AEP/financials/annual/income-statement" TargetMode="External"/><Relationship Id="rId719" Type="http://schemas.openxmlformats.org/officeDocument/2006/relationships/hyperlink" Target="https://www.sec.gov/ix?doc=/Archives/edgar/data/1781335/000178133524000013/otis-20231231.htm" TargetMode="External"/><Relationship Id="rId718" Type="http://schemas.openxmlformats.org/officeDocument/2006/relationships/hyperlink" Target="https://www.sec.gov/edgar/browse/?CIK=1781335" TargetMode="External"/><Relationship Id="rId717" Type="http://schemas.openxmlformats.org/officeDocument/2006/relationships/hyperlink" Target="https://www.wsj.com/market-data/quotes/OTIS/financials/annual/income-statement" TargetMode="External"/><Relationship Id="rId959" Type="http://schemas.openxmlformats.org/officeDocument/2006/relationships/hyperlink" Target="https://www.sec.gov/Archives/edgar/data/0001035002/000103500219000008/vloform10-kx12312018.htm" TargetMode="External"/><Relationship Id="rId712" Type="http://schemas.openxmlformats.org/officeDocument/2006/relationships/hyperlink" Target="https://www.sec.gov/ix?doc=/Archives/edgar/data/29989/000002998924000007/omc-20231231.htm" TargetMode="External"/><Relationship Id="rId954" Type="http://schemas.openxmlformats.org/officeDocument/2006/relationships/hyperlink" Target="https://www.sec.gov/edgar/browse/?CIK=1035002&amp;owner=exclude" TargetMode="External"/><Relationship Id="rId711" Type="http://schemas.openxmlformats.org/officeDocument/2006/relationships/hyperlink" Target="https://www.sec.gov/edgar/browse/?CIK=29989&amp;owner=exclude" TargetMode="External"/><Relationship Id="rId953" Type="http://schemas.openxmlformats.org/officeDocument/2006/relationships/hyperlink" Target="https://www.wsj.com/market-data/quotes/VLO/financials/annual/income-statement" TargetMode="External"/><Relationship Id="rId710" Type="http://schemas.openxmlformats.org/officeDocument/2006/relationships/hyperlink" Target="https://www.wsj.com/market-data/quotes/OMC/financials/annual/income-statement" TargetMode="External"/><Relationship Id="rId952" Type="http://schemas.openxmlformats.org/officeDocument/2006/relationships/hyperlink" Target="https://www.sec.gov/ixviewer/ix.html?doc=/Archives/edgar/data/1665918/000166591824000014/usfd-20231230.htm" TargetMode="External"/><Relationship Id="rId951" Type="http://schemas.openxmlformats.org/officeDocument/2006/relationships/hyperlink" Target="https://www.sec.gov/edgar/browse/?CIK=1665918&amp;owner=exclude" TargetMode="External"/><Relationship Id="rId716" Type="http://schemas.openxmlformats.org/officeDocument/2006/relationships/hyperlink" Target="https://www.sec.gov/edgar/browse/?CIK=775158&amp;owner=exclude" TargetMode="External"/><Relationship Id="rId958" Type="http://schemas.openxmlformats.org/officeDocument/2006/relationships/hyperlink" Target="https://www.sec.gov/ix?doc=/Archives/edgar/data/0001035002/000103500220000007/vloform10-kx12312019.htm" TargetMode="External"/><Relationship Id="rId715" Type="http://schemas.openxmlformats.org/officeDocument/2006/relationships/hyperlink" Target="https://www.wsj.com/market-data/quotes/OSK/financials/annual/income-statement" TargetMode="External"/><Relationship Id="rId957" Type="http://schemas.openxmlformats.org/officeDocument/2006/relationships/hyperlink" Target="https://www.sec.gov/ix?doc=/Archives/edgar/data/0001035002/000103500221000051/vlo-20201231.htm" TargetMode="External"/><Relationship Id="rId714" Type="http://schemas.openxmlformats.org/officeDocument/2006/relationships/hyperlink" Target="https://www.sec.gov/edgar/browse/?CIK=1039684&amp;owner=exclude" TargetMode="External"/><Relationship Id="rId956" Type="http://schemas.openxmlformats.org/officeDocument/2006/relationships/hyperlink" Target="https://www.sec.gov/ix?doc=/Archives/edgar/data/0001035002/000103500222000007/vlo-20211231.htm" TargetMode="External"/><Relationship Id="rId713" Type="http://schemas.openxmlformats.org/officeDocument/2006/relationships/hyperlink" Target="https://www.wsj.com/market-data/quotes/OKE/financials/annual/income-statement" TargetMode="External"/><Relationship Id="rId955" Type="http://schemas.openxmlformats.org/officeDocument/2006/relationships/hyperlink" Target="https://www.sec.gov/ix?doc=/Archives/edgar/data/0001035002/000103500223000027/vlo-20221231.htm" TargetMode="External"/><Relationship Id="rId59" Type="http://schemas.openxmlformats.org/officeDocument/2006/relationships/hyperlink" Target="https://www.sec.gov/edgar/browse/?CIK=5272&amp;owner=exclude" TargetMode="External"/><Relationship Id="rId58" Type="http://schemas.openxmlformats.org/officeDocument/2006/relationships/hyperlink" Target="https://www.wsj.com/market-data/quotes/AIG/financials/annual/income-statement" TargetMode="External"/><Relationship Id="rId950" Type="http://schemas.openxmlformats.org/officeDocument/2006/relationships/hyperlink" Target="https://www.wsj.com/market-data/quotes/USFD/financials/annual/income-statement" TargetMode="External"/><Relationship Id="rId590" Type="http://schemas.openxmlformats.org/officeDocument/2006/relationships/hyperlink" Target="https://www.sec.gov/ix?doc=/Archives/edgar/data/0000060667/000006066723000034/low-20230203.htm" TargetMode="External"/><Relationship Id="rId107" Type="http://schemas.openxmlformats.org/officeDocument/2006/relationships/hyperlink" Target="https://www.sec.gov/ix?doc=/Archives/edgar/data/0000732717/000073271721000012/t-20201231.htm" TargetMode="External"/><Relationship Id="rId349" Type="http://schemas.openxmlformats.org/officeDocument/2006/relationships/hyperlink" Target="https://www.sec.gov/ix?doc=/Archives/edgar/data/1326160/000132616024000037/duk-20231231.htm" TargetMode="External"/><Relationship Id="rId106" Type="http://schemas.openxmlformats.org/officeDocument/2006/relationships/hyperlink" Target="https://www.sec.gov/ix?doc=/Archives/edgar/data/0000732717/000073271722000015/t-20211231.htm" TargetMode="External"/><Relationship Id="rId348" Type="http://schemas.openxmlformats.org/officeDocument/2006/relationships/hyperlink" Target="https://www.sec.gov/edgar/browse/?CIK=1326160&amp;owner=exclude" TargetMode="External"/><Relationship Id="rId105" Type="http://schemas.openxmlformats.org/officeDocument/2006/relationships/hyperlink" Target="https://www.sec.gov/ix?doc=/Archives/edgar/data/0000732717/000073271723000011/t-20221231.htm" TargetMode="External"/><Relationship Id="rId347" Type="http://schemas.openxmlformats.org/officeDocument/2006/relationships/hyperlink" Target="https://www.wsj.com/market-data/quotes/DUK/financials/annual/income-statement" TargetMode="External"/><Relationship Id="rId589" Type="http://schemas.openxmlformats.org/officeDocument/2006/relationships/hyperlink" Target="https://www.sec.gov/edgar/browse/?CIK=60667&amp;owner=exclude" TargetMode="External"/><Relationship Id="rId104" Type="http://schemas.openxmlformats.org/officeDocument/2006/relationships/hyperlink" Target="https://www.sec.gov/ixviewer/ix.html?doc=/Archives/edgar/data/732717/000073271724000009/t-20231231.htm" TargetMode="External"/><Relationship Id="rId346" Type="http://schemas.openxmlformats.org/officeDocument/2006/relationships/hyperlink" Target="https://www.sec.gov/edgar/browse/?CIK=936340&amp;owner=exclude" TargetMode="External"/><Relationship Id="rId588" Type="http://schemas.openxmlformats.org/officeDocument/2006/relationships/hyperlink" Target="https://www.wsj.com/market-data/quotes/LOW/financials/annual/income-statement" TargetMode="External"/><Relationship Id="rId109" Type="http://schemas.openxmlformats.org/officeDocument/2006/relationships/hyperlink" Target="https://www.wsj.com/market-data/quotes/ADP/financials/annual/income-statement" TargetMode="External"/><Relationship Id="rId108" Type="http://schemas.openxmlformats.org/officeDocument/2006/relationships/hyperlink" Target="https://www.sec.gov/ix?doc=/Archives/edgar/data/0000732717/000156276220000064/t-20191231.htm" TargetMode="External"/><Relationship Id="rId341" Type="http://schemas.openxmlformats.org/officeDocument/2006/relationships/hyperlink" Target="https://www.sec.gov/ixviewer/ix.html?doc=/Archives/edgar/data/1751788/000175178824000010/dow-20231231.htm" TargetMode="External"/><Relationship Id="rId583" Type="http://schemas.openxmlformats.org/officeDocument/2006/relationships/hyperlink" Target="https://www.sec.gov/ix?doc=/Archives/edgar/data/0000936468/000093646823000009/lmt-20221231.htm" TargetMode="External"/><Relationship Id="rId340" Type="http://schemas.openxmlformats.org/officeDocument/2006/relationships/hyperlink" Target="https://www.sec.gov/edgar/browse/?CIK=1751788&amp;owner=exclude" TargetMode="External"/><Relationship Id="rId582" Type="http://schemas.openxmlformats.org/officeDocument/2006/relationships/hyperlink" Target="https://www.sec.gov/ix?doc=/Archives/edgar/data/936468/000093646824000010/lmt-20231231.htm" TargetMode="External"/><Relationship Id="rId581" Type="http://schemas.openxmlformats.org/officeDocument/2006/relationships/hyperlink" Target="https://www.sec.gov/edgar/browse/?CIK=936468&amp;owner=exclude" TargetMode="External"/><Relationship Id="rId580" Type="http://schemas.openxmlformats.org/officeDocument/2006/relationships/hyperlink" Target="https://www.wsj.com/market-data/quotes/LMT/financials/annual/income-statement" TargetMode="External"/><Relationship Id="rId103" Type="http://schemas.openxmlformats.org/officeDocument/2006/relationships/hyperlink" Target="https://www.sec.gov/edgar/browse/?CIK=732717&amp;owner=exclude" TargetMode="External"/><Relationship Id="rId345" Type="http://schemas.openxmlformats.org/officeDocument/2006/relationships/hyperlink" Target="https://www.wsj.com/market-data/quotes/DTE/financials/annual/income-statement" TargetMode="External"/><Relationship Id="rId587" Type="http://schemas.openxmlformats.org/officeDocument/2006/relationships/hyperlink" Target="https://www.sec.gov/Archives/edgar/data/0000936468/000093646819000009/lmtq4201810k.htm" TargetMode="External"/><Relationship Id="rId102" Type="http://schemas.openxmlformats.org/officeDocument/2006/relationships/hyperlink" Target="https://www.wsj.com/market-data/quotes/T/financials/annual/income-statement" TargetMode="External"/><Relationship Id="rId344" Type="http://schemas.openxmlformats.org/officeDocument/2006/relationships/hyperlink" Target="https://www.sec.gov/ix?doc=/Archives/edgar/data/0001751788/000175178821000010/dow-20201231.htm" TargetMode="External"/><Relationship Id="rId586" Type="http://schemas.openxmlformats.org/officeDocument/2006/relationships/hyperlink" Target="https://www.sec.gov/ix?doc=/Archives/edgar/data/0000936468/000093646820000016/lmtq4201910k.htm" TargetMode="External"/><Relationship Id="rId101" Type="http://schemas.openxmlformats.org/officeDocument/2006/relationships/hyperlink" Target="https://www.sec.gov/edgar/browse/?CIK=1144980&amp;owner=exclude" TargetMode="External"/><Relationship Id="rId343" Type="http://schemas.openxmlformats.org/officeDocument/2006/relationships/hyperlink" Target="https://www.sec.gov/ix?doc=/Archives/edgar/data/0001751788/000175178822000011/dow-20211231.htm" TargetMode="External"/><Relationship Id="rId585" Type="http://schemas.openxmlformats.org/officeDocument/2006/relationships/hyperlink" Target="https://www.sec.gov/ix?doc=/Archives/edgar/data/0000936468/000093646821000013/lmt-20201231.htm" TargetMode="External"/><Relationship Id="rId100" Type="http://schemas.openxmlformats.org/officeDocument/2006/relationships/hyperlink" Target="https://www.wsj.com/market-data/quotes/ABG/financials/annual/income-statement" TargetMode="External"/><Relationship Id="rId342" Type="http://schemas.openxmlformats.org/officeDocument/2006/relationships/hyperlink" Target="https://www.sec.gov/ix?doc=/Archives/edgar/data/0001751788/000175178823000014/dow-20221231.htm" TargetMode="External"/><Relationship Id="rId584" Type="http://schemas.openxmlformats.org/officeDocument/2006/relationships/hyperlink" Target="https://www.sec.gov/ix?doc=/Archives/edgar/data/0000936468/000093646822000008/lmt-20211231.htm" TargetMode="External"/><Relationship Id="rId338" Type="http://schemas.openxmlformats.org/officeDocument/2006/relationships/hyperlink" Target="https://www.sec.gov/ixviewer/ix.html?doc=/Archives/edgar/data/29905/000002990524000008/dov-20231231.htm" TargetMode="External"/><Relationship Id="rId337" Type="http://schemas.openxmlformats.org/officeDocument/2006/relationships/hyperlink" Target="https://www.sec.gov/edgar/browse/?CIK=29905" TargetMode="External"/><Relationship Id="rId579" Type="http://schemas.openxmlformats.org/officeDocument/2006/relationships/hyperlink" Target="https://www.sec.gov/ixviewer/ix.html?doc=/Archives/edgar/data/1065696/000106569624000009/lkq-20231231.htm" TargetMode="External"/><Relationship Id="rId336" Type="http://schemas.openxmlformats.org/officeDocument/2006/relationships/hyperlink" Target="https://www.wsj.com/market-data/quotes/DOV/financials/annual/income-statement" TargetMode="External"/><Relationship Id="rId578" Type="http://schemas.openxmlformats.org/officeDocument/2006/relationships/hyperlink" Target="https://www.sec.gov/edgar/browse/?CIK=1065696&amp;owner=exclude" TargetMode="External"/><Relationship Id="rId335" Type="http://schemas.openxmlformats.org/officeDocument/2006/relationships/hyperlink" Target="https://www.sec.gov/ixviewer/ix.html?doc=/Archives/edgar/data/0000715957/000095017024019110/d-20231231.htm" TargetMode="External"/><Relationship Id="rId577" Type="http://schemas.openxmlformats.org/officeDocument/2006/relationships/hyperlink" Target="https://www.wsj.com/market-data/quotes/LKQ/financials/annual/income-statement" TargetMode="External"/><Relationship Id="rId339" Type="http://schemas.openxmlformats.org/officeDocument/2006/relationships/hyperlink" Target="https://www.wsj.com/market-data/quotes/DOW/financials/annual/income-statement" TargetMode="External"/><Relationship Id="rId1160" Type="http://schemas.openxmlformats.org/officeDocument/2006/relationships/hyperlink" Target="https://www.wsj.com/market-data/quotes/PAYC/financials/annual/income-statement" TargetMode="External"/><Relationship Id="rId330" Type="http://schemas.openxmlformats.org/officeDocument/2006/relationships/hyperlink" Target="https://www.sec.gov/ix?doc=/Archives/edgar/data/0000029534/000155837021003245/dg-20210129x10k.htm" TargetMode="External"/><Relationship Id="rId572" Type="http://schemas.openxmlformats.org/officeDocument/2006/relationships/hyperlink" Target="https://www.wsj.com/market-data/quotes/LEN/financials/annual/income-statement" TargetMode="External"/><Relationship Id="rId1161" Type="http://schemas.openxmlformats.org/officeDocument/2006/relationships/hyperlink" Target="https://www.wsj.com/market-data/quotes/TYL/financials/annual/income-statement" TargetMode="External"/><Relationship Id="rId571" Type="http://schemas.openxmlformats.org/officeDocument/2006/relationships/hyperlink" Target="https://www.sec.gov/ixviewer/ix.html?doc=/Archives/edgar/data/0000853816/000119312524044902/d16653d10k.htm" TargetMode="External"/><Relationship Id="rId1162" Type="http://schemas.openxmlformats.org/officeDocument/2006/relationships/hyperlink" Target="https://www.wsj.com/market-data/quotes/VRSN/financials/annual/income-statement" TargetMode="External"/><Relationship Id="rId570" Type="http://schemas.openxmlformats.org/officeDocument/2006/relationships/hyperlink" Target="https://www.sec.gov/edgar/browse/?CIK=853816&amp;owner=exclude" TargetMode="External"/><Relationship Id="rId1163" Type="http://schemas.openxmlformats.org/officeDocument/2006/relationships/drawing" Target="../drawings/drawing10.xml"/><Relationship Id="rId334" Type="http://schemas.openxmlformats.org/officeDocument/2006/relationships/hyperlink" Target="https://www.sec.gov/edgar/browse/?CIK=715957&amp;owner=exclude" TargetMode="External"/><Relationship Id="rId576" Type="http://schemas.openxmlformats.org/officeDocument/2006/relationships/hyperlink" Target="https://www.sec.gov/edgar/browse/?CIK=1023128&amp;owner=exclude" TargetMode="External"/><Relationship Id="rId333" Type="http://schemas.openxmlformats.org/officeDocument/2006/relationships/hyperlink" Target="https://www.wsj.com/market-data/quotes/D/financials/annual/income-statement" TargetMode="External"/><Relationship Id="rId575" Type="http://schemas.openxmlformats.org/officeDocument/2006/relationships/hyperlink" Target="https://www.wsj.com/market-data/quotes/LAD/financials/annual/income-statement" TargetMode="External"/><Relationship Id="rId332" Type="http://schemas.openxmlformats.org/officeDocument/2006/relationships/hyperlink" Target="https://www.sec.gov/edgar/browse/?CIK=935703&amp;owner=exclude" TargetMode="External"/><Relationship Id="rId574" Type="http://schemas.openxmlformats.org/officeDocument/2006/relationships/hyperlink" Target="https://www.sec.gov/ix?doc=/Archives/edgar/data/920760/000162828024002371/len-20231130.htm" TargetMode="External"/><Relationship Id="rId331" Type="http://schemas.openxmlformats.org/officeDocument/2006/relationships/hyperlink" Target="https://www.wsj.com/market-data/quotes/DLTR/financials/annual/income-statement" TargetMode="External"/><Relationship Id="rId573" Type="http://schemas.openxmlformats.org/officeDocument/2006/relationships/hyperlink" Target="https://www.sec.gov/edgar/browse/?CIK=920760&amp;owner=exclude" TargetMode="External"/><Relationship Id="rId370" Type="http://schemas.openxmlformats.org/officeDocument/2006/relationships/hyperlink" Target="https://itep.org/corporations-reap-billions-in-tax-breaks-under-bonus-depreciation/" TargetMode="External"/><Relationship Id="rId129" Type="http://schemas.openxmlformats.org/officeDocument/2006/relationships/hyperlink" Target="https://www.sec.gov/edgar/browse/?CIK=701985&amp;owner=exclude" TargetMode="External"/><Relationship Id="rId128" Type="http://schemas.openxmlformats.org/officeDocument/2006/relationships/hyperlink" Target="https://www.wsj.com/market-data/quotes/BBWI/financials/annual/income-statement" TargetMode="External"/><Relationship Id="rId127" Type="http://schemas.openxmlformats.org/officeDocument/2006/relationships/hyperlink" Target="https://www.bnymellon.com/us/en/investor-relations/annual-reports-and-proxy.html" TargetMode="External"/><Relationship Id="rId369" Type="http://schemas.openxmlformats.org/officeDocument/2006/relationships/hyperlink" Target="https://www.wsj.com/market-data/quotes/ETR/financials/annual/income-statement" TargetMode="External"/><Relationship Id="rId126" Type="http://schemas.openxmlformats.org/officeDocument/2006/relationships/hyperlink" Target="https://www.wsj.com/market-data/quotes/BK/financials/annual/income-statement" TargetMode="External"/><Relationship Id="rId368" Type="http://schemas.openxmlformats.org/officeDocument/2006/relationships/hyperlink" Target="https://www.sec.gov/ix?doc=/Archives/edgar/data/32604/000003260423000044/emr-20230930.htm" TargetMode="External"/><Relationship Id="rId121" Type="http://schemas.openxmlformats.org/officeDocument/2006/relationships/hyperlink" Target="https://www.sec.gov/ix?doc=/Archives/edgar/data/0000070858/000007085823000092/bac-20221231.htm" TargetMode="External"/><Relationship Id="rId363" Type="http://schemas.openxmlformats.org/officeDocument/2006/relationships/hyperlink" Target="https://www.sec.gov/Archives/edgar/data/0001156039/000115603919000004/antm-2018123110kq42018.htm" TargetMode="External"/><Relationship Id="rId120" Type="http://schemas.openxmlformats.org/officeDocument/2006/relationships/hyperlink" Target="https://www.sec.gov/ixviewer/ix.html?doc=/Archives/edgar/data/0000070858/000007085824000122/bac-20231231.htm" TargetMode="External"/><Relationship Id="rId362" Type="http://schemas.openxmlformats.org/officeDocument/2006/relationships/hyperlink" Target="https://www.sec.gov/ix?doc=/Archives/edgar/data/0001156039/000115603920000003/antm-2019123110kq42019.htm" TargetMode="External"/><Relationship Id="rId361" Type="http://schemas.openxmlformats.org/officeDocument/2006/relationships/hyperlink" Target="https://www.sec.gov/ix?doc=/Archives/edgar/data/0001156039/000115603921000012/antm-20201231.htm" TargetMode="External"/><Relationship Id="rId360" Type="http://schemas.openxmlformats.org/officeDocument/2006/relationships/hyperlink" Target="https://www.sec.gov/ix?doc=/Archives/edgar/data/0001156039/000115603922000009/antm-20211231.htm" TargetMode="External"/><Relationship Id="rId125" Type="http://schemas.openxmlformats.org/officeDocument/2006/relationships/hyperlink" Target="https://investor.bankofamerica.com/regulatory-and-other-filings/all-sec-filings/content/0000070858-19-000012/bac-1231201810xk.htm" TargetMode="External"/><Relationship Id="rId367" Type="http://schemas.openxmlformats.org/officeDocument/2006/relationships/hyperlink" Target="https://www.sec.gov/edgar/browse/?CIK=32604&amp;owner=exclude" TargetMode="External"/><Relationship Id="rId124" Type="http://schemas.openxmlformats.org/officeDocument/2006/relationships/hyperlink" Target="https://investor.bankofamerica.com/regulatory-and-other-filings/all-sec-filings/content/0000070858-20-000011/bac-1231201910xk.htm" TargetMode="External"/><Relationship Id="rId366" Type="http://schemas.openxmlformats.org/officeDocument/2006/relationships/hyperlink" Target="https://www.wsj.com/market-data/quotes/EMR/financials/annual/income-statement" TargetMode="External"/><Relationship Id="rId123" Type="http://schemas.openxmlformats.org/officeDocument/2006/relationships/hyperlink" Target="https://investor.bankofamerica.com/regulatory-and-other-filings/all-sec-filings/content/0000070858-21-000023/bac-20201231.htm" TargetMode="External"/><Relationship Id="rId365" Type="http://schemas.openxmlformats.org/officeDocument/2006/relationships/hyperlink" Target="https://www.sec.gov/edgar/browse/?CIK=105634&amp;owner=exclude" TargetMode="External"/><Relationship Id="rId122" Type="http://schemas.openxmlformats.org/officeDocument/2006/relationships/hyperlink" Target="https://investor.bankofamerica.com/regulatory-and-other-filings/all-sec-filings/content/0000070858-22-000062/bac-20211231.htm" TargetMode="External"/><Relationship Id="rId364" Type="http://schemas.openxmlformats.org/officeDocument/2006/relationships/hyperlink" Target="https://www.wsj.com/market-data/quotes/EME/financials/annual/income-statement" TargetMode="External"/><Relationship Id="rId95" Type="http://schemas.openxmlformats.org/officeDocument/2006/relationships/hyperlink" Target="https://www.sec.gov/ix?doc=/Archives/edgar/data/0000007084/000000708421000008/adm-20201231.htm" TargetMode="External"/><Relationship Id="rId94" Type="http://schemas.openxmlformats.org/officeDocument/2006/relationships/hyperlink" Target="https://www.sec.gov/ix?doc=/Archives/edgar/data/0000007084/000000708422000008/adm-20211231.htm" TargetMode="External"/><Relationship Id="rId97" Type="http://schemas.openxmlformats.org/officeDocument/2006/relationships/hyperlink" Target="https://www.sec.gov/Archives/edgar/data/0000007084/000000708419000012/adm-20181231x10k.htm" TargetMode="External"/><Relationship Id="rId96" Type="http://schemas.openxmlformats.org/officeDocument/2006/relationships/hyperlink" Target="https://www.sec.gov/ix?doc=/Archives/edgar/data/0000007084/000000708420000009/adm-20191231x10k.htm" TargetMode="External"/><Relationship Id="rId99" Type="http://schemas.openxmlformats.org/officeDocument/2006/relationships/hyperlink" Target="https://www.sec.gov/edgar/browse/?CIK=354190&amp;owner=exclude" TargetMode="External"/><Relationship Id="rId98" Type="http://schemas.openxmlformats.org/officeDocument/2006/relationships/hyperlink" Target="https://www.wsj.com/market-data/quotes/AJG/financials/annual/income-statement" TargetMode="External"/><Relationship Id="rId91" Type="http://schemas.openxmlformats.org/officeDocument/2006/relationships/hyperlink" Target="https://www.wsj.com/market-data/quotes/ADM/financials/annual/income-statement" TargetMode="External"/><Relationship Id="rId90" Type="http://schemas.openxmlformats.org/officeDocument/2006/relationships/hyperlink" Target="https://www.sec.gov/Archives/edgar/data/0000320193/000032019318000145/a10-k20189292018.htm" TargetMode="External"/><Relationship Id="rId93" Type="http://schemas.openxmlformats.org/officeDocument/2006/relationships/hyperlink" Target="https://www.sec.gov/ix?doc=/Archives/edgar/data/0000007084/000000708423000010/adm-20221231.htm" TargetMode="External"/><Relationship Id="rId92" Type="http://schemas.openxmlformats.org/officeDocument/2006/relationships/hyperlink" Target="https://www.sec.gov/edgar/browse/?CIK=7084&amp;owner=exclude" TargetMode="External"/><Relationship Id="rId118" Type="http://schemas.openxmlformats.org/officeDocument/2006/relationships/hyperlink" Target="https://www.wsj.com/market-data/quotes/BAC/financials/annual/income-statement" TargetMode="External"/><Relationship Id="rId117" Type="http://schemas.openxmlformats.org/officeDocument/2006/relationships/hyperlink" Target="https://www.sec.gov/edgar/browse/?CIK=9389&amp;owner=exclude" TargetMode="External"/><Relationship Id="rId359" Type="http://schemas.openxmlformats.org/officeDocument/2006/relationships/hyperlink" Target="https://www.sec.gov/ix?doc=/Archives/edgar/data/0001156039/000115603923000007/elv-20221231.htm" TargetMode="External"/><Relationship Id="rId116" Type="http://schemas.openxmlformats.org/officeDocument/2006/relationships/hyperlink" Target="https://www.wsj.com/market-data/quotes/BALL/financials/annual/income-statement" TargetMode="External"/><Relationship Id="rId358" Type="http://schemas.openxmlformats.org/officeDocument/2006/relationships/hyperlink" Target="https://www.sec.gov/ixviewer/ix.html?doc=/Archives/edgar/data/1156039/000115603924000015/elv-20231231.htm" TargetMode="External"/><Relationship Id="rId115" Type="http://schemas.openxmlformats.org/officeDocument/2006/relationships/hyperlink" Target="https://www.sec.gov/ix?doc=/Archives/edgar/data/866787/000155837023016668/azo-20230826x10k.htm" TargetMode="External"/><Relationship Id="rId357" Type="http://schemas.openxmlformats.org/officeDocument/2006/relationships/hyperlink" Target="https://www.sec.gov/edgar/browse/?CIK=1156039&amp;owner=exclude" TargetMode="External"/><Relationship Id="rId599" Type="http://schemas.openxmlformats.org/officeDocument/2006/relationships/hyperlink" Target="https://www.wsj.com/market-data/quotes/MAN/financials/annual/income-statement" TargetMode="External"/><Relationship Id="rId119" Type="http://schemas.openxmlformats.org/officeDocument/2006/relationships/hyperlink" Target="https://investor.bankofamerica.com/regulatory-and-other-filings/annual-reports" TargetMode="External"/><Relationship Id="rId110" Type="http://schemas.openxmlformats.org/officeDocument/2006/relationships/hyperlink" Target="https://www.sec.gov/edgar/browse/?CIK=8670&amp;owner=exclude" TargetMode="External"/><Relationship Id="rId352" Type="http://schemas.openxmlformats.org/officeDocument/2006/relationships/hyperlink" Target="https://www.sec.gov/ixviewer/ix.html?doc=/Archives/edgar/data/0000915389/000091538924000016/emn-20231231.htm" TargetMode="External"/><Relationship Id="rId594" Type="http://schemas.openxmlformats.org/officeDocument/2006/relationships/hyperlink" Target="https://www.sec.gov/Archives/edgar/data/0000060667/000006066719000042/form10k_02012019.htm" TargetMode="External"/><Relationship Id="rId351" Type="http://schemas.openxmlformats.org/officeDocument/2006/relationships/hyperlink" Target="https://www.sec.gov/edgar/browse/?CIK=915389" TargetMode="External"/><Relationship Id="rId593" Type="http://schemas.openxmlformats.org/officeDocument/2006/relationships/hyperlink" Target="https://www.sec.gov/ix?doc=/Archives/edgar/data/0000060667/000006066720000036/form10k01312020.htm" TargetMode="External"/><Relationship Id="rId350" Type="http://schemas.openxmlformats.org/officeDocument/2006/relationships/hyperlink" Target="https://www.wsj.com/market-data/quotes/EMN/financials/annual/income-statement" TargetMode="External"/><Relationship Id="rId592" Type="http://schemas.openxmlformats.org/officeDocument/2006/relationships/hyperlink" Target="https://www.sec.gov/ix?doc=/Archives/edgar/data/0000060667/000006066721000026/low-20210129.htm" TargetMode="External"/><Relationship Id="rId591" Type="http://schemas.openxmlformats.org/officeDocument/2006/relationships/hyperlink" Target="https://www.sec.gov/ix?doc=/Archives/edgar/data/0000060667/000006066722000038/low-20220128.htm" TargetMode="External"/><Relationship Id="rId114" Type="http://schemas.openxmlformats.org/officeDocument/2006/relationships/hyperlink" Target="https://www.sec.gov/edgar/browse/?CIK=866787&amp;owner=exclude" TargetMode="External"/><Relationship Id="rId356" Type="http://schemas.openxmlformats.org/officeDocument/2006/relationships/hyperlink" Target="https://www.wsj.com/market-data/quotes/ELV/financials/annual/income-statement" TargetMode="External"/><Relationship Id="rId598" Type="http://schemas.openxmlformats.org/officeDocument/2006/relationships/hyperlink" Target="https://www.sec.gov/edgar/browse/?CIK=36270&amp;owner=exclude" TargetMode="External"/><Relationship Id="rId113" Type="http://schemas.openxmlformats.org/officeDocument/2006/relationships/hyperlink" Target="https://www.wsj.com/market-data/quotes/AZO/financials/annual/income-statement" TargetMode="External"/><Relationship Id="rId355" Type="http://schemas.openxmlformats.org/officeDocument/2006/relationships/hyperlink" Target="https://www.sec.gov/ixviewer/ix.html?doc=/Archives/edgar/data/31462/000155837024001581/ecl-20231231x10k.htm" TargetMode="External"/><Relationship Id="rId597" Type="http://schemas.openxmlformats.org/officeDocument/2006/relationships/hyperlink" Target="https://www.wsj.com/market-data/quotes/MTB/financials/annual/income-statement" TargetMode="External"/><Relationship Id="rId112" Type="http://schemas.openxmlformats.org/officeDocument/2006/relationships/hyperlink" Target="https://www.sec.gov/edgar/browse/?CIK=350698&amp;owner=exclude" TargetMode="External"/><Relationship Id="rId354" Type="http://schemas.openxmlformats.org/officeDocument/2006/relationships/hyperlink" Target="https://www.sec.gov/edgar/browse/?CIK=31462&amp;owner=exclude" TargetMode="External"/><Relationship Id="rId596" Type="http://schemas.openxmlformats.org/officeDocument/2006/relationships/hyperlink" Target="https://www.sec.gov/edgar/browse/?CIK=18926&amp;owner=exclude" TargetMode="External"/><Relationship Id="rId111" Type="http://schemas.openxmlformats.org/officeDocument/2006/relationships/hyperlink" Target="https://www.wsj.com/market-data/quotes/AN/financials/annual/income-statement" TargetMode="External"/><Relationship Id="rId353" Type="http://schemas.openxmlformats.org/officeDocument/2006/relationships/hyperlink" Target="https://www.wsj.com/market-data/quotes/ECL/financials/annual/income-statement" TargetMode="External"/><Relationship Id="rId595" Type="http://schemas.openxmlformats.org/officeDocument/2006/relationships/hyperlink" Target="https://www.wsj.com/market-data/quotes/LUMN/financials/annual/income-statement" TargetMode="External"/><Relationship Id="rId1136" Type="http://schemas.openxmlformats.org/officeDocument/2006/relationships/hyperlink" Target="https://www.wsj.com/market-data/quotes/ZION/financials/annual/income-statement" TargetMode="External"/><Relationship Id="rId1137" Type="http://schemas.openxmlformats.org/officeDocument/2006/relationships/hyperlink" Target="https://www.wsj.com/market-data/quotes/MTCH/financials/annual/income-statement" TargetMode="External"/><Relationship Id="rId1138" Type="http://schemas.openxmlformats.org/officeDocument/2006/relationships/hyperlink" Target="https://www.sec.gov/edgar/browse/?CIK=891103&amp;owner=exclude" TargetMode="External"/><Relationship Id="rId1139" Type="http://schemas.openxmlformats.org/officeDocument/2006/relationships/hyperlink" Target="https://www.wsj.com/market-data/quotes/IEX/financials/annual/income-statement" TargetMode="External"/><Relationship Id="rId305" Type="http://schemas.openxmlformats.org/officeDocument/2006/relationships/hyperlink" Target="https://www.wsj.com/market-data/quotes/DHR/financials/annual/income-statement" TargetMode="External"/><Relationship Id="rId547" Type="http://schemas.openxmlformats.org/officeDocument/2006/relationships/hyperlink" Target="https://www.wsj.com/market-data/quotes/KMI/financials/annual/income-statement" TargetMode="External"/><Relationship Id="rId789" Type="http://schemas.openxmlformats.org/officeDocument/2006/relationships/hyperlink" Target="https://www.sec.gov/ix?doc=/Archives/edgar/data/0000804328/000172894920000067/qcom-20200927.htm" TargetMode="External"/><Relationship Id="rId304" Type="http://schemas.openxmlformats.org/officeDocument/2006/relationships/hyperlink" Target="https://www.sec.gov/ixviewer/ix.html?doc=/Archives/edgar/data/882184/000088218423000115/dhi-20230930.htm" TargetMode="External"/><Relationship Id="rId546" Type="http://schemas.openxmlformats.org/officeDocument/2006/relationships/hyperlink" Target="https://www.sec.gov/ixviewer/ix.html?doc=/Archives/edgar/data/55785/000005578524000018/kmb-20231231.htm" TargetMode="External"/><Relationship Id="rId788" Type="http://schemas.openxmlformats.org/officeDocument/2006/relationships/hyperlink" Target="https://www.sec.gov/ix?doc=/Archives/edgar/data/0000804328/000172894921000076/qcom-20210926.htm" TargetMode="External"/><Relationship Id="rId303" Type="http://schemas.openxmlformats.org/officeDocument/2006/relationships/hyperlink" Target="https://www.sec.gov/edgar/browse/?CIK=882184&amp;owner=exclude" TargetMode="External"/><Relationship Id="rId545" Type="http://schemas.openxmlformats.org/officeDocument/2006/relationships/hyperlink" Target="https://www.sec.gov/edgar/browse/?CIK=55785&amp;owner=exclude" TargetMode="External"/><Relationship Id="rId787" Type="http://schemas.openxmlformats.org/officeDocument/2006/relationships/hyperlink" Target="https://www.sec.gov/ix?doc=/Archives/edgar/data/0000804328/000080432822000021/qcom-20220925.htm" TargetMode="External"/><Relationship Id="rId302" Type="http://schemas.openxmlformats.org/officeDocument/2006/relationships/hyperlink" Target="https://www.wsj.com/market-data/quotes/DHI/financials/annual/income-statement" TargetMode="External"/><Relationship Id="rId544" Type="http://schemas.openxmlformats.org/officeDocument/2006/relationships/hyperlink" Target="https://www.wsj.com/market-data/quotes/KMB/financials/annual/income-statement" TargetMode="External"/><Relationship Id="rId786" Type="http://schemas.openxmlformats.org/officeDocument/2006/relationships/hyperlink" Target="https://www.sec.gov/edgar/browse/?CIK=804328&amp;owner=exclude" TargetMode="External"/><Relationship Id="rId309" Type="http://schemas.openxmlformats.org/officeDocument/2006/relationships/hyperlink" Target="https://www.sec.gov/edgar/browse/?CIK=940944&amp;owner=exclude" TargetMode="External"/><Relationship Id="rId308" Type="http://schemas.openxmlformats.org/officeDocument/2006/relationships/hyperlink" Target="https://www.wsj.com/market-data/quotes/DRI/financials/annual/income-statement" TargetMode="External"/><Relationship Id="rId307" Type="http://schemas.openxmlformats.org/officeDocument/2006/relationships/hyperlink" Target="https://www.sec.gov/ixviewer/ix.html?doc=/Archives/edgar/data/0000313616/000031361624000052/dhr-20231231.htm" TargetMode="External"/><Relationship Id="rId549" Type="http://schemas.openxmlformats.org/officeDocument/2006/relationships/hyperlink" Target="https://www.sec.gov/ix?doc=/Archives/edgar/data/1506307/000150630724000011/kmi-20231231.htm" TargetMode="External"/><Relationship Id="rId306" Type="http://schemas.openxmlformats.org/officeDocument/2006/relationships/hyperlink" Target="https://www.sec.gov/edgar/browse/?CIK=313616&amp;owner=exclude" TargetMode="External"/><Relationship Id="rId548" Type="http://schemas.openxmlformats.org/officeDocument/2006/relationships/hyperlink" Target="https://www.sec.gov/edgar/browse/?CIK=1506307&amp;owner=exclude" TargetMode="External"/><Relationship Id="rId781" Type="http://schemas.openxmlformats.org/officeDocument/2006/relationships/hyperlink" Target="https://www.sec.gov/edgar/browse/?CIK=81061" TargetMode="External"/><Relationship Id="rId780" Type="http://schemas.openxmlformats.org/officeDocument/2006/relationships/hyperlink" Target="https://www.sec.gov/ix?doc=/Archives/edgar/data/0000080661/000008066121000014/pgr-20201231.htm" TargetMode="External"/><Relationship Id="rId1130" Type="http://schemas.openxmlformats.org/officeDocument/2006/relationships/hyperlink" Target="https://www.sec.gov/edgar/browse/?CIK=900075&amp;owner=exclude" TargetMode="External"/><Relationship Id="rId1131" Type="http://schemas.openxmlformats.org/officeDocument/2006/relationships/hyperlink" Target="https://www.sec.gov/ix?doc=/Archives/edgar/data/900075/000090007523000034/cprt-20230731.htm" TargetMode="External"/><Relationship Id="rId301" Type="http://schemas.openxmlformats.org/officeDocument/2006/relationships/hyperlink" Target="https://www.sec.gov/Archives/edgar/data/0000064803/000006480319000013/cvs-2018231x10k.htm" TargetMode="External"/><Relationship Id="rId543" Type="http://schemas.openxmlformats.org/officeDocument/2006/relationships/hyperlink" Target="https://www.sec.gov/edgar/browse/?CIK=91576&amp;owner=exclude" TargetMode="External"/><Relationship Id="rId785" Type="http://schemas.openxmlformats.org/officeDocument/2006/relationships/hyperlink" Target="https://www.wsj.com/market-data/quotes/QCOM/financials/annual/income-statement" TargetMode="External"/><Relationship Id="rId1132" Type="http://schemas.openxmlformats.org/officeDocument/2006/relationships/hyperlink" Target="https://www.wsj.com/market-data/quotes/HRB/financials/annual/income-statement" TargetMode="External"/><Relationship Id="rId300" Type="http://schemas.openxmlformats.org/officeDocument/2006/relationships/hyperlink" Target="https://www.sec.gov/ix?doc=/Archives/edgar/data/0000064803/000006480320000007/a2019form10-k.htm" TargetMode="External"/><Relationship Id="rId542" Type="http://schemas.openxmlformats.org/officeDocument/2006/relationships/hyperlink" Target="https://www.wsj.com/market-data/quotes/KEY/financials/annual/income-statement" TargetMode="External"/><Relationship Id="rId784" Type="http://schemas.openxmlformats.org/officeDocument/2006/relationships/hyperlink" Target="https://www.sec.gov/ixviewer/ix.html?doc=/Archives/edgar/data/822416/000082241624000010/phm-20231231.htm" TargetMode="External"/><Relationship Id="rId1133" Type="http://schemas.openxmlformats.org/officeDocument/2006/relationships/hyperlink" Target="https://www.sec.gov/edgar/browse/?CIK=12659&amp;owner=exclude" TargetMode="External"/><Relationship Id="rId541" Type="http://schemas.openxmlformats.org/officeDocument/2006/relationships/hyperlink" Target="https://www.sec.gov/ixviewer/ix.html?doc=/Archives/edgar/data/1418135/000141813524000007/kdp-20231231.htm" TargetMode="External"/><Relationship Id="rId783" Type="http://schemas.openxmlformats.org/officeDocument/2006/relationships/hyperlink" Target="https://www.sec.gov/edgar/browse/?CIK=822416&amp;owner=exclude" TargetMode="External"/><Relationship Id="rId1134" Type="http://schemas.openxmlformats.org/officeDocument/2006/relationships/hyperlink" Target="https://www.wsj.com/market-data/quotes/FLT/financials/annual/income-statement" TargetMode="External"/><Relationship Id="rId540" Type="http://schemas.openxmlformats.org/officeDocument/2006/relationships/hyperlink" Target="https://www.sec.gov/edgar/browse/?CIK=1418135&amp;owner=exclude" TargetMode="External"/><Relationship Id="rId782" Type="http://schemas.openxmlformats.org/officeDocument/2006/relationships/hyperlink" Target="https://www.wsj.com/market-data/quotes/PHM/financials/annual/income-statement" TargetMode="External"/><Relationship Id="rId1135" Type="http://schemas.openxmlformats.org/officeDocument/2006/relationships/hyperlink" Target="https://www.wsj.com/market-data/quotes/IDXX/financials/annual/income-statement" TargetMode="External"/><Relationship Id="rId1125" Type="http://schemas.openxmlformats.org/officeDocument/2006/relationships/hyperlink" Target="https://www.wsj.com/market-data/quotes/ALGN/financials/annual/income-statement" TargetMode="External"/><Relationship Id="rId1126" Type="http://schemas.openxmlformats.org/officeDocument/2006/relationships/hyperlink" Target="https://www.wsj.com/market-data/quotes/TRMB/financials/annual/income-statement" TargetMode="External"/><Relationship Id="rId1127" Type="http://schemas.openxmlformats.org/officeDocument/2006/relationships/hyperlink" Target="https://www.wsj.com/market-data/quotes/BRO/financials/annual/income-statement" TargetMode="External"/><Relationship Id="rId1128" Type="http://schemas.openxmlformats.org/officeDocument/2006/relationships/hyperlink" Target="https://www.wsj.com/market-data/quotes/CDNS/financials/annual/income-statement" TargetMode="External"/><Relationship Id="rId1129" Type="http://schemas.openxmlformats.org/officeDocument/2006/relationships/hyperlink" Target="https://www.wsj.com/market-data/quotes/CPRT/financials/annual/income-statement" TargetMode="External"/><Relationship Id="rId536" Type="http://schemas.openxmlformats.org/officeDocument/2006/relationships/hyperlink" Target="https://www.jpmorganchase.com/content/dam/jpmc/jpmorgan-chase-and-co/investor-relations/documents/quarterly-earnings/2019/4th-quarter/2019-10-k.pdf" TargetMode="External"/><Relationship Id="rId778" Type="http://schemas.openxmlformats.org/officeDocument/2006/relationships/hyperlink" Target="https://www.sec.gov/ix?doc=/Archives/edgar/data/0000080661/000008066123000006/pgr-20221231.htm" TargetMode="External"/><Relationship Id="rId535" Type="http://schemas.openxmlformats.org/officeDocument/2006/relationships/hyperlink" Target="https://www.jpmorganchase.com/content/dam/jpmc/jpmorgan-chase-and-co/investor-relations/documents/CORP-10K-2020-Final.pdf" TargetMode="External"/><Relationship Id="rId777" Type="http://schemas.openxmlformats.org/officeDocument/2006/relationships/hyperlink" Target="https://www.sec.gov/ixviewer-plus/ix.xhtml?doc=/Archives/edgar/data/80661/000008066124000007/pgr-20231231.htm" TargetMode="External"/><Relationship Id="rId534" Type="http://schemas.openxmlformats.org/officeDocument/2006/relationships/hyperlink" Target="https://jpmorganchaseco.gcs-web.com/static-files/1293b833-c774-4377-ab22-abb3d15e01c8" TargetMode="External"/><Relationship Id="rId776" Type="http://schemas.openxmlformats.org/officeDocument/2006/relationships/hyperlink" Target="https://www.sec.gov/edgar/browse/?CIK=80661&amp;owner=exclude" TargetMode="External"/><Relationship Id="rId533" Type="http://schemas.openxmlformats.org/officeDocument/2006/relationships/hyperlink" Target="https://www.sec.gov/ix?doc=/Archives/edgar/data/0000019617/000001961723000231/jpm-20221231.htm" TargetMode="External"/><Relationship Id="rId775" Type="http://schemas.openxmlformats.org/officeDocument/2006/relationships/hyperlink" Target="https://www.wsj.com/market-data/quotes/PGR/financials/annual/income-statement" TargetMode="External"/><Relationship Id="rId539" Type="http://schemas.openxmlformats.org/officeDocument/2006/relationships/hyperlink" Target="https://www.wsj.com/market-data/quotes/KDP/financials/annual/income-statement" TargetMode="External"/><Relationship Id="rId538" Type="http://schemas.openxmlformats.org/officeDocument/2006/relationships/hyperlink" Target="https://www.sec.gov/edgar/browse/?CIK=55067&amp;owner=exclude" TargetMode="External"/><Relationship Id="rId537" Type="http://schemas.openxmlformats.org/officeDocument/2006/relationships/hyperlink" Target="https://www.wsj.com/market-data/quotes/K/financials/annual/income-statement" TargetMode="External"/><Relationship Id="rId779" Type="http://schemas.openxmlformats.org/officeDocument/2006/relationships/hyperlink" Target="https://www.sec.gov/ix?doc=/Archives/edgar/data/0000080661/000008066122000046/pgr-20211231.htm" TargetMode="External"/><Relationship Id="rId770" Type="http://schemas.openxmlformats.org/officeDocument/2006/relationships/hyperlink" Target="https://www.sec.gov/ixviewer/ix.html?doc=/Archives/edgar/data/80424/000008042423000073/pg-20230630.htm" TargetMode="External"/><Relationship Id="rId1120" Type="http://schemas.openxmlformats.org/officeDocument/2006/relationships/hyperlink" Target="https://www.wsj.com/market-data/quotes/MTD/financials/annual/income-statement" TargetMode="External"/><Relationship Id="rId532" Type="http://schemas.openxmlformats.org/officeDocument/2006/relationships/hyperlink" Target="https://www.sec.gov/ixviewer/ix.html?doc=/Archives/edgar/data/0000019617/000001961724000225/jpm-20231231.htm" TargetMode="External"/><Relationship Id="rId774" Type="http://schemas.openxmlformats.org/officeDocument/2006/relationships/hyperlink" Target="https://www.sec.gov/ix?doc=/Archives/edgar/data/0000080424/000008042419000050/fy181910-kreport.htm" TargetMode="External"/><Relationship Id="rId1121" Type="http://schemas.openxmlformats.org/officeDocument/2006/relationships/hyperlink" Target="https://www.wsj.com/market-data/quotes/AWK/financials/annual/income-statement" TargetMode="External"/><Relationship Id="rId531" Type="http://schemas.openxmlformats.org/officeDocument/2006/relationships/hyperlink" Target="https://jpmorganchaseco.gcs-web.com/" TargetMode="External"/><Relationship Id="rId773" Type="http://schemas.openxmlformats.org/officeDocument/2006/relationships/hyperlink" Target="https://www.sec.gov/ix?doc=/Archives/edgar/data/0000080424/000008042420000053/pg-20200630.htm" TargetMode="External"/><Relationship Id="rId1122" Type="http://schemas.openxmlformats.org/officeDocument/2006/relationships/hyperlink" Target="https://www.sec.gov/edgar/browse/?CIK=1410636&amp;owner=exclude" TargetMode="External"/><Relationship Id="rId530" Type="http://schemas.openxmlformats.org/officeDocument/2006/relationships/hyperlink" Target="https://www.wsj.com/market-data/quotes/JPM/financials/annual/income-statement" TargetMode="External"/><Relationship Id="rId772" Type="http://schemas.openxmlformats.org/officeDocument/2006/relationships/hyperlink" Target="https://www.sec.gov/ix?doc=/Archives/edgar/data/0000080424/000008042421000100/pg-20210630.htm" TargetMode="External"/><Relationship Id="rId1123" Type="http://schemas.openxmlformats.org/officeDocument/2006/relationships/hyperlink" Target="https://www.wsj.com/market-data/quotes/AOS/financials/annual/income-statement" TargetMode="External"/><Relationship Id="rId771" Type="http://schemas.openxmlformats.org/officeDocument/2006/relationships/hyperlink" Target="https://www.sec.gov/ix?doc=/Archives/edgar/data/0000080424/000008042422000064/pg-20220630.htm" TargetMode="External"/><Relationship Id="rId1124" Type="http://schemas.openxmlformats.org/officeDocument/2006/relationships/hyperlink" Target="https://www.wsj.com/market-data/quotes/CMA/financials/annual/income-statement" TargetMode="External"/><Relationship Id="rId1158" Type="http://schemas.openxmlformats.org/officeDocument/2006/relationships/hyperlink" Target="https://www.wsj.com/market-data/quotes/MKTX/financials/annual/income-statement" TargetMode="External"/><Relationship Id="rId1159" Type="http://schemas.openxmlformats.org/officeDocument/2006/relationships/hyperlink" Target="https://www.wsj.com/market-data/quotes/MSCI/financials/annual/income-statement" TargetMode="External"/><Relationship Id="rId327" Type="http://schemas.openxmlformats.org/officeDocument/2006/relationships/hyperlink" Target="https://www.sec.gov/edgar/browse/?CIK=29534&amp;owner=exclude" TargetMode="External"/><Relationship Id="rId569" Type="http://schemas.openxmlformats.org/officeDocument/2006/relationships/hyperlink" Target="https://www.wsj.com/market-data/quotes/LSTR/financials/annual/income-statement" TargetMode="External"/><Relationship Id="rId326" Type="http://schemas.openxmlformats.org/officeDocument/2006/relationships/hyperlink" Target="https://www.wsj.com/market-data/quotes/DG/financials/annual/income-statement" TargetMode="External"/><Relationship Id="rId568" Type="http://schemas.openxmlformats.org/officeDocument/2006/relationships/hyperlink" Target="https://www.sec.gov/edgar/browse/?CIK=920148&amp;owner=exclude" TargetMode="External"/><Relationship Id="rId325" Type="http://schemas.openxmlformats.org/officeDocument/2006/relationships/hyperlink" Target="https://www.sec.gov/edgar/browse/?CIK=1001082" TargetMode="External"/><Relationship Id="rId567" Type="http://schemas.openxmlformats.org/officeDocument/2006/relationships/hyperlink" Target="https://www.wsj.com/market-data/quotes/LH/financials/annual/income-statement" TargetMode="External"/><Relationship Id="rId324" Type="http://schemas.openxmlformats.org/officeDocument/2006/relationships/hyperlink" Target="https://www.wsj.com/market-data/quotes/DISH/financials/annual/income-statement" TargetMode="External"/><Relationship Id="rId566" Type="http://schemas.openxmlformats.org/officeDocument/2006/relationships/hyperlink" Target="https://www.sec.gov/ixviewer/ix.html?doc=/Archives/edgar/data/202058/000020205824000029/hrs-20231229.htm" TargetMode="External"/><Relationship Id="rId329" Type="http://schemas.openxmlformats.org/officeDocument/2006/relationships/hyperlink" Target="https://www.sec.gov/ix?doc=/Archives/edgar/data/0000029534/000155837022003921/dg-20220128x10k.htm" TargetMode="External"/><Relationship Id="rId328" Type="http://schemas.openxmlformats.org/officeDocument/2006/relationships/hyperlink" Target="https://www.sec.gov/ix?doc=/Archives/edgar/data/0000029534/000155837023004574/dg-20230203x10k.htm" TargetMode="External"/><Relationship Id="rId561" Type="http://schemas.openxmlformats.org/officeDocument/2006/relationships/hyperlink" Target="https://www.sec.gov/ix?doc=/Archives/edgar/data/0000056873/000155837021003706/kr-20210130x10k.htm" TargetMode="External"/><Relationship Id="rId1150" Type="http://schemas.openxmlformats.org/officeDocument/2006/relationships/hyperlink" Target="https://www.wsj.com/market-data/quotes/ANSS/financials/annual/income-statement" TargetMode="External"/><Relationship Id="rId560" Type="http://schemas.openxmlformats.org/officeDocument/2006/relationships/hyperlink" Target="https://www.sec.gov/ix?doc=/Archives/edgar/data/0000056873/000155837022004595/kr-20220129x10k.htm" TargetMode="External"/><Relationship Id="rId1151" Type="http://schemas.openxmlformats.org/officeDocument/2006/relationships/hyperlink" Target="https://www.wsj.com/market-data/quotes/TECH/financials/annual/income-statement" TargetMode="External"/><Relationship Id="rId1152" Type="http://schemas.openxmlformats.org/officeDocument/2006/relationships/hyperlink" Target="https://www.wsj.com/market-data/quotes/CSGP/financials/annual/income-statement" TargetMode="External"/><Relationship Id="rId1153" Type="http://schemas.openxmlformats.org/officeDocument/2006/relationships/hyperlink" Target="https://www.wsj.com/market-data/quotes/FDS/financials/annual/income-statement" TargetMode="External"/><Relationship Id="rId323" Type="http://schemas.openxmlformats.org/officeDocument/2006/relationships/hyperlink" Target="https://www.sec.gov/ix?doc=/Archives/edgar/data/1393612/000139361224000010/dfs-20231231.htm" TargetMode="External"/><Relationship Id="rId565" Type="http://schemas.openxmlformats.org/officeDocument/2006/relationships/hyperlink" Target="https://www.sec.gov/edgar/browse/?CIK=202058" TargetMode="External"/><Relationship Id="rId1154" Type="http://schemas.openxmlformats.org/officeDocument/2006/relationships/hyperlink" Target="https://www.wsj.com/market-data/quotes/IPGP/financials/annual/income-statement" TargetMode="External"/><Relationship Id="rId322" Type="http://schemas.openxmlformats.org/officeDocument/2006/relationships/hyperlink" Target="https://www.sec.gov/edgar/browse/?CIK=1393612&amp;owner=exclude" TargetMode="External"/><Relationship Id="rId564" Type="http://schemas.openxmlformats.org/officeDocument/2006/relationships/hyperlink" Target="https://www.wsj.com/market-data/quotes/LHX/financials/annual/income-statement" TargetMode="External"/><Relationship Id="rId1155" Type="http://schemas.openxmlformats.org/officeDocument/2006/relationships/hyperlink" Target="https://www.wsj.com/market-data/quotes/JKHY/financials/annual/income-statement" TargetMode="External"/><Relationship Id="rId321" Type="http://schemas.openxmlformats.org/officeDocument/2006/relationships/hyperlink" Target="https://www.wsj.com/market-data/quotes/DFS/financials/annual/income-statement" TargetMode="External"/><Relationship Id="rId563" Type="http://schemas.openxmlformats.org/officeDocument/2006/relationships/hyperlink" Target="https://www.sec.gov/Archives/edgar/data/0000056873/000155837019002756/kr-20190202x10k.htm" TargetMode="External"/><Relationship Id="rId1156" Type="http://schemas.openxmlformats.org/officeDocument/2006/relationships/hyperlink" Target="https://www.sec.gov/edgar/browse/?CIK=779152&amp;owner=exclude" TargetMode="External"/><Relationship Id="rId320" Type="http://schemas.openxmlformats.org/officeDocument/2006/relationships/hyperlink" Target="https://www.sec.gov/edgar/browse/?CIK=1089063&amp;owner=exclude" TargetMode="External"/><Relationship Id="rId562" Type="http://schemas.openxmlformats.org/officeDocument/2006/relationships/hyperlink" Target="https://www.sec.gov/ix?doc=/Archives/edgar/data/0000056873/000155837020003501/kr-20200201x10k.htm" TargetMode="External"/><Relationship Id="rId1157" Type="http://schemas.openxmlformats.org/officeDocument/2006/relationships/hyperlink" Target="https://www.sec.gov/edgar/browse/?CIK=54480" TargetMode="External"/><Relationship Id="rId1147" Type="http://schemas.openxmlformats.org/officeDocument/2006/relationships/hyperlink" Target="https://www.wsj.com/market-data/quotes/NDSN/financials/annual/income-statement" TargetMode="External"/><Relationship Id="rId1148" Type="http://schemas.openxmlformats.org/officeDocument/2006/relationships/hyperlink" Target="https://www.sec.gov/edgar/browse/?CIK=72331&amp;owner=exclude" TargetMode="External"/><Relationship Id="rId1149" Type="http://schemas.openxmlformats.org/officeDocument/2006/relationships/hyperlink" Target="https://www.wsj.com/market-data/quotes/ETSY/financials/annual/income-statement" TargetMode="External"/><Relationship Id="rId316" Type="http://schemas.openxmlformats.org/officeDocument/2006/relationships/hyperlink" Target="https://www.sec.gov/ix?doc=/Archives/edgar/data/0000315189/000155837022018703/de-20221030x10k.htm" TargetMode="External"/><Relationship Id="rId558" Type="http://schemas.openxmlformats.org/officeDocument/2006/relationships/hyperlink" Target="https://www.sec.gov/edgar/browse/?CIK=56873&amp;owner=exclude" TargetMode="External"/><Relationship Id="rId315" Type="http://schemas.openxmlformats.org/officeDocument/2006/relationships/hyperlink" Target="https://www.sec.gov/ix?doc=/Archives/edgar/data/315189/000155837023019812/de-20231029x10k.htm" TargetMode="External"/><Relationship Id="rId557" Type="http://schemas.openxmlformats.org/officeDocument/2006/relationships/hyperlink" Target="https://www.wsj.com/market-data/quotes/KR/financials/annual/income-statement" TargetMode="External"/><Relationship Id="rId799" Type="http://schemas.openxmlformats.org/officeDocument/2006/relationships/hyperlink" Target="https://www.sec.gov/edgar/browse/?CIK=101829" TargetMode="External"/><Relationship Id="rId314" Type="http://schemas.openxmlformats.org/officeDocument/2006/relationships/hyperlink" Target="https://www.sec.gov/edgar/browse/?CIK=315189&amp;owner=exclude" TargetMode="External"/><Relationship Id="rId556" Type="http://schemas.openxmlformats.org/officeDocument/2006/relationships/hyperlink" Target="https://www.sec.gov/edgar/browse/?CIK=885639&amp;owner=exclude" TargetMode="External"/><Relationship Id="rId798" Type="http://schemas.openxmlformats.org/officeDocument/2006/relationships/hyperlink" Target="https://www.wsj.com/market-data/quotes/RTX/financials/annual/income-statement" TargetMode="External"/><Relationship Id="rId313" Type="http://schemas.openxmlformats.org/officeDocument/2006/relationships/hyperlink" Target="https://www.wsj.com/market-data/quotes/DE/financials/annual/income-statement" TargetMode="External"/><Relationship Id="rId555" Type="http://schemas.openxmlformats.org/officeDocument/2006/relationships/hyperlink" Target="https://www.wsj.com/market-data/quotes/KSS/financials/annual/income-statement" TargetMode="External"/><Relationship Id="rId797" Type="http://schemas.openxmlformats.org/officeDocument/2006/relationships/hyperlink" Target="https://www.sec.gov/ixviewer/ix.html?doc=/Archives/edgar/data/0000720005/000072000523000079/rjf-20230930.htm" TargetMode="External"/><Relationship Id="rId319" Type="http://schemas.openxmlformats.org/officeDocument/2006/relationships/hyperlink" Target="https://www.wsj.com/market-data/quotes/DKS/financials/annual/income-statement" TargetMode="External"/><Relationship Id="rId318" Type="http://schemas.openxmlformats.org/officeDocument/2006/relationships/hyperlink" Target="https://www.sec.gov/ix?doc=/Archives/edgar/data/0000315189/000155837020014436/de-20201101x10k.htm" TargetMode="External"/><Relationship Id="rId317" Type="http://schemas.openxmlformats.org/officeDocument/2006/relationships/hyperlink" Target="https://www.sec.gov/ix?doc=/Archives/edgar/data/0000315189/000155837021016864/de-20211031x10k.htm" TargetMode="External"/><Relationship Id="rId559" Type="http://schemas.openxmlformats.org/officeDocument/2006/relationships/hyperlink" Target="https://www.sec.gov/ix?doc=/Archives/edgar/data/0000056873/000155837023004767/kr-20230128x10k.htm" TargetMode="External"/><Relationship Id="rId550" Type="http://schemas.openxmlformats.org/officeDocument/2006/relationships/hyperlink" Target="https://www.wsj.com/market-data/quotes/KLAC/financials/annual/income-statement" TargetMode="External"/><Relationship Id="rId792" Type="http://schemas.openxmlformats.org/officeDocument/2006/relationships/hyperlink" Target="https://www.wsj.com/market-data/quotes/DGX/financials/annual/income-statement" TargetMode="External"/><Relationship Id="rId791" Type="http://schemas.openxmlformats.org/officeDocument/2006/relationships/hyperlink" Target="https://www.sec.gov/edgar/browse/?CIK=1050915&amp;owner=exclude" TargetMode="External"/><Relationship Id="rId1140" Type="http://schemas.openxmlformats.org/officeDocument/2006/relationships/hyperlink" Target="https://www.wsj.com/market-data/quotes/TER/financials/annual/income-statement" TargetMode="External"/><Relationship Id="rId790" Type="http://schemas.openxmlformats.org/officeDocument/2006/relationships/hyperlink" Target="https://www.wsj.com/market-data/quotes/PWR/financials/annual/income-statement" TargetMode="External"/><Relationship Id="rId1141" Type="http://schemas.openxmlformats.org/officeDocument/2006/relationships/hyperlink" Target="https://www.wsj.com/market-data/quotes/VRSK/financials/annual/income-statement" TargetMode="External"/><Relationship Id="rId1142" Type="http://schemas.openxmlformats.org/officeDocument/2006/relationships/hyperlink" Target="https://www.wsj.com/market-data/quotes/WAT/financials/annual/income-statement" TargetMode="External"/><Relationship Id="rId312" Type="http://schemas.openxmlformats.org/officeDocument/2006/relationships/hyperlink" Target="https://www.sec.gov/ixviewer/ix.html?doc=/Archives/edgar/data/927066/000092706624000013/dva-20231231.htm" TargetMode="External"/><Relationship Id="rId554" Type="http://schemas.openxmlformats.org/officeDocument/2006/relationships/hyperlink" Target="https://www.sec.gov/ixviewer/ix.html?doc=/Archives/edgar/data/1492691/000149269124000015/knx-20231231.htm" TargetMode="External"/><Relationship Id="rId796" Type="http://schemas.openxmlformats.org/officeDocument/2006/relationships/hyperlink" Target="https://www.sec.gov/edgar/browse/?CIK=720005&amp;owner=exclude" TargetMode="External"/><Relationship Id="rId1143" Type="http://schemas.openxmlformats.org/officeDocument/2006/relationships/hyperlink" Target="https://www.wsj.com/market-data/quotes/WST/financials/annual/income-statement" TargetMode="External"/><Relationship Id="rId311" Type="http://schemas.openxmlformats.org/officeDocument/2006/relationships/hyperlink" Target="https://www.sec.gov/edgar/browse/?CIK=927066&amp;owner=exclude" TargetMode="External"/><Relationship Id="rId553" Type="http://schemas.openxmlformats.org/officeDocument/2006/relationships/hyperlink" Target="https://www.sec.gov/edgar/browse/?CIK=1492691&amp;owner=exclude" TargetMode="External"/><Relationship Id="rId795" Type="http://schemas.openxmlformats.org/officeDocument/2006/relationships/hyperlink" Target="https://www.wsj.com/market-data/quotes/RJF/financials/annual/income-statement" TargetMode="External"/><Relationship Id="rId1144" Type="http://schemas.openxmlformats.org/officeDocument/2006/relationships/hyperlink" Target="https://www.wsj.com/market-data/quotes/TFX/financials/annual/income-statement" TargetMode="External"/><Relationship Id="rId310" Type="http://schemas.openxmlformats.org/officeDocument/2006/relationships/hyperlink" Target="https://www.wsj.com/market-data/quotes/DVA/financials/annual/income-statement" TargetMode="External"/><Relationship Id="rId552" Type="http://schemas.openxmlformats.org/officeDocument/2006/relationships/hyperlink" Target="https://www.wsj.com/market-data/quotes/KNX/financials/annual/income-statement" TargetMode="External"/><Relationship Id="rId794" Type="http://schemas.openxmlformats.org/officeDocument/2006/relationships/hyperlink" Target="https://www.sec.gov/ixviewer/ix.html?doc=/Archives/edgar/data/1022079/000102207924000041/dgx-20231231.htm" TargetMode="External"/><Relationship Id="rId1145" Type="http://schemas.openxmlformats.org/officeDocument/2006/relationships/hyperlink" Target="https://www.wsj.com/market-data/quotes/FFIV/financials/annual/income-statement" TargetMode="External"/><Relationship Id="rId551" Type="http://schemas.openxmlformats.org/officeDocument/2006/relationships/hyperlink" Target="https://www.sec.gov/edgar/browse/?CIK=319201&amp;owner=exclude" TargetMode="External"/><Relationship Id="rId793" Type="http://schemas.openxmlformats.org/officeDocument/2006/relationships/hyperlink" Target="https://www.sec.gov/edgar/browse/?CIK=1022079&amp;owner=exclude" TargetMode="External"/><Relationship Id="rId1146" Type="http://schemas.openxmlformats.org/officeDocument/2006/relationships/hyperlink" Target="https://www.wsj.com/market-data/quotes/ROL/financials/annual/income-statement" TargetMode="External"/><Relationship Id="rId297" Type="http://schemas.openxmlformats.org/officeDocument/2006/relationships/hyperlink" Target="https://www.sec.gov/ix?doc=/Archives/edgar/data/0000064803/000006480323000009/cvs-20221231.htm" TargetMode="External"/><Relationship Id="rId296" Type="http://schemas.openxmlformats.org/officeDocument/2006/relationships/hyperlink" Target="https://www.sec.gov/ixviewer/ix.html?doc=/Archives/edgar/data/64803/000006480324000007/cvs-20231231.htm" TargetMode="External"/><Relationship Id="rId295" Type="http://schemas.openxmlformats.org/officeDocument/2006/relationships/hyperlink" Target="https://www.sec.gov/edgar/browse/?CIK=64803&amp;owner=exclude" TargetMode="External"/><Relationship Id="rId294" Type="http://schemas.openxmlformats.org/officeDocument/2006/relationships/hyperlink" Target="https://www.wsj.com/market-data/quotes/CVS/financials/annual/income-statement" TargetMode="External"/><Relationship Id="rId299" Type="http://schemas.openxmlformats.org/officeDocument/2006/relationships/hyperlink" Target="https://www.sec.gov/ix?doc=/Archives/edgar/data/0000064803/000006480321000011/cvs-20201231.htm" TargetMode="External"/><Relationship Id="rId298" Type="http://schemas.openxmlformats.org/officeDocument/2006/relationships/hyperlink" Target="https://www.sec.gov/ix?doc=/Archives/edgar/data/0000064803/000006480322000008/cvs-20211231.htm" TargetMode="External"/><Relationship Id="rId271" Type="http://schemas.openxmlformats.org/officeDocument/2006/relationships/hyperlink" Target="https://www.sec.gov/edgar/browse/?CIK=1163165&amp;owner=exclude" TargetMode="External"/><Relationship Id="rId270" Type="http://schemas.openxmlformats.org/officeDocument/2006/relationships/hyperlink" Target="https://www.wsj.com/market-data/quotes/COP/financials/annual/income-statement" TargetMode="External"/><Relationship Id="rId269" Type="http://schemas.openxmlformats.org/officeDocument/2006/relationships/hyperlink" Target="https://www.sec.gov/edgar/browse/?CIK=23217&amp;owner=exclude" TargetMode="External"/><Relationship Id="rId264" Type="http://schemas.openxmlformats.org/officeDocument/2006/relationships/hyperlink" Target="https://www.sec.gov/Archives/edgar/data/0001166691/000116669119000005/cmcsa-12312018x10k.htm" TargetMode="External"/><Relationship Id="rId263" Type="http://schemas.openxmlformats.org/officeDocument/2006/relationships/hyperlink" Target="https://www.sec.gov/ix?doc=/Archives/edgar/data/0001166691/000116669120000008/cmcsa-12312019x10k.htm" TargetMode="External"/><Relationship Id="rId262" Type="http://schemas.openxmlformats.org/officeDocument/2006/relationships/hyperlink" Target="https://www.sec.gov/ix?doc=/Archives/edgar/data/0001166691/000116669121000008/cmcsa-20201231.htm" TargetMode="External"/><Relationship Id="rId261" Type="http://schemas.openxmlformats.org/officeDocument/2006/relationships/hyperlink" Target="https://www.sec.gov/ix?doc=/Archives/edgar/data/0001166691/000116669122000009/cmcsa-20211231.htm" TargetMode="External"/><Relationship Id="rId268" Type="http://schemas.openxmlformats.org/officeDocument/2006/relationships/hyperlink" Target="https://www.wsj.com/market-data/quotes/CAG/financials/annual/income-statement" TargetMode="External"/><Relationship Id="rId267" Type="http://schemas.openxmlformats.org/officeDocument/2006/relationships/hyperlink" Target="https://www.sec.gov/ix?doc=/Archives/edgar/data/22444/000002244423000126/cmc-20230831.htm" TargetMode="External"/><Relationship Id="rId266" Type="http://schemas.openxmlformats.org/officeDocument/2006/relationships/hyperlink" Target="https://www.sec.gov/edgar/browse/?CIK=22444&amp;owner=exclude" TargetMode="External"/><Relationship Id="rId265" Type="http://schemas.openxmlformats.org/officeDocument/2006/relationships/hyperlink" Target="https://www.wsj.com/market-data/quotes/CMC/financials/annual/income-statement" TargetMode="External"/><Relationship Id="rId260" Type="http://schemas.openxmlformats.org/officeDocument/2006/relationships/hyperlink" Target="https://www.sec.gov/ix?doc=/Archives/edgar/data/0001166691/000116669123000010/cmcsa-20221231.htm" TargetMode="External"/><Relationship Id="rId259" Type="http://schemas.openxmlformats.org/officeDocument/2006/relationships/hyperlink" Target="https://www.sec.gov/ixviewer/ix.html?doc=/Archives/edgar/data/1166691/000116669124000011/cmcsa-20231231.htm" TargetMode="External"/><Relationship Id="rId258" Type="http://schemas.openxmlformats.org/officeDocument/2006/relationships/hyperlink" Target="https://www.sec.gov/edgar/browse/?CIK=1166691&amp;owner=exclude" TargetMode="External"/><Relationship Id="rId253" Type="http://schemas.openxmlformats.org/officeDocument/2006/relationships/hyperlink" Target="https://www.sec.gov/ix?doc=/Archives/edgar/data/0000021344/000002134422000009/ko-20211231.htm" TargetMode="External"/><Relationship Id="rId495" Type="http://schemas.openxmlformats.org/officeDocument/2006/relationships/hyperlink" Target="https://www.sec.gov/ixviewer/ix.html?doc=/Archives/edgar/data/49196/000004919624000020/hban-20231231.htm" TargetMode="External"/><Relationship Id="rId252" Type="http://schemas.openxmlformats.org/officeDocument/2006/relationships/hyperlink" Target="https://www.sec.gov/ix?doc=/Archives/edgar/data/0000021344/000002134423000011/ko-20221231.htm" TargetMode="External"/><Relationship Id="rId494" Type="http://schemas.openxmlformats.org/officeDocument/2006/relationships/hyperlink" Target="https://www.sec.gov/edgar/browse/?CIK=49196&amp;owner=exclude" TargetMode="External"/><Relationship Id="rId251" Type="http://schemas.openxmlformats.org/officeDocument/2006/relationships/hyperlink" Target="https://www.sec.gov/ixviewer/ix.html?doc=/Archives/edgar/data/21344/000002134424000009/ko-20231231.htm" TargetMode="External"/><Relationship Id="rId493" Type="http://schemas.openxmlformats.org/officeDocument/2006/relationships/hyperlink" Target="https://www.wsj.com/market-data/quotes/HBAN/financials/annual/income-statement" TargetMode="External"/><Relationship Id="rId250" Type="http://schemas.openxmlformats.org/officeDocument/2006/relationships/hyperlink" Target="https://www.sec.gov/edgar/browse/?CIK=21344&amp;owner=exclude" TargetMode="External"/><Relationship Id="rId492" Type="http://schemas.openxmlformats.org/officeDocument/2006/relationships/hyperlink" Target="https://www.sec.gov/Archives/edgar/data/49071/000004907119000023/hum-20181231x10k.htm" TargetMode="External"/><Relationship Id="rId257" Type="http://schemas.openxmlformats.org/officeDocument/2006/relationships/hyperlink" Target="https://www.wsj.com/market-data/quotes/CMCSA/financials/annual/income-statement" TargetMode="External"/><Relationship Id="rId499" Type="http://schemas.openxmlformats.org/officeDocument/2006/relationships/hyperlink" Target="https://www.wsj.com/market-data/quotes/ITW/financials/annual/income-statement" TargetMode="External"/><Relationship Id="rId256" Type="http://schemas.openxmlformats.org/officeDocument/2006/relationships/hyperlink" Target="https://www.sec.gov/Archives/edgar/data/0000021344/000002134419000014/a2018123110-k.htm" TargetMode="External"/><Relationship Id="rId498" Type="http://schemas.openxmlformats.org/officeDocument/2006/relationships/hyperlink" Target="https://www.sec.gov/ix?doc=/Archives/edgar/data/1501585/000150158524000007/hii-20231231.htm" TargetMode="External"/><Relationship Id="rId255" Type="http://schemas.openxmlformats.org/officeDocument/2006/relationships/hyperlink" Target="https://www.sec.gov/ix?doc=/Archives/edgar/data/0000021344/000002134420000006/a2019123110-k.htm" TargetMode="External"/><Relationship Id="rId497" Type="http://schemas.openxmlformats.org/officeDocument/2006/relationships/hyperlink" Target="https://www.sec.gov/edgar/browse/?CIK=1501585&amp;owner=exclude" TargetMode="External"/><Relationship Id="rId254" Type="http://schemas.openxmlformats.org/officeDocument/2006/relationships/hyperlink" Target="https://www.sec.gov/ix?doc=/Archives/edgar/data/0000021344/000002134421000008/ko-20201231.htm" TargetMode="External"/><Relationship Id="rId496" Type="http://schemas.openxmlformats.org/officeDocument/2006/relationships/hyperlink" Target="https://www.wsj.com/market-data/quotes/HII/financials/annual/income-statement" TargetMode="External"/><Relationship Id="rId293" Type="http://schemas.openxmlformats.org/officeDocument/2006/relationships/hyperlink" Target="https://www.sec.gov/ixviewer/ix.html?doc=/Archives/edgar/data/26172/000002617224000012/cmi-20231231.htm" TargetMode="External"/><Relationship Id="rId292" Type="http://schemas.openxmlformats.org/officeDocument/2006/relationships/hyperlink" Target="https://www.sec.gov/edgar/browse/?CIK=26172" TargetMode="External"/><Relationship Id="rId291" Type="http://schemas.openxmlformats.org/officeDocument/2006/relationships/hyperlink" Target="https://www.wsj.com/market-data/quotes/CMI/financials/annual/income-statement" TargetMode="External"/><Relationship Id="rId290" Type="http://schemas.openxmlformats.org/officeDocument/2006/relationships/hyperlink" Target="https://www.sec.gov/ixviewer/ix.html?doc=/Archives/edgar/data/277948/000027794824000010/csx-20231231.htm" TargetMode="External"/><Relationship Id="rId286" Type="http://schemas.openxmlformats.org/officeDocument/2006/relationships/hyperlink" Target="https://www.wsj.com/market-data/quotes/CTRA/financials/annual/income-statement" TargetMode="External"/><Relationship Id="rId285" Type="http://schemas.openxmlformats.org/officeDocument/2006/relationships/hyperlink" Target="https://www.sec.gov/Archives/edgar/data/0000909832/000090983218000013/cost10k9218.htm" TargetMode="External"/><Relationship Id="rId284" Type="http://schemas.openxmlformats.org/officeDocument/2006/relationships/hyperlink" Target="https://www.sec.gov/Archives/edgar/data/0000909832/000090983219000019/cost10k9119.htm" TargetMode="External"/><Relationship Id="rId283" Type="http://schemas.openxmlformats.org/officeDocument/2006/relationships/hyperlink" Target="https://www.sec.gov/ix?doc=/Archives/edgar/data/0000909832/000090983220000017/cost-20200830.htm" TargetMode="External"/><Relationship Id="rId289" Type="http://schemas.openxmlformats.org/officeDocument/2006/relationships/hyperlink" Target="https://www.sec.gov/edgar/browse/?CIK=277948&amp;owner=exclude" TargetMode="External"/><Relationship Id="rId288" Type="http://schemas.openxmlformats.org/officeDocument/2006/relationships/hyperlink" Target="https://www.wsj.com/market-data/quotes/CSX/financials/annual/income-statement" TargetMode="External"/><Relationship Id="rId287" Type="http://schemas.openxmlformats.org/officeDocument/2006/relationships/hyperlink" Target="https://www.sec.gov/edgar/browse/?CIK=858470&amp;owner=exclude" TargetMode="External"/><Relationship Id="rId282" Type="http://schemas.openxmlformats.org/officeDocument/2006/relationships/hyperlink" Target="https://www.sec.gov/ix?doc=/Archives/edgar/data/0000909832/000090983221000014/cost-20210829.htm" TargetMode="External"/><Relationship Id="rId281" Type="http://schemas.openxmlformats.org/officeDocument/2006/relationships/hyperlink" Target="https://www.sec.gov/ix?doc=/Archives/edgar/data/0000909832/000090983222000021/cost-20220828.htm" TargetMode="External"/><Relationship Id="rId280" Type="http://schemas.openxmlformats.org/officeDocument/2006/relationships/hyperlink" Target="https://www.sec.gov/ix?doc=/Archives/edgar/data/909832/000090983223000042/cost-20230903.htm" TargetMode="External"/><Relationship Id="rId275" Type="http://schemas.openxmlformats.org/officeDocument/2006/relationships/hyperlink" Target="https://www.wsj.com/market-data/quotes/ED/financials/annual/income-statement" TargetMode="External"/><Relationship Id="rId274" Type="http://schemas.openxmlformats.org/officeDocument/2006/relationships/hyperlink" Target="https://www.sec.gov/ix?doc=/Archives/edgar/data/0001163165/000156276221000027/cop10k2020.htm" TargetMode="External"/><Relationship Id="rId273" Type="http://schemas.openxmlformats.org/officeDocument/2006/relationships/hyperlink" Target="https://www.sec.gov/ix?doc=/Archives/edgar/data/0001163165/000156276222000031/cop10k2021.htm" TargetMode="External"/><Relationship Id="rId272" Type="http://schemas.openxmlformats.org/officeDocument/2006/relationships/hyperlink" Target="https://www.sec.gov/ix?doc=/Archives/edgar/data/0001163165/000116316523000006/cop-20221231.htm" TargetMode="External"/><Relationship Id="rId279" Type="http://schemas.openxmlformats.org/officeDocument/2006/relationships/hyperlink" Target="https://www.sec.gov/edgar/browse/?CIK=909832&amp;owner=exclude" TargetMode="External"/><Relationship Id="rId278" Type="http://schemas.openxmlformats.org/officeDocument/2006/relationships/hyperlink" Target="https://www.wsj.com/market-data/quotes/COST/financials/annual/income-statement" TargetMode="External"/><Relationship Id="rId277" Type="http://schemas.openxmlformats.org/officeDocument/2006/relationships/hyperlink" Target="https://www.sec.gov/ixviewer/ix.html?doc=/Archives/edgar/data/1047862/000104786224000012/ed-20231231.htm" TargetMode="External"/><Relationship Id="rId276" Type="http://schemas.openxmlformats.org/officeDocument/2006/relationships/hyperlink" Target="https://www.sec.gov/edgar/browse/?CIK=1047862&amp;owner=exclude" TargetMode="External"/><Relationship Id="rId907" Type="http://schemas.openxmlformats.org/officeDocument/2006/relationships/hyperlink" Target="https://www.sec.gov/edgar/browse/?CIK=916365" TargetMode="External"/><Relationship Id="rId906" Type="http://schemas.openxmlformats.org/officeDocument/2006/relationships/hyperlink" Target="https://www.wsj.com/market-data/quotes/TSCO/financials/annual/income-statement" TargetMode="External"/><Relationship Id="rId905" Type="http://schemas.openxmlformats.org/officeDocument/2006/relationships/hyperlink" Target="https://www.sec.gov/ix?doc=/Archives/edgar/data/730263/000073026323000016/tho-20230731.htm" TargetMode="External"/><Relationship Id="rId904" Type="http://schemas.openxmlformats.org/officeDocument/2006/relationships/hyperlink" Target="https://www.sec.gov/edgar/browse/?CIK=730263&amp;owner=exclude" TargetMode="External"/><Relationship Id="rId909" Type="http://schemas.openxmlformats.org/officeDocument/2006/relationships/hyperlink" Target="https://www.wsj.com/market-data/quotes/TRV/financials/annual/income-statement" TargetMode="External"/><Relationship Id="rId908" Type="http://schemas.openxmlformats.org/officeDocument/2006/relationships/hyperlink" Target="https://www.sec.gov/ix?doc=/Archives/edgar/data/916365/000091636524000046/tsco-20231230.htm" TargetMode="External"/><Relationship Id="rId903" Type="http://schemas.openxmlformats.org/officeDocument/2006/relationships/hyperlink" Target="https://www.wsj.com/market-data/quotes/THO/financials/annual/income-statement" TargetMode="External"/><Relationship Id="rId902" Type="http://schemas.openxmlformats.org/officeDocument/2006/relationships/hyperlink" Target="https://www.sec.gov/ix?doc=/Archives/edgar/data/0000097745/000009774521000011/tmo-20201231.htm" TargetMode="External"/><Relationship Id="rId901" Type="http://schemas.openxmlformats.org/officeDocument/2006/relationships/hyperlink" Target="https://www.sec.gov/ix?doc=/Archives/edgar/data/0000097745/000009774522000011/tmo-20211231.htm" TargetMode="External"/><Relationship Id="rId900" Type="http://schemas.openxmlformats.org/officeDocument/2006/relationships/hyperlink" Target="https://www.sec.gov/ix?doc=/Archives/edgar/data/0000097745/000009774523000008/tmo-20221231.htm" TargetMode="External"/><Relationship Id="rId929" Type="http://schemas.openxmlformats.org/officeDocument/2006/relationships/hyperlink" Target="https://www.sec.gov/edgar/browse/?CIK=100885&amp;owner=exclude" TargetMode="External"/><Relationship Id="rId928" Type="http://schemas.openxmlformats.org/officeDocument/2006/relationships/hyperlink" Target="https://www.wsj.com/market-data/quotes/UNP/financials/annual/income-statement" TargetMode="External"/><Relationship Id="rId927" Type="http://schemas.openxmlformats.org/officeDocument/2006/relationships/hyperlink" Target="https://www.sec.gov/edgar/browse/?CIK=1403568&amp;owner=exclude" TargetMode="External"/><Relationship Id="rId926" Type="http://schemas.openxmlformats.org/officeDocument/2006/relationships/hyperlink" Target="https://www.wsj.com/market-data/quotes/ULTA/financials/annual/income-statement" TargetMode="External"/><Relationship Id="rId921" Type="http://schemas.openxmlformats.org/officeDocument/2006/relationships/hyperlink" Target="https://www.wsj.com/market-data/quotes/UFPI/financials/annual/income-statement" TargetMode="External"/><Relationship Id="rId920" Type="http://schemas.openxmlformats.org/officeDocument/2006/relationships/hyperlink" Target="https://d18rn0p25nwr6d.cloudfront.net/CIK-0000036104/124eda1c-77d3-411e-97e1-372f87b172f5.pdf" TargetMode="External"/><Relationship Id="rId925" Type="http://schemas.openxmlformats.org/officeDocument/2006/relationships/hyperlink" Target="https://www.sec.gov/ix?doc=/Archives/edgar/data/884614/000088461423000104/ugi-20230930.htm" TargetMode="External"/><Relationship Id="rId924" Type="http://schemas.openxmlformats.org/officeDocument/2006/relationships/hyperlink" Target="https://www.sec.gov/edgar/browse/?CIK=884614&amp;owner=exclude" TargetMode="External"/><Relationship Id="rId923" Type="http://schemas.openxmlformats.org/officeDocument/2006/relationships/hyperlink" Target="https://www.wsj.com/market-data/quotes/UGI/financials/annual/income-statement" TargetMode="External"/><Relationship Id="rId922" Type="http://schemas.openxmlformats.org/officeDocument/2006/relationships/hyperlink" Target="https://www.sec.gov/edgar/browse/?CIK=912767&amp;owner=exclude" TargetMode="External"/><Relationship Id="rId918" Type="http://schemas.openxmlformats.org/officeDocument/2006/relationships/hyperlink" Target="https://ir.usbank.com/investor-relations/financial-information/sec-and-other-filings?field_nir_sec_form_group_target_id%5B%5D=471&amp;field_nir_sec_date_filed_value=" TargetMode="External"/><Relationship Id="rId917" Type="http://schemas.openxmlformats.org/officeDocument/2006/relationships/hyperlink" Target="https://www.wsj.com/market-data/quotes/USB/financials/annual/income-statement" TargetMode="External"/><Relationship Id="rId916" Type="http://schemas.openxmlformats.org/officeDocument/2006/relationships/hyperlink" Target="https://www.sec.gov/edgar/browse/?CIK=92230&amp;owner=exclude" TargetMode="External"/><Relationship Id="rId915" Type="http://schemas.openxmlformats.org/officeDocument/2006/relationships/hyperlink" Target="https://www.wsj.com/market-data/quotes/TFC/financials/annual/income-statement" TargetMode="External"/><Relationship Id="rId919" Type="http://schemas.openxmlformats.org/officeDocument/2006/relationships/hyperlink" Target="http://sec.gov/edgar/searchedgar/companysearch" TargetMode="External"/><Relationship Id="rId910" Type="http://schemas.openxmlformats.org/officeDocument/2006/relationships/hyperlink" Target="https://www.sec.gov/edgar/browse/?CIK=86312&amp;owner=exclude" TargetMode="External"/><Relationship Id="rId914" Type="http://schemas.openxmlformats.org/officeDocument/2006/relationships/hyperlink" Target="https://www.sec.gov/ix?doc=/Archives/edgar/data/0000086312/000008631221000011/trv-20201231.htm" TargetMode="External"/><Relationship Id="rId913" Type="http://schemas.openxmlformats.org/officeDocument/2006/relationships/hyperlink" Target="https://www.sec.gov/ix?doc=/Archives/edgar/data/0000086312/000008631222000013/trv-20211231.htm" TargetMode="External"/><Relationship Id="rId912" Type="http://schemas.openxmlformats.org/officeDocument/2006/relationships/hyperlink" Target="https://www.sec.gov/ix?doc=/Archives/edgar/data/0000086312/000008631223000011/trv-20221231.htm" TargetMode="External"/><Relationship Id="rId911" Type="http://schemas.openxmlformats.org/officeDocument/2006/relationships/hyperlink" Target="https://www.sec.gov/ixviewer/ix.html?doc=/Archives/edgar/data/86312/000008631224000012/trv-20231231.htm" TargetMode="External"/><Relationship Id="rId629" Type="http://schemas.openxmlformats.org/officeDocument/2006/relationships/hyperlink" Target="https://www.sec.gov/ix?doc=/Archives/edgar/data/0001326801/000132680123000013/meta-20221231.htm" TargetMode="External"/><Relationship Id="rId624" Type="http://schemas.openxmlformats.org/officeDocument/2006/relationships/hyperlink" Target="https://www.wsj.com/market-data/quotes/MCD/financials/annual/income-statement" TargetMode="External"/><Relationship Id="rId866" Type="http://schemas.openxmlformats.org/officeDocument/2006/relationships/hyperlink" Target="https://www.sec.gov/ix?doc=/Archives/edgar/data/0000913760/000091376021000189/intl-20210930.htm" TargetMode="External"/><Relationship Id="rId623" Type="http://schemas.openxmlformats.org/officeDocument/2006/relationships/hyperlink" Target="https://www.sec.gov/ixviewer/ix.html?doc=/Archives/edgar/data/1141391/000114139124000022/ma-20231231.htm" TargetMode="External"/><Relationship Id="rId865" Type="http://schemas.openxmlformats.org/officeDocument/2006/relationships/hyperlink" Target="https://www.sec.gov/ix?doc=/Archives/edgar/data/0000913760/000091376022000174/intl-20220930.htm" TargetMode="External"/><Relationship Id="rId622" Type="http://schemas.openxmlformats.org/officeDocument/2006/relationships/hyperlink" Target="https://www.sec.gov/edgar/browse/?CIK=1141391&amp;owner=exclude" TargetMode="External"/><Relationship Id="rId864" Type="http://schemas.openxmlformats.org/officeDocument/2006/relationships/hyperlink" Target="https://www.sec.gov/edgar/browse/?CIK=913760&amp;owner=exclude" TargetMode="External"/><Relationship Id="rId621" Type="http://schemas.openxmlformats.org/officeDocument/2006/relationships/hyperlink" Target="https://www.wsj.com/market-data/quotes/MA/financials/annual/income-statement" TargetMode="External"/><Relationship Id="rId863" Type="http://schemas.openxmlformats.org/officeDocument/2006/relationships/hyperlink" Target="https://www.wsj.com/market-data/quotes/SNEX/financials/annual/income-statement" TargetMode="External"/><Relationship Id="rId628" Type="http://schemas.openxmlformats.org/officeDocument/2006/relationships/hyperlink" Target="https://www.sec.gov/ix?doc=/Archives/edgar/data/1326801/000132680124000012/meta-20231231.htm" TargetMode="External"/><Relationship Id="rId627" Type="http://schemas.openxmlformats.org/officeDocument/2006/relationships/hyperlink" Target="https://www.sec.gov/edgar/browse/?CIK=1326801&amp;owner=exclude" TargetMode="External"/><Relationship Id="rId869" Type="http://schemas.openxmlformats.org/officeDocument/2006/relationships/hyperlink" Target="https://www.sec.gov/edgar/browse/?CIK=310764&amp;owner=exclude" TargetMode="External"/><Relationship Id="rId626" Type="http://schemas.openxmlformats.org/officeDocument/2006/relationships/hyperlink" Target="https://www.wsj.com/market-data/quotes/META/financials/annual/income-statement" TargetMode="External"/><Relationship Id="rId868" Type="http://schemas.openxmlformats.org/officeDocument/2006/relationships/hyperlink" Target="https://www.wsj.com/market-data/quotes/SYK/financials/annual/income-statement" TargetMode="External"/><Relationship Id="rId625" Type="http://schemas.openxmlformats.org/officeDocument/2006/relationships/hyperlink" Target="https://www.sec.gov/edgar/browse/?CIK=63908&amp;owner=exclude" TargetMode="External"/><Relationship Id="rId867" Type="http://schemas.openxmlformats.org/officeDocument/2006/relationships/hyperlink" Target="https://www.sec.gov/ix?doc=/Archives/edgar/data/0000913760/000091376020000206/intl-20200930.htm" TargetMode="External"/><Relationship Id="rId620" Type="http://schemas.openxmlformats.org/officeDocument/2006/relationships/hyperlink" Target="https://www.sec.gov/edgar/browse/?CIK=15615&amp;owner=exclude" TargetMode="External"/><Relationship Id="rId862" Type="http://schemas.openxmlformats.org/officeDocument/2006/relationships/hyperlink" Target="https://www.sec.gov/edgar/browse/?CIK=1022671&amp;owner=exclude" TargetMode="External"/><Relationship Id="rId861" Type="http://schemas.openxmlformats.org/officeDocument/2006/relationships/hyperlink" Target="https://www.wsj.com/market-data/quotes/STLD/financials/annual/income-statement" TargetMode="External"/><Relationship Id="rId860" Type="http://schemas.openxmlformats.org/officeDocument/2006/relationships/hyperlink" Target="https://www.sec.gov/ixviewer/ix.html?doc=/Archives/edgar/data/0000093751/000009375124000498/stt-20231231.htm" TargetMode="External"/><Relationship Id="rId619" Type="http://schemas.openxmlformats.org/officeDocument/2006/relationships/hyperlink" Target="https://www.wsj.com/market-data/quotes/MTZ/financials/annual/income-statement" TargetMode="External"/><Relationship Id="rId618" Type="http://schemas.openxmlformats.org/officeDocument/2006/relationships/hyperlink" Target="https://www.sec.gov/ixviewer/ix.html?doc=/Archives/edgar/data/62996/000006299624000006/mas-20231231.htm" TargetMode="External"/><Relationship Id="rId613" Type="http://schemas.openxmlformats.org/officeDocument/2006/relationships/hyperlink" Target="https://www.wsj.com/market-data/quotes/MMC/financials/annual/income-statement" TargetMode="External"/><Relationship Id="rId855" Type="http://schemas.openxmlformats.org/officeDocument/2006/relationships/hyperlink" Target="https://www.sec.gov/ix?doc=/Archives/edgar/data/0000829224/000082922422000058/sbux-20221002.htm" TargetMode="External"/><Relationship Id="rId612" Type="http://schemas.openxmlformats.org/officeDocument/2006/relationships/hyperlink" Target="https://www.sec.gov/ixviewer/ix.html?doc=/Archives/edgar/data/1048286/000162828024004372/mar-20231231.htm" TargetMode="External"/><Relationship Id="rId854" Type="http://schemas.openxmlformats.org/officeDocument/2006/relationships/hyperlink" Target="https://www.sec.gov/ixviewer/ix.html?doc=/Archives/edgar/data/829224/000082922423000058/sbux-20231001.htm" TargetMode="External"/><Relationship Id="rId611" Type="http://schemas.openxmlformats.org/officeDocument/2006/relationships/hyperlink" Target="https://www.sec.gov/edgar/browse/?CIK=1048286&amp;owner=exclude" TargetMode="External"/><Relationship Id="rId853" Type="http://schemas.openxmlformats.org/officeDocument/2006/relationships/hyperlink" Target="https://www.sec.gov/edgar/browse/?CIK=829224&amp;owner=exclude" TargetMode="External"/><Relationship Id="rId610" Type="http://schemas.openxmlformats.org/officeDocument/2006/relationships/hyperlink" Target="https://www.wsj.com/market-data/quotes/MAR/financials/annual/income-statement" TargetMode="External"/><Relationship Id="rId852" Type="http://schemas.openxmlformats.org/officeDocument/2006/relationships/hyperlink" Target="https://www.wsj.com/market-data/quotes/SBUX/financials/annual/income-statement" TargetMode="External"/><Relationship Id="rId617" Type="http://schemas.openxmlformats.org/officeDocument/2006/relationships/hyperlink" Target="https://www.sec.gov/edgar/browse/?CIK=62996&amp;owner=exclude" TargetMode="External"/><Relationship Id="rId859" Type="http://schemas.openxmlformats.org/officeDocument/2006/relationships/hyperlink" Target="https://www.sec.gov/edgar/browse/?CIK=93751&amp;owner=exclude" TargetMode="External"/><Relationship Id="rId616" Type="http://schemas.openxmlformats.org/officeDocument/2006/relationships/hyperlink" Target="https://www.wsj.com/market-data/quotes/MAS/financials/annual/income-statement" TargetMode="External"/><Relationship Id="rId858" Type="http://schemas.openxmlformats.org/officeDocument/2006/relationships/hyperlink" Target="https://www.wsj.com/market-data/quotes/STT/financials/annual/income-statement" TargetMode="External"/><Relationship Id="rId615" Type="http://schemas.openxmlformats.org/officeDocument/2006/relationships/hyperlink" Target="https://www.sec.gov/ixviewer/ix.html?doc=/Archives/edgar/data/62709/000006270924000016/mmc-20231231.htm" TargetMode="External"/><Relationship Id="rId857" Type="http://schemas.openxmlformats.org/officeDocument/2006/relationships/hyperlink" Target="https://www.sec.gov/ix?doc=/Archives/edgar/data/0000829224/000082922420000078/sbux-20200927.htm" TargetMode="External"/><Relationship Id="rId614" Type="http://schemas.openxmlformats.org/officeDocument/2006/relationships/hyperlink" Target="https://www.sec.gov/edgar/browse/?CIK=62709" TargetMode="External"/><Relationship Id="rId856" Type="http://schemas.openxmlformats.org/officeDocument/2006/relationships/hyperlink" Target="https://www.sec.gov/ix?doc=/Archives/edgar/data/0000829224/000082922421000086/sbux-20211003.htm" TargetMode="External"/><Relationship Id="rId851" Type="http://schemas.openxmlformats.org/officeDocument/2006/relationships/hyperlink" Target="https://www.sec.gov/edgar/browse/?CIK=877422&amp;owner=exclude" TargetMode="External"/><Relationship Id="rId850" Type="http://schemas.openxmlformats.org/officeDocument/2006/relationships/hyperlink" Target="https://www.wsj.com/market-data/quotes/SPTN/financials/annual/income-statement" TargetMode="External"/><Relationship Id="rId409" Type="http://schemas.openxmlformats.org/officeDocument/2006/relationships/hyperlink" Target="https://www.wsj.com/market-data/quotes/F/financials/annual/income-statement" TargetMode="External"/><Relationship Id="rId404" Type="http://schemas.openxmlformats.org/officeDocument/2006/relationships/hyperlink" Target="https://www.wsj.com/market-data/quotes/FE/financials/annual/income-statement" TargetMode="External"/><Relationship Id="rId646" Type="http://schemas.openxmlformats.org/officeDocument/2006/relationships/hyperlink" Target="https://www.sec.gov/ix?doc=/Archives/edgar/data/0000789019/000156459020034944/msft-10k_20200630.htm" TargetMode="External"/><Relationship Id="rId888" Type="http://schemas.openxmlformats.org/officeDocument/2006/relationships/hyperlink" Target="https://www.sec.gov/ix?doc=/Archives/edgar/data/0001318605/000095017023001409/tsla-20221231.htm" TargetMode="External"/><Relationship Id="rId403" Type="http://schemas.openxmlformats.org/officeDocument/2006/relationships/hyperlink" Target="https://www.sec.gov/ixviewer/ix.html?doc=/Archives/edgar/data/0001472787/000095017024017418/faf-20231231.htm" TargetMode="External"/><Relationship Id="rId645" Type="http://schemas.openxmlformats.org/officeDocument/2006/relationships/hyperlink" Target="https://www.sec.gov/ix?doc=/Archives/edgar/data/0000789019/000156459021039151/msft-10k_20210630.htm" TargetMode="External"/><Relationship Id="rId887" Type="http://schemas.openxmlformats.org/officeDocument/2006/relationships/hyperlink" Target="https://www.sec.gov/ixviewer/ix.html?doc=/Archives/edgar/data/1318605/000162828024002390/tsla-20231231.htm" TargetMode="External"/><Relationship Id="rId402" Type="http://schemas.openxmlformats.org/officeDocument/2006/relationships/hyperlink" Target="https://www.sec.gov/edgar/browse/?CIK=1472787&amp;owner=exclude" TargetMode="External"/><Relationship Id="rId644" Type="http://schemas.openxmlformats.org/officeDocument/2006/relationships/hyperlink" Target="https://www.sec.gov/ix?doc=/Archives/edgar/data/0000789019/000156459022026876/msft-10k_20220630.htm" TargetMode="External"/><Relationship Id="rId886" Type="http://schemas.openxmlformats.org/officeDocument/2006/relationships/hyperlink" Target="https://www.sec.gov/edgar/browse/?CIK=1318605&amp;owner=exclude" TargetMode="External"/><Relationship Id="rId401" Type="http://schemas.openxmlformats.org/officeDocument/2006/relationships/hyperlink" Target="https://www.wsj.com/market-data/quotes/FAF/financials/annual/income-statement" TargetMode="External"/><Relationship Id="rId643" Type="http://schemas.openxmlformats.org/officeDocument/2006/relationships/hyperlink" Target="https://www.sec.gov/ixviewer/ix.html?doc=/Archives/edgar/data/789019/000095017023035122/msft-20230630.htm" TargetMode="External"/><Relationship Id="rId885" Type="http://schemas.openxmlformats.org/officeDocument/2006/relationships/hyperlink" Target="https://www.wsj.com/market-data/quotes/TSLA/financials/annual/income-statement" TargetMode="External"/><Relationship Id="rId408" Type="http://schemas.openxmlformats.org/officeDocument/2006/relationships/hyperlink" Target="https://www.sec.gov/edgar/browse/?CIK=850209&amp;owner=exclude" TargetMode="External"/><Relationship Id="rId407" Type="http://schemas.openxmlformats.org/officeDocument/2006/relationships/hyperlink" Target="https://www.wsj.com/market-data/quotes/FL/financials/annual/income-statement" TargetMode="External"/><Relationship Id="rId649" Type="http://schemas.openxmlformats.org/officeDocument/2006/relationships/hyperlink" Target="https://www.sec.gov/edgar/browse/?CIK=1682852&amp;owner=exclude" TargetMode="External"/><Relationship Id="rId406" Type="http://schemas.openxmlformats.org/officeDocument/2006/relationships/hyperlink" Target="https://www.sec.gov/ixviewer/ix.html?doc=/Archives/edgar/data/1031296/000103129624000008/fe-20231231.htm" TargetMode="External"/><Relationship Id="rId648" Type="http://schemas.openxmlformats.org/officeDocument/2006/relationships/hyperlink" Target="https://www.wsj.com/market-data/quotes/MRNA/financials/annual/income-statement" TargetMode="External"/><Relationship Id="rId405" Type="http://schemas.openxmlformats.org/officeDocument/2006/relationships/hyperlink" Target="https://www.sec.gov/edgar/browse/?CIK=1031296&amp;owner=exclude" TargetMode="External"/><Relationship Id="rId647" Type="http://schemas.openxmlformats.org/officeDocument/2006/relationships/hyperlink" Target="https://www.sec.gov/Archives/edgar/data/0000789019/000156459019027952/msft-10k_20190630.htm" TargetMode="External"/><Relationship Id="rId889" Type="http://schemas.openxmlformats.org/officeDocument/2006/relationships/hyperlink" Target="https://www.sec.gov/ix?doc=/Archives/edgar/data/0001318605/000095017022000796/tsla-20211231.htm" TargetMode="External"/><Relationship Id="rId880" Type="http://schemas.openxmlformats.org/officeDocument/2006/relationships/hyperlink" Target="https://www.sec.gov/ix?doc=/Archives/edgar/data/0000027419/000002741921000010/tgt-20210130.htm" TargetMode="External"/><Relationship Id="rId400" Type="http://schemas.openxmlformats.org/officeDocument/2006/relationships/hyperlink" Target="https://www.sec.gov/edgar/browse/?CIK=35527&amp;owner=exclude" TargetMode="External"/><Relationship Id="rId642" Type="http://schemas.openxmlformats.org/officeDocument/2006/relationships/hyperlink" Target="https://www.sec.gov/edgar/browse/?CIK=789019&amp;owner=exclude" TargetMode="External"/><Relationship Id="rId884" Type="http://schemas.openxmlformats.org/officeDocument/2006/relationships/hyperlink" Target="https://www.sec.gov/edgar/browse/?CIK=1562476&amp;owner=exclude" TargetMode="External"/><Relationship Id="rId641" Type="http://schemas.openxmlformats.org/officeDocument/2006/relationships/hyperlink" Target="https://www.wsj.com/market-data/quotes/MSFT/financials/annual/income-statement" TargetMode="External"/><Relationship Id="rId883" Type="http://schemas.openxmlformats.org/officeDocument/2006/relationships/hyperlink" Target="https://www.wsj.com/market-data/quotes/TMHC/financials/annual/income-statement" TargetMode="External"/><Relationship Id="rId640" Type="http://schemas.openxmlformats.org/officeDocument/2006/relationships/hyperlink" Target="https://www.sec.gov/Archives/edgar/data/0001099219/000109921919000008/met-20181231x10k.htm" TargetMode="External"/><Relationship Id="rId882" Type="http://schemas.openxmlformats.org/officeDocument/2006/relationships/hyperlink" Target="https://www.sec.gov/Archives/edgar/data/0000027419/000002741919000006/tgt-20190202x10k.htm" TargetMode="External"/><Relationship Id="rId881" Type="http://schemas.openxmlformats.org/officeDocument/2006/relationships/hyperlink" Target="https://www.sec.gov/ix?doc=/Archives/edgar/data/0000027419/000002741920000008/tgt-20200201.htm" TargetMode="External"/><Relationship Id="rId635" Type="http://schemas.openxmlformats.org/officeDocument/2006/relationships/hyperlink" Target="https://www.sec.gov/ix?doc=/Archives/edgar/data/1099219/000109921924000035/met-20231231.htm" TargetMode="External"/><Relationship Id="rId877" Type="http://schemas.openxmlformats.org/officeDocument/2006/relationships/hyperlink" Target="https://www.sec.gov/edgar/browse/?CIK=27419&amp;owner=exclude" TargetMode="External"/><Relationship Id="rId634" Type="http://schemas.openxmlformats.org/officeDocument/2006/relationships/hyperlink" Target="https://www.sec.gov/edgar/browse/?CIK=1099219&amp;owner=exclude" TargetMode="External"/><Relationship Id="rId876" Type="http://schemas.openxmlformats.org/officeDocument/2006/relationships/hyperlink" Target="https://www.wsj.com/market-data/quotes/TGT/financials/annual/income-statement" TargetMode="External"/><Relationship Id="rId633" Type="http://schemas.openxmlformats.org/officeDocument/2006/relationships/hyperlink" Target="https://www.wsj.com/market-data/quotes/MET/financials/annual/income-statement" TargetMode="External"/><Relationship Id="rId875" Type="http://schemas.openxmlformats.org/officeDocument/2006/relationships/hyperlink" Target="https://www.sec.gov/ix?doc=/Archives/edgar/data/1283699/000128369924000008/tmus-20231231.htm" TargetMode="External"/><Relationship Id="rId632" Type="http://schemas.openxmlformats.org/officeDocument/2006/relationships/hyperlink" Target="https://www.sec.gov/ix?doc=/Archives/edgar/data/0001326801/000132680120000013/fb-12312019x10k.htm" TargetMode="External"/><Relationship Id="rId874" Type="http://schemas.openxmlformats.org/officeDocument/2006/relationships/hyperlink" Target="https://www.sec.gov/edgar/browse/?CIK=1283699&amp;owner=exclude" TargetMode="External"/><Relationship Id="rId639" Type="http://schemas.openxmlformats.org/officeDocument/2006/relationships/hyperlink" Target="https://www.sec.gov/ix?doc=/Archives/edgar/data/0001099219/000109921920000064/met-20191231x10k.htm" TargetMode="External"/><Relationship Id="rId638" Type="http://schemas.openxmlformats.org/officeDocument/2006/relationships/hyperlink" Target="https://www.sec.gov/ix?doc=/Archives/edgar/data/0001099219/000109921921000050/met-20201231.htm" TargetMode="External"/><Relationship Id="rId637" Type="http://schemas.openxmlformats.org/officeDocument/2006/relationships/hyperlink" Target="https://www.sec.gov/ix?doc=/Archives/edgar/data/0001099219/000109921922000014/met-20211231.htm" TargetMode="External"/><Relationship Id="rId879" Type="http://schemas.openxmlformats.org/officeDocument/2006/relationships/hyperlink" Target="https://www.sec.gov/ix?doc=/Archives/edgar/data/0000027419/000002741922000007/tgt-20220129.htm" TargetMode="External"/><Relationship Id="rId636" Type="http://schemas.openxmlformats.org/officeDocument/2006/relationships/hyperlink" Target="https://www.sec.gov/ix?doc=/Archives/edgar/data/0001099219/000109921923000045/met-20221231.htm" TargetMode="External"/><Relationship Id="rId878" Type="http://schemas.openxmlformats.org/officeDocument/2006/relationships/hyperlink" Target="https://www.sec.gov/ix?doc=/Archives/edgar/data/0000027419/000002741923000015/tgt-20230128.htm" TargetMode="External"/><Relationship Id="rId631" Type="http://schemas.openxmlformats.org/officeDocument/2006/relationships/hyperlink" Target="https://www.sec.gov/ix?doc=/Archives/edgar/data/0001326801/000132680121000014/fb-20201231.htm" TargetMode="External"/><Relationship Id="rId873" Type="http://schemas.openxmlformats.org/officeDocument/2006/relationships/hyperlink" Target="https://www.wsj.com/market-data/quotes/TMUS/financials/annual/income-statement" TargetMode="External"/><Relationship Id="rId630" Type="http://schemas.openxmlformats.org/officeDocument/2006/relationships/hyperlink" Target="https://www.sec.gov/ix?doc=/Archives/edgar/data/0001326801/000132680122000018/fb-20211231.htm" TargetMode="External"/><Relationship Id="rId872" Type="http://schemas.openxmlformats.org/officeDocument/2006/relationships/hyperlink" Target="https://www.sec.gov/ixviewer/ix.html?doc=/Archives/edgar/data/1601712/000160171224000047/syf-20231231.htm" TargetMode="External"/><Relationship Id="rId871" Type="http://schemas.openxmlformats.org/officeDocument/2006/relationships/hyperlink" Target="https://www.sec.gov/edgar/browse/?CIK=1601712&amp;owner=exclude" TargetMode="External"/><Relationship Id="rId870" Type="http://schemas.openxmlformats.org/officeDocument/2006/relationships/hyperlink" Target="https://www.wsj.com/market-data/quotes/SYF/financials/annual/income-statement" TargetMode="External"/><Relationship Id="rId829" Type="http://schemas.openxmlformats.org/officeDocument/2006/relationships/hyperlink" Target="https://www.wsj.com/market-data/quotes/CRM/financials/annual/income-statement" TargetMode="External"/><Relationship Id="rId828" Type="http://schemas.openxmlformats.org/officeDocument/2006/relationships/hyperlink" Target="https://www.sec.gov/ixviewer/ix.html?doc=/Archives/edgar/data/64040/000006404024000071/spgi-20231231.htm" TargetMode="External"/><Relationship Id="rId827" Type="http://schemas.openxmlformats.org/officeDocument/2006/relationships/hyperlink" Target="https://www.sec.gov/edgar/browse/?CIK=64040&amp;owner=exclude" TargetMode="External"/><Relationship Id="rId822" Type="http://schemas.openxmlformats.org/officeDocument/2006/relationships/hyperlink" Target="https://www.sec.gov/edgar/browse/?CIK=1024478&amp;owner=exclude" TargetMode="External"/><Relationship Id="rId821" Type="http://schemas.openxmlformats.org/officeDocument/2006/relationships/hyperlink" Target="https://www.wsj.com/market-data/quotes/ROK/financials/annual/income-statement" TargetMode="External"/><Relationship Id="rId820" Type="http://schemas.openxmlformats.org/officeDocument/2006/relationships/hyperlink" Target="https://www.sec.gov/ixviewer/ix.html?doc=/Archives/edgar/data/315213/000031521324000011/rhi-20231231.htm" TargetMode="External"/><Relationship Id="rId826" Type="http://schemas.openxmlformats.org/officeDocument/2006/relationships/hyperlink" Target="https://www.wsj.com/market-data/quotes/SPGI/financials/annual/income-statement" TargetMode="External"/><Relationship Id="rId825" Type="http://schemas.openxmlformats.org/officeDocument/2006/relationships/hyperlink" Target="https://www.sec.gov/edgar/browse/?CIK=745732&amp;owner=exclude" TargetMode="External"/><Relationship Id="rId824" Type="http://schemas.openxmlformats.org/officeDocument/2006/relationships/hyperlink" Target="https://www.wsj.com/market-data/quotes/ROST/financials/annual/income-statement" TargetMode="External"/><Relationship Id="rId823" Type="http://schemas.openxmlformats.org/officeDocument/2006/relationships/hyperlink" Target="https://www.sec.gov/ix?doc=/Archives/edgar/data/1024478/000102447823000126/rok-20230930.htm" TargetMode="External"/><Relationship Id="rId819" Type="http://schemas.openxmlformats.org/officeDocument/2006/relationships/hyperlink" Target="https://www.sec.gov/edgar/browse/?CIK=315213" TargetMode="External"/><Relationship Id="rId818" Type="http://schemas.openxmlformats.org/officeDocument/2006/relationships/hyperlink" Target="https://www.wsj.com/market-data/quotes/RHI/financials/annual/income-statement" TargetMode="External"/><Relationship Id="rId817" Type="http://schemas.openxmlformats.org/officeDocument/2006/relationships/hyperlink" Target="https://www.sec.gov/edgar/browse/?CIK=1060391&amp;owner=exclude" TargetMode="External"/><Relationship Id="rId816" Type="http://schemas.openxmlformats.org/officeDocument/2006/relationships/hyperlink" Target="https://www.wsj.com/market-data/quotes/RSG/financials/annual/income-statement" TargetMode="External"/><Relationship Id="rId811" Type="http://schemas.openxmlformats.org/officeDocument/2006/relationships/hyperlink" Target="https://www.sec.gov/ixviewer/ix.html?doc=/Archives/edgar/data/1281761/000128176124000010/rf-20231231.htm" TargetMode="External"/><Relationship Id="rId810" Type="http://schemas.openxmlformats.org/officeDocument/2006/relationships/hyperlink" Target="https://www.sec.gov/edgar/browse/?CIK=1281761&amp;owner=exclude" TargetMode="External"/><Relationship Id="rId815" Type="http://schemas.openxmlformats.org/officeDocument/2006/relationships/hyperlink" Target="https://www.sec.gov/edgar/browse/?CIK=861884&amp;owner=exclude" TargetMode="External"/><Relationship Id="rId814" Type="http://schemas.openxmlformats.org/officeDocument/2006/relationships/hyperlink" Target="https://www.wsj.com/market-data/quotes/RS/financials/annual/income-statement" TargetMode="External"/><Relationship Id="rId813" Type="http://schemas.openxmlformats.org/officeDocument/2006/relationships/hyperlink" Target="https://www.sec.gov/edgar/browse/?CIK=898174&amp;owner=exclude" TargetMode="External"/><Relationship Id="rId812" Type="http://schemas.openxmlformats.org/officeDocument/2006/relationships/hyperlink" Target="https://www.wsj.com/market-data/quotes/RGA/financials/annual/income-statement" TargetMode="External"/><Relationship Id="rId609" Type="http://schemas.openxmlformats.org/officeDocument/2006/relationships/hyperlink" Target="https://www.sec.gov/Archives/edgar/data/0001510295/000151029519000014/mpc-20181231x10k.htm" TargetMode="External"/><Relationship Id="rId608" Type="http://schemas.openxmlformats.org/officeDocument/2006/relationships/hyperlink" Target="https://www.sec.gov/ix?doc=/Archives/edgar/data/0001510295/000151029520000006/mpc-20191231x10k.htm" TargetMode="External"/><Relationship Id="rId607" Type="http://schemas.openxmlformats.org/officeDocument/2006/relationships/hyperlink" Target="https://www.sec.gov/ix?doc=/Archives/edgar/data/0001510295/000151029521000027/mpc-20201231.htm" TargetMode="External"/><Relationship Id="rId849" Type="http://schemas.openxmlformats.org/officeDocument/2006/relationships/hyperlink" Target="https://www.sec.gov/ixviewer/ix.html?doc=/Archives/edgar/data/92380/000009238024000027/luv-20231231.htm" TargetMode="External"/><Relationship Id="rId602" Type="http://schemas.openxmlformats.org/officeDocument/2006/relationships/hyperlink" Target="https://itep.org/corporations-reap-billions-in-tax-breaks-under-bonus-depreciation/" TargetMode="External"/><Relationship Id="rId844" Type="http://schemas.openxmlformats.org/officeDocument/2006/relationships/hyperlink" Target="https://www.wsj.com/market-data/quotes/SO/financials/annual/income-statement" TargetMode="External"/><Relationship Id="rId601" Type="http://schemas.openxmlformats.org/officeDocument/2006/relationships/hyperlink" Target="https://www.wsj.com/market-data/quotes/MPC/financials/annual/income-statement" TargetMode="External"/><Relationship Id="rId843" Type="http://schemas.openxmlformats.org/officeDocument/2006/relationships/hyperlink" Target="https://www.sec.gov/ixviewer/ix.html?doc=/Archives/edgar/data/1043509/000104350924000022/sah-20231231.htm" TargetMode="External"/><Relationship Id="rId600" Type="http://schemas.openxmlformats.org/officeDocument/2006/relationships/hyperlink" Target="https://www.sec.gov/edgar/browse/?CIK=871763&amp;owner=exclude" TargetMode="External"/><Relationship Id="rId842" Type="http://schemas.openxmlformats.org/officeDocument/2006/relationships/hyperlink" Target="https://www.sec.gov/edgar/browse/?CIK=1043509&amp;owner=exclude" TargetMode="External"/><Relationship Id="rId841" Type="http://schemas.openxmlformats.org/officeDocument/2006/relationships/hyperlink" Target="https://www.wsj.com/market-data/quotes/SAH/financials/annual/income-statement" TargetMode="External"/><Relationship Id="rId606" Type="http://schemas.openxmlformats.org/officeDocument/2006/relationships/hyperlink" Target="https://www.sec.gov/ix?doc=/Archives/edgar/data/0001510295/000151029522000011/mpc-20211231.htm" TargetMode="External"/><Relationship Id="rId848" Type="http://schemas.openxmlformats.org/officeDocument/2006/relationships/hyperlink" Target="https://www.sec.gov/edgar/browse/?CIK=92380&amp;owner=exclude" TargetMode="External"/><Relationship Id="rId605" Type="http://schemas.openxmlformats.org/officeDocument/2006/relationships/hyperlink" Target="https://www.sec.gov/ix?doc=/Archives/edgar/data/0001510295/000151029523000012/mpc-20221231.htm" TargetMode="External"/><Relationship Id="rId847" Type="http://schemas.openxmlformats.org/officeDocument/2006/relationships/hyperlink" Target="https://www.wsj.com/market-data/quotes/LUV/financials/annual/income-statement" TargetMode="External"/><Relationship Id="rId604" Type="http://schemas.openxmlformats.org/officeDocument/2006/relationships/hyperlink" Target="https://www.sec.gov/ixviewer/ix.html?doc=/Archives/edgar/data/0001510295/000151029524000015/mpc-20231231.htm" TargetMode="External"/><Relationship Id="rId846" Type="http://schemas.openxmlformats.org/officeDocument/2006/relationships/hyperlink" Target="https://www.sec.gov/ixviewer/ix.html?doc=/Archives/edgar/data/92122/000009212224000009/so-20231231.htm" TargetMode="External"/><Relationship Id="rId603" Type="http://schemas.openxmlformats.org/officeDocument/2006/relationships/hyperlink" Target="https://www.sec.gov/edgar/browse/?CIK=1510295&amp;owner=exclude" TargetMode="External"/><Relationship Id="rId845" Type="http://schemas.openxmlformats.org/officeDocument/2006/relationships/hyperlink" Target="https://www.sec.gov/edgar/browse/?CIK=92122&amp;owner=exclude" TargetMode="External"/><Relationship Id="rId840" Type="http://schemas.openxmlformats.org/officeDocument/2006/relationships/hyperlink" Target="https://www.sec.gov/ixviewer/ix.html?doc=/Archives/edgar/data/89800/000008980024000033/shw-20231231.htm" TargetMode="External"/><Relationship Id="rId839" Type="http://schemas.openxmlformats.org/officeDocument/2006/relationships/hyperlink" Target="https://www.sec.gov/edgar/browse/?CIK=89800" TargetMode="External"/><Relationship Id="rId838" Type="http://schemas.openxmlformats.org/officeDocument/2006/relationships/hyperlink" Target="https://www.wsj.com/market-data/quotes/SHW/financials/annual/income-statement" TargetMode="External"/><Relationship Id="rId833" Type="http://schemas.openxmlformats.org/officeDocument/2006/relationships/hyperlink" Target="https://www.sec.gov/ixviewer/ix.html?doc=/Archives/edgar/data/897723/000089772323000028/sanm-20230930.htm" TargetMode="External"/><Relationship Id="rId832" Type="http://schemas.openxmlformats.org/officeDocument/2006/relationships/hyperlink" Target="https://www.sec.gov/edgar/browse/?CIK=897723&amp;owner=exclude" TargetMode="External"/><Relationship Id="rId831" Type="http://schemas.openxmlformats.org/officeDocument/2006/relationships/hyperlink" Target="https://www.wsj.com/market-data/quotes/SANM/financials/annual/income-statement" TargetMode="External"/><Relationship Id="rId830" Type="http://schemas.openxmlformats.org/officeDocument/2006/relationships/hyperlink" Target="https://www.sec.gov/edgar/browse/?CIK=1108524&amp;owner=exclude" TargetMode="External"/><Relationship Id="rId837" Type="http://schemas.openxmlformats.org/officeDocument/2006/relationships/hyperlink" Target="https://www.sec.gov/edgar/browse/?CIK=1032208&amp;owner=exclude" TargetMode="External"/><Relationship Id="rId836" Type="http://schemas.openxmlformats.org/officeDocument/2006/relationships/hyperlink" Target="https://www.wsj.com/market-data/quotes/SRE/financials/annual/income-statement" TargetMode="External"/><Relationship Id="rId835" Type="http://schemas.openxmlformats.org/officeDocument/2006/relationships/hyperlink" Target="https://www.sec.gov/edgar/browse/?CIK=1571123&amp;owner=exclude" TargetMode="External"/><Relationship Id="rId834" Type="http://schemas.openxmlformats.org/officeDocument/2006/relationships/hyperlink" Target="https://www.wsj.com/market-data/quotes/SAIC/financials/annual/income-statement" TargetMode="External"/><Relationship Id="rId1059" Type="http://schemas.openxmlformats.org/officeDocument/2006/relationships/hyperlink" Target="https://www.sec.gov/ix?doc=/Archives/edgar/data/0000063754/000006375424000027/mkc-20231130.htm" TargetMode="External"/><Relationship Id="rId228" Type="http://schemas.openxmlformats.org/officeDocument/2006/relationships/hyperlink" Target="https://www.sec.gov/ix?doc=/Archives/edgar/data/0000858877/000085887722000013/csco-20220730.htm" TargetMode="External"/><Relationship Id="rId227" Type="http://schemas.openxmlformats.org/officeDocument/2006/relationships/hyperlink" Target="https://www.sec.gov/ixviewer/ix.html?doc=/Archives/edgar/data/858877/000085887723000023/csco-20230729.htm" TargetMode="External"/><Relationship Id="rId469" Type="http://schemas.openxmlformats.org/officeDocument/2006/relationships/hyperlink" Target="https://www.sec.gov/ix?doc=/Archives/edgar/data/0000354950/000035495020000015/hd10k02022020.htm" TargetMode="External"/><Relationship Id="rId226" Type="http://schemas.openxmlformats.org/officeDocument/2006/relationships/hyperlink" Target="https://www.sec.gov/edgar/browse/?CIK=858877&amp;owner=exclude" TargetMode="External"/><Relationship Id="rId468" Type="http://schemas.openxmlformats.org/officeDocument/2006/relationships/hyperlink" Target="https://www.sec.gov/ix?doc=/Archives/edgar/data/0000354950/000035495021000089/hd-20210131.htm" TargetMode="External"/><Relationship Id="rId225" Type="http://schemas.openxmlformats.org/officeDocument/2006/relationships/hyperlink" Target="https://www.wsj.com/market-data/quotes/CSCO/financials/annual/income-statement" TargetMode="External"/><Relationship Id="rId467" Type="http://schemas.openxmlformats.org/officeDocument/2006/relationships/hyperlink" Target="https://www.sec.gov/ix?doc=/Archives/edgar/data/0000354950/000035495022000070/hd-20220130.htm" TargetMode="External"/><Relationship Id="rId229" Type="http://schemas.openxmlformats.org/officeDocument/2006/relationships/hyperlink" Target="https://www.sec.gov/ix?doc=/Archives/edgar/data/0000858877/000085887721000013/csco-20210731.htm" TargetMode="External"/><Relationship Id="rId1050" Type="http://schemas.openxmlformats.org/officeDocument/2006/relationships/hyperlink" Target="https://www.wsj.com/market-data/quotes/FRCB/financials/annual/income-statement" TargetMode="External"/><Relationship Id="rId220" Type="http://schemas.openxmlformats.org/officeDocument/2006/relationships/hyperlink" Target="https://www.sec.gov/ix?doc=/Archives/edgar/data/0001739940/000173994021000007/ci-20201231.htm" TargetMode="External"/><Relationship Id="rId462" Type="http://schemas.openxmlformats.org/officeDocument/2006/relationships/hyperlink" Target="https://www.sec.gov/edgar/browse/?CIK=47111" TargetMode="External"/><Relationship Id="rId1051" Type="http://schemas.openxmlformats.org/officeDocument/2006/relationships/hyperlink" Target="https://www.wsj.com/market-data/quotes/RPM/financials/annual/income-statement" TargetMode="External"/><Relationship Id="rId461" Type="http://schemas.openxmlformats.org/officeDocument/2006/relationships/hyperlink" Target="https://www.wsj.com/market-data/quotes/HSY/financials/annual/income-statement" TargetMode="External"/><Relationship Id="rId1052" Type="http://schemas.openxmlformats.org/officeDocument/2006/relationships/hyperlink" Target="https://www.sec.gov/edgar/browse/?CIK=110621&amp;owner=exclude" TargetMode="External"/><Relationship Id="rId460" Type="http://schemas.openxmlformats.org/officeDocument/2006/relationships/hyperlink" Target="https://www.sec.gov/edgar/browse/?CIK=1000228&amp;owner=exclude" TargetMode="External"/><Relationship Id="rId1053" Type="http://schemas.openxmlformats.org/officeDocument/2006/relationships/hyperlink" Target="https://www.wsj.com/market-data/quotes/TROW/financials/annual/income-statement" TargetMode="External"/><Relationship Id="rId1054" Type="http://schemas.openxmlformats.org/officeDocument/2006/relationships/hyperlink" Target="https://www.sec.gov/edgar/browse/?CIK=1113169&amp;owner=exclude" TargetMode="External"/><Relationship Id="rId224" Type="http://schemas.openxmlformats.org/officeDocument/2006/relationships/hyperlink" Target="https://www.sec.gov/edgar/browse/?CIK=723254&amp;owner=exclude" TargetMode="External"/><Relationship Id="rId466" Type="http://schemas.openxmlformats.org/officeDocument/2006/relationships/hyperlink" Target="https://www.sec.gov/ix?doc=/Archives/edgar/data/0000354950/000035495023000059/hd-20230129.htm" TargetMode="External"/><Relationship Id="rId1055" Type="http://schemas.openxmlformats.org/officeDocument/2006/relationships/hyperlink" Target="https://www.wsj.com/market-data/quotes/MLM/financials/annual/income-statement" TargetMode="External"/><Relationship Id="rId223" Type="http://schemas.openxmlformats.org/officeDocument/2006/relationships/hyperlink" Target="https://www.wsj.com/market-data/quotes/CTAS/financials/annual/income-statement" TargetMode="External"/><Relationship Id="rId465" Type="http://schemas.openxmlformats.org/officeDocument/2006/relationships/hyperlink" Target="https://www.sec.gov/edgar/browse/?CIK=354950&amp;owner=exclude" TargetMode="External"/><Relationship Id="rId1056" Type="http://schemas.openxmlformats.org/officeDocument/2006/relationships/hyperlink" Target="https://www.sec.gov/edgar/browse/?CIK=916076&amp;owner=exclude" TargetMode="External"/><Relationship Id="rId222" Type="http://schemas.openxmlformats.org/officeDocument/2006/relationships/hyperlink" Target="https://www.sec.gov/Archives/edgar/data/0001739940/000104746919000792/a2237767z10-k.htm" TargetMode="External"/><Relationship Id="rId464" Type="http://schemas.openxmlformats.org/officeDocument/2006/relationships/hyperlink" Target="https://www.wsj.com/market-data/quotes/HD/financials/annual/income-statement" TargetMode="External"/><Relationship Id="rId1057" Type="http://schemas.openxmlformats.org/officeDocument/2006/relationships/hyperlink" Target="https://www.wsj.com/market-data/quotes/SFM/financials/annual/income-statement" TargetMode="External"/><Relationship Id="rId221" Type="http://schemas.openxmlformats.org/officeDocument/2006/relationships/hyperlink" Target="https://www.sec.gov/ix?doc=/Archives/edgar/data/0001739940/000173994020000006/ci-20191231.htm" TargetMode="External"/><Relationship Id="rId463" Type="http://schemas.openxmlformats.org/officeDocument/2006/relationships/hyperlink" Target="https://www.sec.gov/ix?doc=/Archives/edgar/data/47111/000004711124000009/hsy-20231231.htm" TargetMode="External"/><Relationship Id="rId1058" Type="http://schemas.openxmlformats.org/officeDocument/2006/relationships/hyperlink" Target="https://www.wsj.com/market-data/quotes/MKC/financials/annual/income-statement" TargetMode="External"/><Relationship Id="rId1048" Type="http://schemas.openxmlformats.org/officeDocument/2006/relationships/hyperlink" Target="https://www.sec.gov/edgar/browse/?CIK=1041061&amp;owner=exclude" TargetMode="External"/><Relationship Id="rId1049" Type="http://schemas.openxmlformats.org/officeDocument/2006/relationships/hyperlink" Target="https://www.sec.gov/ixviewer/ix.html?doc=/Archives/edgar/data/1041061/000104106124000011/yum-20231231.htm" TargetMode="External"/><Relationship Id="rId217" Type="http://schemas.openxmlformats.org/officeDocument/2006/relationships/hyperlink" Target="https://www.sec.gov/ix?doc=/Archives/edgar/data/0001739940/000173994024000005/ci-20231231.htm" TargetMode="External"/><Relationship Id="rId459" Type="http://schemas.openxmlformats.org/officeDocument/2006/relationships/hyperlink" Target="https://www.wsj.com/market-data/quotes/HSIC/financials/annual/income-statement" TargetMode="External"/><Relationship Id="rId216" Type="http://schemas.openxmlformats.org/officeDocument/2006/relationships/hyperlink" Target="https://www.sec.gov/edgar/browse/?CIK=1739940&amp;owner=exclude" TargetMode="External"/><Relationship Id="rId458" Type="http://schemas.openxmlformats.org/officeDocument/2006/relationships/hyperlink" Target="https://www.sec.gov/ix?doc=/Archives/edgar/data/0000860730/000119312521048994/d37951d10k.htm" TargetMode="External"/><Relationship Id="rId215" Type="http://schemas.openxmlformats.org/officeDocument/2006/relationships/hyperlink" Target="https://www.wsj.com/market-data/quotes/CI/financials/annual/income-statement" TargetMode="External"/><Relationship Id="rId457" Type="http://schemas.openxmlformats.org/officeDocument/2006/relationships/hyperlink" Target="https://www.sec.gov/ix?doc=/Archives/edgar/data/0000860730/000119312522046707/d32297d10k.htm" TargetMode="External"/><Relationship Id="rId699" Type="http://schemas.openxmlformats.org/officeDocument/2006/relationships/hyperlink" Target="https://www.sec.gov/edgar/browse/?CIK=73309&amp;owner=exclude" TargetMode="External"/><Relationship Id="rId214" Type="http://schemas.openxmlformats.org/officeDocument/2006/relationships/hyperlink" Target="https://www.sec.gov/ixviewer/ix.html?doc=/Archives/edgar/data/1058090/000156276224000023/cmg-20231231x10k.htm" TargetMode="External"/><Relationship Id="rId456" Type="http://schemas.openxmlformats.org/officeDocument/2006/relationships/hyperlink" Target="https://www.sec.gov/ix?doc=/Archives/edgar/data/0000860730/000095017023003234/hca-20221231.htm" TargetMode="External"/><Relationship Id="rId698" Type="http://schemas.openxmlformats.org/officeDocument/2006/relationships/hyperlink" Target="https://www.wsj.com/market-data/quotes/NUE/financials/annual/income-statement" TargetMode="External"/><Relationship Id="rId219" Type="http://schemas.openxmlformats.org/officeDocument/2006/relationships/hyperlink" Target="https://www.sec.gov/ix?doc=/Archives/edgar/data/0001739940/000173994022000007/ci-20211231.htm" TargetMode="External"/><Relationship Id="rId218" Type="http://schemas.openxmlformats.org/officeDocument/2006/relationships/hyperlink" Target="https://www.sec.gov/ix?doc=/Archives/edgar/data/0001739940/000173994023000008/ci-20221231.htm" TargetMode="External"/><Relationship Id="rId451" Type="http://schemas.openxmlformats.org/officeDocument/2006/relationships/hyperlink" Target="https://www.sec.gov/edgar/browse/?CIK=874766&amp;owner=exclude" TargetMode="External"/><Relationship Id="rId693" Type="http://schemas.openxmlformats.org/officeDocument/2006/relationships/hyperlink" Target="https://www.sec.gov/ix?doc=/Archives/edgar/data/0001133421/000113342122000004/noc-20211231.htm" TargetMode="External"/><Relationship Id="rId1040" Type="http://schemas.openxmlformats.org/officeDocument/2006/relationships/hyperlink" Target="https://www.wsj.com/market-data/quotes/FAST/financials/annual/income-statement" TargetMode="External"/><Relationship Id="rId450" Type="http://schemas.openxmlformats.org/officeDocument/2006/relationships/hyperlink" Target="https://www.wsj.com/market-data/quotes/HIG/financials/annual/income-statement" TargetMode="External"/><Relationship Id="rId692" Type="http://schemas.openxmlformats.org/officeDocument/2006/relationships/hyperlink" Target="https://www.sec.gov/ix?doc=/Archives/edgar/data/0001133421/000113342123000006/noc-20221231.htm" TargetMode="External"/><Relationship Id="rId1041" Type="http://schemas.openxmlformats.org/officeDocument/2006/relationships/hyperlink" Target="https://www.sec.gov/edgar/browse/?CIK=815556" TargetMode="External"/><Relationship Id="rId691" Type="http://schemas.openxmlformats.org/officeDocument/2006/relationships/hyperlink" Target="https://www.sec.gov/ix?doc=/Archives/edgar/data/0001133421/000113342124000006/noc-20231231.htm" TargetMode="External"/><Relationship Id="rId1042" Type="http://schemas.openxmlformats.org/officeDocument/2006/relationships/hyperlink" Target="https://www.sec.gov/ixviewer/ix.html?doc=/Archives/edgar/data/815556/000081555624000009/fast-20231231.htm" TargetMode="External"/><Relationship Id="rId690" Type="http://schemas.openxmlformats.org/officeDocument/2006/relationships/hyperlink" Target="https://www.sec.gov/edgar/browse/?CIK=1133421&amp;owner=exclude" TargetMode="External"/><Relationship Id="rId1043" Type="http://schemas.openxmlformats.org/officeDocument/2006/relationships/hyperlink" Target="https://www.wsj.com/market-data/quotes/MDU/financials/annual/income-statement" TargetMode="External"/><Relationship Id="rId213" Type="http://schemas.openxmlformats.org/officeDocument/2006/relationships/hyperlink" Target="https://www.sec.gov/edgar/browse/?CIK=1058090" TargetMode="External"/><Relationship Id="rId455" Type="http://schemas.openxmlformats.org/officeDocument/2006/relationships/hyperlink" Target="https://www.sec.gov/ixviewer/ix.html?doc=/Archives/edgar/data/0000860730/000095017024016524/hca-20231231.htm" TargetMode="External"/><Relationship Id="rId697" Type="http://schemas.openxmlformats.org/officeDocument/2006/relationships/hyperlink" Target="https://www.sec.gov/ixviewer/ix.html?doc=/Archives/edgar/data/0001013871/000101387124000005/nrg-20231231.htm" TargetMode="External"/><Relationship Id="rId1044" Type="http://schemas.openxmlformats.org/officeDocument/2006/relationships/hyperlink" Target="https://www.sec.gov/edgar/browse/?CIK=67716&amp;owner=exclude" TargetMode="External"/><Relationship Id="rId212" Type="http://schemas.openxmlformats.org/officeDocument/2006/relationships/hyperlink" Target="https://www.wsj.com/market-data/quotes/CMG/financials/annual/income-statement" TargetMode="External"/><Relationship Id="rId454" Type="http://schemas.openxmlformats.org/officeDocument/2006/relationships/hyperlink" Target="https://www.sec.gov/edgar/browse/?CIK=860730&amp;owner=exclude" TargetMode="External"/><Relationship Id="rId696" Type="http://schemas.openxmlformats.org/officeDocument/2006/relationships/hyperlink" Target="https://www.sec.gov/edgar/browse/?CIK=1013871&amp;owner=exclude" TargetMode="External"/><Relationship Id="rId1045" Type="http://schemas.openxmlformats.org/officeDocument/2006/relationships/hyperlink" Target="https://www.wsj.com/market-data/quotes/A/financials/annual/income-statement" TargetMode="External"/><Relationship Id="rId211" Type="http://schemas.openxmlformats.org/officeDocument/2006/relationships/hyperlink" Target="https://www.sec.gov/Archives/edgar/data/0000093410/000009341019000008/cvx12312018-10kdoc.htm" TargetMode="External"/><Relationship Id="rId453" Type="http://schemas.openxmlformats.org/officeDocument/2006/relationships/hyperlink" Target="https://www.wsj.com/market-data/quotes/HCA/financials/annual/income-statement" TargetMode="External"/><Relationship Id="rId695" Type="http://schemas.openxmlformats.org/officeDocument/2006/relationships/hyperlink" Target="https://www.wsj.com/market-data/quotes/NRG/financials/annual/income-statement" TargetMode="External"/><Relationship Id="rId1046" Type="http://schemas.openxmlformats.org/officeDocument/2006/relationships/hyperlink" Target="https://www.sec.gov/edgar/browse/?CIK=1090872&amp;owner=exclude" TargetMode="External"/><Relationship Id="rId210" Type="http://schemas.openxmlformats.org/officeDocument/2006/relationships/hyperlink" Target="https://www.sec.gov/ix?doc=/Archives/edgar/data/0000093410/000009341020000010/cvx12312019-10kdoc.htm" TargetMode="External"/><Relationship Id="rId452" Type="http://schemas.openxmlformats.org/officeDocument/2006/relationships/hyperlink" Target="https://www.sec.gov/ix?doc=/Archives/edgar/data/874766/000087476624000016/hig-20231231.htm" TargetMode="External"/><Relationship Id="rId694" Type="http://schemas.openxmlformats.org/officeDocument/2006/relationships/hyperlink" Target="https://www.sec.gov/ix?doc=/Archives/edgar/data/0001133421/000113342121000006/noc-20201231.htm" TargetMode="External"/><Relationship Id="rId1047" Type="http://schemas.openxmlformats.org/officeDocument/2006/relationships/hyperlink" Target="https://www.wsj.com/market-data/quotes/YUM/financials/annual/income-statement" TargetMode="External"/><Relationship Id="rId491" Type="http://schemas.openxmlformats.org/officeDocument/2006/relationships/hyperlink" Target="https://www.sec.gov/ix?doc=/Archives/edgar/data/0000049071/000004907120000032/hum-20191231x10k.htm" TargetMode="External"/><Relationship Id="rId490" Type="http://schemas.openxmlformats.org/officeDocument/2006/relationships/hyperlink" Target="https://www.sec.gov/ix?doc=/Archives/edgar/data/0000049071/000004907121000039/hum-20201231.htm" TargetMode="External"/><Relationship Id="rId249" Type="http://schemas.openxmlformats.org/officeDocument/2006/relationships/hyperlink" Target="https://www.wsj.com/market-data/quotes/KO/financials/annual/income-statement" TargetMode="External"/><Relationship Id="rId248" Type="http://schemas.openxmlformats.org/officeDocument/2006/relationships/hyperlink" Target="https://www.sec.gov/edgar/browse/?CIK=811156&amp;owner=exclude" TargetMode="External"/><Relationship Id="rId247" Type="http://schemas.openxmlformats.org/officeDocument/2006/relationships/hyperlink" Target="https://www.wsj.com/market-data/quotes/CMS/financials/annual/income-statement" TargetMode="External"/><Relationship Id="rId489" Type="http://schemas.openxmlformats.org/officeDocument/2006/relationships/hyperlink" Target="https://www.sec.gov/ix?doc=/Archives/edgar/data/0000049071/000004907122000017/hum-20211231.htm" TargetMode="External"/><Relationship Id="rId1070" Type="http://schemas.openxmlformats.org/officeDocument/2006/relationships/hyperlink" Target="https://www.wsj.com/market-data/quotes/AME/financials/annual/income-statement" TargetMode="External"/><Relationship Id="rId1071" Type="http://schemas.openxmlformats.org/officeDocument/2006/relationships/hyperlink" Target="https://www.wsj.com/market-data/quotes/VOYA/financials/annual/income-statement" TargetMode="External"/><Relationship Id="rId1072" Type="http://schemas.openxmlformats.org/officeDocument/2006/relationships/hyperlink" Target="https://www.sec.gov/edgar/browse/?CIK=1535929&amp;owner=exclude" TargetMode="External"/><Relationship Id="rId242" Type="http://schemas.openxmlformats.org/officeDocument/2006/relationships/hyperlink" Target="https://www.sec.gov/edgar/browse/?CIK=759944&amp;owner=exclude" TargetMode="External"/><Relationship Id="rId484" Type="http://schemas.openxmlformats.org/officeDocument/2006/relationships/hyperlink" Target="https://www.sec.gov/ix?doc=/Archives/edgar/data/0000047217/000004721720000045/hpq-20201031.htm" TargetMode="External"/><Relationship Id="rId1073" Type="http://schemas.openxmlformats.org/officeDocument/2006/relationships/hyperlink" Target="https://www.wsj.com/market-data/quotes/EVRG/financials/annual/income-statement" TargetMode="External"/><Relationship Id="rId241" Type="http://schemas.openxmlformats.org/officeDocument/2006/relationships/hyperlink" Target="https://www.wsj.com/market-data/quotes/CFG/financials/annual/income-statement" TargetMode="External"/><Relationship Id="rId483" Type="http://schemas.openxmlformats.org/officeDocument/2006/relationships/hyperlink" Target="https://www.sec.gov/ix?doc=/Archives/edgar/data/0000047217/000004721721000060/hpq-20211031.htm" TargetMode="External"/><Relationship Id="rId1074" Type="http://schemas.openxmlformats.org/officeDocument/2006/relationships/hyperlink" Target="https://www.sec.gov/edgar/browse/?CIK=1711269&amp;owner=exclude" TargetMode="External"/><Relationship Id="rId240" Type="http://schemas.openxmlformats.org/officeDocument/2006/relationships/hyperlink" Target="https://www.citigroup.com/rcs/citigpa/storage/public/q1804c.pdf" TargetMode="External"/><Relationship Id="rId482" Type="http://schemas.openxmlformats.org/officeDocument/2006/relationships/hyperlink" Target="https://www.sec.gov/ix?doc=/Archives/edgar/data/0000047217/000004721723000075/hpq-20221031.htm" TargetMode="External"/><Relationship Id="rId1075" Type="http://schemas.openxmlformats.org/officeDocument/2006/relationships/hyperlink" Target="https://www.wsj.com/market-data/quotes/FTV/financials/annual/income-statement" TargetMode="External"/><Relationship Id="rId481" Type="http://schemas.openxmlformats.org/officeDocument/2006/relationships/hyperlink" Target="https://www.sec.gov/edgar/browse/?CIK=47217&amp;owner=exclude" TargetMode="External"/><Relationship Id="rId1076" Type="http://schemas.openxmlformats.org/officeDocument/2006/relationships/hyperlink" Target="https://www.wsj.com/market-data/quotes/BR/financials/annual/income-statement" TargetMode="External"/><Relationship Id="rId246" Type="http://schemas.openxmlformats.org/officeDocument/2006/relationships/hyperlink" Target="https://www.sec.gov/ix?doc=/Archives/edgar/data/764065/000076406524000038/clf-20231231.htm" TargetMode="External"/><Relationship Id="rId488" Type="http://schemas.openxmlformats.org/officeDocument/2006/relationships/hyperlink" Target="https://www.sec.gov/ix?doc=/Archives/edgar/data/0000049071/000004907123000011/hum-20221231.htm" TargetMode="External"/><Relationship Id="rId1077" Type="http://schemas.openxmlformats.org/officeDocument/2006/relationships/hyperlink" Target="https://www.sec.gov/edgar/browse/?CIK=1383312&amp;owner=exclude" TargetMode="External"/><Relationship Id="rId245" Type="http://schemas.openxmlformats.org/officeDocument/2006/relationships/hyperlink" Target="https://www.sec.gov/edgar/browse/?CIK=764065&amp;owner=exclude" TargetMode="External"/><Relationship Id="rId487" Type="http://schemas.openxmlformats.org/officeDocument/2006/relationships/hyperlink" Target="https://www.sec.gov/ixviewer/ix.html?doc=/Archives/edgar/data/49071/000004907124000012/hum-20231231.htm" TargetMode="External"/><Relationship Id="rId1078" Type="http://schemas.openxmlformats.org/officeDocument/2006/relationships/hyperlink" Target="https://www.wsj.com/market-data/quotes/HWM/financials/annual/income-statement" TargetMode="External"/><Relationship Id="rId244" Type="http://schemas.openxmlformats.org/officeDocument/2006/relationships/hyperlink" Target="https://www.wsj.com/market-data/quotes/CLF/financials/annual/income-statement" TargetMode="External"/><Relationship Id="rId486" Type="http://schemas.openxmlformats.org/officeDocument/2006/relationships/hyperlink" Target="https://www.sec.gov/edgar/browse/?CIK=49071&amp;owner=exclude" TargetMode="External"/><Relationship Id="rId1079" Type="http://schemas.openxmlformats.org/officeDocument/2006/relationships/hyperlink" Target="https://www.wsj.com/market-data/quotes/SEE/financials/annual/income-statement" TargetMode="External"/><Relationship Id="rId243" Type="http://schemas.openxmlformats.org/officeDocument/2006/relationships/hyperlink" Target="https://www.sec.gov/ixviewer/ix.html?doc=/Archives/edgar/data/759944/000075994424000039/cfg-20231231.htm" TargetMode="External"/><Relationship Id="rId485" Type="http://schemas.openxmlformats.org/officeDocument/2006/relationships/hyperlink" Target="https://www.wsj.com/market-data/quotes/HUM/financials/annual/income-statement" TargetMode="External"/><Relationship Id="rId480" Type="http://schemas.openxmlformats.org/officeDocument/2006/relationships/hyperlink" Target="https://www.wsj.com/market-data/quotes/HPQ/financials/annual/income-statement" TargetMode="External"/><Relationship Id="rId239" Type="http://schemas.openxmlformats.org/officeDocument/2006/relationships/hyperlink" Target="https://www.citigroup.com/rcs/citigpa/storage/public/q1904c.pdf" TargetMode="External"/><Relationship Id="rId238" Type="http://schemas.openxmlformats.org/officeDocument/2006/relationships/hyperlink" Target="https://www.citigroup.com/rcs/citigpa/storage/public/q2004c.pdf" TargetMode="External"/><Relationship Id="rId237" Type="http://schemas.openxmlformats.org/officeDocument/2006/relationships/hyperlink" Target="https://docs.londonstockexchange.com/sites/default/files/documents/Citigroup%20Inc.%202021%20Form%2010-K.pdf" TargetMode="External"/><Relationship Id="rId479" Type="http://schemas.openxmlformats.org/officeDocument/2006/relationships/hyperlink" Target="https://www.sec.gov/ixviewer/ix.html?doc=/Archives/edgar/data/48465/000004846523000083/hrl-20231029.htm" TargetMode="External"/><Relationship Id="rId236" Type="http://schemas.openxmlformats.org/officeDocument/2006/relationships/hyperlink" Target="https://www.sec.gov/ix?doc=/Archives/edgar/data/0000831001/000083100123000037/c-20221231.htm" TargetMode="External"/><Relationship Id="rId478" Type="http://schemas.openxmlformats.org/officeDocument/2006/relationships/hyperlink" Target="https://www.sec.gov/edgar/browse/?CIK=48465&amp;owner=exclude" TargetMode="External"/><Relationship Id="rId1060" Type="http://schemas.openxmlformats.org/officeDocument/2006/relationships/hyperlink" Target="https://www.wsj.com/market-data/quotes/SEM/financials/annual/income-statement" TargetMode="External"/><Relationship Id="rId1061" Type="http://schemas.openxmlformats.org/officeDocument/2006/relationships/hyperlink" Target="https://www.wsj.com/market-data/quotes/NTAP/financials/annual/income-statement" TargetMode="External"/><Relationship Id="rId231" Type="http://schemas.openxmlformats.org/officeDocument/2006/relationships/hyperlink" Target="https://www.sec.gov/Archives/edgar/data/0000858877/000085887719000012/csco-2019727x10k.htm" TargetMode="External"/><Relationship Id="rId473" Type="http://schemas.openxmlformats.org/officeDocument/2006/relationships/hyperlink" Target="https://www.sec.gov/ix?doc=/Archives/edgar/data/773840/000077384024000014/hon-20231231.htm" TargetMode="External"/><Relationship Id="rId1062" Type="http://schemas.openxmlformats.org/officeDocument/2006/relationships/hyperlink" Target="https://www.sec.gov/edgar/browse/?CIK=1002047&amp;owner=exclude" TargetMode="External"/><Relationship Id="rId230" Type="http://schemas.openxmlformats.org/officeDocument/2006/relationships/hyperlink" Target="https://www.sec.gov/ix?doc=/Archives/edgar/data/0000858877/000085887720000010/csco-2020725x10k.htm" TargetMode="External"/><Relationship Id="rId472" Type="http://schemas.openxmlformats.org/officeDocument/2006/relationships/hyperlink" Target="https://www.sec.gov/edgar/browse/?CIK=773840&amp;owner=exclude" TargetMode="External"/><Relationship Id="rId1063" Type="http://schemas.openxmlformats.org/officeDocument/2006/relationships/hyperlink" Target="https://www.wsj.com/market-data/quotes/MNST/financials/annual/income-statement" TargetMode="External"/><Relationship Id="rId471" Type="http://schemas.openxmlformats.org/officeDocument/2006/relationships/hyperlink" Target="https://www.wsj.com/market-data/quotes/HON/financials/annual/income-statement" TargetMode="External"/><Relationship Id="rId1064" Type="http://schemas.openxmlformats.org/officeDocument/2006/relationships/hyperlink" Target="https://www.wsj.com/market-data/quotes/ODFL/financials/annual/income-statement" TargetMode="External"/><Relationship Id="rId470" Type="http://schemas.openxmlformats.org/officeDocument/2006/relationships/hyperlink" Target="https://www.sec.gov/Archives/edgar/data/0000354950/000035495019000010/hd_10kx02032019.htm" TargetMode="External"/><Relationship Id="rId1065" Type="http://schemas.openxmlformats.org/officeDocument/2006/relationships/hyperlink" Target="https://www.wsj.com/market-data/quotes/NDAQ/financials/annual/income-statement" TargetMode="External"/><Relationship Id="rId235" Type="http://schemas.openxmlformats.org/officeDocument/2006/relationships/hyperlink" Target="https://www.citigroup.com/rcs/citigpa/storage/public/10k20231231.pdf" TargetMode="External"/><Relationship Id="rId477" Type="http://schemas.openxmlformats.org/officeDocument/2006/relationships/hyperlink" Target="https://www.wsj.com/market-data/quotes/HRL/financials/annual/income-statement" TargetMode="External"/><Relationship Id="rId1066" Type="http://schemas.openxmlformats.org/officeDocument/2006/relationships/hyperlink" Target="https://www.sec.gov/edgar/browse/?CIK=1120193&amp;owner=exclude" TargetMode="External"/><Relationship Id="rId234" Type="http://schemas.openxmlformats.org/officeDocument/2006/relationships/hyperlink" Target="https://www.citigroup.com/global/investors/sec-filings" TargetMode="External"/><Relationship Id="rId476" Type="http://schemas.openxmlformats.org/officeDocument/2006/relationships/hyperlink" Target="https://www.sec.gov/ix?doc=/Archives/edgar/data/0000773840/000077384021000015/hon-20201231.htm" TargetMode="External"/><Relationship Id="rId1067" Type="http://schemas.openxmlformats.org/officeDocument/2006/relationships/hyperlink" Target="https://www.wsj.com/market-data/quotes/ISRG/financials/annual/income-statement" TargetMode="External"/><Relationship Id="rId233" Type="http://schemas.openxmlformats.org/officeDocument/2006/relationships/hyperlink" Target="https://www.wsj.com/market-data/quotes/C/financials/annual/income-statement" TargetMode="External"/><Relationship Id="rId475" Type="http://schemas.openxmlformats.org/officeDocument/2006/relationships/hyperlink" Target="https://www.sec.gov/ix?doc=/Archives/edgar/data/0000773840/000077384022000018/hon-20211231.htm" TargetMode="External"/><Relationship Id="rId1068" Type="http://schemas.openxmlformats.org/officeDocument/2006/relationships/hyperlink" Target="https://www.wsj.com/market-data/quotes/CACI/financials/annual/income-statement" TargetMode="External"/><Relationship Id="rId232" Type="http://schemas.openxmlformats.org/officeDocument/2006/relationships/hyperlink" Target="https://www.sec.gov/Archives/edgar/data/0000858877/000085887718000011/csco-2018728x10k.htm" TargetMode="External"/><Relationship Id="rId474" Type="http://schemas.openxmlformats.org/officeDocument/2006/relationships/hyperlink" Target="https://www.sec.gov/ix?doc=/Archives/edgar/data/0000773840/000077384023000013/hon-20221231.htm" TargetMode="External"/><Relationship Id="rId1069" Type="http://schemas.openxmlformats.org/officeDocument/2006/relationships/hyperlink" Target="https://www.wsj.com/market-data/quotes/POOL/financials/annual/income-statement" TargetMode="External"/><Relationship Id="rId1015" Type="http://schemas.openxmlformats.org/officeDocument/2006/relationships/hyperlink" Target="https://www.sec.gov/ixviewer/ix.html?doc=/Archives/edgar/data/1732845/000095017023064855/wrk-20230930.htm" TargetMode="External"/><Relationship Id="rId1016" Type="http://schemas.openxmlformats.org/officeDocument/2006/relationships/hyperlink" Target="https://www.wsj.com/market-data/quotes/WHR/financials/annual/income-statement" TargetMode="External"/><Relationship Id="rId1017" Type="http://schemas.openxmlformats.org/officeDocument/2006/relationships/hyperlink" Target="https://www.sec.gov/edgar/browse/?CIK=106640" TargetMode="External"/><Relationship Id="rId1018" Type="http://schemas.openxmlformats.org/officeDocument/2006/relationships/hyperlink" Target="https://www.sec.gov/ixviewer/ix.html?doc=/Archives/edgar/data/106640/000010664024000020/whr-20231231.htm" TargetMode="External"/><Relationship Id="rId1019" Type="http://schemas.openxmlformats.org/officeDocument/2006/relationships/hyperlink" Target="https://www.wsj.com/market-data/quotes/WMB/financials/annual/income-statement" TargetMode="External"/><Relationship Id="rId426" Type="http://schemas.openxmlformats.org/officeDocument/2006/relationships/hyperlink" Target="https://www.sec.gov/ixviewer/ix.html?doc=/Archives/edgar/data/40533/000004053324000007/gd-20231231.htm" TargetMode="External"/><Relationship Id="rId668" Type="http://schemas.openxmlformats.org/officeDocument/2006/relationships/hyperlink" Target="https://www.sec.gov/ix?doc=/Archives/edgar/data/68505/000006850524000008/msi-20231231.htm" TargetMode="External"/><Relationship Id="rId425" Type="http://schemas.openxmlformats.org/officeDocument/2006/relationships/hyperlink" Target="https://www.sec.gov/edgar/browse/?CIK=40533&amp;owner=exclude" TargetMode="External"/><Relationship Id="rId667" Type="http://schemas.openxmlformats.org/officeDocument/2006/relationships/hyperlink" Target="https://www.sec.gov/edgar/browse/?CIK=68505&amp;owner=exclude" TargetMode="External"/><Relationship Id="rId424" Type="http://schemas.openxmlformats.org/officeDocument/2006/relationships/hyperlink" Target="https://www.wsj.com/market-data/quotes/GD/financials/annual/income-statement" TargetMode="External"/><Relationship Id="rId666" Type="http://schemas.openxmlformats.org/officeDocument/2006/relationships/hyperlink" Target="https://www.wsj.com/market-data/quotes/MSI/financials/annual/income-statement" TargetMode="External"/><Relationship Id="rId423" Type="http://schemas.openxmlformats.org/officeDocument/2006/relationships/hyperlink" Target="https://www.sec.gov/ix?doc=/Archives/edgar/data/38777/000003877723000169/ben-20230930.htm" TargetMode="External"/><Relationship Id="rId665" Type="http://schemas.openxmlformats.org/officeDocument/2006/relationships/hyperlink" Target="https://www.morganstanley.com/about-us-ir/shareholder/10k2020/10k1220.pdf" TargetMode="External"/><Relationship Id="rId429" Type="http://schemas.openxmlformats.org/officeDocument/2006/relationships/hyperlink" Target="https://www.sec.gov/ix?doc=/Archives/edgar/data/0000040533/000004053321000010/gd-20201231.htm" TargetMode="External"/><Relationship Id="rId428" Type="http://schemas.openxmlformats.org/officeDocument/2006/relationships/hyperlink" Target="https://www.sec.gov/ix?doc=/Archives/edgar/data/0000040533/000004053322000007/gd-20211231.htm" TargetMode="External"/><Relationship Id="rId427" Type="http://schemas.openxmlformats.org/officeDocument/2006/relationships/hyperlink" Target="https://www.sec.gov/ix?doc=/Archives/edgar/data/0000040533/000004053323000014/gd-20221231.htm" TargetMode="External"/><Relationship Id="rId669" Type="http://schemas.openxmlformats.org/officeDocument/2006/relationships/hyperlink" Target="https://www.wsj.com/market-data/quotes/NFLX/financials/annual/income-statement" TargetMode="External"/><Relationship Id="rId660" Type="http://schemas.openxmlformats.org/officeDocument/2006/relationships/hyperlink" Target="https://www.wsj.com/market-data/quotes/MS/financials/annual/income-statement" TargetMode="External"/><Relationship Id="rId1010" Type="http://schemas.openxmlformats.org/officeDocument/2006/relationships/hyperlink" Target="https://www.sec.gov/ixviewer/ix.html?doc=/Archives/edgar/data/0000943452/000162828024004774/wab-20231231.htm" TargetMode="External"/><Relationship Id="rId422" Type="http://schemas.openxmlformats.org/officeDocument/2006/relationships/hyperlink" Target="https://www.sec.gov/edgar/browse/?CIK=38777&amp;owner=exclude" TargetMode="External"/><Relationship Id="rId664" Type="http://schemas.openxmlformats.org/officeDocument/2006/relationships/hyperlink" Target="https://www.morganstanley.com/content/dam/msdotcom/en/about-us-ir/shareholder/10k2021/10k1221.pdf" TargetMode="External"/><Relationship Id="rId1011" Type="http://schemas.openxmlformats.org/officeDocument/2006/relationships/hyperlink" Target="https://www.wsj.com/market-data/quotes/WLK/financials/annual/income-statement" TargetMode="External"/><Relationship Id="rId421" Type="http://schemas.openxmlformats.org/officeDocument/2006/relationships/hyperlink" Target="https://www.wsj.com/market-data/quotes/BEN/financials/annual/income-statement" TargetMode="External"/><Relationship Id="rId663" Type="http://schemas.openxmlformats.org/officeDocument/2006/relationships/hyperlink" Target="https://www.sec.gov/ix?doc=/Archives/edgar/data/0000895421/000089542123000284/ms-20221231.htm" TargetMode="External"/><Relationship Id="rId1012" Type="http://schemas.openxmlformats.org/officeDocument/2006/relationships/hyperlink" Target="https://www.sec.gov/edgar/browse/?CIK=1604665&amp;owner=exclude" TargetMode="External"/><Relationship Id="rId420" Type="http://schemas.openxmlformats.org/officeDocument/2006/relationships/hyperlink" Target="https://www.sec.gov/edgar/browse/?CIK=1754301&amp;owner=exclude" TargetMode="External"/><Relationship Id="rId662" Type="http://schemas.openxmlformats.org/officeDocument/2006/relationships/hyperlink" Target="https://www.morganstanley.com/content/dam/msdotcom/en/about-us-ir/shareholder/10k2023/10k1223.pdf" TargetMode="External"/><Relationship Id="rId1013" Type="http://schemas.openxmlformats.org/officeDocument/2006/relationships/hyperlink" Target="https://www.wsj.com/market-data/quotes/WRK/financials/annual/income-statement" TargetMode="External"/><Relationship Id="rId661" Type="http://schemas.openxmlformats.org/officeDocument/2006/relationships/hyperlink" Target="https://www.morganstanley.com/about-us-ir/sec-filings" TargetMode="External"/><Relationship Id="rId1014" Type="http://schemas.openxmlformats.org/officeDocument/2006/relationships/hyperlink" Target="https://www.sec.gov/edgar/browse/?CIK=1732845&amp;owner=exclude" TargetMode="External"/><Relationship Id="rId1004" Type="http://schemas.openxmlformats.org/officeDocument/2006/relationships/hyperlink" Target="https://www.sec.gov/ixviewer/ix.html?doc=/Archives/edgar/data/823768/000155837024001049/wm-20231231x10k.htm" TargetMode="External"/><Relationship Id="rId1005" Type="http://schemas.openxmlformats.org/officeDocument/2006/relationships/hyperlink" Target="https://www.wsj.com/market-data/quotes/WCC/financials/annual/income-statement" TargetMode="External"/><Relationship Id="rId1006" Type="http://schemas.openxmlformats.org/officeDocument/2006/relationships/hyperlink" Target="https://www.sec.gov/edgar/browse/?CIK=929008&amp;owner=exclude" TargetMode="External"/><Relationship Id="rId1007" Type="http://schemas.openxmlformats.org/officeDocument/2006/relationships/hyperlink" Target="https://www.sec.gov/ixviewer/ix.html?doc=/Archives/edgar/data/929008/000092900824000005/wcc-20231231.htm" TargetMode="External"/><Relationship Id="rId1008" Type="http://schemas.openxmlformats.org/officeDocument/2006/relationships/hyperlink" Target="https://www.wsj.com/market-data/quotes/WAB/financials/annual/income-statement" TargetMode="External"/><Relationship Id="rId1009" Type="http://schemas.openxmlformats.org/officeDocument/2006/relationships/hyperlink" Target="https://www.sec.gov/edgar/browse/?CIK=943452&amp;owner=exclude" TargetMode="External"/><Relationship Id="rId415" Type="http://schemas.openxmlformats.org/officeDocument/2006/relationships/hyperlink" Target="https://www.sec.gov/ix?doc=/Archives/edgar/data/0000037996/000003799620000010/f1231201910-k.htm" TargetMode="External"/><Relationship Id="rId657" Type="http://schemas.openxmlformats.org/officeDocument/2006/relationships/hyperlink" Target="https://www.wsj.com/market-data/quotes/TAP/financials/annual/income-statement" TargetMode="External"/><Relationship Id="rId899" Type="http://schemas.openxmlformats.org/officeDocument/2006/relationships/hyperlink" Target="https://www.sec.gov/ixviewer/ix.html?doc=/Archives/edgar/data/0000097745/000009774524000007/tmo-20231231.htm" TargetMode="External"/><Relationship Id="rId414" Type="http://schemas.openxmlformats.org/officeDocument/2006/relationships/hyperlink" Target="https://www.sec.gov/ix?doc=/Archives/edgar/data/0000037996/000003799621000012/f-20201231.htm" TargetMode="External"/><Relationship Id="rId656" Type="http://schemas.openxmlformats.org/officeDocument/2006/relationships/hyperlink" Target="https://www.sec.gov/ix?doc=/Archives/edgar/data/0001179929/000117992924000033/moh-20231231.htm" TargetMode="External"/><Relationship Id="rId898" Type="http://schemas.openxmlformats.org/officeDocument/2006/relationships/hyperlink" Target="https://www.sec.gov/edgar/browse/?CIK=97745&amp;owner=exclude" TargetMode="External"/><Relationship Id="rId413" Type="http://schemas.openxmlformats.org/officeDocument/2006/relationships/hyperlink" Target="https://www.sec.gov/ix?doc=/Archives/edgar/data/0000037996/000003799622000013/f-20211231.htm" TargetMode="External"/><Relationship Id="rId655" Type="http://schemas.openxmlformats.org/officeDocument/2006/relationships/hyperlink" Target="https://www.sec.gov/edgar/browse/?CIK=1179929&amp;owner=exclude" TargetMode="External"/><Relationship Id="rId897" Type="http://schemas.openxmlformats.org/officeDocument/2006/relationships/hyperlink" Target="https://www.wsj.com/market-data/quotes/TMO/financials/annual/income-statement" TargetMode="External"/><Relationship Id="rId412" Type="http://schemas.openxmlformats.org/officeDocument/2006/relationships/hyperlink" Target="https://www.sec.gov/ix?doc=/Archives/edgar/data/37996/000003799623000012/f-20221231.htm" TargetMode="External"/><Relationship Id="rId654" Type="http://schemas.openxmlformats.org/officeDocument/2006/relationships/hyperlink" Target="https://www.wsj.com/market-data/quotes/MOH/financials/annual/income-statement" TargetMode="External"/><Relationship Id="rId896" Type="http://schemas.openxmlformats.org/officeDocument/2006/relationships/hyperlink" Target="https://www.sec.gov/ixviewer/ix.html?doc=/Archives/edgar/data/217346/000021734624000017/txt-20231230.htm" TargetMode="External"/><Relationship Id="rId419" Type="http://schemas.openxmlformats.org/officeDocument/2006/relationships/hyperlink" Target="https://www.wsj.com/market-data/quotes/FOXA/financials/annual/income-statement" TargetMode="External"/><Relationship Id="rId418" Type="http://schemas.openxmlformats.org/officeDocument/2006/relationships/hyperlink" Target="https://www.sec.gov/edgar/browse/?CIK=1519751&amp;owner=exclude" TargetMode="External"/><Relationship Id="rId417" Type="http://schemas.openxmlformats.org/officeDocument/2006/relationships/hyperlink" Target="https://www.wsj.com/market-data/quotes/FBIN/financials/annual/income-statement" TargetMode="External"/><Relationship Id="rId659" Type="http://schemas.openxmlformats.org/officeDocument/2006/relationships/hyperlink" Target="https://www.sec.gov/ix?doc=/Archives/edgar/data/24545/000002454524000005/tap-20231231.htm" TargetMode="External"/><Relationship Id="rId416" Type="http://schemas.openxmlformats.org/officeDocument/2006/relationships/hyperlink" Target="https://www.sec.gov/Archives/edgar/data/0000037996/000003799619000012/f1231201810-k.htm" TargetMode="External"/><Relationship Id="rId658" Type="http://schemas.openxmlformats.org/officeDocument/2006/relationships/hyperlink" Target="https://www.sec.gov/edgar/browse/?CIK=24545" TargetMode="External"/><Relationship Id="rId891" Type="http://schemas.openxmlformats.org/officeDocument/2006/relationships/hyperlink" Target="https://www.wsj.com/market-data/quotes/TXN/financials/annual/income-statement" TargetMode="External"/><Relationship Id="rId890" Type="http://schemas.openxmlformats.org/officeDocument/2006/relationships/hyperlink" Target="https://www.sec.gov/ix?doc=/Archives/edgar/data/0001318605/000156459021004599/tsla-10k_20201231.htm" TargetMode="External"/><Relationship Id="rId411" Type="http://schemas.openxmlformats.org/officeDocument/2006/relationships/hyperlink" Target="https://www.sec.gov/ixviewer/ix.html?doc=/Archives/edgar/data/37996/000003799624000009/f-20231231.htm" TargetMode="External"/><Relationship Id="rId653" Type="http://schemas.openxmlformats.org/officeDocument/2006/relationships/hyperlink" Target="https://www.sec.gov/ixviewer/ix.html?doc=/Archives/edgar/data/851968/000085196824000027/mhk-20231231.htm" TargetMode="External"/><Relationship Id="rId895" Type="http://schemas.openxmlformats.org/officeDocument/2006/relationships/hyperlink" Target="https://www.sec.gov/edgar/browse/?CIK=217346&amp;owner=exclude" TargetMode="External"/><Relationship Id="rId1000" Type="http://schemas.openxmlformats.org/officeDocument/2006/relationships/hyperlink" Target="https://www.sec.gov/ix?doc=/Archives/edgar/data/0001744489/000174448920000197/dis-20201003.htm" TargetMode="External"/><Relationship Id="rId410" Type="http://schemas.openxmlformats.org/officeDocument/2006/relationships/hyperlink" Target="https://www.sec.gov/edgar/browse/?CIK=37996&amp;owner=exclude" TargetMode="External"/><Relationship Id="rId652" Type="http://schemas.openxmlformats.org/officeDocument/2006/relationships/hyperlink" Target="https://www.sec.gov/edgar/browse/?CIK=851968&amp;owner=exclude" TargetMode="External"/><Relationship Id="rId894" Type="http://schemas.openxmlformats.org/officeDocument/2006/relationships/hyperlink" Target="https://www.wsj.com/market-data/quotes/TXT/financials/annual/income-statement" TargetMode="External"/><Relationship Id="rId1001" Type="http://schemas.openxmlformats.org/officeDocument/2006/relationships/hyperlink" Target="https://www.sec.gov/ix?doc=/Archives/edgar/data/0001744489/000174448919000225/fy2019q410k.htm" TargetMode="External"/><Relationship Id="rId651" Type="http://schemas.openxmlformats.org/officeDocument/2006/relationships/hyperlink" Target="https://www.wsj.com/market-data/quotes/MHK/financials/annual/income-statement" TargetMode="External"/><Relationship Id="rId893" Type="http://schemas.openxmlformats.org/officeDocument/2006/relationships/hyperlink" Target="https://www.sec.gov/ixviewer/ix.html?doc=/Archives/edgar/data/0000097476/000009747624000007/txn-20231231.htm" TargetMode="External"/><Relationship Id="rId1002" Type="http://schemas.openxmlformats.org/officeDocument/2006/relationships/hyperlink" Target="https://www.wsj.com/market-data/quotes/WM/financials/annual/income-statement" TargetMode="External"/><Relationship Id="rId650" Type="http://schemas.openxmlformats.org/officeDocument/2006/relationships/hyperlink" Target="https://www.sec.gov/ixviewer/ix.html?doc=/Archives/edgar/data/1682852/000168285224000015/mrna-20231231.htm" TargetMode="External"/><Relationship Id="rId892" Type="http://schemas.openxmlformats.org/officeDocument/2006/relationships/hyperlink" Target="https://www.sec.gov/edgar/browse/?CIK=97476&amp;owner=exclude" TargetMode="External"/><Relationship Id="rId1003" Type="http://schemas.openxmlformats.org/officeDocument/2006/relationships/hyperlink" Target="https://www.sec.gov/edgar/browse/?CIK=823768&amp;owner=exclude" TargetMode="External"/><Relationship Id="rId1037" Type="http://schemas.openxmlformats.org/officeDocument/2006/relationships/hyperlink" Target="https://www.wsj.com/market-data/quotes/AFG/financials/annual/income-statement" TargetMode="External"/><Relationship Id="rId1038" Type="http://schemas.openxmlformats.org/officeDocument/2006/relationships/hyperlink" Target="https://www.sec.gov/edgar/browse/?CIK=1042046&amp;owner=exclude" TargetMode="External"/><Relationship Id="rId1039" Type="http://schemas.openxmlformats.org/officeDocument/2006/relationships/hyperlink" Target="https://www.sec.gov/ix?doc=/Archives/edgar/data/1042046/000104204624000009/afg-20231231.htm" TargetMode="External"/><Relationship Id="rId206" Type="http://schemas.openxmlformats.org/officeDocument/2006/relationships/hyperlink" Target="https://www.sec.gov/ixviewer/ix.html?doc=/Archives/edgar/data/93410/000009341024000013/cvx-20231231.htm" TargetMode="External"/><Relationship Id="rId448" Type="http://schemas.openxmlformats.org/officeDocument/2006/relationships/hyperlink" Target="https://www.wsj.com/market-data/quotes/GPI/financials/annual/income-statement" TargetMode="External"/><Relationship Id="rId205" Type="http://schemas.openxmlformats.org/officeDocument/2006/relationships/hyperlink" Target="https://www.sec.gov/edgar/browse/?CIK=93410&amp;owner=exclude" TargetMode="External"/><Relationship Id="rId447" Type="http://schemas.openxmlformats.org/officeDocument/2006/relationships/hyperlink" Target="https://www.sec.gov/ix?doc=/Archives/edgar/data/0001408075/000140807524000012/gpk-20231231.htm" TargetMode="External"/><Relationship Id="rId689" Type="http://schemas.openxmlformats.org/officeDocument/2006/relationships/hyperlink" Target="https://www.wsj.com/market-data/quotes/NOC/financials/annual/income-statement" TargetMode="External"/><Relationship Id="rId204" Type="http://schemas.openxmlformats.org/officeDocument/2006/relationships/hyperlink" Target="https://www.wsj.com/market-data/quotes/CVX/financials/annual/income-statement" TargetMode="External"/><Relationship Id="rId446" Type="http://schemas.openxmlformats.org/officeDocument/2006/relationships/hyperlink" Target="https://www.sec.gov/edgar/browse/?CIK=1408075&amp;owner=exclude" TargetMode="External"/><Relationship Id="rId688" Type="http://schemas.openxmlformats.org/officeDocument/2006/relationships/hyperlink" Target="https://www.sec.gov/edgar/browse/?CIK=73124&amp;owner=exclude" TargetMode="External"/><Relationship Id="rId203" Type="http://schemas.openxmlformats.org/officeDocument/2006/relationships/hyperlink" Target="https://www.sec.gov/ix?doc=/Archives/edgar/data/0001091667/000109166721000022/chtr-20201231.htm" TargetMode="External"/><Relationship Id="rId445" Type="http://schemas.openxmlformats.org/officeDocument/2006/relationships/hyperlink" Target="https://www.wsj.com/market-data/quotes/GPK/financials/annual/income-statement" TargetMode="External"/><Relationship Id="rId687" Type="http://schemas.openxmlformats.org/officeDocument/2006/relationships/hyperlink" Target="https://www.wsj.com/market-data/quotes/NTRS/financials/annual/income-statement" TargetMode="External"/><Relationship Id="rId209" Type="http://schemas.openxmlformats.org/officeDocument/2006/relationships/hyperlink" Target="https://www.sec.gov/ix?doc=/Archives/edgar/data/0000093410/000009341021000009/cvx-20201231.htm" TargetMode="External"/><Relationship Id="rId208" Type="http://schemas.openxmlformats.org/officeDocument/2006/relationships/hyperlink" Target="https://www.sec.gov/ix?doc=/Archives/edgar/data/0000093410/000009341022000019/cvx-20211231.htm" TargetMode="External"/><Relationship Id="rId207" Type="http://schemas.openxmlformats.org/officeDocument/2006/relationships/hyperlink" Target="https://www.sec.gov/ix?doc=/Archives/edgar/data/0000093410/000009341023000009/cvx-20221231.htm" TargetMode="External"/><Relationship Id="rId449" Type="http://schemas.openxmlformats.org/officeDocument/2006/relationships/hyperlink" Target="https://www.sec.gov/edgar/browse/?CIK=1031203&amp;owner=exclude" TargetMode="External"/><Relationship Id="rId440" Type="http://schemas.openxmlformats.org/officeDocument/2006/relationships/hyperlink" Target="https://www.wsj.com/market-data/quotes/GPC/financials/annual/income-statement" TargetMode="External"/><Relationship Id="rId682" Type="http://schemas.openxmlformats.org/officeDocument/2006/relationships/hyperlink" Target="https://www.sec.gov/ix?doc=/Archives/edgar/data/0000320187/000032018721000028/nke-20210531.htm" TargetMode="External"/><Relationship Id="rId681" Type="http://schemas.openxmlformats.org/officeDocument/2006/relationships/hyperlink" Target="https://www.sec.gov/ix?doc=/Archives/edgar/data/0000320187/000032018722000038/nke-20220531.htm" TargetMode="External"/><Relationship Id="rId1030" Type="http://schemas.openxmlformats.org/officeDocument/2006/relationships/hyperlink" Target="https://www.sec.gov/ixviewer/ix.html?doc=/Archives/edgar/data/1555280/000155528024000143/zts-20231231.htm" TargetMode="External"/><Relationship Id="rId680" Type="http://schemas.openxmlformats.org/officeDocument/2006/relationships/hyperlink" Target="https://www.sec.gov/ixviewer/ix.html?doc=/Archives/edgar/data/320187/000032018723000039/nke-20230531.htm" TargetMode="External"/><Relationship Id="rId1031" Type="http://schemas.openxmlformats.org/officeDocument/2006/relationships/hyperlink" Target="https://www.wsj.com/market-data/quotes/JEF/financials/annual/income-statement" TargetMode="External"/><Relationship Id="rId1032" Type="http://schemas.openxmlformats.org/officeDocument/2006/relationships/hyperlink" Target="https://www.sec.gov/edgar/browse/?CIK=96223&amp;owner=exclude" TargetMode="External"/><Relationship Id="rId202" Type="http://schemas.openxmlformats.org/officeDocument/2006/relationships/hyperlink" Target="https://www.sec.gov/ix?doc=/Archives/edgar/data/0001091667/000109166722000024/chtr-20211231.htm" TargetMode="External"/><Relationship Id="rId444" Type="http://schemas.openxmlformats.org/officeDocument/2006/relationships/hyperlink" Target="https://www.sec.gov/ixviewer/ix.html?doc=/Archives/edgar/data/882095/000088209524000007/gild-20231231.htm" TargetMode="External"/><Relationship Id="rId686" Type="http://schemas.openxmlformats.org/officeDocument/2006/relationships/hyperlink" Target="https://www.sec.gov/ixviewer/ix.html?doc=/Archives/edgar/data/0000702165/000070216524000005/nsc-20231231.htm" TargetMode="External"/><Relationship Id="rId1033" Type="http://schemas.openxmlformats.org/officeDocument/2006/relationships/hyperlink" Target="https://www.sec.gov/ixviewer/ix.html?doc=/Archives/edgar/data/96223/000009622324000006/jef-20231130.htm" TargetMode="External"/><Relationship Id="rId201" Type="http://schemas.openxmlformats.org/officeDocument/2006/relationships/hyperlink" Target="https://www.sec.gov/ix?doc=/Archives/edgar/data/0001091667/000109166723000024/chtr-20221231.htm" TargetMode="External"/><Relationship Id="rId443" Type="http://schemas.openxmlformats.org/officeDocument/2006/relationships/hyperlink" Target="https://www.sec.gov/edgar/browse/?CIK=882095&amp;owner=exclude" TargetMode="External"/><Relationship Id="rId685" Type="http://schemas.openxmlformats.org/officeDocument/2006/relationships/hyperlink" Target="https://www.sec.gov/edgar/browse/?CIK=702165&amp;owner=exclude" TargetMode="External"/><Relationship Id="rId1034" Type="http://schemas.openxmlformats.org/officeDocument/2006/relationships/hyperlink" Target="https://www.wsj.com/market-data/quotes/CLX/financials/annual/income-statement" TargetMode="External"/><Relationship Id="rId200" Type="http://schemas.openxmlformats.org/officeDocument/2006/relationships/hyperlink" Target="https://www.sec.gov/ix?doc=/Archives/edgar/data/1091667/000109166724000028/chtr-20231231.htm" TargetMode="External"/><Relationship Id="rId442" Type="http://schemas.openxmlformats.org/officeDocument/2006/relationships/hyperlink" Target="https://www.wsj.com/market-data/quotes/GILD/financials/annual/income-statement" TargetMode="External"/><Relationship Id="rId684" Type="http://schemas.openxmlformats.org/officeDocument/2006/relationships/hyperlink" Target="https://www.wsj.com/market-data/quotes/NSC/financials/annual/income-statement" TargetMode="External"/><Relationship Id="rId1035" Type="http://schemas.openxmlformats.org/officeDocument/2006/relationships/hyperlink" Target="https://www.sec.gov/edgar/browse/?CIK=21076&amp;owner=exclude" TargetMode="External"/><Relationship Id="rId441" Type="http://schemas.openxmlformats.org/officeDocument/2006/relationships/hyperlink" Target="https://www.sec.gov/edgar/browse/?CIK=40987&amp;owner=exclude" TargetMode="External"/><Relationship Id="rId683" Type="http://schemas.openxmlformats.org/officeDocument/2006/relationships/hyperlink" Target="https://www.sec.gov/ix?doc=/Archives/edgar/data/0000320187/000032018720000047/nke-531202010k.htm" TargetMode="External"/><Relationship Id="rId1036" Type="http://schemas.openxmlformats.org/officeDocument/2006/relationships/hyperlink" Target="https://www.wsj.com/market-data/quotes/RUSHA/financials/annual/income-statement" TargetMode="External"/><Relationship Id="rId1026" Type="http://schemas.openxmlformats.org/officeDocument/2006/relationships/hyperlink" Target="https://www.sec.gov/edgar/browse/?CIK=1166003&amp;owner=exclude" TargetMode="External"/><Relationship Id="rId1027" Type="http://schemas.openxmlformats.org/officeDocument/2006/relationships/hyperlink" Target="https://www.sec.gov/ixviewer/ix.html?doc=/Archives/edgar/data/1166003/000116600324000022/xpo-20231231.htm" TargetMode="External"/><Relationship Id="rId1028" Type="http://schemas.openxmlformats.org/officeDocument/2006/relationships/hyperlink" Target="https://www.wsj.com/market-data/quotes/ZTS/financials/annual/income-statement" TargetMode="External"/><Relationship Id="rId1029" Type="http://schemas.openxmlformats.org/officeDocument/2006/relationships/hyperlink" Target="https://www.sec.gov/edgar/browse/?CIK=1555280" TargetMode="External"/><Relationship Id="rId437" Type="http://schemas.openxmlformats.org/officeDocument/2006/relationships/hyperlink" Target="https://www.sec.gov/ix?doc=/Archives/edgar/data/0001467858/000146785821000037/gm-20201231.htm" TargetMode="External"/><Relationship Id="rId679" Type="http://schemas.openxmlformats.org/officeDocument/2006/relationships/hyperlink" Target="https://www.sec.gov/edgar/browse/?CIK=320187&amp;owner=exclude" TargetMode="External"/><Relationship Id="rId436" Type="http://schemas.openxmlformats.org/officeDocument/2006/relationships/hyperlink" Target="https://www.sec.gov/ix?doc=/Archives/edgar/data/0001467858/000146785822000034/gm-20211231.htm" TargetMode="External"/><Relationship Id="rId678" Type="http://schemas.openxmlformats.org/officeDocument/2006/relationships/hyperlink" Target="https://www.wsj.com/market-data/quotes/NKE/financials/annual/income-statement" TargetMode="External"/><Relationship Id="rId435" Type="http://schemas.openxmlformats.org/officeDocument/2006/relationships/hyperlink" Target="https://www.sec.gov/ix?doc=/Archives/edgar/data/0001467858/000146785823000029/gm-20221231.htm" TargetMode="External"/><Relationship Id="rId677" Type="http://schemas.openxmlformats.org/officeDocument/2006/relationships/hyperlink" Target="https://www.sec.gov/ix?doc=/Archives/edgar/data/753308/000075330824000008/nee-20231231.htm" TargetMode="External"/><Relationship Id="rId434" Type="http://schemas.openxmlformats.org/officeDocument/2006/relationships/hyperlink" Target="https://www.sec.gov/ixviewer/ix.html?doc=/Archives/edgar/data/0001467858/000146785824000031/gm-20231231.htm" TargetMode="External"/><Relationship Id="rId676" Type="http://schemas.openxmlformats.org/officeDocument/2006/relationships/hyperlink" Target="https://www.sec.gov/edgar/browse/?CIK=1603145&amp;owner=exclude" TargetMode="External"/><Relationship Id="rId439" Type="http://schemas.openxmlformats.org/officeDocument/2006/relationships/hyperlink" Target="https://www.sec.gov/Archives/edgar/data/0001467858/000146785819000033/gm201810k.htm" TargetMode="External"/><Relationship Id="rId438" Type="http://schemas.openxmlformats.org/officeDocument/2006/relationships/hyperlink" Target="https://www.sec.gov/ix?doc=/Archives/edgar/data/0001467858/000146785820000028/gm201910k.htm" TargetMode="External"/><Relationship Id="rId671" Type="http://schemas.openxmlformats.org/officeDocument/2006/relationships/hyperlink" Target="https://www.sec.gov/ix?doc=/Archives/edgar/data/1065280/000106528024000030/nflx-20231231.htm" TargetMode="External"/><Relationship Id="rId670" Type="http://schemas.openxmlformats.org/officeDocument/2006/relationships/hyperlink" Target="https://www.sec.gov/edgar/browse/?CIK=1065280&amp;owner=exclude" TargetMode="External"/><Relationship Id="rId1020" Type="http://schemas.openxmlformats.org/officeDocument/2006/relationships/hyperlink" Target="https://www.sec.gov/edgar/browse/?CIK=107263&amp;owner=exclude" TargetMode="External"/><Relationship Id="rId1021" Type="http://schemas.openxmlformats.org/officeDocument/2006/relationships/hyperlink" Target="https://www.wsj.com/market-data/quotes/WSM/financials/annual/income-statement" TargetMode="External"/><Relationship Id="rId433" Type="http://schemas.openxmlformats.org/officeDocument/2006/relationships/hyperlink" Target="https://www.sec.gov/edgar/browse/?CIK=1467858&amp;owner=exclude" TargetMode="External"/><Relationship Id="rId675" Type="http://schemas.openxmlformats.org/officeDocument/2006/relationships/hyperlink" Target="https://www.wsj.com/market-data/quotes/NEE/financials/annual/income-statement" TargetMode="External"/><Relationship Id="rId1022" Type="http://schemas.openxmlformats.org/officeDocument/2006/relationships/hyperlink" Target="https://www.sec.gov/edgar/browse/?CIK=719955&amp;owner=exclude" TargetMode="External"/><Relationship Id="rId432" Type="http://schemas.openxmlformats.org/officeDocument/2006/relationships/hyperlink" Target="https://www.wsj.com/market-data/quotes/GM/financials/annual/income-statement" TargetMode="External"/><Relationship Id="rId674" Type="http://schemas.openxmlformats.org/officeDocument/2006/relationships/hyperlink" Target="https://www.sec.gov/ix?doc=/Archives/edgar/data/0001065280/000106528021000040/nflx-20201231.htm" TargetMode="External"/><Relationship Id="rId1023" Type="http://schemas.openxmlformats.org/officeDocument/2006/relationships/hyperlink" Target="https://www.wsj.com/market-data/quotes/XEL/financials/annual/income-statement" TargetMode="External"/><Relationship Id="rId431" Type="http://schemas.openxmlformats.org/officeDocument/2006/relationships/hyperlink" Target="https://www.sec.gov/edgar/browse/?CIK=40704&amp;owner=exclude" TargetMode="External"/><Relationship Id="rId673" Type="http://schemas.openxmlformats.org/officeDocument/2006/relationships/hyperlink" Target="https://www.sec.gov/ix?doc=/Archives/edgar/data/0001065280/000106528022000036/nflx-20211231.htm" TargetMode="External"/><Relationship Id="rId1024" Type="http://schemas.openxmlformats.org/officeDocument/2006/relationships/hyperlink" Target="https://www.sec.gov/edgar/browse/?CIK=72903&amp;owner=exclude" TargetMode="External"/><Relationship Id="rId430" Type="http://schemas.openxmlformats.org/officeDocument/2006/relationships/hyperlink" Target="https://www.wsj.com/market-data/quotes/GIS/financials/annual/income-statement" TargetMode="External"/><Relationship Id="rId672" Type="http://schemas.openxmlformats.org/officeDocument/2006/relationships/hyperlink" Target="https://www.sec.gov/ix?doc=/Archives/edgar/data/0001065280/000106528023000035/nflx-20221231.htm" TargetMode="External"/><Relationship Id="rId1025" Type="http://schemas.openxmlformats.org/officeDocument/2006/relationships/hyperlink" Target="https://www.wsj.com/market-data/quotes/XPO/financials/annual/income-statement" TargetMode="External"/></Relationships>
</file>

<file path=xl/worksheets/_rels/sheet11.xml.rels><?xml version="1.0" encoding="UTF-8" standalone="yes"?><Relationships xmlns="http://schemas.openxmlformats.org/package/2006/relationships"><Relationship Id="rId190" Type="http://schemas.openxmlformats.org/officeDocument/2006/relationships/hyperlink" Target="https://www.wsj.com/market-data/quotes/CAH/financials/annual/income-statement" TargetMode="External"/><Relationship Id="rId194" Type="http://schemas.openxmlformats.org/officeDocument/2006/relationships/hyperlink" Target="https://www.sec.gov/ix?doc=/Archives/edgar/data/0000721371/000072137121000080/cah-20210630.htm" TargetMode="External"/><Relationship Id="rId193" Type="http://schemas.openxmlformats.org/officeDocument/2006/relationships/hyperlink" Target="https://www.sec.gov/ix?doc=/Archives/edgar/data/0000721371/000072137122000058/cah-20220630.htm" TargetMode="External"/><Relationship Id="rId192" Type="http://schemas.openxmlformats.org/officeDocument/2006/relationships/hyperlink" Target="https://www.sec.gov/ix?doc=/Archives/edgar/data/721371/000072137123000060/cah-20230630.htm" TargetMode="External"/><Relationship Id="rId191" Type="http://schemas.openxmlformats.org/officeDocument/2006/relationships/hyperlink" Target="https://www.sec.gov/edgar/browse/?CIK=721371&amp;owner=exclude" TargetMode="External"/><Relationship Id="rId187" Type="http://schemas.openxmlformats.org/officeDocument/2006/relationships/hyperlink" Target="https://www.wsj.com/market-data/quotes/WBD/financials/annual/income-statement" TargetMode="External"/><Relationship Id="rId186" Type="http://schemas.openxmlformats.org/officeDocument/2006/relationships/hyperlink" Target="https://www.sec.gov/ixviewer/ix.html?doc=/Archives/edgar/data/45012/000004501224000007/hal-20231231.htm" TargetMode="External"/><Relationship Id="rId185" Type="http://schemas.openxmlformats.org/officeDocument/2006/relationships/hyperlink" Target="https://www.sec.gov/edgar/browse/?CIK=45012&amp;owner=exclude" TargetMode="External"/><Relationship Id="rId184" Type="http://schemas.openxmlformats.org/officeDocument/2006/relationships/hyperlink" Target="https://www.wsj.com/market-data/quotes/HAL/financials/annual/income-statement" TargetMode="External"/><Relationship Id="rId189" Type="http://schemas.openxmlformats.org/officeDocument/2006/relationships/hyperlink" Target="https://www.sec.gov/ixviewer/ix.html?doc=/Archives/edgar/data/1437107/000143710724000017/wbd-20231231.htm" TargetMode="External"/><Relationship Id="rId188" Type="http://schemas.openxmlformats.org/officeDocument/2006/relationships/hyperlink" Target="https://www.sec.gov/edgar/browse/?CIK=1437107&amp;owner=exclude" TargetMode="External"/><Relationship Id="rId183" Type="http://schemas.openxmlformats.org/officeDocument/2006/relationships/hyperlink" Target="https://www.sec.gov/ix?doc=/Archives/edgar/data/0000027904/000002790421000003/dal-20201231.htm" TargetMode="External"/><Relationship Id="rId182" Type="http://schemas.openxmlformats.org/officeDocument/2006/relationships/hyperlink" Target="https://www.sec.gov/ix?doc=/Archives/edgar/data/0000027904/000002790422000003/dal-20211231.htm" TargetMode="External"/><Relationship Id="rId181" Type="http://schemas.openxmlformats.org/officeDocument/2006/relationships/hyperlink" Target="https://www.sec.gov/ix?doc=/Archives/edgar/data/0000027904/000002790423000003/dal-20221231.htm" TargetMode="External"/><Relationship Id="rId180" Type="http://schemas.openxmlformats.org/officeDocument/2006/relationships/hyperlink" Target="https://www.sec.gov/edgar/browse/?CIK=27904&amp;owner=exclude" TargetMode="External"/><Relationship Id="rId176" Type="http://schemas.openxmlformats.org/officeDocument/2006/relationships/hyperlink" Target="https://www.wsj.com/market-data/quotes/JBL/financials/annual/income-statement" TargetMode="External"/><Relationship Id="rId175" Type="http://schemas.openxmlformats.org/officeDocument/2006/relationships/hyperlink" Target="https://www.sec.gov/ixviewer/ix.html?doc=/Archives/edgar/data/0000042582/000095017024014240/gt-20231231.htm" TargetMode="External"/><Relationship Id="rId174" Type="http://schemas.openxmlformats.org/officeDocument/2006/relationships/hyperlink" Target="https://www.sec.gov/edgar/browse/?CIK=42582&amp;owner=exclude" TargetMode="External"/><Relationship Id="rId173" Type="http://schemas.openxmlformats.org/officeDocument/2006/relationships/hyperlink" Target="https://www.wsj.com/market-data/quotes/GT/financials/annual/income-statement" TargetMode="External"/><Relationship Id="rId179" Type="http://schemas.openxmlformats.org/officeDocument/2006/relationships/hyperlink" Target="https://www.wsj.com/market-data/quotes/DAL/financials/annual/income-statement" TargetMode="External"/><Relationship Id="rId178" Type="http://schemas.openxmlformats.org/officeDocument/2006/relationships/hyperlink" Target="https://www.sec.gov/ix?doc=/Archives/edgar/data/898293/000119312523259599/d533726d10k.htm" TargetMode="External"/><Relationship Id="rId177" Type="http://schemas.openxmlformats.org/officeDocument/2006/relationships/hyperlink" Target="https://www.sec.gov/edgar/browse/?CIK=898293&amp;owner=exclude" TargetMode="External"/><Relationship Id="rId198" Type="http://schemas.openxmlformats.org/officeDocument/2006/relationships/hyperlink" Target="https://www.sec.gov/edgar/browse/?CIK=100517&amp;owner=exclude" TargetMode="External"/><Relationship Id="rId197" Type="http://schemas.openxmlformats.org/officeDocument/2006/relationships/hyperlink" Target="https://www.wsj.com/market-data/quotes/UAL/financials/annual/income-statement" TargetMode="External"/><Relationship Id="rId196" Type="http://schemas.openxmlformats.org/officeDocument/2006/relationships/hyperlink" Target="https://www.sec.gov/Archives/edgar/data/0000721371/000072137119000090/a19q4_10kx063019xform10-k.htm" TargetMode="External"/><Relationship Id="rId195" Type="http://schemas.openxmlformats.org/officeDocument/2006/relationships/hyperlink" Target="https://www.sec.gov/ix?doc=/Archives/edgar/data/0000721371/000072137120000089/a20q410k063020form10-k.htm" TargetMode="External"/><Relationship Id="rId199" Type="http://schemas.openxmlformats.org/officeDocument/2006/relationships/hyperlink" Target="https://www.sec.gov/ix?doc=/Archives/edgar/data/0000100517/000010051723000048/ual-20221231.htm" TargetMode="External"/><Relationship Id="rId150" Type="http://schemas.openxmlformats.org/officeDocument/2006/relationships/hyperlink" Target="https://www.sec.gov/ix?doc=/Archives/edgar/data/0000927653/000092765322000051/mck-20220331.htm" TargetMode="External"/><Relationship Id="rId1" Type="http://schemas.openxmlformats.org/officeDocument/2006/relationships/hyperlink" Target="https://www.wsj.com/market-data/quotes/SNX/financials/annual/income-statement" TargetMode="External"/><Relationship Id="rId2" Type="http://schemas.openxmlformats.org/officeDocument/2006/relationships/hyperlink" Target="https://www.sec.gov/edgar/browse/?CIK=1177394&amp;owner=exclude" TargetMode="External"/><Relationship Id="rId3" Type="http://schemas.openxmlformats.org/officeDocument/2006/relationships/hyperlink" Target="https://www.sec.gov/edgar/browse/?CIK=1177394" TargetMode="External"/><Relationship Id="rId149" Type="http://schemas.openxmlformats.org/officeDocument/2006/relationships/hyperlink" Target="https://www.sec.gov/ix?doc=/Archives/edgar/data/0000927653/000092765323000038/mck-20230331.htm" TargetMode="External"/><Relationship Id="rId4" Type="http://schemas.openxmlformats.org/officeDocument/2006/relationships/hyperlink" Target="https://www.sec.gov/ix?doc=/Archives/edgar/data/0001177394/000117739423000010/snx-20221130.htm" TargetMode="External"/><Relationship Id="rId148" Type="http://schemas.openxmlformats.org/officeDocument/2006/relationships/hyperlink" Target="https://www.sec.gov/edgar/browse/?CIK=927653&amp;owner=exclude" TargetMode="External"/><Relationship Id="rId9" Type="http://schemas.openxmlformats.org/officeDocument/2006/relationships/hyperlink" Target="https://www.sec.gov/ix?doc=/Archives/edgar/data/0000109198/000010919823000004/tjx-20230128.htm" TargetMode="External"/><Relationship Id="rId143" Type="http://schemas.openxmlformats.org/officeDocument/2006/relationships/hyperlink" Target="https://www.sec.gov/ix?doc=/Archives/edgar/data/0001551152/000155115221000008/abbv-20201231.htm" TargetMode="External"/><Relationship Id="rId142" Type="http://schemas.openxmlformats.org/officeDocument/2006/relationships/hyperlink" Target="https://www.sec.gov/ix?doc=/Archives/edgar/data/0001551152/000155115222000007/abbv-20211231.htm" TargetMode="External"/><Relationship Id="rId141" Type="http://schemas.openxmlformats.org/officeDocument/2006/relationships/hyperlink" Target="https://www.sec.gov/ix?doc=/Archives/edgar/data/0001551152/000155115223000011/abbv-20221231.htm" TargetMode="External"/><Relationship Id="rId140" Type="http://schemas.openxmlformats.org/officeDocument/2006/relationships/hyperlink" Target="https://www.sec.gov/ixviewer/ix.html?doc=/Archives/edgar/data/0001551152/000155115224000011/abbv-20231231.htm" TargetMode="External"/><Relationship Id="rId5" Type="http://schemas.openxmlformats.org/officeDocument/2006/relationships/hyperlink" Target="https://www.sec.gov/ix?doc=/Archives/edgar/data/0001177394/000156459022003003/snx-10k_20211130.htm" TargetMode="External"/><Relationship Id="rId147" Type="http://schemas.openxmlformats.org/officeDocument/2006/relationships/hyperlink" Target="https://www.wsj.com/market-data/quotes/MCK/financials/annual/income-statement" TargetMode="External"/><Relationship Id="rId6" Type="http://schemas.openxmlformats.org/officeDocument/2006/relationships/hyperlink" Target="https://www.sec.gov/ix?doc=/Archives/edgar/data/0001177394/000156459021003035/snx-10k_20201130.htm" TargetMode="External"/><Relationship Id="rId146" Type="http://schemas.openxmlformats.org/officeDocument/2006/relationships/hyperlink" Target="https://www.sec.gov/ixviewer/ix.html?doc=/Archives/edgar/data/1633917/000163391724000024/pypl-20231231.htm" TargetMode="External"/><Relationship Id="rId7" Type="http://schemas.openxmlformats.org/officeDocument/2006/relationships/hyperlink" Target="https://www.wsj.com/market-data/quotes/TJX/financials/annual/income-statement" TargetMode="External"/><Relationship Id="rId145" Type="http://schemas.openxmlformats.org/officeDocument/2006/relationships/hyperlink" Target="https://www.sec.gov/edgar/browse/?CIK=1633917&amp;owner=exclude" TargetMode="External"/><Relationship Id="rId8" Type="http://schemas.openxmlformats.org/officeDocument/2006/relationships/hyperlink" Target="https://www.sec.gov/edgar/browse/?CIK=109198&amp;owner=exclude" TargetMode="External"/><Relationship Id="rId144" Type="http://schemas.openxmlformats.org/officeDocument/2006/relationships/hyperlink" Target="https://www.wsj.com/market-data/quotes/PYPL/financials/annual/income-statement" TargetMode="External"/><Relationship Id="rId139" Type="http://schemas.openxmlformats.org/officeDocument/2006/relationships/hyperlink" Target="https://www.sec.gov/edgar/browse/?CIK=1551152&amp;owner=exclude" TargetMode="External"/><Relationship Id="rId138" Type="http://schemas.openxmlformats.org/officeDocument/2006/relationships/hyperlink" Target="https://www.wsj.com/market-data/quotes/ABBV/financials/annual/income-statement" TargetMode="External"/><Relationship Id="rId137" Type="http://schemas.openxmlformats.org/officeDocument/2006/relationships/hyperlink" Target="https://www.sec.gov/ixviewer/ix.html?doc=/Archives/edgar/data/1543151/000154315124000012/uber-20231231.htm" TargetMode="External"/><Relationship Id="rId132" Type="http://schemas.openxmlformats.org/officeDocument/2006/relationships/hyperlink" Target="https://www.wsj.com/market-data/quotes/PCG/financials/annual/income-statement" TargetMode="External"/><Relationship Id="rId131" Type="http://schemas.openxmlformats.org/officeDocument/2006/relationships/hyperlink" Target="https://www.sec.gov/ix?doc=/Archives/edgar/data/0000100493/000010049320000132/tsn202010kq4.htm" TargetMode="External"/><Relationship Id="rId130" Type="http://schemas.openxmlformats.org/officeDocument/2006/relationships/hyperlink" Target="https://www.sec.gov/ix?doc=/Archives/edgar/data/0000100493/000010049321000122/tsn-20211002.htm" TargetMode="External"/><Relationship Id="rId136" Type="http://schemas.openxmlformats.org/officeDocument/2006/relationships/hyperlink" Target="https://www.sec.gov/edgar/browse/?CIK=1543151&amp;owner=exclude" TargetMode="External"/><Relationship Id="rId135" Type="http://schemas.openxmlformats.org/officeDocument/2006/relationships/hyperlink" Target="https://www.wsj.com/market-data/quotes/UBER/financials/annual/income-statement" TargetMode="External"/><Relationship Id="rId134" Type="http://schemas.openxmlformats.org/officeDocument/2006/relationships/hyperlink" Target="https://www.sec.gov/ix?doc=/Archives/edgar/data/1004980/000100498024000014/pcg-20231231.htm" TargetMode="External"/><Relationship Id="rId133" Type="http://schemas.openxmlformats.org/officeDocument/2006/relationships/hyperlink" Target="https://www.sec.gov/edgar/browse/?CIK=1004980&amp;owner=exclude" TargetMode="External"/><Relationship Id="rId172" Type="http://schemas.openxmlformats.org/officeDocument/2006/relationships/hyperlink" Target="https://www.sec.gov/ixviewer/ix.html?doc=/Archives/edgar/data/797468/000079746824000034/oxy-20231231.htm" TargetMode="External"/><Relationship Id="rId171" Type="http://schemas.openxmlformats.org/officeDocument/2006/relationships/hyperlink" Target="https://www.sec.gov/edgar/browse/?CIK=797468&amp;owner=exclude" TargetMode="External"/><Relationship Id="rId170" Type="http://schemas.openxmlformats.org/officeDocument/2006/relationships/hyperlink" Target="https://www.wsj.com/market-data/quotes/OXY/financials/annual/income-statement" TargetMode="External"/><Relationship Id="rId165" Type="http://schemas.openxmlformats.org/officeDocument/2006/relationships/hyperlink" Target="https://www.sec.gov/ix?doc=/Archives/edgar/data/0000789460/000162828022004028/int-20211231.htm" TargetMode="External"/><Relationship Id="rId164" Type="http://schemas.openxmlformats.org/officeDocument/2006/relationships/hyperlink" Target="https://www.sec.gov/ix?doc=/Archives/edgar/data/0000789460/000162828023005058/int-20221231.htm" TargetMode="External"/><Relationship Id="rId163" Type="http://schemas.openxmlformats.org/officeDocument/2006/relationships/hyperlink" Target="https://www.sec.gov/edgar/browse/?CIK=789460&amp;owner=exclude" TargetMode="External"/><Relationship Id="rId162" Type="http://schemas.openxmlformats.org/officeDocument/2006/relationships/hyperlink" Target="https://www.wsj.com/market-data/quotes/WKC/financials/annual/income-statement" TargetMode="External"/><Relationship Id="rId169" Type="http://schemas.openxmlformats.org/officeDocument/2006/relationships/hyperlink" Target="https://www.sec.gov/ixviewer/ix.html?doc=/Archives/edgar/data/0000093556/000009355624000032/swk-20231230.htm" TargetMode="External"/><Relationship Id="rId168" Type="http://schemas.openxmlformats.org/officeDocument/2006/relationships/hyperlink" Target="https://www.sec.gov/edgar/browse/?CIK=93556&amp;owner=exclude" TargetMode="External"/><Relationship Id="rId167" Type="http://schemas.openxmlformats.org/officeDocument/2006/relationships/hyperlink" Target="https://www.wsj.com/market-data/quotes/SWK/financials/annual/income-statement" TargetMode="External"/><Relationship Id="rId166" Type="http://schemas.openxmlformats.org/officeDocument/2006/relationships/hyperlink" Target="https://www.sec.gov/ix?doc=/Archives/edgar/data/0000789460/000162828021003481/int-20201231.htm" TargetMode="External"/><Relationship Id="rId161" Type="http://schemas.openxmlformats.org/officeDocument/2006/relationships/hyperlink" Target="https://www.sec.gov/edgar/browse/?CIK=794367&amp;owner=exclude" TargetMode="External"/><Relationship Id="rId160" Type="http://schemas.openxmlformats.org/officeDocument/2006/relationships/hyperlink" Target="https://www.wsj.com/market-data/quotes/M/financials/annual/income-statement" TargetMode="External"/><Relationship Id="rId159" Type="http://schemas.openxmlformats.org/officeDocument/2006/relationships/hyperlink" Target="https://www.sec.gov/ix?doc=/Archives/edgar/data/0000310158/000031015821000004/mrk-20201231.htm" TargetMode="External"/><Relationship Id="rId154" Type="http://schemas.openxmlformats.org/officeDocument/2006/relationships/hyperlink" Target="https://www.wsj.com/market-data/quotes/MRK/financials/annual/income-statement" TargetMode="External"/><Relationship Id="rId153" Type="http://schemas.openxmlformats.org/officeDocument/2006/relationships/hyperlink" Target="https://www.sec.gov/Archives/edgar/data/927653/000092765319000009/mck_10kx3312019.htm" TargetMode="External"/><Relationship Id="rId152" Type="http://schemas.openxmlformats.org/officeDocument/2006/relationships/hyperlink" Target="https://www.sec.gov/ix?doc=/Archives/edgar/data/0000927653/000092765320000033/mck10k3312020.htm" TargetMode="External"/><Relationship Id="rId151" Type="http://schemas.openxmlformats.org/officeDocument/2006/relationships/hyperlink" Target="https://www.sec.gov/ix?doc=/Archives/edgar/data/0000927653/000092765321000039/mck-20210331.htm" TargetMode="External"/><Relationship Id="rId158" Type="http://schemas.openxmlformats.org/officeDocument/2006/relationships/hyperlink" Target="https://www.sec.gov/ix?doc=/Archives/edgar/data/0000310158/000031015822000003/mrk-20211231.htm" TargetMode="External"/><Relationship Id="rId157" Type="http://schemas.openxmlformats.org/officeDocument/2006/relationships/hyperlink" Target="https://www.sec.gov/ix?doc=/Archives/edgar/data/0000310158/000162828023005061/mrk-20221231.htm" TargetMode="External"/><Relationship Id="rId156" Type="http://schemas.openxmlformats.org/officeDocument/2006/relationships/hyperlink" Target="https://www.sec.gov/ixviewer/ix.html?doc=/Archives/edgar/data/310158/000162828024006850/mrk-20231231.htm" TargetMode="External"/><Relationship Id="rId155" Type="http://schemas.openxmlformats.org/officeDocument/2006/relationships/hyperlink" Target="https://www.sec.gov/edgar/browse/?CIK=310158&amp;owner=exclude" TargetMode="External"/><Relationship Id="rId40" Type="http://schemas.openxmlformats.org/officeDocument/2006/relationships/hyperlink" Target="https://www.sec.gov/edgar/browse/?CIK=1601046&amp;owner=exclude" TargetMode="External"/><Relationship Id="rId42" Type="http://schemas.openxmlformats.org/officeDocument/2006/relationships/hyperlink" Target="https://www.wsj.com/market-data/quotes/CTLT/financials/annual/income-statement" TargetMode="External"/><Relationship Id="rId41" Type="http://schemas.openxmlformats.org/officeDocument/2006/relationships/hyperlink" Target="https://www.wsj.com/market-data/quotes/TPX/financials/annual/income-statement" TargetMode="External"/><Relationship Id="rId44" Type="http://schemas.openxmlformats.org/officeDocument/2006/relationships/hyperlink" Target="https://www.wsj.com/market-data/quotes/UNH/financials/annual/income-statement" TargetMode="External"/><Relationship Id="rId43" Type="http://schemas.openxmlformats.org/officeDocument/2006/relationships/hyperlink" Target="https://www.wsj.com/market-data/quotes/COLM/financials/annual/income-statement" TargetMode="External"/><Relationship Id="rId46" Type="http://schemas.openxmlformats.org/officeDocument/2006/relationships/hyperlink" Target="https://www.sec.gov/ix?doc=/Archives/edgar/data/0000731766/000073176623000008/unh-20221231.htm" TargetMode="External"/><Relationship Id="rId45" Type="http://schemas.openxmlformats.org/officeDocument/2006/relationships/hyperlink" Target="https://www.sec.gov/edgar/browse/?CIK=731766&amp;owner=exclude" TargetMode="External"/><Relationship Id="rId48" Type="http://schemas.openxmlformats.org/officeDocument/2006/relationships/hyperlink" Target="https://www.sec.gov/ix?doc=/Archives/edgar/data/0000731766/000073176621000013/unh-20201231.htm" TargetMode="External"/><Relationship Id="rId47" Type="http://schemas.openxmlformats.org/officeDocument/2006/relationships/hyperlink" Target="https://www.sec.gov/ix?doc=/Archives/edgar/data/0000731766/000073176622000008/unh-20211231.htm" TargetMode="External"/><Relationship Id="rId49" Type="http://schemas.openxmlformats.org/officeDocument/2006/relationships/hyperlink" Target="https://www.sec.gov/ix?doc=/Archives/edgar/data/0000731766/000073176620000006/unh2019123110-k.htm" TargetMode="External"/><Relationship Id="rId31" Type="http://schemas.openxmlformats.org/officeDocument/2006/relationships/hyperlink" Target="https://www.wsj.com/market-data/quotes/FI/financials/annual/income-statement" TargetMode="External"/><Relationship Id="rId30" Type="http://schemas.openxmlformats.org/officeDocument/2006/relationships/hyperlink" Target="https://www.sec.gov/ix?doc=/Archives/edgar/data/0000002488/000000248824000012/amd-20231230.htm" TargetMode="External"/><Relationship Id="rId33" Type="http://schemas.openxmlformats.org/officeDocument/2006/relationships/hyperlink" Target="https://www.wsj.com/market-data/quotes/EIX/financials/annual/income-statement" TargetMode="External"/><Relationship Id="rId32" Type="http://schemas.openxmlformats.org/officeDocument/2006/relationships/hyperlink" Target="https://www.sec.gov/edgar/browse/?CIK=798354&amp;owner=exclude" TargetMode="External"/><Relationship Id="rId35" Type="http://schemas.openxmlformats.org/officeDocument/2006/relationships/hyperlink" Target="https://www.sec.gov/ixviewer/ix.html?doc=/Archives/edgar/data/827052/000082705223000010/eix-20221231x10k.htm" TargetMode="External"/><Relationship Id="rId34" Type="http://schemas.openxmlformats.org/officeDocument/2006/relationships/hyperlink" Target="https://www.sec.gov/edgar/browse/?CIK=827052&amp;owner=exclude" TargetMode="External"/><Relationship Id="rId37" Type="http://schemas.openxmlformats.org/officeDocument/2006/relationships/hyperlink" Target="https://www.sec.gov/edgar/browse/?CIK=74260&amp;owner=exclude" TargetMode="External"/><Relationship Id="rId36" Type="http://schemas.openxmlformats.org/officeDocument/2006/relationships/hyperlink" Target="https://www.wsj.com/market-data/quotes/ORI/financials/annual/income-statement" TargetMode="External"/><Relationship Id="rId39" Type="http://schemas.openxmlformats.org/officeDocument/2006/relationships/hyperlink" Target="https://www.wsj.com/market-data/quotes/KEYS/financials/annual/income-statement" TargetMode="External"/><Relationship Id="rId38" Type="http://schemas.openxmlformats.org/officeDocument/2006/relationships/hyperlink" Target="https://www.wsj.com/market-data/quotes/EA/financials/annual/income-statement" TargetMode="External"/><Relationship Id="rId20" Type="http://schemas.openxmlformats.org/officeDocument/2006/relationships/hyperlink" Target="https://www.sec.gov/edgar/browse/?CIK=4962&amp;owner=exclude" TargetMode="External"/><Relationship Id="rId22" Type="http://schemas.openxmlformats.org/officeDocument/2006/relationships/hyperlink" Target="https://www.sec.gov/ix?doc=/Archives/edgar/data/0000004962/000000496223000006/axp-20221231.htm" TargetMode="External"/><Relationship Id="rId21" Type="http://schemas.openxmlformats.org/officeDocument/2006/relationships/hyperlink" Target="https://www.sec.gov/ixviewer/ix.html?doc=/Archives/edgar/data/4962/000000496224000013/axp-20231231.htm" TargetMode="External"/><Relationship Id="rId24" Type="http://schemas.openxmlformats.org/officeDocument/2006/relationships/hyperlink" Target="https://www.sec.gov/ix?doc=/Archives/edgar/data/0000004962/000000496221000013/axp-20201231.htm" TargetMode="External"/><Relationship Id="rId23" Type="http://schemas.openxmlformats.org/officeDocument/2006/relationships/hyperlink" Target="https://www.sec.gov/ix?doc=/Archives/edgar/data/0000004962/000000496222000008/axp-20211231.htm" TargetMode="External"/><Relationship Id="rId26" Type="http://schemas.openxmlformats.org/officeDocument/2006/relationships/hyperlink" Target="https://www.sec.gov/edgar/browse/?CIK=6951&amp;owner=exclude" TargetMode="External"/><Relationship Id="rId25" Type="http://schemas.openxmlformats.org/officeDocument/2006/relationships/hyperlink" Target="https://www.wsj.com/market-data/quotes/AMAT/financials/annual/income-statement" TargetMode="External"/><Relationship Id="rId28" Type="http://schemas.openxmlformats.org/officeDocument/2006/relationships/hyperlink" Target="https://www.wsj.com/market-data/quotes/AMD/financials/annual/income-statement" TargetMode="External"/><Relationship Id="rId27" Type="http://schemas.openxmlformats.org/officeDocument/2006/relationships/hyperlink" Target="https://www.sec.gov/ix?doc=/Archives/edgar/data/6951/000000695123000041/amat-20231029.htm" TargetMode="External"/><Relationship Id="rId29" Type="http://schemas.openxmlformats.org/officeDocument/2006/relationships/hyperlink" Target="https://www.sec.gov/edgar/browse/?CIK=2488" TargetMode="External"/><Relationship Id="rId11" Type="http://schemas.openxmlformats.org/officeDocument/2006/relationships/hyperlink" Target="https://www.sec.gov/ix?doc=/Archives/edgar/data/0000109198/000010919821000006/tjx-20210130.htm" TargetMode="External"/><Relationship Id="rId10" Type="http://schemas.openxmlformats.org/officeDocument/2006/relationships/hyperlink" Target="https://www.sec.gov/ix?doc=/Archives/edgar/data/0000109198/000010919822000008/tjx-20220129.htm" TargetMode="External"/><Relationship Id="rId13" Type="http://schemas.openxmlformats.org/officeDocument/2006/relationships/hyperlink" Target="https://www.wellsfargo.com/about/investor-relations/annual-reports/" TargetMode="External"/><Relationship Id="rId12" Type="http://schemas.openxmlformats.org/officeDocument/2006/relationships/hyperlink" Target="https://www.wsj.com/market-data/quotes/WFC/financials/annual/income-statement" TargetMode="External"/><Relationship Id="rId15" Type="http://schemas.openxmlformats.org/officeDocument/2006/relationships/hyperlink" Target="https://www.wellsfargo.com/assets/pdf/about/investor-relations/annual-reports/2021-annual-report.pdf" TargetMode="External"/><Relationship Id="rId14" Type="http://schemas.openxmlformats.org/officeDocument/2006/relationships/hyperlink" Target="https://www08.wellsfargomedia.com/assets/pdf/about/investor-relations/annual-reports/2022-annual-report.pdf" TargetMode="External"/><Relationship Id="rId17" Type="http://schemas.openxmlformats.org/officeDocument/2006/relationships/hyperlink" Target="https://www.wellsfargo.com/assets/pdf/about/investor-relations/annual-reports/2019-annual-report.pdf" TargetMode="External"/><Relationship Id="rId16" Type="http://schemas.openxmlformats.org/officeDocument/2006/relationships/hyperlink" Target="https://www.wellsfargo.com/assets/pdf/about/investor-relations/annual-reports/2020-annual-report.pdf" TargetMode="External"/><Relationship Id="rId19" Type="http://schemas.openxmlformats.org/officeDocument/2006/relationships/hyperlink" Target="https://www.wsj.com/market-data/quotes/AXP/financials/annual/income-statement" TargetMode="External"/><Relationship Id="rId18" Type="http://schemas.openxmlformats.org/officeDocument/2006/relationships/hyperlink" Target="https://www.wellsfargo.com/assets/pdf/about/investor-relations/annual-reports/2018-annual-report.pdf" TargetMode="External"/><Relationship Id="rId84" Type="http://schemas.openxmlformats.org/officeDocument/2006/relationships/hyperlink" Target="https://www.sec.gov/ix?doc=/Archives/edgar/data/0000001800/000110465922025141/abt-20211231x10k.htm" TargetMode="External"/><Relationship Id="rId83" Type="http://schemas.openxmlformats.org/officeDocument/2006/relationships/hyperlink" Target="https://www.sec.gov/ix?doc=/Archives/edgar/data/0000001800/000162828023004026/abt-20221231.htm" TargetMode="External"/><Relationship Id="rId86" Type="http://schemas.openxmlformats.org/officeDocument/2006/relationships/hyperlink" Target="https://www.wsj.com/market-data/quotes/ALL/financials/annual/income-statement" TargetMode="External"/><Relationship Id="rId85" Type="http://schemas.openxmlformats.org/officeDocument/2006/relationships/hyperlink" Target="https://www.sec.gov/ix?doc=/Archives/edgar/data/0000001800/000110465921025751/abt-20201231x10k.htm" TargetMode="External"/><Relationship Id="rId88" Type="http://schemas.openxmlformats.org/officeDocument/2006/relationships/hyperlink" Target="https://www.sec.gov/ix?doc=/Archives/edgar/data/0000899051/000089905123000020/all-20221231.htm" TargetMode="External"/><Relationship Id="rId87" Type="http://schemas.openxmlformats.org/officeDocument/2006/relationships/hyperlink" Target="https://www.sec.gov/edgar/browse/?CIK=899051&amp;owner=exclude" TargetMode="External"/><Relationship Id="rId89" Type="http://schemas.openxmlformats.org/officeDocument/2006/relationships/hyperlink" Target="https://www.sec.gov/ix?doc=/Archives/edgar/data/0000899051/000089905122000015/all-20211231.htm" TargetMode="External"/><Relationship Id="rId80" Type="http://schemas.openxmlformats.org/officeDocument/2006/relationships/hyperlink" Target="https://www.goldmansachs.com/investor-relations/financials/current/10k/2020-10-k.pdf" TargetMode="External"/><Relationship Id="rId82" Type="http://schemas.openxmlformats.org/officeDocument/2006/relationships/hyperlink" Target="https://www.sec.gov/edgar/browse/?CIK=1800&amp;owner=exclude" TargetMode="External"/><Relationship Id="rId81" Type="http://schemas.openxmlformats.org/officeDocument/2006/relationships/hyperlink" Target="https://www.wsj.com/market-data/quotes/ABT/financials/annual/income-statement" TargetMode="External"/><Relationship Id="rId73" Type="http://schemas.openxmlformats.org/officeDocument/2006/relationships/hyperlink" Target="https://www.sec.gov/ix?doc=/Archives/edgar/data/0001413329/000141332923000025/pm-20221231.htm" TargetMode="External"/><Relationship Id="rId72" Type="http://schemas.openxmlformats.org/officeDocument/2006/relationships/hyperlink" Target="https://www.sec.gov/edgar/browse/?CIK=1413329&amp;owner=exclude" TargetMode="External"/><Relationship Id="rId75" Type="http://schemas.openxmlformats.org/officeDocument/2006/relationships/hyperlink" Target="https://www.sec.gov/ix?doc=/Archives/edgar/data/0001413329/000141332921000007/pm-20201231.htm" TargetMode="External"/><Relationship Id="rId74" Type="http://schemas.openxmlformats.org/officeDocument/2006/relationships/hyperlink" Target="https://www.sec.gov/ix?doc=/Archives/edgar/data/0001413329/000141332922000011/pm-20211231.htm" TargetMode="External"/><Relationship Id="rId77" Type="http://schemas.openxmlformats.org/officeDocument/2006/relationships/hyperlink" Target="https://www.goldmansachs.com/investor-relations/financials/10k/" TargetMode="External"/><Relationship Id="rId76" Type="http://schemas.openxmlformats.org/officeDocument/2006/relationships/hyperlink" Target="https://www.wsj.com/market-data/quotes/GS/financials/annual/income-statement" TargetMode="External"/><Relationship Id="rId79" Type="http://schemas.openxmlformats.org/officeDocument/2006/relationships/hyperlink" Target="https://www.goldmansachs.com/investor-relations/financials/10k/2021/2021-10-k.pdf" TargetMode="External"/><Relationship Id="rId78" Type="http://schemas.openxmlformats.org/officeDocument/2006/relationships/hyperlink" Target="https://www.goldmansachs.com/investor-relations/financials/10k/2022/2022-10-k.pdf" TargetMode="External"/><Relationship Id="rId71" Type="http://schemas.openxmlformats.org/officeDocument/2006/relationships/hyperlink" Target="https://www.wsj.com/market-data/quotes/PM/financials/annual/income-statement" TargetMode="External"/><Relationship Id="rId70" Type="http://schemas.openxmlformats.org/officeDocument/2006/relationships/hyperlink" Target="https://www.sec.gov/ix?doc=/Archives/edgar/data/0001137774/000113777421000049/pru-20201231.htm" TargetMode="External"/><Relationship Id="rId62" Type="http://schemas.openxmlformats.org/officeDocument/2006/relationships/hyperlink" Target="https://www.sec.gov/ix?doc=/Archives/edgar/data/0000051143/000155837022001584/ibm-20211231x10k.htm" TargetMode="External"/><Relationship Id="rId61" Type="http://schemas.openxmlformats.org/officeDocument/2006/relationships/hyperlink" Target="https://www.sec.gov/ix?doc=/Archives/edgar/data/0000051143/000155837023002376/ibm-20221231x10k.htm" TargetMode="External"/><Relationship Id="rId64" Type="http://schemas.openxmlformats.org/officeDocument/2006/relationships/hyperlink" Target="https://www.sec.gov/ix?doc=/Archives/edgar/data/0000051143/000155837020001334/ibm-20191231x10k2af531.htm" TargetMode="External"/><Relationship Id="rId63" Type="http://schemas.openxmlformats.org/officeDocument/2006/relationships/hyperlink" Target="https://www.sec.gov/ix?doc=/Archives/edgar/data/0000051143/000155837021001489/ibm-20201231x10k.htm" TargetMode="External"/><Relationship Id="rId66" Type="http://schemas.openxmlformats.org/officeDocument/2006/relationships/hyperlink" Target="https://www.wsj.com/market-data/quotes/PRU/financials/annual/income-statement" TargetMode="External"/><Relationship Id="rId65" Type="http://schemas.openxmlformats.org/officeDocument/2006/relationships/hyperlink" Target="https://www.sec.gov/Archives/edgar/data/0000051143/000104746919000712/a2237254z10-k.htm" TargetMode="External"/><Relationship Id="rId68" Type="http://schemas.openxmlformats.org/officeDocument/2006/relationships/hyperlink" Target="https://www.sec.gov/ix?doc=/Archives/edgar/data/0001137774/000113777423000040/pru-20221231.htm" TargetMode="External"/><Relationship Id="rId67" Type="http://schemas.openxmlformats.org/officeDocument/2006/relationships/hyperlink" Target="https://www.sec.gov/edgar/browse/?CIK=1137774&amp;owner=exclude" TargetMode="External"/><Relationship Id="rId60" Type="http://schemas.openxmlformats.org/officeDocument/2006/relationships/hyperlink" Target="https://www.sec.gov/edgar/browse/?CIK=51143&amp;owner=exclude" TargetMode="External"/><Relationship Id="rId69" Type="http://schemas.openxmlformats.org/officeDocument/2006/relationships/hyperlink" Target="https://www.sec.gov/ix?doc=/Archives/edgar/data/0001137774/000113777422000038/pru-20211231.htm" TargetMode="External"/><Relationship Id="rId51" Type="http://schemas.openxmlformats.org/officeDocument/2006/relationships/hyperlink" Target="https://www.wsj.com/market-data/quotes/BRK.A/financials/annual/income-statement" TargetMode="External"/><Relationship Id="rId50" Type="http://schemas.openxmlformats.org/officeDocument/2006/relationships/hyperlink" Target="https://www.sec.gov/Archives/edgar/data/0000731766/000073176619000005/unh2018123110-k.htm" TargetMode="External"/><Relationship Id="rId53" Type="http://schemas.openxmlformats.org/officeDocument/2006/relationships/hyperlink" Target="https://www.sec.gov/ix?doc=/Archives/edgar/data/1067983/000095017024019719/brka-20231231.htm" TargetMode="External"/><Relationship Id="rId52" Type="http://schemas.openxmlformats.org/officeDocument/2006/relationships/hyperlink" Target="https://www.sec.gov/edgar/browse/?CIK=1067983&amp;owner=exclude" TargetMode="External"/><Relationship Id="rId55" Type="http://schemas.openxmlformats.org/officeDocument/2006/relationships/hyperlink" Target="https://www.sec.gov/ix?doc=/Archives/edgar/data/0001067983/000156459022007322/brka-10k_20211231.htm" TargetMode="External"/><Relationship Id="rId54" Type="http://schemas.openxmlformats.org/officeDocument/2006/relationships/hyperlink" Target="https://www.sec.gov/ix?doc=/Archives/edgar/data/0001067983/000095017023004451/brka-20221231.htm" TargetMode="External"/><Relationship Id="rId57" Type="http://schemas.openxmlformats.org/officeDocument/2006/relationships/hyperlink" Target="https://www.sec.gov/ix?doc=/Archives/edgar/data/0001067983/000156459020005874/brka-10k_20191231.htm" TargetMode="External"/><Relationship Id="rId56" Type="http://schemas.openxmlformats.org/officeDocument/2006/relationships/hyperlink" Target="https://www.sec.gov/ix?doc=/Archives/edgar/data/0001067983/000156459021009611/brka-10k_20201231.htm" TargetMode="External"/><Relationship Id="rId59" Type="http://schemas.openxmlformats.org/officeDocument/2006/relationships/hyperlink" Target="https://www.wsj.com/market-data/quotes/IBM/financials/annual/income-statement" TargetMode="External"/><Relationship Id="rId58" Type="http://schemas.openxmlformats.org/officeDocument/2006/relationships/hyperlink" Target="https://www.sec.gov/Archives/edgar/data/0001067983/000119312519048926/d678758d10k.htm" TargetMode="External"/><Relationship Id="rId107" Type="http://schemas.openxmlformats.org/officeDocument/2006/relationships/hyperlink" Target="https://www.sec.gov/ix?doc=/Archives/edgar/data/0000040545/000004054520000009/ge10-k2019.htm" TargetMode="External"/><Relationship Id="rId106" Type="http://schemas.openxmlformats.org/officeDocument/2006/relationships/hyperlink" Target="https://www.sec.gov/ix?doc=/Archives/edgar/data/0000040545/000004054521000011/ge-20201231.htm" TargetMode="External"/><Relationship Id="rId105" Type="http://schemas.openxmlformats.org/officeDocument/2006/relationships/hyperlink" Target="https://www.sec.gov/ix?doc=/Archives/edgar/data/0000040545/000004054522000008/ge-20211231.htm" TargetMode="External"/><Relationship Id="rId104" Type="http://schemas.openxmlformats.org/officeDocument/2006/relationships/hyperlink" Target="https://www.sec.gov/ix?doc=/Archives/edgar/data/0000040545/000004054523000023/ge-20221231.htm" TargetMode="External"/><Relationship Id="rId109" Type="http://schemas.openxmlformats.org/officeDocument/2006/relationships/hyperlink" Target="https://www.wsj.com/market-data/quotes/DINO/financials/annual/income-statement" TargetMode="External"/><Relationship Id="rId108" Type="http://schemas.openxmlformats.org/officeDocument/2006/relationships/hyperlink" Target="https://www.sec.gov/Archives/edgar/data/0000040545/000004054519000014/ge10-k2018.htm" TargetMode="External"/><Relationship Id="rId103" Type="http://schemas.openxmlformats.org/officeDocument/2006/relationships/hyperlink" Target="https://www.sec.gov/ixviewer/ix.html?doc=/Archives/edgar/data/40545/000004054524000027/ge-20231231.htm" TargetMode="External"/><Relationship Id="rId102" Type="http://schemas.openxmlformats.org/officeDocument/2006/relationships/hyperlink" Target="https://www.sec.gov/edgar/browse/?CIK=40545&amp;owner=exclude" TargetMode="External"/><Relationship Id="rId101" Type="http://schemas.openxmlformats.org/officeDocument/2006/relationships/hyperlink" Target="https://www.wsj.com/market-data/quotes/GE/financials/annual/income-statement" TargetMode="External"/><Relationship Id="rId100" Type="http://schemas.openxmlformats.org/officeDocument/2006/relationships/hyperlink" Target="https://www.sec.gov/ix?doc=/Archives/edgar/data/0000014272/000001427221000066/bmy-20201231.htm" TargetMode="External"/><Relationship Id="rId129" Type="http://schemas.openxmlformats.org/officeDocument/2006/relationships/hyperlink" Target="https://www.sec.gov/ix?doc=/Archives/edgar/data/0000100493/000010049322000097/tsn-20221001.htm" TargetMode="External"/><Relationship Id="rId128" Type="http://schemas.openxmlformats.org/officeDocument/2006/relationships/hyperlink" Target="https://www.sec.gov/edgar/browse/?CIK=100493&amp;owner=exclude" TargetMode="External"/><Relationship Id="rId127" Type="http://schemas.openxmlformats.org/officeDocument/2006/relationships/hyperlink" Target="https://www.wsj.com/market-data/quotes/TSN/financials/annual/income-statement" TargetMode="External"/><Relationship Id="rId126" Type="http://schemas.openxmlformats.org/officeDocument/2006/relationships/hyperlink" Target="https://www.sec.gov/ix?doc=/Archives/edgar/data/0000096021/000009602120000100/syy-20200627.htm" TargetMode="External"/><Relationship Id="rId121" Type="http://schemas.openxmlformats.org/officeDocument/2006/relationships/hyperlink" Target="https://www.sec.gov/ixviewer/ix.html?doc=/Archives/edgar/data/1501585/000150158524000007/hii-20231231.htm" TargetMode="External"/><Relationship Id="rId120" Type="http://schemas.openxmlformats.org/officeDocument/2006/relationships/hyperlink" Target="https://www.sec.gov/edgar/browse/?CIK=1501585&amp;owner=exclude" TargetMode="External"/><Relationship Id="rId125" Type="http://schemas.openxmlformats.org/officeDocument/2006/relationships/hyperlink" Target="https://www.sec.gov/ix?doc=/Archives/edgar/data/0000096021/000009602121000093/syy-20210703.htm" TargetMode="External"/><Relationship Id="rId124" Type="http://schemas.openxmlformats.org/officeDocument/2006/relationships/hyperlink" Target="https://www.sec.gov/ix?doc=/Archives/edgar/data/0000096021/000009602122000151/syy-20220702.htm" TargetMode="External"/><Relationship Id="rId123" Type="http://schemas.openxmlformats.org/officeDocument/2006/relationships/hyperlink" Target="https://www.sec.gov/edgar/browse/?CIK=96021&amp;owner=exclude" TargetMode="External"/><Relationship Id="rId122" Type="http://schemas.openxmlformats.org/officeDocument/2006/relationships/hyperlink" Target="https://www.wsj.com/market-data/quotes/SYY/financials/annual/income-statement" TargetMode="External"/><Relationship Id="rId95" Type="http://schemas.openxmlformats.org/officeDocument/2006/relationships/hyperlink" Target="https://www.sec.gov/ix?doc=/Archives/edgar/data/0000006201/000000620121000014/aal-20201231.htm" TargetMode="External"/><Relationship Id="rId94" Type="http://schemas.openxmlformats.org/officeDocument/2006/relationships/hyperlink" Target="https://www.sec.gov/ix?doc=/Archives/edgar/data/0000006201/000000620122000026/aal-20211231.htm" TargetMode="External"/><Relationship Id="rId97" Type="http://schemas.openxmlformats.org/officeDocument/2006/relationships/hyperlink" Target="https://www.sec.gov/edgar/browse/?CIK=14272&amp;owner=exclude" TargetMode="External"/><Relationship Id="rId96" Type="http://schemas.openxmlformats.org/officeDocument/2006/relationships/hyperlink" Target="https://www.wsj.com/market-data/quotes/BMY/financials/annual/income-statement" TargetMode="External"/><Relationship Id="rId99" Type="http://schemas.openxmlformats.org/officeDocument/2006/relationships/hyperlink" Target="https://www.sec.gov/ix?doc=/Archives/edgar/data/0000014272/000001427222000051/bmy-20211231.htm" TargetMode="External"/><Relationship Id="rId98" Type="http://schemas.openxmlformats.org/officeDocument/2006/relationships/hyperlink" Target="https://www.sec.gov/ix?doc=/Archives/edgar/data/0000014272/000001427223000046/bmy-20221231.htm" TargetMode="External"/><Relationship Id="rId91" Type="http://schemas.openxmlformats.org/officeDocument/2006/relationships/hyperlink" Target="https://www.wsj.com/market-data/quotes/AAL/financials/annual/income-statement" TargetMode="External"/><Relationship Id="rId90" Type="http://schemas.openxmlformats.org/officeDocument/2006/relationships/hyperlink" Target="https://www.sec.gov/ix?doc=/Archives/edgar/data/0000899051/000089905121000011/all-20201231.htm" TargetMode="External"/><Relationship Id="rId93" Type="http://schemas.openxmlformats.org/officeDocument/2006/relationships/hyperlink" Target="https://www.sec.gov/ix?doc=/Archives/edgar/data/0000006201/000000620123000018/aal-20221231.htm" TargetMode="External"/><Relationship Id="rId92" Type="http://schemas.openxmlformats.org/officeDocument/2006/relationships/hyperlink" Target="https://www.sec.gov/edgar/browse/?CIK=6201&amp;owner=exclude" TargetMode="External"/><Relationship Id="rId118" Type="http://schemas.openxmlformats.org/officeDocument/2006/relationships/hyperlink" Target="https://www.sec.gov/Archives/edgar/data/200406/000020040619000009/form10-k20181230.htm" TargetMode="External"/><Relationship Id="rId117" Type="http://schemas.openxmlformats.org/officeDocument/2006/relationships/hyperlink" Target="https://www.sec.gov/ix?doc=/Archives/edgar/data/0000200406/000020040620000010/form10-k20191229.htm" TargetMode="External"/><Relationship Id="rId116" Type="http://schemas.openxmlformats.org/officeDocument/2006/relationships/hyperlink" Target="https://www.sec.gov/ix?doc=/Archives/edgar/data/0000200406/000020040621000008/jnj-20210103.htm" TargetMode="External"/><Relationship Id="rId115" Type="http://schemas.openxmlformats.org/officeDocument/2006/relationships/hyperlink" Target="https://www.sec.gov/ix?doc=/Archives/edgar/data/0000200406/000020040622000022/jnj-20220102.htm" TargetMode="External"/><Relationship Id="rId119" Type="http://schemas.openxmlformats.org/officeDocument/2006/relationships/hyperlink" Target="https://www.wsj.com/market-data/quotes/LDOS/financials/annual/income-statement" TargetMode="External"/><Relationship Id="rId110" Type="http://schemas.openxmlformats.org/officeDocument/2006/relationships/hyperlink" Target="https://www.sec.gov/edgar/browse/?CIK=1915657&amp;owner=exclude" TargetMode="External"/><Relationship Id="rId114" Type="http://schemas.openxmlformats.org/officeDocument/2006/relationships/hyperlink" Target="https://www.sec.gov/ix?doc=/Archives/edgar/data/0000200406/000020040623000016/jnj-20230101.htm" TargetMode="External"/><Relationship Id="rId113" Type="http://schemas.openxmlformats.org/officeDocument/2006/relationships/hyperlink" Target="https://www.sec.gov/edgar/browse/?CIK=200406&amp;owner=exclude" TargetMode="External"/><Relationship Id="rId112" Type="http://schemas.openxmlformats.org/officeDocument/2006/relationships/hyperlink" Target="https://www.wsj.com/market-data/quotes/JNJ/financials/annual/income-statement" TargetMode="External"/><Relationship Id="rId111" Type="http://schemas.openxmlformats.org/officeDocument/2006/relationships/hyperlink" Target="https://www.sec.gov/ixviewer/ix.html?doc=/Archives/edgar/data/0001915657/000191565724000040/dino-20231231.htm" TargetMode="External"/><Relationship Id="rId228" Type="http://schemas.openxmlformats.org/officeDocument/2006/relationships/hyperlink" Target="https://www.sec.gov/ix?doc=/Archives/edgar/data/0000007536/000185964423000005/arw-20221231.htm" TargetMode="External"/><Relationship Id="rId227" Type="http://schemas.openxmlformats.org/officeDocument/2006/relationships/hyperlink" Target="https://www.sec.gov/edgar/browse/?CIK=7536&amp;owner=exclude" TargetMode="External"/><Relationship Id="rId226" Type="http://schemas.openxmlformats.org/officeDocument/2006/relationships/hyperlink" Target="https://www.wsj.com/market-data/quotes/ARW/financials/annual/income-statement" TargetMode="External"/><Relationship Id="rId225" Type="http://schemas.openxmlformats.org/officeDocument/2006/relationships/hyperlink" Target="https://www.sec.gov/ix?doc=/Archives/edgar/data/0000012927/000001292719000010/a201812dec3110k.htm" TargetMode="External"/><Relationship Id="rId229" Type="http://schemas.openxmlformats.org/officeDocument/2006/relationships/hyperlink" Target="https://www.sec.gov/ix?doc=/Archives/edgar/data/0000007536/000185964422000008/arw-20211231.htm" TargetMode="External"/><Relationship Id="rId220" Type="http://schemas.openxmlformats.org/officeDocument/2006/relationships/hyperlink" Target="https://www.sec.gov/ix?doc=/Archives/edgar/data/12927/000001292724000010/ba-20231231.htm" TargetMode="External"/><Relationship Id="rId224" Type="http://schemas.openxmlformats.org/officeDocument/2006/relationships/hyperlink" Target="https://www.sec.gov/ix?doc=/Archives/edgar/data/0000012927/000001292720000014/a201912dec3110k.htm" TargetMode="External"/><Relationship Id="rId223" Type="http://schemas.openxmlformats.org/officeDocument/2006/relationships/hyperlink" Target="https://www.sec.gov/ix?doc=/Archives/edgar/data/0000012927/000001292721000011/ba-20201231.htm" TargetMode="External"/><Relationship Id="rId222" Type="http://schemas.openxmlformats.org/officeDocument/2006/relationships/hyperlink" Target="https://www.sec.gov/ix?doc=/Archives/edgar/data/0000012927/000001292722000010/ba-20211231.htm" TargetMode="External"/><Relationship Id="rId221" Type="http://schemas.openxmlformats.org/officeDocument/2006/relationships/hyperlink" Target="https://www.sec.gov/ix?doc=/Archives/edgar/data/0000012927/000001292723000007/ba-20221231.htm" TargetMode="External"/><Relationship Id="rId217" Type="http://schemas.openxmlformats.org/officeDocument/2006/relationships/hyperlink" Target="https://www.sec.gov/ixviewer/ix.html?doc=/Archives/edgar/data/1730168/000173016823000096/avgo-20231029.htm" TargetMode="External"/><Relationship Id="rId216" Type="http://schemas.openxmlformats.org/officeDocument/2006/relationships/hyperlink" Target="https://www.sec.gov/edgar/browse/?CIK=1730168&amp;owner=exclude" TargetMode="External"/><Relationship Id="rId215" Type="http://schemas.openxmlformats.org/officeDocument/2006/relationships/hyperlink" Target="https://www.wsj.com/market-data/quotes/AVGO/financials/annual/income-statement" TargetMode="External"/><Relationship Id="rId214" Type="http://schemas.openxmlformats.org/officeDocument/2006/relationships/hyperlink" Target="https://www.sec.gov/ix?doc=/Archives/edgar/data/0001571996/000157199619000008/delltechnologiesfy1910k.htm" TargetMode="External"/><Relationship Id="rId219" Type="http://schemas.openxmlformats.org/officeDocument/2006/relationships/hyperlink" Target="https://www.sec.gov/edgar/browse/?CIK=12927&amp;owner=exclude" TargetMode="External"/><Relationship Id="rId218" Type="http://schemas.openxmlformats.org/officeDocument/2006/relationships/hyperlink" Target="https://www.wsj.com/market-data/quotes/BA/financials/annual/income-statement" TargetMode="External"/><Relationship Id="rId213" Type="http://schemas.openxmlformats.org/officeDocument/2006/relationships/hyperlink" Target="https://www.sec.gov/ix?doc=/Archives/edgar/data/0001571996/000157199620000017/delltechnologiesfy2010k.htm" TargetMode="External"/><Relationship Id="rId212" Type="http://schemas.openxmlformats.org/officeDocument/2006/relationships/hyperlink" Target="https://www.sec.gov/ix?doc=/Archives/edgar/data/0001571996/000157199621000007/dell-20210129.htm" TargetMode="External"/><Relationship Id="rId211" Type="http://schemas.openxmlformats.org/officeDocument/2006/relationships/hyperlink" Target="https://www.sec.gov/ix?doc=/Archives/edgar/data/0001571996/000157199622000009/dell-20220128.htm" TargetMode="External"/><Relationship Id="rId210" Type="http://schemas.openxmlformats.org/officeDocument/2006/relationships/hyperlink" Target="https://www.sec.gov/ix?doc=/Archives/edgar/data/0001571996/000157199623000007/dell-20230203.htm" TargetMode="External"/><Relationship Id="rId242" Type="http://schemas.openxmlformats.org/officeDocument/2006/relationships/hyperlink" Target="https://www.sec.gov/ix?doc=/Archives/edgar/data/1341439/000095017023028914/orcl-20230531.htm" TargetMode="External"/><Relationship Id="rId241" Type="http://schemas.openxmlformats.org/officeDocument/2006/relationships/hyperlink" Target="https://www.sec.gov/edgar/browse/?CIK=1341439&amp;owner=exclude" TargetMode="External"/><Relationship Id="rId240" Type="http://schemas.openxmlformats.org/officeDocument/2006/relationships/hyperlink" Target="https://www.wsj.com/market-data/quotes/ORCL/financials/annual/income-statement" TargetMode="External"/><Relationship Id="rId246" Type="http://schemas.openxmlformats.org/officeDocument/2006/relationships/drawing" Target="../drawings/drawing11.xml"/><Relationship Id="rId245" Type="http://schemas.openxmlformats.org/officeDocument/2006/relationships/hyperlink" Target="https://www.sec.gov/ix?doc=/Archives/edgar/data/0001341439/000156459020030125/orcl-10k_20200531.htm" TargetMode="External"/><Relationship Id="rId244" Type="http://schemas.openxmlformats.org/officeDocument/2006/relationships/hyperlink" Target="https://www.sec.gov/ix?doc=/Archives/edgar/data/0001341439/000156459021033616/orcl-10k_20210531.htm" TargetMode="External"/><Relationship Id="rId243" Type="http://schemas.openxmlformats.org/officeDocument/2006/relationships/hyperlink" Target="https://www.sec.gov/ix?doc=/Archives/edgar/data/0001341439/000156459022023675/orcl-10k_20220531.htm" TargetMode="External"/><Relationship Id="rId239" Type="http://schemas.openxmlformats.org/officeDocument/2006/relationships/hyperlink" Target="https://www.sec.gov/ix?doc=/Archives/edgar/data/59478/000005947824000065/lly-20231231.htm" TargetMode="External"/><Relationship Id="rId238" Type="http://schemas.openxmlformats.org/officeDocument/2006/relationships/hyperlink" Target="https://www.sec.gov/edgar/browse/?CIK=59478&amp;owner=exclude" TargetMode="External"/><Relationship Id="rId237" Type="http://schemas.openxmlformats.org/officeDocument/2006/relationships/hyperlink" Target="https://www.wsj.com/market-data/quotes/LLY/financials/annual/income-statement" TargetMode="External"/><Relationship Id="rId236" Type="http://schemas.openxmlformats.org/officeDocument/2006/relationships/hyperlink" Target="https://www.sec.gov/ix?doc=/Archives/edgar/data/0000078003/000007800320000014/pfe-12312019x10kshell.htm" TargetMode="External"/><Relationship Id="rId231" Type="http://schemas.openxmlformats.org/officeDocument/2006/relationships/hyperlink" Target="https://www.wsj.com/market-data/quotes/PFE/financials/annual/income-statement" TargetMode="External"/><Relationship Id="rId230" Type="http://schemas.openxmlformats.org/officeDocument/2006/relationships/hyperlink" Target="https://www.sec.gov/ix?doc=/Archives/edgar/data/0000007536/000173339121000003/arw-20201231.htm" TargetMode="External"/><Relationship Id="rId235" Type="http://schemas.openxmlformats.org/officeDocument/2006/relationships/hyperlink" Target="https://www.sec.gov/ix?doc=/Archives/edgar/data/0000078003/000007800321000038/pfe-20201231.htm" TargetMode="External"/><Relationship Id="rId234" Type="http://schemas.openxmlformats.org/officeDocument/2006/relationships/hyperlink" Target="https://www.sec.gov/ix?doc=/Archives/edgar/data/0000078003/000007800322000027/pfe-20211231.htm" TargetMode="External"/><Relationship Id="rId233" Type="http://schemas.openxmlformats.org/officeDocument/2006/relationships/hyperlink" Target="https://www.sec.gov/ix?doc=/Archives/edgar/data/0000078003/000007800323000024/pfe-20221231.htm" TargetMode="External"/><Relationship Id="rId232" Type="http://schemas.openxmlformats.org/officeDocument/2006/relationships/hyperlink" Target="https://www.sec.gov/edgar/browse/?CIK=78003&amp;owner=exclude" TargetMode="External"/><Relationship Id="rId206" Type="http://schemas.openxmlformats.org/officeDocument/2006/relationships/hyperlink" Target="https://www.sec.gov/edgar/browse/?CIK=1637459&amp;owner=exclude" TargetMode="External"/><Relationship Id="rId205" Type="http://schemas.openxmlformats.org/officeDocument/2006/relationships/hyperlink" Target="https://www.wsj.com/market-data/quotes/KHC/financials/annual/income-statement" TargetMode="External"/><Relationship Id="rId204" Type="http://schemas.openxmlformats.org/officeDocument/2006/relationships/hyperlink" Target="https://www.sec.gov/ixviewer/ix.html?doc=/Archives/edgar/data/0001666700/000166670024000008/dd-20231231.htm" TargetMode="External"/><Relationship Id="rId203" Type="http://schemas.openxmlformats.org/officeDocument/2006/relationships/hyperlink" Target="https://www.sec.gov/edgar/browse/?CIK=1666700&amp;owner=exclude" TargetMode="External"/><Relationship Id="rId209" Type="http://schemas.openxmlformats.org/officeDocument/2006/relationships/hyperlink" Target="https://www.sec.gov/edgar/browse/?CIK=1571996&amp;owner=exclude" TargetMode="External"/><Relationship Id="rId208" Type="http://schemas.openxmlformats.org/officeDocument/2006/relationships/hyperlink" Target="https://www.wsj.com/market-data/quotes/DELL/financials/annual/income-statement" TargetMode="External"/><Relationship Id="rId207" Type="http://schemas.openxmlformats.org/officeDocument/2006/relationships/hyperlink" Target="https://www.sec.gov/ix?doc=/Archives/edgar/data/1637459/000163745924000018/khc-20231230.htm" TargetMode="External"/><Relationship Id="rId202" Type="http://schemas.openxmlformats.org/officeDocument/2006/relationships/hyperlink" Target="https://www.wsj.com/market-data/quotes/DD/financials/annual/income-statement" TargetMode="External"/><Relationship Id="rId201" Type="http://schemas.openxmlformats.org/officeDocument/2006/relationships/hyperlink" Target="https://www.sec.gov/ix?doc=/Archives/edgar/data/0000100517/000010051721000016/ual-20201231.htm" TargetMode="External"/><Relationship Id="rId200" Type="http://schemas.openxmlformats.org/officeDocument/2006/relationships/hyperlink" Target="https://www.sec.gov/ix?doc=/Archives/edgar/data/0000100517/000010051722000009/ual-20211231.htm"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wsj.com/market-data/quotes/TMUS/financials/annual/income-statement"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sec.gov/edgar/browse/?CIK=1065280&amp;owner=exclude"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sm.forecastinternational.com/wordpress/2023/02/22/top-100-defense-contractors-2022/" TargetMode="External"/><Relationship Id="rId2" Type="http://schemas.openxmlformats.org/officeDocument/2006/relationships/hyperlink" Target="https://dsm.forecastinternational.com/wordpress/2022/07/26/top-100-defense-contractors-2021/" TargetMode="External"/><Relationship Id="rId3" Type="http://schemas.openxmlformats.org/officeDocument/2006/relationships/hyperlink" Target="https://dsm.forecastinternational.com/wordpress/2021/02/02/top-100-defense-contractors-2020/" TargetMode="External"/><Relationship Id="rId4" Type="http://schemas.openxmlformats.org/officeDocument/2006/relationships/hyperlink" Target="https://dsm.forecastinternational.com/wordpress/2020/04/13/top-100-federal-contractors-fy19/" TargetMode="External"/><Relationship Id="rId5" Type="http://schemas.openxmlformats.org/officeDocument/2006/relationships/hyperlink" Target="https://dsm.forecastinternational.com/wordpress/2019/05/07/top-100-federal-contractors-fy2018/" TargetMode="External"/><Relationship Id="rId6"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3" width="11.38"/>
    <col customWidth="1" min="4" max="5" width="10.13"/>
    <col customWidth="1" hidden="1" min="6" max="7" width="10.13"/>
  </cols>
  <sheetData>
    <row r="1">
      <c r="A1" s="1"/>
      <c r="B1" s="2" t="s">
        <v>0</v>
      </c>
      <c r="C1" s="2" t="s">
        <v>1</v>
      </c>
      <c r="D1" s="2" t="s">
        <v>2</v>
      </c>
      <c r="E1" s="2" t="s">
        <v>3</v>
      </c>
      <c r="F1" s="2" t="s">
        <v>4</v>
      </c>
      <c r="G1" s="2" t="s">
        <v>5</v>
      </c>
    </row>
    <row r="2">
      <c r="B2" s="3" t="s">
        <v>6</v>
      </c>
      <c r="C2" s="4"/>
      <c r="D2" s="4"/>
      <c r="E2" s="4"/>
      <c r="F2" s="4"/>
      <c r="G2" s="5"/>
    </row>
    <row r="3">
      <c r="A3" s="6" t="s">
        <v>7</v>
      </c>
      <c r="B3" s="7">
        <f>'Chart-2'!B39</f>
        <v>277426.71</v>
      </c>
      <c r="C3" s="7">
        <f>'Chart-2'!C39</f>
        <v>-1718.97</v>
      </c>
      <c r="D3" s="8">
        <f>C3/B3</f>
        <v>-0.006196122933</v>
      </c>
      <c r="E3" s="7">
        <f>'Chart-2'!E39</f>
        <v>9491.610037</v>
      </c>
      <c r="F3" s="7">
        <f>'Chart-2'!F39</f>
        <v>86998.993</v>
      </c>
      <c r="G3" s="7">
        <f>'Chart-2'!G39</f>
        <v>147904.715</v>
      </c>
    </row>
    <row r="4" ht="7.5" customHeight="1">
      <c r="A4" s="9"/>
    </row>
    <row r="5">
      <c r="A5" s="6" t="s">
        <v>8</v>
      </c>
      <c r="B5" s="10">
        <f>'Chart-3'!B33</f>
        <v>380289.31</v>
      </c>
      <c r="C5" s="10">
        <f>'Chart-3'!C33</f>
        <v>20010.68</v>
      </c>
      <c r="D5" s="8">
        <f>C5/B5</f>
        <v>0.05261962268</v>
      </c>
      <c r="E5" s="10">
        <f>'Chart-3'!E33</f>
        <v>5605.175789</v>
      </c>
      <c r="F5" s="10">
        <f>'Chart-3'!F33</f>
        <v>160483.799</v>
      </c>
      <c r="G5" s="10">
        <f>'Chart-3'!G33</f>
        <v>217210.28</v>
      </c>
    </row>
    <row r="6" ht="7.5" customHeight="1">
      <c r="A6" s="9"/>
      <c r="B6" s="9"/>
      <c r="C6" s="9"/>
      <c r="D6" s="9"/>
      <c r="E6" s="9"/>
      <c r="F6" s="9"/>
      <c r="G6" s="9"/>
    </row>
    <row r="7" ht="30.0" customHeight="1">
      <c r="A7" s="11" t="s">
        <v>9</v>
      </c>
      <c r="B7" s="7">
        <f>'Key Findings'!R3</f>
        <v>657716.02</v>
      </c>
      <c r="C7" s="7">
        <f>'Key Findings'!Y3</f>
        <v>18291.71</v>
      </c>
      <c r="D7" s="8">
        <f>C7/B7</f>
        <v>0.02781095403</v>
      </c>
      <c r="E7" s="12">
        <f>'Key Findings'!D3/1000000</f>
        <v>15096.78583</v>
      </c>
      <c r="F7" s="7">
        <f>'Key Findings'!AM3</f>
        <v>247482.792</v>
      </c>
      <c r="G7" s="7">
        <f>'Key Findings'!AT3</f>
        <v>365114.995</v>
      </c>
    </row>
    <row r="8">
      <c r="A8" s="13"/>
      <c r="B8" s="14"/>
      <c r="C8" s="14"/>
      <c r="D8" s="14"/>
      <c r="E8" s="14"/>
      <c r="F8" s="14"/>
      <c r="G8" s="14"/>
    </row>
    <row r="9">
      <c r="A9" s="15"/>
      <c r="B9" s="16"/>
      <c r="C9" s="16"/>
      <c r="D9" s="16"/>
      <c r="E9" s="16"/>
      <c r="F9" s="16"/>
      <c r="G9" s="16"/>
    </row>
    <row r="10">
      <c r="A10" s="15"/>
      <c r="B10" s="16"/>
      <c r="C10" s="16"/>
      <c r="D10" s="16"/>
      <c r="E10" s="16"/>
      <c r="F10" s="16"/>
      <c r="G10" s="16"/>
    </row>
    <row r="11">
      <c r="A11" s="15"/>
      <c r="B11" s="16"/>
      <c r="C11" s="16"/>
      <c r="D11" s="16"/>
      <c r="E11" s="16"/>
      <c r="F11" s="16"/>
      <c r="G11" s="16"/>
    </row>
    <row r="12">
      <c r="A12" s="15"/>
      <c r="B12" s="16"/>
      <c r="C12" s="16"/>
      <c r="D12" s="16"/>
      <c r="E12" s="16"/>
      <c r="F12" s="16"/>
      <c r="G12" s="16"/>
    </row>
    <row r="13">
      <c r="A13" s="15"/>
      <c r="B13" s="16"/>
      <c r="C13" s="16"/>
      <c r="D13" s="16"/>
      <c r="E13" s="16"/>
      <c r="F13" s="16"/>
      <c r="G13" s="16"/>
    </row>
    <row r="14">
      <c r="A14" s="15"/>
      <c r="B14" s="16"/>
      <c r="C14" s="16"/>
      <c r="D14" s="16"/>
      <c r="E14" s="16"/>
      <c r="F14" s="16"/>
      <c r="G14" s="16"/>
    </row>
    <row r="15">
      <c r="A15" s="15"/>
      <c r="B15" s="16"/>
      <c r="C15" s="16"/>
      <c r="D15" s="16"/>
      <c r="E15" s="16"/>
      <c r="F15" s="16"/>
      <c r="G15" s="16"/>
    </row>
    <row r="16">
      <c r="A16" s="15"/>
      <c r="B16" s="16"/>
      <c r="C16" s="16"/>
      <c r="D16" s="16"/>
      <c r="E16" s="16"/>
      <c r="F16" s="16"/>
      <c r="G16" s="16"/>
    </row>
    <row r="17">
      <c r="A17" s="15"/>
      <c r="B17" s="16"/>
      <c r="C17" s="16"/>
      <c r="D17" s="16"/>
      <c r="E17" s="16"/>
      <c r="F17" s="16"/>
      <c r="G17" s="16"/>
    </row>
    <row r="18">
      <c r="A18" s="15"/>
      <c r="B18" s="16"/>
      <c r="C18" s="16"/>
      <c r="D18" s="16"/>
      <c r="E18" s="16"/>
      <c r="F18" s="16"/>
      <c r="G18" s="16"/>
    </row>
    <row r="19">
      <c r="A19" s="15"/>
      <c r="B19" s="16"/>
      <c r="C19" s="16"/>
      <c r="D19" s="16"/>
      <c r="E19" s="16"/>
      <c r="F19" s="16"/>
      <c r="G19" s="16"/>
    </row>
    <row r="20">
      <c r="A20" s="15"/>
      <c r="B20" s="16"/>
      <c r="C20" s="16"/>
      <c r="D20" s="16"/>
      <c r="E20" s="16"/>
      <c r="F20" s="16"/>
      <c r="G20" s="16"/>
    </row>
  </sheetData>
  <mergeCells count="3">
    <mergeCell ref="A1:A2"/>
    <mergeCell ref="B2:G2"/>
    <mergeCell ref="A4:G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8"/>
    <col customWidth="1" min="2" max="5" width="12.63"/>
    <col customWidth="1" hidden="1" min="6" max="8" width="12.63"/>
  </cols>
  <sheetData>
    <row r="1">
      <c r="A1" s="17" t="s">
        <v>10</v>
      </c>
      <c r="B1" s="18" t="s">
        <v>0</v>
      </c>
      <c r="C1" s="18" t="s">
        <v>1</v>
      </c>
      <c r="D1" s="18" t="s">
        <v>2</v>
      </c>
      <c r="E1" s="18" t="s">
        <v>11</v>
      </c>
      <c r="F1" s="18" t="s">
        <v>4</v>
      </c>
      <c r="G1" s="18" t="s">
        <v>5</v>
      </c>
      <c r="H1" s="19"/>
    </row>
    <row r="2">
      <c r="A2" s="20"/>
      <c r="B2" s="21" t="s">
        <v>6</v>
      </c>
      <c r="C2" s="4"/>
      <c r="D2" s="4"/>
      <c r="E2" s="4"/>
      <c r="F2" s="4"/>
      <c r="G2" s="5"/>
      <c r="H2" s="22"/>
    </row>
    <row r="3">
      <c r="A3" s="23" t="s">
        <v>12</v>
      </c>
      <c r="B3" s="24">
        <f t="array" ref="B3">INDEX('Key Findings'!R:R,Match($A3,'Key Findings'!$B:$B,0))</f>
        <v>23965</v>
      </c>
      <c r="C3" s="24">
        <f t="array" ref="C3">INDEX('Key Findings'!Y:Y,Match($A3,'Key Findings'!$B:$B,0))</f>
        <v>287</v>
      </c>
      <c r="D3" s="25">
        <f t="shared" ref="D3:D37" si="1">C3/B3</f>
        <v>0.01197579804</v>
      </c>
      <c r="E3" s="24">
        <f t="array" ref="E3">INDEX('Key Findings'!D:D,Match($A3,'Key Findings'!$B:$B,0))/1000000</f>
        <v>324.823145</v>
      </c>
      <c r="F3" s="24">
        <f t="array" ref="F3">INDEX('Key Findings'!AM:AM,Match($A3,'Key Findings'!$B:$B,0))</f>
        <v>0</v>
      </c>
      <c r="G3" s="24">
        <f t="array" ref="G3">INDEX('Key Findings'!AT:AT,Match($A3,'Key Findings'!$B:$B,0))</f>
        <v>13628</v>
      </c>
      <c r="H3" s="26"/>
    </row>
    <row r="4">
      <c r="A4" s="27" t="s">
        <v>13</v>
      </c>
      <c r="B4" s="10">
        <f t="array" ref="B4">INDEX('Key Findings'!R:R,Match($A4,'Key Findings'!$B:$B,0))</f>
        <v>17916.13</v>
      </c>
      <c r="C4" s="10">
        <f t="array" ref="C4">INDEX('Key Findings'!Y:Y,Match($A4,'Key Findings'!$B:$B,0))</f>
        <v>-80</v>
      </c>
      <c r="D4" s="28">
        <f t="shared" si="1"/>
        <v>-0.004465250029</v>
      </c>
      <c r="E4" s="10">
        <f t="array" ref="E4">INDEX('Key Findings'!D:D,Match($A4,'Key Findings'!$B:$B,0))/1000000</f>
        <v>675.159996</v>
      </c>
      <c r="F4" s="10">
        <f t="array" ref="F4">INDEX('Key Findings'!AM:AM,Match($A4,'Key Findings'!$B:$B,0))</f>
        <v>23607</v>
      </c>
      <c r="G4" s="10">
        <f t="array" ref="G4">INDEX('Key Findings'!AT:AT,Match($A4,'Key Findings'!$B:$B,0))</f>
        <v>0</v>
      </c>
      <c r="H4" s="29"/>
    </row>
    <row r="5">
      <c r="A5" s="30" t="s">
        <v>14</v>
      </c>
      <c r="B5" s="24">
        <f t="array" ref="B5">INDEX('Key Findings'!R:R,Match($A5,'Key Findings'!$B:$B,0))</f>
        <v>17687</v>
      </c>
      <c r="C5" s="24">
        <f t="array" ref="C5">INDEX('Key Findings'!Y:Y,Match($A5,'Key Findings'!$B:$B,0))</f>
        <v>385</v>
      </c>
      <c r="D5" s="25">
        <f t="shared" si="1"/>
        <v>0.02176739979</v>
      </c>
      <c r="E5" s="24">
        <f t="array" ref="E5">INDEX('Key Findings'!D:D,Match($A5,'Key Findings'!$B:$B,0))/1000000</f>
        <v>406.143128</v>
      </c>
      <c r="F5" s="24">
        <f t="array" ref="F5">INDEX('Key Findings'!AM:AM,Match($A5,'Key Findings'!$B:$B,0))</f>
        <v>10037</v>
      </c>
      <c r="G5" s="24">
        <f t="array" ref="G5">INDEX('Key Findings'!AT:AT,Match($A5,'Key Findings'!$B:$B,0))</f>
        <v>5529</v>
      </c>
      <c r="H5" s="26"/>
    </row>
    <row r="6">
      <c r="A6" s="31" t="s">
        <v>15</v>
      </c>
      <c r="B6" s="10">
        <f t="array" ref="B6">INDEX('Key Findings'!R:R,Match($A6,'Key Findings'!$B:$B,0))</f>
        <v>15624</v>
      </c>
      <c r="C6" s="10">
        <f t="array" ref="C6">INDEX('Key Findings'!Y:Y,Match($A6,'Key Findings'!$B:$B,0))</f>
        <v>-1228</v>
      </c>
      <c r="D6" s="28">
        <f t="shared" si="1"/>
        <v>-0.07859703021</v>
      </c>
      <c r="E6" s="10">
        <f t="array" ref="E6">INDEX('Key Findings'!D:D,Match($A6,'Key Findings'!$B:$B,0))/1000000</f>
        <v>180.556097</v>
      </c>
      <c r="F6" s="10">
        <f t="array" ref="F6">INDEX('Key Findings'!AM:AM,Match($A6,'Key Findings'!$B:$B,0))</f>
        <v>0</v>
      </c>
      <c r="G6" s="10">
        <f t="array" ref="G6">INDEX('Key Findings'!AT:AT,Match($A6,'Key Findings'!$B:$B,0))</f>
        <v>14244</v>
      </c>
      <c r="H6" s="29"/>
    </row>
    <row r="7">
      <c r="A7" s="32" t="s">
        <v>16</v>
      </c>
      <c r="B7" s="24">
        <f t="array" ref="B7">INDEX('Key Findings'!R:R,Match($A7,'Key Findings'!$B:$B,0))</f>
        <v>15079.54</v>
      </c>
      <c r="C7" s="24">
        <f t="array" ref="C7">INDEX('Key Findings'!Y:Y,Match($A7,'Key Findings'!$B:$B,0))</f>
        <v>235.98</v>
      </c>
      <c r="D7" s="25">
        <f t="shared" si="1"/>
        <v>0.01564901847</v>
      </c>
      <c r="E7" s="24">
        <f t="array" ref="E7">INDEX('Key Findings'!D:D,Match($A7,'Key Findings'!$B:$B,0))/1000000</f>
        <v>651.925175</v>
      </c>
      <c r="F7" s="24">
        <f t="array" ref="F7">INDEX('Key Findings'!AM:AM,Match($A7,'Key Findings'!$B:$B,0))</f>
        <v>600.022</v>
      </c>
      <c r="G7" s="24">
        <f t="array" ref="G7">INDEX('Key Findings'!AT:AT,Match($A7,'Key Findings'!$B:$B,0))</f>
        <v>0</v>
      </c>
      <c r="H7" s="26"/>
    </row>
    <row r="8">
      <c r="A8" s="31" t="s">
        <v>17</v>
      </c>
      <c r="B8" s="10">
        <f t="array" ref="B8">INDEX('Key Findings'!R:R,Match($A8,'Key Findings'!$B:$B,0))</f>
        <v>12782.84</v>
      </c>
      <c r="C8" s="10">
        <f t="array" ref="C8">INDEX('Key Findings'!Y:Y,Match($A8,'Key Findings'!$B:$B,0))</f>
        <v>89.71</v>
      </c>
      <c r="D8" s="28">
        <f t="shared" si="1"/>
        <v>0.007018002259</v>
      </c>
      <c r="E8" s="10">
        <f t="array" ref="E8">INDEX('Key Findings'!D:D,Match($A8,'Key Findings'!$B:$B,0))/1000000</f>
        <v>164.303386</v>
      </c>
      <c r="F8" s="10">
        <f t="array" ref="F8">INDEX('Key Findings'!AM:AM,Match($A8,'Key Findings'!$B:$B,0))</f>
        <v>0</v>
      </c>
      <c r="G8" s="10">
        <f t="array" ref="G8">INDEX('Key Findings'!AT:AT,Match($A8,'Key Findings'!$B:$B,0))</f>
        <v>0</v>
      </c>
      <c r="H8" s="29"/>
    </row>
    <row r="9">
      <c r="A9" s="32" t="s">
        <v>18</v>
      </c>
      <c r="B9" s="24">
        <f t="array" ref="B9">INDEX('Key Findings'!R:R,Match($A9,'Key Findings'!$B:$B,0))</f>
        <v>11976.3</v>
      </c>
      <c r="C9" s="24">
        <f t="array" ref="C9">INDEX('Key Findings'!Y:Y,Match($A9,'Key Findings'!$B:$B,0))</f>
        <v>45.9</v>
      </c>
      <c r="D9" s="25">
        <f t="shared" si="1"/>
        <v>0.003832569324</v>
      </c>
      <c r="E9" s="24">
        <f t="array" ref="E9">INDEX('Key Findings'!D:D,Match($A9,'Key Findings'!$B:$B,0))/1000000</f>
        <v>170.202177</v>
      </c>
      <c r="F9" s="24">
        <f t="array" ref="F9">INDEX('Key Findings'!AM:AM,Match($A9,'Key Findings'!$B:$B,0))</f>
        <v>3892</v>
      </c>
      <c r="G9" s="24">
        <f t="array" ref="G9">INDEX('Key Findings'!AT:AT,Match($A9,'Key Findings'!$B:$B,0))</f>
        <v>3115.5</v>
      </c>
      <c r="H9" s="26"/>
    </row>
    <row r="10">
      <c r="A10" s="33" t="s">
        <v>19</v>
      </c>
      <c r="B10" s="10">
        <f t="array" ref="B10">INDEX('Key Findings'!R:R,Match($A10,'Key Findings'!$B:$B,0))</f>
        <v>11658</v>
      </c>
      <c r="C10" s="10">
        <f t="array" ref="C10">INDEX('Key Findings'!Y:Y,Match($A10,'Key Findings'!$B:$B,0))</f>
        <v>96</v>
      </c>
      <c r="D10" s="28">
        <f t="shared" si="1"/>
        <v>0.008234688626</v>
      </c>
      <c r="E10" s="10">
        <f t="array" ref="E10">INDEX('Key Findings'!D:D,Match($A10,'Key Findings'!$B:$B,0))/1000000</f>
        <v>239.636188</v>
      </c>
      <c r="F10" s="10">
        <f t="array" ref="F10">INDEX('Key Findings'!AM:AM,Match($A10,'Key Findings'!$B:$B,0))</f>
        <v>15057</v>
      </c>
      <c r="G10" s="10">
        <f t="array" ref="G10">INDEX('Key Findings'!AT:AT,Match($A10,'Key Findings'!$B:$B,0))</f>
        <v>9124</v>
      </c>
      <c r="H10" s="29"/>
    </row>
    <row r="11">
      <c r="A11" s="32" t="s">
        <v>20</v>
      </c>
      <c r="B11" s="24">
        <f t="array" ref="B11">INDEX('Key Findings'!R:R,Match($A11,'Key Findings'!$B:$B,0))</f>
        <v>10835.6</v>
      </c>
      <c r="C11" s="24">
        <f t="array" ref="C11">INDEX('Key Findings'!Y:Y,Match($A11,'Key Findings'!$B:$B,0))</f>
        <v>-92</v>
      </c>
      <c r="D11" s="25">
        <f t="shared" si="1"/>
        <v>-0.008490531212</v>
      </c>
      <c r="E11" s="24">
        <f t="array" ref="E11">INDEX('Key Findings'!D:D,Match($A11,'Key Findings'!$B:$B,0))/1000000</f>
        <v>157.349849</v>
      </c>
      <c r="F11" s="24">
        <f t="array" ref="F11">INDEX('Key Findings'!AM:AM,Match($A11,'Key Findings'!$B:$B,0))</f>
        <v>0</v>
      </c>
      <c r="G11" s="24">
        <f t="array" ref="G11">INDEX('Key Findings'!AT:AT,Match($A11,'Key Findings'!$B:$B,0))</f>
        <v>7195.1</v>
      </c>
      <c r="H11" s="26"/>
    </row>
    <row r="12">
      <c r="A12" s="31" t="s">
        <v>21</v>
      </c>
      <c r="B12" s="10">
        <f t="array" ref="B12">INDEX('Key Findings'!R:R,Match($A12,'Key Findings'!$B:$B,0))</f>
        <v>12867.48</v>
      </c>
      <c r="C12" s="10">
        <f t="array" ref="C12">INDEX('Key Findings'!Y:Y,Match($A12,'Key Findings'!$B:$B,0))</f>
        <v>-44</v>
      </c>
      <c r="D12" s="28">
        <f t="shared" si="1"/>
        <v>-0.003419472966</v>
      </c>
      <c r="E12" s="10">
        <f t="array" ref="E12">INDEX('Key Findings'!D:D,Match($A12,'Key Findings'!$B:$B,0))/1000000</f>
        <v>117.083965</v>
      </c>
      <c r="F12" s="10">
        <f t="array" ref="F12">INDEX('Key Findings'!AM:AM,Match($A12,'Key Findings'!$B:$B,0))</f>
        <v>693</v>
      </c>
      <c r="G12" s="10">
        <f t="array" ref="G12">INDEX('Key Findings'!AT:AT,Match($A12,'Key Findings'!$B:$B,0))</f>
        <v>11246</v>
      </c>
      <c r="H12" s="29"/>
    </row>
    <row r="13">
      <c r="A13" s="32" t="s">
        <v>22</v>
      </c>
      <c r="B13" s="24">
        <f t="array" ref="B13">INDEX('Key Findings'!R:R,Match($A13,'Key Findings'!$B:$B,0))</f>
        <v>10200</v>
      </c>
      <c r="C13" s="24">
        <f t="array" ref="C13">INDEX('Key Findings'!Y:Y,Match($A13,'Key Findings'!$B:$B,0))</f>
        <v>-482</v>
      </c>
      <c r="D13" s="25">
        <f t="shared" si="1"/>
        <v>-0.04725490196</v>
      </c>
      <c r="E13" s="24">
        <f t="array" ref="E13">INDEX('Key Findings'!D:D,Match($A13,'Key Findings'!$B:$B,0))/1000000</f>
        <v>155.726849</v>
      </c>
      <c r="F13" s="24">
        <f t="array" ref="F13">INDEX('Key Findings'!AM:AM,Match($A13,'Key Findings'!$B:$B,0))</f>
        <v>4690</v>
      </c>
      <c r="G13" s="24">
        <f t="array" ref="G13">INDEX('Key Findings'!AT:AT,Match($A13,'Key Findings'!$B:$B,0))</f>
        <v>12286</v>
      </c>
      <c r="H13" s="26"/>
    </row>
    <row r="14">
      <c r="A14" s="34" t="s">
        <v>23</v>
      </c>
      <c r="B14" s="10">
        <f t="array" ref="B14">INDEX('Key Findings'!R:R,Match($A14,'Key Findings'!$B:$B,0))</f>
        <v>8179.16</v>
      </c>
      <c r="C14" s="10">
        <f t="array" ref="C14">INDEX('Key Findings'!Y:Y,Match($A14,'Key Findings'!$B:$B,0))</f>
        <v>54.87</v>
      </c>
      <c r="D14" s="28">
        <f t="shared" si="1"/>
        <v>0.006708512855</v>
      </c>
      <c r="E14" s="10">
        <f t="array" ref="E14">INDEX('Key Findings'!D:D,Match($A14,'Key Findings'!$B:$B,0))/1000000</f>
        <v>107.199343</v>
      </c>
      <c r="F14" s="10">
        <f t="array" ref="F14">INDEX('Key Findings'!AM:AM,Match($A14,'Key Findings'!$B:$B,0))</f>
        <v>0</v>
      </c>
      <c r="G14" s="10">
        <f t="array" ref="G14">INDEX('Key Findings'!AT:AT,Match($A14,'Key Findings'!$B:$B,0))</f>
        <v>7737.07</v>
      </c>
      <c r="H14" s="29"/>
    </row>
    <row r="15">
      <c r="A15" s="30" t="s">
        <v>24</v>
      </c>
      <c r="B15" s="24">
        <f t="array" ref="B15">INDEX('Key Findings'!R:R,Match($A15,'Key Findings'!$B:$B,0))</f>
        <v>7840</v>
      </c>
      <c r="C15" s="24">
        <f t="array" ref="C15">INDEX('Key Findings'!Y:Y,Match($A15,'Key Findings'!$B:$B,0))</f>
        <v>121</v>
      </c>
      <c r="D15" s="25">
        <f t="shared" si="1"/>
        <v>0.01543367347</v>
      </c>
      <c r="E15" s="24">
        <f t="array" ref="E15">INDEX('Key Findings'!D:D,Match($A15,'Key Findings'!$B:$B,0))/1000000</f>
        <v>354.886022</v>
      </c>
      <c r="F15" s="24">
        <f t="array" ref="F15">INDEX('Key Findings'!AM:AM,Match($A15,'Key Findings'!$B:$B,0))</f>
        <v>885</v>
      </c>
      <c r="G15" s="24">
        <f t="array" ref="G15">INDEX('Key Findings'!AT:AT,Match($A15,'Key Findings'!$B:$B,0))</f>
        <v>8302</v>
      </c>
      <c r="H15" s="26"/>
    </row>
    <row r="16">
      <c r="A16" s="34" t="s">
        <v>25</v>
      </c>
      <c r="B16" s="10">
        <f t="array" ref="B16">INDEX('Key Findings'!R:R,Match($A16,'Key Findings'!$B:$B,0))</f>
        <v>7818</v>
      </c>
      <c r="C16" s="10">
        <f t="array" ref="C16">INDEX('Key Findings'!Y:Y,Match($A16,'Key Findings'!$B:$B,0))</f>
        <v>-179</v>
      </c>
      <c r="D16" s="28">
        <f t="shared" si="1"/>
        <v>-0.0228958813</v>
      </c>
      <c r="E16" s="10">
        <f t="array" ref="E16">INDEX('Key Findings'!D:D,Match($A16,'Key Findings'!$B:$B,0))/1000000</f>
        <v>150.744432</v>
      </c>
      <c r="F16" s="10">
        <f t="array" ref="F16">INDEX('Key Findings'!AM:AM,Match($A16,'Key Findings'!$B:$B,0))</f>
        <v>0</v>
      </c>
      <c r="G16" s="10">
        <f t="array" ref="G16">INDEX('Key Findings'!AT:AT,Match($A16,'Key Findings'!$B:$B,0))</f>
        <v>9232</v>
      </c>
      <c r="H16" s="29"/>
    </row>
    <row r="17">
      <c r="A17" s="35" t="s">
        <v>26</v>
      </c>
      <c r="B17" s="24">
        <f t="array" ref="B17">INDEX('Key Findings'!R:R,Match($A17,'Key Findings'!$B:$B,0))</f>
        <v>7522</v>
      </c>
      <c r="C17" s="24">
        <f t="array" ref="C17">INDEX('Key Findings'!Y:Y,Match($A17,'Key Findings'!$B:$B,0))</f>
        <v>-47</v>
      </c>
      <c r="D17" s="25">
        <f t="shared" si="1"/>
        <v>-0.006248338208</v>
      </c>
      <c r="E17" s="24">
        <f t="array" ref="E17">INDEX('Key Findings'!D:D,Match($A17,'Key Findings'!$B:$B,0))/1000000</f>
        <v>140.125628</v>
      </c>
      <c r="F17" s="24">
        <f t="array" ref="F17">INDEX('Key Findings'!AM:AM,Match($A17,'Key Findings'!$B:$B,0))</f>
        <v>0</v>
      </c>
      <c r="G17" s="24">
        <f t="array" ref="G17">INDEX('Key Findings'!AT:AT,Match($A17,'Key Findings'!$B:$B,0))</f>
        <v>4324</v>
      </c>
      <c r="H17" s="26"/>
    </row>
    <row r="18">
      <c r="A18" s="34" t="s">
        <v>27</v>
      </c>
      <c r="B18" s="10">
        <f t="array" ref="B18">INDEX('Key Findings'!R:R,Match($A18,'Key Findings'!$B:$B,0))</f>
        <v>6662</v>
      </c>
      <c r="C18" s="10">
        <f t="array" ref="C18">INDEX('Key Findings'!Y:Y,Match($A18,'Key Findings'!$B:$B,0))</f>
        <v>-44</v>
      </c>
      <c r="D18" s="28">
        <f t="shared" si="1"/>
        <v>-0.006604623236</v>
      </c>
      <c r="E18" s="10">
        <f t="array" ref="E18">INDEX('Key Findings'!D:D,Match($A18,'Key Findings'!$B:$B,0))/1000000</f>
        <v>121.379835</v>
      </c>
      <c r="F18" s="10">
        <f t="array" ref="F18">INDEX('Key Findings'!AM:AM,Match($A18,'Key Findings'!$B:$B,0))</f>
        <v>0</v>
      </c>
      <c r="G18" s="10">
        <f t="array" ref="G18">INDEX('Key Findings'!AT:AT,Match($A18,'Key Findings'!$B:$B,0))</f>
        <v>4110</v>
      </c>
      <c r="H18" s="29"/>
    </row>
    <row r="19">
      <c r="A19" s="35" t="s">
        <v>28</v>
      </c>
      <c r="B19" s="24">
        <f t="array" ref="B19">INDEX('Key Findings'!R:R,Match($A19,'Key Findings'!$B:$B,0))</f>
        <v>6040</v>
      </c>
      <c r="C19" s="24">
        <f t="array" ref="C19">INDEX('Key Findings'!Y:Y,Match($A19,'Key Findings'!$B:$B,0))</f>
        <v>3</v>
      </c>
      <c r="D19" s="25">
        <f t="shared" si="1"/>
        <v>0.0004966887417</v>
      </c>
      <c r="E19" s="24">
        <f t="array" ref="E19">INDEX('Key Findings'!D:D,Match($A19,'Key Findings'!$B:$B,0))/1000000</f>
        <v>104.32311</v>
      </c>
      <c r="F19" s="24">
        <f t="array" ref="F19">INDEX('Key Findings'!AM:AM,Match($A19,'Key Findings'!$B:$B,0))</f>
        <v>3573</v>
      </c>
      <c r="G19" s="24">
        <f t="array" ref="G19">INDEX('Key Findings'!AT:AT,Match($A19,'Key Findings'!$B:$B,0))</f>
        <v>1015</v>
      </c>
      <c r="H19" s="26"/>
    </row>
    <row r="20">
      <c r="A20" s="34" t="s">
        <v>29</v>
      </c>
      <c r="B20" s="10">
        <f t="array" ref="B20">INDEX('Key Findings'!R:R,Match($A20,'Key Findings'!$B:$B,0))</f>
        <v>6031.73</v>
      </c>
      <c r="C20" s="10">
        <f t="array" ref="C20">INDEX('Key Findings'!Y:Y,Match($A20,'Key Findings'!$B:$B,0))</f>
        <v>175</v>
      </c>
      <c r="D20" s="28">
        <f t="shared" si="1"/>
        <v>0.02901323501</v>
      </c>
      <c r="E20" s="10">
        <f t="array" ref="E20">INDEX('Key Findings'!D:D,Match($A20,'Key Findings'!$B:$B,0))/1000000</f>
        <v>508.22052</v>
      </c>
      <c r="F20" s="10">
        <f t="array" ref="F20">INDEX('Key Findings'!AM:AM,Match($A20,'Key Findings'!$B:$B,0))</f>
        <v>4000</v>
      </c>
      <c r="G20" s="10">
        <f t="array" ref="G20">INDEX('Key Findings'!AT:AT,Match($A20,'Key Findings'!$B:$B,0))</f>
        <v>0</v>
      </c>
      <c r="H20" s="29"/>
    </row>
    <row r="21">
      <c r="A21" s="35" t="s">
        <v>30</v>
      </c>
      <c r="B21" s="24">
        <f t="array" ref="B21">INDEX('Key Findings'!R:R,Match($A21,'Key Findings'!$B:$B,0))</f>
        <v>5845</v>
      </c>
      <c r="C21" s="24">
        <f t="array" ref="C21">INDEX('Key Findings'!Y:Y,Match($A21,'Key Findings'!$B:$B,0))</f>
        <v>-494</v>
      </c>
      <c r="D21" s="25">
        <f t="shared" si="1"/>
        <v>-0.08451668092</v>
      </c>
      <c r="E21" s="24">
        <f t="array" ref="E21">INDEX('Key Findings'!D:D,Match($A21,'Key Findings'!$B:$B,0))/1000000</f>
        <v>139.349237</v>
      </c>
      <c r="F21" s="24">
        <f t="array" ref="F21">INDEX('Key Findings'!AM:AM,Match($A21,'Key Findings'!$B:$B,0))</f>
        <v>121</v>
      </c>
      <c r="G21" s="24">
        <f t="array" ref="G21">INDEX('Key Findings'!AT:AT,Match($A21,'Key Findings'!$B:$B,0))</f>
        <v>3548</v>
      </c>
      <c r="H21" s="26"/>
    </row>
    <row r="22">
      <c r="A22" s="34" t="s">
        <v>31</v>
      </c>
      <c r="B22" s="10">
        <f t="array" ref="B22">INDEX('Key Findings'!R:R,Match($A22,'Key Findings'!$B:$B,0))</f>
        <v>5471</v>
      </c>
      <c r="C22" s="10">
        <f t="array" ref="C22">INDEX('Key Findings'!Y:Y,Match($A22,'Key Findings'!$B:$B,0))</f>
        <v>0</v>
      </c>
      <c r="D22" s="28">
        <f t="shared" si="1"/>
        <v>0</v>
      </c>
      <c r="E22" s="10">
        <f t="array" ref="E22">INDEX('Key Findings'!D:D,Match($A22,'Key Findings'!$B:$B,0))/1000000</f>
        <v>121.378669</v>
      </c>
      <c r="F22" s="10">
        <f t="array" ref="F22">INDEX('Key Findings'!AM:AM,Match($A22,'Key Findings'!$B:$B,0))</f>
        <v>13</v>
      </c>
      <c r="G22" s="10">
        <f t="array" ref="G22">INDEX('Key Findings'!AT:AT,Match($A22,'Key Findings'!$B:$B,0))</f>
        <v>2592</v>
      </c>
      <c r="H22" s="29"/>
    </row>
    <row r="23">
      <c r="A23" s="35" t="s">
        <v>32</v>
      </c>
      <c r="B23" s="24">
        <f t="array" ref="B23">INDEX('Key Findings'!R:R,Match($A23,'Key Findings'!$B:$B,0))</f>
        <v>5170.68</v>
      </c>
      <c r="C23" s="24">
        <f t="array" ref="C23">INDEX('Key Findings'!Y:Y,Match($A23,'Key Findings'!$B:$B,0))</f>
        <v>6</v>
      </c>
      <c r="D23" s="25">
        <f t="shared" si="1"/>
        <v>0.001160388962</v>
      </c>
      <c r="E23" s="24">
        <f t="array" ref="E23">INDEX('Key Findings'!D:D,Match($A23,'Key Findings'!$B:$B,0))/1000000</f>
        <v>228.387481</v>
      </c>
      <c r="F23" s="24">
        <f t="array" ref="F23">INDEX('Key Findings'!AM:AM,Match($A23,'Key Findings'!$B:$B,0))</f>
        <v>1430</v>
      </c>
      <c r="G23" s="24">
        <f t="array" ref="G23">INDEX('Key Findings'!AT:AT,Match($A23,'Key Findings'!$B:$B,0))</f>
        <v>6336</v>
      </c>
      <c r="H23" s="26"/>
    </row>
    <row r="24">
      <c r="A24" s="36" t="s">
        <v>33</v>
      </c>
      <c r="B24" s="10">
        <f t="array" ref="B24">INDEX('Key Findings'!R:R,Match($A24,'Key Findings'!$B:$B,0))</f>
        <v>4894</v>
      </c>
      <c r="C24" s="10">
        <f t="array" ref="C24">INDEX('Key Findings'!Y:Y,Match($A24,'Key Findings'!$B:$B,0))</f>
        <v>26</v>
      </c>
      <c r="D24" s="28">
        <f t="shared" si="1"/>
        <v>0.005312627707</v>
      </c>
      <c r="E24" s="10">
        <f t="array" ref="E24">INDEX('Key Findings'!D:D,Match($A24,'Key Findings'!$B:$B,0))/1000000</f>
        <v>172.075619</v>
      </c>
      <c r="F24" s="10">
        <f t="array" ref="F24">INDEX('Key Findings'!AM:AM,Match($A24,'Key Findings'!$B:$B,0))</f>
        <v>1162</v>
      </c>
      <c r="G24" s="10">
        <f t="array" ref="G24">INDEX('Key Findings'!AT:AT,Match($A24,'Key Findings'!$B:$B,0))</f>
        <v>79</v>
      </c>
      <c r="H24" s="29"/>
    </row>
    <row r="25">
      <c r="A25" s="30" t="s">
        <v>34</v>
      </c>
      <c r="B25" s="24">
        <f t="array" ref="B25">INDEX('Key Findings'!R:R,Match($A25,'Key Findings'!$B:$B,0))</f>
        <v>4507</v>
      </c>
      <c r="C25" s="24">
        <f t="array" ref="C25">INDEX('Key Findings'!Y:Y,Match($A25,'Key Findings'!$B:$B,0))</f>
        <v>56</v>
      </c>
      <c r="D25" s="25">
        <f t="shared" si="1"/>
        <v>0.01242511649</v>
      </c>
      <c r="E25" s="24">
        <f t="array" ref="E25">INDEX('Key Findings'!D:D,Match($A25,'Key Findings'!$B:$B,0))/1000000</f>
        <v>171.474521</v>
      </c>
      <c r="F25" s="24">
        <f t="array" ref="F25">INDEX('Key Findings'!AM:AM,Match($A25,'Key Findings'!$B:$B,0))</f>
        <v>104</v>
      </c>
      <c r="G25" s="24">
        <f t="array" ref="G25">INDEX('Key Findings'!AT:AT,Match($A25,'Key Findings'!$B:$B,0))</f>
        <v>3810</v>
      </c>
      <c r="H25" s="26"/>
    </row>
    <row r="26">
      <c r="A26" s="33" t="s">
        <v>35</v>
      </c>
      <c r="B26" s="10">
        <f t="array" ref="B26">INDEX('Key Findings'!R:R,Match($A26,'Key Findings'!$B:$B,0))</f>
        <v>4426</v>
      </c>
      <c r="C26" s="10">
        <f t="array" ref="C26">INDEX('Key Findings'!Y:Y,Match($A26,'Key Findings'!$B:$B,0))</f>
        <v>-1</v>
      </c>
      <c r="D26" s="28">
        <f t="shared" si="1"/>
        <v>-0.0002259376412</v>
      </c>
      <c r="E26" s="10">
        <f t="array" ref="E26">INDEX('Key Findings'!D:D,Match($A26,'Key Findings'!$B:$B,0))/1000000</f>
        <v>2495.486949</v>
      </c>
      <c r="F26" s="10">
        <f t="array" ref="F26">INDEX('Key Findings'!AM:AM,Match($A26,'Key Findings'!$B:$B,0))</f>
        <v>0</v>
      </c>
      <c r="G26" s="10">
        <f t="array" ref="G26">INDEX('Key Findings'!AT:AT,Match($A26,'Key Findings'!$B:$B,0))</f>
        <v>0</v>
      </c>
      <c r="H26" s="29"/>
    </row>
    <row r="27">
      <c r="A27" s="37" t="s">
        <v>36</v>
      </c>
      <c r="B27" s="24">
        <f t="array" ref="B27">INDEX('Key Findings'!R:R,Match($A27,'Key Findings'!$B:$B,0))</f>
        <v>3819.97</v>
      </c>
      <c r="C27" s="24">
        <f t="array" ref="C27">INDEX('Key Findings'!Y:Y,Match($A27,'Key Findings'!$B:$B,0))</f>
        <v>-148.29</v>
      </c>
      <c r="D27" s="25">
        <f t="shared" si="1"/>
        <v>-0.03881967659</v>
      </c>
      <c r="E27" s="24">
        <f t="array" ref="E27">INDEX('Key Findings'!D:D,Match($A27,'Key Findings'!$B:$B,0))/1000000</f>
        <v>148.93452</v>
      </c>
      <c r="F27" s="24">
        <f t="array" ref="F27">INDEX('Key Findings'!AM:AM,Match($A27,'Key Findings'!$B:$B,0))</f>
        <v>2298.854</v>
      </c>
      <c r="G27" s="24">
        <f t="array" ref="G27">INDEX('Key Findings'!AT:AT,Match($A27,'Key Findings'!$B:$B,0))</f>
        <v>1774.335</v>
      </c>
      <c r="H27" s="26"/>
    </row>
    <row r="28">
      <c r="A28" s="34" t="s">
        <v>37</v>
      </c>
      <c r="B28" s="10">
        <f t="array" ref="B28">INDEX('Key Findings'!R:R,Match($A28,'Key Findings'!$B:$B,0))</f>
        <v>4309</v>
      </c>
      <c r="C28" s="10">
        <f t="array" ref="C28">INDEX('Key Findings'!Y:Y,Match($A28,'Key Findings'!$B:$B,0))</f>
        <v>-40</v>
      </c>
      <c r="D28" s="28">
        <f t="shared" si="1"/>
        <v>-0.009282896264</v>
      </c>
      <c r="E28" s="10">
        <f t="array" ref="E28">INDEX('Key Findings'!D:D,Match($A28,'Key Findings'!$B:$B,0))/1000000</f>
        <v>149.785363</v>
      </c>
      <c r="F28" s="10">
        <f t="array" ref="F28">INDEX('Key Findings'!AM:AM,Match($A28,'Key Findings'!$B:$B,0))</f>
        <v>1003</v>
      </c>
      <c r="G28" s="10">
        <f t="array" ref="G28">INDEX('Key Findings'!AT:AT,Match($A28,'Key Findings'!$B:$B,0))</f>
        <v>5666</v>
      </c>
      <c r="H28" s="29"/>
    </row>
    <row r="29">
      <c r="A29" s="35" t="s">
        <v>38</v>
      </c>
      <c r="B29" s="24">
        <f t="array" ref="B29">INDEX('Key Findings'!R:R,Match($A29,'Key Findings'!$B:$B,0))</f>
        <v>4186</v>
      </c>
      <c r="C29" s="24">
        <f t="array" ref="C29">INDEX('Key Findings'!Y:Y,Match($A29,'Key Findings'!$B:$B,0))</f>
        <v>-128</v>
      </c>
      <c r="D29" s="25">
        <f t="shared" si="1"/>
        <v>-0.03057811753</v>
      </c>
      <c r="E29" s="24">
        <f t="array" ref="E29">INDEX('Key Findings'!D:D,Match($A29,'Key Findings'!$B:$B,0))/1000000</f>
        <v>90.422315</v>
      </c>
      <c r="F29" s="24">
        <f t="array" ref="F29">INDEX('Key Findings'!AM:AM,Match($A29,'Key Findings'!$B:$B,0))</f>
        <v>0</v>
      </c>
      <c r="G29" s="24">
        <f t="array" ref="G29">INDEX('Key Findings'!AT:AT,Match($A29,'Key Findings'!$B:$B,0))</f>
        <v>2365</v>
      </c>
      <c r="H29" s="26"/>
    </row>
    <row r="30">
      <c r="A30" s="34" t="s">
        <v>39</v>
      </c>
      <c r="B30" s="10">
        <f t="array" ref="B30">INDEX('Key Findings'!R:R,Match($A30,'Key Findings'!$B:$B,0))</f>
        <v>3875.5</v>
      </c>
      <c r="C30" s="10">
        <f t="array" ref="C30">INDEX('Key Findings'!Y:Y,Match($A30,'Key Findings'!$B:$B,0))</f>
        <v>-86.1</v>
      </c>
      <c r="D30" s="28">
        <f t="shared" si="1"/>
        <v>-0.0222164882</v>
      </c>
      <c r="E30" s="10">
        <f t="array" ref="E30">INDEX('Key Findings'!D:D,Match($A30,'Key Findings'!$B:$B,0))/1000000</f>
        <v>100.149044</v>
      </c>
      <c r="F30" s="10">
        <f t="array" ref="F30">INDEX('Key Findings'!AM:AM,Match($A30,'Key Findings'!$B:$B,0))</f>
        <v>2671</v>
      </c>
      <c r="G30" s="10">
        <f t="array" ref="G30">INDEX('Key Findings'!AT:AT,Match($A30,'Key Findings'!$B:$B,0))</f>
        <v>2435.2</v>
      </c>
      <c r="H30" s="29"/>
    </row>
    <row r="31">
      <c r="A31" s="35" t="s">
        <v>40</v>
      </c>
      <c r="B31" s="24">
        <f t="array" ref="B31">INDEX('Key Findings'!R:R,Match($A31,'Key Findings'!$B:$B,0))</f>
        <v>3684</v>
      </c>
      <c r="C31" s="24">
        <f t="array" ref="C31">INDEX('Key Findings'!Y:Y,Match($A31,'Key Findings'!$B:$B,0))</f>
        <v>-295</v>
      </c>
      <c r="D31" s="25">
        <f t="shared" si="1"/>
        <v>-0.08007600434</v>
      </c>
      <c r="E31" s="24">
        <f t="array" ref="E31">INDEX('Key Findings'!D:D,Match($A31,'Key Findings'!$B:$B,0))/1000000</f>
        <v>177.163117</v>
      </c>
      <c r="F31" s="24">
        <f t="array" ref="F31">INDEX('Key Findings'!AM:AM,Match($A31,'Key Findings'!$B:$B,0))</f>
        <v>4540</v>
      </c>
      <c r="G31" s="24">
        <f t="array" ref="G31">INDEX('Key Findings'!AT:AT,Match($A31,'Key Findings'!$B:$B,0))</f>
        <v>425</v>
      </c>
      <c r="H31" s="26"/>
    </row>
    <row r="32">
      <c r="A32" s="33" t="s">
        <v>41</v>
      </c>
      <c r="B32" s="10">
        <f t="array" ref="B32">INDEX('Key Findings'!R:R,Match($A32,'Key Findings'!$B:$B,0))</f>
        <v>3647.7</v>
      </c>
      <c r="C32" s="10">
        <f t="array" ref="C32">INDEX('Key Findings'!Y:Y,Match($A32,'Key Findings'!$B:$B,0))</f>
        <v>28.3</v>
      </c>
      <c r="D32" s="28">
        <f t="shared" si="1"/>
        <v>0.007758313458</v>
      </c>
      <c r="E32" s="10">
        <f t="array" ref="E32">INDEX('Key Findings'!D:D,Match($A32,'Key Findings'!$B:$B,0))/1000000</f>
        <v>120.064101</v>
      </c>
      <c r="F32" s="10">
        <f t="array" ref="F32">INDEX('Key Findings'!AM:AM,Match($A32,'Key Findings'!$B:$B,0))</f>
        <v>2113.2</v>
      </c>
      <c r="G32" s="10">
        <f t="array" ref="G32">INDEX('Key Findings'!AT:AT,Match($A32,'Key Findings'!$B:$B,0))</f>
        <v>2048.5</v>
      </c>
      <c r="H32" s="29"/>
    </row>
    <row r="33">
      <c r="A33" s="35" t="s">
        <v>42</v>
      </c>
      <c r="B33" s="24">
        <f t="array" ref="B33">INDEX('Key Findings'!R:R,Match($A33,'Key Findings'!$B:$B,0))</f>
        <v>3617.4</v>
      </c>
      <c r="C33" s="24">
        <f t="array" ref="C33">INDEX('Key Findings'!Y:Y,Match($A33,'Key Findings'!$B:$B,0))</f>
        <v>-7.25</v>
      </c>
      <c r="D33" s="25">
        <f t="shared" si="1"/>
        <v>-0.002004201913</v>
      </c>
      <c r="E33" s="24">
        <f t="array" ref="E33">INDEX('Key Findings'!D:D,Match($A33,'Key Findings'!$B:$B,0))/1000000</f>
        <v>92.271417</v>
      </c>
      <c r="F33" s="24">
        <f t="array" ref="F33">INDEX('Key Findings'!AM:AM,Match($A33,'Key Findings'!$B:$B,0))</f>
        <v>0</v>
      </c>
      <c r="G33" s="24">
        <f t="array" ref="G33">INDEX('Key Findings'!AT:AT,Match($A33,'Key Findings'!$B:$B,0))</f>
        <v>1442.88</v>
      </c>
      <c r="H33" s="26"/>
    </row>
    <row r="34">
      <c r="A34" s="34" t="s">
        <v>43</v>
      </c>
      <c r="B34" s="10">
        <f t="array" ref="B34">INDEX('Key Findings'!R:R,Match($A34,'Key Findings'!$B:$B,0))</f>
        <v>3049</v>
      </c>
      <c r="C34" s="10">
        <f t="array" ref="C34">INDEX('Key Findings'!Y:Y,Match($A34,'Key Findings'!$B:$B,0))</f>
        <v>1.4</v>
      </c>
      <c r="D34" s="28">
        <f t="shared" si="1"/>
        <v>0.00045916694</v>
      </c>
      <c r="E34" s="10">
        <f t="array" ref="E34">INDEX('Key Findings'!D:D,Match($A34,'Key Findings'!$B:$B,0))/1000000</f>
        <v>82.363663</v>
      </c>
      <c r="F34" s="10">
        <f t="array" ref="F34">INDEX('Key Findings'!AM:AM,Match($A34,'Key Findings'!$B:$B,0))</f>
        <v>200</v>
      </c>
      <c r="G34" s="10">
        <f t="array" ref="G34">INDEX('Key Findings'!AT:AT,Match($A34,'Key Findings'!$B:$B,0))</f>
        <v>1857</v>
      </c>
      <c r="H34" s="29"/>
    </row>
    <row r="35">
      <c r="A35" s="35" t="s">
        <v>44</v>
      </c>
      <c r="B35" s="24">
        <f t="array" ref="B35">INDEX('Key Findings'!R:R,Match($A35,'Key Findings'!$B:$B,0))</f>
        <v>2028.68</v>
      </c>
      <c r="C35" s="24">
        <f t="array" ref="C35">INDEX('Key Findings'!Y:Y,Match($A35,'Key Findings'!$B:$B,0))</f>
        <v>10.31</v>
      </c>
      <c r="D35" s="25">
        <f t="shared" si="1"/>
        <v>0.005082122365</v>
      </c>
      <c r="E35" s="24">
        <f t="array" ref="E35">INDEX('Key Findings'!D:D,Match($A35,'Key Findings'!$B:$B,0))/1000000</f>
        <v>229.34319</v>
      </c>
      <c r="F35" s="24">
        <f t="array" ref="F35">INDEX('Key Findings'!AM:AM,Match($A35,'Key Findings'!$B:$B,0))</f>
        <v>614.917</v>
      </c>
      <c r="G35" s="24">
        <f t="array" ref="G35">INDEX('Key Findings'!AT:AT,Match($A35,'Key Findings'!$B:$B,0))</f>
        <v>105.13</v>
      </c>
      <c r="H35" s="26"/>
    </row>
    <row r="36">
      <c r="A36" s="34" t="s">
        <v>45</v>
      </c>
      <c r="B36" s="10">
        <f t="array" ref="B36">INDEX('Key Findings'!R:R,Match($A36,'Key Findings'!$B:$B,0))</f>
        <v>2114</v>
      </c>
      <c r="C36" s="10">
        <f t="array" ref="C36">INDEX('Key Findings'!Y:Y,Match($A36,'Key Findings'!$B:$B,0))</f>
        <v>-74.8</v>
      </c>
      <c r="D36" s="28">
        <f t="shared" si="1"/>
        <v>-0.03538315989</v>
      </c>
      <c r="E36" s="10">
        <f t="array" ref="E36">INDEX('Key Findings'!D:D,Match($A36,'Key Findings'!$B:$B,0))/1000000</f>
        <v>93.384202</v>
      </c>
      <c r="F36" s="10">
        <f t="array" ref="F36">INDEX('Key Findings'!AM:AM,Match($A36,'Key Findings'!$B:$B,0))</f>
        <v>153</v>
      </c>
      <c r="G36" s="10">
        <f t="array" ref="G36">INDEX('Key Findings'!AT:AT,Match($A36,'Key Findings'!$B:$B,0))</f>
        <v>1228</v>
      </c>
      <c r="H36" s="29"/>
    </row>
    <row r="37">
      <c r="A37" s="35" t="s">
        <v>46</v>
      </c>
      <c r="B37" s="24">
        <f t="array" ref="B37">INDEX('Key Findings'!R:R,Match($A37,'Key Findings'!$B:$B,0))</f>
        <v>2097</v>
      </c>
      <c r="C37" s="24">
        <f t="array" ref="C37">INDEX('Key Findings'!Y:Y,Match($A37,'Key Findings'!$B:$B,0))</f>
        <v>130</v>
      </c>
      <c r="D37" s="25">
        <f t="shared" si="1"/>
        <v>0.0619933238</v>
      </c>
      <c r="E37" s="24">
        <f t="array" ref="E37">INDEX('Key Findings'!D:D,Match($A37,'Key Findings'!$B:$B,0))/1000000</f>
        <v>149.787784</v>
      </c>
      <c r="F37" s="24">
        <f t="array" ref="F37">INDEX('Key Findings'!AM:AM,Match($A37,'Key Findings'!$B:$B,0))</f>
        <v>3541</v>
      </c>
      <c r="G37" s="24">
        <f t="array" ref="G37">INDEX('Key Findings'!AT:AT,Match($A37,'Key Findings'!$B:$B,0))</f>
        <v>1105</v>
      </c>
      <c r="H37" s="26"/>
    </row>
    <row r="38" ht="7.5" customHeight="1">
      <c r="A38" s="38"/>
      <c r="B38" s="39"/>
      <c r="C38" s="39"/>
      <c r="D38" s="40"/>
      <c r="E38" s="39"/>
      <c r="F38" s="39"/>
      <c r="G38" s="39"/>
      <c r="H38" s="41"/>
    </row>
    <row r="39">
      <c r="A39" s="42" t="s">
        <v>47</v>
      </c>
      <c r="B39" s="43">
        <f t="shared" ref="B39:C39" si="2">SUM(B3:B37)</f>
        <v>277426.71</v>
      </c>
      <c r="C39" s="43">
        <f t="shared" si="2"/>
        <v>-1718.97</v>
      </c>
      <c r="D39" s="44">
        <f>C39/B39</f>
        <v>-0.006196122933</v>
      </c>
      <c r="E39" s="43">
        <f t="shared" ref="E39:G39" si="3">SUM(E3:E37)</f>
        <v>9491.610037</v>
      </c>
      <c r="F39" s="43">
        <f t="shared" si="3"/>
        <v>86998.993</v>
      </c>
      <c r="G39" s="43">
        <f t="shared" si="3"/>
        <v>147904.715</v>
      </c>
      <c r="H39" s="45"/>
    </row>
  </sheetData>
  <mergeCells count="2">
    <mergeCell ref="A1:A2"/>
    <mergeCell ref="B2:G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8"/>
    <col customWidth="1" min="2" max="5" width="12.63"/>
    <col customWidth="1" hidden="1" min="6" max="8" width="12.63"/>
  </cols>
  <sheetData>
    <row r="1">
      <c r="A1" s="17" t="s">
        <v>48</v>
      </c>
      <c r="B1" s="18" t="s">
        <v>0</v>
      </c>
      <c r="C1" s="18" t="s">
        <v>1</v>
      </c>
      <c r="D1" s="18" t="s">
        <v>2</v>
      </c>
      <c r="E1" s="18" t="s">
        <v>11</v>
      </c>
      <c r="F1" s="18" t="s">
        <v>4</v>
      </c>
      <c r="G1" s="18" t="s">
        <v>5</v>
      </c>
      <c r="H1" s="19"/>
    </row>
    <row r="2">
      <c r="A2" s="20"/>
      <c r="B2" s="21" t="s">
        <v>6</v>
      </c>
      <c r="C2" s="4"/>
      <c r="D2" s="4"/>
      <c r="E2" s="4"/>
      <c r="F2" s="4"/>
      <c r="G2" s="5"/>
      <c r="H2" s="22"/>
    </row>
    <row r="3">
      <c r="A3" s="23" t="s">
        <v>49</v>
      </c>
      <c r="B3" s="24">
        <f t="array" ref="B3">INDEX('Key Findings'!R:R,Match($A3,'Key Findings'!$B:$B,0))</f>
        <v>96279.52</v>
      </c>
      <c r="C3" s="24">
        <f t="array" ref="C3">INDEX('Key Findings'!Y:Y,Match($A3,'Key Findings'!$B:$B,0))</f>
        <v>2536</v>
      </c>
      <c r="D3" s="25">
        <f t="shared" ref="D3:D31" si="1">C3/B3</f>
        <v>0.02633997344</v>
      </c>
      <c r="E3" s="24">
        <f t="array" ref="E3">INDEX('Key Findings'!D:D,Match($A3,'Key Findings'!$B:$B,0))/1000000</f>
        <v>506.156354</v>
      </c>
      <c r="F3" s="24">
        <f t="array" ref="F3">INDEX('Key Findings'!AM:AM,Match($A3,'Key Findings'!$B:$B,0))</f>
        <v>9616</v>
      </c>
      <c r="G3" s="24">
        <f t="array" ref="G3">INDEX('Key Findings'!AT:AT,Match($A3,'Key Findings'!$B:$B,0))</f>
        <v>68181</v>
      </c>
      <c r="H3" s="26"/>
    </row>
    <row r="4">
      <c r="A4" s="31" t="s">
        <v>50</v>
      </c>
      <c r="B4" s="10">
        <f t="array" ref="B4">INDEX('Key Findings'!R:R,Match($A4,'Key Findings'!$B:$B,0))</f>
        <v>33110</v>
      </c>
      <c r="C4" s="10">
        <f t="array" ref="C4">INDEX('Key Findings'!Y:Y,Match($A4,'Key Findings'!$B:$B,0))</f>
        <v>431</v>
      </c>
      <c r="D4" s="28">
        <f t="shared" si="1"/>
        <v>0.01301721534</v>
      </c>
      <c r="E4" s="10">
        <f t="array" ref="E4">INDEX('Key Findings'!D:D,Match($A4,'Key Findings'!$B:$B,0))/1000000</f>
        <v>317.606249</v>
      </c>
      <c r="F4" s="10">
        <f t="array" ref="F4">INDEX('Key Findings'!AM:AM,Match($A4,'Key Findings'!$B:$B,0))</f>
        <v>2690</v>
      </c>
      <c r="G4" s="10">
        <f t="array" ref="G4">INDEX('Key Findings'!AT:AT,Match($A4,'Key Findings'!$B:$B,0))</f>
        <v>5844</v>
      </c>
      <c r="H4" s="29"/>
    </row>
    <row r="5">
      <c r="A5" s="30" t="s">
        <v>51</v>
      </c>
      <c r="B5" s="24">
        <f t="array" ref="B5">INDEX('Key Findings'!R:R,Match($A5,'Key Findings'!$B:$B,0))</f>
        <v>23121</v>
      </c>
      <c r="C5" s="24">
        <f t="array" ref="C5">INDEX('Key Findings'!Y:Y,Match($A5,'Key Findings'!$B:$B,0))</f>
        <v>1461</v>
      </c>
      <c r="D5" s="25">
        <f t="shared" si="1"/>
        <v>0.06318930842</v>
      </c>
      <c r="E5" s="24">
        <f t="array" ref="E5">INDEX('Key Findings'!D:D,Match($A5,'Key Findings'!$B:$B,0))/1000000</f>
        <v>325.651401</v>
      </c>
      <c r="F5" s="24">
        <f t="array" ref="F5">INDEX('Key Findings'!AM:AM,Match($A5,'Key Findings'!$B:$B,0))</f>
        <v>10487</v>
      </c>
      <c r="G5" s="24">
        <f t="array" ref="G5">INDEX('Key Findings'!AT:AT,Match($A5,'Key Findings'!$B:$B,0))</f>
        <v>48259</v>
      </c>
      <c r="H5" s="26"/>
    </row>
    <row r="6">
      <c r="A6" s="46" t="s">
        <v>52</v>
      </c>
      <c r="B6" s="10">
        <f t="array" ref="B6">INDEX('Key Findings'!R:R,Match($A6,'Key Findings'!$B:$B,0))</f>
        <v>22394</v>
      </c>
      <c r="C6" s="10">
        <f t="array" ref="C6">INDEX('Key Findings'!Y:Y,Match($A6,'Key Findings'!$B:$B,0))</f>
        <v>2390</v>
      </c>
      <c r="D6" s="28">
        <f t="shared" si="1"/>
        <v>0.1067250156</v>
      </c>
      <c r="E6" s="10">
        <f t="array" ref="E6">INDEX('Key Findings'!D:D,Match($A6,'Key Findings'!$B:$B,0))/1000000</f>
        <v>271.475068</v>
      </c>
      <c r="F6" s="10">
        <f t="array" ref="F6">INDEX('Key Findings'!AM:AM,Match($A6,'Key Findings'!$B:$B,0))</f>
        <v>21813</v>
      </c>
      <c r="G6" s="10">
        <f t="array" ref="G6">INDEX('Key Findings'!AT:AT,Match($A6,'Key Findings'!$B:$B,0))</f>
        <v>6625</v>
      </c>
      <c r="H6" s="29"/>
    </row>
    <row r="7">
      <c r="A7" s="32" t="s">
        <v>53</v>
      </c>
      <c r="B7" s="24">
        <f t="array" ref="B7">INDEX('Key Findings'!R:R,Match($A7,'Key Findings'!$B:$B,0))</f>
        <v>19021</v>
      </c>
      <c r="C7" s="24">
        <f t="array" ref="C7">INDEX('Key Findings'!Y:Y,Match($A7,'Key Findings'!$B:$B,0))</f>
        <v>582</v>
      </c>
      <c r="D7" s="25">
        <f t="shared" si="1"/>
        <v>0.03059776037</v>
      </c>
      <c r="E7" s="24">
        <f t="array" ref="E7">INDEX('Key Findings'!D:D,Match($A7,'Key Findings'!$B:$B,0))/1000000</f>
        <v>251.67606</v>
      </c>
      <c r="F7" s="24">
        <f t="array" ref="F7">INDEX('Key Findings'!AM:AM,Match($A7,'Key Findings'!$B:$B,0))</f>
        <v>0</v>
      </c>
      <c r="G7" s="24">
        <f t="array" ref="G7">INDEX('Key Findings'!AT:AT,Match($A7,'Key Findings'!$B:$B,0))</f>
        <v>13364</v>
      </c>
      <c r="H7" s="26"/>
    </row>
    <row r="8">
      <c r="A8" s="34" t="s">
        <v>54</v>
      </c>
      <c r="B8" s="10">
        <f t="array" ref="B8">INDEX('Key Findings'!R:R,Match($A8,'Key Findings'!$B:$B,0))</f>
        <v>18849</v>
      </c>
      <c r="C8" s="10">
        <f t="array" ref="C8">INDEX('Key Findings'!Y:Y,Match($A8,'Key Findings'!$B:$B,0))</f>
        <v>1212</v>
      </c>
      <c r="D8" s="28">
        <f t="shared" si="1"/>
        <v>0.06430049339</v>
      </c>
      <c r="E8" s="10">
        <f t="array" ref="E8">INDEX('Key Findings'!D:D,Match($A8,'Key Findings'!$B:$B,0))/1000000</f>
        <v>313.413516</v>
      </c>
      <c r="F8" s="10">
        <f t="array" ref="F8">INDEX('Key Findings'!AM:AM,Match($A8,'Key Findings'!$B:$B,0))</f>
        <v>48197</v>
      </c>
      <c r="G8" s="10">
        <f t="array" ref="G8">INDEX('Key Findings'!AT:AT,Match($A8,'Key Findings'!$B:$B,0))</f>
        <v>0</v>
      </c>
      <c r="H8" s="29"/>
    </row>
    <row r="9">
      <c r="A9" s="35" t="s">
        <v>55</v>
      </c>
      <c r="B9" s="24">
        <f t="array" ref="B9">INDEX('Key Findings'!R:R,Match($A9,'Key Findings'!$B:$B,0))</f>
        <v>17194</v>
      </c>
      <c r="C9" s="24">
        <f t="array" ref="C9">INDEX('Key Findings'!Y:Y,Match($A9,'Key Findings'!$B:$B,0))</f>
        <v>1480</v>
      </c>
      <c r="D9" s="25">
        <f t="shared" si="1"/>
        <v>0.08607653833</v>
      </c>
      <c r="E9" s="24">
        <f t="array" ref="E9">INDEX('Key Findings'!D:D,Match($A9,'Key Findings'!$B:$B,0))/1000000</f>
        <v>275.600043</v>
      </c>
      <c r="F9" s="24">
        <f t="array" ref="F9">INDEX('Key Findings'!AM:AM,Match($A9,'Key Findings'!$B:$B,0))</f>
        <v>19694</v>
      </c>
      <c r="G9" s="24">
        <f t="array" ref="G9">INDEX('Key Findings'!AT:AT,Match($A9,'Key Findings'!$B:$B,0))</f>
        <v>12651</v>
      </c>
      <c r="H9" s="26"/>
    </row>
    <row r="10">
      <c r="A10" s="31" t="s">
        <v>56</v>
      </c>
      <c r="B10" s="10">
        <f t="array" ref="B10">INDEX('Key Findings'!R:R,Match($A10,'Key Findings'!$B:$B,0))</f>
        <v>16228.85</v>
      </c>
      <c r="C10" s="10">
        <f t="array" ref="C10">INDEX('Key Findings'!Y:Y,Match($A10,'Key Findings'!$B:$B,0))</f>
        <v>752</v>
      </c>
      <c r="D10" s="28">
        <f t="shared" si="1"/>
        <v>0.04633723277</v>
      </c>
      <c r="E10" s="10">
        <f t="array" ref="E10">INDEX('Key Findings'!D:D,Match($A10,'Key Findings'!$B:$B,0))/1000000</f>
        <v>193.76712</v>
      </c>
      <c r="F10" s="10">
        <f t="array" ref="F10">INDEX('Key Findings'!AM:AM,Match($A10,'Key Findings'!$B:$B,0))</f>
        <v>5231</v>
      </c>
      <c r="G10" s="10">
        <f t="array" ref="G10">INDEX('Key Findings'!AT:AT,Match($A10,'Key Findings'!$B:$B,0))</f>
        <v>4018</v>
      </c>
      <c r="H10" s="29"/>
    </row>
    <row r="11">
      <c r="A11" s="30" t="s">
        <v>57</v>
      </c>
      <c r="B11" s="24">
        <f t="array" ref="B11">INDEX('Key Findings'!R:R,Match($A11,'Key Findings'!$B:$B,0))</f>
        <v>14583</v>
      </c>
      <c r="C11" s="24">
        <f t="array" ref="C11">INDEX('Key Findings'!Y:Y,Match($A11,'Key Findings'!$B:$B,0))</f>
        <v>241</v>
      </c>
      <c r="D11" s="25">
        <f t="shared" si="1"/>
        <v>0.01652609202</v>
      </c>
      <c r="E11" s="24">
        <f t="array" ref="E11">INDEX('Key Findings'!D:D,Match($A11,'Key Findings'!$B:$B,0))/1000000</f>
        <v>165.472041</v>
      </c>
      <c r="F11" s="24">
        <f t="array" ref="F11">INDEX('Key Findings'!AM:AM,Match($A11,'Key Findings'!$B:$B,0))</f>
        <v>2964</v>
      </c>
      <c r="G11" s="24">
        <f t="array" ref="G11">INDEX('Key Findings'!AT:AT,Match($A11,'Key Findings'!$B:$B,0))</f>
        <v>8391</v>
      </c>
      <c r="H11" s="26"/>
    </row>
    <row r="12">
      <c r="A12" s="34" t="s">
        <v>58</v>
      </c>
      <c r="B12" s="10">
        <f t="array" ref="B12">INDEX('Key Findings'!R:R,Match($A12,'Key Findings'!$B:$B,0))</f>
        <v>13096</v>
      </c>
      <c r="C12" s="10">
        <f t="array" ref="C12">INDEX('Key Findings'!Y:Y,Match($A12,'Key Findings'!$B:$B,0))</f>
        <v>635</v>
      </c>
      <c r="D12" s="28">
        <f t="shared" si="1"/>
        <v>0.04848808797</v>
      </c>
      <c r="E12" s="10">
        <f t="array" ref="E12">INDEX('Key Findings'!D:D,Match($A12,'Key Findings'!$B:$B,0))/1000000</f>
        <v>220.549158</v>
      </c>
      <c r="F12" s="10">
        <f t="array" ref="F12">INDEX('Key Findings'!AM:AM,Match($A12,'Key Findings'!$B:$B,0))</f>
        <v>0</v>
      </c>
      <c r="G12" s="10">
        <f t="array" ref="G12">INDEX('Key Findings'!AT:AT,Match($A12,'Key Findings'!$B:$B,0))</f>
        <v>7063</v>
      </c>
      <c r="H12" s="29"/>
    </row>
    <row r="13">
      <c r="A13" s="32" t="s">
        <v>59</v>
      </c>
      <c r="B13" s="24">
        <f t="array" ref="B13">INDEX('Key Findings'!R:R,Match($A13,'Key Findings'!$B:$B,0))</f>
        <v>11761</v>
      </c>
      <c r="C13" s="24">
        <f t="array" ref="C13">INDEX('Key Findings'!Y:Y,Match($A13,'Key Findings'!$B:$B,0))</f>
        <v>1436</v>
      </c>
      <c r="D13" s="25">
        <f t="shared" si="1"/>
        <v>0.122098461</v>
      </c>
      <c r="E13" s="24">
        <f t="array" ref="E13">INDEX('Key Findings'!D:D,Match($A13,'Key Findings'!$B:$B,0))/1000000</f>
        <v>180.325187</v>
      </c>
      <c r="F13" s="24">
        <f t="array" ref="F13">INDEX('Key Findings'!AM:AM,Match($A13,'Key Findings'!$B:$B,0))</f>
        <v>3602</v>
      </c>
      <c r="G13" s="24">
        <f t="array" ref="G13">INDEX('Key Findings'!AT:AT,Match($A13,'Key Findings'!$B:$B,0))</f>
        <v>2344</v>
      </c>
      <c r="H13" s="26"/>
    </row>
    <row r="14">
      <c r="A14" s="31" t="s">
        <v>60</v>
      </c>
      <c r="B14" s="10">
        <f t="array" ref="B14">INDEX('Key Findings'!R:R,Match($A14,'Key Findings'!$B:$B,0))</f>
        <v>13278</v>
      </c>
      <c r="C14" s="10">
        <f t="array" ref="C14">INDEX('Key Findings'!Y:Y,Match($A14,'Key Findings'!$B:$B,0))</f>
        <v>489</v>
      </c>
      <c r="D14" s="28">
        <f t="shared" si="1"/>
        <v>0.03682783552</v>
      </c>
      <c r="E14" s="10">
        <f t="array" ref="E14">INDEX('Key Findings'!D:D,Match($A14,'Key Findings'!$B:$B,0))/1000000</f>
        <v>142.907131</v>
      </c>
      <c r="F14" s="10">
        <f t="array" ref="F14">INDEX('Key Findings'!AM:AM,Match($A14,'Key Findings'!$B:$B,0))</f>
        <v>5728</v>
      </c>
      <c r="G14" s="10">
        <f t="array" ref="G14">INDEX('Key Findings'!AT:AT,Match($A14,'Key Findings'!$B:$B,0))</f>
        <v>1679</v>
      </c>
      <c r="H14" s="29"/>
    </row>
    <row r="15">
      <c r="A15" s="32" t="s">
        <v>61</v>
      </c>
      <c r="B15" s="24">
        <f t="array" ref="B15">INDEX('Key Findings'!R:R,Match($A15,'Key Findings'!$B:$B,0))</f>
        <v>10145.79</v>
      </c>
      <c r="C15" s="24">
        <f t="array" ref="C15">INDEX('Key Findings'!Y:Y,Match($A15,'Key Findings'!$B:$B,0))</f>
        <v>1042.36</v>
      </c>
      <c r="D15" s="25">
        <f t="shared" si="1"/>
        <v>0.1027381801</v>
      </c>
      <c r="E15" s="24">
        <f t="array" ref="E15">INDEX('Key Findings'!D:D,Match($A15,'Key Findings'!$B:$B,0))/1000000</f>
        <v>255.770855</v>
      </c>
      <c r="F15" s="24">
        <f t="array" ref="F15">INDEX('Key Findings'!AM:AM,Match($A15,'Key Findings'!$B:$B,0))</f>
        <v>2506</v>
      </c>
      <c r="G15" s="24">
        <f t="array" ref="G15">INDEX('Key Findings'!AT:AT,Match($A15,'Key Findings'!$B:$B,0))</f>
        <v>0</v>
      </c>
      <c r="H15" s="26"/>
    </row>
    <row r="16">
      <c r="A16" s="31" t="s">
        <v>62</v>
      </c>
      <c r="B16" s="10">
        <f t="array" ref="B16">INDEX('Key Findings'!R:R,Match($A16,'Key Findings'!$B:$B,0))</f>
        <v>8756</v>
      </c>
      <c r="C16" s="10">
        <f t="array" ref="C16">INDEX('Key Findings'!Y:Y,Match($A16,'Key Findings'!$B:$B,0))</f>
        <v>279</v>
      </c>
      <c r="D16" s="28">
        <f t="shared" si="1"/>
        <v>0.03186386478</v>
      </c>
      <c r="E16" s="10">
        <f t="array" ref="E16">INDEX('Key Findings'!D:D,Match($A16,'Key Findings'!$B:$B,0))/1000000</f>
        <v>213.723878</v>
      </c>
      <c r="F16" s="10">
        <f t="array" ref="F16">INDEX('Key Findings'!AM:AM,Match($A16,'Key Findings'!$B:$B,0))</f>
        <v>1200</v>
      </c>
      <c r="G16" s="10">
        <f t="array" ref="G16">INDEX('Key Findings'!AT:AT,Match($A16,'Key Findings'!$B:$B,0))</f>
        <v>6388</v>
      </c>
      <c r="H16" s="29"/>
    </row>
    <row r="17">
      <c r="A17" s="32" t="s">
        <v>63</v>
      </c>
      <c r="B17" s="24">
        <f t="array" ref="B17">INDEX('Key Findings'!R:R,Match($A17,'Key Findings'!$B:$B,0))</f>
        <v>8409.83</v>
      </c>
      <c r="C17" s="24">
        <f t="array" ref="C17">INDEX('Key Findings'!Y:Y,Match($A17,'Key Findings'!$B:$B,0))</f>
        <v>841.39</v>
      </c>
      <c r="D17" s="25">
        <f t="shared" si="1"/>
        <v>0.1000483957</v>
      </c>
      <c r="E17" s="24">
        <f t="array" ref="E17">INDEX('Key Findings'!D:D,Match($A17,'Key Findings'!$B:$B,0))/1000000</f>
        <v>196.959742</v>
      </c>
      <c r="F17" s="24">
        <f t="array" ref="F17">INDEX('Key Findings'!AM:AM,Match($A17,'Key Findings'!$B:$B,0))</f>
        <v>2653</v>
      </c>
      <c r="G17" s="24">
        <f t="array" ref="G17">INDEX('Key Findings'!AT:AT,Match($A17,'Key Findings'!$B:$B,0))</f>
        <v>3188.37</v>
      </c>
      <c r="H17" s="26"/>
    </row>
    <row r="18">
      <c r="A18" s="34" t="s">
        <v>64</v>
      </c>
      <c r="B18" s="10">
        <f t="array" ref="B18">INDEX('Key Findings'!R:R,Match($A18,'Key Findings'!$B:$B,0))</f>
        <v>8230</v>
      </c>
      <c r="C18" s="10">
        <f t="array" ref="C18">INDEX('Key Findings'!Y:Y,Match($A18,'Key Findings'!$B:$B,0))</f>
        <v>102</v>
      </c>
      <c r="D18" s="28">
        <f t="shared" si="1"/>
        <v>0.01239368165</v>
      </c>
      <c r="E18" s="10">
        <f t="array" ref="E18">INDEX('Key Findings'!D:D,Match($A18,'Key Findings'!$B:$B,0))/1000000</f>
        <v>96.959611</v>
      </c>
      <c r="F18" s="10">
        <f t="array" ref="F18">INDEX('Key Findings'!AM:AM,Match($A18,'Key Findings'!$B:$B,0))</f>
        <v>0</v>
      </c>
      <c r="G18" s="10">
        <f t="array" ref="G18">INDEX('Key Findings'!AT:AT,Match($A18,'Key Findings'!$B:$B,0))</f>
        <v>4860</v>
      </c>
      <c r="H18" s="29"/>
    </row>
    <row r="19">
      <c r="A19" s="32" t="s">
        <v>65</v>
      </c>
      <c r="B19" s="24">
        <f t="array" ref="B19">INDEX('Key Findings'!R:R,Match($A19,'Key Findings'!$B:$B,0))</f>
        <v>6819</v>
      </c>
      <c r="C19" s="24">
        <f t="array" ref="C19">INDEX('Key Findings'!Y:Y,Match($A19,'Key Findings'!$B:$B,0))</f>
        <v>636.65</v>
      </c>
      <c r="D19" s="25">
        <f t="shared" si="1"/>
        <v>0.09336412964</v>
      </c>
      <c r="E19" s="24">
        <f t="array" ref="E19">INDEX('Key Findings'!D:D,Match($A19,'Key Findings'!$B:$B,0))/1000000</f>
        <v>241.092933</v>
      </c>
      <c r="F19" s="24">
        <f t="array" ref="F19">INDEX('Key Findings'!AM:AM,Match($A19,'Key Findings'!$B:$B,0))</f>
        <v>1810</v>
      </c>
      <c r="G19" s="24">
        <f t="array" ref="G19">INDEX('Key Findings'!AT:AT,Match($A19,'Key Findings'!$B:$B,0))</f>
        <v>4089</v>
      </c>
      <c r="H19" s="26"/>
    </row>
    <row r="20">
      <c r="A20" s="31" t="s">
        <v>66</v>
      </c>
      <c r="B20" s="10">
        <f t="array" ref="B20">INDEX('Key Findings'!R:R,Match($A20,'Key Findings'!$B:$B,0))</f>
        <v>6427</v>
      </c>
      <c r="C20" s="10">
        <f t="array" ref="C20">INDEX('Key Findings'!Y:Y,Match($A20,'Key Findings'!$B:$B,0))</f>
        <v>877</v>
      </c>
      <c r="D20" s="28">
        <f t="shared" si="1"/>
        <v>0.136455578</v>
      </c>
      <c r="E20" s="10">
        <f t="array" ref="E20">INDEX('Key Findings'!D:D,Match($A20,'Key Findings'!$B:$B,0))/1000000</f>
        <v>151.543151</v>
      </c>
      <c r="F20" s="10">
        <f t="array" ref="F20">INDEX('Key Findings'!AM:AM,Match($A20,'Key Findings'!$B:$B,0))</f>
        <v>321</v>
      </c>
      <c r="G20" s="10">
        <f t="array" ref="G20">INDEX('Key Findings'!AT:AT,Match($A20,'Key Findings'!$B:$B,0))</f>
        <v>703</v>
      </c>
      <c r="H20" s="29"/>
    </row>
    <row r="21">
      <c r="A21" s="35" t="s">
        <v>67</v>
      </c>
      <c r="B21" s="24">
        <f t="array" ref="B21">INDEX('Key Findings'!R:R,Match($A21,'Key Findings'!$B:$B,0))</f>
        <v>5056</v>
      </c>
      <c r="C21" s="24">
        <f t="array" ref="C21">INDEX('Key Findings'!Y:Y,Match($A21,'Key Findings'!$B:$B,0))</f>
        <v>158</v>
      </c>
      <c r="D21" s="25">
        <f t="shared" si="1"/>
        <v>0.03125</v>
      </c>
      <c r="E21" s="24">
        <f t="array" ref="E21">INDEX('Key Findings'!D:D,Match($A21,'Key Findings'!$B:$B,0))/1000000</f>
        <v>82.080474</v>
      </c>
      <c r="F21" s="24">
        <f t="array" ref="F21">INDEX('Key Findings'!AM:AM,Match($A21,'Key Findings'!$B:$B,0))</f>
        <v>81</v>
      </c>
      <c r="G21" s="24">
        <f t="array" ref="G21">INDEX('Key Findings'!AT:AT,Match($A21,'Key Findings'!$B:$B,0))</f>
        <v>1956</v>
      </c>
      <c r="H21" s="26"/>
    </row>
    <row r="22">
      <c r="A22" s="31" t="s">
        <v>68</v>
      </c>
      <c r="B22" s="10">
        <f t="array" ref="B22">INDEX('Key Findings'!R:R,Match($A22,'Key Findings'!$B:$B,0))</f>
        <v>3918.8</v>
      </c>
      <c r="C22" s="10">
        <f t="array" ref="C22">INDEX('Key Findings'!Y:Y,Match($A22,'Key Findings'!$B:$B,0))</f>
        <v>249.2</v>
      </c>
      <c r="D22" s="28">
        <f t="shared" si="1"/>
        <v>0.06359089517</v>
      </c>
      <c r="E22" s="10">
        <f t="array" ref="E22">INDEX('Key Findings'!D:D,Match($A22,'Key Findings'!$B:$B,0))/1000000</f>
        <v>72.698342</v>
      </c>
      <c r="F22" s="10">
        <f t="array" ref="F22">INDEX('Key Findings'!AM:AM,Match($A22,'Key Findings'!$B:$B,0))</f>
        <v>1417</v>
      </c>
      <c r="G22" s="10">
        <f t="array" ref="G22">INDEX('Key Findings'!AT:AT,Match($A22,'Key Findings'!$B:$B,0))</f>
        <v>616.7</v>
      </c>
      <c r="H22" s="29"/>
    </row>
    <row r="23">
      <c r="A23" s="30" t="s">
        <v>69</v>
      </c>
      <c r="B23" s="24">
        <f t="array" ref="B23">INDEX('Key Findings'!R:R,Match($A23,'Key Findings'!$B:$B,0))</f>
        <v>3578.26</v>
      </c>
      <c r="C23" s="24">
        <f t="array" ref="C23">INDEX('Key Findings'!Y:Y,Match($A23,'Key Findings'!$B:$B,0))</f>
        <v>249</v>
      </c>
      <c r="D23" s="25">
        <f t="shared" si="1"/>
        <v>0.06958689419</v>
      </c>
      <c r="E23" s="24">
        <f t="array" ref="E23">INDEX('Key Findings'!D:D,Match($A23,'Key Findings'!$B:$B,0))/1000000</f>
        <v>163.195139</v>
      </c>
      <c r="F23" s="24">
        <f t="array" ref="F23">INDEX('Key Findings'!AM:AM,Match($A23,'Key Findings'!$B:$B,0))</f>
        <v>3366</v>
      </c>
      <c r="G23" s="24">
        <f t="array" ref="G23">INDEX('Key Findings'!AT:AT,Match($A23,'Key Findings'!$B:$B,0))</f>
        <v>1650</v>
      </c>
      <c r="H23" s="26"/>
    </row>
    <row r="24">
      <c r="A24" s="31" t="s">
        <v>70</v>
      </c>
      <c r="B24" s="10">
        <f t="array" ref="B24">INDEX('Key Findings'!R:R,Match($A24,'Key Findings'!$B:$B,0))</f>
        <v>3075.88</v>
      </c>
      <c r="C24" s="10">
        <f t="array" ref="C24">INDEX('Key Findings'!Y:Y,Match($A24,'Key Findings'!$B:$B,0))</f>
        <v>331.63</v>
      </c>
      <c r="D24" s="28">
        <f t="shared" si="1"/>
        <v>0.1078162997</v>
      </c>
      <c r="E24" s="10">
        <f t="array" ref="E24">INDEX('Key Findings'!D:D,Match($A24,'Key Findings'!$B:$B,0))/1000000</f>
        <v>73.239673</v>
      </c>
      <c r="F24" s="10">
        <f t="array" ref="F24">INDEX('Key Findings'!AM:AM,Match($A24,'Key Findings'!$B:$B,0))</f>
        <v>2025</v>
      </c>
      <c r="G24" s="10">
        <f t="array" ref="G24">INDEX('Key Findings'!AT:AT,Match($A24,'Key Findings'!$B:$B,0))</f>
        <v>0</v>
      </c>
      <c r="H24" s="29"/>
    </row>
    <row r="25">
      <c r="A25" s="32" t="s">
        <v>71</v>
      </c>
      <c r="B25" s="24">
        <f t="array" ref="B25">INDEX('Key Findings'!R:R,Match($A25,'Key Findings'!$B:$B,0))</f>
        <v>3030</v>
      </c>
      <c r="C25" s="24">
        <f t="array" ref="C25">INDEX('Key Findings'!Y:Y,Match($A25,'Key Findings'!$B:$B,0))</f>
        <v>314</v>
      </c>
      <c r="D25" s="25">
        <f t="shared" si="1"/>
        <v>0.103630363</v>
      </c>
      <c r="E25" s="24">
        <f t="array" ref="E25">INDEX('Key Findings'!D:D,Match($A25,'Key Findings'!$B:$B,0))/1000000</f>
        <v>100.001593</v>
      </c>
      <c r="F25" s="24">
        <f t="array" ref="F25">INDEX('Key Findings'!AM:AM,Match($A25,'Key Findings'!$B:$B,0))</f>
        <v>1980</v>
      </c>
      <c r="G25" s="24">
        <f t="array" ref="G25">INDEX('Key Findings'!AT:AT,Match($A25,'Key Findings'!$B:$B,0))</f>
        <v>535</v>
      </c>
      <c r="H25" s="26"/>
    </row>
    <row r="26">
      <c r="A26" s="31" t="s">
        <v>72</v>
      </c>
      <c r="B26" s="10">
        <f t="array" ref="B26">INDEX('Key Findings'!R:R,Match($A26,'Key Findings'!$B:$B,0))</f>
        <v>2863</v>
      </c>
      <c r="C26" s="10">
        <f t="array" ref="C26">INDEX('Key Findings'!Y:Y,Match($A26,'Key Findings'!$B:$B,0))</f>
        <v>267</v>
      </c>
      <c r="D26" s="28">
        <f t="shared" si="1"/>
        <v>0.09325881942</v>
      </c>
      <c r="E26" s="10">
        <f t="array" ref="E26">INDEX('Key Findings'!D:D,Match($A26,'Key Findings'!$B:$B,0))/1000000</f>
        <v>145.442919</v>
      </c>
      <c r="F26" s="10">
        <f t="array" ref="F26">INDEX('Key Findings'!AM:AM,Match($A26,'Key Findings'!$B:$B,0))</f>
        <v>4257</v>
      </c>
      <c r="G26" s="10">
        <f t="array" ref="G26">INDEX('Key Findings'!AT:AT,Match($A26,'Key Findings'!$B:$B,0))</f>
        <v>91</v>
      </c>
      <c r="H26" s="29"/>
    </row>
    <row r="27">
      <c r="A27" s="30" t="s">
        <v>73</v>
      </c>
      <c r="B27" s="24">
        <f t="array" ref="B27">INDEX('Key Findings'!R:R,Match($A27,'Key Findings'!$B:$B,0))</f>
        <v>2602</v>
      </c>
      <c r="C27" s="24">
        <f t="array" ref="C27">INDEX('Key Findings'!Y:Y,Match($A27,'Key Findings'!$B:$B,0))</f>
        <v>249</v>
      </c>
      <c r="D27" s="25">
        <f t="shared" si="1"/>
        <v>0.09569561875</v>
      </c>
      <c r="E27" s="24">
        <f t="array" ref="E27">INDEX('Key Findings'!D:D,Match($A27,'Key Findings'!$B:$B,0))/1000000</f>
        <v>186.63895</v>
      </c>
      <c r="F27" s="24">
        <f t="array" ref="F27">INDEX('Key Findings'!AM:AM,Match($A27,'Key Findings'!$B:$B,0))</f>
        <v>3950</v>
      </c>
      <c r="G27" s="24">
        <f t="array" ref="G27">INDEX('Key Findings'!AT:AT,Match($A27,'Key Findings'!$B:$B,0))</f>
        <v>7700</v>
      </c>
      <c r="H27" s="26"/>
    </row>
    <row r="28">
      <c r="A28" s="33" t="s">
        <v>74</v>
      </c>
      <c r="B28" s="10">
        <f t="array" ref="B28">INDEX('Key Findings'!R:R,Match($A28,'Key Findings'!$B:$B,0))</f>
        <v>2302.2</v>
      </c>
      <c r="C28" s="10">
        <f t="array" ref="C28">INDEX('Key Findings'!Y:Y,Match($A28,'Key Findings'!$B:$B,0))</f>
        <v>189.43</v>
      </c>
      <c r="D28" s="28">
        <f t="shared" si="1"/>
        <v>0.08228216489</v>
      </c>
      <c r="E28" s="10">
        <f t="array" ref="E28">INDEX('Key Findings'!D:D,Match($A28,'Key Findings'!$B:$B,0))/1000000</f>
        <v>115.808255</v>
      </c>
      <c r="F28" s="10">
        <f t="array" ref="F28">INDEX('Key Findings'!AM:AM,Match($A28,'Key Findings'!$B:$B,0))</f>
        <v>743.679</v>
      </c>
      <c r="G28" s="10">
        <f t="array" ref="G28">INDEX('Key Findings'!AT:AT,Match($A28,'Key Findings'!$B:$B,0))</f>
        <v>884</v>
      </c>
      <c r="H28" s="29"/>
    </row>
    <row r="29">
      <c r="A29" s="35" t="s">
        <v>75</v>
      </c>
      <c r="B29" s="24">
        <f t="array" ref="B29">INDEX('Key Findings'!R:R,Match($A29,'Key Findings'!$B:$B,0))</f>
        <v>2058.89</v>
      </c>
      <c r="C29" s="24">
        <f t="array" ref="C29">INDEX('Key Findings'!Y:Y,Match($A29,'Key Findings'!$B:$B,0))</f>
        <v>113.73</v>
      </c>
      <c r="D29" s="25">
        <f t="shared" si="1"/>
        <v>0.0552385023</v>
      </c>
      <c r="E29" s="24">
        <f t="array" ref="E29">INDEX('Key Findings'!D:D,Match($A29,'Key Findings'!$B:$B,0))/1000000</f>
        <v>64.887499</v>
      </c>
      <c r="F29" s="24">
        <f t="array" ref="F29">INDEX('Key Findings'!AM:AM,Match($A29,'Key Findings'!$B:$B,0))</f>
        <v>19.12</v>
      </c>
      <c r="G29" s="24">
        <f t="array" ref="G29">INDEX('Key Findings'!AT:AT,Match($A29,'Key Findings'!$B:$B,0))</f>
        <v>829.51</v>
      </c>
      <c r="H29" s="26"/>
    </row>
    <row r="30">
      <c r="A30" s="33" t="s">
        <v>76</v>
      </c>
      <c r="B30" s="10">
        <f t="array" ref="B30">INDEX('Key Findings'!R:R,Match($A30,'Key Findings'!$B:$B,0))</f>
        <v>2056</v>
      </c>
      <c r="C30" s="10">
        <f t="array" ref="C30">INDEX('Key Findings'!Y:Y,Match($A30,'Key Findings'!$B:$B,0))</f>
        <v>267</v>
      </c>
      <c r="D30" s="28">
        <f t="shared" si="1"/>
        <v>0.1298638132</v>
      </c>
      <c r="E30" s="10">
        <f t="array" ref="E30">INDEX('Key Findings'!D:D,Match($A30,'Key Findings'!$B:$B,0))/1000000</f>
        <v>124.843137</v>
      </c>
      <c r="F30" s="10">
        <f t="array" ref="F30">INDEX('Key Findings'!AM:AM,Match($A30,'Key Findings'!$B:$B,0))</f>
        <v>2446</v>
      </c>
      <c r="G30" s="10">
        <f t="array" ref="G30">INDEX('Key Findings'!AT:AT,Match($A30,'Key Findings'!$B:$B,0))</f>
        <v>2523</v>
      </c>
      <c r="H30" s="29"/>
    </row>
    <row r="31">
      <c r="A31" s="35" t="s">
        <v>77</v>
      </c>
      <c r="B31" s="24">
        <f t="array" ref="B31">INDEX('Key Findings'!R:R,Match($A31,'Key Findings'!$B:$B,0))</f>
        <v>2045.29</v>
      </c>
      <c r="C31" s="24">
        <f t="array" ref="C31">INDEX('Key Findings'!Y:Y,Match($A31,'Key Findings'!$B:$B,0))</f>
        <v>199.29</v>
      </c>
      <c r="D31" s="25">
        <f t="shared" si="1"/>
        <v>0.09743850505</v>
      </c>
      <c r="E31" s="24">
        <f t="array" ref="E31">INDEX('Key Findings'!D:D,Match($A31,'Key Findings'!$B:$B,0))/1000000</f>
        <v>155.69031</v>
      </c>
      <c r="F31" s="24">
        <f t="array" ref="F31">INDEX('Key Findings'!AM:AM,Match($A31,'Key Findings'!$B:$B,0))</f>
        <v>1687</v>
      </c>
      <c r="G31" s="24">
        <f t="array" ref="G31">INDEX('Key Findings'!AT:AT,Match($A31,'Key Findings'!$B:$B,0))</f>
        <v>2777.7</v>
      </c>
      <c r="H31" s="26"/>
    </row>
    <row r="32" ht="7.5" customHeight="1">
      <c r="A32" s="38"/>
      <c r="B32" s="39"/>
      <c r="C32" s="39"/>
      <c r="D32" s="40"/>
      <c r="E32" s="39"/>
      <c r="F32" s="39"/>
      <c r="G32" s="39"/>
      <c r="H32" s="41"/>
    </row>
    <row r="33">
      <c r="A33" s="42" t="s">
        <v>47</v>
      </c>
      <c r="B33" s="43">
        <f>SUM(B1:B31)</f>
        <v>380289.31</v>
      </c>
      <c r="C33" s="43">
        <f>SUM(C3:C31)</f>
        <v>20010.68</v>
      </c>
      <c r="D33" s="44">
        <f>C33/B33</f>
        <v>0.05261962268</v>
      </c>
      <c r="E33" s="43">
        <f t="shared" ref="E33:G33" si="2">SUM(E1:E31)</f>
        <v>5605.175789</v>
      </c>
      <c r="F33" s="43">
        <f t="shared" si="2"/>
        <v>160483.799</v>
      </c>
      <c r="G33" s="43">
        <f t="shared" si="2"/>
        <v>217210.28</v>
      </c>
      <c r="H33" s="45"/>
    </row>
  </sheetData>
  <mergeCells count="2">
    <mergeCell ref="A1:A2"/>
    <mergeCell ref="B2:G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hidden="1" min="1" max="1" width="7.63"/>
    <col customWidth="1" min="2" max="2" width="15.13"/>
    <col customWidth="1" min="3" max="3" width="12.63"/>
    <col customWidth="1" min="4" max="4" width="15.13"/>
    <col customWidth="1" min="5" max="5" width="12.63"/>
    <col customWidth="1" hidden="1" min="6" max="6" width="15.13"/>
    <col customWidth="1" min="7" max="7" width="12.63"/>
    <col customWidth="1" hidden="1" min="8" max="12" width="10.13"/>
  </cols>
  <sheetData>
    <row r="1">
      <c r="A1" s="47" t="s">
        <v>78</v>
      </c>
      <c r="B1" s="48" t="s">
        <v>79</v>
      </c>
      <c r="C1" s="49" t="s">
        <v>80</v>
      </c>
      <c r="D1" s="50" t="s">
        <v>81</v>
      </c>
      <c r="E1" s="49" t="s">
        <v>82</v>
      </c>
      <c r="F1" s="50" t="s">
        <v>83</v>
      </c>
      <c r="G1" s="51" t="s">
        <v>84</v>
      </c>
      <c r="H1" s="52">
        <v>2022.0</v>
      </c>
      <c r="I1" s="52">
        <v>2021.0</v>
      </c>
      <c r="J1" s="52">
        <v>2020.0</v>
      </c>
      <c r="K1" s="52">
        <v>2019.0</v>
      </c>
      <c r="L1" s="52">
        <v>2018.0</v>
      </c>
    </row>
    <row r="2">
      <c r="B2" s="20"/>
      <c r="C2" s="20"/>
      <c r="D2" s="20"/>
      <c r="E2" s="20"/>
      <c r="F2" s="20"/>
      <c r="G2" s="20"/>
      <c r="H2" s="53" t="s">
        <v>85</v>
      </c>
    </row>
    <row r="3">
      <c r="A3" s="54" t="s">
        <v>86</v>
      </c>
      <c r="B3" s="55" t="s">
        <v>87</v>
      </c>
      <c r="C3" s="56" t="s">
        <v>35</v>
      </c>
      <c r="D3" s="57">
        <f t="array" ref="D3">INDEX('Key Findings'!AF:AF,MATCH(C3,'Key Findings'!B:B,0))</f>
        <v>-0.0002259376412</v>
      </c>
      <c r="E3" s="58">
        <f>SUMIF('Executive Pay Breakdown'!K:K,$B3,'Executive Pay Breakdown'!M:M)+SUMIF('Executive Pay Breakdown'!O:O,$B3,'Executive Pay Breakdown'!Q:Q)+SUMIF('Executive Pay Breakdown'!S:S,$B3,'Executive Pay Breakdown'!U:U)+SUMIF('Executive Pay Breakdown'!W:W,$B3,'Executive Pay Breakdown'!Y:Y)+SUMIF('Executive Pay Breakdown'!AA:AA,$B3,'Executive Pay Breakdown'!AC:AC)</f>
        <v>2284068644</v>
      </c>
      <c r="F3" s="59">
        <f t="array" ref="F3">INDEX('Key Findings'!BB:BB,MATCH(C3,'Key Findings'!B:B,0))</f>
        <v>235575</v>
      </c>
      <c r="G3" s="60" t="s">
        <v>88</v>
      </c>
      <c r="H3" s="61">
        <f>SUMIF('Executive Pay Breakdown'!K:K,$B3,'Executive Pay Breakdown'!M:M)</f>
        <v>0</v>
      </c>
      <c r="I3" s="61">
        <f>SUMIF('Executive Pay Breakdown'!O:O,$B3,'Executive Pay Breakdown'!Q:Q)</f>
        <v>0</v>
      </c>
      <c r="J3" s="61">
        <f>SUMIF('Executive Pay Breakdown'!S:S,$B3,'Executive Pay Breakdown'!U:U)</f>
        <v>0</v>
      </c>
      <c r="K3" s="61">
        <f>SUMIF('Executive Pay Breakdown'!W:W,$B3,'Executive Pay Breakdown'!Y:Y)</f>
        <v>23760</v>
      </c>
      <c r="L3" s="61">
        <f>SUMIF('Executive Pay Breakdown'!AA:AA,$B3,'Executive Pay Breakdown'!AC:AC)</f>
        <v>2284044884</v>
      </c>
    </row>
    <row r="4">
      <c r="A4" s="62"/>
      <c r="B4" s="63" t="s">
        <v>89</v>
      </c>
      <c r="C4" s="64" t="s">
        <v>13</v>
      </c>
      <c r="D4" s="65">
        <f t="array" ref="D4">INDEX('Key Findings'!AF:AF,MATCH(C4,'Key Findings'!B:B,0))</f>
        <v>-0.004465250029</v>
      </c>
      <c r="E4" s="66">
        <f>SUMIF('Executive Pay Breakdown'!K:K,$B4,'Executive Pay Breakdown'!M:M)+SUMIF('Executive Pay Breakdown'!O:O,$B4,'Executive Pay Breakdown'!Q:Q)+SUMIF('Executive Pay Breakdown'!S:S,$B4,'Executive Pay Breakdown'!U:U)+SUMIF('Executive Pay Breakdown'!W:W,$B4,'Executive Pay Breakdown'!Y:Y)+SUMIF('Executive Pay Breakdown'!AA:AA,$B4,'Executive Pay Breakdown'!AC:AC)</f>
        <v>231490784</v>
      </c>
      <c r="F4" s="67">
        <f t="array" ref="F4">INDEX('Key Findings'!BB:BB,MATCH(C4,'Key Findings'!B:B,0))</f>
        <v>329702</v>
      </c>
      <c r="G4" s="68" t="s">
        <v>90</v>
      </c>
      <c r="H4" s="69">
        <f>SUMIF('Executive Pay Breakdown'!K:K,$B4,'Executive Pay Breakdown'!M:M)</f>
        <v>0</v>
      </c>
      <c r="I4" s="69">
        <f>SUMIF('Executive Pay Breakdown'!O:O,$B4,'Executive Pay Breakdown'!Q:Q)</f>
        <v>0</v>
      </c>
      <c r="J4" s="69">
        <f>SUMIF('Executive Pay Breakdown'!S:S,$B4,'Executive Pay Breakdown'!U:U)</f>
        <v>137195887</v>
      </c>
      <c r="K4" s="69">
        <f>SUMIF('Executive Pay Breakdown'!W:W,$B4,'Executive Pay Breakdown'!Y:Y)</f>
        <v>27756690</v>
      </c>
      <c r="L4" s="69">
        <f>SUMIF('Executive Pay Breakdown'!AA:AA,$B4,'Executive Pay Breakdown'!AC:AC)</f>
        <v>66538207</v>
      </c>
    </row>
    <row r="5">
      <c r="A5" s="54" t="s">
        <v>86</v>
      </c>
      <c r="B5" s="70" t="s">
        <v>91</v>
      </c>
      <c r="C5" s="56" t="s">
        <v>16</v>
      </c>
      <c r="D5" s="57">
        <f t="array" ref="D5">INDEX('Key Findings'!AF:AF,MATCH(C5,'Key Findings'!B:B,0))</f>
        <v>0.01564901847</v>
      </c>
      <c r="E5" s="58">
        <f>SUMIF('Executive Pay Breakdown'!K:K,$B5,'Executive Pay Breakdown'!M:M)+SUMIF('Executive Pay Breakdown'!O:O,$B5,'Executive Pay Breakdown'!Q:Q)+SUMIF('Executive Pay Breakdown'!S:S,$B5,'Executive Pay Breakdown'!U:U)+SUMIF('Executive Pay Breakdown'!W:W,$B5,'Executive Pay Breakdown'!Y:Y)+SUMIF('Executive Pay Breakdown'!AA:AA,$B5,'Executive Pay Breakdown'!AC:AC)</f>
        <v>209780532</v>
      </c>
      <c r="F5" s="59">
        <f t="array" ref="F5">INDEX('Key Findings'!BB:BB,MATCH(C5,'Key Findings'!B:B,0))</f>
        <v>1044986</v>
      </c>
      <c r="G5" s="60" t="s">
        <v>92</v>
      </c>
      <c r="H5" s="61">
        <f>SUMIF('Executive Pay Breakdown'!K:K,$B5,'Executive Pay Breakdown'!M:M)</f>
        <v>51073237</v>
      </c>
      <c r="I5" s="61">
        <f>SUMIF('Executive Pay Breakdown'!O:O,$B5,'Executive Pay Breakdown'!Q:Q)</f>
        <v>40823725</v>
      </c>
      <c r="J5" s="61">
        <f>SUMIF('Executive Pay Breakdown'!S:S,$B5,'Executive Pay Breakdown'!U:U)</f>
        <v>43226024</v>
      </c>
      <c r="K5" s="61">
        <f>SUMIF('Executive Pay Breakdown'!W:W,$B5,'Executive Pay Breakdown'!Y:Y)</f>
        <v>38577129</v>
      </c>
      <c r="L5" s="61">
        <f>SUMIF('Executive Pay Breakdown'!AA:AA,$B5,'Executive Pay Breakdown'!AC:AC)</f>
        <v>36080417</v>
      </c>
    </row>
    <row r="6">
      <c r="A6" s="71"/>
      <c r="B6" s="72" t="s">
        <v>93</v>
      </c>
      <c r="C6" s="64" t="s">
        <v>16</v>
      </c>
      <c r="D6" s="65">
        <f t="array" ref="D6">INDEX('Key Findings'!AF:AF,MATCH(C6,'Key Findings'!B:B,0))</f>
        <v>0.01564901847</v>
      </c>
      <c r="E6" s="66">
        <f>SUMIF('Executive Pay Breakdown'!K:K,$B6,'Executive Pay Breakdown'!M:M)+SUMIF('Executive Pay Breakdown'!O:O,$B6,'Executive Pay Breakdown'!Q:Q)+SUMIF('Executive Pay Breakdown'!S:S,$B6,'Executive Pay Breakdown'!U:U)+SUMIF('Executive Pay Breakdown'!W:W,$B6,'Executive Pay Breakdown'!Y:Y)+SUMIF('Executive Pay Breakdown'!AA:AA,$B6,'Executive Pay Breakdown'!AC:AC)</f>
        <v>192171581</v>
      </c>
      <c r="F6" s="67">
        <f t="array" ref="F6">INDEX('Key Findings'!BB:BB,MATCH(C6,'Key Findings'!B:B,0))</f>
        <v>1044986</v>
      </c>
      <c r="G6" s="68" t="s">
        <v>94</v>
      </c>
      <c r="H6" s="69">
        <f>SUMIF('Executive Pay Breakdown'!K:K,$B6,'Executive Pay Breakdown'!M:M)</f>
        <v>50299296</v>
      </c>
      <c r="I6" s="69">
        <f>SUMIF('Executive Pay Breakdown'!O:O,$B6,'Executive Pay Breakdown'!Q:Q)</f>
        <v>38232164</v>
      </c>
      <c r="J6" s="69">
        <f>SUMIF('Executive Pay Breakdown'!S:S,$B6,'Executive Pay Breakdown'!U:U)</f>
        <v>39318251</v>
      </c>
      <c r="K6" s="69">
        <f>SUMIF('Executive Pay Breakdown'!W:W,$B6,'Executive Pay Breakdown'!Y:Y)</f>
        <v>34674399</v>
      </c>
      <c r="L6" s="69">
        <f>SUMIF('Executive Pay Breakdown'!AA:AA,$B6,'Executive Pay Breakdown'!AC:AC)</f>
        <v>29647471</v>
      </c>
    </row>
    <row r="7">
      <c r="A7" s="73"/>
      <c r="B7" s="74" t="s">
        <v>95</v>
      </c>
      <c r="C7" s="56" t="s">
        <v>13</v>
      </c>
      <c r="D7" s="57">
        <f t="array" ref="D7">INDEX('Key Findings'!AF:AF,MATCH(C7,'Key Findings'!B:B,0))</f>
        <v>-0.004465250029</v>
      </c>
      <c r="E7" s="58">
        <f>SUMIF('Executive Pay Breakdown'!K:K,$B7,'Executive Pay Breakdown'!M:M)+SUMIF('Executive Pay Breakdown'!O:O,$B7,'Executive Pay Breakdown'!Q:Q)+SUMIF('Executive Pay Breakdown'!S:S,$B7,'Executive Pay Breakdown'!U:U)+SUMIF('Executive Pay Breakdown'!W:W,$B7,'Executive Pay Breakdown'!Y:Y)+SUMIF('Executive Pay Breakdown'!AA:AA,$B7,'Executive Pay Breakdown'!AC:AC)</f>
        <v>158603797</v>
      </c>
      <c r="F7" s="59">
        <f t="array" ref="F7">INDEX('Key Findings'!BB:BB,MATCH(C7,'Key Findings'!B:B,0))</f>
        <v>329702</v>
      </c>
      <c r="G7" s="60" t="s">
        <v>96</v>
      </c>
      <c r="H7" s="61">
        <f>SUMIF('Executive Pay Breakdown'!K:K,$B7,'Executive Pay Breakdown'!M:M)</f>
        <v>29060048</v>
      </c>
      <c r="I7" s="61">
        <f>SUMIF('Executive Pay Breakdown'!O:O,$B7,'Executive Pay Breakdown'!Q:Q)</f>
        <v>22610659</v>
      </c>
      <c r="J7" s="61">
        <f>SUMIF('Executive Pay Breakdown'!S:S,$B7,'Executive Pay Breakdown'!U:U)</f>
        <v>54914014</v>
      </c>
      <c r="K7" s="61">
        <f>SUMIF('Executive Pay Breakdown'!W:W,$B7,'Executive Pay Breakdown'!Y:Y)</f>
        <v>16369704</v>
      </c>
      <c r="L7" s="61">
        <f>SUMIF('Executive Pay Breakdown'!AA:AA,$B7,'Executive Pay Breakdown'!AC:AC)</f>
        <v>35649372</v>
      </c>
    </row>
    <row r="8">
      <c r="A8" s="62"/>
      <c r="B8" s="75" t="s">
        <v>97</v>
      </c>
      <c r="C8" s="64" t="s">
        <v>14</v>
      </c>
      <c r="D8" s="65">
        <f t="array" ref="D8">INDEX('Key Findings'!AF:AF,MATCH(C8,'Key Findings'!B:B,0))</f>
        <v>0.02176739979</v>
      </c>
      <c r="E8" s="66">
        <f>SUMIF('Executive Pay Breakdown'!K:K,$B8,'Executive Pay Breakdown'!M:M)+SUMIF('Executive Pay Breakdown'!O:O,$B8,'Executive Pay Breakdown'!Q:Q)+SUMIF('Executive Pay Breakdown'!S:S,$B8,'Executive Pay Breakdown'!U:U)+SUMIF('Executive Pay Breakdown'!W:W,$B8,'Executive Pay Breakdown'!Y:Y)+SUMIF('Executive Pay Breakdown'!AA:AA,$B8,'Executive Pay Breakdown'!AC:AC)</f>
        <v>152295198</v>
      </c>
      <c r="F8" s="67">
        <f t="array" ref="F8">INDEX('Key Findings'!BB:BB,MATCH(C8,'Key Findings'!B:B,0))</f>
        <v>360945</v>
      </c>
      <c r="G8" s="68" t="s">
        <v>98</v>
      </c>
      <c r="H8" s="69">
        <f>SUMIF('Executive Pay Breakdown'!K:K,$B8,'Executive Pay Breakdown'!M:M)</f>
        <v>75314199</v>
      </c>
      <c r="I8" s="69">
        <f>SUMIF('Executive Pay Breakdown'!O:O,$B8,'Executive Pay Breakdown'!Q:Q)</f>
        <v>21905220</v>
      </c>
      <c r="J8" s="69">
        <f>SUMIF('Executive Pay Breakdown'!S:S,$B8,'Executive Pay Breakdown'!U:U)</f>
        <v>24066986</v>
      </c>
      <c r="K8" s="69">
        <f>SUMIF('Executive Pay Breakdown'!W:W,$B8,'Executive Pay Breakdown'!Y:Y)</f>
        <v>18388334</v>
      </c>
      <c r="L8" s="69">
        <f>SUMIF('Executive Pay Breakdown'!AA:AA,$B8,'Executive Pay Breakdown'!AC:AC)</f>
        <v>12620459</v>
      </c>
    </row>
    <row r="9">
      <c r="A9" s="73" t="s">
        <v>86</v>
      </c>
      <c r="B9" s="76" t="s">
        <v>99</v>
      </c>
      <c r="C9" s="56" t="s">
        <v>29</v>
      </c>
      <c r="D9" s="57">
        <f t="array" ref="D9">INDEX('Key Findings'!AF:AF,MATCH(C9,'Key Findings'!B:B,0))</f>
        <v>0.02901323501</v>
      </c>
      <c r="E9" s="58">
        <f>SUMIF('Executive Pay Breakdown'!K:K,$B9,'Executive Pay Breakdown'!M:M)+SUMIF('Executive Pay Breakdown'!O:O,$B9,'Executive Pay Breakdown'!Q:Q)+SUMIF('Executive Pay Breakdown'!S:S,$B9,'Executive Pay Breakdown'!U:U)+SUMIF('Executive Pay Breakdown'!W:W,$B9,'Executive Pay Breakdown'!Y:Y)+SUMIF('Executive Pay Breakdown'!AA:AA,$B9,'Executive Pay Breakdown'!AC:AC)</f>
        <v>138573120</v>
      </c>
      <c r="F9" s="59">
        <f t="array" ref="F9">INDEX('Key Findings'!BB:BB,MATCH(C9,'Key Findings'!B:B,0))</f>
        <v>855246</v>
      </c>
      <c r="G9" s="60" t="s">
        <v>100</v>
      </c>
      <c r="H9" s="61">
        <f>SUMIF('Executive Pay Breakdown'!K:K,$B9,'Executive Pay Breakdown'!M:M)</f>
        <v>29868893</v>
      </c>
      <c r="I9" s="61">
        <f>SUMIF('Executive Pay Breakdown'!O:O,$B9,'Executive Pay Breakdown'!Q:Q)</f>
        <v>28602112</v>
      </c>
      <c r="J9" s="61">
        <f>SUMIF('Executive Pay Breakdown'!S:S,$B9,'Executive Pay Breakdown'!U:U)</f>
        <v>25740775</v>
      </c>
      <c r="K9" s="61">
        <f>SUMIF('Executive Pay Breakdown'!W:W,$B9,'Executive Pay Breakdown'!Y:Y)</f>
        <v>25969494</v>
      </c>
      <c r="L9" s="61">
        <f>SUMIF('Executive Pay Breakdown'!AA:AA,$B9,'Executive Pay Breakdown'!AC:AC)</f>
        <v>28391846</v>
      </c>
    </row>
    <row r="10">
      <c r="A10" s="71"/>
      <c r="B10" s="72" t="s">
        <v>101</v>
      </c>
      <c r="C10" s="64" t="s">
        <v>54</v>
      </c>
      <c r="D10" s="65">
        <f t="array" ref="D10">INDEX('Key Findings'!AF:AF,MATCH(C10,'Key Findings'!B:B,0))</f>
        <v>0.06430049339</v>
      </c>
      <c r="E10" s="66">
        <f>SUMIF('Executive Pay Breakdown'!K:K,$B10,'Executive Pay Breakdown'!M:M)+SUMIF('Executive Pay Breakdown'!O:O,$B10,'Executive Pay Breakdown'!Q:Q)+SUMIF('Executive Pay Breakdown'!S:S,$B10,'Executive Pay Breakdown'!U:U)+SUMIF('Executive Pay Breakdown'!W:W,$B10,'Executive Pay Breakdown'!Y:Y)+SUMIF('Executive Pay Breakdown'!AA:AA,$B10,'Executive Pay Breakdown'!AC:AC)</f>
        <v>136821183</v>
      </c>
      <c r="F10" s="67">
        <f t="array" ref="F10">INDEX('Key Findings'!BB:BB,MATCH(C10,'Key Findings'!B:B,0))</f>
        <v>285189</v>
      </c>
      <c r="G10" s="68" t="s">
        <v>102</v>
      </c>
      <c r="H10" s="69">
        <f>SUMIF('Executive Pay Breakdown'!K:K,$B10,'Executive Pay Breakdown'!M:M)</f>
        <v>39213350</v>
      </c>
      <c r="I10" s="69">
        <f>SUMIF('Executive Pay Breakdown'!O:O,$B10,'Executive Pay Breakdown'!Q:Q)</f>
        <v>41860263</v>
      </c>
      <c r="J10" s="69">
        <f>SUMIF('Executive Pay Breakdown'!S:S,$B10,'Executive Pay Breakdown'!U:U)</f>
        <v>38846705</v>
      </c>
      <c r="K10" s="69">
        <f>SUMIF('Executive Pay Breakdown'!W:W,$B10,'Executive Pay Breakdown'!Y:Y)</f>
        <v>8743601</v>
      </c>
      <c r="L10" s="69">
        <f>SUMIF('Executive Pay Breakdown'!AA:AA,$B10,'Executive Pay Breakdown'!AC:AC)</f>
        <v>8157264</v>
      </c>
    </row>
    <row r="11">
      <c r="A11" s="73"/>
      <c r="B11" s="74" t="s">
        <v>103</v>
      </c>
      <c r="C11" s="56" t="s">
        <v>12</v>
      </c>
      <c r="D11" s="57">
        <f t="array" ref="D11">INDEX('Key Findings'!AF:AF,MATCH(C11,'Key Findings'!B:B,0))</f>
        <v>0.01197579804</v>
      </c>
      <c r="E11" s="58">
        <f>SUMIF('Executive Pay Breakdown'!K:K,$B11,'Executive Pay Breakdown'!M:M)+SUMIF('Executive Pay Breakdown'!O:O,$B11,'Executive Pay Breakdown'!Q:Q)+SUMIF('Executive Pay Breakdown'!S:S,$B11,'Executive Pay Breakdown'!U:U)+SUMIF('Executive Pay Breakdown'!W:W,$B11,'Executive Pay Breakdown'!Y:Y)+SUMIF('Executive Pay Breakdown'!AA:AA,$B11,'Executive Pay Breakdown'!AC:AC)</f>
        <v>132699000</v>
      </c>
      <c r="F11" s="59">
        <f t="array" ref="F11">INDEX('Key Findings'!BB:BB,MATCH(C11,'Key Findings'!B:B,0))</f>
        <v>664263</v>
      </c>
      <c r="G11" s="60" t="s">
        <v>104</v>
      </c>
      <c r="H11" s="61">
        <f>SUMIF('Executive Pay Breakdown'!K:K,$B11,'Executive Pay Breakdown'!M:M)</f>
        <v>40406018</v>
      </c>
      <c r="I11" s="61">
        <f>SUMIF('Executive Pay Breakdown'!O:O,$B11,'Executive Pay Breakdown'!Q:Q)</f>
        <v>25335936</v>
      </c>
      <c r="J11" s="61">
        <f>SUMIF('Executive Pay Breakdown'!S:S,$B11,'Executive Pay Breakdown'!U:U)</f>
        <v>23720707</v>
      </c>
      <c r="K11" s="61">
        <f>SUMIF('Executive Pay Breakdown'!W:W,$B11,'Executive Pay Breakdown'!Y:Y)</f>
        <v>21877597</v>
      </c>
      <c r="L11" s="61">
        <f>SUMIF('Executive Pay Breakdown'!AA:AA,$B11,'Executive Pay Breakdown'!AC:AC)</f>
        <v>21358742</v>
      </c>
    </row>
    <row r="12">
      <c r="A12" s="62"/>
      <c r="B12" s="77" t="s">
        <v>105</v>
      </c>
      <c r="C12" s="64" t="s">
        <v>51</v>
      </c>
      <c r="D12" s="65">
        <f t="array" ref="D12">INDEX('Key Findings'!AF:AF,MATCH(C12,'Key Findings'!B:B,0))</f>
        <v>0.06318930842</v>
      </c>
      <c r="E12" s="66">
        <f>SUMIF('Executive Pay Breakdown'!K:K,$B12,'Executive Pay Breakdown'!M:M)+SUMIF('Executive Pay Breakdown'!O:O,$B12,'Executive Pay Breakdown'!Q:Q)+SUMIF('Executive Pay Breakdown'!S:S,$B12,'Executive Pay Breakdown'!U:U)+SUMIF('Executive Pay Breakdown'!W:W,$B12,'Executive Pay Breakdown'!Y:Y)+SUMIF('Executive Pay Breakdown'!AA:AA,$B12,'Executive Pay Breakdown'!AC:AC)</f>
        <v>128912181</v>
      </c>
      <c r="F12" s="67">
        <f t="array" ref="F12">INDEX('Key Findings'!BB:BB,MATCH(C12,'Key Findings'!B:B,0))</f>
        <v>785016</v>
      </c>
      <c r="G12" s="68" t="s">
        <v>106</v>
      </c>
      <c r="H12" s="69">
        <f>SUMIF('Executive Pay Breakdown'!K:K,$B12,'Executive Pay Breakdown'!M:M)</f>
        <v>23573925</v>
      </c>
      <c r="I12" s="69">
        <f>SUMIF('Executive Pay Breakdown'!O:O,$B12,'Executive Pay Breakdown'!Q:Q)</f>
        <v>22610285</v>
      </c>
      <c r="J12" s="69">
        <f>SUMIF('Executive Pay Breakdown'!S:S,$B12,'Executive Pay Breakdown'!U:U)</f>
        <v>29016686</v>
      </c>
      <c r="K12" s="69">
        <f>SUMIF('Executive Pay Breakdown'!W:W,$B12,'Executive Pay Breakdown'!Y:Y)</f>
        <v>33070662</v>
      </c>
      <c r="L12" s="69">
        <f>SUMIF('Executive Pay Breakdown'!AA:AA,$B12,'Executive Pay Breakdown'!AC:AC)</f>
        <v>20640623</v>
      </c>
    </row>
    <row r="13">
      <c r="A13" s="54"/>
      <c r="B13" s="78" t="s">
        <v>107</v>
      </c>
      <c r="C13" s="56" t="s">
        <v>50</v>
      </c>
      <c r="D13" s="57">
        <f t="array" ref="D13">INDEX('Key Findings'!AF:AF,MATCH(C13,'Key Findings'!B:B,0))</f>
        <v>0.01301721534</v>
      </c>
      <c r="E13" s="58">
        <f>SUMIF('Executive Pay Breakdown'!K:K,$B13,'Executive Pay Breakdown'!M:M)+SUMIF('Executive Pay Breakdown'!O:O,$B13,'Executive Pay Breakdown'!Q:Q)+SUMIF('Executive Pay Breakdown'!S:S,$B13,'Executive Pay Breakdown'!U:U)+SUMIF('Executive Pay Breakdown'!W:W,$B13,'Executive Pay Breakdown'!Y:Y)+SUMIF('Executive Pay Breakdown'!AA:AA,$B13,'Executive Pay Breakdown'!AC:AC)</f>
        <v>125275654</v>
      </c>
      <c r="F13" s="59">
        <f t="array" ref="F13">INDEX('Key Findings'!BB:BB,MATCH(C13,'Key Findings'!B:B,0))</f>
        <v>451597</v>
      </c>
      <c r="G13" s="60" t="s">
        <v>108</v>
      </c>
      <c r="H13" s="61">
        <f>SUMIF('Executive Pay Breakdown'!K:K,$B13,'Executive Pay Breakdown'!M:M)</f>
        <v>28979570</v>
      </c>
      <c r="I13" s="61">
        <f>SUMIF('Executive Pay Breakdown'!O:O,$B13,'Executive Pay Breakdown'!Q:Q)</f>
        <v>29136780</v>
      </c>
      <c r="J13" s="61">
        <f>SUMIF('Executive Pay Breakdown'!S:S,$B13,'Executive Pay Breakdown'!U:U)</f>
        <v>23657987</v>
      </c>
      <c r="K13" s="61">
        <f>SUMIF('Executive Pay Breakdown'!W:W,$B13,'Executive Pay Breakdown'!Y:Y)</f>
        <v>21630867</v>
      </c>
      <c r="L13" s="61">
        <f>SUMIF('Executive Pay Breakdown'!AA:AA,$B13,'Executive Pay Breakdown'!AC:AC)</f>
        <v>21870450</v>
      </c>
    </row>
    <row r="14">
      <c r="A14" s="62"/>
      <c r="B14" s="79" t="s">
        <v>109</v>
      </c>
      <c r="C14" s="80" t="s">
        <v>62</v>
      </c>
      <c r="D14" s="65">
        <f t="array" ref="D14">INDEX('Key Findings'!AF:AF,MATCH(C14,'Key Findings'!B:B,0))</f>
        <v>0.03186386478</v>
      </c>
      <c r="E14" s="66">
        <f>SUMIF('Executive Pay Breakdown'!K:K,$B14,'Executive Pay Breakdown'!M:M)+SUMIF('Executive Pay Breakdown'!O:O,$B14,'Executive Pay Breakdown'!Q:Q)+SUMIF('Executive Pay Breakdown'!S:S,$B14,'Executive Pay Breakdown'!U:U)+SUMIF('Executive Pay Breakdown'!W:W,$B14,'Executive Pay Breakdown'!Y:Y)+SUMIF('Executive Pay Breakdown'!AA:AA,$B14,'Executive Pay Breakdown'!AC:AC)</f>
        <v>112321574</v>
      </c>
      <c r="F14" s="67">
        <f t="array" ref="F14">INDEX('Key Findings'!BB:BB,MATCH(C14,'Key Findings'!B:B,0))</f>
        <v>368248</v>
      </c>
      <c r="G14" s="68" t="s">
        <v>110</v>
      </c>
      <c r="H14" s="69">
        <f>SUMIF('Executive Pay Breakdown'!K:K,$B14,'Executive Pay Breakdown'!M:M)</f>
        <v>19816806</v>
      </c>
      <c r="I14" s="69">
        <f>SUMIF('Executive Pay Breakdown'!O:O,$B14,'Executive Pay Breakdown'!Q:Q)</f>
        <v>22654781</v>
      </c>
      <c r="J14" s="69">
        <f>SUMIF('Executive Pay Breakdown'!S:S,$B14,'Executive Pay Breakdown'!U:U)</f>
        <v>16959233</v>
      </c>
      <c r="K14" s="69">
        <f>SUMIF('Executive Pay Breakdown'!W:W,$B14,'Executive Pay Breakdown'!Y:Y)</f>
        <v>17235108</v>
      </c>
      <c r="L14" s="69">
        <f>SUMIF('Executive Pay Breakdown'!AA:AA,$B14,'Executive Pay Breakdown'!AC:AC)</f>
        <v>35655646</v>
      </c>
    </row>
    <row r="15">
      <c r="A15" s="54"/>
      <c r="B15" s="70" t="s">
        <v>111</v>
      </c>
      <c r="C15" s="56" t="s">
        <v>55</v>
      </c>
      <c r="D15" s="57">
        <f t="array" ref="D15">INDEX('Key Findings'!AF:AF,MATCH(C15,'Key Findings'!B:B,0))</f>
        <v>0.08607653833</v>
      </c>
      <c r="E15" s="58">
        <f>SUMIF('Executive Pay Breakdown'!K:K,$B15,'Executive Pay Breakdown'!M:M)+SUMIF('Executive Pay Breakdown'!O:O,$B15,'Executive Pay Breakdown'!Q:Q)+SUMIF('Executive Pay Breakdown'!S:S,$B15,'Executive Pay Breakdown'!U:U)+SUMIF('Executive Pay Breakdown'!W:W,$B15,'Executive Pay Breakdown'!Y:Y)+SUMIF('Executive Pay Breakdown'!AA:AA,$B15,'Executive Pay Breakdown'!AC:AC)</f>
        <v>110384707</v>
      </c>
      <c r="F15" s="59">
        <f t="array" ref="F15">INDEX('Key Findings'!BB:BB,MATCH(C15,'Key Findings'!B:B,0))</f>
        <v>354324</v>
      </c>
      <c r="G15" s="60" t="s">
        <v>112</v>
      </c>
      <c r="H15" s="61">
        <f>SUMIF('Executive Pay Breakdown'!K:K,$B15,'Executive Pay Breakdown'!M:M)</f>
        <v>25437598</v>
      </c>
      <c r="I15" s="61">
        <f>SUMIF('Executive Pay Breakdown'!O:O,$B15,'Executive Pay Breakdown'!Q:Q)</f>
        <v>26100120</v>
      </c>
      <c r="J15" s="61">
        <f>SUMIF('Executive Pay Breakdown'!S:S,$B15,'Executive Pay Breakdown'!U:U)</f>
        <v>19075281</v>
      </c>
      <c r="K15" s="61">
        <f>SUMIF('Executive Pay Breakdown'!W:W,$B15,'Executive Pay Breakdown'!Y:Y)</f>
        <v>20525104</v>
      </c>
      <c r="L15" s="61">
        <f>SUMIF('Executive Pay Breakdown'!AA:AA,$B15,'Executive Pay Breakdown'!AC:AC)</f>
        <v>19246604</v>
      </c>
    </row>
    <row r="16">
      <c r="A16" s="62"/>
      <c r="B16" s="63" t="s">
        <v>113</v>
      </c>
      <c r="C16" s="64" t="s">
        <v>53</v>
      </c>
      <c r="D16" s="65">
        <f t="array" ref="D16">INDEX('Key Findings'!AF:AF,MATCH(C16,'Key Findings'!B:B,0))</f>
        <v>0.03059776037</v>
      </c>
      <c r="E16" s="66">
        <f>SUMIF('Executive Pay Breakdown'!K:K,$B16,'Executive Pay Breakdown'!M:M)+SUMIF('Executive Pay Breakdown'!O:O,$B16,'Executive Pay Breakdown'!Q:Q)+SUMIF('Executive Pay Breakdown'!S:S,$B16,'Executive Pay Breakdown'!U:U)+SUMIF('Executive Pay Breakdown'!W:W,$B16,'Executive Pay Breakdown'!Y:Y)+SUMIF('Executive Pay Breakdown'!AA:AA,$B16,'Executive Pay Breakdown'!AC:AC)</f>
        <v>108579955</v>
      </c>
      <c r="F16" s="67">
        <f t="array" ref="F16">INDEX('Key Findings'!BB:BB,MATCH(C16,'Key Findings'!B:B,0))</f>
        <v>679620</v>
      </c>
      <c r="G16" s="68" t="s">
        <v>114</v>
      </c>
      <c r="H16" s="69">
        <f>SUMIF('Executive Pay Breakdown'!K:K,$B16,'Executive Pay Breakdown'!M:M)</f>
        <v>24006670</v>
      </c>
      <c r="I16" s="69">
        <f>SUMIF('Executive Pay Breakdown'!O:O,$B16,'Executive Pay Breakdown'!Q:Q)</f>
        <v>21243559</v>
      </c>
      <c r="J16" s="69">
        <f>SUMIF('Executive Pay Breakdown'!S:S,$B16,'Executive Pay Breakdown'!U:U)</f>
        <v>22366850</v>
      </c>
      <c r="K16" s="69">
        <f>SUMIF('Executive Pay Breakdown'!W:W,$B16,'Executive Pay Breakdown'!Y:Y)</f>
        <v>27865185</v>
      </c>
      <c r="L16" s="69">
        <f>SUMIF('Executive Pay Breakdown'!AA:AA,$B16,'Executive Pay Breakdown'!AC:AC)</f>
        <v>13097691</v>
      </c>
    </row>
    <row r="17">
      <c r="A17" s="54"/>
      <c r="B17" s="70" t="s">
        <v>115</v>
      </c>
      <c r="C17" s="56" t="s">
        <v>65</v>
      </c>
      <c r="D17" s="57">
        <f t="array" ref="D17">INDEX('Key Findings'!AF:AF,MATCH(C17,'Key Findings'!B:B,0))</f>
        <v>0.09336412964</v>
      </c>
      <c r="E17" s="58">
        <f>SUMIF('Executive Pay Breakdown'!K:K,$B17,'Executive Pay Breakdown'!M:M)+SUMIF('Executive Pay Breakdown'!O:O,$B17,'Executive Pay Breakdown'!Q:Q)+SUMIF('Executive Pay Breakdown'!S:S,$B17,'Executive Pay Breakdown'!U:U)+SUMIF('Executive Pay Breakdown'!W:W,$B17,'Executive Pay Breakdown'!Y:Y)+SUMIF('Executive Pay Breakdown'!AA:AA,$B17,'Executive Pay Breakdown'!AC:AC)</f>
        <v>108030407</v>
      </c>
      <c r="F17" s="59">
        <f t="array" ref="F17">INDEX('Key Findings'!BB:BB,MATCH(C17,'Key Findings'!B:B,0))</f>
        <v>329904</v>
      </c>
      <c r="G17" s="60" t="s">
        <v>116</v>
      </c>
      <c r="H17" s="61">
        <f>SUMIF('Executive Pay Breakdown'!K:K,$B17,'Executive Pay Breakdown'!M:M)</f>
        <v>24749178</v>
      </c>
      <c r="I17" s="61">
        <f>SUMIF('Executive Pay Breakdown'!O:O,$B17,'Executive Pay Breakdown'!Q:Q)</f>
        <v>23508841</v>
      </c>
      <c r="J17" s="61">
        <f>SUMIF('Executive Pay Breakdown'!S:S,$B17,'Executive Pay Breakdown'!U:U)</f>
        <v>21994433</v>
      </c>
      <c r="K17" s="61">
        <f>SUMIF('Executive Pay Breakdown'!W:W,$B17,'Executive Pay Breakdown'!Y:Y)</f>
        <v>18140421</v>
      </c>
      <c r="L17" s="61">
        <f>SUMIF('Executive Pay Breakdown'!AA:AA,$B17,'Executive Pay Breakdown'!AC:AC)</f>
        <v>19637534</v>
      </c>
    </row>
    <row r="18">
      <c r="A18" s="81"/>
      <c r="B18" s="82" t="s">
        <v>117</v>
      </c>
      <c r="C18" s="64" t="s">
        <v>49</v>
      </c>
      <c r="D18" s="65">
        <f t="array" ref="D18">INDEX('Key Findings'!AF:AF,MATCH(C18,'Key Findings'!B:B,0))</f>
        <v>0.02633997344</v>
      </c>
      <c r="E18" s="66">
        <f>SUMIF('Executive Pay Breakdown'!K:K,$B18,'Executive Pay Breakdown'!M:M)+SUMIF('Executive Pay Breakdown'!O:O,$B18,'Executive Pay Breakdown'!Q:Q)+SUMIF('Executive Pay Breakdown'!S:S,$B18,'Executive Pay Breakdown'!U:U)+SUMIF('Executive Pay Breakdown'!W:W,$B18,'Executive Pay Breakdown'!Y:Y)+SUMIF('Executive Pay Breakdown'!AA:AA,$B18,'Executive Pay Breakdown'!AC:AC)</f>
        <v>107783233</v>
      </c>
      <c r="F18" s="67">
        <f t="array" ref="F18">INDEX('Key Findings'!BB:BB,MATCH(C18,'Key Findings'!B:B,0))</f>
        <v>495922</v>
      </c>
      <c r="G18" s="68" t="s">
        <v>118</v>
      </c>
      <c r="H18" s="69">
        <f>SUMIF('Executive Pay Breakdown'!K:K,$B18,'Executive Pay Breakdown'!M:M)</f>
        <v>22915526</v>
      </c>
      <c r="I18" s="69">
        <f>SUMIF('Executive Pay Breakdown'!O:O,$B18,'Executive Pay Breakdown'!Q:Q)</f>
        <v>24820879</v>
      </c>
      <c r="J18" s="69">
        <f>SUMIF('Executive Pay Breakdown'!S:S,$B18,'Executive Pay Breakdown'!U:U)</f>
        <v>21020917</v>
      </c>
      <c r="K18" s="69">
        <f>SUMIF('Executive Pay Breakdown'!W:W,$B18,'Executive Pay Breakdown'!Y:Y)</f>
        <v>22473006</v>
      </c>
      <c r="L18" s="69">
        <f>SUMIF('Executive Pay Breakdown'!AA:AA,$B18,'Executive Pay Breakdown'!AC:AC)</f>
        <v>16552905</v>
      </c>
    </row>
    <row r="19">
      <c r="A19" s="54"/>
      <c r="B19" s="83" t="s">
        <v>119</v>
      </c>
      <c r="C19" s="56" t="s">
        <v>49</v>
      </c>
      <c r="D19" s="57">
        <f t="array" ref="D19">INDEX('Key Findings'!AF:AF,MATCH(C19,'Key Findings'!B:B,0))</f>
        <v>0.02633997344</v>
      </c>
      <c r="E19" s="58">
        <f>SUMIF('Executive Pay Breakdown'!K:K,$B19,'Executive Pay Breakdown'!M:M)+SUMIF('Executive Pay Breakdown'!O:O,$B19,'Executive Pay Breakdown'!Q:Q)+SUMIF('Executive Pay Breakdown'!S:S,$B19,'Executive Pay Breakdown'!U:U)+SUMIF('Executive Pay Breakdown'!W:W,$B19,'Executive Pay Breakdown'!Y:Y)+SUMIF('Executive Pay Breakdown'!AA:AA,$B19,'Executive Pay Breakdown'!AC:AC)</f>
        <v>106651170</v>
      </c>
      <c r="F19" s="59">
        <f t="array" ref="F19">INDEX('Key Findings'!BB:BB,MATCH(C19,'Key Findings'!B:B,0))</f>
        <v>495922</v>
      </c>
      <c r="G19" s="60" t="s">
        <v>120</v>
      </c>
      <c r="H19" s="61">
        <f>SUMIF('Executive Pay Breakdown'!K:K,$B19,'Executive Pay Breakdown'!M:M)</f>
        <v>0</v>
      </c>
      <c r="I19" s="61">
        <f>SUMIF('Executive Pay Breakdown'!O:O,$B19,'Executive Pay Breakdown'!Q:Q)</f>
        <v>16345499</v>
      </c>
      <c r="J19" s="61">
        <f>SUMIF('Executive Pay Breakdown'!S:S,$B19,'Executive Pay Breakdown'!U:U)</f>
        <v>29154628</v>
      </c>
      <c r="K19" s="61">
        <f>SUMIF('Executive Pay Breakdown'!W:W,$B19,'Executive Pay Breakdown'!Y:Y)</f>
        <v>32032925</v>
      </c>
      <c r="L19" s="61">
        <f>SUMIF('Executive Pay Breakdown'!AA:AA,$B19,'Executive Pay Breakdown'!AC:AC)</f>
        <v>29118118</v>
      </c>
    </row>
    <row r="20">
      <c r="A20" s="81" t="s">
        <v>86</v>
      </c>
      <c r="B20" s="63" t="s">
        <v>121</v>
      </c>
      <c r="C20" s="64" t="s">
        <v>17</v>
      </c>
      <c r="D20" s="65">
        <f t="array" ref="D20">INDEX('Key Findings'!AF:AF,MATCH(C20,'Key Findings'!B:B,0))</f>
        <v>0.007018002259</v>
      </c>
      <c r="E20" s="66">
        <f>SUMIF('Executive Pay Breakdown'!K:K,$B20,'Executive Pay Breakdown'!M:M)+SUMIF('Executive Pay Breakdown'!O:O,$B20,'Executive Pay Breakdown'!Q:Q)+SUMIF('Executive Pay Breakdown'!S:S,$B20,'Executive Pay Breakdown'!U:U)+SUMIF('Executive Pay Breakdown'!W:W,$B20,'Executive Pay Breakdown'!Y:Y)+SUMIF('Executive Pay Breakdown'!AA:AA,$B20,'Executive Pay Breakdown'!AC:AC)</f>
        <v>106511754</v>
      </c>
      <c r="F20" s="67">
        <f t="array" ref="F20">INDEX('Key Findings'!BB:BB,MATCH(C20,'Key Findings'!B:B,0))</f>
        <v>296500</v>
      </c>
      <c r="G20" s="68" t="s">
        <v>122</v>
      </c>
      <c r="H20" s="69">
        <f>SUMIF('Executive Pay Breakdown'!K:K,$B20,'Executive Pay Breakdown'!M:M)</f>
        <v>3219778</v>
      </c>
      <c r="I20" s="69">
        <f>SUMIF('Executive Pay Breakdown'!O:O,$B20,'Executive Pay Breakdown'!Q:Q)</f>
        <v>3060317</v>
      </c>
      <c r="J20" s="69">
        <f>SUMIF('Executive Pay Breakdown'!S:S,$B20,'Executive Pay Breakdown'!U:U)</f>
        <v>94761246</v>
      </c>
      <c r="K20" s="69">
        <f>SUMIF('Executive Pay Breakdown'!W:W,$B20,'Executive Pay Breakdown'!Y:Y)</f>
        <v>2357756</v>
      </c>
      <c r="L20" s="69">
        <f>SUMIF('Executive Pay Breakdown'!AA:AA,$B20,'Executive Pay Breakdown'!AC:AC)</f>
        <v>3112657</v>
      </c>
    </row>
    <row r="21">
      <c r="A21" s="84"/>
      <c r="B21" s="85" t="s">
        <v>123</v>
      </c>
      <c r="C21" s="56" t="s">
        <v>16</v>
      </c>
      <c r="D21" s="57">
        <f t="array" ref="D21">INDEX('Key Findings'!AF:AF,MATCH(C21,'Key Findings'!B:B,0))</f>
        <v>0.01564901847</v>
      </c>
      <c r="E21" s="58">
        <f>SUMIF('Executive Pay Breakdown'!K:K,$B21,'Executive Pay Breakdown'!M:M)+SUMIF('Executive Pay Breakdown'!O:O,$B21,'Executive Pay Breakdown'!Q:Q)+SUMIF('Executive Pay Breakdown'!S:S,$B21,'Executive Pay Breakdown'!U:U)+SUMIF('Executive Pay Breakdown'!W:W,$B21,'Executive Pay Breakdown'!Y:Y)+SUMIF('Executive Pay Breakdown'!AA:AA,$B21,'Executive Pay Breakdown'!AC:AC)</f>
        <v>102753950</v>
      </c>
      <c r="F21" s="59">
        <f t="array" ref="F21">INDEX('Key Findings'!BB:BB,MATCH(C21,'Key Findings'!B:B,0))</f>
        <v>1044986</v>
      </c>
      <c r="G21" s="60" t="s">
        <v>124</v>
      </c>
      <c r="H21" s="61">
        <f>SUMIF('Executive Pay Breakdown'!K:K,$B21,'Executive Pay Breakdown'!M:M)</f>
        <v>28129263</v>
      </c>
      <c r="I21" s="61">
        <f>SUMIF('Executive Pay Breakdown'!O:O,$B21,'Executive Pay Breakdown'!Q:Q)</f>
        <v>20371393</v>
      </c>
      <c r="J21" s="61">
        <f>SUMIF('Executive Pay Breakdown'!S:S,$B21,'Executive Pay Breakdown'!U:U)</f>
        <v>20805995</v>
      </c>
      <c r="K21" s="61">
        <f>SUMIF('Executive Pay Breakdown'!W:W,$B21,'Executive Pay Breakdown'!Y:Y)</f>
        <v>18628710</v>
      </c>
      <c r="L21" s="61">
        <f>SUMIF('Executive Pay Breakdown'!AA:AA,$B21,'Executive Pay Breakdown'!AC:AC)</f>
        <v>14818589</v>
      </c>
    </row>
    <row r="22">
      <c r="A22" s="62"/>
      <c r="B22" s="79" t="s">
        <v>125</v>
      </c>
      <c r="C22" s="64" t="s">
        <v>32</v>
      </c>
      <c r="D22" s="65">
        <f t="array" ref="D22">INDEX('Key Findings'!AF:AF,MATCH(C22,'Key Findings'!B:B,0))</f>
        <v>0.001160388962</v>
      </c>
      <c r="E22" s="66">
        <f>SUMIF('Executive Pay Breakdown'!K:K,$B22,'Executive Pay Breakdown'!M:M)+SUMIF('Executive Pay Breakdown'!O:O,$B22,'Executive Pay Breakdown'!Q:Q)+SUMIF('Executive Pay Breakdown'!S:S,$B22,'Executive Pay Breakdown'!U:U)+SUMIF('Executive Pay Breakdown'!W:W,$B22,'Executive Pay Breakdown'!Y:Y)+SUMIF('Executive Pay Breakdown'!AA:AA,$B22,'Executive Pay Breakdown'!AC:AC)</f>
        <v>95596632</v>
      </c>
      <c r="F22" s="67">
        <f t="array" ref="F22">INDEX('Key Findings'!BB:BB,MATCH(C22,'Key Findings'!B:B,0))</f>
        <v>685315</v>
      </c>
      <c r="G22" s="68" t="s">
        <v>126</v>
      </c>
      <c r="H22" s="69">
        <f>SUMIF('Executive Pay Breakdown'!K:K,$B22,'Executive Pay Breakdown'!M:M)</f>
        <v>18608094</v>
      </c>
      <c r="I22" s="69">
        <f>SUMIF('Executive Pay Breakdown'!O:O,$B22,'Executive Pay Breakdown'!Q:Q)</f>
        <v>24675982</v>
      </c>
      <c r="J22" s="69">
        <f>SUMIF('Executive Pay Breakdown'!S:S,$B22,'Executive Pay Breakdown'!U:U)</f>
        <v>23181719</v>
      </c>
      <c r="K22" s="69">
        <f>SUMIF('Executive Pay Breakdown'!W:W,$B22,'Executive Pay Breakdown'!Y:Y)</f>
        <v>19806346</v>
      </c>
      <c r="L22" s="69">
        <f>SUMIF('Executive Pay Breakdown'!AA:AA,$B22,'Executive Pay Breakdown'!AC:AC)</f>
        <v>9324491</v>
      </c>
    </row>
    <row r="23">
      <c r="A23" s="62"/>
      <c r="B23" s="86"/>
      <c r="C23" s="87"/>
      <c r="D23" s="88"/>
      <c r="E23" s="89"/>
      <c r="F23" s="90"/>
      <c r="G23" s="91"/>
      <c r="H23" s="69"/>
      <c r="I23" s="69"/>
      <c r="J23" s="69"/>
      <c r="K23" s="69"/>
      <c r="L23" s="69"/>
    </row>
    <row r="24">
      <c r="A24" s="62"/>
      <c r="B24" s="86"/>
      <c r="C24" s="87"/>
      <c r="D24" s="88"/>
      <c r="E24" s="89"/>
      <c r="F24" s="90"/>
      <c r="G24" s="91"/>
      <c r="H24" s="69"/>
      <c r="I24" s="69"/>
      <c r="J24" s="69"/>
      <c r="K24" s="69"/>
      <c r="L24" s="69"/>
    </row>
    <row r="25">
      <c r="A25" s="62"/>
      <c r="B25" s="86"/>
      <c r="C25" s="87"/>
      <c r="D25" s="88"/>
      <c r="E25" s="89"/>
      <c r="F25" s="90"/>
      <c r="G25" s="91"/>
      <c r="H25" s="69"/>
      <c r="I25" s="69"/>
      <c r="J25" s="69"/>
      <c r="K25" s="69"/>
      <c r="L25" s="69"/>
    </row>
  </sheetData>
  <mergeCells count="8">
    <mergeCell ref="A1:A2"/>
    <mergeCell ref="B1:B2"/>
    <mergeCell ref="C1:C2"/>
    <mergeCell ref="D1:D2"/>
    <mergeCell ref="E1:E2"/>
    <mergeCell ref="F1:F2"/>
    <mergeCell ref="G1:G2"/>
    <mergeCell ref="H2:L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hidden="1" min="1" max="1" width="7.63"/>
    <col customWidth="1" min="2" max="2" width="15.13"/>
    <col customWidth="1" min="3" max="3" width="15.63"/>
    <col customWidth="1" min="4" max="8" width="10.13"/>
    <col customWidth="1" hidden="1" min="9" max="9" width="12.63"/>
    <col customWidth="1" hidden="1" min="10" max="10" width="1.38"/>
    <col customWidth="1" hidden="1" min="11" max="15" width="10.13"/>
  </cols>
  <sheetData>
    <row r="1">
      <c r="A1" s="47" t="s">
        <v>78</v>
      </c>
      <c r="B1" s="48" t="s">
        <v>127</v>
      </c>
      <c r="C1" s="49" t="s">
        <v>128</v>
      </c>
      <c r="D1" s="92" t="s">
        <v>129</v>
      </c>
      <c r="E1" s="5"/>
      <c r="F1" s="92" t="s">
        <v>130</v>
      </c>
      <c r="G1" s="5"/>
      <c r="H1" s="93"/>
      <c r="I1" s="53" t="s">
        <v>82</v>
      </c>
      <c r="J1" s="94"/>
      <c r="K1" s="52">
        <v>2022.0</v>
      </c>
      <c r="L1" s="52">
        <v>2021.0</v>
      </c>
      <c r="M1" s="52">
        <v>2020.0</v>
      </c>
      <c r="N1" s="52">
        <v>2019.0</v>
      </c>
      <c r="O1" s="52">
        <v>2018.0</v>
      </c>
    </row>
    <row r="2">
      <c r="B2" s="20"/>
      <c r="C2" s="20"/>
      <c r="D2" s="95" t="s">
        <v>131</v>
      </c>
      <c r="E2" s="96" t="s">
        <v>132</v>
      </c>
      <c r="F2" s="95" t="s">
        <v>131</v>
      </c>
      <c r="G2" s="96" t="s">
        <v>132</v>
      </c>
      <c r="H2" s="93"/>
      <c r="J2" s="97"/>
      <c r="K2" s="53" t="s">
        <v>85</v>
      </c>
    </row>
    <row r="3">
      <c r="A3" s="98"/>
      <c r="B3" s="99" t="s">
        <v>133</v>
      </c>
      <c r="C3" s="100" t="s">
        <v>54</v>
      </c>
      <c r="D3" s="101">
        <f t="shared" ref="D3:D12" si="1">K3-O3</f>
        <v>13495699</v>
      </c>
      <c r="E3" s="102">
        <f t="shared" ref="E3:E12" si="2">K3/O3-1</f>
        <v>6.332239305</v>
      </c>
      <c r="F3" s="101">
        <f t="array" ref="F3">INDEX('Key Findings'!BC:BC,MATCH(C3,'Key Findings'!B:B,0))-INDEX('Key Findings'!BG:BG,MATCH(C3,'Key Findings'!B:B,0))</f>
        <v>-131</v>
      </c>
      <c r="G3" s="102">
        <f t="array" ref="G3">INDEX('Key Findings'!BC:BC,MATCH(C3,'Key Findings'!B:B,0))/INDEX('Key Findings'!BG:BG,MATCH(C3,'Key Findings'!B:B,0))-1</f>
        <v>-0.002357811375</v>
      </c>
      <c r="H3" s="93"/>
      <c r="I3" s="103">
        <f>SUMIF('Executive Pay Breakdown'!K:K,$B3,'Executive Pay Breakdown'!M:M)+SUMIF('Executive Pay Breakdown'!O:O,$B3,'Executive Pay Breakdown'!Q:Q)+SUMIF('Executive Pay Breakdown'!S:S,$B3,'Executive Pay Breakdown'!U:U)+SUMIF('Executive Pay Breakdown'!W:W,$B3,'Executive Pay Breakdown'!Y:Y)+SUMIF('Executive Pay Breakdown'!AA:AA,$B3,'Executive Pay Breakdown'!AC:AC)</f>
        <v>43654124</v>
      </c>
      <c r="J3" s="104"/>
      <c r="K3" s="105">
        <f>SUMIF('Executive Pay Breakdown'!K:K,$B3,'Executive Pay Breakdown'!M:M)</f>
        <v>15626967</v>
      </c>
      <c r="L3" s="105">
        <f>SUMIF('Executive Pay Breakdown'!O:O,$B3,'Executive Pay Breakdown'!Q:Q)</f>
        <v>11685716</v>
      </c>
      <c r="M3" s="105">
        <f>SUMIF('Executive Pay Breakdown'!S:S,$B3,'Executive Pay Breakdown'!U:U)</f>
        <v>11737410</v>
      </c>
      <c r="N3" s="105">
        <f>SUMIF('Executive Pay Breakdown'!W:W,$B3,'Executive Pay Breakdown'!Y:Y)</f>
        <v>2472763</v>
      </c>
      <c r="O3" s="105">
        <f>SUMIF('Executive Pay Breakdown'!AA:AA,$B3,'Executive Pay Breakdown'!AC:AC)</f>
        <v>2131268</v>
      </c>
    </row>
    <row r="4">
      <c r="A4" s="62"/>
      <c r="B4" s="75" t="s">
        <v>97</v>
      </c>
      <c r="C4" s="106" t="s">
        <v>14</v>
      </c>
      <c r="D4" s="107">
        <f t="shared" si="1"/>
        <v>62693740</v>
      </c>
      <c r="E4" s="108">
        <f t="shared" si="2"/>
        <v>4.967627564</v>
      </c>
      <c r="F4" s="107">
        <f t="array" ref="F4">INDEX('Key Findings'!BC:BC,MATCH(C4,'Key Findings'!B:B,0))-INDEX('Key Findings'!BG:BG,MATCH(C4,'Key Findings'!B:B,0))</f>
        <v>17800</v>
      </c>
      <c r="G4" s="108">
        <f t="array" ref="G4">INDEX('Key Findings'!BC:BC,MATCH(C4,'Key Findings'!B:B,0))/INDEX('Key Findings'!BG:BG,MATCH(C4,'Key Findings'!B:B,0))-1</f>
        <v>0.267910897</v>
      </c>
      <c r="H4" s="93"/>
      <c r="I4" s="89">
        <f>SUMIF('Executive Pay Breakdown'!K:K,$B4,'Executive Pay Breakdown'!M:M)+SUMIF('Executive Pay Breakdown'!O:O,$B4,'Executive Pay Breakdown'!Q:Q)+SUMIF('Executive Pay Breakdown'!S:S,$B4,'Executive Pay Breakdown'!U:U)+SUMIF('Executive Pay Breakdown'!W:W,$B4,'Executive Pay Breakdown'!Y:Y)+SUMIF('Executive Pay Breakdown'!AA:AA,$B4,'Executive Pay Breakdown'!AC:AC)</f>
        <v>152295198</v>
      </c>
      <c r="J4" s="109"/>
      <c r="K4" s="69">
        <f>SUMIF('Executive Pay Breakdown'!K:K,$B4,'Executive Pay Breakdown'!M:M)</f>
        <v>75314199</v>
      </c>
      <c r="L4" s="69">
        <f>SUMIF('Executive Pay Breakdown'!O:O,$B4,'Executive Pay Breakdown'!Q:Q)</f>
        <v>21905220</v>
      </c>
      <c r="M4" s="69">
        <f>SUMIF('Executive Pay Breakdown'!S:S,$B4,'Executive Pay Breakdown'!U:U)</f>
        <v>24066986</v>
      </c>
      <c r="N4" s="69">
        <f>SUMIF('Executive Pay Breakdown'!W:W,$B4,'Executive Pay Breakdown'!Y:Y)</f>
        <v>18388334</v>
      </c>
      <c r="O4" s="69">
        <f>SUMIF('Executive Pay Breakdown'!AA:AA,$B4,'Executive Pay Breakdown'!AC:AC)</f>
        <v>12620459</v>
      </c>
    </row>
    <row r="5">
      <c r="A5" s="98"/>
      <c r="B5" s="110" t="s">
        <v>101</v>
      </c>
      <c r="C5" s="100" t="s">
        <v>54</v>
      </c>
      <c r="D5" s="101">
        <f t="shared" si="1"/>
        <v>31056086</v>
      </c>
      <c r="E5" s="102">
        <f t="shared" si="2"/>
        <v>3.807169414</v>
      </c>
      <c r="F5" s="101">
        <f t="array" ref="F5">INDEX('Key Findings'!BC:BC,MATCH(C5,'Key Findings'!B:B,0))-INDEX('Key Findings'!BG:BG,MATCH(C5,'Key Findings'!B:B,0))</f>
        <v>-131</v>
      </c>
      <c r="G5" s="102">
        <f t="array" ref="G5">INDEX('Key Findings'!BC:BC,MATCH(C5,'Key Findings'!B:B,0))/INDEX('Key Findings'!BG:BG,MATCH(C5,'Key Findings'!B:B,0))-1</f>
        <v>-0.002357811375</v>
      </c>
      <c r="H5" s="93"/>
      <c r="I5" s="103">
        <f>SUMIF('Executive Pay Breakdown'!K:K,$B5,'Executive Pay Breakdown'!M:M)+SUMIF('Executive Pay Breakdown'!O:O,$B5,'Executive Pay Breakdown'!Q:Q)+SUMIF('Executive Pay Breakdown'!S:S,$B5,'Executive Pay Breakdown'!U:U)+SUMIF('Executive Pay Breakdown'!W:W,$B5,'Executive Pay Breakdown'!Y:Y)+SUMIF('Executive Pay Breakdown'!AA:AA,$B5,'Executive Pay Breakdown'!AC:AC)</f>
        <v>136821183</v>
      </c>
      <c r="J5" s="104"/>
      <c r="K5" s="105">
        <f>SUMIF('Executive Pay Breakdown'!K:K,$B5,'Executive Pay Breakdown'!M:M)</f>
        <v>39213350</v>
      </c>
      <c r="L5" s="105">
        <f>SUMIF('Executive Pay Breakdown'!O:O,$B5,'Executive Pay Breakdown'!Q:Q)</f>
        <v>41860263</v>
      </c>
      <c r="M5" s="105">
        <f>SUMIF('Executive Pay Breakdown'!S:S,$B5,'Executive Pay Breakdown'!U:U)</f>
        <v>38846705</v>
      </c>
      <c r="N5" s="105">
        <f>SUMIF('Executive Pay Breakdown'!W:W,$B5,'Executive Pay Breakdown'!Y:Y)</f>
        <v>8743601</v>
      </c>
      <c r="O5" s="105">
        <f>SUMIF('Executive Pay Breakdown'!AA:AA,$B5,'Executive Pay Breakdown'!AC:AC)</f>
        <v>8157264</v>
      </c>
    </row>
    <row r="6">
      <c r="A6" s="62"/>
      <c r="B6" s="79" t="s">
        <v>134</v>
      </c>
      <c r="C6" s="106" t="s">
        <v>38</v>
      </c>
      <c r="D6" s="107">
        <f t="shared" si="1"/>
        <v>6851282</v>
      </c>
      <c r="E6" s="108">
        <f t="shared" si="2"/>
        <v>3.693588699</v>
      </c>
      <c r="F6" s="107">
        <f t="array" ref="F6">INDEX('Key Findings'!BC:BC,MATCH(C6,'Key Findings'!B:B,0))-INDEX('Key Findings'!BG:BG,MATCH(C6,'Key Findings'!B:B,0))</f>
        <v>16864</v>
      </c>
      <c r="G6" s="108">
        <f t="array" ref="G6">INDEX('Key Findings'!BC:BC,MATCH(C6,'Key Findings'!B:B,0))/INDEX('Key Findings'!BG:BG,MATCH(C6,'Key Findings'!B:B,0))-1</f>
        <v>0.1589069494</v>
      </c>
      <c r="H6" s="93"/>
      <c r="I6" s="89">
        <f>SUMIF('Executive Pay Breakdown'!K:K,$B6,'Executive Pay Breakdown'!M:M)+SUMIF('Executive Pay Breakdown'!O:O,$B6,'Executive Pay Breakdown'!Q:Q)+SUMIF('Executive Pay Breakdown'!S:S,$B6,'Executive Pay Breakdown'!U:U)+SUMIF('Executive Pay Breakdown'!W:W,$B6,'Executive Pay Breakdown'!Y:Y)+SUMIF('Executive Pay Breakdown'!AA:AA,$B6,'Executive Pay Breakdown'!AC:AC)</f>
        <v>22050819</v>
      </c>
      <c r="J6" s="109"/>
      <c r="K6" s="69">
        <f>SUMIF('Executive Pay Breakdown'!K:K,$B6,'Executive Pay Breakdown'!M:M)</f>
        <v>8706194</v>
      </c>
      <c r="L6" s="69">
        <f>SUMIF('Executive Pay Breakdown'!O:O,$B6,'Executive Pay Breakdown'!Q:Q)</f>
        <v>6871068</v>
      </c>
      <c r="M6" s="69">
        <f>SUMIF('Executive Pay Breakdown'!S:S,$B6,'Executive Pay Breakdown'!U:U)</f>
        <v>2615131</v>
      </c>
      <c r="N6" s="69">
        <f>SUMIF('Executive Pay Breakdown'!W:W,$B6,'Executive Pay Breakdown'!Y:Y)</f>
        <v>2003514</v>
      </c>
      <c r="O6" s="69">
        <f>SUMIF('Executive Pay Breakdown'!AA:AA,$B6,'Executive Pay Breakdown'!AC:AC)</f>
        <v>1854912</v>
      </c>
    </row>
    <row r="7">
      <c r="A7" s="111"/>
      <c r="B7" s="112" t="s">
        <v>135</v>
      </c>
      <c r="C7" s="100" t="s">
        <v>26</v>
      </c>
      <c r="D7" s="101">
        <f t="shared" si="1"/>
        <v>7994414</v>
      </c>
      <c r="E7" s="102">
        <f t="shared" si="2"/>
        <v>3.439692965</v>
      </c>
      <c r="F7" s="101">
        <f t="array" ref="F7">INDEX('Key Findings'!BC:BC,MATCH(C7,'Key Findings'!B:B,0))-INDEX('Key Findings'!BG:BG,MATCH(C7,'Key Findings'!B:B,0))</f>
        <v>10905</v>
      </c>
      <c r="G7" s="102">
        <f t="array" ref="G7">INDEX('Key Findings'!BC:BC,MATCH(C7,'Key Findings'!B:B,0))/INDEX('Key Findings'!BG:BG,MATCH(C7,'Key Findings'!B:B,0))-1</f>
        <v>0.1000954601</v>
      </c>
      <c r="H7" s="93"/>
      <c r="I7" s="103">
        <f>SUMIF('Executive Pay Breakdown'!K:K,$B7,'Executive Pay Breakdown'!M:M)+SUMIF('Executive Pay Breakdown'!O:O,$B7,'Executive Pay Breakdown'!Q:Q)+SUMIF('Executive Pay Breakdown'!S:S,$B7,'Executive Pay Breakdown'!U:U)+SUMIF('Executive Pay Breakdown'!W:W,$B7,'Executive Pay Breakdown'!Y:Y)+SUMIF('Executive Pay Breakdown'!AA:AA,$B7,'Executive Pay Breakdown'!AC:AC)</f>
        <v>28150026</v>
      </c>
      <c r="J7" s="104"/>
      <c r="K7" s="105">
        <f>SUMIF('Executive Pay Breakdown'!K:K,$B7,'Executive Pay Breakdown'!M:M)</f>
        <v>10318579</v>
      </c>
      <c r="L7" s="105">
        <f>SUMIF('Executive Pay Breakdown'!O:O,$B7,'Executive Pay Breakdown'!Q:Q)</f>
        <v>8350364</v>
      </c>
      <c r="M7" s="105">
        <f>SUMIF('Executive Pay Breakdown'!S:S,$B7,'Executive Pay Breakdown'!U:U)</f>
        <v>4052934</v>
      </c>
      <c r="N7" s="105">
        <f>SUMIF('Executive Pay Breakdown'!W:W,$B7,'Executive Pay Breakdown'!Y:Y)</f>
        <v>3103984</v>
      </c>
      <c r="O7" s="105">
        <f>SUMIF('Executive Pay Breakdown'!AA:AA,$B7,'Executive Pay Breakdown'!AC:AC)</f>
        <v>2324165</v>
      </c>
    </row>
    <row r="8">
      <c r="A8" s="62"/>
      <c r="B8" s="79" t="s">
        <v>136</v>
      </c>
      <c r="C8" s="113" t="s">
        <v>71</v>
      </c>
      <c r="D8" s="107">
        <f t="shared" si="1"/>
        <v>8329464</v>
      </c>
      <c r="E8" s="108">
        <f t="shared" si="2"/>
        <v>3.142731447</v>
      </c>
      <c r="F8" s="107">
        <f t="array" ref="F8">INDEX('Key Findings'!BC:BC,MATCH(C8,'Key Findings'!B:B,0))-INDEX('Key Findings'!BG:BG,MATCH(C8,'Key Findings'!B:B,0))</f>
        <v>-191</v>
      </c>
      <c r="G8" s="108">
        <f t="array" ref="G8">INDEX('Key Findings'!BC:BC,MATCH(C8,'Key Findings'!B:B,0))/INDEX('Key Findings'!BG:BG,MATCH(C8,'Key Findings'!B:B,0))-1</f>
        <v>-0.003152491459</v>
      </c>
      <c r="H8" s="93"/>
      <c r="I8" s="89">
        <f>SUMIF('Executive Pay Breakdown'!K:K,$B8,'Executive Pay Breakdown'!M:M)+SUMIF('Executive Pay Breakdown'!O:O,$B8,'Executive Pay Breakdown'!Q:Q)+SUMIF('Executive Pay Breakdown'!S:S,$B8,'Executive Pay Breakdown'!U:U)+SUMIF('Executive Pay Breakdown'!W:W,$B8,'Executive Pay Breakdown'!Y:Y)+SUMIF('Executive Pay Breakdown'!AA:AA,$B8,'Executive Pay Breakdown'!AC:AC)</f>
        <v>37048505</v>
      </c>
      <c r="J8" s="109"/>
      <c r="K8" s="69">
        <f>SUMIF('Executive Pay Breakdown'!K:K,$B8,'Executive Pay Breakdown'!M:M)</f>
        <v>10979854</v>
      </c>
      <c r="L8" s="69">
        <f>SUMIF('Executive Pay Breakdown'!O:O,$B8,'Executive Pay Breakdown'!Q:Q)</f>
        <v>9782143</v>
      </c>
      <c r="M8" s="69">
        <f>SUMIF('Executive Pay Breakdown'!S:S,$B8,'Executive Pay Breakdown'!U:U)</f>
        <v>7549789</v>
      </c>
      <c r="N8" s="69">
        <f>SUMIF('Executive Pay Breakdown'!W:W,$B8,'Executive Pay Breakdown'!Y:Y)</f>
        <v>6086329</v>
      </c>
      <c r="O8" s="69">
        <f>SUMIF('Executive Pay Breakdown'!AA:AA,$B8,'Executive Pay Breakdown'!AC:AC)</f>
        <v>2650390</v>
      </c>
    </row>
    <row r="9">
      <c r="A9" s="111"/>
      <c r="B9" s="112" t="s">
        <v>137</v>
      </c>
      <c r="C9" s="100" t="s">
        <v>64</v>
      </c>
      <c r="D9" s="101">
        <f t="shared" si="1"/>
        <v>7206643</v>
      </c>
      <c r="E9" s="102">
        <f t="shared" si="2"/>
        <v>3.020824897</v>
      </c>
      <c r="F9" s="101">
        <f t="array" ref="F9">INDEX('Key Findings'!BC:BC,MATCH(C9,'Key Findings'!B:B,0))-INDEX('Key Findings'!BG:BG,MATCH(C9,'Key Findings'!B:B,0))</f>
        <v>30439</v>
      </c>
      <c r="G9" s="102">
        <f t="array" ref="G9">INDEX('Key Findings'!BC:BC,MATCH(C9,'Key Findings'!B:B,0))/INDEX('Key Findings'!BG:BG,MATCH(C9,'Key Findings'!B:B,0))-1</f>
        <v>0.2859383953</v>
      </c>
      <c r="H9" s="93"/>
      <c r="I9" s="103">
        <f>SUMIF('Executive Pay Breakdown'!K:K,$B9,'Executive Pay Breakdown'!M:M)+SUMIF('Executive Pay Breakdown'!O:O,$B9,'Executive Pay Breakdown'!Q:Q)+SUMIF('Executive Pay Breakdown'!S:S,$B9,'Executive Pay Breakdown'!U:U)+SUMIF('Executive Pay Breakdown'!W:W,$B9,'Executive Pay Breakdown'!Y:Y)+SUMIF('Executive Pay Breakdown'!AA:AA,$B9,'Executive Pay Breakdown'!AC:AC)</f>
        <v>26212426</v>
      </c>
      <c r="J9" s="104"/>
      <c r="K9" s="105">
        <f>SUMIF('Executive Pay Breakdown'!K:K,$B9,'Executive Pay Breakdown'!M:M)</f>
        <v>9592297</v>
      </c>
      <c r="L9" s="105">
        <f>SUMIF('Executive Pay Breakdown'!O:O,$B9,'Executive Pay Breakdown'!Q:Q)</f>
        <v>8841587</v>
      </c>
      <c r="M9" s="105">
        <f>SUMIF('Executive Pay Breakdown'!S:S,$B9,'Executive Pay Breakdown'!U:U)</f>
        <v>2766656</v>
      </c>
      <c r="N9" s="105">
        <f>SUMIF('Executive Pay Breakdown'!W:W,$B9,'Executive Pay Breakdown'!Y:Y)</f>
        <v>2626232</v>
      </c>
      <c r="O9" s="105">
        <f>SUMIF('Executive Pay Breakdown'!AA:AA,$B9,'Executive Pay Breakdown'!AC:AC)</f>
        <v>2385654</v>
      </c>
    </row>
    <row r="10">
      <c r="A10" s="62"/>
      <c r="B10" s="79" t="s">
        <v>138</v>
      </c>
      <c r="C10" s="106" t="s">
        <v>77</v>
      </c>
      <c r="D10" s="107">
        <f t="shared" si="1"/>
        <v>6335022</v>
      </c>
      <c r="E10" s="108">
        <f t="shared" si="2"/>
        <v>2.655751642</v>
      </c>
      <c r="F10" s="107">
        <f t="array" ref="F10">INDEX('Key Findings'!BC:BC,MATCH(C10,'Key Findings'!B:B,0))-INDEX('Key Findings'!BG:BG,MATCH(C10,'Key Findings'!B:B,0))</f>
        <v>1444</v>
      </c>
      <c r="G10" s="108">
        <f t="array" ref="G10">INDEX('Key Findings'!BC:BC,MATCH(C10,'Key Findings'!B:B,0))/INDEX('Key Findings'!BG:BG,MATCH(C10,'Key Findings'!B:B,0))-1</f>
        <v>0.02660035</v>
      </c>
      <c r="H10" s="93"/>
      <c r="I10" s="89">
        <f>SUMIF('Executive Pay Breakdown'!K:K,$B10,'Executive Pay Breakdown'!M:M)+SUMIF('Executive Pay Breakdown'!O:O,$B10,'Executive Pay Breakdown'!Q:Q)+SUMIF('Executive Pay Breakdown'!S:S,$B10,'Executive Pay Breakdown'!U:U)+SUMIF('Executive Pay Breakdown'!W:W,$B10,'Executive Pay Breakdown'!Y:Y)+SUMIF('Executive Pay Breakdown'!AA:AA,$B10,'Executive Pay Breakdown'!AC:AC)</f>
        <v>30815796</v>
      </c>
      <c r="J10" s="109"/>
      <c r="K10" s="69">
        <f>SUMIF('Executive Pay Breakdown'!K:K,$B10,'Executive Pay Breakdown'!M:M)</f>
        <v>8720419</v>
      </c>
      <c r="L10" s="69">
        <f>SUMIF('Executive Pay Breakdown'!O:O,$B10,'Executive Pay Breakdown'!Q:Q)</f>
        <v>8365888</v>
      </c>
      <c r="M10" s="69">
        <f>SUMIF('Executive Pay Breakdown'!S:S,$B10,'Executive Pay Breakdown'!U:U)</f>
        <v>6445060</v>
      </c>
      <c r="N10" s="69">
        <f>SUMIF('Executive Pay Breakdown'!W:W,$B10,'Executive Pay Breakdown'!Y:Y)</f>
        <v>4899032</v>
      </c>
      <c r="O10" s="69">
        <f>SUMIF('Executive Pay Breakdown'!AA:AA,$B10,'Executive Pay Breakdown'!AC:AC)</f>
        <v>2385397</v>
      </c>
    </row>
    <row r="11">
      <c r="A11" s="114"/>
      <c r="B11" s="115" t="s">
        <v>139</v>
      </c>
      <c r="C11" s="100" t="s">
        <v>24</v>
      </c>
      <c r="D11" s="101">
        <f t="shared" si="1"/>
        <v>15135558</v>
      </c>
      <c r="E11" s="102">
        <f t="shared" si="2"/>
        <v>2.582600585</v>
      </c>
      <c r="F11" s="101">
        <f t="array" ref="F11">INDEX('Key Findings'!BC:BC,MATCH(C11,'Key Findings'!B:B,0))-INDEX('Key Findings'!BG:BG,MATCH(C11,'Key Findings'!B:B,0))</f>
        <v>10375</v>
      </c>
      <c r="G11" s="102">
        <f t="array" ref="G11">INDEX('Key Findings'!BC:BC,MATCH(C11,'Key Findings'!B:B,0))/INDEX('Key Findings'!BG:BG,MATCH(C11,'Key Findings'!B:B,0))-1</f>
        <v>0.1613128926</v>
      </c>
      <c r="H11" s="93"/>
      <c r="I11" s="103">
        <f>SUMIF('Executive Pay Breakdown'!K:K,$B11,'Executive Pay Breakdown'!M:M)+SUMIF('Executive Pay Breakdown'!O:O,$B11,'Executive Pay Breakdown'!Q:Q)+SUMIF('Executive Pay Breakdown'!S:S,$B11,'Executive Pay Breakdown'!U:U)+SUMIF('Executive Pay Breakdown'!W:W,$B11,'Executive Pay Breakdown'!Y:Y)+SUMIF('Executive Pay Breakdown'!AA:AA,$B11,'Executive Pay Breakdown'!AC:AC)</f>
        <v>69833441</v>
      </c>
      <c r="J11" s="104"/>
      <c r="K11" s="105">
        <f>SUMIF('Executive Pay Breakdown'!K:K,$B11,'Executive Pay Breakdown'!M:M)</f>
        <v>20996146</v>
      </c>
      <c r="L11" s="105">
        <f>SUMIF('Executive Pay Breakdown'!O:O,$B11,'Executive Pay Breakdown'!Q:Q)</f>
        <v>22813174</v>
      </c>
      <c r="M11" s="105">
        <f>SUMIF('Executive Pay Breakdown'!S:S,$B11,'Executive Pay Breakdown'!U:U)</f>
        <v>11802054</v>
      </c>
      <c r="N11" s="105">
        <f>SUMIF('Executive Pay Breakdown'!W:W,$B11,'Executive Pay Breakdown'!Y:Y)</f>
        <v>8361479</v>
      </c>
      <c r="O11" s="105">
        <f>SUMIF('Executive Pay Breakdown'!AA:AA,$B11,'Executive Pay Breakdown'!AC:AC)</f>
        <v>5860588</v>
      </c>
    </row>
    <row r="12">
      <c r="A12" s="62"/>
      <c r="B12" s="63" t="s">
        <v>140</v>
      </c>
      <c r="C12" s="106" t="s">
        <v>12</v>
      </c>
      <c r="D12" s="107">
        <f t="shared" si="1"/>
        <v>12436260</v>
      </c>
      <c r="E12" s="108">
        <f t="shared" si="2"/>
        <v>2.498209647</v>
      </c>
      <c r="F12" s="107">
        <f t="array" ref="F12">INDEX('Key Findings'!BC:BC,MATCH(C12,'Key Findings'!B:B,0))-INDEX('Key Findings'!BG:BG,MATCH(C12,'Key Findings'!B:B,0))</f>
        <v>16081</v>
      </c>
      <c r="G12" s="108">
        <f t="array" ref="G12">INDEX('Key Findings'!BC:BC,MATCH(C12,'Key Findings'!B:B,0))/INDEX('Key Findings'!BG:BG,MATCH(C12,'Key Findings'!B:B,0))-1</f>
        <v>0.1282734416</v>
      </c>
      <c r="H12" s="93"/>
      <c r="I12" s="89">
        <f>SUMIF('Executive Pay Breakdown'!K:K,$B12,'Executive Pay Breakdown'!M:M)+SUMIF('Executive Pay Breakdown'!O:O,$B12,'Executive Pay Breakdown'!Q:Q)+SUMIF('Executive Pay Breakdown'!S:S,$B12,'Executive Pay Breakdown'!U:U)+SUMIF('Executive Pay Breakdown'!W:W,$B12,'Executive Pay Breakdown'!Y:Y)+SUMIF('Executive Pay Breakdown'!AA:AA,$B12,'Executive Pay Breakdown'!AC:AC)</f>
        <v>51569148</v>
      </c>
      <c r="J12" s="109"/>
      <c r="K12" s="69">
        <f>SUMIF('Executive Pay Breakdown'!K:K,$B12,'Executive Pay Breakdown'!M:M)</f>
        <v>17414329</v>
      </c>
      <c r="L12" s="69">
        <f>SUMIF('Executive Pay Breakdown'!O:O,$B12,'Executive Pay Breakdown'!Q:Q)</f>
        <v>15507153</v>
      </c>
      <c r="M12" s="69">
        <f>SUMIF('Executive Pay Breakdown'!S:S,$B12,'Executive Pay Breakdown'!U:U)</f>
        <v>7518782</v>
      </c>
      <c r="N12" s="69">
        <f>SUMIF('Executive Pay Breakdown'!W:W,$B12,'Executive Pay Breakdown'!Y:Y)</f>
        <v>6150815</v>
      </c>
      <c r="O12" s="69">
        <f>SUMIF('Executive Pay Breakdown'!AA:AA,$B12,'Executive Pay Breakdown'!AC:AC)</f>
        <v>4978069</v>
      </c>
    </row>
    <row r="13">
      <c r="A13" s="62"/>
      <c r="B13" s="116"/>
      <c r="C13" s="117"/>
      <c r="D13" s="118"/>
      <c r="E13" s="118"/>
      <c r="F13" s="88"/>
      <c r="G13" s="118"/>
      <c r="H13" s="93"/>
      <c r="I13" s="89"/>
      <c r="J13" s="109"/>
      <c r="K13" s="69"/>
      <c r="L13" s="69"/>
      <c r="M13" s="69"/>
      <c r="N13" s="69"/>
      <c r="O13" s="69"/>
    </row>
    <row r="14">
      <c r="A14" s="62"/>
      <c r="B14" s="116"/>
      <c r="C14" s="117"/>
      <c r="D14" s="118"/>
      <c r="E14" s="118"/>
      <c r="F14" s="88"/>
      <c r="G14" s="118"/>
      <c r="H14" s="93"/>
      <c r="I14" s="89"/>
      <c r="J14" s="109"/>
      <c r="K14" s="69"/>
      <c r="L14" s="69"/>
      <c r="M14" s="69"/>
      <c r="N14" s="69"/>
      <c r="O14" s="69"/>
    </row>
    <row r="15" hidden="1">
      <c r="A15" s="62"/>
      <c r="B15" s="86" t="s">
        <v>141</v>
      </c>
      <c r="C15" s="118" t="s">
        <v>44</v>
      </c>
      <c r="D15" s="88"/>
      <c r="E15" s="119"/>
      <c r="F15" s="88"/>
      <c r="G15" s="118"/>
      <c r="H15" s="120"/>
      <c r="I15" s="89">
        <f>SUMIF('Executive Pay Breakdown'!K:K,$B15,'Executive Pay Breakdown'!M:M)+SUMIF('Executive Pay Breakdown'!O:O,$B15,'Executive Pay Breakdown'!Q:Q)+SUMIF('Executive Pay Breakdown'!S:S,$B15,'Executive Pay Breakdown'!U:U)+SUMIF('Executive Pay Breakdown'!W:W,$B15,'Executive Pay Breakdown'!Y:Y)+SUMIF('Executive Pay Breakdown'!AA:AA,$B15,'Executive Pay Breakdown'!AC:AC)</f>
        <v>56837602</v>
      </c>
      <c r="J15" s="109"/>
      <c r="K15" s="69">
        <f>SUMIF('Executive Pay Breakdown'!K:K,$B15,'Executive Pay Breakdown'!M:M)</f>
        <v>23677633</v>
      </c>
      <c r="L15" s="69">
        <f>SUMIF('Executive Pay Breakdown'!O:O,$B15,'Executive Pay Breakdown'!Q:Q)</f>
        <v>15367669</v>
      </c>
      <c r="M15" s="69">
        <f>SUMIF('Executive Pay Breakdown'!S:S,$B15,'Executive Pay Breakdown'!U:U)</f>
        <v>8730701</v>
      </c>
      <c r="N15" s="69">
        <f>SUMIF('Executive Pay Breakdown'!W:W,$B15,'Executive Pay Breakdown'!Y:Y)</f>
        <v>5404149</v>
      </c>
      <c r="O15" s="69">
        <f>SUMIF('Executive Pay Breakdown'!AA:AA,$B15,'Executive Pay Breakdown'!AC:AC)</f>
        <v>3657450</v>
      </c>
    </row>
    <row r="16" hidden="1">
      <c r="A16" s="62"/>
      <c r="B16" s="86" t="s">
        <v>142</v>
      </c>
      <c r="C16" s="118" t="s">
        <v>44</v>
      </c>
      <c r="D16" s="88"/>
      <c r="E16" s="119"/>
      <c r="F16" s="88"/>
      <c r="G16" s="118"/>
      <c r="H16" s="120"/>
      <c r="I16" s="89">
        <f>SUMIF('Executive Pay Breakdown'!K:K,$B16,'Executive Pay Breakdown'!M:M)+SUMIF('Executive Pay Breakdown'!O:O,$B16,'Executive Pay Breakdown'!Q:Q)+SUMIF('Executive Pay Breakdown'!S:S,$B16,'Executive Pay Breakdown'!U:U)+SUMIF('Executive Pay Breakdown'!W:W,$B16,'Executive Pay Breakdown'!Y:Y)+SUMIF('Executive Pay Breakdown'!AA:AA,$B16,'Executive Pay Breakdown'!AC:AC)</f>
        <v>33531913</v>
      </c>
      <c r="J16" s="109"/>
      <c r="K16" s="69">
        <f>SUMIF('Executive Pay Breakdown'!K:K,$B16,'Executive Pay Breakdown'!M:M)</f>
        <v>8565840</v>
      </c>
      <c r="L16" s="69">
        <f>SUMIF('Executive Pay Breakdown'!O:O,$B16,'Executive Pay Breakdown'!Q:Q)</f>
        <v>16993744</v>
      </c>
      <c r="M16" s="69">
        <f>SUMIF('Executive Pay Breakdown'!S:S,$B16,'Executive Pay Breakdown'!U:U)</f>
        <v>3609960</v>
      </c>
      <c r="N16" s="69">
        <f>SUMIF('Executive Pay Breakdown'!W:W,$B16,'Executive Pay Breakdown'!Y:Y)</f>
        <v>2504122</v>
      </c>
      <c r="O16" s="69">
        <f>SUMIF('Executive Pay Breakdown'!AA:AA,$B16,'Executive Pay Breakdown'!AC:AC)</f>
        <v>1858247</v>
      </c>
    </row>
    <row r="17" hidden="1">
      <c r="A17" s="62"/>
      <c r="B17" s="121" t="s">
        <v>143</v>
      </c>
      <c r="C17" s="118" t="s">
        <v>45</v>
      </c>
      <c r="D17" s="122"/>
      <c r="E17" s="90"/>
      <c r="F17" s="88"/>
      <c r="G17" s="118"/>
      <c r="H17" s="120"/>
      <c r="I17" s="89">
        <f>SUMIF('Executive Pay Breakdown'!K:K,$B17,'Executive Pay Breakdown'!M:M)+SUMIF('Executive Pay Breakdown'!O:O,$B17,'Executive Pay Breakdown'!Q:Q)+SUMIF('Executive Pay Breakdown'!S:S,$B17,'Executive Pay Breakdown'!U:U)+SUMIF('Executive Pay Breakdown'!W:W,$B17,'Executive Pay Breakdown'!Y:Y)+SUMIF('Executive Pay Breakdown'!AA:AA,$B17,'Executive Pay Breakdown'!AC:AC)</f>
        <v>16723757</v>
      </c>
      <c r="J17" s="109"/>
      <c r="K17" s="69">
        <f>SUMIF('Executive Pay Breakdown'!K:K,$B17,'Executive Pay Breakdown'!M:M)</f>
        <v>6060694</v>
      </c>
      <c r="L17" s="69">
        <f>SUMIF('Executive Pay Breakdown'!O:O,$B17,'Executive Pay Breakdown'!Q:Q)</f>
        <v>4107789</v>
      </c>
      <c r="M17" s="69">
        <f>SUMIF('Executive Pay Breakdown'!S:S,$B17,'Executive Pay Breakdown'!U:U)</f>
        <v>2385873</v>
      </c>
      <c r="N17" s="69">
        <f>SUMIF('Executive Pay Breakdown'!W:W,$B17,'Executive Pay Breakdown'!Y:Y)</f>
        <v>2272717</v>
      </c>
      <c r="O17" s="69">
        <f>SUMIF('Executive Pay Breakdown'!AA:AA,$B17,'Executive Pay Breakdown'!AC:AC)</f>
        <v>1896684</v>
      </c>
    </row>
    <row r="18" hidden="1">
      <c r="A18" s="62"/>
      <c r="B18" s="123" t="s">
        <v>144</v>
      </c>
      <c r="C18" s="118" t="s">
        <v>37</v>
      </c>
      <c r="D18" s="122"/>
      <c r="E18" s="90"/>
      <c r="F18" s="88"/>
      <c r="G18" s="118"/>
      <c r="H18" s="120"/>
      <c r="I18" s="89">
        <f>SUMIF('Executive Pay Breakdown'!K:K,$B18,'Executive Pay Breakdown'!M:M)+SUMIF('Executive Pay Breakdown'!O:O,$B18,'Executive Pay Breakdown'!Q:Q)+SUMIF('Executive Pay Breakdown'!S:S,$B18,'Executive Pay Breakdown'!U:U)+SUMIF('Executive Pay Breakdown'!W:W,$B18,'Executive Pay Breakdown'!Y:Y)+SUMIF('Executive Pay Breakdown'!AA:AA,$B18,'Executive Pay Breakdown'!AC:AC)</f>
        <v>35944103</v>
      </c>
      <c r="J18" s="109"/>
      <c r="K18" s="69">
        <f>SUMIF('Executive Pay Breakdown'!K:K,$B18,'Executive Pay Breakdown'!M:M)</f>
        <v>9146575</v>
      </c>
      <c r="L18" s="69">
        <f>SUMIF('Executive Pay Breakdown'!O:O,$B18,'Executive Pay Breakdown'!Q:Q)</f>
        <v>11356481</v>
      </c>
      <c r="M18" s="69">
        <f>SUMIF('Executive Pay Breakdown'!S:S,$B18,'Executive Pay Breakdown'!U:U)</f>
        <v>7774443</v>
      </c>
      <c r="N18" s="69">
        <f>SUMIF('Executive Pay Breakdown'!W:W,$B18,'Executive Pay Breakdown'!Y:Y)</f>
        <v>4731409</v>
      </c>
      <c r="O18" s="69">
        <f>SUMIF('Executive Pay Breakdown'!AA:AA,$B18,'Executive Pay Breakdown'!AC:AC)</f>
        <v>2935195</v>
      </c>
    </row>
    <row r="19" hidden="1">
      <c r="A19" s="71"/>
      <c r="B19" s="124" t="s">
        <v>145</v>
      </c>
      <c r="C19" s="118" t="s">
        <v>55</v>
      </c>
      <c r="D19" s="122"/>
      <c r="E19" s="90"/>
      <c r="F19" s="88"/>
      <c r="G19" s="118"/>
      <c r="H19" s="120"/>
      <c r="I19" s="89">
        <f>SUMIF('Executive Pay Breakdown'!K:K,$B19,'Executive Pay Breakdown'!M:M)+SUMIF('Executive Pay Breakdown'!O:O,$B19,'Executive Pay Breakdown'!Q:Q)+SUMIF('Executive Pay Breakdown'!S:S,$B19,'Executive Pay Breakdown'!U:U)+SUMIF('Executive Pay Breakdown'!W:W,$B19,'Executive Pay Breakdown'!Y:Y)+SUMIF('Executive Pay Breakdown'!AA:AA,$B19,'Executive Pay Breakdown'!AC:AC)</f>
        <v>32441237</v>
      </c>
      <c r="J19" s="109"/>
      <c r="K19" s="69">
        <f>SUMIF('Executive Pay Breakdown'!K:K,$B19,'Executive Pay Breakdown'!M:M)</f>
        <v>7979076</v>
      </c>
      <c r="L19" s="69">
        <f>SUMIF('Executive Pay Breakdown'!O:O,$B19,'Executive Pay Breakdown'!Q:Q)</f>
        <v>8379703</v>
      </c>
      <c r="M19" s="69">
        <f>SUMIF('Executive Pay Breakdown'!S:S,$B19,'Executive Pay Breakdown'!U:U)</f>
        <v>6831332</v>
      </c>
      <c r="N19" s="69">
        <f>SUMIF('Executive Pay Breakdown'!W:W,$B19,'Executive Pay Breakdown'!Y:Y)</f>
        <v>6644633</v>
      </c>
      <c r="O19" s="69">
        <f>SUMIF('Executive Pay Breakdown'!AA:AA,$B19,'Executive Pay Breakdown'!AC:AC)</f>
        <v>2606493</v>
      </c>
    </row>
    <row r="20" hidden="1">
      <c r="A20" s="62"/>
      <c r="B20" s="125" t="s">
        <v>146</v>
      </c>
      <c r="C20" s="118" t="s">
        <v>27</v>
      </c>
      <c r="D20" s="122"/>
      <c r="E20" s="90"/>
      <c r="F20" s="88"/>
      <c r="G20" s="118"/>
      <c r="H20" s="120"/>
      <c r="I20" s="89">
        <f>SUMIF('Executive Pay Breakdown'!K:K,$B20,'Executive Pay Breakdown'!M:M)+SUMIF('Executive Pay Breakdown'!O:O,$B20,'Executive Pay Breakdown'!Q:Q)+SUMIF('Executive Pay Breakdown'!S:S,$B20,'Executive Pay Breakdown'!U:U)+SUMIF('Executive Pay Breakdown'!W:W,$B20,'Executive Pay Breakdown'!Y:Y)+SUMIF('Executive Pay Breakdown'!AA:AA,$B20,'Executive Pay Breakdown'!AC:AC)</f>
        <v>26298713</v>
      </c>
      <c r="J20" s="109"/>
      <c r="K20" s="69">
        <f>SUMIF('Executive Pay Breakdown'!K:K,$B20,'Executive Pay Breakdown'!M:M)</f>
        <v>8553297</v>
      </c>
      <c r="L20" s="69">
        <f>SUMIF('Executive Pay Breakdown'!O:O,$B20,'Executive Pay Breakdown'!Q:Q)</f>
        <v>8837858</v>
      </c>
      <c r="M20" s="69">
        <f>SUMIF('Executive Pay Breakdown'!S:S,$B20,'Executive Pay Breakdown'!U:U)</f>
        <v>3264629</v>
      </c>
      <c r="N20" s="69">
        <f>SUMIF('Executive Pay Breakdown'!W:W,$B20,'Executive Pay Breakdown'!Y:Y)</f>
        <v>2844406</v>
      </c>
      <c r="O20" s="69">
        <f>SUMIF('Executive Pay Breakdown'!AA:AA,$B20,'Executive Pay Breakdown'!AC:AC)</f>
        <v>2798523</v>
      </c>
    </row>
    <row r="21" hidden="1">
      <c r="A21" s="62"/>
      <c r="B21" s="86" t="s">
        <v>147</v>
      </c>
      <c r="C21" s="118" t="s">
        <v>43</v>
      </c>
      <c r="D21" s="122"/>
      <c r="E21" s="90"/>
      <c r="F21" s="88"/>
      <c r="G21" s="118"/>
      <c r="H21" s="120"/>
      <c r="I21" s="89">
        <f>SUMIF('Executive Pay Breakdown'!K:K,$B21,'Executive Pay Breakdown'!M:M)+SUMIF('Executive Pay Breakdown'!O:O,$B21,'Executive Pay Breakdown'!Q:Q)+SUMIF('Executive Pay Breakdown'!S:S,$B21,'Executive Pay Breakdown'!U:U)+SUMIF('Executive Pay Breakdown'!W:W,$B21,'Executive Pay Breakdown'!Y:Y)+SUMIF('Executive Pay Breakdown'!AA:AA,$B21,'Executive Pay Breakdown'!AC:AC)</f>
        <v>38829320</v>
      </c>
      <c r="J21" s="109"/>
      <c r="K21" s="69">
        <f>SUMIF('Executive Pay Breakdown'!K:K,$B21,'Executive Pay Breakdown'!M:M)</f>
        <v>7286977</v>
      </c>
      <c r="L21" s="69">
        <f>SUMIF('Executive Pay Breakdown'!O:O,$B21,'Executive Pay Breakdown'!Q:Q)</f>
        <v>10449260</v>
      </c>
      <c r="M21" s="69">
        <f>SUMIF('Executive Pay Breakdown'!S:S,$B21,'Executive Pay Breakdown'!U:U)</f>
        <v>11020134</v>
      </c>
      <c r="N21" s="69">
        <f>SUMIF('Executive Pay Breakdown'!W:W,$B21,'Executive Pay Breakdown'!Y:Y)</f>
        <v>7619999</v>
      </c>
      <c r="O21" s="69">
        <f>SUMIF('Executive Pay Breakdown'!AA:AA,$B21,'Executive Pay Breakdown'!AC:AC)</f>
        <v>2452950</v>
      </c>
    </row>
    <row r="22" hidden="1">
      <c r="A22" s="62"/>
      <c r="B22" s="86" t="s">
        <v>148</v>
      </c>
      <c r="C22" s="117" t="s">
        <v>61</v>
      </c>
      <c r="D22" s="122"/>
      <c r="E22" s="90"/>
      <c r="F22" s="88"/>
      <c r="G22" s="118"/>
      <c r="H22" s="120"/>
      <c r="I22" s="89">
        <f>SUMIF('Executive Pay Breakdown'!K:K,$B22,'Executive Pay Breakdown'!M:M)+SUMIF('Executive Pay Breakdown'!O:O,$B22,'Executive Pay Breakdown'!Q:Q)+SUMIF('Executive Pay Breakdown'!S:S,$B22,'Executive Pay Breakdown'!U:U)+SUMIF('Executive Pay Breakdown'!W:W,$B22,'Executive Pay Breakdown'!Y:Y)+SUMIF('Executive Pay Breakdown'!AA:AA,$B22,'Executive Pay Breakdown'!AC:AC)</f>
        <v>42298850</v>
      </c>
      <c r="J22" s="109"/>
      <c r="K22" s="69">
        <f>SUMIF('Executive Pay Breakdown'!K:K,$B22,'Executive Pay Breakdown'!M:M)</f>
        <v>14999106</v>
      </c>
      <c r="L22" s="69">
        <f>SUMIF('Executive Pay Breakdown'!O:O,$B22,'Executive Pay Breakdown'!Q:Q)</f>
        <v>7810141</v>
      </c>
      <c r="M22" s="69">
        <f>SUMIF('Executive Pay Breakdown'!S:S,$B22,'Executive Pay Breakdown'!U:U)</f>
        <v>7282978</v>
      </c>
      <c r="N22" s="69">
        <f>SUMIF('Executive Pay Breakdown'!W:W,$B22,'Executive Pay Breakdown'!Y:Y)</f>
        <v>6859533</v>
      </c>
      <c r="O22" s="69">
        <f>SUMIF('Executive Pay Breakdown'!AA:AA,$B22,'Executive Pay Breakdown'!AC:AC)</f>
        <v>5347092</v>
      </c>
    </row>
    <row r="23" hidden="1">
      <c r="A23" s="62"/>
      <c r="B23" s="86" t="s">
        <v>149</v>
      </c>
      <c r="C23" s="118" t="s">
        <v>42</v>
      </c>
      <c r="D23" s="122"/>
      <c r="E23" s="90"/>
      <c r="F23" s="88"/>
      <c r="G23" s="118"/>
      <c r="H23" s="120"/>
      <c r="I23" s="89">
        <f>SUMIF('Executive Pay Breakdown'!K:K,$B23,'Executive Pay Breakdown'!M:M)+SUMIF('Executive Pay Breakdown'!O:O,$B23,'Executive Pay Breakdown'!Q:Q)+SUMIF('Executive Pay Breakdown'!S:S,$B23,'Executive Pay Breakdown'!U:U)+SUMIF('Executive Pay Breakdown'!W:W,$B23,'Executive Pay Breakdown'!Y:Y)+SUMIF('Executive Pay Breakdown'!AA:AA,$B23,'Executive Pay Breakdown'!AC:AC)</f>
        <v>30725684</v>
      </c>
      <c r="J23" s="109"/>
      <c r="K23" s="69">
        <f>SUMIF('Executive Pay Breakdown'!K:K,$B23,'Executive Pay Breakdown'!M:M)</f>
        <v>4839562</v>
      </c>
      <c r="L23" s="69">
        <f>SUMIF('Executive Pay Breakdown'!O:O,$B23,'Executive Pay Breakdown'!Q:Q)</f>
        <v>6467314</v>
      </c>
      <c r="M23" s="69">
        <f>SUMIF('Executive Pay Breakdown'!S:S,$B23,'Executive Pay Breakdown'!U:U)</f>
        <v>9826659</v>
      </c>
      <c r="N23" s="69">
        <f>SUMIF('Executive Pay Breakdown'!W:W,$B23,'Executive Pay Breakdown'!Y:Y)</f>
        <v>7855539</v>
      </c>
      <c r="O23" s="69">
        <f>SUMIF('Executive Pay Breakdown'!AA:AA,$B23,'Executive Pay Breakdown'!AC:AC)</f>
        <v>1736610</v>
      </c>
    </row>
    <row r="24" hidden="1">
      <c r="A24" s="62"/>
      <c r="B24" s="86" t="s">
        <v>150</v>
      </c>
      <c r="C24" s="90" t="s">
        <v>151</v>
      </c>
      <c r="D24" s="122"/>
      <c r="E24" s="90"/>
      <c r="F24" s="88"/>
      <c r="G24" s="118"/>
      <c r="H24" s="120"/>
      <c r="I24" s="89">
        <f>SUMIF('Executive Pay Breakdown'!K:K,$B24,'Executive Pay Breakdown'!M:M)+SUMIF('Executive Pay Breakdown'!O:O,$B24,'Executive Pay Breakdown'!Q:Q)+SUMIF('Executive Pay Breakdown'!S:S,$B24,'Executive Pay Breakdown'!U:U)+SUMIF('Executive Pay Breakdown'!W:W,$B24,'Executive Pay Breakdown'!Y:Y)+SUMIF('Executive Pay Breakdown'!AA:AA,$B24,'Executive Pay Breakdown'!AC:AC)</f>
        <v>12826091</v>
      </c>
      <c r="J24" s="109"/>
      <c r="K24" s="126">
        <f>SUMIF('Executive Pay Breakdown'!K:K,$B24,'Executive Pay Breakdown'!M:M)</f>
        <v>4916509</v>
      </c>
      <c r="L24" s="69">
        <f>SUMIF('Executive Pay Breakdown'!O:O,$B24,'Executive Pay Breakdown'!Q:Q)</f>
        <v>2129552</v>
      </c>
      <c r="M24" s="69">
        <f>SUMIF('Executive Pay Breakdown'!S:S,$B24,'Executive Pay Breakdown'!U:U)</f>
        <v>2062273</v>
      </c>
      <c r="N24" s="69">
        <f>SUMIF('Executive Pay Breakdown'!W:W,$B24,'Executive Pay Breakdown'!Y:Y)</f>
        <v>1928911</v>
      </c>
      <c r="O24" s="69">
        <f>SUMIF('Executive Pay Breakdown'!AA:AA,$B24,'Executive Pay Breakdown'!AC:AC)</f>
        <v>1788846</v>
      </c>
    </row>
    <row r="25" hidden="1">
      <c r="A25" s="62"/>
      <c r="B25" s="127" t="s">
        <v>152</v>
      </c>
      <c r="C25" s="118" t="s">
        <v>17</v>
      </c>
      <c r="D25" s="122"/>
      <c r="E25" s="90"/>
      <c r="F25" s="88"/>
      <c r="G25" s="118"/>
      <c r="H25" s="120"/>
      <c r="I25" s="89">
        <f>SUMIF('Executive Pay Breakdown'!K:K,$B25,'Executive Pay Breakdown'!M:M)+SUMIF('Executive Pay Breakdown'!O:O,$B25,'Executive Pay Breakdown'!Q:Q)+SUMIF('Executive Pay Breakdown'!S:S,$B25,'Executive Pay Breakdown'!U:U)+SUMIF('Executive Pay Breakdown'!W:W,$B25,'Executive Pay Breakdown'!Y:Y)+SUMIF('Executive Pay Breakdown'!AA:AA,$B25,'Executive Pay Breakdown'!AC:AC)</f>
        <v>14593228</v>
      </c>
      <c r="J25" s="109"/>
      <c r="K25" s="69">
        <f>SUMIF('Executive Pay Breakdown'!K:K,$B25,'Executive Pay Breakdown'!M:M)</f>
        <v>7926917</v>
      </c>
      <c r="L25" s="69">
        <f>SUMIF('Executive Pay Breakdown'!O:O,$B25,'Executive Pay Breakdown'!Q:Q)</f>
        <v>1724889</v>
      </c>
      <c r="M25" s="69">
        <f>SUMIF('Executive Pay Breakdown'!S:S,$B25,'Executive Pay Breakdown'!U:U)</f>
        <v>1000290</v>
      </c>
      <c r="N25" s="69">
        <f>SUMIF('Executive Pay Breakdown'!W:W,$B25,'Executive Pay Breakdown'!Y:Y)</f>
        <v>1018673</v>
      </c>
      <c r="O25" s="69">
        <f>SUMIF('Executive Pay Breakdown'!AA:AA,$B25,'Executive Pay Breakdown'!AC:AC)</f>
        <v>2922459</v>
      </c>
    </row>
    <row r="26" hidden="1">
      <c r="A26" s="62"/>
      <c r="B26" s="127" t="s">
        <v>153</v>
      </c>
      <c r="C26" s="118" t="s">
        <v>34</v>
      </c>
      <c r="D26" s="122"/>
      <c r="E26" s="90"/>
      <c r="F26" s="88"/>
      <c r="G26" s="118"/>
      <c r="H26" s="120"/>
      <c r="I26" s="89">
        <f>SUMIF('Executive Pay Breakdown'!K:K,$B26,'Executive Pay Breakdown'!M:M)+SUMIF('Executive Pay Breakdown'!O:O,$B26,'Executive Pay Breakdown'!Q:Q)+SUMIF('Executive Pay Breakdown'!S:S,$B26,'Executive Pay Breakdown'!U:U)+SUMIF('Executive Pay Breakdown'!W:W,$B26,'Executive Pay Breakdown'!Y:Y)+SUMIF('Executive Pay Breakdown'!AA:AA,$B26,'Executive Pay Breakdown'!AC:AC)</f>
        <v>24296290</v>
      </c>
      <c r="J26" s="109"/>
      <c r="K26" s="69">
        <f>SUMIF('Executive Pay Breakdown'!K:K,$B26,'Executive Pay Breakdown'!M:M)</f>
        <v>6861760</v>
      </c>
      <c r="L26" s="69">
        <f>SUMIF('Executive Pay Breakdown'!O:O,$B26,'Executive Pay Breakdown'!Q:Q)</f>
        <v>3889327</v>
      </c>
      <c r="M26" s="69">
        <f>SUMIF('Executive Pay Breakdown'!S:S,$B26,'Executive Pay Breakdown'!U:U)</f>
        <v>6007055</v>
      </c>
      <c r="N26" s="69">
        <f>SUMIF('Executive Pay Breakdown'!W:W,$B26,'Executive Pay Breakdown'!Y:Y)</f>
        <v>4934063</v>
      </c>
      <c r="O26" s="69">
        <f>SUMIF('Executive Pay Breakdown'!AA:AA,$B26,'Executive Pay Breakdown'!AC:AC)</f>
        <v>2604085</v>
      </c>
    </row>
    <row r="27" hidden="1">
      <c r="A27" s="71"/>
      <c r="B27" s="124" t="s">
        <v>154</v>
      </c>
      <c r="C27" s="118" t="s">
        <v>54</v>
      </c>
      <c r="D27" s="122"/>
      <c r="E27" s="90"/>
      <c r="F27" s="88"/>
      <c r="G27" s="118"/>
      <c r="H27" s="120"/>
      <c r="I27" s="89">
        <f>SUMIF('Executive Pay Breakdown'!K:K,$B27,'Executive Pay Breakdown'!M:M)+SUMIF('Executive Pay Breakdown'!O:O,$B27,'Executive Pay Breakdown'!Q:Q)+SUMIF('Executive Pay Breakdown'!S:S,$B27,'Executive Pay Breakdown'!U:U)+SUMIF('Executive Pay Breakdown'!W:W,$B27,'Executive Pay Breakdown'!Y:Y)+SUMIF('Executive Pay Breakdown'!AA:AA,$B27,'Executive Pay Breakdown'!AC:AC)</f>
        <v>35055326</v>
      </c>
      <c r="J27" s="109"/>
      <c r="K27" s="69">
        <f>SUMIF('Executive Pay Breakdown'!K:K,$B27,'Executive Pay Breakdown'!M:M)</f>
        <v>8370447</v>
      </c>
      <c r="L27" s="69">
        <f>SUMIF('Executive Pay Breakdown'!O:O,$B27,'Executive Pay Breakdown'!Q:Q)</f>
        <v>9356288</v>
      </c>
      <c r="M27" s="69">
        <f>SUMIF('Executive Pay Breakdown'!S:S,$B27,'Executive Pay Breakdown'!U:U)</f>
        <v>10787568</v>
      </c>
      <c r="N27" s="69">
        <f>SUMIF('Executive Pay Breakdown'!W:W,$B27,'Executive Pay Breakdown'!Y:Y)</f>
        <v>3299709</v>
      </c>
      <c r="O27" s="69">
        <f>SUMIF('Executive Pay Breakdown'!AA:AA,$B27,'Executive Pay Breakdown'!AC:AC)</f>
        <v>3241314</v>
      </c>
    </row>
    <row r="28" hidden="1">
      <c r="A28" s="62"/>
      <c r="B28" s="128" t="s">
        <v>155</v>
      </c>
      <c r="C28" s="118" t="s">
        <v>73</v>
      </c>
      <c r="D28" s="122"/>
      <c r="E28" s="90"/>
      <c r="F28" s="88"/>
      <c r="G28" s="118"/>
      <c r="H28" s="120"/>
      <c r="I28" s="89">
        <f>SUMIF('Executive Pay Breakdown'!K:K,$B28,'Executive Pay Breakdown'!M:M)+SUMIF('Executive Pay Breakdown'!O:O,$B28,'Executive Pay Breakdown'!Q:Q)+SUMIF('Executive Pay Breakdown'!S:S,$B28,'Executive Pay Breakdown'!U:U)+SUMIF('Executive Pay Breakdown'!W:W,$B28,'Executive Pay Breakdown'!Y:Y)+SUMIF('Executive Pay Breakdown'!AA:AA,$B28,'Executive Pay Breakdown'!AC:AC)</f>
        <v>76505708</v>
      </c>
      <c r="J28" s="109"/>
      <c r="K28" s="69">
        <f>SUMIF('Executive Pay Breakdown'!K:K,$B28,'Executive Pay Breakdown'!M:M)</f>
        <v>19464583</v>
      </c>
      <c r="L28" s="69">
        <f>SUMIF('Executive Pay Breakdown'!O:O,$B28,'Executive Pay Breakdown'!Q:Q)</f>
        <v>20223897</v>
      </c>
      <c r="M28" s="69">
        <f>SUMIF('Executive Pay Breakdown'!S:S,$B28,'Executive Pay Breakdown'!U:U)</f>
        <v>16763267</v>
      </c>
      <c r="N28" s="69">
        <f>SUMIF('Executive Pay Breakdown'!W:W,$B28,'Executive Pay Breakdown'!Y:Y)</f>
        <v>12476488</v>
      </c>
      <c r="O28" s="69">
        <f>SUMIF('Executive Pay Breakdown'!AA:AA,$B28,'Executive Pay Breakdown'!AC:AC)</f>
        <v>7577473</v>
      </c>
    </row>
    <row r="29" hidden="1">
      <c r="A29" s="62"/>
      <c r="B29" s="127" t="s">
        <v>156</v>
      </c>
      <c r="C29" s="118" t="s">
        <v>60</v>
      </c>
      <c r="D29" s="122"/>
      <c r="E29" s="90"/>
      <c r="F29" s="88"/>
      <c r="G29" s="118"/>
      <c r="H29" s="120"/>
      <c r="I29" s="89">
        <f>SUMIF('Executive Pay Breakdown'!K:K,$B29,'Executive Pay Breakdown'!M:M)+SUMIF('Executive Pay Breakdown'!O:O,$B29,'Executive Pay Breakdown'!Q:Q)+SUMIF('Executive Pay Breakdown'!S:S,$B29,'Executive Pay Breakdown'!U:U)+SUMIF('Executive Pay Breakdown'!W:W,$B29,'Executive Pay Breakdown'!Y:Y)+SUMIF('Executive Pay Breakdown'!AA:AA,$B29,'Executive Pay Breakdown'!AC:AC)</f>
        <v>20026110</v>
      </c>
      <c r="J29" s="109"/>
      <c r="K29" s="69">
        <f>SUMIF('Executive Pay Breakdown'!K:K,$B29,'Executive Pay Breakdown'!M:M)</f>
        <v>5377393</v>
      </c>
      <c r="L29" s="69">
        <f>SUMIF('Executive Pay Breakdown'!O:O,$B29,'Executive Pay Breakdown'!Q:Q)</f>
        <v>5179465</v>
      </c>
      <c r="M29" s="69">
        <f>SUMIF('Executive Pay Breakdown'!S:S,$B29,'Executive Pay Breakdown'!U:U)</f>
        <v>3829685</v>
      </c>
      <c r="N29" s="69">
        <f>SUMIF('Executive Pay Breakdown'!W:W,$B29,'Executive Pay Breakdown'!Y:Y)</f>
        <v>3534514</v>
      </c>
      <c r="O29" s="69">
        <f>SUMIF('Executive Pay Breakdown'!AA:AA,$B29,'Executive Pay Breakdown'!AC:AC)</f>
        <v>2105053</v>
      </c>
    </row>
    <row r="30" hidden="1">
      <c r="A30" s="62"/>
      <c r="B30" s="129" t="s">
        <v>157</v>
      </c>
      <c r="C30" s="118" t="s">
        <v>19</v>
      </c>
      <c r="D30" s="122"/>
      <c r="E30" s="90"/>
      <c r="F30" s="88"/>
      <c r="G30" s="118"/>
      <c r="H30" s="120"/>
      <c r="I30" s="89">
        <f>SUMIF('Executive Pay Breakdown'!K:K,$B30,'Executive Pay Breakdown'!M:M)+SUMIF('Executive Pay Breakdown'!O:O,$B30,'Executive Pay Breakdown'!Q:Q)+SUMIF('Executive Pay Breakdown'!S:S,$B30,'Executive Pay Breakdown'!U:U)+SUMIF('Executive Pay Breakdown'!W:W,$B30,'Executive Pay Breakdown'!Y:Y)+SUMIF('Executive Pay Breakdown'!AA:AA,$B30,'Executive Pay Breakdown'!AC:AC)</f>
        <v>32184822</v>
      </c>
      <c r="J30" s="109"/>
      <c r="K30" s="69">
        <f>SUMIF('Executive Pay Breakdown'!K:K,$B30,'Executive Pay Breakdown'!M:M)</f>
        <v>8230386</v>
      </c>
      <c r="L30" s="69">
        <f>SUMIF('Executive Pay Breakdown'!O:O,$B30,'Executive Pay Breakdown'!Q:Q)</f>
        <v>7490465</v>
      </c>
      <c r="M30" s="69">
        <f>SUMIF('Executive Pay Breakdown'!S:S,$B30,'Executive Pay Breakdown'!U:U)</f>
        <v>6800860</v>
      </c>
      <c r="N30" s="69">
        <f>SUMIF('Executive Pay Breakdown'!W:W,$B30,'Executive Pay Breakdown'!Y:Y)</f>
        <v>6319358</v>
      </c>
      <c r="O30" s="69">
        <f>SUMIF('Executive Pay Breakdown'!AA:AA,$B30,'Executive Pay Breakdown'!AC:AC)</f>
        <v>3343753</v>
      </c>
    </row>
    <row r="31" hidden="1">
      <c r="A31" s="62"/>
      <c r="B31" s="86" t="s">
        <v>158</v>
      </c>
      <c r="C31" s="117" t="s">
        <v>62</v>
      </c>
      <c r="D31" s="122"/>
      <c r="E31" s="90"/>
      <c r="F31" s="88"/>
      <c r="G31" s="118"/>
      <c r="H31" s="120"/>
      <c r="I31" s="89">
        <f>SUMIF('Executive Pay Breakdown'!K:K,$B31,'Executive Pay Breakdown'!M:M)+SUMIF('Executive Pay Breakdown'!O:O,$B31,'Executive Pay Breakdown'!Q:Q)+SUMIF('Executive Pay Breakdown'!S:S,$B31,'Executive Pay Breakdown'!U:U)+SUMIF('Executive Pay Breakdown'!W:W,$B31,'Executive Pay Breakdown'!Y:Y)+SUMIF('Executive Pay Breakdown'!AA:AA,$B31,'Executive Pay Breakdown'!AC:AC)</f>
        <v>25467664</v>
      </c>
      <c r="J31" s="109"/>
      <c r="K31" s="69">
        <f>SUMIF('Executive Pay Breakdown'!K:K,$B31,'Executive Pay Breakdown'!M:M)</f>
        <v>6524928</v>
      </c>
      <c r="L31" s="69">
        <f>SUMIF('Executive Pay Breakdown'!O:O,$B31,'Executive Pay Breakdown'!Q:Q)</f>
        <v>6935121</v>
      </c>
      <c r="M31" s="69">
        <f>SUMIF('Executive Pay Breakdown'!S:S,$B31,'Executive Pay Breakdown'!U:U)</f>
        <v>5249291</v>
      </c>
      <c r="N31" s="69">
        <f>SUMIF('Executive Pay Breakdown'!W:W,$B31,'Executive Pay Breakdown'!Y:Y)</f>
        <v>4029369</v>
      </c>
      <c r="O31" s="69">
        <f>SUMIF('Executive Pay Breakdown'!AA:AA,$B31,'Executive Pay Breakdown'!AC:AC)</f>
        <v>2728955</v>
      </c>
    </row>
    <row r="32" hidden="1">
      <c r="A32" s="62"/>
      <c r="B32" s="130" t="s">
        <v>159</v>
      </c>
      <c r="C32" s="118" t="s">
        <v>22</v>
      </c>
      <c r="D32" s="122"/>
      <c r="E32" s="90"/>
      <c r="F32" s="88"/>
      <c r="G32" s="118"/>
      <c r="H32" s="120"/>
      <c r="I32" s="89">
        <f>SUMIF('Executive Pay Breakdown'!K:K,$B32,'Executive Pay Breakdown'!M:M)+SUMIF('Executive Pay Breakdown'!O:O,$B32,'Executive Pay Breakdown'!Q:Q)+SUMIF('Executive Pay Breakdown'!S:S,$B32,'Executive Pay Breakdown'!U:U)+SUMIF('Executive Pay Breakdown'!W:W,$B32,'Executive Pay Breakdown'!Y:Y)+SUMIF('Executive Pay Breakdown'!AA:AA,$B32,'Executive Pay Breakdown'!AC:AC)</f>
        <v>30096123</v>
      </c>
      <c r="J32" s="109"/>
      <c r="K32" s="69">
        <f>SUMIF('Executive Pay Breakdown'!K:K,$B32,'Executive Pay Breakdown'!M:M)</f>
        <v>6794985</v>
      </c>
      <c r="L32" s="69">
        <f>SUMIF('Executive Pay Breakdown'!O:O,$B32,'Executive Pay Breakdown'!Q:Q)</f>
        <v>8161083</v>
      </c>
      <c r="M32" s="69">
        <f>SUMIF('Executive Pay Breakdown'!S:S,$B32,'Executive Pay Breakdown'!U:U)</f>
        <v>7912643</v>
      </c>
      <c r="N32" s="69">
        <f>SUMIF('Executive Pay Breakdown'!W:W,$B32,'Executive Pay Breakdown'!Y:Y)</f>
        <v>4293209</v>
      </c>
      <c r="O32" s="69">
        <f>SUMIF('Executive Pay Breakdown'!AA:AA,$B32,'Executive Pay Breakdown'!AC:AC)</f>
        <v>2934203</v>
      </c>
    </row>
    <row r="33" hidden="1">
      <c r="A33" s="62"/>
      <c r="B33" s="125" t="s">
        <v>160</v>
      </c>
      <c r="C33" s="118" t="s">
        <v>29</v>
      </c>
      <c r="D33" s="122"/>
      <c r="E33" s="90"/>
      <c r="F33" s="88"/>
      <c r="G33" s="118"/>
      <c r="H33" s="120"/>
      <c r="I33" s="89">
        <f>SUMIF('Executive Pay Breakdown'!K:K,$B33,'Executive Pay Breakdown'!M:M)+SUMIF('Executive Pay Breakdown'!O:O,$B33,'Executive Pay Breakdown'!Q:Q)+SUMIF('Executive Pay Breakdown'!S:S,$B33,'Executive Pay Breakdown'!U:U)+SUMIF('Executive Pay Breakdown'!W:W,$B33,'Executive Pay Breakdown'!Y:Y)+SUMIF('Executive Pay Breakdown'!AA:AA,$B33,'Executive Pay Breakdown'!AC:AC)</f>
        <v>87267336</v>
      </c>
      <c r="J33" s="109"/>
      <c r="K33" s="69">
        <f>SUMIF('Executive Pay Breakdown'!K:K,$B33,'Executive Pay Breakdown'!M:M)</f>
        <v>26792798</v>
      </c>
      <c r="L33" s="69">
        <f>SUMIF('Executive Pay Breakdown'!O:O,$B33,'Executive Pay Breakdown'!Q:Q)</f>
        <v>22794415</v>
      </c>
      <c r="M33" s="69">
        <f>SUMIF('Executive Pay Breakdown'!S:S,$B33,'Executive Pay Breakdown'!U:U)</f>
        <v>13919121</v>
      </c>
      <c r="N33" s="69">
        <f>SUMIF('Executive Pay Breakdown'!W:W,$B33,'Executive Pay Breakdown'!Y:Y)</f>
        <v>11944513</v>
      </c>
      <c r="O33" s="69">
        <f>SUMIF('Executive Pay Breakdown'!AA:AA,$B33,'Executive Pay Breakdown'!AC:AC)</f>
        <v>11816489</v>
      </c>
    </row>
    <row r="34" hidden="1">
      <c r="A34" s="62"/>
      <c r="B34" s="127" t="s">
        <v>161</v>
      </c>
      <c r="C34" s="118" t="s">
        <v>34</v>
      </c>
      <c r="D34" s="122"/>
      <c r="E34" s="90"/>
      <c r="F34" s="88"/>
      <c r="G34" s="118"/>
      <c r="H34" s="120"/>
      <c r="I34" s="89">
        <f>SUMIF('Executive Pay Breakdown'!K:K,$B34,'Executive Pay Breakdown'!M:M)+SUMIF('Executive Pay Breakdown'!O:O,$B34,'Executive Pay Breakdown'!Q:Q)+SUMIF('Executive Pay Breakdown'!S:S,$B34,'Executive Pay Breakdown'!U:U)+SUMIF('Executive Pay Breakdown'!W:W,$B34,'Executive Pay Breakdown'!Y:Y)+SUMIF('Executive Pay Breakdown'!AA:AA,$B34,'Executive Pay Breakdown'!AC:AC)</f>
        <v>22337972</v>
      </c>
      <c r="J34" s="109"/>
      <c r="K34" s="69">
        <f>SUMIF('Executive Pay Breakdown'!K:K,$B34,'Executive Pay Breakdown'!M:M)</f>
        <v>5732721</v>
      </c>
      <c r="L34" s="69">
        <f>SUMIF('Executive Pay Breakdown'!O:O,$B34,'Executive Pay Breakdown'!Q:Q)</f>
        <v>3585706</v>
      </c>
      <c r="M34" s="69">
        <f>SUMIF('Executive Pay Breakdown'!S:S,$B34,'Executive Pay Breakdown'!U:U)</f>
        <v>5632024</v>
      </c>
      <c r="N34" s="69">
        <f>SUMIF('Executive Pay Breakdown'!W:W,$B34,'Executive Pay Breakdown'!Y:Y)</f>
        <v>4714774</v>
      </c>
      <c r="O34" s="69">
        <f>SUMIF('Executive Pay Breakdown'!AA:AA,$B34,'Executive Pay Breakdown'!AC:AC)</f>
        <v>2672747</v>
      </c>
    </row>
    <row r="35" hidden="1">
      <c r="A35" s="62"/>
      <c r="B35" s="127" t="s">
        <v>162</v>
      </c>
      <c r="C35" s="118" t="s">
        <v>12</v>
      </c>
      <c r="D35" s="122"/>
      <c r="E35" s="90"/>
      <c r="F35" s="88"/>
      <c r="G35" s="118"/>
      <c r="H35" s="120"/>
      <c r="I35" s="89">
        <f>SUMIF('Executive Pay Breakdown'!K:K,$B35,'Executive Pay Breakdown'!M:M)+SUMIF('Executive Pay Breakdown'!O:O,$B35,'Executive Pay Breakdown'!Q:Q)+SUMIF('Executive Pay Breakdown'!S:S,$B35,'Executive Pay Breakdown'!U:U)+SUMIF('Executive Pay Breakdown'!W:W,$B35,'Executive Pay Breakdown'!Y:Y)+SUMIF('Executive Pay Breakdown'!AA:AA,$B35,'Executive Pay Breakdown'!AC:AC)</f>
        <v>52624715</v>
      </c>
      <c r="J35" s="109"/>
      <c r="K35" s="69">
        <f>SUMIF('Executive Pay Breakdown'!K:K,$B35,'Executive Pay Breakdown'!M:M)</f>
        <v>14021037</v>
      </c>
      <c r="L35" s="69">
        <f>SUMIF('Executive Pay Breakdown'!O:O,$B35,'Executive Pay Breakdown'!Q:Q)</f>
        <v>15553964</v>
      </c>
      <c r="M35" s="69">
        <f>SUMIF('Executive Pay Breakdown'!S:S,$B35,'Executive Pay Breakdown'!U:U)</f>
        <v>8801904</v>
      </c>
      <c r="N35" s="69">
        <f>SUMIF('Executive Pay Breakdown'!W:W,$B35,'Executive Pay Breakdown'!Y:Y)</f>
        <v>7646500</v>
      </c>
      <c r="O35" s="69">
        <f>SUMIF('Executive Pay Breakdown'!AA:AA,$B35,'Executive Pay Breakdown'!AC:AC)</f>
        <v>6601310</v>
      </c>
    </row>
    <row r="36" hidden="1">
      <c r="A36" s="62"/>
      <c r="B36" s="131" t="s">
        <v>163</v>
      </c>
      <c r="C36" s="118" t="s">
        <v>18</v>
      </c>
      <c r="D36" s="122"/>
      <c r="E36" s="90"/>
      <c r="F36" s="88"/>
      <c r="G36" s="118"/>
      <c r="H36" s="120"/>
      <c r="I36" s="89">
        <f>SUMIF('Executive Pay Breakdown'!K:K,$B36,'Executive Pay Breakdown'!M:M)+SUMIF('Executive Pay Breakdown'!O:O,$B36,'Executive Pay Breakdown'!Q:Q)+SUMIF('Executive Pay Breakdown'!S:S,$B36,'Executive Pay Breakdown'!U:U)+SUMIF('Executive Pay Breakdown'!W:W,$B36,'Executive Pay Breakdown'!Y:Y)+SUMIF('Executive Pay Breakdown'!AA:AA,$B36,'Executive Pay Breakdown'!AC:AC)</f>
        <v>24664520</v>
      </c>
      <c r="J36" s="109"/>
      <c r="K36" s="69">
        <f>SUMIF('Executive Pay Breakdown'!K:K,$B36,'Executive Pay Breakdown'!M:M)</f>
        <v>5340376</v>
      </c>
      <c r="L36" s="69">
        <f>SUMIF('Executive Pay Breakdown'!O:O,$B36,'Executive Pay Breakdown'!Q:Q)</f>
        <v>7192784</v>
      </c>
      <c r="M36" s="69">
        <f>SUMIF('Executive Pay Breakdown'!S:S,$B36,'Executive Pay Breakdown'!U:U)</f>
        <v>4539501</v>
      </c>
      <c r="N36" s="69">
        <f>SUMIF('Executive Pay Breakdown'!W:W,$B36,'Executive Pay Breakdown'!Y:Y)</f>
        <v>5027436</v>
      </c>
      <c r="O36" s="69">
        <f>SUMIF('Executive Pay Breakdown'!AA:AA,$B36,'Executive Pay Breakdown'!AC:AC)</f>
        <v>2564423</v>
      </c>
    </row>
    <row r="37" hidden="1">
      <c r="A37" s="71"/>
      <c r="B37" s="132" t="s">
        <v>164</v>
      </c>
      <c r="C37" s="118" t="s">
        <v>16</v>
      </c>
      <c r="D37" s="122"/>
      <c r="E37" s="90"/>
      <c r="F37" s="88"/>
      <c r="G37" s="118"/>
      <c r="H37" s="120"/>
      <c r="I37" s="89">
        <f>SUMIF('Executive Pay Breakdown'!K:K,$B37,'Executive Pay Breakdown'!M:M)+SUMIF('Executive Pay Breakdown'!O:O,$B37,'Executive Pay Breakdown'!Q:Q)+SUMIF('Executive Pay Breakdown'!S:S,$B37,'Executive Pay Breakdown'!U:U)+SUMIF('Executive Pay Breakdown'!W:W,$B37,'Executive Pay Breakdown'!Y:Y)+SUMIF('Executive Pay Breakdown'!AA:AA,$B37,'Executive Pay Breakdown'!AC:AC)</f>
        <v>48482651</v>
      </c>
      <c r="J37" s="109"/>
      <c r="K37" s="69">
        <f>SUMIF('Executive Pay Breakdown'!K:K,$B37,'Executive Pay Breakdown'!M:M)</f>
        <v>13250652</v>
      </c>
      <c r="L37" s="69">
        <f>SUMIF('Executive Pay Breakdown'!O:O,$B37,'Executive Pay Breakdown'!Q:Q)</f>
        <v>10177573</v>
      </c>
      <c r="M37" s="69">
        <f>SUMIF('Executive Pay Breakdown'!S:S,$B37,'Executive Pay Breakdown'!U:U)</f>
        <v>10469347</v>
      </c>
      <c r="N37" s="69">
        <f>SUMIF('Executive Pay Breakdown'!W:W,$B37,'Executive Pay Breakdown'!Y:Y)</f>
        <v>8158679</v>
      </c>
      <c r="O37" s="69">
        <f>SUMIF('Executive Pay Breakdown'!AA:AA,$B37,'Executive Pay Breakdown'!AC:AC)</f>
        <v>6426400</v>
      </c>
    </row>
    <row r="38" hidden="1">
      <c r="A38" s="62"/>
      <c r="B38" s="127" t="s">
        <v>165</v>
      </c>
      <c r="C38" s="118" t="s">
        <v>17</v>
      </c>
      <c r="D38" s="122"/>
      <c r="E38" s="90"/>
      <c r="F38" s="88"/>
      <c r="G38" s="118"/>
      <c r="H38" s="120"/>
      <c r="I38" s="89">
        <f>SUMIF('Executive Pay Breakdown'!K:K,$B38,'Executive Pay Breakdown'!M:M)+SUMIF('Executive Pay Breakdown'!O:O,$B38,'Executive Pay Breakdown'!Q:Q)+SUMIF('Executive Pay Breakdown'!S:S,$B38,'Executive Pay Breakdown'!U:U)+SUMIF('Executive Pay Breakdown'!W:W,$B38,'Executive Pay Breakdown'!Y:Y)+SUMIF('Executive Pay Breakdown'!AA:AA,$B38,'Executive Pay Breakdown'!AC:AC)</f>
        <v>23360783</v>
      </c>
      <c r="J38" s="109"/>
      <c r="K38" s="69">
        <f>SUMIF('Executive Pay Breakdown'!K:K,$B38,'Executive Pay Breakdown'!M:M)</f>
        <v>10820717</v>
      </c>
      <c r="L38" s="69">
        <f>SUMIF('Executive Pay Breakdown'!O:O,$B38,'Executive Pay Breakdown'!Q:Q)</f>
        <v>2895882</v>
      </c>
      <c r="M38" s="69">
        <f>SUMIF('Executive Pay Breakdown'!S:S,$B38,'Executive Pay Breakdown'!U:U)</f>
        <v>3316247</v>
      </c>
      <c r="N38" s="69">
        <f>SUMIF('Executive Pay Breakdown'!W:W,$B38,'Executive Pay Breakdown'!Y:Y)</f>
        <v>1007020</v>
      </c>
      <c r="O38" s="69">
        <f>SUMIF('Executive Pay Breakdown'!AA:AA,$B38,'Executive Pay Breakdown'!AC:AC)</f>
        <v>5320917</v>
      </c>
    </row>
    <row r="39" hidden="1">
      <c r="A39" s="62"/>
      <c r="B39" s="86" t="s">
        <v>125</v>
      </c>
      <c r="C39" s="118" t="s">
        <v>32</v>
      </c>
      <c r="D39" s="122"/>
      <c r="E39" s="90"/>
      <c r="F39" s="88"/>
      <c r="G39" s="118"/>
      <c r="H39" s="120"/>
      <c r="I39" s="89">
        <f>SUMIF('Executive Pay Breakdown'!K:K,$B39,'Executive Pay Breakdown'!M:M)+SUMIF('Executive Pay Breakdown'!O:O,$B39,'Executive Pay Breakdown'!Q:Q)+SUMIF('Executive Pay Breakdown'!S:S,$B39,'Executive Pay Breakdown'!U:U)+SUMIF('Executive Pay Breakdown'!W:W,$B39,'Executive Pay Breakdown'!Y:Y)+SUMIF('Executive Pay Breakdown'!AA:AA,$B39,'Executive Pay Breakdown'!AC:AC)</f>
        <v>95596632</v>
      </c>
      <c r="J39" s="109"/>
      <c r="K39" s="69">
        <f>SUMIF('Executive Pay Breakdown'!K:K,$B39,'Executive Pay Breakdown'!M:M)</f>
        <v>18608094</v>
      </c>
      <c r="L39" s="69">
        <f>SUMIF('Executive Pay Breakdown'!O:O,$B39,'Executive Pay Breakdown'!Q:Q)</f>
        <v>24675982</v>
      </c>
      <c r="M39" s="69">
        <f>SUMIF('Executive Pay Breakdown'!S:S,$B39,'Executive Pay Breakdown'!U:U)</f>
        <v>23181719</v>
      </c>
      <c r="N39" s="69">
        <f>SUMIF('Executive Pay Breakdown'!W:W,$B39,'Executive Pay Breakdown'!Y:Y)</f>
        <v>19806346</v>
      </c>
      <c r="O39" s="69">
        <f>SUMIF('Executive Pay Breakdown'!AA:AA,$B39,'Executive Pay Breakdown'!AC:AC)</f>
        <v>9324491</v>
      </c>
    </row>
    <row r="40" hidden="1">
      <c r="A40" s="62"/>
      <c r="B40" s="86" t="s">
        <v>166</v>
      </c>
      <c r="C40" s="118" t="s">
        <v>45</v>
      </c>
      <c r="D40" s="122"/>
      <c r="E40" s="90"/>
      <c r="F40" s="88"/>
      <c r="G40" s="118"/>
      <c r="H40" s="120"/>
      <c r="I40" s="89">
        <f>SUMIF('Executive Pay Breakdown'!K:K,$B40,'Executive Pay Breakdown'!M:M)+SUMIF('Executive Pay Breakdown'!O:O,$B40,'Executive Pay Breakdown'!Q:Q)+SUMIF('Executive Pay Breakdown'!S:S,$B40,'Executive Pay Breakdown'!U:U)+SUMIF('Executive Pay Breakdown'!W:W,$B40,'Executive Pay Breakdown'!Y:Y)+SUMIF('Executive Pay Breakdown'!AA:AA,$B40,'Executive Pay Breakdown'!AC:AC)</f>
        <v>9847799</v>
      </c>
      <c r="J40" s="109"/>
      <c r="K40" s="69">
        <f>SUMIF('Executive Pay Breakdown'!K:K,$B40,'Executive Pay Breakdown'!M:M)</f>
        <v>2196356</v>
      </c>
      <c r="L40" s="69">
        <f>SUMIF('Executive Pay Breakdown'!O:O,$B40,'Executive Pay Breakdown'!Q:Q)</f>
        <v>1847679</v>
      </c>
      <c r="M40" s="69">
        <f>SUMIF('Executive Pay Breakdown'!S:S,$B40,'Executive Pay Breakdown'!U:U)</f>
        <v>2471012</v>
      </c>
      <c r="N40" s="69">
        <f>SUMIF('Executive Pay Breakdown'!W:W,$B40,'Executive Pay Breakdown'!Y:Y)</f>
        <v>2211761</v>
      </c>
      <c r="O40" s="69">
        <f>SUMIF('Executive Pay Breakdown'!AA:AA,$B40,'Executive Pay Breakdown'!AC:AC)</f>
        <v>1120991</v>
      </c>
    </row>
    <row r="41" hidden="1">
      <c r="A41" s="81"/>
      <c r="B41" s="133" t="s">
        <v>167</v>
      </c>
      <c r="C41" s="118" t="s">
        <v>50</v>
      </c>
      <c r="D41" s="122"/>
      <c r="E41" s="90"/>
      <c r="F41" s="88"/>
      <c r="G41" s="118"/>
      <c r="H41" s="120"/>
      <c r="I41" s="89">
        <f>SUMIF('Executive Pay Breakdown'!K:K,$B41,'Executive Pay Breakdown'!M:M)+SUMIF('Executive Pay Breakdown'!O:O,$B41,'Executive Pay Breakdown'!Q:Q)+SUMIF('Executive Pay Breakdown'!S:S,$B41,'Executive Pay Breakdown'!U:U)+SUMIF('Executive Pay Breakdown'!W:W,$B41,'Executive Pay Breakdown'!Y:Y)+SUMIF('Executive Pay Breakdown'!AA:AA,$B41,'Executive Pay Breakdown'!AC:AC)</f>
        <v>52387037</v>
      </c>
      <c r="J41" s="109"/>
      <c r="K41" s="69">
        <f>SUMIF('Executive Pay Breakdown'!K:K,$B41,'Executive Pay Breakdown'!M:M)</f>
        <v>14349551</v>
      </c>
      <c r="L41" s="69">
        <f>SUMIF('Executive Pay Breakdown'!O:O,$B41,'Executive Pay Breakdown'!Q:Q)</f>
        <v>12535747</v>
      </c>
      <c r="M41" s="69">
        <f>SUMIF('Executive Pay Breakdown'!S:S,$B41,'Executive Pay Breakdown'!U:U)</f>
        <v>9963402</v>
      </c>
      <c r="N41" s="69">
        <f>SUMIF('Executive Pay Breakdown'!W:W,$B41,'Executive Pay Breakdown'!Y:Y)</f>
        <v>8182247</v>
      </c>
      <c r="O41" s="69">
        <f>SUMIF('Executive Pay Breakdown'!AA:AA,$B41,'Executive Pay Breakdown'!AC:AC)</f>
        <v>7356090</v>
      </c>
    </row>
    <row r="42" hidden="1">
      <c r="A42" s="62"/>
      <c r="B42" s="86" t="s">
        <v>168</v>
      </c>
      <c r="C42" s="117" t="s">
        <v>63</v>
      </c>
      <c r="D42" s="122"/>
      <c r="E42" s="90"/>
      <c r="F42" s="88"/>
      <c r="G42" s="118"/>
      <c r="H42" s="120"/>
      <c r="I42" s="89">
        <f>SUMIF('Executive Pay Breakdown'!K:K,$B42,'Executive Pay Breakdown'!M:M)+SUMIF('Executive Pay Breakdown'!O:O,$B42,'Executive Pay Breakdown'!Q:Q)+SUMIF('Executive Pay Breakdown'!S:S,$B42,'Executive Pay Breakdown'!U:U)+SUMIF('Executive Pay Breakdown'!W:W,$B42,'Executive Pay Breakdown'!Y:Y)+SUMIF('Executive Pay Breakdown'!AA:AA,$B42,'Executive Pay Breakdown'!AC:AC)</f>
        <v>81060698</v>
      </c>
      <c r="J42" s="109"/>
      <c r="K42" s="69">
        <f>SUMIF('Executive Pay Breakdown'!K:K,$B42,'Executive Pay Breakdown'!M:M)</f>
        <v>25430018</v>
      </c>
      <c r="L42" s="69">
        <f>SUMIF('Executive Pay Breakdown'!O:O,$B42,'Executive Pay Breakdown'!Q:Q)</f>
        <v>14554728</v>
      </c>
      <c r="M42" s="69">
        <f>SUMIF('Executive Pay Breakdown'!S:S,$B42,'Executive Pay Breakdown'!U:U)</f>
        <v>14194706</v>
      </c>
      <c r="N42" s="69">
        <f>SUMIF('Executive Pay Breakdown'!W:W,$B42,'Executive Pay Breakdown'!Y:Y)</f>
        <v>13830926</v>
      </c>
      <c r="O42" s="69">
        <f>SUMIF('Executive Pay Breakdown'!AA:AA,$B42,'Executive Pay Breakdown'!AC:AC)</f>
        <v>13050320</v>
      </c>
    </row>
    <row r="43" hidden="1">
      <c r="A43" s="71"/>
      <c r="B43" s="124" t="s">
        <v>169</v>
      </c>
      <c r="C43" s="118" t="s">
        <v>58</v>
      </c>
      <c r="D43" s="122"/>
      <c r="E43" s="90"/>
      <c r="F43" s="88"/>
      <c r="G43" s="118"/>
      <c r="H43" s="120"/>
      <c r="I43" s="89">
        <f>SUMIF('Executive Pay Breakdown'!K:K,$B43,'Executive Pay Breakdown'!M:M)+SUMIF('Executive Pay Breakdown'!O:O,$B43,'Executive Pay Breakdown'!Q:Q)+SUMIF('Executive Pay Breakdown'!S:S,$B43,'Executive Pay Breakdown'!U:U)+SUMIF('Executive Pay Breakdown'!W:W,$B43,'Executive Pay Breakdown'!Y:Y)+SUMIF('Executive Pay Breakdown'!AA:AA,$B43,'Executive Pay Breakdown'!AC:AC)</f>
        <v>91174203</v>
      </c>
      <c r="J43" s="109"/>
      <c r="K43" s="69">
        <f>SUMIF('Executive Pay Breakdown'!K:K,$B43,'Executive Pay Breakdown'!M:M)</f>
        <v>30084980</v>
      </c>
      <c r="L43" s="69">
        <f>SUMIF('Executive Pay Breakdown'!O:O,$B43,'Executive Pay Breakdown'!Q:Q)</f>
        <v>15667002</v>
      </c>
      <c r="M43" s="69">
        <f>SUMIF('Executive Pay Breakdown'!S:S,$B43,'Executive Pay Breakdown'!U:U)</f>
        <v>14440051</v>
      </c>
      <c r="N43" s="69">
        <f>SUMIF('Executive Pay Breakdown'!W:W,$B43,'Executive Pay Breakdown'!Y:Y)</f>
        <v>15383737</v>
      </c>
      <c r="O43" s="69">
        <f>SUMIF('Executive Pay Breakdown'!AA:AA,$B43,'Executive Pay Breakdown'!AC:AC)</f>
        <v>15598433</v>
      </c>
    </row>
    <row r="44" hidden="1">
      <c r="A44" s="62"/>
      <c r="B44" s="127" t="s">
        <v>170</v>
      </c>
      <c r="C44" s="118" t="s">
        <v>30</v>
      </c>
      <c r="D44" s="122"/>
      <c r="E44" s="90"/>
      <c r="F44" s="88"/>
      <c r="G44" s="118"/>
      <c r="H44" s="120"/>
      <c r="I44" s="89">
        <f>SUMIF('Executive Pay Breakdown'!K:K,$B44,'Executive Pay Breakdown'!M:M)+SUMIF('Executive Pay Breakdown'!O:O,$B44,'Executive Pay Breakdown'!Q:Q)+SUMIF('Executive Pay Breakdown'!S:S,$B44,'Executive Pay Breakdown'!U:U)+SUMIF('Executive Pay Breakdown'!W:W,$B44,'Executive Pay Breakdown'!Y:Y)+SUMIF('Executive Pay Breakdown'!AA:AA,$B44,'Executive Pay Breakdown'!AC:AC)</f>
        <v>45897333</v>
      </c>
      <c r="J44" s="109"/>
      <c r="K44" s="69">
        <f>SUMIF('Executive Pay Breakdown'!K:K,$B44,'Executive Pay Breakdown'!M:M)</f>
        <v>10458218</v>
      </c>
      <c r="L44" s="69">
        <f>SUMIF('Executive Pay Breakdown'!O:O,$B44,'Executive Pay Breakdown'!Q:Q)</f>
        <v>11128277</v>
      </c>
      <c r="M44" s="69">
        <f>SUMIF('Executive Pay Breakdown'!S:S,$B44,'Executive Pay Breakdown'!U:U)</f>
        <v>10605622</v>
      </c>
      <c r="N44" s="69">
        <f>SUMIF('Executive Pay Breakdown'!W:W,$B44,'Executive Pay Breakdown'!Y:Y)</f>
        <v>8228339</v>
      </c>
      <c r="O44" s="69">
        <f>SUMIF('Executive Pay Breakdown'!AA:AA,$B44,'Executive Pay Breakdown'!AC:AC)</f>
        <v>5476877</v>
      </c>
    </row>
    <row r="45" hidden="1">
      <c r="A45" s="71"/>
      <c r="B45" s="132" t="s">
        <v>123</v>
      </c>
      <c r="C45" s="118" t="s">
        <v>16</v>
      </c>
      <c r="D45" s="122"/>
      <c r="E45" s="90"/>
      <c r="F45" s="88"/>
      <c r="G45" s="118"/>
      <c r="H45" s="120"/>
      <c r="I45" s="89">
        <f>SUMIF('Executive Pay Breakdown'!K:K,$B45,'Executive Pay Breakdown'!M:M)+SUMIF('Executive Pay Breakdown'!O:O,$B45,'Executive Pay Breakdown'!Q:Q)+SUMIF('Executive Pay Breakdown'!S:S,$B45,'Executive Pay Breakdown'!U:U)+SUMIF('Executive Pay Breakdown'!W:W,$B45,'Executive Pay Breakdown'!Y:Y)+SUMIF('Executive Pay Breakdown'!AA:AA,$B45,'Executive Pay Breakdown'!AC:AC)</f>
        <v>102753950</v>
      </c>
      <c r="J45" s="109"/>
      <c r="K45" s="69">
        <f>SUMIF('Executive Pay Breakdown'!K:K,$B45,'Executive Pay Breakdown'!M:M)</f>
        <v>28129263</v>
      </c>
      <c r="L45" s="69">
        <f>SUMIF('Executive Pay Breakdown'!O:O,$B45,'Executive Pay Breakdown'!Q:Q)</f>
        <v>20371393</v>
      </c>
      <c r="M45" s="69">
        <f>SUMIF('Executive Pay Breakdown'!S:S,$B45,'Executive Pay Breakdown'!U:U)</f>
        <v>20805995</v>
      </c>
      <c r="N45" s="69">
        <f>SUMIF('Executive Pay Breakdown'!W:W,$B45,'Executive Pay Breakdown'!Y:Y)</f>
        <v>18628710</v>
      </c>
      <c r="O45" s="69">
        <f>SUMIF('Executive Pay Breakdown'!AA:AA,$B45,'Executive Pay Breakdown'!AC:AC)</f>
        <v>14818589</v>
      </c>
    </row>
    <row r="46" hidden="1">
      <c r="A46" s="62"/>
      <c r="B46" s="127" t="s">
        <v>103</v>
      </c>
      <c r="C46" s="118" t="s">
        <v>12</v>
      </c>
      <c r="D46" s="122"/>
      <c r="E46" s="90"/>
      <c r="F46" s="88"/>
      <c r="G46" s="118"/>
      <c r="H46" s="120"/>
      <c r="I46" s="89">
        <f>SUMIF('Executive Pay Breakdown'!K:K,$B46,'Executive Pay Breakdown'!M:M)+SUMIF('Executive Pay Breakdown'!O:O,$B46,'Executive Pay Breakdown'!Q:Q)+SUMIF('Executive Pay Breakdown'!S:S,$B46,'Executive Pay Breakdown'!U:U)+SUMIF('Executive Pay Breakdown'!W:W,$B46,'Executive Pay Breakdown'!Y:Y)+SUMIF('Executive Pay Breakdown'!AA:AA,$B46,'Executive Pay Breakdown'!AC:AC)</f>
        <v>132699000</v>
      </c>
      <c r="J46" s="109"/>
      <c r="K46" s="69">
        <f>SUMIF('Executive Pay Breakdown'!K:K,$B46,'Executive Pay Breakdown'!M:M)</f>
        <v>40406018</v>
      </c>
      <c r="L46" s="69">
        <f>SUMIF('Executive Pay Breakdown'!O:O,$B46,'Executive Pay Breakdown'!Q:Q)</f>
        <v>25335936</v>
      </c>
      <c r="M46" s="69">
        <f>SUMIF('Executive Pay Breakdown'!S:S,$B46,'Executive Pay Breakdown'!U:U)</f>
        <v>23720707</v>
      </c>
      <c r="N46" s="69">
        <f>SUMIF('Executive Pay Breakdown'!W:W,$B46,'Executive Pay Breakdown'!Y:Y)</f>
        <v>21877597</v>
      </c>
      <c r="O46" s="69">
        <f>SUMIF('Executive Pay Breakdown'!AA:AA,$B46,'Executive Pay Breakdown'!AC:AC)</f>
        <v>21358742</v>
      </c>
    </row>
    <row r="47" hidden="1">
      <c r="A47" s="62"/>
      <c r="B47" s="86" t="s">
        <v>171</v>
      </c>
      <c r="C47" s="117" t="s">
        <v>66</v>
      </c>
      <c r="D47" s="122"/>
      <c r="E47" s="90"/>
      <c r="F47" s="88"/>
      <c r="G47" s="118"/>
      <c r="H47" s="120"/>
      <c r="I47" s="89">
        <f>SUMIF('Executive Pay Breakdown'!K:K,$B47,'Executive Pay Breakdown'!M:M)+SUMIF('Executive Pay Breakdown'!O:O,$B47,'Executive Pay Breakdown'!Q:Q)+SUMIF('Executive Pay Breakdown'!S:S,$B47,'Executive Pay Breakdown'!U:U)+SUMIF('Executive Pay Breakdown'!W:W,$B47,'Executive Pay Breakdown'!Y:Y)+SUMIF('Executive Pay Breakdown'!AA:AA,$B47,'Executive Pay Breakdown'!AC:AC)</f>
        <v>15668811</v>
      </c>
      <c r="J47" s="109"/>
      <c r="K47" s="69">
        <f>SUMIF('Executive Pay Breakdown'!K:K,$B47,'Executive Pay Breakdown'!M:M)</f>
        <v>4331901</v>
      </c>
      <c r="L47" s="69">
        <f>SUMIF('Executive Pay Breakdown'!O:O,$B47,'Executive Pay Breakdown'!Q:Q)</f>
        <v>3016061</v>
      </c>
      <c r="M47" s="69">
        <f>SUMIF('Executive Pay Breakdown'!S:S,$B47,'Executive Pay Breakdown'!U:U)</f>
        <v>3267391</v>
      </c>
      <c r="N47" s="69">
        <f>SUMIF('Executive Pay Breakdown'!W:W,$B47,'Executive Pay Breakdown'!Y:Y)</f>
        <v>2721923</v>
      </c>
      <c r="O47" s="69">
        <f>SUMIF('Executive Pay Breakdown'!AA:AA,$B47,'Executive Pay Breakdown'!AC:AC)</f>
        <v>2331535</v>
      </c>
    </row>
    <row r="48" hidden="1">
      <c r="A48" s="62"/>
      <c r="B48" s="127" t="s">
        <v>113</v>
      </c>
      <c r="C48" s="118" t="s">
        <v>53</v>
      </c>
      <c r="D48" s="122"/>
      <c r="E48" s="90"/>
      <c r="F48" s="88"/>
      <c r="G48" s="118"/>
      <c r="H48" s="120"/>
      <c r="I48" s="89">
        <f>SUMIF('Executive Pay Breakdown'!K:K,$B48,'Executive Pay Breakdown'!M:M)+SUMIF('Executive Pay Breakdown'!O:O,$B48,'Executive Pay Breakdown'!Q:Q)+SUMIF('Executive Pay Breakdown'!S:S,$B48,'Executive Pay Breakdown'!U:U)+SUMIF('Executive Pay Breakdown'!W:W,$B48,'Executive Pay Breakdown'!Y:Y)+SUMIF('Executive Pay Breakdown'!AA:AA,$B48,'Executive Pay Breakdown'!AC:AC)</f>
        <v>108579955</v>
      </c>
      <c r="J48" s="109"/>
      <c r="K48" s="69">
        <f>SUMIF('Executive Pay Breakdown'!K:K,$B48,'Executive Pay Breakdown'!M:M)</f>
        <v>24006670</v>
      </c>
      <c r="L48" s="69">
        <f>SUMIF('Executive Pay Breakdown'!O:O,$B48,'Executive Pay Breakdown'!Q:Q)</f>
        <v>21243559</v>
      </c>
      <c r="M48" s="69">
        <f>SUMIF('Executive Pay Breakdown'!S:S,$B48,'Executive Pay Breakdown'!U:U)</f>
        <v>22366850</v>
      </c>
      <c r="N48" s="69">
        <f>SUMIF('Executive Pay Breakdown'!W:W,$B48,'Executive Pay Breakdown'!Y:Y)</f>
        <v>27865185</v>
      </c>
      <c r="O48" s="69">
        <f>SUMIF('Executive Pay Breakdown'!AA:AA,$B48,'Executive Pay Breakdown'!AC:AC)</f>
        <v>13097691</v>
      </c>
    </row>
    <row r="49" hidden="1">
      <c r="A49" s="62"/>
      <c r="B49" s="125" t="s">
        <v>172</v>
      </c>
      <c r="C49" s="118" t="s">
        <v>21</v>
      </c>
      <c r="D49" s="122"/>
      <c r="E49" s="90"/>
      <c r="F49" s="88"/>
      <c r="G49" s="118"/>
      <c r="H49" s="120"/>
      <c r="I49" s="89">
        <f>SUMIF('Executive Pay Breakdown'!K:K,$B49,'Executive Pay Breakdown'!M:M)+SUMIF('Executive Pay Breakdown'!O:O,$B49,'Executive Pay Breakdown'!Q:Q)+SUMIF('Executive Pay Breakdown'!S:S,$B49,'Executive Pay Breakdown'!U:U)+SUMIF('Executive Pay Breakdown'!W:W,$B49,'Executive Pay Breakdown'!Y:Y)+SUMIF('Executive Pay Breakdown'!AA:AA,$B49,'Executive Pay Breakdown'!AC:AC)</f>
        <v>10154437</v>
      </c>
      <c r="J49" s="109"/>
      <c r="K49" s="69">
        <f>SUMIF('Executive Pay Breakdown'!K:K,$B49,'Executive Pay Breakdown'!M:M)</f>
        <v>2738342</v>
      </c>
      <c r="L49" s="69">
        <f>SUMIF('Executive Pay Breakdown'!O:O,$B49,'Executive Pay Breakdown'!Q:Q)</f>
        <v>2234532</v>
      </c>
      <c r="M49" s="69">
        <f>SUMIF('Executive Pay Breakdown'!S:S,$B49,'Executive Pay Breakdown'!U:U)</f>
        <v>1923987</v>
      </c>
      <c r="N49" s="69">
        <f>SUMIF('Executive Pay Breakdown'!W:W,$B49,'Executive Pay Breakdown'!Y:Y)</f>
        <v>1763035</v>
      </c>
      <c r="O49" s="69">
        <f>SUMIF('Executive Pay Breakdown'!AA:AA,$B49,'Executive Pay Breakdown'!AC:AC)</f>
        <v>1494541</v>
      </c>
    </row>
    <row r="50" hidden="1">
      <c r="A50" s="62"/>
      <c r="B50" s="127" t="s">
        <v>173</v>
      </c>
      <c r="C50" s="118" t="s">
        <v>17</v>
      </c>
      <c r="D50" s="122"/>
      <c r="E50" s="90"/>
      <c r="F50" s="88"/>
      <c r="G50" s="118"/>
      <c r="H50" s="120"/>
      <c r="I50" s="89">
        <f>SUMIF('Executive Pay Breakdown'!K:K,$B50,'Executive Pay Breakdown'!M:M)+SUMIF('Executive Pay Breakdown'!O:O,$B50,'Executive Pay Breakdown'!Q:Q)+SUMIF('Executive Pay Breakdown'!S:S,$B50,'Executive Pay Breakdown'!U:U)+SUMIF('Executive Pay Breakdown'!W:W,$B50,'Executive Pay Breakdown'!Y:Y)+SUMIF('Executive Pay Breakdown'!AA:AA,$B50,'Executive Pay Breakdown'!AC:AC)</f>
        <v>8531318</v>
      </c>
      <c r="J50" s="109"/>
      <c r="K50" s="69">
        <f>SUMIF('Executive Pay Breakdown'!K:K,$B50,'Executive Pay Breakdown'!M:M)</f>
        <v>2695037</v>
      </c>
      <c r="L50" s="69">
        <f>SUMIF('Executive Pay Breakdown'!O:O,$B50,'Executive Pay Breakdown'!Q:Q)</f>
        <v>1550892</v>
      </c>
      <c r="M50" s="69">
        <f>SUMIF('Executive Pay Breakdown'!S:S,$B50,'Executive Pay Breakdown'!U:U)</f>
        <v>1121650</v>
      </c>
      <c r="N50" s="69">
        <f>SUMIF('Executive Pay Breakdown'!W:W,$B50,'Executive Pay Breakdown'!Y:Y)</f>
        <v>1649638</v>
      </c>
      <c r="O50" s="69">
        <f>SUMIF('Executive Pay Breakdown'!AA:AA,$B50,'Executive Pay Breakdown'!AC:AC)</f>
        <v>1514101</v>
      </c>
    </row>
    <row r="51" hidden="1">
      <c r="A51" s="62"/>
      <c r="B51" s="86" t="s">
        <v>174</v>
      </c>
      <c r="C51" s="118" t="s">
        <v>31</v>
      </c>
      <c r="D51" s="122"/>
      <c r="E51" s="90"/>
      <c r="F51" s="88"/>
      <c r="G51" s="118"/>
      <c r="H51" s="120"/>
      <c r="I51" s="89">
        <f>SUMIF('Executive Pay Breakdown'!K:K,$B51,'Executive Pay Breakdown'!M:M)+SUMIF('Executive Pay Breakdown'!O:O,$B51,'Executive Pay Breakdown'!Q:Q)+SUMIF('Executive Pay Breakdown'!S:S,$B51,'Executive Pay Breakdown'!U:U)+SUMIF('Executive Pay Breakdown'!W:W,$B51,'Executive Pay Breakdown'!Y:Y)+SUMIF('Executive Pay Breakdown'!AA:AA,$B51,'Executive Pay Breakdown'!AC:AC)</f>
        <v>25662730</v>
      </c>
      <c r="J51" s="109"/>
      <c r="K51" s="69">
        <f>SUMIF('Executive Pay Breakdown'!K:K,$B51,'Executive Pay Breakdown'!M:M)</f>
        <v>7357331</v>
      </c>
      <c r="L51" s="69">
        <f>SUMIF('Executive Pay Breakdown'!O:O,$B51,'Executive Pay Breakdown'!Q:Q)</f>
        <v>4305713</v>
      </c>
      <c r="M51" s="69">
        <f>SUMIF('Executive Pay Breakdown'!S:S,$B51,'Executive Pay Breakdown'!U:U)</f>
        <v>6065768</v>
      </c>
      <c r="N51" s="69">
        <f>SUMIF('Executive Pay Breakdown'!W:W,$B51,'Executive Pay Breakdown'!Y:Y)</f>
        <v>3779709</v>
      </c>
      <c r="O51" s="69">
        <f>SUMIF('Executive Pay Breakdown'!AA:AA,$B51,'Executive Pay Breakdown'!AC:AC)</f>
        <v>4154209</v>
      </c>
    </row>
    <row r="52" hidden="1">
      <c r="A52" s="62"/>
      <c r="B52" s="130" t="s">
        <v>175</v>
      </c>
      <c r="C52" s="118" t="s">
        <v>21</v>
      </c>
      <c r="D52" s="122"/>
      <c r="E52" s="90"/>
      <c r="F52" s="88"/>
      <c r="G52" s="118"/>
      <c r="H52" s="120"/>
      <c r="I52" s="89">
        <f>SUMIF('Executive Pay Breakdown'!K:K,$B52,'Executive Pay Breakdown'!M:M)+SUMIF('Executive Pay Breakdown'!O:O,$B52,'Executive Pay Breakdown'!Q:Q)+SUMIF('Executive Pay Breakdown'!S:S,$B52,'Executive Pay Breakdown'!U:U)+SUMIF('Executive Pay Breakdown'!W:W,$B52,'Executive Pay Breakdown'!Y:Y)+SUMIF('Executive Pay Breakdown'!AA:AA,$B52,'Executive Pay Breakdown'!AC:AC)</f>
        <v>26670092</v>
      </c>
      <c r="J52" s="109"/>
      <c r="K52" s="69">
        <f>SUMIF('Executive Pay Breakdown'!K:K,$B52,'Executive Pay Breakdown'!M:M)</f>
        <v>6888338</v>
      </c>
      <c r="L52" s="69">
        <f>SUMIF('Executive Pay Breakdown'!O:O,$B52,'Executive Pay Breakdown'!Q:Q)</f>
        <v>6120766</v>
      </c>
      <c r="M52" s="69">
        <f>SUMIF('Executive Pay Breakdown'!S:S,$B52,'Executive Pay Breakdown'!U:U)</f>
        <v>4847937</v>
      </c>
      <c r="N52" s="69">
        <f>SUMIF('Executive Pay Breakdown'!W:W,$B52,'Executive Pay Breakdown'!Y:Y)</f>
        <v>4906188</v>
      </c>
      <c r="O52" s="69">
        <f>SUMIF('Executive Pay Breakdown'!AA:AA,$B52,'Executive Pay Breakdown'!AC:AC)</f>
        <v>3906863</v>
      </c>
    </row>
    <row r="53" hidden="1">
      <c r="A53" s="62"/>
      <c r="B53" s="127" t="s">
        <v>176</v>
      </c>
      <c r="C53" s="118" t="s">
        <v>53</v>
      </c>
      <c r="D53" s="122"/>
      <c r="E53" s="90"/>
      <c r="F53" s="88"/>
      <c r="G53" s="118"/>
      <c r="H53" s="120"/>
      <c r="I53" s="89">
        <f>SUMIF('Executive Pay Breakdown'!K:K,$B53,'Executive Pay Breakdown'!M:M)+SUMIF('Executive Pay Breakdown'!O:O,$B53,'Executive Pay Breakdown'!Q:Q)+SUMIF('Executive Pay Breakdown'!S:S,$B53,'Executive Pay Breakdown'!U:U)+SUMIF('Executive Pay Breakdown'!W:W,$B53,'Executive Pay Breakdown'!Y:Y)+SUMIF('Executive Pay Breakdown'!AA:AA,$B53,'Executive Pay Breakdown'!AC:AC)</f>
        <v>34267884</v>
      </c>
      <c r="J53" s="109"/>
      <c r="K53" s="69">
        <f>SUMIF('Executive Pay Breakdown'!K:K,$B53,'Executive Pay Breakdown'!M:M)</f>
        <v>8501572</v>
      </c>
      <c r="L53" s="69">
        <f>SUMIF('Executive Pay Breakdown'!O:O,$B53,'Executive Pay Breakdown'!Q:Q)</f>
        <v>5267590</v>
      </c>
      <c r="M53" s="69">
        <f>SUMIF('Executive Pay Breakdown'!S:S,$B53,'Executive Pay Breakdown'!U:U)</f>
        <v>7302772</v>
      </c>
      <c r="N53" s="69">
        <f>SUMIF('Executive Pay Breakdown'!W:W,$B53,'Executive Pay Breakdown'!Y:Y)</f>
        <v>8234664</v>
      </c>
      <c r="O53" s="69">
        <f>SUMIF('Executive Pay Breakdown'!AA:AA,$B53,'Executive Pay Breakdown'!AC:AC)</f>
        <v>4961286</v>
      </c>
    </row>
    <row r="54" hidden="1">
      <c r="A54" s="71"/>
      <c r="B54" s="132" t="s">
        <v>93</v>
      </c>
      <c r="C54" s="118" t="s">
        <v>16</v>
      </c>
      <c r="D54" s="122"/>
      <c r="E54" s="90"/>
      <c r="F54" s="88"/>
      <c r="G54" s="118"/>
      <c r="H54" s="120"/>
      <c r="I54" s="89">
        <f>SUMIF('Executive Pay Breakdown'!K:K,$B54,'Executive Pay Breakdown'!M:M)+SUMIF('Executive Pay Breakdown'!O:O,$B54,'Executive Pay Breakdown'!Q:Q)+SUMIF('Executive Pay Breakdown'!S:S,$B54,'Executive Pay Breakdown'!U:U)+SUMIF('Executive Pay Breakdown'!W:W,$B54,'Executive Pay Breakdown'!Y:Y)+SUMIF('Executive Pay Breakdown'!AA:AA,$B54,'Executive Pay Breakdown'!AC:AC)</f>
        <v>192171581</v>
      </c>
      <c r="J54" s="109"/>
      <c r="K54" s="69">
        <f>SUMIF('Executive Pay Breakdown'!K:K,$B54,'Executive Pay Breakdown'!M:M)</f>
        <v>50299296</v>
      </c>
      <c r="L54" s="69">
        <f>SUMIF('Executive Pay Breakdown'!O:O,$B54,'Executive Pay Breakdown'!Q:Q)</f>
        <v>38232164</v>
      </c>
      <c r="M54" s="69">
        <f>SUMIF('Executive Pay Breakdown'!S:S,$B54,'Executive Pay Breakdown'!U:U)</f>
        <v>39318251</v>
      </c>
      <c r="N54" s="69">
        <f>SUMIF('Executive Pay Breakdown'!W:W,$B54,'Executive Pay Breakdown'!Y:Y)</f>
        <v>34674399</v>
      </c>
      <c r="O54" s="69">
        <f>SUMIF('Executive Pay Breakdown'!AA:AA,$B54,'Executive Pay Breakdown'!AC:AC)</f>
        <v>29647471</v>
      </c>
    </row>
    <row r="55" hidden="1">
      <c r="A55" s="62"/>
      <c r="B55" s="129" t="s">
        <v>177</v>
      </c>
      <c r="C55" s="118" t="s">
        <v>19</v>
      </c>
      <c r="D55" s="122"/>
      <c r="E55" s="90"/>
      <c r="F55" s="88"/>
      <c r="G55" s="118"/>
      <c r="H55" s="120"/>
      <c r="I55" s="89">
        <f>SUMIF('Executive Pay Breakdown'!K:K,$B55,'Executive Pay Breakdown'!M:M)+SUMIF('Executive Pay Breakdown'!O:O,$B55,'Executive Pay Breakdown'!Q:Q)+SUMIF('Executive Pay Breakdown'!S:S,$B55,'Executive Pay Breakdown'!U:U)+SUMIF('Executive Pay Breakdown'!W:W,$B55,'Executive Pay Breakdown'!Y:Y)+SUMIF('Executive Pay Breakdown'!AA:AA,$B55,'Executive Pay Breakdown'!AC:AC)</f>
        <v>75541135</v>
      </c>
      <c r="J55" s="109"/>
      <c r="K55" s="69">
        <f>SUMIF('Executive Pay Breakdown'!K:K,$B55,'Executive Pay Breakdown'!M:M)</f>
        <v>18107426</v>
      </c>
      <c r="L55" s="69">
        <f>SUMIF('Executive Pay Breakdown'!O:O,$B55,'Executive Pay Breakdown'!Q:Q)</f>
        <v>16621373</v>
      </c>
      <c r="M55" s="69">
        <f>SUMIF('Executive Pay Breakdown'!S:S,$B55,'Executive Pay Breakdown'!U:U)</f>
        <v>15434255</v>
      </c>
      <c r="N55" s="69">
        <f>SUMIF('Executive Pay Breakdown'!W:W,$B55,'Executive Pay Breakdown'!Y:Y)</f>
        <v>14570581</v>
      </c>
      <c r="O55" s="69">
        <f>SUMIF('Executive Pay Breakdown'!AA:AA,$B55,'Executive Pay Breakdown'!AC:AC)</f>
        <v>10807500</v>
      </c>
    </row>
    <row r="56" hidden="1">
      <c r="A56" s="62"/>
      <c r="B56" s="86" t="s">
        <v>178</v>
      </c>
      <c r="C56" s="117" t="s">
        <v>66</v>
      </c>
      <c r="D56" s="122"/>
      <c r="E56" s="90"/>
      <c r="F56" s="88"/>
      <c r="G56" s="118"/>
      <c r="H56" s="120"/>
      <c r="I56" s="89">
        <f>SUMIF('Executive Pay Breakdown'!K:K,$B56,'Executive Pay Breakdown'!M:M)+SUMIF('Executive Pay Breakdown'!O:O,$B56,'Executive Pay Breakdown'!Q:Q)+SUMIF('Executive Pay Breakdown'!S:S,$B56,'Executive Pay Breakdown'!U:U)+SUMIF('Executive Pay Breakdown'!W:W,$B56,'Executive Pay Breakdown'!Y:Y)+SUMIF('Executive Pay Breakdown'!AA:AA,$B56,'Executive Pay Breakdown'!AC:AC)</f>
        <v>15384920</v>
      </c>
      <c r="J56" s="109"/>
      <c r="K56" s="69">
        <f>SUMIF('Executive Pay Breakdown'!K:K,$B56,'Executive Pay Breakdown'!M:M)</f>
        <v>5110783</v>
      </c>
      <c r="L56" s="69">
        <f>SUMIF('Executive Pay Breakdown'!O:O,$B56,'Executive Pay Breakdown'!Q:Q)</f>
        <v>3678676</v>
      </c>
      <c r="M56" s="69">
        <f>SUMIF('Executive Pay Breakdown'!S:S,$B56,'Executive Pay Breakdown'!U:U)</f>
        <v>3507756</v>
      </c>
      <c r="N56" s="69">
        <f>SUMIF('Executive Pay Breakdown'!W:W,$B56,'Executive Pay Breakdown'!Y:Y)</f>
        <v>0</v>
      </c>
      <c r="O56" s="69">
        <f>SUMIF('Executive Pay Breakdown'!AA:AA,$B56,'Executive Pay Breakdown'!AC:AC)</f>
        <v>3087705</v>
      </c>
    </row>
    <row r="57" hidden="1">
      <c r="A57" s="62"/>
      <c r="B57" s="127" t="s">
        <v>179</v>
      </c>
      <c r="C57" s="118" t="s">
        <v>15</v>
      </c>
      <c r="D57" s="122"/>
      <c r="E57" s="90"/>
      <c r="F57" s="88"/>
      <c r="G57" s="118"/>
      <c r="H57" s="120"/>
      <c r="I57" s="89">
        <f>SUMIF('Executive Pay Breakdown'!K:K,$B57,'Executive Pay Breakdown'!M:M)+SUMIF('Executive Pay Breakdown'!O:O,$B57,'Executive Pay Breakdown'!Q:Q)+SUMIF('Executive Pay Breakdown'!S:S,$B57,'Executive Pay Breakdown'!U:U)+SUMIF('Executive Pay Breakdown'!W:W,$B57,'Executive Pay Breakdown'!Y:Y)+SUMIF('Executive Pay Breakdown'!AA:AA,$B57,'Executive Pay Breakdown'!AC:AC)</f>
        <v>19762365</v>
      </c>
      <c r="J57" s="109"/>
      <c r="K57" s="69">
        <f>SUMIF('Executive Pay Breakdown'!K:K,$B57,'Executive Pay Breakdown'!M:M)</f>
        <v>4420284</v>
      </c>
      <c r="L57" s="69">
        <f>SUMIF('Executive Pay Breakdown'!O:O,$B57,'Executive Pay Breakdown'!Q:Q)</f>
        <v>4648200</v>
      </c>
      <c r="M57" s="69">
        <f>SUMIF('Executive Pay Breakdown'!S:S,$B57,'Executive Pay Breakdown'!U:U)</f>
        <v>4048848</v>
      </c>
      <c r="N57" s="69">
        <f>SUMIF('Executive Pay Breakdown'!W:W,$B57,'Executive Pay Breakdown'!Y:Y)</f>
        <v>3955357</v>
      </c>
      <c r="O57" s="69">
        <f>SUMIF('Executive Pay Breakdown'!AA:AA,$B57,'Executive Pay Breakdown'!AC:AC)</f>
        <v>2689676</v>
      </c>
    </row>
    <row r="58" hidden="1">
      <c r="A58" s="62"/>
      <c r="B58" s="86" t="s">
        <v>180</v>
      </c>
      <c r="C58" s="118" t="s">
        <v>33</v>
      </c>
      <c r="D58" s="122"/>
      <c r="E58" s="90"/>
      <c r="F58" s="88"/>
      <c r="G58" s="118"/>
      <c r="H58" s="120"/>
      <c r="I58" s="89">
        <f>SUMIF('Executive Pay Breakdown'!K:K,$B58,'Executive Pay Breakdown'!M:M)+SUMIF('Executive Pay Breakdown'!O:O,$B58,'Executive Pay Breakdown'!Q:Q)+SUMIF('Executive Pay Breakdown'!S:S,$B58,'Executive Pay Breakdown'!U:U)+SUMIF('Executive Pay Breakdown'!W:W,$B58,'Executive Pay Breakdown'!Y:Y)+SUMIF('Executive Pay Breakdown'!AA:AA,$B58,'Executive Pay Breakdown'!AC:AC)</f>
        <v>71305058</v>
      </c>
      <c r="J58" s="109"/>
      <c r="K58" s="69">
        <f>SUMIF('Executive Pay Breakdown'!K:K,$B58,'Executive Pay Breakdown'!M:M)</f>
        <v>18988369</v>
      </c>
      <c r="L58" s="69">
        <f>SUMIF('Executive Pay Breakdown'!O:O,$B58,'Executive Pay Breakdown'!Q:Q)</f>
        <v>18824816</v>
      </c>
      <c r="M58" s="69">
        <f>SUMIF('Executive Pay Breakdown'!S:S,$B58,'Executive Pay Breakdown'!U:U)</f>
        <v>8583443</v>
      </c>
      <c r="N58" s="69">
        <f>SUMIF('Executive Pay Breakdown'!W:W,$B58,'Executive Pay Breakdown'!Y:Y)</f>
        <v>13318357</v>
      </c>
      <c r="O58" s="69">
        <f>SUMIF('Executive Pay Breakdown'!AA:AA,$B58,'Executive Pay Breakdown'!AC:AC)</f>
        <v>11590073</v>
      </c>
    </row>
    <row r="59" hidden="1">
      <c r="A59" s="62"/>
      <c r="B59" s="86" t="s">
        <v>181</v>
      </c>
      <c r="C59" s="118" t="s">
        <v>44</v>
      </c>
      <c r="D59" s="122"/>
      <c r="E59" s="90"/>
      <c r="F59" s="88"/>
      <c r="G59" s="118"/>
      <c r="H59" s="120"/>
      <c r="I59" s="89">
        <f>SUMIF('Executive Pay Breakdown'!K:K,$B59,'Executive Pay Breakdown'!M:M)+SUMIF('Executive Pay Breakdown'!O:O,$B59,'Executive Pay Breakdown'!Q:Q)+SUMIF('Executive Pay Breakdown'!S:S,$B59,'Executive Pay Breakdown'!U:U)+SUMIF('Executive Pay Breakdown'!W:W,$B59,'Executive Pay Breakdown'!Y:Y)+SUMIF('Executive Pay Breakdown'!AA:AA,$B59,'Executive Pay Breakdown'!AC:AC)</f>
        <v>82060779</v>
      </c>
      <c r="J59" s="109"/>
      <c r="K59" s="69">
        <f>SUMIF('Executive Pay Breakdown'!K:K,$B59,'Executive Pay Breakdown'!M:M)</f>
        <v>23016375</v>
      </c>
      <c r="L59" s="69">
        <f>SUMIF('Executive Pay Breakdown'!O:O,$B59,'Executive Pay Breakdown'!Q:Q)</f>
        <v>25397675</v>
      </c>
      <c r="M59" s="69">
        <f>SUMIF('Executive Pay Breakdown'!S:S,$B59,'Executive Pay Breakdown'!U:U)</f>
        <v>13705132</v>
      </c>
      <c r="N59" s="69">
        <f>SUMIF('Executive Pay Breakdown'!W:W,$B59,'Executive Pay Breakdown'!Y:Y)</f>
        <v>5883361</v>
      </c>
      <c r="O59" s="69">
        <f>SUMIF('Executive Pay Breakdown'!AA:AA,$B59,'Executive Pay Breakdown'!AC:AC)</f>
        <v>14058236</v>
      </c>
    </row>
    <row r="60" hidden="1">
      <c r="A60" s="62"/>
      <c r="B60" s="127" t="s">
        <v>182</v>
      </c>
      <c r="C60" s="118" t="s">
        <v>60</v>
      </c>
      <c r="D60" s="122"/>
      <c r="E60" s="90"/>
      <c r="F60" s="88"/>
      <c r="G60" s="118"/>
      <c r="H60" s="120"/>
      <c r="I60" s="89">
        <f>SUMIF('Executive Pay Breakdown'!K:K,$B60,'Executive Pay Breakdown'!M:M)+SUMIF('Executive Pay Breakdown'!O:O,$B60,'Executive Pay Breakdown'!Q:Q)+SUMIF('Executive Pay Breakdown'!S:S,$B60,'Executive Pay Breakdown'!U:U)+SUMIF('Executive Pay Breakdown'!W:W,$B60,'Executive Pay Breakdown'!Y:Y)+SUMIF('Executive Pay Breakdown'!AA:AA,$B60,'Executive Pay Breakdown'!AC:AC)</f>
        <v>19803064</v>
      </c>
      <c r="J60" s="109"/>
      <c r="K60" s="69">
        <f>SUMIF('Executive Pay Breakdown'!K:K,$B60,'Executive Pay Breakdown'!M:M)</f>
        <v>4982581</v>
      </c>
      <c r="L60" s="69">
        <f>SUMIF('Executive Pay Breakdown'!O:O,$B60,'Executive Pay Breakdown'!Q:Q)</f>
        <v>4872931</v>
      </c>
      <c r="M60" s="69">
        <f>SUMIF('Executive Pay Breakdown'!S:S,$B60,'Executive Pay Breakdown'!U:U)</f>
        <v>3542434</v>
      </c>
      <c r="N60" s="69">
        <f>SUMIF('Executive Pay Breakdown'!W:W,$B60,'Executive Pay Breakdown'!Y:Y)</f>
        <v>3315656</v>
      </c>
      <c r="O60" s="69">
        <f>SUMIF('Executive Pay Breakdown'!AA:AA,$B60,'Executive Pay Breakdown'!AC:AC)</f>
        <v>3089462</v>
      </c>
    </row>
    <row r="61" hidden="1">
      <c r="A61" s="62"/>
      <c r="B61" s="86" t="s">
        <v>183</v>
      </c>
      <c r="C61" s="118" t="s">
        <v>75</v>
      </c>
      <c r="D61" s="122"/>
      <c r="E61" s="90"/>
      <c r="F61" s="88"/>
      <c r="G61" s="118"/>
      <c r="H61" s="120"/>
      <c r="I61" s="89">
        <f>SUMIF('Executive Pay Breakdown'!K:K,$B61,'Executive Pay Breakdown'!M:M)+SUMIF('Executive Pay Breakdown'!O:O,$B61,'Executive Pay Breakdown'!Q:Q)+SUMIF('Executive Pay Breakdown'!S:S,$B61,'Executive Pay Breakdown'!U:U)+SUMIF('Executive Pay Breakdown'!W:W,$B61,'Executive Pay Breakdown'!Y:Y)+SUMIF('Executive Pay Breakdown'!AA:AA,$B61,'Executive Pay Breakdown'!AC:AC)</f>
        <v>7866768</v>
      </c>
      <c r="J61" s="109"/>
      <c r="K61" s="69">
        <f>SUMIF('Executive Pay Breakdown'!K:K,$B61,'Executive Pay Breakdown'!M:M)</f>
        <v>1766989</v>
      </c>
      <c r="L61" s="69">
        <f>SUMIF('Executive Pay Breakdown'!O:O,$B61,'Executive Pay Breakdown'!Q:Q)</f>
        <v>1664273</v>
      </c>
      <c r="M61" s="69">
        <f>SUMIF('Executive Pay Breakdown'!S:S,$B61,'Executive Pay Breakdown'!U:U)</f>
        <v>1707146</v>
      </c>
      <c r="N61" s="69">
        <f>SUMIF('Executive Pay Breakdown'!W:W,$B61,'Executive Pay Breakdown'!Y:Y)</f>
        <v>1589981</v>
      </c>
      <c r="O61" s="69">
        <f>SUMIF('Executive Pay Breakdown'!AA:AA,$B61,'Executive Pay Breakdown'!AC:AC)</f>
        <v>1138379</v>
      </c>
    </row>
    <row r="62" hidden="1">
      <c r="A62" s="62"/>
      <c r="B62" s="86" t="s">
        <v>184</v>
      </c>
      <c r="C62" s="118" t="s">
        <v>33</v>
      </c>
      <c r="D62" s="122"/>
      <c r="E62" s="90"/>
      <c r="F62" s="88"/>
      <c r="G62" s="118"/>
      <c r="H62" s="120"/>
      <c r="I62" s="89">
        <f>SUMIF('Executive Pay Breakdown'!K:K,$B62,'Executive Pay Breakdown'!M:M)+SUMIF('Executive Pay Breakdown'!O:O,$B62,'Executive Pay Breakdown'!Q:Q)+SUMIF('Executive Pay Breakdown'!S:S,$B62,'Executive Pay Breakdown'!U:U)+SUMIF('Executive Pay Breakdown'!W:W,$B62,'Executive Pay Breakdown'!Y:Y)+SUMIF('Executive Pay Breakdown'!AA:AA,$B62,'Executive Pay Breakdown'!AC:AC)</f>
        <v>17688838</v>
      </c>
      <c r="J62" s="109"/>
      <c r="K62" s="69">
        <f>SUMIF('Executive Pay Breakdown'!K:K,$B62,'Executive Pay Breakdown'!M:M)</f>
        <v>3841749</v>
      </c>
      <c r="L62" s="69">
        <f>SUMIF('Executive Pay Breakdown'!O:O,$B62,'Executive Pay Breakdown'!Q:Q)</f>
        <v>5517074</v>
      </c>
      <c r="M62" s="69">
        <f>SUMIF('Executive Pay Breakdown'!S:S,$B62,'Executive Pay Breakdown'!U:U)</f>
        <v>2833102</v>
      </c>
      <c r="N62" s="69">
        <f>SUMIF('Executive Pay Breakdown'!W:W,$B62,'Executive Pay Breakdown'!Y:Y)</f>
        <v>3019451</v>
      </c>
      <c r="O62" s="69">
        <f>SUMIF('Executive Pay Breakdown'!AA:AA,$B62,'Executive Pay Breakdown'!AC:AC)</f>
        <v>2477462</v>
      </c>
    </row>
    <row r="63" hidden="1">
      <c r="A63" s="62"/>
      <c r="B63" s="127" t="s">
        <v>185</v>
      </c>
      <c r="C63" s="118" t="s">
        <v>15</v>
      </c>
      <c r="D63" s="122"/>
      <c r="E63" s="90"/>
      <c r="F63" s="88"/>
      <c r="G63" s="118"/>
      <c r="H63" s="120"/>
      <c r="I63" s="89">
        <f>SUMIF('Executive Pay Breakdown'!K:K,$B63,'Executive Pay Breakdown'!M:M)+SUMIF('Executive Pay Breakdown'!O:O,$B63,'Executive Pay Breakdown'!Q:Q)+SUMIF('Executive Pay Breakdown'!S:S,$B63,'Executive Pay Breakdown'!U:U)+SUMIF('Executive Pay Breakdown'!W:W,$B63,'Executive Pay Breakdown'!Y:Y)+SUMIF('Executive Pay Breakdown'!AA:AA,$B63,'Executive Pay Breakdown'!AC:AC)</f>
        <v>19973595</v>
      </c>
      <c r="J63" s="109"/>
      <c r="K63" s="69">
        <f>SUMIF('Executive Pay Breakdown'!K:K,$B63,'Executive Pay Breakdown'!M:M)</f>
        <v>4794344</v>
      </c>
      <c r="L63" s="69">
        <f>SUMIF('Executive Pay Breakdown'!O:O,$B63,'Executive Pay Breakdown'!Q:Q)</f>
        <v>4364888</v>
      </c>
      <c r="M63" s="69">
        <f>SUMIF('Executive Pay Breakdown'!S:S,$B63,'Executive Pay Breakdown'!U:U)</f>
        <v>3901609</v>
      </c>
      <c r="N63" s="69">
        <f>SUMIF('Executive Pay Breakdown'!W:W,$B63,'Executive Pay Breakdown'!Y:Y)</f>
        <v>3779999</v>
      </c>
      <c r="O63" s="69">
        <f>SUMIF('Executive Pay Breakdown'!AA:AA,$B63,'Executive Pay Breakdown'!AC:AC)</f>
        <v>3132755</v>
      </c>
    </row>
    <row r="64" hidden="1">
      <c r="A64" s="62"/>
      <c r="B64" s="127" t="s">
        <v>186</v>
      </c>
      <c r="C64" s="118" t="s">
        <v>15</v>
      </c>
      <c r="D64" s="122"/>
      <c r="E64" s="90"/>
      <c r="F64" s="88"/>
      <c r="G64" s="118"/>
      <c r="H64" s="120"/>
      <c r="I64" s="89">
        <f>SUMIF('Executive Pay Breakdown'!K:K,$B64,'Executive Pay Breakdown'!M:M)+SUMIF('Executive Pay Breakdown'!O:O,$B64,'Executive Pay Breakdown'!Q:Q)+SUMIF('Executive Pay Breakdown'!S:S,$B64,'Executive Pay Breakdown'!U:U)+SUMIF('Executive Pay Breakdown'!W:W,$B64,'Executive Pay Breakdown'!Y:Y)+SUMIF('Executive Pay Breakdown'!AA:AA,$B64,'Executive Pay Breakdown'!AC:AC)</f>
        <v>81362789</v>
      </c>
      <c r="J64" s="109"/>
      <c r="K64" s="69">
        <f>SUMIF('Executive Pay Breakdown'!K:K,$B64,'Executive Pay Breakdown'!M:M)</f>
        <v>21354759</v>
      </c>
      <c r="L64" s="69">
        <f>SUMIF('Executive Pay Breakdown'!O:O,$B64,'Executive Pay Breakdown'!Q:Q)</f>
        <v>16451236</v>
      </c>
      <c r="M64" s="69">
        <f>SUMIF('Executive Pay Breakdown'!S:S,$B64,'Executive Pay Breakdown'!U:U)</f>
        <v>14544398</v>
      </c>
      <c r="N64" s="69">
        <f>SUMIF('Executive Pay Breakdown'!W:W,$B64,'Executive Pay Breakdown'!Y:Y)</f>
        <v>15029436</v>
      </c>
      <c r="O64" s="69">
        <f>SUMIF('Executive Pay Breakdown'!AA:AA,$B64,'Executive Pay Breakdown'!AC:AC)</f>
        <v>13982960</v>
      </c>
    </row>
    <row r="65" hidden="1">
      <c r="A65" s="62"/>
      <c r="B65" s="127" t="s">
        <v>187</v>
      </c>
      <c r="C65" s="118" t="s">
        <v>60</v>
      </c>
      <c r="D65" s="122"/>
      <c r="E65" s="90"/>
      <c r="F65" s="88"/>
      <c r="G65" s="118"/>
      <c r="H65" s="120"/>
      <c r="I65" s="89">
        <f>SUMIF('Executive Pay Breakdown'!K:K,$B65,'Executive Pay Breakdown'!M:M)+SUMIF('Executive Pay Breakdown'!O:O,$B65,'Executive Pay Breakdown'!Q:Q)+SUMIF('Executive Pay Breakdown'!S:S,$B65,'Executive Pay Breakdown'!U:U)+SUMIF('Executive Pay Breakdown'!W:W,$B65,'Executive Pay Breakdown'!Y:Y)+SUMIF('Executive Pay Breakdown'!AA:AA,$B65,'Executive Pay Breakdown'!AC:AC)</f>
        <v>61840727</v>
      </c>
      <c r="J65" s="109"/>
      <c r="K65" s="69">
        <f>SUMIF('Executive Pay Breakdown'!K:K,$B65,'Executive Pay Breakdown'!M:M)</f>
        <v>14439223</v>
      </c>
      <c r="L65" s="69">
        <f>SUMIF('Executive Pay Breakdown'!O:O,$B65,'Executive Pay Breakdown'!Q:Q)</f>
        <v>15545746</v>
      </c>
      <c r="M65" s="69">
        <f>SUMIF('Executive Pay Breakdown'!S:S,$B65,'Executive Pay Breakdown'!U:U)</f>
        <v>11622074</v>
      </c>
      <c r="N65" s="69">
        <f>SUMIF('Executive Pay Breakdown'!W:W,$B65,'Executive Pay Breakdown'!Y:Y)</f>
        <v>10642118</v>
      </c>
      <c r="O65" s="69">
        <f>SUMIF('Executive Pay Breakdown'!AA:AA,$B65,'Executive Pay Breakdown'!AC:AC)</f>
        <v>9591566</v>
      </c>
    </row>
    <row r="66" hidden="1">
      <c r="A66" s="62"/>
      <c r="B66" s="86" t="s">
        <v>188</v>
      </c>
      <c r="C66" s="118" t="s">
        <v>33</v>
      </c>
      <c r="D66" s="122"/>
      <c r="E66" s="90"/>
      <c r="F66" s="88"/>
      <c r="G66" s="118"/>
      <c r="H66" s="120"/>
      <c r="I66" s="89">
        <f>SUMIF('Executive Pay Breakdown'!K:K,$B66,'Executive Pay Breakdown'!M:M)+SUMIF('Executive Pay Breakdown'!O:O,$B66,'Executive Pay Breakdown'!Q:Q)+SUMIF('Executive Pay Breakdown'!S:S,$B66,'Executive Pay Breakdown'!U:U)+SUMIF('Executive Pay Breakdown'!W:W,$B66,'Executive Pay Breakdown'!Y:Y)+SUMIF('Executive Pay Breakdown'!AA:AA,$B66,'Executive Pay Breakdown'!AC:AC)</f>
        <v>16671268</v>
      </c>
      <c r="J66" s="109"/>
      <c r="K66" s="69">
        <f>SUMIF('Executive Pay Breakdown'!K:K,$B66,'Executive Pay Breakdown'!M:M)</f>
        <v>3791759</v>
      </c>
      <c r="L66" s="69">
        <f>SUMIF('Executive Pay Breakdown'!O:O,$B66,'Executive Pay Breakdown'!Q:Q)</f>
        <v>5403234</v>
      </c>
      <c r="M66" s="69">
        <f>SUMIF('Executive Pay Breakdown'!S:S,$B66,'Executive Pay Breakdown'!U:U)</f>
        <v>1987875</v>
      </c>
      <c r="N66" s="69">
        <f>SUMIF('Executive Pay Breakdown'!W:W,$B66,'Executive Pay Breakdown'!Y:Y)</f>
        <v>2965605</v>
      </c>
      <c r="O66" s="69">
        <f>SUMIF('Executive Pay Breakdown'!AA:AA,$B66,'Executive Pay Breakdown'!AC:AC)</f>
        <v>2522795</v>
      </c>
    </row>
    <row r="67" hidden="1">
      <c r="A67" s="62"/>
      <c r="B67" s="86" t="s">
        <v>189</v>
      </c>
      <c r="C67" s="117" t="s">
        <v>72</v>
      </c>
      <c r="D67" s="122"/>
      <c r="E67" s="90"/>
      <c r="F67" s="88"/>
      <c r="G67" s="118"/>
      <c r="H67" s="120"/>
      <c r="I67" s="89">
        <f>SUMIF('Executive Pay Breakdown'!K:K,$B67,'Executive Pay Breakdown'!M:M)+SUMIF('Executive Pay Breakdown'!O:O,$B67,'Executive Pay Breakdown'!Q:Q)+SUMIF('Executive Pay Breakdown'!S:S,$B67,'Executive Pay Breakdown'!U:U)+SUMIF('Executive Pay Breakdown'!W:W,$B67,'Executive Pay Breakdown'!Y:Y)+SUMIF('Executive Pay Breakdown'!AA:AA,$B67,'Executive Pay Breakdown'!AC:AC)</f>
        <v>13402863</v>
      </c>
      <c r="J67" s="109"/>
      <c r="K67" s="69">
        <f>SUMIF('Executive Pay Breakdown'!K:K,$B67,'Executive Pay Breakdown'!M:M)</f>
        <v>2438511</v>
      </c>
      <c r="L67" s="69">
        <f>SUMIF('Executive Pay Breakdown'!O:O,$B67,'Executive Pay Breakdown'!Q:Q)</f>
        <v>3298084</v>
      </c>
      <c r="M67" s="69">
        <f>SUMIF('Executive Pay Breakdown'!S:S,$B67,'Executive Pay Breakdown'!U:U)</f>
        <v>3194366</v>
      </c>
      <c r="N67" s="69">
        <f>SUMIF('Executive Pay Breakdown'!W:W,$B67,'Executive Pay Breakdown'!Y:Y)</f>
        <v>2820453</v>
      </c>
      <c r="O67" s="69">
        <f>SUMIF('Executive Pay Breakdown'!AA:AA,$B67,'Executive Pay Breakdown'!AC:AC)</f>
        <v>1651449</v>
      </c>
    </row>
    <row r="68" hidden="1">
      <c r="A68" s="62"/>
      <c r="B68" s="127" t="s">
        <v>190</v>
      </c>
      <c r="C68" s="118" t="s">
        <v>64</v>
      </c>
      <c r="D68" s="122"/>
      <c r="E68" s="90"/>
      <c r="F68" s="88"/>
      <c r="G68" s="118"/>
      <c r="H68" s="120"/>
      <c r="I68" s="89">
        <f>SUMIF('Executive Pay Breakdown'!K:K,$B68,'Executive Pay Breakdown'!M:M)+SUMIF('Executive Pay Breakdown'!O:O,$B68,'Executive Pay Breakdown'!Q:Q)+SUMIF('Executive Pay Breakdown'!S:S,$B68,'Executive Pay Breakdown'!U:U)+SUMIF('Executive Pay Breakdown'!W:W,$B68,'Executive Pay Breakdown'!Y:Y)+SUMIF('Executive Pay Breakdown'!AA:AA,$B68,'Executive Pay Breakdown'!AC:AC)</f>
        <v>9712332</v>
      </c>
      <c r="J68" s="109"/>
      <c r="K68" s="69">
        <f>SUMIF('Executive Pay Breakdown'!K:K,$B68,'Executive Pay Breakdown'!M:M)</f>
        <v>2313217</v>
      </c>
      <c r="L68" s="69">
        <f>SUMIF('Executive Pay Breakdown'!O:O,$B68,'Executive Pay Breakdown'!Q:Q)</f>
        <v>2086318</v>
      </c>
      <c r="M68" s="69">
        <f>SUMIF('Executive Pay Breakdown'!S:S,$B68,'Executive Pay Breakdown'!U:U)</f>
        <v>1895933</v>
      </c>
      <c r="N68" s="69">
        <f>SUMIF('Executive Pay Breakdown'!W:W,$B68,'Executive Pay Breakdown'!Y:Y)</f>
        <v>1825582</v>
      </c>
      <c r="O68" s="69">
        <f>SUMIF('Executive Pay Breakdown'!AA:AA,$B68,'Executive Pay Breakdown'!AC:AC)</f>
        <v>1591282</v>
      </c>
    </row>
    <row r="69" hidden="1">
      <c r="A69" s="62"/>
      <c r="B69" s="127" t="s">
        <v>191</v>
      </c>
      <c r="C69" s="118" t="s">
        <v>60</v>
      </c>
      <c r="D69" s="122"/>
      <c r="E69" s="90"/>
      <c r="F69" s="88"/>
      <c r="G69" s="118"/>
      <c r="H69" s="120"/>
      <c r="I69" s="89">
        <f>SUMIF('Executive Pay Breakdown'!K:K,$B69,'Executive Pay Breakdown'!M:M)+SUMIF('Executive Pay Breakdown'!O:O,$B69,'Executive Pay Breakdown'!Q:Q)+SUMIF('Executive Pay Breakdown'!S:S,$B69,'Executive Pay Breakdown'!U:U)+SUMIF('Executive Pay Breakdown'!W:W,$B69,'Executive Pay Breakdown'!Y:Y)+SUMIF('Executive Pay Breakdown'!AA:AA,$B69,'Executive Pay Breakdown'!AC:AC)</f>
        <v>20961012</v>
      </c>
      <c r="J69" s="109"/>
      <c r="K69" s="69">
        <f>SUMIF('Executive Pay Breakdown'!K:K,$B69,'Executive Pay Breakdown'!M:M)</f>
        <v>5036024</v>
      </c>
      <c r="L69" s="69">
        <f>SUMIF('Executive Pay Breakdown'!O:O,$B69,'Executive Pay Breakdown'!Q:Q)</f>
        <v>5083689</v>
      </c>
      <c r="M69" s="69">
        <f>SUMIF('Executive Pay Breakdown'!S:S,$B69,'Executive Pay Breakdown'!U:U)</f>
        <v>3728297</v>
      </c>
      <c r="N69" s="69">
        <f>SUMIF('Executive Pay Breakdown'!W:W,$B69,'Executive Pay Breakdown'!Y:Y)</f>
        <v>3631795</v>
      </c>
      <c r="O69" s="69">
        <f>SUMIF('Executive Pay Breakdown'!AA:AA,$B69,'Executive Pay Breakdown'!AC:AC)</f>
        <v>3481207</v>
      </c>
    </row>
    <row r="70" hidden="1">
      <c r="A70" s="62"/>
      <c r="B70" s="127" t="s">
        <v>192</v>
      </c>
      <c r="C70" s="118" t="s">
        <v>60</v>
      </c>
      <c r="D70" s="122"/>
      <c r="E70" s="90"/>
      <c r="F70" s="88"/>
      <c r="G70" s="118"/>
      <c r="H70" s="120"/>
      <c r="I70" s="89">
        <f>SUMIF('Executive Pay Breakdown'!K:K,$B70,'Executive Pay Breakdown'!M:M)+SUMIF('Executive Pay Breakdown'!O:O,$B70,'Executive Pay Breakdown'!Q:Q)+SUMIF('Executive Pay Breakdown'!S:S,$B70,'Executive Pay Breakdown'!U:U)+SUMIF('Executive Pay Breakdown'!W:W,$B70,'Executive Pay Breakdown'!Y:Y)+SUMIF('Executive Pay Breakdown'!AA:AA,$B70,'Executive Pay Breakdown'!AC:AC)</f>
        <v>12933431</v>
      </c>
      <c r="J70" s="109"/>
      <c r="K70" s="69">
        <f>SUMIF('Executive Pay Breakdown'!K:K,$B70,'Executive Pay Breakdown'!M:M)</f>
        <v>2999100</v>
      </c>
      <c r="L70" s="69">
        <f>SUMIF('Executive Pay Breakdown'!O:O,$B70,'Executive Pay Breakdown'!Q:Q)</f>
        <v>3087738</v>
      </c>
      <c r="M70" s="69">
        <f>SUMIF('Executive Pay Breakdown'!S:S,$B70,'Executive Pay Breakdown'!U:U)</f>
        <v>2447119</v>
      </c>
      <c r="N70" s="69">
        <f>SUMIF('Executive Pay Breakdown'!W:W,$B70,'Executive Pay Breakdown'!Y:Y)</f>
        <v>2309703</v>
      </c>
      <c r="O70" s="69">
        <f>SUMIF('Executive Pay Breakdown'!AA:AA,$B70,'Executive Pay Breakdown'!AC:AC)</f>
        <v>2089771</v>
      </c>
    </row>
    <row r="71" hidden="1">
      <c r="A71" s="62"/>
      <c r="B71" s="127" t="s">
        <v>193</v>
      </c>
      <c r="C71" s="118" t="s">
        <v>20</v>
      </c>
      <c r="D71" s="122"/>
      <c r="E71" s="90"/>
      <c r="F71" s="88"/>
      <c r="G71" s="118"/>
      <c r="H71" s="120"/>
      <c r="I71" s="89">
        <f>SUMIF('Executive Pay Breakdown'!K:K,$B71,'Executive Pay Breakdown'!M:M)+SUMIF('Executive Pay Breakdown'!O:O,$B71,'Executive Pay Breakdown'!Q:Q)+SUMIF('Executive Pay Breakdown'!S:S,$B71,'Executive Pay Breakdown'!U:U)+SUMIF('Executive Pay Breakdown'!W:W,$B71,'Executive Pay Breakdown'!Y:Y)+SUMIF('Executive Pay Breakdown'!AA:AA,$B71,'Executive Pay Breakdown'!AC:AC)</f>
        <v>18576406</v>
      </c>
      <c r="J71" s="109"/>
      <c r="K71" s="69">
        <f>SUMIF('Executive Pay Breakdown'!K:K,$B71,'Executive Pay Breakdown'!M:M)</f>
        <v>3453520</v>
      </c>
      <c r="L71" s="69">
        <f>SUMIF('Executive Pay Breakdown'!O:O,$B71,'Executive Pay Breakdown'!Q:Q)</f>
        <v>4389497</v>
      </c>
      <c r="M71" s="69">
        <f>SUMIF('Executive Pay Breakdown'!S:S,$B71,'Executive Pay Breakdown'!U:U)</f>
        <v>3429985</v>
      </c>
      <c r="N71" s="69">
        <f>SUMIF('Executive Pay Breakdown'!W:W,$B71,'Executive Pay Breakdown'!Y:Y)</f>
        <v>4893636</v>
      </c>
      <c r="O71" s="69">
        <f>SUMIF('Executive Pay Breakdown'!AA:AA,$B71,'Executive Pay Breakdown'!AC:AC)</f>
        <v>2409768</v>
      </c>
    </row>
    <row r="72" hidden="1">
      <c r="A72" s="62"/>
      <c r="B72" s="86" t="s">
        <v>194</v>
      </c>
      <c r="C72" s="118" t="s">
        <v>38</v>
      </c>
      <c r="D72" s="122"/>
      <c r="E72" s="90"/>
      <c r="F72" s="88"/>
      <c r="G72" s="118"/>
      <c r="H72" s="120"/>
      <c r="I72" s="89">
        <f>SUMIF('Executive Pay Breakdown'!K:K,$B72,'Executive Pay Breakdown'!M:M)+SUMIF('Executive Pay Breakdown'!O:O,$B72,'Executive Pay Breakdown'!Q:Q)+SUMIF('Executive Pay Breakdown'!S:S,$B72,'Executive Pay Breakdown'!U:U)+SUMIF('Executive Pay Breakdown'!W:W,$B72,'Executive Pay Breakdown'!Y:Y)+SUMIF('Executive Pay Breakdown'!AA:AA,$B72,'Executive Pay Breakdown'!AC:AC)</f>
        <v>15663269</v>
      </c>
      <c r="J72" s="109"/>
      <c r="K72" s="69">
        <f>SUMIF('Executive Pay Breakdown'!K:K,$B72,'Executive Pay Breakdown'!M:M)</f>
        <v>3586679</v>
      </c>
      <c r="L72" s="69">
        <f>SUMIF('Executive Pay Breakdown'!O:O,$B72,'Executive Pay Breakdown'!Q:Q)</f>
        <v>3642758</v>
      </c>
      <c r="M72" s="69">
        <f>SUMIF('Executive Pay Breakdown'!S:S,$B72,'Executive Pay Breakdown'!U:U)</f>
        <v>3093249</v>
      </c>
      <c r="N72" s="69">
        <f>SUMIF('Executive Pay Breakdown'!W:W,$B72,'Executive Pay Breakdown'!Y:Y)</f>
        <v>2831910</v>
      </c>
      <c r="O72" s="69">
        <f>SUMIF('Executive Pay Breakdown'!AA:AA,$B72,'Executive Pay Breakdown'!AC:AC)</f>
        <v>2508673</v>
      </c>
    </row>
    <row r="73" hidden="1">
      <c r="A73" s="62"/>
      <c r="B73" s="86" t="s">
        <v>195</v>
      </c>
      <c r="C73" s="118" t="s">
        <v>46</v>
      </c>
      <c r="D73" s="122"/>
      <c r="E73" s="90"/>
      <c r="F73" s="88"/>
      <c r="G73" s="118"/>
      <c r="H73" s="120"/>
      <c r="I73" s="89">
        <f>SUMIF('Executive Pay Breakdown'!K:K,$B73,'Executive Pay Breakdown'!M:M)+SUMIF('Executive Pay Breakdown'!O:O,$B73,'Executive Pay Breakdown'!Q:Q)+SUMIF('Executive Pay Breakdown'!S:S,$B73,'Executive Pay Breakdown'!U:U)+SUMIF('Executive Pay Breakdown'!W:W,$B73,'Executive Pay Breakdown'!Y:Y)+SUMIF('Executive Pay Breakdown'!AA:AA,$B73,'Executive Pay Breakdown'!AC:AC)</f>
        <v>70454321</v>
      </c>
      <c r="J73" s="109"/>
      <c r="K73" s="69">
        <f>SUMIF('Executive Pay Breakdown'!K:K,$B73,'Executive Pay Breakdown'!M:M)</f>
        <v>16647413</v>
      </c>
      <c r="L73" s="69">
        <f>SUMIF('Executive Pay Breakdown'!O:O,$B73,'Executive Pay Breakdown'!Q:Q)</f>
        <v>15967631</v>
      </c>
      <c r="M73" s="69">
        <f>SUMIF('Executive Pay Breakdown'!S:S,$B73,'Executive Pay Breakdown'!U:U)</f>
        <v>13610481</v>
      </c>
      <c r="N73" s="69">
        <f>SUMIF('Executive Pay Breakdown'!W:W,$B73,'Executive Pay Breakdown'!Y:Y)</f>
        <v>12520566</v>
      </c>
      <c r="O73" s="69">
        <f>SUMIF('Executive Pay Breakdown'!AA:AA,$B73,'Executive Pay Breakdown'!AC:AC)</f>
        <v>11708230</v>
      </c>
    </row>
    <row r="74" hidden="1">
      <c r="A74" s="62"/>
      <c r="B74" s="127" t="s">
        <v>196</v>
      </c>
      <c r="C74" s="118" t="s">
        <v>64</v>
      </c>
      <c r="D74" s="122"/>
      <c r="E74" s="90"/>
      <c r="F74" s="88"/>
      <c r="G74" s="118"/>
      <c r="H74" s="120"/>
      <c r="I74" s="89">
        <f>SUMIF('Executive Pay Breakdown'!K:K,$B74,'Executive Pay Breakdown'!M:M)+SUMIF('Executive Pay Breakdown'!O:O,$B74,'Executive Pay Breakdown'!Q:Q)+SUMIF('Executive Pay Breakdown'!S:S,$B74,'Executive Pay Breakdown'!U:U)+SUMIF('Executive Pay Breakdown'!W:W,$B74,'Executive Pay Breakdown'!Y:Y)+SUMIF('Executive Pay Breakdown'!AA:AA,$B74,'Executive Pay Breakdown'!AC:AC)</f>
        <v>16166691</v>
      </c>
      <c r="J74" s="109"/>
      <c r="K74" s="69">
        <f>SUMIF('Executive Pay Breakdown'!K:K,$B74,'Executive Pay Breakdown'!M:M)</f>
        <v>3643718</v>
      </c>
      <c r="L74" s="69">
        <f>SUMIF('Executive Pay Breakdown'!O:O,$B74,'Executive Pay Breakdown'!Q:Q)</f>
        <v>3449763</v>
      </c>
      <c r="M74" s="69">
        <f>SUMIF('Executive Pay Breakdown'!S:S,$B74,'Executive Pay Breakdown'!U:U)</f>
        <v>3061602</v>
      </c>
      <c r="N74" s="69">
        <f>SUMIF('Executive Pay Breakdown'!W:W,$B74,'Executive Pay Breakdown'!Y:Y)</f>
        <v>3443888</v>
      </c>
      <c r="O74" s="69">
        <f>SUMIF('Executive Pay Breakdown'!AA:AA,$B74,'Executive Pay Breakdown'!AC:AC)</f>
        <v>2567720</v>
      </c>
    </row>
    <row r="75" hidden="1">
      <c r="A75" s="81" t="s">
        <v>86</v>
      </c>
      <c r="B75" s="134" t="s">
        <v>91</v>
      </c>
      <c r="C75" s="118" t="s">
        <v>16</v>
      </c>
      <c r="D75" s="122"/>
      <c r="E75" s="90"/>
      <c r="F75" s="88"/>
      <c r="G75" s="118"/>
      <c r="H75" s="120"/>
      <c r="I75" s="89">
        <f>SUMIF('Executive Pay Breakdown'!K:K,$B75,'Executive Pay Breakdown'!M:M)+SUMIF('Executive Pay Breakdown'!O:O,$B75,'Executive Pay Breakdown'!Q:Q)+SUMIF('Executive Pay Breakdown'!S:S,$B75,'Executive Pay Breakdown'!U:U)+SUMIF('Executive Pay Breakdown'!W:W,$B75,'Executive Pay Breakdown'!Y:Y)+SUMIF('Executive Pay Breakdown'!AA:AA,$B75,'Executive Pay Breakdown'!AC:AC)</f>
        <v>209780532</v>
      </c>
      <c r="J75" s="109"/>
      <c r="K75" s="69">
        <f>SUMIF('Executive Pay Breakdown'!K:K,$B75,'Executive Pay Breakdown'!M:M)</f>
        <v>51073237</v>
      </c>
      <c r="L75" s="69">
        <f>SUMIF('Executive Pay Breakdown'!O:O,$B75,'Executive Pay Breakdown'!Q:Q)</f>
        <v>40823725</v>
      </c>
      <c r="M75" s="69">
        <f>SUMIF('Executive Pay Breakdown'!S:S,$B75,'Executive Pay Breakdown'!U:U)</f>
        <v>43226024</v>
      </c>
      <c r="N75" s="69">
        <f>SUMIF('Executive Pay Breakdown'!W:W,$B75,'Executive Pay Breakdown'!Y:Y)</f>
        <v>38577129</v>
      </c>
      <c r="O75" s="69">
        <f>SUMIF('Executive Pay Breakdown'!AA:AA,$B75,'Executive Pay Breakdown'!AC:AC)</f>
        <v>36080417</v>
      </c>
    </row>
    <row r="76" hidden="1">
      <c r="A76" s="62"/>
      <c r="B76" s="86" t="s">
        <v>197</v>
      </c>
      <c r="C76" s="118" t="s">
        <v>43</v>
      </c>
      <c r="D76" s="122"/>
      <c r="E76" s="90"/>
      <c r="F76" s="88"/>
      <c r="G76" s="118"/>
      <c r="H76" s="120"/>
      <c r="I76" s="89">
        <f>SUMIF('Executive Pay Breakdown'!K:K,$B76,'Executive Pay Breakdown'!M:M)+SUMIF('Executive Pay Breakdown'!O:O,$B76,'Executive Pay Breakdown'!Q:Q)+SUMIF('Executive Pay Breakdown'!S:S,$B76,'Executive Pay Breakdown'!U:U)+SUMIF('Executive Pay Breakdown'!W:W,$B76,'Executive Pay Breakdown'!Y:Y)+SUMIF('Executive Pay Breakdown'!AA:AA,$B76,'Executive Pay Breakdown'!AC:AC)</f>
        <v>11169128</v>
      </c>
      <c r="J76" s="109"/>
      <c r="K76" s="69">
        <f>SUMIF('Executive Pay Breakdown'!K:K,$B76,'Executive Pay Breakdown'!M:M)</f>
        <v>2580416</v>
      </c>
      <c r="L76" s="69">
        <f>SUMIF('Executive Pay Breakdown'!O:O,$B76,'Executive Pay Breakdown'!Q:Q)</f>
        <v>2329735</v>
      </c>
      <c r="M76" s="69">
        <f>SUMIF('Executive Pay Breakdown'!S:S,$B76,'Executive Pay Breakdown'!U:U)</f>
        <v>2332855</v>
      </c>
      <c r="N76" s="69">
        <f>SUMIF('Executive Pay Breakdown'!W:W,$B76,'Executive Pay Breakdown'!Y:Y)</f>
        <v>2088964</v>
      </c>
      <c r="O76" s="69">
        <f>SUMIF('Executive Pay Breakdown'!AA:AA,$B76,'Executive Pay Breakdown'!AC:AC)</f>
        <v>1837158</v>
      </c>
    </row>
    <row r="77" hidden="1">
      <c r="A77" s="62"/>
      <c r="B77" s="86" t="s">
        <v>198</v>
      </c>
      <c r="C77" s="118" t="s">
        <v>32</v>
      </c>
      <c r="D77" s="122"/>
      <c r="E77" s="90"/>
      <c r="F77" s="88"/>
      <c r="G77" s="118"/>
      <c r="H77" s="120"/>
      <c r="I77" s="89">
        <f>SUMIF('Executive Pay Breakdown'!K:K,$B77,'Executive Pay Breakdown'!M:M)+SUMIF('Executive Pay Breakdown'!O:O,$B77,'Executive Pay Breakdown'!Q:Q)+SUMIF('Executive Pay Breakdown'!S:S,$B77,'Executive Pay Breakdown'!U:U)+SUMIF('Executive Pay Breakdown'!W:W,$B77,'Executive Pay Breakdown'!Y:Y)+SUMIF('Executive Pay Breakdown'!AA:AA,$B77,'Executive Pay Breakdown'!AC:AC)</f>
        <v>28778152</v>
      </c>
      <c r="J77" s="109"/>
      <c r="K77" s="69">
        <f>SUMIF('Executive Pay Breakdown'!K:K,$B77,'Executive Pay Breakdown'!M:M)</f>
        <v>5299024</v>
      </c>
      <c r="L77" s="69">
        <f>SUMIF('Executive Pay Breakdown'!O:O,$B77,'Executive Pay Breakdown'!Q:Q)</f>
        <v>7255881</v>
      </c>
      <c r="M77" s="69">
        <f>SUMIF('Executive Pay Breakdown'!S:S,$B77,'Executive Pay Breakdown'!U:U)</f>
        <v>7199722</v>
      </c>
      <c r="N77" s="69">
        <f>SUMIF('Executive Pay Breakdown'!W:W,$B77,'Executive Pay Breakdown'!Y:Y)</f>
        <v>5239307</v>
      </c>
      <c r="O77" s="69">
        <f>SUMIF('Executive Pay Breakdown'!AA:AA,$B77,'Executive Pay Breakdown'!AC:AC)</f>
        <v>3784218</v>
      </c>
    </row>
    <row r="78" hidden="1">
      <c r="A78" s="62"/>
      <c r="B78" s="86" t="s">
        <v>199</v>
      </c>
      <c r="C78" s="117" t="s">
        <v>62</v>
      </c>
      <c r="D78" s="122"/>
      <c r="E78" s="90"/>
      <c r="F78" s="88"/>
      <c r="G78" s="118"/>
      <c r="H78" s="120"/>
      <c r="I78" s="89">
        <f>SUMIF('Executive Pay Breakdown'!K:K,$B78,'Executive Pay Breakdown'!M:M)+SUMIF('Executive Pay Breakdown'!O:O,$B78,'Executive Pay Breakdown'!Q:Q)+SUMIF('Executive Pay Breakdown'!S:S,$B78,'Executive Pay Breakdown'!U:U)+SUMIF('Executive Pay Breakdown'!W:W,$B78,'Executive Pay Breakdown'!Y:Y)+SUMIF('Executive Pay Breakdown'!AA:AA,$B78,'Executive Pay Breakdown'!AC:AC)</f>
        <v>10505161</v>
      </c>
      <c r="J78" s="109"/>
      <c r="K78" s="69">
        <f>SUMIF('Executive Pay Breakdown'!K:K,$B78,'Executive Pay Breakdown'!M:M)</f>
        <v>2586614</v>
      </c>
      <c r="L78" s="69">
        <f>SUMIF('Executive Pay Breakdown'!O:O,$B78,'Executive Pay Breakdown'!Q:Q)</f>
        <v>2477083</v>
      </c>
      <c r="M78" s="69">
        <f>SUMIF('Executive Pay Breakdown'!S:S,$B78,'Executive Pay Breakdown'!U:U)</f>
        <v>1849005</v>
      </c>
      <c r="N78" s="69">
        <f>SUMIF('Executive Pay Breakdown'!W:W,$B78,'Executive Pay Breakdown'!Y:Y)</f>
        <v>1731155</v>
      </c>
      <c r="O78" s="69">
        <f>SUMIF('Executive Pay Breakdown'!AA:AA,$B78,'Executive Pay Breakdown'!AC:AC)</f>
        <v>1861304</v>
      </c>
    </row>
    <row r="79" hidden="1">
      <c r="A79" s="62"/>
      <c r="B79" s="86" t="s">
        <v>200</v>
      </c>
      <c r="C79" s="118" t="s">
        <v>37</v>
      </c>
      <c r="D79" s="122"/>
      <c r="E79" s="90"/>
      <c r="F79" s="88"/>
      <c r="G79" s="118"/>
      <c r="H79" s="120"/>
      <c r="I79" s="89">
        <f>SUMIF('Executive Pay Breakdown'!K:K,$B79,'Executive Pay Breakdown'!M:M)+SUMIF('Executive Pay Breakdown'!O:O,$B79,'Executive Pay Breakdown'!Q:Q)+SUMIF('Executive Pay Breakdown'!S:S,$B79,'Executive Pay Breakdown'!U:U)+SUMIF('Executive Pay Breakdown'!W:W,$B79,'Executive Pay Breakdown'!Y:Y)+SUMIF('Executive Pay Breakdown'!AA:AA,$B79,'Executive Pay Breakdown'!AC:AC)</f>
        <v>16567144</v>
      </c>
      <c r="J79" s="109"/>
      <c r="K79" s="69">
        <f>SUMIF('Executive Pay Breakdown'!K:K,$B79,'Executive Pay Breakdown'!M:M)</f>
        <v>3606120</v>
      </c>
      <c r="L79" s="69">
        <f>SUMIF('Executive Pay Breakdown'!O:O,$B79,'Executive Pay Breakdown'!Q:Q)</f>
        <v>4041484</v>
      </c>
      <c r="M79" s="69">
        <f>SUMIF('Executive Pay Breakdown'!S:S,$B79,'Executive Pay Breakdown'!U:U)</f>
        <v>3062093</v>
      </c>
      <c r="N79" s="69">
        <f>SUMIF('Executive Pay Breakdown'!W:W,$B79,'Executive Pay Breakdown'!Y:Y)</f>
        <v>3260761</v>
      </c>
      <c r="O79" s="69">
        <f>SUMIF('Executive Pay Breakdown'!AA:AA,$B79,'Executive Pay Breakdown'!AC:AC)</f>
        <v>2596686</v>
      </c>
    </row>
    <row r="80" hidden="1">
      <c r="A80" s="81"/>
      <c r="B80" s="135" t="s">
        <v>117</v>
      </c>
      <c r="C80" s="118" t="s">
        <v>49</v>
      </c>
      <c r="D80" s="122"/>
      <c r="E80" s="90"/>
      <c r="F80" s="88"/>
      <c r="G80" s="118"/>
      <c r="H80" s="120"/>
      <c r="I80" s="89">
        <f>SUMIF('Executive Pay Breakdown'!K:K,$B80,'Executive Pay Breakdown'!M:M)+SUMIF('Executive Pay Breakdown'!O:O,$B80,'Executive Pay Breakdown'!Q:Q)+SUMIF('Executive Pay Breakdown'!S:S,$B80,'Executive Pay Breakdown'!U:U)+SUMIF('Executive Pay Breakdown'!W:W,$B80,'Executive Pay Breakdown'!Y:Y)+SUMIF('Executive Pay Breakdown'!AA:AA,$B80,'Executive Pay Breakdown'!AC:AC)</f>
        <v>107783233</v>
      </c>
      <c r="J80" s="109"/>
      <c r="K80" s="69">
        <f>SUMIF('Executive Pay Breakdown'!K:K,$B80,'Executive Pay Breakdown'!M:M)</f>
        <v>22915526</v>
      </c>
      <c r="L80" s="69">
        <f>SUMIF('Executive Pay Breakdown'!O:O,$B80,'Executive Pay Breakdown'!Q:Q)</f>
        <v>24820879</v>
      </c>
      <c r="M80" s="69">
        <f>SUMIF('Executive Pay Breakdown'!S:S,$B80,'Executive Pay Breakdown'!U:U)</f>
        <v>21020917</v>
      </c>
      <c r="N80" s="69">
        <f>SUMIF('Executive Pay Breakdown'!W:W,$B80,'Executive Pay Breakdown'!Y:Y)</f>
        <v>22473006</v>
      </c>
      <c r="O80" s="69">
        <f>SUMIF('Executive Pay Breakdown'!AA:AA,$B80,'Executive Pay Breakdown'!AC:AC)</f>
        <v>16552905</v>
      </c>
    </row>
    <row r="81" hidden="1">
      <c r="A81" s="62"/>
      <c r="B81" s="127" t="s">
        <v>201</v>
      </c>
      <c r="C81" s="118" t="s">
        <v>15</v>
      </c>
      <c r="D81" s="122"/>
      <c r="E81" s="90"/>
      <c r="F81" s="88"/>
      <c r="G81" s="118"/>
      <c r="H81" s="120"/>
      <c r="I81" s="89">
        <f>SUMIF('Executive Pay Breakdown'!K:K,$B81,'Executive Pay Breakdown'!M:M)+SUMIF('Executive Pay Breakdown'!O:O,$B81,'Executive Pay Breakdown'!Q:Q)+SUMIF('Executive Pay Breakdown'!S:S,$B81,'Executive Pay Breakdown'!U:U)+SUMIF('Executive Pay Breakdown'!W:W,$B81,'Executive Pay Breakdown'!Y:Y)+SUMIF('Executive Pay Breakdown'!AA:AA,$B81,'Executive Pay Breakdown'!AC:AC)</f>
        <v>23826703</v>
      </c>
      <c r="J81" s="109"/>
      <c r="K81" s="69">
        <f>SUMIF('Executive Pay Breakdown'!K:K,$B81,'Executive Pay Breakdown'!M:M)</f>
        <v>5487720</v>
      </c>
      <c r="L81" s="69">
        <f>SUMIF('Executive Pay Breakdown'!O:O,$B81,'Executive Pay Breakdown'!Q:Q)</f>
        <v>5098569</v>
      </c>
      <c r="M81" s="69">
        <f>SUMIF('Executive Pay Breakdown'!S:S,$B81,'Executive Pay Breakdown'!U:U)</f>
        <v>4587700</v>
      </c>
      <c r="N81" s="69">
        <f>SUMIF('Executive Pay Breakdown'!W:W,$B81,'Executive Pay Breakdown'!Y:Y)</f>
        <v>4658314</v>
      </c>
      <c r="O81" s="69">
        <f>SUMIF('Executive Pay Breakdown'!AA:AA,$B81,'Executive Pay Breakdown'!AC:AC)</f>
        <v>3994400</v>
      </c>
    </row>
    <row r="82" hidden="1">
      <c r="A82" s="62"/>
      <c r="B82" s="125" t="s">
        <v>202</v>
      </c>
      <c r="C82" s="118" t="s">
        <v>23</v>
      </c>
      <c r="D82" s="122"/>
      <c r="E82" s="90"/>
      <c r="F82" s="88"/>
      <c r="G82" s="118"/>
      <c r="H82" s="120"/>
      <c r="I82" s="89">
        <f>SUMIF('Executive Pay Breakdown'!K:K,$B82,'Executive Pay Breakdown'!M:M)+SUMIF('Executive Pay Breakdown'!O:O,$B82,'Executive Pay Breakdown'!Q:Q)+SUMIF('Executive Pay Breakdown'!S:S,$B82,'Executive Pay Breakdown'!U:U)+SUMIF('Executive Pay Breakdown'!W:W,$B82,'Executive Pay Breakdown'!Y:Y)+SUMIF('Executive Pay Breakdown'!AA:AA,$B82,'Executive Pay Breakdown'!AC:AC)</f>
        <v>13047889</v>
      </c>
      <c r="J82" s="109"/>
      <c r="K82" s="69">
        <f>SUMIF('Executive Pay Breakdown'!K:K,$B82,'Executive Pay Breakdown'!M:M)</f>
        <v>2749806</v>
      </c>
      <c r="L82" s="69">
        <f>SUMIF('Executive Pay Breakdown'!O:O,$B82,'Executive Pay Breakdown'!Q:Q)</f>
        <v>2952624</v>
      </c>
      <c r="M82" s="69">
        <f>SUMIF('Executive Pay Breakdown'!S:S,$B82,'Executive Pay Breakdown'!U:U)</f>
        <v>2989300</v>
      </c>
      <c r="N82" s="69">
        <f>SUMIF('Executive Pay Breakdown'!W:W,$B82,'Executive Pay Breakdown'!Y:Y)</f>
        <v>2351341</v>
      </c>
      <c r="O82" s="69">
        <f>SUMIF('Executive Pay Breakdown'!AA:AA,$B82,'Executive Pay Breakdown'!AC:AC)</f>
        <v>2004818</v>
      </c>
    </row>
    <row r="83" hidden="1">
      <c r="A83" s="62"/>
      <c r="B83" s="86" t="s">
        <v>203</v>
      </c>
      <c r="C83" s="117" t="s">
        <v>66</v>
      </c>
      <c r="D83" s="122"/>
      <c r="E83" s="90"/>
      <c r="F83" s="88"/>
      <c r="G83" s="118"/>
      <c r="H83" s="120"/>
      <c r="I83" s="89">
        <f>SUMIF('Executive Pay Breakdown'!K:K,$B83,'Executive Pay Breakdown'!M:M)+SUMIF('Executive Pay Breakdown'!O:O,$B83,'Executive Pay Breakdown'!Q:Q)+SUMIF('Executive Pay Breakdown'!S:S,$B83,'Executive Pay Breakdown'!U:U)+SUMIF('Executive Pay Breakdown'!W:W,$B83,'Executive Pay Breakdown'!Y:Y)+SUMIF('Executive Pay Breakdown'!AA:AA,$B83,'Executive Pay Breakdown'!AC:AC)</f>
        <v>53466338</v>
      </c>
      <c r="J83" s="109"/>
      <c r="K83" s="69">
        <f>SUMIF('Executive Pay Breakdown'!K:K,$B83,'Executive Pay Breakdown'!M:M)</f>
        <v>12242340</v>
      </c>
      <c r="L83" s="69">
        <f>SUMIF('Executive Pay Breakdown'!O:O,$B83,'Executive Pay Breakdown'!Q:Q)</f>
        <v>10401407</v>
      </c>
      <c r="M83" s="69">
        <f>SUMIF('Executive Pay Breakdown'!S:S,$B83,'Executive Pay Breakdown'!U:U)</f>
        <v>10927684</v>
      </c>
      <c r="N83" s="69">
        <f>SUMIF('Executive Pay Breakdown'!W:W,$B83,'Executive Pay Breakdown'!Y:Y)</f>
        <v>10880451</v>
      </c>
      <c r="O83" s="69">
        <f>SUMIF('Executive Pay Breakdown'!AA:AA,$B83,'Executive Pay Breakdown'!AC:AC)</f>
        <v>9014456</v>
      </c>
    </row>
    <row r="84" hidden="1">
      <c r="A84" s="62"/>
      <c r="B84" s="86" t="s">
        <v>204</v>
      </c>
      <c r="C84" s="118" t="s">
        <v>31</v>
      </c>
      <c r="D84" s="122"/>
      <c r="E84" s="90"/>
      <c r="F84" s="88"/>
      <c r="G84" s="118"/>
      <c r="H84" s="120"/>
      <c r="I84" s="89">
        <f>SUMIF('Executive Pay Breakdown'!K:K,$B84,'Executive Pay Breakdown'!M:M)+SUMIF('Executive Pay Breakdown'!O:O,$B84,'Executive Pay Breakdown'!Q:Q)+SUMIF('Executive Pay Breakdown'!S:S,$B84,'Executive Pay Breakdown'!U:U)+SUMIF('Executive Pay Breakdown'!W:W,$B84,'Executive Pay Breakdown'!Y:Y)+SUMIF('Executive Pay Breakdown'!AA:AA,$B84,'Executive Pay Breakdown'!AC:AC)</f>
        <v>20188126</v>
      </c>
      <c r="J84" s="109"/>
      <c r="K84" s="69">
        <f>SUMIF('Executive Pay Breakdown'!K:K,$B84,'Executive Pay Breakdown'!M:M)</f>
        <v>4303166</v>
      </c>
      <c r="L84" s="69">
        <f>SUMIF('Executive Pay Breakdown'!O:O,$B84,'Executive Pay Breakdown'!Q:Q)</f>
        <v>4061881</v>
      </c>
      <c r="M84" s="69">
        <f>SUMIF('Executive Pay Breakdown'!S:S,$B84,'Executive Pay Breakdown'!U:U)</f>
        <v>5667754</v>
      </c>
      <c r="N84" s="69">
        <f>SUMIF('Executive Pay Breakdown'!W:W,$B84,'Executive Pay Breakdown'!Y:Y)</f>
        <v>2972537</v>
      </c>
      <c r="O84" s="69">
        <f>SUMIF('Executive Pay Breakdown'!AA:AA,$B84,'Executive Pay Breakdown'!AC:AC)</f>
        <v>3182788</v>
      </c>
    </row>
    <row r="85" hidden="1">
      <c r="A85" s="62"/>
      <c r="B85" s="127" t="s">
        <v>205</v>
      </c>
      <c r="C85" s="118" t="s">
        <v>34</v>
      </c>
      <c r="D85" s="122"/>
      <c r="E85" s="90"/>
      <c r="F85" s="88"/>
      <c r="G85" s="118"/>
      <c r="H85" s="120"/>
      <c r="I85" s="89">
        <f>SUMIF('Executive Pay Breakdown'!K:K,$B85,'Executive Pay Breakdown'!M:M)+SUMIF('Executive Pay Breakdown'!O:O,$B85,'Executive Pay Breakdown'!Q:Q)+SUMIF('Executive Pay Breakdown'!S:S,$B85,'Executive Pay Breakdown'!U:U)+SUMIF('Executive Pay Breakdown'!W:W,$B85,'Executive Pay Breakdown'!Y:Y)+SUMIF('Executive Pay Breakdown'!AA:AA,$B85,'Executive Pay Breakdown'!AC:AC)</f>
        <v>21609120</v>
      </c>
      <c r="J85" s="109"/>
      <c r="K85" s="69">
        <f>SUMIF('Executive Pay Breakdown'!K:K,$B85,'Executive Pay Breakdown'!M:M)</f>
        <v>3975754</v>
      </c>
      <c r="L85" s="69">
        <f>SUMIF('Executive Pay Breakdown'!O:O,$B85,'Executive Pay Breakdown'!Q:Q)</f>
        <v>5117061</v>
      </c>
      <c r="M85" s="69">
        <f>SUMIF('Executive Pay Breakdown'!S:S,$B85,'Executive Pay Breakdown'!U:U)</f>
        <v>5150403</v>
      </c>
      <c r="N85" s="69">
        <f>SUMIF('Executive Pay Breakdown'!W:W,$B85,'Executive Pay Breakdown'!Y:Y)</f>
        <v>4417412</v>
      </c>
      <c r="O85" s="69">
        <f>SUMIF('Executive Pay Breakdown'!AA:AA,$B85,'Executive Pay Breakdown'!AC:AC)</f>
        <v>2948490</v>
      </c>
    </row>
    <row r="86" hidden="1">
      <c r="A86" s="62"/>
      <c r="B86" s="86" t="s">
        <v>206</v>
      </c>
      <c r="C86" s="118" t="s">
        <v>46</v>
      </c>
      <c r="D86" s="122"/>
      <c r="E86" s="90"/>
      <c r="F86" s="88"/>
      <c r="G86" s="118"/>
      <c r="H86" s="120"/>
      <c r="I86" s="89">
        <f>SUMIF('Executive Pay Breakdown'!K:K,$B86,'Executive Pay Breakdown'!M:M)+SUMIF('Executive Pay Breakdown'!O:O,$B86,'Executive Pay Breakdown'!Q:Q)+SUMIF('Executive Pay Breakdown'!S:S,$B86,'Executive Pay Breakdown'!U:U)+SUMIF('Executive Pay Breakdown'!W:W,$B86,'Executive Pay Breakdown'!Y:Y)+SUMIF('Executive Pay Breakdown'!AA:AA,$B86,'Executive Pay Breakdown'!AC:AC)</f>
        <v>16849870</v>
      </c>
      <c r="J86" s="109"/>
      <c r="K86" s="69">
        <f>SUMIF('Executive Pay Breakdown'!K:K,$B86,'Executive Pay Breakdown'!M:M)</f>
        <v>4060081</v>
      </c>
      <c r="L86" s="69">
        <f>SUMIF('Executive Pay Breakdown'!O:O,$B86,'Executive Pay Breakdown'!Q:Q)</f>
        <v>3802349</v>
      </c>
      <c r="M86" s="69">
        <f>SUMIF('Executive Pay Breakdown'!S:S,$B86,'Executive Pay Breakdown'!U:U)</f>
        <v>3074102</v>
      </c>
      <c r="N86" s="69">
        <f>SUMIF('Executive Pay Breakdown'!W:W,$B86,'Executive Pay Breakdown'!Y:Y)</f>
        <v>2897546</v>
      </c>
      <c r="O86" s="69">
        <f>SUMIF('Executive Pay Breakdown'!AA:AA,$B86,'Executive Pay Breakdown'!AC:AC)</f>
        <v>3015792</v>
      </c>
    </row>
    <row r="87" hidden="1">
      <c r="A87" s="62"/>
      <c r="B87" s="127" t="s">
        <v>207</v>
      </c>
      <c r="C87" s="118" t="s">
        <v>20</v>
      </c>
      <c r="D87" s="122"/>
      <c r="E87" s="90"/>
      <c r="F87" s="88"/>
      <c r="G87" s="118"/>
      <c r="H87" s="120"/>
      <c r="I87" s="89">
        <f>SUMIF('Executive Pay Breakdown'!K:K,$B87,'Executive Pay Breakdown'!M:M)+SUMIF('Executive Pay Breakdown'!O:O,$B87,'Executive Pay Breakdown'!Q:Q)+SUMIF('Executive Pay Breakdown'!S:S,$B87,'Executive Pay Breakdown'!U:U)+SUMIF('Executive Pay Breakdown'!W:W,$B87,'Executive Pay Breakdown'!Y:Y)+SUMIF('Executive Pay Breakdown'!AA:AA,$B87,'Executive Pay Breakdown'!AC:AC)</f>
        <v>73624621</v>
      </c>
      <c r="J87" s="109"/>
      <c r="K87" s="69">
        <f>SUMIF('Executive Pay Breakdown'!K:K,$B87,'Executive Pay Breakdown'!M:M)</f>
        <v>16375508</v>
      </c>
      <c r="L87" s="69">
        <f>SUMIF('Executive Pay Breakdown'!O:O,$B87,'Executive Pay Breakdown'!Q:Q)</f>
        <v>15051215</v>
      </c>
      <c r="M87" s="69">
        <f>SUMIF('Executive Pay Breakdown'!S:S,$B87,'Executive Pay Breakdown'!U:U)</f>
        <v>15503434</v>
      </c>
      <c r="N87" s="69">
        <f>SUMIF('Executive Pay Breakdown'!W:W,$B87,'Executive Pay Breakdown'!Y:Y)</f>
        <v>14492436</v>
      </c>
      <c r="O87" s="69">
        <f>SUMIF('Executive Pay Breakdown'!AA:AA,$B87,'Executive Pay Breakdown'!AC:AC)</f>
        <v>12202028</v>
      </c>
    </row>
    <row r="88" hidden="1">
      <c r="A88" s="62"/>
      <c r="B88" s="86" t="s">
        <v>208</v>
      </c>
      <c r="C88" s="118" t="s">
        <v>75</v>
      </c>
      <c r="D88" s="122"/>
      <c r="E88" s="90"/>
      <c r="F88" s="88"/>
      <c r="G88" s="118"/>
      <c r="H88" s="120"/>
      <c r="I88" s="89">
        <f>SUMIF('Executive Pay Breakdown'!K:K,$B88,'Executive Pay Breakdown'!M:M)+SUMIF('Executive Pay Breakdown'!O:O,$B88,'Executive Pay Breakdown'!Q:Q)+SUMIF('Executive Pay Breakdown'!S:S,$B88,'Executive Pay Breakdown'!U:U)+SUMIF('Executive Pay Breakdown'!W:W,$B88,'Executive Pay Breakdown'!Y:Y)+SUMIF('Executive Pay Breakdown'!AA:AA,$B88,'Executive Pay Breakdown'!AC:AC)</f>
        <v>8725031</v>
      </c>
      <c r="J88" s="109"/>
      <c r="K88" s="69">
        <f>SUMIF('Executive Pay Breakdown'!K:K,$B88,'Executive Pay Breakdown'!M:M)</f>
        <v>1737461</v>
      </c>
      <c r="L88" s="69">
        <f>SUMIF('Executive Pay Breakdown'!O:O,$B88,'Executive Pay Breakdown'!Q:Q)</f>
        <v>1802231</v>
      </c>
      <c r="M88" s="69">
        <f>SUMIF('Executive Pay Breakdown'!S:S,$B88,'Executive Pay Breakdown'!U:U)</f>
        <v>1906301</v>
      </c>
      <c r="N88" s="69">
        <f>SUMIF('Executive Pay Breakdown'!W:W,$B88,'Executive Pay Breakdown'!Y:Y)</f>
        <v>1972052</v>
      </c>
      <c r="O88" s="69">
        <f>SUMIF('Executive Pay Breakdown'!AA:AA,$B88,'Executive Pay Breakdown'!AC:AC)</f>
        <v>1306986</v>
      </c>
    </row>
    <row r="89" hidden="1">
      <c r="A89" s="62"/>
      <c r="B89" s="127" t="s">
        <v>209</v>
      </c>
      <c r="C89" s="118" t="s">
        <v>40</v>
      </c>
      <c r="D89" s="122"/>
      <c r="E89" s="90"/>
      <c r="F89" s="88"/>
      <c r="G89" s="118"/>
      <c r="H89" s="120"/>
      <c r="I89" s="89">
        <f>SUMIF('Executive Pay Breakdown'!K:K,$B89,'Executive Pay Breakdown'!M:M)+SUMIF('Executive Pay Breakdown'!O:O,$B89,'Executive Pay Breakdown'!Q:Q)+SUMIF('Executive Pay Breakdown'!S:S,$B89,'Executive Pay Breakdown'!U:U)+SUMIF('Executive Pay Breakdown'!W:W,$B89,'Executive Pay Breakdown'!Y:Y)+SUMIF('Executive Pay Breakdown'!AA:AA,$B89,'Executive Pay Breakdown'!AC:AC)</f>
        <v>26515577</v>
      </c>
      <c r="J89" s="109"/>
      <c r="K89" s="69">
        <f>SUMIF('Executive Pay Breakdown'!K:K,$B89,'Executive Pay Breakdown'!M:M)</f>
        <v>5746350</v>
      </c>
      <c r="L89" s="69">
        <f>SUMIF('Executive Pay Breakdown'!O:O,$B89,'Executive Pay Breakdown'!Q:Q)</f>
        <v>6341300</v>
      </c>
      <c r="M89" s="69">
        <f>SUMIF('Executive Pay Breakdown'!S:S,$B89,'Executive Pay Breakdown'!U:U)</f>
        <v>4935417</v>
      </c>
      <c r="N89" s="69">
        <f>SUMIF('Executive Pay Breakdown'!W:W,$B89,'Executive Pay Breakdown'!Y:Y)</f>
        <v>5159992</v>
      </c>
      <c r="O89" s="69">
        <f>SUMIF('Executive Pay Breakdown'!AA:AA,$B89,'Executive Pay Breakdown'!AC:AC)</f>
        <v>4332518</v>
      </c>
    </row>
    <row r="90" hidden="1">
      <c r="A90" s="81"/>
      <c r="B90" s="133" t="s">
        <v>107</v>
      </c>
      <c r="C90" s="118" t="s">
        <v>50</v>
      </c>
      <c r="D90" s="122"/>
      <c r="E90" s="90"/>
      <c r="F90" s="88"/>
      <c r="G90" s="118"/>
      <c r="H90" s="120"/>
      <c r="I90" s="89">
        <f>SUMIF('Executive Pay Breakdown'!K:K,$B90,'Executive Pay Breakdown'!M:M)+SUMIF('Executive Pay Breakdown'!O:O,$B90,'Executive Pay Breakdown'!Q:Q)+SUMIF('Executive Pay Breakdown'!S:S,$B90,'Executive Pay Breakdown'!U:U)+SUMIF('Executive Pay Breakdown'!W:W,$B90,'Executive Pay Breakdown'!Y:Y)+SUMIF('Executive Pay Breakdown'!AA:AA,$B90,'Executive Pay Breakdown'!AC:AC)</f>
        <v>125275654</v>
      </c>
      <c r="J90" s="109"/>
      <c r="K90" s="69">
        <f>SUMIF('Executive Pay Breakdown'!K:K,$B90,'Executive Pay Breakdown'!M:M)</f>
        <v>28979570</v>
      </c>
      <c r="L90" s="69">
        <f>SUMIF('Executive Pay Breakdown'!O:O,$B90,'Executive Pay Breakdown'!Q:Q)</f>
        <v>29136780</v>
      </c>
      <c r="M90" s="69">
        <f>SUMIF('Executive Pay Breakdown'!S:S,$B90,'Executive Pay Breakdown'!U:U)</f>
        <v>23657987</v>
      </c>
      <c r="N90" s="69">
        <f>SUMIF('Executive Pay Breakdown'!W:W,$B90,'Executive Pay Breakdown'!Y:Y)</f>
        <v>21630867</v>
      </c>
      <c r="O90" s="69">
        <f>SUMIF('Executive Pay Breakdown'!AA:AA,$B90,'Executive Pay Breakdown'!AC:AC)</f>
        <v>21870450</v>
      </c>
    </row>
    <row r="91" hidden="1">
      <c r="A91" s="81"/>
      <c r="B91" s="134" t="s">
        <v>111</v>
      </c>
      <c r="C91" s="118" t="s">
        <v>55</v>
      </c>
      <c r="D91" s="122"/>
      <c r="E91" s="90"/>
      <c r="F91" s="88"/>
      <c r="G91" s="118"/>
      <c r="H91" s="120"/>
      <c r="I91" s="89">
        <f>SUMIF('Executive Pay Breakdown'!K:K,$B91,'Executive Pay Breakdown'!M:M)+SUMIF('Executive Pay Breakdown'!O:O,$B91,'Executive Pay Breakdown'!Q:Q)+SUMIF('Executive Pay Breakdown'!S:S,$B91,'Executive Pay Breakdown'!U:U)+SUMIF('Executive Pay Breakdown'!W:W,$B91,'Executive Pay Breakdown'!Y:Y)+SUMIF('Executive Pay Breakdown'!AA:AA,$B91,'Executive Pay Breakdown'!AC:AC)</f>
        <v>110384707</v>
      </c>
      <c r="J91" s="109"/>
      <c r="K91" s="69">
        <f>SUMIF('Executive Pay Breakdown'!K:K,$B91,'Executive Pay Breakdown'!M:M)</f>
        <v>25437598</v>
      </c>
      <c r="L91" s="69">
        <f>SUMIF('Executive Pay Breakdown'!O:O,$B91,'Executive Pay Breakdown'!Q:Q)</f>
        <v>26100120</v>
      </c>
      <c r="M91" s="69">
        <f>SUMIF('Executive Pay Breakdown'!S:S,$B91,'Executive Pay Breakdown'!U:U)</f>
        <v>19075281</v>
      </c>
      <c r="N91" s="69">
        <f>SUMIF('Executive Pay Breakdown'!W:W,$B91,'Executive Pay Breakdown'!Y:Y)</f>
        <v>20525104</v>
      </c>
      <c r="O91" s="69">
        <f>SUMIF('Executive Pay Breakdown'!AA:AA,$B91,'Executive Pay Breakdown'!AC:AC)</f>
        <v>19246604</v>
      </c>
    </row>
    <row r="92" hidden="1">
      <c r="A92" s="62"/>
      <c r="B92" s="127" t="s">
        <v>210</v>
      </c>
      <c r="C92" s="118" t="s">
        <v>30</v>
      </c>
      <c r="D92" s="122"/>
      <c r="E92" s="90"/>
      <c r="F92" s="88"/>
      <c r="G92" s="118"/>
      <c r="H92" s="120"/>
      <c r="I92" s="89">
        <f>SUMIF('Executive Pay Breakdown'!K:K,$B92,'Executive Pay Breakdown'!M:M)+SUMIF('Executive Pay Breakdown'!O:O,$B92,'Executive Pay Breakdown'!Q:Q)+SUMIF('Executive Pay Breakdown'!S:S,$B92,'Executive Pay Breakdown'!U:U)+SUMIF('Executive Pay Breakdown'!W:W,$B92,'Executive Pay Breakdown'!Y:Y)+SUMIF('Executive Pay Breakdown'!AA:AA,$B92,'Executive Pay Breakdown'!AC:AC)</f>
        <v>15189535</v>
      </c>
      <c r="J92" s="109"/>
      <c r="K92" s="69">
        <f>SUMIF('Executive Pay Breakdown'!K:K,$B92,'Executive Pay Breakdown'!M:M)</f>
        <v>3152168</v>
      </c>
      <c r="L92" s="69">
        <f>SUMIF('Executive Pay Breakdown'!O:O,$B92,'Executive Pay Breakdown'!Q:Q)</f>
        <v>3269748</v>
      </c>
      <c r="M92" s="69">
        <f>SUMIF('Executive Pay Breakdown'!S:S,$B92,'Executive Pay Breakdown'!U:U)</f>
        <v>3259383</v>
      </c>
      <c r="N92" s="69">
        <f>SUMIF('Executive Pay Breakdown'!W:W,$B92,'Executive Pay Breakdown'!Y:Y)</f>
        <v>3106171</v>
      </c>
      <c r="O92" s="69">
        <f>SUMIF('Executive Pay Breakdown'!AA:AA,$B92,'Executive Pay Breakdown'!AC:AC)</f>
        <v>2402065</v>
      </c>
    </row>
    <row r="93" hidden="1">
      <c r="A93" s="62"/>
      <c r="B93" s="125" t="s">
        <v>211</v>
      </c>
      <c r="C93" s="118" t="s">
        <v>29</v>
      </c>
      <c r="D93" s="122"/>
      <c r="E93" s="90"/>
      <c r="F93" s="88"/>
      <c r="G93" s="118"/>
      <c r="H93" s="120"/>
      <c r="I93" s="89">
        <f>SUMIF('Executive Pay Breakdown'!K:K,$B93,'Executive Pay Breakdown'!M:M)+SUMIF('Executive Pay Breakdown'!O:O,$B93,'Executive Pay Breakdown'!Q:Q)+SUMIF('Executive Pay Breakdown'!S:S,$B93,'Executive Pay Breakdown'!U:U)+SUMIF('Executive Pay Breakdown'!W:W,$B93,'Executive Pay Breakdown'!Y:Y)+SUMIF('Executive Pay Breakdown'!AA:AA,$B93,'Executive Pay Breakdown'!AC:AC)</f>
        <v>67612914</v>
      </c>
      <c r="J93" s="109"/>
      <c r="K93" s="69">
        <f>SUMIF('Executive Pay Breakdown'!K:K,$B93,'Executive Pay Breakdown'!M:M)</f>
        <v>15700157</v>
      </c>
      <c r="L93" s="69">
        <f>SUMIF('Executive Pay Breakdown'!O:O,$B93,'Executive Pay Breakdown'!Q:Q)</f>
        <v>14000260</v>
      </c>
      <c r="M93" s="69">
        <f>SUMIF('Executive Pay Breakdown'!S:S,$B93,'Executive Pay Breakdown'!U:U)</f>
        <v>12911164</v>
      </c>
      <c r="N93" s="69">
        <f>SUMIF('Executive Pay Breakdown'!W:W,$B93,'Executive Pay Breakdown'!Y:Y)</f>
        <v>13000762</v>
      </c>
      <c r="O93" s="69">
        <f>SUMIF('Executive Pay Breakdown'!AA:AA,$B93,'Executive Pay Breakdown'!AC:AC)</f>
        <v>12000571</v>
      </c>
    </row>
    <row r="94" hidden="1">
      <c r="A94" s="62"/>
      <c r="B94" s="125" t="s">
        <v>212</v>
      </c>
      <c r="C94" s="118" t="s">
        <v>23</v>
      </c>
      <c r="D94" s="122"/>
      <c r="E94" s="90"/>
      <c r="F94" s="88"/>
      <c r="G94" s="118"/>
      <c r="H94" s="120"/>
      <c r="I94" s="89">
        <f>SUMIF('Executive Pay Breakdown'!K:K,$B94,'Executive Pay Breakdown'!M:M)+SUMIF('Executive Pay Breakdown'!O:O,$B94,'Executive Pay Breakdown'!Q:Q)+SUMIF('Executive Pay Breakdown'!S:S,$B94,'Executive Pay Breakdown'!U:U)+SUMIF('Executive Pay Breakdown'!W:W,$B94,'Executive Pay Breakdown'!Y:Y)+SUMIF('Executive Pay Breakdown'!AA:AA,$B94,'Executive Pay Breakdown'!AC:AC)</f>
        <v>15546081</v>
      </c>
      <c r="J94" s="109"/>
      <c r="K94" s="69">
        <f>SUMIF('Executive Pay Breakdown'!K:K,$B94,'Executive Pay Breakdown'!M:M)</f>
        <v>3691412</v>
      </c>
      <c r="L94" s="69">
        <f>SUMIF('Executive Pay Breakdown'!O:O,$B94,'Executive Pay Breakdown'!Q:Q)</f>
        <v>3733623</v>
      </c>
      <c r="M94" s="69">
        <f>SUMIF('Executive Pay Breakdown'!S:S,$B94,'Executive Pay Breakdown'!U:U)</f>
        <v>2609060</v>
      </c>
      <c r="N94" s="69">
        <f>SUMIF('Executive Pay Breakdown'!W:W,$B94,'Executive Pay Breakdown'!Y:Y)</f>
        <v>2674042</v>
      </c>
      <c r="O94" s="69">
        <f>SUMIF('Executive Pay Breakdown'!AA:AA,$B94,'Executive Pay Breakdown'!AC:AC)</f>
        <v>2837944</v>
      </c>
    </row>
    <row r="95" hidden="1">
      <c r="A95" s="62"/>
      <c r="B95" s="125" t="s">
        <v>213</v>
      </c>
      <c r="C95" s="118" t="s">
        <v>25</v>
      </c>
      <c r="D95" s="122"/>
      <c r="E95" s="90"/>
      <c r="F95" s="88"/>
      <c r="G95" s="118"/>
      <c r="H95" s="120"/>
      <c r="I95" s="89">
        <f>SUMIF('Executive Pay Breakdown'!K:K,$B95,'Executive Pay Breakdown'!M:M)+SUMIF('Executive Pay Breakdown'!O:O,$B95,'Executive Pay Breakdown'!Q:Q)+SUMIF('Executive Pay Breakdown'!S:S,$B95,'Executive Pay Breakdown'!U:U)+SUMIF('Executive Pay Breakdown'!W:W,$B95,'Executive Pay Breakdown'!Y:Y)+SUMIF('Executive Pay Breakdown'!AA:AA,$B95,'Executive Pay Breakdown'!AC:AC)</f>
        <v>66100801</v>
      </c>
      <c r="J95" s="109"/>
      <c r="K95" s="69">
        <f>SUMIF('Executive Pay Breakdown'!K:K,$B95,'Executive Pay Breakdown'!M:M)</f>
        <v>13887596</v>
      </c>
      <c r="L95" s="69">
        <f>SUMIF('Executive Pay Breakdown'!O:O,$B95,'Executive Pay Breakdown'!Q:Q)</f>
        <v>13759533</v>
      </c>
      <c r="M95" s="69">
        <f>SUMIF('Executive Pay Breakdown'!S:S,$B95,'Executive Pay Breakdown'!U:U)</f>
        <v>12171958</v>
      </c>
      <c r="N95" s="69">
        <f>SUMIF('Executive Pay Breakdown'!W:W,$B95,'Executive Pay Breakdown'!Y:Y)</f>
        <v>15590338</v>
      </c>
      <c r="O95" s="69">
        <f>SUMIF('Executive Pay Breakdown'!AA:AA,$B95,'Executive Pay Breakdown'!AC:AC)</f>
        <v>10691376</v>
      </c>
    </row>
    <row r="96" hidden="1">
      <c r="A96" s="62"/>
      <c r="B96" s="86" t="s">
        <v>214</v>
      </c>
      <c r="C96" s="117" t="s">
        <v>70</v>
      </c>
      <c r="D96" s="122"/>
      <c r="E96" s="90"/>
      <c r="F96" s="88"/>
      <c r="G96" s="118"/>
      <c r="H96" s="120"/>
      <c r="I96" s="89">
        <f>SUMIF('Executive Pay Breakdown'!K:K,$B96,'Executive Pay Breakdown'!M:M)+SUMIF('Executive Pay Breakdown'!O:O,$B96,'Executive Pay Breakdown'!Q:Q)+SUMIF('Executive Pay Breakdown'!S:S,$B96,'Executive Pay Breakdown'!U:U)+SUMIF('Executive Pay Breakdown'!W:W,$B96,'Executive Pay Breakdown'!Y:Y)+SUMIF('Executive Pay Breakdown'!AA:AA,$B96,'Executive Pay Breakdown'!AC:AC)</f>
        <v>46314591</v>
      </c>
      <c r="J96" s="109"/>
      <c r="K96" s="69">
        <f>SUMIF('Executive Pay Breakdown'!K:K,$B96,'Executive Pay Breakdown'!M:M)</f>
        <v>8795572</v>
      </c>
      <c r="L96" s="69">
        <f>SUMIF('Executive Pay Breakdown'!O:O,$B96,'Executive Pay Breakdown'!Q:Q)</f>
        <v>12063477</v>
      </c>
      <c r="M96" s="69">
        <f>SUMIF('Executive Pay Breakdown'!S:S,$B96,'Executive Pay Breakdown'!U:U)</f>
        <v>10377789</v>
      </c>
      <c r="N96" s="69">
        <f>SUMIF('Executive Pay Breakdown'!W:W,$B96,'Executive Pay Breakdown'!Y:Y)</f>
        <v>8304888</v>
      </c>
      <c r="O96" s="69">
        <f>SUMIF('Executive Pay Breakdown'!AA:AA,$B96,'Executive Pay Breakdown'!AC:AC)</f>
        <v>6772865</v>
      </c>
    </row>
    <row r="97" hidden="1">
      <c r="A97" s="62"/>
      <c r="B97" s="127" t="s">
        <v>215</v>
      </c>
      <c r="C97" s="118" t="s">
        <v>40</v>
      </c>
      <c r="D97" s="122"/>
      <c r="E97" s="90"/>
      <c r="F97" s="88"/>
      <c r="G97" s="118"/>
      <c r="H97" s="120"/>
      <c r="I97" s="89">
        <f>SUMIF('Executive Pay Breakdown'!K:K,$B97,'Executive Pay Breakdown'!M:M)+SUMIF('Executive Pay Breakdown'!O:O,$B97,'Executive Pay Breakdown'!Q:Q)+SUMIF('Executive Pay Breakdown'!S:S,$B97,'Executive Pay Breakdown'!U:U)+SUMIF('Executive Pay Breakdown'!W:W,$B97,'Executive Pay Breakdown'!Y:Y)+SUMIF('Executive Pay Breakdown'!AA:AA,$B97,'Executive Pay Breakdown'!AC:AC)</f>
        <v>68196198</v>
      </c>
      <c r="J97" s="109"/>
      <c r="K97" s="69">
        <f>SUMIF('Executive Pay Breakdown'!K:K,$B97,'Executive Pay Breakdown'!M:M)</f>
        <v>14676883</v>
      </c>
      <c r="L97" s="69">
        <f>SUMIF('Executive Pay Breakdown'!O:O,$B97,'Executive Pay Breakdown'!Q:Q)</f>
        <v>16030105</v>
      </c>
      <c r="M97" s="69">
        <f>SUMIF('Executive Pay Breakdown'!S:S,$B97,'Executive Pay Breakdown'!U:U)</f>
        <v>13597008</v>
      </c>
      <c r="N97" s="69">
        <f>SUMIF('Executive Pay Breakdown'!W:W,$B97,'Executive Pay Breakdown'!Y:Y)</f>
        <v>12554291</v>
      </c>
      <c r="O97" s="69">
        <f>SUMIF('Executive Pay Breakdown'!AA:AA,$B97,'Executive Pay Breakdown'!AC:AC)</f>
        <v>11337911</v>
      </c>
    </row>
    <row r="98" hidden="1">
      <c r="A98" s="62"/>
      <c r="B98" s="86" t="s">
        <v>216</v>
      </c>
      <c r="C98" s="118" t="s">
        <v>38</v>
      </c>
      <c r="D98" s="122"/>
      <c r="E98" s="90"/>
      <c r="F98" s="88"/>
      <c r="G98" s="118"/>
      <c r="H98" s="120"/>
      <c r="I98" s="89">
        <f>SUMIF('Executive Pay Breakdown'!K:K,$B98,'Executive Pay Breakdown'!M:M)+SUMIF('Executive Pay Breakdown'!O:O,$B98,'Executive Pay Breakdown'!Q:Q)+SUMIF('Executive Pay Breakdown'!S:S,$B98,'Executive Pay Breakdown'!U:U)+SUMIF('Executive Pay Breakdown'!W:W,$B98,'Executive Pay Breakdown'!Y:Y)+SUMIF('Executive Pay Breakdown'!AA:AA,$B98,'Executive Pay Breakdown'!AC:AC)</f>
        <v>8658495</v>
      </c>
      <c r="J98" s="109"/>
      <c r="K98" s="69">
        <f>SUMIF('Executive Pay Breakdown'!K:K,$B98,'Executive Pay Breakdown'!M:M)</f>
        <v>1916706</v>
      </c>
      <c r="L98" s="69">
        <f>SUMIF('Executive Pay Breakdown'!O:O,$B98,'Executive Pay Breakdown'!Q:Q)</f>
        <v>1701984</v>
      </c>
      <c r="M98" s="69">
        <f>SUMIF('Executive Pay Breakdown'!S:S,$B98,'Executive Pay Breakdown'!U:U)</f>
        <v>1910339</v>
      </c>
      <c r="N98" s="69">
        <f>SUMIF('Executive Pay Breakdown'!W:W,$B98,'Executive Pay Breakdown'!Y:Y)</f>
        <v>1639331</v>
      </c>
      <c r="O98" s="69">
        <f>SUMIF('Executive Pay Breakdown'!AA:AA,$B98,'Executive Pay Breakdown'!AC:AC)</f>
        <v>1490135</v>
      </c>
    </row>
    <row r="99" hidden="1">
      <c r="A99" s="62"/>
      <c r="B99" s="127" t="s">
        <v>217</v>
      </c>
      <c r="C99" s="118" t="s">
        <v>34</v>
      </c>
      <c r="D99" s="122"/>
      <c r="E99" s="90"/>
      <c r="F99" s="88"/>
      <c r="G99" s="118"/>
      <c r="H99" s="120"/>
      <c r="I99" s="89">
        <f>SUMIF('Executive Pay Breakdown'!K:K,$B99,'Executive Pay Breakdown'!M:M)+SUMIF('Executive Pay Breakdown'!O:O,$B99,'Executive Pay Breakdown'!Q:Q)+SUMIF('Executive Pay Breakdown'!S:S,$B99,'Executive Pay Breakdown'!U:U)+SUMIF('Executive Pay Breakdown'!W:W,$B99,'Executive Pay Breakdown'!Y:Y)+SUMIF('Executive Pay Breakdown'!AA:AA,$B99,'Executive Pay Breakdown'!AC:AC)</f>
        <v>71042401</v>
      </c>
      <c r="J99" s="109"/>
      <c r="K99" s="69">
        <f>SUMIF('Executive Pay Breakdown'!K:K,$B99,'Executive Pay Breakdown'!M:M)</f>
        <v>13207355</v>
      </c>
      <c r="L99" s="69">
        <f>SUMIF('Executive Pay Breakdown'!O:O,$B99,'Executive Pay Breakdown'!Q:Q)</f>
        <v>17045744</v>
      </c>
      <c r="M99" s="69">
        <f>SUMIF('Executive Pay Breakdown'!S:S,$B99,'Executive Pay Breakdown'!U:U)</f>
        <v>16198597</v>
      </c>
      <c r="N99" s="69">
        <f>SUMIF('Executive Pay Breakdown'!W:W,$B99,'Executive Pay Breakdown'!Y:Y)</f>
        <v>14264249</v>
      </c>
      <c r="O99" s="69">
        <f>SUMIF('Executive Pay Breakdown'!AA:AA,$B99,'Executive Pay Breakdown'!AC:AC)</f>
        <v>10326456</v>
      </c>
    </row>
    <row r="100" hidden="1">
      <c r="A100" s="62"/>
      <c r="B100" s="125" t="s">
        <v>218</v>
      </c>
      <c r="C100" s="118" t="s">
        <v>29</v>
      </c>
      <c r="D100" s="122"/>
      <c r="E100" s="90"/>
      <c r="F100" s="88"/>
      <c r="G100" s="118"/>
      <c r="H100" s="120"/>
      <c r="I100" s="89">
        <f>SUMIF('Executive Pay Breakdown'!K:K,$B100,'Executive Pay Breakdown'!M:M)+SUMIF('Executive Pay Breakdown'!O:O,$B100,'Executive Pay Breakdown'!Q:Q)+SUMIF('Executive Pay Breakdown'!S:S,$B100,'Executive Pay Breakdown'!U:U)+SUMIF('Executive Pay Breakdown'!W:W,$B100,'Executive Pay Breakdown'!Y:Y)+SUMIF('Executive Pay Breakdown'!AA:AA,$B100,'Executive Pay Breakdown'!AC:AC)</f>
        <v>66896525</v>
      </c>
      <c r="J100" s="109"/>
      <c r="K100" s="69">
        <f>SUMIF('Executive Pay Breakdown'!K:K,$B100,'Executive Pay Breakdown'!M:M)</f>
        <v>15705157</v>
      </c>
      <c r="L100" s="69">
        <f>SUMIF('Executive Pay Breakdown'!O:O,$B100,'Executive Pay Breakdown'!Q:Q)</f>
        <v>14005427</v>
      </c>
      <c r="M100" s="69">
        <f>SUMIF('Executive Pay Breakdown'!S:S,$B100,'Executive Pay Breakdown'!U:U)</f>
        <v>13070781</v>
      </c>
      <c r="N100" s="69">
        <f>SUMIF('Executive Pay Breakdown'!W:W,$B100,'Executive Pay Breakdown'!Y:Y)</f>
        <v>11805669</v>
      </c>
      <c r="O100" s="69">
        <f>SUMIF('Executive Pay Breakdown'!AA:AA,$B100,'Executive Pay Breakdown'!AC:AC)</f>
        <v>12309491</v>
      </c>
    </row>
    <row r="101" hidden="1">
      <c r="A101" s="62"/>
      <c r="B101" s="86" t="s">
        <v>219</v>
      </c>
      <c r="C101" s="118" t="s">
        <v>75</v>
      </c>
      <c r="D101" s="122"/>
      <c r="E101" s="90"/>
      <c r="F101" s="88"/>
      <c r="G101" s="118"/>
      <c r="H101" s="120"/>
      <c r="I101" s="89">
        <f>SUMIF('Executive Pay Breakdown'!K:K,$B101,'Executive Pay Breakdown'!M:M)+SUMIF('Executive Pay Breakdown'!O:O,$B101,'Executive Pay Breakdown'!Q:Q)+SUMIF('Executive Pay Breakdown'!S:S,$B101,'Executive Pay Breakdown'!U:U)+SUMIF('Executive Pay Breakdown'!W:W,$B101,'Executive Pay Breakdown'!Y:Y)+SUMIF('Executive Pay Breakdown'!AA:AA,$B101,'Executive Pay Breakdown'!AC:AC)</f>
        <v>27190776</v>
      </c>
      <c r="J101" s="109"/>
      <c r="K101" s="69">
        <f>SUMIF('Executive Pay Breakdown'!K:K,$B101,'Executive Pay Breakdown'!M:M)</f>
        <v>5257289</v>
      </c>
      <c r="L101" s="69">
        <f>SUMIF('Executive Pay Breakdown'!O:O,$B101,'Executive Pay Breakdown'!Q:Q)</f>
        <v>5210467</v>
      </c>
      <c r="M101" s="69">
        <f>SUMIF('Executive Pay Breakdown'!S:S,$B101,'Executive Pay Breakdown'!U:U)</f>
        <v>6423410</v>
      </c>
      <c r="N101" s="69">
        <f>SUMIF('Executive Pay Breakdown'!W:W,$B101,'Executive Pay Breakdown'!Y:Y)</f>
        <v>6144355</v>
      </c>
      <c r="O101" s="69">
        <f>SUMIF('Executive Pay Breakdown'!AA:AA,$B101,'Executive Pay Breakdown'!AC:AC)</f>
        <v>4155255</v>
      </c>
    </row>
    <row r="102" hidden="1">
      <c r="A102" s="81"/>
      <c r="B102" s="134" t="s">
        <v>115</v>
      </c>
      <c r="C102" s="118" t="s">
        <v>65</v>
      </c>
      <c r="D102" s="122"/>
      <c r="E102" s="90"/>
      <c r="F102" s="88"/>
      <c r="G102" s="118"/>
      <c r="H102" s="120"/>
      <c r="I102" s="89">
        <f>SUMIF('Executive Pay Breakdown'!K:K,$B102,'Executive Pay Breakdown'!M:M)+SUMIF('Executive Pay Breakdown'!O:O,$B102,'Executive Pay Breakdown'!Q:Q)+SUMIF('Executive Pay Breakdown'!S:S,$B102,'Executive Pay Breakdown'!U:U)+SUMIF('Executive Pay Breakdown'!W:W,$B102,'Executive Pay Breakdown'!Y:Y)+SUMIF('Executive Pay Breakdown'!AA:AA,$B102,'Executive Pay Breakdown'!AC:AC)</f>
        <v>108030407</v>
      </c>
      <c r="J102" s="109"/>
      <c r="K102" s="69">
        <f>SUMIF('Executive Pay Breakdown'!K:K,$B102,'Executive Pay Breakdown'!M:M)</f>
        <v>24749178</v>
      </c>
      <c r="L102" s="69">
        <f>SUMIF('Executive Pay Breakdown'!O:O,$B102,'Executive Pay Breakdown'!Q:Q)</f>
        <v>23508841</v>
      </c>
      <c r="M102" s="69">
        <f>SUMIF('Executive Pay Breakdown'!S:S,$B102,'Executive Pay Breakdown'!U:U)</f>
        <v>21994433</v>
      </c>
      <c r="N102" s="69">
        <f>SUMIF('Executive Pay Breakdown'!W:W,$B102,'Executive Pay Breakdown'!Y:Y)</f>
        <v>18140421</v>
      </c>
      <c r="O102" s="69">
        <f>SUMIF('Executive Pay Breakdown'!AA:AA,$B102,'Executive Pay Breakdown'!AC:AC)</f>
        <v>19637534</v>
      </c>
    </row>
    <row r="103" hidden="1">
      <c r="A103" s="62"/>
      <c r="B103" s="86" t="s">
        <v>220</v>
      </c>
      <c r="C103" s="118" t="s">
        <v>42</v>
      </c>
      <c r="D103" s="122"/>
      <c r="E103" s="90"/>
      <c r="F103" s="88"/>
      <c r="G103" s="118"/>
      <c r="H103" s="120"/>
      <c r="I103" s="89">
        <f>SUMIF('Executive Pay Breakdown'!K:K,$B103,'Executive Pay Breakdown'!M:M)+SUMIF('Executive Pay Breakdown'!O:O,$B103,'Executive Pay Breakdown'!Q:Q)+SUMIF('Executive Pay Breakdown'!S:S,$B103,'Executive Pay Breakdown'!U:U)+SUMIF('Executive Pay Breakdown'!W:W,$B103,'Executive Pay Breakdown'!Y:Y)+SUMIF('Executive Pay Breakdown'!AA:AA,$B103,'Executive Pay Breakdown'!AC:AC)</f>
        <v>9719390</v>
      </c>
      <c r="J103" s="109"/>
      <c r="K103" s="69">
        <f>SUMIF('Executive Pay Breakdown'!K:K,$B103,'Executive Pay Breakdown'!M:M)</f>
        <v>1959099</v>
      </c>
      <c r="L103" s="69">
        <f>SUMIF('Executive Pay Breakdown'!O:O,$B103,'Executive Pay Breakdown'!Q:Q)</f>
        <v>2022245</v>
      </c>
      <c r="M103" s="69">
        <f>SUMIF('Executive Pay Breakdown'!S:S,$B103,'Executive Pay Breakdown'!U:U)</f>
        <v>2009733</v>
      </c>
      <c r="N103" s="69">
        <f>SUMIF('Executive Pay Breakdown'!W:W,$B103,'Executive Pay Breakdown'!Y:Y)</f>
        <v>2161275</v>
      </c>
      <c r="O103" s="69">
        <f>SUMIF('Executive Pay Breakdown'!AA:AA,$B103,'Executive Pay Breakdown'!AC:AC)</f>
        <v>1567038</v>
      </c>
    </row>
    <row r="104" hidden="1">
      <c r="A104" s="81" t="s">
        <v>86</v>
      </c>
      <c r="B104" s="136" t="s">
        <v>221</v>
      </c>
      <c r="C104" s="118" t="s">
        <v>24</v>
      </c>
      <c r="D104" s="122"/>
      <c r="E104" s="90"/>
      <c r="F104" s="88"/>
      <c r="G104" s="118"/>
      <c r="H104" s="120"/>
      <c r="I104" s="89">
        <f>SUMIF('Executive Pay Breakdown'!K:K,$B104,'Executive Pay Breakdown'!M:M)+SUMIF('Executive Pay Breakdown'!O:O,$B104,'Executive Pay Breakdown'!Q:Q)+SUMIF('Executive Pay Breakdown'!S:S,$B104,'Executive Pay Breakdown'!U:U)+SUMIF('Executive Pay Breakdown'!W:W,$B104,'Executive Pay Breakdown'!Y:Y)+SUMIF('Executive Pay Breakdown'!AA:AA,$B104,'Executive Pay Breakdown'!AC:AC)</f>
        <v>82608490</v>
      </c>
      <c r="J104" s="109"/>
      <c r="K104" s="69">
        <f>SUMIF('Executive Pay Breakdown'!K:K,$B104,'Executive Pay Breakdown'!M:M)</f>
        <v>17302266</v>
      </c>
      <c r="L104" s="69">
        <f>SUMIF('Executive Pay Breakdown'!O:O,$B104,'Executive Pay Breakdown'!Q:Q)</f>
        <v>18662706</v>
      </c>
      <c r="M104" s="69">
        <f>SUMIF('Executive Pay Breakdown'!S:S,$B104,'Executive Pay Breakdown'!U:U)</f>
        <v>16046542</v>
      </c>
      <c r="N104" s="69">
        <f>SUMIF('Executive Pay Breakdown'!W:W,$B104,'Executive Pay Breakdown'!Y:Y)</f>
        <v>16757250</v>
      </c>
      <c r="O104" s="69">
        <f>SUMIF('Executive Pay Breakdown'!AA:AA,$B104,'Executive Pay Breakdown'!AC:AC)</f>
        <v>13839726</v>
      </c>
    </row>
    <row r="105" hidden="1">
      <c r="A105" s="62"/>
      <c r="B105" s="125" t="s">
        <v>222</v>
      </c>
      <c r="C105" s="118" t="s">
        <v>18</v>
      </c>
      <c r="D105" s="122"/>
      <c r="E105" s="90"/>
      <c r="F105" s="88"/>
      <c r="G105" s="118"/>
      <c r="H105" s="120"/>
      <c r="I105" s="89">
        <f>SUMIF('Executive Pay Breakdown'!K:K,$B105,'Executive Pay Breakdown'!M:M)+SUMIF('Executive Pay Breakdown'!O:O,$B105,'Executive Pay Breakdown'!Q:Q)+SUMIF('Executive Pay Breakdown'!S:S,$B105,'Executive Pay Breakdown'!U:U)+SUMIF('Executive Pay Breakdown'!W:W,$B105,'Executive Pay Breakdown'!Y:Y)+SUMIF('Executive Pay Breakdown'!AA:AA,$B105,'Executive Pay Breakdown'!AC:AC)</f>
        <v>23286564</v>
      </c>
      <c r="J105" s="109"/>
      <c r="K105" s="69">
        <f>SUMIF('Executive Pay Breakdown'!K:K,$B105,'Executive Pay Breakdown'!M:M)</f>
        <v>4215598</v>
      </c>
      <c r="L105" s="69">
        <f>SUMIF('Executive Pay Breakdown'!O:O,$B105,'Executive Pay Breakdown'!Q:Q)</f>
        <v>5690706</v>
      </c>
      <c r="M105" s="69">
        <f>SUMIF('Executive Pay Breakdown'!S:S,$B105,'Executive Pay Breakdown'!U:U)</f>
        <v>5234424</v>
      </c>
      <c r="N105" s="69">
        <f>SUMIF('Executive Pay Breakdown'!W:W,$B105,'Executive Pay Breakdown'!Y:Y)</f>
        <v>4692005</v>
      </c>
      <c r="O105" s="69">
        <f>SUMIF('Executive Pay Breakdown'!AA:AA,$B105,'Executive Pay Breakdown'!AC:AC)</f>
        <v>3453831</v>
      </c>
    </row>
    <row r="106" hidden="1">
      <c r="A106" s="62"/>
      <c r="B106" s="130" t="s">
        <v>223</v>
      </c>
      <c r="C106" s="118" t="s">
        <v>25</v>
      </c>
      <c r="D106" s="122"/>
      <c r="E106" s="90"/>
      <c r="F106" s="88"/>
      <c r="G106" s="118"/>
      <c r="H106" s="120"/>
      <c r="I106" s="89">
        <f>SUMIF('Executive Pay Breakdown'!K:K,$B106,'Executive Pay Breakdown'!M:M)+SUMIF('Executive Pay Breakdown'!O:O,$B106,'Executive Pay Breakdown'!Q:Q)+SUMIF('Executive Pay Breakdown'!S:S,$B106,'Executive Pay Breakdown'!U:U)+SUMIF('Executive Pay Breakdown'!W:W,$B106,'Executive Pay Breakdown'!Y:Y)+SUMIF('Executive Pay Breakdown'!AA:AA,$B106,'Executive Pay Breakdown'!AC:AC)</f>
        <v>21631238</v>
      </c>
      <c r="J106" s="109"/>
      <c r="K106" s="69">
        <f>SUMIF('Executive Pay Breakdown'!K:K,$B106,'Executive Pay Breakdown'!M:M)</f>
        <v>4528608</v>
      </c>
      <c r="L106" s="69">
        <f>SUMIF('Executive Pay Breakdown'!O:O,$B106,'Executive Pay Breakdown'!Q:Q)</f>
        <v>4122715</v>
      </c>
      <c r="M106" s="69">
        <f>SUMIF('Executive Pay Breakdown'!S:S,$B106,'Executive Pay Breakdown'!U:U)</f>
        <v>3995728</v>
      </c>
      <c r="N106" s="69">
        <f>SUMIF('Executive Pay Breakdown'!W:W,$B106,'Executive Pay Breakdown'!Y:Y)</f>
        <v>5268657</v>
      </c>
      <c r="O106" s="69">
        <f>SUMIF('Executive Pay Breakdown'!AA:AA,$B106,'Executive Pay Breakdown'!AC:AC)</f>
        <v>3715530</v>
      </c>
    </row>
    <row r="107" hidden="1">
      <c r="A107" s="62"/>
      <c r="B107" s="125" t="s">
        <v>224</v>
      </c>
      <c r="C107" s="118" t="s">
        <v>23</v>
      </c>
      <c r="D107" s="122"/>
      <c r="E107" s="90"/>
      <c r="F107" s="88"/>
      <c r="G107" s="118"/>
      <c r="H107" s="120"/>
      <c r="I107" s="89">
        <f>SUMIF('Executive Pay Breakdown'!K:K,$B107,'Executive Pay Breakdown'!M:M)+SUMIF('Executive Pay Breakdown'!O:O,$B107,'Executive Pay Breakdown'!Q:Q)+SUMIF('Executive Pay Breakdown'!S:S,$B107,'Executive Pay Breakdown'!U:U)+SUMIF('Executive Pay Breakdown'!W:W,$B107,'Executive Pay Breakdown'!Y:Y)+SUMIF('Executive Pay Breakdown'!AA:AA,$B107,'Executive Pay Breakdown'!AC:AC)</f>
        <v>14653961</v>
      </c>
      <c r="J107" s="109"/>
      <c r="K107" s="69">
        <f>SUMIF('Executive Pay Breakdown'!K:K,$B107,'Executive Pay Breakdown'!M:M)</f>
        <v>3269613</v>
      </c>
      <c r="L107" s="69">
        <f>SUMIF('Executive Pay Breakdown'!O:O,$B107,'Executive Pay Breakdown'!Q:Q)</f>
        <v>3416525</v>
      </c>
      <c r="M107" s="69">
        <f>SUMIF('Executive Pay Breakdown'!S:S,$B107,'Executive Pay Breakdown'!U:U)</f>
        <v>2593460</v>
      </c>
      <c r="N107" s="69">
        <f>SUMIF('Executive Pay Breakdown'!W:W,$B107,'Executive Pay Breakdown'!Y:Y)</f>
        <v>2656819</v>
      </c>
      <c r="O107" s="69">
        <f>SUMIF('Executive Pay Breakdown'!AA:AA,$B107,'Executive Pay Breakdown'!AC:AC)</f>
        <v>2717544</v>
      </c>
    </row>
    <row r="108" hidden="1">
      <c r="A108" s="62"/>
      <c r="B108" s="86" t="s">
        <v>225</v>
      </c>
      <c r="C108" s="117" t="s">
        <v>59</v>
      </c>
      <c r="D108" s="122"/>
      <c r="E108" s="90"/>
      <c r="F108" s="88"/>
      <c r="G108" s="118"/>
      <c r="H108" s="120"/>
      <c r="I108" s="89">
        <f>SUMIF('Executive Pay Breakdown'!K:K,$B108,'Executive Pay Breakdown'!M:M)+SUMIF('Executive Pay Breakdown'!O:O,$B108,'Executive Pay Breakdown'!Q:Q)+SUMIF('Executive Pay Breakdown'!S:S,$B108,'Executive Pay Breakdown'!U:U)+SUMIF('Executive Pay Breakdown'!W:W,$B108,'Executive Pay Breakdown'!Y:Y)+SUMIF('Executive Pay Breakdown'!AA:AA,$B108,'Executive Pay Breakdown'!AC:AC)</f>
        <v>22782713</v>
      </c>
      <c r="J108" s="109"/>
      <c r="K108" s="69">
        <f>SUMIF('Executive Pay Breakdown'!K:K,$B108,'Executive Pay Breakdown'!M:M)</f>
        <v>5290975</v>
      </c>
      <c r="L108" s="69">
        <f>SUMIF('Executive Pay Breakdown'!O:O,$B108,'Executive Pay Breakdown'!Q:Q)</f>
        <v>4926200</v>
      </c>
      <c r="M108" s="69">
        <f>SUMIF('Executive Pay Breakdown'!S:S,$B108,'Executive Pay Breakdown'!U:U)</f>
        <v>3572472</v>
      </c>
      <c r="N108" s="69">
        <f>SUMIF('Executive Pay Breakdown'!W:W,$B108,'Executive Pay Breakdown'!Y:Y)</f>
        <v>4567391</v>
      </c>
      <c r="O108" s="69">
        <f>SUMIF('Executive Pay Breakdown'!AA:AA,$B108,'Executive Pay Breakdown'!AC:AC)</f>
        <v>4425675</v>
      </c>
    </row>
    <row r="109" hidden="1">
      <c r="A109" s="62"/>
      <c r="B109" s="127" t="s">
        <v>226</v>
      </c>
      <c r="C109" s="118" t="s">
        <v>40</v>
      </c>
      <c r="D109" s="122"/>
      <c r="E109" s="90"/>
      <c r="F109" s="88"/>
      <c r="G109" s="118"/>
      <c r="H109" s="120"/>
      <c r="I109" s="89">
        <f>SUMIF('Executive Pay Breakdown'!K:K,$B109,'Executive Pay Breakdown'!M:M)+SUMIF('Executive Pay Breakdown'!O:O,$B109,'Executive Pay Breakdown'!Q:Q)+SUMIF('Executive Pay Breakdown'!S:S,$B109,'Executive Pay Breakdown'!U:U)+SUMIF('Executive Pay Breakdown'!W:W,$B109,'Executive Pay Breakdown'!Y:Y)+SUMIF('Executive Pay Breakdown'!AA:AA,$B109,'Executive Pay Breakdown'!AC:AC)</f>
        <v>25754919</v>
      </c>
      <c r="J109" s="109"/>
      <c r="K109" s="69">
        <f>SUMIF('Executive Pay Breakdown'!K:K,$B109,'Executive Pay Breakdown'!M:M)</f>
        <v>5588971</v>
      </c>
      <c r="L109" s="69">
        <f>SUMIF('Executive Pay Breakdown'!O:O,$B109,'Executive Pay Breakdown'!Q:Q)</f>
        <v>5757689</v>
      </c>
      <c r="M109" s="69">
        <f>SUMIF('Executive Pay Breakdown'!S:S,$B109,'Executive Pay Breakdown'!U:U)</f>
        <v>4702504</v>
      </c>
      <c r="N109" s="69">
        <f>SUMIF('Executive Pay Breakdown'!W:W,$B109,'Executive Pay Breakdown'!Y:Y)</f>
        <v>5001396</v>
      </c>
      <c r="O109" s="69">
        <f>SUMIF('Executive Pay Breakdown'!AA:AA,$B109,'Executive Pay Breakdown'!AC:AC)</f>
        <v>4704359</v>
      </c>
    </row>
    <row r="110" hidden="1">
      <c r="A110" s="62"/>
      <c r="B110" s="125" t="s">
        <v>227</v>
      </c>
      <c r="C110" s="118" t="s">
        <v>25</v>
      </c>
      <c r="D110" s="122"/>
      <c r="E110" s="90"/>
      <c r="F110" s="88"/>
      <c r="G110" s="118"/>
      <c r="H110" s="120"/>
      <c r="I110" s="89">
        <f>SUMIF('Executive Pay Breakdown'!K:K,$B110,'Executive Pay Breakdown'!M:M)+SUMIF('Executive Pay Breakdown'!O:O,$B110,'Executive Pay Breakdown'!Q:Q)+SUMIF('Executive Pay Breakdown'!S:S,$B110,'Executive Pay Breakdown'!U:U)+SUMIF('Executive Pay Breakdown'!W:W,$B110,'Executive Pay Breakdown'!Y:Y)+SUMIF('Executive Pay Breakdown'!AA:AA,$B110,'Executive Pay Breakdown'!AC:AC)</f>
        <v>28731525</v>
      </c>
      <c r="J110" s="109"/>
      <c r="K110" s="69">
        <f>SUMIF('Executive Pay Breakdown'!K:K,$B110,'Executive Pay Breakdown'!M:M)</f>
        <v>5997568</v>
      </c>
      <c r="L110" s="69">
        <f>SUMIF('Executive Pay Breakdown'!O:O,$B110,'Executive Pay Breakdown'!Q:Q)</f>
        <v>5433225</v>
      </c>
      <c r="M110" s="69">
        <f>SUMIF('Executive Pay Breakdown'!S:S,$B110,'Executive Pay Breakdown'!U:U)</f>
        <v>5591351</v>
      </c>
      <c r="N110" s="69">
        <f>SUMIF('Executive Pay Breakdown'!W:W,$B110,'Executive Pay Breakdown'!Y:Y)</f>
        <v>6611309</v>
      </c>
      <c r="O110" s="69">
        <f>SUMIF('Executive Pay Breakdown'!AA:AA,$B110,'Executive Pay Breakdown'!AC:AC)</f>
        <v>5098072</v>
      </c>
    </row>
    <row r="111" hidden="1">
      <c r="A111" s="62"/>
      <c r="B111" s="127" t="s">
        <v>228</v>
      </c>
      <c r="C111" s="118" t="s">
        <v>20</v>
      </c>
      <c r="D111" s="122"/>
      <c r="E111" s="90"/>
      <c r="F111" s="88"/>
      <c r="G111" s="118"/>
      <c r="H111" s="120"/>
      <c r="I111" s="89">
        <f>SUMIF('Executive Pay Breakdown'!K:K,$B111,'Executive Pay Breakdown'!M:M)+SUMIF('Executive Pay Breakdown'!O:O,$B111,'Executive Pay Breakdown'!Q:Q)+SUMIF('Executive Pay Breakdown'!S:S,$B111,'Executive Pay Breakdown'!U:U)+SUMIF('Executive Pay Breakdown'!W:W,$B111,'Executive Pay Breakdown'!Y:Y)+SUMIF('Executive Pay Breakdown'!AA:AA,$B111,'Executive Pay Breakdown'!AC:AC)</f>
        <v>15664535</v>
      </c>
      <c r="J111" s="109"/>
      <c r="K111" s="69">
        <f>SUMIF('Executive Pay Breakdown'!K:K,$B111,'Executive Pay Breakdown'!M:M)</f>
        <v>3205873</v>
      </c>
      <c r="L111" s="69">
        <f>SUMIF('Executive Pay Breakdown'!O:O,$B111,'Executive Pay Breakdown'!Q:Q)</f>
        <v>3105946</v>
      </c>
      <c r="M111" s="69">
        <f>SUMIF('Executive Pay Breakdown'!S:S,$B111,'Executive Pay Breakdown'!U:U)</f>
        <v>3376008</v>
      </c>
      <c r="N111" s="69">
        <f>SUMIF('Executive Pay Breakdown'!W:W,$B111,'Executive Pay Breakdown'!Y:Y)</f>
        <v>3235304</v>
      </c>
      <c r="O111" s="69">
        <f>SUMIF('Executive Pay Breakdown'!AA:AA,$B111,'Executive Pay Breakdown'!AC:AC)</f>
        <v>2741404</v>
      </c>
    </row>
    <row r="112" hidden="1">
      <c r="A112" s="81"/>
      <c r="B112" s="87" t="s">
        <v>229</v>
      </c>
      <c r="C112" s="118" t="s">
        <v>73</v>
      </c>
      <c r="D112" s="122"/>
      <c r="E112" s="90"/>
      <c r="F112" s="88"/>
      <c r="G112" s="118"/>
      <c r="H112" s="120"/>
      <c r="I112" s="89">
        <f>SUMIF('Executive Pay Breakdown'!K:K,$B112,'Executive Pay Breakdown'!M:M)+SUMIF('Executive Pay Breakdown'!O:O,$B112,'Executive Pay Breakdown'!Q:Q)+SUMIF('Executive Pay Breakdown'!S:S,$B112,'Executive Pay Breakdown'!U:U)+SUMIF('Executive Pay Breakdown'!W:W,$B112,'Executive Pay Breakdown'!Y:Y)+SUMIF('Executive Pay Breakdown'!AA:AA,$B112,'Executive Pay Breakdown'!AC:AC)</f>
        <v>23107861</v>
      </c>
      <c r="J112" s="109"/>
      <c r="K112" s="69">
        <f>SUMIF('Executive Pay Breakdown'!K:K,$B112,'Executive Pay Breakdown'!M:M)</f>
        <v>4851673</v>
      </c>
      <c r="L112" s="69">
        <f>SUMIF('Executive Pay Breakdown'!O:O,$B112,'Executive Pay Breakdown'!Q:Q)</f>
        <v>5147196</v>
      </c>
      <c r="M112" s="69">
        <f>SUMIF('Executive Pay Breakdown'!S:S,$B112,'Executive Pay Breakdown'!U:U)</f>
        <v>4429217</v>
      </c>
      <c r="N112" s="69">
        <f>SUMIF('Executive Pay Breakdown'!W:W,$B112,'Executive Pay Breakdown'!Y:Y)</f>
        <v>4521698</v>
      </c>
      <c r="O112" s="69">
        <f>SUMIF('Executive Pay Breakdown'!AA:AA,$B112,'Executive Pay Breakdown'!AC:AC)</f>
        <v>4158077</v>
      </c>
    </row>
    <row r="113" hidden="1">
      <c r="A113" s="62"/>
      <c r="B113" s="86" t="s">
        <v>230</v>
      </c>
      <c r="C113" s="117" t="s">
        <v>70</v>
      </c>
      <c r="D113" s="122"/>
      <c r="E113" s="90"/>
      <c r="F113" s="88"/>
      <c r="G113" s="118"/>
      <c r="H113" s="120"/>
      <c r="I113" s="89">
        <f>SUMIF('Executive Pay Breakdown'!K:K,$B113,'Executive Pay Breakdown'!M:M)+SUMIF('Executive Pay Breakdown'!O:O,$B113,'Executive Pay Breakdown'!Q:Q)+SUMIF('Executive Pay Breakdown'!S:S,$B113,'Executive Pay Breakdown'!U:U)+SUMIF('Executive Pay Breakdown'!W:W,$B113,'Executive Pay Breakdown'!Y:Y)+SUMIF('Executive Pay Breakdown'!AA:AA,$B113,'Executive Pay Breakdown'!AC:AC)</f>
        <v>11641848</v>
      </c>
      <c r="J113" s="109"/>
      <c r="K113" s="69">
        <f>SUMIF('Executive Pay Breakdown'!K:K,$B113,'Executive Pay Breakdown'!M:M)</f>
        <v>1996882</v>
      </c>
      <c r="L113" s="69">
        <f>SUMIF('Executive Pay Breakdown'!O:O,$B113,'Executive Pay Breakdown'!Q:Q)</f>
        <v>3388186</v>
      </c>
      <c r="M113" s="69">
        <f>SUMIF('Executive Pay Breakdown'!S:S,$B113,'Executive Pay Breakdown'!U:U)</f>
        <v>2127301</v>
      </c>
      <c r="N113" s="69">
        <f>SUMIF('Executive Pay Breakdown'!W:W,$B113,'Executive Pay Breakdown'!Y:Y)</f>
        <v>2415874</v>
      </c>
      <c r="O113" s="69">
        <f>SUMIF('Executive Pay Breakdown'!AA:AA,$B113,'Executive Pay Breakdown'!AC:AC)</f>
        <v>1713605</v>
      </c>
    </row>
    <row r="114" hidden="1">
      <c r="A114" s="62"/>
      <c r="B114" s="86" t="s">
        <v>231</v>
      </c>
      <c r="C114" s="117" t="s">
        <v>59</v>
      </c>
      <c r="D114" s="122"/>
      <c r="E114" s="90"/>
      <c r="F114" s="88"/>
      <c r="G114" s="118"/>
      <c r="H114" s="120"/>
      <c r="I114" s="89">
        <f>SUMIF('Executive Pay Breakdown'!K:K,$B114,'Executive Pay Breakdown'!M:M)+SUMIF('Executive Pay Breakdown'!O:O,$B114,'Executive Pay Breakdown'!Q:Q)+SUMIF('Executive Pay Breakdown'!S:S,$B114,'Executive Pay Breakdown'!U:U)+SUMIF('Executive Pay Breakdown'!W:W,$B114,'Executive Pay Breakdown'!Y:Y)+SUMIF('Executive Pay Breakdown'!AA:AA,$B114,'Executive Pay Breakdown'!AC:AC)</f>
        <v>72161375</v>
      </c>
      <c r="J114" s="109"/>
      <c r="K114" s="69">
        <f>SUMIF('Executive Pay Breakdown'!K:K,$B114,'Executive Pay Breakdown'!M:M)</f>
        <v>16086469</v>
      </c>
      <c r="L114" s="69">
        <f>SUMIF('Executive Pay Breakdown'!O:O,$B114,'Executive Pay Breakdown'!Q:Q)</f>
        <v>15824348</v>
      </c>
      <c r="M114" s="69">
        <f>SUMIF('Executive Pay Breakdown'!S:S,$B114,'Executive Pay Breakdown'!U:U)</f>
        <v>11806195</v>
      </c>
      <c r="N114" s="69">
        <f>SUMIF('Executive Pay Breakdown'!W:W,$B114,'Executive Pay Breakdown'!Y:Y)</f>
        <v>14560748</v>
      </c>
      <c r="O114" s="69">
        <f>SUMIF('Executive Pay Breakdown'!AA:AA,$B114,'Executive Pay Breakdown'!AC:AC)</f>
        <v>13883615</v>
      </c>
    </row>
    <row r="115" hidden="1">
      <c r="A115" s="62"/>
      <c r="B115" s="86" t="s">
        <v>232</v>
      </c>
      <c r="C115" s="117" t="s">
        <v>72</v>
      </c>
      <c r="D115" s="122"/>
      <c r="E115" s="90"/>
      <c r="F115" s="88"/>
      <c r="G115" s="118"/>
      <c r="H115" s="120"/>
      <c r="I115" s="89">
        <f>SUMIF('Executive Pay Breakdown'!K:K,$B115,'Executive Pay Breakdown'!M:M)+SUMIF('Executive Pay Breakdown'!O:O,$B115,'Executive Pay Breakdown'!Q:Q)+SUMIF('Executive Pay Breakdown'!S:S,$B115,'Executive Pay Breakdown'!U:U)+SUMIF('Executive Pay Breakdown'!W:W,$B115,'Executive Pay Breakdown'!Y:Y)+SUMIF('Executive Pay Breakdown'!AA:AA,$B115,'Executive Pay Breakdown'!AC:AC)</f>
        <v>15821039</v>
      </c>
      <c r="J115" s="109"/>
      <c r="K115" s="69">
        <f>SUMIF('Executive Pay Breakdown'!K:K,$B115,'Executive Pay Breakdown'!M:M)</f>
        <v>3259047</v>
      </c>
      <c r="L115" s="69">
        <f>SUMIF('Executive Pay Breakdown'!O:O,$B115,'Executive Pay Breakdown'!Q:Q)</f>
        <v>3887770</v>
      </c>
      <c r="M115" s="69">
        <f>SUMIF('Executive Pay Breakdown'!S:S,$B115,'Executive Pay Breakdown'!U:U)</f>
        <v>2907243</v>
      </c>
      <c r="N115" s="69">
        <f>SUMIF('Executive Pay Breakdown'!W:W,$B115,'Executive Pay Breakdown'!Y:Y)</f>
        <v>2953666</v>
      </c>
      <c r="O115" s="69">
        <f>SUMIF('Executive Pay Breakdown'!AA:AA,$B115,'Executive Pay Breakdown'!AC:AC)</f>
        <v>2813313</v>
      </c>
    </row>
    <row r="116" hidden="1">
      <c r="A116" s="62"/>
      <c r="B116" s="130" t="s">
        <v>233</v>
      </c>
      <c r="C116" s="118" t="s">
        <v>22</v>
      </c>
      <c r="D116" s="122"/>
      <c r="E116" s="90"/>
      <c r="F116" s="88"/>
      <c r="G116" s="118"/>
      <c r="H116" s="120"/>
      <c r="I116" s="89">
        <f>SUMIF('Executive Pay Breakdown'!K:K,$B116,'Executive Pay Breakdown'!M:M)+SUMIF('Executive Pay Breakdown'!O:O,$B116,'Executive Pay Breakdown'!Q:Q)+SUMIF('Executive Pay Breakdown'!S:S,$B116,'Executive Pay Breakdown'!U:U)+SUMIF('Executive Pay Breakdown'!W:W,$B116,'Executive Pay Breakdown'!Y:Y)+SUMIF('Executive Pay Breakdown'!AA:AA,$B116,'Executive Pay Breakdown'!AC:AC)</f>
        <v>9980558</v>
      </c>
      <c r="J116" s="109"/>
      <c r="K116" s="69">
        <f>SUMIF('Executive Pay Breakdown'!K:K,$B116,'Executive Pay Breakdown'!M:M)</f>
        <v>1488300</v>
      </c>
      <c r="L116" s="69">
        <f>SUMIF('Executive Pay Breakdown'!O:O,$B116,'Executive Pay Breakdown'!Q:Q)</f>
        <v>2839907</v>
      </c>
      <c r="M116" s="69">
        <f>SUMIF('Executive Pay Breakdown'!S:S,$B116,'Executive Pay Breakdown'!U:U)</f>
        <v>2457568</v>
      </c>
      <c r="N116" s="69">
        <f>SUMIF('Executive Pay Breakdown'!W:W,$B116,'Executive Pay Breakdown'!Y:Y)</f>
        <v>1907433</v>
      </c>
      <c r="O116" s="69">
        <f>SUMIF('Executive Pay Breakdown'!AA:AA,$B116,'Executive Pay Breakdown'!AC:AC)</f>
        <v>1287350</v>
      </c>
    </row>
    <row r="117" hidden="1">
      <c r="A117" s="62"/>
      <c r="B117" s="125" t="s">
        <v>234</v>
      </c>
      <c r="C117" s="118" t="s">
        <v>23</v>
      </c>
      <c r="D117" s="122"/>
      <c r="E117" s="90"/>
      <c r="F117" s="88"/>
      <c r="G117" s="118"/>
      <c r="H117" s="120"/>
      <c r="I117" s="89">
        <f>SUMIF('Executive Pay Breakdown'!K:K,$B117,'Executive Pay Breakdown'!M:M)+SUMIF('Executive Pay Breakdown'!O:O,$B117,'Executive Pay Breakdown'!Q:Q)+SUMIF('Executive Pay Breakdown'!S:S,$B117,'Executive Pay Breakdown'!U:U)+SUMIF('Executive Pay Breakdown'!W:W,$B117,'Executive Pay Breakdown'!Y:Y)+SUMIF('Executive Pay Breakdown'!AA:AA,$B117,'Executive Pay Breakdown'!AC:AC)</f>
        <v>11092160</v>
      </c>
      <c r="J117" s="109"/>
      <c r="K117" s="69">
        <f>SUMIF('Executive Pay Breakdown'!K:K,$B117,'Executive Pay Breakdown'!M:M)</f>
        <v>2450459</v>
      </c>
      <c r="L117" s="69">
        <f>SUMIF('Executive Pay Breakdown'!O:O,$B117,'Executive Pay Breakdown'!Q:Q)</f>
        <v>2551867</v>
      </c>
      <c r="M117" s="69">
        <f>SUMIF('Executive Pay Breakdown'!S:S,$B117,'Executive Pay Breakdown'!U:U)</f>
        <v>1911229</v>
      </c>
      <c r="N117" s="69">
        <f>SUMIF('Executive Pay Breakdown'!W:W,$B117,'Executive Pay Breakdown'!Y:Y)</f>
        <v>2049619</v>
      </c>
      <c r="O117" s="69">
        <f>SUMIF('Executive Pay Breakdown'!AA:AA,$B117,'Executive Pay Breakdown'!AC:AC)</f>
        <v>2128986</v>
      </c>
    </row>
    <row r="118" hidden="1">
      <c r="A118" s="62"/>
      <c r="B118" s="129" t="s">
        <v>235</v>
      </c>
      <c r="C118" s="118" t="s">
        <v>19</v>
      </c>
      <c r="D118" s="122"/>
      <c r="E118" s="90"/>
      <c r="F118" s="88"/>
      <c r="G118" s="118"/>
      <c r="H118" s="120"/>
      <c r="I118" s="89">
        <f>SUMIF('Executive Pay Breakdown'!K:K,$B118,'Executive Pay Breakdown'!M:M)+SUMIF('Executive Pay Breakdown'!O:O,$B118,'Executive Pay Breakdown'!Q:Q)+SUMIF('Executive Pay Breakdown'!S:S,$B118,'Executive Pay Breakdown'!U:U)+SUMIF('Executive Pay Breakdown'!W:W,$B118,'Executive Pay Breakdown'!Y:Y)+SUMIF('Executive Pay Breakdown'!AA:AA,$B118,'Executive Pay Breakdown'!AC:AC)</f>
        <v>35504046</v>
      </c>
      <c r="J118" s="109"/>
      <c r="K118" s="69">
        <f>SUMIF('Executive Pay Breakdown'!K:K,$B118,'Executive Pay Breakdown'!M:M)</f>
        <v>7720500</v>
      </c>
      <c r="L118" s="69">
        <f>SUMIF('Executive Pay Breakdown'!O:O,$B118,'Executive Pay Breakdown'!Q:Q)</f>
        <v>7128340</v>
      </c>
      <c r="M118" s="69">
        <f>SUMIF('Executive Pay Breakdown'!S:S,$B118,'Executive Pay Breakdown'!U:U)</f>
        <v>6839384</v>
      </c>
      <c r="N118" s="69">
        <f>SUMIF('Executive Pay Breakdown'!W:W,$B118,'Executive Pay Breakdown'!Y:Y)</f>
        <v>7088939</v>
      </c>
      <c r="O118" s="69">
        <f>SUMIF('Executive Pay Breakdown'!AA:AA,$B118,'Executive Pay Breakdown'!AC:AC)</f>
        <v>6726883</v>
      </c>
    </row>
    <row r="119" hidden="1">
      <c r="A119" s="62"/>
      <c r="B119" s="125" t="s">
        <v>105</v>
      </c>
      <c r="C119" s="118" t="s">
        <v>51</v>
      </c>
      <c r="D119" s="122"/>
      <c r="E119" s="90"/>
      <c r="F119" s="88"/>
      <c r="G119" s="118"/>
      <c r="H119" s="120"/>
      <c r="I119" s="89">
        <f>SUMIF('Executive Pay Breakdown'!K:K,$B119,'Executive Pay Breakdown'!M:M)+SUMIF('Executive Pay Breakdown'!O:O,$B119,'Executive Pay Breakdown'!Q:Q)+SUMIF('Executive Pay Breakdown'!S:S,$B119,'Executive Pay Breakdown'!U:U)+SUMIF('Executive Pay Breakdown'!W:W,$B119,'Executive Pay Breakdown'!Y:Y)+SUMIF('Executive Pay Breakdown'!AA:AA,$B119,'Executive Pay Breakdown'!AC:AC)</f>
        <v>128912181</v>
      </c>
      <c r="J119" s="109"/>
      <c r="K119" s="69">
        <f>SUMIF('Executive Pay Breakdown'!K:K,$B119,'Executive Pay Breakdown'!M:M)</f>
        <v>23573925</v>
      </c>
      <c r="L119" s="69">
        <f>SUMIF('Executive Pay Breakdown'!O:O,$B119,'Executive Pay Breakdown'!Q:Q)</f>
        <v>22610285</v>
      </c>
      <c r="M119" s="69">
        <f>SUMIF('Executive Pay Breakdown'!S:S,$B119,'Executive Pay Breakdown'!U:U)</f>
        <v>29016686</v>
      </c>
      <c r="N119" s="69">
        <f>SUMIF('Executive Pay Breakdown'!W:W,$B119,'Executive Pay Breakdown'!Y:Y)</f>
        <v>33070662</v>
      </c>
      <c r="O119" s="69">
        <f>SUMIF('Executive Pay Breakdown'!AA:AA,$B119,'Executive Pay Breakdown'!AC:AC)</f>
        <v>20640623</v>
      </c>
    </row>
    <row r="120" hidden="1">
      <c r="A120" s="62"/>
      <c r="B120" s="86" t="s">
        <v>236</v>
      </c>
      <c r="C120" s="117" t="s">
        <v>72</v>
      </c>
      <c r="D120" s="122"/>
      <c r="E120" s="90"/>
      <c r="F120" s="88"/>
      <c r="G120" s="118"/>
      <c r="H120" s="120"/>
      <c r="I120" s="89">
        <f>SUMIF('Executive Pay Breakdown'!K:K,$B120,'Executive Pay Breakdown'!M:M)+SUMIF('Executive Pay Breakdown'!O:O,$B120,'Executive Pay Breakdown'!Q:Q)+SUMIF('Executive Pay Breakdown'!S:S,$B120,'Executive Pay Breakdown'!U:U)+SUMIF('Executive Pay Breakdown'!W:W,$B120,'Executive Pay Breakdown'!Y:Y)+SUMIF('Executive Pay Breakdown'!AA:AA,$B120,'Executive Pay Breakdown'!AC:AC)</f>
        <v>31634428</v>
      </c>
      <c r="J120" s="109"/>
      <c r="K120" s="69">
        <f>SUMIF('Executive Pay Breakdown'!K:K,$B120,'Executive Pay Breakdown'!M:M)</f>
        <v>5948201</v>
      </c>
      <c r="L120" s="69">
        <f>SUMIF('Executive Pay Breakdown'!O:O,$B120,'Executive Pay Breakdown'!Q:Q)</f>
        <v>7272471</v>
      </c>
      <c r="M120" s="69">
        <f>SUMIF('Executive Pay Breakdown'!S:S,$B120,'Executive Pay Breakdown'!U:U)</f>
        <v>6516717</v>
      </c>
      <c r="N120" s="69">
        <f>SUMIF('Executive Pay Breakdown'!W:W,$B120,'Executive Pay Breakdown'!Y:Y)</f>
        <v>6683605</v>
      </c>
      <c r="O120" s="69">
        <f>SUMIF('Executive Pay Breakdown'!AA:AA,$B120,'Executive Pay Breakdown'!AC:AC)</f>
        <v>5213434</v>
      </c>
    </row>
    <row r="121" hidden="1">
      <c r="A121" s="62"/>
      <c r="B121" s="137" t="s">
        <v>237</v>
      </c>
      <c r="C121" s="118" t="s">
        <v>28</v>
      </c>
      <c r="D121" s="122"/>
      <c r="E121" s="90"/>
      <c r="F121" s="88"/>
      <c r="G121" s="118"/>
      <c r="H121" s="120"/>
      <c r="I121" s="89">
        <f>SUMIF('Executive Pay Breakdown'!K:K,$B121,'Executive Pay Breakdown'!M:M)+SUMIF('Executive Pay Breakdown'!O:O,$B121,'Executive Pay Breakdown'!Q:Q)+SUMIF('Executive Pay Breakdown'!S:S,$B121,'Executive Pay Breakdown'!U:U)+SUMIF('Executive Pay Breakdown'!W:W,$B121,'Executive Pay Breakdown'!Y:Y)+SUMIF('Executive Pay Breakdown'!AA:AA,$B121,'Executive Pay Breakdown'!AC:AC)</f>
        <v>48946348</v>
      </c>
      <c r="J121" s="109"/>
      <c r="K121" s="69">
        <f>SUMIF('Executive Pay Breakdown'!K:K,$B121,'Executive Pay Breakdown'!M:M)</f>
        <v>10151847</v>
      </c>
      <c r="L121" s="69">
        <f>SUMIF('Executive Pay Breakdown'!O:O,$B121,'Executive Pay Breakdown'!Q:Q)</f>
        <v>10854224</v>
      </c>
      <c r="M121" s="69">
        <f>SUMIF('Executive Pay Breakdown'!S:S,$B121,'Executive Pay Breakdown'!U:U)</f>
        <v>9879276</v>
      </c>
      <c r="N121" s="69">
        <f>SUMIF('Executive Pay Breakdown'!W:W,$B121,'Executive Pay Breakdown'!Y:Y)</f>
        <v>9146053</v>
      </c>
      <c r="O121" s="69">
        <f>SUMIF('Executive Pay Breakdown'!AA:AA,$B121,'Executive Pay Breakdown'!AC:AC)</f>
        <v>8914948</v>
      </c>
    </row>
    <row r="122" hidden="1">
      <c r="A122" s="62"/>
      <c r="B122" s="125" t="s">
        <v>238</v>
      </c>
      <c r="C122" s="118" t="s">
        <v>18</v>
      </c>
      <c r="D122" s="122"/>
      <c r="E122" s="90"/>
      <c r="F122" s="88"/>
      <c r="G122" s="118"/>
      <c r="H122" s="120"/>
      <c r="I122" s="89">
        <f>SUMIF('Executive Pay Breakdown'!K:K,$B122,'Executive Pay Breakdown'!M:M)+SUMIF('Executive Pay Breakdown'!O:O,$B122,'Executive Pay Breakdown'!Q:Q)+SUMIF('Executive Pay Breakdown'!S:S,$B122,'Executive Pay Breakdown'!U:U)+SUMIF('Executive Pay Breakdown'!W:W,$B122,'Executive Pay Breakdown'!Y:Y)+SUMIF('Executive Pay Breakdown'!AA:AA,$B122,'Executive Pay Breakdown'!AC:AC)</f>
        <v>73959798</v>
      </c>
      <c r="J122" s="109"/>
      <c r="K122" s="69">
        <f>SUMIF('Executive Pay Breakdown'!K:K,$B122,'Executive Pay Breakdown'!M:M)</f>
        <v>13804149</v>
      </c>
      <c r="L122" s="69">
        <f>SUMIF('Executive Pay Breakdown'!O:O,$B122,'Executive Pay Breakdown'!Q:Q)</f>
        <v>17566163</v>
      </c>
      <c r="M122" s="69">
        <f>SUMIF('Executive Pay Breakdown'!S:S,$B122,'Executive Pay Breakdown'!U:U)</f>
        <v>15614418</v>
      </c>
      <c r="N122" s="69">
        <f>SUMIF('Executive Pay Breakdown'!W:W,$B122,'Executive Pay Breakdown'!Y:Y)</f>
        <v>14748051</v>
      </c>
      <c r="O122" s="69">
        <f>SUMIF('Executive Pay Breakdown'!AA:AA,$B122,'Executive Pay Breakdown'!AC:AC)</f>
        <v>12227017</v>
      </c>
    </row>
    <row r="123" hidden="1">
      <c r="A123" s="81"/>
      <c r="B123" s="134" t="s">
        <v>239</v>
      </c>
      <c r="C123" s="118" t="s">
        <v>56</v>
      </c>
      <c r="D123" s="122"/>
      <c r="E123" s="90"/>
      <c r="F123" s="88"/>
      <c r="G123" s="118"/>
      <c r="H123" s="120"/>
      <c r="I123" s="89">
        <f>SUMIF('Executive Pay Breakdown'!K:K,$B123,'Executive Pay Breakdown'!M:M)+SUMIF('Executive Pay Breakdown'!O:O,$B123,'Executive Pay Breakdown'!Q:Q)+SUMIF('Executive Pay Breakdown'!S:S,$B123,'Executive Pay Breakdown'!U:U)+SUMIF('Executive Pay Breakdown'!W:W,$B123,'Executive Pay Breakdown'!Y:Y)+SUMIF('Executive Pay Breakdown'!AA:AA,$B123,'Executive Pay Breakdown'!AC:AC)</f>
        <v>10175354</v>
      </c>
      <c r="J123" s="109"/>
      <c r="K123" s="69">
        <f>SUMIF('Executive Pay Breakdown'!K:K,$B123,'Executive Pay Breakdown'!M:M)</f>
        <v>5386177</v>
      </c>
      <c r="L123" s="69">
        <f>SUMIF('Executive Pay Breakdown'!O:O,$B123,'Executive Pay Breakdown'!Q:Q)</f>
        <v>0</v>
      </c>
      <c r="M123" s="69">
        <f>SUMIF('Executive Pay Breakdown'!S:S,$B123,'Executive Pay Breakdown'!U:U)</f>
        <v>0</v>
      </c>
      <c r="N123" s="69">
        <f>SUMIF('Executive Pay Breakdown'!W:W,$B123,'Executive Pay Breakdown'!Y:Y)</f>
        <v>0</v>
      </c>
      <c r="O123" s="69">
        <f>SUMIF('Executive Pay Breakdown'!AA:AA,$B123,'Executive Pay Breakdown'!AC:AC)</f>
        <v>4789177</v>
      </c>
    </row>
    <row r="124" hidden="1">
      <c r="A124" s="62"/>
      <c r="B124" s="86" t="s">
        <v>240</v>
      </c>
      <c r="C124" s="117" t="s">
        <v>72</v>
      </c>
      <c r="D124" s="122"/>
      <c r="E124" s="90"/>
      <c r="F124" s="88"/>
      <c r="G124" s="118"/>
      <c r="H124" s="120"/>
      <c r="I124" s="89">
        <f>SUMIF('Executive Pay Breakdown'!K:K,$B124,'Executive Pay Breakdown'!M:M)+SUMIF('Executive Pay Breakdown'!O:O,$B124,'Executive Pay Breakdown'!Q:Q)+SUMIF('Executive Pay Breakdown'!S:S,$B124,'Executive Pay Breakdown'!U:U)+SUMIF('Executive Pay Breakdown'!W:W,$B124,'Executive Pay Breakdown'!Y:Y)+SUMIF('Executive Pay Breakdown'!AA:AA,$B124,'Executive Pay Breakdown'!AC:AC)</f>
        <v>84584589</v>
      </c>
      <c r="J124" s="109"/>
      <c r="K124" s="69">
        <f>SUMIF('Executive Pay Breakdown'!K:K,$B124,'Executive Pay Breakdown'!M:M)</f>
        <v>15367279</v>
      </c>
      <c r="L124" s="69">
        <f>SUMIF('Executive Pay Breakdown'!O:O,$B124,'Executive Pay Breakdown'!Q:Q)</f>
        <v>18576014</v>
      </c>
      <c r="M124" s="69">
        <f>SUMIF('Executive Pay Breakdown'!S:S,$B124,'Executive Pay Breakdown'!U:U)</f>
        <v>17770781</v>
      </c>
      <c r="N124" s="69">
        <f>SUMIF('Executive Pay Breakdown'!W:W,$B124,'Executive Pay Breakdown'!Y:Y)</f>
        <v>18921598</v>
      </c>
      <c r="O124" s="69">
        <f>SUMIF('Executive Pay Breakdown'!AA:AA,$B124,'Executive Pay Breakdown'!AC:AC)</f>
        <v>13948917</v>
      </c>
    </row>
    <row r="125" hidden="1">
      <c r="A125" s="62"/>
      <c r="B125" s="86" t="s">
        <v>241</v>
      </c>
      <c r="C125" s="117" t="s">
        <v>63</v>
      </c>
      <c r="D125" s="122"/>
      <c r="E125" s="90"/>
      <c r="F125" s="88"/>
      <c r="G125" s="118"/>
      <c r="H125" s="120"/>
      <c r="I125" s="89">
        <f>SUMIF('Executive Pay Breakdown'!K:K,$B125,'Executive Pay Breakdown'!M:M)+SUMIF('Executive Pay Breakdown'!O:O,$B125,'Executive Pay Breakdown'!Q:Q)+SUMIF('Executive Pay Breakdown'!S:S,$B125,'Executive Pay Breakdown'!U:U)+SUMIF('Executive Pay Breakdown'!W:W,$B125,'Executive Pay Breakdown'!Y:Y)+SUMIF('Executive Pay Breakdown'!AA:AA,$B125,'Executive Pay Breakdown'!AC:AC)</f>
        <v>38028619</v>
      </c>
      <c r="J125" s="109"/>
      <c r="K125" s="69">
        <f>SUMIF('Executive Pay Breakdown'!K:K,$B125,'Executive Pay Breakdown'!M:M)</f>
        <v>6611316</v>
      </c>
      <c r="L125" s="69">
        <f>SUMIF('Executive Pay Breakdown'!O:O,$B125,'Executive Pay Breakdown'!Q:Q)</f>
        <v>12184259</v>
      </c>
      <c r="M125" s="69">
        <f>SUMIF('Executive Pay Breakdown'!S:S,$B125,'Executive Pay Breakdown'!U:U)</f>
        <v>6674117</v>
      </c>
      <c r="N125" s="69">
        <f>SUMIF('Executive Pay Breakdown'!W:W,$B125,'Executive Pay Breakdown'!Y:Y)</f>
        <v>6516082</v>
      </c>
      <c r="O125" s="69">
        <f>SUMIF('Executive Pay Breakdown'!AA:AA,$B125,'Executive Pay Breakdown'!AC:AC)</f>
        <v>6042845</v>
      </c>
    </row>
    <row r="126" hidden="1">
      <c r="A126" s="62"/>
      <c r="B126" s="86" t="s">
        <v>242</v>
      </c>
      <c r="C126" s="118" t="s">
        <v>75</v>
      </c>
      <c r="D126" s="122"/>
      <c r="E126" s="90"/>
      <c r="F126" s="88"/>
      <c r="G126" s="118"/>
      <c r="H126" s="120"/>
      <c r="I126" s="89">
        <f>SUMIF('Executive Pay Breakdown'!K:K,$B126,'Executive Pay Breakdown'!M:M)+SUMIF('Executive Pay Breakdown'!O:O,$B126,'Executive Pay Breakdown'!Q:Q)+SUMIF('Executive Pay Breakdown'!S:S,$B126,'Executive Pay Breakdown'!U:U)+SUMIF('Executive Pay Breakdown'!W:W,$B126,'Executive Pay Breakdown'!Y:Y)+SUMIF('Executive Pay Breakdown'!AA:AA,$B126,'Executive Pay Breakdown'!AC:AC)</f>
        <v>10447330</v>
      </c>
      <c r="J126" s="109"/>
      <c r="K126" s="69">
        <f>SUMIF('Executive Pay Breakdown'!K:K,$B126,'Executive Pay Breakdown'!M:M)</f>
        <v>2170462</v>
      </c>
      <c r="L126" s="69">
        <f>SUMIF('Executive Pay Breakdown'!O:O,$B126,'Executive Pay Breakdown'!Q:Q)</f>
        <v>1848932</v>
      </c>
      <c r="M126" s="69">
        <f>SUMIF('Executive Pay Breakdown'!S:S,$B126,'Executive Pay Breakdown'!U:U)</f>
        <v>2234520</v>
      </c>
      <c r="N126" s="69">
        <f>SUMIF('Executive Pay Breakdown'!W:W,$B126,'Executive Pay Breakdown'!Y:Y)</f>
        <v>2201940</v>
      </c>
      <c r="O126" s="69">
        <f>SUMIF('Executive Pay Breakdown'!AA:AA,$B126,'Executive Pay Breakdown'!AC:AC)</f>
        <v>1991476</v>
      </c>
    </row>
    <row r="127" hidden="1">
      <c r="A127" s="62"/>
      <c r="B127" s="86" t="s">
        <v>243</v>
      </c>
      <c r="C127" s="117" t="s">
        <v>68</v>
      </c>
      <c r="D127" s="122"/>
      <c r="E127" s="90"/>
      <c r="F127" s="88"/>
      <c r="G127" s="118"/>
      <c r="H127" s="120"/>
      <c r="I127" s="89">
        <f>SUMIF('Executive Pay Breakdown'!K:K,$B127,'Executive Pay Breakdown'!M:M)+SUMIF('Executive Pay Breakdown'!O:O,$B127,'Executive Pay Breakdown'!Q:Q)+SUMIF('Executive Pay Breakdown'!S:S,$B127,'Executive Pay Breakdown'!U:U)+SUMIF('Executive Pay Breakdown'!W:W,$B127,'Executive Pay Breakdown'!Y:Y)+SUMIF('Executive Pay Breakdown'!AA:AA,$B127,'Executive Pay Breakdown'!AC:AC)</f>
        <v>9584656</v>
      </c>
      <c r="J127" s="109"/>
      <c r="K127" s="69">
        <f>SUMIF('Executive Pay Breakdown'!K:K,$B127,'Executive Pay Breakdown'!M:M)</f>
        <v>2117834</v>
      </c>
      <c r="L127" s="69">
        <f>SUMIF('Executive Pay Breakdown'!O:O,$B127,'Executive Pay Breakdown'!Q:Q)</f>
        <v>1994036</v>
      </c>
      <c r="M127" s="69">
        <f>SUMIF('Executive Pay Breakdown'!S:S,$B127,'Executive Pay Breakdown'!U:U)</f>
        <v>1533581</v>
      </c>
      <c r="N127" s="69">
        <f>SUMIF('Executive Pay Breakdown'!W:W,$B127,'Executive Pay Breakdown'!Y:Y)</f>
        <v>1976315</v>
      </c>
      <c r="O127" s="69">
        <f>SUMIF('Executive Pay Breakdown'!AA:AA,$B127,'Executive Pay Breakdown'!AC:AC)</f>
        <v>1962890</v>
      </c>
    </row>
    <row r="128" hidden="1">
      <c r="A128" s="62"/>
      <c r="B128" s="86" t="s">
        <v>244</v>
      </c>
      <c r="C128" s="118" t="s">
        <v>28</v>
      </c>
      <c r="D128" s="122"/>
      <c r="E128" s="90"/>
      <c r="F128" s="88"/>
      <c r="G128" s="118"/>
      <c r="H128" s="120"/>
      <c r="I128" s="89">
        <f>SUMIF('Executive Pay Breakdown'!K:K,$B128,'Executive Pay Breakdown'!M:M)+SUMIF('Executive Pay Breakdown'!O:O,$B128,'Executive Pay Breakdown'!Q:Q)+SUMIF('Executive Pay Breakdown'!S:S,$B128,'Executive Pay Breakdown'!U:U)+SUMIF('Executive Pay Breakdown'!W:W,$B128,'Executive Pay Breakdown'!Y:Y)+SUMIF('Executive Pay Breakdown'!AA:AA,$B128,'Executive Pay Breakdown'!AC:AC)</f>
        <v>11702225</v>
      </c>
      <c r="J128" s="109"/>
      <c r="K128" s="69">
        <f>SUMIF('Executive Pay Breakdown'!K:K,$B128,'Executive Pay Breakdown'!M:M)</f>
        <v>2332900</v>
      </c>
      <c r="L128" s="69">
        <f>SUMIF('Executive Pay Breakdown'!O:O,$B128,'Executive Pay Breakdown'!Q:Q)</f>
        <v>2567086</v>
      </c>
      <c r="M128" s="69">
        <f>SUMIF('Executive Pay Breakdown'!S:S,$B128,'Executive Pay Breakdown'!U:U)</f>
        <v>2423775</v>
      </c>
      <c r="N128" s="69">
        <f>SUMIF('Executive Pay Breakdown'!W:W,$B128,'Executive Pay Breakdown'!Y:Y)</f>
        <v>2207319</v>
      </c>
      <c r="O128" s="69">
        <f>SUMIF('Executive Pay Breakdown'!AA:AA,$B128,'Executive Pay Breakdown'!AC:AC)</f>
        <v>2171145</v>
      </c>
    </row>
    <row r="129" hidden="1">
      <c r="A129" s="62"/>
      <c r="B129" s="86" t="s">
        <v>245</v>
      </c>
      <c r="C129" s="117" t="s">
        <v>68</v>
      </c>
      <c r="D129" s="122"/>
      <c r="E129" s="90"/>
      <c r="F129" s="88"/>
      <c r="G129" s="118"/>
      <c r="H129" s="120"/>
      <c r="I129" s="89">
        <f>SUMIF('Executive Pay Breakdown'!K:K,$B129,'Executive Pay Breakdown'!M:M)+SUMIF('Executive Pay Breakdown'!O:O,$B129,'Executive Pay Breakdown'!Q:Q)+SUMIF('Executive Pay Breakdown'!S:S,$B129,'Executive Pay Breakdown'!U:U)+SUMIF('Executive Pay Breakdown'!W:W,$B129,'Executive Pay Breakdown'!Y:Y)+SUMIF('Executive Pay Breakdown'!AA:AA,$B129,'Executive Pay Breakdown'!AC:AC)</f>
        <v>33979956</v>
      </c>
      <c r="J129" s="109"/>
      <c r="K129" s="69">
        <f>SUMIF('Executive Pay Breakdown'!K:K,$B129,'Executive Pay Breakdown'!M:M)</f>
        <v>7300613</v>
      </c>
      <c r="L129" s="69">
        <f>SUMIF('Executive Pay Breakdown'!O:O,$B129,'Executive Pay Breakdown'!Q:Q)</f>
        <v>6981685</v>
      </c>
      <c r="M129" s="69">
        <f>SUMIF('Executive Pay Breakdown'!S:S,$B129,'Executive Pay Breakdown'!U:U)</f>
        <v>5979555</v>
      </c>
      <c r="N129" s="69">
        <f>SUMIF('Executive Pay Breakdown'!W:W,$B129,'Executive Pay Breakdown'!Y:Y)</f>
        <v>6893752</v>
      </c>
      <c r="O129" s="69">
        <f>SUMIF('Executive Pay Breakdown'!AA:AA,$B129,'Executive Pay Breakdown'!AC:AC)</f>
        <v>6824351</v>
      </c>
    </row>
    <row r="130" hidden="1">
      <c r="A130" s="81"/>
      <c r="B130" s="134" t="s">
        <v>246</v>
      </c>
      <c r="C130" s="118" t="s">
        <v>65</v>
      </c>
      <c r="D130" s="122"/>
      <c r="E130" s="90"/>
      <c r="F130" s="88"/>
      <c r="G130" s="118"/>
      <c r="H130" s="120"/>
      <c r="I130" s="89">
        <f>SUMIF('Executive Pay Breakdown'!K:K,$B130,'Executive Pay Breakdown'!M:M)+SUMIF('Executive Pay Breakdown'!O:O,$B130,'Executive Pay Breakdown'!Q:Q)+SUMIF('Executive Pay Breakdown'!S:S,$B130,'Executive Pay Breakdown'!U:U)+SUMIF('Executive Pay Breakdown'!W:W,$B130,'Executive Pay Breakdown'!Y:Y)+SUMIF('Executive Pay Breakdown'!AA:AA,$B130,'Executive Pay Breakdown'!AC:AC)</f>
        <v>9925525</v>
      </c>
      <c r="J130" s="109"/>
      <c r="K130" s="69">
        <f>SUMIF('Executive Pay Breakdown'!K:K,$B130,'Executive Pay Breakdown'!M:M)</f>
        <v>5117787</v>
      </c>
      <c r="L130" s="69">
        <f>SUMIF('Executive Pay Breakdown'!O:O,$B130,'Executive Pay Breakdown'!Q:Q)</f>
        <v>0</v>
      </c>
      <c r="M130" s="69">
        <f>SUMIF('Executive Pay Breakdown'!S:S,$B130,'Executive Pay Breakdown'!U:U)</f>
        <v>0</v>
      </c>
      <c r="N130" s="69">
        <f>SUMIF('Executive Pay Breakdown'!W:W,$B130,'Executive Pay Breakdown'!Y:Y)</f>
        <v>0</v>
      </c>
      <c r="O130" s="69">
        <f>SUMIF('Executive Pay Breakdown'!AA:AA,$B130,'Executive Pay Breakdown'!AC:AC)</f>
        <v>4807738</v>
      </c>
    </row>
    <row r="131" hidden="1">
      <c r="A131" s="81"/>
      <c r="B131" s="134" t="s">
        <v>247</v>
      </c>
      <c r="C131" s="118" t="s">
        <v>65</v>
      </c>
      <c r="D131" s="122"/>
      <c r="E131" s="90"/>
      <c r="F131" s="88"/>
      <c r="G131" s="118"/>
      <c r="H131" s="120"/>
      <c r="I131" s="89">
        <f>SUMIF('Executive Pay Breakdown'!K:K,$B131,'Executive Pay Breakdown'!M:M)+SUMIF('Executive Pay Breakdown'!O:O,$B131,'Executive Pay Breakdown'!Q:Q)+SUMIF('Executive Pay Breakdown'!S:S,$B131,'Executive Pay Breakdown'!U:U)+SUMIF('Executive Pay Breakdown'!W:W,$B131,'Executive Pay Breakdown'!Y:Y)+SUMIF('Executive Pay Breakdown'!AA:AA,$B131,'Executive Pay Breakdown'!AC:AC)</f>
        <v>27646102</v>
      </c>
      <c r="J131" s="109"/>
      <c r="K131" s="69">
        <f>SUMIF('Executive Pay Breakdown'!K:K,$B131,'Executive Pay Breakdown'!M:M)</f>
        <v>5311334</v>
      </c>
      <c r="L131" s="69">
        <f>SUMIF('Executive Pay Breakdown'!O:O,$B131,'Executive Pay Breakdown'!Q:Q)</f>
        <v>5417223</v>
      </c>
      <c r="M131" s="69">
        <f>SUMIF('Executive Pay Breakdown'!S:S,$B131,'Executive Pay Breakdown'!U:U)</f>
        <v>6764333</v>
      </c>
      <c r="N131" s="69">
        <f>SUMIF('Executive Pay Breakdown'!W:W,$B131,'Executive Pay Breakdown'!Y:Y)</f>
        <v>5118329</v>
      </c>
      <c r="O131" s="69">
        <f>SUMIF('Executive Pay Breakdown'!AA:AA,$B131,'Executive Pay Breakdown'!AC:AC)</f>
        <v>5034883</v>
      </c>
    </row>
    <row r="132" hidden="1">
      <c r="A132" s="62"/>
      <c r="B132" s="86" t="s">
        <v>248</v>
      </c>
      <c r="C132" s="117" t="s">
        <v>71</v>
      </c>
      <c r="D132" s="122"/>
      <c r="E132" s="90"/>
      <c r="F132" s="88"/>
      <c r="G132" s="118"/>
      <c r="H132" s="120"/>
      <c r="I132" s="89">
        <f>SUMIF('Executive Pay Breakdown'!K:K,$B132,'Executive Pay Breakdown'!M:M)+SUMIF('Executive Pay Breakdown'!O:O,$B132,'Executive Pay Breakdown'!Q:Q)+SUMIF('Executive Pay Breakdown'!S:S,$B132,'Executive Pay Breakdown'!U:U)+SUMIF('Executive Pay Breakdown'!W:W,$B132,'Executive Pay Breakdown'!Y:Y)+SUMIF('Executive Pay Breakdown'!AA:AA,$B132,'Executive Pay Breakdown'!AC:AC)</f>
        <v>12144522</v>
      </c>
      <c r="J132" s="109"/>
      <c r="K132" s="69">
        <f>SUMIF('Executive Pay Breakdown'!K:K,$B132,'Executive Pay Breakdown'!M:M)</f>
        <v>2669869</v>
      </c>
      <c r="L132" s="69">
        <f>SUMIF('Executive Pay Breakdown'!O:O,$B132,'Executive Pay Breakdown'!Q:Q)</f>
        <v>2603415</v>
      </c>
      <c r="M132" s="69">
        <f>SUMIF('Executive Pay Breakdown'!S:S,$B132,'Executive Pay Breakdown'!U:U)</f>
        <v>2232977</v>
      </c>
      <c r="N132" s="69">
        <f>SUMIF('Executive Pay Breakdown'!W:W,$B132,'Executive Pay Breakdown'!Y:Y)</f>
        <v>2103639</v>
      </c>
      <c r="O132" s="69">
        <f>SUMIF('Executive Pay Breakdown'!AA:AA,$B132,'Executive Pay Breakdown'!AC:AC)</f>
        <v>2534622</v>
      </c>
    </row>
    <row r="133" hidden="1">
      <c r="A133" s="62"/>
      <c r="B133" s="125" t="s">
        <v>249</v>
      </c>
      <c r="C133" s="118" t="s">
        <v>27</v>
      </c>
      <c r="D133" s="122"/>
      <c r="E133" s="90"/>
      <c r="F133" s="88"/>
      <c r="G133" s="118"/>
      <c r="H133" s="120"/>
      <c r="I133" s="89">
        <f>SUMIF('Executive Pay Breakdown'!K:K,$B133,'Executive Pay Breakdown'!M:M)+SUMIF('Executive Pay Breakdown'!O:O,$B133,'Executive Pay Breakdown'!Q:Q)+SUMIF('Executive Pay Breakdown'!S:S,$B133,'Executive Pay Breakdown'!U:U)+SUMIF('Executive Pay Breakdown'!W:W,$B133,'Executive Pay Breakdown'!Y:Y)+SUMIF('Executive Pay Breakdown'!AA:AA,$B133,'Executive Pay Breakdown'!AC:AC)</f>
        <v>14811611</v>
      </c>
      <c r="J133" s="109"/>
      <c r="K133" s="69">
        <f>SUMIF('Executive Pay Breakdown'!K:K,$B133,'Executive Pay Breakdown'!M:M)</f>
        <v>3162836</v>
      </c>
      <c r="L133" s="69">
        <f>SUMIF('Executive Pay Breakdown'!O:O,$B133,'Executive Pay Breakdown'!Q:Q)</f>
        <v>3520949</v>
      </c>
      <c r="M133" s="69">
        <f>SUMIF('Executive Pay Breakdown'!S:S,$B133,'Executive Pay Breakdown'!U:U)</f>
        <v>2638271</v>
      </c>
      <c r="N133" s="69">
        <f>SUMIF('Executive Pay Breakdown'!W:W,$B133,'Executive Pay Breakdown'!Y:Y)</f>
        <v>2485536</v>
      </c>
      <c r="O133" s="69">
        <f>SUMIF('Executive Pay Breakdown'!AA:AA,$B133,'Executive Pay Breakdown'!AC:AC)</f>
        <v>3004019</v>
      </c>
    </row>
    <row r="134" hidden="1">
      <c r="A134" s="62" t="s">
        <v>86</v>
      </c>
      <c r="B134" s="131" t="s">
        <v>99</v>
      </c>
      <c r="C134" s="118" t="s">
        <v>29</v>
      </c>
      <c r="D134" s="122"/>
      <c r="E134" s="90"/>
      <c r="F134" s="88"/>
      <c r="G134" s="118"/>
      <c r="H134" s="120"/>
      <c r="I134" s="89">
        <f>SUMIF('Executive Pay Breakdown'!K:K,$B134,'Executive Pay Breakdown'!M:M)+SUMIF('Executive Pay Breakdown'!O:O,$B134,'Executive Pay Breakdown'!Q:Q)+SUMIF('Executive Pay Breakdown'!S:S,$B134,'Executive Pay Breakdown'!U:U)+SUMIF('Executive Pay Breakdown'!W:W,$B134,'Executive Pay Breakdown'!Y:Y)+SUMIF('Executive Pay Breakdown'!AA:AA,$B134,'Executive Pay Breakdown'!AC:AC)</f>
        <v>138573120</v>
      </c>
      <c r="J134" s="109"/>
      <c r="K134" s="69">
        <f>SUMIF('Executive Pay Breakdown'!K:K,$B134,'Executive Pay Breakdown'!M:M)</f>
        <v>29868893</v>
      </c>
      <c r="L134" s="69">
        <f>SUMIF('Executive Pay Breakdown'!O:O,$B134,'Executive Pay Breakdown'!Q:Q)</f>
        <v>28602112</v>
      </c>
      <c r="M134" s="69">
        <f>SUMIF('Executive Pay Breakdown'!S:S,$B134,'Executive Pay Breakdown'!U:U)</f>
        <v>25740775</v>
      </c>
      <c r="N134" s="69">
        <f>SUMIF('Executive Pay Breakdown'!W:W,$B134,'Executive Pay Breakdown'!Y:Y)</f>
        <v>25969494</v>
      </c>
      <c r="O134" s="69">
        <f>SUMIF('Executive Pay Breakdown'!AA:AA,$B134,'Executive Pay Breakdown'!AC:AC)</f>
        <v>28391846</v>
      </c>
    </row>
    <row r="135" hidden="1">
      <c r="A135" s="62"/>
      <c r="B135" s="86" t="s">
        <v>250</v>
      </c>
      <c r="C135" s="117" t="s">
        <v>62</v>
      </c>
      <c r="D135" s="122"/>
      <c r="E135" s="90"/>
      <c r="F135" s="88"/>
      <c r="G135" s="118"/>
      <c r="H135" s="120"/>
      <c r="I135" s="89">
        <f>SUMIF('Executive Pay Breakdown'!K:K,$B135,'Executive Pay Breakdown'!M:M)+SUMIF('Executive Pay Breakdown'!O:O,$B135,'Executive Pay Breakdown'!Q:Q)+SUMIF('Executive Pay Breakdown'!S:S,$B135,'Executive Pay Breakdown'!U:U)+SUMIF('Executive Pay Breakdown'!W:W,$B135,'Executive Pay Breakdown'!Y:Y)+SUMIF('Executive Pay Breakdown'!AA:AA,$B135,'Executive Pay Breakdown'!AC:AC)</f>
        <v>17814072</v>
      </c>
      <c r="J135" s="109"/>
      <c r="K135" s="69">
        <f>SUMIF('Executive Pay Breakdown'!K:K,$B135,'Executive Pay Breakdown'!M:M)</f>
        <v>3754251</v>
      </c>
      <c r="L135" s="69">
        <f>SUMIF('Executive Pay Breakdown'!O:O,$B135,'Executive Pay Breakdown'!Q:Q)</f>
        <v>3787097</v>
      </c>
      <c r="M135" s="69">
        <f>SUMIF('Executive Pay Breakdown'!S:S,$B135,'Executive Pay Breakdown'!U:U)</f>
        <v>3251312</v>
      </c>
      <c r="N135" s="69">
        <f>SUMIF('Executive Pay Breakdown'!W:W,$B135,'Executive Pay Breakdown'!Y:Y)</f>
        <v>3445957</v>
      </c>
      <c r="O135" s="69">
        <f>SUMIF('Executive Pay Breakdown'!AA:AA,$B135,'Executive Pay Breakdown'!AC:AC)</f>
        <v>3575455</v>
      </c>
    </row>
    <row r="136" hidden="1">
      <c r="A136" s="62"/>
      <c r="B136" s="86" t="s">
        <v>251</v>
      </c>
      <c r="C136" s="117" t="s">
        <v>59</v>
      </c>
      <c r="D136" s="122"/>
      <c r="E136" s="90"/>
      <c r="F136" s="88"/>
      <c r="G136" s="118"/>
      <c r="H136" s="120"/>
      <c r="I136" s="89">
        <f>SUMIF('Executive Pay Breakdown'!K:K,$B136,'Executive Pay Breakdown'!M:M)+SUMIF('Executive Pay Breakdown'!O:O,$B136,'Executive Pay Breakdown'!Q:Q)+SUMIF('Executive Pay Breakdown'!S:S,$B136,'Executive Pay Breakdown'!U:U)+SUMIF('Executive Pay Breakdown'!W:W,$B136,'Executive Pay Breakdown'!Y:Y)+SUMIF('Executive Pay Breakdown'!AA:AA,$B136,'Executive Pay Breakdown'!AC:AC)</f>
        <v>45010141</v>
      </c>
      <c r="J136" s="109"/>
      <c r="K136" s="69">
        <f>SUMIF('Executive Pay Breakdown'!K:K,$B136,'Executive Pay Breakdown'!M:M)</f>
        <v>9426954</v>
      </c>
      <c r="L136" s="69">
        <f>SUMIF('Executive Pay Breakdown'!O:O,$B136,'Executive Pay Breakdown'!Q:Q)</f>
        <v>9708693</v>
      </c>
      <c r="M136" s="69">
        <f>SUMIF('Executive Pay Breakdown'!S:S,$B136,'Executive Pay Breakdown'!U:U)</f>
        <v>7542532</v>
      </c>
      <c r="N136" s="69">
        <f>SUMIF('Executive Pay Breakdown'!W:W,$B136,'Executive Pay Breakdown'!Y:Y)</f>
        <v>9332849</v>
      </c>
      <c r="O136" s="69">
        <f>SUMIF('Executive Pay Breakdown'!AA:AA,$B136,'Executive Pay Breakdown'!AC:AC)</f>
        <v>8999113</v>
      </c>
    </row>
    <row r="137" hidden="1">
      <c r="A137" s="62"/>
      <c r="B137" s="127" t="s">
        <v>252</v>
      </c>
      <c r="C137" s="118" t="s">
        <v>34</v>
      </c>
      <c r="D137" s="122"/>
      <c r="E137" s="90"/>
      <c r="F137" s="88"/>
      <c r="G137" s="118"/>
      <c r="H137" s="120"/>
      <c r="I137" s="89">
        <f>SUMIF('Executive Pay Breakdown'!K:K,$B137,'Executive Pay Breakdown'!M:M)+SUMIF('Executive Pay Breakdown'!O:O,$B137,'Executive Pay Breakdown'!Q:Q)+SUMIF('Executive Pay Breakdown'!S:S,$B137,'Executive Pay Breakdown'!U:U)+SUMIF('Executive Pay Breakdown'!W:W,$B137,'Executive Pay Breakdown'!Y:Y)+SUMIF('Executive Pay Breakdown'!AA:AA,$B137,'Executive Pay Breakdown'!AC:AC)</f>
        <v>16916973</v>
      </c>
      <c r="J137" s="109"/>
      <c r="K137" s="69">
        <f>SUMIF('Executive Pay Breakdown'!K:K,$B137,'Executive Pay Breakdown'!M:M)</f>
        <v>3369474</v>
      </c>
      <c r="L137" s="69">
        <f>SUMIF('Executive Pay Breakdown'!O:O,$B137,'Executive Pay Breakdown'!Q:Q)</f>
        <v>3442338</v>
      </c>
      <c r="M137" s="69">
        <f>SUMIF('Executive Pay Breakdown'!S:S,$B137,'Executive Pay Breakdown'!U:U)</f>
        <v>3674009</v>
      </c>
      <c r="N137" s="69">
        <f>SUMIF('Executive Pay Breakdown'!W:W,$B137,'Executive Pay Breakdown'!Y:Y)</f>
        <v>3186440</v>
      </c>
      <c r="O137" s="69">
        <f>SUMIF('Executive Pay Breakdown'!AA:AA,$B137,'Executive Pay Breakdown'!AC:AC)</f>
        <v>3244712</v>
      </c>
    </row>
    <row r="138" hidden="1">
      <c r="A138" s="62"/>
      <c r="B138" s="86" t="s">
        <v>253</v>
      </c>
      <c r="C138" s="117" t="s">
        <v>66</v>
      </c>
      <c r="D138" s="122"/>
      <c r="E138" s="90"/>
      <c r="F138" s="88"/>
      <c r="G138" s="118"/>
      <c r="H138" s="120"/>
      <c r="I138" s="89">
        <f>SUMIF('Executive Pay Breakdown'!K:K,$B138,'Executive Pay Breakdown'!M:M)+SUMIF('Executive Pay Breakdown'!O:O,$B138,'Executive Pay Breakdown'!Q:Q)+SUMIF('Executive Pay Breakdown'!S:S,$B138,'Executive Pay Breakdown'!U:U)+SUMIF('Executive Pay Breakdown'!W:W,$B138,'Executive Pay Breakdown'!Y:Y)+SUMIF('Executive Pay Breakdown'!AA:AA,$B138,'Executive Pay Breakdown'!AC:AC)</f>
        <v>20740248</v>
      </c>
      <c r="J138" s="109"/>
      <c r="K138" s="69">
        <f>SUMIF('Executive Pay Breakdown'!K:K,$B138,'Executive Pay Breakdown'!M:M)</f>
        <v>5400143</v>
      </c>
      <c r="L138" s="69">
        <f>SUMIF('Executive Pay Breakdown'!O:O,$B138,'Executive Pay Breakdown'!Q:Q)</f>
        <v>6651394</v>
      </c>
      <c r="M138" s="69">
        <f>SUMIF('Executive Pay Breakdown'!S:S,$B138,'Executive Pay Breakdown'!U:U)</f>
        <v>3481123</v>
      </c>
      <c r="N138" s="69">
        <f>SUMIF('Executive Pay Breakdown'!W:W,$B138,'Executive Pay Breakdown'!Y:Y)</f>
        <v>0</v>
      </c>
      <c r="O138" s="69">
        <f>SUMIF('Executive Pay Breakdown'!AA:AA,$B138,'Executive Pay Breakdown'!AC:AC)</f>
        <v>5207588</v>
      </c>
    </row>
    <row r="139" hidden="1">
      <c r="A139" s="81" t="s">
        <v>86</v>
      </c>
      <c r="B139" s="127" t="s">
        <v>121</v>
      </c>
      <c r="C139" s="118" t="s">
        <v>17</v>
      </c>
      <c r="D139" s="122"/>
      <c r="E139" s="90"/>
      <c r="F139" s="88"/>
      <c r="G139" s="118"/>
      <c r="H139" s="120"/>
      <c r="I139" s="89">
        <f>SUMIF('Executive Pay Breakdown'!K:K,$B139,'Executive Pay Breakdown'!M:M)+SUMIF('Executive Pay Breakdown'!O:O,$B139,'Executive Pay Breakdown'!Q:Q)+SUMIF('Executive Pay Breakdown'!S:S,$B139,'Executive Pay Breakdown'!U:U)+SUMIF('Executive Pay Breakdown'!W:W,$B139,'Executive Pay Breakdown'!Y:Y)+SUMIF('Executive Pay Breakdown'!AA:AA,$B139,'Executive Pay Breakdown'!AC:AC)</f>
        <v>106511754</v>
      </c>
      <c r="J139" s="109"/>
      <c r="K139" s="69">
        <f>SUMIF('Executive Pay Breakdown'!K:K,$B139,'Executive Pay Breakdown'!M:M)</f>
        <v>3219778</v>
      </c>
      <c r="L139" s="69">
        <f>SUMIF('Executive Pay Breakdown'!O:O,$B139,'Executive Pay Breakdown'!Q:Q)</f>
        <v>3060317</v>
      </c>
      <c r="M139" s="69">
        <f>SUMIF('Executive Pay Breakdown'!S:S,$B139,'Executive Pay Breakdown'!U:U)</f>
        <v>94761246</v>
      </c>
      <c r="N139" s="69">
        <f>SUMIF('Executive Pay Breakdown'!W:W,$B139,'Executive Pay Breakdown'!Y:Y)</f>
        <v>2357756</v>
      </c>
      <c r="O139" s="69">
        <f>SUMIF('Executive Pay Breakdown'!AA:AA,$B139,'Executive Pay Breakdown'!AC:AC)</f>
        <v>3112657</v>
      </c>
    </row>
    <row r="140" hidden="1">
      <c r="A140" s="81"/>
      <c r="B140" s="134" t="s">
        <v>254</v>
      </c>
      <c r="C140" s="118" t="s">
        <v>65</v>
      </c>
      <c r="D140" s="122"/>
      <c r="E140" s="90"/>
      <c r="F140" s="88"/>
      <c r="G140" s="118"/>
      <c r="H140" s="120"/>
      <c r="I140" s="89">
        <f>SUMIF('Executive Pay Breakdown'!K:K,$B140,'Executive Pay Breakdown'!M:M)+SUMIF('Executive Pay Breakdown'!O:O,$B140,'Executive Pay Breakdown'!Q:Q)+SUMIF('Executive Pay Breakdown'!S:S,$B140,'Executive Pay Breakdown'!U:U)+SUMIF('Executive Pay Breakdown'!W:W,$B140,'Executive Pay Breakdown'!Y:Y)+SUMIF('Executive Pay Breakdown'!AA:AA,$B140,'Executive Pay Breakdown'!AC:AC)</f>
        <v>38721367</v>
      </c>
      <c r="J140" s="109"/>
      <c r="K140" s="69">
        <f>SUMIF('Executive Pay Breakdown'!K:K,$B140,'Executive Pay Breakdown'!M:M)</f>
        <v>7755200</v>
      </c>
      <c r="L140" s="69">
        <f>SUMIF('Executive Pay Breakdown'!O:O,$B140,'Executive Pay Breakdown'!Q:Q)</f>
        <v>8094974</v>
      </c>
      <c r="M140" s="69">
        <f>SUMIF('Executive Pay Breakdown'!S:S,$B140,'Executive Pay Breakdown'!U:U)</f>
        <v>8548754</v>
      </c>
      <c r="N140" s="69">
        <f>SUMIF('Executive Pay Breakdown'!W:W,$B140,'Executive Pay Breakdown'!Y:Y)</f>
        <v>6825067</v>
      </c>
      <c r="O140" s="69">
        <f>SUMIF('Executive Pay Breakdown'!AA:AA,$B140,'Executive Pay Breakdown'!AC:AC)</f>
        <v>7497372</v>
      </c>
    </row>
    <row r="141" hidden="1">
      <c r="A141" s="62"/>
      <c r="B141" s="86" t="s">
        <v>255</v>
      </c>
      <c r="C141" s="117" t="s">
        <v>68</v>
      </c>
      <c r="D141" s="122"/>
      <c r="E141" s="90"/>
      <c r="F141" s="88"/>
      <c r="G141" s="118"/>
      <c r="H141" s="120"/>
      <c r="I141" s="89">
        <f>SUMIF('Executive Pay Breakdown'!K:K,$B141,'Executive Pay Breakdown'!M:M)+SUMIF('Executive Pay Breakdown'!O:O,$B141,'Executive Pay Breakdown'!Q:Q)+SUMIF('Executive Pay Breakdown'!S:S,$B141,'Executive Pay Breakdown'!U:U)+SUMIF('Executive Pay Breakdown'!W:W,$B141,'Executive Pay Breakdown'!Y:Y)+SUMIF('Executive Pay Breakdown'!AA:AA,$B141,'Executive Pay Breakdown'!AC:AC)</f>
        <v>8140662</v>
      </c>
      <c r="J141" s="109"/>
      <c r="K141" s="69">
        <f>SUMIF('Executive Pay Breakdown'!K:K,$B141,'Executive Pay Breakdown'!M:M)</f>
        <v>1789732</v>
      </c>
      <c r="L141" s="69">
        <f>SUMIF('Executive Pay Breakdown'!O:O,$B141,'Executive Pay Breakdown'!Q:Q)</f>
        <v>1710752</v>
      </c>
      <c r="M141" s="69">
        <f>SUMIF('Executive Pay Breakdown'!S:S,$B141,'Executive Pay Breakdown'!U:U)</f>
        <v>1468446</v>
      </c>
      <c r="N141" s="69">
        <f>SUMIF('Executive Pay Breakdown'!W:W,$B141,'Executive Pay Breakdown'!Y:Y)</f>
        <v>1424649</v>
      </c>
      <c r="O141" s="69">
        <f>SUMIF('Executive Pay Breakdown'!AA:AA,$B141,'Executive Pay Breakdown'!AC:AC)</f>
        <v>1747083</v>
      </c>
    </row>
    <row r="142" hidden="1">
      <c r="A142" s="62"/>
      <c r="B142" s="86" t="s">
        <v>256</v>
      </c>
      <c r="C142" s="117" t="s">
        <v>68</v>
      </c>
      <c r="D142" s="122"/>
      <c r="E142" s="90"/>
      <c r="F142" s="88"/>
      <c r="G142" s="118"/>
      <c r="H142" s="120"/>
      <c r="I142" s="89">
        <f>SUMIF('Executive Pay Breakdown'!K:K,$B142,'Executive Pay Breakdown'!M:M)+SUMIF('Executive Pay Breakdown'!O:O,$B142,'Executive Pay Breakdown'!Q:Q)+SUMIF('Executive Pay Breakdown'!S:S,$B142,'Executive Pay Breakdown'!U:U)+SUMIF('Executive Pay Breakdown'!W:W,$B142,'Executive Pay Breakdown'!Y:Y)+SUMIF('Executive Pay Breakdown'!AA:AA,$B142,'Executive Pay Breakdown'!AC:AC)</f>
        <v>8401477</v>
      </c>
      <c r="J142" s="109"/>
      <c r="K142" s="69">
        <f>SUMIF('Executive Pay Breakdown'!K:K,$B142,'Executive Pay Breakdown'!M:M)</f>
        <v>1841637</v>
      </c>
      <c r="L142" s="69">
        <f>SUMIF('Executive Pay Breakdown'!O:O,$B142,'Executive Pay Breakdown'!Q:Q)</f>
        <v>1767474</v>
      </c>
      <c r="M142" s="69">
        <f>SUMIF('Executive Pay Breakdown'!S:S,$B142,'Executive Pay Breakdown'!U:U)</f>
        <v>1513352</v>
      </c>
      <c r="N142" s="69">
        <f>SUMIF('Executive Pay Breakdown'!W:W,$B142,'Executive Pay Breakdown'!Y:Y)</f>
        <v>1479597</v>
      </c>
      <c r="O142" s="69">
        <f>SUMIF('Executive Pay Breakdown'!AA:AA,$B142,'Executive Pay Breakdown'!AC:AC)</f>
        <v>1799417</v>
      </c>
    </row>
    <row r="143" hidden="1">
      <c r="A143" s="62"/>
      <c r="B143" s="86" t="s">
        <v>257</v>
      </c>
      <c r="C143" s="117" t="s">
        <v>66</v>
      </c>
      <c r="D143" s="122"/>
      <c r="E143" s="90"/>
      <c r="F143" s="88"/>
      <c r="G143" s="118"/>
      <c r="H143" s="120"/>
      <c r="I143" s="89">
        <f>SUMIF('Executive Pay Breakdown'!K:K,$B143,'Executive Pay Breakdown'!M:M)+SUMIF('Executive Pay Breakdown'!O:O,$B143,'Executive Pay Breakdown'!Q:Q)+SUMIF('Executive Pay Breakdown'!S:S,$B143,'Executive Pay Breakdown'!U:U)+SUMIF('Executive Pay Breakdown'!W:W,$B143,'Executive Pay Breakdown'!Y:Y)+SUMIF('Executive Pay Breakdown'!AA:AA,$B143,'Executive Pay Breakdown'!AC:AC)</f>
        <v>34949198</v>
      </c>
      <c r="J143" s="109"/>
      <c r="K143" s="69">
        <f>SUMIF('Executive Pay Breakdown'!K:K,$B143,'Executive Pay Breakdown'!M:M)</f>
        <v>6882920</v>
      </c>
      <c r="L143" s="69">
        <f>SUMIF('Executive Pay Breakdown'!O:O,$B143,'Executive Pay Breakdown'!Q:Q)</f>
        <v>5628500</v>
      </c>
      <c r="M143" s="69">
        <f>SUMIF('Executive Pay Breakdown'!S:S,$B143,'Executive Pay Breakdown'!U:U)</f>
        <v>7365266</v>
      </c>
      <c r="N143" s="69">
        <f>SUMIF('Executive Pay Breakdown'!W:W,$B143,'Executive Pay Breakdown'!Y:Y)</f>
        <v>8336163</v>
      </c>
      <c r="O143" s="69">
        <f>SUMIF('Executive Pay Breakdown'!AA:AA,$B143,'Executive Pay Breakdown'!AC:AC)</f>
        <v>6736349</v>
      </c>
    </row>
    <row r="144" hidden="1">
      <c r="A144" s="62"/>
      <c r="B144" s="127" t="s">
        <v>258</v>
      </c>
      <c r="C144" s="118" t="s">
        <v>40</v>
      </c>
      <c r="D144" s="122"/>
      <c r="E144" s="90"/>
      <c r="F144" s="88"/>
      <c r="G144" s="118"/>
      <c r="H144" s="120"/>
      <c r="I144" s="89">
        <f>SUMIF('Executive Pay Breakdown'!K:K,$B144,'Executive Pay Breakdown'!M:M)+SUMIF('Executive Pay Breakdown'!O:O,$B144,'Executive Pay Breakdown'!Q:Q)+SUMIF('Executive Pay Breakdown'!S:S,$B144,'Executive Pay Breakdown'!U:U)+SUMIF('Executive Pay Breakdown'!W:W,$B144,'Executive Pay Breakdown'!Y:Y)+SUMIF('Executive Pay Breakdown'!AA:AA,$B144,'Executive Pay Breakdown'!AC:AC)</f>
        <v>29064937</v>
      </c>
      <c r="J144" s="109"/>
      <c r="K144" s="69">
        <f>SUMIF('Executive Pay Breakdown'!K:K,$B144,'Executive Pay Breakdown'!M:M)</f>
        <v>5751915</v>
      </c>
      <c r="L144" s="69">
        <f>SUMIF('Executive Pay Breakdown'!O:O,$B144,'Executive Pay Breakdown'!Q:Q)</f>
        <v>5829452</v>
      </c>
      <c r="M144" s="69">
        <f>SUMIF('Executive Pay Breakdown'!S:S,$B144,'Executive Pay Breakdown'!U:U)</f>
        <v>5414402</v>
      </c>
      <c r="N144" s="69">
        <f>SUMIF('Executive Pay Breakdown'!W:W,$B144,'Executive Pay Breakdown'!Y:Y)</f>
        <v>6419295</v>
      </c>
      <c r="O144" s="69">
        <f>SUMIF('Executive Pay Breakdown'!AA:AA,$B144,'Executive Pay Breakdown'!AC:AC)</f>
        <v>5649873</v>
      </c>
    </row>
    <row r="145" hidden="1">
      <c r="A145" s="62"/>
      <c r="B145" s="86" t="s">
        <v>259</v>
      </c>
      <c r="C145" s="118" t="s">
        <v>39</v>
      </c>
      <c r="D145" s="122"/>
      <c r="E145" s="90"/>
      <c r="F145" s="88"/>
      <c r="G145" s="118"/>
      <c r="H145" s="120"/>
      <c r="I145" s="89">
        <f>SUMIF('Executive Pay Breakdown'!K:K,$B145,'Executive Pay Breakdown'!M:M)+SUMIF('Executive Pay Breakdown'!O:O,$B145,'Executive Pay Breakdown'!Q:Q)+SUMIF('Executive Pay Breakdown'!S:S,$B145,'Executive Pay Breakdown'!U:U)+SUMIF('Executive Pay Breakdown'!W:W,$B145,'Executive Pay Breakdown'!Y:Y)+SUMIF('Executive Pay Breakdown'!AA:AA,$B145,'Executive Pay Breakdown'!AC:AC)</f>
        <v>12438133</v>
      </c>
      <c r="J145" s="109"/>
      <c r="K145" s="69">
        <f>SUMIF('Executive Pay Breakdown'!K:K,$B145,'Executive Pay Breakdown'!M:M)</f>
        <v>2608121</v>
      </c>
      <c r="L145" s="69">
        <f>SUMIF('Executive Pay Breakdown'!O:O,$B145,'Executive Pay Breakdown'!Q:Q)</f>
        <v>2146478</v>
      </c>
      <c r="M145" s="69">
        <f>SUMIF('Executive Pay Breakdown'!S:S,$B145,'Executive Pay Breakdown'!U:U)</f>
        <v>2864429</v>
      </c>
      <c r="N145" s="69">
        <f>SUMIF('Executive Pay Breakdown'!W:W,$B145,'Executive Pay Breakdown'!Y:Y)</f>
        <v>2208528</v>
      </c>
      <c r="O145" s="69">
        <f>SUMIF('Executive Pay Breakdown'!AA:AA,$B145,'Executive Pay Breakdown'!AC:AC)</f>
        <v>2610577</v>
      </c>
    </row>
    <row r="146" hidden="1">
      <c r="A146" s="62"/>
      <c r="B146" s="129" t="s">
        <v>260</v>
      </c>
      <c r="C146" s="118" t="s">
        <v>73</v>
      </c>
      <c r="D146" s="122"/>
      <c r="E146" s="90"/>
      <c r="F146" s="88"/>
      <c r="G146" s="118"/>
      <c r="H146" s="120"/>
      <c r="I146" s="89">
        <f>SUMIF('Executive Pay Breakdown'!K:K,$B146,'Executive Pay Breakdown'!M:M)+SUMIF('Executive Pay Breakdown'!O:O,$B146,'Executive Pay Breakdown'!Q:Q)+SUMIF('Executive Pay Breakdown'!S:S,$B146,'Executive Pay Breakdown'!U:U)+SUMIF('Executive Pay Breakdown'!W:W,$B146,'Executive Pay Breakdown'!Y:Y)+SUMIF('Executive Pay Breakdown'!AA:AA,$B146,'Executive Pay Breakdown'!AC:AC)</f>
        <v>44772975</v>
      </c>
      <c r="J146" s="109"/>
      <c r="K146" s="69">
        <f>SUMIF('Executive Pay Breakdown'!K:K,$B146,'Executive Pay Breakdown'!M:M)</f>
        <v>11618900</v>
      </c>
      <c r="L146" s="69">
        <f>SUMIF('Executive Pay Breakdown'!O:O,$B146,'Executive Pay Breakdown'!Q:Q)</f>
        <v>8603097</v>
      </c>
      <c r="M146" s="69">
        <f>SUMIF('Executive Pay Breakdown'!S:S,$B146,'Executive Pay Breakdown'!U:U)</f>
        <v>7427530</v>
      </c>
      <c r="N146" s="69">
        <f>SUMIF('Executive Pay Breakdown'!W:W,$B146,'Executive Pay Breakdown'!Y:Y)</f>
        <v>5459670</v>
      </c>
      <c r="O146" s="69">
        <f>SUMIF('Executive Pay Breakdown'!AA:AA,$B146,'Executive Pay Breakdown'!AC:AC)</f>
        <v>11663778</v>
      </c>
    </row>
    <row r="147" hidden="1">
      <c r="A147" s="62"/>
      <c r="B147" s="120" t="s">
        <v>261</v>
      </c>
      <c r="C147" s="118" t="s">
        <v>14</v>
      </c>
      <c r="D147" s="122"/>
      <c r="E147" s="90"/>
      <c r="F147" s="88"/>
      <c r="G147" s="118"/>
      <c r="H147" s="120"/>
      <c r="I147" s="89">
        <f>SUMIF('Executive Pay Breakdown'!K:K,$B147,'Executive Pay Breakdown'!M:M)+SUMIF('Executive Pay Breakdown'!O:O,$B147,'Executive Pay Breakdown'!Q:Q)+SUMIF('Executive Pay Breakdown'!S:S,$B147,'Executive Pay Breakdown'!U:U)+SUMIF('Executive Pay Breakdown'!W:W,$B147,'Executive Pay Breakdown'!Y:Y)+SUMIF('Executive Pay Breakdown'!AA:AA,$B147,'Executive Pay Breakdown'!AC:AC)</f>
        <v>42136057</v>
      </c>
      <c r="J147" s="109"/>
      <c r="K147" s="69">
        <f>SUMIF('Executive Pay Breakdown'!K:K,$B147,'Executive Pay Breakdown'!M:M)</f>
        <v>8881597</v>
      </c>
      <c r="L147" s="69">
        <f>SUMIF('Executive Pay Breakdown'!O:O,$B147,'Executive Pay Breakdown'!Q:Q)</f>
        <v>8005245</v>
      </c>
      <c r="M147" s="69">
        <f>SUMIF('Executive Pay Breakdown'!S:S,$B147,'Executive Pay Breakdown'!U:U)</f>
        <v>7832913</v>
      </c>
      <c r="N147" s="69">
        <f>SUMIF('Executive Pay Breakdown'!W:W,$B147,'Executive Pay Breakdown'!Y:Y)</f>
        <v>8294833</v>
      </c>
      <c r="O147" s="69">
        <f>SUMIF('Executive Pay Breakdown'!AA:AA,$B147,'Executive Pay Breakdown'!AC:AC)</f>
        <v>9121469</v>
      </c>
    </row>
    <row r="148" hidden="1">
      <c r="A148" s="62"/>
      <c r="B148" s="86" t="s">
        <v>262</v>
      </c>
      <c r="C148" s="118" t="s">
        <v>45</v>
      </c>
      <c r="D148" s="122"/>
      <c r="E148" s="90"/>
      <c r="F148" s="88"/>
      <c r="G148" s="118"/>
      <c r="H148" s="120"/>
      <c r="I148" s="89">
        <f>SUMIF('Executive Pay Breakdown'!K:K,$B148,'Executive Pay Breakdown'!M:M)+SUMIF('Executive Pay Breakdown'!O:O,$B148,'Executive Pay Breakdown'!Q:Q)+SUMIF('Executive Pay Breakdown'!S:S,$B148,'Executive Pay Breakdown'!U:U)+SUMIF('Executive Pay Breakdown'!W:W,$B148,'Executive Pay Breakdown'!Y:Y)+SUMIF('Executive Pay Breakdown'!AA:AA,$B148,'Executive Pay Breakdown'!AC:AC)</f>
        <v>8825572</v>
      </c>
      <c r="J148" s="109"/>
      <c r="K148" s="69">
        <f>SUMIF('Executive Pay Breakdown'!K:K,$B148,'Executive Pay Breakdown'!M:M)</f>
        <v>1792380</v>
      </c>
      <c r="L148" s="69">
        <f>SUMIF('Executive Pay Breakdown'!O:O,$B148,'Executive Pay Breakdown'!Q:Q)</f>
        <v>1889278</v>
      </c>
      <c r="M148" s="69">
        <f>SUMIF('Executive Pay Breakdown'!S:S,$B148,'Executive Pay Breakdown'!U:U)</f>
        <v>1690856</v>
      </c>
      <c r="N148" s="69">
        <f>SUMIF('Executive Pay Breakdown'!W:W,$B148,'Executive Pay Breakdown'!Y:Y)</f>
        <v>1609101</v>
      </c>
      <c r="O148" s="69">
        <f>SUMIF('Executive Pay Breakdown'!AA:AA,$B148,'Executive Pay Breakdown'!AC:AC)</f>
        <v>1843957</v>
      </c>
    </row>
    <row r="149" hidden="1">
      <c r="A149" s="62"/>
      <c r="B149" s="125" t="s">
        <v>263</v>
      </c>
      <c r="C149" s="118" t="s">
        <v>22</v>
      </c>
      <c r="D149" s="122"/>
      <c r="E149" s="90"/>
      <c r="F149" s="88"/>
      <c r="G149" s="118"/>
      <c r="H149" s="120"/>
      <c r="I149" s="89">
        <f>SUMIF('Executive Pay Breakdown'!K:K,$B149,'Executive Pay Breakdown'!M:M)+SUMIF('Executive Pay Breakdown'!O:O,$B149,'Executive Pay Breakdown'!Q:Q)+SUMIF('Executive Pay Breakdown'!S:S,$B149,'Executive Pay Breakdown'!U:U)+SUMIF('Executive Pay Breakdown'!W:W,$B149,'Executive Pay Breakdown'!Y:Y)+SUMIF('Executive Pay Breakdown'!AA:AA,$B149,'Executive Pay Breakdown'!AC:AC)</f>
        <v>23530982</v>
      </c>
      <c r="J149" s="109"/>
      <c r="K149" s="69">
        <f>SUMIF('Executive Pay Breakdown'!K:K,$B149,'Executive Pay Breakdown'!M:M)</f>
        <v>3023465</v>
      </c>
      <c r="L149" s="69">
        <f>SUMIF('Executive Pay Breakdown'!O:O,$B149,'Executive Pay Breakdown'!Q:Q)</f>
        <v>4575773</v>
      </c>
      <c r="M149" s="69">
        <f>SUMIF('Executive Pay Breakdown'!S:S,$B149,'Executive Pay Breakdown'!U:U)</f>
        <v>8167332</v>
      </c>
      <c r="N149" s="69">
        <f>SUMIF('Executive Pay Breakdown'!W:W,$B149,'Executive Pay Breakdown'!Y:Y)</f>
        <v>4642173</v>
      </c>
      <c r="O149" s="69">
        <f>SUMIF('Executive Pay Breakdown'!AA:AA,$B149,'Executive Pay Breakdown'!AC:AC)</f>
        <v>3122239</v>
      </c>
    </row>
    <row r="150" hidden="1">
      <c r="A150" s="62"/>
      <c r="B150" s="86" t="s">
        <v>264</v>
      </c>
      <c r="C150" s="118" t="s">
        <v>28</v>
      </c>
      <c r="D150" s="122"/>
      <c r="E150" s="90"/>
      <c r="F150" s="88"/>
      <c r="G150" s="118"/>
      <c r="H150" s="120"/>
      <c r="I150" s="89">
        <f>SUMIF('Executive Pay Breakdown'!K:K,$B150,'Executive Pay Breakdown'!M:M)+SUMIF('Executive Pay Breakdown'!O:O,$B150,'Executive Pay Breakdown'!Q:Q)+SUMIF('Executive Pay Breakdown'!S:S,$B150,'Executive Pay Breakdown'!U:U)+SUMIF('Executive Pay Breakdown'!W:W,$B150,'Executive Pay Breakdown'!Y:Y)+SUMIF('Executive Pay Breakdown'!AA:AA,$B150,'Executive Pay Breakdown'!AC:AC)</f>
        <v>11527267</v>
      </c>
      <c r="J150" s="109"/>
      <c r="K150" s="69">
        <f>SUMIF('Executive Pay Breakdown'!K:K,$B150,'Executive Pay Breakdown'!M:M)</f>
        <v>2107527</v>
      </c>
      <c r="L150" s="69">
        <f>SUMIF('Executive Pay Breakdown'!O:O,$B150,'Executive Pay Breakdown'!Q:Q)</f>
        <v>2567086</v>
      </c>
      <c r="M150" s="69">
        <f>SUMIF('Executive Pay Breakdown'!S:S,$B150,'Executive Pay Breakdown'!U:U)</f>
        <v>2423775</v>
      </c>
      <c r="N150" s="69">
        <f>SUMIF('Executive Pay Breakdown'!W:W,$B150,'Executive Pay Breakdown'!Y:Y)</f>
        <v>2233090</v>
      </c>
      <c r="O150" s="69">
        <f>SUMIF('Executive Pay Breakdown'!AA:AA,$B150,'Executive Pay Breakdown'!AC:AC)</f>
        <v>2195789</v>
      </c>
    </row>
    <row r="151" hidden="1">
      <c r="A151" s="81"/>
      <c r="B151" s="134" t="s">
        <v>265</v>
      </c>
      <c r="C151" s="118" t="s">
        <v>56</v>
      </c>
      <c r="D151" s="122"/>
      <c r="E151" s="90"/>
      <c r="F151" s="88"/>
      <c r="G151" s="118"/>
      <c r="H151" s="120"/>
      <c r="I151" s="89">
        <f>SUMIF('Executive Pay Breakdown'!K:K,$B151,'Executive Pay Breakdown'!M:M)+SUMIF('Executive Pay Breakdown'!O:O,$B151,'Executive Pay Breakdown'!Q:Q)+SUMIF('Executive Pay Breakdown'!S:S,$B151,'Executive Pay Breakdown'!U:U)+SUMIF('Executive Pay Breakdown'!W:W,$B151,'Executive Pay Breakdown'!Y:Y)+SUMIF('Executive Pay Breakdown'!AA:AA,$B151,'Executive Pay Breakdown'!AC:AC)</f>
        <v>24954498</v>
      </c>
      <c r="J151" s="109"/>
      <c r="K151" s="69">
        <f>SUMIF('Executive Pay Breakdown'!K:K,$B151,'Executive Pay Breakdown'!M:M)</f>
        <v>5677999</v>
      </c>
      <c r="L151" s="69">
        <f>SUMIF('Executive Pay Breakdown'!O:O,$B151,'Executive Pay Breakdown'!Q:Q)</f>
        <v>3452232</v>
      </c>
      <c r="M151" s="69">
        <f>SUMIF('Executive Pay Breakdown'!S:S,$B151,'Executive Pay Breakdown'!U:U)</f>
        <v>5154792</v>
      </c>
      <c r="N151" s="69">
        <f>SUMIF('Executive Pay Breakdown'!W:W,$B151,'Executive Pay Breakdown'!Y:Y)</f>
        <v>4705929</v>
      </c>
      <c r="O151" s="69">
        <f>SUMIF('Executive Pay Breakdown'!AA:AA,$B151,'Executive Pay Breakdown'!AC:AC)</f>
        <v>5963546</v>
      </c>
    </row>
    <row r="152" hidden="1">
      <c r="A152" s="62"/>
      <c r="B152" s="86" t="s">
        <v>266</v>
      </c>
      <c r="C152" s="118" t="s">
        <v>75</v>
      </c>
      <c r="D152" s="122"/>
      <c r="E152" s="90"/>
      <c r="F152" s="88"/>
      <c r="G152" s="118"/>
      <c r="H152" s="120"/>
      <c r="I152" s="89">
        <f>SUMIF('Executive Pay Breakdown'!K:K,$B152,'Executive Pay Breakdown'!M:M)+SUMIF('Executive Pay Breakdown'!O:O,$B152,'Executive Pay Breakdown'!Q:Q)+SUMIF('Executive Pay Breakdown'!S:S,$B152,'Executive Pay Breakdown'!U:U)+SUMIF('Executive Pay Breakdown'!W:W,$B152,'Executive Pay Breakdown'!Y:Y)+SUMIF('Executive Pay Breakdown'!AA:AA,$B152,'Executive Pay Breakdown'!AC:AC)</f>
        <v>10657594</v>
      </c>
      <c r="J152" s="109"/>
      <c r="K152" s="69">
        <f>SUMIF('Executive Pay Breakdown'!K:K,$B152,'Executive Pay Breakdown'!M:M)</f>
        <v>1931645</v>
      </c>
      <c r="L152" s="69">
        <f>SUMIF('Executive Pay Breakdown'!O:O,$B152,'Executive Pay Breakdown'!Q:Q)</f>
        <v>1926900</v>
      </c>
      <c r="M152" s="69">
        <f>SUMIF('Executive Pay Breakdown'!S:S,$B152,'Executive Pay Breakdown'!U:U)</f>
        <v>2323718</v>
      </c>
      <c r="N152" s="69">
        <f>SUMIF('Executive Pay Breakdown'!W:W,$B152,'Executive Pay Breakdown'!Y:Y)</f>
        <v>2426077</v>
      </c>
      <c r="O152" s="69">
        <f>SUMIF('Executive Pay Breakdown'!AA:AA,$B152,'Executive Pay Breakdown'!AC:AC)</f>
        <v>2049254</v>
      </c>
    </row>
    <row r="153" hidden="1">
      <c r="A153" s="62"/>
      <c r="B153" s="125" t="s">
        <v>267</v>
      </c>
      <c r="C153" s="118" t="s">
        <v>51</v>
      </c>
      <c r="D153" s="122"/>
      <c r="E153" s="90"/>
      <c r="F153" s="88"/>
      <c r="G153" s="118"/>
      <c r="H153" s="120"/>
      <c r="I153" s="89">
        <f>SUMIF('Executive Pay Breakdown'!K:K,$B153,'Executive Pay Breakdown'!M:M)+SUMIF('Executive Pay Breakdown'!O:O,$B153,'Executive Pay Breakdown'!Q:Q)+SUMIF('Executive Pay Breakdown'!S:S,$B153,'Executive Pay Breakdown'!U:U)+SUMIF('Executive Pay Breakdown'!W:W,$B153,'Executive Pay Breakdown'!Y:Y)+SUMIF('Executive Pay Breakdown'!AA:AA,$B153,'Executive Pay Breakdown'!AC:AC)</f>
        <v>43214719</v>
      </c>
      <c r="J153" s="109"/>
      <c r="K153" s="69">
        <f>SUMIF('Executive Pay Breakdown'!K:K,$B153,'Executive Pay Breakdown'!M:M)</f>
        <v>7305507</v>
      </c>
      <c r="L153" s="69">
        <f>SUMIF('Executive Pay Breakdown'!O:O,$B153,'Executive Pay Breakdown'!Q:Q)</f>
        <v>8105534</v>
      </c>
      <c r="M153" s="69">
        <f>SUMIF('Executive Pay Breakdown'!S:S,$B153,'Executive Pay Breakdown'!U:U)</f>
        <v>8353214</v>
      </c>
      <c r="N153" s="69">
        <f>SUMIF('Executive Pay Breakdown'!W:W,$B153,'Executive Pay Breakdown'!Y:Y)</f>
        <v>11420420</v>
      </c>
      <c r="O153" s="69">
        <f>SUMIF('Executive Pay Breakdown'!AA:AA,$B153,'Executive Pay Breakdown'!AC:AC)</f>
        <v>8030044</v>
      </c>
    </row>
    <row r="154" hidden="1">
      <c r="A154" s="81"/>
      <c r="B154" s="135" t="s">
        <v>268</v>
      </c>
      <c r="C154" s="118" t="s">
        <v>49</v>
      </c>
      <c r="D154" s="122"/>
      <c r="E154" s="90"/>
      <c r="F154" s="88"/>
      <c r="G154" s="118"/>
      <c r="H154" s="120"/>
      <c r="I154" s="89">
        <f>SUMIF('Executive Pay Breakdown'!K:K,$B154,'Executive Pay Breakdown'!M:M)+SUMIF('Executive Pay Breakdown'!O:O,$B154,'Executive Pay Breakdown'!Q:Q)+SUMIF('Executive Pay Breakdown'!S:S,$B154,'Executive Pay Breakdown'!U:U)+SUMIF('Executive Pay Breakdown'!W:W,$B154,'Executive Pay Breakdown'!Y:Y)+SUMIF('Executive Pay Breakdown'!AA:AA,$B154,'Executive Pay Breakdown'!AC:AC)</f>
        <v>62647503</v>
      </c>
      <c r="J154" s="109"/>
      <c r="K154" s="69">
        <f>SUMIF('Executive Pay Breakdown'!K:K,$B154,'Executive Pay Breakdown'!M:M)</f>
        <v>11295315</v>
      </c>
      <c r="L154" s="69">
        <f>SUMIF('Executive Pay Breakdown'!O:O,$B154,'Executive Pay Breakdown'!Q:Q)</f>
        <v>10542922</v>
      </c>
      <c r="M154" s="69">
        <f>SUMIF('Executive Pay Breakdown'!S:S,$B154,'Executive Pay Breakdown'!U:U)</f>
        <v>18608614</v>
      </c>
      <c r="N154" s="69">
        <f>SUMIF('Executive Pay Breakdown'!W:W,$B154,'Executive Pay Breakdown'!Y:Y)</f>
        <v>9351376</v>
      </c>
      <c r="O154" s="69">
        <f>SUMIF('Executive Pay Breakdown'!AA:AA,$B154,'Executive Pay Breakdown'!AC:AC)</f>
        <v>12849276</v>
      </c>
    </row>
    <row r="155" hidden="1">
      <c r="A155" s="62"/>
      <c r="B155" s="86" t="s">
        <v>269</v>
      </c>
      <c r="C155" s="118" t="s">
        <v>39</v>
      </c>
      <c r="D155" s="122"/>
      <c r="E155" s="90"/>
      <c r="F155" s="88"/>
      <c r="G155" s="118"/>
      <c r="H155" s="120"/>
      <c r="I155" s="89">
        <f>SUMIF('Executive Pay Breakdown'!K:K,$B155,'Executive Pay Breakdown'!M:M)+SUMIF('Executive Pay Breakdown'!O:O,$B155,'Executive Pay Breakdown'!Q:Q)+SUMIF('Executive Pay Breakdown'!S:S,$B155,'Executive Pay Breakdown'!U:U)+SUMIF('Executive Pay Breakdown'!W:W,$B155,'Executive Pay Breakdown'!Y:Y)+SUMIF('Executive Pay Breakdown'!AA:AA,$B155,'Executive Pay Breakdown'!AC:AC)</f>
        <v>13161260</v>
      </c>
      <c r="J155" s="109"/>
      <c r="K155" s="69">
        <f>SUMIF('Executive Pay Breakdown'!K:K,$B155,'Executive Pay Breakdown'!M:M)</f>
        <v>2532467</v>
      </c>
      <c r="L155" s="69">
        <f>SUMIF('Executive Pay Breakdown'!O:O,$B155,'Executive Pay Breakdown'!Q:Q)</f>
        <v>2755867</v>
      </c>
      <c r="M155" s="69">
        <f>SUMIF('Executive Pay Breakdown'!S:S,$B155,'Executive Pay Breakdown'!U:U)</f>
        <v>2842848</v>
      </c>
      <c r="N155" s="69">
        <f>SUMIF('Executive Pay Breakdown'!W:W,$B155,'Executive Pay Breakdown'!Y:Y)</f>
        <v>2053703</v>
      </c>
      <c r="O155" s="69">
        <f>SUMIF('Executive Pay Breakdown'!AA:AA,$B155,'Executive Pay Breakdown'!AC:AC)</f>
        <v>2976375</v>
      </c>
    </row>
    <row r="156" hidden="1">
      <c r="A156" s="81"/>
      <c r="B156" s="134" t="s">
        <v>270</v>
      </c>
      <c r="C156" s="118" t="s">
        <v>65</v>
      </c>
      <c r="D156" s="122"/>
      <c r="E156" s="90"/>
      <c r="F156" s="88"/>
      <c r="G156" s="118"/>
      <c r="H156" s="120"/>
      <c r="I156" s="89">
        <f>SUMIF('Executive Pay Breakdown'!K:K,$B156,'Executive Pay Breakdown'!M:M)+SUMIF('Executive Pay Breakdown'!O:O,$B156,'Executive Pay Breakdown'!Q:Q)+SUMIF('Executive Pay Breakdown'!S:S,$B156,'Executive Pay Breakdown'!U:U)+SUMIF('Executive Pay Breakdown'!W:W,$B156,'Executive Pay Breakdown'!Y:Y)+SUMIF('Executive Pay Breakdown'!AA:AA,$B156,'Executive Pay Breakdown'!AC:AC)</f>
        <v>29209056</v>
      </c>
      <c r="J156" s="109"/>
      <c r="K156" s="69">
        <f>SUMIF('Executive Pay Breakdown'!K:K,$B156,'Executive Pay Breakdown'!M:M)</f>
        <v>5469689</v>
      </c>
      <c r="L156" s="69">
        <f>SUMIF('Executive Pay Breakdown'!O:O,$B156,'Executive Pay Breakdown'!Q:Q)</f>
        <v>5391094</v>
      </c>
      <c r="M156" s="69">
        <f>SUMIF('Executive Pay Breakdown'!S:S,$B156,'Executive Pay Breakdown'!U:U)</f>
        <v>6440204</v>
      </c>
      <c r="N156" s="69">
        <f>SUMIF('Executive Pay Breakdown'!W:W,$B156,'Executive Pay Breakdown'!Y:Y)</f>
        <v>5315962</v>
      </c>
      <c r="O156" s="69">
        <f>SUMIF('Executive Pay Breakdown'!AA:AA,$B156,'Executive Pay Breakdown'!AC:AC)</f>
        <v>6592107</v>
      </c>
    </row>
    <row r="157" hidden="1">
      <c r="A157" s="62"/>
      <c r="B157" s="125" t="s">
        <v>271</v>
      </c>
      <c r="C157" s="118" t="s">
        <v>51</v>
      </c>
      <c r="D157" s="122"/>
      <c r="E157" s="90"/>
      <c r="F157" s="88"/>
      <c r="G157" s="118"/>
      <c r="H157" s="120"/>
      <c r="I157" s="89">
        <f>SUMIF('Executive Pay Breakdown'!K:K,$B157,'Executive Pay Breakdown'!M:M)+SUMIF('Executive Pay Breakdown'!O:O,$B157,'Executive Pay Breakdown'!Q:Q)+SUMIF('Executive Pay Breakdown'!S:S,$B157,'Executive Pay Breakdown'!U:U)+SUMIF('Executive Pay Breakdown'!W:W,$B157,'Executive Pay Breakdown'!Y:Y)+SUMIF('Executive Pay Breakdown'!AA:AA,$B157,'Executive Pay Breakdown'!AC:AC)</f>
        <v>54865305</v>
      </c>
      <c r="J157" s="109"/>
      <c r="K157" s="69">
        <f>SUMIF('Executive Pay Breakdown'!K:K,$B157,'Executive Pay Breakdown'!M:M)</f>
        <v>8974810</v>
      </c>
      <c r="L157" s="69">
        <f>SUMIF('Executive Pay Breakdown'!O:O,$B157,'Executive Pay Breakdown'!Q:Q)</f>
        <v>9446827</v>
      </c>
      <c r="M157" s="69">
        <f>SUMIF('Executive Pay Breakdown'!S:S,$B157,'Executive Pay Breakdown'!U:U)</f>
        <v>10202056</v>
      </c>
      <c r="N157" s="69">
        <f>SUMIF('Executive Pay Breakdown'!W:W,$B157,'Executive Pay Breakdown'!Y:Y)</f>
        <v>15315630</v>
      </c>
      <c r="O157" s="69">
        <f>SUMIF('Executive Pay Breakdown'!AA:AA,$B157,'Executive Pay Breakdown'!AC:AC)</f>
        <v>10925982</v>
      </c>
    </row>
    <row r="158" hidden="1">
      <c r="A158" s="71"/>
      <c r="B158" s="124" t="s">
        <v>272</v>
      </c>
      <c r="C158" s="118" t="s">
        <v>58</v>
      </c>
      <c r="D158" s="122"/>
      <c r="E158" s="90"/>
      <c r="F158" s="88"/>
      <c r="G158" s="118"/>
      <c r="H158" s="120"/>
      <c r="I158" s="89">
        <f>SUMIF('Executive Pay Breakdown'!K:K,$B158,'Executive Pay Breakdown'!M:M)+SUMIF('Executive Pay Breakdown'!O:O,$B158,'Executive Pay Breakdown'!Q:Q)+SUMIF('Executive Pay Breakdown'!S:S,$B158,'Executive Pay Breakdown'!U:U)+SUMIF('Executive Pay Breakdown'!W:W,$B158,'Executive Pay Breakdown'!Y:Y)+SUMIF('Executive Pay Breakdown'!AA:AA,$B158,'Executive Pay Breakdown'!AC:AC)</f>
        <v>25493085</v>
      </c>
      <c r="J158" s="109"/>
      <c r="K158" s="69">
        <f>SUMIF('Executive Pay Breakdown'!K:K,$B158,'Executive Pay Breakdown'!M:M)</f>
        <v>5348604</v>
      </c>
      <c r="L158" s="69">
        <f>SUMIF('Executive Pay Breakdown'!O:O,$B158,'Executive Pay Breakdown'!Q:Q)</f>
        <v>5073519</v>
      </c>
      <c r="M158" s="69">
        <f>SUMIF('Executive Pay Breakdown'!S:S,$B158,'Executive Pay Breakdown'!U:U)</f>
        <v>4200244</v>
      </c>
      <c r="N158" s="69">
        <f>SUMIF('Executive Pay Breakdown'!W:W,$B158,'Executive Pay Breakdown'!Y:Y)</f>
        <v>4344743</v>
      </c>
      <c r="O158" s="69">
        <f>SUMIF('Executive Pay Breakdown'!AA:AA,$B158,'Executive Pay Breakdown'!AC:AC)</f>
        <v>6525975</v>
      </c>
    </row>
    <row r="159" hidden="1">
      <c r="A159" s="62"/>
      <c r="B159" s="86" t="s">
        <v>273</v>
      </c>
      <c r="C159" s="118" t="s">
        <v>77</v>
      </c>
      <c r="D159" s="122"/>
      <c r="E159" s="90"/>
      <c r="F159" s="88"/>
      <c r="G159" s="118"/>
      <c r="H159" s="120"/>
      <c r="I159" s="89">
        <f>SUMIF('Executive Pay Breakdown'!K:K,$B159,'Executive Pay Breakdown'!M:M)+SUMIF('Executive Pay Breakdown'!O:O,$B159,'Executive Pay Breakdown'!Q:Q)+SUMIF('Executive Pay Breakdown'!S:S,$B159,'Executive Pay Breakdown'!U:U)+SUMIF('Executive Pay Breakdown'!W:W,$B159,'Executive Pay Breakdown'!Y:Y)+SUMIF('Executive Pay Breakdown'!AA:AA,$B159,'Executive Pay Breakdown'!AC:AC)</f>
        <v>8155949</v>
      </c>
      <c r="J159" s="109"/>
      <c r="K159" s="69">
        <f>SUMIF('Executive Pay Breakdown'!K:K,$B159,'Executive Pay Breakdown'!M:M)</f>
        <v>3672852</v>
      </c>
      <c r="L159" s="69">
        <f>SUMIF('Executive Pay Breakdown'!O:O,$B159,'Executive Pay Breakdown'!Q:Q)</f>
        <v>0</v>
      </c>
      <c r="M159" s="69">
        <f>SUMIF('Executive Pay Breakdown'!S:S,$B159,'Executive Pay Breakdown'!U:U)</f>
        <v>0</v>
      </c>
      <c r="N159" s="69">
        <f>SUMIF('Executive Pay Breakdown'!W:W,$B159,'Executive Pay Breakdown'!Y:Y)</f>
        <v>0</v>
      </c>
      <c r="O159" s="69">
        <f>SUMIF('Executive Pay Breakdown'!AA:AA,$B159,'Executive Pay Breakdown'!AC:AC)</f>
        <v>4483097</v>
      </c>
    </row>
    <row r="160" hidden="1">
      <c r="A160" s="62"/>
      <c r="B160" s="127" t="s">
        <v>95</v>
      </c>
      <c r="C160" s="118" t="s">
        <v>13</v>
      </c>
      <c r="D160" s="122"/>
      <c r="E160" s="90"/>
      <c r="F160" s="88"/>
      <c r="G160" s="118"/>
      <c r="H160" s="120"/>
      <c r="I160" s="89">
        <f>SUMIF('Executive Pay Breakdown'!K:K,$B160,'Executive Pay Breakdown'!M:M)+SUMIF('Executive Pay Breakdown'!O:O,$B160,'Executive Pay Breakdown'!Q:Q)+SUMIF('Executive Pay Breakdown'!S:S,$B160,'Executive Pay Breakdown'!U:U)+SUMIF('Executive Pay Breakdown'!W:W,$B160,'Executive Pay Breakdown'!Y:Y)+SUMIF('Executive Pay Breakdown'!AA:AA,$B160,'Executive Pay Breakdown'!AC:AC)</f>
        <v>158603797</v>
      </c>
      <c r="J160" s="109"/>
      <c r="K160" s="69">
        <f>SUMIF('Executive Pay Breakdown'!K:K,$B160,'Executive Pay Breakdown'!M:M)</f>
        <v>29060048</v>
      </c>
      <c r="L160" s="69">
        <f>SUMIF('Executive Pay Breakdown'!O:O,$B160,'Executive Pay Breakdown'!Q:Q)</f>
        <v>22610659</v>
      </c>
      <c r="M160" s="69">
        <f>SUMIF('Executive Pay Breakdown'!S:S,$B160,'Executive Pay Breakdown'!U:U)</f>
        <v>54914014</v>
      </c>
      <c r="N160" s="69">
        <f>SUMIF('Executive Pay Breakdown'!W:W,$B160,'Executive Pay Breakdown'!Y:Y)</f>
        <v>16369704</v>
      </c>
      <c r="O160" s="69">
        <f>SUMIF('Executive Pay Breakdown'!AA:AA,$B160,'Executive Pay Breakdown'!AC:AC)</f>
        <v>35649372</v>
      </c>
    </row>
    <row r="161" hidden="1">
      <c r="A161" s="62"/>
      <c r="B161" s="127" t="s">
        <v>274</v>
      </c>
      <c r="C161" s="118" t="s">
        <v>17</v>
      </c>
      <c r="D161" s="122"/>
      <c r="E161" s="90"/>
      <c r="F161" s="88"/>
      <c r="G161" s="118"/>
      <c r="H161" s="120"/>
      <c r="I161" s="89">
        <f>SUMIF('Executive Pay Breakdown'!K:K,$B161,'Executive Pay Breakdown'!M:M)+SUMIF('Executive Pay Breakdown'!O:O,$B161,'Executive Pay Breakdown'!Q:Q)+SUMIF('Executive Pay Breakdown'!S:S,$B161,'Executive Pay Breakdown'!U:U)+SUMIF('Executive Pay Breakdown'!W:W,$B161,'Executive Pay Breakdown'!Y:Y)+SUMIF('Executive Pay Breakdown'!AA:AA,$B161,'Executive Pay Breakdown'!AC:AC)</f>
        <v>9928926</v>
      </c>
      <c r="J161" s="109"/>
      <c r="K161" s="69">
        <f>SUMIF('Executive Pay Breakdown'!K:K,$B161,'Executive Pay Breakdown'!M:M)</f>
        <v>3178011</v>
      </c>
      <c r="L161" s="69">
        <f>SUMIF('Executive Pay Breakdown'!O:O,$B161,'Executive Pay Breakdown'!Q:Q)</f>
        <v>846963</v>
      </c>
      <c r="M161" s="69">
        <f>SUMIF('Executive Pay Breakdown'!S:S,$B161,'Executive Pay Breakdown'!U:U)</f>
        <v>1907478</v>
      </c>
      <c r="N161" s="69">
        <f>SUMIF('Executive Pay Breakdown'!W:W,$B161,'Executive Pay Breakdown'!Y:Y)</f>
        <v>0</v>
      </c>
      <c r="O161" s="69">
        <f>SUMIF('Executive Pay Breakdown'!AA:AA,$B161,'Executive Pay Breakdown'!AC:AC)</f>
        <v>3996474</v>
      </c>
    </row>
    <row r="162" hidden="1">
      <c r="A162" s="62"/>
      <c r="B162" s="86" t="s">
        <v>275</v>
      </c>
      <c r="C162" s="118" t="s">
        <v>67</v>
      </c>
      <c r="D162" s="122"/>
      <c r="E162" s="90"/>
      <c r="F162" s="88"/>
      <c r="G162" s="118"/>
      <c r="H162" s="120"/>
      <c r="I162" s="89">
        <f>SUMIF('Executive Pay Breakdown'!K:K,$B162,'Executive Pay Breakdown'!M:M)+SUMIF('Executive Pay Breakdown'!O:O,$B162,'Executive Pay Breakdown'!Q:Q)+SUMIF('Executive Pay Breakdown'!S:S,$B162,'Executive Pay Breakdown'!U:U)+SUMIF('Executive Pay Breakdown'!W:W,$B162,'Executive Pay Breakdown'!Y:Y)+SUMIF('Executive Pay Breakdown'!AA:AA,$B162,'Executive Pay Breakdown'!AC:AC)</f>
        <v>19658067</v>
      </c>
      <c r="J162" s="109"/>
      <c r="K162" s="69">
        <f>SUMIF('Executive Pay Breakdown'!K:K,$B162,'Executive Pay Breakdown'!M:M)</f>
        <v>1522833</v>
      </c>
      <c r="L162" s="69">
        <f>SUMIF('Executive Pay Breakdown'!O:O,$B162,'Executive Pay Breakdown'!Q:Q)</f>
        <v>7398128</v>
      </c>
      <c r="M162" s="69">
        <f>SUMIF('Executive Pay Breakdown'!S:S,$B162,'Executive Pay Breakdown'!U:U)</f>
        <v>5675833</v>
      </c>
      <c r="N162" s="69">
        <f>SUMIF('Executive Pay Breakdown'!W:W,$B162,'Executive Pay Breakdown'!Y:Y)</f>
        <v>3023155</v>
      </c>
      <c r="O162" s="69">
        <f>SUMIF('Executive Pay Breakdown'!AA:AA,$B162,'Executive Pay Breakdown'!AC:AC)</f>
        <v>2038118</v>
      </c>
    </row>
    <row r="163" hidden="1">
      <c r="A163" s="62"/>
      <c r="B163" s="86" t="s">
        <v>276</v>
      </c>
      <c r="C163" s="118" t="s">
        <v>46</v>
      </c>
      <c r="D163" s="122"/>
      <c r="E163" s="90"/>
      <c r="F163" s="88"/>
      <c r="G163" s="118"/>
      <c r="H163" s="120"/>
      <c r="I163" s="89">
        <f>SUMIF('Executive Pay Breakdown'!K:K,$B163,'Executive Pay Breakdown'!M:M)+SUMIF('Executive Pay Breakdown'!O:O,$B163,'Executive Pay Breakdown'!Q:Q)+SUMIF('Executive Pay Breakdown'!S:S,$B163,'Executive Pay Breakdown'!U:U)+SUMIF('Executive Pay Breakdown'!W:W,$B163,'Executive Pay Breakdown'!Y:Y)+SUMIF('Executive Pay Breakdown'!AA:AA,$B163,'Executive Pay Breakdown'!AC:AC)</f>
        <v>24128585</v>
      </c>
      <c r="J163" s="109"/>
      <c r="K163" s="69">
        <f>SUMIF('Executive Pay Breakdown'!K:K,$B163,'Executive Pay Breakdown'!M:M)</f>
        <v>4790676</v>
      </c>
      <c r="L163" s="69">
        <f>SUMIF('Executive Pay Breakdown'!O:O,$B163,'Executive Pay Breakdown'!Q:Q)</f>
        <v>4711733</v>
      </c>
      <c r="M163" s="69">
        <f>SUMIF('Executive Pay Breakdown'!S:S,$B163,'Executive Pay Breakdown'!U:U)</f>
        <v>3665071</v>
      </c>
      <c r="N163" s="69">
        <f>SUMIF('Executive Pay Breakdown'!W:W,$B163,'Executive Pay Breakdown'!Y:Y)</f>
        <v>4379242</v>
      </c>
      <c r="O163" s="69">
        <f>SUMIF('Executive Pay Breakdown'!AA:AA,$B163,'Executive Pay Breakdown'!AC:AC)</f>
        <v>6581863</v>
      </c>
    </row>
    <row r="164" hidden="1">
      <c r="A164" s="62"/>
      <c r="B164" s="127" t="s">
        <v>277</v>
      </c>
      <c r="C164" s="118" t="s">
        <v>26</v>
      </c>
      <c r="D164" s="122"/>
      <c r="E164" s="90"/>
      <c r="F164" s="88"/>
      <c r="G164" s="118"/>
      <c r="H164" s="120"/>
      <c r="I164" s="89">
        <f>SUMIF('Executive Pay Breakdown'!K:K,$B164,'Executive Pay Breakdown'!M:M)+SUMIF('Executive Pay Breakdown'!O:O,$B164,'Executive Pay Breakdown'!Q:Q)+SUMIF('Executive Pay Breakdown'!S:S,$B164,'Executive Pay Breakdown'!U:U)+SUMIF('Executive Pay Breakdown'!W:W,$B164,'Executive Pay Breakdown'!Y:Y)+SUMIF('Executive Pay Breakdown'!AA:AA,$B164,'Executive Pay Breakdown'!AC:AC)</f>
        <v>14376953</v>
      </c>
      <c r="J164" s="109"/>
      <c r="K164" s="69">
        <f>SUMIF('Executive Pay Breakdown'!K:K,$B164,'Executive Pay Breakdown'!M:M)</f>
        <v>3033407</v>
      </c>
      <c r="L164" s="69">
        <f>SUMIF('Executive Pay Breakdown'!O:O,$B164,'Executive Pay Breakdown'!Q:Q)</f>
        <v>2224950</v>
      </c>
      <c r="M164" s="69">
        <f>SUMIF('Executive Pay Breakdown'!S:S,$B164,'Executive Pay Breakdown'!U:U)</f>
        <v>2324165</v>
      </c>
      <c r="N164" s="69">
        <f>SUMIF('Executive Pay Breakdown'!W:W,$B164,'Executive Pay Breakdown'!Y:Y)</f>
        <v>2605008</v>
      </c>
      <c r="O164" s="69">
        <f>SUMIF('Executive Pay Breakdown'!AA:AA,$B164,'Executive Pay Breakdown'!AC:AC)</f>
        <v>4189423</v>
      </c>
    </row>
    <row r="165" hidden="1">
      <c r="A165" s="62"/>
      <c r="B165" s="127" t="s">
        <v>278</v>
      </c>
      <c r="C165" s="118" t="s">
        <v>53</v>
      </c>
      <c r="D165" s="122"/>
      <c r="E165" s="90"/>
      <c r="F165" s="88"/>
      <c r="G165" s="118"/>
      <c r="H165" s="120"/>
      <c r="I165" s="89">
        <f>SUMIF('Executive Pay Breakdown'!K:K,$B165,'Executive Pay Breakdown'!M:M)+SUMIF('Executive Pay Breakdown'!O:O,$B165,'Executive Pay Breakdown'!Q:Q)+SUMIF('Executive Pay Breakdown'!S:S,$B165,'Executive Pay Breakdown'!U:U)+SUMIF('Executive Pay Breakdown'!W:W,$B165,'Executive Pay Breakdown'!Y:Y)+SUMIF('Executive Pay Breakdown'!AA:AA,$B165,'Executive Pay Breakdown'!AC:AC)</f>
        <v>25465011</v>
      </c>
      <c r="J165" s="109"/>
      <c r="K165" s="69">
        <f>SUMIF('Executive Pay Breakdown'!K:K,$B165,'Executive Pay Breakdown'!M:M)</f>
        <v>4657373</v>
      </c>
      <c r="L165" s="69">
        <f>SUMIF('Executive Pay Breakdown'!O:O,$B165,'Executive Pay Breakdown'!Q:Q)</f>
        <v>4792126</v>
      </c>
      <c r="M165" s="69">
        <f>SUMIF('Executive Pay Breakdown'!S:S,$B165,'Executive Pay Breakdown'!U:U)</f>
        <v>5081474</v>
      </c>
      <c r="N165" s="69">
        <f>SUMIF('Executive Pay Breakdown'!W:W,$B165,'Executive Pay Breakdown'!Y:Y)</f>
        <v>4476955</v>
      </c>
      <c r="O165" s="69">
        <f>SUMIF('Executive Pay Breakdown'!AA:AA,$B165,'Executive Pay Breakdown'!AC:AC)</f>
        <v>6457083</v>
      </c>
    </row>
    <row r="166" hidden="1">
      <c r="A166" s="62"/>
      <c r="B166" s="86" t="s">
        <v>279</v>
      </c>
      <c r="C166" s="118" t="s">
        <v>31</v>
      </c>
      <c r="D166" s="122"/>
      <c r="E166" s="90"/>
      <c r="F166" s="88"/>
      <c r="G166" s="118"/>
      <c r="H166" s="120"/>
      <c r="I166" s="89">
        <f>SUMIF('Executive Pay Breakdown'!K:K,$B166,'Executive Pay Breakdown'!M:M)+SUMIF('Executive Pay Breakdown'!O:O,$B166,'Executive Pay Breakdown'!Q:Q)+SUMIF('Executive Pay Breakdown'!S:S,$B166,'Executive Pay Breakdown'!U:U)+SUMIF('Executive Pay Breakdown'!W:W,$B166,'Executive Pay Breakdown'!Y:Y)+SUMIF('Executive Pay Breakdown'!AA:AA,$B166,'Executive Pay Breakdown'!AC:AC)</f>
        <v>43904582</v>
      </c>
      <c r="J166" s="109"/>
      <c r="K166" s="69">
        <f>SUMIF('Executive Pay Breakdown'!K:K,$B166,'Executive Pay Breakdown'!M:M)</f>
        <v>5864935</v>
      </c>
      <c r="L166" s="69">
        <f>SUMIF('Executive Pay Breakdown'!O:O,$B166,'Executive Pay Breakdown'!Q:Q)</f>
        <v>9807836</v>
      </c>
      <c r="M166" s="69">
        <f>SUMIF('Executive Pay Breakdown'!S:S,$B166,'Executive Pay Breakdown'!U:U)</f>
        <v>10058353</v>
      </c>
      <c r="N166" s="69">
        <f>SUMIF('Executive Pay Breakdown'!W:W,$B166,'Executive Pay Breakdown'!Y:Y)</f>
        <v>9718998</v>
      </c>
      <c r="O166" s="69">
        <f>SUMIF('Executive Pay Breakdown'!AA:AA,$B166,'Executive Pay Breakdown'!AC:AC)</f>
        <v>8454460</v>
      </c>
    </row>
    <row r="167" hidden="1">
      <c r="A167" s="62"/>
      <c r="B167" s="130" t="s">
        <v>280</v>
      </c>
      <c r="C167" s="118" t="s">
        <v>21</v>
      </c>
      <c r="D167" s="122"/>
      <c r="E167" s="90"/>
      <c r="F167" s="88"/>
      <c r="G167" s="118"/>
      <c r="H167" s="120"/>
      <c r="I167" s="89">
        <f>SUMIF('Executive Pay Breakdown'!K:K,$B167,'Executive Pay Breakdown'!M:M)+SUMIF('Executive Pay Breakdown'!O:O,$B167,'Executive Pay Breakdown'!Q:Q)+SUMIF('Executive Pay Breakdown'!S:S,$B167,'Executive Pay Breakdown'!U:U)+SUMIF('Executive Pay Breakdown'!W:W,$B167,'Executive Pay Breakdown'!Y:Y)+SUMIF('Executive Pay Breakdown'!AA:AA,$B167,'Executive Pay Breakdown'!AC:AC)</f>
        <v>15614331</v>
      </c>
      <c r="J167" s="109"/>
      <c r="K167" s="69">
        <f>SUMIF('Executive Pay Breakdown'!K:K,$B167,'Executive Pay Breakdown'!M:M)</f>
        <v>3051329</v>
      </c>
      <c r="L167" s="69">
        <f>SUMIF('Executive Pay Breakdown'!O:O,$B167,'Executive Pay Breakdown'!Q:Q)</f>
        <v>2721722</v>
      </c>
      <c r="M167" s="69">
        <f>SUMIF('Executive Pay Breakdown'!S:S,$B167,'Executive Pay Breakdown'!U:U)</f>
        <v>2647929</v>
      </c>
      <c r="N167" s="69">
        <f>SUMIF('Executive Pay Breakdown'!W:W,$B167,'Executive Pay Breakdown'!Y:Y)</f>
        <v>2735804</v>
      </c>
      <c r="O167" s="69">
        <f>SUMIF('Executive Pay Breakdown'!AA:AA,$B167,'Executive Pay Breakdown'!AC:AC)</f>
        <v>4457547</v>
      </c>
    </row>
    <row r="168" hidden="1">
      <c r="A168" s="62"/>
      <c r="B168" s="86" t="s">
        <v>281</v>
      </c>
      <c r="C168" s="118" t="s">
        <v>45</v>
      </c>
      <c r="D168" s="122"/>
      <c r="E168" s="90"/>
      <c r="F168" s="88"/>
      <c r="G168" s="118"/>
      <c r="H168" s="120"/>
      <c r="I168" s="89">
        <f>SUMIF('Executive Pay Breakdown'!K:K,$B168,'Executive Pay Breakdown'!M:M)+SUMIF('Executive Pay Breakdown'!O:O,$B168,'Executive Pay Breakdown'!Q:Q)+SUMIF('Executive Pay Breakdown'!S:S,$B168,'Executive Pay Breakdown'!U:U)+SUMIF('Executive Pay Breakdown'!W:W,$B168,'Executive Pay Breakdown'!Y:Y)+SUMIF('Executive Pay Breakdown'!AA:AA,$B168,'Executive Pay Breakdown'!AC:AC)</f>
        <v>13719221</v>
      </c>
      <c r="J168" s="109"/>
      <c r="K168" s="69">
        <f>SUMIF('Executive Pay Breakdown'!K:K,$B168,'Executive Pay Breakdown'!M:M)</f>
        <v>2504003</v>
      </c>
      <c r="L168" s="69">
        <f>SUMIF('Executive Pay Breakdown'!O:O,$B168,'Executive Pay Breakdown'!Q:Q)</f>
        <v>2692704</v>
      </c>
      <c r="M168" s="69">
        <f>SUMIF('Executive Pay Breakdown'!S:S,$B168,'Executive Pay Breakdown'!U:U)</f>
        <v>2432145</v>
      </c>
      <c r="N168" s="69">
        <f>SUMIF('Executive Pay Breakdown'!W:W,$B168,'Executive Pay Breakdown'!Y:Y)</f>
        <v>2375349</v>
      </c>
      <c r="O168" s="69">
        <f>SUMIF('Executive Pay Breakdown'!AA:AA,$B168,'Executive Pay Breakdown'!AC:AC)</f>
        <v>3715020</v>
      </c>
    </row>
    <row r="169" hidden="1">
      <c r="A169" s="62"/>
      <c r="B169" s="86" t="s">
        <v>282</v>
      </c>
      <c r="C169" s="118" t="s">
        <v>39</v>
      </c>
      <c r="D169" s="122"/>
      <c r="E169" s="90"/>
      <c r="F169" s="88"/>
      <c r="G169" s="118"/>
      <c r="H169" s="120"/>
      <c r="I169" s="89">
        <f>SUMIF('Executive Pay Breakdown'!K:K,$B169,'Executive Pay Breakdown'!M:M)+SUMIF('Executive Pay Breakdown'!O:O,$B169,'Executive Pay Breakdown'!Q:Q)+SUMIF('Executive Pay Breakdown'!S:S,$B169,'Executive Pay Breakdown'!U:U)+SUMIF('Executive Pay Breakdown'!W:W,$B169,'Executive Pay Breakdown'!Y:Y)+SUMIF('Executive Pay Breakdown'!AA:AA,$B169,'Executive Pay Breakdown'!AC:AC)</f>
        <v>10395708</v>
      </c>
      <c r="J169" s="109"/>
      <c r="K169" s="69">
        <f>SUMIF('Executive Pay Breakdown'!K:K,$B169,'Executive Pay Breakdown'!M:M)</f>
        <v>1762046</v>
      </c>
      <c r="L169" s="69">
        <f>SUMIF('Executive Pay Breakdown'!O:O,$B169,'Executive Pay Breakdown'!Q:Q)</f>
        <v>2015544</v>
      </c>
      <c r="M169" s="69">
        <f>SUMIF('Executive Pay Breakdown'!S:S,$B169,'Executive Pay Breakdown'!U:U)</f>
        <v>2285694</v>
      </c>
      <c r="N169" s="69">
        <f>SUMIF('Executive Pay Breakdown'!W:W,$B169,'Executive Pay Breakdown'!Y:Y)</f>
        <v>1696978</v>
      </c>
      <c r="O169" s="69">
        <f>SUMIF('Executive Pay Breakdown'!AA:AA,$B169,'Executive Pay Breakdown'!AC:AC)</f>
        <v>2635446</v>
      </c>
    </row>
    <row r="170" hidden="1">
      <c r="A170" s="62"/>
      <c r="B170" s="86" t="s">
        <v>109</v>
      </c>
      <c r="C170" s="117" t="s">
        <v>62</v>
      </c>
      <c r="D170" s="122"/>
      <c r="E170" s="90"/>
      <c r="F170" s="88"/>
      <c r="G170" s="118"/>
      <c r="H170" s="120"/>
      <c r="I170" s="89">
        <f>SUMIF('Executive Pay Breakdown'!K:K,$B170,'Executive Pay Breakdown'!M:M)+SUMIF('Executive Pay Breakdown'!O:O,$B170,'Executive Pay Breakdown'!Q:Q)+SUMIF('Executive Pay Breakdown'!S:S,$B170,'Executive Pay Breakdown'!U:U)+SUMIF('Executive Pay Breakdown'!W:W,$B170,'Executive Pay Breakdown'!Y:Y)+SUMIF('Executive Pay Breakdown'!AA:AA,$B170,'Executive Pay Breakdown'!AC:AC)</f>
        <v>112321574</v>
      </c>
      <c r="J170" s="109"/>
      <c r="K170" s="69">
        <f>SUMIF('Executive Pay Breakdown'!K:K,$B170,'Executive Pay Breakdown'!M:M)</f>
        <v>19816806</v>
      </c>
      <c r="L170" s="69">
        <f>SUMIF('Executive Pay Breakdown'!O:O,$B170,'Executive Pay Breakdown'!Q:Q)</f>
        <v>22654781</v>
      </c>
      <c r="M170" s="69">
        <f>SUMIF('Executive Pay Breakdown'!S:S,$B170,'Executive Pay Breakdown'!U:U)</f>
        <v>16959233</v>
      </c>
      <c r="N170" s="69">
        <f>SUMIF('Executive Pay Breakdown'!W:W,$B170,'Executive Pay Breakdown'!Y:Y)</f>
        <v>17235108</v>
      </c>
      <c r="O170" s="69">
        <f>SUMIF('Executive Pay Breakdown'!AA:AA,$B170,'Executive Pay Breakdown'!AC:AC)</f>
        <v>35655646</v>
      </c>
    </row>
    <row r="171" hidden="1">
      <c r="A171" s="62"/>
      <c r="B171" s="127" t="s">
        <v>283</v>
      </c>
      <c r="C171" s="118" t="s">
        <v>13</v>
      </c>
      <c r="D171" s="122"/>
      <c r="E171" s="90"/>
      <c r="F171" s="88"/>
      <c r="G171" s="118"/>
      <c r="H171" s="120"/>
      <c r="I171" s="89">
        <f>SUMIF('Executive Pay Breakdown'!K:K,$B171,'Executive Pay Breakdown'!M:M)+SUMIF('Executive Pay Breakdown'!O:O,$B171,'Executive Pay Breakdown'!Q:Q)+SUMIF('Executive Pay Breakdown'!S:S,$B171,'Executive Pay Breakdown'!U:U)+SUMIF('Executive Pay Breakdown'!W:W,$B171,'Executive Pay Breakdown'!Y:Y)+SUMIF('Executive Pay Breakdown'!AA:AA,$B171,'Executive Pay Breakdown'!AC:AC)</f>
        <v>94813450</v>
      </c>
      <c r="J171" s="109"/>
      <c r="K171" s="69">
        <f>SUMIF('Executive Pay Breakdown'!K:K,$B171,'Executive Pay Breakdown'!M:M)</f>
        <v>13103145</v>
      </c>
      <c r="L171" s="69">
        <f>SUMIF('Executive Pay Breakdown'!O:O,$B171,'Executive Pay Breakdown'!Q:Q)</f>
        <v>11547241</v>
      </c>
      <c r="M171" s="69">
        <f>SUMIF('Executive Pay Breakdown'!S:S,$B171,'Executive Pay Breakdown'!U:U)</f>
        <v>33212469</v>
      </c>
      <c r="N171" s="69">
        <f>SUMIF('Executive Pay Breakdown'!W:W,$B171,'Executive Pay Breakdown'!Y:Y)</f>
        <v>11175697</v>
      </c>
      <c r="O171" s="69">
        <f>SUMIF('Executive Pay Breakdown'!AA:AA,$B171,'Executive Pay Breakdown'!AC:AC)</f>
        <v>25774898</v>
      </c>
    </row>
    <row r="172" hidden="1">
      <c r="A172" s="81" t="s">
        <v>86</v>
      </c>
      <c r="B172" s="134" t="s">
        <v>284</v>
      </c>
      <c r="C172" s="118" t="s">
        <v>56</v>
      </c>
      <c r="D172" s="122"/>
      <c r="E172" s="90"/>
      <c r="F172" s="88"/>
      <c r="G172" s="118"/>
      <c r="H172" s="120"/>
      <c r="I172" s="89">
        <f>SUMIF('Executive Pay Breakdown'!K:K,$B172,'Executive Pay Breakdown'!M:M)+SUMIF('Executive Pay Breakdown'!O:O,$B172,'Executive Pay Breakdown'!Q:Q)+SUMIF('Executive Pay Breakdown'!S:S,$B172,'Executive Pay Breakdown'!U:U)+SUMIF('Executive Pay Breakdown'!W:W,$B172,'Executive Pay Breakdown'!Y:Y)+SUMIF('Executive Pay Breakdown'!AA:AA,$B172,'Executive Pay Breakdown'!AC:AC)</f>
        <v>60087202</v>
      </c>
      <c r="J172" s="109"/>
      <c r="K172" s="69">
        <f>SUMIF('Executive Pay Breakdown'!K:K,$B172,'Executive Pay Breakdown'!M:M)</f>
        <v>8077742</v>
      </c>
      <c r="L172" s="69">
        <f>SUMIF('Executive Pay Breakdown'!O:O,$B172,'Executive Pay Breakdown'!Q:Q)</f>
        <v>10596150</v>
      </c>
      <c r="M172" s="69">
        <f>SUMIF('Executive Pay Breakdown'!S:S,$B172,'Executive Pay Breakdown'!U:U)</f>
        <v>14325537</v>
      </c>
      <c r="N172" s="69">
        <f>SUMIF('Executive Pay Breakdown'!W:W,$B172,'Executive Pay Breakdown'!Y:Y)</f>
        <v>11125799</v>
      </c>
      <c r="O172" s="69">
        <f>SUMIF('Executive Pay Breakdown'!AA:AA,$B172,'Executive Pay Breakdown'!AC:AC)</f>
        <v>15961974</v>
      </c>
    </row>
    <row r="173" hidden="1">
      <c r="A173" s="62"/>
      <c r="B173" s="86" t="s">
        <v>285</v>
      </c>
      <c r="C173" s="117" t="s">
        <v>61</v>
      </c>
      <c r="D173" s="122"/>
      <c r="E173" s="90"/>
      <c r="F173" s="88"/>
      <c r="G173" s="118"/>
      <c r="H173" s="120"/>
      <c r="I173" s="89">
        <f>SUMIF('Executive Pay Breakdown'!K:K,$B173,'Executive Pay Breakdown'!M:M)+SUMIF('Executive Pay Breakdown'!O:O,$B173,'Executive Pay Breakdown'!Q:Q)+SUMIF('Executive Pay Breakdown'!S:S,$B173,'Executive Pay Breakdown'!U:U)+SUMIF('Executive Pay Breakdown'!W:W,$B173,'Executive Pay Breakdown'!Y:Y)+SUMIF('Executive Pay Breakdown'!AA:AA,$B173,'Executive Pay Breakdown'!AC:AC)</f>
        <v>70812796</v>
      </c>
      <c r="J173" s="109"/>
      <c r="K173" s="69">
        <f>SUMIF('Executive Pay Breakdown'!K:K,$B173,'Executive Pay Breakdown'!M:M)</f>
        <v>8593180</v>
      </c>
      <c r="L173" s="69">
        <f>SUMIF('Executive Pay Breakdown'!O:O,$B173,'Executive Pay Breakdown'!Q:Q)</f>
        <v>8157239</v>
      </c>
      <c r="M173" s="69">
        <f>SUMIF('Executive Pay Breakdown'!S:S,$B173,'Executive Pay Breakdown'!U:U)</f>
        <v>16473245</v>
      </c>
      <c r="N173" s="69">
        <f>SUMIF('Executive Pay Breakdown'!W:W,$B173,'Executive Pay Breakdown'!Y:Y)</f>
        <v>18789985</v>
      </c>
      <c r="O173" s="69">
        <f>SUMIF('Executive Pay Breakdown'!AA:AA,$B173,'Executive Pay Breakdown'!AC:AC)</f>
        <v>18799147</v>
      </c>
    </row>
    <row r="174" hidden="1">
      <c r="A174" s="81"/>
      <c r="B174" s="137" t="s">
        <v>286</v>
      </c>
      <c r="C174" s="118" t="str">
        <f t="array" ref="C174">INDEX('Executive Pay Breakdown'!B:B,MATCH(B174,'Executive Pay Breakdown'!K:K,0))</f>
        <v>Pioneer Natural Resources</v>
      </c>
      <c r="D174" s="122"/>
      <c r="E174" s="90"/>
      <c r="F174" s="88"/>
      <c r="G174" s="118"/>
      <c r="H174" s="120"/>
      <c r="I174" s="89">
        <f>SUMIF('Executive Pay Breakdown'!K:K,$B174,'Executive Pay Breakdown'!M:M)+SUMIF('Executive Pay Breakdown'!O:O,$B174,'Executive Pay Breakdown'!Q:Q)+SUMIF('Executive Pay Breakdown'!S:S,$B174,'Executive Pay Breakdown'!U:U)+SUMIF('Executive Pay Breakdown'!W:W,$B174,'Executive Pay Breakdown'!Y:Y)+SUMIF('Executive Pay Breakdown'!AA:AA,$B174,'Executive Pay Breakdown'!AC:AC)</f>
        <v>61810797</v>
      </c>
      <c r="J174" s="109"/>
      <c r="K174" s="69">
        <f>SUMIF('Executive Pay Breakdown'!K:K,$B174,'Executive Pay Breakdown'!M:M)</f>
        <v>19055854</v>
      </c>
      <c r="L174" s="69">
        <f>SUMIF('Executive Pay Breakdown'!O:O,$B174,'Executive Pay Breakdown'!Q:Q)</f>
        <v>16002825</v>
      </c>
      <c r="M174" s="69">
        <f>SUMIF('Executive Pay Breakdown'!S:S,$B174,'Executive Pay Breakdown'!U:U)</f>
        <v>13396571</v>
      </c>
      <c r="N174" s="69">
        <f>SUMIF('Executive Pay Breakdown'!W:W,$B174,'Executive Pay Breakdown'!Y:Y)</f>
        <v>13355547</v>
      </c>
      <c r="O174" s="69">
        <f>SUMIF('Executive Pay Breakdown'!AA:AA,$B174,'Executive Pay Breakdown'!AC:AC)</f>
        <v>0</v>
      </c>
    </row>
    <row r="175" hidden="1">
      <c r="A175" s="81"/>
      <c r="B175" s="137" t="s">
        <v>287</v>
      </c>
      <c r="C175" s="118" t="str">
        <f t="array" ref="C175">INDEX('Executive Pay Breakdown'!B:B,MATCH(B175,'Executive Pay Breakdown'!K:K,0))</f>
        <v>Pioneer Natural Resources</v>
      </c>
      <c r="D175" s="122"/>
      <c r="E175" s="90"/>
      <c r="F175" s="88"/>
      <c r="G175" s="118"/>
      <c r="H175" s="120"/>
      <c r="I175" s="89">
        <f>SUMIF('Executive Pay Breakdown'!K:K,$B175,'Executive Pay Breakdown'!M:M)+SUMIF('Executive Pay Breakdown'!O:O,$B175,'Executive Pay Breakdown'!Q:Q)+SUMIF('Executive Pay Breakdown'!S:S,$B175,'Executive Pay Breakdown'!U:U)+SUMIF('Executive Pay Breakdown'!W:W,$B175,'Executive Pay Breakdown'!Y:Y)+SUMIF('Executive Pay Breakdown'!AA:AA,$B175,'Executive Pay Breakdown'!AC:AC)</f>
        <v>28401545</v>
      </c>
      <c r="J175" s="109"/>
      <c r="K175" s="69">
        <f>SUMIF('Executive Pay Breakdown'!K:K,$B175,'Executive Pay Breakdown'!M:M)</f>
        <v>9496977</v>
      </c>
      <c r="L175" s="69">
        <f>SUMIF('Executive Pay Breakdown'!O:O,$B175,'Executive Pay Breakdown'!Q:Q)</f>
        <v>5837812</v>
      </c>
      <c r="M175" s="69">
        <f>SUMIF('Executive Pay Breakdown'!S:S,$B175,'Executive Pay Breakdown'!U:U)</f>
        <v>3889912</v>
      </c>
      <c r="N175" s="69">
        <f>SUMIF('Executive Pay Breakdown'!W:W,$B175,'Executive Pay Breakdown'!Y:Y)</f>
        <v>4511806</v>
      </c>
      <c r="O175" s="69">
        <f>SUMIF('Executive Pay Breakdown'!AA:AA,$B175,'Executive Pay Breakdown'!AC:AC)</f>
        <v>4665038</v>
      </c>
    </row>
    <row r="176" hidden="1">
      <c r="A176" s="81"/>
      <c r="B176" s="133" t="s">
        <v>288</v>
      </c>
      <c r="C176" s="90" t="s">
        <v>289</v>
      </c>
      <c r="D176" s="122"/>
      <c r="E176" s="90"/>
      <c r="F176" s="88"/>
      <c r="G176" s="118"/>
      <c r="H176" s="120"/>
      <c r="I176" s="89">
        <f>SUMIF('Executive Pay Breakdown'!K:K,$B176,'Executive Pay Breakdown'!M:M)+SUMIF('Executive Pay Breakdown'!O:O,$B176,'Executive Pay Breakdown'!Q:Q)+SUMIF('Executive Pay Breakdown'!S:S,$B176,'Executive Pay Breakdown'!U:U)+SUMIF('Executive Pay Breakdown'!W:W,$B176,'Executive Pay Breakdown'!Y:Y)+SUMIF('Executive Pay Breakdown'!AA:AA,$B176,'Executive Pay Breakdown'!AC:AC)</f>
        <v>23131889</v>
      </c>
      <c r="J176" s="109"/>
      <c r="K176" s="126">
        <f>SUMIF('Executive Pay Breakdown'!K:K,$B176,'Executive Pay Breakdown'!M:M)</f>
        <v>313653</v>
      </c>
      <c r="L176" s="69">
        <f>SUMIF('Executive Pay Breakdown'!O:O,$B176,'Executive Pay Breakdown'!Q:Q)</f>
        <v>939067</v>
      </c>
      <c r="M176" s="69">
        <f>SUMIF('Executive Pay Breakdown'!S:S,$B176,'Executive Pay Breakdown'!U:U)</f>
        <v>7338642</v>
      </c>
      <c r="N176" s="69">
        <f>SUMIF('Executive Pay Breakdown'!W:W,$B176,'Executive Pay Breakdown'!Y:Y)</f>
        <v>8116548</v>
      </c>
      <c r="O176" s="69">
        <f>SUMIF('Executive Pay Breakdown'!AA:AA,$B176,'Executive Pay Breakdown'!AC:AC)</f>
        <v>6423979</v>
      </c>
    </row>
    <row r="177" hidden="1">
      <c r="A177" s="81"/>
      <c r="B177" s="137" t="s">
        <v>290</v>
      </c>
      <c r="C177" s="118" t="str">
        <f t="array" ref="C177">INDEX('Executive Pay Breakdown'!B:B,MATCH(B177,'Executive Pay Breakdown'!K:K,0))</f>
        <v>Pioneer Natural Resources</v>
      </c>
      <c r="D177" s="122"/>
      <c r="E177" s="90"/>
      <c r="F177" s="88"/>
      <c r="G177" s="118"/>
      <c r="H177" s="120"/>
      <c r="I177" s="89">
        <f>SUMIF('Executive Pay Breakdown'!K:K,$B177,'Executive Pay Breakdown'!M:M)+SUMIF('Executive Pay Breakdown'!O:O,$B177,'Executive Pay Breakdown'!Q:Q)+SUMIF('Executive Pay Breakdown'!S:S,$B177,'Executive Pay Breakdown'!U:U)+SUMIF('Executive Pay Breakdown'!W:W,$B177,'Executive Pay Breakdown'!Y:Y)+SUMIF('Executive Pay Breakdown'!AA:AA,$B177,'Executive Pay Breakdown'!AC:AC)</f>
        <v>21216058</v>
      </c>
      <c r="J177" s="109"/>
      <c r="K177" s="69">
        <f>SUMIF('Executive Pay Breakdown'!K:K,$B177,'Executive Pay Breakdown'!M:M)</f>
        <v>5376845</v>
      </c>
      <c r="L177" s="69">
        <f>SUMIF('Executive Pay Breakdown'!O:O,$B177,'Executive Pay Breakdown'!Q:Q)</f>
        <v>3979416</v>
      </c>
      <c r="M177" s="69">
        <f>SUMIF('Executive Pay Breakdown'!S:S,$B177,'Executive Pay Breakdown'!U:U)</f>
        <v>3034396</v>
      </c>
      <c r="N177" s="69">
        <f>SUMIF('Executive Pay Breakdown'!W:W,$B177,'Executive Pay Breakdown'!Y:Y)</f>
        <v>4251561</v>
      </c>
      <c r="O177" s="69">
        <f>SUMIF('Executive Pay Breakdown'!AA:AA,$B177,'Executive Pay Breakdown'!AC:AC)</f>
        <v>4573840</v>
      </c>
    </row>
    <row r="178" hidden="1">
      <c r="A178" s="81"/>
      <c r="B178" s="137" t="s">
        <v>291</v>
      </c>
      <c r="C178" s="118" t="str">
        <f t="array" ref="C178">INDEX('Executive Pay Breakdown'!B:B,MATCH(B178,'Executive Pay Breakdown'!K:K,0))</f>
        <v>Pioneer Natural Resources</v>
      </c>
      <c r="D178" s="122"/>
      <c r="E178" s="90"/>
      <c r="F178" s="88"/>
      <c r="G178" s="118"/>
      <c r="H178" s="120"/>
      <c r="I178" s="89">
        <f>SUMIF('Executive Pay Breakdown'!K:K,$B178,'Executive Pay Breakdown'!M:M)+SUMIF('Executive Pay Breakdown'!O:O,$B178,'Executive Pay Breakdown'!Q:Q)+SUMIF('Executive Pay Breakdown'!S:S,$B178,'Executive Pay Breakdown'!U:U)+SUMIF('Executive Pay Breakdown'!W:W,$B178,'Executive Pay Breakdown'!Y:Y)+SUMIF('Executive Pay Breakdown'!AA:AA,$B178,'Executive Pay Breakdown'!AC:AC)</f>
        <v>19495109</v>
      </c>
      <c r="J178" s="109"/>
      <c r="K178" s="69">
        <f>SUMIF('Executive Pay Breakdown'!K:K,$B178,'Executive Pay Breakdown'!M:M)</f>
        <v>5375180</v>
      </c>
      <c r="L178" s="69">
        <f>SUMIF('Executive Pay Breakdown'!O:O,$B178,'Executive Pay Breakdown'!Q:Q)</f>
        <v>3966376</v>
      </c>
      <c r="M178" s="69">
        <f>SUMIF('Executive Pay Breakdown'!S:S,$B178,'Executive Pay Breakdown'!U:U)</f>
        <v>3050111</v>
      </c>
      <c r="N178" s="69">
        <f>SUMIF('Executive Pay Breakdown'!W:W,$B178,'Executive Pay Breakdown'!Y:Y)</f>
        <v>3453323</v>
      </c>
      <c r="O178" s="69">
        <f>SUMIF('Executive Pay Breakdown'!AA:AA,$B178,'Executive Pay Breakdown'!AC:AC)</f>
        <v>3650119</v>
      </c>
    </row>
    <row r="179" hidden="1">
      <c r="A179" s="81"/>
      <c r="B179" s="137" t="s">
        <v>292</v>
      </c>
      <c r="C179" s="118" t="str">
        <f t="array" ref="C179">INDEX('Executive Pay Breakdown'!B:B,MATCH(B179,'Executive Pay Breakdown'!W:W,0))</f>
        <v>Pioneer Natural Resources</v>
      </c>
      <c r="D179" s="122"/>
      <c r="E179" s="90"/>
      <c r="F179" s="88"/>
      <c r="G179" s="118"/>
      <c r="H179" s="120"/>
      <c r="I179" s="89">
        <f>SUMIF('Executive Pay Breakdown'!K:K,$B179,'Executive Pay Breakdown'!M:M)+SUMIF('Executive Pay Breakdown'!O:O,$B179,'Executive Pay Breakdown'!Q:Q)+SUMIF('Executive Pay Breakdown'!S:S,$B179,'Executive Pay Breakdown'!U:U)+SUMIF('Executive Pay Breakdown'!W:W,$B179,'Executive Pay Breakdown'!Y:Y)+SUMIF('Executive Pay Breakdown'!AA:AA,$B179,'Executive Pay Breakdown'!AC:AC)</f>
        <v>16122659</v>
      </c>
      <c r="J179" s="109"/>
      <c r="K179" s="69">
        <f>SUMIF('Executive Pay Breakdown'!K:K,$B179,'Executive Pay Breakdown'!M:M)</f>
        <v>0</v>
      </c>
      <c r="L179" s="69">
        <f>SUMIF('Executive Pay Breakdown'!O:O,$B179,'Executive Pay Breakdown'!Q:Q)</f>
        <v>0</v>
      </c>
      <c r="M179" s="69">
        <f>SUMIF('Executive Pay Breakdown'!S:S,$B179,'Executive Pay Breakdown'!U:U)</f>
        <v>0</v>
      </c>
      <c r="N179" s="69">
        <f>SUMIF('Executive Pay Breakdown'!W:W,$B179,'Executive Pay Breakdown'!Y:Y)</f>
        <v>4185868</v>
      </c>
      <c r="O179" s="69">
        <f>SUMIF('Executive Pay Breakdown'!AA:AA,$B179,'Executive Pay Breakdown'!AC:AC)</f>
        <v>11936791</v>
      </c>
    </row>
    <row r="180" hidden="1">
      <c r="A180" s="81"/>
      <c r="B180" s="137" t="s">
        <v>293</v>
      </c>
      <c r="C180" s="118" t="str">
        <f t="array" ref="C180">INDEX('Executive Pay Breakdown'!B:B,MATCH(B180,'Executive Pay Breakdown'!S:S,0))</f>
        <v>Pioneer Natural Resources</v>
      </c>
      <c r="D180" s="122"/>
      <c r="E180" s="90"/>
      <c r="F180" s="88"/>
      <c r="G180" s="118"/>
      <c r="H180" s="120"/>
      <c r="I180" s="89">
        <f>SUMIF('Executive Pay Breakdown'!K:K,$B180,'Executive Pay Breakdown'!M:M)+SUMIF('Executive Pay Breakdown'!O:O,$B180,'Executive Pay Breakdown'!Q:Q)+SUMIF('Executive Pay Breakdown'!S:S,$B180,'Executive Pay Breakdown'!U:U)+SUMIF('Executive Pay Breakdown'!W:W,$B180,'Executive Pay Breakdown'!Y:Y)+SUMIF('Executive Pay Breakdown'!AA:AA,$B180,'Executive Pay Breakdown'!AC:AC)</f>
        <v>10039613</v>
      </c>
      <c r="J180" s="109"/>
      <c r="K180" s="69">
        <f>SUMIF('Executive Pay Breakdown'!K:K,$B180,'Executive Pay Breakdown'!M:M)</f>
        <v>0</v>
      </c>
      <c r="L180" s="69">
        <f>SUMIF('Executive Pay Breakdown'!O:O,$B180,'Executive Pay Breakdown'!Q:Q)</f>
        <v>0</v>
      </c>
      <c r="M180" s="69">
        <f>SUMIF('Executive Pay Breakdown'!S:S,$B180,'Executive Pay Breakdown'!U:U)</f>
        <v>3034416</v>
      </c>
      <c r="N180" s="69">
        <f>SUMIF('Executive Pay Breakdown'!W:W,$B180,'Executive Pay Breakdown'!Y:Y)</f>
        <v>3452058</v>
      </c>
      <c r="O180" s="69">
        <f>SUMIF('Executive Pay Breakdown'!AA:AA,$B180,'Executive Pay Breakdown'!AC:AC)</f>
        <v>3553139</v>
      </c>
    </row>
    <row r="181" hidden="1">
      <c r="A181" s="81"/>
      <c r="B181" s="137" t="s">
        <v>294</v>
      </c>
      <c r="C181" s="118" t="str">
        <f t="array" ref="C181">INDEX('Executive Pay Breakdown'!B:B,MATCH(B181,'Executive Pay Breakdown'!K:K,0))</f>
        <v>Pioneer Natural Resources</v>
      </c>
      <c r="D181" s="122"/>
      <c r="E181" s="90"/>
      <c r="F181" s="88"/>
      <c r="G181" s="118"/>
      <c r="H181" s="120"/>
      <c r="I181" s="89">
        <f>SUMIF('Executive Pay Breakdown'!K:K,$B181,'Executive Pay Breakdown'!M:M)+SUMIF('Executive Pay Breakdown'!O:O,$B181,'Executive Pay Breakdown'!Q:Q)+SUMIF('Executive Pay Breakdown'!S:S,$B181,'Executive Pay Breakdown'!U:U)+SUMIF('Executive Pay Breakdown'!W:W,$B181,'Executive Pay Breakdown'!Y:Y)+SUMIF('Executive Pay Breakdown'!AA:AA,$B181,'Executive Pay Breakdown'!AC:AC)</f>
        <v>8386260</v>
      </c>
      <c r="J181" s="109"/>
      <c r="K181" s="69">
        <f>SUMIF('Executive Pay Breakdown'!K:K,$B181,'Executive Pay Breakdown'!M:M)</f>
        <v>5131346</v>
      </c>
      <c r="L181" s="69">
        <f>SUMIF('Executive Pay Breakdown'!O:O,$B181,'Executive Pay Breakdown'!Q:Q)</f>
        <v>3254914</v>
      </c>
      <c r="M181" s="69">
        <f>SUMIF('Executive Pay Breakdown'!S:S,$B181,'Executive Pay Breakdown'!U:U)</f>
        <v>0</v>
      </c>
      <c r="N181" s="69">
        <f>SUMIF('Executive Pay Breakdown'!W:W,$B181,'Executive Pay Breakdown'!Y:Y)</f>
        <v>0</v>
      </c>
      <c r="O181" s="69">
        <f>SUMIF('Executive Pay Breakdown'!AA:AA,$B181,'Executive Pay Breakdown'!AC:AC)</f>
        <v>0</v>
      </c>
    </row>
    <row r="182" hidden="1">
      <c r="A182" s="81" t="s">
        <v>86</v>
      </c>
      <c r="B182" s="138" t="s">
        <v>87</v>
      </c>
      <c r="C182" s="118" t="s">
        <v>35</v>
      </c>
      <c r="D182" s="122"/>
      <c r="E182" s="90"/>
      <c r="F182" s="88"/>
      <c r="G182" s="118"/>
      <c r="H182" s="120"/>
      <c r="I182" s="89">
        <f>SUMIF('Executive Pay Breakdown'!K:K,$B182,'Executive Pay Breakdown'!M:M)+SUMIF('Executive Pay Breakdown'!O:O,$B182,'Executive Pay Breakdown'!Q:Q)+SUMIF('Executive Pay Breakdown'!S:S,$B182,'Executive Pay Breakdown'!U:U)+SUMIF('Executive Pay Breakdown'!W:W,$B182,'Executive Pay Breakdown'!Y:Y)+SUMIF('Executive Pay Breakdown'!AA:AA,$B182,'Executive Pay Breakdown'!AC:AC)</f>
        <v>2284068644</v>
      </c>
      <c r="J182" s="109"/>
      <c r="K182" s="69">
        <f>SUMIF('Executive Pay Breakdown'!K:K,$B182,'Executive Pay Breakdown'!M:M)</f>
        <v>0</v>
      </c>
      <c r="L182" s="69">
        <f>SUMIF('Executive Pay Breakdown'!O:O,$B182,'Executive Pay Breakdown'!Q:Q)</f>
        <v>0</v>
      </c>
      <c r="M182" s="69">
        <f>SUMIF('Executive Pay Breakdown'!S:S,$B182,'Executive Pay Breakdown'!U:U)</f>
        <v>0</v>
      </c>
      <c r="N182" s="69">
        <f>SUMIF('Executive Pay Breakdown'!W:W,$B182,'Executive Pay Breakdown'!Y:Y)</f>
        <v>23760</v>
      </c>
      <c r="O182" s="69">
        <f>SUMIF('Executive Pay Breakdown'!AA:AA,$B182,'Executive Pay Breakdown'!AC:AC)</f>
        <v>2284044884</v>
      </c>
    </row>
    <row r="183" hidden="1">
      <c r="A183" s="62"/>
      <c r="B183" s="127" t="s">
        <v>89</v>
      </c>
      <c r="C183" s="118" t="s">
        <v>13</v>
      </c>
      <c r="D183" s="122"/>
      <c r="E183" s="90"/>
      <c r="F183" s="88"/>
      <c r="G183" s="118"/>
      <c r="H183" s="120"/>
      <c r="I183" s="89">
        <f>SUMIF('Executive Pay Breakdown'!K:K,$B183,'Executive Pay Breakdown'!M:M)+SUMIF('Executive Pay Breakdown'!O:O,$B183,'Executive Pay Breakdown'!Q:Q)+SUMIF('Executive Pay Breakdown'!S:S,$B183,'Executive Pay Breakdown'!U:U)+SUMIF('Executive Pay Breakdown'!W:W,$B183,'Executive Pay Breakdown'!Y:Y)+SUMIF('Executive Pay Breakdown'!AA:AA,$B183,'Executive Pay Breakdown'!AC:AC)</f>
        <v>231490784</v>
      </c>
      <c r="J183" s="109"/>
      <c r="K183" s="69">
        <f>SUMIF('Executive Pay Breakdown'!K:K,$B183,'Executive Pay Breakdown'!M:M)</f>
        <v>0</v>
      </c>
      <c r="L183" s="69">
        <f>SUMIF('Executive Pay Breakdown'!O:O,$B183,'Executive Pay Breakdown'!Q:Q)</f>
        <v>0</v>
      </c>
      <c r="M183" s="69">
        <f>SUMIF('Executive Pay Breakdown'!S:S,$B183,'Executive Pay Breakdown'!U:U)</f>
        <v>137195887</v>
      </c>
      <c r="N183" s="69">
        <f>SUMIF('Executive Pay Breakdown'!W:W,$B183,'Executive Pay Breakdown'!Y:Y)</f>
        <v>27756690</v>
      </c>
      <c r="O183" s="69">
        <f>SUMIF('Executive Pay Breakdown'!AA:AA,$B183,'Executive Pay Breakdown'!AC:AC)</f>
        <v>66538207</v>
      </c>
    </row>
    <row r="184" hidden="1">
      <c r="A184" s="81"/>
      <c r="B184" s="137" t="s">
        <v>295</v>
      </c>
      <c r="C184" s="118" t="str">
        <f t="array" ref="C184">INDEX('Executive Pay Breakdown'!B:B,MATCH(B184,'Executive Pay Breakdown'!K:K,0))</f>
        <v>Whirlpool</v>
      </c>
      <c r="D184" s="122"/>
      <c r="E184" s="90"/>
      <c r="F184" s="88"/>
      <c r="G184" s="118"/>
      <c r="H184" s="120"/>
      <c r="I184" s="89">
        <f>SUMIF('Executive Pay Breakdown'!K:K,$B184,'Executive Pay Breakdown'!M:M)+SUMIF('Executive Pay Breakdown'!O:O,$B184,'Executive Pay Breakdown'!Q:Q)+SUMIF('Executive Pay Breakdown'!S:S,$B184,'Executive Pay Breakdown'!U:U)+SUMIF('Executive Pay Breakdown'!W:W,$B184,'Executive Pay Breakdown'!Y:Y)+SUMIF('Executive Pay Breakdown'!AA:AA,$B184,'Executive Pay Breakdown'!AC:AC)</f>
        <v>73579112</v>
      </c>
      <c r="J184" s="109"/>
      <c r="K184" s="69">
        <f>SUMIF('Executive Pay Breakdown'!K:K,$B184,'Executive Pay Breakdown'!M:M)</f>
        <v>11940033</v>
      </c>
      <c r="L184" s="69">
        <f>SUMIF('Executive Pay Breakdown'!O:O,$B184,'Executive Pay Breakdown'!Q:Q)</f>
        <v>18751901</v>
      </c>
      <c r="M184" s="69">
        <f>SUMIF('Executive Pay Breakdown'!S:S,$B184,'Executive Pay Breakdown'!U:U)</f>
        <v>17051409</v>
      </c>
      <c r="N184" s="69">
        <f>SUMIF('Executive Pay Breakdown'!W:W,$B184,'Executive Pay Breakdown'!Y:Y)</f>
        <v>13999494</v>
      </c>
      <c r="O184" s="69">
        <f>SUMIF('Executive Pay Breakdown'!AA:AA,$B184,'Executive Pay Breakdown'!AC:AC)</f>
        <v>11836275</v>
      </c>
    </row>
    <row r="185" hidden="1">
      <c r="A185" s="81"/>
      <c r="B185" s="137" t="s">
        <v>296</v>
      </c>
      <c r="C185" s="118" t="str">
        <f t="array" ref="C185">INDEX('Executive Pay Breakdown'!B:B,MATCH(B185,'Executive Pay Breakdown'!O:O,0))</f>
        <v>Darden Restaurants</v>
      </c>
      <c r="D185" s="122"/>
      <c r="E185" s="90"/>
      <c r="F185" s="88"/>
      <c r="G185" s="118"/>
      <c r="H185" s="120"/>
      <c r="I185" s="89">
        <f>SUMIF('Executive Pay Breakdown'!K:K,$B185,'Executive Pay Breakdown'!M:M)+SUMIF('Executive Pay Breakdown'!O:O,$B185,'Executive Pay Breakdown'!Q:Q)+SUMIF('Executive Pay Breakdown'!S:S,$B185,'Executive Pay Breakdown'!U:U)+SUMIF('Executive Pay Breakdown'!W:W,$B185,'Executive Pay Breakdown'!Y:Y)+SUMIF('Executive Pay Breakdown'!AA:AA,$B185,'Executive Pay Breakdown'!AC:AC)</f>
        <v>41419312</v>
      </c>
      <c r="J185" s="109"/>
      <c r="K185" s="69">
        <f>SUMIF('Executive Pay Breakdown'!K:K,$B185,'Executive Pay Breakdown'!M:M)</f>
        <v>0</v>
      </c>
      <c r="L185" s="69">
        <f>SUMIF('Executive Pay Breakdown'!O:O,$B185,'Executive Pay Breakdown'!Q:Q)</f>
        <v>11891841</v>
      </c>
      <c r="M185" s="69">
        <f>SUMIF('Executive Pay Breakdown'!S:S,$B185,'Executive Pay Breakdown'!U:U)</f>
        <v>10128186</v>
      </c>
      <c r="N185" s="69">
        <f>SUMIF('Executive Pay Breakdown'!W:W,$B185,'Executive Pay Breakdown'!Y:Y)</f>
        <v>8688707</v>
      </c>
      <c r="O185" s="69">
        <f>SUMIF('Executive Pay Breakdown'!AA:AA,$B185,'Executive Pay Breakdown'!AC:AC)</f>
        <v>10710578</v>
      </c>
    </row>
    <row r="186" hidden="1">
      <c r="A186" s="81"/>
      <c r="B186" s="137" t="s">
        <v>297</v>
      </c>
      <c r="C186" s="118" t="str">
        <f t="array" ref="C186">INDEX('Executive Pay Breakdown'!B:B,MATCH(B186,'Executive Pay Breakdown'!K:K,0))</f>
        <v>PPG Industries</v>
      </c>
      <c r="D186" s="122"/>
      <c r="E186" s="90"/>
      <c r="F186" s="88"/>
      <c r="G186" s="118"/>
      <c r="H186" s="120"/>
      <c r="I186" s="89">
        <f>SUMIF('Executive Pay Breakdown'!K:K,$B186,'Executive Pay Breakdown'!M:M)+SUMIF('Executive Pay Breakdown'!O:O,$B186,'Executive Pay Breakdown'!Q:Q)+SUMIF('Executive Pay Breakdown'!S:S,$B186,'Executive Pay Breakdown'!U:U)+SUMIF('Executive Pay Breakdown'!W:W,$B186,'Executive Pay Breakdown'!Y:Y)+SUMIF('Executive Pay Breakdown'!AA:AA,$B186,'Executive Pay Breakdown'!AC:AC)</f>
        <v>64873328</v>
      </c>
      <c r="J186" s="109"/>
      <c r="K186" s="69">
        <f>SUMIF('Executive Pay Breakdown'!K:K,$B186,'Executive Pay Breakdown'!M:M)</f>
        <v>8867377</v>
      </c>
      <c r="L186" s="69">
        <f>SUMIF('Executive Pay Breakdown'!O:O,$B186,'Executive Pay Breakdown'!Q:Q)</f>
        <v>13199616</v>
      </c>
      <c r="M186" s="69">
        <f>SUMIF('Executive Pay Breakdown'!S:S,$B186,'Executive Pay Breakdown'!U:U)</f>
        <v>15903993</v>
      </c>
      <c r="N186" s="69">
        <f>SUMIF('Executive Pay Breakdown'!W:W,$B186,'Executive Pay Breakdown'!Y:Y)</f>
        <v>15117938</v>
      </c>
      <c r="O186" s="69">
        <f>SUMIF('Executive Pay Breakdown'!AA:AA,$B186,'Executive Pay Breakdown'!AC:AC)</f>
        <v>11784404</v>
      </c>
    </row>
    <row r="187" hidden="1">
      <c r="A187" s="62"/>
      <c r="B187" s="138" t="s">
        <v>298</v>
      </c>
      <c r="C187" s="118" t="s">
        <v>35</v>
      </c>
      <c r="D187" s="118"/>
      <c r="E187" s="90"/>
      <c r="F187" s="88"/>
      <c r="G187" s="118"/>
      <c r="H187" s="120"/>
      <c r="I187" s="89">
        <f>SUMIF('Executive Pay Breakdown'!K:K,$B187,'Executive Pay Breakdown'!M:M)+SUMIF('Executive Pay Breakdown'!O:O,$B187,'Executive Pay Breakdown'!Q:Q)+SUMIF('Executive Pay Breakdown'!S:S,$B187,'Executive Pay Breakdown'!U:U)+SUMIF('Executive Pay Breakdown'!W:W,$B187,'Executive Pay Breakdown'!Y:Y)+SUMIF('Executive Pay Breakdown'!AA:AA,$B187,'Executive Pay Breakdown'!AC:AC)</f>
        <v>72724424</v>
      </c>
      <c r="J187" s="109"/>
      <c r="K187" s="69">
        <f>SUMIF('Executive Pay Breakdown'!K:K,$B187,'Executive Pay Breakdown'!M:M)</f>
        <v>0</v>
      </c>
      <c r="L187" s="69">
        <f>SUMIF('Executive Pay Breakdown'!O:O,$B187,'Executive Pay Breakdown'!Q:Q)</f>
        <v>161538</v>
      </c>
      <c r="M187" s="69">
        <f>SUMIF('Executive Pay Breakdown'!S:S,$B187,'Executive Pay Breakdown'!U:U)</f>
        <v>46544623</v>
      </c>
      <c r="N187" s="69">
        <f>SUMIF('Executive Pay Breakdown'!W:W,$B187,'Executive Pay Breakdown'!Y:Y)</f>
        <v>8266212</v>
      </c>
      <c r="O187" s="69">
        <f>SUMIF('Executive Pay Breakdown'!AA:AA,$B187,'Executive Pay Breakdown'!AC:AC)</f>
        <v>17752051</v>
      </c>
    </row>
    <row r="188" hidden="1">
      <c r="A188" s="62"/>
      <c r="B188" s="138" t="s">
        <v>299</v>
      </c>
      <c r="C188" s="118" t="s">
        <v>35</v>
      </c>
      <c r="D188" s="122"/>
      <c r="E188" s="90"/>
      <c r="F188" s="88"/>
      <c r="G188" s="118"/>
      <c r="H188" s="120"/>
      <c r="I188" s="89">
        <f>SUMIF('Executive Pay Breakdown'!K:K,$B188,'Executive Pay Breakdown'!M:M)+SUMIF('Executive Pay Breakdown'!O:O,$B188,'Executive Pay Breakdown'!Q:Q)+SUMIF('Executive Pay Breakdown'!S:S,$B188,'Executive Pay Breakdown'!U:U)+SUMIF('Executive Pay Breakdown'!W:W,$B188,'Executive Pay Breakdown'!Y:Y)+SUMIF('Executive Pay Breakdown'!AA:AA,$B188,'Executive Pay Breakdown'!AC:AC)</f>
        <v>68410227</v>
      </c>
      <c r="J188" s="109"/>
      <c r="K188" s="69">
        <f>SUMIF('Executive Pay Breakdown'!K:K,$B188,'Executive Pay Breakdown'!M:M)</f>
        <v>303000</v>
      </c>
      <c r="L188" s="69">
        <f>SUMIF('Executive Pay Breakdown'!O:O,$B188,'Executive Pay Breakdown'!Q:Q)</f>
        <v>301154</v>
      </c>
      <c r="M188" s="69">
        <f>SUMIF('Executive Pay Breakdown'!S:S,$B188,'Executive Pay Breakdown'!U:U)</f>
        <v>46562116</v>
      </c>
      <c r="N188" s="69">
        <f>SUMIF('Executive Pay Breakdown'!W:W,$B188,'Executive Pay Breakdown'!Y:Y)</f>
        <v>21243957</v>
      </c>
      <c r="O188" s="69">
        <f>SUMIF('Executive Pay Breakdown'!AA:AA,$B188,'Executive Pay Breakdown'!AC:AC)</f>
        <v>0</v>
      </c>
    </row>
    <row r="189" hidden="1">
      <c r="A189" s="81"/>
      <c r="B189" s="137" t="s">
        <v>300</v>
      </c>
      <c r="C189" s="118" t="str">
        <f t="array" ref="C189">INDEX('Executive Pay Breakdown'!B:B,MATCH(B189,'Executive Pay Breakdown'!K:K,0))</f>
        <v>Darden Restaurants</v>
      </c>
      <c r="D189" s="122"/>
      <c r="E189" s="90"/>
      <c r="F189" s="88"/>
      <c r="G189" s="118"/>
      <c r="H189" s="120"/>
      <c r="I189" s="89">
        <f>SUMIF('Executive Pay Breakdown'!K:K,$B189,'Executive Pay Breakdown'!M:M)+SUMIF('Executive Pay Breakdown'!O:O,$B189,'Executive Pay Breakdown'!Q:Q)+SUMIF('Executive Pay Breakdown'!S:S,$B189,'Executive Pay Breakdown'!U:U)+SUMIF('Executive Pay Breakdown'!W:W,$B189,'Executive Pay Breakdown'!Y:Y)+SUMIF('Executive Pay Breakdown'!AA:AA,$B189,'Executive Pay Breakdown'!AC:AC)</f>
        <v>23597363</v>
      </c>
      <c r="J189" s="109"/>
      <c r="K189" s="69">
        <f>SUMIF('Executive Pay Breakdown'!K:K,$B189,'Executive Pay Breakdown'!M:M)</f>
        <v>8500029</v>
      </c>
      <c r="L189" s="69">
        <f>SUMIF('Executive Pay Breakdown'!O:O,$B189,'Executive Pay Breakdown'!Q:Q)</f>
        <v>4709282</v>
      </c>
      <c r="M189" s="69">
        <f>SUMIF('Executive Pay Breakdown'!S:S,$B189,'Executive Pay Breakdown'!U:U)</f>
        <v>3756954</v>
      </c>
      <c r="N189" s="69">
        <f>SUMIF('Executive Pay Breakdown'!W:W,$B189,'Executive Pay Breakdown'!Y:Y)</f>
        <v>3204365</v>
      </c>
      <c r="O189" s="69">
        <f>SUMIF('Executive Pay Breakdown'!AA:AA,$B189,'Executive Pay Breakdown'!AC:AC)</f>
        <v>3426733</v>
      </c>
    </row>
    <row r="190" hidden="1">
      <c r="A190" s="81"/>
      <c r="B190" s="137" t="s">
        <v>301</v>
      </c>
      <c r="C190" s="118" t="str">
        <f t="array" ref="C190">INDEX('Executive Pay Breakdown'!B:B,MATCH(B190,'Executive Pay Breakdown'!K:K,0))</f>
        <v>AmerisourceBergen</v>
      </c>
      <c r="D190" s="122"/>
      <c r="E190" s="90"/>
      <c r="F190" s="88"/>
      <c r="G190" s="118"/>
      <c r="H190" s="120"/>
      <c r="I190" s="89">
        <f>SUMIF('Executive Pay Breakdown'!K:K,$B190,'Executive Pay Breakdown'!M:M)+SUMIF('Executive Pay Breakdown'!O:O,$B190,'Executive Pay Breakdown'!Q:Q)+SUMIF('Executive Pay Breakdown'!S:S,$B190,'Executive Pay Breakdown'!U:U)+SUMIF('Executive Pay Breakdown'!W:W,$B190,'Executive Pay Breakdown'!Y:Y)+SUMIF('Executive Pay Breakdown'!AA:AA,$B190,'Executive Pay Breakdown'!AC:AC)</f>
        <v>68728752</v>
      </c>
      <c r="J190" s="109"/>
      <c r="K190" s="69">
        <f>SUMIF('Executive Pay Breakdown'!K:K,$B190,'Executive Pay Breakdown'!M:M)</f>
        <v>16735752</v>
      </c>
      <c r="L190" s="69">
        <f>SUMIF('Executive Pay Breakdown'!O:O,$B190,'Executive Pay Breakdown'!Q:Q)</f>
        <v>14873815</v>
      </c>
      <c r="M190" s="69">
        <f>SUMIF('Executive Pay Breakdown'!S:S,$B190,'Executive Pay Breakdown'!U:U)</f>
        <v>14295140</v>
      </c>
      <c r="N190" s="69">
        <f>SUMIF('Executive Pay Breakdown'!W:W,$B190,'Executive Pay Breakdown'!Y:Y)</f>
        <v>11309930</v>
      </c>
      <c r="O190" s="69">
        <f>SUMIF('Executive Pay Breakdown'!AA:AA,$B190,'Executive Pay Breakdown'!AC:AC)</f>
        <v>11514115</v>
      </c>
    </row>
    <row r="191" hidden="1">
      <c r="A191" s="62"/>
      <c r="B191" s="138" t="s">
        <v>302</v>
      </c>
      <c r="C191" s="118" t="s">
        <v>35</v>
      </c>
      <c r="D191" s="122"/>
      <c r="E191" s="90"/>
      <c r="F191" s="88"/>
      <c r="G191" s="118"/>
      <c r="H191" s="120"/>
      <c r="I191" s="89">
        <f>SUMIF('Executive Pay Breakdown'!K:K,$B191,'Executive Pay Breakdown'!M:M)+SUMIF('Executive Pay Breakdown'!O:O,$B191,'Executive Pay Breakdown'!Q:Q)+SUMIF('Executive Pay Breakdown'!S:S,$B191,'Executive Pay Breakdown'!U:U)+SUMIF('Executive Pay Breakdown'!W:W,$B191,'Executive Pay Breakdown'!Y:Y)+SUMIF('Executive Pay Breakdown'!AA:AA,$B191,'Executive Pay Breakdown'!AC:AC)</f>
        <v>52229011</v>
      </c>
      <c r="J191" s="109"/>
      <c r="K191" s="69">
        <f>SUMIF('Executive Pay Breakdown'!K:K,$B191,'Executive Pay Breakdown'!M:M)</f>
        <v>303000</v>
      </c>
      <c r="L191" s="69">
        <f>SUMIF('Executive Pay Breakdown'!O:O,$B191,'Executive Pay Breakdown'!Q:Q)</f>
        <v>301154</v>
      </c>
      <c r="M191" s="69">
        <f>SUMIF('Executive Pay Breakdown'!S:S,$B191,'Executive Pay Breakdown'!U:U)</f>
        <v>46544623</v>
      </c>
      <c r="N191" s="69">
        <f>SUMIF('Executive Pay Breakdown'!W:W,$B191,'Executive Pay Breakdown'!Y:Y)</f>
        <v>5080234</v>
      </c>
      <c r="O191" s="69">
        <f>SUMIF('Executive Pay Breakdown'!AA:AA,$B191,'Executive Pay Breakdown'!AC:AC)</f>
        <v>0</v>
      </c>
    </row>
    <row r="192" hidden="1">
      <c r="A192" s="81"/>
      <c r="B192" s="87" t="s">
        <v>119</v>
      </c>
      <c r="C192" s="118" t="s">
        <v>49</v>
      </c>
      <c r="D192" s="122"/>
      <c r="E192" s="90"/>
      <c r="F192" s="88"/>
      <c r="G192" s="118"/>
      <c r="H192" s="120"/>
      <c r="I192" s="89">
        <f>SUMIF('Executive Pay Breakdown'!K:K,$B192,'Executive Pay Breakdown'!M:M)+SUMIF('Executive Pay Breakdown'!O:O,$B192,'Executive Pay Breakdown'!Q:Q)+SUMIF('Executive Pay Breakdown'!S:S,$B192,'Executive Pay Breakdown'!U:U)+SUMIF('Executive Pay Breakdown'!W:W,$B192,'Executive Pay Breakdown'!Y:Y)+SUMIF('Executive Pay Breakdown'!AA:AA,$B192,'Executive Pay Breakdown'!AC:AC)</f>
        <v>106651170</v>
      </c>
      <c r="J192" s="109"/>
      <c r="K192" s="69">
        <f>SUMIF('Executive Pay Breakdown'!K:K,$B192,'Executive Pay Breakdown'!M:M)</f>
        <v>0</v>
      </c>
      <c r="L192" s="69">
        <f>SUMIF('Executive Pay Breakdown'!O:O,$B192,'Executive Pay Breakdown'!Q:Q)</f>
        <v>16345499</v>
      </c>
      <c r="M192" s="69">
        <f>SUMIF('Executive Pay Breakdown'!S:S,$B192,'Executive Pay Breakdown'!U:U)</f>
        <v>29154628</v>
      </c>
      <c r="N192" s="69">
        <f>SUMIF('Executive Pay Breakdown'!W:W,$B192,'Executive Pay Breakdown'!Y:Y)</f>
        <v>32032925</v>
      </c>
      <c r="O192" s="69">
        <f>SUMIF('Executive Pay Breakdown'!AA:AA,$B192,'Executive Pay Breakdown'!AC:AC)</f>
        <v>29118118</v>
      </c>
    </row>
    <row r="193" hidden="1">
      <c r="A193" s="81"/>
      <c r="B193" s="137" t="s">
        <v>303</v>
      </c>
      <c r="C193" s="118" t="str">
        <f t="array" ref="C193">INDEX('Executive Pay Breakdown'!B:B,MATCH(B193,'Executive Pay Breakdown'!K:K,0))</f>
        <v>Whirlpool</v>
      </c>
      <c r="D193" s="122"/>
      <c r="E193" s="90"/>
      <c r="F193" s="88"/>
      <c r="G193" s="118"/>
      <c r="H193" s="120"/>
      <c r="I193" s="89">
        <f>SUMIF('Executive Pay Breakdown'!K:K,$B193,'Executive Pay Breakdown'!M:M)+SUMIF('Executive Pay Breakdown'!O:O,$B193,'Executive Pay Breakdown'!Q:Q)+SUMIF('Executive Pay Breakdown'!S:S,$B193,'Executive Pay Breakdown'!U:U)+SUMIF('Executive Pay Breakdown'!W:W,$B193,'Executive Pay Breakdown'!Y:Y)+SUMIF('Executive Pay Breakdown'!AA:AA,$B193,'Executive Pay Breakdown'!AC:AC)</f>
        <v>25556422</v>
      </c>
      <c r="J193" s="109"/>
      <c r="K193" s="69">
        <f>SUMIF('Executive Pay Breakdown'!K:K,$B193,'Executive Pay Breakdown'!M:M)</f>
        <v>4941682</v>
      </c>
      <c r="L193" s="69">
        <f>SUMIF('Executive Pay Breakdown'!O:O,$B193,'Executive Pay Breakdown'!Q:Q)</f>
        <v>6869686</v>
      </c>
      <c r="M193" s="69">
        <f>SUMIF('Executive Pay Breakdown'!S:S,$B193,'Executive Pay Breakdown'!U:U)</f>
        <v>6178417</v>
      </c>
      <c r="N193" s="69">
        <f>SUMIF('Executive Pay Breakdown'!W:W,$B193,'Executive Pay Breakdown'!Y:Y)</f>
        <v>4796558</v>
      </c>
      <c r="O193" s="69">
        <f>SUMIF('Executive Pay Breakdown'!AA:AA,$B193,'Executive Pay Breakdown'!AC:AC)</f>
        <v>2770079</v>
      </c>
    </row>
    <row r="194" hidden="1">
      <c r="A194" s="81"/>
      <c r="B194" s="137" t="s">
        <v>304</v>
      </c>
      <c r="C194" s="118" t="str">
        <f t="array" ref="C194">INDEX('Executive Pay Breakdown'!B:B,MATCH(B194,'Executive Pay Breakdown'!K:K,0))</f>
        <v>Whirlpool</v>
      </c>
      <c r="D194" s="122"/>
      <c r="E194" s="90"/>
      <c r="F194" s="88"/>
      <c r="G194" s="118"/>
      <c r="H194" s="120"/>
      <c r="I194" s="89">
        <f>SUMIF('Executive Pay Breakdown'!K:K,$B194,'Executive Pay Breakdown'!M:M)+SUMIF('Executive Pay Breakdown'!O:O,$B194,'Executive Pay Breakdown'!Q:Q)+SUMIF('Executive Pay Breakdown'!S:S,$B194,'Executive Pay Breakdown'!U:U)+SUMIF('Executive Pay Breakdown'!W:W,$B194,'Executive Pay Breakdown'!Y:Y)+SUMIF('Executive Pay Breakdown'!AA:AA,$B194,'Executive Pay Breakdown'!AC:AC)</f>
        <v>24488336</v>
      </c>
      <c r="J194" s="109"/>
      <c r="K194" s="69">
        <f>SUMIF('Executive Pay Breakdown'!K:K,$B194,'Executive Pay Breakdown'!M:M)</f>
        <v>3868145</v>
      </c>
      <c r="L194" s="69">
        <f>SUMIF('Executive Pay Breakdown'!O:O,$B194,'Executive Pay Breakdown'!Q:Q)</f>
        <v>8331820</v>
      </c>
      <c r="M194" s="69">
        <f>SUMIF('Executive Pay Breakdown'!S:S,$B194,'Executive Pay Breakdown'!U:U)</f>
        <v>5389599</v>
      </c>
      <c r="N194" s="69">
        <f>SUMIF('Executive Pay Breakdown'!W:W,$B194,'Executive Pay Breakdown'!Y:Y)</f>
        <v>4007186</v>
      </c>
      <c r="O194" s="69">
        <f>SUMIF('Executive Pay Breakdown'!AA:AA,$B194,'Executive Pay Breakdown'!AC:AC)</f>
        <v>2891586</v>
      </c>
    </row>
    <row r="195" hidden="1">
      <c r="A195" s="62"/>
      <c r="B195" s="129" t="s">
        <v>305</v>
      </c>
      <c r="C195" s="118" t="s">
        <v>14</v>
      </c>
      <c r="D195" s="122"/>
      <c r="E195" s="90"/>
      <c r="F195" s="88"/>
      <c r="G195" s="118"/>
      <c r="H195" s="120"/>
      <c r="I195" s="89">
        <f>SUMIF('Executive Pay Breakdown'!K:K,$B195,'Executive Pay Breakdown'!M:M)+SUMIF('Executive Pay Breakdown'!O:O,$B195,'Executive Pay Breakdown'!Q:Q)+SUMIF('Executive Pay Breakdown'!S:S,$B195,'Executive Pay Breakdown'!U:U)+SUMIF('Executive Pay Breakdown'!W:W,$B195,'Executive Pay Breakdown'!Y:Y)+SUMIF('Executive Pay Breakdown'!AA:AA,$B195,'Executive Pay Breakdown'!AC:AC)</f>
        <v>73004217</v>
      </c>
      <c r="J195" s="109"/>
      <c r="K195" s="69">
        <f>SUMIF('Executive Pay Breakdown'!K:K,$B195,'Executive Pay Breakdown'!M:M)</f>
        <v>0</v>
      </c>
      <c r="L195" s="69">
        <f>SUMIF('Executive Pay Breakdown'!O:O,$B195,'Executive Pay Breakdown'!Q:Q)</f>
        <v>13969537</v>
      </c>
      <c r="M195" s="69">
        <f>SUMIF('Executive Pay Breakdown'!S:S,$B195,'Executive Pay Breakdown'!U:U)</f>
        <v>18810374</v>
      </c>
      <c r="N195" s="69">
        <f>SUMIF('Executive Pay Breakdown'!W:W,$B195,'Executive Pay Breakdown'!Y:Y)</f>
        <v>19369637</v>
      </c>
      <c r="O195" s="69">
        <f>SUMIF('Executive Pay Breakdown'!AA:AA,$B195,'Executive Pay Breakdown'!AC:AC)</f>
        <v>20854669</v>
      </c>
    </row>
    <row r="196" hidden="1">
      <c r="A196" s="62"/>
      <c r="B196" s="86" t="s">
        <v>306</v>
      </c>
      <c r="C196" s="118" t="s">
        <v>77</v>
      </c>
      <c r="D196" s="118"/>
      <c r="E196" s="90"/>
      <c r="F196" s="88"/>
      <c r="G196" s="118"/>
      <c r="H196" s="120"/>
      <c r="I196" s="89">
        <f>SUMIF('Executive Pay Breakdown'!K:K,$B196,'Executive Pay Breakdown'!M:M)+SUMIF('Executive Pay Breakdown'!O:O,$B196,'Executive Pay Breakdown'!Q:Q)+SUMIF('Executive Pay Breakdown'!S:S,$B196,'Executive Pay Breakdown'!U:U)+SUMIF('Executive Pay Breakdown'!W:W,$B196,'Executive Pay Breakdown'!Y:Y)+SUMIF('Executive Pay Breakdown'!AA:AA,$B196,'Executive Pay Breakdown'!AC:AC)</f>
        <v>53528145</v>
      </c>
      <c r="J196" s="109"/>
      <c r="K196" s="69">
        <f>SUMIF('Executive Pay Breakdown'!K:K,$B196,'Executive Pay Breakdown'!M:M)</f>
        <v>0</v>
      </c>
      <c r="L196" s="69">
        <f>SUMIF('Executive Pay Breakdown'!O:O,$B196,'Executive Pay Breakdown'!Q:Q)</f>
        <v>2455739</v>
      </c>
      <c r="M196" s="69">
        <f>SUMIF('Executive Pay Breakdown'!S:S,$B196,'Executive Pay Breakdown'!U:U)</f>
        <v>16905180</v>
      </c>
      <c r="N196" s="69">
        <f>SUMIF('Executive Pay Breakdown'!W:W,$B196,'Executive Pay Breakdown'!Y:Y)</f>
        <v>19803193</v>
      </c>
      <c r="O196" s="69">
        <f>SUMIF('Executive Pay Breakdown'!AA:AA,$B196,'Executive Pay Breakdown'!AC:AC)</f>
        <v>14364033</v>
      </c>
    </row>
    <row r="197" hidden="1">
      <c r="A197" s="71"/>
      <c r="B197" s="139" t="s">
        <v>307</v>
      </c>
      <c r="C197" s="118" t="s">
        <v>54</v>
      </c>
      <c r="D197" s="118"/>
      <c r="E197" s="90"/>
      <c r="F197" s="88"/>
      <c r="G197" s="118"/>
      <c r="H197" s="120"/>
      <c r="I197" s="89">
        <f>SUMIF('Executive Pay Breakdown'!K:K,$B197,'Executive Pay Breakdown'!M:M)+SUMIF('Executive Pay Breakdown'!O:O,$B197,'Executive Pay Breakdown'!Q:Q)+SUMIF('Executive Pay Breakdown'!S:S,$B197,'Executive Pay Breakdown'!U:U)+SUMIF('Executive Pay Breakdown'!W:W,$B197,'Executive Pay Breakdown'!Y:Y)+SUMIF('Executive Pay Breakdown'!AA:AA,$B197,'Executive Pay Breakdown'!AC:AC)</f>
        <v>53693459</v>
      </c>
      <c r="J197" s="109"/>
      <c r="K197" s="69">
        <f>SUMIF('Executive Pay Breakdown'!K:K,$B197,'Executive Pay Breakdown'!M:M)</f>
        <v>0</v>
      </c>
      <c r="L197" s="69">
        <f>SUMIF('Executive Pay Breakdown'!O:O,$B197,'Executive Pay Breakdown'!Q:Q)</f>
        <v>7470953</v>
      </c>
      <c r="M197" s="69">
        <f>SUMIF('Executive Pay Breakdown'!S:S,$B197,'Executive Pay Breakdown'!U:U)</f>
        <v>36455947</v>
      </c>
      <c r="N197" s="69">
        <f>SUMIF('Executive Pay Breakdown'!W:W,$B197,'Executive Pay Breakdown'!Y:Y)</f>
        <v>5037405</v>
      </c>
      <c r="O197" s="69">
        <f>SUMIF('Executive Pay Breakdown'!AA:AA,$B197,'Executive Pay Breakdown'!AC:AC)</f>
        <v>4729154</v>
      </c>
    </row>
    <row r="198" hidden="1">
      <c r="A198" s="62"/>
      <c r="B198" s="127" t="s">
        <v>308</v>
      </c>
      <c r="C198" s="118" t="s">
        <v>13</v>
      </c>
      <c r="D198" s="118"/>
      <c r="E198" s="90"/>
      <c r="F198" s="88"/>
      <c r="G198" s="118"/>
      <c r="H198" s="120"/>
      <c r="I198" s="89">
        <f>SUMIF('Executive Pay Breakdown'!K:K,$B198,'Executive Pay Breakdown'!M:M)+SUMIF('Executive Pay Breakdown'!O:O,$B198,'Executive Pay Breakdown'!Q:Q)+SUMIF('Executive Pay Breakdown'!S:S,$B198,'Executive Pay Breakdown'!U:U)+SUMIF('Executive Pay Breakdown'!W:W,$B198,'Executive Pay Breakdown'!Y:Y)+SUMIF('Executive Pay Breakdown'!AA:AA,$B198,'Executive Pay Breakdown'!AC:AC)</f>
        <v>53617171</v>
      </c>
      <c r="J198" s="109"/>
      <c r="K198" s="69">
        <f>SUMIF('Executive Pay Breakdown'!K:K,$B198,'Executive Pay Breakdown'!M:M)</f>
        <v>0</v>
      </c>
      <c r="L198" s="69">
        <f>SUMIF('Executive Pay Breakdown'!O:O,$B198,'Executive Pay Breakdown'!Q:Q)</f>
        <v>0</v>
      </c>
      <c r="M198" s="69">
        <f>SUMIF('Executive Pay Breakdown'!S:S,$B198,'Executive Pay Breakdown'!U:U)</f>
        <v>29847619</v>
      </c>
      <c r="N198" s="69">
        <f>SUMIF('Executive Pay Breakdown'!W:W,$B198,'Executive Pay Breakdown'!Y:Y)</f>
        <v>7915575</v>
      </c>
      <c r="O198" s="69">
        <f>SUMIF('Executive Pay Breakdown'!AA:AA,$B198,'Executive Pay Breakdown'!AC:AC)</f>
        <v>15853977</v>
      </c>
    </row>
    <row r="199" hidden="1">
      <c r="A199" s="81"/>
      <c r="B199" s="137" t="s">
        <v>309</v>
      </c>
      <c r="C199" s="118" t="str">
        <f t="array" ref="C199">INDEX('Executive Pay Breakdown'!B:B,MATCH(B199,'Executive Pay Breakdown'!K:K,0))</f>
        <v>Darden Restaurants</v>
      </c>
      <c r="D199" s="122"/>
      <c r="E199" s="90"/>
      <c r="F199" s="88"/>
      <c r="G199" s="118"/>
      <c r="H199" s="120"/>
      <c r="I199" s="89">
        <f>SUMIF('Executive Pay Breakdown'!K:K,$B199,'Executive Pay Breakdown'!M:M)+SUMIF('Executive Pay Breakdown'!O:O,$B199,'Executive Pay Breakdown'!Q:Q)+SUMIF('Executive Pay Breakdown'!S:S,$B199,'Executive Pay Breakdown'!U:U)+SUMIF('Executive Pay Breakdown'!W:W,$B199,'Executive Pay Breakdown'!Y:Y)+SUMIF('Executive Pay Breakdown'!AA:AA,$B199,'Executive Pay Breakdown'!AC:AC)</f>
        <v>14343110</v>
      </c>
      <c r="J199" s="109"/>
      <c r="K199" s="69">
        <f>SUMIF('Executive Pay Breakdown'!K:K,$B199,'Executive Pay Breakdown'!M:M)</f>
        <v>3026160</v>
      </c>
      <c r="L199" s="69">
        <f>SUMIF('Executive Pay Breakdown'!O:O,$B199,'Executive Pay Breakdown'!Q:Q)</f>
        <v>3102699</v>
      </c>
      <c r="M199" s="69">
        <f>SUMIF('Executive Pay Breakdown'!S:S,$B199,'Executive Pay Breakdown'!U:U)</f>
        <v>2693769</v>
      </c>
      <c r="N199" s="69">
        <f>SUMIF('Executive Pay Breakdown'!W:W,$B199,'Executive Pay Breakdown'!Y:Y)</f>
        <v>2719627</v>
      </c>
      <c r="O199" s="69">
        <f>SUMIF('Executive Pay Breakdown'!AA:AA,$B199,'Executive Pay Breakdown'!AC:AC)</f>
        <v>2800855</v>
      </c>
    </row>
    <row r="200" hidden="1">
      <c r="A200" s="81"/>
      <c r="B200" s="136" t="s">
        <v>310</v>
      </c>
      <c r="C200" s="118" t="s">
        <v>24</v>
      </c>
      <c r="D200" s="118"/>
      <c r="E200" s="90"/>
      <c r="F200" s="88"/>
      <c r="G200" s="118"/>
      <c r="H200" s="120"/>
      <c r="I200" s="89">
        <f>SUMIF('Executive Pay Breakdown'!K:K,$B200,'Executive Pay Breakdown'!M:M)+SUMIF('Executive Pay Breakdown'!O:O,$B200,'Executive Pay Breakdown'!Q:Q)+SUMIF('Executive Pay Breakdown'!S:S,$B200,'Executive Pay Breakdown'!U:U)+SUMIF('Executive Pay Breakdown'!W:W,$B200,'Executive Pay Breakdown'!Y:Y)+SUMIF('Executive Pay Breakdown'!AA:AA,$B200,'Executive Pay Breakdown'!AC:AC)</f>
        <v>51836846</v>
      </c>
      <c r="J200" s="109"/>
      <c r="K200" s="69">
        <f>SUMIF('Executive Pay Breakdown'!K:K,$B200,'Executive Pay Breakdown'!M:M)</f>
        <v>0</v>
      </c>
      <c r="L200" s="69">
        <f>SUMIF('Executive Pay Breakdown'!O:O,$B200,'Executive Pay Breakdown'!Q:Q)</f>
        <v>0</v>
      </c>
      <c r="M200" s="69">
        <f>SUMIF('Executive Pay Breakdown'!S:S,$B200,'Executive Pay Breakdown'!U:U)</f>
        <v>16728505</v>
      </c>
      <c r="N200" s="69">
        <f>SUMIF('Executive Pay Breakdown'!W:W,$B200,'Executive Pay Breakdown'!Y:Y)</f>
        <v>17355506</v>
      </c>
      <c r="O200" s="69">
        <f>SUMIF('Executive Pay Breakdown'!AA:AA,$B200,'Executive Pay Breakdown'!AC:AC)</f>
        <v>17752835</v>
      </c>
    </row>
    <row r="201" hidden="1">
      <c r="A201" s="81"/>
      <c r="B201" s="137" t="s">
        <v>311</v>
      </c>
      <c r="C201" s="118" t="str">
        <f t="array" ref="C201">INDEX('Executive Pay Breakdown'!B:B,MATCH(B201,'Executive Pay Breakdown'!K:K,0))</f>
        <v>Darden Restaurants</v>
      </c>
      <c r="D201" s="122"/>
      <c r="E201" s="90"/>
      <c r="F201" s="88"/>
      <c r="G201" s="118"/>
      <c r="H201" s="120"/>
      <c r="I201" s="89">
        <f>SUMIF('Executive Pay Breakdown'!K:K,$B201,'Executive Pay Breakdown'!M:M)+SUMIF('Executive Pay Breakdown'!O:O,$B201,'Executive Pay Breakdown'!Q:Q)+SUMIF('Executive Pay Breakdown'!S:S,$B201,'Executive Pay Breakdown'!U:U)+SUMIF('Executive Pay Breakdown'!W:W,$B201,'Executive Pay Breakdown'!Y:Y)+SUMIF('Executive Pay Breakdown'!AA:AA,$B201,'Executive Pay Breakdown'!AC:AC)</f>
        <v>13237422</v>
      </c>
      <c r="J201" s="109"/>
      <c r="K201" s="69">
        <f>SUMIF('Executive Pay Breakdown'!K:K,$B201,'Executive Pay Breakdown'!M:M)</f>
        <v>3268719</v>
      </c>
      <c r="L201" s="69">
        <f>SUMIF('Executive Pay Breakdown'!O:O,$B201,'Executive Pay Breakdown'!Q:Q)</f>
        <v>2928556</v>
      </c>
      <c r="M201" s="69">
        <f>SUMIF('Executive Pay Breakdown'!S:S,$B201,'Executive Pay Breakdown'!U:U)</f>
        <v>2594115</v>
      </c>
      <c r="N201" s="69">
        <f>SUMIF('Executive Pay Breakdown'!W:W,$B201,'Executive Pay Breakdown'!Y:Y)</f>
        <v>2165563</v>
      </c>
      <c r="O201" s="69">
        <f>SUMIF('Executive Pay Breakdown'!AA:AA,$B201,'Executive Pay Breakdown'!AC:AC)</f>
        <v>2280469</v>
      </c>
    </row>
    <row r="202" hidden="1">
      <c r="A202" s="81"/>
      <c r="B202" s="134" t="s">
        <v>312</v>
      </c>
      <c r="C202" s="118" t="s">
        <v>56</v>
      </c>
      <c r="D202" s="122"/>
      <c r="E202" s="90"/>
      <c r="F202" s="88"/>
      <c r="G202" s="118"/>
      <c r="H202" s="120"/>
      <c r="I202" s="89">
        <f>SUMIF('Executive Pay Breakdown'!K:K,$B202,'Executive Pay Breakdown'!M:M)+SUMIF('Executive Pay Breakdown'!O:O,$B202,'Executive Pay Breakdown'!Q:Q)+SUMIF('Executive Pay Breakdown'!S:S,$B202,'Executive Pay Breakdown'!U:U)+SUMIF('Executive Pay Breakdown'!W:W,$B202,'Executive Pay Breakdown'!Y:Y)+SUMIF('Executive Pay Breakdown'!AA:AA,$B202,'Executive Pay Breakdown'!AC:AC)</f>
        <v>31812748</v>
      </c>
      <c r="J202" s="109"/>
      <c r="K202" s="69">
        <f>SUMIF('Executive Pay Breakdown'!K:K,$B202,'Executive Pay Breakdown'!M:M)</f>
        <v>13249823</v>
      </c>
      <c r="L202" s="69">
        <f>SUMIF('Executive Pay Breakdown'!O:O,$B202,'Executive Pay Breakdown'!Q:Q)</f>
        <v>5170126</v>
      </c>
      <c r="M202" s="69">
        <f>SUMIF('Executive Pay Breakdown'!S:S,$B202,'Executive Pay Breakdown'!U:U)</f>
        <v>8237930</v>
      </c>
      <c r="N202" s="69">
        <f>SUMIF('Executive Pay Breakdown'!W:W,$B202,'Executive Pay Breakdown'!Y:Y)</f>
        <v>5154869</v>
      </c>
      <c r="O202" s="69">
        <f>SUMIF('Executive Pay Breakdown'!AA:AA,$B202,'Executive Pay Breakdown'!AC:AC)</f>
        <v>0</v>
      </c>
    </row>
    <row r="203" hidden="1">
      <c r="A203" s="81"/>
      <c r="B203" s="137" t="s">
        <v>313</v>
      </c>
      <c r="C203" s="118" t="str">
        <f t="array" ref="C203">INDEX('Executive Pay Breakdown'!B:B,MATCH(B203,'Executive Pay Breakdown'!K:K,0))</f>
        <v>Whirlpool</v>
      </c>
      <c r="D203" s="122"/>
      <c r="E203" s="90"/>
      <c r="F203" s="88"/>
      <c r="G203" s="118"/>
      <c r="H203" s="120"/>
      <c r="I203" s="89">
        <f>SUMIF('Executive Pay Breakdown'!K:K,$B203,'Executive Pay Breakdown'!M:M)+SUMIF('Executive Pay Breakdown'!O:O,$B203,'Executive Pay Breakdown'!Q:Q)+SUMIF('Executive Pay Breakdown'!S:S,$B203,'Executive Pay Breakdown'!U:U)+SUMIF('Executive Pay Breakdown'!W:W,$B203,'Executive Pay Breakdown'!Y:Y)+SUMIF('Executive Pay Breakdown'!AA:AA,$B203,'Executive Pay Breakdown'!AC:AC)</f>
        <v>14672753</v>
      </c>
      <c r="J203" s="109"/>
      <c r="K203" s="69">
        <f>SUMIF('Executive Pay Breakdown'!K:K,$B203,'Executive Pay Breakdown'!M:M)</f>
        <v>2075668</v>
      </c>
      <c r="L203" s="69">
        <f>SUMIF('Executive Pay Breakdown'!O:O,$B203,'Executive Pay Breakdown'!Q:Q)</f>
        <v>3106567</v>
      </c>
      <c r="M203" s="69">
        <f>SUMIF('Executive Pay Breakdown'!S:S,$B203,'Executive Pay Breakdown'!U:U)</f>
        <v>2609154</v>
      </c>
      <c r="N203" s="69">
        <f>SUMIF('Executive Pay Breakdown'!W:W,$B203,'Executive Pay Breakdown'!Y:Y)</f>
        <v>4854765</v>
      </c>
      <c r="O203" s="69">
        <f>SUMIF('Executive Pay Breakdown'!AA:AA,$B203,'Executive Pay Breakdown'!AC:AC)</f>
        <v>2026599</v>
      </c>
    </row>
    <row r="204" hidden="1">
      <c r="A204" s="62"/>
      <c r="B204" s="129" t="s">
        <v>314</v>
      </c>
      <c r="C204" s="118" t="s">
        <v>14</v>
      </c>
      <c r="D204" s="118"/>
      <c r="E204" s="90"/>
      <c r="F204" s="88"/>
      <c r="G204" s="118"/>
      <c r="H204" s="120"/>
      <c r="I204" s="89">
        <f>SUMIF('Executive Pay Breakdown'!K:K,$B204,'Executive Pay Breakdown'!M:M)+SUMIF('Executive Pay Breakdown'!O:O,$B204,'Executive Pay Breakdown'!Q:Q)+SUMIF('Executive Pay Breakdown'!S:S,$B204,'Executive Pay Breakdown'!U:U)+SUMIF('Executive Pay Breakdown'!W:W,$B204,'Executive Pay Breakdown'!Y:Y)+SUMIF('Executive Pay Breakdown'!AA:AA,$B204,'Executive Pay Breakdown'!AC:AC)</f>
        <v>44429597</v>
      </c>
      <c r="J204" s="109"/>
      <c r="K204" s="69">
        <f>SUMIF('Executive Pay Breakdown'!K:K,$B204,'Executive Pay Breakdown'!M:M)</f>
        <v>0</v>
      </c>
      <c r="L204" s="69">
        <f>SUMIF('Executive Pay Breakdown'!O:O,$B204,'Executive Pay Breakdown'!Q:Q)</f>
        <v>15510315</v>
      </c>
      <c r="M204" s="69">
        <f>SUMIF('Executive Pay Breakdown'!S:S,$B204,'Executive Pay Breakdown'!U:U)</f>
        <v>8666267</v>
      </c>
      <c r="N204" s="69">
        <f>SUMIF('Executive Pay Breakdown'!W:W,$B204,'Executive Pay Breakdown'!Y:Y)</f>
        <v>10545619</v>
      </c>
      <c r="O204" s="69">
        <f>SUMIF('Executive Pay Breakdown'!AA:AA,$B204,'Executive Pay Breakdown'!AC:AC)</f>
        <v>9707396</v>
      </c>
    </row>
    <row r="205" hidden="1">
      <c r="A205" s="62"/>
      <c r="B205" s="127" t="s">
        <v>315</v>
      </c>
      <c r="C205" s="118" t="s">
        <v>13</v>
      </c>
      <c r="D205" s="118"/>
      <c r="E205" s="90"/>
      <c r="F205" s="88"/>
      <c r="G205" s="118"/>
      <c r="H205" s="120"/>
      <c r="I205" s="89">
        <f>SUMIF('Executive Pay Breakdown'!K:K,$B205,'Executive Pay Breakdown'!M:M)+SUMIF('Executive Pay Breakdown'!O:O,$B205,'Executive Pay Breakdown'!Q:Q)+SUMIF('Executive Pay Breakdown'!S:S,$B205,'Executive Pay Breakdown'!U:U)+SUMIF('Executive Pay Breakdown'!W:W,$B205,'Executive Pay Breakdown'!Y:Y)+SUMIF('Executive Pay Breakdown'!AA:AA,$B205,'Executive Pay Breakdown'!AC:AC)</f>
        <v>40138929</v>
      </c>
      <c r="J205" s="109"/>
      <c r="K205" s="69">
        <f>SUMIF('Executive Pay Breakdown'!K:K,$B205,'Executive Pay Breakdown'!M:M)</f>
        <v>0</v>
      </c>
      <c r="L205" s="69">
        <f>SUMIF('Executive Pay Breakdown'!O:O,$B205,'Executive Pay Breakdown'!Q:Q)</f>
        <v>0</v>
      </c>
      <c r="M205" s="69">
        <f>SUMIF('Executive Pay Breakdown'!S:S,$B205,'Executive Pay Breakdown'!U:U)</f>
        <v>9396212</v>
      </c>
      <c r="N205" s="69">
        <f>SUMIF('Executive Pay Breakdown'!W:W,$B205,'Executive Pay Breakdown'!Y:Y)</f>
        <v>22276193</v>
      </c>
      <c r="O205" s="69">
        <f>SUMIF('Executive Pay Breakdown'!AA:AA,$B205,'Executive Pay Breakdown'!AC:AC)</f>
        <v>8466524</v>
      </c>
    </row>
    <row r="206" hidden="1">
      <c r="A206" s="81"/>
      <c r="B206" s="137" t="s">
        <v>316</v>
      </c>
      <c r="C206" s="118" t="str">
        <f t="array" ref="C206">INDEX('Executive Pay Breakdown'!B:B,MATCH(B206,'Executive Pay Breakdown'!S:S,0))</f>
        <v>Darden Restaurants</v>
      </c>
      <c r="D206" s="122"/>
      <c r="E206" s="90"/>
      <c r="F206" s="88"/>
      <c r="G206" s="118"/>
      <c r="H206" s="120"/>
      <c r="I206" s="89">
        <f>SUMIF('Executive Pay Breakdown'!K:K,$B206,'Executive Pay Breakdown'!M:M)+SUMIF('Executive Pay Breakdown'!O:O,$B206,'Executive Pay Breakdown'!Q:Q)+SUMIF('Executive Pay Breakdown'!S:S,$B206,'Executive Pay Breakdown'!U:U)+SUMIF('Executive Pay Breakdown'!W:W,$B206,'Executive Pay Breakdown'!Y:Y)+SUMIF('Executive Pay Breakdown'!AA:AA,$B206,'Executive Pay Breakdown'!AC:AC)</f>
        <v>10592043</v>
      </c>
      <c r="J206" s="109"/>
      <c r="K206" s="69">
        <f>SUMIF('Executive Pay Breakdown'!K:K,$B206,'Executive Pay Breakdown'!M:M)</f>
        <v>0</v>
      </c>
      <c r="L206" s="69">
        <f>SUMIF('Executive Pay Breakdown'!O:O,$B206,'Executive Pay Breakdown'!Q:Q)</f>
        <v>0</v>
      </c>
      <c r="M206" s="69">
        <f>SUMIF('Executive Pay Breakdown'!S:S,$B206,'Executive Pay Breakdown'!U:U)</f>
        <v>3157676</v>
      </c>
      <c r="N206" s="69">
        <f>SUMIF('Executive Pay Breakdown'!W:W,$B206,'Executive Pay Breakdown'!Y:Y)</f>
        <v>3443969</v>
      </c>
      <c r="O206" s="69">
        <f>SUMIF('Executive Pay Breakdown'!AA:AA,$B206,'Executive Pay Breakdown'!AC:AC)</f>
        <v>3990398</v>
      </c>
    </row>
    <row r="207" hidden="1">
      <c r="A207" s="81"/>
      <c r="B207" s="135" t="s">
        <v>317</v>
      </c>
      <c r="C207" s="118" t="s">
        <v>49</v>
      </c>
      <c r="D207" s="118"/>
      <c r="E207" s="90"/>
      <c r="F207" s="88"/>
      <c r="G207" s="118"/>
      <c r="H207" s="120"/>
      <c r="I207" s="89">
        <f>SUMIF('Executive Pay Breakdown'!K:K,$B207,'Executive Pay Breakdown'!M:M)+SUMIF('Executive Pay Breakdown'!O:O,$B207,'Executive Pay Breakdown'!Q:Q)+SUMIF('Executive Pay Breakdown'!S:S,$B207,'Executive Pay Breakdown'!U:U)+SUMIF('Executive Pay Breakdown'!W:W,$B207,'Executive Pay Breakdown'!Y:Y)+SUMIF('Executive Pay Breakdown'!AA:AA,$B207,'Executive Pay Breakdown'!AC:AC)</f>
        <v>52650082</v>
      </c>
      <c r="J207" s="109"/>
      <c r="K207" s="69">
        <f>SUMIF('Executive Pay Breakdown'!K:K,$B207,'Executive Pay Breakdown'!M:M)</f>
        <v>0</v>
      </c>
      <c r="L207" s="69">
        <f>SUMIF('Executive Pay Breakdown'!O:O,$B207,'Executive Pay Breakdown'!Q:Q)</f>
        <v>4145305</v>
      </c>
      <c r="M207" s="69">
        <f>SUMIF('Executive Pay Breakdown'!S:S,$B207,'Executive Pay Breakdown'!U:U)</f>
        <v>16137145</v>
      </c>
      <c r="N207" s="69">
        <f>SUMIF('Executive Pay Breakdown'!W:W,$B207,'Executive Pay Breakdown'!Y:Y)</f>
        <v>16725328</v>
      </c>
      <c r="O207" s="69">
        <f>SUMIF('Executive Pay Breakdown'!AA:AA,$B207,'Executive Pay Breakdown'!AC:AC)</f>
        <v>15642304</v>
      </c>
    </row>
    <row r="208" hidden="1">
      <c r="A208" s="81"/>
      <c r="B208" s="135" t="s">
        <v>318</v>
      </c>
      <c r="C208" s="118" t="s">
        <v>49</v>
      </c>
      <c r="D208" s="118"/>
      <c r="E208" s="90"/>
      <c r="F208" s="88"/>
      <c r="G208" s="118"/>
      <c r="H208" s="120"/>
      <c r="I208" s="89">
        <f>SUMIF('Executive Pay Breakdown'!K:K,$B208,'Executive Pay Breakdown'!M:M)+SUMIF('Executive Pay Breakdown'!O:O,$B208,'Executive Pay Breakdown'!Q:Q)+SUMIF('Executive Pay Breakdown'!S:S,$B208,'Executive Pay Breakdown'!U:U)+SUMIF('Executive Pay Breakdown'!W:W,$B208,'Executive Pay Breakdown'!Y:Y)+SUMIF('Executive Pay Breakdown'!AA:AA,$B208,'Executive Pay Breakdown'!AC:AC)</f>
        <v>52172599</v>
      </c>
      <c r="J208" s="109"/>
      <c r="K208" s="69">
        <f>SUMIF('Executive Pay Breakdown'!K:K,$B208,'Executive Pay Breakdown'!M:M)</f>
        <v>0</v>
      </c>
      <c r="L208" s="69">
        <f>SUMIF('Executive Pay Breakdown'!O:O,$B208,'Executive Pay Breakdown'!Q:Q)</f>
        <v>0</v>
      </c>
      <c r="M208" s="69">
        <f>SUMIF('Executive Pay Breakdown'!S:S,$B208,'Executive Pay Breakdown'!U:U)</f>
        <v>52172599</v>
      </c>
      <c r="N208" s="69">
        <f>SUMIF('Executive Pay Breakdown'!W:W,$B208,'Executive Pay Breakdown'!Y:Y)</f>
        <v>0</v>
      </c>
      <c r="O208" s="69">
        <f>SUMIF('Executive Pay Breakdown'!AA:AA,$B208,'Executive Pay Breakdown'!AC:AC)</f>
        <v>0</v>
      </c>
    </row>
    <row r="209" hidden="1">
      <c r="A209" s="62"/>
      <c r="B209" s="127" t="s">
        <v>319</v>
      </c>
      <c r="C209" s="118" t="s">
        <v>26</v>
      </c>
      <c r="D209" s="118"/>
      <c r="E209" s="90"/>
      <c r="F209" s="88"/>
      <c r="G209" s="118"/>
      <c r="H209" s="120"/>
      <c r="I209" s="89">
        <f>SUMIF('Executive Pay Breakdown'!K:K,$B209,'Executive Pay Breakdown'!M:M)+SUMIF('Executive Pay Breakdown'!O:O,$B209,'Executive Pay Breakdown'!Q:Q)+SUMIF('Executive Pay Breakdown'!S:S,$B209,'Executive Pay Breakdown'!U:U)+SUMIF('Executive Pay Breakdown'!W:W,$B209,'Executive Pay Breakdown'!Y:Y)+SUMIF('Executive Pay Breakdown'!AA:AA,$B209,'Executive Pay Breakdown'!AC:AC)</f>
        <v>58637597</v>
      </c>
      <c r="J209" s="109"/>
      <c r="K209" s="69">
        <f>SUMIF('Executive Pay Breakdown'!K:K,$B209,'Executive Pay Breakdown'!M:M)</f>
        <v>0</v>
      </c>
      <c r="L209" s="69">
        <f>SUMIF('Executive Pay Breakdown'!O:O,$B209,'Executive Pay Breakdown'!Q:Q)</f>
        <v>12785442</v>
      </c>
      <c r="M209" s="69">
        <f>SUMIF('Executive Pay Breakdown'!S:S,$B209,'Executive Pay Breakdown'!U:U)</f>
        <v>16805589</v>
      </c>
      <c r="N209" s="69">
        <f>SUMIF('Executive Pay Breakdown'!W:W,$B209,'Executive Pay Breakdown'!Y:Y)</f>
        <v>16898798</v>
      </c>
      <c r="O209" s="69">
        <f>SUMIF('Executive Pay Breakdown'!AA:AA,$B209,'Executive Pay Breakdown'!AC:AC)</f>
        <v>12147768</v>
      </c>
    </row>
    <row r="210" hidden="1">
      <c r="A210" s="62"/>
      <c r="B210" s="127" t="s">
        <v>320</v>
      </c>
      <c r="C210" s="118" t="s">
        <v>22</v>
      </c>
      <c r="D210" s="118"/>
      <c r="E210" s="90"/>
      <c r="F210" s="88"/>
      <c r="G210" s="118"/>
      <c r="H210" s="120"/>
      <c r="I210" s="89">
        <f>SUMIF('Executive Pay Breakdown'!K:K,$B210,'Executive Pay Breakdown'!M:M)+SUMIF('Executive Pay Breakdown'!O:O,$B210,'Executive Pay Breakdown'!Q:Q)+SUMIF('Executive Pay Breakdown'!S:S,$B210,'Executive Pay Breakdown'!U:U)+SUMIF('Executive Pay Breakdown'!W:W,$B210,'Executive Pay Breakdown'!Y:Y)+SUMIF('Executive Pay Breakdown'!AA:AA,$B210,'Executive Pay Breakdown'!AC:AC)</f>
        <v>61083834</v>
      </c>
      <c r="J210" s="109"/>
      <c r="K210" s="69">
        <f>SUMIF('Executive Pay Breakdown'!K:K,$B210,'Executive Pay Breakdown'!M:M)</f>
        <v>0</v>
      </c>
      <c r="L210" s="69">
        <f>SUMIF('Executive Pay Breakdown'!O:O,$B210,'Executive Pay Breakdown'!Q:Q)</f>
        <v>12829732</v>
      </c>
      <c r="M210" s="69">
        <f>SUMIF('Executive Pay Breakdown'!S:S,$B210,'Executive Pay Breakdown'!U:U)</f>
        <v>16040625</v>
      </c>
      <c r="N210" s="69">
        <f>SUMIF('Executive Pay Breakdown'!W:W,$B210,'Executive Pay Breakdown'!Y:Y)</f>
        <v>17257035</v>
      </c>
      <c r="O210" s="69">
        <f>SUMIF('Executive Pay Breakdown'!AA:AA,$B210,'Executive Pay Breakdown'!AC:AC)</f>
        <v>14956442</v>
      </c>
    </row>
    <row r="211" hidden="1">
      <c r="A211" s="81"/>
      <c r="B211" s="137" t="s">
        <v>321</v>
      </c>
      <c r="C211" s="118" t="str">
        <f t="array" ref="C211">INDEX('Executive Pay Breakdown'!B:B,MATCH(B211,'Executive Pay Breakdown'!K:K,0))</f>
        <v>Darden Restaurants</v>
      </c>
      <c r="D211" s="122"/>
      <c r="E211" s="90"/>
      <c r="F211" s="88"/>
      <c r="G211" s="118"/>
      <c r="H211" s="120"/>
      <c r="I211" s="89">
        <f>SUMIF('Executive Pay Breakdown'!K:K,$B211,'Executive Pay Breakdown'!M:M)+SUMIF('Executive Pay Breakdown'!O:O,$B211,'Executive Pay Breakdown'!Q:Q)+SUMIF('Executive Pay Breakdown'!S:S,$B211,'Executive Pay Breakdown'!U:U)+SUMIF('Executive Pay Breakdown'!W:W,$B211,'Executive Pay Breakdown'!Y:Y)+SUMIF('Executive Pay Breakdown'!AA:AA,$B211,'Executive Pay Breakdown'!AC:AC)</f>
        <v>9449714</v>
      </c>
      <c r="J211" s="109"/>
      <c r="K211" s="69">
        <f>SUMIF('Executive Pay Breakdown'!K:K,$B211,'Executive Pay Breakdown'!M:M)</f>
        <v>3171076</v>
      </c>
      <c r="L211" s="69">
        <f>SUMIF('Executive Pay Breakdown'!O:O,$B211,'Executive Pay Breakdown'!Q:Q)</f>
        <v>3391306</v>
      </c>
      <c r="M211" s="69">
        <f>SUMIF('Executive Pay Breakdown'!S:S,$B211,'Executive Pay Breakdown'!U:U)</f>
        <v>2887332</v>
      </c>
      <c r="N211" s="69">
        <f>SUMIF('Executive Pay Breakdown'!W:W,$B211,'Executive Pay Breakdown'!Y:Y)</f>
        <v>0</v>
      </c>
      <c r="O211" s="69">
        <f>SUMIF('Executive Pay Breakdown'!AA:AA,$B211,'Executive Pay Breakdown'!AC:AC)</f>
        <v>0</v>
      </c>
    </row>
    <row r="212" hidden="1">
      <c r="A212" s="81"/>
      <c r="B212" s="137" t="s">
        <v>322</v>
      </c>
      <c r="C212" s="118" t="str">
        <f t="array" ref="C212">INDEX('Executive Pay Breakdown'!B:B,MATCH(B212,'Executive Pay Breakdown'!K:K,0))</f>
        <v>Whirlpool</v>
      </c>
      <c r="D212" s="122"/>
      <c r="E212" s="90"/>
      <c r="F212" s="88"/>
      <c r="G212" s="118"/>
      <c r="H212" s="120"/>
      <c r="I212" s="89">
        <f>SUMIF('Executive Pay Breakdown'!K:K,$B212,'Executive Pay Breakdown'!M:M)+SUMIF('Executive Pay Breakdown'!O:O,$B212,'Executive Pay Breakdown'!Q:Q)+SUMIF('Executive Pay Breakdown'!S:S,$B212,'Executive Pay Breakdown'!U:U)+SUMIF('Executive Pay Breakdown'!W:W,$B212,'Executive Pay Breakdown'!Y:Y)+SUMIF('Executive Pay Breakdown'!AA:AA,$B212,'Executive Pay Breakdown'!AC:AC)</f>
        <v>11662110</v>
      </c>
      <c r="J212" s="109"/>
      <c r="K212" s="69">
        <f>SUMIF('Executive Pay Breakdown'!K:K,$B212,'Executive Pay Breakdown'!M:M)</f>
        <v>2167472</v>
      </c>
      <c r="L212" s="69">
        <f>SUMIF('Executive Pay Breakdown'!O:O,$B212,'Executive Pay Breakdown'!Q:Q)</f>
        <v>3860294</v>
      </c>
      <c r="M212" s="69">
        <f>SUMIF('Executive Pay Breakdown'!S:S,$B212,'Executive Pay Breakdown'!U:U)</f>
        <v>2926318</v>
      </c>
      <c r="N212" s="69">
        <f>SUMIF('Executive Pay Breakdown'!W:W,$B212,'Executive Pay Breakdown'!Y:Y)</f>
        <v>2708026</v>
      </c>
      <c r="O212" s="69">
        <f>SUMIF('Executive Pay Breakdown'!AA:AA,$B212,'Executive Pay Breakdown'!AC:AC)</f>
        <v>0</v>
      </c>
    </row>
    <row r="213" hidden="1">
      <c r="A213" s="71"/>
      <c r="B213" s="132" t="s">
        <v>323</v>
      </c>
      <c r="C213" s="118" t="s">
        <v>54</v>
      </c>
      <c r="D213" s="122"/>
      <c r="E213" s="90"/>
      <c r="F213" s="88"/>
      <c r="G213" s="118"/>
      <c r="H213" s="120"/>
      <c r="I213" s="89">
        <f>SUMIF('Executive Pay Breakdown'!K:K,$B213,'Executive Pay Breakdown'!M:M)+SUMIF('Executive Pay Breakdown'!O:O,$B213,'Executive Pay Breakdown'!Q:Q)+SUMIF('Executive Pay Breakdown'!S:S,$B213,'Executive Pay Breakdown'!U:U)+SUMIF('Executive Pay Breakdown'!W:W,$B213,'Executive Pay Breakdown'!Y:Y)+SUMIF('Executive Pay Breakdown'!AA:AA,$B213,'Executive Pay Breakdown'!AC:AC)</f>
        <v>27542698</v>
      </c>
      <c r="J213" s="109"/>
      <c r="K213" s="69">
        <f>SUMIF('Executive Pay Breakdown'!K:K,$B213,'Executive Pay Breakdown'!M:M)</f>
        <v>12041521</v>
      </c>
      <c r="L213" s="69">
        <f>SUMIF('Executive Pay Breakdown'!O:O,$B213,'Executive Pay Breakdown'!Q:Q)</f>
        <v>8866842</v>
      </c>
      <c r="M213" s="69">
        <f>SUMIF('Executive Pay Breakdown'!S:S,$B213,'Executive Pay Breakdown'!U:U)</f>
        <v>6634335</v>
      </c>
      <c r="N213" s="69">
        <f>SUMIF('Executive Pay Breakdown'!W:W,$B213,'Executive Pay Breakdown'!Y:Y)</f>
        <v>0</v>
      </c>
      <c r="O213" s="69">
        <f>SUMIF('Executive Pay Breakdown'!AA:AA,$B213,'Executive Pay Breakdown'!AC:AC)</f>
        <v>0</v>
      </c>
    </row>
    <row r="214" hidden="1">
      <c r="A214" s="62"/>
      <c r="B214" s="86" t="s">
        <v>324</v>
      </c>
      <c r="C214" s="118" t="s">
        <v>45</v>
      </c>
      <c r="D214" s="118"/>
      <c r="E214" s="90"/>
      <c r="F214" s="88"/>
      <c r="G214" s="118"/>
      <c r="H214" s="120"/>
      <c r="I214" s="89">
        <f>SUMIF('Executive Pay Breakdown'!K:K,$B214,'Executive Pay Breakdown'!M:M)+SUMIF('Executive Pay Breakdown'!O:O,$B214,'Executive Pay Breakdown'!Q:Q)+SUMIF('Executive Pay Breakdown'!S:S,$B214,'Executive Pay Breakdown'!U:U)+SUMIF('Executive Pay Breakdown'!W:W,$B214,'Executive Pay Breakdown'!Y:Y)+SUMIF('Executive Pay Breakdown'!AA:AA,$B214,'Executive Pay Breakdown'!AC:AC)</f>
        <v>30319910</v>
      </c>
      <c r="J214" s="109"/>
      <c r="K214" s="69">
        <f>SUMIF('Executive Pay Breakdown'!K:K,$B214,'Executive Pay Breakdown'!M:M)</f>
        <v>0</v>
      </c>
      <c r="L214" s="69">
        <f>SUMIF('Executive Pay Breakdown'!O:O,$B214,'Executive Pay Breakdown'!Q:Q)</f>
        <v>6853838</v>
      </c>
      <c r="M214" s="69">
        <f>SUMIF('Executive Pay Breakdown'!S:S,$B214,'Executive Pay Breakdown'!U:U)</f>
        <v>7468264</v>
      </c>
      <c r="N214" s="69">
        <f>SUMIF('Executive Pay Breakdown'!W:W,$B214,'Executive Pay Breakdown'!Y:Y)</f>
        <v>8551149</v>
      </c>
      <c r="O214" s="69">
        <f>SUMIF('Executive Pay Breakdown'!AA:AA,$B214,'Executive Pay Breakdown'!AC:AC)</f>
        <v>7446659</v>
      </c>
    </row>
    <row r="215" hidden="1">
      <c r="A215" s="81"/>
      <c r="B215" s="137" t="s">
        <v>325</v>
      </c>
      <c r="C215" s="118" t="str">
        <f t="array" ref="C215">INDEX('Executive Pay Breakdown'!B:B,MATCH(B215,'Executive Pay Breakdown'!K:K,0))</f>
        <v>PPG Industries</v>
      </c>
      <c r="D215" s="122"/>
      <c r="E215" s="90"/>
      <c r="F215" s="88"/>
      <c r="G215" s="118"/>
      <c r="H215" s="120"/>
      <c r="I215" s="89">
        <f>SUMIF('Executive Pay Breakdown'!K:K,$B215,'Executive Pay Breakdown'!M:M)+SUMIF('Executive Pay Breakdown'!O:O,$B215,'Executive Pay Breakdown'!Q:Q)+SUMIF('Executive Pay Breakdown'!S:S,$B215,'Executive Pay Breakdown'!U:U)+SUMIF('Executive Pay Breakdown'!W:W,$B215,'Executive Pay Breakdown'!Y:Y)+SUMIF('Executive Pay Breakdown'!AA:AA,$B215,'Executive Pay Breakdown'!AC:AC)</f>
        <v>17571342</v>
      </c>
      <c r="J215" s="109"/>
      <c r="K215" s="69">
        <f>SUMIF('Executive Pay Breakdown'!K:K,$B215,'Executive Pay Breakdown'!M:M)</f>
        <v>2745470</v>
      </c>
      <c r="L215" s="69">
        <f>SUMIF('Executive Pay Breakdown'!O:O,$B215,'Executive Pay Breakdown'!Q:Q)</f>
        <v>3739616</v>
      </c>
      <c r="M215" s="69">
        <f>SUMIF('Executive Pay Breakdown'!S:S,$B215,'Executive Pay Breakdown'!U:U)</f>
        <v>4949859</v>
      </c>
      <c r="N215" s="69">
        <f>SUMIF('Executive Pay Breakdown'!W:W,$B215,'Executive Pay Breakdown'!Y:Y)</f>
        <v>3800131</v>
      </c>
      <c r="O215" s="69">
        <f>SUMIF('Executive Pay Breakdown'!AA:AA,$B215,'Executive Pay Breakdown'!AC:AC)</f>
        <v>2336266</v>
      </c>
    </row>
    <row r="216" hidden="1">
      <c r="A216" s="62"/>
      <c r="B216" s="87" t="s">
        <v>326</v>
      </c>
      <c r="C216" s="118" t="s">
        <v>14</v>
      </c>
      <c r="D216" s="118"/>
      <c r="E216" s="90"/>
      <c r="F216" s="88"/>
      <c r="G216" s="118"/>
      <c r="H216" s="120"/>
      <c r="I216" s="89">
        <f>SUMIF('Executive Pay Breakdown'!K:K,$B216,'Executive Pay Breakdown'!M:M)+SUMIF('Executive Pay Breakdown'!O:O,$B216,'Executive Pay Breakdown'!Q:Q)+SUMIF('Executive Pay Breakdown'!S:S,$B216,'Executive Pay Breakdown'!U:U)+SUMIF('Executive Pay Breakdown'!W:W,$B216,'Executive Pay Breakdown'!Y:Y)+SUMIF('Executive Pay Breakdown'!AA:AA,$B216,'Executive Pay Breakdown'!AC:AC)</f>
        <v>31508662</v>
      </c>
      <c r="J216" s="109"/>
      <c r="K216" s="69">
        <f>SUMIF('Executive Pay Breakdown'!K:K,$B216,'Executive Pay Breakdown'!M:M)</f>
        <v>0</v>
      </c>
      <c r="L216" s="69">
        <f>SUMIF('Executive Pay Breakdown'!O:O,$B216,'Executive Pay Breakdown'!Q:Q)</f>
        <v>8757188</v>
      </c>
      <c r="M216" s="69">
        <f>SUMIF('Executive Pay Breakdown'!S:S,$B216,'Executive Pay Breakdown'!U:U)</f>
        <v>10236456</v>
      </c>
      <c r="N216" s="69">
        <f>SUMIF('Executive Pay Breakdown'!W:W,$B216,'Executive Pay Breakdown'!Y:Y)</f>
        <v>7755130</v>
      </c>
      <c r="O216" s="69">
        <f>SUMIF('Executive Pay Breakdown'!AA:AA,$B216,'Executive Pay Breakdown'!AC:AC)</f>
        <v>4759888</v>
      </c>
    </row>
    <row r="217" hidden="1">
      <c r="A217" s="81"/>
      <c r="B217" s="137" t="s">
        <v>327</v>
      </c>
      <c r="C217" s="118" t="str">
        <f t="array" ref="C217">INDEX('Executive Pay Breakdown'!B:B,MATCH(B217,'Executive Pay Breakdown'!K:K,0))</f>
        <v>Reinsurance Group of America</v>
      </c>
      <c r="D217" s="122"/>
      <c r="E217" s="90"/>
      <c r="F217" s="88"/>
      <c r="G217" s="118"/>
      <c r="H217" s="120"/>
      <c r="I217" s="89">
        <f>SUMIF('Executive Pay Breakdown'!K:K,$B217,'Executive Pay Breakdown'!M:M)+SUMIF('Executive Pay Breakdown'!O:O,$B217,'Executive Pay Breakdown'!Q:Q)+SUMIF('Executive Pay Breakdown'!S:S,$B217,'Executive Pay Breakdown'!U:U)+SUMIF('Executive Pay Breakdown'!W:W,$B217,'Executive Pay Breakdown'!Y:Y)+SUMIF('Executive Pay Breakdown'!AA:AA,$B217,'Executive Pay Breakdown'!AC:AC)</f>
        <v>51325107</v>
      </c>
      <c r="J217" s="109"/>
      <c r="K217" s="69">
        <f>SUMIF('Executive Pay Breakdown'!K:K,$B217,'Executive Pay Breakdown'!M:M)</f>
        <v>11354662</v>
      </c>
      <c r="L217" s="69">
        <f>SUMIF('Executive Pay Breakdown'!O:O,$B217,'Executive Pay Breakdown'!Q:Q)</f>
        <v>16109515</v>
      </c>
      <c r="M217" s="69">
        <f>SUMIF('Executive Pay Breakdown'!S:S,$B217,'Executive Pay Breakdown'!U:U)</f>
        <v>9044233</v>
      </c>
      <c r="N217" s="69">
        <f>SUMIF('Executive Pay Breakdown'!W:W,$B217,'Executive Pay Breakdown'!Y:Y)</f>
        <v>8116275</v>
      </c>
      <c r="O217" s="69">
        <f>SUMIF('Executive Pay Breakdown'!AA:AA,$B217,'Executive Pay Breakdown'!AC:AC)</f>
        <v>6700422</v>
      </c>
    </row>
    <row r="218" hidden="1">
      <c r="A218" s="71"/>
      <c r="B218" s="124" t="s">
        <v>328</v>
      </c>
      <c r="C218" s="118" t="s">
        <v>55</v>
      </c>
      <c r="D218" s="122"/>
      <c r="E218" s="90"/>
      <c r="F218" s="88"/>
      <c r="G218" s="118"/>
      <c r="H218" s="120"/>
      <c r="I218" s="89">
        <f>SUMIF('Executive Pay Breakdown'!K:K,$B218,'Executive Pay Breakdown'!M:M)+SUMIF('Executive Pay Breakdown'!O:O,$B218,'Executive Pay Breakdown'!Q:Q)+SUMIF('Executive Pay Breakdown'!S:S,$B218,'Executive Pay Breakdown'!U:U)+SUMIF('Executive Pay Breakdown'!W:W,$B218,'Executive Pay Breakdown'!Y:Y)+SUMIF('Executive Pay Breakdown'!AA:AA,$B218,'Executive Pay Breakdown'!AC:AC)</f>
        <v>30064322</v>
      </c>
      <c r="J218" s="109"/>
      <c r="K218" s="69">
        <f>SUMIF('Executive Pay Breakdown'!K:K,$B218,'Executive Pay Breakdown'!M:M)</f>
        <v>8260807</v>
      </c>
      <c r="L218" s="69">
        <f>SUMIF('Executive Pay Breakdown'!O:O,$B218,'Executive Pay Breakdown'!Q:Q)</f>
        <v>8659391</v>
      </c>
      <c r="M218" s="69">
        <f>SUMIF('Executive Pay Breakdown'!S:S,$B218,'Executive Pay Breakdown'!U:U)</f>
        <v>6435628</v>
      </c>
      <c r="N218" s="69">
        <f>SUMIF('Executive Pay Breakdown'!W:W,$B218,'Executive Pay Breakdown'!Y:Y)</f>
        <v>6708496</v>
      </c>
      <c r="O218" s="69">
        <f>SUMIF('Executive Pay Breakdown'!AA:AA,$B218,'Executive Pay Breakdown'!AC:AC)</f>
        <v>0</v>
      </c>
    </row>
    <row r="219" hidden="1">
      <c r="A219" s="81"/>
      <c r="B219" s="135" t="s">
        <v>329</v>
      </c>
      <c r="C219" s="118" t="s">
        <v>49</v>
      </c>
      <c r="D219" s="122"/>
      <c r="E219" s="90"/>
      <c r="F219" s="88"/>
      <c r="G219" s="118"/>
      <c r="H219" s="120"/>
      <c r="I219" s="89">
        <f>SUMIF('Executive Pay Breakdown'!K:K,$B219,'Executive Pay Breakdown'!M:M)+SUMIF('Executive Pay Breakdown'!O:O,$B219,'Executive Pay Breakdown'!Q:Q)+SUMIF('Executive Pay Breakdown'!S:S,$B219,'Executive Pay Breakdown'!U:U)+SUMIF('Executive Pay Breakdown'!W:W,$B219,'Executive Pay Breakdown'!Y:Y)+SUMIF('Executive Pay Breakdown'!AA:AA,$B219,'Executive Pay Breakdown'!AC:AC)</f>
        <v>41890620</v>
      </c>
      <c r="J219" s="109"/>
      <c r="K219" s="69">
        <f>SUMIF('Executive Pay Breakdown'!K:K,$B219,'Executive Pay Breakdown'!M:M)</f>
        <v>13312646</v>
      </c>
      <c r="L219" s="69">
        <f>SUMIF('Executive Pay Breakdown'!O:O,$B219,'Executive Pay Breakdown'!Q:Q)</f>
        <v>12329529</v>
      </c>
      <c r="M219" s="69">
        <f>SUMIF('Executive Pay Breakdown'!S:S,$B219,'Executive Pay Breakdown'!U:U)</f>
        <v>8572120</v>
      </c>
      <c r="N219" s="69">
        <f>SUMIF('Executive Pay Breakdown'!W:W,$B219,'Executive Pay Breakdown'!Y:Y)</f>
        <v>7676325</v>
      </c>
      <c r="O219" s="69">
        <f>SUMIF('Executive Pay Breakdown'!AA:AA,$B219,'Executive Pay Breakdown'!AC:AC)</f>
        <v>0</v>
      </c>
    </row>
    <row r="220" hidden="1">
      <c r="A220" s="81"/>
      <c r="B220" s="135" t="s">
        <v>330</v>
      </c>
      <c r="C220" s="118" t="s">
        <v>49</v>
      </c>
      <c r="D220" s="118"/>
      <c r="E220" s="90"/>
      <c r="F220" s="88"/>
      <c r="G220" s="118"/>
      <c r="H220" s="120"/>
      <c r="I220" s="89">
        <f>SUMIF('Executive Pay Breakdown'!K:K,$B220,'Executive Pay Breakdown'!M:M)+SUMIF('Executive Pay Breakdown'!O:O,$B220,'Executive Pay Breakdown'!Q:Q)+SUMIF('Executive Pay Breakdown'!S:S,$B220,'Executive Pay Breakdown'!U:U)+SUMIF('Executive Pay Breakdown'!W:W,$B220,'Executive Pay Breakdown'!Y:Y)+SUMIF('Executive Pay Breakdown'!AA:AA,$B220,'Executive Pay Breakdown'!AC:AC)</f>
        <v>41607845</v>
      </c>
      <c r="J220" s="109"/>
      <c r="K220" s="69">
        <f>SUMIF('Executive Pay Breakdown'!K:K,$B220,'Executive Pay Breakdown'!M:M)</f>
        <v>0</v>
      </c>
      <c r="L220" s="69">
        <f>SUMIF('Executive Pay Breakdown'!O:O,$B220,'Executive Pay Breakdown'!Q:Q)</f>
        <v>0</v>
      </c>
      <c r="M220" s="69">
        <f>SUMIF('Executive Pay Breakdown'!S:S,$B220,'Executive Pay Breakdown'!U:U)</f>
        <v>0</v>
      </c>
      <c r="N220" s="69">
        <f>SUMIF('Executive Pay Breakdown'!W:W,$B220,'Executive Pay Breakdown'!Y:Y)</f>
        <v>27021978</v>
      </c>
      <c r="O220" s="69">
        <f>SUMIF('Executive Pay Breakdown'!AA:AA,$B220,'Executive Pay Breakdown'!AC:AC)</f>
        <v>14585867</v>
      </c>
    </row>
    <row r="221" hidden="1">
      <c r="A221" s="81"/>
      <c r="B221" s="137" t="s">
        <v>331</v>
      </c>
      <c r="C221" s="118" t="str">
        <f t="array" ref="C221">INDEX('Executive Pay Breakdown'!B:B,MATCH(B221,'Executive Pay Breakdown'!K:K,0))</f>
        <v>PPG Industries</v>
      </c>
      <c r="D221" s="122"/>
      <c r="E221" s="90"/>
      <c r="F221" s="88"/>
      <c r="G221" s="118"/>
      <c r="H221" s="120"/>
      <c r="I221" s="89">
        <f>SUMIF('Executive Pay Breakdown'!K:K,$B221,'Executive Pay Breakdown'!M:M)+SUMIF('Executive Pay Breakdown'!O:O,$B221,'Executive Pay Breakdown'!Q:Q)+SUMIF('Executive Pay Breakdown'!S:S,$B221,'Executive Pay Breakdown'!U:U)+SUMIF('Executive Pay Breakdown'!W:W,$B221,'Executive Pay Breakdown'!Y:Y)+SUMIF('Executive Pay Breakdown'!AA:AA,$B221,'Executive Pay Breakdown'!AC:AC)</f>
        <v>16061425</v>
      </c>
      <c r="J221" s="109"/>
      <c r="K221" s="69">
        <f>SUMIF('Executive Pay Breakdown'!K:K,$B221,'Executive Pay Breakdown'!M:M)</f>
        <v>2466221</v>
      </c>
      <c r="L221" s="69">
        <f>SUMIF('Executive Pay Breakdown'!O:O,$B221,'Executive Pay Breakdown'!Q:Q)</f>
        <v>3116976</v>
      </c>
      <c r="M221" s="69">
        <f>SUMIF('Executive Pay Breakdown'!S:S,$B221,'Executive Pay Breakdown'!U:U)</f>
        <v>2684153</v>
      </c>
      <c r="N221" s="69">
        <f>SUMIF('Executive Pay Breakdown'!W:W,$B221,'Executive Pay Breakdown'!Y:Y)</f>
        <v>2114658</v>
      </c>
      <c r="O221" s="69">
        <f>SUMIF('Executive Pay Breakdown'!AA:AA,$B221,'Executive Pay Breakdown'!AC:AC)</f>
        <v>5679417</v>
      </c>
    </row>
    <row r="222" hidden="1">
      <c r="A222" s="62"/>
      <c r="B222" s="129" t="s">
        <v>332</v>
      </c>
      <c r="C222" s="118" t="s">
        <v>19</v>
      </c>
      <c r="D222" s="118"/>
      <c r="E222" s="90"/>
      <c r="F222" s="88"/>
      <c r="G222" s="118"/>
      <c r="H222" s="120"/>
      <c r="I222" s="89">
        <f>SUMIF('Executive Pay Breakdown'!K:K,$B222,'Executive Pay Breakdown'!M:M)+SUMIF('Executive Pay Breakdown'!O:O,$B222,'Executive Pay Breakdown'!Q:Q)+SUMIF('Executive Pay Breakdown'!S:S,$B222,'Executive Pay Breakdown'!U:U)+SUMIF('Executive Pay Breakdown'!W:W,$B222,'Executive Pay Breakdown'!Y:Y)+SUMIF('Executive Pay Breakdown'!AA:AA,$B222,'Executive Pay Breakdown'!AC:AC)</f>
        <v>29463847</v>
      </c>
      <c r="J222" s="109"/>
      <c r="K222" s="69">
        <f>SUMIF('Executive Pay Breakdown'!K:K,$B222,'Executive Pay Breakdown'!M:M)</f>
        <v>0</v>
      </c>
      <c r="L222" s="69">
        <f>SUMIF('Executive Pay Breakdown'!O:O,$B222,'Executive Pay Breakdown'!Q:Q)</f>
        <v>0</v>
      </c>
      <c r="M222" s="69">
        <f>SUMIF('Executive Pay Breakdown'!S:S,$B222,'Executive Pay Breakdown'!U:U)</f>
        <v>0</v>
      </c>
      <c r="N222" s="69">
        <f>SUMIF('Executive Pay Breakdown'!W:W,$B222,'Executive Pay Breakdown'!Y:Y)</f>
        <v>12037102</v>
      </c>
      <c r="O222" s="69">
        <f>SUMIF('Executive Pay Breakdown'!AA:AA,$B222,'Executive Pay Breakdown'!AC:AC)</f>
        <v>17426745</v>
      </c>
    </row>
    <row r="223" hidden="1">
      <c r="A223" s="62"/>
      <c r="B223" s="127" t="s">
        <v>333</v>
      </c>
      <c r="C223" s="118" t="s">
        <v>13</v>
      </c>
      <c r="D223" s="122"/>
      <c r="E223" s="90"/>
      <c r="F223" s="88"/>
      <c r="G223" s="88"/>
      <c r="H223" s="120"/>
      <c r="I223" s="89">
        <f>SUMIF('Executive Pay Breakdown'!K:K,$B223,'Executive Pay Breakdown'!M:M)+SUMIF('Executive Pay Breakdown'!O:O,$B223,'Executive Pay Breakdown'!Q:Q)+SUMIF('Executive Pay Breakdown'!S:S,$B223,'Executive Pay Breakdown'!U:U)+SUMIF('Executive Pay Breakdown'!W:W,$B223,'Executive Pay Breakdown'!Y:Y)+SUMIF('Executive Pay Breakdown'!AA:AA,$B223,'Executive Pay Breakdown'!AC:AC)</f>
        <v>26297515</v>
      </c>
      <c r="J223" s="109"/>
      <c r="K223" s="69">
        <f>SUMIF('Executive Pay Breakdown'!K:K,$B223,'Executive Pay Breakdown'!M:M)</f>
        <v>12478167</v>
      </c>
      <c r="L223" s="69">
        <f>SUMIF('Executive Pay Breakdown'!O:O,$B223,'Executive Pay Breakdown'!Q:Q)</f>
        <v>13819348</v>
      </c>
      <c r="M223" s="69">
        <f>SUMIF('Executive Pay Breakdown'!S:S,$B223,'Executive Pay Breakdown'!U:U)</f>
        <v>0</v>
      </c>
      <c r="N223" s="69">
        <f>SUMIF('Executive Pay Breakdown'!W:W,$B223,'Executive Pay Breakdown'!Y:Y)</f>
        <v>0</v>
      </c>
      <c r="O223" s="69">
        <f>SUMIF('Executive Pay Breakdown'!AA:AA,$B223,'Executive Pay Breakdown'!AC:AC)</f>
        <v>0</v>
      </c>
    </row>
    <row r="224" hidden="1">
      <c r="A224" s="81"/>
      <c r="B224" s="87" t="s">
        <v>334</v>
      </c>
      <c r="C224" s="118" t="s">
        <v>52</v>
      </c>
      <c r="D224" s="118"/>
      <c r="E224" s="90"/>
      <c r="F224" s="88"/>
      <c r="G224" s="118"/>
      <c r="H224" s="120"/>
      <c r="I224" s="89">
        <f>SUMIF('Executive Pay Breakdown'!K:K,$B224,'Executive Pay Breakdown'!M:M)+SUMIF('Executive Pay Breakdown'!O:O,$B224,'Executive Pay Breakdown'!Q:Q)+SUMIF('Executive Pay Breakdown'!S:S,$B224,'Executive Pay Breakdown'!U:U)+SUMIF('Executive Pay Breakdown'!W:W,$B224,'Executive Pay Breakdown'!Y:Y)+SUMIF('Executive Pay Breakdown'!AA:AA,$B224,'Executive Pay Breakdown'!AC:AC)</f>
        <v>65664870</v>
      </c>
      <c r="J224" s="109"/>
      <c r="K224" s="69">
        <f>SUMIF('Executive Pay Breakdown'!K:K,$B224,'Executive Pay Breakdown'!M:M)</f>
        <v>21288532</v>
      </c>
      <c r="L224" s="69">
        <f>SUMIF('Executive Pay Breakdown'!O:O,$B224,'Executive Pay Breakdown'!Q:Q)</f>
        <v>21185206</v>
      </c>
      <c r="M224" s="69">
        <f>SUMIF('Executive Pay Breakdown'!S:S,$B224,'Executive Pay Breakdown'!U:U)</f>
        <v>15534265</v>
      </c>
      <c r="N224" s="69">
        <f>SUMIF('Executive Pay Breakdown'!W:W,$B224,'Executive Pay Breakdown'!Y:Y)</f>
        <v>7656867</v>
      </c>
      <c r="O224" s="69">
        <f>SUMIF('Executive Pay Breakdown'!AA:AA,$B224,'Executive Pay Breakdown'!AC:AC)</f>
        <v>0</v>
      </c>
    </row>
    <row r="225" hidden="1">
      <c r="A225" s="62"/>
      <c r="B225" s="120" t="s">
        <v>335</v>
      </c>
      <c r="C225" s="118" t="s">
        <v>14</v>
      </c>
      <c r="D225" s="122"/>
      <c r="E225" s="90"/>
      <c r="F225" s="88"/>
      <c r="G225" s="118"/>
      <c r="H225" s="120"/>
      <c r="I225" s="89">
        <f>SUMIF('Executive Pay Breakdown'!K:K,$B225,'Executive Pay Breakdown'!M:M)+SUMIF('Executive Pay Breakdown'!O:O,$B225,'Executive Pay Breakdown'!Q:Q)+SUMIF('Executive Pay Breakdown'!S:S,$B225,'Executive Pay Breakdown'!U:U)+SUMIF('Executive Pay Breakdown'!W:W,$B225,'Executive Pay Breakdown'!Y:Y)+SUMIF('Executive Pay Breakdown'!AA:AA,$B225,'Executive Pay Breakdown'!AC:AC)</f>
        <v>27957394</v>
      </c>
      <c r="J225" s="109"/>
      <c r="K225" s="69">
        <f>SUMIF('Executive Pay Breakdown'!K:K,$B225,'Executive Pay Breakdown'!M:M)</f>
        <v>10603300</v>
      </c>
      <c r="L225" s="69">
        <f>SUMIF('Executive Pay Breakdown'!O:O,$B225,'Executive Pay Breakdown'!Q:Q)</f>
        <v>8761904</v>
      </c>
      <c r="M225" s="69">
        <f>SUMIF('Executive Pay Breakdown'!S:S,$B225,'Executive Pay Breakdown'!U:U)</f>
        <v>8592190</v>
      </c>
      <c r="N225" s="69">
        <f>SUMIF('Executive Pay Breakdown'!W:W,$B225,'Executive Pay Breakdown'!Y:Y)</f>
        <v>0</v>
      </c>
      <c r="O225" s="69">
        <f>SUMIF('Executive Pay Breakdown'!AA:AA,$B225,'Executive Pay Breakdown'!AC:AC)</f>
        <v>0</v>
      </c>
    </row>
    <row r="226" hidden="1">
      <c r="A226" s="81"/>
      <c r="B226" s="137" t="s">
        <v>336</v>
      </c>
      <c r="C226" s="118" t="str">
        <f t="array" ref="C226">INDEX('Executive Pay Breakdown'!B:B,MATCH(B226,'Executive Pay Breakdown'!K:K,0))</f>
        <v>Darden Restaurants</v>
      </c>
      <c r="D226" s="122"/>
      <c r="E226" s="90"/>
      <c r="F226" s="88"/>
      <c r="G226" s="118"/>
      <c r="H226" s="120"/>
      <c r="I226" s="89">
        <f>SUMIF('Executive Pay Breakdown'!K:K,$B226,'Executive Pay Breakdown'!M:M)+SUMIF('Executive Pay Breakdown'!O:O,$B226,'Executive Pay Breakdown'!Q:Q)+SUMIF('Executive Pay Breakdown'!S:S,$B226,'Executive Pay Breakdown'!U:U)+SUMIF('Executive Pay Breakdown'!W:W,$B226,'Executive Pay Breakdown'!Y:Y)+SUMIF('Executive Pay Breakdown'!AA:AA,$B226,'Executive Pay Breakdown'!AC:AC)</f>
        <v>7425137</v>
      </c>
      <c r="J226" s="109"/>
      <c r="K226" s="69">
        <f>SUMIF('Executive Pay Breakdown'!K:K,$B226,'Executive Pay Breakdown'!M:M)</f>
        <v>3355329</v>
      </c>
      <c r="L226" s="69">
        <f>SUMIF('Executive Pay Breakdown'!O:O,$B226,'Executive Pay Breakdown'!Q:Q)</f>
        <v>2865517</v>
      </c>
      <c r="M226" s="69">
        <f>SUMIF('Executive Pay Breakdown'!S:S,$B226,'Executive Pay Breakdown'!U:U)</f>
        <v>1204291</v>
      </c>
      <c r="N226" s="69">
        <f>SUMIF('Executive Pay Breakdown'!W:W,$B226,'Executive Pay Breakdown'!Y:Y)</f>
        <v>0</v>
      </c>
      <c r="O226" s="69">
        <f>SUMIF('Executive Pay Breakdown'!AA:AA,$B226,'Executive Pay Breakdown'!AC:AC)</f>
        <v>0</v>
      </c>
    </row>
    <row r="227" hidden="1">
      <c r="A227" s="81"/>
      <c r="B227" s="137" t="s">
        <v>337</v>
      </c>
      <c r="C227" s="118" t="str">
        <f t="array" ref="C227">INDEX('Executive Pay Breakdown'!B:B,MATCH(B227,'Executive Pay Breakdown'!K:K,0))</f>
        <v>AmerisourceBergen</v>
      </c>
      <c r="D227" s="122"/>
      <c r="E227" s="90"/>
      <c r="F227" s="88"/>
      <c r="G227" s="118"/>
      <c r="H227" s="120"/>
      <c r="I227" s="89">
        <f>SUMIF('Executive Pay Breakdown'!K:K,$B227,'Executive Pay Breakdown'!M:M)+SUMIF('Executive Pay Breakdown'!O:O,$B227,'Executive Pay Breakdown'!Q:Q)+SUMIF('Executive Pay Breakdown'!S:S,$B227,'Executive Pay Breakdown'!U:U)+SUMIF('Executive Pay Breakdown'!W:W,$B227,'Executive Pay Breakdown'!Y:Y)+SUMIF('Executive Pay Breakdown'!AA:AA,$B227,'Executive Pay Breakdown'!AC:AC)</f>
        <v>22679714</v>
      </c>
      <c r="J227" s="109"/>
      <c r="K227" s="69">
        <f>SUMIF('Executive Pay Breakdown'!K:K,$B227,'Executive Pay Breakdown'!M:M)</f>
        <v>5818742</v>
      </c>
      <c r="L227" s="69">
        <f>SUMIF('Executive Pay Breakdown'!O:O,$B227,'Executive Pay Breakdown'!Q:Q)</f>
        <v>5608097</v>
      </c>
      <c r="M227" s="69">
        <f>SUMIF('Executive Pay Breakdown'!S:S,$B227,'Executive Pay Breakdown'!U:U)</f>
        <v>4309637</v>
      </c>
      <c r="N227" s="69">
        <f>SUMIF('Executive Pay Breakdown'!W:W,$B227,'Executive Pay Breakdown'!Y:Y)</f>
        <v>3537601</v>
      </c>
      <c r="O227" s="69">
        <f>SUMIF('Executive Pay Breakdown'!AA:AA,$B227,'Executive Pay Breakdown'!AC:AC)</f>
        <v>3405637</v>
      </c>
    </row>
    <row r="228" hidden="1">
      <c r="A228" s="81"/>
      <c r="B228" s="136" t="s">
        <v>338</v>
      </c>
      <c r="C228" s="118" t="s">
        <v>24</v>
      </c>
      <c r="D228" s="122"/>
      <c r="E228" s="90"/>
      <c r="F228" s="88"/>
      <c r="G228" s="118"/>
      <c r="H228" s="120"/>
      <c r="I228" s="89">
        <f>SUMIF('Executive Pay Breakdown'!K:K,$B228,'Executive Pay Breakdown'!M:M)+SUMIF('Executive Pay Breakdown'!O:O,$B228,'Executive Pay Breakdown'!Q:Q)+SUMIF('Executive Pay Breakdown'!S:S,$B228,'Executive Pay Breakdown'!U:U)+SUMIF('Executive Pay Breakdown'!W:W,$B228,'Executive Pay Breakdown'!Y:Y)+SUMIF('Executive Pay Breakdown'!AA:AA,$B228,'Executive Pay Breakdown'!AC:AC)</f>
        <v>27679829</v>
      </c>
      <c r="J228" s="109"/>
      <c r="K228" s="69">
        <f>SUMIF('Executive Pay Breakdown'!K:K,$B228,'Executive Pay Breakdown'!M:M)</f>
        <v>8172563</v>
      </c>
      <c r="L228" s="69">
        <f>SUMIF('Executive Pay Breakdown'!O:O,$B228,'Executive Pay Breakdown'!Q:Q)</f>
        <v>10973172</v>
      </c>
      <c r="M228" s="69">
        <f>SUMIF('Executive Pay Breakdown'!S:S,$B228,'Executive Pay Breakdown'!U:U)</f>
        <v>8534094</v>
      </c>
      <c r="N228" s="69">
        <f>SUMIF('Executive Pay Breakdown'!W:W,$B228,'Executive Pay Breakdown'!Y:Y)</f>
        <v>0</v>
      </c>
      <c r="O228" s="69">
        <f>SUMIF('Executive Pay Breakdown'!AA:AA,$B228,'Executive Pay Breakdown'!AC:AC)</f>
        <v>0</v>
      </c>
    </row>
    <row r="229" hidden="1">
      <c r="A229" s="81"/>
      <c r="B229" s="137" t="s">
        <v>339</v>
      </c>
      <c r="C229" s="118" t="str">
        <f t="array" ref="C229">INDEX('Executive Pay Breakdown'!B:B,MATCH(B229,'Executive Pay Breakdown'!AA:AA,0))</f>
        <v>Whirlpool</v>
      </c>
      <c r="D229" s="122"/>
      <c r="E229" s="90"/>
      <c r="F229" s="88"/>
      <c r="G229" s="118"/>
      <c r="H229" s="120"/>
      <c r="I229" s="89">
        <f>SUMIF('Executive Pay Breakdown'!K:K,$B229,'Executive Pay Breakdown'!M:M)+SUMIF('Executive Pay Breakdown'!O:O,$B229,'Executive Pay Breakdown'!Q:Q)+SUMIF('Executive Pay Breakdown'!S:S,$B229,'Executive Pay Breakdown'!U:U)+SUMIF('Executive Pay Breakdown'!W:W,$B229,'Executive Pay Breakdown'!Y:Y)+SUMIF('Executive Pay Breakdown'!AA:AA,$B229,'Executive Pay Breakdown'!AC:AC)</f>
        <v>8766632</v>
      </c>
      <c r="J229" s="109"/>
      <c r="K229" s="69">
        <f>SUMIF('Executive Pay Breakdown'!K:K,$B229,'Executive Pay Breakdown'!M:M)</f>
        <v>0</v>
      </c>
      <c r="L229" s="69">
        <f>SUMIF('Executive Pay Breakdown'!O:O,$B229,'Executive Pay Breakdown'!Q:Q)</f>
        <v>0</v>
      </c>
      <c r="M229" s="69">
        <f>SUMIF('Executive Pay Breakdown'!S:S,$B229,'Executive Pay Breakdown'!U:U)</f>
        <v>0</v>
      </c>
      <c r="N229" s="69">
        <f>SUMIF('Executive Pay Breakdown'!W:W,$B229,'Executive Pay Breakdown'!Y:Y)</f>
        <v>0</v>
      </c>
      <c r="O229" s="69">
        <f>SUMIF('Executive Pay Breakdown'!AA:AA,$B229,'Executive Pay Breakdown'!AC:AC)</f>
        <v>8766632</v>
      </c>
    </row>
    <row r="230" hidden="1">
      <c r="A230" s="62"/>
      <c r="B230" s="127" t="s">
        <v>340</v>
      </c>
      <c r="C230" s="118" t="s">
        <v>13</v>
      </c>
      <c r="D230" s="122"/>
      <c r="E230" s="90"/>
      <c r="F230" s="88"/>
      <c r="G230" s="118"/>
      <c r="H230" s="120"/>
      <c r="I230" s="89">
        <f>SUMIF('Executive Pay Breakdown'!K:K,$B230,'Executive Pay Breakdown'!M:M)+SUMIF('Executive Pay Breakdown'!O:O,$B230,'Executive Pay Breakdown'!Q:Q)+SUMIF('Executive Pay Breakdown'!S:S,$B230,'Executive Pay Breakdown'!U:U)+SUMIF('Executive Pay Breakdown'!W:W,$B230,'Executive Pay Breakdown'!Y:Y)+SUMIF('Executive Pay Breakdown'!AA:AA,$B230,'Executive Pay Breakdown'!AC:AC)</f>
        <v>23653469</v>
      </c>
      <c r="J230" s="109"/>
      <c r="K230" s="69">
        <f>SUMIF('Executive Pay Breakdown'!K:K,$B230,'Executive Pay Breakdown'!M:M)</f>
        <v>10070254</v>
      </c>
      <c r="L230" s="69">
        <f>SUMIF('Executive Pay Breakdown'!O:O,$B230,'Executive Pay Breakdown'!Q:Q)</f>
        <v>7479731</v>
      </c>
      <c r="M230" s="69">
        <f>SUMIF('Executive Pay Breakdown'!S:S,$B230,'Executive Pay Breakdown'!U:U)</f>
        <v>6103484</v>
      </c>
      <c r="N230" s="69">
        <f>SUMIF('Executive Pay Breakdown'!W:W,$B230,'Executive Pay Breakdown'!Y:Y)</f>
        <v>0</v>
      </c>
      <c r="O230" s="69">
        <f>SUMIF('Executive Pay Breakdown'!AA:AA,$B230,'Executive Pay Breakdown'!AC:AC)</f>
        <v>0</v>
      </c>
    </row>
    <row r="231" hidden="1">
      <c r="A231" s="81"/>
      <c r="B231" s="137" t="s">
        <v>341</v>
      </c>
      <c r="C231" s="118" t="str">
        <f t="array" ref="C231">INDEX('Executive Pay Breakdown'!B:B,MATCH(B231,'Executive Pay Breakdown'!K:K,0))</f>
        <v>PPG Industries</v>
      </c>
      <c r="D231" s="122"/>
      <c r="E231" s="90"/>
      <c r="F231" s="88"/>
      <c r="G231" s="118"/>
      <c r="H231" s="120"/>
      <c r="I231" s="89">
        <f>SUMIF('Executive Pay Breakdown'!K:K,$B231,'Executive Pay Breakdown'!M:M)+SUMIF('Executive Pay Breakdown'!O:O,$B231,'Executive Pay Breakdown'!Q:Q)+SUMIF('Executive Pay Breakdown'!S:S,$B231,'Executive Pay Breakdown'!U:U)+SUMIF('Executive Pay Breakdown'!W:W,$B231,'Executive Pay Breakdown'!Y:Y)+SUMIF('Executive Pay Breakdown'!AA:AA,$B231,'Executive Pay Breakdown'!AC:AC)</f>
        <v>14058875</v>
      </c>
      <c r="J231" s="109"/>
      <c r="K231" s="69">
        <f>SUMIF('Executive Pay Breakdown'!K:K,$B231,'Executive Pay Breakdown'!M:M)</f>
        <v>2861192</v>
      </c>
      <c r="L231" s="69">
        <f>SUMIF('Executive Pay Breakdown'!O:O,$B231,'Executive Pay Breakdown'!Q:Q)</f>
        <v>3094708</v>
      </c>
      <c r="M231" s="69">
        <f>SUMIF('Executive Pay Breakdown'!S:S,$B231,'Executive Pay Breakdown'!U:U)</f>
        <v>4053263</v>
      </c>
      <c r="N231" s="69">
        <f>SUMIF('Executive Pay Breakdown'!W:W,$B231,'Executive Pay Breakdown'!Y:Y)</f>
        <v>2114658</v>
      </c>
      <c r="O231" s="69">
        <f>SUMIF('Executive Pay Breakdown'!AA:AA,$B231,'Executive Pay Breakdown'!AC:AC)</f>
        <v>1935054</v>
      </c>
    </row>
    <row r="232" hidden="1">
      <c r="A232" s="81"/>
      <c r="B232" s="86" t="s">
        <v>342</v>
      </c>
      <c r="C232" s="118" t="str">
        <f t="array" ref="C232">INDEX('Executive Pay Breakdown'!B:B,MATCH(B232,'Executive Pay Breakdown'!K:K,0))</f>
        <v>AmerisourceBergen</v>
      </c>
      <c r="D232" s="122"/>
      <c r="E232" s="90"/>
      <c r="F232" s="88"/>
      <c r="G232" s="118"/>
      <c r="H232" s="120"/>
      <c r="I232" s="89">
        <f>SUMIF('Executive Pay Breakdown'!K:K,$B232,'Executive Pay Breakdown'!M:M)+SUMIF('Executive Pay Breakdown'!O:O,$B232,'Executive Pay Breakdown'!Q:Q)+SUMIF('Executive Pay Breakdown'!S:S,$B232,'Executive Pay Breakdown'!U:U)+SUMIF('Executive Pay Breakdown'!W:W,$B232,'Executive Pay Breakdown'!Y:Y)+SUMIF('Executive Pay Breakdown'!AA:AA,$B232,'Executive Pay Breakdown'!AC:AC)</f>
        <v>21334456</v>
      </c>
      <c r="J232" s="109"/>
      <c r="K232" s="69">
        <f>SUMIF('Executive Pay Breakdown'!K:K,$B232,'Executive Pay Breakdown'!M:M)</f>
        <v>5321701</v>
      </c>
      <c r="L232" s="69">
        <f>SUMIF('Executive Pay Breakdown'!O:O,$B232,'Executive Pay Breakdown'!Q:Q)</f>
        <v>5169108</v>
      </c>
      <c r="M232" s="69">
        <f>SUMIF('Executive Pay Breakdown'!S:S,$B232,'Executive Pay Breakdown'!U:U)</f>
        <v>4282943</v>
      </c>
      <c r="N232" s="69">
        <f>SUMIF('Executive Pay Breakdown'!W:W,$B232,'Executive Pay Breakdown'!Y:Y)</f>
        <v>3453481</v>
      </c>
      <c r="O232" s="69">
        <f>SUMIF('Executive Pay Breakdown'!AA:AA,$B232,'Executive Pay Breakdown'!AC:AC)</f>
        <v>3107223</v>
      </c>
    </row>
    <row r="233" hidden="1">
      <c r="A233" s="81"/>
      <c r="B233" s="134" t="s">
        <v>343</v>
      </c>
      <c r="C233" s="118" t="s">
        <v>65</v>
      </c>
      <c r="D233" s="122"/>
      <c r="E233" s="90"/>
      <c r="F233" s="88"/>
      <c r="G233" s="118"/>
      <c r="H233" s="120"/>
      <c r="I233" s="89">
        <f>SUMIF('Executive Pay Breakdown'!K:K,$B233,'Executive Pay Breakdown'!M:M)+SUMIF('Executive Pay Breakdown'!O:O,$B233,'Executive Pay Breakdown'!Q:Q)+SUMIF('Executive Pay Breakdown'!S:S,$B233,'Executive Pay Breakdown'!U:U)+SUMIF('Executive Pay Breakdown'!W:W,$B233,'Executive Pay Breakdown'!Y:Y)+SUMIF('Executive Pay Breakdown'!AA:AA,$B233,'Executive Pay Breakdown'!AC:AC)</f>
        <v>23122048</v>
      </c>
      <c r="J233" s="109"/>
      <c r="K233" s="69">
        <f>SUMIF('Executive Pay Breakdown'!K:K,$B233,'Executive Pay Breakdown'!M:M)</f>
        <v>7254232</v>
      </c>
      <c r="L233" s="69">
        <f>SUMIF('Executive Pay Breakdown'!O:O,$B233,'Executive Pay Breakdown'!Q:Q)</f>
        <v>5409524</v>
      </c>
      <c r="M233" s="69">
        <f>SUMIF('Executive Pay Breakdown'!S:S,$B233,'Executive Pay Breakdown'!U:U)</f>
        <v>6133574</v>
      </c>
      <c r="N233" s="69">
        <f>SUMIF('Executive Pay Breakdown'!W:W,$B233,'Executive Pay Breakdown'!Y:Y)</f>
        <v>4324718</v>
      </c>
      <c r="O233" s="69">
        <f>SUMIF('Executive Pay Breakdown'!AA:AA,$B233,'Executive Pay Breakdown'!AC:AC)</f>
        <v>0</v>
      </c>
    </row>
    <row r="234" hidden="1">
      <c r="A234" s="81"/>
      <c r="B234" s="125" t="s">
        <v>344</v>
      </c>
      <c r="C234" s="118" t="s">
        <v>24</v>
      </c>
      <c r="D234" s="122"/>
      <c r="E234" s="90"/>
      <c r="F234" s="88"/>
      <c r="G234" s="88"/>
      <c r="H234" s="120"/>
      <c r="I234" s="89">
        <f>SUMIF('Executive Pay Breakdown'!K:K,$B234,'Executive Pay Breakdown'!M:M)+SUMIF('Executive Pay Breakdown'!O:O,$B234,'Executive Pay Breakdown'!Q:Q)+SUMIF('Executive Pay Breakdown'!S:S,$B234,'Executive Pay Breakdown'!U:U)+SUMIF('Executive Pay Breakdown'!W:W,$B234,'Executive Pay Breakdown'!Y:Y)+SUMIF('Executive Pay Breakdown'!AA:AA,$B234,'Executive Pay Breakdown'!AC:AC)</f>
        <v>25935343</v>
      </c>
      <c r="J234" s="109"/>
      <c r="K234" s="69">
        <f>SUMIF('Executive Pay Breakdown'!K:K,$B234,'Executive Pay Breakdown'!M:M)</f>
        <v>15087262</v>
      </c>
      <c r="L234" s="69">
        <f>SUMIF('Executive Pay Breakdown'!O:O,$B234,'Executive Pay Breakdown'!Q:Q)</f>
        <v>10848081</v>
      </c>
      <c r="M234" s="69">
        <f>SUMIF('Executive Pay Breakdown'!S:S,$B234,'Executive Pay Breakdown'!U:U)</f>
        <v>0</v>
      </c>
      <c r="N234" s="69">
        <f>SUMIF('Executive Pay Breakdown'!W:W,$B234,'Executive Pay Breakdown'!Y:Y)</f>
        <v>0</v>
      </c>
      <c r="O234" s="69">
        <f>SUMIF('Executive Pay Breakdown'!AA:AA,$B234,'Executive Pay Breakdown'!AC:AC)</f>
        <v>0</v>
      </c>
    </row>
    <row r="235" hidden="1">
      <c r="A235" s="62"/>
      <c r="B235" s="87" t="s">
        <v>345</v>
      </c>
      <c r="C235" s="118" t="s">
        <v>19</v>
      </c>
      <c r="D235" s="122"/>
      <c r="E235" s="90"/>
      <c r="F235" s="88"/>
      <c r="G235" s="118"/>
      <c r="H235" s="120"/>
      <c r="I235" s="89">
        <f>SUMIF('Executive Pay Breakdown'!K:K,$B235,'Executive Pay Breakdown'!M:M)+SUMIF('Executive Pay Breakdown'!O:O,$B235,'Executive Pay Breakdown'!Q:Q)+SUMIF('Executive Pay Breakdown'!S:S,$B235,'Executive Pay Breakdown'!U:U)+SUMIF('Executive Pay Breakdown'!W:W,$B235,'Executive Pay Breakdown'!Y:Y)+SUMIF('Executive Pay Breakdown'!AA:AA,$B235,'Executive Pay Breakdown'!AC:AC)</f>
        <v>25176892</v>
      </c>
      <c r="J235" s="109"/>
      <c r="K235" s="69">
        <f>SUMIF('Executive Pay Breakdown'!K:K,$B235,'Executive Pay Breakdown'!M:M)</f>
        <v>6963356</v>
      </c>
      <c r="L235" s="69">
        <f>SUMIF('Executive Pay Breakdown'!O:O,$B235,'Executive Pay Breakdown'!Q:Q)</f>
        <v>6455999</v>
      </c>
      <c r="M235" s="69">
        <f>SUMIF('Executive Pay Breakdown'!S:S,$B235,'Executive Pay Breakdown'!U:U)</f>
        <v>7063257</v>
      </c>
      <c r="N235" s="69">
        <f>SUMIF('Executive Pay Breakdown'!W:W,$B235,'Executive Pay Breakdown'!Y:Y)</f>
        <v>4694280</v>
      </c>
      <c r="O235" s="69">
        <f>SUMIF('Executive Pay Breakdown'!AA:AA,$B235,'Executive Pay Breakdown'!AC:AC)</f>
        <v>0</v>
      </c>
    </row>
    <row r="236" hidden="1">
      <c r="A236" s="62"/>
      <c r="B236" s="86" t="s">
        <v>346</v>
      </c>
      <c r="C236" s="118" t="s">
        <v>77</v>
      </c>
      <c r="D236" s="118"/>
      <c r="E236" s="90"/>
      <c r="F236" s="88"/>
      <c r="G236" s="118"/>
      <c r="H236" s="120"/>
      <c r="I236" s="89">
        <f>SUMIF('Executive Pay Breakdown'!K:K,$B236,'Executive Pay Breakdown'!M:M)+SUMIF('Executive Pay Breakdown'!O:O,$B236,'Executive Pay Breakdown'!Q:Q)+SUMIF('Executive Pay Breakdown'!S:S,$B236,'Executive Pay Breakdown'!U:U)+SUMIF('Executive Pay Breakdown'!W:W,$B236,'Executive Pay Breakdown'!Y:Y)+SUMIF('Executive Pay Breakdown'!AA:AA,$B236,'Executive Pay Breakdown'!AC:AC)</f>
        <v>18353804</v>
      </c>
      <c r="J236" s="109"/>
      <c r="K236" s="69">
        <f>SUMIF('Executive Pay Breakdown'!K:K,$B236,'Executive Pay Breakdown'!M:M)</f>
        <v>0</v>
      </c>
      <c r="L236" s="69">
        <f>SUMIF('Executive Pay Breakdown'!O:O,$B236,'Executive Pay Breakdown'!Q:Q)</f>
        <v>3662566</v>
      </c>
      <c r="M236" s="69">
        <f>SUMIF('Executive Pay Breakdown'!S:S,$B236,'Executive Pay Breakdown'!U:U)</f>
        <v>5682742</v>
      </c>
      <c r="N236" s="69">
        <f>SUMIF('Executive Pay Breakdown'!W:W,$B236,'Executive Pay Breakdown'!Y:Y)</f>
        <v>5242014</v>
      </c>
      <c r="O236" s="69">
        <f>SUMIF('Executive Pay Breakdown'!AA:AA,$B236,'Executive Pay Breakdown'!AC:AC)</f>
        <v>3766482</v>
      </c>
    </row>
    <row r="237" hidden="1">
      <c r="A237" s="81"/>
      <c r="B237" s="134" t="s">
        <v>347</v>
      </c>
      <c r="C237" s="118" t="s">
        <v>56</v>
      </c>
      <c r="D237" s="118"/>
      <c r="E237" s="90"/>
      <c r="F237" s="88"/>
      <c r="G237" s="118"/>
      <c r="H237" s="120"/>
      <c r="I237" s="89">
        <f>SUMIF('Executive Pay Breakdown'!K:K,$B237,'Executive Pay Breakdown'!M:M)+SUMIF('Executive Pay Breakdown'!O:O,$B237,'Executive Pay Breakdown'!Q:Q)+SUMIF('Executive Pay Breakdown'!S:S,$B237,'Executive Pay Breakdown'!U:U)+SUMIF('Executive Pay Breakdown'!W:W,$B237,'Executive Pay Breakdown'!Y:Y)+SUMIF('Executive Pay Breakdown'!AA:AA,$B237,'Executive Pay Breakdown'!AC:AC)</f>
        <v>15797287</v>
      </c>
      <c r="J237" s="109"/>
      <c r="K237" s="69">
        <f>SUMIF('Executive Pay Breakdown'!K:K,$B237,'Executive Pay Breakdown'!M:M)</f>
        <v>0</v>
      </c>
      <c r="L237" s="69">
        <f>SUMIF('Executive Pay Breakdown'!O:O,$B237,'Executive Pay Breakdown'!Q:Q)</f>
        <v>0</v>
      </c>
      <c r="M237" s="69">
        <f>SUMIF('Executive Pay Breakdown'!S:S,$B237,'Executive Pay Breakdown'!U:U)</f>
        <v>5143249</v>
      </c>
      <c r="N237" s="69">
        <f>SUMIF('Executive Pay Breakdown'!W:W,$B237,'Executive Pay Breakdown'!Y:Y)</f>
        <v>5316680</v>
      </c>
      <c r="O237" s="69">
        <f>SUMIF('Executive Pay Breakdown'!AA:AA,$B237,'Executive Pay Breakdown'!AC:AC)</f>
        <v>5337358</v>
      </c>
    </row>
    <row r="238" hidden="1">
      <c r="A238" s="81"/>
      <c r="B238" s="136" t="s">
        <v>348</v>
      </c>
      <c r="C238" s="118" t="s">
        <v>24</v>
      </c>
      <c r="D238" s="122"/>
      <c r="E238" s="90"/>
      <c r="F238" s="88"/>
      <c r="G238" s="118"/>
      <c r="H238" s="120"/>
      <c r="I238" s="89">
        <f>SUMIF('Executive Pay Breakdown'!K:K,$B238,'Executive Pay Breakdown'!M:M)+SUMIF('Executive Pay Breakdown'!O:O,$B238,'Executive Pay Breakdown'!Q:Q)+SUMIF('Executive Pay Breakdown'!S:S,$B238,'Executive Pay Breakdown'!U:U)+SUMIF('Executive Pay Breakdown'!W:W,$B238,'Executive Pay Breakdown'!Y:Y)+SUMIF('Executive Pay Breakdown'!AA:AA,$B238,'Executive Pay Breakdown'!AC:AC)</f>
        <v>24367677</v>
      </c>
      <c r="J238" s="109"/>
      <c r="K238" s="69">
        <f>SUMIF('Executive Pay Breakdown'!K:K,$B238,'Executive Pay Breakdown'!M:M)</f>
        <v>8956211</v>
      </c>
      <c r="L238" s="69">
        <f>SUMIF('Executive Pay Breakdown'!O:O,$B238,'Executive Pay Breakdown'!Q:Q)</f>
        <v>9428325</v>
      </c>
      <c r="M238" s="69">
        <f>SUMIF('Executive Pay Breakdown'!S:S,$B238,'Executive Pay Breakdown'!U:U)</f>
        <v>5983141</v>
      </c>
      <c r="N238" s="69">
        <f>SUMIF('Executive Pay Breakdown'!W:W,$B238,'Executive Pay Breakdown'!Y:Y)</f>
        <v>0</v>
      </c>
      <c r="O238" s="69">
        <f>SUMIF('Executive Pay Breakdown'!AA:AA,$B238,'Executive Pay Breakdown'!AC:AC)</f>
        <v>0</v>
      </c>
    </row>
    <row r="239" hidden="1">
      <c r="A239" s="81"/>
      <c r="B239" s="133" t="s">
        <v>349</v>
      </c>
      <c r="C239" s="118" t="s">
        <v>52</v>
      </c>
      <c r="D239" s="118"/>
      <c r="E239" s="90"/>
      <c r="F239" s="88"/>
      <c r="G239" s="118"/>
      <c r="H239" s="120"/>
      <c r="I239" s="89">
        <f>SUMIF('Executive Pay Breakdown'!K:K,$B239,'Executive Pay Breakdown'!M:M)+SUMIF('Executive Pay Breakdown'!O:O,$B239,'Executive Pay Breakdown'!Q:Q)+SUMIF('Executive Pay Breakdown'!S:S,$B239,'Executive Pay Breakdown'!U:U)+SUMIF('Executive Pay Breakdown'!W:W,$B239,'Executive Pay Breakdown'!Y:Y)+SUMIF('Executive Pay Breakdown'!AA:AA,$B239,'Executive Pay Breakdown'!AC:AC)</f>
        <v>53940914</v>
      </c>
      <c r="J239" s="109"/>
      <c r="K239" s="69">
        <f>SUMIF('Executive Pay Breakdown'!K:K,$B239,'Executive Pay Breakdown'!M:M)</f>
        <v>0</v>
      </c>
      <c r="L239" s="69">
        <f>SUMIF('Executive Pay Breakdown'!O:O,$B239,'Executive Pay Breakdown'!Q:Q)</f>
        <v>0</v>
      </c>
      <c r="M239" s="69">
        <f>SUMIF('Executive Pay Breakdown'!S:S,$B239,'Executive Pay Breakdown'!U:U)</f>
        <v>10005700</v>
      </c>
      <c r="N239" s="69">
        <f>SUMIF('Executive Pay Breakdown'!W:W,$B239,'Executive Pay Breakdown'!Y:Y)</f>
        <v>24129164</v>
      </c>
      <c r="O239" s="69">
        <f>SUMIF('Executive Pay Breakdown'!AA:AA,$B239,'Executive Pay Breakdown'!AC:AC)</f>
        <v>19806050</v>
      </c>
    </row>
    <row r="240" hidden="1">
      <c r="A240" s="62"/>
      <c r="B240" s="87" t="s">
        <v>350</v>
      </c>
      <c r="C240" s="118" t="s">
        <v>19</v>
      </c>
      <c r="D240" s="122"/>
      <c r="E240" s="90"/>
      <c r="F240" s="88"/>
      <c r="G240" s="118"/>
      <c r="H240" s="120"/>
      <c r="I240" s="89">
        <f>SUMIF('Executive Pay Breakdown'!K:K,$B240,'Executive Pay Breakdown'!M:M)+SUMIF('Executive Pay Breakdown'!O:O,$B240,'Executive Pay Breakdown'!Q:Q)+SUMIF('Executive Pay Breakdown'!S:S,$B240,'Executive Pay Breakdown'!U:U)+SUMIF('Executive Pay Breakdown'!W:W,$B240,'Executive Pay Breakdown'!Y:Y)+SUMIF('Executive Pay Breakdown'!AA:AA,$B240,'Executive Pay Breakdown'!AC:AC)</f>
        <v>23592648</v>
      </c>
      <c r="J240" s="109"/>
      <c r="K240" s="69">
        <f>SUMIF('Executive Pay Breakdown'!K:K,$B240,'Executive Pay Breakdown'!M:M)</f>
        <v>6965884</v>
      </c>
      <c r="L240" s="69">
        <f>SUMIF('Executive Pay Breakdown'!O:O,$B240,'Executive Pay Breakdown'!Q:Q)</f>
        <v>6435102</v>
      </c>
      <c r="M240" s="69">
        <f>SUMIF('Executive Pay Breakdown'!S:S,$B240,'Executive Pay Breakdown'!U:U)</f>
        <v>5681122</v>
      </c>
      <c r="N240" s="69">
        <f>SUMIF('Executive Pay Breakdown'!W:W,$B240,'Executive Pay Breakdown'!Y:Y)</f>
        <v>4510540</v>
      </c>
      <c r="O240" s="69">
        <f>SUMIF('Executive Pay Breakdown'!AA:AA,$B240,'Executive Pay Breakdown'!AC:AC)</f>
        <v>0</v>
      </c>
    </row>
    <row r="241" hidden="1">
      <c r="A241" s="81"/>
      <c r="B241" s="134" t="s">
        <v>351</v>
      </c>
      <c r="C241" s="118" t="s">
        <v>56</v>
      </c>
      <c r="D241" s="122"/>
      <c r="E241" s="90"/>
      <c r="F241" s="88"/>
      <c r="G241" s="118"/>
      <c r="H241" s="120"/>
      <c r="I241" s="89">
        <f>SUMIF('Executive Pay Breakdown'!K:K,$B241,'Executive Pay Breakdown'!M:M)+SUMIF('Executive Pay Breakdown'!O:O,$B241,'Executive Pay Breakdown'!Q:Q)+SUMIF('Executive Pay Breakdown'!S:S,$B241,'Executive Pay Breakdown'!U:U)+SUMIF('Executive Pay Breakdown'!W:W,$B241,'Executive Pay Breakdown'!Y:Y)+SUMIF('Executive Pay Breakdown'!AA:AA,$B241,'Executive Pay Breakdown'!AC:AC)</f>
        <v>14487313</v>
      </c>
      <c r="J241" s="109"/>
      <c r="K241" s="69">
        <f>SUMIF('Executive Pay Breakdown'!K:K,$B241,'Executive Pay Breakdown'!M:M)</f>
        <v>6042253</v>
      </c>
      <c r="L241" s="69">
        <f>SUMIF('Executive Pay Breakdown'!O:O,$B241,'Executive Pay Breakdown'!Q:Q)</f>
        <v>3936673</v>
      </c>
      <c r="M241" s="69">
        <f>SUMIF('Executive Pay Breakdown'!S:S,$B241,'Executive Pay Breakdown'!U:U)</f>
        <v>4508387</v>
      </c>
      <c r="N241" s="69">
        <f>SUMIF('Executive Pay Breakdown'!W:W,$B241,'Executive Pay Breakdown'!Y:Y)</f>
        <v>0</v>
      </c>
      <c r="O241" s="69">
        <f>SUMIF('Executive Pay Breakdown'!AA:AA,$B241,'Executive Pay Breakdown'!AC:AC)</f>
        <v>0</v>
      </c>
    </row>
    <row r="242" hidden="1">
      <c r="A242" s="81"/>
      <c r="B242" s="134" t="s">
        <v>352</v>
      </c>
      <c r="C242" s="118" t="s">
        <v>56</v>
      </c>
      <c r="D242" s="118"/>
      <c r="E242" s="90"/>
      <c r="F242" s="88"/>
      <c r="G242" s="118"/>
      <c r="H242" s="120"/>
      <c r="I242" s="89">
        <f>SUMIF('Executive Pay Breakdown'!K:K,$B242,'Executive Pay Breakdown'!M:M)+SUMIF('Executive Pay Breakdown'!O:O,$B242,'Executive Pay Breakdown'!Q:Q)+SUMIF('Executive Pay Breakdown'!S:S,$B242,'Executive Pay Breakdown'!U:U)+SUMIF('Executive Pay Breakdown'!W:W,$B242,'Executive Pay Breakdown'!Y:Y)+SUMIF('Executive Pay Breakdown'!AA:AA,$B242,'Executive Pay Breakdown'!AC:AC)</f>
        <v>14262497</v>
      </c>
      <c r="J242" s="109"/>
      <c r="K242" s="69">
        <f>SUMIF('Executive Pay Breakdown'!K:K,$B242,'Executive Pay Breakdown'!M:M)</f>
        <v>0</v>
      </c>
      <c r="L242" s="69">
        <f>SUMIF('Executive Pay Breakdown'!O:O,$B242,'Executive Pay Breakdown'!Q:Q)</f>
        <v>3965001</v>
      </c>
      <c r="M242" s="69">
        <f>SUMIF('Executive Pay Breakdown'!S:S,$B242,'Executive Pay Breakdown'!U:U)</f>
        <v>5870711</v>
      </c>
      <c r="N242" s="69">
        <f>SUMIF('Executive Pay Breakdown'!W:W,$B242,'Executive Pay Breakdown'!Y:Y)</f>
        <v>4426785</v>
      </c>
      <c r="O242" s="69">
        <f>SUMIF('Executive Pay Breakdown'!AA:AA,$B242,'Executive Pay Breakdown'!AC:AC)</f>
        <v>0</v>
      </c>
    </row>
    <row r="243" hidden="1">
      <c r="A243" s="62"/>
      <c r="B243" s="125" t="s">
        <v>353</v>
      </c>
      <c r="C243" s="118" t="s">
        <v>21</v>
      </c>
      <c r="D243" s="122"/>
      <c r="E243" s="90"/>
      <c r="F243" s="88"/>
      <c r="G243" s="118"/>
      <c r="H243" s="120"/>
      <c r="I243" s="89">
        <f>SUMIF('Executive Pay Breakdown'!K:K,$B243,'Executive Pay Breakdown'!M:M)+SUMIF('Executive Pay Breakdown'!O:O,$B243,'Executive Pay Breakdown'!Q:Q)+SUMIF('Executive Pay Breakdown'!S:S,$B243,'Executive Pay Breakdown'!U:U)+SUMIF('Executive Pay Breakdown'!W:W,$B243,'Executive Pay Breakdown'!Y:Y)+SUMIF('Executive Pay Breakdown'!AA:AA,$B243,'Executive Pay Breakdown'!AC:AC)</f>
        <v>34019573</v>
      </c>
      <c r="J243" s="109"/>
      <c r="K243" s="69">
        <f>SUMIF('Executive Pay Breakdown'!K:K,$B243,'Executive Pay Breakdown'!M:M)</f>
        <v>1462</v>
      </c>
      <c r="L243" s="69">
        <f>SUMIF('Executive Pay Breakdown'!O:O,$B243,'Executive Pay Breakdown'!Q:Q)</f>
        <v>18000259</v>
      </c>
      <c r="M243" s="69">
        <f>SUMIF('Executive Pay Breakdown'!S:S,$B243,'Executive Pay Breakdown'!U:U)</f>
        <v>1</v>
      </c>
      <c r="N243" s="69">
        <f>SUMIF('Executive Pay Breakdown'!W:W,$B243,'Executive Pay Breakdown'!Y:Y)</f>
        <v>7270</v>
      </c>
      <c r="O243" s="69">
        <f>SUMIF('Executive Pay Breakdown'!AA:AA,$B243,'Executive Pay Breakdown'!AC:AC)</f>
        <v>16010581</v>
      </c>
    </row>
    <row r="244" hidden="1">
      <c r="A244" s="62"/>
      <c r="B244" s="130" t="s">
        <v>354</v>
      </c>
      <c r="C244" s="118" t="s">
        <v>23</v>
      </c>
      <c r="D244" s="118"/>
      <c r="E244" s="90"/>
      <c r="F244" s="88"/>
      <c r="G244" s="118"/>
      <c r="H244" s="120"/>
      <c r="I244" s="89">
        <f>SUMIF('Executive Pay Breakdown'!K:K,$B244,'Executive Pay Breakdown'!M:M)+SUMIF('Executive Pay Breakdown'!O:O,$B244,'Executive Pay Breakdown'!Q:Q)+SUMIF('Executive Pay Breakdown'!S:S,$B244,'Executive Pay Breakdown'!U:U)+SUMIF('Executive Pay Breakdown'!W:W,$B244,'Executive Pay Breakdown'!Y:Y)+SUMIF('Executive Pay Breakdown'!AA:AA,$B244,'Executive Pay Breakdown'!AC:AC)</f>
        <v>37473650</v>
      </c>
      <c r="J244" s="109"/>
      <c r="K244" s="69">
        <f>SUMIF('Executive Pay Breakdown'!K:K,$B244,'Executive Pay Breakdown'!M:M)</f>
        <v>0</v>
      </c>
      <c r="L244" s="69">
        <f>SUMIF('Executive Pay Breakdown'!O:O,$B244,'Executive Pay Breakdown'!Q:Q)</f>
        <v>9287113</v>
      </c>
      <c r="M244" s="69">
        <f>SUMIF('Executive Pay Breakdown'!S:S,$B244,'Executive Pay Breakdown'!U:U)</f>
        <v>10143927</v>
      </c>
      <c r="N244" s="69">
        <f>SUMIF('Executive Pay Breakdown'!W:W,$B244,'Executive Pay Breakdown'!Y:Y)</f>
        <v>10945741</v>
      </c>
      <c r="O244" s="69">
        <f>SUMIF('Executive Pay Breakdown'!AA:AA,$B244,'Executive Pay Breakdown'!AC:AC)</f>
        <v>7096869</v>
      </c>
    </row>
    <row r="245" hidden="1">
      <c r="A245" s="62"/>
      <c r="B245" s="127" t="s">
        <v>355</v>
      </c>
      <c r="C245" s="118" t="s">
        <v>13</v>
      </c>
      <c r="D245" s="122"/>
      <c r="E245" s="90"/>
      <c r="F245" s="88"/>
      <c r="G245" s="118"/>
      <c r="H245" s="120"/>
      <c r="I245" s="89">
        <f>SUMIF('Executive Pay Breakdown'!K:K,$B245,'Executive Pay Breakdown'!M:M)+SUMIF('Executive Pay Breakdown'!O:O,$B245,'Executive Pay Breakdown'!Q:Q)+SUMIF('Executive Pay Breakdown'!S:S,$B245,'Executive Pay Breakdown'!U:U)+SUMIF('Executive Pay Breakdown'!W:W,$B245,'Executive Pay Breakdown'!Y:Y)+SUMIF('Executive Pay Breakdown'!AA:AA,$B245,'Executive Pay Breakdown'!AC:AC)</f>
        <v>19724354</v>
      </c>
      <c r="J245" s="109"/>
      <c r="K245" s="69">
        <f>SUMIF('Executive Pay Breakdown'!K:K,$B245,'Executive Pay Breakdown'!M:M)</f>
        <v>7366043</v>
      </c>
      <c r="L245" s="69">
        <f>SUMIF('Executive Pay Breakdown'!O:O,$B245,'Executive Pay Breakdown'!Q:Q)</f>
        <v>5849873</v>
      </c>
      <c r="M245" s="69">
        <f>SUMIF('Executive Pay Breakdown'!S:S,$B245,'Executive Pay Breakdown'!U:U)</f>
        <v>6508438</v>
      </c>
      <c r="N245" s="69">
        <f>SUMIF('Executive Pay Breakdown'!W:W,$B245,'Executive Pay Breakdown'!Y:Y)</f>
        <v>0</v>
      </c>
      <c r="O245" s="69">
        <f>SUMIF('Executive Pay Breakdown'!AA:AA,$B245,'Executive Pay Breakdown'!AC:AC)</f>
        <v>0</v>
      </c>
    </row>
    <row r="246" hidden="1">
      <c r="A246" s="62"/>
      <c r="B246" s="86" t="s">
        <v>356</v>
      </c>
      <c r="C246" s="118" t="s">
        <v>44</v>
      </c>
      <c r="D246" s="118"/>
      <c r="E246" s="90"/>
      <c r="F246" s="88"/>
      <c r="G246" s="118"/>
      <c r="H246" s="120"/>
      <c r="I246" s="89">
        <f>SUMIF('Executive Pay Breakdown'!K:K,$B246,'Executive Pay Breakdown'!M:M)+SUMIF('Executive Pay Breakdown'!O:O,$B246,'Executive Pay Breakdown'!Q:Q)+SUMIF('Executive Pay Breakdown'!S:S,$B246,'Executive Pay Breakdown'!U:U)+SUMIF('Executive Pay Breakdown'!W:W,$B246,'Executive Pay Breakdown'!Y:Y)+SUMIF('Executive Pay Breakdown'!AA:AA,$B246,'Executive Pay Breakdown'!AC:AC)</f>
        <v>23921211</v>
      </c>
      <c r="J246" s="109"/>
      <c r="K246" s="69">
        <f>SUMIF('Executive Pay Breakdown'!K:K,$B246,'Executive Pay Breakdown'!M:M)</f>
        <v>23921211</v>
      </c>
      <c r="L246" s="69">
        <f>SUMIF('Executive Pay Breakdown'!O:O,$B246,'Executive Pay Breakdown'!Q:Q)</f>
        <v>0</v>
      </c>
      <c r="M246" s="69">
        <f>SUMIF('Executive Pay Breakdown'!S:S,$B246,'Executive Pay Breakdown'!U:U)</f>
        <v>0</v>
      </c>
      <c r="N246" s="69">
        <f>SUMIF('Executive Pay Breakdown'!W:W,$B246,'Executive Pay Breakdown'!Y:Y)</f>
        <v>0</v>
      </c>
      <c r="O246" s="69">
        <f>SUMIF('Executive Pay Breakdown'!AA:AA,$B246,'Executive Pay Breakdown'!AC:AC)</f>
        <v>0</v>
      </c>
    </row>
    <row r="247" hidden="1">
      <c r="A247" s="62"/>
      <c r="B247" s="86" t="s">
        <v>357</v>
      </c>
      <c r="C247" s="117" t="s">
        <v>63</v>
      </c>
      <c r="D247" s="118"/>
      <c r="E247" s="90"/>
      <c r="F247" s="88"/>
      <c r="G247" s="118"/>
      <c r="H247" s="120"/>
      <c r="I247" s="89">
        <f>SUMIF('Executive Pay Breakdown'!K:K,$B247,'Executive Pay Breakdown'!M:M)+SUMIF('Executive Pay Breakdown'!O:O,$B247,'Executive Pay Breakdown'!Q:Q)+SUMIF('Executive Pay Breakdown'!S:S,$B247,'Executive Pay Breakdown'!U:U)+SUMIF('Executive Pay Breakdown'!W:W,$B247,'Executive Pay Breakdown'!Y:Y)+SUMIF('Executive Pay Breakdown'!AA:AA,$B247,'Executive Pay Breakdown'!AC:AC)</f>
        <v>26365336</v>
      </c>
      <c r="J247" s="109"/>
      <c r="K247" s="69">
        <f>SUMIF('Executive Pay Breakdown'!K:K,$B247,'Executive Pay Breakdown'!M:M)</f>
        <v>15303397</v>
      </c>
      <c r="L247" s="69">
        <f>SUMIF('Executive Pay Breakdown'!O:O,$B247,'Executive Pay Breakdown'!Q:Q)</f>
        <v>11061939</v>
      </c>
      <c r="M247" s="69">
        <f>SUMIF('Executive Pay Breakdown'!S:S,$B247,'Executive Pay Breakdown'!U:U)</f>
        <v>0</v>
      </c>
      <c r="N247" s="69">
        <f>SUMIF('Executive Pay Breakdown'!W:W,$B247,'Executive Pay Breakdown'!Y:Y)</f>
        <v>0</v>
      </c>
      <c r="O247" s="69">
        <f>SUMIF('Executive Pay Breakdown'!AA:AA,$B247,'Executive Pay Breakdown'!AC:AC)</f>
        <v>0</v>
      </c>
    </row>
    <row r="248" hidden="1">
      <c r="A248" s="62"/>
      <c r="B248" s="120" t="s">
        <v>358</v>
      </c>
      <c r="C248" s="118" t="s">
        <v>14</v>
      </c>
      <c r="D248" s="122"/>
      <c r="E248" s="90"/>
      <c r="F248" s="88"/>
      <c r="G248" s="88"/>
      <c r="H248" s="120"/>
      <c r="I248" s="89">
        <f>SUMIF('Executive Pay Breakdown'!K:K,$B248,'Executive Pay Breakdown'!M:M)+SUMIF('Executive Pay Breakdown'!O:O,$B248,'Executive Pay Breakdown'!Q:Q)+SUMIF('Executive Pay Breakdown'!S:S,$B248,'Executive Pay Breakdown'!U:U)+SUMIF('Executive Pay Breakdown'!W:W,$B248,'Executive Pay Breakdown'!Y:Y)+SUMIF('Executive Pay Breakdown'!AA:AA,$B248,'Executive Pay Breakdown'!AC:AC)</f>
        <v>20650024</v>
      </c>
      <c r="J248" s="109"/>
      <c r="K248" s="69">
        <f>SUMIF('Executive Pay Breakdown'!K:K,$B248,'Executive Pay Breakdown'!M:M)</f>
        <v>9300122</v>
      </c>
      <c r="L248" s="69">
        <f>SUMIF('Executive Pay Breakdown'!O:O,$B248,'Executive Pay Breakdown'!Q:Q)</f>
        <v>11349902</v>
      </c>
      <c r="M248" s="69">
        <f>SUMIF('Executive Pay Breakdown'!S:S,$B248,'Executive Pay Breakdown'!U:U)</f>
        <v>0</v>
      </c>
      <c r="N248" s="69">
        <f>SUMIF('Executive Pay Breakdown'!W:W,$B248,'Executive Pay Breakdown'!Y:Y)</f>
        <v>0</v>
      </c>
      <c r="O248" s="69">
        <f>SUMIF('Executive Pay Breakdown'!AA:AA,$B248,'Executive Pay Breakdown'!AC:AC)</f>
        <v>0</v>
      </c>
    </row>
    <row r="249" hidden="1">
      <c r="A249" s="81"/>
      <c r="B249" s="87" t="s">
        <v>359</v>
      </c>
      <c r="C249" s="118" t="s">
        <v>50</v>
      </c>
      <c r="D249" s="122"/>
      <c r="E249" s="90"/>
      <c r="F249" s="88"/>
      <c r="G249" s="118"/>
      <c r="H249" s="120"/>
      <c r="I249" s="89">
        <f>SUMIF('Executive Pay Breakdown'!K:K,$B249,'Executive Pay Breakdown'!M:M)+SUMIF('Executive Pay Breakdown'!O:O,$B249,'Executive Pay Breakdown'!Q:Q)+SUMIF('Executive Pay Breakdown'!S:S,$B249,'Executive Pay Breakdown'!U:U)+SUMIF('Executive Pay Breakdown'!W:W,$B249,'Executive Pay Breakdown'!Y:Y)+SUMIF('Executive Pay Breakdown'!AA:AA,$B249,'Executive Pay Breakdown'!AC:AC)</f>
        <v>41666321</v>
      </c>
      <c r="J249" s="109"/>
      <c r="K249" s="69">
        <f>SUMIF('Executive Pay Breakdown'!K:K,$B249,'Executive Pay Breakdown'!M:M)</f>
        <v>10235938</v>
      </c>
      <c r="L249" s="69">
        <f>SUMIF('Executive Pay Breakdown'!O:O,$B249,'Executive Pay Breakdown'!Q:Q)</f>
        <v>9578648</v>
      </c>
      <c r="M249" s="69">
        <f>SUMIF('Executive Pay Breakdown'!S:S,$B249,'Executive Pay Breakdown'!U:U)</f>
        <v>9818600</v>
      </c>
      <c r="N249" s="69">
        <f>SUMIF('Executive Pay Breakdown'!W:W,$B249,'Executive Pay Breakdown'!Y:Y)</f>
        <v>6283152</v>
      </c>
      <c r="O249" s="69">
        <f>SUMIF('Executive Pay Breakdown'!AA:AA,$B249,'Executive Pay Breakdown'!AC:AC)</f>
        <v>5749983</v>
      </c>
    </row>
    <row r="250" hidden="1">
      <c r="A250" s="71"/>
      <c r="B250" s="124" t="s">
        <v>360</v>
      </c>
      <c r="C250" s="118" t="s">
        <v>55</v>
      </c>
      <c r="D250" s="118"/>
      <c r="E250" s="90"/>
      <c r="F250" s="88"/>
      <c r="G250" s="118"/>
      <c r="H250" s="120"/>
      <c r="I250" s="89">
        <f>SUMIF('Executive Pay Breakdown'!K:K,$B250,'Executive Pay Breakdown'!M:M)+SUMIF('Executive Pay Breakdown'!O:O,$B250,'Executive Pay Breakdown'!Q:Q)+SUMIF('Executive Pay Breakdown'!S:S,$B250,'Executive Pay Breakdown'!U:U)+SUMIF('Executive Pay Breakdown'!W:W,$B250,'Executive Pay Breakdown'!Y:Y)+SUMIF('Executive Pay Breakdown'!AA:AA,$B250,'Executive Pay Breakdown'!AC:AC)</f>
        <v>19422543</v>
      </c>
      <c r="J250" s="109"/>
      <c r="K250" s="69">
        <f>SUMIF('Executive Pay Breakdown'!K:K,$B250,'Executive Pay Breakdown'!M:M)</f>
        <v>0</v>
      </c>
      <c r="L250" s="69">
        <f>SUMIF('Executive Pay Breakdown'!O:O,$B250,'Executive Pay Breakdown'!Q:Q)</f>
        <v>0</v>
      </c>
      <c r="M250" s="69">
        <f>SUMIF('Executive Pay Breakdown'!S:S,$B250,'Executive Pay Breakdown'!U:U)</f>
        <v>0</v>
      </c>
      <c r="N250" s="69">
        <f>SUMIF('Executive Pay Breakdown'!W:W,$B250,'Executive Pay Breakdown'!Y:Y)</f>
        <v>10289338</v>
      </c>
      <c r="O250" s="69">
        <f>SUMIF('Executive Pay Breakdown'!AA:AA,$B250,'Executive Pay Breakdown'!AC:AC)</f>
        <v>9133205</v>
      </c>
    </row>
    <row r="251" hidden="1">
      <c r="A251" s="62"/>
      <c r="B251" s="86" t="s">
        <v>361</v>
      </c>
      <c r="C251" s="118" t="s">
        <v>37</v>
      </c>
      <c r="D251" s="118"/>
      <c r="E251" s="90"/>
      <c r="F251" s="88"/>
      <c r="G251" s="118"/>
      <c r="H251" s="120"/>
      <c r="I251" s="89">
        <f>SUMIF('Executive Pay Breakdown'!K:K,$B251,'Executive Pay Breakdown'!M:M)+SUMIF('Executive Pay Breakdown'!O:O,$B251,'Executive Pay Breakdown'!Q:Q)+SUMIF('Executive Pay Breakdown'!S:S,$B251,'Executive Pay Breakdown'!U:U)+SUMIF('Executive Pay Breakdown'!W:W,$B251,'Executive Pay Breakdown'!Y:Y)+SUMIF('Executive Pay Breakdown'!AA:AA,$B251,'Executive Pay Breakdown'!AC:AC)</f>
        <v>35407465</v>
      </c>
      <c r="J251" s="109"/>
      <c r="K251" s="69">
        <f>SUMIF('Executive Pay Breakdown'!K:K,$B251,'Executive Pay Breakdown'!M:M)</f>
        <v>0</v>
      </c>
      <c r="L251" s="69">
        <f>SUMIF('Executive Pay Breakdown'!O:O,$B251,'Executive Pay Breakdown'!Q:Q)</f>
        <v>0</v>
      </c>
      <c r="M251" s="69">
        <f>SUMIF('Executive Pay Breakdown'!S:S,$B251,'Executive Pay Breakdown'!U:U)</f>
        <v>9926113</v>
      </c>
      <c r="N251" s="69">
        <f>SUMIF('Executive Pay Breakdown'!W:W,$B251,'Executive Pay Breakdown'!Y:Y)</f>
        <v>14142567</v>
      </c>
      <c r="O251" s="69">
        <f>SUMIF('Executive Pay Breakdown'!AA:AA,$B251,'Executive Pay Breakdown'!AC:AC)</f>
        <v>11338785</v>
      </c>
    </row>
    <row r="252" hidden="1">
      <c r="A252" s="62"/>
      <c r="B252" s="127" t="s">
        <v>362</v>
      </c>
      <c r="C252" s="118" t="s">
        <v>30</v>
      </c>
      <c r="D252" s="118"/>
      <c r="E252" s="90"/>
      <c r="F252" s="88"/>
      <c r="G252" s="118"/>
      <c r="H252" s="120"/>
      <c r="I252" s="89">
        <f>SUMIF('Executive Pay Breakdown'!K:K,$B252,'Executive Pay Breakdown'!M:M)+SUMIF('Executive Pay Breakdown'!O:O,$B252,'Executive Pay Breakdown'!Q:Q)+SUMIF('Executive Pay Breakdown'!S:S,$B252,'Executive Pay Breakdown'!U:U)+SUMIF('Executive Pay Breakdown'!W:W,$B252,'Executive Pay Breakdown'!Y:Y)+SUMIF('Executive Pay Breakdown'!AA:AA,$B252,'Executive Pay Breakdown'!AC:AC)</f>
        <v>30350981</v>
      </c>
      <c r="J252" s="109"/>
      <c r="K252" s="69">
        <f>SUMIF('Executive Pay Breakdown'!K:K,$B252,'Executive Pay Breakdown'!M:M)</f>
        <v>0</v>
      </c>
      <c r="L252" s="69">
        <f>SUMIF('Executive Pay Breakdown'!O:O,$B252,'Executive Pay Breakdown'!Q:Q)</f>
        <v>0</v>
      </c>
      <c r="M252" s="69">
        <f>SUMIF('Executive Pay Breakdown'!S:S,$B252,'Executive Pay Breakdown'!U:U)</f>
        <v>7218993</v>
      </c>
      <c r="N252" s="69">
        <f>SUMIF('Executive Pay Breakdown'!W:W,$B252,'Executive Pay Breakdown'!Y:Y)</f>
        <v>12145179</v>
      </c>
      <c r="O252" s="69">
        <f>SUMIF('Executive Pay Breakdown'!AA:AA,$B252,'Executive Pay Breakdown'!AC:AC)</f>
        <v>10986809</v>
      </c>
    </row>
    <row r="253" hidden="1">
      <c r="A253" s="81"/>
      <c r="B253" s="87" t="s">
        <v>363</v>
      </c>
      <c r="C253" s="118" t="s">
        <v>50</v>
      </c>
      <c r="D253" s="122"/>
      <c r="E253" s="90"/>
      <c r="F253" s="88"/>
      <c r="G253" s="118"/>
      <c r="H253" s="120"/>
      <c r="I253" s="89">
        <f>SUMIF('Executive Pay Breakdown'!K:K,$B253,'Executive Pay Breakdown'!M:M)+SUMIF('Executive Pay Breakdown'!O:O,$B253,'Executive Pay Breakdown'!Q:Q)+SUMIF('Executive Pay Breakdown'!S:S,$B253,'Executive Pay Breakdown'!U:U)+SUMIF('Executive Pay Breakdown'!W:W,$B253,'Executive Pay Breakdown'!Y:Y)+SUMIF('Executive Pay Breakdown'!AA:AA,$B253,'Executive Pay Breakdown'!AC:AC)</f>
        <v>24348451</v>
      </c>
      <c r="J253" s="109"/>
      <c r="K253" s="69">
        <f>SUMIF('Executive Pay Breakdown'!K:K,$B253,'Executive Pay Breakdown'!M:M)</f>
        <v>8779266</v>
      </c>
      <c r="L253" s="69">
        <f>SUMIF('Executive Pay Breakdown'!O:O,$B253,'Executive Pay Breakdown'!Q:Q)</f>
        <v>8835477</v>
      </c>
      <c r="M253" s="69">
        <f>SUMIF('Executive Pay Breakdown'!S:S,$B253,'Executive Pay Breakdown'!U:U)</f>
        <v>6733708</v>
      </c>
      <c r="N253" s="69">
        <f>SUMIF('Executive Pay Breakdown'!W:W,$B253,'Executive Pay Breakdown'!Y:Y)</f>
        <v>0</v>
      </c>
      <c r="O253" s="69">
        <f>SUMIF('Executive Pay Breakdown'!AA:AA,$B253,'Executive Pay Breakdown'!AC:AC)</f>
        <v>0</v>
      </c>
    </row>
    <row r="254" hidden="1">
      <c r="A254" s="81"/>
      <c r="B254" s="87" t="s">
        <v>364</v>
      </c>
      <c r="C254" s="118" t="s">
        <v>50</v>
      </c>
      <c r="D254" s="122"/>
      <c r="E254" s="90"/>
      <c r="F254" s="88"/>
      <c r="G254" s="118"/>
      <c r="H254" s="120"/>
      <c r="I254" s="89">
        <f>SUMIF('Executive Pay Breakdown'!K:K,$B254,'Executive Pay Breakdown'!M:M)+SUMIF('Executive Pay Breakdown'!O:O,$B254,'Executive Pay Breakdown'!Q:Q)+SUMIF('Executive Pay Breakdown'!S:S,$B254,'Executive Pay Breakdown'!U:U)+SUMIF('Executive Pay Breakdown'!W:W,$B254,'Executive Pay Breakdown'!Y:Y)+SUMIF('Executive Pay Breakdown'!AA:AA,$B254,'Executive Pay Breakdown'!AC:AC)</f>
        <v>24064633</v>
      </c>
      <c r="J254" s="109"/>
      <c r="K254" s="69">
        <f>SUMIF('Executive Pay Breakdown'!K:K,$B254,'Executive Pay Breakdown'!M:M)</f>
        <v>8794966</v>
      </c>
      <c r="L254" s="69">
        <f>SUMIF('Executive Pay Breakdown'!O:O,$B254,'Executive Pay Breakdown'!Q:Q)</f>
        <v>8980204</v>
      </c>
      <c r="M254" s="69">
        <f>SUMIF('Executive Pay Breakdown'!S:S,$B254,'Executive Pay Breakdown'!U:U)</f>
        <v>6289463</v>
      </c>
      <c r="N254" s="69">
        <f>SUMIF('Executive Pay Breakdown'!W:W,$B254,'Executive Pay Breakdown'!Y:Y)</f>
        <v>0</v>
      </c>
      <c r="O254" s="69">
        <f>SUMIF('Executive Pay Breakdown'!AA:AA,$B254,'Executive Pay Breakdown'!AC:AC)</f>
        <v>0</v>
      </c>
    </row>
    <row r="255" hidden="1">
      <c r="A255" s="62"/>
      <c r="B255" s="127" t="s">
        <v>365</v>
      </c>
      <c r="C255" s="118" t="s">
        <v>13</v>
      </c>
      <c r="D255" s="118"/>
      <c r="E255" s="90"/>
      <c r="F255" s="88"/>
      <c r="G255" s="118"/>
      <c r="H255" s="120"/>
      <c r="I255" s="89">
        <f>SUMIF('Executive Pay Breakdown'!K:K,$B255,'Executive Pay Breakdown'!M:M)+SUMIF('Executive Pay Breakdown'!O:O,$B255,'Executive Pay Breakdown'!Q:Q)+SUMIF('Executive Pay Breakdown'!S:S,$B255,'Executive Pay Breakdown'!U:U)+SUMIF('Executive Pay Breakdown'!W:W,$B255,'Executive Pay Breakdown'!Y:Y)+SUMIF('Executive Pay Breakdown'!AA:AA,$B255,'Executive Pay Breakdown'!AC:AC)</f>
        <v>17529640</v>
      </c>
      <c r="J255" s="109"/>
      <c r="K255" s="69">
        <f>SUMIF('Executive Pay Breakdown'!K:K,$B255,'Executive Pay Breakdown'!M:M)</f>
        <v>0</v>
      </c>
      <c r="L255" s="69">
        <f>SUMIF('Executive Pay Breakdown'!O:O,$B255,'Executive Pay Breakdown'!Q:Q)</f>
        <v>9753263</v>
      </c>
      <c r="M255" s="69">
        <f>SUMIF('Executive Pay Breakdown'!S:S,$B255,'Executive Pay Breakdown'!U:U)</f>
        <v>7776377</v>
      </c>
      <c r="N255" s="69">
        <f>SUMIF('Executive Pay Breakdown'!W:W,$B255,'Executive Pay Breakdown'!Y:Y)</f>
        <v>0</v>
      </c>
      <c r="O255" s="69">
        <f>SUMIF('Executive Pay Breakdown'!AA:AA,$B255,'Executive Pay Breakdown'!AC:AC)</f>
        <v>0</v>
      </c>
    </row>
    <row r="256" hidden="1">
      <c r="A256" s="62"/>
      <c r="B256" s="86" t="s">
        <v>366</v>
      </c>
      <c r="C256" s="118" t="s">
        <v>42</v>
      </c>
      <c r="D256" s="118"/>
      <c r="E256" s="90"/>
      <c r="F256" s="88"/>
      <c r="G256" s="118"/>
      <c r="H256" s="120"/>
      <c r="I256" s="89">
        <f>SUMIF('Executive Pay Breakdown'!K:K,$B256,'Executive Pay Breakdown'!M:M)+SUMIF('Executive Pay Breakdown'!O:O,$B256,'Executive Pay Breakdown'!Q:Q)+SUMIF('Executive Pay Breakdown'!S:S,$B256,'Executive Pay Breakdown'!U:U)+SUMIF('Executive Pay Breakdown'!W:W,$B256,'Executive Pay Breakdown'!Y:Y)+SUMIF('Executive Pay Breakdown'!AA:AA,$B256,'Executive Pay Breakdown'!AC:AC)</f>
        <v>21385831</v>
      </c>
      <c r="J256" s="109"/>
      <c r="K256" s="69">
        <f>SUMIF('Executive Pay Breakdown'!K:K,$B256,'Executive Pay Breakdown'!M:M)</f>
        <v>0</v>
      </c>
      <c r="L256" s="69">
        <f>SUMIF('Executive Pay Breakdown'!O:O,$B256,'Executive Pay Breakdown'!Q:Q)</f>
        <v>0</v>
      </c>
      <c r="M256" s="69">
        <f>SUMIF('Executive Pay Breakdown'!S:S,$B256,'Executive Pay Breakdown'!U:U)</f>
        <v>0</v>
      </c>
      <c r="N256" s="69">
        <f>SUMIF('Executive Pay Breakdown'!W:W,$B256,'Executive Pay Breakdown'!Y:Y)</f>
        <v>10395993</v>
      </c>
      <c r="O256" s="69">
        <f>SUMIF('Executive Pay Breakdown'!AA:AA,$B256,'Executive Pay Breakdown'!AC:AC)</f>
        <v>10989838</v>
      </c>
    </row>
    <row r="257" hidden="1">
      <c r="A257" s="71"/>
      <c r="B257" s="132" t="s">
        <v>367</v>
      </c>
      <c r="C257" s="118" t="s">
        <v>16</v>
      </c>
      <c r="D257" s="122"/>
      <c r="E257" s="90"/>
      <c r="F257" s="88"/>
      <c r="G257" s="118"/>
      <c r="H257" s="120"/>
      <c r="I257" s="89">
        <f>SUMIF('Executive Pay Breakdown'!K:K,$B257,'Executive Pay Breakdown'!M:M)+SUMIF('Executive Pay Breakdown'!O:O,$B257,'Executive Pay Breakdown'!Q:Q)+SUMIF('Executive Pay Breakdown'!S:S,$B257,'Executive Pay Breakdown'!U:U)+SUMIF('Executive Pay Breakdown'!W:W,$B257,'Executive Pay Breakdown'!Y:Y)+SUMIF('Executive Pay Breakdown'!AA:AA,$B257,'Executive Pay Breakdown'!AC:AC)</f>
        <v>54494057</v>
      </c>
      <c r="J257" s="109"/>
      <c r="K257" s="69">
        <f>SUMIF('Executive Pay Breakdown'!K:K,$B257,'Executive Pay Breakdown'!M:M)</f>
        <v>17061489</v>
      </c>
      <c r="L257" s="69">
        <f>SUMIF('Executive Pay Breakdown'!O:O,$B257,'Executive Pay Breakdown'!Q:Q)</f>
        <v>12510696</v>
      </c>
      <c r="M257" s="69">
        <f>SUMIF('Executive Pay Breakdown'!S:S,$B257,'Executive Pay Breakdown'!U:U)</f>
        <v>12939151</v>
      </c>
      <c r="N257" s="69">
        <f>SUMIF('Executive Pay Breakdown'!W:W,$B257,'Executive Pay Breakdown'!Y:Y)</f>
        <v>11982721</v>
      </c>
      <c r="O257" s="69">
        <f>SUMIF('Executive Pay Breakdown'!AA:AA,$B257,'Executive Pay Breakdown'!AC:AC)</f>
        <v>0</v>
      </c>
    </row>
    <row r="258" hidden="1">
      <c r="A258" s="81"/>
      <c r="B258" s="137" t="s">
        <v>368</v>
      </c>
      <c r="C258" s="118" t="str">
        <f t="array" ref="C258">INDEX('Executive Pay Breakdown'!B:B,MATCH(B258,'Executive Pay Breakdown'!O:O,0))</f>
        <v>AmerisourceBergen</v>
      </c>
      <c r="D258" s="122"/>
      <c r="E258" s="90"/>
      <c r="F258" s="88"/>
      <c r="G258" s="118"/>
      <c r="H258" s="120"/>
      <c r="I258" s="89">
        <f>SUMIF('Executive Pay Breakdown'!K:K,$B258,'Executive Pay Breakdown'!M:M)+SUMIF('Executive Pay Breakdown'!O:O,$B258,'Executive Pay Breakdown'!Q:Q)+SUMIF('Executive Pay Breakdown'!S:S,$B258,'Executive Pay Breakdown'!U:U)+SUMIF('Executive Pay Breakdown'!W:W,$B258,'Executive Pay Breakdown'!Y:Y)+SUMIF('Executive Pay Breakdown'!AA:AA,$B258,'Executive Pay Breakdown'!AC:AC)</f>
        <v>15542217</v>
      </c>
      <c r="J258" s="109"/>
      <c r="K258" s="69">
        <f>SUMIF('Executive Pay Breakdown'!K:K,$B258,'Executive Pay Breakdown'!M:M)</f>
        <v>0</v>
      </c>
      <c r="L258" s="69">
        <f>SUMIF('Executive Pay Breakdown'!O:O,$B258,'Executive Pay Breakdown'!Q:Q)</f>
        <v>4414159</v>
      </c>
      <c r="M258" s="69">
        <f>SUMIF('Executive Pay Breakdown'!S:S,$B258,'Executive Pay Breakdown'!U:U)</f>
        <v>4048839</v>
      </c>
      <c r="N258" s="69">
        <f>SUMIF('Executive Pay Breakdown'!W:W,$B258,'Executive Pay Breakdown'!Y:Y)</f>
        <v>3508615</v>
      </c>
      <c r="O258" s="69">
        <f>SUMIF('Executive Pay Breakdown'!AA:AA,$B258,'Executive Pay Breakdown'!AC:AC)</f>
        <v>3570604</v>
      </c>
    </row>
    <row r="259" hidden="1">
      <c r="A259" s="71"/>
      <c r="B259" s="124" t="s">
        <v>369</v>
      </c>
      <c r="C259" s="118" t="s">
        <v>55</v>
      </c>
      <c r="D259" s="118"/>
      <c r="E259" s="90"/>
      <c r="F259" s="88"/>
      <c r="G259" s="118"/>
      <c r="H259" s="120"/>
      <c r="I259" s="89">
        <f>SUMIF('Executive Pay Breakdown'!K:K,$B259,'Executive Pay Breakdown'!M:M)+SUMIF('Executive Pay Breakdown'!O:O,$B259,'Executive Pay Breakdown'!Q:Q)+SUMIF('Executive Pay Breakdown'!S:S,$B259,'Executive Pay Breakdown'!U:U)+SUMIF('Executive Pay Breakdown'!W:W,$B259,'Executive Pay Breakdown'!Y:Y)+SUMIF('Executive Pay Breakdown'!AA:AA,$B259,'Executive Pay Breakdown'!AC:AC)</f>
        <v>18092567</v>
      </c>
      <c r="J259" s="109"/>
      <c r="K259" s="69">
        <f>SUMIF('Executive Pay Breakdown'!K:K,$B259,'Executive Pay Breakdown'!M:M)</f>
        <v>0</v>
      </c>
      <c r="L259" s="69">
        <f>SUMIF('Executive Pay Breakdown'!O:O,$B259,'Executive Pay Breakdown'!Q:Q)</f>
        <v>0</v>
      </c>
      <c r="M259" s="69">
        <f>SUMIF('Executive Pay Breakdown'!S:S,$B259,'Executive Pay Breakdown'!U:U)</f>
        <v>5927741</v>
      </c>
      <c r="N259" s="69">
        <f>SUMIF('Executive Pay Breakdown'!W:W,$B259,'Executive Pay Breakdown'!Y:Y)</f>
        <v>6531163</v>
      </c>
      <c r="O259" s="69">
        <f>SUMIF('Executive Pay Breakdown'!AA:AA,$B259,'Executive Pay Breakdown'!AC:AC)</f>
        <v>5633663</v>
      </c>
    </row>
    <row r="260" hidden="1">
      <c r="A260" s="62"/>
      <c r="B260" s="138" t="s">
        <v>370</v>
      </c>
      <c r="C260" s="118" t="s">
        <v>35</v>
      </c>
      <c r="D260" s="118"/>
      <c r="E260" s="90"/>
      <c r="F260" s="88"/>
      <c r="G260" s="118"/>
      <c r="H260" s="120"/>
      <c r="I260" s="89">
        <f>SUMIF('Executive Pay Breakdown'!K:K,$B260,'Executive Pay Breakdown'!M:M)+SUMIF('Executive Pay Breakdown'!O:O,$B260,'Executive Pay Breakdown'!Q:Q)+SUMIF('Executive Pay Breakdown'!S:S,$B260,'Executive Pay Breakdown'!U:U)+SUMIF('Executive Pay Breakdown'!W:W,$B260,'Executive Pay Breakdown'!Y:Y)+SUMIF('Executive Pay Breakdown'!AA:AA,$B260,'Executive Pay Breakdown'!AC:AC)</f>
        <v>11667420</v>
      </c>
      <c r="J260" s="109"/>
      <c r="K260" s="69">
        <f>SUMIF('Executive Pay Breakdown'!K:K,$B260,'Executive Pay Breakdown'!M:M)</f>
        <v>0</v>
      </c>
      <c r="L260" s="69">
        <f>SUMIF('Executive Pay Breakdown'!O:O,$B260,'Executive Pay Breakdown'!Q:Q)</f>
        <v>0</v>
      </c>
      <c r="M260" s="69">
        <f>SUMIF('Executive Pay Breakdown'!S:S,$B260,'Executive Pay Breakdown'!U:U)</f>
        <v>0</v>
      </c>
      <c r="N260" s="69">
        <f>SUMIF('Executive Pay Breakdown'!W:W,$B260,'Executive Pay Breakdown'!Y:Y)</f>
        <v>0</v>
      </c>
      <c r="O260" s="69">
        <f>SUMIF('Executive Pay Breakdown'!AA:AA,$B260,'Executive Pay Breakdown'!AC:AC)</f>
        <v>11667420</v>
      </c>
    </row>
    <row r="261" hidden="1">
      <c r="A261" s="62"/>
      <c r="B261" s="135" t="s">
        <v>371</v>
      </c>
      <c r="C261" s="118" t="s">
        <v>51</v>
      </c>
      <c r="D261" s="118"/>
      <c r="E261" s="90"/>
      <c r="F261" s="88"/>
      <c r="G261" s="118"/>
      <c r="H261" s="120"/>
      <c r="I261" s="89">
        <f>SUMIF('Executive Pay Breakdown'!K:K,$B261,'Executive Pay Breakdown'!M:M)+SUMIF('Executive Pay Breakdown'!O:O,$B261,'Executive Pay Breakdown'!Q:Q)+SUMIF('Executive Pay Breakdown'!S:S,$B261,'Executive Pay Breakdown'!U:U)+SUMIF('Executive Pay Breakdown'!W:W,$B261,'Executive Pay Breakdown'!Y:Y)+SUMIF('Executive Pay Breakdown'!AA:AA,$B261,'Executive Pay Breakdown'!AC:AC)</f>
        <v>37887483</v>
      </c>
      <c r="J261" s="109"/>
      <c r="K261" s="69">
        <f>SUMIF('Executive Pay Breakdown'!K:K,$B261,'Executive Pay Breakdown'!M:M)</f>
        <v>0</v>
      </c>
      <c r="L261" s="69">
        <f>SUMIF('Executive Pay Breakdown'!O:O,$B261,'Executive Pay Breakdown'!Q:Q)</f>
        <v>9076011</v>
      </c>
      <c r="M261" s="69">
        <f>SUMIF('Executive Pay Breakdown'!S:S,$B261,'Executive Pay Breakdown'!U:U)</f>
        <v>7952258</v>
      </c>
      <c r="N261" s="69">
        <f>SUMIF('Executive Pay Breakdown'!W:W,$B261,'Executive Pay Breakdown'!Y:Y)</f>
        <v>13009803</v>
      </c>
      <c r="O261" s="69">
        <f>SUMIF('Executive Pay Breakdown'!AA:AA,$B261,'Executive Pay Breakdown'!AC:AC)</f>
        <v>7849411</v>
      </c>
    </row>
    <row r="262" hidden="1">
      <c r="A262" s="62"/>
      <c r="B262" s="127" t="s">
        <v>372</v>
      </c>
      <c r="C262" s="118" t="s">
        <v>53</v>
      </c>
      <c r="D262" s="118"/>
      <c r="E262" s="90"/>
      <c r="F262" s="88"/>
      <c r="G262" s="118"/>
      <c r="H262" s="120"/>
      <c r="I262" s="89">
        <f>SUMIF('Executive Pay Breakdown'!K:K,$B262,'Executive Pay Breakdown'!M:M)+SUMIF('Executive Pay Breakdown'!O:O,$B262,'Executive Pay Breakdown'!Q:Q)+SUMIF('Executive Pay Breakdown'!S:S,$B262,'Executive Pay Breakdown'!U:U)+SUMIF('Executive Pay Breakdown'!W:W,$B262,'Executive Pay Breakdown'!Y:Y)+SUMIF('Executive Pay Breakdown'!AA:AA,$B262,'Executive Pay Breakdown'!AC:AC)</f>
        <v>32217462</v>
      </c>
      <c r="J262" s="109"/>
      <c r="K262" s="69">
        <f>SUMIF('Executive Pay Breakdown'!K:K,$B262,'Executive Pay Breakdown'!M:M)</f>
        <v>0</v>
      </c>
      <c r="L262" s="69">
        <f>SUMIF('Executive Pay Breakdown'!O:O,$B262,'Executive Pay Breakdown'!Q:Q)</f>
        <v>7219036</v>
      </c>
      <c r="M262" s="69">
        <f>SUMIF('Executive Pay Breakdown'!S:S,$B262,'Executive Pay Breakdown'!U:U)</f>
        <v>10758895</v>
      </c>
      <c r="N262" s="69">
        <f>SUMIF('Executive Pay Breakdown'!W:W,$B262,'Executive Pay Breakdown'!Y:Y)</f>
        <v>8862243</v>
      </c>
      <c r="O262" s="69">
        <f>SUMIF('Executive Pay Breakdown'!AA:AA,$B262,'Executive Pay Breakdown'!AC:AC)</f>
        <v>5377288</v>
      </c>
    </row>
    <row r="263" hidden="1">
      <c r="A263" s="81"/>
      <c r="B263" s="135" t="s">
        <v>373</v>
      </c>
      <c r="C263" s="118" t="s">
        <v>49</v>
      </c>
      <c r="D263" s="122"/>
      <c r="E263" s="90"/>
      <c r="F263" s="88"/>
      <c r="G263" s="88"/>
      <c r="H263" s="120"/>
      <c r="I263" s="89">
        <f>SUMIF('Executive Pay Breakdown'!K:K,$B263,'Executive Pay Breakdown'!M:M)+SUMIF('Executive Pay Breakdown'!O:O,$B263,'Executive Pay Breakdown'!Q:Q)+SUMIF('Executive Pay Breakdown'!S:S,$B263,'Executive Pay Breakdown'!U:U)+SUMIF('Executive Pay Breakdown'!W:W,$B263,'Executive Pay Breakdown'!Y:Y)+SUMIF('Executive Pay Breakdown'!AA:AA,$B263,'Executive Pay Breakdown'!AC:AC)</f>
        <v>23497640</v>
      </c>
      <c r="J263" s="109"/>
      <c r="K263" s="69">
        <f>SUMIF('Executive Pay Breakdown'!K:K,$B263,'Executive Pay Breakdown'!M:M)</f>
        <v>11752507</v>
      </c>
      <c r="L263" s="69">
        <f>SUMIF('Executive Pay Breakdown'!O:O,$B263,'Executive Pay Breakdown'!Q:Q)</f>
        <v>11745133</v>
      </c>
      <c r="M263" s="69">
        <f>SUMIF('Executive Pay Breakdown'!S:S,$B263,'Executive Pay Breakdown'!U:U)</f>
        <v>0</v>
      </c>
      <c r="N263" s="69">
        <f>SUMIF('Executive Pay Breakdown'!W:W,$B263,'Executive Pay Breakdown'!Y:Y)</f>
        <v>0</v>
      </c>
      <c r="O263" s="69">
        <f>SUMIF('Executive Pay Breakdown'!AA:AA,$B263,'Executive Pay Breakdown'!AC:AC)</f>
        <v>0</v>
      </c>
    </row>
    <row r="264" hidden="1">
      <c r="A264" s="81"/>
      <c r="B264" s="136" t="s">
        <v>374</v>
      </c>
      <c r="C264" s="118" t="s">
        <v>24</v>
      </c>
      <c r="D264" s="118"/>
      <c r="E264" s="90"/>
      <c r="F264" s="88"/>
      <c r="G264" s="118"/>
      <c r="H264" s="120"/>
      <c r="I264" s="89">
        <f>SUMIF('Executive Pay Breakdown'!K:K,$B264,'Executive Pay Breakdown'!M:M)+SUMIF('Executive Pay Breakdown'!O:O,$B264,'Executive Pay Breakdown'!Q:Q)+SUMIF('Executive Pay Breakdown'!S:S,$B264,'Executive Pay Breakdown'!U:U)+SUMIF('Executive Pay Breakdown'!W:W,$B264,'Executive Pay Breakdown'!Y:Y)+SUMIF('Executive Pay Breakdown'!AA:AA,$B264,'Executive Pay Breakdown'!AC:AC)</f>
        <v>16834340</v>
      </c>
      <c r="J264" s="109"/>
      <c r="K264" s="69">
        <f>SUMIF('Executive Pay Breakdown'!K:K,$B264,'Executive Pay Breakdown'!M:M)</f>
        <v>0</v>
      </c>
      <c r="L264" s="69">
        <f>SUMIF('Executive Pay Breakdown'!O:O,$B264,'Executive Pay Breakdown'!Q:Q)</f>
        <v>0</v>
      </c>
      <c r="M264" s="69">
        <f>SUMIF('Executive Pay Breakdown'!S:S,$B264,'Executive Pay Breakdown'!U:U)</f>
        <v>0</v>
      </c>
      <c r="N264" s="69">
        <f>SUMIF('Executive Pay Breakdown'!W:W,$B264,'Executive Pay Breakdown'!Y:Y)</f>
        <v>11018885</v>
      </c>
      <c r="O264" s="69">
        <f>SUMIF('Executive Pay Breakdown'!AA:AA,$B264,'Executive Pay Breakdown'!AC:AC)</f>
        <v>5815455</v>
      </c>
    </row>
    <row r="265" hidden="1">
      <c r="A265" s="62"/>
      <c r="B265" s="125" t="s">
        <v>375</v>
      </c>
      <c r="C265" s="118" t="s">
        <v>51</v>
      </c>
      <c r="D265" s="122"/>
      <c r="E265" s="90"/>
      <c r="F265" s="88"/>
      <c r="G265" s="118"/>
      <c r="H265" s="120"/>
      <c r="I265" s="89">
        <f>SUMIF('Executive Pay Breakdown'!K:K,$B265,'Executive Pay Breakdown'!M:M)+SUMIF('Executive Pay Breakdown'!O:O,$B265,'Executive Pay Breakdown'!Q:Q)+SUMIF('Executive Pay Breakdown'!S:S,$B265,'Executive Pay Breakdown'!U:U)+SUMIF('Executive Pay Breakdown'!W:W,$B265,'Executive Pay Breakdown'!Y:Y)+SUMIF('Executive Pay Breakdown'!AA:AA,$B265,'Executive Pay Breakdown'!AC:AC)</f>
        <v>35075565</v>
      </c>
      <c r="J265" s="109"/>
      <c r="K265" s="69">
        <f>SUMIF('Executive Pay Breakdown'!K:K,$B265,'Executive Pay Breakdown'!M:M)</f>
        <v>7560678</v>
      </c>
      <c r="L265" s="69">
        <f>SUMIF('Executive Pay Breakdown'!O:O,$B265,'Executive Pay Breakdown'!Q:Q)</f>
        <v>7988380</v>
      </c>
      <c r="M265" s="69">
        <f>SUMIF('Executive Pay Breakdown'!S:S,$B265,'Executive Pay Breakdown'!U:U)</f>
        <v>9704974</v>
      </c>
      <c r="N265" s="69">
        <f>SUMIF('Executive Pay Breakdown'!W:W,$B265,'Executive Pay Breakdown'!Y:Y)</f>
        <v>9821533</v>
      </c>
      <c r="O265" s="69">
        <f>SUMIF('Executive Pay Breakdown'!AA:AA,$B265,'Executive Pay Breakdown'!AC:AC)</f>
        <v>0</v>
      </c>
    </row>
    <row r="266" hidden="1">
      <c r="A266" s="81"/>
      <c r="B266" s="136" t="s">
        <v>376</v>
      </c>
      <c r="C266" s="118" t="s">
        <v>24</v>
      </c>
      <c r="D266" s="118"/>
      <c r="E266" s="90"/>
      <c r="F266" s="88"/>
      <c r="G266" s="118"/>
      <c r="H266" s="120"/>
      <c r="I266" s="89">
        <f>SUMIF('Executive Pay Breakdown'!K:K,$B266,'Executive Pay Breakdown'!M:M)+SUMIF('Executive Pay Breakdown'!O:O,$B266,'Executive Pay Breakdown'!Q:Q)+SUMIF('Executive Pay Breakdown'!S:S,$B266,'Executive Pay Breakdown'!U:U)+SUMIF('Executive Pay Breakdown'!W:W,$B266,'Executive Pay Breakdown'!Y:Y)+SUMIF('Executive Pay Breakdown'!AA:AA,$B266,'Executive Pay Breakdown'!AC:AC)</f>
        <v>16737241</v>
      </c>
      <c r="J266" s="109"/>
      <c r="K266" s="69">
        <f>SUMIF('Executive Pay Breakdown'!K:K,$B266,'Executive Pay Breakdown'!M:M)</f>
        <v>0</v>
      </c>
      <c r="L266" s="69">
        <f>SUMIF('Executive Pay Breakdown'!O:O,$B266,'Executive Pay Breakdown'!Q:Q)</f>
        <v>0</v>
      </c>
      <c r="M266" s="69">
        <f>SUMIF('Executive Pay Breakdown'!S:S,$B266,'Executive Pay Breakdown'!U:U)</f>
        <v>0</v>
      </c>
      <c r="N266" s="69">
        <f>SUMIF('Executive Pay Breakdown'!W:W,$B266,'Executive Pay Breakdown'!Y:Y)</f>
        <v>8317076</v>
      </c>
      <c r="O266" s="69">
        <f>SUMIF('Executive Pay Breakdown'!AA:AA,$B266,'Executive Pay Breakdown'!AC:AC)</f>
        <v>8420165</v>
      </c>
    </row>
    <row r="267" hidden="1">
      <c r="A267" s="71"/>
      <c r="B267" s="124" t="s">
        <v>377</v>
      </c>
      <c r="C267" s="118" t="s">
        <v>55</v>
      </c>
      <c r="D267" s="118"/>
      <c r="E267" s="90"/>
      <c r="F267" s="88"/>
      <c r="G267" s="118"/>
      <c r="H267" s="120"/>
      <c r="I267" s="89">
        <f>SUMIF('Executive Pay Breakdown'!K:K,$B267,'Executive Pay Breakdown'!M:M)+SUMIF('Executive Pay Breakdown'!O:O,$B267,'Executive Pay Breakdown'!Q:Q)+SUMIF('Executive Pay Breakdown'!S:S,$B267,'Executive Pay Breakdown'!U:U)+SUMIF('Executive Pay Breakdown'!W:W,$B267,'Executive Pay Breakdown'!Y:Y)+SUMIF('Executive Pay Breakdown'!AA:AA,$B267,'Executive Pay Breakdown'!AC:AC)</f>
        <v>15769473</v>
      </c>
      <c r="J267" s="109"/>
      <c r="K267" s="69">
        <f>SUMIF('Executive Pay Breakdown'!K:K,$B267,'Executive Pay Breakdown'!M:M)</f>
        <v>0</v>
      </c>
      <c r="L267" s="69">
        <f>SUMIF('Executive Pay Breakdown'!O:O,$B267,'Executive Pay Breakdown'!Q:Q)</f>
        <v>0</v>
      </c>
      <c r="M267" s="69">
        <f>SUMIF('Executive Pay Breakdown'!S:S,$B267,'Executive Pay Breakdown'!U:U)</f>
        <v>0</v>
      </c>
      <c r="N267" s="69">
        <f>SUMIF('Executive Pay Breakdown'!W:W,$B267,'Executive Pay Breakdown'!Y:Y)</f>
        <v>8742827</v>
      </c>
      <c r="O267" s="69">
        <f>SUMIF('Executive Pay Breakdown'!AA:AA,$B267,'Executive Pay Breakdown'!AC:AC)</f>
        <v>7026646</v>
      </c>
    </row>
    <row r="268" hidden="1">
      <c r="A268" s="62"/>
      <c r="B268" s="86" t="s">
        <v>378</v>
      </c>
      <c r="C268" s="118" t="s">
        <v>33</v>
      </c>
      <c r="D268" s="122"/>
      <c r="E268" s="90"/>
      <c r="F268" s="88"/>
      <c r="G268" s="118"/>
      <c r="H268" s="120"/>
      <c r="I268" s="89">
        <f>SUMIF('Executive Pay Breakdown'!K:K,$B268,'Executive Pay Breakdown'!M:M)+SUMIF('Executive Pay Breakdown'!O:O,$B268,'Executive Pay Breakdown'!Q:Q)+SUMIF('Executive Pay Breakdown'!S:S,$B268,'Executive Pay Breakdown'!U:U)+SUMIF('Executive Pay Breakdown'!W:W,$B268,'Executive Pay Breakdown'!Y:Y)+SUMIF('Executive Pay Breakdown'!AA:AA,$B268,'Executive Pay Breakdown'!AC:AC)</f>
        <v>20728811</v>
      </c>
      <c r="J268" s="109"/>
      <c r="K268" s="69">
        <f>SUMIF('Executive Pay Breakdown'!K:K,$B268,'Executive Pay Breakdown'!M:M)</f>
        <v>8651089</v>
      </c>
      <c r="L268" s="69">
        <f>SUMIF('Executive Pay Breakdown'!O:O,$B268,'Executive Pay Breakdown'!Q:Q)</f>
        <v>6664084</v>
      </c>
      <c r="M268" s="69">
        <f>SUMIF('Executive Pay Breakdown'!S:S,$B268,'Executive Pay Breakdown'!U:U)</f>
        <v>2844107</v>
      </c>
      <c r="N268" s="69">
        <f>SUMIF('Executive Pay Breakdown'!W:W,$B268,'Executive Pay Breakdown'!Y:Y)</f>
        <v>2569531</v>
      </c>
      <c r="O268" s="69">
        <f>SUMIF('Executive Pay Breakdown'!AA:AA,$B268,'Executive Pay Breakdown'!AC:AC)</f>
        <v>0</v>
      </c>
    </row>
    <row r="269" hidden="1">
      <c r="A269" s="62"/>
      <c r="B269" s="125" t="s">
        <v>379</v>
      </c>
      <c r="C269" s="118" t="s">
        <v>29</v>
      </c>
      <c r="D269" s="118"/>
      <c r="E269" s="90"/>
      <c r="F269" s="88"/>
      <c r="G269" s="118"/>
      <c r="H269" s="120"/>
      <c r="I269" s="89">
        <f>SUMIF('Executive Pay Breakdown'!K:K,$B269,'Executive Pay Breakdown'!M:M)+SUMIF('Executive Pay Breakdown'!O:O,$B269,'Executive Pay Breakdown'!Q:Q)+SUMIF('Executive Pay Breakdown'!S:S,$B269,'Executive Pay Breakdown'!U:U)+SUMIF('Executive Pay Breakdown'!W:W,$B269,'Executive Pay Breakdown'!Y:Y)+SUMIF('Executive Pay Breakdown'!AA:AA,$B269,'Executive Pay Breakdown'!AC:AC)</f>
        <v>37504209</v>
      </c>
      <c r="J269" s="109"/>
      <c r="K269" s="69">
        <f>SUMIF('Executive Pay Breakdown'!K:K,$B269,'Executive Pay Breakdown'!M:M)</f>
        <v>0</v>
      </c>
      <c r="L269" s="69">
        <f>SUMIF('Executive Pay Breakdown'!O:O,$B269,'Executive Pay Breakdown'!Q:Q)</f>
        <v>0</v>
      </c>
      <c r="M269" s="69">
        <f>SUMIF('Executive Pay Breakdown'!S:S,$B269,'Executive Pay Breakdown'!U:U)</f>
        <v>1232157</v>
      </c>
      <c r="N269" s="69">
        <f>SUMIF('Executive Pay Breakdown'!W:W,$B269,'Executive Pay Breakdown'!Y:Y)</f>
        <v>19310896</v>
      </c>
      <c r="O269" s="69">
        <f>SUMIF('Executive Pay Breakdown'!AA:AA,$B269,'Executive Pay Breakdown'!AC:AC)</f>
        <v>16961156</v>
      </c>
    </row>
    <row r="270" hidden="1">
      <c r="A270" s="81"/>
      <c r="B270" s="133" t="s">
        <v>380</v>
      </c>
      <c r="C270" s="118" t="s">
        <v>52</v>
      </c>
      <c r="D270" s="118"/>
      <c r="E270" s="90"/>
      <c r="F270" s="88"/>
      <c r="G270" s="118"/>
      <c r="H270" s="120"/>
      <c r="I270" s="89">
        <f>SUMIF('Executive Pay Breakdown'!K:K,$B270,'Executive Pay Breakdown'!M:M)+SUMIF('Executive Pay Breakdown'!O:O,$B270,'Executive Pay Breakdown'!Q:Q)+SUMIF('Executive Pay Breakdown'!S:S,$B270,'Executive Pay Breakdown'!U:U)+SUMIF('Executive Pay Breakdown'!W:W,$B270,'Executive Pay Breakdown'!Y:Y)+SUMIF('Executive Pay Breakdown'!AA:AA,$B270,'Executive Pay Breakdown'!AC:AC)</f>
        <v>36300789</v>
      </c>
      <c r="J270" s="109"/>
      <c r="K270" s="69">
        <f>SUMIF('Executive Pay Breakdown'!K:K,$B270,'Executive Pay Breakdown'!M:M)</f>
        <v>0</v>
      </c>
      <c r="L270" s="69">
        <f>SUMIF('Executive Pay Breakdown'!O:O,$B270,'Executive Pay Breakdown'!Q:Q)</f>
        <v>0</v>
      </c>
      <c r="M270" s="69">
        <f>SUMIF('Executive Pay Breakdown'!S:S,$B270,'Executive Pay Breakdown'!U:U)</f>
        <v>0</v>
      </c>
      <c r="N270" s="69">
        <f>SUMIF('Executive Pay Breakdown'!W:W,$B270,'Executive Pay Breakdown'!Y:Y)</f>
        <v>30116540</v>
      </c>
      <c r="O270" s="69">
        <f>SUMIF('Executive Pay Breakdown'!AA:AA,$B270,'Executive Pay Breakdown'!AC:AC)</f>
        <v>6184249</v>
      </c>
    </row>
    <row r="271" hidden="1">
      <c r="A271" s="62"/>
      <c r="B271" s="127" t="s">
        <v>381</v>
      </c>
      <c r="C271" s="118" t="s">
        <v>12</v>
      </c>
      <c r="D271" s="122"/>
      <c r="E271" s="90"/>
      <c r="F271" s="88"/>
      <c r="G271" s="118"/>
      <c r="H271" s="120"/>
      <c r="I271" s="89">
        <f>SUMIF('Executive Pay Breakdown'!K:K,$B271,'Executive Pay Breakdown'!M:M)+SUMIF('Executive Pay Breakdown'!O:O,$B271,'Executive Pay Breakdown'!Q:Q)+SUMIF('Executive Pay Breakdown'!S:S,$B271,'Executive Pay Breakdown'!U:U)+SUMIF('Executive Pay Breakdown'!W:W,$B271,'Executive Pay Breakdown'!Y:Y)+SUMIF('Executive Pay Breakdown'!AA:AA,$B271,'Executive Pay Breakdown'!AC:AC)</f>
        <v>28963517</v>
      </c>
      <c r="J271" s="109"/>
      <c r="K271" s="69">
        <f>SUMIF('Executive Pay Breakdown'!K:K,$B271,'Executive Pay Breakdown'!M:M)</f>
        <v>10001836</v>
      </c>
      <c r="L271" s="69">
        <f>SUMIF('Executive Pay Breakdown'!O:O,$B271,'Executive Pay Breakdown'!Q:Q)</f>
        <v>11444178</v>
      </c>
      <c r="M271" s="69">
        <f>SUMIF('Executive Pay Breakdown'!S:S,$B271,'Executive Pay Breakdown'!U:U)</f>
        <v>4304706</v>
      </c>
      <c r="N271" s="69">
        <f>SUMIF('Executive Pay Breakdown'!W:W,$B271,'Executive Pay Breakdown'!Y:Y)</f>
        <v>3212797</v>
      </c>
      <c r="O271" s="69">
        <f>SUMIF('Executive Pay Breakdown'!AA:AA,$B271,'Executive Pay Breakdown'!AC:AC)</f>
        <v>0</v>
      </c>
    </row>
    <row r="272" hidden="1">
      <c r="A272" s="81"/>
      <c r="B272" s="133" t="s">
        <v>382</v>
      </c>
      <c r="C272" s="118" t="s">
        <v>50</v>
      </c>
      <c r="D272" s="118"/>
      <c r="E272" s="90"/>
      <c r="F272" s="88"/>
      <c r="G272" s="118"/>
      <c r="H272" s="120"/>
      <c r="I272" s="89">
        <f>SUMIF('Executive Pay Breakdown'!K:K,$B272,'Executive Pay Breakdown'!M:M)+SUMIF('Executive Pay Breakdown'!O:O,$B272,'Executive Pay Breakdown'!Q:Q)+SUMIF('Executive Pay Breakdown'!S:S,$B272,'Executive Pay Breakdown'!U:U)+SUMIF('Executive Pay Breakdown'!W:W,$B272,'Executive Pay Breakdown'!Y:Y)+SUMIF('Executive Pay Breakdown'!AA:AA,$B272,'Executive Pay Breakdown'!AC:AC)</f>
        <v>18624586</v>
      </c>
      <c r="J272" s="109"/>
      <c r="K272" s="69">
        <f>SUMIF('Executive Pay Breakdown'!K:K,$B272,'Executive Pay Breakdown'!M:M)</f>
        <v>0</v>
      </c>
      <c r="L272" s="69">
        <f>SUMIF('Executive Pay Breakdown'!O:O,$B272,'Executive Pay Breakdown'!Q:Q)</f>
        <v>0</v>
      </c>
      <c r="M272" s="69">
        <f>SUMIF('Executive Pay Breakdown'!S:S,$B272,'Executive Pay Breakdown'!U:U)</f>
        <v>6350939</v>
      </c>
      <c r="N272" s="69">
        <f>SUMIF('Executive Pay Breakdown'!W:W,$B272,'Executive Pay Breakdown'!Y:Y)</f>
        <v>6767557</v>
      </c>
      <c r="O272" s="69">
        <f>SUMIF('Executive Pay Breakdown'!AA:AA,$B272,'Executive Pay Breakdown'!AC:AC)</f>
        <v>5506090</v>
      </c>
    </row>
    <row r="273" hidden="1">
      <c r="A273" s="62"/>
      <c r="B273" s="86" t="s">
        <v>383</v>
      </c>
      <c r="C273" s="117" t="s">
        <v>61</v>
      </c>
      <c r="D273" s="118"/>
      <c r="E273" s="90"/>
      <c r="F273" s="88"/>
      <c r="G273" s="118"/>
      <c r="H273" s="120"/>
      <c r="I273" s="89">
        <f>SUMIF('Executive Pay Breakdown'!K:K,$B273,'Executive Pay Breakdown'!M:M)+SUMIF('Executive Pay Breakdown'!O:O,$B273,'Executive Pay Breakdown'!Q:Q)+SUMIF('Executive Pay Breakdown'!S:S,$B273,'Executive Pay Breakdown'!U:U)+SUMIF('Executive Pay Breakdown'!W:W,$B273,'Executive Pay Breakdown'!Y:Y)+SUMIF('Executive Pay Breakdown'!AA:AA,$B273,'Executive Pay Breakdown'!AC:AC)</f>
        <v>46991648</v>
      </c>
      <c r="J273" s="109"/>
      <c r="K273" s="69">
        <f>SUMIF('Executive Pay Breakdown'!K:K,$B273,'Executive Pay Breakdown'!M:M)</f>
        <v>15864497</v>
      </c>
      <c r="L273" s="69">
        <f>SUMIF('Executive Pay Breakdown'!O:O,$B273,'Executive Pay Breakdown'!Q:Q)</f>
        <v>15198856</v>
      </c>
      <c r="M273" s="69">
        <f>SUMIF('Executive Pay Breakdown'!S:S,$B273,'Executive Pay Breakdown'!U:U)</f>
        <v>9111359</v>
      </c>
      <c r="N273" s="69">
        <f>SUMIF('Executive Pay Breakdown'!W:W,$B273,'Executive Pay Breakdown'!Y:Y)</f>
        <v>6816936</v>
      </c>
      <c r="O273" s="69">
        <f>SUMIF('Executive Pay Breakdown'!AA:AA,$B273,'Executive Pay Breakdown'!AC:AC)</f>
        <v>0</v>
      </c>
    </row>
    <row r="274" hidden="1">
      <c r="A274" s="81"/>
      <c r="B274" s="134" t="s">
        <v>384</v>
      </c>
      <c r="C274" s="118" t="s">
        <v>56</v>
      </c>
      <c r="D274" s="118"/>
      <c r="E274" s="90"/>
      <c r="F274" s="88"/>
      <c r="G274" s="118"/>
      <c r="H274" s="120"/>
      <c r="I274" s="89">
        <f>SUMIF('Executive Pay Breakdown'!K:K,$B274,'Executive Pay Breakdown'!M:M)+SUMIF('Executive Pay Breakdown'!O:O,$B274,'Executive Pay Breakdown'!Q:Q)+SUMIF('Executive Pay Breakdown'!S:S,$B274,'Executive Pay Breakdown'!U:U)+SUMIF('Executive Pay Breakdown'!W:W,$B274,'Executive Pay Breakdown'!Y:Y)+SUMIF('Executive Pay Breakdown'!AA:AA,$B274,'Executive Pay Breakdown'!AC:AC)</f>
        <v>9464119</v>
      </c>
      <c r="J274" s="109"/>
      <c r="K274" s="69">
        <f>SUMIF('Executive Pay Breakdown'!K:K,$B274,'Executive Pay Breakdown'!M:M)</f>
        <v>0</v>
      </c>
      <c r="L274" s="69">
        <f>SUMIF('Executive Pay Breakdown'!O:O,$B274,'Executive Pay Breakdown'!Q:Q)</f>
        <v>0</v>
      </c>
      <c r="M274" s="69">
        <f>SUMIF('Executive Pay Breakdown'!S:S,$B274,'Executive Pay Breakdown'!U:U)</f>
        <v>0</v>
      </c>
      <c r="N274" s="69">
        <f>SUMIF('Executive Pay Breakdown'!W:W,$B274,'Executive Pay Breakdown'!Y:Y)</f>
        <v>0</v>
      </c>
      <c r="O274" s="69">
        <f>SUMIF('Executive Pay Breakdown'!AA:AA,$B274,'Executive Pay Breakdown'!AC:AC)</f>
        <v>9464119</v>
      </c>
    </row>
    <row r="275" hidden="1">
      <c r="A275" s="62"/>
      <c r="B275" s="127" t="s">
        <v>385</v>
      </c>
      <c r="C275" s="118" t="s">
        <v>12</v>
      </c>
      <c r="D275" s="122"/>
      <c r="E275" s="90"/>
      <c r="F275" s="88"/>
      <c r="G275" s="118"/>
      <c r="H275" s="120"/>
      <c r="I275" s="89">
        <f>SUMIF('Executive Pay Breakdown'!K:K,$B275,'Executive Pay Breakdown'!M:M)+SUMIF('Executive Pay Breakdown'!O:O,$B275,'Executive Pay Breakdown'!Q:Q)+SUMIF('Executive Pay Breakdown'!S:S,$B275,'Executive Pay Breakdown'!U:U)+SUMIF('Executive Pay Breakdown'!W:W,$B275,'Executive Pay Breakdown'!Y:Y)+SUMIF('Executive Pay Breakdown'!AA:AA,$B275,'Executive Pay Breakdown'!AC:AC)</f>
        <v>26720184</v>
      </c>
      <c r="J275" s="109"/>
      <c r="K275" s="69">
        <f>SUMIF('Executive Pay Breakdown'!K:K,$B275,'Executive Pay Breakdown'!M:M)</f>
        <v>6028560</v>
      </c>
      <c r="L275" s="69">
        <f>SUMIF('Executive Pay Breakdown'!O:O,$B275,'Executive Pay Breakdown'!Q:Q)</f>
        <v>10762145</v>
      </c>
      <c r="M275" s="69">
        <f>SUMIF('Executive Pay Breakdown'!S:S,$B275,'Executive Pay Breakdown'!U:U)</f>
        <v>5194368</v>
      </c>
      <c r="N275" s="69">
        <f>SUMIF('Executive Pay Breakdown'!W:W,$B275,'Executive Pay Breakdown'!Y:Y)</f>
        <v>4735111</v>
      </c>
      <c r="O275" s="69">
        <f>SUMIF('Executive Pay Breakdown'!AA:AA,$B275,'Executive Pay Breakdown'!AC:AC)</f>
        <v>0</v>
      </c>
    </row>
    <row r="276" hidden="1">
      <c r="A276" s="62"/>
      <c r="B276" s="86" t="s">
        <v>386</v>
      </c>
      <c r="C276" s="117" t="s">
        <v>71</v>
      </c>
      <c r="D276" s="118"/>
      <c r="E276" s="90"/>
      <c r="F276" s="88"/>
      <c r="G276" s="118"/>
      <c r="H276" s="120"/>
      <c r="I276" s="89">
        <f>SUMIF('Executive Pay Breakdown'!K:K,$B276,'Executive Pay Breakdown'!M:M)+SUMIF('Executive Pay Breakdown'!O:O,$B276,'Executive Pay Breakdown'!Q:Q)+SUMIF('Executive Pay Breakdown'!S:S,$B276,'Executive Pay Breakdown'!U:U)+SUMIF('Executive Pay Breakdown'!W:W,$B276,'Executive Pay Breakdown'!Y:Y)+SUMIF('Executive Pay Breakdown'!AA:AA,$B276,'Executive Pay Breakdown'!AC:AC)</f>
        <v>12098122</v>
      </c>
      <c r="J276" s="109"/>
      <c r="K276" s="69">
        <f>SUMIF('Executive Pay Breakdown'!K:K,$B276,'Executive Pay Breakdown'!M:M)</f>
        <v>0</v>
      </c>
      <c r="L276" s="69">
        <f>SUMIF('Executive Pay Breakdown'!O:O,$B276,'Executive Pay Breakdown'!Q:Q)</f>
        <v>0</v>
      </c>
      <c r="M276" s="69">
        <f>SUMIF('Executive Pay Breakdown'!S:S,$B276,'Executive Pay Breakdown'!U:U)</f>
        <v>0</v>
      </c>
      <c r="N276" s="69">
        <f>SUMIF('Executive Pay Breakdown'!W:W,$B276,'Executive Pay Breakdown'!Y:Y)</f>
        <v>3360662</v>
      </c>
      <c r="O276" s="69">
        <f>SUMIF('Executive Pay Breakdown'!AA:AA,$B276,'Executive Pay Breakdown'!AC:AC)</f>
        <v>8737460</v>
      </c>
    </row>
    <row r="277" hidden="1">
      <c r="A277" s="62"/>
      <c r="B277" s="86" t="s">
        <v>387</v>
      </c>
      <c r="C277" s="118" t="s">
        <v>38</v>
      </c>
      <c r="D277" s="118"/>
      <c r="E277" s="90"/>
      <c r="F277" s="88"/>
      <c r="G277" s="118"/>
      <c r="H277" s="120"/>
      <c r="I277" s="89">
        <f>SUMIF('Executive Pay Breakdown'!K:K,$B277,'Executive Pay Breakdown'!M:M)+SUMIF('Executive Pay Breakdown'!O:O,$B277,'Executive Pay Breakdown'!Q:Q)+SUMIF('Executive Pay Breakdown'!S:S,$B277,'Executive Pay Breakdown'!U:U)+SUMIF('Executive Pay Breakdown'!W:W,$B277,'Executive Pay Breakdown'!Y:Y)+SUMIF('Executive Pay Breakdown'!AA:AA,$B277,'Executive Pay Breakdown'!AC:AC)</f>
        <v>24976423</v>
      </c>
      <c r="J277" s="109"/>
      <c r="K277" s="69">
        <f>SUMIF('Executive Pay Breakdown'!K:K,$B277,'Executive Pay Breakdown'!M:M)</f>
        <v>0</v>
      </c>
      <c r="L277" s="69">
        <f>SUMIF('Executive Pay Breakdown'!O:O,$B277,'Executive Pay Breakdown'!Q:Q)</f>
        <v>0</v>
      </c>
      <c r="M277" s="69">
        <f>SUMIF('Executive Pay Breakdown'!S:S,$B277,'Executive Pay Breakdown'!U:U)</f>
        <v>7898536</v>
      </c>
      <c r="N277" s="69">
        <f>SUMIF('Executive Pay Breakdown'!W:W,$B277,'Executive Pay Breakdown'!Y:Y)</f>
        <v>8986702</v>
      </c>
      <c r="O277" s="69">
        <f>SUMIF('Executive Pay Breakdown'!AA:AA,$B277,'Executive Pay Breakdown'!AC:AC)</f>
        <v>8091185</v>
      </c>
    </row>
    <row r="278" hidden="1">
      <c r="A278" s="62"/>
      <c r="B278" s="125" t="s">
        <v>388</v>
      </c>
      <c r="C278" s="118" t="s">
        <v>27</v>
      </c>
      <c r="D278" s="118"/>
      <c r="E278" s="90"/>
      <c r="F278" s="88"/>
      <c r="G278" s="118"/>
      <c r="H278" s="120"/>
      <c r="I278" s="89">
        <f>SUMIF('Executive Pay Breakdown'!K:K,$B278,'Executive Pay Breakdown'!M:M)+SUMIF('Executive Pay Breakdown'!O:O,$B278,'Executive Pay Breakdown'!Q:Q)+SUMIF('Executive Pay Breakdown'!S:S,$B278,'Executive Pay Breakdown'!U:U)+SUMIF('Executive Pay Breakdown'!W:W,$B278,'Executive Pay Breakdown'!Y:Y)+SUMIF('Executive Pay Breakdown'!AA:AA,$B278,'Executive Pay Breakdown'!AC:AC)</f>
        <v>26009190</v>
      </c>
      <c r="J278" s="109"/>
      <c r="K278" s="69">
        <f>SUMIF('Executive Pay Breakdown'!K:K,$B278,'Executive Pay Breakdown'!M:M)</f>
        <v>0</v>
      </c>
      <c r="L278" s="69">
        <f>SUMIF('Executive Pay Breakdown'!O:O,$B278,'Executive Pay Breakdown'!Q:Q)</f>
        <v>0</v>
      </c>
      <c r="M278" s="69">
        <f>SUMIF('Executive Pay Breakdown'!S:S,$B278,'Executive Pay Breakdown'!U:U)</f>
        <v>7078005</v>
      </c>
      <c r="N278" s="69">
        <f>SUMIF('Executive Pay Breakdown'!W:W,$B278,'Executive Pay Breakdown'!Y:Y)</f>
        <v>9073076</v>
      </c>
      <c r="O278" s="69">
        <f>SUMIF('Executive Pay Breakdown'!AA:AA,$B278,'Executive Pay Breakdown'!AC:AC)</f>
        <v>9858109</v>
      </c>
    </row>
    <row r="279" hidden="1">
      <c r="A279" s="62"/>
      <c r="B279" s="130" t="s">
        <v>389</v>
      </c>
      <c r="C279" s="118" t="s">
        <v>29</v>
      </c>
      <c r="D279" s="118"/>
      <c r="E279" s="90"/>
      <c r="F279" s="88"/>
      <c r="G279" s="118"/>
      <c r="H279" s="120"/>
      <c r="I279" s="89">
        <f>SUMIF('Executive Pay Breakdown'!K:K,$B279,'Executive Pay Breakdown'!M:M)+SUMIF('Executive Pay Breakdown'!O:O,$B279,'Executive Pay Breakdown'!Q:Q)+SUMIF('Executive Pay Breakdown'!S:S,$B279,'Executive Pay Breakdown'!U:U)+SUMIF('Executive Pay Breakdown'!W:W,$B279,'Executive Pay Breakdown'!Y:Y)+SUMIF('Executive Pay Breakdown'!AA:AA,$B279,'Executive Pay Breakdown'!AC:AC)</f>
        <v>33755179</v>
      </c>
      <c r="J279" s="109"/>
      <c r="K279" s="69">
        <f>SUMIF('Executive Pay Breakdown'!K:K,$B279,'Executive Pay Breakdown'!M:M)</f>
        <v>0</v>
      </c>
      <c r="L279" s="69">
        <f>SUMIF('Executive Pay Breakdown'!O:O,$B279,'Executive Pay Breakdown'!Q:Q)</f>
        <v>0</v>
      </c>
      <c r="M279" s="69">
        <f>SUMIF('Executive Pay Breakdown'!S:S,$B279,'Executive Pay Breakdown'!U:U)</f>
        <v>11914900</v>
      </c>
      <c r="N279" s="69">
        <f>SUMIF('Executive Pay Breakdown'!W:W,$B279,'Executive Pay Breakdown'!Y:Y)</f>
        <v>12033564</v>
      </c>
      <c r="O279" s="69">
        <f>SUMIF('Executive Pay Breakdown'!AA:AA,$B279,'Executive Pay Breakdown'!AC:AC)</f>
        <v>9806715</v>
      </c>
    </row>
    <row r="280" hidden="1">
      <c r="A280" s="81"/>
      <c r="B280" s="136" t="s">
        <v>390</v>
      </c>
      <c r="C280" s="118" t="s">
        <v>24</v>
      </c>
      <c r="D280" s="118"/>
      <c r="E280" s="90"/>
      <c r="F280" s="88"/>
      <c r="G280" s="118"/>
      <c r="H280" s="120"/>
      <c r="I280" s="89">
        <f>SUMIF('Executive Pay Breakdown'!K:K,$B280,'Executive Pay Breakdown'!M:M)+SUMIF('Executive Pay Breakdown'!O:O,$B280,'Executive Pay Breakdown'!Q:Q)+SUMIF('Executive Pay Breakdown'!S:S,$B280,'Executive Pay Breakdown'!U:U)+SUMIF('Executive Pay Breakdown'!W:W,$B280,'Executive Pay Breakdown'!Y:Y)+SUMIF('Executive Pay Breakdown'!AA:AA,$B280,'Executive Pay Breakdown'!AC:AC)</f>
        <v>14491274</v>
      </c>
      <c r="J280" s="109"/>
      <c r="K280" s="69">
        <f>SUMIF('Executive Pay Breakdown'!K:K,$B280,'Executive Pay Breakdown'!M:M)</f>
        <v>0</v>
      </c>
      <c r="L280" s="69">
        <f>SUMIF('Executive Pay Breakdown'!O:O,$B280,'Executive Pay Breakdown'!Q:Q)</f>
        <v>0</v>
      </c>
      <c r="M280" s="69">
        <f>SUMIF('Executive Pay Breakdown'!S:S,$B280,'Executive Pay Breakdown'!U:U)</f>
        <v>6173021</v>
      </c>
      <c r="N280" s="69">
        <f>SUMIF('Executive Pay Breakdown'!W:W,$B280,'Executive Pay Breakdown'!Y:Y)</f>
        <v>8318253</v>
      </c>
      <c r="O280" s="69">
        <f>SUMIF('Executive Pay Breakdown'!AA:AA,$B280,'Executive Pay Breakdown'!AC:AC)</f>
        <v>0</v>
      </c>
    </row>
    <row r="281" hidden="1">
      <c r="A281" s="81"/>
      <c r="B281" s="86" t="s">
        <v>391</v>
      </c>
      <c r="C281" s="118" t="str">
        <f t="array" ref="C281">INDEX('Executive Pay Breakdown'!B:B,MATCH(B281,'Executive Pay Breakdown'!K:K,0))</f>
        <v>AmerisourceBergen</v>
      </c>
      <c r="D281" s="122"/>
      <c r="E281" s="90"/>
      <c r="F281" s="88"/>
      <c r="G281" s="118"/>
      <c r="H281" s="120"/>
      <c r="I281" s="89">
        <f>SUMIF('Executive Pay Breakdown'!K:K,$B281,'Executive Pay Breakdown'!M:M)+SUMIF('Executive Pay Breakdown'!O:O,$B281,'Executive Pay Breakdown'!Q:Q)+SUMIF('Executive Pay Breakdown'!S:S,$B281,'Executive Pay Breakdown'!U:U)+SUMIF('Executive Pay Breakdown'!W:W,$B281,'Executive Pay Breakdown'!Y:Y)+SUMIF('Executive Pay Breakdown'!AA:AA,$B281,'Executive Pay Breakdown'!AC:AC)</f>
        <v>11716377</v>
      </c>
      <c r="J281" s="109"/>
      <c r="K281" s="69">
        <f>SUMIF('Executive Pay Breakdown'!K:K,$B281,'Executive Pay Breakdown'!M:M)</f>
        <v>3177160</v>
      </c>
      <c r="L281" s="69">
        <f>SUMIF('Executive Pay Breakdown'!O:O,$B281,'Executive Pay Breakdown'!Q:Q)</f>
        <v>3217409</v>
      </c>
      <c r="M281" s="69">
        <f>SUMIF('Executive Pay Breakdown'!S:S,$B281,'Executive Pay Breakdown'!U:U)</f>
        <v>2955618</v>
      </c>
      <c r="N281" s="69">
        <f>SUMIF('Executive Pay Breakdown'!W:W,$B281,'Executive Pay Breakdown'!Y:Y)</f>
        <v>2366190</v>
      </c>
      <c r="O281" s="69">
        <f>SUMIF('Executive Pay Breakdown'!AA:AA,$B281,'Executive Pay Breakdown'!AC:AC)</f>
        <v>0</v>
      </c>
    </row>
    <row r="282" hidden="1">
      <c r="A282" s="62"/>
      <c r="B282" s="86" t="s">
        <v>392</v>
      </c>
      <c r="C282" s="118" t="s">
        <v>33</v>
      </c>
      <c r="D282" s="122"/>
      <c r="E282" s="90"/>
      <c r="F282" s="88"/>
      <c r="G282" s="118"/>
      <c r="H282" s="120"/>
      <c r="I282" s="89">
        <f>SUMIF('Executive Pay Breakdown'!K:K,$B282,'Executive Pay Breakdown'!M:M)+SUMIF('Executive Pay Breakdown'!O:O,$B282,'Executive Pay Breakdown'!Q:Q)+SUMIF('Executive Pay Breakdown'!S:S,$B282,'Executive Pay Breakdown'!U:U)+SUMIF('Executive Pay Breakdown'!W:W,$B282,'Executive Pay Breakdown'!Y:Y)+SUMIF('Executive Pay Breakdown'!AA:AA,$B282,'Executive Pay Breakdown'!AC:AC)</f>
        <v>17732026</v>
      </c>
      <c r="J282" s="109"/>
      <c r="K282" s="69">
        <f>SUMIF('Executive Pay Breakdown'!K:K,$B282,'Executive Pay Breakdown'!M:M)</f>
        <v>5563883</v>
      </c>
      <c r="L282" s="69">
        <f>SUMIF('Executive Pay Breakdown'!O:O,$B282,'Executive Pay Breakdown'!Q:Q)</f>
        <v>6295216</v>
      </c>
      <c r="M282" s="69">
        <f>SUMIF('Executive Pay Breakdown'!S:S,$B282,'Executive Pay Breakdown'!U:U)</f>
        <v>3014353</v>
      </c>
      <c r="N282" s="69">
        <f>SUMIF('Executive Pay Breakdown'!W:W,$B282,'Executive Pay Breakdown'!Y:Y)</f>
        <v>2858574</v>
      </c>
      <c r="O282" s="69">
        <f>SUMIF('Executive Pay Breakdown'!AA:AA,$B282,'Executive Pay Breakdown'!AC:AC)</f>
        <v>0</v>
      </c>
    </row>
    <row r="283" hidden="1">
      <c r="A283" s="81"/>
      <c r="B283" s="137" t="s">
        <v>393</v>
      </c>
      <c r="C283" s="118" t="str">
        <f t="array" ref="C283">INDEX('Executive Pay Breakdown'!B:B,MATCH(B283,'Executive Pay Breakdown'!S:S,0))</f>
        <v>Whirlpool</v>
      </c>
      <c r="D283" s="122"/>
      <c r="E283" s="90"/>
      <c r="F283" s="88"/>
      <c r="G283" s="118"/>
      <c r="H283" s="120"/>
      <c r="I283" s="89">
        <f>SUMIF('Executive Pay Breakdown'!K:K,$B283,'Executive Pay Breakdown'!M:M)+SUMIF('Executive Pay Breakdown'!O:O,$B283,'Executive Pay Breakdown'!Q:Q)+SUMIF('Executive Pay Breakdown'!S:S,$B283,'Executive Pay Breakdown'!U:U)+SUMIF('Executive Pay Breakdown'!W:W,$B283,'Executive Pay Breakdown'!Y:Y)+SUMIF('Executive Pay Breakdown'!AA:AA,$B283,'Executive Pay Breakdown'!AC:AC)</f>
        <v>4469774</v>
      </c>
      <c r="J283" s="109"/>
      <c r="K283" s="69">
        <f>SUMIF('Executive Pay Breakdown'!K:K,$B283,'Executive Pay Breakdown'!M:M)</f>
        <v>0</v>
      </c>
      <c r="L283" s="69">
        <f>SUMIF('Executive Pay Breakdown'!O:O,$B283,'Executive Pay Breakdown'!Q:Q)</f>
        <v>0</v>
      </c>
      <c r="M283" s="69">
        <f>SUMIF('Executive Pay Breakdown'!S:S,$B283,'Executive Pay Breakdown'!U:U)</f>
        <v>4469774</v>
      </c>
      <c r="N283" s="69">
        <f>SUMIF('Executive Pay Breakdown'!W:W,$B283,'Executive Pay Breakdown'!Y:Y)</f>
        <v>0</v>
      </c>
      <c r="O283" s="69">
        <f>SUMIF('Executive Pay Breakdown'!AA:AA,$B283,'Executive Pay Breakdown'!AC:AC)</f>
        <v>0</v>
      </c>
    </row>
    <row r="284" hidden="1">
      <c r="A284" s="62"/>
      <c r="B284" s="86" t="s">
        <v>394</v>
      </c>
      <c r="C284" s="118" t="s">
        <v>42</v>
      </c>
      <c r="D284" s="118"/>
      <c r="E284" s="90"/>
      <c r="F284" s="88"/>
      <c r="G284" s="118"/>
      <c r="H284" s="120"/>
      <c r="I284" s="89">
        <f>SUMIF('Executive Pay Breakdown'!K:K,$B284,'Executive Pay Breakdown'!M:M)+SUMIF('Executive Pay Breakdown'!O:O,$B284,'Executive Pay Breakdown'!Q:Q)+SUMIF('Executive Pay Breakdown'!S:S,$B284,'Executive Pay Breakdown'!U:U)+SUMIF('Executive Pay Breakdown'!W:W,$B284,'Executive Pay Breakdown'!Y:Y)+SUMIF('Executive Pay Breakdown'!AA:AA,$B284,'Executive Pay Breakdown'!AC:AC)</f>
        <v>15123981</v>
      </c>
      <c r="J284" s="109"/>
      <c r="K284" s="69">
        <f>SUMIF('Executive Pay Breakdown'!K:K,$B284,'Executive Pay Breakdown'!M:M)</f>
        <v>0</v>
      </c>
      <c r="L284" s="69">
        <f>SUMIF('Executive Pay Breakdown'!O:O,$B284,'Executive Pay Breakdown'!Q:Q)</f>
        <v>0</v>
      </c>
      <c r="M284" s="69">
        <f>SUMIF('Executive Pay Breakdown'!S:S,$B284,'Executive Pay Breakdown'!U:U)</f>
        <v>4900927</v>
      </c>
      <c r="N284" s="69">
        <f>SUMIF('Executive Pay Breakdown'!W:W,$B284,'Executive Pay Breakdown'!Y:Y)</f>
        <v>5877434</v>
      </c>
      <c r="O284" s="69">
        <f>SUMIF('Executive Pay Breakdown'!AA:AA,$B284,'Executive Pay Breakdown'!AC:AC)</f>
        <v>4345620</v>
      </c>
    </row>
    <row r="285" hidden="1">
      <c r="A285" s="62"/>
      <c r="B285" s="87" t="s">
        <v>395</v>
      </c>
      <c r="C285" s="118" t="s">
        <v>19</v>
      </c>
      <c r="D285" s="118"/>
      <c r="E285" s="90"/>
      <c r="F285" s="88"/>
      <c r="G285" s="118"/>
      <c r="H285" s="120"/>
      <c r="I285" s="89">
        <f>SUMIF('Executive Pay Breakdown'!K:K,$B285,'Executive Pay Breakdown'!M:M)+SUMIF('Executive Pay Breakdown'!O:O,$B285,'Executive Pay Breakdown'!Q:Q)+SUMIF('Executive Pay Breakdown'!S:S,$B285,'Executive Pay Breakdown'!U:U)+SUMIF('Executive Pay Breakdown'!W:W,$B285,'Executive Pay Breakdown'!Y:Y)+SUMIF('Executive Pay Breakdown'!AA:AA,$B285,'Executive Pay Breakdown'!AC:AC)</f>
        <v>13348808</v>
      </c>
      <c r="J285" s="109"/>
      <c r="K285" s="69">
        <f>SUMIF('Executive Pay Breakdown'!K:K,$B285,'Executive Pay Breakdown'!M:M)</f>
        <v>0</v>
      </c>
      <c r="L285" s="69">
        <f>SUMIF('Executive Pay Breakdown'!O:O,$B285,'Executive Pay Breakdown'!Q:Q)</f>
        <v>0</v>
      </c>
      <c r="M285" s="69">
        <f>SUMIF('Executive Pay Breakdown'!S:S,$B285,'Executive Pay Breakdown'!U:U)</f>
        <v>0</v>
      </c>
      <c r="N285" s="69">
        <f>SUMIF('Executive Pay Breakdown'!W:W,$B285,'Executive Pay Breakdown'!Y:Y)</f>
        <v>5467707</v>
      </c>
      <c r="O285" s="69">
        <f>SUMIF('Executive Pay Breakdown'!AA:AA,$B285,'Executive Pay Breakdown'!AC:AC)</f>
        <v>7881101</v>
      </c>
    </row>
    <row r="286" hidden="1">
      <c r="A286" s="62"/>
      <c r="B286" s="125" t="s">
        <v>396</v>
      </c>
      <c r="C286" s="118" t="s">
        <v>29</v>
      </c>
      <c r="D286" s="118"/>
      <c r="E286" s="90"/>
      <c r="F286" s="88"/>
      <c r="G286" s="118"/>
      <c r="H286" s="120"/>
      <c r="I286" s="89">
        <f>SUMIF('Executive Pay Breakdown'!K:K,$B286,'Executive Pay Breakdown'!M:M)+SUMIF('Executive Pay Breakdown'!O:O,$B286,'Executive Pay Breakdown'!Q:Q)+SUMIF('Executive Pay Breakdown'!S:S,$B286,'Executive Pay Breakdown'!U:U)+SUMIF('Executive Pay Breakdown'!W:W,$B286,'Executive Pay Breakdown'!Y:Y)+SUMIF('Executive Pay Breakdown'!AA:AA,$B286,'Executive Pay Breakdown'!AC:AC)</f>
        <v>30278561</v>
      </c>
      <c r="J286" s="109"/>
      <c r="K286" s="69">
        <f>SUMIF('Executive Pay Breakdown'!K:K,$B286,'Executive Pay Breakdown'!M:M)</f>
        <v>0</v>
      </c>
      <c r="L286" s="69">
        <f>SUMIF('Executive Pay Breakdown'!O:O,$B286,'Executive Pay Breakdown'!Q:Q)</f>
        <v>14128609</v>
      </c>
      <c r="M286" s="69">
        <f>SUMIF('Executive Pay Breakdown'!S:S,$B286,'Executive Pay Breakdown'!U:U)</f>
        <v>16149952</v>
      </c>
      <c r="N286" s="69">
        <f>SUMIF('Executive Pay Breakdown'!W:W,$B286,'Executive Pay Breakdown'!Y:Y)</f>
        <v>0</v>
      </c>
      <c r="O286" s="69">
        <f>SUMIF('Executive Pay Breakdown'!AA:AA,$B286,'Executive Pay Breakdown'!AC:AC)</f>
        <v>0</v>
      </c>
    </row>
    <row r="287" hidden="1">
      <c r="A287" s="81"/>
      <c r="B287" s="135" t="s">
        <v>397</v>
      </c>
      <c r="C287" s="118" t="s">
        <v>49</v>
      </c>
      <c r="D287" s="122"/>
      <c r="E287" s="90"/>
      <c r="F287" s="88"/>
      <c r="G287" s="88"/>
      <c r="H287" s="120"/>
      <c r="I287" s="89">
        <f>SUMIF('Executive Pay Breakdown'!K:K,$B287,'Executive Pay Breakdown'!M:M)+SUMIF('Executive Pay Breakdown'!O:O,$B287,'Executive Pay Breakdown'!Q:Q)+SUMIF('Executive Pay Breakdown'!S:S,$B287,'Executive Pay Breakdown'!U:U)+SUMIF('Executive Pay Breakdown'!W:W,$B287,'Executive Pay Breakdown'!Y:Y)+SUMIF('Executive Pay Breakdown'!AA:AA,$B287,'Executive Pay Breakdown'!AC:AC)</f>
        <v>17255662</v>
      </c>
      <c r="J287" s="109"/>
      <c r="K287" s="69">
        <f>SUMIF('Executive Pay Breakdown'!K:K,$B287,'Executive Pay Breakdown'!M:M)</f>
        <v>9746405</v>
      </c>
      <c r="L287" s="69">
        <f>SUMIF('Executive Pay Breakdown'!O:O,$B287,'Executive Pay Breakdown'!Q:Q)</f>
        <v>7509257</v>
      </c>
      <c r="M287" s="69">
        <f>SUMIF('Executive Pay Breakdown'!S:S,$B287,'Executive Pay Breakdown'!U:U)</f>
        <v>0</v>
      </c>
      <c r="N287" s="69">
        <f>SUMIF('Executive Pay Breakdown'!W:W,$B287,'Executive Pay Breakdown'!Y:Y)</f>
        <v>0</v>
      </c>
      <c r="O287" s="69">
        <f>SUMIF('Executive Pay Breakdown'!AA:AA,$B287,'Executive Pay Breakdown'!AC:AC)</f>
        <v>0</v>
      </c>
    </row>
    <row r="288" hidden="1">
      <c r="A288" s="62"/>
      <c r="B288" s="125" t="s">
        <v>398</v>
      </c>
      <c r="C288" s="118" t="s">
        <v>29</v>
      </c>
      <c r="D288" s="122"/>
      <c r="E288" s="90"/>
      <c r="F288" s="88"/>
      <c r="G288" s="88"/>
      <c r="H288" s="120"/>
      <c r="I288" s="89">
        <f>SUMIF('Executive Pay Breakdown'!K:K,$B288,'Executive Pay Breakdown'!M:M)+SUMIF('Executive Pay Breakdown'!O:O,$B288,'Executive Pay Breakdown'!Q:Q)+SUMIF('Executive Pay Breakdown'!S:S,$B288,'Executive Pay Breakdown'!U:U)+SUMIF('Executive Pay Breakdown'!W:W,$B288,'Executive Pay Breakdown'!Y:Y)+SUMIF('Executive Pay Breakdown'!AA:AA,$B288,'Executive Pay Breakdown'!AC:AC)</f>
        <v>29750988</v>
      </c>
      <c r="J288" s="109"/>
      <c r="K288" s="69">
        <f>SUMIF('Executive Pay Breakdown'!K:K,$B288,'Executive Pay Breakdown'!M:M)</f>
        <v>15707474</v>
      </c>
      <c r="L288" s="69">
        <f>SUMIF('Executive Pay Breakdown'!O:O,$B288,'Executive Pay Breakdown'!Q:Q)</f>
        <v>14043514</v>
      </c>
      <c r="M288" s="69">
        <f>SUMIF('Executive Pay Breakdown'!S:S,$B288,'Executive Pay Breakdown'!U:U)</f>
        <v>0</v>
      </c>
      <c r="N288" s="69">
        <f>SUMIF('Executive Pay Breakdown'!W:W,$B288,'Executive Pay Breakdown'!Y:Y)</f>
        <v>0</v>
      </c>
      <c r="O288" s="69">
        <f>SUMIF('Executive Pay Breakdown'!AA:AA,$B288,'Executive Pay Breakdown'!AC:AC)</f>
        <v>0</v>
      </c>
    </row>
    <row r="289" hidden="1">
      <c r="A289" s="81"/>
      <c r="B289" s="134" t="s">
        <v>399</v>
      </c>
      <c r="C289" s="118" t="s">
        <v>56</v>
      </c>
      <c r="D289" s="118"/>
      <c r="E289" s="90"/>
      <c r="F289" s="88"/>
      <c r="G289" s="118"/>
      <c r="H289" s="120"/>
      <c r="I289" s="89">
        <f>SUMIF('Executive Pay Breakdown'!K:K,$B289,'Executive Pay Breakdown'!M:M)+SUMIF('Executive Pay Breakdown'!O:O,$B289,'Executive Pay Breakdown'!Q:Q)+SUMIF('Executive Pay Breakdown'!S:S,$B289,'Executive Pay Breakdown'!U:U)+SUMIF('Executive Pay Breakdown'!W:W,$B289,'Executive Pay Breakdown'!Y:Y)+SUMIF('Executive Pay Breakdown'!AA:AA,$B289,'Executive Pay Breakdown'!AC:AC)</f>
        <v>8004521</v>
      </c>
      <c r="J289" s="109"/>
      <c r="K289" s="69">
        <f>SUMIF('Executive Pay Breakdown'!K:K,$B289,'Executive Pay Breakdown'!M:M)</f>
        <v>0</v>
      </c>
      <c r="L289" s="69">
        <f>SUMIF('Executive Pay Breakdown'!O:O,$B289,'Executive Pay Breakdown'!Q:Q)</f>
        <v>0</v>
      </c>
      <c r="M289" s="69">
        <f>SUMIF('Executive Pay Breakdown'!S:S,$B289,'Executive Pay Breakdown'!U:U)</f>
        <v>0</v>
      </c>
      <c r="N289" s="69">
        <f>SUMIF('Executive Pay Breakdown'!W:W,$B289,'Executive Pay Breakdown'!Y:Y)</f>
        <v>0</v>
      </c>
      <c r="O289" s="69">
        <f>SUMIF('Executive Pay Breakdown'!AA:AA,$B289,'Executive Pay Breakdown'!AC:AC)</f>
        <v>8004521</v>
      </c>
    </row>
    <row r="290" hidden="1">
      <c r="A290" s="62"/>
      <c r="B290" s="86" t="s">
        <v>400</v>
      </c>
      <c r="C290" s="117" t="s">
        <v>68</v>
      </c>
      <c r="D290" s="118"/>
      <c r="E290" s="90"/>
      <c r="F290" s="88"/>
      <c r="G290" s="118"/>
      <c r="H290" s="120"/>
      <c r="I290" s="89">
        <f>SUMIF('Executive Pay Breakdown'!K:K,$B290,'Executive Pay Breakdown'!M:M)+SUMIF('Executive Pay Breakdown'!O:O,$B290,'Executive Pay Breakdown'!Q:Q)+SUMIF('Executive Pay Breakdown'!S:S,$B290,'Executive Pay Breakdown'!U:U)+SUMIF('Executive Pay Breakdown'!W:W,$B290,'Executive Pay Breakdown'!Y:Y)+SUMIF('Executive Pay Breakdown'!AA:AA,$B290,'Executive Pay Breakdown'!AC:AC)</f>
        <v>8109782</v>
      </c>
      <c r="J290" s="109"/>
      <c r="K290" s="69">
        <f>SUMIF('Executive Pay Breakdown'!K:K,$B290,'Executive Pay Breakdown'!M:M)</f>
        <v>0</v>
      </c>
      <c r="L290" s="69">
        <f>SUMIF('Executive Pay Breakdown'!O:O,$B290,'Executive Pay Breakdown'!Q:Q)</f>
        <v>3345175</v>
      </c>
      <c r="M290" s="69">
        <f>SUMIF('Executive Pay Breakdown'!S:S,$B290,'Executive Pay Breakdown'!U:U)</f>
        <v>1507808</v>
      </c>
      <c r="N290" s="69">
        <f>SUMIF('Executive Pay Breakdown'!W:W,$B290,'Executive Pay Breakdown'!Y:Y)</f>
        <v>1467659</v>
      </c>
      <c r="O290" s="69">
        <f>SUMIF('Executive Pay Breakdown'!AA:AA,$B290,'Executive Pay Breakdown'!AC:AC)</f>
        <v>1789140</v>
      </c>
    </row>
    <row r="291" hidden="1">
      <c r="A291" s="81"/>
      <c r="B291" s="125" t="s">
        <v>401</v>
      </c>
      <c r="C291" s="118" t="s">
        <v>24</v>
      </c>
      <c r="D291" s="118"/>
      <c r="E291" s="90"/>
      <c r="F291" s="88"/>
      <c r="G291" s="88"/>
      <c r="H291" s="120"/>
      <c r="I291" s="89">
        <f>SUMIF('Executive Pay Breakdown'!K:K,$B291,'Executive Pay Breakdown'!M:M)+SUMIF('Executive Pay Breakdown'!O:O,$B291,'Executive Pay Breakdown'!Q:Q)+SUMIF('Executive Pay Breakdown'!S:S,$B291,'Executive Pay Breakdown'!U:U)+SUMIF('Executive Pay Breakdown'!W:W,$B291,'Executive Pay Breakdown'!Y:Y)+SUMIF('Executive Pay Breakdown'!AA:AA,$B291,'Executive Pay Breakdown'!AC:AC)</f>
        <v>12781136</v>
      </c>
      <c r="J291" s="109"/>
      <c r="K291" s="69">
        <f>SUMIF('Executive Pay Breakdown'!K:K,$B291,'Executive Pay Breakdown'!M:M)</f>
        <v>0</v>
      </c>
      <c r="L291" s="69">
        <f>SUMIF('Executive Pay Breakdown'!O:O,$B291,'Executive Pay Breakdown'!Q:Q)</f>
        <v>12781136</v>
      </c>
      <c r="M291" s="69">
        <f>SUMIF('Executive Pay Breakdown'!S:S,$B291,'Executive Pay Breakdown'!U:U)</f>
        <v>0</v>
      </c>
      <c r="N291" s="69">
        <f>SUMIF('Executive Pay Breakdown'!W:W,$B291,'Executive Pay Breakdown'!Y:Y)</f>
        <v>0</v>
      </c>
      <c r="O291" s="69">
        <f>SUMIF('Executive Pay Breakdown'!AA:AA,$B291,'Executive Pay Breakdown'!AC:AC)</f>
        <v>0</v>
      </c>
    </row>
    <row r="292" hidden="1">
      <c r="A292" s="62"/>
      <c r="B292" s="87" t="s">
        <v>402</v>
      </c>
      <c r="C292" s="118" t="s">
        <v>73</v>
      </c>
      <c r="D292" s="118"/>
      <c r="E292" s="90"/>
      <c r="F292" s="88"/>
      <c r="G292" s="118"/>
      <c r="H292" s="120"/>
      <c r="I292" s="89">
        <f>SUMIF('Executive Pay Breakdown'!K:K,$B292,'Executive Pay Breakdown'!M:M)+SUMIF('Executive Pay Breakdown'!O:O,$B292,'Executive Pay Breakdown'!Q:Q)+SUMIF('Executive Pay Breakdown'!S:S,$B292,'Executive Pay Breakdown'!U:U)+SUMIF('Executive Pay Breakdown'!W:W,$B292,'Executive Pay Breakdown'!Y:Y)+SUMIF('Executive Pay Breakdown'!AA:AA,$B292,'Executive Pay Breakdown'!AC:AC)</f>
        <v>15284655</v>
      </c>
      <c r="J292" s="109"/>
      <c r="K292" s="69">
        <f>SUMIF('Executive Pay Breakdown'!K:K,$B292,'Executive Pay Breakdown'!M:M)</f>
        <v>0</v>
      </c>
      <c r="L292" s="69">
        <f>SUMIF('Executive Pay Breakdown'!O:O,$B292,'Executive Pay Breakdown'!Q:Q)</f>
        <v>4868664</v>
      </c>
      <c r="M292" s="69">
        <f>SUMIF('Executive Pay Breakdown'!S:S,$B292,'Executive Pay Breakdown'!U:U)</f>
        <v>3951552</v>
      </c>
      <c r="N292" s="69">
        <f>SUMIF('Executive Pay Breakdown'!W:W,$B292,'Executive Pay Breakdown'!Y:Y)</f>
        <v>3243840</v>
      </c>
      <c r="O292" s="69">
        <f>SUMIF('Executive Pay Breakdown'!AA:AA,$B292,'Executive Pay Breakdown'!AC:AC)</f>
        <v>3220599</v>
      </c>
    </row>
    <row r="293" hidden="1">
      <c r="A293" s="62"/>
      <c r="B293" s="86" t="s">
        <v>403</v>
      </c>
      <c r="C293" s="118" t="s">
        <v>67</v>
      </c>
      <c r="D293" s="118"/>
      <c r="E293" s="90"/>
      <c r="F293" s="88"/>
      <c r="G293" s="118"/>
      <c r="H293" s="120"/>
      <c r="I293" s="89">
        <f>SUMIF('Executive Pay Breakdown'!K:K,$B293,'Executive Pay Breakdown'!M:M)+SUMIF('Executive Pay Breakdown'!O:O,$B293,'Executive Pay Breakdown'!Q:Q)+SUMIF('Executive Pay Breakdown'!S:S,$B293,'Executive Pay Breakdown'!U:U)+SUMIF('Executive Pay Breakdown'!W:W,$B293,'Executive Pay Breakdown'!Y:Y)+SUMIF('Executive Pay Breakdown'!AA:AA,$B293,'Executive Pay Breakdown'!AC:AC)</f>
        <v>14973891</v>
      </c>
      <c r="J293" s="109"/>
      <c r="K293" s="69">
        <f>SUMIF('Executive Pay Breakdown'!K:K,$B293,'Executive Pay Breakdown'!M:M)</f>
        <v>0</v>
      </c>
      <c r="L293" s="69">
        <f>SUMIF('Executive Pay Breakdown'!O:O,$B293,'Executive Pay Breakdown'!Q:Q)</f>
        <v>0</v>
      </c>
      <c r="M293" s="69">
        <f>SUMIF('Executive Pay Breakdown'!S:S,$B293,'Executive Pay Breakdown'!U:U)</f>
        <v>4072322</v>
      </c>
      <c r="N293" s="69">
        <f>SUMIF('Executive Pay Breakdown'!W:W,$B293,'Executive Pay Breakdown'!Y:Y)</f>
        <v>5918455</v>
      </c>
      <c r="O293" s="69">
        <f>SUMIF('Executive Pay Breakdown'!AA:AA,$B293,'Executive Pay Breakdown'!AC:AC)</f>
        <v>4983114</v>
      </c>
    </row>
    <row r="294" hidden="1">
      <c r="A294" s="62"/>
      <c r="B294" s="86" t="s">
        <v>404</v>
      </c>
      <c r="C294" s="118" t="s">
        <v>32</v>
      </c>
      <c r="D294" s="122"/>
      <c r="E294" s="90"/>
      <c r="F294" s="88"/>
      <c r="G294" s="118"/>
      <c r="H294" s="120"/>
      <c r="I294" s="89">
        <f>SUMIF('Executive Pay Breakdown'!K:K,$B294,'Executive Pay Breakdown'!M:M)+SUMIF('Executive Pay Breakdown'!O:O,$B294,'Executive Pay Breakdown'!Q:Q)+SUMIF('Executive Pay Breakdown'!S:S,$B294,'Executive Pay Breakdown'!U:U)+SUMIF('Executive Pay Breakdown'!W:W,$B294,'Executive Pay Breakdown'!Y:Y)+SUMIF('Executive Pay Breakdown'!AA:AA,$B294,'Executive Pay Breakdown'!AC:AC)</f>
        <v>22890369</v>
      </c>
      <c r="J294" s="109"/>
      <c r="K294" s="69">
        <f>SUMIF('Executive Pay Breakdown'!K:K,$B294,'Executive Pay Breakdown'!M:M)</f>
        <v>7939492</v>
      </c>
      <c r="L294" s="69">
        <f>SUMIF('Executive Pay Breakdown'!O:O,$B294,'Executive Pay Breakdown'!Q:Q)</f>
        <v>8262408</v>
      </c>
      <c r="M294" s="69">
        <f>SUMIF('Executive Pay Breakdown'!S:S,$B294,'Executive Pay Breakdown'!U:U)</f>
        <v>6688469</v>
      </c>
      <c r="N294" s="69">
        <f>SUMIF('Executive Pay Breakdown'!W:W,$B294,'Executive Pay Breakdown'!Y:Y)</f>
        <v>0</v>
      </c>
      <c r="O294" s="69">
        <f>SUMIF('Executive Pay Breakdown'!AA:AA,$B294,'Executive Pay Breakdown'!AC:AC)</f>
        <v>0</v>
      </c>
    </row>
    <row r="295" hidden="1">
      <c r="A295" s="71"/>
      <c r="B295" s="124" t="s">
        <v>405</v>
      </c>
      <c r="C295" s="118" t="s">
        <v>58</v>
      </c>
      <c r="D295" s="118"/>
      <c r="E295" s="90"/>
      <c r="F295" s="88"/>
      <c r="G295" s="118"/>
      <c r="H295" s="120"/>
      <c r="I295" s="89">
        <f>SUMIF('Executive Pay Breakdown'!K:K,$B295,'Executive Pay Breakdown'!M:M)+SUMIF('Executive Pay Breakdown'!O:O,$B295,'Executive Pay Breakdown'!Q:Q)+SUMIF('Executive Pay Breakdown'!S:S,$B295,'Executive Pay Breakdown'!U:U)+SUMIF('Executive Pay Breakdown'!W:W,$B295,'Executive Pay Breakdown'!Y:Y)+SUMIF('Executive Pay Breakdown'!AA:AA,$B295,'Executive Pay Breakdown'!AC:AC)</f>
        <v>23402568</v>
      </c>
      <c r="J295" s="109"/>
      <c r="K295" s="69">
        <f>SUMIF('Executive Pay Breakdown'!K:K,$B295,'Executive Pay Breakdown'!M:M)</f>
        <v>0</v>
      </c>
      <c r="L295" s="69">
        <f>SUMIF('Executive Pay Breakdown'!O:O,$B295,'Executive Pay Breakdown'!Q:Q)</f>
        <v>6891943</v>
      </c>
      <c r="M295" s="69">
        <f>SUMIF('Executive Pay Breakdown'!S:S,$B295,'Executive Pay Breakdown'!U:U)</f>
        <v>5467201</v>
      </c>
      <c r="N295" s="69">
        <f>SUMIF('Executive Pay Breakdown'!W:W,$B295,'Executive Pay Breakdown'!Y:Y)</f>
        <v>5728687</v>
      </c>
      <c r="O295" s="69">
        <f>SUMIF('Executive Pay Breakdown'!AA:AA,$B295,'Executive Pay Breakdown'!AC:AC)</f>
        <v>5314737</v>
      </c>
    </row>
    <row r="296" hidden="1">
      <c r="A296" s="62"/>
      <c r="B296" s="86" t="s">
        <v>406</v>
      </c>
      <c r="C296" s="117" t="s">
        <v>71</v>
      </c>
      <c r="D296" s="118"/>
      <c r="E296" s="90"/>
      <c r="F296" s="88"/>
      <c r="G296" s="118"/>
      <c r="H296" s="120"/>
      <c r="I296" s="89">
        <f>SUMIF('Executive Pay Breakdown'!K:K,$B296,'Executive Pay Breakdown'!M:M)+SUMIF('Executive Pay Breakdown'!O:O,$B296,'Executive Pay Breakdown'!Q:Q)+SUMIF('Executive Pay Breakdown'!S:S,$B296,'Executive Pay Breakdown'!U:U)+SUMIF('Executive Pay Breakdown'!W:W,$B296,'Executive Pay Breakdown'!Y:Y)+SUMIF('Executive Pay Breakdown'!AA:AA,$B296,'Executive Pay Breakdown'!AC:AC)</f>
        <v>9897785</v>
      </c>
      <c r="J296" s="109"/>
      <c r="K296" s="69">
        <f>SUMIF('Executive Pay Breakdown'!K:K,$B296,'Executive Pay Breakdown'!M:M)</f>
        <v>3686659</v>
      </c>
      <c r="L296" s="69">
        <f>SUMIF('Executive Pay Breakdown'!O:O,$B296,'Executive Pay Breakdown'!Q:Q)</f>
        <v>3589911</v>
      </c>
      <c r="M296" s="69">
        <f>SUMIF('Executive Pay Breakdown'!S:S,$B296,'Executive Pay Breakdown'!U:U)</f>
        <v>2621215</v>
      </c>
      <c r="N296" s="69">
        <f>SUMIF('Executive Pay Breakdown'!W:W,$B296,'Executive Pay Breakdown'!Y:Y)</f>
        <v>0</v>
      </c>
      <c r="O296" s="69">
        <f>SUMIF('Executive Pay Breakdown'!AA:AA,$B296,'Executive Pay Breakdown'!AC:AC)</f>
        <v>0</v>
      </c>
    </row>
    <row r="297" hidden="1">
      <c r="A297" s="62"/>
      <c r="B297" s="127" t="s">
        <v>407</v>
      </c>
      <c r="C297" s="118" t="s">
        <v>18</v>
      </c>
      <c r="D297" s="118"/>
      <c r="E297" s="90"/>
      <c r="F297" s="88"/>
      <c r="G297" s="118"/>
      <c r="H297" s="120"/>
      <c r="I297" s="89">
        <f>SUMIF('Executive Pay Breakdown'!K:K,$B297,'Executive Pay Breakdown'!M:M)+SUMIF('Executive Pay Breakdown'!O:O,$B297,'Executive Pay Breakdown'!Q:Q)+SUMIF('Executive Pay Breakdown'!S:S,$B297,'Executive Pay Breakdown'!U:U)+SUMIF('Executive Pay Breakdown'!W:W,$B297,'Executive Pay Breakdown'!Y:Y)+SUMIF('Executive Pay Breakdown'!AA:AA,$B297,'Executive Pay Breakdown'!AC:AC)</f>
        <v>14155140</v>
      </c>
      <c r="J297" s="109"/>
      <c r="K297" s="69">
        <f>SUMIF('Executive Pay Breakdown'!K:K,$B297,'Executive Pay Breakdown'!M:M)</f>
        <v>0</v>
      </c>
      <c r="L297" s="69">
        <f>SUMIF('Executive Pay Breakdown'!O:O,$B297,'Executive Pay Breakdown'!Q:Q)</f>
        <v>0</v>
      </c>
      <c r="M297" s="69">
        <f>SUMIF('Executive Pay Breakdown'!S:S,$B297,'Executive Pay Breakdown'!U:U)</f>
        <v>5414165</v>
      </c>
      <c r="N297" s="69">
        <f>SUMIF('Executive Pay Breakdown'!W:W,$B297,'Executive Pay Breakdown'!Y:Y)</f>
        <v>6176552</v>
      </c>
      <c r="O297" s="69">
        <f>SUMIF('Executive Pay Breakdown'!AA:AA,$B297,'Executive Pay Breakdown'!AC:AC)</f>
        <v>2564423</v>
      </c>
    </row>
    <row r="298" hidden="1">
      <c r="A298" s="62"/>
      <c r="B298" s="86" t="s">
        <v>408</v>
      </c>
      <c r="C298" s="118" t="s">
        <v>39</v>
      </c>
      <c r="D298" s="118"/>
      <c r="E298" s="90"/>
      <c r="F298" s="88"/>
      <c r="G298" s="118"/>
      <c r="H298" s="120"/>
      <c r="I298" s="89">
        <f>SUMIF('Executive Pay Breakdown'!K:K,$B298,'Executive Pay Breakdown'!M:M)+SUMIF('Executive Pay Breakdown'!O:O,$B298,'Executive Pay Breakdown'!Q:Q)+SUMIF('Executive Pay Breakdown'!S:S,$B298,'Executive Pay Breakdown'!U:U)+SUMIF('Executive Pay Breakdown'!W:W,$B298,'Executive Pay Breakdown'!Y:Y)+SUMIF('Executive Pay Breakdown'!AA:AA,$B298,'Executive Pay Breakdown'!AC:AC)</f>
        <v>21680538</v>
      </c>
      <c r="J298" s="109"/>
      <c r="K298" s="69">
        <f>SUMIF('Executive Pay Breakdown'!K:K,$B298,'Executive Pay Breakdown'!M:M)</f>
        <v>0</v>
      </c>
      <c r="L298" s="69">
        <f>SUMIF('Executive Pay Breakdown'!O:O,$B298,'Executive Pay Breakdown'!Q:Q)</f>
        <v>43763</v>
      </c>
      <c r="M298" s="69">
        <f>SUMIF('Executive Pay Breakdown'!S:S,$B298,'Executive Pay Breakdown'!U:U)</f>
        <v>8999456</v>
      </c>
      <c r="N298" s="69">
        <f>SUMIF('Executive Pay Breakdown'!W:W,$B298,'Executive Pay Breakdown'!Y:Y)</f>
        <v>5793975</v>
      </c>
      <c r="O298" s="69">
        <f>SUMIF('Executive Pay Breakdown'!AA:AA,$B298,'Executive Pay Breakdown'!AC:AC)</f>
        <v>6843344</v>
      </c>
    </row>
    <row r="299" hidden="1">
      <c r="A299" s="62"/>
      <c r="B299" s="86" t="s">
        <v>409</v>
      </c>
      <c r="C299" s="118" t="s">
        <v>32</v>
      </c>
      <c r="D299" s="118"/>
      <c r="E299" s="90"/>
      <c r="F299" s="88"/>
      <c r="G299" s="118"/>
      <c r="H299" s="120"/>
      <c r="I299" s="89">
        <f>SUMIF('Executive Pay Breakdown'!K:K,$B299,'Executive Pay Breakdown'!M:M)+SUMIF('Executive Pay Breakdown'!O:O,$B299,'Executive Pay Breakdown'!Q:Q)+SUMIF('Executive Pay Breakdown'!S:S,$B299,'Executive Pay Breakdown'!U:U)+SUMIF('Executive Pay Breakdown'!W:W,$B299,'Executive Pay Breakdown'!Y:Y)+SUMIF('Executive Pay Breakdown'!AA:AA,$B299,'Executive Pay Breakdown'!AC:AC)</f>
        <v>21865148</v>
      </c>
      <c r="J299" s="109"/>
      <c r="K299" s="69">
        <f>SUMIF('Executive Pay Breakdown'!K:K,$B299,'Executive Pay Breakdown'!M:M)</f>
        <v>0</v>
      </c>
      <c r="L299" s="69">
        <f>SUMIF('Executive Pay Breakdown'!O:O,$B299,'Executive Pay Breakdown'!Q:Q)</f>
        <v>0</v>
      </c>
      <c r="M299" s="69">
        <f>SUMIF('Executive Pay Breakdown'!S:S,$B299,'Executive Pay Breakdown'!U:U)</f>
        <v>0</v>
      </c>
      <c r="N299" s="69">
        <f>SUMIF('Executive Pay Breakdown'!W:W,$B299,'Executive Pay Breakdown'!Y:Y)</f>
        <v>12763588</v>
      </c>
      <c r="O299" s="69">
        <f>SUMIF('Executive Pay Breakdown'!AA:AA,$B299,'Executive Pay Breakdown'!AC:AC)</f>
        <v>9101560</v>
      </c>
    </row>
    <row r="300" hidden="1">
      <c r="A300" s="81"/>
      <c r="B300" s="137" t="s">
        <v>410</v>
      </c>
      <c r="C300" s="118" t="str">
        <f t="array" ref="C300">INDEX('Executive Pay Breakdown'!B:B,MATCH(B300,'Executive Pay Breakdown'!K:K,0))</f>
        <v>PPG Industries</v>
      </c>
      <c r="D300" s="122"/>
      <c r="E300" s="90"/>
      <c r="F300" s="88"/>
      <c r="G300" s="118"/>
      <c r="H300" s="120"/>
      <c r="I300" s="89">
        <f>SUMIF('Executive Pay Breakdown'!K:K,$B300,'Executive Pay Breakdown'!M:M)+SUMIF('Executive Pay Breakdown'!O:O,$B300,'Executive Pay Breakdown'!Q:Q)+SUMIF('Executive Pay Breakdown'!S:S,$B300,'Executive Pay Breakdown'!U:U)+SUMIF('Executive Pay Breakdown'!W:W,$B300,'Executive Pay Breakdown'!Y:Y)+SUMIF('Executive Pay Breakdown'!AA:AA,$B300,'Executive Pay Breakdown'!AC:AC)</f>
        <v>6177906</v>
      </c>
      <c r="J300" s="109"/>
      <c r="K300" s="69">
        <f>SUMIF('Executive Pay Breakdown'!K:K,$B300,'Executive Pay Breakdown'!M:M)</f>
        <v>1246533</v>
      </c>
      <c r="L300" s="69">
        <f>SUMIF('Executive Pay Breakdown'!O:O,$B300,'Executive Pay Breakdown'!Q:Q)</f>
        <v>2189053</v>
      </c>
      <c r="M300" s="69">
        <f>SUMIF('Executive Pay Breakdown'!S:S,$B300,'Executive Pay Breakdown'!U:U)</f>
        <v>2742320</v>
      </c>
      <c r="N300" s="69">
        <f>SUMIF('Executive Pay Breakdown'!W:W,$B300,'Executive Pay Breakdown'!Y:Y)</f>
        <v>0</v>
      </c>
      <c r="O300" s="69">
        <f>SUMIF('Executive Pay Breakdown'!AA:AA,$B300,'Executive Pay Breakdown'!AC:AC)</f>
        <v>0</v>
      </c>
    </row>
    <row r="301" hidden="1">
      <c r="A301" s="81"/>
      <c r="B301" s="136" t="s">
        <v>411</v>
      </c>
      <c r="C301" s="118" t="s">
        <v>24</v>
      </c>
      <c r="D301" s="118"/>
      <c r="E301" s="90"/>
      <c r="F301" s="88"/>
      <c r="G301" s="118"/>
      <c r="H301" s="120"/>
      <c r="I301" s="89">
        <f>SUMIF('Executive Pay Breakdown'!K:K,$B301,'Executive Pay Breakdown'!M:M)+SUMIF('Executive Pay Breakdown'!O:O,$B301,'Executive Pay Breakdown'!Q:Q)+SUMIF('Executive Pay Breakdown'!S:S,$B301,'Executive Pay Breakdown'!U:U)+SUMIF('Executive Pay Breakdown'!W:W,$B301,'Executive Pay Breakdown'!Y:Y)+SUMIF('Executive Pay Breakdown'!AA:AA,$B301,'Executive Pay Breakdown'!AC:AC)</f>
        <v>11780405</v>
      </c>
      <c r="J301" s="109"/>
      <c r="K301" s="69">
        <f>SUMIF('Executive Pay Breakdown'!K:K,$B301,'Executive Pay Breakdown'!M:M)</f>
        <v>0</v>
      </c>
      <c r="L301" s="69">
        <f>SUMIF('Executive Pay Breakdown'!O:O,$B301,'Executive Pay Breakdown'!Q:Q)</f>
        <v>0</v>
      </c>
      <c r="M301" s="69">
        <f>SUMIF('Executive Pay Breakdown'!S:S,$B301,'Executive Pay Breakdown'!U:U)</f>
        <v>11780405</v>
      </c>
      <c r="N301" s="69">
        <f>SUMIF('Executive Pay Breakdown'!W:W,$B301,'Executive Pay Breakdown'!Y:Y)</f>
        <v>0</v>
      </c>
      <c r="O301" s="69">
        <f>SUMIF('Executive Pay Breakdown'!AA:AA,$B301,'Executive Pay Breakdown'!AC:AC)</f>
        <v>0</v>
      </c>
    </row>
    <row r="302" hidden="1">
      <c r="A302" s="62"/>
      <c r="B302" s="127" t="s">
        <v>412</v>
      </c>
      <c r="C302" s="118" t="s">
        <v>30</v>
      </c>
      <c r="D302" s="118"/>
      <c r="E302" s="90"/>
      <c r="F302" s="88"/>
      <c r="G302" s="118"/>
      <c r="H302" s="120"/>
      <c r="I302" s="89">
        <f>SUMIF('Executive Pay Breakdown'!K:K,$B302,'Executive Pay Breakdown'!M:M)+SUMIF('Executive Pay Breakdown'!O:O,$B302,'Executive Pay Breakdown'!Q:Q)+SUMIF('Executive Pay Breakdown'!S:S,$B302,'Executive Pay Breakdown'!U:U)+SUMIF('Executive Pay Breakdown'!W:W,$B302,'Executive Pay Breakdown'!Y:Y)+SUMIF('Executive Pay Breakdown'!AA:AA,$B302,'Executive Pay Breakdown'!AC:AC)</f>
        <v>17624088</v>
      </c>
      <c r="J302" s="109"/>
      <c r="K302" s="69">
        <f>SUMIF('Executive Pay Breakdown'!K:K,$B302,'Executive Pay Breakdown'!M:M)</f>
        <v>0</v>
      </c>
      <c r="L302" s="69">
        <f>SUMIF('Executive Pay Breakdown'!O:O,$B302,'Executive Pay Breakdown'!Q:Q)</f>
        <v>4809501</v>
      </c>
      <c r="M302" s="69">
        <f>SUMIF('Executive Pay Breakdown'!S:S,$B302,'Executive Pay Breakdown'!U:U)</f>
        <v>5050659</v>
      </c>
      <c r="N302" s="69">
        <f>SUMIF('Executive Pay Breakdown'!W:W,$B302,'Executive Pay Breakdown'!Y:Y)</f>
        <v>4347440</v>
      </c>
      <c r="O302" s="69">
        <f>SUMIF('Executive Pay Breakdown'!AA:AA,$B302,'Executive Pay Breakdown'!AC:AC)</f>
        <v>3416488</v>
      </c>
    </row>
    <row r="303" hidden="1">
      <c r="A303" s="62"/>
      <c r="B303" s="127" t="s">
        <v>413</v>
      </c>
      <c r="C303" s="118" t="s">
        <v>64</v>
      </c>
      <c r="D303" s="118"/>
      <c r="E303" s="90"/>
      <c r="F303" s="88"/>
      <c r="G303" s="118"/>
      <c r="H303" s="120"/>
      <c r="I303" s="89">
        <f>SUMIF('Executive Pay Breakdown'!K:K,$B303,'Executive Pay Breakdown'!M:M)+SUMIF('Executive Pay Breakdown'!O:O,$B303,'Executive Pay Breakdown'!Q:Q)+SUMIF('Executive Pay Breakdown'!S:S,$B303,'Executive Pay Breakdown'!U:U)+SUMIF('Executive Pay Breakdown'!W:W,$B303,'Executive Pay Breakdown'!Y:Y)+SUMIF('Executive Pay Breakdown'!AA:AA,$B303,'Executive Pay Breakdown'!AC:AC)</f>
        <v>26328778</v>
      </c>
      <c r="J303" s="109"/>
      <c r="K303" s="69">
        <f>SUMIF('Executive Pay Breakdown'!K:K,$B303,'Executive Pay Breakdown'!M:M)</f>
        <v>0</v>
      </c>
      <c r="L303" s="69">
        <f>SUMIF('Executive Pay Breakdown'!O:O,$B303,'Executive Pay Breakdown'!Q:Q)</f>
        <v>0</v>
      </c>
      <c r="M303" s="69">
        <f>SUMIF('Executive Pay Breakdown'!S:S,$B303,'Executive Pay Breakdown'!U:U)</f>
        <v>9366284</v>
      </c>
      <c r="N303" s="69">
        <f>SUMIF('Executive Pay Breakdown'!W:W,$B303,'Executive Pay Breakdown'!Y:Y)</f>
        <v>8946840</v>
      </c>
      <c r="O303" s="69">
        <f>SUMIF('Executive Pay Breakdown'!AA:AA,$B303,'Executive Pay Breakdown'!AC:AC)</f>
        <v>8015654</v>
      </c>
    </row>
    <row r="304" hidden="1">
      <c r="A304" s="62"/>
      <c r="B304" s="86" t="s">
        <v>414</v>
      </c>
      <c r="C304" s="117" t="s">
        <v>71</v>
      </c>
      <c r="D304" s="118"/>
      <c r="E304" s="90"/>
      <c r="F304" s="88"/>
      <c r="G304" s="118"/>
      <c r="H304" s="120"/>
      <c r="I304" s="89">
        <f>SUMIF('Executive Pay Breakdown'!K:K,$B304,'Executive Pay Breakdown'!M:M)+SUMIF('Executive Pay Breakdown'!O:O,$B304,'Executive Pay Breakdown'!Q:Q)+SUMIF('Executive Pay Breakdown'!S:S,$B304,'Executive Pay Breakdown'!U:U)+SUMIF('Executive Pay Breakdown'!W:W,$B304,'Executive Pay Breakdown'!Y:Y)+SUMIF('Executive Pay Breakdown'!AA:AA,$B304,'Executive Pay Breakdown'!AC:AC)</f>
        <v>9235832</v>
      </c>
      <c r="J304" s="109"/>
      <c r="K304" s="69">
        <f>SUMIF('Executive Pay Breakdown'!K:K,$B304,'Executive Pay Breakdown'!M:M)</f>
        <v>2799861</v>
      </c>
      <c r="L304" s="69">
        <f>SUMIF('Executive Pay Breakdown'!O:O,$B304,'Executive Pay Breakdown'!Q:Q)</f>
        <v>2575973</v>
      </c>
      <c r="M304" s="69">
        <f>SUMIF('Executive Pay Breakdown'!S:S,$B304,'Executive Pay Breakdown'!U:U)</f>
        <v>2055217</v>
      </c>
      <c r="N304" s="69">
        <f>SUMIF('Executive Pay Breakdown'!W:W,$B304,'Executive Pay Breakdown'!Y:Y)</f>
        <v>1804781</v>
      </c>
      <c r="O304" s="69">
        <f>SUMIF('Executive Pay Breakdown'!AA:AA,$B304,'Executive Pay Breakdown'!AC:AC)</f>
        <v>0</v>
      </c>
    </row>
    <row r="305" hidden="1">
      <c r="A305" s="71"/>
      <c r="B305" s="124" t="s">
        <v>415</v>
      </c>
      <c r="C305" s="118" t="s">
        <v>54</v>
      </c>
      <c r="D305" s="122"/>
      <c r="E305" s="90"/>
      <c r="F305" s="88"/>
      <c r="G305" s="88"/>
      <c r="H305" s="120"/>
      <c r="I305" s="89">
        <f>SUMIF('Executive Pay Breakdown'!K:K,$B305,'Executive Pay Breakdown'!M:M)+SUMIF('Executive Pay Breakdown'!O:O,$B305,'Executive Pay Breakdown'!Q:Q)+SUMIF('Executive Pay Breakdown'!S:S,$B305,'Executive Pay Breakdown'!U:U)+SUMIF('Executive Pay Breakdown'!W:W,$B305,'Executive Pay Breakdown'!Y:Y)+SUMIF('Executive Pay Breakdown'!AA:AA,$B305,'Executive Pay Breakdown'!AC:AC)</f>
        <v>8636321</v>
      </c>
      <c r="J305" s="109"/>
      <c r="K305" s="69">
        <f>SUMIF('Executive Pay Breakdown'!K:K,$B305,'Executive Pay Breakdown'!M:M)</f>
        <v>5032835</v>
      </c>
      <c r="L305" s="69">
        <f>SUMIF('Executive Pay Breakdown'!O:O,$B305,'Executive Pay Breakdown'!Q:Q)</f>
        <v>3603486</v>
      </c>
      <c r="M305" s="69">
        <f>SUMIF('Executive Pay Breakdown'!S:S,$B305,'Executive Pay Breakdown'!U:U)</f>
        <v>0</v>
      </c>
      <c r="N305" s="69">
        <f>SUMIF('Executive Pay Breakdown'!W:W,$B305,'Executive Pay Breakdown'!Y:Y)</f>
        <v>0</v>
      </c>
      <c r="O305" s="69">
        <f>SUMIF('Executive Pay Breakdown'!AA:AA,$B305,'Executive Pay Breakdown'!AC:AC)</f>
        <v>0</v>
      </c>
    </row>
    <row r="306" hidden="1">
      <c r="A306" s="62"/>
      <c r="B306" s="86" t="s">
        <v>416</v>
      </c>
      <c r="C306" s="117" t="s">
        <v>63</v>
      </c>
      <c r="D306" s="118"/>
      <c r="E306" s="90"/>
      <c r="F306" s="88"/>
      <c r="G306" s="118"/>
      <c r="H306" s="120"/>
      <c r="I306" s="89">
        <f>SUMIF('Executive Pay Breakdown'!K:K,$B306,'Executive Pay Breakdown'!M:M)+SUMIF('Executive Pay Breakdown'!O:O,$B306,'Executive Pay Breakdown'!Q:Q)+SUMIF('Executive Pay Breakdown'!S:S,$B306,'Executive Pay Breakdown'!U:U)+SUMIF('Executive Pay Breakdown'!W:W,$B306,'Executive Pay Breakdown'!Y:Y)+SUMIF('Executive Pay Breakdown'!AA:AA,$B306,'Executive Pay Breakdown'!AC:AC)</f>
        <v>13642769</v>
      </c>
      <c r="J306" s="109"/>
      <c r="K306" s="69">
        <f>SUMIF('Executive Pay Breakdown'!K:K,$B306,'Executive Pay Breakdown'!M:M)</f>
        <v>0</v>
      </c>
      <c r="L306" s="69">
        <f>SUMIF('Executive Pay Breakdown'!O:O,$B306,'Executive Pay Breakdown'!Q:Q)</f>
        <v>6517451</v>
      </c>
      <c r="M306" s="69">
        <f>SUMIF('Executive Pay Breakdown'!S:S,$B306,'Executive Pay Breakdown'!U:U)</f>
        <v>2448472</v>
      </c>
      <c r="N306" s="69">
        <f>SUMIF('Executive Pay Breakdown'!W:W,$B306,'Executive Pay Breakdown'!Y:Y)</f>
        <v>2452976</v>
      </c>
      <c r="O306" s="69">
        <f>SUMIF('Executive Pay Breakdown'!AA:AA,$B306,'Executive Pay Breakdown'!AC:AC)</f>
        <v>2223870</v>
      </c>
    </row>
    <row r="307" hidden="1">
      <c r="A307" s="62"/>
      <c r="B307" s="127" t="s">
        <v>417</v>
      </c>
      <c r="C307" s="118" t="s">
        <v>20</v>
      </c>
      <c r="D307" s="118"/>
      <c r="E307" s="90"/>
      <c r="F307" s="88"/>
      <c r="G307" s="118"/>
      <c r="H307" s="120"/>
      <c r="I307" s="89">
        <f>SUMIF('Executive Pay Breakdown'!K:K,$B307,'Executive Pay Breakdown'!M:M)+SUMIF('Executive Pay Breakdown'!O:O,$B307,'Executive Pay Breakdown'!Q:Q)+SUMIF('Executive Pay Breakdown'!S:S,$B307,'Executive Pay Breakdown'!U:U)+SUMIF('Executive Pay Breakdown'!W:W,$B307,'Executive Pay Breakdown'!Y:Y)+SUMIF('Executive Pay Breakdown'!AA:AA,$B307,'Executive Pay Breakdown'!AC:AC)</f>
        <v>18563889</v>
      </c>
      <c r="J307" s="109"/>
      <c r="K307" s="69">
        <f>SUMIF('Executive Pay Breakdown'!K:K,$B307,'Executive Pay Breakdown'!M:M)</f>
        <v>0</v>
      </c>
      <c r="L307" s="69">
        <f>SUMIF('Executive Pay Breakdown'!O:O,$B307,'Executive Pay Breakdown'!Q:Q)</f>
        <v>3818454</v>
      </c>
      <c r="M307" s="69">
        <f>SUMIF('Executive Pay Breakdown'!S:S,$B307,'Executive Pay Breakdown'!U:U)</f>
        <v>4566727</v>
      </c>
      <c r="N307" s="69">
        <f>SUMIF('Executive Pay Breakdown'!W:W,$B307,'Executive Pay Breakdown'!Y:Y)</f>
        <v>6511418</v>
      </c>
      <c r="O307" s="69">
        <f>SUMIF('Executive Pay Breakdown'!AA:AA,$B307,'Executive Pay Breakdown'!AC:AC)</f>
        <v>3667290</v>
      </c>
    </row>
    <row r="308" hidden="1">
      <c r="A308" s="62"/>
      <c r="B308" s="127" t="s">
        <v>418</v>
      </c>
      <c r="C308" s="118" t="s">
        <v>53</v>
      </c>
      <c r="D308" s="118"/>
      <c r="E308" s="90"/>
      <c r="F308" s="88"/>
      <c r="G308" s="118"/>
      <c r="H308" s="120"/>
      <c r="I308" s="89">
        <f>SUMIF('Executive Pay Breakdown'!K:K,$B308,'Executive Pay Breakdown'!M:M)+SUMIF('Executive Pay Breakdown'!O:O,$B308,'Executive Pay Breakdown'!Q:Q)+SUMIF('Executive Pay Breakdown'!S:S,$B308,'Executive Pay Breakdown'!U:U)+SUMIF('Executive Pay Breakdown'!W:W,$B308,'Executive Pay Breakdown'!Y:Y)+SUMIF('Executive Pay Breakdown'!AA:AA,$B308,'Executive Pay Breakdown'!AC:AC)</f>
        <v>20500399</v>
      </c>
      <c r="J308" s="109"/>
      <c r="K308" s="69">
        <f>SUMIF('Executive Pay Breakdown'!K:K,$B308,'Executive Pay Breakdown'!M:M)</f>
        <v>0</v>
      </c>
      <c r="L308" s="69">
        <f>SUMIF('Executive Pay Breakdown'!O:O,$B308,'Executive Pay Breakdown'!Q:Q)</f>
        <v>5130318</v>
      </c>
      <c r="M308" s="69">
        <f>SUMIF('Executive Pay Breakdown'!S:S,$B308,'Executive Pay Breakdown'!U:U)</f>
        <v>5498593</v>
      </c>
      <c r="N308" s="69">
        <f>SUMIF('Executive Pay Breakdown'!W:W,$B308,'Executive Pay Breakdown'!Y:Y)</f>
        <v>5483764</v>
      </c>
      <c r="O308" s="69">
        <f>SUMIF('Executive Pay Breakdown'!AA:AA,$B308,'Executive Pay Breakdown'!AC:AC)</f>
        <v>4387724</v>
      </c>
    </row>
    <row r="309" hidden="1">
      <c r="A309" s="62"/>
      <c r="B309" s="86" t="s">
        <v>419</v>
      </c>
      <c r="C309" s="117" t="s">
        <v>63</v>
      </c>
      <c r="D309" s="118"/>
      <c r="E309" s="90"/>
      <c r="F309" s="88"/>
      <c r="G309" s="118"/>
      <c r="H309" s="120"/>
      <c r="I309" s="89">
        <f>SUMIF('Executive Pay Breakdown'!K:K,$B309,'Executive Pay Breakdown'!M:M)+SUMIF('Executive Pay Breakdown'!O:O,$B309,'Executive Pay Breakdown'!Q:Q)+SUMIF('Executive Pay Breakdown'!S:S,$B309,'Executive Pay Breakdown'!U:U)+SUMIF('Executive Pay Breakdown'!W:W,$B309,'Executive Pay Breakdown'!Y:Y)+SUMIF('Executive Pay Breakdown'!AA:AA,$B309,'Executive Pay Breakdown'!AC:AC)</f>
        <v>13562733</v>
      </c>
      <c r="J309" s="109"/>
      <c r="K309" s="69">
        <f>SUMIF('Executive Pay Breakdown'!K:K,$B309,'Executive Pay Breakdown'!M:M)</f>
        <v>0</v>
      </c>
      <c r="L309" s="69">
        <f>SUMIF('Executive Pay Breakdown'!O:O,$B309,'Executive Pay Breakdown'!Q:Q)</f>
        <v>6497117</v>
      </c>
      <c r="M309" s="69">
        <f>SUMIF('Executive Pay Breakdown'!S:S,$B309,'Executive Pay Breakdown'!U:U)</f>
        <v>2430318</v>
      </c>
      <c r="N309" s="69">
        <f>SUMIF('Executive Pay Breakdown'!W:W,$B309,'Executive Pay Breakdown'!Y:Y)</f>
        <v>2433242</v>
      </c>
      <c r="O309" s="69">
        <f>SUMIF('Executive Pay Breakdown'!AA:AA,$B309,'Executive Pay Breakdown'!AC:AC)</f>
        <v>2202056</v>
      </c>
    </row>
    <row r="310" hidden="1">
      <c r="A310" s="81"/>
      <c r="B310" s="133" t="s">
        <v>420</v>
      </c>
      <c r="C310" s="118" t="s">
        <v>50</v>
      </c>
      <c r="D310" s="118"/>
      <c r="E310" s="90"/>
      <c r="F310" s="88"/>
      <c r="G310" s="118"/>
      <c r="H310" s="120"/>
      <c r="I310" s="89">
        <f>SUMIF('Executive Pay Breakdown'!K:K,$B310,'Executive Pay Breakdown'!M:M)+SUMIF('Executive Pay Breakdown'!O:O,$B310,'Executive Pay Breakdown'!Q:Q)+SUMIF('Executive Pay Breakdown'!S:S,$B310,'Executive Pay Breakdown'!U:U)+SUMIF('Executive Pay Breakdown'!W:W,$B310,'Executive Pay Breakdown'!Y:Y)+SUMIF('Executive Pay Breakdown'!AA:AA,$B310,'Executive Pay Breakdown'!AC:AC)</f>
        <v>13312383</v>
      </c>
      <c r="J310" s="109"/>
      <c r="K310" s="69">
        <f>SUMIF('Executive Pay Breakdown'!K:K,$B310,'Executive Pay Breakdown'!M:M)</f>
        <v>0</v>
      </c>
      <c r="L310" s="69">
        <f>SUMIF('Executive Pay Breakdown'!O:O,$B310,'Executive Pay Breakdown'!Q:Q)</f>
        <v>0</v>
      </c>
      <c r="M310" s="69">
        <f>SUMIF('Executive Pay Breakdown'!S:S,$B310,'Executive Pay Breakdown'!U:U)</f>
        <v>8166099</v>
      </c>
      <c r="N310" s="69">
        <f>SUMIF('Executive Pay Breakdown'!W:W,$B310,'Executive Pay Breakdown'!Y:Y)</f>
        <v>5146284</v>
      </c>
      <c r="O310" s="69">
        <f>SUMIF('Executive Pay Breakdown'!AA:AA,$B310,'Executive Pay Breakdown'!AC:AC)</f>
        <v>0</v>
      </c>
    </row>
    <row r="311" hidden="1">
      <c r="A311" s="62"/>
      <c r="B311" s="86" t="s">
        <v>421</v>
      </c>
      <c r="C311" s="117" t="s">
        <v>62</v>
      </c>
      <c r="D311" s="118"/>
      <c r="E311" s="90"/>
      <c r="F311" s="88"/>
      <c r="G311" s="118"/>
      <c r="H311" s="120"/>
      <c r="I311" s="89">
        <f>SUMIF('Executive Pay Breakdown'!K:K,$B311,'Executive Pay Breakdown'!M:M)+SUMIF('Executive Pay Breakdown'!O:O,$B311,'Executive Pay Breakdown'!Q:Q)+SUMIF('Executive Pay Breakdown'!S:S,$B311,'Executive Pay Breakdown'!U:U)+SUMIF('Executive Pay Breakdown'!W:W,$B311,'Executive Pay Breakdown'!Y:Y)+SUMIF('Executive Pay Breakdown'!AA:AA,$B311,'Executive Pay Breakdown'!AC:AC)</f>
        <v>10744214</v>
      </c>
      <c r="J311" s="109"/>
      <c r="K311" s="69">
        <f>SUMIF('Executive Pay Breakdown'!K:K,$B311,'Executive Pay Breakdown'!M:M)</f>
        <v>0</v>
      </c>
      <c r="L311" s="69">
        <f>SUMIF('Executive Pay Breakdown'!O:O,$B311,'Executive Pay Breakdown'!Q:Q)</f>
        <v>0</v>
      </c>
      <c r="M311" s="69">
        <f>SUMIF('Executive Pay Breakdown'!S:S,$B311,'Executive Pay Breakdown'!U:U)</f>
        <v>0</v>
      </c>
      <c r="N311" s="69">
        <f>SUMIF('Executive Pay Breakdown'!W:W,$B311,'Executive Pay Breakdown'!Y:Y)</f>
        <v>0</v>
      </c>
      <c r="O311" s="69">
        <f>SUMIF('Executive Pay Breakdown'!AA:AA,$B311,'Executive Pay Breakdown'!AC:AC)</f>
        <v>10744214</v>
      </c>
    </row>
    <row r="312" hidden="1">
      <c r="A312" s="62"/>
      <c r="B312" s="86" t="s">
        <v>422</v>
      </c>
      <c r="C312" s="117" t="s">
        <v>63</v>
      </c>
      <c r="D312" s="118"/>
      <c r="E312" s="90"/>
      <c r="F312" s="88"/>
      <c r="G312" s="118"/>
      <c r="H312" s="120"/>
      <c r="I312" s="89">
        <f>SUMIF('Executive Pay Breakdown'!K:K,$B312,'Executive Pay Breakdown'!M:M)+SUMIF('Executive Pay Breakdown'!O:O,$B312,'Executive Pay Breakdown'!Q:Q)+SUMIF('Executive Pay Breakdown'!S:S,$B312,'Executive Pay Breakdown'!U:U)+SUMIF('Executive Pay Breakdown'!W:W,$B312,'Executive Pay Breakdown'!Y:Y)+SUMIF('Executive Pay Breakdown'!AA:AA,$B312,'Executive Pay Breakdown'!AC:AC)</f>
        <v>12918247</v>
      </c>
      <c r="J312" s="109"/>
      <c r="K312" s="69">
        <f>SUMIF('Executive Pay Breakdown'!K:K,$B312,'Executive Pay Breakdown'!M:M)</f>
        <v>0</v>
      </c>
      <c r="L312" s="69">
        <f>SUMIF('Executive Pay Breakdown'!O:O,$B312,'Executive Pay Breakdown'!Q:Q)</f>
        <v>5784999</v>
      </c>
      <c r="M312" s="69">
        <f>SUMIF('Executive Pay Breakdown'!S:S,$B312,'Executive Pay Breakdown'!U:U)</f>
        <v>2462844</v>
      </c>
      <c r="N312" s="69">
        <f>SUMIF('Executive Pay Breakdown'!W:W,$B312,'Executive Pay Breakdown'!Y:Y)</f>
        <v>2459913</v>
      </c>
      <c r="O312" s="69">
        <f>SUMIF('Executive Pay Breakdown'!AA:AA,$B312,'Executive Pay Breakdown'!AC:AC)</f>
        <v>2210491</v>
      </c>
    </row>
    <row r="313" hidden="1">
      <c r="A313" s="62"/>
      <c r="B313" s="86" t="s">
        <v>423</v>
      </c>
      <c r="C313" s="118" t="s">
        <v>67</v>
      </c>
      <c r="D313" s="122"/>
      <c r="E313" s="90"/>
      <c r="F313" s="88"/>
      <c r="G313" s="118"/>
      <c r="H313" s="120"/>
      <c r="I313" s="89">
        <f>SUMIF('Executive Pay Breakdown'!K:K,$B313,'Executive Pay Breakdown'!M:M)+SUMIF('Executive Pay Breakdown'!O:O,$B313,'Executive Pay Breakdown'!Q:Q)+SUMIF('Executive Pay Breakdown'!S:S,$B313,'Executive Pay Breakdown'!U:U)+SUMIF('Executive Pay Breakdown'!W:W,$B313,'Executive Pay Breakdown'!Y:Y)+SUMIF('Executive Pay Breakdown'!AA:AA,$B313,'Executive Pay Breakdown'!AC:AC)</f>
        <v>12563709</v>
      </c>
      <c r="J313" s="109"/>
      <c r="K313" s="69">
        <f>SUMIF('Executive Pay Breakdown'!K:K,$B313,'Executive Pay Breakdown'!M:M)</f>
        <v>6720753</v>
      </c>
      <c r="L313" s="69">
        <f>SUMIF('Executive Pay Breakdown'!O:O,$B313,'Executive Pay Breakdown'!Q:Q)</f>
        <v>2408687</v>
      </c>
      <c r="M313" s="69">
        <f>SUMIF('Executive Pay Breakdown'!S:S,$B313,'Executive Pay Breakdown'!U:U)</f>
        <v>2097292</v>
      </c>
      <c r="N313" s="69">
        <f>SUMIF('Executive Pay Breakdown'!W:W,$B313,'Executive Pay Breakdown'!Y:Y)</f>
        <v>1336977</v>
      </c>
      <c r="O313" s="69">
        <f>SUMIF('Executive Pay Breakdown'!AA:AA,$B313,'Executive Pay Breakdown'!AC:AC)</f>
        <v>0</v>
      </c>
    </row>
    <row r="314" hidden="1">
      <c r="A314" s="81"/>
      <c r="B314" s="133" t="s">
        <v>424</v>
      </c>
      <c r="C314" s="118" t="s">
        <v>52</v>
      </c>
      <c r="D314" s="118"/>
      <c r="E314" s="90"/>
      <c r="F314" s="88"/>
      <c r="G314" s="118"/>
      <c r="H314" s="120"/>
      <c r="I314" s="89">
        <f>SUMIF('Executive Pay Breakdown'!K:K,$B314,'Executive Pay Breakdown'!M:M)+SUMIF('Executive Pay Breakdown'!O:O,$B314,'Executive Pay Breakdown'!Q:Q)+SUMIF('Executive Pay Breakdown'!S:S,$B314,'Executive Pay Breakdown'!U:U)+SUMIF('Executive Pay Breakdown'!W:W,$B314,'Executive Pay Breakdown'!Y:Y)+SUMIF('Executive Pay Breakdown'!AA:AA,$B314,'Executive Pay Breakdown'!AC:AC)</f>
        <v>23579588</v>
      </c>
      <c r="J314" s="109"/>
      <c r="K314" s="69">
        <f>SUMIF('Executive Pay Breakdown'!K:K,$B314,'Executive Pay Breakdown'!M:M)</f>
        <v>0</v>
      </c>
      <c r="L314" s="69">
        <f>SUMIF('Executive Pay Breakdown'!O:O,$B314,'Executive Pay Breakdown'!Q:Q)</f>
        <v>6686413</v>
      </c>
      <c r="M314" s="69">
        <f>SUMIF('Executive Pay Breakdown'!S:S,$B314,'Executive Pay Breakdown'!U:U)</f>
        <v>5839449</v>
      </c>
      <c r="N314" s="69">
        <f>SUMIF('Executive Pay Breakdown'!W:W,$B314,'Executive Pay Breakdown'!Y:Y)</f>
        <v>6536028</v>
      </c>
      <c r="O314" s="69">
        <f>SUMIF('Executive Pay Breakdown'!AA:AA,$B314,'Executive Pay Breakdown'!AC:AC)</f>
        <v>4517698</v>
      </c>
    </row>
    <row r="315" hidden="1">
      <c r="A315" s="62"/>
      <c r="B315" s="127" t="s">
        <v>425</v>
      </c>
      <c r="C315" s="118" t="s">
        <v>13</v>
      </c>
      <c r="D315" s="122"/>
      <c r="E315" s="90"/>
      <c r="F315" s="88"/>
      <c r="G315" s="118"/>
      <c r="H315" s="120"/>
      <c r="I315" s="89">
        <f>SUMIF('Executive Pay Breakdown'!K:K,$B315,'Executive Pay Breakdown'!M:M)+SUMIF('Executive Pay Breakdown'!O:O,$B315,'Executive Pay Breakdown'!Q:Q)+SUMIF('Executive Pay Breakdown'!S:S,$B315,'Executive Pay Breakdown'!U:U)+SUMIF('Executive Pay Breakdown'!W:W,$B315,'Executive Pay Breakdown'!Y:Y)+SUMIF('Executive Pay Breakdown'!AA:AA,$B315,'Executive Pay Breakdown'!AC:AC)</f>
        <v>9290887</v>
      </c>
      <c r="J315" s="109"/>
      <c r="K315" s="69">
        <f>SUMIF('Executive Pay Breakdown'!K:K,$B315,'Executive Pay Breakdown'!M:M)</f>
        <v>9290887</v>
      </c>
      <c r="L315" s="69">
        <f>SUMIF('Executive Pay Breakdown'!O:O,$B315,'Executive Pay Breakdown'!Q:Q)</f>
        <v>0</v>
      </c>
      <c r="M315" s="69">
        <f>SUMIF('Executive Pay Breakdown'!S:S,$B315,'Executive Pay Breakdown'!U:U)</f>
        <v>0</v>
      </c>
      <c r="N315" s="69">
        <f>SUMIF('Executive Pay Breakdown'!W:W,$B315,'Executive Pay Breakdown'!Y:Y)</f>
        <v>0</v>
      </c>
      <c r="O315" s="69">
        <f>SUMIF('Executive Pay Breakdown'!AA:AA,$B315,'Executive Pay Breakdown'!AC:AC)</f>
        <v>0</v>
      </c>
    </row>
    <row r="316" hidden="1">
      <c r="A316" s="62"/>
      <c r="B316" s="86" t="s">
        <v>426</v>
      </c>
      <c r="C316" s="118" t="s">
        <v>46</v>
      </c>
      <c r="D316" s="118"/>
      <c r="E316" s="90"/>
      <c r="F316" s="88"/>
      <c r="G316" s="118"/>
      <c r="H316" s="120"/>
      <c r="I316" s="89">
        <f>SUMIF('Executive Pay Breakdown'!K:K,$B316,'Executive Pay Breakdown'!M:M)+SUMIF('Executive Pay Breakdown'!O:O,$B316,'Executive Pay Breakdown'!Q:Q)+SUMIF('Executive Pay Breakdown'!S:S,$B316,'Executive Pay Breakdown'!U:U)+SUMIF('Executive Pay Breakdown'!W:W,$B316,'Executive Pay Breakdown'!Y:Y)+SUMIF('Executive Pay Breakdown'!AA:AA,$B316,'Executive Pay Breakdown'!AC:AC)</f>
        <v>10393961</v>
      </c>
      <c r="J316" s="109"/>
      <c r="K316" s="69">
        <f>SUMIF('Executive Pay Breakdown'!K:K,$B316,'Executive Pay Breakdown'!M:M)</f>
        <v>0</v>
      </c>
      <c r="L316" s="69">
        <f>SUMIF('Executive Pay Breakdown'!O:O,$B316,'Executive Pay Breakdown'!Q:Q)</f>
        <v>0</v>
      </c>
      <c r="M316" s="69">
        <f>SUMIF('Executive Pay Breakdown'!S:S,$B316,'Executive Pay Breakdown'!U:U)</f>
        <v>3643380</v>
      </c>
      <c r="N316" s="69">
        <f>SUMIF('Executive Pay Breakdown'!W:W,$B316,'Executive Pay Breakdown'!Y:Y)</f>
        <v>3428935</v>
      </c>
      <c r="O316" s="69">
        <f>SUMIF('Executive Pay Breakdown'!AA:AA,$B316,'Executive Pay Breakdown'!AC:AC)</f>
        <v>3321646</v>
      </c>
    </row>
    <row r="317" hidden="1">
      <c r="A317" s="62"/>
      <c r="B317" s="86" t="s">
        <v>427</v>
      </c>
      <c r="C317" s="117" t="s">
        <v>66</v>
      </c>
      <c r="D317" s="118"/>
      <c r="E317" s="90"/>
      <c r="F317" s="88"/>
      <c r="G317" s="118"/>
      <c r="H317" s="120"/>
      <c r="I317" s="89">
        <f>SUMIF('Executive Pay Breakdown'!K:K,$B317,'Executive Pay Breakdown'!M:M)+SUMIF('Executive Pay Breakdown'!O:O,$B317,'Executive Pay Breakdown'!Q:Q)+SUMIF('Executive Pay Breakdown'!S:S,$B317,'Executive Pay Breakdown'!U:U)+SUMIF('Executive Pay Breakdown'!W:W,$B317,'Executive Pay Breakdown'!Y:Y)+SUMIF('Executive Pay Breakdown'!AA:AA,$B317,'Executive Pay Breakdown'!AC:AC)</f>
        <v>11333636</v>
      </c>
      <c r="J317" s="109"/>
      <c r="K317" s="69">
        <f>SUMIF('Executive Pay Breakdown'!K:K,$B317,'Executive Pay Breakdown'!M:M)</f>
        <v>0</v>
      </c>
      <c r="L317" s="69">
        <f>SUMIF('Executive Pay Breakdown'!O:O,$B317,'Executive Pay Breakdown'!Q:Q)</f>
        <v>3306143</v>
      </c>
      <c r="M317" s="69">
        <f>SUMIF('Executive Pay Breakdown'!S:S,$B317,'Executive Pay Breakdown'!U:U)</f>
        <v>2868394</v>
      </c>
      <c r="N317" s="69">
        <f>SUMIF('Executive Pay Breakdown'!W:W,$B317,'Executive Pay Breakdown'!Y:Y)</f>
        <v>2735088</v>
      </c>
      <c r="O317" s="69">
        <f>SUMIF('Executive Pay Breakdown'!AA:AA,$B317,'Executive Pay Breakdown'!AC:AC)</f>
        <v>2424011</v>
      </c>
    </row>
    <row r="318" hidden="1">
      <c r="A318" s="81"/>
      <c r="B318" s="137" t="s">
        <v>428</v>
      </c>
      <c r="C318" s="118" t="str">
        <f t="array" ref="C318">INDEX('Executive Pay Breakdown'!B:B,MATCH(B318,'Executive Pay Breakdown'!K:K,0))</f>
        <v>Reinsurance Group of America</v>
      </c>
      <c r="D318" s="122"/>
      <c r="E318" s="90"/>
      <c r="F318" s="88"/>
      <c r="G318" s="118"/>
      <c r="H318" s="120"/>
      <c r="I318" s="89">
        <f>SUMIF('Executive Pay Breakdown'!K:K,$B318,'Executive Pay Breakdown'!M:M)+SUMIF('Executive Pay Breakdown'!O:O,$B318,'Executive Pay Breakdown'!Q:Q)+SUMIF('Executive Pay Breakdown'!S:S,$B318,'Executive Pay Breakdown'!U:U)+SUMIF('Executive Pay Breakdown'!W:W,$B318,'Executive Pay Breakdown'!Y:Y)+SUMIF('Executive Pay Breakdown'!AA:AA,$B318,'Executive Pay Breakdown'!AC:AC)</f>
        <v>16395812</v>
      </c>
      <c r="J318" s="109"/>
      <c r="K318" s="69">
        <f>SUMIF('Executive Pay Breakdown'!K:K,$B318,'Executive Pay Breakdown'!M:M)</f>
        <v>3912745</v>
      </c>
      <c r="L318" s="69">
        <f>SUMIF('Executive Pay Breakdown'!O:O,$B318,'Executive Pay Breakdown'!Q:Q)</f>
        <v>4428125</v>
      </c>
      <c r="M318" s="69">
        <f>SUMIF('Executive Pay Breakdown'!S:S,$B318,'Executive Pay Breakdown'!U:U)</f>
        <v>2913763</v>
      </c>
      <c r="N318" s="69">
        <f>SUMIF('Executive Pay Breakdown'!W:W,$B318,'Executive Pay Breakdown'!Y:Y)</f>
        <v>2806837</v>
      </c>
      <c r="O318" s="69">
        <f>SUMIF('Executive Pay Breakdown'!AA:AA,$B318,'Executive Pay Breakdown'!AC:AC)</f>
        <v>2334342</v>
      </c>
    </row>
    <row r="319" hidden="1">
      <c r="A319" s="62"/>
      <c r="B319" s="86" t="s">
        <v>429</v>
      </c>
      <c r="C319" s="117" t="s">
        <v>62</v>
      </c>
      <c r="D319" s="118"/>
      <c r="E319" s="90"/>
      <c r="F319" s="88"/>
      <c r="G319" s="118"/>
      <c r="H319" s="120"/>
      <c r="I319" s="89">
        <f>SUMIF('Executive Pay Breakdown'!K:K,$B319,'Executive Pay Breakdown'!M:M)+SUMIF('Executive Pay Breakdown'!O:O,$B319,'Executive Pay Breakdown'!Q:Q)+SUMIF('Executive Pay Breakdown'!S:S,$B319,'Executive Pay Breakdown'!U:U)+SUMIF('Executive Pay Breakdown'!W:W,$B319,'Executive Pay Breakdown'!Y:Y)+SUMIF('Executive Pay Breakdown'!AA:AA,$B319,'Executive Pay Breakdown'!AC:AC)</f>
        <v>10161435</v>
      </c>
      <c r="J319" s="109"/>
      <c r="K319" s="69">
        <f>SUMIF('Executive Pay Breakdown'!K:K,$B319,'Executive Pay Breakdown'!M:M)</f>
        <v>10161435</v>
      </c>
      <c r="L319" s="69">
        <f>SUMIF('Executive Pay Breakdown'!O:O,$B319,'Executive Pay Breakdown'!Q:Q)</f>
        <v>0</v>
      </c>
      <c r="M319" s="69">
        <f>SUMIF('Executive Pay Breakdown'!S:S,$B319,'Executive Pay Breakdown'!U:U)</f>
        <v>0</v>
      </c>
      <c r="N319" s="69">
        <f>SUMIF('Executive Pay Breakdown'!W:W,$B319,'Executive Pay Breakdown'!Y:Y)</f>
        <v>0</v>
      </c>
      <c r="O319" s="69">
        <f>SUMIF('Executive Pay Breakdown'!AA:AA,$B319,'Executive Pay Breakdown'!AC:AC)</f>
        <v>0</v>
      </c>
    </row>
    <row r="320" hidden="1">
      <c r="A320" s="62"/>
      <c r="B320" s="138" t="s">
        <v>430</v>
      </c>
      <c r="C320" s="118" t="s">
        <v>35</v>
      </c>
      <c r="D320" s="118"/>
      <c r="E320" s="90"/>
      <c r="F320" s="88"/>
      <c r="G320" s="118"/>
      <c r="H320" s="120"/>
      <c r="I320" s="89">
        <f>SUMIF('Executive Pay Breakdown'!K:K,$B320,'Executive Pay Breakdown'!M:M)+SUMIF('Executive Pay Breakdown'!O:O,$B320,'Executive Pay Breakdown'!Q:Q)+SUMIF('Executive Pay Breakdown'!S:S,$B320,'Executive Pay Breakdown'!U:U)+SUMIF('Executive Pay Breakdown'!W:W,$B320,'Executive Pay Breakdown'!Y:Y)+SUMIF('Executive Pay Breakdown'!AA:AA,$B320,'Executive Pay Breakdown'!AC:AC)</f>
        <v>6387223</v>
      </c>
      <c r="J320" s="109"/>
      <c r="K320" s="69">
        <f>SUMIF('Executive Pay Breakdown'!K:K,$B320,'Executive Pay Breakdown'!M:M)</f>
        <v>0</v>
      </c>
      <c r="L320" s="69">
        <f>SUMIF('Executive Pay Breakdown'!O:O,$B320,'Executive Pay Breakdown'!Q:Q)</f>
        <v>0</v>
      </c>
      <c r="M320" s="69">
        <f>SUMIF('Executive Pay Breakdown'!S:S,$B320,'Executive Pay Breakdown'!U:U)</f>
        <v>0</v>
      </c>
      <c r="N320" s="69">
        <f>SUMIF('Executive Pay Breakdown'!W:W,$B320,'Executive Pay Breakdown'!Y:Y)</f>
        <v>176870</v>
      </c>
      <c r="O320" s="69">
        <f>SUMIF('Executive Pay Breakdown'!AA:AA,$B320,'Executive Pay Breakdown'!AC:AC)</f>
        <v>6210353</v>
      </c>
    </row>
    <row r="321" hidden="1">
      <c r="A321" s="62"/>
      <c r="B321" s="86" t="s">
        <v>431</v>
      </c>
      <c r="C321" s="118" t="s">
        <v>77</v>
      </c>
      <c r="D321" s="118"/>
      <c r="E321" s="90"/>
      <c r="F321" s="88"/>
      <c r="G321" s="118"/>
      <c r="H321" s="120"/>
      <c r="I321" s="89">
        <f>SUMIF('Executive Pay Breakdown'!K:K,$B321,'Executive Pay Breakdown'!M:M)+SUMIF('Executive Pay Breakdown'!O:O,$B321,'Executive Pay Breakdown'!Q:Q)+SUMIF('Executive Pay Breakdown'!S:S,$B321,'Executive Pay Breakdown'!U:U)+SUMIF('Executive Pay Breakdown'!W:W,$B321,'Executive Pay Breakdown'!Y:Y)+SUMIF('Executive Pay Breakdown'!AA:AA,$B321,'Executive Pay Breakdown'!AC:AC)</f>
        <v>7255002</v>
      </c>
      <c r="J321" s="109"/>
      <c r="K321" s="69">
        <f>SUMIF('Executive Pay Breakdown'!K:K,$B321,'Executive Pay Breakdown'!M:M)</f>
        <v>0</v>
      </c>
      <c r="L321" s="69">
        <f>SUMIF('Executive Pay Breakdown'!O:O,$B321,'Executive Pay Breakdown'!Q:Q)</f>
        <v>2636364</v>
      </c>
      <c r="M321" s="69">
        <f>SUMIF('Executive Pay Breakdown'!S:S,$B321,'Executive Pay Breakdown'!U:U)</f>
        <v>0</v>
      </c>
      <c r="N321" s="69">
        <f>SUMIF('Executive Pay Breakdown'!W:W,$B321,'Executive Pay Breakdown'!Y:Y)</f>
        <v>0</v>
      </c>
      <c r="O321" s="69">
        <f>SUMIF('Executive Pay Breakdown'!AA:AA,$B321,'Executive Pay Breakdown'!AC:AC)</f>
        <v>4618638</v>
      </c>
    </row>
    <row r="322" hidden="1">
      <c r="A322" s="62"/>
      <c r="B322" s="86" t="s">
        <v>432</v>
      </c>
      <c r="C322" s="118" t="s">
        <v>32</v>
      </c>
      <c r="D322" s="118"/>
      <c r="E322" s="90"/>
      <c r="F322" s="88"/>
      <c r="G322" s="118"/>
      <c r="H322" s="120"/>
      <c r="I322" s="89">
        <f>SUMIF('Executive Pay Breakdown'!K:K,$B322,'Executive Pay Breakdown'!M:M)+SUMIF('Executive Pay Breakdown'!O:O,$B322,'Executive Pay Breakdown'!Q:Q)+SUMIF('Executive Pay Breakdown'!S:S,$B322,'Executive Pay Breakdown'!U:U)+SUMIF('Executive Pay Breakdown'!W:W,$B322,'Executive Pay Breakdown'!Y:Y)+SUMIF('Executive Pay Breakdown'!AA:AA,$B322,'Executive Pay Breakdown'!AC:AC)</f>
        <v>18553296</v>
      </c>
      <c r="J322" s="109"/>
      <c r="K322" s="69">
        <f>SUMIF('Executive Pay Breakdown'!K:K,$B322,'Executive Pay Breakdown'!M:M)</f>
        <v>0</v>
      </c>
      <c r="L322" s="69">
        <f>SUMIF('Executive Pay Breakdown'!O:O,$B322,'Executive Pay Breakdown'!Q:Q)</f>
        <v>0</v>
      </c>
      <c r="M322" s="69">
        <f>SUMIF('Executive Pay Breakdown'!S:S,$B322,'Executive Pay Breakdown'!U:U)</f>
        <v>0</v>
      </c>
      <c r="N322" s="69">
        <f>SUMIF('Executive Pay Breakdown'!W:W,$B322,'Executive Pay Breakdown'!Y:Y)</f>
        <v>0</v>
      </c>
      <c r="O322" s="69">
        <f>SUMIF('Executive Pay Breakdown'!AA:AA,$B322,'Executive Pay Breakdown'!AC:AC)</f>
        <v>18553296</v>
      </c>
    </row>
    <row r="323" hidden="1">
      <c r="A323" s="62"/>
      <c r="B323" s="86" t="s">
        <v>433</v>
      </c>
      <c r="C323" s="118" t="s">
        <v>37</v>
      </c>
      <c r="D323" s="118"/>
      <c r="E323" s="90"/>
      <c r="F323" s="88"/>
      <c r="G323" s="118"/>
      <c r="H323" s="120"/>
      <c r="I323" s="89">
        <f>SUMIF('Executive Pay Breakdown'!K:K,$B323,'Executive Pay Breakdown'!M:M)+SUMIF('Executive Pay Breakdown'!O:O,$B323,'Executive Pay Breakdown'!Q:Q)+SUMIF('Executive Pay Breakdown'!S:S,$B323,'Executive Pay Breakdown'!U:U)+SUMIF('Executive Pay Breakdown'!W:W,$B323,'Executive Pay Breakdown'!Y:Y)+SUMIF('Executive Pay Breakdown'!AA:AA,$B323,'Executive Pay Breakdown'!AC:AC)</f>
        <v>17515606</v>
      </c>
      <c r="J323" s="109"/>
      <c r="K323" s="69">
        <f>SUMIF('Executive Pay Breakdown'!K:K,$B323,'Executive Pay Breakdown'!M:M)</f>
        <v>0</v>
      </c>
      <c r="L323" s="69">
        <f>SUMIF('Executive Pay Breakdown'!O:O,$B323,'Executive Pay Breakdown'!Q:Q)</f>
        <v>4197328</v>
      </c>
      <c r="M323" s="69">
        <f>SUMIF('Executive Pay Breakdown'!S:S,$B323,'Executive Pay Breakdown'!U:U)</f>
        <v>5148755</v>
      </c>
      <c r="N323" s="69">
        <f>SUMIF('Executive Pay Breakdown'!W:W,$B323,'Executive Pay Breakdown'!Y:Y)</f>
        <v>5420963</v>
      </c>
      <c r="O323" s="69">
        <f>SUMIF('Executive Pay Breakdown'!AA:AA,$B323,'Executive Pay Breakdown'!AC:AC)</f>
        <v>2748560</v>
      </c>
    </row>
    <row r="324" hidden="1">
      <c r="A324" s="62"/>
      <c r="B324" s="86" t="s">
        <v>434</v>
      </c>
      <c r="C324" s="118" t="s">
        <v>39</v>
      </c>
      <c r="D324" s="122"/>
      <c r="E324" s="90"/>
      <c r="F324" s="88"/>
      <c r="G324" s="88"/>
      <c r="H324" s="120"/>
      <c r="I324" s="89">
        <f>SUMIF('Executive Pay Breakdown'!K:K,$B324,'Executive Pay Breakdown'!M:M)+SUMIF('Executive Pay Breakdown'!O:O,$B324,'Executive Pay Breakdown'!Q:Q)+SUMIF('Executive Pay Breakdown'!S:S,$B324,'Executive Pay Breakdown'!U:U)+SUMIF('Executive Pay Breakdown'!W:W,$B324,'Executive Pay Breakdown'!Y:Y)+SUMIF('Executive Pay Breakdown'!AA:AA,$B324,'Executive Pay Breakdown'!AC:AC)</f>
        <v>18026398</v>
      </c>
      <c r="J324" s="109"/>
      <c r="K324" s="69">
        <f>SUMIF('Executive Pay Breakdown'!K:K,$B324,'Executive Pay Breakdown'!M:M)</f>
        <v>6888316</v>
      </c>
      <c r="L324" s="69">
        <f>SUMIF('Executive Pay Breakdown'!O:O,$B324,'Executive Pay Breakdown'!Q:Q)</f>
        <v>11138082</v>
      </c>
      <c r="M324" s="69">
        <f>SUMIF('Executive Pay Breakdown'!S:S,$B324,'Executive Pay Breakdown'!U:U)</f>
        <v>0</v>
      </c>
      <c r="N324" s="69">
        <f>SUMIF('Executive Pay Breakdown'!W:W,$B324,'Executive Pay Breakdown'!Y:Y)</f>
        <v>0</v>
      </c>
      <c r="O324" s="69">
        <f>SUMIF('Executive Pay Breakdown'!AA:AA,$B324,'Executive Pay Breakdown'!AC:AC)</f>
        <v>0</v>
      </c>
    </row>
    <row r="325" hidden="1">
      <c r="A325" s="62"/>
      <c r="B325" s="86" t="s">
        <v>435</v>
      </c>
      <c r="C325" s="118" t="s">
        <v>77</v>
      </c>
      <c r="D325" s="118"/>
      <c r="E325" s="90"/>
      <c r="F325" s="88"/>
      <c r="G325" s="118"/>
      <c r="H325" s="120"/>
      <c r="I325" s="89">
        <f>SUMIF('Executive Pay Breakdown'!K:K,$B325,'Executive Pay Breakdown'!M:M)+SUMIF('Executive Pay Breakdown'!O:O,$B325,'Executive Pay Breakdown'!Q:Q)+SUMIF('Executive Pay Breakdown'!S:S,$B325,'Executive Pay Breakdown'!U:U)+SUMIF('Executive Pay Breakdown'!W:W,$B325,'Executive Pay Breakdown'!Y:Y)+SUMIF('Executive Pay Breakdown'!AA:AA,$B325,'Executive Pay Breakdown'!AC:AC)</f>
        <v>7135997</v>
      </c>
      <c r="J325" s="109"/>
      <c r="K325" s="69">
        <f>SUMIF('Executive Pay Breakdown'!K:K,$B325,'Executive Pay Breakdown'!M:M)</f>
        <v>0</v>
      </c>
      <c r="L325" s="69">
        <f>SUMIF('Executive Pay Breakdown'!O:O,$B325,'Executive Pay Breakdown'!Q:Q)</f>
        <v>0</v>
      </c>
      <c r="M325" s="69">
        <f>SUMIF('Executive Pay Breakdown'!S:S,$B325,'Executive Pay Breakdown'!U:U)</f>
        <v>7135997</v>
      </c>
      <c r="N325" s="69">
        <f>SUMIF('Executive Pay Breakdown'!W:W,$B325,'Executive Pay Breakdown'!Y:Y)</f>
        <v>0</v>
      </c>
      <c r="O325" s="69">
        <f>SUMIF('Executive Pay Breakdown'!AA:AA,$B325,'Executive Pay Breakdown'!AC:AC)</f>
        <v>0</v>
      </c>
    </row>
    <row r="326" hidden="1">
      <c r="A326" s="62"/>
      <c r="B326" s="86" t="s">
        <v>436</v>
      </c>
      <c r="C326" s="117" t="s">
        <v>62</v>
      </c>
      <c r="D326" s="118"/>
      <c r="E326" s="90"/>
      <c r="F326" s="88"/>
      <c r="G326" s="118"/>
      <c r="H326" s="120"/>
      <c r="I326" s="89">
        <f>SUMIF('Executive Pay Breakdown'!K:K,$B326,'Executive Pay Breakdown'!M:M)+SUMIF('Executive Pay Breakdown'!O:O,$B326,'Executive Pay Breakdown'!Q:Q)+SUMIF('Executive Pay Breakdown'!S:S,$B326,'Executive Pay Breakdown'!U:U)+SUMIF('Executive Pay Breakdown'!W:W,$B326,'Executive Pay Breakdown'!Y:Y)+SUMIF('Executive Pay Breakdown'!AA:AA,$B326,'Executive Pay Breakdown'!AC:AC)</f>
        <v>9707983</v>
      </c>
      <c r="J326" s="109"/>
      <c r="K326" s="69">
        <f>SUMIF('Executive Pay Breakdown'!K:K,$B326,'Executive Pay Breakdown'!M:M)</f>
        <v>2699054</v>
      </c>
      <c r="L326" s="69">
        <f>SUMIF('Executive Pay Breakdown'!O:O,$B326,'Executive Pay Breakdown'!Q:Q)</f>
        <v>3032486</v>
      </c>
      <c r="M326" s="69">
        <f>SUMIF('Executive Pay Breakdown'!S:S,$B326,'Executive Pay Breakdown'!U:U)</f>
        <v>2299135</v>
      </c>
      <c r="N326" s="69">
        <f>SUMIF('Executive Pay Breakdown'!W:W,$B326,'Executive Pay Breakdown'!Y:Y)</f>
        <v>1677308</v>
      </c>
      <c r="O326" s="69">
        <f>SUMIF('Executive Pay Breakdown'!AA:AA,$B326,'Executive Pay Breakdown'!AC:AC)</f>
        <v>0</v>
      </c>
    </row>
    <row r="327" hidden="1">
      <c r="A327" s="81"/>
      <c r="B327" s="137" t="s">
        <v>437</v>
      </c>
      <c r="C327" s="118" t="str">
        <f t="array" ref="C327">INDEX('Executive Pay Breakdown'!B:B,MATCH(B327,'Executive Pay Breakdown'!O:O,0))</f>
        <v>Reinsurance Group of America</v>
      </c>
      <c r="D327" s="122"/>
      <c r="E327" s="90"/>
      <c r="F327" s="88"/>
      <c r="G327" s="118"/>
      <c r="H327" s="120"/>
      <c r="I327" s="89">
        <f>SUMIF('Executive Pay Breakdown'!K:K,$B327,'Executive Pay Breakdown'!M:M)+SUMIF('Executive Pay Breakdown'!O:O,$B327,'Executive Pay Breakdown'!Q:Q)+SUMIF('Executive Pay Breakdown'!S:S,$B327,'Executive Pay Breakdown'!U:U)+SUMIF('Executive Pay Breakdown'!W:W,$B327,'Executive Pay Breakdown'!Y:Y)+SUMIF('Executive Pay Breakdown'!AA:AA,$B327,'Executive Pay Breakdown'!AC:AC)</f>
        <v>15437709</v>
      </c>
      <c r="J327" s="109"/>
      <c r="K327" s="69">
        <f>SUMIF('Executive Pay Breakdown'!K:K,$B327,'Executive Pay Breakdown'!M:M)</f>
        <v>0</v>
      </c>
      <c r="L327" s="69">
        <f>SUMIF('Executive Pay Breakdown'!O:O,$B327,'Executive Pay Breakdown'!Q:Q)</f>
        <v>4595249</v>
      </c>
      <c r="M327" s="69">
        <f>SUMIF('Executive Pay Breakdown'!S:S,$B327,'Executive Pay Breakdown'!U:U)</f>
        <v>3412231</v>
      </c>
      <c r="N327" s="69">
        <f>SUMIF('Executive Pay Breakdown'!W:W,$B327,'Executive Pay Breakdown'!Y:Y)</f>
        <v>4625890</v>
      </c>
      <c r="O327" s="69">
        <f>SUMIF('Executive Pay Breakdown'!AA:AA,$B327,'Executive Pay Breakdown'!AC:AC)</f>
        <v>2804339</v>
      </c>
    </row>
    <row r="328" hidden="1">
      <c r="A328" s="71"/>
      <c r="B328" s="124" t="s">
        <v>438</v>
      </c>
      <c r="C328" s="118" t="s">
        <v>58</v>
      </c>
      <c r="D328" s="122"/>
      <c r="E328" s="90"/>
      <c r="F328" s="88"/>
      <c r="G328" s="118"/>
      <c r="H328" s="120"/>
      <c r="I328" s="89">
        <f>SUMIF('Executive Pay Breakdown'!K:K,$B328,'Executive Pay Breakdown'!M:M)+SUMIF('Executive Pay Breakdown'!O:O,$B328,'Executive Pay Breakdown'!Q:Q)+SUMIF('Executive Pay Breakdown'!S:S,$B328,'Executive Pay Breakdown'!U:U)+SUMIF('Executive Pay Breakdown'!W:W,$B328,'Executive Pay Breakdown'!Y:Y)+SUMIF('Executive Pay Breakdown'!AA:AA,$B328,'Executive Pay Breakdown'!AC:AC)</f>
        <v>18058962</v>
      </c>
      <c r="J328" s="109"/>
      <c r="K328" s="69">
        <f>SUMIF('Executive Pay Breakdown'!K:K,$B328,'Executive Pay Breakdown'!M:M)</f>
        <v>6286091</v>
      </c>
      <c r="L328" s="69">
        <f>SUMIF('Executive Pay Breakdown'!O:O,$B328,'Executive Pay Breakdown'!Q:Q)</f>
        <v>4596942</v>
      </c>
      <c r="M328" s="69">
        <f>SUMIF('Executive Pay Breakdown'!S:S,$B328,'Executive Pay Breakdown'!U:U)</f>
        <v>3671753</v>
      </c>
      <c r="N328" s="69">
        <f>SUMIF('Executive Pay Breakdown'!W:W,$B328,'Executive Pay Breakdown'!Y:Y)</f>
        <v>3504176</v>
      </c>
      <c r="O328" s="69">
        <f>SUMIF('Executive Pay Breakdown'!AA:AA,$B328,'Executive Pay Breakdown'!AC:AC)</f>
        <v>0</v>
      </c>
    </row>
    <row r="329" hidden="1">
      <c r="A329" s="62"/>
      <c r="B329" s="125" t="s">
        <v>439</v>
      </c>
      <c r="C329" s="118" t="s">
        <v>23</v>
      </c>
      <c r="D329" s="122"/>
      <c r="E329" s="90"/>
      <c r="F329" s="88"/>
      <c r="G329" s="118"/>
      <c r="H329" s="120"/>
      <c r="I329" s="89">
        <f>SUMIF('Executive Pay Breakdown'!K:K,$B329,'Executive Pay Breakdown'!M:M)+SUMIF('Executive Pay Breakdown'!O:O,$B329,'Executive Pay Breakdown'!Q:Q)+SUMIF('Executive Pay Breakdown'!S:S,$B329,'Executive Pay Breakdown'!U:U)+SUMIF('Executive Pay Breakdown'!W:W,$B329,'Executive Pay Breakdown'!Y:Y)+SUMIF('Executive Pay Breakdown'!AA:AA,$B329,'Executive Pay Breakdown'!AC:AC)</f>
        <v>15385602</v>
      </c>
      <c r="J329" s="109"/>
      <c r="K329" s="69">
        <f>SUMIF('Executive Pay Breakdown'!K:K,$B329,'Executive Pay Breakdown'!M:M)</f>
        <v>8139024</v>
      </c>
      <c r="L329" s="69">
        <f>SUMIF('Executive Pay Breakdown'!O:O,$B329,'Executive Pay Breakdown'!Q:Q)</f>
        <v>7246578</v>
      </c>
      <c r="M329" s="69">
        <f>SUMIF('Executive Pay Breakdown'!S:S,$B329,'Executive Pay Breakdown'!U:U)</f>
        <v>0</v>
      </c>
      <c r="N329" s="69">
        <f>SUMIF('Executive Pay Breakdown'!W:W,$B329,'Executive Pay Breakdown'!Y:Y)</f>
        <v>0</v>
      </c>
      <c r="O329" s="69">
        <f>SUMIF('Executive Pay Breakdown'!AA:AA,$B329,'Executive Pay Breakdown'!AC:AC)</f>
        <v>0</v>
      </c>
    </row>
    <row r="330" hidden="1">
      <c r="A330" s="71"/>
      <c r="B330" s="124" t="s">
        <v>440</v>
      </c>
      <c r="C330" s="118" t="s">
        <v>55</v>
      </c>
      <c r="D330" s="122"/>
      <c r="E330" s="90"/>
      <c r="F330" s="88"/>
      <c r="G330" s="118"/>
      <c r="H330" s="120"/>
      <c r="I330" s="89">
        <f>SUMIF('Executive Pay Breakdown'!K:K,$B330,'Executive Pay Breakdown'!M:M)+SUMIF('Executive Pay Breakdown'!O:O,$B330,'Executive Pay Breakdown'!Q:Q)+SUMIF('Executive Pay Breakdown'!S:S,$B330,'Executive Pay Breakdown'!U:U)+SUMIF('Executive Pay Breakdown'!W:W,$B330,'Executive Pay Breakdown'!Y:Y)+SUMIF('Executive Pay Breakdown'!AA:AA,$B330,'Executive Pay Breakdown'!AC:AC)</f>
        <v>8720238</v>
      </c>
      <c r="J330" s="109"/>
      <c r="K330" s="69">
        <f>SUMIF('Executive Pay Breakdown'!K:K,$B330,'Executive Pay Breakdown'!M:M)</f>
        <v>8720238</v>
      </c>
      <c r="L330" s="69">
        <f>SUMIF('Executive Pay Breakdown'!O:O,$B330,'Executive Pay Breakdown'!Q:Q)</f>
        <v>0</v>
      </c>
      <c r="M330" s="69">
        <f>SUMIF('Executive Pay Breakdown'!S:S,$B330,'Executive Pay Breakdown'!U:U)</f>
        <v>0</v>
      </c>
      <c r="N330" s="69">
        <f>SUMIF('Executive Pay Breakdown'!W:W,$B330,'Executive Pay Breakdown'!Y:Y)</f>
        <v>0</v>
      </c>
      <c r="O330" s="69">
        <f>SUMIF('Executive Pay Breakdown'!AA:AA,$B330,'Executive Pay Breakdown'!AC:AC)</f>
        <v>0</v>
      </c>
    </row>
    <row r="331" hidden="1">
      <c r="A331" s="62"/>
      <c r="B331" s="86" t="s">
        <v>441</v>
      </c>
      <c r="C331" s="117" t="s">
        <v>59</v>
      </c>
      <c r="D331" s="118"/>
      <c r="E331" s="90"/>
      <c r="F331" s="88"/>
      <c r="G331" s="118"/>
      <c r="H331" s="120"/>
      <c r="I331" s="89">
        <f>SUMIF('Executive Pay Breakdown'!K:K,$B331,'Executive Pay Breakdown'!M:M)+SUMIF('Executive Pay Breakdown'!O:O,$B331,'Executive Pay Breakdown'!Q:Q)+SUMIF('Executive Pay Breakdown'!S:S,$B331,'Executive Pay Breakdown'!U:U)+SUMIF('Executive Pay Breakdown'!W:W,$B331,'Executive Pay Breakdown'!Y:Y)+SUMIF('Executive Pay Breakdown'!AA:AA,$B331,'Executive Pay Breakdown'!AC:AC)</f>
        <v>12706942</v>
      </c>
      <c r="J331" s="109"/>
      <c r="K331" s="69">
        <f>SUMIF('Executive Pay Breakdown'!K:K,$B331,'Executive Pay Breakdown'!M:M)</f>
        <v>0</v>
      </c>
      <c r="L331" s="69">
        <f>SUMIF('Executive Pay Breakdown'!O:O,$B331,'Executive Pay Breakdown'!Q:Q)</f>
        <v>3202037</v>
      </c>
      <c r="M331" s="69">
        <f>SUMIF('Executive Pay Breakdown'!S:S,$B331,'Executive Pay Breakdown'!U:U)</f>
        <v>2734318</v>
      </c>
      <c r="N331" s="69">
        <f>SUMIF('Executive Pay Breakdown'!W:W,$B331,'Executive Pay Breakdown'!Y:Y)</f>
        <v>3519856</v>
      </c>
      <c r="O331" s="69">
        <f>SUMIF('Executive Pay Breakdown'!AA:AA,$B331,'Executive Pay Breakdown'!AC:AC)</f>
        <v>3250731</v>
      </c>
    </row>
    <row r="332" hidden="1">
      <c r="A332" s="62"/>
      <c r="B332" s="86" t="s">
        <v>442</v>
      </c>
      <c r="C332" s="118" t="s">
        <v>46</v>
      </c>
      <c r="D332" s="122"/>
      <c r="E332" s="90"/>
      <c r="F332" s="88"/>
      <c r="G332" s="118"/>
      <c r="H332" s="120"/>
      <c r="I332" s="89">
        <f>SUMIF('Executive Pay Breakdown'!K:K,$B332,'Executive Pay Breakdown'!M:M)+SUMIF('Executive Pay Breakdown'!O:O,$B332,'Executive Pay Breakdown'!Q:Q)+SUMIF('Executive Pay Breakdown'!S:S,$B332,'Executive Pay Breakdown'!U:U)+SUMIF('Executive Pay Breakdown'!W:W,$B332,'Executive Pay Breakdown'!Y:Y)+SUMIF('Executive Pay Breakdown'!AA:AA,$B332,'Executive Pay Breakdown'!AC:AC)</f>
        <v>9092799</v>
      </c>
      <c r="J332" s="109"/>
      <c r="K332" s="69">
        <f>SUMIF('Executive Pay Breakdown'!K:K,$B332,'Executive Pay Breakdown'!M:M)</f>
        <v>3358852</v>
      </c>
      <c r="L332" s="69">
        <f>SUMIF('Executive Pay Breakdown'!O:O,$B332,'Executive Pay Breakdown'!Q:Q)</f>
        <v>3262887</v>
      </c>
      <c r="M332" s="69">
        <f>SUMIF('Executive Pay Breakdown'!S:S,$B332,'Executive Pay Breakdown'!U:U)</f>
        <v>2471060</v>
      </c>
      <c r="N332" s="69">
        <f>SUMIF('Executive Pay Breakdown'!W:W,$B332,'Executive Pay Breakdown'!Y:Y)</f>
        <v>0</v>
      </c>
      <c r="O332" s="69">
        <f>SUMIF('Executive Pay Breakdown'!AA:AA,$B332,'Executive Pay Breakdown'!AC:AC)</f>
        <v>0</v>
      </c>
    </row>
    <row r="333" hidden="1">
      <c r="A333" s="62"/>
      <c r="B333" s="86" t="s">
        <v>443</v>
      </c>
      <c r="C333" s="117" t="s">
        <v>70</v>
      </c>
      <c r="D333" s="118"/>
      <c r="E333" s="90"/>
      <c r="F333" s="88"/>
      <c r="G333" s="118"/>
      <c r="H333" s="120"/>
      <c r="I333" s="89">
        <f>SUMIF('Executive Pay Breakdown'!K:K,$B333,'Executive Pay Breakdown'!M:M)+SUMIF('Executive Pay Breakdown'!O:O,$B333,'Executive Pay Breakdown'!Q:Q)+SUMIF('Executive Pay Breakdown'!S:S,$B333,'Executive Pay Breakdown'!U:U)+SUMIF('Executive Pay Breakdown'!W:W,$B333,'Executive Pay Breakdown'!Y:Y)+SUMIF('Executive Pay Breakdown'!AA:AA,$B333,'Executive Pay Breakdown'!AC:AC)</f>
        <v>12598968</v>
      </c>
      <c r="J333" s="109"/>
      <c r="K333" s="69">
        <f>SUMIF('Executive Pay Breakdown'!K:K,$B333,'Executive Pay Breakdown'!M:M)</f>
        <v>0</v>
      </c>
      <c r="L333" s="69">
        <f>SUMIF('Executive Pay Breakdown'!O:O,$B333,'Executive Pay Breakdown'!Q:Q)</f>
        <v>4264518</v>
      </c>
      <c r="M333" s="69">
        <f>SUMIF('Executive Pay Breakdown'!S:S,$B333,'Executive Pay Breakdown'!U:U)</f>
        <v>2806504</v>
      </c>
      <c r="N333" s="69">
        <f>SUMIF('Executive Pay Breakdown'!W:W,$B333,'Executive Pay Breakdown'!Y:Y)</f>
        <v>3167932</v>
      </c>
      <c r="O333" s="69">
        <f>SUMIF('Executive Pay Breakdown'!AA:AA,$B333,'Executive Pay Breakdown'!AC:AC)</f>
        <v>2360014</v>
      </c>
    </row>
    <row r="334" hidden="1">
      <c r="A334" s="71"/>
      <c r="B334" s="124" t="s">
        <v>444</v>
      </c>
      <c r="C334" s="118" t="s">
        <v>55</v>
      </c>
      <c r="D334" s="122"/>
      <c r="E334" s="90"/>
      <c r="F334" s="88"/>
      <c r="G334" s="118"/>
      <c r="H334" s="120"/>
      <c r="I334" s="89">
        <f>SUMIF('Executive Pay Breakdown'!K:K,$B334,'Executive Pay Breakdown'!M:M)+SUMIF('Executive Pay Breakdown'!O:O,$B334,'Executive Pay Breakdown'!Q:Q)+SUMIF('Executive Pay Breakdown'!S:S,$B334,'Executive Pay Breakdown'!U:U)+SUMIF('Executive Pay Breakdown'!W:W,$B334,'Executive Pay Breakdown'!Y:Y)+SUMIF('Executive Pay Breakdown'!AA:AA,$B334,'Executive Pay Breakdown'!AC:AC)</f>
        <v>8380216</v>
      </c>
      <c r="J334" s="109"/>
      <c r="K334" s="69">
        <f>SUMIF('Executive Pay Breakdown'!K:K,$B334,'Executive Pay Breakdown'!M:M)</f>
        <v>8380216</v>
      </c>
      <c r="L334" s="69">
        <f>SUMIF('Executive Pay Breakdown'!O:O,$B334,'Executive Pay Breakdown'!Q:Q)</f>
        <v>0</v>
      </c>
      <c r="M334" s="69">
        <f>SUMIF('Executive Pay Breakdown'!S:S,$B334,'Executive Pay Breakdown'!U:U)</f>
        <v>0</v>
      </c>
      <c r="N334" s="69">
        <f>SUMIF('Executive Pay Breakdown'!W:W,$B334,'Executive Pay Breakdown'!Y:Y)</f>
        <v>0</v>
      </c>
      <c r="O334" s="69">
        <f>SUMIF('Executive Pay Breakdown'!AA:AA,$B334,'Executive Pay Breakdown'!AC:AC)</f>
        <v>0</v>
      </c>
    </row>
    <row r="335" hidden="1">
      <c r="A335" s="81"/>
      <c r="B335" s="133" t="s">
        <v>445</v>
      </c>
      <c r="C335" s="118" t="s">
        <v>50</v>
      </c>
      <c r="D335" s="118"/>
      <c r="E335" s="90"/>
      <c r="F335" s="88"/>
      <c r="G335" s="118"/>
      <c r="H335" s="120"/>
      <c r="I335" s="89">
        <f>SUMIF('Executive Pay Breakdown'!K:K,$B335,'Executive Pay Breakdown'!M:M)+SUMIF('Executive Pay Breakdown'!O:O,$B335,'Executive Pay Breakdown'!Q:Q)+SUMIF('Executive Pay Breakdown'!S:S,$B335,'Executive Pay Breakdown'!U:U)+SUMIF('Executive Pay Breakdown'!W:W,$B335,'Executive Pay Breakdown'!Y:Y)+SUMIF('Executive Pay Breakdown'!AA:AA,$B335,'Executive Pay Breakdown'!AC:AC)</f>
        <v>10658553</v>
      </c>
      <c r="J335" s="109"/>
      <c r="K335" s="69">
        <f>SUMIF('Executive Pay Breakdown'!K:K,$B335,'Executive Pay Breakdown'!M:M)</f>
        <v>0</v>
      </c>
      <c r="L335" s="69">
        <f>SUMIF('Executive Pay Breakdown'!O:O,$B335,'Executive Pay Breakdown'!Q:Q)</f>
        <v>0</v>
      </c>
      <c r="M335" s="69">
        <f>SUMIF('Executive Pay Breakdown'!S:S,$B335,'Executive Pay Breakdown'!U:U)</f>
        <v>0</v>
      </c>
      <c r="N335" s="69">
        <f>SUMIF('Executive Pay Breakdown'!W:W,$B335,'Executive Pay Breakdown'!Y:Y)</f>
        <v>5318033</v>
      </c>
      <c r="O335" s="69">
        <f>SUMIF('Executive Pay Breakdown'!AA:AA,$B335,'Executive Pay Breakdown'!AC:AC)</f>
        <v>5340520</v>
      </c>
    </row>
    <row r="336" hidden="1">
      <c r="A336" s="71"/>
      <c r="B336" s="124" t="s">
        <v>446</v>
      </c>
      <c r="C336" s="118" t="s">
        <v>58</v>
      </c>
      <c r="D336" s="118"/>
      <c r="E336" s="90"/>
      <c r="F336" s="88"/>
      <c r="G336" s="118"/>
      <c r="H336" s="120"/>
      <c r="I336" s="89">
        <f>SUMIF('Executive Pay Breakdown'!K:K,$B336,'Executive Pay Breakdown'!M:M)+SUMIF('Executive Pay Breakdown'!O:O,$B336,'Executive Pay Breakdown'!Q:Q)+SUMIF('Executive Pay Breakdown'!S:S,$B336,'Executive Pay Breakdown'!U:U)+SUMIF('Executive Pay Breakdown'!W:W,$B336,'Executive Pay Breakdown'!Y:Y)+SUMIF('Executive Pay Breakdown'!AA:AA,$B336,'Executive Pay Breakdown'!AC:AC)</f>
        <v>16779363</v>
      </c>
      <c r="J336" s="109"/>
      <c r="K336" s="69">
        <f>SUMIF('Executive Pay Breakdown'!K:K,$B336,'Executive Pay Breakdown'!M:M)</f>
        <v>0</v>
      </c>
      <c r="L336" s="69">
        <f>SUMIF('Executive Pay Breakdown'!O:O,$B336,'Executive Pay Breakdown'!Q:Q)</f>
        <v>0</v>
      </c>
      <c r="M336" s="69">
        <f>SUMIF('Executive Pay Breakdown'!S:S,$B336,'Executive Pay Breakdown'!U:U)</f>
        <v>5429030</v>
      </c>
      <c r="N336" s="69">
        <f>SUMIF('Executive Pay Breakdown'!W:W,$B336,'Executive Pay Breakdown'!Y:Y)</f>
        <v>5665675</v>
      </c>
      <c r="O336" s="69">
        <f>SUMIF('Executive Pay Breakdown'!AA:AA,$B336,'Executive Pay Breakdown'!AC:AC)</f>
        <v>5684658</v>
      </c>
    </row>
    <row r="337" hidden="1">
      <c r="A337" s="62"/>
      <c r="B337" s="86" t="s">
        <v>447</v>
      </c>
      <c r="C337" s="117" t="s">
        <v>59</v>
      </c>
      <c r="D337" s="118"/>
      <c r="E337" s="90"/>
      <c r="F337" s="88"/>
      <c r="G337" s="118"/>
      <c r="H337" s="120"/>
      <c r="I337" s="89">
        <f>SUMIF('Executive Pay Breakdown'!K:K,$B337,'Executive Pay Breakdown'!M:M)+SUMIF('Executive Pay Breakdown'!O:O,$B337,'Executive Pay Breakdown'!Q:Q)+SUMIF('Executive Pay Breakdown'!S:S,$B337,'Executive Pay Breakdown'!U:U)+SUMIF('Executive Pay Breakdown'!W:W,$B337,'Executive Pay Breakdown'!Y:Y)+SUMIF('Executive Pay Breakdown'!AA:AA,$B337,'Executive Pay Breakdown'!AC:AC)</f>
        <v>12137634</v>
      </c>
      <c r="J337" s="109"/>
      <c r="K337" s="69">
        <f>SUMIF('Executive Pay Breakdown'!K:K,$B337,'Executive Pay Breakdown'!M:M)</f>
        <v>0</v>
      </c>
      <c r="L337" s="69">
        <f>SUMIF('Executive Pay Breakdown'!O:O,$B337,'Executive Pay Breakdown'!Q:Q)</f>
        <v>0</v>
      </c>
      <c r="M337" s="69">
        <f>SUMIF('Executive Pay Breakdown'!S:S,$B337,'Executive Pay Breakdown'!U:U)</f>
        <v>3314263</v>
      </c>
      <c r="N337" s="69">
        <f>SUMIF('Executive Pay Breakdown'!W:W,$B337,'Executive Pay Breakdown'!Y:Y)</f>
        <v>4398171</v>
      </c>
      <c r="O337" s="69">
        <f>SUMIF('Executive Pay Breakdown'!AA:AA,$B337,'Executive Pay Breakdown'!AC:AC)</f>
        <v>4425200</v>
      </c>
    </row>
    <row r="338" hidden="1">
      <c r="A338" s="62"/>
      <c r="B338" s="86" t="s">
        <v>448</v>
      </c>
      <c r="C338" s="118" t="s">
        <v>32</v>
      </c>
      <c r="D338" s="118"/>
      <c r="E338" s="90"/>
      <c r="F338" s="88"/>
      <c r="G338" s="118"/>
      <c r="H338" s="120"/>
      <c r="I338" s="89">
        <f>SUMIF('Executive Pay Breakdown'!K:K,$B338,'Executive Pay Breakdown'!M:M)+SUMIF('Executive Pay Breakdown'!O:O,$B338,'Executive Pay Breakdown'!Q:Q)+SUMIF('Executive Pay Breakdown'!S:S,$B338,'Executive Pay Breakdown'!U:U)+SUMIF('Executive Pay Breakdown'!W:W,$B338,'Executive Pay Breakdown'!Y:Y)+SUMIF('Executive Pay Breakdown'!AA:AA,$B338,'Executive Pay Breakdown'!AC:AC)</f>
        <v>15810067</v>
      </c>
      <c r="J338" s="109"/>
      <c r="K338" s="69">
        <f>SUMIF('Executive Pay Breakdown'!K:K,$B338,'Executive Pay Breakdown'!M:M)</f>
        <v>0</v>
      </c>
      <c r="L338" s="69">
        <f>SUMIF('Executive Pay Breakdown'!O:O,$B338,'Executive Pay Breakdown'!Q:Q)</f>
        <v>0</v>
      </c>
      <c r="M338" s="69">
        <f>SUMIF('Executive Pay Breakdown'!S:S,$B338,'Executive Pay Breakdown'!U:U)</f>
        <v>5005252</v>
      </c>
      <c r="N338" s="69">
        <f>SUMIF('Executive Pay Breakdown'!W:W,$B338,'Executive Pay Breakdown'!Y:Y)</f>
        <v>7554290</v>
      </c>
      <c r="O338" s="69">
        <f>SUMIF('Executive Pay Breakdown'!AA:AA,$B338,'Executive Pay Breakdown'!AC:AC)</f>
        <v>3250525</v>
      </c>
    </row>
    <row r="339" hidden="1">
      <c r="A339" s="81"/>
      <c r="B339" s="133" t="s">
        <v>449</v>
      </c>
      <c r="C339" s="118" t="s">
        <v>52</v>
      </c>
      <c r="D339" s="122"/>
      <c r="E339" s="90"/>
      <c r="F339" s="88"/>
      <c r="G339" s="88"/>
      <c r="H339" s="120"/>
      <c r="I339" s="89">
        <f>SUMIF('Executive Pay Breakdown'!K:K,$B339,'Executive Pay Breakdown'!M:M)+SUMIF('Executive Pay Breakdown'!O:O,$B339,'Executive Pay Breakdown'!Q:Q)+SUMIF('Executive Pay Breakdown'!S:S,$B339,'Executive Pay Breakdown'!U:U)+SUMIF('Executive Pay Breakdown'!W:W,$B339,'Executive Pay Breakdown'!Y:Y)+SUMIF('Executive Pay Breakdown'!AA:AA,$B339,'Executive Pay Breakdown'!AC:AC)</f>
        <v>18838237</v>
      </c>
      <c r="J339" s="109"/>
      <c r="K339" s="69">
        <f>SUMIF('Executive Pay Breakdown'!K:K,$B339,'Executive Pay Breakdown'!M:M)</f>
        <v>7718410</v>
      </c>
      <c r="L339" s="69">
        <f>SUMIF('Executive Pay Breakdown'!O:O,$B339,'Executive Pay Breakdown'!Q:Q)</f>
        <v>11119827</v>
      </c>
      <c r="M339" s="69">
        <f>SUMIF('Executive Pay Breakdown'!S:S,$B339,'Executive Pay Breakdown'!U:U)</f>
        <v>0</v>
      </c>
      <c r="N339" s="69">
        <f>SUMIF('Executive Pay Breakdown'!W:W,$B339,'Executive Pay Breakdown'!Y:Y)</f>
        <v>0</v>
      </c>
      <c r="O339" s="69">
        <f>SUMIF('Executive Pay Breakdown'!AA:AA,$B339,'Executive Pay Breakdown'!AC:AC)</f>
        <v>0</v>
      </c>
    </row>
    <row r="340" hidden="1">
      <c r="A340" s="71"/>
      <c r="B340" s="124" t="s">
        <v>450</v>
      </c>
      <c r="C340" s="118" t="s">
        <v>55</v>
      </c>
      <c r="D340" s="118"/>
      <c r="E340" s="90"/>
      <c r="F340" s="88"/>
      <c r="G340" s="118"/>
      <c r="H340" s="120"/>
      <c r="I340" s="89">
        <f>SUMIF('Executive Pay Breakdown'!K:K,$B340,'Executive Pay Breakdown'!M:M)+SUMIF('Executive Pay Breakdown'!O:O,$B340,'Executive Pay Breakdown'!Q:Q)+SUMIF('Executive Pay Breakdown'!S:S,$B340,'Executive Pay Breakdown'!U:U)+SUMIF('Executive Pay Breakdown'!W:W,$B340,'Executive Pay Breakdown'!Y:Y)+SUMIF('Executive Pay Breakdown'!AA:AA,$B340,'Executive Pay Breakdown'!AC:AC)</f>
        <v>7842687</v>
      </c>
      <c r="J340" s="109"/>
      <c r="K340" s="69">
        <f>SUMIF('Executive Pay Breakdown'!K:K,$B340,'Executive Pay Breakdown'!M:M)</f>
        <v>0</v>
      </c>
      <c r="L340" s="69">
        <f>SUMIF('Executive Pay Breakdown'!O:O,$B340,'Executive Pay Breakdown'!Q:Q)</f>
        <v>0</v>
      </c>
      <c r="M340" s="69">
        <f>SUMIF('Executive Pay Breakdown'!S:S,$B340,'Executive Pay Breakdown'!U:U)</f>
        <v>0</v>
      </c>
      <c r="N340" s="69">
        <f>SUMIF('Executive Pay Breakdown'!W:W,$B340,'Executive Pay Breakdown'!Y:Y)</f>
        <v>0</v>
      </c>
      <c r="O340" s="69">
        <f>SUMIF('Executive Pay Breakdown'!AA:AA,$B340,'Executive Pay Breakdown'!AC:AC)</f>
        <v>7842687</v>
      </c>
    </row>
    <row r="341" hidden="1">
      <c r="A341" s="62"/>
      <c r="B341" s="125" t="s">
        <v>451</v>
      </c>
      <c r="C341" s="118" t="s">
        <v>25</v>
      </c>
      <c r="D341" s="118"/>
      <c r="E341" s="90"/>
      <c r="F341" s="88"/>
      <c r="G341" s="118"/>
      <c r="H341" s="120"/>
      <c r="I341" s="89">
        <f>SUMIF('Executive Pay Breakdown'!K:K,$B341,'Executive Pay Breakdown'!M:M)+SUMIF('Executive Pay Breakdown'!O:O,$B341,'Executive Pay Breakdown'!Q:Q)+SUMIF('Executive Pay Breakdown'!S:S,$B341,'Executive Pay Breakdown'!U:U)+SUMIF('Executive Pay Breakdown'!W:W,$B341,'Executive Pay Breakdown'!Y:Y)+SUMIF('Executive Pay Breakdown'!AA:AA,$B341,'Executive Pay Breakdown'!AC:AC)</f>
        <v>16063400</v>
      </c>
      <c r="J341" s="109"/>
      <c r="K341" s="69">
        <f>SUMIF('Executive Pay Breakdown'!K:K,$B341,'Executive Pay Breakdown'!M:M)</f>
        <v>0</v>
      </c>
      <c r="L341" s="69">
        <f>SUMIF('Executive Pay Breakdown'!O:O,$B341,'Executive Pay Breakdown'!Q:Q)</f>
        <v>3833843</v>
      </c>
      <c r="M341" s="69">
        <f>SUMIF('Executive Pay Breakdown'!S:S,$B341,'Executive Pay Breakdown'!U:U)</f>
        <v>3762190</v>
      </c>
      <c r="N341" s="69">
        <f>SUMIF('Executive Pay Breakdown'!W:W,$B341,'Executive Pay Breakdown'!Y:Y)</f>
        <v>4772069</v>
      </c>
      <c r="O341" s="69">
        <f>SUMIF('Executive Pay Breakdown'!AA:AA,$B341,'Executive Pay Breakdown'!AC:AC)</f>
        <v>3695298</v>
      </c>
    </row>
    <row r="342" hidden="1">
      <c r="A342" s="62"/>
      <c r="B342" s="127" t="s">
        <v>452</v>
      </c>
      <c r="C342" s="118" t="s">
        <v>21</v>
      </c>
      <c r="D342" s="118"/>
      <c r="E342" s="90"/>
      <c r="F342" s="88"/>
      <c r="G342" s="118"/>
      <c r="H342" s="120"/>
      <c r="I342" s="89">
        <f>SUMIF('Executive Pay Breakdown'!K:K,$B342,'Executive Pay Breakdown'!M:M)+SUMIF('Executive Pay Breakdown'!O:O,$B342,'Executive Pay Breakdown'!Q:Q)+SUMIF('Executive Pay Breakdown'!S:S,$B342,'Executive Pay Breakdown'!U:U)+SUMIF('Executive Pay Breakdown'!W:W,$B342,'Executive Pay Breakdown'!Y:Y)+SUMIF('Executive Pay Breakdown'!AA:AA,$B342,'Executive Pay Breakdown'!AC:AC)</f>
        <v>11943591</v>
      </c>
      <c r="J342" s="109"/>
      <c r="K342" s="69">
        <f>SUMIF('Executive Pay Breakdown'!K:K,$B342,'Executive Pay Breakdown'!M:M)</f>
        <v>0</v>
      </c>
      <c r="L342" s="69">
        <f>SUMIF('Executive Pay Breakdown'!O:O,$B342,'Executive Pay Breakdown'!Q:Q)</f>
        <v>0</v>
      </c>
      <c r="M342" s="69">
        <f>SUMIF('Executive Pay Breakdown'!S:S,$B342,'Executive Pay Breakdown'!U:U)</f>
        <v>0</v>
      </c>
      <c r="N342" s="69">
        <f>SUMIF('Executive Pay Breakdown'!W:W,$B342,'Executive Pay Breakdown'!Y:Y)</f>
        <v>8650752</v>
      </c>
      <c r="O342" s="69">
        <f>SUMIF('Executive Pay Breakdown'!AA:AA,$B342,'Executive Pay Breakdown'!AC:AC)</f>
        <v>3292839</v>
      </c>
    </row>
    <row r="343" hidden="1">
      <c r="A343" s="62"/>
      <c r="B343" s="127" t="s">
        <v>453</v>
      </c>
      <c r="C343" s="118" t="s">
        <v>40</v>
      </c>
      <c r="D343" s="122"/>
      <c r="E343" s="90"/>
      <c r="F343" s="88"/>
      <c r="G343" s="88"/>
      <c r="H343" s="120"/>
      <c r="I343" s="89">
        <f>SUMIF('Executive Pay Breakdown'!K:K,$B343,'Executive Pay Breakdown'!M:M)+SUMIF('Executive Pay Breakdown'!O:O,$B343,'Executive Pay Breakdown'!Q:Q)+SUMIF('Executive Pay Breakdown'!S:S,$B343,'Executive Pay Breakdown'!U:U)+SUMIF('Executive Pay Breakdown'!W:W,$B343,'Executive Pay Breakdown'!Y:Y)+SUMIF('Executive Pay Breakdown'!AA:AA,$B343,'Executive Pay Breakdown'!AC:AC)</f>
        <v>12132633</v>
      </c>
      <c r="J343" s="109"/>
      <c r="K343" s="69">
        <f>SUMIF('Executive Pay Breakdown'!K:K,$B343,'Executive Pay Breakdown'!M:M)</f>
        <v>8391099</v>
      </c>
      <c r="L343" s="69">
        <f>SUMIF('Executive Pay Breakdown'!O:O,$B343,'Executive Pay Breakdown'!Q:Q)</f>
        <v>3741534</v>
      </c>
      <c r="M343" s="69">
        <f>SUMIF('Executive Pay Breakdown'!S:S,$B343,'Executive Pay Breakdown'!U:U)</f>
        <v>0</v>
      </c>
      <c r="N343" s="69">
        <f>SUMIF('Executive Pay Breakdown'!W:W,$B343,'Executive Pay Breakdown'!Y:Y)</f>
        <v>0</v>
      </c>
      <c r="O343" s="69">
        <f>SUMIF('Executive Pay Breakdown'!AA:AA,$B343,'Executive Pay Breakdown'!AC:AC)</f>
        <v>0</v>
      </c>
    </row>
    <row r="344" hidden="1">
      <c r="A344" s="62"/>
      <c r="B344" s="86" t="s">
        <v>454</v>
      </c>
      <c r="C344" s="118" t="s">
        <v>44</v>
      </c>
      <c r="D344" s="118"/>
      <c r="E344" s="90"/>
      <c r="F344" s="88"/>
      <c r="G344" s="118"/>
      <c r="H344" s="120"/>
      <c r="I344" s="89">
        <f>SUMIF('Executive Pay Breakdown'!K:K,$B344,'Executive Pay Breakdown'!M:M)+SUMIF('Executive Pay Breakdown'!O:O,$B344,'Executive Pay Breakdown'!Q:Q)+SUMIF('Executive Pay Breakdown'!S:S,$B344,'Executive Pay Breakdown'!U:U)+SUMIF('Executive Pay Breakdown'!W:W,$B344,'Executive Pay Breakdown'!Y:Y)+SUMIF('Executive Pay Breakdown'!AA:AA,$B344,'Executive Pay Breakdown'!AC:AC)</f>
        <v>8564812</v>
      </c>
      <c r="J344" s="109"/>
      <c r="K344" s="69">
        <f>SUMIF('Executive Pay Breakdown'!K:K,$B344,'Executive Pay Breakdown'!M:M)</f>
        <v>0</v>
      </c>
      <c r="L344" s="69">
        <f>SUMIF('Executive Pay Breakdown'!O:O,$B344,'Executive Pay Breakdown'!Q:Q)</f>
        <v>0</v>
      </c>
      <c r="M344" s="69">
        <f>SUMIF('Executive Pay Breakdown'!S:S,$B344,'Executive Pay Breakdown'!U:U)</f>
        <v>0</v>
      </c>
      <c r="N344" s="69">
        <f>SUMIF('Executive Pay Breakdown'!W:W,$B344,'Executive Pay Breakdown'!Y:Y)</f>
        <v>0</v>
      </c>
      <c r="O344" s="69">
        <f>SUMIF('Executive Pay Breakdown'!AA:AA,$B344,'Executive Pay Breakdown'!AC:AC)</f>
        <v>8564812</v>
      </c>
    </row>
    <row r="345" hidden="1">
      <c r="A345" s="62"/>
      <c r="B345" s="86" t="s">
        <v>455</v>
      </c>
      <c r="C345" s="118" t="s">
        <v>67</v>
      </c>
      <c r="D345" s="118"/>
      <c r="E345" s="90"/>
      <c r="F345" s="88"/>
      <c r="G345" s="118"/>
      <c r="H345" s="120"/>
      <c r="I345" s="89">
        <f>SUMIF('Executive Pay Breakdown'!K:K,$B345,'Executive Pay Breakdown'!M:M)+SUMIF('Executive Pay Breakdown'!O:O,$B345,'Executive Pay Breakdown'!Q:Q)+SUMIF('Executive Pay Breakdown'!S:S,$B345,'Executive Pay Breakdown'!U:U)+SUMIF('Executive Pay Breakdown'!W:W,$B345,'Executive Pay Breakdown'!Y:Y)+SUMIF('Executive Pay Breakdown'!AA:AA,$B345,'Executive Pay Breakdown'!AC:AC)</f>
        <v>9346775</v>
      </c>
      <c r="J345" s="109"/>
      <c r="K345" s="69">
        <f>SUMIF('Executive Pay Breakdown'!K:K,$B345,'Executive Pay Breakdown'!M:M)</f>
        <v>0</v>
      </c>
      <c r="L345" s="69">
        <f>SUMIF('Executive Pay Breakdown'!O:O,$B345,'Executive Pay Breakdown'!Q:Q)</f>
        <v>1903093</v>
      </c>
      <c r="M345" s="69">
        <f>SUMIF('Executive Pay Breakdown'!S:S,$B345,'Executive Pay Breakdown'!U:U)</f>
        <v>2583731</v>
      </c>
      <c r="N345" s="69">
        <f>SUMIF('Executive Pay Breakdown'!W:W,$B345,'Executive Pay Breakdown'!Y:Y)</f>
        <v>3088192</v>
      </c>
      <c r="O345" s="69">
        <f>SUMIF('Executive Pay Breakdown'!AA:AA,$B345,'Executive Pay Breakdown'!AC:AC)</f>
        <v>1771759</v>
      </c>
    </row>
    <row r="346" hidden="1">
      <c r="A346" s="62"/>
      <c r="B346" s="140" t="s">
        <v>456</v>
      </c>
      <c r="C346" s="118" t="s">
        <v>14</v>
      </c>
      <c r="D346" s="122"/>
      <c r="E346" s="90"/>
      <c r="F346" s="88"/>
      <c r="G346" s="118"/>
      <c r="H346" s="120"/>
      <c r="I346" s="89">
        <f>SUMIF('Executive Pay Breakdown'!K:K,$B346,'Executive Pay Breakdown'!M:M)+SUMIF('Executive Pay Breakdown'!O:O,$B346,'Executive Pay Breakdown'!Q:Q)+SUMIF('Executive Pay Breakdown'!S:S,$B346,'Executive Pay Breakdown'!U:U)+SUMIF('Executive Pay Breakdown'!W:W,$B346,'Executive Pay Breakdown'!Y:Y)+SUMIF('Executive Pay Breakdown'!AA:AA,$B346,'Executive Pay Breakdown'!AC:AC)</f>
        <v>7563617</v>
      </c>
      <c r="J346" s="109"/>
      <c r="K346" s="69">
        <f>SUMIF('Executive Pay Breakdown'!K:K,$B346,'Executive Pay Breakdown'!M:M)</f>
        <v>7563617</v>
      </c>
      <c r="L346" s="69">
        <f>SUMIF('Executive Pay Breakdown'!O:O,$B346,'Executive Pay Breakdown'!Q:Q)</f>
        <v>0</v>
      </c>
      <c r="M346" s="69">
        <f>SUMIF('Executive Pay Breakdown'!S:S,$B346,'Executive Pay Breakdown'!U:U)</f>
        <v>0</v>
      </c>
      <c r="N346" s="69">
        <f>SUMIF('Executive Pay Breakdown'!W:W,$B346,'Executive Pay Breakdown'!Y:Y)</f>
        <v>0</v>
      </c>
      <c r="O346" s="69">
        <f>SUMIF('Executive Pay Breakdown'!AA:AA,$B346,'Executive Pay Breakdown'!AC:AC)</f>
        <v>0</v>
      </c>
    </row>
    <row r="347" hidden="1">
      <c r="A347" s="62"/>
      <c r="B347" s="127" t="s">
        <v>457</v>
      </c>
      <c r="C347" s="118" t="s">
        <v>30</v>
      </c>
      <c r="D347" s="118"/>
      <c r="E347" s="90"/>
      <c r="F347" s="88"/>
      <c r="G347" s="118"/>
      <c r="H347" s="120"/>
      <c r="I347" s="89">
        <f>SUMIF('Executive Pay Breakdown'!K:K,$B347,'Executive Pay Breakdown'!M:M)+SUMIF('Executive Pay Breakdown'!O:O,$B347,'Executive Pay Breakdown'!Q:Q)+SUMIF('Executive Pay Breakdown'!S:S,$B347,'Executive Pay Breakdown'!U:U)+SUMIF('Executive Pay Breakdown'!W:W,$B347,'Executive Pay Breakdown'!Y:Y)+SUMIF('Executive Pay Breakdown'!AA:AA,$B347,'Executive Pay Breakdown'!AC:AC)</f>
        <v>11727239</v>
      </c>
      <c r="J347" s="109"/>
      <c r="K347" s="69">
        <f>SUMIF('Executive Pay Breakdown'!K:K,$B347,'Executive Pay Breakdown'!M:M)</f>
        <v>0</v>
      </c>
      <c r="L347" s="69">
        <f>SUMIF('Executive Pay Breakdown'!O:O,$B347,'Executive Pay Breakdown'!Q:Q)</f>
        <v>0</v>
      </c>
      <c r="M347" s="69">
        <f>SUMIF('Executive Pay Breakdown'!S:S,$B347,'Executive Pay Breakdown'!U:U)</f>
        <v>3970024</v>
      </c>
      <c r="N347" s="69">
        <f>SUMIF('Executive Pay Breakdown'!W:W,$B347,'Executive Pay Breakdown'!Y:Y)</f>
        <v>4183760</v>
      </c>
      <c r="O347" s="69">
        <f>SUMIF('Executive Pay Breakdown'!AA:AA,$B347,'Executive Pay Breakdown'!AC:AC)</f>
        <v>3573455</v>
      </c>
    </row>
    <row r="348" hidden="1">
      <c r="A348" s="62"/>
      <c r="B348" s="125" t="s">
        <v>458</v>
      </c>
      <c r="C348" s="118" t="s">
        <v>51</v>
      </c>
      <c r="D348" s="118"/>
      <c r="E348" s="90"/>
      <c r="F348" s="88"/>
      <c r="G348" s="118"/>
      <c r="H348" s="120"/>
      <c r="I348" s="89">
        <f>SUMIF('Executive Pay Breakdown'!K:K,$B348,'Executive Pay Breakdown'!M:M)+SUMIF('Executive Pay Breakdown'!O:O,$B348,'Executive Pay Breakdown'!Q:Q)+SUMIF('Executive Pay Breakdown'!S:S,$B348,'Executive Pay Breakdown'!U:U)+SUMIF('Executive Pay Breakdown'!W:W,$B348,'Executive Pay Breakdown'!Y:Y)+SUMIF('Executive Pay Breakdown'!AA:AA,$B348,'Executive Pay Breakdown'!AC:AC)</f>
        <v>16332249</v>
      </c>
      <c r="J348" s="109"/>
      <c r="K348" s="69">
        <f>SUMIF('Executive Pay Breakdown'!K:K,$B348,'Executive Pay Breakdown'!M:M)</f>
        <v>0</v>
      </c>
      <c r="L348" s="69">
        <f>SUMIF('Executive Pay Breakdown'!O:O,$B348,'Executive Pay Breakdown'!Q:Q)</f>
        <v>0</v>
      </c>
      <c r="M348" s="69">
        <f>SUMIF('Executive Pay Breakdown'!S:S,$B348,'Executive Pay Breakdown'!U:U)</f>
        <v>0</v>
      </c>
      <c r="N348" s="69">
        <f>SUMIF('Executive Pay Breakdown'!W:W,$B348,'Executive Pay Breakdown'!Y:Y)</f>
        <v>9173170</v>
      </c>
      <c r="O348" s="69">
        <f>SUMIF('Executive Pay Breakdown'!AA:AA,$B348,'Executive Pay Breakdown'!AC:AC)</f>
        <v>7159079</v>
      </c>
    </row>
    <row r="349" hidden="1">
      <c r="A349" s="62"/>
      <c r="B349" s="127" t="s">
        <v>459</v>
      </c>
      <c r="C349" s="118" t="s">
        <v>12</v>
      </c>
      <c r="D349" s="118"/>
      <c r="E349" s="90"/>
      <c r="F349" s="88"/>
      <c r="G349" s="118"/>
      <c r="H349" s="120"/>
      <c r="I349" s="89">
        <f>SUMIF('Executive Pay Breakdown'!K:K,$B349,'Executive Pay Breakdown'!M:M)+SUMIF('Executive Pay Breakdown'!O:O,$B349,'Executive Pay Breakdown'!Q:Q)+SUMIF('Executive Pay Breakdown'!S:S,$B349,'Executive Pay Breakdown'!U:U)+SUMIF('Executive Pay Breakdown'!W:W,$B349,'Executive Pay Breakdown'!Y:Y)+SUMIF('Executive Pay Breakdown'!AA:AA,$B349,'Executive Pay Breakdown'!AC:AC)</f>
        <v>13786671</v>
      </c>
      <c r="J349" s="109"/>
      <c r="K349" s="69">
        <f>SUMIF('Executive Pay Breakdown'!K:K,$B349,'Executive Pay Breakdown'!M:M)</f>
        <v>0</v>
      </c>
      <c r="L349" s="69">
        <f>SUMIF('Executive Pay Breakdown'!O:O,$B349,'Executive Pay Breakdown'!Q:Q)</f>
        <v>0</v>
      </c>
      <c r="M349" s="69">
        <f>SUMIF('Executive Pay Breakdown'!S:S,$B349,'Executive Pay Breakdown'!U:U)</f>
        <v>0</v>
      </c>
      <c r="N349" s="69">
        <f>SUMIF('Executive Pay Breakdown'!W:W,$B349,'Executive Pay Breakdown'!Y:Y)</f>
        <v>7122222</v>
      </c>
      <c r="O349" s="69">
        <f>SUMIF('Executive Pay Breakdown'!AA:AA,$B349,'Executive Pay Breakdown'!AC:AC)</f>
        <v>6664449</v>
      </c>
    </row>
    <row r="350" hidden="1">
      <c r="A350" s="62"/>
      <c r="B350" s="86" t="s">
        <v>460</v>
      </c>
      <c r="C350" s="118" t="s">
        <v>45</v>
      </c>
      <c r="D350" s="118"/>
      <c r="E350" s="90"/>
      <c r="F350" s="88"/>
      <c r="G350" s="118"/>
      <c r="H350" s="120"/>
      <c r="I350" s="89">
        <f>SUMIF('Executive Pay Breakdown'!K:K,$B350,'Executive Pay Breakdown'!M:M)+SUMIF('Executive Pay Breakdown'!O:O,$B350,'Executive Pay Breakdown'!Q:Q)+SUMIF('Executive Pay Breakdown'!S:S,$B350,'Executive Pay Breakdown'!U:U)+SUMIF('Executive Pay Breakdown'!W:W,$B350,'Executive Pay Breakdown'!Y:Y)+SUMIF('Executive Pay Breakdown'!AA:AA,$B350,'Executive Pay Breakdown'!AC:AC)</f>
        <v>6664040</v>
      </c>
      <c r="J350" s="109"/>
      <c r="K350" s="69">
        <f>SUMIF('Executive Pay Breakdown'!K:K,$B350,'Executive Pay Breakdown'!M:M)</f>
        <v>0</v>
      </c>
      <c r="L350" s="69">
        <f>SUMIF('Executive Pay Breakdown'!O:O,$B350,'Executive Pay Breakdown'!Q:Q)</f>
        <v>3426858</v>
      </c>
      <c r="M350" s="69">
        <f>SUMIF('Executive Pay Breakdown'!S:S,$B350,'Executive Pay Breakdown'!U:U)</f>
        <v>1644830</v>
      </c>
      <c r="N350" s="69">
        <f>SUMIF('Executive Pay Breakdown'!W:W,$B350,'Executive Pay Breakdown'!Y:Y)</f>
        <v>1592352</v>
      </c>
      <c r="O350" s="69">
        <f>SUMIF('Executive Pay Breakdown'!AA:AA,$B350,'Executive Pay Breakdown'!AC:AC)</f>
        <v>0</v>
      </c>
    </row>
    <row r="351" hidden="1">
      <c r="A351" s="81"/>
      <c r="B351" s="87" t="s">
        <v>461</v>
      </c>
      <c r="C351" s="118" t="s">
        <v>52</v>
      </c>
      <c r="D351" s="122"/>
      <c r="E351" s="90"/>
      <c r="F351" s="88"/>
      <c r="G351" s="118"/>
      <c r="H351" s="120"/>
      <c r="I351" s="89">
        <f>SUMIF('Executive Pay Breakdown'!K:K,$B351,'Executive Pay Breakdown'!M:M)+SUMIF('Executive Pay Breakdown'!O:O,$B351,'Executive Pay Breakdown'!Q:Q)+SUMIF('Executive Pay Breakdown'!S:S,$B351,'Executive Pay Breakdown'!U:U)+SUMIF('Executive Pay Breakdown'!W:W,$B351,'Executive Pay Breakdown'!Y:Y)+SUMIF('Executive Pay Breakdown'!AA:AA,$B351,'Executive Pay Breakdown'!AC:AC)</f>
        <v>17064694</v>
      </c>
      <c r="J351" s="109"/>
      <c r="K351" s="69">
        <f>SUMIF('Executive Pay Breakdown'!K:K,$B351,'Executive Pay Breakdown'!M:M)</f>
        <v>5039331</v>
      </c>
      <c r="L351" s="69">
        <f>SUMIF('Executive Pay Breakdown'!O:O,$B351,'Executive Pay Breakdown'!Q:Q)</f>
        <v>6510389</v>
      </c>
      <c r="M351" s="69">
        <f>SUMIF('Executive Pay Breakdown'!S:S,$B351,'Executive Pay Breakdown'!U:U)</f>
        <v>5514974</v>
      </c>
      <c r="N351" s="69">
        <f>SUMIF('Executive Pay Breakdown'!W:W,$B351,'Executive Pay Breakdown'!Y:Y)</f>
        <v>0</v>
      </c>
      <c r="O351" s="69">
        <f>SUMIF('Executive Pay Breakdown'!AA:AA,$B351,'Executive Pay Breakdown'!AC:AC)</f>
        <v>0</v>
      </c>
    </row>
    <row r="352" hidden="1">
      <c r="A352" s="62"/>
      <c r="B352" s="127" t="s">
        <v>462</v>
      </c>
      <c r="C352" s="118" t="s">
        <v>18</v>
      </c>
      <c r="D352" s="118"/>
      <c r="E352" s="90"/>
      <c r="F352" s="88"/>
      <c r="G352" s="118"/>
      <c r="H352" s="120"/>
      <c r="I352" s="89">
        <f>SUMIF('Executive Pay Breakdown'!K:K,$B352,'Executive Pay Breakdown'!M:M)+SUMIF('Executive Pay Breakdown'!O:O,$B352,'Executive Pay Breakdown'!Q:Q)+SUMIF('Executive Pay Breakdown'!S:S,$B352,'Executive Pay Breakdown'!U:U)+SUMIF('Executive Pay Breakdown'!W:W,$B352,'Executive Pay Breakdown'!Y:Y)+SUMIF('Executive Pay Breakdown'!AA:AA,$B352,'Executive Pay Breakdown'!AC:AC)</f>
        <v>8749157</v>
      </c>
      <c r="J352" s="109"/>
      <c r="K352" s="69">
        <f>SUMIF('Executive Pay Breakdown'!K:K,$B352,'Executive Pay Breakdown'!M:M)</f>
        <v>0</v>
      </c>
      <c r="L352" s="69">
        <f>SUMIF('Executive Pay Breakdown'!O:O,$B352,'Executive Pay Breakdown'!Q:Q)</f>
        <v>0</v>
      </c>
      <c r="M352" s="69">
        <f>SUMIF('Executive Pay Breakdown'!S:S,$B352,'Executive Pay Breakdown'!U:U)</f>
        <v>2844094</v>
      </c>
      <c r="N352" s="69">
        <f>SUMIF('Executive Pay Breakdown'!W:W,$B352,'Executive Pay Breakdown'!Y:Y)</f>
        <v>3046261</v>
      </c>
      <c r="O352" s="69">
        <f>SUMIF('Executive Pay Breakdown'!AA:AA,$B352,'Executive Pay Breakdown'!AC:AC)</f>
        <v>2858802</v>
      </c>
    </row>
    <row r="353" hidden="1">
      <c r="A353" s="81"/>
      <c r="B353" s="134" t="s">
        <v>463</v>
      </c>
      <c r="C353" s="118" t="s">
        <v>56</v>
      </c>
      <c r="D353" s="118"/>
      <c r="E353" s="90"/>
      <c r="F353" s="88"/>
      <c r="G353" s="118"/>
      <c r="H353" s="120"/>
      <c r="I353" s="89">
        <f>SUMIF('Executive Pay Breakdown'!K:K,$B353,'Executive Pay Breakdown'!M:M)+SUMIF('Executive Pay Breakdown'!O:O,$B353,'Executive Pay Breakdown'!Q:Q)+SUMIF('Executive Pay Breakdown'!S:S,$B353,'Executive Pay Breakdown'!U:U)+SUMIF('Executive Pay Breakdown'!W:W,$B353,'Executive Pay Breakdown'!Y:Y)+SUMIF('Executive Pay Breakdown'!AA:AA,$B353,'Executive Pay Breakdown'!AC:AC)</f>
        <v>4721581</v>
      </c>
      <c r="J353" s="109"/>
      <c r="K353" s="69">
        <f>SUMIF('Executive Pay Breakdown'!K:K,$B353,'Executive Pay Breakdown'!M:M)</f>
        <v>0</v>
      </c>
      <c r="L353" s="69">
        <f>SUMIF('Executive Pay Breakdown'!O:O,$B353,'Executive Pay Breakdown'!Q:Q)</f>
        <v>0</v>
      </c>
      <c r="M353" s="69">
        <f>SUMIF('Executive Pay Breakdown'!S:S,$B353,'Executive Pay Breakdown'!U:U)</f>
        <v>0</v>
      </c>
      <c r="N353" s="69">
        <f>SUMIF('Executive Pay Breakdown'!W:W,$B353,'Executive Pay Breakdown'!Y:Y)</f>
        <v>0</v>
      </c>
      <c r="O353" s="69">
        <f>SUMIF('Executive Pay Breakdown'!AA:AA,$B353,'Executive Pay Breakdown'!AC:AC)</f>
        <v>4721581</v>
      </c>
    </row>
    <row r="354" hidden="1">
      <c r="A354" s="81"/>
      <c r="B354" s="133" t="s">
        <v>464</v>
      </c>
      <c r="C354" s="118" t="s">
        <v>50</v>
      </c>
      <c r="D354" s="118"/>
      <c r="E354" s="90"/>
      <c r="F354" s="88"/>
      <c r="G354" s="118"/>
      <c r="H354" s="120"/>
      <c r="I354" s="89">
        <f>SUMIF('Executive Pay Breakdown'!K:K,$B354,'Executive Pay Breakdown'!M:M)+SUMIF('Executive Pay Breakdown'!O:O,$B354,'Executive Pay Breakdown'!Q:Q)+SUMIF('Executive Pay Breakdown'!S:S,$B354,'Executive Pay Breakdown'!U:U)+SUMIF('Executive Pay Breakdown'!W:W,$B354,'Executive Pay Breakdown'!Y:Y)+SUMIF('Executive Pay Breakdown'!AA:AA,$B354,'Executive Pay Breakdown'!AC:AC)</f>
        <v>8971881</v>
      </c>
      <c r="J354" s="109"/>
      <c r="K354" s="69">
        <f>SUMIF('Executive Pay Breakdown'!K:K,$B354,'Executive Pay Breakdown'!M:M)</f>
        <v>0</v>
      </c>
      <c r="L354" s="69">
        <f>SUMIF('Executive Pay Breakdown'!O:O,$B354,'Executive Pay Breakdown'!Q:Q)</f>
        <v>0</v>
      </c>
      <c r="M354" s="69">
        <f>SUMIF('Executive Pay Breakdown'!S:S,$B354,'Executive Pay Breakdown'!U:U)</f>
        <v>0</v>
      </c>
      <c r="N354" s="69">
        <f>SUMIF('Executive Pay Breakdown'!W:W,$B354,'Executive Pay Breakdown'!Y:Y)</f>
        <v>0</v>
      </c>
      <c r="O354" s="69">
        <f>SUMIF('Executive Pay Breakdown'!AA:AA,$B354,'Executive Pay Breakdown'!AC:AC)</f>
        <v>8971881</v>
      </c>
    </row>
    <row r="355" hidden="1">
      <c r="A355" s="62"/>
      <c r="B355" s="87" t="s">
        <v>465</v>
      </c>
      <c r="C355" s="118" t="s">
        <v>73</v>
      </c>
      <c r="D355" s="118"/>
      <c r="E355" s="90"/>
      <c r="F355" s="88"/>
      <c r="G355" s="118"/>
      <c r="H355" s="120"/>
      <c r="I355" s="89">
        <f>SUMIF('Executive Pay Breakdown'!K:K,$B355,'Executive Pay Breakdown'!M:M)+SUMIF('Executive Pay Breakdown'!O:O,$B355,'Executive Pay Breakdown'!Q:Q)+SUMIF('Executive Pay Breakdown'!S:S,$B355,'Executive Pay Breakdown'!U:U)+SUMIF('Executive Pay Breakdown'!W:W,$B355,'Executive Pay Breakdown'!Y:Y)+SUMIF('Executive Pay Breakdown'!AA:AA,$B355,'Executive Pay Breakdown'!AC:AC)</f>
        <v>8936294</v>
      </c>
      <c r="J355" s="109"/>
      <c r="K355" s="69">
        <f>SUMIF('Executive Pay Breakdown'!K:K,$B355,'Executive Pay Breakdown'!M:M)</f>
        <v>0</v>
      </c>
      <c r="L355" s="69">
        <f>SUMIF('Executive Pay Breakdown'!O:O,$B355,'Executive Pay Breakdown'!Q:Q)</f>
        <v>0</v>
      </c>
      <c r="M355" s="69">
        <f>SUMIF('Executive Pay Breakdown'!S:S,$B355,'Executive Pay Breakdown'!U:U)</f>
        <v>3415435</v>
      </c>
      <c r="N355" s="69">
        <f>SUMIF('Executive Pay Breakdown'!W:W,$B355,'Executive Pay Breakdown'!Y:Y)</f>
        <v>2710487</v>
      </c>
      <c r="O355" s="69">
        <f>SUMIF('Executive Pay Breakdown'!AA:AA,$B355,'Executive Pay Breakdown'!AC:AC)</f>
        <v>2810372</v>
      </c>
    </row>
    <row r="356" hidden="1">
      <c r="A356" s="62"/>
      <c r="B356" s="86" t="s">
        <v>466</v>
      </c>
      <c r="C356" s="118" t="s">
        <v>37</v>
      </c>
      <c r="D356" s="122"/>
      <c r="E356" s="90"/>
      <c r="F356" s="88"/>
      <c r="G356" s="118"/>
      <c r="H356" s="120"/>
      <c r="I356" s="89">
        <f>SUMIF('Executive Pay Breakdown'!K:K,$B356,'Executive Pay Breakdown'!M:M)+SUMIF('Executive Pay Breakdown'!O:O,$B356,'Executive Pay Breakdown'!Q:Q)+SUMIF('Executive Pay Breakdown'!S:S,$B356,'Executive Pay Breakdown'!U:U)+SUMIF('Executive Pay Breakdown'!W:W,$B356,'Executive Pay Breakdown'!Y:Y)+SUMIF('Executive Pay Breakdown'!AA:AA,$B356,'Executive Pay Breakdown'!AC:AC)</f>
        <v>12768043</v>
      </c>
      <c r="J356" s="109"/>
      <c r="K356" s="69">
        <f>SUMIF('Executive Pay Breakdown'!K:K,$B356,'Executive Pay Breakdown'!M:M)</f>
        <v>3068826</v>
      </c>
      <c r="L356" s="69">
        <f>SUMIF('Executive Pay Breakdown'!O:O,$B356,'Executive Pay Breakdown'!Q:Q)</f>
        <v>3938769</v>
      </c>
      <c r="M356" s="69">
        <f>SUMIF('Executive Pay Breakdown'!S:S,$B356,'Executive Pay Breakdown'!U:U)</f>
        <v>3535007</v>
      </c>
      <c r="N356" s="69">
        <f>SUMIF('Executive Pay Breakdown'!W:W,$B356,'Executive Pay Breakdown'!Y:Y)</f>
        <v>2225441</v>
      </c>
      <c r="O356" s="69">
        <f>SUMIF('Executive Pay Breakdown'!AA:AA,$B356,'Executive Pay Breakdown'!AC:AC)</f>
        <v>0</v>
      </c>
    </row>
    <row r="357" hidden="1">
      <c r="A357" s="62"/>
      <c r="B357" s="127" t="s">
        <v>467</v>
      </c>
      <c r="C357" s="118" t="s">
        <v>34</v>
      </c>
      <c r="D357" s="118"/>
      <c r="E357" s="90"/>
      <c r="F357" s="88"/>
      <c r="G357" s="118"/>
      <c r="H357" s="120"/>
      <c r="I357" s="89">
        <f>SUMIF('Executive Pay Breakdown'!K:K,$B357,'Executive Pay Breakdown'!M:M)+SUMIF('Executive Pay Breakdown'!O:O,$B357,'Executive Pay Breakdown'!Q:Q)+SUMIF('Executive Pay Breakdown'!S:S,$B357,'Executive Pay Breakdown'!U:U)+SUMIF('Executive Pay Breakdown'!W:W,$B357,'Executive Pay Breakdown'!Y:Y)+SUMIF('Executive Pay Breakdown'!AA:AA,$B357,'Executive Pay Breakdown'!AC:AC)</f>
        <v>13342736</v>
      </c>
      <c r="J357" s="109"/>
      <c r="K357" s="69">
        <f>SUMIF('Executive Pay Breakdown'!K:K,$B357,'Executive Pay Breakdown'!M:M)</f>
        <v>0</v>
      </c>
      <c r="L357" s="69">
        <f>SUMIF('Executive Pay Breakdown'!O:O,$B357,'Executive Pay Breakdown'!Q:Q)</f>
        <v>4292419</v>
      </c>
      <c r="M357" s="69">
        <f>SUMIF('Executive Pay Breakdown'!S:S,$B357,'Executive Pay Breakdown'!U:U)</f>
        <v>5104454</v>
      </c>
      <c r="N357" s="69">
        <f>SUMIF('Executive Pay Breakdown'!W:W,$B357,'Executive Pay Breakdown'!Y:Y)</f>
        <v>3945863</v>
      </c>
      <c r="O357" s="69">
        <f>SUMIF('Executive Pay Breakdown'!AA:AA,$B357,'Executive Pay Breakdown'!AC:AC)</f>
        <v>0</v>
      </c>
    </row>
    <row r="358" hidden="1">
      <c r="A358" s="62"/>
      <c r="B358" s="125" t="s">
        <v>468</v>
      </c>
      <c r="C358" s="118" t="s">
        <v>29</v>
      </c>
      <c r="D358" s="122"/>
      <c r="E358" s="90"/>
      <c r="F358" s="88"/>
      <c r="G358" s="118"/>
      <c r="H358" s="120"/>
      <c r="I358" s="89">
        <f>SUMIF('Executive Pay Breakdown'!K:K,$B358,'Executive Pay Breakdown'!M:M)+SUMIF('Executive Pay Breakdown'!O:O,$B358,'Executive Pay Breakdown'!Q:Q)+SUMIF('Executive Pay Breakdown'!S:S,$B358,'Executive Pay Breakdown'!U:U)+SUMIF('Executive Pay Breakdown'!W:W,$B358,'Executive Pay Breakdown'!Y:Y)+SUMIF('Executive Pay Breakdown'!AA:AA,$B358,'Executive Pay Breakdown'!AC:AC)</f>
        <v>16581688</v>
      </c>
      <c r="J358" s="109"/>
      <c r="K358" s="69">
        <f>SUMIF('Executive Pay Breakdown'!K:K,$B358,'Executive Pay Breakdown'!M:M)</f>
        <v>16581688</v>
      </c>
      <c r="L358" s="69">
        <f>SUMIF('Executive Pay Breakdown'!O:O,$B358,'Executive Pay Breakdown'!Q:Q)</f>
        <v>0</v>
      </c>
      <c r="M358" s="69">
        <f>SUMIF('Executive Pay Breakdown'!S:S,$B358,'Executive Pay Breakdown'!U:U)</f>
        <v>0</v>
      </c>
      <c r="N358" s="69">
        <f>SUMIF('Executive Pay Breakdown'!W:W,$B358,'Executive Pay Breakdown'!Y:Y)</f>
        <v>0</v>
      </c>
      <c r="O358" s="69">
        <f>SUMIF('Executive Pay Breakdown'!AA:AA,$B358,'Executive Pay Breakdown'!AC:AC)</f>
        <v>0</v>
      </c>
    </row>
    <row r="359" hidden="1">
      <c r="A359" s="71"/>
      <c r="B359" s="124" t="s">
        <v>469</v>
      </c>
      <c r="C359" s="118" t="s">
        <v>55</v>
      </c>
      <c r="D359" s="118"/>
      <c r="E359" s="90"/>
      <c r="F359" s="88"/>
      <c r="G359" s="88"/>
      <c r="H359" s="120"/>
      <c r="I359" s="89">
        <f>SUMIF('Executive Pay Breakdown'!K:K,$B359,'Executive Pay Breakdown'!M:M)+SUMIF('Executive Pay Breakdown'!O:O,$B359,'Executive Pay Breakdown'!Q:Q)+SUMIF('Executive Pay Breakdown'!S:S,$B359,'Executive Pay Breakdown'!U:U)+SUMIF('Executive Pay Breakdown'!W:W,$B359,'Executive Pay Breakdown'!Y:Y)+SUMIF('Executive Pay Breakdown'!AA:AA,$B359,'Executive Pay Breakdown'!AC:AC)</f>
        <v>6756876</v>
      </c>
      <c r="J359" s="109"/>
      <c r="K359" s="69">
        <f>SUMIF('Executive Pay Breakdown'!K:K,$B359,'Executive Pay Breakdown'!M:M)</f>
        <v>0</v>
      </c>
      <c r="L359" s="69">
        <f>SUMIF('Executive Pay Breakdown'!O:O,$B359,'Executive Pay Breakdown'!Q:Q)</f>
        <v>6756876</v>
      </c>
      <c r="M359" s="69">
        <f>SUMIF('Executive Pay Breakdown'!S:S,$B359,'Executive Pay Breakdown'!U:U)</f>
        <v>0</v>
      </c>
      <c r="N359" s="69">
        <f>SUMIF('Executive Pay Breakdown'!W:W,$B359,'Executive Pay Breakdown'!Y:Y)</f>
        <v>0</v>
      </c>
      <c r="O359" s="69">
        <f>SUMIF('Executive Pay Breakdown'!AA:AA,$B359,'Executive Pay Breakdown'!AC:AC)</f>
        <v>0</v>
      </c>
    </row>
    <row r="360" hidden="1">
      <c r="A360" s="62"/>
      <c r="B360" s="86" t="s">
        <v>470</v>
      </c>
      <c r="C360" s="118" t="s">
        <v>33</v>
      </c>
      <c r="D360" s="118"/>
      <c r="E360" s="90"/>
      <c r="F360" s="88"/>
      <c r="G360" s="118"/>
      <c r="H360" s="120"/>
      <c r="I360" s="89">
        <f>SUMIF('Executive Pay Breakdown'!K:K,$B360,'Executive Pay Breakdown'!M:M)+SUMIF('Executive Pay Breakdown'!O:O,$B360,'Executive Pay Breakdown'!Q:Q)+SUMIF('Executive Pay Breakdown'!S:S,$B360,'Executive Pay Breakdown'!U:U)+SUMIF('Executive Pay Breakdown'!W:W,$B360,'Executive Pay Breakdown'!Y:Y)+SUMIF('Executive Pay Breakdown'!AA:AA,$B360,'Executive Pay Breakdown'!AC:AC)</f>
        <v>8971552</v>
      </c>
      <c r="J360" s="109"/>
      <c r="K360" s="69">
        <f>SUMIF('Executive Pay Breakdown'!K:K,$B360,'Executive Pay Breakdown'!M:M)</f>
        <v>0</v>
      </c>
      <c r="L360" s="69">
        <f>SUMIF('Executive Pay Breakdown'!O:O,$B360,'Executive Pay Breakdown'!Q:Q)</f>
        <v>0</v>
      </c>
      <c r="M360" s="69">
        <f>SUMIF('Executive Pay Breakdown'!S:S,$B360,'Executive Pay Breakdown'!U:U)</f>
        <v>0</v>
      </c>
      <c r="N360" s="69">
        <f>SUMIF('Executive Pay Breakdown'!W:W,$B360,'Executive Pay Breakdown'!Y:Y)</f>
        <v>4902353</v>
      </c>
      <c r="O360" s="69">
        <f>SUMIF('Executive Pay Breakdown'!AA:AA,$B360,'Executive Pay Breakdown'!AC:AC)</f>
        <v>4069199</v>
      </c>
    </row>
    <row r="361" hidden="1">
      <c r="A361" s="62"/>
      <c r="B361" s="127" t="s">
        <v>471</v>
      </c>
      <c r="C361" s="118" t="s">
        <v>18</v>
      </c>
      <c r="D361" s="118"/>
      <c r="E361" s="90"/>
      <c r="F361" s="88"/>
      <c r="G361" s="118"/>
      <c r="H361" s="120"/>
      <c r="I361" s="89">
        <f>SUMIF('Executive Pay Breakdown'!K:K,$B361,'Executive Pay Breakdown'!M:M)+SUMIF('Executive Pay Breakdown'!O:O,$B361,'Executive Pay Breakdown'!Q:Q)+SUMIF('Executive Pay Breakdown'!S:S,$B361,'Executive Pay Breakdown'!U:U)+SUMIF('Executive Pay Breakdown'!W:W,$B361,'Executive Pay Breakdown'!Y:Y)+SUMIF('Executive Pay Breakdown'!AA:AA,$B361,'Executive Pay Breakdown'!AC:AC)</f>
        <v>8168029</v>
      </c>
      <c r="J361" s="109"/>
      <c r="K361" s="69">
        <f>SUMIF('Executive Pay Breakdown'!K:K,$B361,'Executive Pay Breakdown'!M:M)</f>
        <v>0</v>
      </c>
      <c r="L361" s="69">
        <f>SUMIF('Executive Pay Breakdown'!O:O,$B361,'Executive Pay Breakdown'!Q:Q)</f>
        <v>0</v>
      </c>
      <c r="M361" s="69">
        <f>SUMIF('Executive Pay Breakdown'!S:S,$B361,'Executive Pay Breakdown'!U:U)</f>
        <v>0</v>
      </c>
      <c r="N361" s="69">
        <f>SUMIF('Executive Pay Breakdown'!W:W,$B361,'Executive Pay Breakdown'!Y:Y)</f>
        <v>0</v>
      </c>
      <c r="O361" s="69">
        <f>SUMIF('Executive Pay Breakdown'!AA:AA,$B361,'Executive Pay Breakdown'!AC:AC)</f>
        <v>8168029</v>
      </c>
    </row>
    <row r="362" hidden="1">
      <c r="A362" s="62"/>
      <c r="B362" s="121" t="s">
        <v>472</v>
      </c>
      <c r="C362" s="117" t="s">
        <v>59</v>
      </c>
      <c r="D362" s="118"/>
      <c r="E362" s="90"/>
      <c r="F362" s="88"/>
      <c r="G362" s="118"/>
      <c r="H362" s="120"/>
      <c r="I362" s="89">
        <f>SUMIF('Executive Pay Breakdown'!K:K,$B362,'Executive Pay Breakdown'!M:M)+SUMIF('Executive Pay Breakdown'!O:O,$B362,'Executive Pay Breakdown'!Q:Q)+SUMIF('Executive Pay Breakdown'!S:S,$B362,'Executive Pay Breakdown'!U:U)+SUMIF('Executive Pay Breakdown'!W:W,$B362,'Executive Pay Breakdown'!Y:Y)+SUMIF('Executive Pay Breakdown'!AA:AA,$B362,'Executive Pay Breakdown'!AC:AC)</f>
        <v>9794899</v>
      </c>
      <c r="J362" s="109"/>
      <c r="K362" s="69">
        <f>SUMIF('Executive Pay Breakdown'!K:K,$B362,'Executive Pay Breakdown'!M:M)</f>
        <v>3918300</v>
      </c>
      <c r="L362" s="69">
        <f>SUMIF('Executive Pay Breakdown'!O:O,$B362,'Executive Pay Breakdown'!Q:Q)</f>
        <v>3400804</v>
      </c>
      <c r="M362" s="69">
        <f>SUMIF('Executive Pay Breakdown'!S:S,$B362,'Executive Pay Breakdown'!U:U)</f>
        <v>2475795</v>
      </c>
      <c r="N362" s="69">
        <f>SUMIF('Executive Pay Breakdown'!W:W,$B362,'Executive Pay Breakdown'!Y:Y)</f>
        <v>0</v>
      </c>
      <c r="O362" s="69">
        <f>SUMIF('Executive Pay Breakdown'!AA:AA,$B362,'Executive Pay Breakdown'!AC:AC)</f>
        <v>0</v>
      </c>
    </row>
    <row r="363" hidden="1">
      <c r="A363" s="62"/>
      <c r="B363" s="121" t="s">
        <v>473</v>
      </c>
      <c r="C363" s="117" t="s">
        <v>68</v>
      </c>
      <c r="D363" s="118"/>
      <c r="E363" s="90"/>
      <c r="F363" s="88"/>
      <c r="G363" s="118"/>
      <c r="H363" s="120"/>
      <c r="I363" s="89">
        <f>SUMIF('Executive Pay Breakdown'!K:K,$B363,'Executive Pay Breakdown'!M:M)+SUMIF('Executive Pay Breakdown'!O:O,$B363,'Executive Pay Breakdown'!Q:Q)+SUMIF('Executive Pay Breakdown'!S:S,$B363,'Executive Pay Breakdown'!U:U)+SUMIF('Executive Pay Breakdown'!W:W,$B363,'Executive Pay Breakdown'!Y:Y)+SUMIF('Executive Pay Breakdown'!AA:AA,$B363,'Executive Pay Breakdown'!AC:AC)</f>
        <v>4481809</v>
      </c>
      <c r="J363" s="109"/>
      <c r="K363" s="69">
        <f>SUMIF('Executive Pay Breakdown'!K:K,$B363,'Executive Pay Breakdown'!M:M)</f>
        <v>2287447</v>
      </c>
      <c r="L363" s="69">
        <f>SUMIF('Executive Pay Breakdown'!O:O,$B363,'Executive Pay Breakdown'!Q:Q)</f>
        <v>2194362</v>
      </c>
      <c r="M363" s="69">
        <f>SUMIF('Executive Pay Breakdown'!S:S,$B363,'Executive Pay Breakdown'!U:U)</f>
        <v>0</v>
      </c>
      <c r="N363" s="69">
        <f>SUMIF('Executive Pay Breakdown'!W:W,$B363,'Executive Pay Breakdown'!Y:Y)</f>
        <v>0</v>
      </c>
      <c r="O363" s="69">
        <f>SUMIF('Executive Pay Breakdown'!AA:AA,$B363,'Executive Pay Breakdown'!AC:AC)</f>
        <v>0</v>
      </c>
    </row>
    <row r="364" hidden="1">
      <c r="A364" s="62"/>
      <c r="B364" s="121" t="s">
        <v>474</v>
      </c>
      <c r="C364" s="117" t="s">
        <v>62</v>
      </c>
      <c r="D364" s="118"/>
      <c r="E364" s="90"/>
      <c r="F364" s="88"/>
      <c r="G364" s="118"/>
      <c r="H364" s="120"/>
      <c r="I364" s="89">
        <f>SUMIF('Executive Pay Breakdown'!K:K,$B364,'Executive Pay Breakdown'!M:M)+SUMIF('Executive Pay Breakdown'!O:O,$B364,'Executive Pay Breakdown'!Q:Q)+SUMIF('Executive Pay Breakdown'!S:S,$B364,'Executive Pay Breakdown'!U:U)+SUMIF('Executive Pay Breakdown'!W:W,$B364,'Executive Pay Breakdown'!Y:Y)+SUMIF('Executive Pay Breakdown'!AA:AA,$B364,'Executive Pay Breakdown'!AC:AC)</f>
        <v>6933478</v>
      </c>
      <c r="J364" s="109"/>
      <c r="K364" s="69">
        <f>SUMIF('Executive Pay Breakdown'!K:K,$B364,'Executive Pay Breakdown'!M:M)</f>
        <v>0</v>
      </c>
      <c r="L364" s="69">
        <f>SUMIF('Executive Pay Breakdown'!O:O,$B364,'Executive Pay Breakdown'!Q:Q)</f>
        <v>0</v>
      </c>
      <c r="M364" s="69">
        <f>SUMIF('Executive Pay Breakdown'!S:S,$B364,'Executive Pay Breakdown'!U:U)</f>
        <v>0</v>
      </c>
      <c r="N364" s="69">
        <f>SUMIF('Executive Pay Breakdown'!W:W,$B364,'Executive Pay Breakdown'!Y:Y)</f>
        <v>0</v>
      </c>
      <c r="O364" s="69">
        <f>SUMIF('Executive Pay Breakdown'!AA:AA,$B364,'Executive Pay Breakdown'!AC:AC)</f>
        <v>6933478</v>
      </c>
    </row>
    <row r="365" hidden="1">
      <c r="A365" s="62"/>
      <c r="B365" s="121" t="s">
        <v>475</v>
      </c>
      <c r="C365" s="117" t="s">
        <v>61</v>
      </c>
      <c r="D365" s="118"/>
      <c r="E365" s="90"/>
      <c r="F365" s="88"/>
      <c r="G365" s="118"/>
      <c r="H365" s="120"/>
      <c r="I365" s="89">
        <f>SUMIF('Executive Pay Breakdown'!K:K,$B365,'Executive Pay Breakdown'!M:M)+SUMIF('Executive Pay Breakdown'!O:O,$B365,'Executive Pay Breakdown'!Q:Q)+SUMIF('Executive Pay Breakdown'!S:S,$B365,'Executive Pay Breakdown'!U:U)+SUMIF('Executive Pay Breakdown'!W:W,$B365,'Executive Pay Breakdown'!Y:Y)+SUMIF('Executive Pay Breakdown'!AA:AA,$B365,'Executive Pay Breakdown'!AC:AC)</f>
        <v>21613146</v>
      </c>
      <c r="J365" s="109"/>
      <c r="K365" s="69">
        <f>SUMIF('Executive Pay Breakdown'!K:K,$B365,'Executive Pay Breakdown'!M:M)</f>
        <v>5811611</v>
      </c>
      <c r="L365" s="69">
        <f>SUMIF('Executive Pay Breakdown'!O:O,$B365,'Executive Pay Breakdown'!Q:Q)</f>
        <v>6223932</v>
      </c>
      <c r="M365" s="69">
        <f>SUMIF('Executive Pay Breakdown'!S:S,$B365,'Executive Pay Breakdown'!U:U)</f>
        <v>6090390</v>
      </c>
      <c r="N365" s="69">
        <f>SUMIF('Executive Pay Breakdown'!W:W,$B365,'Executive Pay Breakdown'!Y:Y)</f>
        <v>3487213</v>
      </c>
      <c r="O365" s="69">
        <f>SUMIF('Executive Pay Breakdown'!AA:AA,$B365,'Executive Pay Breakdown'!AC:AC)</f>
        <v>0</v>
      </c>
    </row>
    <row r="366" hidden="1">
      <c r="A366" s="62"/>
      <c r="B366" s="123" t="s">
        <v>476</v>
      </c>
      <c r="C366" s="118" t="s">
        <v>43</v>
      </c>
      <c r="D366" s="118"/>
      <c r="E366" s="90"/>
      <c r="F366" s="88"/>
      <c r="G366" s="118"/>
      <c r="H366" s="120"/>
      <c r="I366" s="89">
        <f>SUMIF('Executive Pay Breakdown'!K:K,$B366,'Executive Pay Breakdown'!M:M)+SUMIF('Executive Pay Breakdown'!O:O,$B366,'Executive Pay Breakdown'!Q:Q)+SUMIF('Executive Pay Breakdown'!S:S,$B366,'Executive Pay Breakdown'!U:U)+SUMIF('Executive Pay Breakdown'!W:W,$B366,'Executive Pay Breakdown'!Y:Y)+SUMIF('Executive Pay Breakdown'!AA:AA,$B366,'Executive Pay Breakdown'!AC:AC)</f>
        <v>12028823</v>
      </c>
      <c r="J366" s="109"/>
      <c r="K366" s="69">
        <f>SUMIF('Executive Pay Breakdown'!K:K,$B366,'Executive Pay Breakdown'!M:M)</f>
        <v>0</v>
      </c>
      <c r="L366" s="69">
        <f>SUMIF('Executive Pay Breakdown'!O:O,$B366,'Executive Pay Breakdown'!Q:Q)</f>
        <v>0</v>
      </c>
      <c r="M366" s="69">
        <f>SUMIF('Executive Pay Breakdown'!S:S,$B366,'Executive Pay Breakdown'!U:U)</f>
        <v>0</v>
      </c>
      <c r="N366" s="69">
        <f>SUMIF('Executive Pay Breakdown'!W:W,$B366,'Executive Pay Breakdown'!Y:Y)</f>
        <v>5508114</v>
      </c>
      <c r="O366" s="69">
        <f>SUMIF('Executive Pay Breakdown'!AA:AA,$B366,'Executive Pay Breakdown'!AC:AC)</f>
        <v>6520709</v>
      </c>
    </row>
    <row r="367" hidden="1">
      <c r="A367" s="62"/>
      <c r="B367" s="86" t="s">
        <v>477</v>
      </c>
      <c r="C367" s="118" t="s">
        <v>77</v>
      </c>
      <c r="D367" s="122"/>
      <c r="E367" s="90"/>
      <c r="F367" s="88"/>
      <c r="G367" s="118"/>
      <c r="H367" s="120"/>
      <c r="I367" s="89">
        <f>SUMIF('Executive Pay Breakdown'!K:K,$B367,'Executive Pay Breakdown'!M:M)+SUMIF('Executive Pay Breakdown'!O:O,$B367,'Executive Pay Breakdown'!Q:Q)+SUMIF('Executive Pay Breakdown'!S:S,$B367,'Executive Pay Breakdown'!U:U)+SUMIF('Executive Pay Breakdown'!W:W,$B367,'Executive Pay Breakdown'!Y:Y)+SUMIF('Executive Pay Breakdown'!AA:AA,$B367,'Executive Pay Breakdown'!AC:AC)</f>
        <v>4951762</v>
      </c>
      <c r="J367" s="109"/>
      <c r="K367" s="69">
        <f>SUMIF('Executive Pay Breakdown'!K:K,$B367,'Executive Pay Breakdown'!M:M)</f>
        <v>4951762</v>
      </c>
      <c r="L367" s="69">
        <f>SUMIF('Executive Pay Breakdown'!O:O,$B367,'Executive Pay Breakdown'!Q:Q)</f>
        <v>0</v>
      </c>
      <c r="M367" s="69">
        <f>SUMIF('Executive Pay Breakdown'!S:S,$B367,'Executive Pay Breakdown'!U:U)</f>
        <v>0</v>
      </c>
      <c r="N367" s="69">
        <f>SUMIF('Executive Pay Breakdown'!W:W,$B367,'Executive Pay Breakdown'!Y:Y)</f>
        <v>0</v>
      </c>
      <c r="O367" s="69">
        <f>SUMIF('Executive Pay Breakdown'!AA:AA,$B367,'Executive Pay Breakdown'!AC:AC)</f>
        <v>0</v>
      </c>
    </row>
    <row r="368" hidden="1">
      <c r="A368" s="62"/>
      <c r="B368" s="86" t="s">
        <v>478</v>
      </c>
      <c r="C368" s="118" t="s">
        <v>32</v>
      </c>
      <c r="D368" s="118"/>
      <c r="E368" s="90"/>
      <c r="F368" s="88"/>
      <c r="G368" s="118"/>
      <c r="H368" s="120"/>
      <c r="I368" s="89">
        <f>SUMIF('Executive Pay Breakdown'!K:K,$B368,'Executive Pay Breakdown'!M:M)+SUMIF('Executive Pay Breakdown'!O:O,$B368,'Executive Pay Breakdown'!Q:Q)+SUMIF('Executive Pay Breakdown'!S:S,$B368,'Executive Pay Breakdown'!U:U)+SUMIF('Executive Pay Breakdown'!W:W,$B368,'Executive Pay Breakdown'!Y:Y)+SUMIF('Executive Pay Breakdown'!AA:AA,$B368,'Executive Pay Breakdown'!AC:AC)</f>
        <v>12594652</v>
      </c>
      <c r="J368" s="109"/>
      <c r="K368" s="69">
        <f>SUMIF('Executive Pay Breakdown'!K:K,$B368,'Executive Pay Breakdown'!M:M)</f>
        <v>0</v>
      </c>
      <c r="L368" s="69">
        <f>SUMIF('Executive Pay Breakdown'!O:O,$B368,'Executive Pay Breakdown'!Q:Q)</f>
        <v>0</v>
      </c>
      <c r="M368" s="69">
        <f>SUMIF('Executive Pay Breakdown'!S:S,$B368,'Executive Pay Breakdown'!U:U)</f>
        <v>6244323</v>
      </c>
      <c r="N368" s="69">
        <f>SUMIF('Executive Pay Breakdown'!W:W,$B368,'Executive Pay Breakdown'!Y:Y)</f>
        <v>6350329</v>
      </c>
      <c r="O368" s="69">
        <f>SUMIF('Executive Pay Breakdown'!AA:AA,$B368,'Executive Pay Breakdown'!AC:AC)</f>
        <v>0</v>
      </c>
    </row>
    <row r="369" hidden="1">
      <c r="A369" s="62"/>
      <c r="B369" s="129" t="s">
        <v>479</v>
      </c>
      <c r="C369" s="118" t="s">
        <v>14</v>
      </c>
      <c r="D369" s="118"/>
      <c r="E369" s="90"/>
      <c r="F369" s="88"/>
      <c r="G369" s="118"/>
      <c r="H369" s="120"/>
      <c r="I369" s="89">
        <f>SUMIF('Executive Pay Breakdown'!K:K,$B369,'Executive Pay Breakdown'!M:M)+SUMIF('Executive Pay Breakdown'!O:O,$B369,'Executive Pay Breakdown'!Q:Q)+SUMIF('Executive Pay Breakdown'!S:S,$B369,'Executive Pay Breakdown'!U:U)+SUMIF('Executive Pay Breakdown'!W:W,$B369,'Executive Pay Breakdown'!Y:Y)+SUMIF('Executive Pay Breakdown'!AA:AA,$B369,'Executive Pay Breakdown'!AC:AC)</f>
        <v>6598362</v>
      </c>
      <c r="J369" s="109"/>
      <c r="K369" s="69">
        <f>SUMIF('Executive Pay Breakdown'!K:K,$B369,'Executive Pay Breakdown'!M:M)</f>
        <v>0</v>
      </c>
      <c r="L369" s="69">
        <f>SUMIF('Executive Pay Breakdown'!O:O,$B369,'Executive Pay Breakdown'!Q:Q)</f>
        <v>0</v>
      </c>
      <c r="M369" s="69">
        <f>SUMIF('Executive Pay Breakdown'!S:S,$B369,'Executive Pay Breakdown'!U:U)</f>
        <v>0</v>
      </c>
      <c r="N369" s="69">
        <f>SUMIF('Executive Pay Breakdown'!W:W,$B369,'Executive Pay Breakdown'!Y:Y)</f>
        <v>0</v>
      </c>
      <c r="O369" s="69">
        <f>SUMIF('Executive Pay Breakdown'!AA:AA,$B369,'Executive Pay Breakdown'!AC:AC)</f>
        <v>6598362</v>
      </c>
    </row>
    <row r="370" hidden="1">
      <c r="A370" s="62"/>
      <c r="B370" s="127" t="s">
        <v>480</v>
      </c>
      <c r="C370" s="118" t="s">
        <v>20</v>
      </c>
      <c r="D370" s="122"/>
      <c r="E370" s="90"/>
      <c r="F370" s="88"/>
      <c r="G370" s="118"/>
      <c r="H370" s="120"/>
      <c r="I370" s="89">
        <f>SUMIF('Executive Pay Breakdown'!K:K,$B370,'Executive Pay Breakdown'!M:M)+SUMIF('Executive Pay Breakdown'!O:O,$B370,'Executive Pay Breakdown'!Q:Q)+SUMIF('Executive Pay Breakdown'!S:S,$B370,'Executive Pay Breakdown'!U:U)+SUMIF('Executive Pay Breakdown'!W:W,$B370,'Executive Pay Breakdown'!Y:Y)+SUMIF('Executive Pay Breakdown'!AA:AA,$B370,'Executive Pay Breakdown'!AC:AC)</f>
        <v>11232567</v>
      </c>
      <c r="J370" s="109"/>
      <c r="K370" s="69">
        <f>SUMIF('Executive Pay Breakdown'!K:K,$B370,'Executive Pay Breakdown'!M:M)</f>
        <v>2773018</v>
      </c>
      <c r="L370" s="69">
        <f>SUMIF('Executive Pay Breakdown'!O:O,$B370,'Executive Pay Breakdown'!Q:Q)</f>
        <v>2657226</v>
      </c>
      <c r="M370" s="69">
        <f>SUMIF('Executive Pay Breakdown'!S:S,$B370,'Executive Pay Breakdown'!U:U)</f>
        <v>2943135</v>
      </c>
      <c r="N370" s="69">
        <f>SUMIF('Executive Pay Breakdown'!W:W,$B370,'Executive Pay Breakdown'!Y:Y)</f>
        <v>2859188</v>
      </c>
      <c r="O370" s="69">
        <f>SUMIF('Executive Pay Breakdown'!AA:AA,$B370,'Executive Pay Breakdown'!AC:AC)</f>
        <v>0</v>
      </c>
    </row>
    <row r="371" hidden="1">
      <c r="A371" s="81"/>
      <c r="B371" s="137" t="s">
        <v>481</v>
      </c>
      <c r="C371" s="118" t="str">
        <f t="array" ref="C371">INDEX('Executive Pay Breakdown'!B:B,MATCH(B371,'Executive Pay Breakdown'!W:W,0))</f>
        <v>AmerisourceBergen</v>
      </c>
      <c r="D371" s="122"/>
      <c r="E371" s="90"/>
      <c r="F371" s="88"/>
      <c r="G371" s="118"/>
      <c r="H371" s="120"/>
      <c r="I371" s="89">
        <f>SUMIF('Executive Pay Breakdown'!K:K,$B371,'Executive Pay Breakdown'!M:M)+SUMIF('Executive Pay Breakdown'!O:O,$B371,'Executive Pay Breakdown'!Q:Q)+SUMIF('Executive Pay Breakdown'!S:S,$B371,'Executive Pay Breakdown'!U:U)+SUMIF('Executive Pay Breakdown'!W:W,$B371,'Executive Pay Breakdown'!Y:Y)+SUMIF('Executive Pay Breakdown'!AA:AA,$B371,'Executive Pay Breakdown'!AC:AC)</f>
        <v>5453248</v>
      </c>
      <c r="J371" s="109"/>
      <c r="K371" s="69">
        <f>SUMIF('Executive Pay Breakdown'!K:K,$B371,'Executive Pay Breakdown'!M:M)</f>
        <v>0</v>
      </c>
      <c r="L371" s="69">
        <f>SUMIF('Executive Pay Breakdown'!O:O,$B371,'Executive Pay Breakdown'!Q:Q)</f>
        <v>0</v>
      </c>
      <c r="M371" s="69">
        <f>SUMIF('Executive Pay Breakdown'!S:S,$B371,'Executive Pay Breakdown'!U:U)</f>
        <v>0</v>
      </c>
      <c r="N371" s="69">
        <f>SUMIF('Executive Pay Breakdown'!W:W,$B371,'Executive Pay Breakdown'!Y:Y)</f>
        <v>1367549</v>
      </c>
      <c r="O371" s="69">
        <f>SUMIF('Executive Pay Breakdown'!AA:AA,$B371,'Executive Pay Breakdown'!AC:AC)</f>
        <v>4085699</v>
      </c>
    </row>
    <row r="372" hidden="1">
      <c r="A372" s="62"/>
      <c r="B372" s="86" t="s">
        <v>482</v>
      </c>
      <c r="C372" s="117" t="s">
        <v>63</v>
      </c>
      <c r="D372" s="118"/>
      <c r="E372" s="90"/>
      <c r="F372" s="88"/>
      <c r="G372" s="118"/>
      <c r="H372" s="120"/>
      <c r="I372" s="89">
        <f>SUMIF('Executive Pay Breakdown'!K:K,$B372,'Executive Pay Breakdown'!M:M)+SUMIF('Executive Pay Breakdown'!O:O,$B372,'Executive Pay Breakdown'!Q:Q)+SUMIF('Executive Pay Breakdown'!S:S,$B372,'Executive Pay Breakdown'!U:U)+SUMIF('Executive Pay Breakdown'!W:W,$B372,'Executive Pay Breakdown'!Y:Y)+SUMIF('Executive Pay Breakdown'!AA:AA,$B372,'Executive Pay Breakdown'!AC:AC)</f>
        <v>7922593</v>
      </c>
      <c r="J372" s="109"/>
      <c r="K372" s="69">
        <f>SUMIF('Executive Pay Breakdown'!K:K,$B372,'Executive Pay Breakdown'!M:M)</f>
        <v>4773439</v>
      </c>
      <c r="L372" s="69">
        <f>SUMIF('Executive Pay Breakdown'!O:O,$B372,'Executive Pay Breakdown'!Q:Q)</f>
        <v>3149154</v>
      </c>
      <c r="M372" s="69">
        <f>SUMIF('Executive Pay Breakdown'!S:S,$B372,'Executive Pay Breakdown'!U:U)</f>
        <v>0</v>
      </c>
      <c r="N372" s="69">
        <f>SUMIF('Executive Pay Breakdown'!W:W,$B372,'Executive Pay Breakdown'!Y:Y)</f>
        <v>0</v>
      </c>
      <c r="O372" s="69">
        <f>SUMIF('Executive Pay Breakdown'!AA:AA,$B372,'Executive Pay Breakdown'!AC:AC)</f>
        <v>0</v>
      </c>
    </row>
    <row r="373" hidden="1">
      <c r="A373" s="71"/>
      <c r="B373" s="124" t="s">
        <v>483</v>
      </c>
      <c r="C373" s="118" t="s">
        <v>55</v>
      </c>
      <c r="D373" s="118"/>
      <c r="E373" s="90"/>
      <c r="F373" s="88"/>
      <c r="G373" s="118"/>
      <c r="H373" s="120"/>
      <c r="I373" s="89">
        <f>SUMIF('Executive Pay Breakdown'!K:K,$B373,'Executive Pay Breakdown'!M:M)+SUMIF('Executive Pay Breakdown'!O:O,$B373,'Executive Pay Breakdown'!Q:Q)+SUMIF('Executive Pay Breakdown'!S:S,$B373,'Executive Pay Breakdown'!U:U)+SUMIF('Executive Pay Breakdown'!W:W,$B373,'Executive Pay Breakdown'!Y:Y)+SUMIF('Executive Pay Breakdown'!AA:AA,$B373,'Executive Pay Breakdown'!AC:AC)</f>
        <v>6203404</v>
      </c>
      <c r="J373" s="109"/>
      <c r="K373" s="69">
        <f>SUMIF('Executive Pay Breakdown'!K:K,$B373,'Executive Pay Breakdown'!M:M)</f>
        <v>0</v>
      </c>
      <c r="L373" s="69">
        <f>SUMIF('Executive Pay Breakdown'!O:O,$B373,'Executive Pay Breakdown'!Q:Q)</f>
        <v>0</v>
      </c>
      <c r="M373" s="69">
        <f>SUMIF('Executive Pay Breakdown'!S:S,$B373,'Executive Pay Breakdown'!U:U)</f>
        <v>0</v>
      </c>
      <c r="N373" s="69">
        <f>SUMIF('Executive Pay Breakdown'!W:W,$B373,'Executive Pay Breakdown'!Y:Y)</f>
        <v>0</v>
      </c>
      <c r="O373" s="69">
        <f>SUMIF('Executive Pay Breakdown'!AA:AA,$B373,'Executive Pay Breakdown'!AC:AC)</f>
        <v>6203404</v>
      </c>
    </row>
    <row r="374" hidden="1">
      <c r="A374" s="62"/>
      <c r="B374" s="127" t="s">
        <v>484</v>
      </c>
      <c r="C374" s="118" t="s">
        <v>53</v>
      </c>
      <c r="D374" s="122"/>
      <c r="E374" s="90"/>
      <c r="F374" s="88"/>
      <c r="G374" s="88"/>
      <c r="H374" s="120"/>
      <c r="I374" s="89">
        <f>SUMIF('Executive Pay Breakdown'!K:K,$B374,'Executive Pay Breakdown'!M:M)+SUMIF('Executive Pay Breakdown'!O:O,$B374,'Executive Pay Breakdown'!Q:Q)+SUMIF('Executive Pay Breakdown'!S:S,$B374,'Executive Pay Breakdown'!U:U)+SUMIF('Executive Pay Breakdown'!W:W,$B374,'Executive Pay Breakdown'!Y:Y)+SUMIF('Executive Pay Breakdown'!AA:AA,$B374,'Executive Pay Breakdown'!AC:AC)</f>
        <v>11875608</v>
      </c>
      <c r="J374" s="109"/>
      <c r="K374" s="69">
        <f>SUMIF('Executive Pay Breakdown'!K:K,$B374,'Executive Pay Breakdown'!M:M)</f>
        <v>5695893</v>
      </c>
      <c r="L374" s="69">
        <f>SUMIF('Executive Pay Breakdown'!O:O,$B374,'Executive Pay Breakdown'!Q:Q)</f>
        <v>6179715</v>
      </c>
      <c r="M374" s="69">
        <f>SUMIF('Executive Pay Breakdown'!S:S,$B374,'Executive Pay Breakdown'!U:U)</f>
        <v>0</v>
      </c>
      <c r="N374" s="69">
        <f>SUMIF('Executive Pay Breakdown'!W:W,$B374,'Executive Pay Breakdown'!Y:Y)</f>
        <v>0</v>
      </c>
      <c r="O374" s="69">
        <f>SUMIF('Executive Pay Breakdown'!AA:AA,$B374,'Executive Pay Breakdown'!AC:AC)</f>
        <v>0</v>
      </c>
    </row>
    <row r="375" hidden="1">
      <c r="A375" s="71"/>
      <c r="B375" s="124" t="s">
        <v>485</v>
      </c>
      <c r="C375" s="118" t="s">
        <v>55</v>
      </c>
      <c r="D375" s="118"/>
      <c r="E375" s="90"/>
      <c r="F375" s="88"/>
      <c r="G375" s="88"/>
      <c r="H375" s="120"/>
      <c r="I375" s="89">
        <f>SUMIF('Executive Pay Breakdown'!K:K,$B375,'Executive Pay Breakdown'!M:M)+SUMIF('Executive Pay Breakdown'!O:O,$B375,'Executive Pay Breakdown'!Q:Q)+SUMIF('Executive Pay Breakdown'!S:S,$B375,'Executive Pay Breakdown'!U:U)+SUMIF('Executive Pay Breakdown'!W:W,$B375,'Executive Pay Breakdown'!Y:Y)+SUMIF('Executive Pay Breakdown'!AA:AA,$B375,'Executive Pay Breakdown'!AC:AC)</f>
        <v>6160596</v>
      </c>
      <c r="J375" s="109"/>
      <c r="K375" s="69">
        <f>SUMIF('Executive Pay Breakdown'!K:K,$B375,'Executive Pay Breakdown'!M:M)</f>
        <v>0</v>
      </c>
      <c r="L375" s="69">
        <f>SUMIF('Executive Pay Breakdown'!O:O,$B375,'Executive Pay Breakdown'!Q:Q)</f>
        <v>6160596</v>
      </c>
      <c r="M375" s="69">
        <f>SUMIF('Executive Pay Breakdown'!S:S,$B375,'Executive Pay Breakdown'!U:U)</f>
        <v>0</v>
      </c>
      <c r="N375" s="69">
        <f>SUMIF('Executive Pay Breakdown'!W:W,$B375,'Executive Pay Breakdown'!Y:Y)</f>
        <v>0</v>
      </c>
      <c r="O375" s="69">
        <f>SUMIF('Executive Pay Breakdown'!AA:AA,$B375,'Executive Pay Breakdown'!AC:AC)</f>
        <v>0</v>
      </c>
    </row>
    <row r="376" hidden="1">
      <c r="A376" s="62"/>
      <c r="B376" s="127" t="s">
        <v>486</v>
      </c>
      <c r="C376" s="118" t="s">
        <v>12</v>
      </c>
      <c r="D376" s="118"/>
      <c r="E376" s="90"/>
      <c r="F376" s="88"/>
      <c r="G376" s="118"/>
      <c r="H376" s="120"/>
      <c r="I376" s="89">
        <f>SUMIF('Executive Pay Breakdown'!K:K,$B376,'Executive Pay Breakdown'!M:M)+SUMIF('Executive Pay Breakdown'!O:O,$B376,'Executive Pay Breakdown'!Q:Q)+SUMIF('Executive Pay Breakdown'!S:S,$B376,'Executive Pay Breakdown'!U:U)+SUMIF('Executive Pay Breakdown'!W:W,$B376,'Executive Pay Breakdown'!Y:Y)+SUMIF('Executive Pay Breakdown'!AA:AA,$B376,'Executive Pay Breakdown'!AC:AC)</f>
        <v>11536878</v>
      </c>
      <c r="J376" s="109"/>
      <c r="K376" s="69">
        <f>SUMIF('Executive Pay Breakdown'!K:K,$B376,'Executive Pay Breakdown'!M:M)</f>
        <v>0</v>
      </c>
      <c r="L376" s="69">
        <f>SUMIF('Executive Pay Breakdown'!O:O,$B376,'Executive Pay Breakdown'!Q:Q)</f>
        <v>0</v>
      </c>
      <c r="M376" s="69">
        <f>SUMIF('Executive Pay Breakdown'!S:S,$B376,'Executive Pay Breakdown'!U:U)</f>
        <v>0</v>
      </c>
      <c r="N376" s="69">
        <f>SUMIF('Executive Pay Breakdown'!W:W,$B376,'Executive Pay Breakdown'!Y:Y)</f>
        <v>5829339</v>
      </c>
      <c r="O376" s="69">
        <f>SUMIF('Executive Pay Breakdown'!AA:AA,$B376,'Executive Pay Breakdown'!AC:AC)</f>
        <v>5707539</v>
      </c>
    </row>
    <row r="377" hidden="1">
      <c r="A377" s="62"/>
      <c r="B377" s="86" t="s">
        <v>487</v>
      </c>
      <c r="C377" s="117" t="s">
        <v>61</v>
      </c>
      <c r="D377" s="118"/>
      <c r="E377" s="90"/>
      <c r="F377" s="88"/>
      <c r="G377" s="118"/>
      <c r="H377" s="120"/>
      <c r="I377" s="89">
        <f>SUMIF('Executive Pay Breakdown'!K:K,$B377,'Executive Pay Breakdown'!M:M)+SUMIF('Executive Pay Breakdown'!O:O,$B377,'Executive Pay Breakdown'!Q:Q)+SUMIF('Executive Pay Breakdown'!S:S,$B377,'Executive Pay Breakdown'!U:U)+SUMIF('Executive Pay Breakdown'!W:W,$B377,'Executive Pay Breakdown'!Y:Y)+SUMIF('Executive Pay Breakdown'!AA:AA,$B377,'Executive Pay Breakdown'!AC:AC)</f>
        <v>19917050</v>
      </c>
      <c r="J377" s="109"/>
      <c r="K377" s="69">
        <f>SUMIF('Executive Pay Breakdown'!K:K,$B377,'Executive Pay Breakdown'!M:M)</f>
        <v>6525129</v>
      </c>
      <c r="L377" s="69">
        <f>SUMIF('Executive Pay Breakdown'!O:O,$B377,'Executive Pay Breakdown'!Q:Q)</f>
        <v>6331337</v>
      </c>
      <c r="M377" s="69">
        <f>SUMIF('Executive Pay Breakdown'!S:S,$B377,'Executive Pay Breakdown'!U:U)</f>
        <v>7060584</v>
      </c>
      <c r="N377" s="69">
        <f>SUMIF('Executive Pay Breakdown'!W:W,$B377,'Executive Pay Breakdown'!Y:Y)</f>
        <v>0</v>
      </c>
      <c r="O377" s="69">
        <f>SUMIF('Executive Pay Breakdown'!AA:AA,$B377,'Executive Pay Breakdown'!AC:AC)</f>
        <v>0</v>
      </c>
    </row>
    <row r="378" hidden="1">
      <c r="A378" s="62"/>
      <c r="B378" s="127" t="s">
        <v>488</v>
      </c>
      <c r="C378" s="118" t="s">
        <v>21</v>
      </c>
      <c r="D378" s="118"/>
      <c r="E378" s="90"/>
      <c r="F378" s="88"/>
      <c r="G378" s="118"/>
      <c r="H378" s="120"/>
      <c r="I378" s="89">
        <f>SUMIF('Executive Pay Breakdown'!K:K,$B378,'Executive Pay Breakdown'!M:M)+SUMIF('Executive Pay Breakdown'!O:O,$B378,'Executive Pay Breakdown'!Q:Q)+SUMIF('Executive Pay Breakdown'!S:S,$B378,'Executive Pay Breakdown'!U:U)+SUMIF('Executive Pay Breakdown'!W:W,$B378,'Executive Pay Breakdown'!Y:Y)+SUMIF('Executive Pay Breakdown'!AA:AA,$B378,'Executive Pay Breakdown'!AC:AC)</f>
        <v>9761874</v>
      </c>
      <c r="J378" s="109"/>
      <c r="K378" s="69">
        <f>SUMIF('Executive Pay Breakdown'!K:K,$B378,'Executive Pay Breakdown'!M:M)</f>
        <v>0</v>
      </c>
      <c r="L378" s="69">
        <f>SUMIF('Executive Pay Breakdown'!O:O,$B378,'Executive Pay Breakdown'!Q:Q)</f>
        <v>0</v>
      </c>
      <c r="M378" s="69">
        <f>SUMIF('Executive Pay Breakdown'!S:S,$B378,'Executive Pay Breakdown'!U:U)</f>
        <v>0</v>
      </c>
      <c r="N378" s="69">
        <f>SUMIF('Executive Pay Breakdown'!W:W,$B378,'Executive Pay Breakdown'!Y:Y)</f>
        <v>0</v>
      </c>
      <c r="O378" s="69">
        <f>SUMIF('Executive Pay Breakdown'!AA:AA,$B378,'Executive Pay Breakdown'!AC:AC)</f>
        <v>9761874</v>
      </c>
    </row>
    <row r="379" hidden="1">
      <c r="A379" s="62"/>
      <c r="B379" s="127" t="s">
        <v>489</v>
      </c>
      <c r="C379" s="118" t="s">
        <v>15</v>
      </c>
      <c r="D379" s="118"/>
      <c r="E379" s="90"/>
      <c r="F379" s="88"/>
      <c r="G379" s="118"/>
      <c r="H379" s="120"/>
      <c r="I379" s="89">
        <f>SUMIF('Executive Pay Breakdown'!K:K,$B379,'Executive Pay Breakdown'!M:M)+SUMIF('Executive Pay Breakdown'!O:O,$B379,'Executive Pay Breakdown'!Q:Q)+SUMIF('Executive Pay Breakdown'!S:S,$B379,'Executive Pay Breakdown'!U:U)+SUMIF('Executive Pay Breakdown'!W:W,$B379,'Executive Pay Breakdown'!Y:Y)+SUMIF('Executive Pay Breakdown'!AA:AA,$B379,'Executive Pay Breakdown'!AC:AC)</f>
        <v>10488593</v>
      </c>
      <c r="J379" s="109"/>
      <c r="K379" s="69">
        <f>SUMIF('Executive Pay Breakdown'!K:K,$B379,'Executive Pay Breakdown'!M:M)</f>
        <v>0</v>
      </c>
      <c r="L379" s="69">
        <f>SUMIF('Executive Pay Breakdown'!O:O,$B379,'Executive Pay Breakdown'!Q:Q)</f>
        <v>0</v>
      </c>
      <c r="M379" s="69">
        <f>SUMIF('Executive Pay Breakdown'!S:S,$B379,'Executive Pay Breakdown'!U:U)</f>
        <v>0</v>
      </c>
      <c r="N379" s="69">
        <f>SUMIF('Executive Pay Breakdown'!W:W,$B379,'Executive Pay Breakdown'!Y:Y)</f>
        <v>7535800</v>
      </c>
      <c r="O379" s="69">
        <f>SUMIF('Executive Pay Breakdown'!AA:AA,$B379,'Executive Pay Breakdown'!AC:AC)</f>
        <v>2952793</v>
      </c>
    </row>
    <row r="380" hidden="1">
      <c r="A380" s="62"/>
      <c r="B380" s="86" t="s">
        <v>490</v>
      </c>
      <c r="C380" s="117" t="s">
        <v>71</v>
      </c>
      <c r="D380" s="118"/>
      <c r="E380" s="90"/>
      <c r="F380" s="88"/>
      <c r="G380" s="118"/>
      <c r="H380" s="120"/>
      <c r="I380" s="89">
        <f>SUMIF('Executive Pay Breakdown'!K:K,$B380,'Executive Pay Breakdown'!M:M)+SUMIF('Executive Pay Breakdown'!O:O,$B380,'Executive Pay Breakdown'!Q:Q)+SUMIF('Executive Pay Breakdown'!S:S,$B380,'Executive Pay Breakdown'!U:U)+SUMIF('Executive Pay Breakdown'!W:W,$B380,'Executive Pay Breakdown'!Y:Y)+SUMIF('Executive Pay Breakdown'!AA:AA,$B380,'Executive Pay Breakdown'!AC:AC)</f>
        <v>5163865</v>
      </c>
      <c r="J380" s="109"/>
      <c r="K380" s="69">
        <f>SUMIF('Executive Pay Breakdown'!K:K,$B380,'Executive Pay Breakdown'!M:M)</f>
        <v>0</v>
      </c>
      <c r="L380" s="69">
        <f>SUMIF('Executive Pay Breakdown'!O:O,$B380,'Executive Pay Breakdown'!Q:Q)</f>
        <v>0</v>
      </c>
      <c r="M380" s="69">
        <f>SUMIF('Executive Pay Breakdown'!S:S,$B380,'Executive Pay Breakdown'!U:U)</f>
        <v>0</v>
      </c>
      <c r="N380" s="69">
        <f>SUMIF('Executive Pay Breakdown'!W:W,$B380,'Executive Pay Breakdown'!Y:Y)</f>
        <v>2170527</v>
      </c>
      <c r="O380" s="69">
        <f>SUMIF('Executive Pay Breakdown'!AA:AA,$B380,'Executive Pay Breakdown'!AC:AC)</f>
        <v>2993338</v>
      </c>
    </row>
    <row r="381" hidden="1">
      <c r="A381" s="62"/>
      <c r="B381" s="86" t="s">
        <v>491</v>
      </c>
      <c r="C381" s="118" t="s">
        <v>77</v>
      </c>
      <c r="D381" s="118"/>
      <c r="E381" s="90"/>
      <c r="F381" s="88"/>
      <c r="G381" s="118"/>
      <c r="H381" s="120"/>
      <c r="I381" s="89">
        <f>SUMIF('Executive Pay Breakdown'!K:K,$B381,'Executive Pay Breakdown'!M:M)+SUMIF('Executive Pay Breakdown'!O:O,$B381,'Executive Pay Breakdown'!Q:Q)+SUMIF('Executive Pay Breakdown'!S:S,$B381,'Executive Pay Breakdown'!U:U)+SUMIF('Executive Pay Breakdown'!W:W,$B381,'Executive Pay Breakdown'!Y:Y)+SUMIF('Executive Pay Breakdown'!AA:AA,$B381,'Executive Pay Breakdown'!AC:AC)</f>
        <v>4574747</v>
      </c>
      <c r="J381" s="109"/>
      <c r="K381" s="69">
        <f>SUMIF('Executive Pay Breakdown'!K:K,$B381,'Executive Pay Breakdown'!M:M)</f>
        <v>0</v>
      </c>
      <c r="L381" s="69">
        <f>SUMIF('Executive Pay Breakdown'!O:O,$B381,'Executive Pay Breakdown'!Q:Q)</f>
        <v>0</v>
      </c>
      <c r="M381" s="69">
        <f>SUMIF('Executive Pay Breakdown'!S:S,$B381,'Executive Pay Breakdown'!U:U)</f>
        <v>0</v>
      </c>
      <c r="N381" s="69">
        <f>SUMIF('Executive Pay Breakdown'!W:W,$B381,'Executive Pay Breakdown'!Y:Y)</f>
        <v>4574747</v>
      </c>
      <c r="O381" s="69">
        <f>SUMIF('Executive Pay Breakdown'!AA:AA,$B381,'Executive Pay Breakdown'!AC:AC)</f>
        <v>0</v>
      </c>
    </row>
    <row r="382" hidden="1">
      <c r="A382" s="71"/>
      <c r="B382" s="141" t="s">
        <v>492</v>
      </c>
      <c r="C382" s="118" t="s">
        <v>16</v>
      </c>
      <c r="D382" s="122"/>
      <c r="E382" s="90"/>
      <c r="F382" s="88"/>
      <c r="G382" s="118"/>
      <c r="H382" s="120"/>
      <c r="I382" s="89">
        <f>SUMIF('Executive Pay Breakdown'!K:K,$B382,'Executive Pay Breakdown'!M:M)+SUMIF('Executive Pay Breakdown'!O:O,$B382,'Executive Pay Breakdown'!Q:Q)+SUMIF('Executive Pay Breakdown'!S:S,$B382,'Executive Pay Breakdown'!U:U)+SUMIF('Executive Pay Breakdown'!W:W,$B382,'Executive Pay Breakdown'!Y:Y)+SUMIF('Executive Pay Breakdown'!AA:AA,$B382,'Executive Pay Breakdown'!AC:AC)</f>
        <v>17590023</v>
      </c>
      <c r="J382" s="109"/>
      <c r="K382" s="69">
        <f>SUMIF('Executive Pay Breakdown'!K:K,$B382,'Executive Pay Breakdown'!M:M)</f>
        <v>6904506</v>
      </c>
      <c r="L382" s="69">
        <f>SUMIF('Executive Pay Breakdown'!O:O,$B382,'Executive Pay Breakdown'!Q:Q)</f>
        <v>5329418</v>
      </c>
      <c r="M382" s="69">
        <f>SUMIF('Executive Pay Breakdown'!S:S,$B382,'Executive Pay Breakdown'!U:U)</f>
        <v>5356099</v>
      </c>
      <c r="N382" s="69">
        <f>SUMIF('Executive Pay Breakdown'!W:W,$B382,'Executive Pay Breakdown'!Y:Y)</f>
        <v>0</v>
      </c>
      <c r="O382" s="69">
        <f>SUMIF('Executive Pay Breakdown'!AA:AA,$B382,'Executive Pay Breakdown'!AC:AC)</f>
        <v>0</v>
      </c>
    </row>
    <row r="383" hidden="1">
      <c r="A383" s="62"/>
      <c r="B383" s="86" t="s">
        <v>493</v>
      </c>
      <c r="C383" s="118" t="s">
        <v>33</v>
      </c>
      <c r="D383" s="118"/>
      <c r="E383" s="90"/>
      <c r="F383" s="88"/>
      <c r="G383" s="118"/>
      <c r="H383" s="120"/>
      <c r="I383" s="89">
        <f>SUMIF('Executive Pay Breakdown'!K:K,$B383,'Executive Pay Breakdown'!M:M)+SUMIF('Executive Pay Breakdown'!O:O,$B383,'Executive Pay Breakdown'!Q:Q)+SUMIF('Executive Pay Breakdown'!S:S,$B383,'Executive Pay Breakdown'!U:U)+SUMIF('Executive Pay Breakdown'!W:W,$B383,'Executive Pay Breakdown'!Y:Y)+SUMIF('Executive Pay Breakdown'!AA:AA,$B383,'Executive Pay Breakdown'!AC:AC)</f>
        <v>7840870</v>
      </c>
      <c r="J383" s="109"/>
      <c r="K383" s="69">
        <f>SUMIF('Executive Pay Breakdown'!K:K,$B383,'Executive Pay Breakdown'!M:M)</f>
        <v>0</v>
      </c>
      <c r="L383" s="69">
        <f>SUMIF('Executive Pay Breakdown'!O:O,$B383,'Executive Pay Breakdown'!Q:Q)</f>
        <v>0</v>
      </c>
      <c r="M383" s="69">
        <f>SUMIF('Executive Pay Breakdown'!S:S,$B383,'Executive Pay Breakdown'!U:U)</f>
        <v>0</v>
      </c>
      <c r="N383" s="69">
        <f>SUMIF('Executive Pay Breakdown'!W:W,$B383,'Executive Pay Breakdown'!Y:Y)</f>
        <v>3746367</v>
      </c>
      <c r="O383" s="69">
        <f>SUMIF('Executive Pay Breakdown'!AA:AA,$B383,'Executive Pay Breakdown'!AC:AC)</f>
        <v>4094503</v>
      </c>
    </row>
    <row r="384" hidden="1">
      <c r="A384" s="62"/>
      <c r="B384" s="86" t="s">
        <v>494</v>
      </c>
      <c r="C384" s="118" t="s">
        <v>37</v>
      </c>
      <c r="D384" s="118"/>
      <c r="E384" s="90"/>
      <c r="F384" s="88"/>
      <c r="G384" s="118"/>
      <c r="H384" s="120"/>
      <c r="I384" s="89">
        <f>SUMIF('Executive Pay Breakdown'!K:K,$B384,'Executive Pay Breakdown'!M:M)+SUMIF('Executive Pay Breakdown'!O:O,$B384,'Executive Pay Breakdown'!Q:Q)+SUMIF('Executive Pay Breakdown'!S:S,$B384,'Executive Pay Breakdown'!U:U)+SUMIF('Executive Pay Breakdown'!W:W,$B384,'Executive Pay Breakdown'!Y:Y)+SUMIF('Executive Pay Breakdown'!AA:AA,$B384,'Executive Pay Breakdown'!AC:AC)</f>
        <v>10736331</v>
      </c>
      <c r="J384" s="109"/>
      <c r="K384" s="69">
        <f>SUMIF('Executive Pay Breakdown'!K:K,$B384,'Executive Pay Breakdown'!M:M)</f>
        <v>0</v>
      </c>
      <c r="L384" s="69">
        <f>SUMIF('Executive Pay Breakdown'!O:O,$B384,'Executive Pay Breakdown'!Q:Q)</f>
        <v>0</v>
      </c>
      <c r="M384" s="69">
        <f>SUMIF('Executive Pay Breakdown'!S:S,$B384,'Executive Pay Breakdown'!U:U)</f>
        <v>3228156</v>
      </c>
      <c r="N384" s="69">
        <f>SUMIF('Executive Pay Breakdown'!W:W,$B384,'Executive Pay Breakdown'!Y:Y)</f>
        <v>4507984</v>
      </c>
      <c r="O384" s="69">
        <f>SUMIF('Executive Pay Breakdown'!AA:AA,$B384,'Executive Pay Breakdown'!AC:AC)</f>
        <v>3000191</v>
      </c>
    </row>
    <row r="385" hidden="1">
      <c r="A385" s="62"/>
      <c r="B385" s="86" t="s">
        <v>495</v>
      </c>
      <c r="C385" s="118" t="s">
        <v>28</v>
      </c>
      <c r="D385" s="118"/>
      <c r="E385" s="90"/>
      <c r="F385" s="88"/>
      <c r="G385" s="118"/>
      <c r="H385" s="120"/>
      <c r="I385" s="89">
        <f>SUMIF('Executive Pay Breakdown'!K:K,$B385,'Executive Pay Breakdown'!M:M)+SUMIF('Executive Pay Breakdown'!O:O,$B385,'Executive Pay Breakdown'!Q:Q)+SUMIF('Executive Pay Breakdown'!S:S,$B385,'Executive Pay Breakdown'!U:U)+SUMIF('Executive Pay Breakdown'!W:W,$B385,'Executive Pay Breakdown'!Y:Y)+SUMIF('Executive Pay Breakdown'!AA:AA,$B385,'Executive Pay Breakdown'!AC:AC)</f>
        <v>9794808</v>
      </c>
      <c r="J385" s="109"/>
      <c r="K385" s="69">
        <f>SUMIF('Executive Pay Breakdown'!K:K,$B385,'Executive Pay Breakdown'!M:M)</f>
        <v>0</v>
      </c>
      <c r="L385" s="69">
        <f>SUMIF('Executive Pay Breakdown'!O:O,$B385,'Executive Pay Breakdown'!Q:Q)</f>
        <v>1611231</v>
      </c>
      <c r="M385" s="69">
        <f>SUMIF('Executive Pay Breakdown'!S:S,$B385,'Executive Pay Breakdown'!U:U)</f>
        <v>2164402</v>
      </c>
      <c r="N385" s="69">
        <f>SUMIF('Executive Pay Breakdown'!W:W,$B385,'Executive Pay Breakdown'!Y:Y)</f>
        <v>3018068</v>
      </c>
      <c r="O385" s="69">
        <f>SUMIF('Executive Pay Breakdown'!AA:AA,$B385,'Executive Pay Breakdown'!AC:AC)</f>
        <v>3001107</v>
      </c>
    </row>
    <row r="386" hidden="1">
      <c r="A386" s="62"/>
      <c r="B386" s="127" t="s">
        <v>496</v>
      </c>
      <c r="C386" s="118" t="s">
        <v>26</v>
      </c>
      <c r="D386" s="122"/>
      <c r="E386" s="90"/>
      <c r="F386" s="88"/>
      <c r="G386" s="118"/>
      <c r="H386" s="120"/>
      <c r="I386" s="89">
        <f>SUMIF('Executive Pay Breakdown'!K:K,$B386,'Executive Pay Breakdown'!M:M)+SUMIF('Executive Pay Breakdown'!O:O,$B386,'Executive Pay Breakdown'!Q:Q)+SUMIF('Executive Pay Breakdown'!S:S,$B386,'Executive Pay Breakdown'!U:U)+SUMIF('Executive Pay Breakdown'!W:W,$B386,'Executive Pay Breakdown'!Y:Y)+SUMIF('Executive Pay Breakdown'!AA:AA,$B386,'Executive Pay Breakdown'!AC:AC)</f>
        <v>9661185</v>
      </c>
      <c r="J386" s="109"/>
      <c r="K386" s="69">
        <f>SUMIF('Executive Pay Breakdown'!K:K,$B386,'Executive Pay Breakdown'!M:M)</f>
        <v>4285186</v>
      </c>
      <c r="L386" s="69">
        <f>SUMIF('Executive Pay Breakdown'!O:O,$B386,'Executive Pay Breakdown'!Q:Q)</f>
        <v>2915854</v>
      </c>
      <c r="M386" s="69">
        <f>SUMIF('Executive Pay Breakdown'!S:S,$B386,'Executive Pay Breakdown'!U:U)</f>
        <v>2460145</v>
      </c>
      <c r="N386" s="69">
        <f>SUMIF('Executive Pay Breakdown'!W:W,$B386,'Executive Pay Breakdown'!Y:Y)</f>
        <v>0</v>
      </c>
      <c r="O386" s="69">
        <f>SUMIF('Executive Pay Breakdown'!AA:AA,$B386,'Executive Pay Breakdown'!AC:AC)</f>
        <v>0</v>
      </c>
    </row>
    <row r="387" hidden="1">
      <c r="A387" s="62"/>
      <c r="B387" s="125" t="s">
        <v>497</v>
      </c>
      <c r="C387" s="118" t="s">
        <v>18</v>
      </c>
      <c r="D387" s="122"/>
      <c r="E387" s="90"/>
      <c r="F387" s="88"/>
      <c r="G387" s="88"/>
      <c r="H387" s="120"/>
      <c r="I387" s="89">
        <f>SUMIF('Executive Pay Breakdown'!K:K,$B387,'Executive Pay Breakdown'!M:M)+SUMIF('Executive Pay Breakdown'!O:O,$B387,'Executive Pay Breakdown'!Q:Q)+SUMIF('Executive Pay Breakdown'!S:S,$B387,'Executive Pay Breakdown'!U:U)+SUMIF('Executive Pay Breakdown'!W:W,$B387,'Executive Pay Breakdown'!Y:Y)+SUMIF('Executive Pay Breakdown'!AA:AA,$B387,'Executive Pay Breakdown'!AC:AC)</f>
        <v>7092124</v>
      </c>
      <c r="J387" s="109"/>
      <c r="K387" s="69">
        <f>SUMIF('Executive Pay Breakdown'!K:K,$B387,'Executive Pay Breakdown'!M:M)</f>
        <v>3503516</v>
      </c>
      <c r="L387" s="69">
        <f>SUMIF('Executive Pay Breakdown'!O:O,$B387,'Executive Pay Breakdown'!Q:Q)</f>
        <v>3588608</v>
      </c>
      <c r="M387" s="69">
        <f>SUMIF('Executive Pay Breakdown'!S:S,$B387,'Executive Pay Breakdown'!U:U)</f>
        <v>0</v>
      </c>
      <c r="N387" s="69">
        <f>SUMIF('Executive Pay Breakdown'!W:W,$B387,'Executive Pay Breakdown'!Y:Y)</f>
        <v>0</v>
      </c>
      <c r="O387" s="69">
        <f>SUMIF('Executive Pay Breakdown'!AA:AA,$B387,'Executive Pay Breakdown'!AC:AC)</f>
        <v>0</v>
      </c>
    </row>
    <row r="388" hidden="1">
      <c r="A388" s="62"/>
      <c r="B388" s="127" t="s">
        <v>498</v>
      </c>
      <c r="C388" s="118" t="s">
        <v>26</v>
      </c>
      <c r="D388" s="118"/>
      <c r="E388" s="90"/>
      <c r="F388" s="88"/>
      <c r="G388" s="118"/>
      <c r="H388" s="120"/>
      <c r="I388" s="89">
        <f>SUMIF('Executive Pay Breakdown'!K:K,$B388,'Executive Pay Breakdown'!M:M)+SUMIF('Executive Pay Breakdown'!O:O,$B388,'Executive Pay Breakdown'!Q:Q)+SUMIF('Executive Pay Breakdown'!S:S,$B388,'Executive Pay Breakdown'!U:U)+SUMIF('Executive Pay Breakdown'!W:W,$B388,'Executive Pay Breakdown'!Y:Y)+SUMIF('Executive Pay Breakdown'!AA:AA,$B388,'Executive Pay Breakdown'!AC:AC)</f>
        <v>9565529</v>
      </c>
      <c r="J388" s="109"/>
      <c r="K388" s="69">
        <f>SUMIF('Executive Pay Breakdown'!K:K,$B388,'Executive Pay Breakdown'!M:M)</f>
        <v>0</v>
      </c>
      <c r="L388" s="69">
        <f>SUMIF('Executive Pay Breakdown'!O:O,$B388,'Executive Pay Breakdown'!Q:Q)</f>
        <v>0</v>
      </c>
      <c r="M388" s="69">
        <f>SUMIF('Executive Pay Breakdown'!S:S,$B388,'Executive Pay Breakdown'!U:U)</f>
        <v>3621511</v>
      </c>
      <c r="N388" s="69">
        <f>SUMIF('Executive Pay Breakdown'!W:W,$B388,'Executive Pay Breakdown'!Y:Y)</f>
        <v>3219671</v>
      </c>
      <c r="O388" s="69">
        <f>SUMIF('Executive Pay Breakdown'!AA:AA,$B388,'Executive Pay Breakdown'!AC:AC)</f>
        <v>2724347</v>
      </c>
    </row>
    <row r="389" hidden="1">
      <c r="A389" s="81"/>
      <c r="B389" s="137" t="s">
        <v>499</v>
      </c>
      <c r="C389" s="118" t="str">
        <f t="array" ref="C389">INDEX('Executive Pay Breakdown'!B:B,MATCH(B389,'Executive Pay Breakdown'!K:K,0))</f>
        <v>Reinsurance Group of America</v>
      </c>
      <c r="D389" s="122"/>
      <c r="E389" s="90"/>
      <c r="F389" s="88"/>
      <c r="G389" s="118"/>
      <c r="H389" s="120"/>
      <c r="I389" s="89">
        <f>SUMIF('Executive Pay Breakdown'!K:K,$B389,'Executive Pay Breakdown'!M:M)+SUMIF('Executive Pay Breakdown'!O:O,$B389,'Executive Pay Breakdown'!Q:Q)+SUMIF('Executive Pay Breakdown'!S:S,$B389,'Executive Pay Breakdown'!U:U)+SUMIF('Executive Pay Breakdown'!W:W,$B389,'Executive Pay Breakdown'!Y:Y)+SUMIF('Executive Pay Breakdown'!AA:AA,$B389,'Executive Pay Breakdown'!AC:AC)</f>
        <v>9632203</v>
      </c>
      <c r="J389" s="109"/>
      <c r="K389" s="69">
        <f>SUMIF('Executive Pay Breakdown'!K:K,$B389,'Executive Pay Breakdown'!M:M)</f>
        <v>2769612</v>
      </c>
      <c r="L389" s="69">
        <f>SUMIF('Executive Pay Breakdown'!O:O,$B389,'Executive Pay Breakdown'!Q:Q)</f>
        <v>2474653</v>
      </c>
      <c r="M389" s="69">
        <f>SUMIF('Executive Pay Breakdown'!S:S,$B389,'Executive Pay Breakdown'!U:U)</f>
        <v>1785336</v>
      </c>
      <c r="N389" s="69">
        <f>SUMIF('Executive Pay Breakdown'!W:W,$B389,'Executive Pay Breakdown'!Y:Y)</f>
        <v>2602602</v>
      </c>
      <c r="O389" s="69">
        <f>SUMIF('Executive Pay Breakdown'!AA:AA,$B389,'Executive Pay Breakdown'!AC:AC)</f>
        <v>0</v>
      </c>
    </row>
    <row r="390" hidden="1">
      <c r="A390" s="62"/>
      <c r="B390" s="87" t="s">
        <v>500</v>
      </c>
      <c r="C390" s="118" t="s">
        <v>73</v>
      </c>
      <c r="D390" s="122"/>
      <c r="E390" s="90"/>
      <c r="F390" s="88"/>
      <c r="G390" s="118"/>
      <c r="H390" s="120"/>
      <c r="I390" s="89">
        <f>SUMIF('Executive Pay Breakdown'!K:K,$B390,'Executive Pay Breakdown'!M:M)+SUMIF('Executive Pay Breakdown'!O:O,$B390,'Executive Pay Breakdown'!Q:Q)+SUMIF('Executive Pay Breakdown'!S:S,$B390,'Executive Pay Breakdown'!U:U)+SUMIF('Executive Pay Breakdown'!W:W,$B390,'Executive Pay Breakdown'!Y:Y)+SUMIF('Executive Pay Breakdown'!AA:AA,$B390,'Executive Pay Breakdown'!AC:AC)</f>
        <v>7221173</v>
      </c>
      <c r="J390" s="109"/>
      <c r="K390" s="69">
        <f>SUMIF('Executive Pay Breakdown'!K:K,$B390,'Executive Pay Breakdown'!M:M)</f>
        <v>7221173</v>
      </c>
      <c r="L390" s="69">
        <f>SUMIF('Executive Pay Breakdown'!O:O,$B390,'Executive Pay Breakdown'!Q:Q)</f>
        <v>0</v>
      </c>
      <c r="M390" s="69">
        <f>SUMIF('Executive Pay Breakdown'!S:S,$B390,'Executive Pay Breakdown'!U:U)</f>
        <v>0</v>
      </c>
      <c r="N390" s="69">
        <f>SUMIF('Executive Pay Breakdown'!W:W,$B390,'Executive Pay Breakdown'!Y:Y)</f>
        <v>0</v>
      </c>
      <c r="O390" s="69">
        <f>SUMIF('Executive Pay Breakdown'!AA:AA,$B390,'Executive Pay Breakdown'!AC:AC)</f>
        <v>0</v>
      </c>
    </row>
    <row r="391" hidden="1">
      <c r="A391" s="62"/>
      <c r="B391" s="86" t="s">
        <v>501</v>
      </c>
      <c r="C391" s="118" t="s">
        <v>31</v>
      </c>
      <c r="D391" s="118"/>
      <c r="E391" s="90"/>
      <c r="F391" s="88"/>
      <c r="G391" s="118"/>
      <c r="H391" s="120"/>
      <c r="I391" s="89">
        <f>SUMIF('Executive Pay Breakdown'!K:K,$B391,'Executive Pay Breakdown'!M:M)+SUMIF('Executive Pay Breakdown'!O:O,$B391,'Executive Pay Breakdown'!Q:Q)+SUMIF('Executive Pay Breakdown'!S:S,$B391,'Executive Pay Breakdown'!U:U)+SUMIF('Executive Pay Breakdown'!W:W,$B391,'Executive Pay Breakdown'!Y:Y)+SUMIF('Executive Pay Breakdown'!AA:AA,$B391,'Executive Pay Breakdown'!AC:AC)</f>
        <v>10454208</v>
      </c>
      <c r="J391" s="109"/>
      <c r="K391" s="69">
        <f>SUMIF('Executive Pay Breakdown'!K:K,$B391,'Executive Pay Breakdown'!M:M)</f>
        <v>0</v>
      </c>
      <c r="L391" s="69">
        <f>SUMIF('Executive Pay Breakdown'!O:O,$B391,'Executive Pay Breakdown'!Q:Q)</f>
        <v>2499003</v>
      </c>
      <c r="M391" s="69">
        <f>SUMIF('Executive Pay Breakdown'!S:S,$B391,'Executive Pay Breakdown'!U:U)</f>
        <v>2456931</v>
      </c>
      <c r="N391" s="69">
        <f>SUMIF('Executive Pay Breakdown'!W:W,$B391,'Executive Pay Breakdown'!Y:Y)</f>
        <v>2460369</v>
      </c>
      <c r="O391" s="69">
        <f>SUMIF('Executive Pay Breakdown'!AA:AA,$B391,'Executive Pay Breakdown'!AC:AC)</f>
        <v>3037905</v>
      </c>
    </row>
    <row r="392" hidden="1">
      <c r="A392" s="62"/>
      <c r="B392" s="125" t="s">
        <v>502</v>
      </c>
      <c r="C392" s="118" t="s">
        <v>21</v>
      </c>
      <c r="D392" s="122"/>
      <c r="E392" s="90"/>
      <c r="F392" s="88"/>
      <c r="G392" s="118"/>
      <c r="H392" s="120"/>
      <c r="I392" s="89">
        <f>SUMIF('Executive Pay Breakdown'!K:K,$B392,'Executive Pay Breakdown'!M:M)+SUMIF('Executive Pay Breakdown'!O:O,$B392,'Executive Pay Breakdown'!Q:Q)+SUMIF('Executive Pay Breakdown'!S:S,$B392,'Executive Pay Breakdown'!U:U)+SUMIF('Executive Pay Breakdown'!W:W,$B392,'Executive Pay Breakdown'!Y:Y)+SUMIF('Executive Pay Breakdown'!AA:AA,$B392,'Executive Pay Breakdown'!AC:AC)</f>
        <v>8920067</v>
      </c>
      <c r="J392" s="109"/>
      <c r="K392" s="69">
        <f>SUMIF('Executive Pay Breakdown'!K:K,$B392,'Executive Pay Breakdown'!M:M)</f>
        <v>3090518</v>
      </c>
      <c r="L392" s="69">
        <f>SUMIF('Executive Pay Breakdown'!O:O,$B392,'Executive Pay Breakdown'!Q:Q)</f>
        <v>2984497</v>
      </c>
      <c r="M392" s="69">
        <f>SUMIF('Executive Pay Breakdown'!S:S,$B392,'Executive Pay Breakdown'!U:U)</f>
        <v>2845052</v>
      </c>
      <c r="N392" s="69">
        <f>SUMIF('Executive Pay Breakdown'!W:W,$B392,'Executive Pay Breakdown'!Y:Y)</f>
        <v>0</v>
      </c>
      <c r="O392" s="69">
        <f>SUMIF('Executive Pay Breakdown'!AA:AA,$B392,'Executive Pay Breakdown'!AC:AC)</f>
        <v>0</v>
      </c>
    </row>
    <row r="393" hidden="1">
      <c r="A393" s="71"/>
      <c r="B393" s="124" t="s">
        <v>503</v>
      </c>
      <c r="C393" s="118" t="s">
        <v>54</v>
      </c>
      <c r="D393" s="122"/>
      <c r="E393" s="90"/>
      <c r="F393" s="88"/>
      <c r="G393" s="118"/>
      <c r="H393" s="120"/>
      <c r="I393" s="89">
        <f>SUMIF('Executive Pay Breakdown'!K:K,$B393,'Executive Pay Breakdown'!M:M)+SUMIF('Executive Pay Breakdown'!O:O,$B393,'Executive Pay Breakdown'!Q:Q)+SUMIF('Executive Pay Breakdown'!S:S,$B393,'Executive Pay Breakdown'!U:U)+SUMIF('Executive Pay Breakdown'!W:W,$B393,'Executive Pay Breakdown'!Y:Y)+SUMIF('Executive Pay Breakdown'!AA:AA,$B393,'Executive Pay Breakdown'!AC:AC)</f>
        <v>4484508</v>
      </c>
      <c r="J393" s="109"/>
      <c r="K393" s="69">
        <f>SUMIF('Executive Pay Breakdown'!K:K,$B393,'Executive Pay Breakdown'!M:M)</f>
        <v>4484508</v>
      </c>
      <c r="L393" s="69">
        <f>SUMIF('Executive Pay Breakdown'!O:O,$B393,'Executive Pay Breakdown'!Q:Q)</f>
        <v>0</v>
      </c>
      <c r="M393" s="69">
        <f>SUMIF('Executive Pay Breakdown'!S:S,$B393,'Executive Pay Breakdown'!U:U)</f>
        <v>0</v>
      </c>
      <c r="N393" s="69">
        <f>SUMIF('Executive Pay Breakdown'!W:W,$B393,'Executive Pay Breakdown'!Y:Y)</f>
        <v>0</v>
      </c>
      <c r="O393" s="69">
        <f>SUMIF('Executive Pay Breakdown'!AA:AA,$B393,'Executive Pay Breakdown'!AC:AC)</f>
        <v>0</v>
      </c>
    </row>
    <row r="394" hidden="1">
      <c r="A394" s="81"/>
      <c r="B394" s="87" t="s">
        <v>504</v>
      </c>
      <c r="C394" s="118" t="s">
        <v>52</v>
      </c>
      <c r="D394" s="122"/>
      <c r="E394" s="90"/>
      <c r="F394" s="88"/>
      <c r="G394" s="118"/>
      <c r="H394" s="120"/>
      <c r="I394" s="89">
        <f>SUMIF('Executive Pay Breakdown'!K:K,$B394,'Executive Pay Breakdown'!M:M)+SUMIF('Executive Pay Breakdown'!O:O,$B394,'Executive Pay Breakdown'!Q:Q)+SUMIF('Executive Pay Breakdown'!S:S,$B394,'Executive Pay Breakdown'!U:U)+SUMIF('Executive Pay Breakdown'!W:W,$B394,'Executive Pay Breakdown'!Y:Y)+SUMIF('Executive Pay Breakdown'!AA:AA,$B394,'Executive Pay Breakdown'!AC:AC)</f>
        <v>13064275</v>
      </c>
      <c r="J394" s="109"/>
      <c r="K394" s="69">
        <f>SUMIF('Executive Pay Breakdown'!K:K,$B394,'Executive Pay Breakdown'!M:M)</f>
        <v>4580333</v>
      </c>
      <c r="L394" s="69">
        <f>SUMIF('Executive Pay Breakdown'!O:O,$B394,'Executive Pay Breakdown'!Q:Q)</f>
        <v>4663979</v>
      </c>
      <c r="M394" s="69">
        <f>SUMIF('Executive Pay Breakdown'!S:S,$B394,'Executive Pay Breakdown'!U:U)</f>
        <v>3819963</v>
      </c>
      <c r="N394" s="69">
        <f>SUMIF('Executive Pay Breakdown'!W:W,$B394,'Executive Pay Breakdown'!Y:Y)</f>
        <v>0</v>
      </c>
      <c r="O394" s="69">
        <f>SUMIF('Executive Pay Breakdown'!AA:AA,$B394,'Executive Pay Breakdown'!AC:AC)</f>
        <v>0</v>
      </c>
    </row>
    <row r="395" hidden="1">
      <c r="A395" s="62"/>
      <c r="B395" s="86" t="s">
        <v>505</v>
      </c>
      <c r="C395" s="118" t="s">
        <v>42</v>
      </c>
      <c r="D395" s="118"/>
      <c r="E395" s="90"/>
      <c r="F395" s="88"/>
      <c r="G395" s="118"/>
      <c r="H395" s="120"/>
      <c r="I395" s="89">
        <f>SUMIF('Executive Pay Breakdown'!K:K,$B395,'Executive Pay Breakdown'!M:M)+SUMIF('Executive Pay Breakdown'!O:O,$B395,'Executive Pay Breakdown'!Q:Q)+SUMIF('Executive Pay Breakdown'!S:S,$B395,'Executive Pay Breakdown'!U:U)+SUMIF('Executive Pay Breakdown'!W:W,$B395,'Executive Pay Breakdown'!Y:Y)+SUMIF('Executive Pay Breakdown'!AA:AA,$B395,'Executive Pay Breakdown'!AC:AC)</f>
        <v>6405961</v>
      </c>
      <c r="J395" s="109"/>
      <c r="K395" s="69">
        <f>SUMIF('Executive Pay Breakdown'!K:K,$B395,'Executive Pay Breakdown'!M:M)</f>
        <v>0</v>
      </c>
      <c r="L395" s="69">
        <f>SUMIF('Executive Pay Breakdown'!O:O,$B395,'Executive Pay Breakdown'!Q:Q)</f>
        <v>1688448</v>
      </c>
      <c r="M395" s="69">
        <f>SUMIF('Executive Pay Breakdown'!S:S,$B395,'Executive Pay Breakdown'!U:U)</f>
        <v>1520056</v>
      </c>
      <c r="N395" s="69">
        <f>SUMIF('Executive Pay Breakdown'!W:W,$B395,'Executive Pay Breakdown'!Y:Y)</f>
        <v>1670935</v>
      </c>
      <c r="O395" s="69">
        <f>SUMIF('Executive Pay Breakdown'!AA:AA,$B395,'Executive Pay Breakdown'!AC:AC)</f>
        <v>1526522</v>
      </c>
    </row>
    <row r="396" hidden="1">
      <c r="A396" s="62"/>
      <c r="B396" s="86" t="s">
        <v>506</v>
      </c>
      <c r="C396" s="118" t="s">
        <v>44</v>
      </c>
      <c r="D396" s="118"/>
      <c r="E396" s="90"/>
      <c r="F396" s="88"/>
      <c r="G396" s="118"/>
      <c r="H396" s="120"/>
      <c r="I396" s="89">
        <f>SUMIF('Executive Pay Breakdown'!K:K,$B396,'Executive Pay Breakdown'!M:M)+SUMIF('Executive Pay Breakdown'!O:O,$B396,'Executive Pay Breakdown'!Q:Q)+SUMIF('Executive Pay Breakdown'!S:S,$B396,'Executive Pay Breakdown'!U:U)+SUMIF('Executive Pay Breakdown'!W:W,$B396,'Executive Pay Breakdown'!Y:Y)+SUMIF('Executive Pay Breakdown'!AA:AA,$B396,'Executive Pay Breakdown'!AC:AC)</f>
        <v>6315554</v>
      </c>
      <c r="J396" s="109"/>
      <c r="K396" s="69">
        <f>SUMIF('Executive Pay Breakdown'!K:K,$B396,'Executive Pay Breakdown'!M:M)</f>
        <v>0</v>
      </c>
      <c r="L396" s="69">
        <f>SUMIF('Executive Pay Breakdown'!O:O,$B396,'Executive Pay Breakdown'!Q:Q)</f>
        <v>0</v>
      </c>
      <c r="M396" s="69">
        <f>SUMIF('Executive Pay Breakdown'!S:S,$B396,'Executive Pay Breakdown'!U:U)</f>
        <v>0</v>
      </c>
      <c r="N396" s="69">
        <f>SUMIF('Executive Pay Breakdown'!W:W,$B396,'Executive Pay Breakdown'!Y:Y)</f>
        <v>0</v>
      </c>
      <c r="O396" s="69">
        <f>SUMIF('Executive Pay Breakdown'!AA:AA,$B396,'Executive Pay Breakdown'!AC:AC)</f>
        <v>6315554</v>
      </c>
    </row>
    <row r="397" hidden="1">
      <c r="A397" s="62"/>
      <c r="B397" s="86" t="s">
        <v>507</v>
      </c>
      <c r="C397" s="118" t="s">
        <v>39</v>
      </c>
      <c r="D397" s="118"/>
      <c r="E397" s="90"/>
      <c r="F397" s="88"/>
      <c r="G397" s="118"/>
      <c r="H397" s="120"/>
      <c r="I397" s="89">
        <f>SUMIF('Executive Pay Breakdown'!K:K,$B397,'Executive Pay Breakdown'!M:M)+SUMIF('Executive Pay Breakdown'!O:O,$B397,'Executive Pay Breakdown'!Q:Q)+SUMIF('Executive Pay Breakdown'!S:S,$B397,'Executive Pay Breakdown'!U:U)+SUMIF('Executive Pay Breakdown'!W:W,$B397,'Executive Pay Breakdown'!Y:Y)+SUMIF('Executive Pay Breakdown'!AA:AA,$B397,'Executive Pay Breakdown'!AC:AC)</f>
        <v>10458545</v>
      </c>
      <c r="J397" s="109"/>
      <c r="K397" s="69">
        <f>SUMIF('Executive Pay Breakdown'!K:K,$B397,'Executive Pay Breakdown'!M:M)</f>
        <v>0</v>
      </c>
      <c r="L397" s="69">
        <f>SUMIF('Executive Pay Breakdown'!O:O,$B397,'Executive Pay Breakdown'!Q:Q)</f>
        <v>3142098</v>
      </c>
      <c r="M397" s="69">
        <f>SUMIF('Executive Pay Breakdown'!S:S,$B397,'Executive Pay Breakdown'!U:U)</f>
        <v>2849424</v>
      </c>
      <c r="N397" s="69">
        <f>SUMIF('Executive Pay Breakdown'!W:W,$B397,'Executive Pay Breakdown'!Y:Y)</f>
        <v>1991581</v>
      </c>
      <c r="O397" s="69">
        <f>SUMIF('Executive Pay Breakdown'!AA:AA,$B397,'Executive Pay Breakdown'!AC:AC)</f>
        <v>2475442</v>
      </c>
    </row>
    <row r="398" hidden="1">
      <c r="A398" s="62"/>
      <c r="B398" s="86" t="s">
        <v>508</v>
      </c>
      <c r="C398" s="117" t="s">
        <v>61</v>
      </c>
      <c r="D398" s="118"/>
      <c r="E398" s="90"/>
      <c r="F398" s="88"/>
      <c r="G398" s="118"/>
      <c r="H398" s="120"/>
      <c r="I398" s="89">
        <f>SUMIF('Executive Pay Breakdown'!K:K,$B398,'Executive Pay Breakdown'!M:M)+SUMIF('Executive Pay Breakdown'!O:O,$B398,'Executive Pay Breakdown'!Q:Q)+SUMIF('Executive Pay Breakdown'!S:S,$B398,'Executive Pay Breakdown'!U:U)+SUMIF('Executive Pay Breakdown'!W:W,$B398,'Executive Pay Breakdown'!Y:Y)+SUMIF('Executive Pay Breakdown'!AA:AA,$B398,'Executive Pay Breakdown'!AC:AC)</f>
        <v>17767511</v>
      </c>
      <c r="J398" s="109"/>
      <c r="K398" s="69">
        <f>SUMIF('Executive Pay Breakdown'!K:K,$B398,'Executive Pay Breakdown'!M:M)</f>
        <v>0</v>
      </c>
      <c r="L398" s="69">
        <f>SUMIF('Executive Pay Breakdown'!O:O,$B398,'Executive Pay Breakdown'!Q:Q)</f>
        <v>0</v>
      </c>
      <c r="M398" s="69">
        <f>SUMIF('Executive Pay Breakdown'!S:S,$B398,'Executive Pay Breakdown'!U:U)</f>
        <v>6355678</v>
      </c>
      <c r="N398" s="69">
        <f>SUMIF('Executive Pay Breakdown'!W:W,$B398,'Executive Pay Breakdown'!Y:Y)</f>
        <v>6039497</v>
      </c>
      <c r="O398" s="69">
        <f>SUMIF('Executive Pay Breakdown'!AA:AA,$B398,'Executive Pay Breakdown'!AC:AC)</f>
        <v>5372336</v>
      </c>
    </row>
    <row r="399" hidden="1">
      <c r="A399" s="81"/>
      <c r="B399" s="133" t="s">
        <v>509</v>
      </c>
      <c r="C399" s="118" t="s">
        <v>50</v>
      </c>
      <c r="D399" s="118"/>
      <c r="E399" s="90"/>
      <c r="F399" s="88"/>
      <c r="G399" s="118"/>
      <c r="H399" s="120"/>
      <c r="I399" s="89">
        <f>SUMIF('Executive Pay Breakdown'!K:K,$B399,'Executive Pay Breakdown'!M:M)+SUMIF('Executive Pay Breakdown'!O:O,$B399,'Executive Pay Breakdown'!Q:Q)+SUMIF('Executive Pay Breakdown'!S:S,$B399,'Executive Pay Breakdown'!U:U)+SUMIF('Executive Pay Breakdown'!W:W,$B399,'Executive Pay Breakdown'!Y:Y)+SUMIF('Executive Pay Breakdown'!AA:AA,$B399,'Executive Pay Breakdown'!AC:AC)</f>
        <v>6939180</v>
      </c>
      <c r="J399" s="109"/>
      <c r="K399" s="69">
        <f>SUMIF('Executive Pay Breakdown'!K:K,$B399,'Executive Pay Breakdown'!M:M)</f>
        <v>0</v>
      </c>
      <c r="L399" s="69">
        <f>SUMIF('Executive Pay Breakdown'!O:O,$B399,'Executive Pay Breakdown'!Q:Q)</f>
        <v>0</v>
      </c>
      <c r="M399" s="69">
        <f>SUMIF('Executive Pay Breakdown'!S:S,$B399,'Executive Pay Breakdown'!U:U)</f>
        <v>0</v>
      </c>
      <c r="N399" s="69">
        <f>SUMIF('Executive Pay Breakdown'!W:W,$B399,'Executive Pay Breakdown'!Y:Y)</f>
        <v>0</v>
      </c>
      <c r="O399" s="69">
        <f>SUMIF('Executive Pay Breakdown'!AA:AA,$B399,'Executive Pay Breakdown'!AC:AC)</f>
        <v>6939180</v>
      </c>
    </row>
    <row r="400" hidden="1">
      <c r="A400" s="62"/>
      <c r="B400" s="87" t="s">
        <v>510</v>
      </c>
      <c r="C400" s="118" t="s">
        <v>73</v>
      </c>
      <c r="D400" s="122"/>
      <c r="E400" s="90"/>
      <c r="F400" s="88"/>
      <c r="G400" s="118"/>
      <c r="H400" s="120"/>
      <c r="I400" s="89">
        <f>SUMIF('Executive Pay Breakdown'!K:K,$B400,'Executive Pay Breakdown'!M:M)+SUMIF('Executive Pay Breakdown'!O:O,$B400,'Executive Pay Breakdown'!Q:Q)+SUMIF('Executive Pay Breakdown'!S:S,$B400,'Executive Pay Breakdown'!U:U)+SUMIF('Executive Pay Breakdown'!W:W,$B400,'Executive Pay Breakdown'!Y:Y)+SUMIF('Executive Pay Breakdown'!AA:AA,$B400,'Executive Pay Breakdown'!AC:AC)</f>
        <v>6889342</v>
      </c>
      <c r="J400" s="109"/>
      <c r="K400" s="69">
        <f>SUMIF('Executive Pay Breakdown'!K:K,$B400,'Executive Pay Breakdown'!M:M)</f>
        <v>6889342</v>
      </c>
      <c r="L400" s="69">
        <f>SUMIF('Executive Pay Breakdown'!O:O,$B400,'Executive Pay Breakdown'!Q:Q)</f>
        <v>0</v>
      </c>
      <c r="M400" s="69">
        <f>SUMIF('Executive Pay Breakdown'!S:S,$B400,'Executive Pay Breakdown'!U:U)</f>
        <v>0</v>
      </c>
      <c r="N400" s="69">
        <f>SUMIF('Executive Pay Breakdown'!W:W,$B400,'Executive Pay Breakdown'!Y:Y)</f>
        <v>0</v>
      </c>
      <c r="O400" s="69">
        <f>SUMIF('Executive Pay Breakdown'!AA:AA,$B400,'Executive Pay Breakdown'!AC:AC)</f>
        <v>0</v>
      </c>
    </row>
    <row r="401" hidden="1">
      <c r="A401" s="71"/>
      <c r="B401" s="124" t="s">
        <v>511</v>
      </c>
      <c r="C401" s="118" t="s">
        <v>55</v>
      </c>
      <c r="D401" s="118"/>
      <c r="E401" s="90"/>
      <c r="F401" s="88"/>
      <c r="G401" s="118"/>
      <c r="H401" s="120"/>
      <c r="I401" s="89">
        <f>SUMIF('Executive Pay Breakdown'!K:K,$B401,'Executive Pay Breakdown'!M:M)+SUMIF('Executive Pay Breakdown'!O:O,$B401,'Executive Pay Breakdown'!Q:Q)+SUMIF('Executive Pay Breakdown'!S:S,$B401,'Executive Pay Breakdown'!U:U)+SUMIF('Executive Pay Breakdown'!W:W,$B401,'Executive Pay Breakdown'!Y:Y)+SUMIF('Executive Pay Breakdown'!AA:AA,$B401,'Executive Pay Breakdown'!AC:AC)</f>
        <v>5361177</v>
      </c>
      <c r="J401" s="109"/>
      <c r="K401" s="69">
        <f>SUMIF('Executive Pay Breakdown'!K:K,$B401,'Executive Pay Breakdown'!M:M)</f>
        <v>0</v>
      </c>
      <c r="L401" s="69">
        <f>SUMIF('Executive Pay Breakdown'!O:O,$B401,'Executive Pay Breakdown'!Q:Q)</f>
        <v>0</v>
      </c>
      <c r="M401" s="69">
        <f>SUMIF('Executive Pay Breakdown'!S:S,$B401,'Executive Pay Breakdown'!U:U)</f>
        <v>5361177</v>
      </c>
      <c r="N401" s="69">
        <f>SUMIF('Executive Pay Breakdown'!W:W,$B401,'Executive Pay Breakdown'!Y:Y)</f>
        <v>0</v>
      </c>
      <c r="O401" s="69">
        <f>SUMIF('Executive Pay Breakdown'!AA:AA,$B401,'Executive Pay Breakdown'!AC:AC)</f>
        <v>0</v>
      </c>
    </row>
    <row r="402" hidden="1">
      <c r="A402" s="62"/>
      <c r="B402" s="127" t="s">
        <v>512</v>
      </c>
      <c r="C402" s="118" t="s">
        <v>30</v>
      </c>
      <c r="D402" s="122"/>
      <c r="E402" s="90"/>
      <c r="F402" s="88"/>
      <c r="G402" s="118"/>
      <c r="H402" s="120"/>
      <c r="I402" s="89">
        <f>SUMIF('Executive Pay Breakdown'!K:K,$B402,'Executive Pay Breakdown'!M:M)+SUMIF('Executive Pay Breakdown'!O:O,$B402,'Executive Pay Breakdown'!Q:Q)+SUMIF('Executive Pay Breakdown'!S:S,$B402,'Executive Pay Breakdown'!U:U)+SUMIF('Executive Pay Breakdown'!W:W,$B402,'Executive Pay Breakdown'!Y:Y)+SUMIF('Executive Pay Breakdown'!AA:AA,$B402,'Executive Pay Breakdown'!AC:AC)</f>
        <v>8494515</v>
      </c>
      <c r="J402" s="109"/>
      <c r="K402" s="69">
        <f>SUMIF('Executive Pay Breakdown'!K:K,$B402,'Executive Pay Breakdown'!M:M)</f>
        <v>2811718</v>
      </c>
      <c r="L402" s="69">
        <f>SUMIF('Executive Pay Breakdown'!O:O,$B402,'Executive Pay Breakdown'!Q:Q)</f>
        <v>3245159</v>
      </c>
      <c r="M402" s="69">
        <f>SUMIF('Executive Pay Breakdown'!S:S,$B402,'Executive Pay Breakdown'!U:U)</f>
        <v>2437638</v>
      </c>
      <c r="N402" s="69">
        <f>SUMIF('Executive Pay Breakdown'!W:W,$B402,'Executive Pay Breakdown'!Y:Y)</f>
        <v>0</v>
      </c>
      <c r="O402" s="69">
        <f>SUMIF('Executive Pay Breakdown'!AA:AA,$B402,'Executive Pay Breakdown'!AC:AC)</f>
        <v>0</v>
      </c>
    </row>
    <row r="403" hidden="1">
      <c r="A403" s="71"/>
      <c r="B403" s="139" t="s">
        <v>513</v>
      </c>
      <c r="C403" s="118" t="s">
        <v>16</v>
      </c>
      <c r="D403" s="118"/>
      <c r="E403" s="90"/>
      <c r="F403" s="88"/>
      <c r="G403" s="118"/>
      <c r="H403" s="120"/>
      <c r="I403" s="89">
        <f>SUMIF('Executive Pay Breakdown'!K:K,$B403,'Executive Pay Breakdown'!M:M)+SUMIF('Executive Pay Breakdown'!O:O,$B403,'Executive Pay Breakdown'!Q:Q)+SUMIF('Executive Pay Breakdown'!S:S,$B403,'Executive Pay Breakdown'!U:U)+SUMIF('Executive Pay Breakdown'!W:W,$B403,'Executive Pay Breakdown'!Y:Y)+SUMIF('Executive Pay Breakdown'!AA:AA,$B403,'Executive Pay Breakdown'!AC:AC)</f>
        <v>15681088</v>
      </c>
      <c r="J403" s="109"/>
      <c r="K403" s="69">
        <f>SUMIF('Executive Pay Breakdown'!K:K,$B403,'Executive Pay Breakdown'!M:M)</f>
        <v>0</v>
      </c>
      <c r="L403" s="69">
        <f>SUMIF('Executive Pay Breakdown'!O:O,$B403,'Executive Pay Breakdown'!Q:Q)</f>
        <v>0</v>
      </c>
      <c r="M403" s="69">
        <f>SUMIF('Executive Pay Breakdown'!S:S,$B403,'Executive Pay Breakdown'!U:U)</f>
        <v>0</v>
      </c>
      <c r="N403" s="69">
        <f>SUMIF('Executive Pay Breakdown'!W:W,$B403,'Executive Pay Breakdown'!Y:Y)</f>
        <v>9224520</v>
      </c>
      <c r="O403" s="69">
        <f>SUMIF('Executive Pay Breakdown'!AA:AA,$B403,'Executive Pay Breakdown'!AC:AC)</f>
        <v>6456568</v>
      </c>
    </row>
    <row r="404" hidden="1">
      <c r="A404" s="62"/>
      <c r="B404" s="86" t="s">
        <v>514</v>
      </c>
      <c r="C404" s="118" t="s">
        <v>77</v>
      </c>
      <c r="D404" s="122"/>
      <c r="E404" s="90"/>
      <c r="F404" s="88"/>
      <c r="G404" s="118"/>
      <c r="H404" s="120"/>
      <c r="I404" s="89">
        <f>SUMIF('Executive Pay Breakdown'!K:K,$B404,'Executive Pay Breakdown'!M:M)+SUMIF('Executive Pay Breakdown'!O:O,$B404,'Executive Pay Breakdown'!Q:Q)+SUMIF('Executive Pay Breakdown'!S:S,$B404,'Executive Pay Breakdown'!U:U)+SUMIF('Executive Pay Breakdown'!W:W,$B404,'Executive Pay Breakdown'!Y:Y)+SUMIF('Executive Pay Breakdown'!AA:AA,$B404,'Executive Pay Breakdown'!AC:AC)</f>
        <v>3964448</v>
      </c>
      <c r="J404" s="109"/>
      <c r="K404" s="69">
        <f>SUMIF('Executive Pay Breakdown'!K:K,$B404,'Executive Pay Breakdown'!M:M)</f>
        <v>3964448</v>
      </c>
      <c r="L404" s="69">
        <f>SUMIF('Executive Pay Breakdown'!O:O,$B404,'Executive Pay Breakdown'!Q:Q)</f>
        <v>0</v>
      </c>
      <c r="M404" s="69">
        <f>SUMIF('Executive Pay Breakdown'!S:S,$B404,'Executive Pay Breakdown'!U:U)</f>
        <v>0</v>
      </c>
      <c r="N404" s="69">
        <f>SUMIF('Executive Pay Breakdown'!W:W,$B404,'Executive Pay Breakdown'!Y:Y)</f>
        <v>0</v>
      </c>
      <c r="O404" s="69">
        <f>SUMIF('Executive Pay Breakdown'!AA:AA,$B404,'Executive Pay Breakdown'!AC:AC)</f>
        <v>0</v>
      </c>
    </row>
    <row r="405" hidden="1">
      <c r="A405" s="62"/>
      <c r="B405" s="86" t="s">
        <v>515</v>
      </c>
      <c r="C405" s="118" t="s">
        <v>44</v>
      </c>
      <c r="D405" s="118"/>
      <c r="E405" s="90"/>
      <c r="F405" s="88"/>
      <c r="G405" s="118"/>
      <c r="H405" s="120"/>
      <c r="I405" s="89">
        <f>SUMIF('Executive Pay Breakdown'!K:K,$B405,'Executive Pay Breakdown'!M:M)+SUMIF('Executive Pay Breakdown'!O:O,$B405,'Executive Pay Breakdown'!Q:Q)+SUMIF('Executive Pay Breakdown'!S:S,$B405,'Executive Pay Breakdown'!U:U)+SUMIF('Executive Pay Breakdown'!W:W,$B405,'Executive Pay Breakdown'!Y:Y)+SUMIF('Executive Pay Breakdown'!AA:AA,$B405,'Executive Pay Breakdown'!AC:AC)</f>
        <v>6002404</v>
      </c>
      <c r="J405" s="109"/>
      <c r="K405" s="69">
        <f>SUMIF('Executive Pay Breakdown'!K:K,$B405,'Executive Pay Breakdown'!M:M)</f>
        <v>0</v>
      </c>
      <c r="L405" s="69">
        <f>SUMIF('Executive Pay Breakdown'!O:O,$B405,'Executive Pay Breakdown'!Q:Q)</f>
        <v>0</v>
      </c>
      <c r="M405" s="69">
        <f>SUMIF('Executive Pay Breakdown'!S:S,$B405,'Executive Pay Breakdown'!U:U)</f>
        <v>132951</v>
      </c>
      <c r="N405" s="69">
        <f>SUMIF('Executive Pay Breakdown'!W:W,$B405,'Executive Pay Breakdown'!Y:Y)</f>
        <v>3361203</v>
      </c>
      <c r="O405" s="69">
        <f>SUMIF('Executive Pay Breakdown'!AA:AA,$B405,'Executive Pay Breakdown'!AC:AC)</f>
        <v>2508250</v>
      </c>
    </row>
    <row r="406" hidden="1">
      <c r="A406" s="62"/>
      <c r="B406" s="127" t="s">
        <v>516</v>
      </c>
      <c r="C406" s="118" t="s">
        <v>26</v>
      </c>
      <c r="D406" s="122"/>
      <c r="E406" s="90"/>
      <c r="F406" s="88"/>
      <c r="G406" s="118"/>
      <c r="H406" s="120"/>
      <c r="I406" s="89">
        <f>SUMIF('Executive Pay Breakdown'!K:K,$B406,'Executive Pay Breakdown'!M:M)+SUMIF('Executive Pay Breakdown'!O:O,$B406,'Executive Pay Breakdown'!Q:Q)+SUMIF('Executive Pay Breakdown'!S:S,$B406,'Executive Pay Breakdown'!U:U)+SUMIF('Executive Pay Breakdown'!W:W,$B406,'Executive Pay Breakdown'!Y:Y)+SUMIF('Executive Pay Breakdown'!AA:AA,$B406,'Executive Pay Breakdown'!AC:AC)</f>
        <v>8653849</v>
      </c>
      <c r="J406" s="109"/>
      <c r="K406" s="69">
        <f>SUMIF('Executive Pay Breakdown'!K:K,$B406,'Executive Pay Breakdown'!M:M)</f>
        <v>3210176</v>
      </c>
      <c r="L406" s="69">
        <f>SUMIF('Executive Pay Breakdown'!O:O,$B406,'Executive Pay Breakdown'!Q:Q)</f>
        <v>2928262</v>
      </c>
      <c r="M406" s="69">
        <f>SUMIF('Executive Pay Breakdown'!S:S,$B406,'Executive Pay Breakdown'!U:U)</f>
        <v>2515411</v>
      </c>
      <c r="N406" s="69">
        <f>SUMIF('Executive Pay Breakdown'!W:W,$B406,'Executive Pay Breakdown'!Y:Y)</f>
        <v>0</v>
      </c>
      <c r="O406" s="69">
        <f>SUMIF('Executive Pay Breakdown'!AA:AA,$B406,'Executive Pay Breakdown'!AC:AC)</f>
        <v>0</v>
      </c>
    </row>
    <row r="407" hidden="1">
      <c r="A407" s="62"/>
      <c r="B407" s="86" t="s">
        <v>517</v>
      </c>
      <c r="C407" s="118" t="s">
        <v>39</v>
      </c>
      <c r="D407" s="122"/>
      <c r="E407" s="90"/>
      <c r="F407" s="88"/>
      <c r="G407" s="88"/>
      <c r="H407" s="120"/>
      <c r="I407" s="89">
        <f>SUMIF('Executive Pay Breakdown'!K:K,$B407,'Executive Pay Breakdown'!M:M)+SUMIF('Executive Pay Breakdown'!O:O,$B407,'Executive Pay Breakdown'!Q:Q)+SUMIF('Executive Pay Breakdown'!S:S,$B407,'Executive Pay Breakdown'!U:U)+SUMIF('Executive Pay Breakdown'!W:W,$B407,'Executive Pay Breakdown'!Y:Y)+SUMIF('Executive Pay Breakdown'!AA:AA,$B407,'Executive Pay Breakdown'!AC:AC)</f>
        <v>9950321</v>
      </c>
      <c r="J407" s="109"/>
      <c r="K407" s="69">
        <f>SUMIF('Executive Pay Breakdown'!K:K,$B407,'Executive Pay Breakdown'!M:M)</f>
        <v>3053393</v>
      </c>
      <c r="L407" s="69">
        <f>SUMIF('Executive Pay Breakdown'!O:O,$B407,'Executive Pay Breakdown'!Q:Q)</f>
        <v>6896928</v>
      </c>
      <c r="M407" s="69">
        <f>SUMIF('Executive Pay Breakdown'!S:S,$B407,'Executive Pay Breakdown'!U:U)</f>
        <v>0</v>
      </c>
      <c r="N407" s="69">
        <f>SUMIF('Executive Pay Breakdown'!W:W,$B407,'Executive Pay Breakdown'!Y:Y)</f>
        <v>0</v>
      </c>
      <c r="O407" s="69">
        <f>SUMIF('Executive Pay Breakdown'!AA:AA,$B407,'Executive Pay Breakdown'!AC:AC)</f>
        <v>0</v>
      </c>
    </row>
    <row r="408" hidden="1">
      <c r="A408" s="81"/>
      <c r="B408" s="137" t="s">
        <v>518</v>
      </c>
      <c r="C408" s="118" t="str">
        <f t="array" ref="C408">INDEX('Executive Pay Breakdown'!B:B,MATCH(B408,'Executive Pay Breakdown'!S:S,0))</f>
        <v>Reinsurance Group of America</v>
      </c>
      <c r="D408" s="122"/>
      <c r="E408" s="90"/>
      <c r="F408" s="88"/>
      <c r="G408" s="118"/>
      <c r="H408" s="120"/>
      <c r="I408" s="89">
        <f>SUMIF('Executive Pay Breakdown'!K:K,$B408,'Executive Pay Breakdown'!M:M)+SUMIF('Executive Pay Breakdown'!O:O,$B408,'Executive Pay Breakdown'!Q:Q)+SUMIF('Executive Pay Breakdown'!S:S,$B408,'Executive Pay Breakdown'!U:U)+SUMIF('Executive Pay Breakdown'!W:W,$B408,'Executive Pay Breakdown'!Y:Y)+SUMIF('Executive Pay Breakdown'!AA:AA,$B408,'Executive Pay Breakdown'!AC:AC)</f>
        <v>8627713</v>
      </c>
      <c r="J408" s="109"/>
      <c r="K408" s="69">
        <f>SUMIF('Executive Pay Breakdown'!K:K,$B408,'Executive Pay Breakdown'!M:M)</f>
        <v>0</v>
      </c>
      <c r="L408" s="69">
        <f>SUMIF('Executive Pay Breakdown'!O:O,$B408,'Executive Pay Breakdown'!Q:Q)</f>
        <v>0</v>
      </c>
      <c r="M408" s="69">
        <f>SUMIF('Executive Pay Breakdown'!S:S,$B408,'Executive Pay Breakdown'!U:U)</f>
        <v>2223533</v>
      </c>
      <c r="N408" s="69">
        <f>SUMIF('Executive Pay Breakdown'!W:W,$B408,'Executive Pay Breakdown'!Y:Y)</f>
        <v>3834659</v>
      </c>
      <c r="O408" s="69">
        <f>SUMIF('Executive Pay Breakdown'!AA:AA,$B408,'Executive Pay Breakdown'!AC:AC)</f>
        <v>2569521</v>
      </c>
    </row>
    <row r="409" hidden="1">
      <c r="A409" s="71"/>
      <c r="B409" s="124" t="s">
        <v>519</v>
      </c>
      <c r="C409" s="118" t="s">
        <v>58</v>
      </c>
      <c r="D409" s="118"/>
      <c r="E409" s="90"/>
      <c r="F409" s="88"/>
      <c r="G409" s="118"/>
      <c r="H409" s="120"/>
      <c r="I409" s="89">
        <f>SUMIF('Executive Pay Breakdown'!K:K,$B409,'Executive Pay Breakdown'!M:M)+SUMIF('Executive Pay Breakdown'!O:O,$B409,'Executive Pay Breakdown'!Q:Q)+SUMIF('Executive Pay Breakdown'!S:S,$B409,'Executive Pay Breakdown'!U:U)+SUMIF('Executive Pay Breakdown'!W:W,$B409,'Executive Pay Breakdown'!Y:Y)+SUMIF('Executive Pay Breakdown'!AA:AA,$B409,'Executive Pay Breakdown'!AC:AC)</f>
        <v>10216919</v>
      </c>
      <c r="J409" s="109"/>
      <c r="K409" s="69">
        <f>SUMIF('Executive Pay Breakdown'!K:K,$B409,'Executive Pay Breakdown'!M:M)</f>
        <v>0</v>
      </c>
      <c r="L409" s="69">
        <f>SUMIF('Executive Pay Breakdown'!O:O,$B409,'Executive Pay Breakdown'!Q:Q)</f>
        <v>0</v>
      </c>
      <c r="M409" s="69">
        <f>SUMIF('Executive Pay Breakdown'!S:S,$B409,'Executive Pay Breakdown'!U:U)</f>
        <v>0</v>
      </c>
      <c r="N409" s="69">
        <f>SUMIF('Executive Pay Breakdown'!W:W,$B409,'Executive Pay Breakdown'!Y:Y)</f>
        <v>4302789</v>
      </c>
      <c r="O409" s="69">
        <f>SUMIF('Executive Pay Breakdown'!AA:AA,$B409,'Executive Pay Breakdown'!AC:AC)</f>
        <v>5914130</v>
      </c>
    </row>
    <row r="410" hidden="1">
      <c r="A410" s="62"/>
      <c r="B410" s="86" t="s">
        <v>520</v>
      </c>
      <c r="C410" s="117" t="s">
        <v>62</v>
      </c>
      <c r="D410" s="118"/>
      <c r="E410" s="90"/>
      <c r="F410" s="88"/>
      <c r="G410" s="118"/>
      <c r="H410" s="120"/>
      <c r="I410" s="89">
        <f>SUMIF('Executive Pay Breakdown'!K:K,$B410,'Executive Pay Breakdown'!M:M)+SUMIF('Executive Pay Breakdown'!O:O,$B410,'Executive Pay Breakdown'!Q:Q)+SUMIF('Executive Pay Breakdown'!S:S,$B410,'Executive Pay Breakdown'!U:U)+SUMIF('Executive Pay Breakdown'!W:W,$B410,'Executive Pay Breakdown'!Y:Y)+SUMIF('Executive Pay Breakdown'!AA:AA,$B410,'Executive Pay Breakdown'!AC:AC)</f>
        <v>5290167</v>
      </c>
      <c r="J410" s="109"/>
      <c r="K410" s="69">
        <f>SUMIF('Executive Pay Breakdown'!K:K,$B410,'Executive Pay Breakdown'!M:M)</f>
        <v>0</v>
      </c>
      <c r="L410" s="69">
        <f>SUMIF('Executive Pay Breakdown'!O:O,$B410,'Executive Pay Breakdown'!Q:Q)</f>
        <v>0</v>
      </c>
      <c r="M410" s="69">
        <f>SUMIF('Executive Pay Breakdown'!S:S,$B410,'Executive Pay Breakdown'!U:U)</f>
        <v>0</v>
      </c>
      <c r="N410" s="69">
        <f>SUMIF('Executive Pay Breakdown'!W:W,$B410,'Executive Pay Breakdown'!Y:Y)</f>
        <v>0</v>
      </c>
      <c r="O410" s="69">
        <f>SUMIF('Executive Pay Breakdown'!AA:AA,$B410,'Executive Pay Breakdown'!AC:AC)</f>
        <v>5290167</v>
      </c>
    </row>
    <row r="411" hidden="1">
      <c r="A411" s="62"/>
      <c r="B411" s="125" t="s">
        <v>521</v>
      </c>
      <c r="C411" s="118" t="s">
        <v>27</v>
      </c>
      <c r="D411" s="122"/>
      <c r="E411" s="90"/>
      <c r="F411" s="88"/>
      <c r="G411" s="118"/>
      <c r="H411" s="120"/>
      <c r="I411" s="89">
        <f>SUMIF('Executive Pay Breakdown'!K:K,$B411,'Executive Pay Breakdown'!M:M)+SUMIF('Executive Pay Breakdown'!O:O,$B411,'Executive Pay Breakdown'!Q:Q)+SUMIF('Executive Pay Breakdown'!S:S,$B411,'Executive Pay Breakdown'!U:U)+SUMIF('Executive Pay Breakdown'!W:W,$B411,'Executive Pay Breakdown'!Y:Y)+SUMIF('Executive Pay Breakdown'!AA:AA,$B411,'Executive Pay Breakdown'!AC:AC)</f>
        <v>9437204</v>
      </c>
      <c r="J411" s="109"/>
      <c r="K411" s="69">
        <f>SUMIF('Executive Pay Breakdown'!K:K,$B411,'Executive Pay Breakdown'!M:M)</f>
        <v>3457813</v>
      </c>
      <c r="L411" s="69">
        <f>SUMIF('Executive Pay Breakdown'!O:O,$B411,'Executive Pay Breakdown'!Q:Q)</f>
        <v>4326215</v>
      </c>
      <c r="M411" s="69">
        <f>SUMIF('Executive Pay Breakdown'!S:S,$B411,'Executive Pay Breakdown'!U:U)</f>
        <v>1653176</v>
      </c>
      <c r="N411" s="69">
        <f>SUMIF('Executive Pay Breakdown'!W:W,$B411,'Executive Pay Breakdown'!Y:Y)</f>
        <v>0</v>
      </c>
      <c r="O411" s="69">
        <f>SUMIF('Executive Pay Breakdown'!AA:AA,$B411,'Executive Pay Breakdown'!AC:AC)</f>
        <v>0</v>
      </c>
    </row>
    <row r="412" hidden="1">
      <c r="A412" s="62"/>
      <c r="B412" s="127" t="s">
        <v>522</v>
      </c>
      <c r="C412" s="118" t="s">
        <v>20</v>
      </c>
      <c r="D412" s="122"/>
      <c r="E412" s="90"/>
      <c r="F412" s="88"/>
      <c r="G412" s="88"/>
      <c r="H412" s="120"/>
      <c r="I412" s="89">
        <f>SUMIF('Executive Pay Breakdown'!K:K,$B412,'Executive Pay Breakdown'!M:M)+SUMIF('Executive Pay Breakdown'!O:O,$B412,'Executive Pay Breakdown'!Q:Q)+SUMIF('Executive Pay Breakdown'!S:S,$B412,'Executive Pay Breakdown'!U:U)+SUMIF('Executive Pay Breakdown'!W:W,$B412,'Executive Pay Breakdown'!Y:Y)+SUMIF('Executive Pay Breakdown'!AA:AA,$B412,'Executive Pay Breakdown'!AC:AC)</f>
        <v>8819074</v>
      </c>
      <c r="J412" s="109"/>
      <c r="K412" s="69">
        <f>SUMIF('Executive Pay Breakdown'!K:K,$B412,'Executive Pay Breakdown'!M:M)</f>
        <v>5815963</v>
      </c>
      <c r="L412" s="69">
        <f>SUMIF('Executive Pay Breakdown'!O:O,$B412,'Executive Pay Breakdown'!Q:Q)</f>
        <v>3003111</v>
      </c>
      <c r="M412" s="69">
        <f>SUMIF('Executive Pay Breakdown'!S:S,$B412,'Executive Pay Breakdown'!U:U)</f>
        <v>0</v>
      </c>
      <c r="N412" s="69">
        <f>SUMIF('Executive Pay Breakdown'!W:W,$B412,'Executive Pay Breakdown'!Y:Y)</f>
        <v>0</v>
      </c>
      <c r="O412" s="69">
        <f>SUMIF('Executive Pay Breakdown'!AA:AA,$B412,'Executive Pay Breakdown'!AC:AC)</f>
        <v>0</v>
      </c>
    </row>
    <row r="413" hidden="1">
      <c r="A413" s="62"/>
      <c r="B413" s="86" t="s">
        <v>523</v>
      </c>
      <c r="C413" s="118" t="s">
        <v>77</v>
      </c>
      <c r="D413" s="118"/>
      <c r="E413" s="90"/>
      <c r="F413" s="88"/>
      <c r="G413" s="118"/>
      <c r="H413" s="120"/>
      <c r="I413" s="89">
        <f>SUMIF('Executive Pay Breakdown'!K:K,$B413,'Executive Pay Breakdown'!M:M)+SUMIF('Executive Pay Breakdown'!O:O,$B413,'Executive Pay Breakdown'!Q:Q)+SUMIF('Executive Pay Breakdown'!S:S,$B413,'Executive Pay Breakdown'!U:U)+SUMIF('Executive Pay Breakdown'!W:W,$B413,'Executive Pay Breakdown'!Y:Y)+SUMIF('Executive Pay Breakdown'!AA:AA,$B413,'Executive Pay Breakdown'!AC:AC)</f>
        <v>3804506</v>
      </c>
      <c r="J413" s="109"/>
      <c r="K413" s="69">
        <f>SUMIF('Executive Pay Breakdown'!K:K,$B413,'Executive Pay Breakdown'!M:M)</f>
        <v>0</v>
      </c>
      <c r="L413" s="69">
        <f>SUMIF('Executive Pay Breakdown'!O:O,$B413,'Executive Pay Breakdown'!Q:Q)</f>
        <v>0</v>
      </c>
      <c r="M413" s="69">
        <f>SUMIF('Executive Pay Breakdown'!S:S,$B413,'Executive Pay Breakdown'!U:U)</f>
        <v>0</v>
      </c>
      <c r="N413" s="69">
        <f>SUMIF('Executive Pay Breakdown'!W:W,$B413,'Executive Pay Breakdown'!Y:Y)</f>
        <v>0</v>
      </c>
      <c r="O413" s="69">
        <f>SUMIF('Executive Pay Breakdown'!AA:AA,$B413,'Executive Pay Breakdown'!AC:AC)</f>
        <v>3804506</v>
      </c>
    </row>
    <row r="414" hidden="1">
      <c r="A414" s="62"/>
      <c r="B414" s="130" t="s">
        <v>524</v>
      </c>
      <c r="C414" s="118" t="s">
        <v>22</v>
      </c>
      <c r="D414" s="118"/>
      <c r="E414" s="90"/>
      <c r="F414" s="88"/>
      <c r="G414" s="118"/>
      <c r="H414" s="120"/>
      <c r="I414" s="89">
        <f>SUMIF('Executive Pay Breakdown'!K:K,$B414,'Executive Pay Breakdown'!M:M)+SUMIF('Executive Pay Breakdown'!O:O,$B414,'Executive Pay Breakdown'!Q:Q)+SUMIF('Executive Pay Breakdown'!S:S,$B414,'Executive Pay Breakdown'!U:U)+SUMIF('Executive Pay Breakdown'!W:W,$B414,'Executive Pay Breakdown'!Y:Y)+SUMIF('Executive Pay Breakdown'!AA:AA,$B414,'Executive Pay Breakdown'!AC:AC)</f>
        <v>8609375</v>
      </c>
      <c r="J414" s="109"/>
      <c r="K414" s="69">
        <f>SUMIF('Executive Pay Breakdown'!K:K,$B414,'Executive Pay Breakdown'!M:M)</f>
        <v>0</v>
      </c>
      <c r="L414" s="69">
        <f>SUMIF('Executive Pay Breakdown'!O:O,$B414,'Executive Pay Breakdown'!Q:Q)</f>
        <v>0</v>
      </c>
      <c r="M414" s="69">
        <f>SUMIF('Executive Pay Breakdown'!S:S,$B414,'Executive Pay Breakdown'!U:U)</f>
        <v>0</v>
      </c>
      <c r="N414" s="69">
        <f>SUMIF('Executive Pay Breakdown'!W:W,$B414,'Executive Pay Breakdown'!Y:Y)</f>
        <v>4958329</v>
      </c>
      <c r="O414" s="69">
        <f>SUMIF('Executive Pay Breakdown'!AA:AA,$B414,'Executive Pay Breakdown'!AC:AC)</f>
        <v>3651046</v>
      </c>
    </row>
    <row r="415" hidden="1">
      <c r="A415" s="62"/>
      <c r="B415" s="131" t="s">
        <v>525</v>
      </c>
      <c r="C415" s="118" t="s">
        <v>22</v>
      </c>
      <c r="D415" s="122"/>
      <c r="E415" s="90"/>
      <c r="F415" s="88"/>
      <c r="G415" s="118"/>
      <c r="H415" s="120"/>
      <c r="I415" s="89">
        <f>SUMIF('Executive Pay Breakdown'!K:K,$B415,'Executive Pay Breakdown'!M:M)+SUMIF('Executive Pay Breakdown'!O:O,$B415,'Executive Pay Breakdown'!Q:Q)+SUMIF('Executive Pay Breakdown'!S:S,$B415,'Executive Pay Breakdown'!U:U)+SUMIF('Executive Pay Breakdown'!W:W,$B415,'Executive Pay Breakdown'!Y:Y)+SUMIF('Executive Pay Breakdown'!AA:AA,$B415,'Executive Pay Breakdown'!AC:AC)</f>
        <v>8604518</v>
      </c>
      <c r="J415" s="109"/>
      <c r="K415" s="69">
        <f>SUMIF('Executive Pay Breakdown'!K:K,$B415,'Executive Pay Breakdown'!M:M)</f>
        <v>2459847</v>
      </c>
      <c r="L415" s="69">
        <f>SUMIF('Executive Pay Breakdown'!O:O,$B415,'Executive Pay Breakdown'!Q:Q)</f>
        <v>2881057</v>
      </c>
      <c r="M415" s="69">
        <f>SUMIF('Executive Pay Breakdown'!S:S,$B415,'Executive Pay Breakdown'!U:U)</f>
        <v>3263614</v>
      </c>
      <c r="N415" s="69">
        <f>SUMIF('Executive Pay Breakdown'!W:W,$B415,'Executive Pay Breakdown'!Y:Y)</f>
        <v>0</v>
      </c>
      <c r="O415" s="69">
        <f>SUMIF('Executive Pay Breakdown'!AA:AA,$B415,'Executive Pay Breakdown'!AC:AC)</f>
        <v>0</v>
      </c>
    </row>
    <row r="416" hidden="1">
      <c r="A416" s="62"/>
      <c r="B416" s="86" t="s">
        <v>526</v>
      </c>
      <c r="C416" s="118" t="s">
        <v>37</v>
      </c>
      <c r="D416" s="118"/>
      <c r="E416" s="90"/>
      <c r="F416" s="88"/>
      <c r="G416" s="118"/>
      <c r="H416" s="120"/>
      <c r="I416" s="89">
        <f>SUMIF('Executive Pay Breakdown'!K:K,$B416,'Executive Pay Breakdown'!M:M)+SUMIF('Executive Pay Breakdown'!O:O,$B416,'Executive Pay Breakdown'!Q:Q)+SUMIF('Executive Pay Breakdown'!S:S,$B416,'Executive Pay Breakdown'!U:U)+SUMIF('Executive Pay Breakdown'!W:W,$B416,'Executive Pay Breakdown'!Y:Y)+SUMIF('Executive Pay Breakdown'!AA:AA,$B416,'Executive Pay Breakdown'!AC:AC)</f>
        <v>8967178</v>
      </c>
      <c r="J416" s="109"/>
      <c r="K416" s="69">
        <f>SUMIF('Executive Pay Breakdown'!K:K,$B416,'Executive Pay Breakdown'!M:M)</f>
        <v>0</v>
      </c>
      <c r="L416" s="69">
        <f>SUMIF('Executive Pay Breakdown'!O:O,$B416,'Executive Pay Breakdown'!Q:Q)</f>
        <v>0</v>
      </c>
      <c r="M416" s="69">
        <f>SUMIF('Executive Pay Breakdown'!S:S,$B416,'Executive Pay Breakdown'!U:U)</f>
        <v>0</v>
      </c>
      <c r="N416" s="69">
        <f>SUMIF('Executive Pay Breakdown'!W:W,$B416,'Executive Pay Breakdown'!Y:Y)</f>
        <v>0</v>
      </c>
      <c r="O416" s="69">
        <f>SUMIF('Executive Pay Breakdown'!AA:AA,$B416,'Executive Pay Breakdown'!AC:AC)</f>
        <v>8967178</v>
      </c>
    </row>
    <row r="417" hidden="1">
      <c r="A417" s="81"/>
      <c r="B417" s="137" t="s">
        <v>527</v>
      </c>
      <c r="C417" s="118" t="str">
        <f t="array" ref="C417">INDEX('Executive Pay Breakdown'!B:B,MATCH(B417,'Executive Pay Breakdown'!K:K,0))</f>
        <v>Reinsurance Group of America</v>
      </c>
      <c r="D417" s="122"/>
      <c r="E417" s="90"/>
      <c r="F417" s="88"/>
      <c r="G417" s="118"/>
      <c r="H417" s="120"/>
      <c r="I417" s="89">
        <f>SUMIF('Executive Pay Breakdown'!K:K,$B417,'Executive Pay Breakdown'!M:M)+SUMIF('Executive Pay Breakdown'!O:O,$B417,'Executive Pay Breakdown'!Q:Q)+SUMIF('Executive Pay Breakdown'!S:S,$B417,'Executive Pay Breakdown'!U:U)+SUMIF('Executive Pay Breakdown'!W:W,$B417,'Executive Pay Breakdown'!Y:Y)+SUMIF('Executive Pay Breakdown'!AA:AA,$B417,'Executive Pay Breakdown'!AC:AC)</f>
        <v>8022454</v>
      </c>
      <c r="J417" s="109"/>
      <c r="K417" s="69">
        <f>SUMIF('Executive Pay Breakdown'!K:K,$B417,'Executive Pay Breakdown'!M:M)</f>
        <v>3197745</v>
      </c>
      <c r="L417" s="69">
        <f>SUMIF('Executive Pay Breakdown'!O:O,$B417,'Executive Pay Breakdown'!Q:Q)</f>
        <v>2701998</v>
      </c>
      <c r="M417" s="69">
        <f>SUMIF('Executive Pay Breakdown'!S:S,$B417,'Executive Pay Breakdown'!U:U)</f>
        <v>2122711</v>
      </c>
      <c r="N417" s="69">
        <f>SUMIF('Executive Pay Breakdown'!W:W,$B417,'Executive Pay Breakdown'!Y:Y)</f>
        <v>0</v>
      </c>
      <c r="O417" s="69">
        <f>SUMIF('Executive Pay Breakdown'!AA:AA,$B417,'Executive Pay Breakdown'!AC:AC)</f>
        <v>0</v>
      </c>
    </row>
    <row r="418" hidden="1">
      <c r="A418" s="81"/>
      <c r="B418" s="134" t="s">
        <v>528</v>
      </c>
      <c r="C418" s="118" t="s">
        <v>65</v>
      </c>
      <c r="D418" s="122"/>
      <c r="E418" s="90"/>
      <c r="F418" s="88"/>
      <c r="G418" s="118"/>
      <c r="H418" s="120"/>
      <c r="I418" s="89">
        <f>SUMIF('Executive Pay Breakdown'!K:K,$B418,'Executive Pay Breakdown'!M:M)+SUMIF('Executive Pay Breakdown'!O:O,$B418,'Executive Pay Breakdown'!Q:Q)+SUMIF('Executive Pay Breakdown'!S:S,$B418,'Executive Pay Breakdown'!U:U)+SUMIF('Executive Pay Breakdown'!W:W,$B418,'Executive Pay Breakdown'!Y:Y)+SUMIF('Executive Pay Breakdown'!AA:AA,$B418,'Executive Pay Breakdown'!AC:AC)</f>
        <v>4438428</v>
      </c>
      <c r="J418" s="109"/>
      <c r="K418" s="69">
        <f>SUMIF('Executive Pay Breakdown'!K:K,$B418,'Executive Pay Breakdown'!M:M)</f>
        <v>4438428</v>
      </c>
      <c r="L418" s="69">
        <f>SUMIF('Executive Pay Breakdown'!O:O,$B418,'Executive Pay Breakdown'!Q:Q)</f>
        <v>0</v>
      </c>
      <c r="M418" s="69">
        <f>SUMIF('Executive Pay Breakdown'!S:S,$B418,'Executive Pay Breakdown'!U:U)</f>
        <v>0</v>
      </c>
      <c r="N418" s="69">
        <f>SUMIF('Executive Pay Breakdown'!W:W,$B418,'Executive Pay Breakdown'!Y:Y)</f>
        <v>0</v>
      </c>
      <c r="O418" s="69">
        <f>SUMIF('Executive Pay Breakdown'!AA:AA,$B418,'Executive Pay Breakdown'!AC:AC)</f>
        <v>0</v>
      </c>
    </row>
    <row r="419" hidden="1">
      <c r="A419" s="62"/>
      <c r="B419" s="86" t="s">
        <v>529</v>
      </c>
      <c r="C419" s="118" t="s">
        <v>77</v>
      </c>
      <c r="D419" s="122"/>
      <c r="E419" s="90"/>
      <c r="F419" s="88"/>
      <c r="G419" s="118"/>
      <c r="H419" s="120"/>
      <c r="I419" s="89">
        <f>SUMIF('Executive Pay Breakdown'!K:K,$B419,'Executive Pay Breakdown'!M:M)+SUMIF('Executive Pay Breakdown'!O:O,$B419,'Executive Pay Breakdown'!Q:Q)+SUMIF('Executive Pay Breakdown'!S:S,$B419,'Executive Pay Breakdown'!U:U)+SUMIF('Executive Pay Breakdown'!W:W,$B419,'Executive Pay Breakdown'!Y:Y)+SUMIF('Executive Pay Breakdown'!AA:AA,$B419,'Executive Pay Breakdown'!AC:AC)</f>
        <v>3588887</v>
      </c>
      <c r="J419" s="109"/>
      <c r="K419" s="69">
        <f>SUMIF('Executive Pay Breakdown'!K:K,$B419,'Executive Pay Breakdown'!M:M)</f>
        <v>3588887</v>
      </c>
      <c r="L419" s="69">
        <f>SUMIF('Executive Pay Breakdown'!O:O,$B419,'Executive Pay Breakdown'!Q:Q)</f>
        <v>0</v>
      </c>
      <c r="M419" s="69">
        <f>SUMIF('Executive Pay Breakdown'!S:S,$B419,'Executive Pay Breakdown'!U:U)</f>
        <v>0</v>
      </c>
      <c r="N419" s="69">
        <f>SUMIF('Executive Pay Breakdown'!W:W,$B419,'Executive Pay Breakdown'!Y:Y)</f>
        <v>0</v>
      </c>
      <c r="O419" s="69">
        <f>SUMIF('Executive Pay Breakdown'!AA:AA,$B419,'Executive Pay Breakdown'!AC:AC)</f>
        <v>0</v>
      </c>
    </row>
    <row r="420" hidden="1">
      <c r="A420" s="62"/>
      <c r="B420" s="86" t="s">
        <v>530</v>
      </c>
      <c r="C420" s="118" t="s">
        <v>31</v>
      </c>
      <c r="D420" s="118"/>
      <c r="E420" s="90"/>
      <c r="F420" s="88"/>
      <c r="G420" s="118"/>
      <c r="H420" s="120"/>
      <c r="I420" s="89">
        <f>SUMIF('Executive Pay Breakdown'!K:K,$B420,'Executive Pay Breakdown'!M:M)+SUMIF('Executive Pay Breakdown'!O:O,$B420,'Executive Pay Breakdown'!Q:Q)+SUMIF('Executive Pay Breakdown'!S:S,$B420,'Executive Pay Breakdown'!U:U)+SUMIF('Executive Pay Breakdown'!W:W,$B420,'Executive Pay Breakdown'!Y:Y)+SUMIF('Executive Pay Breakdown'!AA:AA,$B420,'Executive Pay Breakdown'!AC:AC)</f>
        <v>8749500</v>
      </c>
      <c r="J420" s="109"/>
      <c r="K420" s="69">
        <f>SUMIF('Executive Pay Breakdown'!K:K,$B420,'Executive Pay Breakdown'!M:M)</f>
        <v>0</v>
      </c>
      <c r="L420" s="69">
        <f>SUMIF('Executive Pay Breakdown'!O:O,$B420,'Executive Pay Breakdown'!Q:Q)</f>
        <v>2249197</v>
      </c>
      <c r="M420" s="69">
        <f>SUMIF('Executive Pay Breakdown'!S:S,$B420,'Executive Pay Breakdown'!U:U)</f>
        <v>2289486</v>
      </c>
      <c r="N420" s="69">
        <f>SUMIF('Executive Pay Breakdown'!W:W,$B420,'Executive Pay Breakdown'!Y:Y)</f>
        <v>2303767</v>
      </c>
      <c r="O420" s="69">
        <f>SUMIF('Executive Pay Breakdown'!AA:AA,$B420,'Executive Pay Breakdown'!AC:AC)</f>
        <v>1907050</v>
      </c>
    </row>
    <row r="421" hidden="1">
      <c r="A421" s="62"/>
      <c r="B421" s="86" t="s">
        <v>531</v>
      </c>
      <c r="C421" s="118" t="s">
        <v>77</v>
      </c>
      <c r="D421" s="118"/>
      <c r="E421" s="90"/>
      <c r="F421" s="88"/>
      <c r="G421" s="88"/>
      <c r="H421" s="120"/>
      <c r="I421" s="89">
        <f>SUMIF('Executive Pay Breakdown'!K:K,$B421,'Executive Pay Breakdown'!M:M)+SUMIF('Executive Pay Breakdown'!O:O,$B421,'Executive Pay Breakdown'!Q:Q)+SUMIF('Executive Pay Breakdown'!S:S,$B421,'Executive Pay Breakdown'!U:U)+SUMIF('Executive Pay Breakdown'!W:W,$B421,'Executive Pay Breakdown'!Y:Y)+SUMIF('Executive Pay Breakdown'!AA:AA,$B421,'Executive Pay Breakdown'!AC:AC)</f>
        <v>3576212</v>
      </c>
      <c r="J421" s="109"/>
      <c r="K421" s="69">
        <f>SUMIF('Executive Pay Breakdown'!K:K,$B421,'Executive Pay Breakdown'!M:M)</f>
        <v>0</v>
      </c>
      <c r="L421" s="69">
        <f>SUMIF('Executive Pay Breakdown'!O:O,$B421,'Executive Pay Breakdown'!Q:Q)</f>
        <v>3576212</v>
      </c>
      <c r="M421" s="69">
        <f>SUMIF('Executive Pay Breakdown'!S:S,$B421,'Executive Pay Breakdown'!U:U)</f>
        <v>0</v>
      </c>
      <c r="N421" s="69">
        <f>SUMIF('Executive Pay Breakdown'!W:W,$B421,'Executive Pay Breakdown'!Y:Y)</f>
        <v>0</v>
      </c>
      <c r="O421" s="69">
        <f>SUMIF('Executive Pay Breakdown'!AA:AA,$B421,'Executive Pay Breakdown'!AC:AC)</f>
        <v>0</v>
      </c>
    </row>
    <row r="422" hidden="1">
      <c r="A422" s="62"/>
      <c r="B422" s="125" t="s">
        <v>532</v>
      </c>
      <c r="C422" s="118" t="s">
        <v>18</v>
      </c>
      <c r="D422" s="122"/>
      <c r="E422" s="90"/>
      <c r="F422" s="88"/>
      <c r="G422" s="118"/>
      <c r="H422" s="120"/>
      <c r="I422" s="89">
        <f>SUMIF('Executive Pay Breakdown'!K:K,$B422,'Executive Pay Breakdown'!M:M)+SUMIF('Executive Pay Breakdown'!O:O,$B422,'Executive Pay Breakdown'!Q:Q)+SUMIF('Executive Pay Breakdown'!S:S,$B422,'Executive Pay Breakdown'!U:U)+SUMIF('Executive Pay Breakdown'!W:W,$B422,'Executive Pay Breakdown'!Y:Y)+SUMIF('Executive Pay Breakdown'!AA:AA,$B422,'Executive Pay Breakdown'!AC:AC)</f>
        <v>5728833</v>
      </c>
      <c r="J422" s="109"/>
      <c r="K422" s="69">
        <f>SUMIF('Executive Pay Breakdown'!K:K,$B422,'Executive Pay Breakdown'!M:M)</f>
        <v>5728833</v>
      </c>
      <c r="L422" s="69">
        <f>SUMIF('Executive Pay Breakdown'!O:O,$B422,'Executive Pay Breakdown'!Q:Q)</f>
        <v>0</v>
      </c>
      <c r="M422" s="69">
        <f>SUMIF('Executive Pay Breakdown'!S:S,$B422,'Executive Pay Breakdown'!U:U)</f>
        <v>0</v>
      </c>
      <c r="N422" s="69">
        <f>SUMIF('Executive Pay Breakdown'!W:W,$B422,'Executive Pay Breakdown'!Y:Y)</f>
        <v>0</v>
      </c>
      <c r="O422" s="69">
        <f>SUMIF('Executive Pay Breakdown'!AA:AA,$B422,'Executive Pay Breakdown'!AC:AC)</f>
        <v>0</v>
      </c>
    </row>
    <row r="423" hidden="1">
      <c r="A423" s="62"/>
      <c r="B423" s="87" t="s">
        <v>533</v>
      </c>
      <c r="C423" s="118" t="s">
        <v>19</v>
      </c>
      <c r="D423" s="118"/>
      <c r="E423" s="90"/>
      <c r="F423" s="88"/>
      <c r="G423" s="118"/>
      <c r="H423" s="120"/>
      <c r="I423" s="89">
        <f>SUMIF('Executive Pay Breakdown'!K:K,$B423,'Executive Pay Breakdown'!M:M)+SUMIF('Executive Pay Breakdown'!O:O,$B423,'Executive Pay Breakdown'!Q:Q)+SUMIF('Executive Pay Breakdown'!S:S,$B423,'Executive Pay Breakdown'!U:U)+SUMIF('Executive Pay Breakdown'!W:W,$B423,'Executive Pay Breakdown'!Y:Y)+SUMIF('Executive Pay Breakdown'!AA:AA,$B423,'Executive Pay Breakdown'!AC:AC)</f>
        <v>4823990</v>
      </c>
      <c r="J423" s="109"/>
      <c r="K423" s="69">
        <f>SUMIF('Executive Pay Breakdown'!K:K,$B423,'Executive Pay Breakdown'!M:M)</f>
        <v>0</v>
      </c>
      <c r="L423" s="69">
        <f>SUMIF('Executive Pay Breakdown'!O:O,$B423,'Executive Pay Breakdown'!Q:Q)</f>
        <v>0</v>
      </c>
      <c r="M423" s="69">
        <f>SUMIF('Executive Pay Breakdown'!S:S,$B423,'Executive Pay Breakdown'!U:U)</f>
        <v>0</v>
      </c>
      <c r="N423" s="69">
        <f>SUMIF('Executive Pay Breakdown'!W:W,$B423,'Executive Pay Breakdown'!Y:Y)</f>
        <v>0</v>
      </c>
      <c r="O423" s="69">
        <f>SUMIF('Executive Pay Breakdown'!AA:AA,$B423,'Executive Pay Breakdown'!AC:AC)</f>
        <v>4823990</v>
      </c>
    </row>
    <row r="424" hidden="1">
      <c r="A424" s="62"/>
      <c r="B424" s="86" t="s">
        <v>534</v>
      </c>
      <c r="C424" s="118" t="s">
        <v>77</v>
      </c>
      <c r="D424" s="118"/>
      <c r="E424" s="90"/>
      <c r="F424" s="88"/>
      <c r="G424" s="118"/>
      <c r="H424" s="120"/>
      <c r="I424" s="89">
        <f>SUMIF('Executive Pay Breakdown'!K:K,$B424,'Executive Pay Breakdown'!M:M)+SUMIF('Executive Pay Breakdown'!O:O,$B424,'Executive Pay Breakdown'!Q:Q)+SUMIF('Executive Pay Breakdown'!S:S,$B424,'Executive Pay Breakdown'!U:U)+SUMIF('Executive Pay Breakdown'!W:W,$B424,'Executive Pay Breakdown'!Y:Y)+SUMIF('Executive Pay Breakdown'!AA:AA,$B424,'Executive Pay Breakdown'!AC:AC)</f>
        <v>3511089</v>
      </c>
      <c r="J424" s="109"/>
      <c r="K424" s="69">
        <f>SUMIF('Executive Pay Breakdown'!K:K,$B424,'Executive Pay Breakdown'!M:M)</f>
        <v>0</v>
      </c>
      <c r="L424" s="69">
        <f>SUMIF('Executive Pay Breakdown'!O:O,$B424,'Executive Pay Breakdown'!Q:Q)</f>
        <v>0</v>
      </c>
      <c r="M424" s="69">
        <f>SUMIF('Executive Pay Breakdown'!S:S,$B424,'Executive Pay Breakdown'!U:U)</f>
        <v>0</v>
      </c>
      <c r="N424" s="69">
        <f>SUMIF('Executive Pay Breakdown'!W:W,$B424,'Executive Pay Breakdown'!Y:Y)</f>
        <v>3511089</v>
      </c>
      <c r="O424" s="69">
        <f>SUMIF('Executive Pay Breakdown'!AA:AA,$B424,'Executive Pay Breakdown'!AC:AC)</f>
        <v>0</v>
      </c>
    </row>
    <row r="425" hidden="1">
      <c r="A425" s="62"/>
      <c r="B425" s="86" t="s">
        <v>535</v>
      </c>
      <c r="C425" s="117" t="s">
        <v>62</v>
      </c>
      <c r="D425" s="118"/>
      <c r="E425" s="90"/>
      <c r="F425" s="88"/>
      <c r="G425" s="118"/>
      <c r="H425" s="120"/>
      <c r="I425" s="89">
        <f>SUMIF('Executive Pay Breakdown'!K:K,$B425,'Executive Pay Breakdown'!M:M)+SUMIF('Executive Pay Breakdown'!O:O,$B425,'Executive Pay Breakdown'!Q:Q)+SUMIF('Executive Pay Breakdown'!S:S,$B425,'Executive Pay Breakdown'!U:U)+SUMIF('Executive Pay Breakdown'!W:W,$B425,'Executive Pay Breakdown'!Y:Y)+SUMIF('Executive Pay Breakdown'!AA:AA,$B425,'Executive Pay Breakdown'!AC:AC)</f>
        <v>4778130</v>
      </c>
      <c r="J425" s="109"/>
      <c r="K425" s="69">
        <f>SUMIF('Executive Pay Breakdown'!K:K,$B425,'Executive Pay Breakdown'!M:M)</f>
        <v>4778130</v>
      </c>
      <c r="L425" s="69">
        <f>SUMIF('Executive Pay Breakdown'!O:O,$B425,'Executive Pay Breakdown'!Q:Q)</f>
        <v>0</v>
      </c>
      <c r="M425" s="69">
        <f>SUMIF('Executive Pay Breakdown'!S:S,$B425,'Executive Pay Breakdown'!U:U)</f>
        <v>0</v>
      </c>
      <c r="N425" s="69">
        <f>SUMIF('Executive Pay Breakdown'!W:W,$B425,'Executive Pay Breakdown'!Y:Y)</f>
        <v>0</v>
      </c>
      <c r="O425" s="69">
        <f>SUMIF('Executive Pay Breakdown'!AA:AA,$B425,'Executive Pay Breakdown'!AC:AC)</f>
        <v>0</v>
      </c>
    </row>
    <row r="426" hidden="1">
      <c r="A426" s="62"/>
      <c r="B426" s="86" t="s">
        <v>536</v>
      </c>
      <c r="C426" s="118" t="s">
        <v>46</v>
      </c>
      <c r="D426" s="118"/>
      <c r="E426" s="90"/>
      <c r="F426" s="88"/>
      <c r="G426" s="118"/>
      <c r="H426" s="120"/>
      <c r="I426" s="89">
        <f>SUMIF('Executive Pay Breakdown'!K:K,$B426,'Executive Pay Breakdown'!M:M)+SUMIF('Executive Pay Breakdown'!O:O,$B426,'Executive Pay Breakdown'!Q:Q)+SUMIF('Executive Pay Breakdown'!S:S,$B426,'Executive Pay Breakdown'!U:U)+SUMIF('Executive Pay Breakdown'!W:W,$B426,'Executive Pay Breakdown'!Y:Y)+SUMIF('Executive Pay Breakdown'!AA:AA,$B426,'Executive Pay Breakdown'!AC:AC)</f>
        <v>4783059</v>
      </c>
      <c r="J426" s="109"/>
      <c r="K426" s="69">
        <f>SUMIF('Executive Pay Breakdown'!K:K,$B426,'Executive Pay Breakdown'!M:M)</f>
        <v>0</v>
      </c>
      <c r="L426" s="69">
        <f>SUMIF('Executive Pay Breakdown'!O:O,$B426,'Executive Pay Breakdown'!Q:Q)</f>
        <v>0</v>
      </c>
      <c r="M426" s="69">
        <f>SUMIF('Executive Pay Breakdown'!S:S,$B426,'Executive Pay Breakdown'!U:U)</f>
        <v>2439705</v>
      </c>
      <c r="N426" s="69">
        <f>SUMIF('Executive Pay Breakdown'!W:W,$B426,'Executive Pay Breakdown'!Y:Y)</f>
        <v>2343354</v>
      </c>
      <c r="O426" s="69">
        <f>SUMIF('Executive Pay Breakdown'!AA:AA,$B426,'Executive Pay Breakdown'!AC:AC)</f>
        <v>0</v>
      </c>
    </row>
    <row r="427" hidden="1">
      <c r="A427" s="62"/>
      <c r="B427" s="127" t="s">
        <v>537</v>
      </c>
      <c r="C427" s="118" t="s">
        <v>40</v>
      </c>
      <c r="D427" s="118"/>
      <c r="E427" s="90"/>
      <c r="F427" s="88"/>
      <c r="G427" s="118"/>
      <c r="H427" s="120"/>
      <c r="I427" s="89">
        <f>SUMIF('Executive Pay Breakdown'!K:K,$B427,'Executive Pay Breakdown'!M:M)+SUMIF('Executive Pay Breakdown'!O:O,$B427,'Executive Pay Breakdown'!Q:Q)+SUMIF('Executive Pay Breakdown'!S:S,$B427,'Executive Pay Breakdown'!U:U)+SUMIF('Executive Pay Breakdown'!W:W,$B427,'Executive Pay Breakdown'!Y:Y)+SUMIF('Executive Pay Breakdown'!AA:AA,$B427,'Executive Pay Breakdown'!AC:AC)</f>
        <v>7345686</v>
      </c>
      <c r="J427" s="109"/>
      <c r="K427" s="69">
        <f>SUMIF('Executive Pay Breakdown'!K:K,$B427,'Executive Pay Breakdown'!M:M)</f>
        <v>0</v>
      </c>
      <c r="L427" s="69">
        <f>SUMIF('Executive Pay Breakdown'!O:O,$B427,'Executive Pay Breakdown'!Q:Q)</f>
        <v>0</v>
      </c>
      <c r="M427" s="69">
        <f>SUMIF('Executive Pay Breakdown'!S:S,$B427,'Executive Pay Breakdown'!U:U)</f>
        <v>3273843</v>
      </c>
      <c r="N427" s="69">
        <f>SUMIF('Executive Pay Breakdown'!W:W,$B427,'Executive Pay Breakdown'!Y:Y)</f>
        <v>4071843</v>
      </c>
      <c r="O427" s="69">
        <f>SUMIF('Executive Pay Breakdown'!AA:AA,$B427,'Executive Pay Breakdown'!AC:AC)</f>
        <v>0</v>
      </c>
    </row>
    <row r="428" hidden="1">
      <c r="A428" s="62"/>
      <c r="B428" s="86" t="s">
        <v>538</v>
      </c>
      <c r="C428" s="118" t="s">
        <v>33</v>
      </c>
      <c r="D428" s="118"/>
      <c r="E428" s="90"/>
      <c r="F428" s="88"/>
      <c r="G428" s="88"/>
      <c r="H428" s="120"/>
      <c r="I428" s="89">
        <f>SUMIF('Executive Pay Breakdown'!K:K,$B428,'Executive Pay Breakdown'!M:M)+SUMIF('Executive Pay Breakdown'!O:O,$B428,'Executive Pay Breakdown'!Q:Q)+SUMIF('Executive Pay Breakdown'!S:S,$B428,'Executive Pay Breakdown'!U:U)+SUMIF('Executive Pay Breakdown'!W:W,$B428,'Executive Pay Breakdown'!Y:Y)+SUMIF('Executive Pay Breakdown'!AA:AA,$B428,'Executive Pay Breakdown'!AC:AC)</f>
        <v>6012611</v>
      </c>
      <c r="J428" s="109"/>
      <c r="K428" s="69">
        <f>SUMIF('Executive Pay Breakdown'!K:K,$B428,'Executive Pay Breakdown'!M:M)</f>
        <v>0</v>
      </c>
      <c r="L428" s="69">
        <f>SUMIF('Executive Pay Breakdown'!O:O,$B428,'Executive Pay Breakdown'!Q:Q)</f>
        <v>6012611</v>
      </c>
      <c r="M428" s="69">
        <f>SUMIF('Executive Pay Breakdown'!S:S,$B428,'Executive Pay Breakdown'!U:U)</f>
        <v>0</v>
      </c>
      <c r="N428" s="69">
        <f>SUMIF('Executive Pay Breakdown'!W:W,$B428,'Executive Pay Breakdown'!Y:Y)</f>
        <v>0</v>
      </c>
      <c r="O428" s="69">
        <f>SUMIF('Executive Pay Breakdown'!AA:AA,$B428,'Executive Pay Breakdown'!AC:AC)</f>
        <v>0</v>
      </c>
    </row>
    <row r="429" hidden="1">
      <c r="A429" s="71"/>
      <c r="B429" s="139" t="s">
        <v>539</v>
      </c>
      <c r="C429" s="118" t="s">
        <v>54</v>
      </c>
      <c r="D429" s="118"/>
      <c r="E429" s="90"/>
      <c r="F429" s="88"/>
      <c r="G429" s="118"/>
      <c r="H429" s="120"/>
      <c r="I429" s="89">
        <f>SUMIF('Executive Pay Breakdown'!K:K,$B429,'Executive Pay Breakdown'!M:M)+SUMIF('Executive Pay Breakdown'!O:O,$B429,'Executive Pay Breakdown'!Q:Q)+SUMIF('Executive Pay Breakdown'!S:S,$B429,'Executive Pay Breakdown'!U:U)+SUMIF('Executive Pay Breakdown'!W:W,$B429,'Executive Pay Breakdown'!Y:Y)+SUMIF('Executive Pay Breakdown'!AA:AA,$B429,'Executive Pay Breakdown'!AC:AC)</f>
        <v>3525897</v>
      </c>
      <c r="J429" s="109"/>
      <c r="K429" s="69">
        <f>SUMIF('Executive Pay Breakdown'!K:K,$B429,'Executive Pay Breakdown'!M:M)</f>
        <v>0</v>
      </c>
      <c r="L429" s="69">
        <f>SUMIF('Executive Pay Breakdown'!O:O,$B429,'Executive Pay Breakdown'!Q:Q)</f>
        <v>0</v>
      </c>
      <c r="M429" s="69">
        <f>SUMIF('Executive Pay Breakdown'!S:S,$B429,'Executive Pay Breakdown'!U:U)</f>
        <v>0</v>
      </c>
      <c r="N429" s="69">
        <f>SUMIF('Executive Pay Breakdown'!W:W,$B429,'Executive Pay Breakdown'!Y:Y)</f>
        <v>1957720</v>
      </c>
      <c r="O429" s="69">
        <f>SUMIF('Executive Pay Breakdown'!AA:AA,$B429,'Executive Pay Breakdown'!AC:AC)</f>
        <v>1568177</v>
      </c>
    </row>
    <row r="430" hidden="1">
      <c r="A430" s="81"/>
      <c r="B430" s="133" t="s">
        <v>540</v>
      </c>
      <c r="C430" s="118" t="s">
        <v>52</v>
      </c>
      <c r="D430" s="118"/>
      <c r="E430" s="90"/>
      <c r="F430" s="88"/>
      <c r="G430" s="118"/>
      <c r="H430" s="120"/>
      <c r="I430" s="89">
        <f>SUMIF('Executive Pay Breakdown'!K:K,$B430,'Executive Pay Breakdown'!M:M)+SUMIF('Executive Pay Breakdown'!O:O,$B430,'Executive Pay Breakdown'!Q:Q)+SUMIF('Executive Pay Breakdown'!S:S,$B430,'Executive Pay Breakdown'!U:U)+SUMIF('Executive Pay Breakdown'!W:W,$B430,'Executive Pay Breakdown'!Y:Y)+SUMIF('Executive Pay Breakdown'!AA:AA,$B430,'Executive Pay Breakdown'!AC:AC)</f>
        <v>10167764</v>
      </c>
      <c r="J430" s="109"/>
      <c r="K430" s="69">
        <f>SUMIF('Executive Pay Breakdown'!K:K,$B430,'Executive Pay Breakdown'!M:M)</f>
        <v>0</v>
      </c>
      <c r="L430" s="69">
        <f>SUMIF('Executive Pay Breakdown'!O:O,$B430,'Executive Pay Breakdown'!Q:Q)</f>
        <v>0</v>
      </c>
      <c r="M430" s="69">
        <f>SUMIF('Executive Pay Breakdown'!S:S,$B430,'Executive Pay Breakdown'!U:U)</f>
        <v>0</v>
      </c>
      <c r="N430" s="69">
        <f>SUMIF('Executive Pay Breakdown'!W:W,$B430,'Executive Pay Breakdown'!Y:Y)</f>
        <v>5700486</v>
      </c>
      <c r="O430" s="69">
        <f>SUMIF('Executive Pay Breakdown'!AA:AA,$B430,'Executive Pay Breakdown'!AC:AC)</f>
        <v>4467278</v>
      </c>
    </row>
    <row r="431" hidden="1">
      <c r="A431" s="62"/>
      <c r="B431" s="127" t="s">
        <v>541</v>
      </c>
      <c r="C431" s="118" t="s">
        <v>15</v>
      </c>
      <c r="D431" s="118"/>
      <c r="E431" s="90"/>
      <c r="F431" s="88"/>
      <c r="G431" s="118"/>
      <c r="H431" s="120"/>
      <c r="I431" s="89">
        <f>SUMIF('Executive Pay Breakdown'!K:K,$B431,'Executive Pay Breakdown'!M:M)+SUMIF('Executive Pay Breakdown'!O:O,$B431,'Executive Pay Breakdown'!Q:Q)+SUMIF('Executive Pay Breakdown'!S:S,$B431,'Executive Pay Breakdown'!U:U)+SUMIF('Executive Pay Breakdown'!W:W,$B431,'Executive Pay Breakdown'!Y:Y)+SUMIF('Executive Pay Breakdown'!AA:AA,$B431,'Executive Pay Breakdown'!AC:AC)</f>
        <v>7386273</v>
      </c>
      <c r="J431" s="109"/>
      <c r="K431" s="69">
        <f>SUMIF('Executive Pay Breakdown'!K:K,$B431,'Executive Pay Breakdown'!M:M)</f>
        <v>0</v>
      </c>
      <c r="L431" s="69">
        <f>SUMIF('Executive Pay Breakdown'!O:O,$B431,'Executive Pay Breakdown'!Q:Q)</f>
        <v>0</v>
      </c>
      <c r="M431" s="69">
        <f>SUMIF('Executive Pay Breakdown'!S:S,$B431,'Executive Pay Breakdown'!U:U)</f>
        <v>3780353</v>
      </c>
      <c r="N431" s="69">
        <f>SUMIF('Executive Pay Breakdown'!W:W,$B431,'Executive Pay Breakdown'!Y:Y)</f>
        <v>3605920</v>
      </c>
      <c r="O431" s="69">
        <f>SUMIF('Executive Pay Breakdown'!AA:AA,$B431,'Executive Pay Breakdown'!AC:AC)</f>
        <v>0</v>
      </c>
    </row>
    <row r="432" hidden="1">
      <c r="A432" s="71"/>
      <c r="B432" s="124" t="s">
        <v>542</v>
      </c>
      <c r="C432" s="118" t="s">
        <v>58</v>
      </c>
      <c r="D432" s="118"/>
      <c r="E432" s="90"/>
      <c r="F432" s="88"/>
      <c r="G432" s="118"/>
      <c r="H432" s="120"/>
      <c r="I432" s="89">
        <f>SUMIF('Executive Pay Breakdown'!K:K,$B432,'Executive Pay Breakdown'!M:M)+SUMIF('Executive Pay Breakdown'!O:O,$B432,'Executive Pay Breakdown'!Q:Q)+SUMIF('Executive Pay Breakdown'!S:S,$B432,'Executive Pay Breakdown'!U:U)+SUMIF('Executive Pay Breakdown'!W:W,$B432,'Executive Pay Breakdown'!Y:Y)+SUMIF('Executive Pay Breakdown'!AA:AA,$B432,'Executive Pay Breakdown'!AC:AC)</f>
        <v>8620282</v>
      </c>
      <c r="J432" s="109"/>
      <c r="K432" s="69">
        <f>SUMIF('Executive Pay Breakdown'!K:K,$B432,'Executive Pay Breakdown'!M:M)</f>
        <v>0</v>
      </c>
      <c r="L432" s="69">
        <f>SUMIF('Executive Pay Breakdown'!O:O,$B432,'Executive Pay Breakdown'!Q:Q)</f>
        <v>0</v>
      </c>
      <c r="M432" s="69">
        <f>SUMIF('Executive Pay Breakdown'!S:S,$B432,'Executive Pay Breakdown'!U:U)</f>
        <v>0</v>
      </c>
      <c r="N432" s="69">
        <f>SUMIF('Executive Pay Breakdown'!W:W,$B432,'Executive Pay Breakdown'!Y:Y)</f>
        <v>0</v>
      </c>
      <c r="O432" s="69">
        <f>SUMIF('Executive Pay Breakdown'!AA:AA,$B432,'Executive Pay Breakdown'!AC:AC)</f>
        <v>8620282</v>
      </c>
    </row>
    <row r="433" hidden="1">
      <c r="A433" s="62"/>
      <c r="B433" s="125" t="s">
        <v>543</v>
      </c>
      <c r="C433" s="118" t="s">
        <v>27</v>
      </c>
      <c r="D433" s="122"/>
      <c r="E433" s="90"/>
      <c r="F433" s="88"/>
      <c r="G433" s="88"/>
      <c r="H433" s="120"/>
      <c r="I433" s="89">
        <f>SUMIF('Executive Pay Breakdown'!K:K,$B433,'Executive Pay Breakdown'!M:M)+SUMIF('Executive Pay Breakdown'!O:O,$B433,'Executive Pay Breakdown'!Q:Q)+SUMIF('Executive Pay Breakdown'!S:S,$B433,'Executive Pay Breakdown'!U:U)+SUMIF('Executive Pay Breakdown'!W:W,$B433,'Executive Pay Breakdown'!Y:Y)+SUMIF('Executive Pay Breakdown'!AA:AA,$B433,'Executive Pay Breakdown'!AC:AC)</f>
        <v>7913567</v>
      </c>
      <c r="J433" s="109"/>
      <c r="K433" s="69">
        <f>SUMIF('Executive Pay Breakdown'!K:K,$B433,'Executive Pay Breakdown'!M:M)</f>
        <v>3539303</v>
      </c>
      <c r="L433" s="69">
        <f>SUMIF('Executive Pay Breakdown'!O:O,$B433,'Executive Pay Breakdown'!Q:Q)</f>
        <v>4374264</v>
      </c>
      <c r="M433" s="69">
        <f>SUMIF('Executive Pay Breakdown'!S:S,$B433,'Executive Pay Breakdown'!U:U)</f>
        <v>0</v>
      </c>
      <c r="N433" s="69">
        <f>SUMIF('Executive Pay Breakdown'!W:W,$B433,'Executive Pay Breakdown'!Y:Y)</f>
        <v>0</v>
      </c>
      <c r="O433" s="69">
        <f>SUMIF('Executive Pay Breakdown'!AA:AA,$B433,'Executive Pay Breakdown'!AC:AC)</f>
        <v>0</v>
      </c>
    </row>
    <row r="434" hidden="1">
      <c r="A434" s="62"/>
      <c r="B434" s="130" t="s">
        <v>544</v>
      </c>
      <c r="C434" s="118" t="s">
        <v>27</v>
      </c>
      <c r="D434" s="118"/>
      <c r="E434" s="90"/>
      <c r="F434" s="88"/>
      <c r="G434" s="118"/>
      <c r="H434" s="120"/>
      <c r="I434" s="89">
        <f>SUMIF('Executive Pay Breakdown'!K:K,$B434,'Executive Pay Breakdown'!M:M)+SUMIF('Executive Pay Breakdown'!O:O,$B434,'Executive Pay Breakdown'!Q:Q)+SUMIF('Executive Pay Breakdown'!S:S,$B434,'Executive Pay Breakdown'!U:U)+SUMIF('Executive Pay Breakdown'!W:W,$B434,'Executive Pay Breakdown'!Y:Y)+SUMIF('Executive Pay Breakdown'!AA:AA,$B434,'Executive Pay Breakdown'!AC:AC)</f>
        <v>7899503</v>
      </c>
      <c r="J434" s="109"/>
      <c r="K434" s="69">
        <f>SUMIF('Executive Pay Breakdown'!K:K,$B434,'Executive Pay Breakdown'!M:M)</f>
        <v>0</v>
      </c>
      <c r="L434" s="69">
        <f>SUMIF('Executive Pay Breakdown'!O:O,$B434,'Executive Pay Breakdown'!Q:Q)</f>
        <v>0</v>
      </c>
      <c r="M434" s="69">
        <f>SUMIF('Executive Pay Breakdown'!S:S,$B434,'Executive Pay Breakdown'!U:U)</f>
        <v>0</v>
      </c>
      <c r="N434" s="69">
        <f>SUMIF('Executive Pay Breakdown'!W:W,$B434,'Executive Pay Breakdown'!Y:Y)</f>
        <v>4058927</v>
      </c>
      <c r="O434" s="69">
        <f>SUMIF('Executive Pay Breakdown'!AA:AA,$B434,'Executive Pay Breakdown'!AC:AC)</f>
        <v>3840576</v>
      </c>
    </row>
    <row r="435" hidden="1">
      <c r="A435" s="62"/>
      <c r="B435" s="86" t="s">
        <v>545</v>
      </c>
      <c r="C435" s="118" t="s">
        <v>46</v>
      </c>
      <c r="D435" s="122"/>
      <c r="E435" s="90"/>
      <c r="F435" s="88"/>
      <c r="G435" s="118"/>
      <c r="H435" s="120"/>
      <c r="I435" s="89">
        <f>SUMIF('Executive Pay Breakdown'!K:K,$B435,'Executive Pay Breakdown'!M:M)+SUMIF('Executive Pay Breakdown'!O:O,$B435,'Executive Pay Breakdown'!Q:Q)+SUMIF('Executive Pay Breakdown'!S:S,$B435,'Executive Pay Breakdown'!U:U)+SUMIF('Executive Pay Breakdown'!W:W,$B435,'Executive Pay Breakdown'!Y:Y)+SUMIF('Executive Pay Breakdown'!AA:AA,$B435,'Executive Pay Breakdown'!AC:AC)</f>
        <v>4456079</v>
      </c>
      <c r="J435" s="109"/>
      <c r="K435" s="69">
        <f>SUMIF('Executive Pay Breakdown'!K:K,$B435,'Executive Pay Breakdown'!M:M)</f>
        <v>4456079</v>
      </c>
      <c r="L435" s="69">
        <f>SUMIF('Executive Pay Breakdown'!O:O,$B435,'Executive Pay Breakdown'!Q:Q)</f>
        <v>0</v>
      </c>
      <c r="M435" s="69">
        <f>SUMIF('Executive Pay Breakdown'!S:S,$B435,'Executive Pay Breakdown'!U:U)</f>
        <v>0</v>
      </c>
      <c r="N435" s="69">
        <f>SUMIF('Executive Pay Breakdown'!W:W,$B435,'Executive Pay Breakdown'!Y:Y)</f>
        <v>0</v>
      </c>
      <c r="O435" s="69">
        <f>SUMIF('Executive Pay Breakdown'!AA:AA,$B435,'Executive Pay Breakdown'!AC:AC)</f>
        <v>0</v>
      </c>
    </row>
    <row r="436" hidden="1">
      <c r="A436" s="62"/>
      <c r="B436" s="130" t="s">
        <v>546</v>
      </c>
      <c r="C436" s="118" t="s">
        <v>27</v>
      </c>
      <c r="D436" s="118"/>
      <c r="E436" s="90"/>
      <c r="F436" s="88"/>
      <c r="G436" s="118"/>
      <c r="H436" s="120"/>
      <c r="I436" s="89">
        <f>SUMIF('Executive Pay Breakdown'!K:K,$B436,'Executive Pay Breakdown'!M:M)+SUMIF('Executive Pay Breakdown'!O:O,$B436,'Executive Pay Breakdown'!Q:Q)+SUMIF('Executive Pay Breakdown'!S:S,$B436,'Executive Pay Breakdown'!U:U)+SUMIF('Executive Pay Breakdown'!W:W,$B436,'Executive Pay Breakdown'!Y:Y)+SUMIF('Executive Pay Breakdown'!AA:AA,$B436,'Executive Pay Breakdown'!AC:AC)</f>
        <v>7882168</v>
      </c>
      <c r="J436" s="109"/>
      <c r="K436" s="69">
        <f>SUMIF('Executive Pay Breakdown'!K:K,$B436,'Executive Pay Breakdown'!M:M)</f>
        <v>0</v>
      </c>
      <c r="L436" s="69">
        <f>SUMIF('Executive Pay Breakdown'!O:O,$B436,'Executive Pay Breakdown'!Q:Q)</f>
        <v>0</v>
      </c>
      <c r="M436" s="69">
        <f>SUMIF('Executive Pay Breakdown'!S:S,$B436,'Executive Pay Breakdown'!U:U)</f>
        <v>0</v>
      </c>
      <c r="N436" s="69">
        <f>SUMIF('Executive Pay Breakdown'!W:W,$B436,'Executive Pay Breakdown'!Y:Y)</f>
        <v>4080529</v>
      </c>
      <c r="O436" s="69">
        <f>SUMIF('Executive Pay Breakdown'!AA:AA,$B436,'Executive Pay Breakdown'!AC:AC)</f>
        <v>3801639</v>
      </c>
    </row>
    <row r="437" hidden="1">
      <c r="A437" s="62"/>
      <c r="B437" s="125" t="s">
        <v>547</v>
      </c>
      <c r="C437" s="118" t="s">
        <v>27</v>
      </c>
      <c r="D437" s="122"/>
      <c r="E437" s="90"/>
      <c r="F437" s="88"/>
      <c r="G437" s="88"/>
      <c r="H437" s="120"/>
      <c r="I437" s="89">
        <f>SUMIF('Executive Pay Breakdown'!K:K,$B437,'Executive Pay Breakdown'!M:M)+SUMIF('Executive Pay Breakdown'!O:O,$B437,'Executive Pay Breakdown'!Q:Q)+SUMIF('Executive Pay Breakdown'!S:S,$B437,'Executive Pay Breakdown'!U:U)+SUMIF('Executive Pay Breakdown'!W:W,$B437,'Executive Pay Breakdown'!Y:Y)+SUMIF('Executive Pay Breakdown'!AA:AA,$B437,'Executive Pay Breakdown'!AC:AC)</f>
        <v>7578906</v>
      </c>
      <c r="J437" s="109"/>
      <c r="K437" s="69">
        <f>SUMIF('Executive Pay Breakdown'!K:K,$B437,'Executive Pay Breakdown'!M:M)</f>
        <v>2883472</v>
      </c>
      <c r="L437" s="69">
        <f>SUMIF('Executive Pay Breakdown'!O:O,$B437,'Executive Pay Breakdown'!Q:Q)</f>
        <v>4695434</v>
      </c>
      <c r="M437" s="69">
        <f>SUMIF('Executive Pay Breakdown'!S:S,$B437,'Executive Pay Breakdown'!U:U)</f>
        <v>0</v>
      </c>
      <c r="N437" s="69">
        <f>SUMIF('Executive Pay Breakdown'!W:W,$B437,'Executive Pay Breakdown'!Y:Y)</f>
        <v>0</v>
      </c>
      <c r="O437" s="69">
        <f>SUMIF('Executive Pay Breakdown'!AA:AA,$B437,'Executive Pay Breakdown'!AC:AC)</f>
        <v>0</v>
      </c>
    </row>
    <row r="438" hidden="1">
      <c r="A438" s="81"/>
      <c r="B438" s="86" t="s">
        <v>548</v>
      </c>
      <c r="C438" s="118" t="str">
        <f t="array" ref="C438">INDEX('Executive Pay Breakdown'!B:B,MATCH(B438,'Executive Pay Breakdown'!K:K,0))</f>
        <v>AmerisourceBergen</v>
      </c>
      <c r="D438" s="122"/>
      <c r="E438" s="90"/>
      <c r="F438" s="88"/>
      <c r="G438" s="118"/>
      <c r="H438" s="120"/>
      <c r="I438" s="89">
        <f>SUMIF('Executive Pay Breakdown'!K:K,$B438,'Executive Pay Breakdown'!M:M)+SUMIF('Executive Pay Breakdown'!O:O,$B438,'Executive Pay Breakdown'!Q:Q)+SUMIF('Executive Pay Breakdown'!S:S,$B438,'Executive Pay Breakdown'!U:U)+SUMIF('Executive Pay Breakdown'!W:W,$B438,'Executive Pay Breakdown'!Y:Y)+SUMIF('Executive Pay Breakdown'!AA:AA,$B438,'Executive Pay Breakdown'!AC:AC)</f>
        <v>3479756</v>
      </c>
      <c r="J438" s="109"/>
      <c r="K438" s="69">
        <f>SUMIF('Executive Pay Breakdown'!K:K,$B438,'Executive Pay Breakdown'!M:M)</f>
        <v>3479756</v>
      </c>
      <c r="L438" s="69">
        <f>SUMIF('Executive Pay Breakdown'!O:O,$B438,'Executive Pay Breakdown'!Q:Q)</f>
        <v>0</v>
      </c>
      <c r="M438" s="69">
        <f>SUMIF('Executive Pay Breakdown'!S:S,$B438,'Executive Pay Breakdown'!U:U)</f>
        <v>0</v>
      </c>
      <c r="N438" s="69">
        <f>SUMIF('Executive Pay Breakdown'!W:W,$B438,'Executive Pay Breakdown'!Y:Y)</f>
        <v>0</v>
      </c>
      <c r="O438" s="69">
        <f>SUMIF('Executive Pay Breakdown'!AA:AA,$B438,'Executive Pay Breakdown'!AC:AC)</f>
        <v>0</v>
      </c>
    </row>
    <row r="439" hidden="1">
      <c r="A439" s="71"/>
      <c r="B439" s="124" t="s">
        <v>549</v>
      </c>
      <c r="C439" s="118" t="s">
        <v>58</v>
      </c>
      <c r="D439" s="118"/>
      <c r="E439" s="90"/>
      <c r="F439" s="88"/>
      <c r="G439" s="88"/>
      <c r="H439" s="120"/>
      <c r="I439" s="89">
        <f>SUMIF('Executive Pay Breakdown'!K:K,$B439,'Executive Pay Breakdown'!M:M)+SUMIF('Executive Pay Breakdown'!O:O,$B439,'Executive Pay Breakdown'!Q:Q)+SUMIF('Executive Pay Breakdown'!S:S,$B439,'Executive Pay Breakdown'!U:U)+SUMIF('Executive Pay Breakdown'!W:W,$B439,'Executive Pay Breakdown'!Y:Y)+SUMIF('Executive Pay Breakdown'!AA:AA,$B439,'Executive Pay Breakdown'!AC:AC)</f>
        <v>8117916</v>
      </c>
      <c r="J439" s="109"/>
      <c r="K439" s="69">
        <f>SUMIF('Executive Pay Breakdown'!K:K,$B439,'Executive Pay Breakdown'!M:M)</f>
        <v>0</v>
      </c>
      <c r="L439" s="69">
        <f>SUMIF('Executive Pay Breakdown'!O:O,$B439,'Executive Pay Breakdown'!Q:Q)</f>
        <v>8117916</v>
      </c>
      <c r="M439" s="69">
        <f>SUMIF('Executive Pay Breakdown'!S:S,$B439,'Executive Pay Breakdown'!U:U)</f>
        <v>0</v>
      </c>
      <c r="N439" s="69">
        <f>SUMIF('Executive Pay Breakdown'!W:W,$B439,'Executive Pay Breakdown'!Y:Y)</f>
        <v>0</v>
      </c>
      <c r="O439" s="69">
        <f>SUMIF('Executive Pay Breakdown'!AA:AA,$B439,'Executive Pay Breakdown'!AC:AC)</f>
        <v>0</v>
      </c>
    </row>
    <row r="440" hidden="1">
      <c r="A440" s="62"/>
      <c r="B440" s="86" t="s">
        <v>550</v>
      </c>
      <c r="C440" s="118" t="s">
        <v>42</v>
      </c>
      <c r="D440" s="122"/>
      <c r="E440" s="90"/>
      <c r="F440" s="88"/>
      <c r="G440" s="118"/>
      <c r="H440" s="120"/>
      <c r="I440" s="89">
        <f>SUMIF('Executive Pay Breakdown'!K:K,$B440,'Executive Pay Breakdown'!M:M)+SUMIF('Executive Pay Breakdown'!O:O,$B440,'Executive Pay Breakdown'!Q:Q)+SUMIF('Executive Pay Breakdown'!S:S,$B440,'Executive Pay Breakdown'!U:U)+SUMIF('Executive Pay Breakdown'!W:W,$B440,'Executive Pay Breakdown'!Y:Y)+SUMIF('Executive Pay Breakdown'!AA:AA,$B440,'Executive Pay Breakdown'!AC:AC)</f>
        <v>4614014</v>
      </c>
      <c r="J440" s="109"/>
      <c r="K440" s="69">
        <f>SUMIF('Executive Pay Breakdown'!K:K,$B440,'Executive Pay Breakdown'!M:M)</f>
        <v>1629865</v>
      </c>
      <c r="L440" s="69">
        <f>SUMIF('Executive Pay Breakdown'!O:O,$B440,'Executive Pay Breakdown'!Q:Q)</f>
        <v>1582793</v>
      </c>
      <c r="M440" s="69">
        <f>SUMIF('Executive Pay Breakdown'!S:S,$B440,'Executive Pay Breakdown'!U:U)</f>
        <v>1401356</v>
      </c>
      <c r="N440" s="69">
        <f>SUMIF('Executive Pay Breakdown'!W:W,$B440,'Executive Pay Breakdown'!Y:Y)</f>
        <v>0</v>
      </c>
      <c r="O440" s="69">
        <f>SUMIF('Executive Pay Breakdown'!AA:AA,$B440,'Executive Pay Breakdown'!AC:AC)</f>
        <v>0</v>
      </c>
    </row>
    <row r="441" hidden="1">
      <c r="A441" s="62"/>
      <c r="B441" s="86" t="s">
        <v>551</v>
      </c>
      <c r="C441" s="118" t="s">
        <v>46</v>
      </c>
      <c r="D441" s="118"/>
      <c r="E441" s="90"/>
      <c r="F441" s="88"/>
      <c r="G441" s="118"/>
      <c r="H441" s="120"/>
      <c r="I441" s="89">
        <f>SUMIF('Executive Pay Breakdown'!K:K,$B441,'Executive Pay Breakdown'!M:M)+SUMIF('Executive Pay Breakdown'!O:O,$B441,'Executive Pay Breakdown'!Q:Q)+SUMIF('Executive Pay Breakdown'!S:S,$B441,'Executive Pay Breakdown'!U:U)+SUMIF('Executive Pay Breakdown'!W:W,$B441,'Executive Pay Breakdown'!Y:Y)+SUMIF('Executive Pay Breakdown'!AA:AA,$B441,'Executive Pay Breakdown'!AC:AC)</f>
        <v>4172419</v>
      </c>
      <c r="J441" s="109"/>
      <c r="K441" s="69">
        <f>SUMIF('Executive Pay Breakdown'!K:K,$B441,'Executive Pay Breakdown'!M:M)</f>
        <v>0</v>
      </c>
      <c r="L441" s="69">
        <f>SUMIF('Executive Pay Breakdown'!O:O,$B441,'Executive Pay Breakdown'!Q:Q)</f>
        <v>0</v>
      </c>
      <c r="M441" s="69">
        <f>SUMIF('Executive Pay Breakdown'!S:S,$B441,'Executive Pay Breakdown'!U:U)</f>
        <v>0</v>
      </c>
      <c r="N441" s="69">
        <f>SUMIF('Executive Pay Breakdown'!W:W,$B441,'Executive Pay Breakdown'!Y:Y)</f>
        <v>0</v>
      </c>
      <c r="O441" s="69">
        <f>SUMIF('Executive Pay Breakdown'!AA:AA,$B441,'Executive Pay Breakdown'!AC:AC)</f>
        <v>4172419</v>
      </c>
    </row>
    <row r="442" hidden="1">
      <c r="A442" s="62"/>
      <c r="B442" s="127" t="s">
        <v>552</v>
      </c>
      <c r="C442" s="118" t="s">
        <v>15</v>
      </c>
      <c r="D442" s="122"/>
      <c r="E442" s="90"/>
      <c r="F442" s="88"/>
      <c r="G442" s="88"/>
      <c r="H442" s="120"/>
      <c r="I442" s="89">
        <f>SUMIF('Executive Pay Breakdown'!K:K,$B442,'Executive Pay Breakdown'!M:M)+SUMIF('Executive Pay Breakdown'!O:O,$B442,'Executive Pay Breakdown'!Q:Q)+SUMIF('Executive Pay Breakdown'!S:S,$B442,'Executive Pay Breakdown'!U:U)+SUMIF('Executive Pay Breakdown'!W:W,$B442,'Executive Pay Breakdown'!Y:Y)+SUMIF('Executive Pay Breakdown'!AA:AA,$B442,'Executive Pay Breakdown'!AC:AC)</f>
        <v>6719288</v>
      </c>
      <c r="J442" s="109"/>
      <c r="K442" s="69">
        <f>SUMIF('Executive Pay Breakdown'!K:K,$B442,'Executive Pay Breakdown'!M:M)</f>
        <v>3439563</v>
      </c>
      <c r="L442" s="69">
        <f>SUMIF('Executive Pay Breakdown'!O:O,$B442,'Executive Pay Breakdown'!Q:Q)</f>
        <v>3279725</v>
      </c>
      <c r="M442" s="69">
        <f>SUMIF('Executive Pay Breakdown'!S:S,$B442,'Executive Pay Breakdown'!U:U)</f>
        <v>0</v>
      </c>
      <c r="N442" s="69">
        <f>SUMIF('Executive Pay Breakdown'!W:W,$B442,'Executive Pay Breakdown'!Y:Y)</f>
        <v>0</v>
      </c>
      <c r="O442" s="69">
        <f>SUMIF('Executive Pay Breakdown'!AA:AA,$B442,'Executive Pay Breakdown'!AC:AC)</f>
        <v>0</v>
      </c>
    </row>
    <row r="443" hidden="1">
      <c r="A443" s="62"/>
      <c r="B443" s="86" t="s">
        <v>553</v>
      </c>
      <c r="C443" s="118" t="s">
        <v>67</v>
      </c>
      <c r="D443" s="122"/>
      <c r="E443" s="90"/>
      <c r="F443" s="88"/>
      <c r="G443" s="88"/>
      <c r="H443" s="120"/>
      <c r="I443" s="89">
        <f>SUMIF('Executive Pay Breakdown'!K:K,$B443,'Executive Pay Breakdown'!M:M)+SUMIF('Executive Pay Breakdown'!O:O,$B443,'Executive Pay Breakdown'!Q:Q)+SUMIF('Executive Pay Breakdown'!S:S,$B443,'Executive Pay Breakdown'!U:U)+SUMIF('Executive Pay Breakdown'!W:W,$B443,'Executive Pay Breakdown'!Y:Y)+SUMIF('Executive Pay Breakdown'!AA:AA,$B443,'Executive Pay Breakdown'!AC:AC)</f>
        <v>4891480</v>
      </c>
      <c r="J443" s="109"/>
      <c r="K443" s="69">
        <f>SUMIF('Executive Pay Breakdown'!K:K,$B443,'Executive Pay Breakdown'!M:M)</f>
        <v>2309419</v>
      </c>
      <c r="L443" s="69">
        <f>SUMIF('Executive Pay Breakdown'!O:O,$B443,'Executive Pay Breakdown'!Q:Q)</f>
        <v>2582061</v>
      </c>
      <c r="M443" s="69">
        <f>SUMIF('Executive Pay Breakdown'!S:S,$B443,'Executive Pay Breakdown'!U:U)</f>
        <v>0</v>
      </c>
      <c r="N443" s="69">
        <f>SUMIF('Executive Pay Breakdown'!W:W,$B443,'Executive Pay Breakdown'!Y:Y)</f>
        <v>0</v>
      </c>
      <c r="O443" s="69">
        <f>SUMIF('Executive Pay Breakdown'!AA:AA,$B443,'Executive Pay Breakdown'!AC:AC)</f>
        <v>0</v>
      </c>
    </row>
    <row r="444" hidden="1">
      <c r="A444" s="62"/>
      <c r="B444" s="127" t="s">
        <v>554</v>
      </c>
      <c r="C444" s="118" t="s">
        <v>26</v>
      </c>
      <c r="D444" s="122"/>
      <c r="E444" s="90"/>
      <c r="F444" s="88"/>
      <c r="G444" s="118"/>
      <c r="H444" s="120"/>
      <c r="I444" s="89">
        <f>SUMIF('Executive Pay Breakdown'!K:K,$B444,'Executive Pay Breakdown'!M:M)+SUMIF('Executive Pay Breakdown'!O:O,$B444,'Executive Pay Breakdown'!Q:Q)+SUMIF('Executive Pay Breakdown'!S:S,$B444,'Executive Pay Breakdown'!U:U)+SUMIF('Executive Pay Breakdown'!W:W,$B444,'Executive Pay Breakdown'!Y:Y)+SUMIF('Executive Pay Breakdown'!AA:AA,$B444,'Executive Pay Breakdown'!AC:AC)</f>
        <v>6409220</v>
      </c>
      <c r="J444" s="109"/>
      <c r="K444" s="69">
        <f>SUMIF('Executive Pay Breakdown'!K:K,$B444,'Executive Pay Breakdown'!M:M)</f>
        <v>2503745</v>
      </c>
      <c r="L444" s="69">
        <f>SUMIF('Executive Pay Breakdown'!O:O,$B444,'Executive Pay Breakdown'!Q:Q)</f>
        <v>2104178</v>
      </c>
      <c r="M444" s="69">
        <f>SUMIF('Executive Pay Breakdown'!S:S,$B444,'Executive Pay Breakdown'!U:U)</f>
        <v>1801297</v>
      </c>
      <c r="N444" s="69">
        <f>SUMIF('Executive Pay Breakdown'!W:W,$B444,'Executive Pay Breakdown'!Y:Y)</f>
        <v>0</v>
      </c>
      <c r="O444" s="69">
        <f>SUMIF('Executive Pay Breakdown'!AA:AA,$B444,'Executive Pay Breakdown'!AC:AC)</f>
        <v>0</v>
      </c>
    </row>
    <row r="445" hidden="1">
      <c r="A445" s="62"/>
      <c r="B445" s="127" t="s">
        <v>555</v>
      </c>
      <c r="C445" s="118" t="s">
        <v>22</v>
      </c>
      <c r="D445" s="118"/>
      <c r="E445" s="90"/>
      <c r="F445" s="88"/>
      <c r="G445" s="118"/>
      <c r="H445" s="120"/>
      <c r="I445" s="89">
        <f>SUMIF('Executive Pay Breakdown'!K:K,$B445,'Executive Pay Breakdown'!M:M)+SUMIF('Executive Pay Breakdown'!O:O,$B445,'Executive Pay Breakdown'!Q:Q)+SUMIF('Executive Pay Breakdown'!S:S,$B445,'Executive Pay Breakdown'!U:U)+SUMIF('Executive Pay Breakdown'!W:W,$B445,'Executive Pay Breakdown'!Y:Y)+SUMIF('Executive Pay Breakdown'!AA:AA,$B445,'Executive Pay Breakdown'!AC:AC)</f>
        <v>6743925</v>
      </c>
      <c r="J445" s="109"/>
      <c r="K445" s="69">
        <f>SUMIF('Executive Pay Breakdown'!K:K,$B445,'Executive Pay Breakdown'!M:M)</f>
        <v>0</v>
      </c>
      <c r="L445" s="69">
        <f>SUMIF('Executive Pay Breakdown'!O:O,$B445,'Executive Pay Breakdown'!Q:Q)</f>
        <v>0</v>
      </c>
      <c r="M445" s="69">
        <f>SUMIF('Executive Pay Breakdown'!S:S,$B445,'Executive Pay Breakdown'!U:U)</f>
        <v>0</v>
      </c>
      <c r="N445" s="69">
        <f>SUMIF('Executive Pay Breakdown'!W:W,$B445,'Executive Pay Breakdown'!Y:Y)</f>
        <v>0</v>
      </c>
      <c r="O445" s="69">
        <f>SUMIF('Executive Pay Breakdown'!AA:AA,$B445,'Executive Pay Breakdown'!AC:AC)</f>
        <v>6743925</v>
      </c>
    </row>
    <row r="446" hidden="1">
      <c r="A446" s="62"/>
      <c r="B446" s="86" t="s">
        <v>556</v>
      </c>
      <c r="C446" s="118" t="s">
        <v>33</v>
      </c>
      <c r="D446" s="122"/>
      <c r="E446" s="90"/>
      <c r="F446" s="88"/>
      <c r="G446" s="118"/>
      <c r="H446" s="120"/>
      <c r="I446" s="89">
        <f>SUMIF('Executive Pay Breakdown'!K:K,$B446,'Executive Pay Breakdown'!M:M)+SUMIF('Executive Pay Breakdown'!O:O,$B446,'Executive Pay Breakdown'!Q:Q)+SUMIF('Executive Pay Breakdown'!S:S,$B446,'Executive Pay Breakdown'!U:U)+SUMIF('Executive Pay Breakdown'!W:W,$B446,'Executive Pay Breakdown'!Y:Y)+SUMIF('Executive Pay Breakdown'!AA:AA,$B446,'Executive Pay Breakdown'!AC:AC)</f>
        <v>5124585</v>
      </c>
      <c r="J446" s="109"/>
      <c r="K446" s="69">
        <f>SUMIF('Executive Pay Breakdown'!K:K,$B446,'Executive Pay Breakdown'!M:M)</f>
        <v>5124585</v>
      </c>
      <c r="L446" s="69">
        <f>SUMIF('Executive Pay Breakdown'!O:O,$B446,'Executive Pay Breakdown'!Q:Q)</f>
        <v>0</v>
      </c>
      <c r="M446" s="69">
        <f>SUMIF('Executive Pay Breakdown'!S:S,$B446,'Executive Pay Breakdown'!U:U)</f>
        <v>0</v>
      </c>
      <c r="N446" s="69">
        <f>SUMIF('Executive Pay Breakdown'!W:W,$B446,'Executive Pay Breakdown'!Y:Y)</f>
        <v>0</v>
      </c>
      <c r="O446" s="69">
        <f>SUMIF('Executive Pay Breakdown'!AA:AA,$B446,'Executive Pay Breakdown'!AC:AC)</f>
        <v>0</v>
      </c>
    </row>
    <row r="447" hidden="1">
      <c r="A447" s="62"/>
      <c r="B447" s="86" t="s">
        <v>557</v>
      </c>
      <c r="C447" s="118" t="s">
        <v>28</v>
      </c>
      <c r="D447" s="118"/>
      <c r="E447" s="90"/>
      <c r="F447" s="88"/>
      <c r="G447" s="118"/>
      <c r="H447" s="120"/>
      <c r="I447" s="89">
        <f>SUMIF('Executive Pay Breakdown'!K:K,$B447,'Executive Pay Breakdown'!M:M)+SUMIF('Executive Pay Breakdown'!O:O,$B447,'Executive Pay Breakdown'!Q:Q)+SUMIF('Executive Pay Breakdown'!S:S,$B447,'Executive Pay Breakdown'!U:U)+SUMIF('Executive Pay Breakdown'!W:W,$B447,'Executive Pay Breakdown'!Y:Y)+SUMIF('Executive Pay Breakdown'!AA:AA,$B447,'Executive Pay Breakdown'!AC:AC)</f>
        <v>6420044</v>
      </c>
      <c r="J447" s="109"/>
      <c r="K447" s="69">
        <f>SUMIF('Executive Pay Breakdown'!K:K,$B447,'Executive Pay Breakdown'!M:M)</f>
        <v>0</v>
      </c>
      <c r="L447" s="69">
        <f>SUMIF('Executive Pay Breakdown'!O:O,$B447,'Executive Pay Breakdown'!Q:Q)</f>
        <v>1868002</v>
      </c>
      <c r="M447" s="69">
        <f>SUMIF('Executive Pay Breakdown'!S:S,$B447,'Executive Pay Breakdown'!U:U)</f>
        <v>1627004</v>
      </c>
      <c r="N447" s="69">
        <f>SUMIF('Executive Pay Breakdown'!W:W,$B447,'Executive Pay Breakdown'!Y:Y)</f>
        <v>1440203</v>
      </c>
      <c r="O447" s="69">
        <f>SUMIF('Executive Pay Breakdown'!AA:AA,$B447,'Executive Pay Breakdown'!AC:AC)</f>
        <v>1484835</v>
      </c>
    </row>
    <row r="448" hidden="1">
      <c r="A448" s="81"/>
      <c r="B448" s="137" t="s">
        <v>558</v>
      </c>
      <c r="C448" s="118" t="str">
        <f t="array" ref="C448">INDEX('Executive Pay Breakdown'!B:B,MATCH(B448,'Executive Pay Breakdown'!K:K,0))</f>
        <v>PPG Industries</v>
      </c>
      <c r="D448" s="122"/>
      <c r="E448" s="90"/>
      <c r="F448" s="88"/>
      <c r="G448" s="118"/>
      <c r="H448" s="120"/>
      <c r="I448" s="89">
        <f>SUMIF('Executive Pay Breakdown'!K:K,$B448,'Executive Pay Breakdown'!M:M)+SUMIF('Executive Pay Breakdown'!O:O,$B448,'Executive Pay Breakdown'!Q:Q)+SUMIF('Executive Pay Breakdown'!S:S,$B448,'Executive Pay Breakdown'!U:U)+SUMIF('Executive Pay Breakdown'!W:W,$B448,'Executive Pay Breakdown'!Y:Y)+SUMIF('Executive Pay Breakdown'!AA:AA,$B448,'Executive Pay Breakdown'!AC:AC)</f>
        <v>2082997</v>
      </c>
      <c r="J448" s="109"/>
      <c r="K448" s="69">
        <f>SUMIF('Executive Pay Breakdown'!K:K,$B448,'Executive Pay Breakdown'!M:M)</f>
        <v>2082997</v>
      </c>
      <c r="L448" s="69">
        <f>SUMIF('Executive Pay Breakdown'!O:O,$B448,'Executive Pay Breakdown'!Q:Q)</f>
        <v>0</v>
      </c>
      <c r="M448" s="69">
        <f>SUMIF('Executive Pay Breakdown'!S:S,$B448,'Executive Pay Breakdown'!U:U)</f>
        <v>0</v>
      </c>
      <c r="N448" s="69">
        <f>SUMIF('Executive Pay Breakdown'!W:W,$B448,'Executive Pay Breakdown'!Y:Y)</f>
        <v>0</v>
      </c>
      <c r="O448" s="69">
        <f>SUMIF('Executive Pay Breakdown'!AA:AA,$B448,'Executive Pay Breakdown'!AC:AC)</f>
        <v>0</v>
      </c>
    </row>
    <row r="449" hidden="1">
      <c r="A449" s="62"/>
      <c r="B449" s="86" t="s">
        <v>559</v>
      </c>
      <c r="C449" s="118" t="s">
        <v>45</v>
      </c>
      <c r="D449" s="122"/>
      <c r="E449" s="90"/>
      <c r="F449" s="88"/>
      <c r="G449" s="88"/>
      <c r="H449" s="120"/>
      <c r="I449" s="89">
        <f>SUMIF('Executive Pay Breakdown'!K:K,$B449,'Executive Pay Breakdown'!M:M)+SUMIF('Executive Pay Breakdown'!O:O,$B449,'Executive Pay Breakdown'!Q:Q)+SUMIF('Executive Pay Breakdown'!S:S,$B449,'Executive Pay Breakdown'!U:U)+SUMIF('Executive Pay Breakdown'!W:W,$B449,'Executive Pay Breakdown'!Y:Y)+SUMIF('Executive Pay Breakdown'!AA:AA,$B449,'Executive Pay Breakdown'!AC:AC)</f>
        <v>3428962</v>
      </c>
      <c r="J449" s="109"/>
      <c r="K449" s="69">
        <f>SUMIF('Executive Pay Breakdown'!K:K,$B449,'Executive Pay Breakdown'!M:M)</f>
        <v>1651988</v>
      </c>
      <c r="L449" s="69">
        <f>SUMIF('Executive Pay Breakdown'!O:O,$B449,'Executive Pay Breakdown'!Q:Q)</f>
        <v>1776974</v>
      </c>
      <c r="M449" s="69">
        <f>SUMIF('Executive Pay Breakdown'!S:S,$B449,'Executive Pay Breakdown'!U:U)</f>
        <v>0</v>
      </c>
      <c r="N449" s="69">
        <f>SUMIF('Executive Pay Breakdown'!W:W,$B449,'Executive Pay Breakdown'!Y:Y)</f>
        <v>0</v>
      </c>
      <c r="O449" s="69">
        <f>SUMIF('Executive Pay Breakdown'!AA:AA,$B449,'Executive Pay Breakdown'!AC:AC)</f>
        <v>0</v>
      </c>
    </row>
    <row r="450" hidden="1">
      <c r="A450" s="62"/>
      <c r="B450" s="127" t="s">
        <v>560</v>
      </c>
      <c r="C450" s="118" t="s">
        <v>53</v>
      </c>
      <c r="D450" s="118"/>
      <c r="E450" s="90"/>
      <c r="F450" s="88"/>
      <c r="G450" s="118"/>
      <c r="H450" s="120"/>
      <c r="I450" s="89">
        <f>SUMIF('Executive Pay Breakdown'!K:K,$B450,'Executive Pay Breakdown'!M:M)+SUMIF('Executive Pay Breakdown'!O:O,$B450,'Executive Pay Breakdown'!Q:Q)+SUMIF('Executive Pay Breakdown'!S:S,$B450,'Executive Pay Breakdown'!U:U)+SUMIF('Executive Pay Breakdown'!W:W,$B450,'Executive Pay Breakdown'!Y:Y)+SUMIF('Executive Pay Breakdown'!AA:AA,$B450,'Executive Pay Breakdown'!AC:AC)</f>
        <v>7179418</v>
      </c>
      <c r="J450" s="109"/>
      <c r="K450" s="69">
        <f>SUMIF('Executive Pay Breakdown'!K:K,$B450,'Executive Pay Breakdown'!M:M)</f>
        <v>0</v>
      </c>
      <c r="L450" s="69">
        <f>SUMIF('Executive Pay Breakdown'!O:O,$B450,'Executive Pay Breakdown'!Q:Q)</f>
        <v>0</v>
      </c>
      <c r="M450" s="69">
        <f>SUMIF('Executive Pay Breakdown'!S:S,$B450,'Executive Pay Breakdown'!U:U)</f>
        <v>0</v>
      </c>
      <c r="N450" s="69">
        <f>SUMIF('Executive Pay Breakdown'!W:W,$B450,'Executive Pay Breakdown'!Y:Y)</f>
        <v>0</v>
      </c>
      <c r="O450" s="69">
        <f>SUMIF('Executive Pay Breakdown'!AA:AA,$B450,'Executive Pay Breakdown'!AC:AC)</f>
        <v>7179418</v>
      </c>
    </row>
    <row r="451" hidden="1">
      <c r="A451" s="62"/>
      <c r="B451" s="86" t="s">
        <v>561</v>
      </c>
      <c r="C451" s="118" t="s">
        <v>38</v>
      </c>
      <c r="D451" s="118"/>
      <c r="E451" s="90"/>
      <c r="F451" s="88"/>
      <c r="G451" s="118"/>
      <c r="H451" s="120"/>
      <c r="I451" s="89">
        <f>SUMIF('Executive Pay Breakdown'!K:K,$B451,'Executive Pay Breakdown'!M:M)+SUMIF('Executive Pay Breakdown'!O:O,$B451,'Executive Pay Breakdown'!Q:Q)+SUMIF('Executive Pay Breakdown'!S:S,$B451,'Executive Pay Breakdown'!U:U)+SUMIF('Executive Pay Breakdown'!W:W,$B451,'Executive Pay Breakdown'!Y:Y)+SUMIF('Executive Pay Breakdown'!AA:AA,$B451,'Executive Pay Breakdown'!AC:AC)</f>
        <v>6591226</v>
      </c>
      <c r="J451" s="109"/>
      <c r="K451" s="69">
        <f>SUMIF('Executive Pay Breakdown'!K:K,$B451,'Executive Pay Breakdown'!M:M)</f>
        <v>0</v>
      </c>
      <c r="L451" s="69">
        <f>SUMIF('Executive Pay Breakdown'!O:O,$B451,'Executive Pay Breakdown'!Q:Q)</f>
        <v>0</v>
      </c>
      <c r="M451" s="69">
        <f>SUMIF('Executive Pay Breakdown'!S:S,$B451,'Executive Pay Breakdown'!U:U)</f>
        <v>0</v>
      </c>
      <c r="N451" s="69">
        <f>SUMIF('Executive Pay Breakdown'!W:W,$B451,'Executive Pay Breakdown'!Y:Y)</f>
        <v>3521984</v>
      </c>
      <c r="O451" s="69">
        <f>SUMIF('Executive Pay Breakdown'!AA:AA,$B451,'Executive Pay Breakdown'!AC:AC)</f>
        <v>3069242</v>
      </c>
    </row>
    <row r="452" hidden="1">
      <c r="A452" s="81"/>
      <c r="B452" s="137" t="s">
        <v>562</v>
      </c>
      <c r="C452" s="118" t="str">
        <f t="array" ref="C452">INDEX('Executive Pay Breakdown'!B:B,MATCH(B452,'Executive Pay Breakdown'!AA:AA,0))</f>
        <v>PPG Industries</v>
      </c>
      <c r="D452" s="122"/>
      <c r="E452" s="90"/>
      <c r="F452" s="88"/>
      <c r="G452" s="118"/>
      <c r="H452" s="120"/>
      <c r="I452" s="89">
        <f>SUMIF('Executive Pay Breakdown'!K:K,$B452,'Executive Pay Breakdown'!M:M)+SUMIF('Executive Pay Breakdown'!O:O,$B452,'Executive Pay Breakdown'!Q:Q)+SUMIF('Executive Pay Breakdown'!S:S,$B452,'Executive Pay Breakdown'!U:U)+SUMIF('Executive Pay Breakdown'!W:W,$B452,'Executive Pay Breakdown'!Y:Y)+SUMIF('Executive Pay Breakdown'!AA:AA,$B452,'Executive Pay Breakdown'!AC:AC)</f>
        <v>2071953</v>
      </c>
      <c r="J452" s="109"/>
      <c r="K452" s="69">
        <f>SUMIF('Executive Pay Breakdown'!K:K,$B452,'Executive Pay Breakdown'!M:M)</f>
        <v>0</v>
      </c>
      <c r="L452" s="69">
        <f>SUMIF('Executive Pay Breakdown'!O:O,$B452,'Executive Pay Breakdown'!Q:Q)</f>
        <v>0</v>
      </c>
      <c r="M452" s="69">
        <f>SUMIF('Executive Pay Breakdown'!S:S,$B452,'Executive Pay Breakdown'!U:U)</f>
        <v>0</v>
      </c>
      <c r="N452" s="69">
        <f>SUMIF('Executive Pay Breakdown'!W:W,$B452,'Executive Pay Breakdown'!Y:Y)</f>
        <v>0</v>
      </c>
      <c r="O452" s="69">
        <f>SUMIF('Executive Pay Breakdown'!AA:AA,$B452,'Executive Pay Breakdown'!AC:AC)</f>
        <v>2071953</v>
      </c>
    </row>
    <row r="453" hidden="1">
      <c r="A453" s="71"/>
      <c r="B453" s="139" t="s">
        <v>563</v>
      </c>
      <c r="C453" s="118" t="s">
        <v>16</v>
      </c>
      <c r="D453" s="118"/>
      <c r="E453" s="90"/>
      <c r="F453" s="88"/>
      <c r="G453" s="118"/>
      <c r="H453" s="120"/>
      <c r="I453" s="89">
        <f>SUMIF('Executive Pay Breakdown'!K:K,$B453,'Executive Pay Breakdown'!M:M)+SUMIF('Executive Pay Breakdown'!O:O,$B453,'Executive Pay Breakdown'!Q:Q)+SUMIF('Executive Pay Breakdown'!S:S,$B453,'Executive Pay Breakdown'!U:U)+SUMIF('Executive Pay Breakdown'!W:W,$B453,'Executive Pay Breakdown'!Y:Y)+SUMIF('Executive Pay Breakdown'!AA:AA,$B453,'Executive Pay Breakdown'!AC:AC)</f>
        <v>10971293</v>
      </c>
      <c r="J453" s="109"/>
      <c r="K453" s="69">
        <f>SUMIF('Executive Pay Breakdown'!K:K,$B453,'Executive Pay Breakdown'!M:M)</f>
        <v>0</v>
      </c>
      <c r="L453" s="69">
        <f>SUMIF('Executive Pay Breakdown'!O:O,$B453,'Executive Pay Breakdown'!Q:Q)</f>
        <v>0</v>
      </c>
      <c r="M453" s="69">
        <f>SUMIF('Executive Pay Breakdown'!S:S,$B453,'Executive Pay Breakdown'!U:U)</f>
        <v>0</v>
      </c>
      <c r="N453" s="69">
        <f>SUMIF('Executive Pay Breakdown'!W:W,$B453,'Executive Pay Breakdown'!Y:Y)</f>
        <v>5132582</v>
      </c>
      <c r="O453" s="69">
        <f>SUMIF('Executive Pay Breakdown'!AA:AA,$B453,'Executive Pay Breakdown'!AC:AC)</f>
        <v>5838711</v>
      </c>
    </row>
    <row r="454" hidden="1">
      <c r="A454" s="62"/>
      <c r="B454" s="125" t="s">
        <v>564</v>
      </c>
      <c r="C454" s="118" t="s">
        <v>51</v>
      </c>
      <c r="D454" s="122"/>
      <c r="E454" s="90"/>
      <c r="F454" s="88"/>
      <c r="G454" s="118"/>
      <c r="H454" s="120"/>
      <c r="I454" s="89">
        <f>SUMIF('Executive Pay Breakdown'!K:K,$B454,'Executive Pay Breakdown'!M:M)+SUMIF('Executive Pay Breakdown'!O:O,$B454,'Executive Pay Breakdown'!Q:Q)+SUMIF('Executive Pay Breakdown'!S:S,$B454,'Executive Pay Breakdown'!U:U)+SUMIF('Executive Pay Breakdown'!W:W,$B454,'Executive Pay Breakdown'!Y:Y)+SUMIF('Executive Pay Breakdown'!AA:AA,$B454,'Executive Pay Breakdown'!AC:AC)</f>
        <v>8122400</v>
      </c>
      <c r="J454" s="109"/>
      <c r="K454" s="69">
        <f>SUMIF('Executive Pay Breakdown'!K:K,$B454,'Executive Pay Breakdown'!M:M)</f>
        <v>8122400</v>
      </c>
      <c r="L454" s="69">
        <f>SUMIF('Executive Pay Breakdown'!O:O,$B454,'Executive Pay Breakdown'!Q:Q)</f>
        <v>0</v>
      </c>
      <c r="M454" s="69">
        <f>SUMIF('Executive Pay Breakdown'!S:S,$B454,'Executive Pay Breakdown'!U:U)</f>
        <v>0</v>
      </c>
      <c r="N454" s="69">
        <f>SUMIF('Executive Pay Breakdown'!W:W,$B454,'Executive Pay Breakdown'!Y:Y)</f>
        <v>0</v>
      </c>
      <c r="O454" s="69">
        <f>SUMIF('Executive Pay Breakdown'!AA:AA,$B454,'Executive Pay Breakdown'!AC:AC)</f>
        <v>0</v>
      </c>
    </row>
    <row r="455" hidden="1">
      <c r="A455" s="62"/>
      <c r="B455" s="86" t="s">
        <v>565</v>
      </c>
      <c r="C455" s="117" t="s">
        <v>61</v>
      </c>
      <c r="D455" s="118"/>
      <c r="E455" s="90"/>
      <c r="F455" s="88"/>
      <c r="G455" s="118"/>
      <c r="H455" s="120"/>
      <c r="I455" s="89">
        <f>SUMIF('Executive Pay Breakdown'!K:K,$B455,'Executive Pay Breakdown'!M:M)+SUMIF('Executive Pay Breakdown'!O:O,$B455,'Executive Pay Breakdown'!Q:Q)+SUMIF('Executive Pay Breakdown'!S:S,$B455,'Executive Pay Breakdown'!U:U)+SUMIF('Executive Pay Breakdown'!W:W,$B455,'Executive Pay Breakdown'!Y:Y)+SUMIF('Executive Pay Breakdown'!AA:AA,$B455,'Executive Pay Breakdown'!AC:AC)</f>
        <v>11875314</v>
      </c>
      <c r="J455" s="109"/>
      <c r="K455" s="69">
        <f>SUMIF('Executive Pay Breakdown'!K:K,$B455,'Executive Pay Breakdown'!M:M)</f>
        <v>0</v>
      </c>
      <c r="L455" s="69">
        <f>SUMIF('Executive Pay Breakdown'!O:O,$B455,'Executive Pay Breakdown'!Q:Q)</f>
        <v>0</v>
      </c>
      <c r="M455" s="69">
        <f>SUMIF('Executive Pay Breakdown'!S:S,$B455,'Executive Pay Breakdown'!U:U)</f>
        <v>0</v>
      </c>
      <c r="N455" s="69">
        <f>SUMIF('Executive Pay Breakdown'!W:W,$B455,'Executive Pay Breakdown'!Y:Y)</f>
        <v>6197053</v>
      </c>
      <c r="O455" s="69">
        <f>SUMIF('Executive Pay Breakdown'!AA:AA,$B455,'Executive Pay Breakdown'!AC:AC)</f>
        <v>5678261</v>
      </c>
    </row>
    <row r="456" hidden="1">
      <c r="A456" s="62"/>
      <c r="B456" s="142" t="s">
        <v>566</v>
      </c>
      <c r="C456" s="118" t="s">
        <v>18</v>
      </c>
      <c r="D456" s="118"/>
      <c r="E456" s="90"/>
      <c r="F456" s="88"/>
      <c r="G456" s="88"/>
      <c r="H456" s="120"/>
      <c r="I456" s="89">
        <f>SUMIF('Executive Pay Breakdown'!K:K,$B456,'Executive Pay Breakdown'!M:M)+SUMIF('Executive Pay Breakdown'!O:O,$B456,'Executive Pay Breakdown'!Q:Q)+SUMIF('Executive Pay Breakdown'!S:S,$B456,'Executive Pay Breakdown'!U:U)+SUMIF('Executive Pay Breakdown'!W:W,$B456,'Executive Pay Breakdown'!Y:Y)+SUMIF('Executive Pay Breakdown'!AA:AA,$B456,'Executive Pay Breakdown'!AC:AC)</f>
        <v>4398012</v>
      </c>
      <c r="J456" s="109"/>
      <c r="K456" s="69">
        <f>SUMIF('Executive Pay Breakdown'!K:K,$B456,'Executive Pay Breakdown'!M:M)</f>
        <v>0</v>
      </c>
      <c r="L456" s="69">
        <f>SUMIF('Executive Pay Breakdown'!O:O,$B456,'Executive Pay Breakdown'!Q:Q)</f>
        <v>4398012</v>
      </c>
      <c r="M456" s="69">
        <f>SUMIF('Executive Pay Breakdown'!S:S,$B456,'Executive Pay Breakdown'!U:U)</f>
        <v>0</v>
      </c>
      <c r="N456" s="69">
        <f>SUMIF('Executive Pay Breakdown'!W:W,$B456,'Executive Pay Breakdown'!Y:Y)</f>
        <v>0</v>
      </c>
      <c r="O456" s="69">
        <f>SUMIF('Executive Pay Breakdown'!AA:AA,$B456,'Executive Pay Breakdown'!AC:AC)</f>
        <v>0</v>
      </c>
    </row>
    <row r="457" hidden="1">
      <c r="A457" s="81"/>
      <c r="B457" s="137" t="s">
        <v>567</v>
      </c>
      <c r="C457" s="118" t="str">
        <f t="array" ref="C457">INDEX('Executive Pay Breakdown'!B:B,MATCH(B457,'Executive Pay Breakdown'!W:W,0))</f>
        <v>PPG Industries</v>
      </c>
      <c r="D457" s="122"/>
      <c r="E457" s="90"/>
      <c r="F457" s="88"/>
      <c r="G457" s="118"/>
      <c r="H457" s="120"/>
      <c r="I457" s="89">
        <f>SUMIF('Executive Pay Breakdown'!K:K,$B457,'Executive Pay Breakdown'!M:M)+SUMIF('Executive Pay Breakdown'!O:O,$B457,'Executive Pay Breakdown'!Q:Q)+SUMIF('Executive Pay Breakdown'!S:S,$B457,'Executive Pay Breakdown'!U:U)+SUMIF('Executive Pay Breakdown'!W:W,$B457,'Executive Pay Breakdown'!Y:Y)+SUMIF('Executive Pay Breakdown'!AA:AA,$B457,'Executive Pay Breakdown'!AC:AC)</f>
        <v>1945311</v>
      </c>
      <c r="J457" s="109"/>
      <c r="K457" s="69">
        <f>SUMIF('Executive Pay Breakdown'!K:K,$B457,'Executive Pay Breakdown'!M:M)</f>
        <v>0</v>
      </c>
      <c r="L457" s="69">
        <f>SUMIF('Executive Pay Breakdown'!O:O,$B457,'Executive Pay Breakdown'!Q:Q)</f>
        <v>0</v>
      </c>
      <c r="M457" s="69">
        <f>SUMIF('Executive Pay Breakdown'!S:S,$B457,'Executive Pay Breakdown'!U:U)</f>
        <v>0</v>
      </c>
      <c r="N457" s="69">
        <f>SUMIF('Executive Pay Breakdown'!W:W,$B457,'Executive Pay Breakdown'!Y:Y)</f>
        <v>1945311</v>
      </c>
      <c r="O457" s="69">
        <f>SUMIF('Executive Pay Breakdown'!AA:AA,$B457,'Executive Pay Breakdown'!AC:AC)</f>
        <v>0</v>
      </c>
    </row>
    <row r="458" hidden="1">
      <c r="A458" s="62"/>
      <c r="B458" s="86" t="s">
        <v>568</v>
      </c>
      <c r="C458" s="118" t="s">
        <v>44</v>
      </c>
      <c r="D458" s="118"/>
      <c r="E458" s="90"/>
      <c r="F458" s="88"/>
      <c r="G458" s="118"/>
      <c r="H458" s="120"/>
      <c r="I458" s="89">
        <f>SUMIF('Executive Pay Breakdown'!K:K,$B458,'Executive Pay Breakdown'!M:M)+SUMIF('Executive Pay Breakdown'!O:O,$B458,'Executive Pay Breakdown'!Q:Q)+SUMIF('Executive Pay Breakdown'!S:S,$B458,'Executive Pay Breakdown'!U:U)+SUMIF('Executive Pay Breakdown'!W:W,$B458,'Executive Pay Breakdown'!Y:Y)+SUMIF('Executive Pay Breakdown'!AA:AA,$B458,'Executive Pay Breakdown'!AC:AC)</f>
        <v>4003245</v>
      </c>
      <c r="J458" s="109"/>
      <c r="K458" s="69">
        <f>SUMIF('Executive Pay Breakdown'!K:K,$B458,'Executive Pay Breakdown'!M:M)</f>
        <v>0</v>
      </c>
      <c r="L458" s="69">
        <f>SUMIF('Executive Pay Breakdown'!O:O,$B458,'Executive Pay Breakdown'!Q:Q)</f>
        <v>0</v>
      </c>
      <c r="M458" s="69">
        <f>SUMIF('Executive Pay Breakdown'!S:S,$B458,'Executive Pay Breakdown'!U:U)</f>
        <v>0</v>
      </c>
      <c r="N458" s="69">
        <f>SUMIF('Executive Pay Breakdown'!W:W,$B458,'Executive Pay Breakdown'!Y:Y)</f>
        <v>0</v>
      </c>
      <c r="O458" s="69">
        <f>SUMIF('Executive Pay Breakdown'!AA:AA,$B458,'Executive Pay Breakdown'!AC:AC)</f>
        <v>4003245</v>
      </c>
    </row>
    <row r="459" hidden="1">
      <c r="A459" s="62"/>
      <c r="B459" s="86" t="s">
        <v>569</v>
      </c>
      <c r="C459" s="118" t="s">
        <v>28</v>
      </c>
      <c r="D459" s="122"/>
      <c r="E459" s="90"/>
      <c r="F459" s="88"/>
      <c r="G459" s="88"/>
      <c r="H459" s="120"/>
      <c r="I459" s="89">
        <f>SUMIF('Executive Pay Breakdown'!K:K,$B459,'Executive Pay Breakdown'!M:M)+SUMIF('Executive Pay Breakdown'!O:O,$B459,'Executive Pay Breakdown'!Q:Q)+SUMIF('Executive Pay Breakdown'!S:S,$B459,'Executive Pay Breakdown'!U:U)+SUMIF('Executive Pay Breakdown'!W:W,$B459,'Executive Pay Breakdown'!Y:Y)+SUMIF('Executive Pay Breakdown'!AA:AA,$B459,'Executive Pay Breakdown'!AC:AC)</f>
        <v>5714913</v>
      </c>
      <c r="J459" s="109"/>
      <c r="K459" s="69">
        <f>SUMIF('Executive Pay Breakdown'!K:K,$B459,'Executive Pay Breakdown'!M:M)</f>
        <v>3470725</v>
      </c>
      <c r="L459" s="69">
        <f>SUMIF('Executive Pay Breakdown'!O:O,$B459,'Executive Pay Breakdown'!Q:Q)</f>
        <v>2244188</v>
      </c>
      <c r="M459" s="69">
        <f>SUMIF('Executive Pay Breakdown'!S:S,$B459,'Executive Pay Breakdown'!U:U)</f>
        <v>0</v>
      </c>
      <c r="N459" s="69">
        <f>SUMIF('Executive Pay Breakdown'!W:W,$B459,'Executive Pay Breakdown'!Y:Y)</f>
        <v>0</v>
      </c>
      <c r="O459" s="69">
        <f>SUMIF('Executive Pay Breakdown'!AA:AA,$B459,'Executive Pay Breakdown'!AC:AC)</f>
        <v>0</v>
      </c>
    </row>
    <row r="460" hidden="1">
      <c r="A460" s="62"/>
      <c r="B460" s="127" t="s">
        <v>570</v>
      </c>
      <c r="C460" s="118" t="s">
        <v>53</v>
      </c>
      <c r="D460" s="122"/>
      <c r="E460" s="90"/>
      <c r="F460" s="88"/>
      <c r="G460" s="88"/>
      <c r="H460" s="120"/>
      <c r="I460" s="89">
        <f>SUMIF('Executive Pay Breakdown'!K:K,$B460,'Executive Pay Breakdown'!M:M)+SUMIF('Executive Pay Breakdown'!O:O,$B460,'Executive Pay Breakdown'!Q:Q)+SUMIF('Executive Pay Breakdown'!S:S,$B460,'Executive Pay Breakdown'!U:U)+SUMIF('Executive Pay Breakdown'!W:W,$B460,'Executive Pay Breakdown'!Y:Y)+SUMIF('Executive Pay Breakdown'!AA:AA,$B460,'Executive Pay Breakdown'!AC:AC)</f>
        <v>6496341</v>
      </c>
      <c r="J460" s="109"/>
      <c r="K460" s="69">
        <f>SUMIF('Executive Pay Breakdown'!K:K,$B460,'Executive Pay Breakdown'!M:M)</f>
        <v>3819380</v>
      </c>
      <c r="L460" s="69">
        <f>SUMIF('Executive Pay Breakdown'!O:O,$B460,'Executive Pay Breakdown'!Q:Q)</f>
        <v>2676961</v>
      </c>
      <c r="M460" s="69">
        <f>SUMIF('Executive Pay Breakdown'!S:S,$B460,'Executive Pay Breakdown'!U:U)</f>
        <v>0</v>
      </c>
      <c r="N460" s="69">
        <f>SUMIF('Executive Pay Breakdown'!W:W,$B460,'Executive Pay Breakdown'!Y:Y)</f>
        <v>0</v>
      </c>
      <c r="O460" s="69">
        <f>SUMIF('Executive Pay Breakdown'!AA:AA,$B460,'Executive Pay Breakdown'!AC:AC)</f>
        <v>0</v>
      </c>
    </row>
    <row r="461" hidden="1">
      <c r="A461" s="62"/>
      <c r="B461" s="87" t="s">
        <v>571</v>
      </c>
      <c r="C461" s="117" t="s">
        <v>71</v>
      </c>
      <c r="D461" s="118"/>
      <c r="E461" s="90"/>
      <c r="F461" s="88"/>
      <c r="G461" s="118"/>
      <c r="H461" s="120"/>
      <c r="I461" s="89">
        <f>SUMIF('Executive Pay Breakdown'!K:K,$B461,'Executive Pay Breakdown'!M:M)+SUMIF('Executive Pay Breakdown'!O:O,$B461,'Executive Pay Breakdown'!Q:Q)+SUMIF('Executive Pay Breakdown'!S:S,$B461,'Executive Pay Breakdown'!U:U)+SUMIF('Executive Pay Breakdown'!W:W,$B461,'Executive Pay Breakdown'!Y:Y)+SUMIF('Executive Pay Breakdown'!AA:AA,$B461,'Executive Pay Breakdown'!AC:AC)</f>
        <v>2879931</v>
      </c>
      <c r="J461" s="109"/>
      <c r="K461" s="69">
        <f>SUMIF('Executive Pay Breakdown'!K:K,$B461,'Executive Pay Breakdown'!M:M)</f>
        <v>0</v>
      </c>
      <c r="L461" s="69">
        <f>SUMIF('Executive Pay Breakdown'!O:O,$B461,'Executive Pay Breakdown'!Q:Q)</f>
        <v>0</v>
      </c>
      <c r="M461" s="69">
        <f>SUMIF('Executive Pay Breakdown'!S:S,$B461,'Executive Pay Breakdown'!U:U)</f>
        <v>0</v>
      </c>
      <c r="N461" s="69">
        <f>SUMIF('Executive Pay Breakdown'!W:W,$B461,'Executive Pay Breakdown'!Y:Y)</f>
        <v>0</v>
      </c>
      <c r="O461" s="69">
        <f>SUMIF('Executive Pay Breakdown'!AA:AA,$B461,'Executive Pay Breakdown'!AC:AC)</f>
        <v>2879931</v>
      </c>
    </row>
    <row r="462" hidden="1">
      <c r="A462" s="81"/>
      <c r="B462" s="133" t="s">
        <v>572</v>
      </c>
      <c r="C462" s="118" t="s">
        <v>50</v>
      </c>
      <c r="D462" s="118"/>
      <c r="E462" s="90"/>
      <c r="F462" s="88"/>
      <c r="G462" s="118"/>
      <c r="H462" s="120"/>
      <c r="I462" s="89">
        <f>SUMIF('Executive Pay Breakdown'!K:K,$B462,'Executive Pay Breakdown'!M:M)+SUMIF('Executive Pay Breakdown'!O:O,$B462,'Executive Pay Breakdown'!Q:Q)+SUMIF('Executive Pay Breakdown'!S:S,$B462,'Executive Pay Breakdown'!U:U)+SUMIF('Executive Pay Breakdown'!W:W,$B462,'Executive Pay Breakdown'!Y:Y)+SUMIF('Executive Pay Breakdown'!AA:AA,$B462,'Executive Pay Breakdown'!AC:AC)</f>
        <v>4282832</v>
      </c>
      <c r="J462" s="109"/>
      <c r="K462" s="69">
        <f>SUMIF('Executive Pay Breakdown'!K:K,$B462,'Executive Pay Breakdown'!M:M)</f>
        <v>0</v>
      </c>
      <c r="L462" s="69">
        <f>SUMIF('Executive Pay Breakdown'!O:O,$B462,'Executive Pay Breakdown'!Q:Q)</f>
        <v>0</v>
      </c>
      <c r="M462" s="69">
        <f>SUMIF('Executive Pay Breakdown'!S:S,$B462,'Executive Pay Breakdown'!U:U)</f>
        <v>0</v>
      </c>
      <c r="N462" s="69">
        <f>SUMIF('Executive Pay Breakdown'!W:W,$B462,'Executive Pay Breakdown'!Y:Y)</f>
        <v>4282832</v>
      </c>
      <c r="O462" s="69">
        <f>SUMIF('Executive Pay Breakdown'!AA:AA,$B462,'Executive Pay Breakdown'!AC:AC)</f>
        <v>0</v>
      </c>
    </row>
    <row r="463" hidden="1">
      <c r="A463" s="62"/>
      <c r="B463" s="86" t="s">
        <v>573</v>
      </c>
      <c r="C463" s="117" t="s">
        <v>71</v>
      </c>
      <c r="D463" s="118"/>
      <c r="E463" s="90"/>
      <c r="F463" s="88"/>
      <c r="G463" s="118"/>
      <c r="H463" s="120"/>
      <c r="I463" s="89">
        <f>SUMIF('Executive Pay Breakdown'!K:K,$B463,'Executive Pay Breakdown'!M:M)+SUMIF('Executive Pay Breakdown'!O:O,$B463,'Executive Pay Breakdown'!Q:Q)+SUMIF('Executive Pay Breakdown'!S:S,$B463,'Executive Pay Breakdown'!U:U)+SUMIF('Executive Pay Breakdown'!W:W,$B463,'Executive Pay Breakdown'!Y:Y)+SUMIF('Executive Pay Breakdown'!AA:AA,$B463,'Executive Pay Breakdown'!AC:AC)</f>
        <v>2807678</v>
      </c>
      <c r="J463" s="109"/>
      <c r="K463" s="69">
        <f>SUMIF('Executive Pay Breakdown'!K:K,$B463,'Executive Pay Breakdown'!M:M)</f>
        <v>0</v>
      </c>
      <c r="L463" s="69">
        <f>SUMIF('Executive Pay Breakdown'!O:O,$B463,'Executive Pay Breakdown'!Q:Q)</f>
        <v>2807678</v>
      </c>
      <c r="M463" s="69">
        <f>SUMIF('Executive Pay Breakdown'!S:S,$B463,'Executive Pay Breakdown'!U:U)</f>
        <v>0</v>
      </c>
      <c r="N463" s="69">
        <f>SUMIF('Executive Pay Breakdown'!W:W,$B463,'Executive Pay Breakdown'!Y:Y)</f>
        <v>0</v>
      </c>
      <c r="O463" s="69">
        <f>SUMIF('Executive Pay Breakdown'!AA:AA,$B463,'Executive Pay Breakdown'!AC:AC)</f>
        <v>0</v>
      </c>
    </row>
    <row r="464" hidden="1">
      <c r="A464" s="62"/>
      <c r="B464" s="86" t="s">
        <v>574</v>
      </c>
      <c r="C464" s="118" t="s">
        <v>77</v>
      </c>
      <c r="D464" s="118"/>
      <c r="E464" s="90"/>
      <c r="F464" s="88"/>
      <c r="G464" s="118"/>
      <c r="H464" s="120"/>
      <c r="I464" s="89">
        <f>SUMIF('Executive Pay Breakdown'!K:K,$B464,'Executive Pay Breakdown'!M:M)+SUMIF('Executive Pay Breakdown'!O:O,$B464,'Executive Pay Breakdown'!Q:Q)+SUMIF('Executive Pay Breakdown'!S:S,$B464,'Executive Pay Breakdown'!U:U)+SUMIF('Executive Pay Breakdown'!W:W,$B464,'Executive Pay Breakdown'!Y:Y)+SUMIF('Executive Pay Breakdown'!AA:AA,$B464,'Executive Pay Breakdown'!AC:AC)</f>
        <v>2473966</v>
      </c>
      <c r="J464" s="109"/>
      <c r="K464" s="69">
        <f>SUMIF('Executive Pay Breakdown'!K:K,$B464,'Executive Pay Breakdown'!M:M)</f>
        <v>0</v>
      </c>
      <c r="L464" s="69">
        <f>SUMIF('Executive Pay Breakdown'!O:O,$B464,'Executive Pay Breakdown'!Q:Q)</f>
        <v>0</v>
      </c>
      <c r="M464" s="69">
        <f>SUMIF('Executive Pay Breakdown'!S:S,$B464,'Executive Pay Breakdown'!U:U)</f>
        <v>2473966</v>
      </c>
      <c r="N464" s="69">
        <f>SUMIF('Executive Pay Breakdown'!W:W,$B464,'Executive Pay Breakdown'!Y:Y)</f>
        <v>0</v>
      </c>
      <c r="O464" s="69">
        <f>SUMIF('Executive Pay Breakdown'!AA:AA,$B464,'Executive Pay Breakdown'!AC:AC)</f>
        <v>0</v>
      </c>
    </row>
    <row r="465" hidden="1">
      <c r="A465" s="62"/>
      <c r="B465" s="127" t="s">
        <v>575</v>
      </c>
      <c r="C465" s="118" t="s">
        <v>30</v>
      </c>
      <c r="D465" s="122"/>
      <c r="E465" s="90"/>
      <c r="F465" s="88"/>
      <c r="G465" s="88"/>
      <c r="H465" s="120"/>
      <c r="I465" s="89">
        <f>SUMIF('Executive Pay Breakdown'!K:K,$B465,'Executive Pay Breakdown'!M:M)+SUMIF('Executive Pay Breakdown'!O:O,$B465,'Executive Pay Breakdown'!Q:Q)+SUMIF('Executive Pay Breakdown'!S:S,$B465,'Executive Pay Breakdown'!U:U)+SUMIF('Executive Pay Breakdown'!W:W,$B465,'Executive Pay Breakdown'!Y:Y)+SUMIF('Executive Pay Breakdown'!AA:AA,$B465,'Executive Pay Breakdown'!AC:AC)</f>
        <v>5111743</v>
      </c>
      <c r="J465" s="109"/>
      <c r="K465" s="69">
        <f>SUMIF('Executive Pay Breakdown'!K:K,$B465,'Executive Pay Breakdown'!M:M)</f>
        <v>2581551</v>
      </c>
      <c r="L465" s="69">
        <f>SUMIF('Executive Pay Breakdown'!O:O,$B465,'Executive Pay Breakdown'!Q:Q)</f>
        <v>2530192</v>
      </c>
      <c r="M465" s="69">
        <f>SUMIF('Executive Pay Breakdown'!S:S,$B465,'Executive Pay Breakdown'!U:U)</f>
        <v>0</v>
      </c>
      <c r="N465" s="69">
        <f>SUMIF('Executive Pay Breakdown'!W:W,$B465,'Executive Pay Breakdown'!Y:Y)</f>
        <v>0</v>
      </c>
      <c r="O465" s="69">
        <f>SUMIF('Executive Pay Breakdown'!AA:AA,$B465,'Executive Pay Breakdown'!AC:AC)</f>
        <v>0</v>
      </c>
    </row>
    <row r="466" hidden="1">
      <c r="A466" s="62"/>
      <c r="B466" s="86" t="s">
        <v>576</v>
      </c>
      <c r="C466" s="118" t="s">
        <v>67</v>
      </c>
      <c r="D466" s="122"/>
      <c r="E466" s="90"/>
      <c r="F466" s="88"/>
      <c r="G466" s="118"/>
      <c r="H466" s="120"/>
      <c r="I466" s="89">
        <f>SUMIF('Executive Pay Breakdown'!K:K,$B466,'Executive Pay Breakdown'!M:M)+SUMIF('Executive Pay Breakdown'!O:O,$B466,'Executive Pay Breakdown'!Q:Q)+SUMIF('Executive Pay Breakdown'!S:S,$B466,'Executive Pay Breakdown'!U:U)+SUMIF('Executive Pay Breakdown'!W:W,$B466,'Executive Pay Breakdown'!Y:Y)+SUMIF('Executive Pay Breakdown'!AA:AA,$B466,'Executive Pay Breakdown'!AC:AC)</f>
        <v>4011837</v>
      </c>
      <c r="J466" s="109"/>
      <c r="K466" s="69">
        <f>SUMIF('Executive Pay Breakdown'!K:K,$B466,'Executive Pay Breakdown'!M:M)</f>
        <v>4011837</v>
      </c>
      <c r="L466" s="69">
        <f>SUMIF('Executive Pay Breakdown'!O:O,$B466,'Executive Pay Breakdown'!Q:Q)</f>
        <v>0</v>
      </c>
      <c r="M466" s="69">
        <f>SUMIF('Executive Pay Breakdown'!S:S,$B466,'Executive Pay Breakdown'!U:U)</f>
        <v>0</v>
      </c>
      <c r="N466" s="69">
        <f>SUMIF('Executive Pay Breakdown'!W:W,$B466,'Executive Pay Breakdown'!Y:Y)</f>
        <v>0</v>
      </c>
      <c r="O466" s="69">
        <f>SUMIF('Executive Pay Breakdown'!AA:AA,$B466,'Executive Pay Breakdown'!AC:AC)</f>
        <v>0</v>
      </c>
    </row>
    <row r="467" hidden="1">
      <c r="A467" s="62"/>
      <c r="B467" s="86" t="s">
        <v>577</v>
      </c>
      <c r="C467" s="118" t="s">
        <v>46</v>
      </c>
      <c r="D467" s="118"/>
      <c r="E467" s="90"/>
      <c r="F467" s="88"/>
      <c r="G467" s="88"/>
      <c r="H467" s="120"/>
      <c r="I467" s="89">
        <f>SUMIF('Executive Pay Breakdown'!K:K,$B467,'Executive Pay Breakdown'!M:M)+SUMIF('Executive Pay Breakdown'!O:O,$B467,'Executive Pay Breakdown'!Q:Q)+SUMIF('Executive Pay Breakdown'!S:S,$B467,'Executive Pay Breakdown'!U:U)+SUMIF('Executive Pay Breakdown'!W:W,$B467,'Executive Pay Breakdown'!Y:Y)+SUMIF('Executive Pay Breakdown'!AA:AA,$B467,'Executive Pay Breakdown'!AC:AC)</f>
        <v>3243927</v>
      </c>
      <c r="J467" s="109"/>
      <c r="K467" s="69">
        <f>SUMIF('Executive Pay Breakdown'!K:K,$B467,'Executive Pay Breakdown'!M:M)</f>
        <v>0</v>
      </c>
      <c r="L467" s="69">
        <f>SUMIF('Executive Pay Breakdown'!O:O,$B467,'Executive Pay Breakdown'!Q:Q)</f>
        <v>3243927</v>
      </c>
      <c r="M467" s="69">
        <f>SUMIF('Executive Pay Breakdown'!S:S,$B467,'Executive Pay Breakdown'!U:U)</f>
        <v>0</v>
      </c>
      <c r="N467" s="69">
        <f>SUMIF('Executive Pay Breakdown'!W:W,$B467,'Executive Pay Breakdown'!Y:Y)</f>
        <v>0</v>
      </c>
      <c r="O467" s="69">
        <f>SUMIF('Executive Pay Breakdown'!AA:AA,$B467,'Executive Pay Breakdown'!AC:AC)</f>
        <v>0</v>
      </c>
    </row>
    <row r="468" hidden="1">
      <c r="A468" s="62"/>
      <c r="B468" s="86" t="s">
        <v>578</v>
      </c>
      <c r="C468" s="118" t="s">
        <v>67</v>
      </c>
      <c r="D468" s="118"/>
      <c r="E468" s="90"/>
      <c r="F468" s="88"/>
      <c r="G468" s="118"/>
      <c r="H468" s="120"/>
      <c r="I468" s="89">
        <f>SUMIF('Executive Pay Breakdown'!K:K,$B468,'Executive Pay Breakdown'!M:M)+SUMIF('Executive Pay Breakdown'!O:O,$B468,'Executive Pay Breakdown'!Q:Q)+SUMIF('Executive Pay Breakdown'!S:S,$B468,'Executive Pay Breakdown'!U:U)+SUMIF('Executive Pay Breakdown'!W:W,$B468,'Executive Pay Breakdown'!Y:Y)+SUMIF('Executive Pay Breakdown'!AA:AA,$B468,'Executive Pay Breakdown'!AC:AC)</f>
        <v>3865813</v>
      </c>
      <c r="J468" s="109"/>
      <c r="K468" s="69">
        <f>SUMIF('Executive Pay Breakdown'!K:K,$B468,'Executive Pay Breakdown'!M:M)</f>
        <v>0</v>
      </c>
      <c r="L468" s="69">
        <f>SUMIF('Executive Pay Breakdown'!O:O,$B468,'Executive Pay Breakdown'!Q:Q)</f>
        <v>0</v>
      </c>
      <c r="M468" s="69">
        <f>SUMIF('Executive Pay Breakdown'!S:S,$B468,'Executive Pay Breakdown'!U:U)</f>
        <v>1426106</v>
      </c>
      <c r="N468" s="69">
        <f>SUMIF('Executive Pay Breakdown'!W:W,$B468,'Executive Pay Breakdown'!Y:Y)</f>
        <v>1273716</v>
      </c>
      <c r="O468" s="69">
        <f>SUMIF('Executive Pay Breakdown'!AA:AA,$B468,'Executive Pay Breakdown'!AC:AC)</f>
        <v>1165991</v>
      </c>
    </row>
    <row r="469" hidden="1">
      <c r="A469" s="62"/>
      <c r="B469" s="86" t="s">
        <v>579</v>
      </c>
      <c r="C469" s="117" t="s">
        <v>71</v>
      </c>
      <c r="D469" s="118"/>
      <c r="E469" s="90"/>
      <c r="F469" s="88"/>
      <c r="G469" s="118"/>
      <c r="H469" s="120"/>
      <c r="I469" s="89">
        <f>SUMIF('Executive Pay Breakdown'!K:K,$B469,'Executive Pay Breakdown'!M:M)+SUMIF('Executive Pay Breakdown'!O:O,$B469,'Executive Pay Breakdown'!Q:Q)+SUMIF('Executive Pay Breakdown'!S:S,$B469,'Executive Pay Breakdown'!U:U)+SUMIF('Executive Pay Breakdown'!W:W,$B469,'Executive Pay Breakdown'!Y:Y)+SUMIF('Executive Pay Breakdown'!AA:AA,$B469,'Executive Pay Breakdown'!AC:AC)</f>
        <v>2627957</v>
      </c>
      <c r="J469" s="109"/>
      <c r="K469" s="69">
        <f>SUMIF('Executive Pay Breakdown'!K:K,$B469,'Executive Pay Breakdown'!M:M)</f>
        <v>2627957</v>
      </c>
      <c r="L469" s="69">
        <f>SUMIF('Executive Pay Breakdown'!O:O,$B469,'Executive Pay Breakdown'!Q:Q)</f>
        <v>0</v>
      </c>
      <c r="M469" s="69">
        <f>SUMIF('Executive Pay Breakdown'!S:S,$B469,'Executive Pay Breakdown'!U:U)</f>
        <v>0</v>
      </c>
      <c r="N469" s="69">
        <f>SUMIF('Executive Pay Breakdown'!W:W,$B469,'Executive Pay Breakdown'!Y:Y)</f>
        <v>0</v>
      </c>
      <c r="O469" s="69">
        <f>SUMIF('Executive Pay Breakdown'!AA:AA,$B469,'Executive Pay Breakdown'!AC:AC)</f>
        <v>0</v>
      </c>
    </row>
    <row r="470" hidden="1">
      <c r="A470" s="62"/>
      <c r="B470" s="129" t="s">
        <v>580</v>
      </c>
      <c r="C470" s="118" t="s">
        <v>73</v>
      </c>
      <c r="D470" s="118"/>
      <c r="E470" s="90"/>
      <c r="F470" s="88"/>
      <c r="G470" s="88"/>
      <c r="H470" s="120"/>
      <c r="I470" s="89">
        <f>SUMIF('Executive Pay Breakdown'!K:K,$B470,'Executive Pay Breakdown'!M:M)+SUMIF('Executive Pay Breakdown'!O:O,$B470,'Executive Pay Breakdown'!Q:Q)+SUMIF('Executive Pay Breakdown'!S:S,$B470,'Executive Pay Breakdown'!U:U)+SUMIF('Executive Pay Breakdown'!W:W,$B470,'Executive Pay Breakdown'!Y:Y)+SUMIF('Executive Pay Breakdown'!AA:AA,$B470,'Executive Pay Breakdown'!AC:AC)</f>
        <v>3920942</v>
      </c>
      <c r="J470" s="109"/>
      <c r="K470" s="69">
        <f>SUMIF('Executive Pay Breakdown'!K:K,$B470,'Executive Pay Breakdown'!M:M)</f>
        <v>0</v>
      </c>
      <c r="L470" s="69">
        <f>SUMIF('Executive Pay Breakdown'!O:O,$B470,'Executive Pay Breakdown'!Q:Q)</f>
        <v>3920942</v>
      </c>
      <c r="M470" s="69">
        <f>SUMIF('Executive Pay Breakdown'!S:S,$B470,'Executive Pay Breakdown'!U:U)</f>
        <v>0</v>
      </c>
      <c r="N470" s="69">
        <f>SUMIF('Executive Pay Breakdown'!W:W,$B470,'Executive Pay Breakdown'!Y:Y)</f>
        <v>0</v>
      </c>
      <c r="O470" s="69">
        <f>SUMIF('Executive Pay Breakdown'!AA:AA,$B470,'Executive Pay Breakdown'!AC:AC)</f>
        <v>0</v>
      </c>
    </row>
    <row r="471" hidden="1">
      <c r="A471" s="62"/>
      <c r="B471" s="86" t="s">
        <v>581</v>
      </c>
      <c r="C471" s="118" t="s">
        <v>37</v>
      </c>
      <c r="D471" s="118"/>
      <c r="E471" s="90"/>
      <c r="F471" s="88"/>
      <c r="G471" s="88"/>
      <c r="H471" s="120"/>
      <c r="I471" s="89">
        <f>SUMIF('Executive Pay Breakdown'!K:K,$B471,'Executive Pay Breakdown'!M:M)+SUMIF('Executive Pay Breakdown'!O:O,$B471,'Executive Pay Breakdown'!Q:Q)+SUMIF('Executive Pay Breakdown'!S:S,$B471,'Executive Pay Breakdown'!U:U)+SUMIF('Executive Pay Breakdown'!W:W,$B471,'Executive Pay Breakdown'!Y:Y)+SUMIF('Executive Pay Breakdown'!AA:AA,$B471,'Executive Pay Breakdown'!AC:AC)</f>
        <v>5546128</v>
      </c>
      <c r="J471" s="109"/>
      <c r="K471" s="69">
        <f>SUMIF('Executive Pay Breakdown'!K:K,$B471,'Executive Pay Breakdown'!M:M)</f>
        <v>0</v>
      </c>
      <c r="L471" s="69">
        <f>SUMIF('Executive Pay Breakdown'!O:O,$B471,'Executive Pay Breakdown'!Q:Q)</f>
        <v>5546128</v>
      </c>
      <c r="M471" s="69">
        <f>SUMIF('Executive Pay Breakdown'!S:S,$B471,'Executive Pay Breakdown'!U:U)</f>
        <v>0</v>
      </c>
      <c r="N471" s="69">
        <f>SUMIF('Executive Pay Breakdown'!W:W,$B471,'Executive Pay Breakdown'!Y:Y)</f>
        <v>0</v>
      </c>
      <c r="O471" s="69">
        <f>SUMIF('Executive Pay Breakdown'!AA:AA,$B471,'Executive Pay Breakdown'!AC:AC)</f>
        <v>0</v>
      </c>
    </row>
    <row r="472" hidden="1">
      <c r="A472" s="62"/>
      <c r="B472" s="127" t="s">
        <v>582</v>
      </c>
      <c r="C472" s="118" t="s">
        <v>20</v>
      </c>
      <c r="D472" s="122"/>
      <c r="E472" s="90"/>
      <c r="F472" s="88"/>
      <c r="G472" s="88"/>
      <c r="H472" s="120"/>
      <c r="I472" s="89">
        <f>SUMIF('Executive Pay Breakdown'!K:K,$B472,'Executive Pay Breakdown'!M:M)+SUMIF('Executive Pay Breakdown'!O:O,$B472,'Executive Pay Breakdown'!Q:Q)+SUMIF('Executive Pay Breakdown'!S:S,$B472,'Executive Pay Breakdown'!U:U)+SUMIF('Executive Pay Breakdown'!W:W,$B472,'Executive Pay Breakdown'!Y:Y)+SUMIF('Executive Pay Breakdown'!AA:AA,$B472,'Executive Pay Breakdown'!AC:AC)</f>
        <v>5225531</v>
      </c>
      <c r="J472" s="109"/>
      <c r="K472" s="69">
        <f>SUMIF('Executive Pay Breakdown'!K:K,$B472,'Executive Pay Breakdown'!M:M)</f>
        <v>2644918</v>
      </c>
      <c r="L472" s="69">
        <f>SUMIF('Executive Pay Breakdown'!O:O,$B472,'Executive Pay Breakdown'!Q:Q)</f>
        <v>2580613</v>
      </c>
      <c r="M472" s="69">
        <f>SUMIF('Executive Pay Breakdown'!S:S,$B472,'Executive Pay Breakdown'!U:U)</f>
        <v>0</v>
      </c>
      <c r="N472" s="69">
        <f>SUMIF('Executive Pay Breakdown'!W:W,$B472,'Executive Pay Breakdown'!Y:Y)</f>
        <v>0</v>
      </c>
      <c r="O472" s="69">
        <f>SUMIF('Executive Pay Breakdown'!AA:AA,$B472,'Executive Pay Breakdown'!AC:AC)</f>
        <v>0</v>
      </c>
    </row>
    <row r="473" hidden="1">
      <c r="A473" s="62"/>
      <c r="B473" s="125" t="s">
        <v>583</v>
      </c>
      <c r="C473" s="118" t="s">
        <v>22</v>
      </c>
      <c r="D473" s="122"/>
      <c r="E473" s="90"/>
      <c r="F473" s="88"/>
      <c r="G473" s="118"/>
      <c r="H473" s="120"/>
      <c r="I473" s="89">
        <f>SUMIF('Executive Pay Breakdown'!K:K,$B473,'Executive Pay Breakdown'!M:M)+SUMIF('Executive Pay Breakdown'!O:O,$B473,'Executive Pay Breakdown'!Q:Q)+SUMIF('Executive Pay Breakdown'!S:S,$B473,'Executive Pay Breakdown'!U:U)+SUMIF('Executive Pay Breakdown'!W:W,$B473,'Executive Pay Breakdown'!Y:Y)+SUMIF('Executive Pay Breakdown'!AA:AA,$B473,'Executive Pay Breakdown'!AC:AC)</f>
        <v>5206086</v>
      </c>
      <c r="J473" s="109"/>
      <c r="K473" s="69">
        <f>SUMIF('Executive Pay Breakdown'!K:K,$B473,'Executive Pay Breakdown'!M:M)</f>
        <v>1367312</v>
      </c>
      <c r="L473" s="69">
        <f>SUMIF('Executive Pay Breakdown'!O:O,$B473,'Executive Pay Breakdown'!Q:Q)</f>
        <v>1885073</v>
      </c>
      <c r="M473" s="69">
        <f>SUMIF('Executive Pay Breakdown'!S:S,$B473,'Executive Pay Breakdown'!U:U)</f>
        <v>1953701</v>
      </c>
      <c r="N473" s="69">
        <f>SUMIF('Executive Pay Breakdown'!W:W,$B473,'Executive Pay Breakdown'!Y:Y)</f>
        <v>0</v>
      </c>
      <c r="O473" s="69">
        <f>SUMIF('Executive Pay Breakdown'!AA:AA,$B473,'Executive Pay Breakdown'!AC:AC)</f>
        <v>0</v>
      </c>
    </row>
    <row r="474" hidden="1">
      <c r="A474" s="62"/>
      <c r="B474" s="142" t="s">
        <v>584</v>
      </c>
      <c r="C474" s="118" t="s">
        <v>20</v>
      </c>
      <c r="D474" s="118"/>
      <c r="E474" s="90"/>
      <c r="F474" s="88"/>
      <c r="G474" s="118"/>
      <c r="H474" s="120"/>
      <c r="I474" s="89">
        <f>SUMIF('Executive Pay Breakdown'!K:K,$B474,'Executive Pay Breakdown'!M:M)+SUMIF('Executive Pay Breakdown'!O:O,$B474,'Executive Pay Breakdown'!Q:Q)+SUMIF('Executive Pay Breakdown'!S:S,$B474,'Executive Pay Breakdown'!U:U)+SUMIF('Executive Pay Breakdown'!W:W,$B474,'Executive Pay Breakdown'!Y:Y)+SUMIF('Executive Pay Breakdown'!AA:AA,$B474,'Executive Pay Breakdown'!AC:AC)</f>
        <v>5122458</v>
      </c>
      <c r="J474" s="109"/>
      <c r="K474" s="69">
        <f>SUMIF('Executive Pay Breakdown'!K:K,$B474,'Executive Pay Breakdown'!M:M)</f>
        <v>0</v>
      </c>
      <c r="L474" s="69">
        <f>SUMIF('Executive Pay Breakdown'!O:O,$B474,'Executive Pay Breakdown'!Q:Q)</f>
        <v>0</v>
      </c>
      <c r="M474" s="69">
        <f>SUMIF('Executive Pay Breakdown'!S:S,$B474,'Executive Pay Breakdown'!U:U)</f>
        <v>0</v>
      </c>
      <c r="N474" s="69">
        <f>SUMIF('Executive Pay Breakdown'!W:W,$B474,'Executive Pay Breakdown'!Y:Y)</f>
        <v>2847059</v>
      </c>
      <c r="O474" s="69">
        <f>SUMIF('Executive Pay Breakdown'!AA:AA,$B474,'Executive Pay Breakdown'!AC:AC)</f>
        <v>2275399</v>
      </c>
    </row>
    <row r="475" hidden="1">
      <c r="A475" s="62"/>
      <c r="B475" s="143" t="s">
        <v>585</v>
      </c>
      <c r="C475" s="118" t="s">
        <v>50</v>
      </c>
      <c r="D475" s="118"/>
      <c r="E475" s="90"/>
      <c r="F475" s="88"/>
      <c r="G475" s="118"/>
      <c r="H475" s="120"/>
      <c r="I475" s="89">
        <f>SUMIF('Executive Pay Breakdown'!K:K,$B475,'Executive Pay Breakdown'!M:M)+SUMIF('Executive Pay Breakdown'!O:O,$B475,'Executive Pay Breakdown'!Q:Q)+SUMIF('Executive Pay Breakdown'!S:S,$B475,'Executive Pay Breakdown'!U:U)+SUMIF('Executive Pay Breakdown'!W:W,$B475,'Executive Pay Breakdown'!Y:Y)+SUMIF('Executive Pay Breakdown'!AA:AA,$B475,'Executive Pay Breakdown'!AC:AC)</f>
        <v>3746801</v>
      </c>
      <c r="J475" s="109"/>
      <c r="K475" s="69">
        <f>SUMIF('Executive Pay Breakdown'!K:K,$B475,'Executive Pay Breakdown'!M:M)</f>
        <v>0</v>
      </c>
      <c r="L475" s="69">
        <f>SUMIF('Executive Pay Breakdown'!O:O,$B475,'Executive Pay Breakdown'!Q:Q)</f>
        <v>0</v>
      </c>
      <c r="M475" s="69">
        <f>SUMIF('Executive Pay Breakdown'!S:S,$B475,'Executive Pay Breakdown'!U:U)</f>
        <v>3746801</v>
      </c>
      <c r="N475" s="69">
        <f>SUMIF('Executive Pay Breakdown'!W:W,$B475,'Executive Pay Breakdown'!Y:Y)</f>
        <v>0</v>
      </c>
      <c r="O475" s="69">
        <f>SUMIF('Executive Pay Breakdown'!AA:AA,$B475,'Executive Pay Breakdown'!AC:AC)</f>
        <v>0</v>
      </c>
    </row>
    <row r="476" hidden="1">
      <c r="A476" s="62"/>
      <c r="B476" s="86" t="s">
        <v>586</v>
      </c>
      <c r="C476" s="118" t="s">
        <v>38</v>
      </c>
      <c r="D476" s="118"/>
      <c r="E476" s="90"/>
      <c r="F476" s="88"/>
      <c r="G476" s="118"/>
      <c r="H476" s="120"/>
      <c r="I476" s="89">
        <f>SUMIF('Executive Pay Breakdown'!K:K,$B476,'Executive Pay Breakdown'!M:M)+SUMIF('Executive Pay Breakdown'!O:O,$B476,'Executive Pay Breakdown'!Q:Q)+SUMIF('Executive Pay Breakdown'!S:S,$B476,'Executive Pay Breakdown'!U:U)+SUMIF('Executive Pay Breakdown'!W:W,$B476,'Executive Pay Breakdown'!Y:Y)+SUMIF('Executive Pay Breakdown'!AA:AA,$B476,'Executive Pay Breakdown'!AC:AC)</f>
        <v>5138958</v>
      </c>
      <c r="J476" s="109"/>
      <c r="K476" s="69">
        <f>SUMIF('Executive Pay Breakdown'!K:K,$B476,'Executive Pay Breakdown'!M:M)</f>
        <v>0</v>
      </c>
      <c r="L476" s="69">
        <f>SUMIF('Executive Pay Breakdown'!O:O,$B476,'Executive Pay Breakdown'!Q:Q)</f>
        <v>1656800</v>
      </c>
      <c r="M476" s="69">
        <f>SUMIF('Executive Pay Breakdown'!S:S,$B476,'Executive Pay Breakdown'!U:U)</f>
        <v>1868330</v>
      </c>
      <c r="N476" s="69">
        <f>SUMIF('Executive Pay Breakdown'!W:W,$B476,'Executive Pay Breakdown'!Y:Y)</f>
        <v>1613828</v>
      </c>
      <c r="O476" s="69">
        <f>SUMIF('Executive Pay Breakdown'!AA:AA,$B476,'Executive Pay Breakdown'!AC:AC)</f>
        <v>0</v>
      </c>
    </row>
    <row r="477" hidden="1">
      <c r="A477" s="62"/>
      <c r="B477" s="127" t="s">
        <v>587</v>
      </c>
      <c r="C477" s="118" t="s">
        <v>64</v>
      </c>
      <c r="D477" s="122"/>
      <c r="E477" s="90"/>
      <c r="F477" s="88"/>
      <c r="G477" s="118"/>
      <c r="H477" s="120"/>
      <c r="I477" s="89">
        <f>SUMIF('Executive Pay Breakdown'!K:K,$B477,'Executive Pay Breakdown'!M:M)+SUMIF('Executive Pay Breakdown'!O:O,$B477,'Executive Pay Breakdown'!Q:Q)+SUMIF('Executive Pay Breakdown'!S:S,$B477,'Executive Pay Breakdown'!U:U)+SUMIF('Executive Pay Breakdown'!W:W,$B477,'Executive Pay Breakdown'!Y:Y)+SUMIF('Executive Pay Breakdown'!AA:AA,$B477,'Executive Pay Breakdown'!AC:AC)</f>
        <v>6922710</v>
      </c>
      <c r="J477" s="109"/>
      <c r="K477" s="69">
        <f>SUMIF('Executive Pay Breakdown'!K:K,$B477,'Executive Pay Breakdown'!M:M)</f>
        <v>2709463</v>
      </c>
      <c r="L477" s="69">
        <f>SUMIF('Executive Pay Breakdown'!O:O,$B477,'Executive Pay Breakdown'!Q:Q)</f>
        <v>2240453</v>
      </c>
      <c r="M477" s="69">
        <f>SUMIF('Executive Pay Breakdown'!S:S,$B477,'Executive Pay Breakdown'!U:U)</f>
        <v>1972794</v>
      </c>
      <c r="N477" s="69">
        <f>SUMIF('Executive Pay Breakdown'!W:W,$B477,'Executive Pay Breakdown'!Y:Y)</f>
        <v>0</v>
      </c>
      <c r="O477" s="69">
        <f>SUMIF('Executive Pay Breakdown'!AA:AA,$B477,'Executive Pay Breakdown'!AC:AC)</f>
        <v>0</v>
      </c>
    </row>
    <row r="478" hidden="1">
      <c r="A478" s="62"/>
      <c r="B478" s="86" t="s">
        <v>588</v>
      </c>
      <c r="C478" s="117" t="s">
        <v>71</v>
      </c>
      <c r="D478" s="118"/>
      <c r="E478" s="90"/>
      <c r="F478" s="88"/>
      <c r="G478" s="118"/>
      <c r="H478" s="120"/>
      <c r="I478" s="89">
        <f>SUMIF('Executive Pay Breakdown'!K:K,$B478,'Executive Pay Breakdown'!M:M)+SUMIF('Executive Pay Breakdown'!O:O,$B478,'Executive Pay Breakdown'!Q:Q)+SUMIF('Executive Pay Breakdown'!S:S,$B478,'Executive Pay Breakdown'!U:U)+SUMIF('Executive Pay Breakdown'!W:W,$B478,'Executive Pay Breakdown'!Y:Y)+SUMIF('Executive Pay Breakdown'!AA:AA,$B478,'Executive Pay Breakdown'!AC:AC)</f>
        <v>2416193</v>
      </c>
      <c r="J478" s="109"/>
      <c r="K478" s="69">
        <f>SUMIF('Executive Pay Breakdown'!K:K,$B478,'Executive Pay Breakdown'!M:M)</f>
        <v>0</v>
      </c>
      <c r="L478" s="69">
        <f>SUMIF('Executive Pay Breakdown'!O:O,$B478,'Executive Pay Breakdown'!Q:Q)</f>
        <v>0</v>
      </c>
      <c r="M478" s="69">
        <f>SUMIF('Executive Pay Breakdown'!S:S,$B478,'Executive Pay Breakdown'!U:U)</f>
        <v>1352857</v>
      </c>
      <c r="N478" s="69">
        <f>SUMIF('Executive Pay Breakdown'!W:W,$B478,'Executive Pay Breakdown'!Y:Y)</f>
        <v>1063336</v>
      </c>
      <c r="O478" s="69">
        <f>SUMIF('Executive Pay Breakdown'!AA:AA,$B478,'Executive Pay Breakdown'!AC:AC)</f>
        <v>0</v>
      </c>
    </row>
    <row r="479" hidden="1">
      <c r="A479" s="62"/>
      <c r="B479" s="127" t="s">
        <v>589</v>
      </c>
      <c r="C479" s="118" t="s">
        <v>26</v>
      </c>
      <c r="D479" s="118"/>
      <c r="E479" s="90"/>
      <c r="F479" s="88"/>
      <c r="G479" s="118"/>
      <c r="H479" s="120"/>
      <c r="I479" s="89">
        <f>SUMIF('Executive Pay Breakdown'!K:K,$B479,'Executive Pay Breakdown'!M:M)+SUMIF('Executive Pay Breakdown'!O:O,$B479,'Executive Pay Breakdown'!Q:Q)+SUMIF('Executive Pay Breakdown'!S:S,$B479,'Executive Pay Breakdown'!U:U)+SUMIF('Executive Pay Breakdown'!W:W,$B479,'Executive Pay Breakdown'!Y:Y)+SUMIF('Executive Pay Breakdown'!AA:AA,$B479,'Executive Pay Breakdown'!AC:AC)</f>
        <v>4671269</v>
      </c>
      <c r="J479" s="109"/>
      <c r="K479" s="69">
        <f>SUMIF('Executive Pay Breakdown'!K:K,$B479,'Executive Pay Breakdown'!M:M)</f>
        <v>0</v>
      </c>
      <c r="L479" s="69">
        <f>SUMIF('Executive Pay Breakdown'!O:O,$B479,'Executive Pay Breakdown'!Q:Q)</f>
        <v>0</v>
      </c>
      <c r="M479" s="69">
        <f>SUMIF('Executive Pay Breakdown'!S:S,$B479,'Executive Pay Breakdown'!U:U)</f>
        <v>0</v>
      </c>
      <c r="N479" s="69">
        <f>SUMIF('Executive Pay Breakdown'!W:W,$B479,'Executive Pay Breakdown'!Y:Y)</f>
        <v>2429083</v>
      </c>
      <c r="O479" s="69">
        <f>SUMIF('Executive Pay Breakdown'!AA:AA,$B479,'Executive Pay Breakdown'!AC:AC)</f>
        <v>2242186</v>
      </c>
    </row>
    <row r="480" hidden="1">
      <c r="A480" s="81"/>
      <c r="B480" s="137" t="s">
        <v>590</v>
      </c>
      <c r="C480" s="118" t="str">
        <f t="array" ref="C480">INDEX('Executive Pay Breakdown'!B:B,MATCH(B480,'Executive Pay Breakdown'!K:K,0))</f>
        <v>Reinsurance Group of America</v>
      </c>
      <c r="D480" s="122"/>
      <c r="E480" s="90"/>
      <c r="F480" s="88"/>
      <c r="G480" s="118"/>
      <c r="H480" s="120"/>
      <c r="I480" s="89">
        <f>SUMIF('Executive Pay Breakdown'!K:K,$B480,'Executive Pay Breakdown'!M:M)+SUMIF('Executive Pay Breakdown'!O:O,$B480,'Executive Pay Breakdown'!Q:Q)+SUMIF('Executive Pay Breakdown'!S:S,$B480,'Executive Pay Breakdown'!U:U)+SUMIF('Executive Pay Breakdown'!W:W,$B480,'Executive Pay Breakdown'!Y:Y)+SUMIF('Executive Pay Breakdown'!AA:AA,$B480,'Executive Pay Breakdown'!AC:AC)</f>
        <v>4626583</v>
      </c>
      <c r="J480" s="109"/>
      <c r="K480" s="69">
        <f>SUMIF('Executive Pay Breakdown'!K:K,$B480,'Executive Pay Breakdown'!M:M)</f>
        <v>2577353</v>
      </c>
      <c r="L480" s="69">
        <f>SUMIF('Executive Pay Breakdown'!O:O,$B480,'Executive Pay Breakdown'!Q:Q)</f>
        <v>2049230</v>
      </c>
      <c r="M480" s="69">
        <f>SUMIF('Executive Pay Breakdown'!S:S,$B480,'Executive Pay Breakdown'!U:U)</f>
        <v>0</v>
      </c>
      <c r="N480" s="69">
        <f>SUMIF('Executive Pay Breakdown'!W:W,$B480,'Executive Pay Breakdown'!Y:Y)</f>
        <v>0</v>
      </c>
      <c r="O480" s="69">
        <f>SUMIF('Executive Pay Breakdown'!AA:AA,$B480,'Executive Pay Breakdown'!AC:AC)</f>
        <v>0</v>
      </c>
    </row>
    <row r="481" hidden="1">
      <c r="A481" s="62"/>
      <c r="B481" s="86" t="s">
        <v>591</v>
      </c>
      <c r="C481" s="117" t="s">
        <v>63</v>
      </c>
      <c r="D481" s="118"/>
      <c r="E481" s="90"/>
      <c r="F481" s="88"/>
      <c r="G481" s="118"/>
      <c r="H481" s="120"/>
      <c r="I481" s="89">
        <f>SUMIF('Executive Pay Breakdown'!K:K,$B481,'Executive Pay Breakdown'!M:M)+SUMIF('Executive Pay Breakdown'!O:O,$B481,'Executive Pay Breakdown'!Q:Q)+SUMIF('Executive Pay Breakdown'!S:S,$B481,'Executive Pay Breakdown'!U:U)+SUMIF('Executive Pay Breakdown'!W:W,$B481,'Executive Pay Breakdown'!Y:Y)+SUMIF('Executive Pay Breakdown'!AA:AA,$B481,'Executive Pay Breakdown'!AC:AC)</f>
        <v>3458747</v>
      </c>
      <c r="J481" s="109"/>
      <c r="K481" s="69">
        <f>SUMIF('Executive Pay Breakdown'!K:K,$B481,'Executive Pay Breakdown'!M:M)</f>
        <v>3458747</v>
      </c>
      <c r="L481" s="69">
        <f>SUMIF('Executive Pay Breakdown'!O:O,$B481,'Executive Pay Breakdown'!Q:Q)</f>
        <v>0</v>
      </c>
      <c r="M481" s="69">
        <f>SUMIF('Executive Pay Breakdown'!S:S,$B481,'Executive Pay Breakdown'!U:U)</f>
        <v>0</v>
      </c>
      <c r="N481" s="69">
        <f>SUMIF('Executive Pay Breakdown'!W:W,$B481,'Executive Pay Breakdown'!Y:Y)</f>
        <v>0</v>
      </c>
      <c r="O481" s="69">
        <f>SUMIF('Executive Pay Breakdown'!AA:AA,$B481,'Executive Pay Breakdown'!AC:AC)</f>
        <v>0</v>
      </c>
    </row>
    <row r="482" hidden="1">
      <c r="A482" s="62"/>
      <c r="B482" s="127" t="s">
        <v>592</v>
      </c>
      <c r="C482" s="118" t="s">
        <v>40</v>
      </c>
      <c r="D482" s="118"/>
      <c r="E482" s="90"/>
      <c r="F482" s="88"/>
      <c r="G482" s="118"/>
      <c r="H482" s="120"/>
      <c r="I482" s="89">
        <f>SUMIF('Executive Pay Breakdown'!K:K,$B482,'Executive Pay Breakdown'!M:M)+SUMIF('Executive Pay Breakdown'!O:O,$B482,'Executive Pay Breakdown'!Q:Q)+SUMIF('Executive Pay Breakdown'!S:S,$B482,'Executive Pay Breakdown'!U:U)+SUMIF('Executive Pay Breakdown'!W:W,$B482,'Executive Pay Breakdown'!Y:Y)+SUMIF('Executive Pay Breakdown'!AA:AA,$B482,'Executive Pay Breakdown'!AC:AC)</f>
        <v>4356558</v>
      </c>
      <c r="J482" s="109"/>
      <c r="K482" s="69">
        <f>SUMIF('Executive Pay Breakdown'!K:K,$B482,'Executive Pay Breakdown'!M:M)</f>
        <v>0</v>
      </c>
      <c r="L482" s="69">
        <f>SUMIF('Executive Pay Breakdown'!O:O,$B482,'Executive Pay Breakdown'!Q:Q)</f>
        <v>0</v>
      </c>
      <c r="M482" s="69">
        <f>SUMIF('Executive Pay Breakdown'!S:S,$B482,'Executive Pay Breakdown'!U:U)</f>
        <v>0</v>
      </c>
      <c r="N482" s="69">
        <f>SUMIF('Executive Pay Breakdown'!W:W,$B482,'Executive Pay Breakdown'!Y:Y)</f>
        <v>0</v>
      </c>
      <c r="O482" s="69">
        <f>SUMIF('Executive Pay Breakdown'!AA:AA,$B482,'Executive Pay Breakdown'!AC:AC)</f>
        <v>4356558</v>
      </c>
    </row>
    <row r="483" hidden="1">
      <c r="A483" s="62"/>
      <c r="B483" s="127" t="s">
        <v>593</v>
      </c>
      <c r="C483" s="118" t="s">
        <v>53</v>
      </c>
      <c r="D483" s="118"/>
      <c r="E483" s="90"/>
      <c r="F483" s="88"/>
      <c r="G483" s="118"/>
      <c r="H483" s="120"/>
      <c r="I483" s="89">
        <f>SUMIF('Executive Pay Breakdown'!K:K,$B483,'Executive Pay Breakdown'!M:M)+SUMIF('Executive Pay Breakdown'!O:O,$B483,'Executive Pay Breakdown'!Q:Q)+SUMIF('Executive Pay Breakdown'!S:S,$B483,'Executive Pay Breakdown'!U:U)+SUMIF('Executive Pay Breakdown'!W:W,$B483,'Executive Pay Breakdown'!Y:Y)+SUMIF('Executive Pay Breakdown'!AA:AA,$B483,'Executive Pay Breakdown'!AC:AC)</f>
        <v>5093982</v>
      </c>
      <c r="J483" s="109"/>
      <c r="K483" s="69">
        <f>SUMIF('Executive Pay Breakdown'!K:K,$B483,'Executive Pay Breakdown'!M:M)</f>
        <v>0</v>
      </c>
      <c r="L483" s="69">
        <f>SUMIF('Executive Pay Breakdown'!O:O,$B483,'Executive Pay Breakdown'!Q:Q)</f>
        <v>0</v>
      </c>
      <c r="M483" s="69">
        <f>SUMIF('Executive Pay Breakdown'!S:S,$B483,'Executive Pay Breakdown'!U:U)</f>
        <v>0</v>
      </c>
      <c r="N483" s="69">
        <f>SUMIF('Executive Pay Breakdown'!W:W,$B483,'Executive Pay Breakdown'!Y:Y)</f>
        <v>5093982</v>
      </c>
      <c r="O483" s="69">
        <f>SUMIF('Executive Pay Breakdown'!AA:AA,$B483,'Executive Pay Breakdown'!AC:AC)</f>
        <v>0</v>
      </c>
    </row>
    <row r="484" hidden="1">
      <c r="A484" s="62"/>
      <c r="B484" s="86" t="s">
        <v>594</v>
      </c>
      <c r="C484" s="118" t="s">
        <v>44</v>
      </c>
      <c r="D484" s="122"/>
      <c r="E484" s="90"/>
      <c r="F484" s="88"/>
      <c r="G484" s="118"/>
      <c r="H484" s="120"/>
      <c r="I484" s="89">
        <f>SUMIF('Executive Pay Breakdown'!K:K,$B484,'Executive Pay Breakdown'!M:M)+SUMIF('Executive Pay Breakdown'!O:O,$B484,'Executive Pay Breakdown'!Q:Q)+SUMIF('Executive Pay Breakdown'!S:S,$B484,'Executive Pay Breakdown'!U:U)+SUMIF('Executive Pay Breakdown'!W:W,$B484,'Executive Pay Breakdown'!Y:Y)+SUMIF('Executive Pay Breakdown'!AA:AA,$B484,'Executive Pay Breakdown'!AC:AC)</f>
        <v>3039170</v>
      </c>
      <c r="J484" s="109"/>
      <c r="K484" s="69">
        <f>SUMIF('Executive Pay Breakdown'!K:K,$B484,'Executive Pay Breakdown'!M:M)</f>
        <v>1292868</v>
      </c>
      <c r="L484" s="69">
        <f>SUMIF('Executive Pay Breakdown'!O:O,$B484,'Executive Pay Breakdown'!Q:Q)</f>
        <v>895721</v>
      </c>
      <c r="M484" s="69">
        <f>SUMIF('Executive Pay Breakdown'!S:S,$B484,'Executive Pay Breakdown'!U:U)</f>
        <v>850581</v>
      </c>
      <c r="N484" s="69">
        <f>SUMIF('Executive Pay Breakdown'!W:W,$B484,'Executive Pay Breakdown'!Y:Y)</f>
        <v>0</v>
      </c>
      <c r="O484" s="69">
        <f>SUMIF('Executive Pay Breakdown'!AA:AA,$B484,'Executive Pay Breakdown'!AC:AC)</f>
        <v>0</v>
      </c>
    </row>
    <row r="485" hidden="1">
      <c r="A485" s="62"/>
      <c r="B485" s="86" t="s">
        <v>595</v>
      </c>
      <c r="C485" s="118" t="s">
        <v>45</v>
      </c>
      <c r="D485" s="118"/>
      <c r="E485" s="90"/>
      <c r="F485" s="88"/>
      <c r="G485" s="118"/>
      <c r="H485" s="120"/>
      <c r="I485" s="89">
        <f>SUMIF('Executive Pay Breakdown'!K:K,$B485,'Executive Pay Breakdown'!M:M)+SUMIF('Executive Pay Breakdown'!O:O,$B485,'Executive Pay Breakdown'!Q:Q)+SUMIF('Executive Pay Breakdown'!S:S,$B485,'Executive Pay Breakdown'!U:U)+SUMIF('Executive Pay Breakdown'!W:W,$B485,'Executive Pay Breakdown'!Y:Y)+SUMIF('Executive Pay Breakdown'!AA:AA,$B485,'Executive Pay Breakdown'!AC:AC)</f>
        <v>2399888</v>
      </c>
      <c r="J485" s="109"/>
      <c r="K485" s="69">
        <f>SUMIF('Executive Pay Breakdown'!K:K,$B485,'Executive Pay Breakdown'!M:M)</f>
        <v>0</v>
      </c>
      <c r="L485" s="69">
        <f>SUMIF('Executive Pay Breakdown'!O:O,$B485,'Executive Pay Breakdown'!Q:Q)</f>
        <v>0</v>
      </c>
      <c r="M485" s="69">
        <f>SUMIF('Executive Pay Breakdown'!S:S,$B485,'Executive Pay Breakdown'!U:U)</f>
        <v>0</v>
      </c>
      <c r="N485" s="69">
        <f>SUMIF('Executive Pay Breakdown'!W:W,$B485,'Executive Pay Breakdown'!Y:Y)</f>
        <v>0</v>
      </c>
      <c r="O485" s="69">
        <f>SUMIF('Executive Pay Breakdown'!AA:AA,$B485,'Executive Pay Breakdown'!AC:AC)</f>
        <v>2399888</v>
      </c>
    </row>
    <row r="486" hidden="1">
      <c r="A486" s="62"/>
      <c r="B486" s="125" t="s">
        <v>596</v>
      </c>
      <c r="C486" s="118" t="s">
        <v>25</v>
      </c>
      <c r="D486" s="118"/>
      <c r="E486" s="90"/>
      <c r="F486" s="88"/>
      <c r="G486" s="118"/>
      <c r="H486" s="120"/>
      <c r="I486" s="89">
        <f>SUMIF('Executive Pay Breakdown'!K:K,$B486,'Executive Pay Breakdown'!M:M)+SUMIF('Executive Pay Breakdown'!O:O,$B486,'Executive Pay Breakdown'!Q:Q)+SUMIF('Executive Pay Breakdown'!S:S,$B486,'Executive Pay Breakdown'!U:U)+SUMIF('Executive Pay Breakdown'!W:W,$B486,'Executive Pay Breakdown'!Y:Y)+SUMIF('Executive Pay Breakdown'!AA:AA,$B486,'Executive Pay Breakdown'!AC:AC)</f>
        <v>5436981</v>
      </c>
      <c r="J486" s="109"/>
      <c r="K486" s="69">
        <f>SUMIF('Executive Pay Breakdown'!K:K,$B486,'Executive Pay Breakdown'!M:M)</f>
        <v>0</v>
      </c>
      <c r="L486" s="69">
        <f>SUMIF('Executive Pay Breakdown'!O:O,$B486,'Executive Pay Breakdown'!Q:Q)</f>
        <v>2757368</v>
      </c>
      <c r="M486" s="69">
        <f>SUMIF('Executive Pay Breakdown'!S:S,$B486,'Executive Pay Breakdown'!U:U)</f>
        <v>2679613</v>
      </c>
      <c r="N486" s="69">
        <f>SUMIF('Executive Pay Breakdown'!W:W,$B486,'Executive Pay Breakdown'!Y:Y)</f>
        <v>0</v>
      </c>
      <c r="O486" s="69">
        <f>SUMIF('Executive Pay Breakdown'!AA:AA,$B486,'Executive Pay Breakdown'!AC:AC)</f>
        <v>0</v>
      </c>
    </row>
    <row r="487" hidden="1">
      <c r="A487" s="62"/>
      <c r="B487" s="86" t="s">
        <v>597</v>
      </c>
      <c r="C487" s="118" t="s">
        <v>32</v>
      </c>
      <c r="D487" s="122"/>
      <c r="E487" s="90"/>
      <c r="F487" s="88"/>
      <c r="G487" s="118"/>
      <c r="H487" s="120"/>
      <c r="I487" s="89">
        <f>SUMIF('Executive Pay Breakdown'!K:K,$B487,'Executive Pay Breakdown'!M:M)+SUMIF('Executive Pay Breakdown'!O:O,$B487,'Executive Pay Breakdown'!Q:Q)+SUMIF('Executive Pay Breakdown'!S:S,$B487,'Executive Pay Breakdown'!U:U)+SUMIF('Executive Pay Breakdown'!W:W,$B487,'Executive Pay Breakdown'!Y:Y)+SUMIF('Executive Pay Breakdown'!AA:AA,$B487,'Executive Pay Breakdown'!AC:AC)</f>
        <v>4872853</v>
      </c>
      <c r="J487" s="109"/>
      <c r="K487" s="69">
        <f>SUMIF('Executive Pay Breakdown'!K:K,$B487,'Executive Pay Breakdown'!M:M)</f>
        <v>1608819</v>
      </c>
      <c r="L487" s="69">
        <f>SUMIF('Executive Pay Breakdown'!O:O,$B487,'Executive Pay Breakdown'!Q:Q)</f>
        <v>2013250</v>
      </c>
      <c r="M487" s="69">
        <f>SUMIF('Executive Pay Breakdown'!S:S,$B487,'Executive Pay Breakdown'!U:U)</f>
        <v>1250784</v>
      </c>
      <c r="N487" s="69">
        <f>SUMIF('Executive Pay Breakdown'!W:W,$B487,'Executive Pay Breakdown'!Y:Y)</f>
        <v>0</v>
      </c>
      <c r="O487" s="69">
        <f>SUMIF('Executive Pay Breakdown'!AA:AA,$B487,'Executive Pay Breakdown'!AC:AC)</f>
        <v>0</v>
      </c>
    </row>
    <row r="488" hidden="1">
      <c r="A488" s="62"/>
      <c r="B488" s="127" t="s">
        <v>598</v>
      </c>
      <c r="C488" s="118" t="s">
        <v>64</v>
      </c>
      <c r="D488" s="122"/>
      <c r="E488" s="90"/>
      <c r="F488" s="88"/>
      <c r="G488" s="88"/>
      <c r="H488" s="120"/>
      <c r="I488" s="89">
        <f>SUMIF('Executive Pay Breakdown'!K:K,$B488,'Executive Pay Breakdown'!M:M)+SUMIF('Executive Pay Breakdown'!O:O,$B488,'Executive Pay Breakdown'!Q:Q)+SUMIF('Executive Pay Breakdown'!S:S,$B488,'Executive Pay Breakdown'!U:U)+SUMIF('Executive Pay Breakdown'!W:W,$B488,'Executive Pay Breakdown'!Y:Y)+SUMIF('Executive Pay Breakdown'!AA:AA,$B488,'Executive Pay Breakdown'!AC:AC)</f>
        <v>6038997</v>
      </c>
      <c r="J488" s="109"/>
      <c r="K488" s="69">
        <f>SUMIF('Executive Pay Breakdown'!K:K,$B488,'Executive Pay Breakdown'!M:M)</f>
        <v>3111099</v>
      </c>
      <c r="L488" s="69">
        <f>SUMIF('Executive Pay Breakdown'!O:O,$B488,'Executive Pay Breakdown'!Q:Q)</f>
        <v>2927898</v>
      </c>
      <c r="M488" s="69">
        <f>SUMIF('Executive Pay Breakdown'!S:S,$B488,'Executive Pay Breakdown'!U:U)</f>
        <v>0</v>
      </c>
      <c r="N488" s="69">
        <f>SUMIF('Executive Pay Breakdown'!W:W,$B488,'Executive Pay Breakdown'!Y:Y)</f>
        <v>0</v>
      </c>
      <c r="O488" s="69">
        <f>SUMIF('Executive Pay Breakdown'!AA:AA,$B488,'Executive Pay Breakdown'!AC:AC)</f>
        <v>0</v>
      </c>
    </row>
    <row r="489" hidden="1">
      <c r="A489" s="62"/>
      <c r="B489" s="86" t="s">
        <v>599</v>
      </c>
      <c r="C489" s="118" t="s">
        <v>37</v>
      </c>
      <c r="D489" s="122"/>
      <c r="E489" s="90"/>
      <c r="F489" s="88"/>
      <c r="G489" s="88"/>
      <c r="H489" s="120"/>
      <c r="I489" s="89">
        <f>SUMIF('Executive Pay Breakdown'!K:K,$B489,'Executive Pay Breakdown'!M:M)+SUMIF('Executive Pay Breakdown'!O:O,$B489,'Executive Pay Breakdown'!Q:Q)+SUMIF('Executive Pay Breakdown'!S:S,$B489,'Executive Pay Breakdown'!U:U)+SUMIF('Executive Pay Breakdown'!W:W,$B489,'Executive Pay Breakdown'!Y:Y)+SUMIF('Executive Pay Breakdown'!AA:AA,$B489,'Executive Pay Breakdown'!AC:AC)</f>
        <v>4581122</v>
      </c>
      <c r="J489" s="109"/>
      <c r="K489" s="69">
        <f>SUMIF('Executive Pay Breakdown'!K:K,$B489,'Executive Pay Breakdown'!M:M)</f>
        <v>2420720</v>
      </c>
      <c r="L489" s="69">
        <f>SUMIF('Executive Pay Breakdown'!O:O,$B489,'Executive Pay Breakdown'!Q:Q)</f>
        <v>2160402</v>
      </c>
      <c r="M489" s="69">
        <f>SUMIF('Executive Pay Breakdown'!S:S,$B489,'Executive Pay Breakdown'!U:U)</f>
        <v>0</v>
      </c>
      <c r="N489" s="69">
        <f>SUMIF('Executive Pay Breakdown'!W:W,$B489,'Executive Pay Breakdown'!Y:Y)</f>
        <v>0</v>
      </c>
      <c r="O489" s="69">
        <f>SUMIF('Executive Pay Breakdown'!AA:AA,$B489,'Executive Pay Breakdown'!AC:AC)</f>
        <v>0</v>
      </c>
    </row>
    <row r="490" hidden="1">
      <c r="A490" s="62"/>
      <c r="B490" s="127" t="s">
        <v>600</v>
      </c>
      <c r="C490" s="118" t="s">
        <v>15</v>
      </c>
      <c r="D490" s="118"/>
      <c r="E490" s="90"/>
      <c r="F490" s="88"/>
      <c r="G490" s="118"/>
      <c r="H490" s="120"/>
      <c r="I490" s="89">
        <f>SUMIF('Executive Pay Breakdown'!K:K,$B490,'Executive Pay Breakdown'!M:M)+SUMIF('Executive Pay Breakdown'!O:O,$B490,'Executive Pay Breakdown'!Q:Q)+SUMIF('Executive Pay Breakdown'!S:S,$B490,'Executive Pay Breakdown'!U:U)+SUMIF('Executive Pay Breakdown'!W:W,$B490,'Executive Pay Breakdown'!Y:Y)+SUMIF('Executive Pay Breakdown'!AA:AA,$B490,'Executive Pay Breakdown'!AC:AC)</f>
        <v>4150120</v>
      </c>
      <c r="J490" s="109"/>
      <c r="K490" s="69">
        <f>SUMIF('Executive Pay Breakdown'!K:K,$B490,'Executive Pay Breakdown'!M:M)</f>
        <v>0</v>
      </c>
      <c r="L490" s="69">
        <f>SUMIF('Executive Pay Breakdown'!O:O,$B490,'Executive Pay Breakdown'!Q:Q)</f>
        <v>0</v>
      </c>
      <c r="M490" s="69">
        <f>SUMIF('Executive Pay Breakdown'!S:S,$B490,'Executive Pay Breakdown'!U:U)</f>
        <v>0</v>
      </c>
      <c r="N490" s="69">
        <f>SUMIF('Executive Pay Breakdown'!W:W,$B490,'Executive Pay Breakdown'!Y:Y)</f>
        <v>4150120</v>
      </c>
      <c r="O490" s="69">
        <f>SUMIF('Executive Pay Breakdown'!AA:AA,$B490,'Executive Pay Breakdown'!AC:AC)</f>
        <v>0</v>
      </c>
    </row>
    <row r="491" hidden="1">
      <c r="A491" s="62"/>
      <c r="B491" s="86" t="s">
        <v>601</v>
      </c>
      <c r="C491" s="118" t="s">
        <v>67</v>
      </c>
      <c r="D491" s="118"/>
      <c r="E491" s="90"/>
      <c r="F491" s="88"/>
      <c r="G491" s="118"/>
      <c r="H491" s="120"/>
      <c r="I491" s="89">
        <f>SUMIF('Executive Pay Breakdown'!K:K,$B491,'Executive Pay Breakdown'!M:M)+SUMIF('Executive Pay Breakdown'!O:O,$B491,'Executive Pay Breakdown'!Q:Q)+SUMIF('Executive Pay Breakdown'!S:S,$B491,'Executive Pay Breakdown'!U:U)+SUMIF('Executive Pay Breakdown'!W:W,$B491,'Executive Pay Breakdown'!Y:Y)+SUMIF('Executive Pay Breakdown'!AA:AA,$B491,'Executive Pay Breakdown'!AC:AC)</f>
        <v>3009235</v>
      </c>
      <c r="J491" s="109"/>
      <c r="K491" s="69">
        <f>SUMIF('Executive Pay Breakdown'!K:K,$B491,'Executive Pay Breakdown'!M:M)</f>
        <v>0</v>
      </c>
      <c r="L491" s="69">
        <f>SUMIF('Executive Pay Breakdown'!O:O,$B491,'Executive Pay Breakdown'!Q:Q)</f>
        <v>0</v>
      </c>
      <c r="M491" s="69">
        <f>SUMIF('Executive Pay Breakdown'!S:S,$B491,'Executive Pay Breakdown'!U:U)</f>
        <v>0</v>
      </c>
      <c r="N491" s="69">
        <f>SUMIF('Executive Pay Breakdown'!W:W,$B491,'Executive Pay Breakdown'!Y:Y)</f>
        <v>1298370</v>
      </c>
      <c r="O491" s="69">
        <f>SUMIF('Executive Pay Breakdown'!AA:AA,$B491,'Executive Pay Breakdown'!AC:AC)</f>
        <v>1710865</v>
      </c>
    </row>
    <row r="492" hidden="1">
      <c r="A492" s="62"/>
      <c r="B492" s="86" t="s">
        <v>602</v>
      </c>
      <c r="C492" s="118" t="s">
        <v>42</v>
      </c>
      <c r="D492" s="122"/>
      <c r="E492" s="90"/>
      <c r="F492" s="88"/>
      <c r="G492" s="88"/>
      <c r="H492" s="120"/>
      <c r="I492" s="89">
        <f>SUMIF('Executive Pay Breakdown'!K:K,$B492,'Executive Pay Breakdown'!M:M)+SUMIF('Executive Pay Breakdown'!O:O,$B492,'Executive Pay Breakdown'!Q:Q)+SUMIF('Executive Pay Breakdown'!S:S,$B492,'Executive Pay Breakdown'!U:U)+SUMIF('Executive Pay Breakdown'!W:W,$B492,'Executive Pay Breakdown'!Y:Y)+SUMIF('Executive Pay Breakdown'!AA:AA,$B492,'Executive Pay Breakdown'!AC:AC)</f>
        <v>2757182</v>
      </c>
      <c r="J492" s="109"/>
      <c r="K492" s="69">
        <f>SUMIF('Executive Pay Breakdown'!K:K,$B492,'Executive Pay Breakdown'!M:M)</f>
        <v>1384907</v>
      </c>
      <c r="L492" s="69">
        <f>SUMIF('Executive Pay Breakdown'!O:O,$B492,'Executive Pay Breakdown'!Q:Q)</f>
        <v>1372275</v>
      </c>
      <c r="M492" s="69">
        <f>SUMIF('Executive Pay Breakdown'!S:S,$B492,'Executive Pay Breakdown'!U:U)</f>
        <v>0</v>
      </c>
      <c r="N492" s="69">
        <f>SUMIF('Executive Pay Breakdown'!W:W,$B492,'Executive Pay Breakdown'!Y:Y)</f>
        <v>0</v>
      </c>
      <c r="O492" s="69">
        <f>SUMIF('Executive Pay Breakdown'!AA:AA,$B492,'Executive Pay Breakdown'!AC:AC)</f>
        <v>0</v>
      </c>
    </row>
    <row r="493" hidden="1">
      <c r="A493" s="62"/>
      <c r="B493" s="86" t="s">
        <v>603</v>
      </c>
      <c r="C493" s="118" t="s">
        <v>43</v>
      </c>
      <c r="D493" s="122"/>
      <c r="E493" s="90"/>
      <c r="F493" s="88"/>
      <c r="G493" s="118"/>
      <c r="H493" s="120"/>
      <c r="I493" s="89">
        <f>SUMIF('Executive Pay Breakdown'!K:K,$B493,'Executive Pay Breakdown'!M:M)+SUMIF('Executive Pay Breakdown'!O:O,$B493,'Executive Pay Breakdown'!Q:Q)+SUMIF('Executive Pay Breakdown'!S:S,$B493,'Executive Pay Breakdown'!U:U)+SUMIF('Executive Pay Breakdown'!W:W,$B493,'Executive Pay Breakdown'!Y:Y)+SUMIF('Executive Pay Breakdown'!AA:AA,$B493,'Executive Pay Breakdown'!AC:AC)</f>
        <v>4197509</v>
      </c>
      <c r="J493" s="109"/>
      <c r="K493" s="69">
        <f>SUMIF('Executive Pay Breakdown'!K:K,$B493,'Executive Pay Breakdown'!M:M)</f>
        <v>1226813</v>
      </c>
      <c r="L493" s="69">
        <f>SUMIF('Executive Pay Breakdown'!O:O,$B493,'Executive Pay Breakdown'!Q:Q)</f>
        <v>1031300</v>
      </c>
      <c r="M493" s="69">
        <f>SUMIF('Executive Pay Breakdown'!S:S,$B493,'Executive Pay Breakdown'!U:U)</f>
        <v>1092249</v>
      </c>
      <c r="N493" s="69">
        <f>SUMIF('Executive Pay Breakdown'!W:W,$B493,'Executive Pay Breakdown'!Y:Y)</f>
        <v>847147</v>
      </c>
      <c r="O493" s="69">
        <f>SUMIF('Executive Pay Breakdown'!AA:AA,$B493,'Executive Pay Breakdown'!AC:AC)</f>
        <v>0</v>
      </c>
    </row>
    <row r="494" hidden="1">
      <c r="A494" s="62"/>
      <c r="B494" s="86" t="s">
        <v>604</v>
      </c>
      <c r="C494" s="118" t="s">
        <v>43</v>
      </c>
      <c r="D494" s="122"/>
      <c r="E494" s="90"/>
      <c r="F494" s="88"/>
      <c r="G494" s="118"/>
      <c r="H494" s="120"/>
      <c r="I494" s="89">
        <f>SUMIF('Executive Pay Breakdown'!K:K,$B494,'Executive Pay Breakdown'!M:M)+SUMIF('Executive Pay Breakdown'!O:O,$B494,'Executive Pay Breakdown'!Q:Q)+SUMIF('Executive Pay Breakdown'!S:S,$B494,'Executive Pay Breakdown'!U:U)+SUMIF('Executive Pay Breakdown'!W:W,$B494,'Executive Pay Breakdown'!Y:Y)+SUMIF('Executive Pay Breakdown'!AA:AA,$B494,'Executive Pay Breakdown'!AC:AC)</f>
        <v>4144122</v>
      </c>
      <c r="J494" s="109"/>
      <c r="K494" s="69">
        <f>SUMIF('Executive Pay Breakdown'!K:K,$B494,'Executive Pay Breakdown'!M:M)</f>
        <v>1226831</v>
      </c>
      <c r="L494" s="69">
        <f>SUMIF('Executive Pay Breakdown'!O:O,$B494,'Executive Pay Breakdown'!Q:Q)</f>
        <v>1029610</v>
      </c>
      <c r="M494" s="69">
        <f>SUMIF('Executive Pay Breakdown'!S:S,$B494,'Executive Pay Breakdown'!U:U)</f>
        <v>1069798</v>
      </c>
      <c r="N494" s="69">
        <f>SUMIF('Executive Pay Breakdown'!W:W,$B494,'Executive Pay Breakdown'!Y:Y)</f>
        <v>817883</v>
      </c>
      <c r="O494" s="69">
        <f>SUMIF('Executive Pay Breakdown'!AA:AA,$B494,'Executive Pay Breakdown'!AC:AC)</f>
        <v>0</v>
      </c>
    </row>
    <row r="495" hidden="1">
      <c r="A495" s="62"/>
      <c r="B495" s="86" t="s">
        <v>605</v>
      </c>
      <c r="C495" s="118" t="s">
        <v>44</v>
      </c>
      <c r="D495" s="118"/>
      <c r="E495" s="90"/>
      <c r="F495" s="88"/>
      <c r="G495" s="118"/>
      <c r="H495" s="120"/>
      <c r="I495" s="89">
        <f>SUMIF('Executive Pay Breakdown'!K:K,$B495,'Executive Pay Breakdown'!M:M)+SUMIF('Executive Pay Breakdown'!O:O,$B495,'Executive Pay Breakdown'!Q:Q)+SUMIF('Executive Pay Breakdown'!S:S,$B495,'Executive Pay Breakdown'!U:U)+SUMIF('Executive Pay Breakdown'!W:W,$B495,'Executive Pay Breakdown'!Y:Y)+SUMIF('Executive Pay Breakdown'!AA:AA,$B495,'Executive Pay Breakdown'!AC:AC)</f>
        <v>2558250</v>
      </c>
      <c r="J495" s="109"/>
      <c r="K495" s="69">
        <f>SUMIF('Executive Pay Breakdown'!K:K,$B495,'Executive Pay Breakdown'!M:M)</f>
        <v>0</v>
      </c>
      <c r="L495" s="69">
        <f>SUMIF('Executive Pay Breakdown'!O:O,$B495,'Executive Pay Breakdown'!Q:Q)</f>
        <v>0</v>
      </c>
      <c r="M495" s="69">
        <f>SUMIF('Executive Pay Breakdown'!S:S,$B495,'Executive Pay Breakdown'!U:U)</f>
        <v>0</v>
      </c>
      <c r="N495" s="69">
        <f>SUMIF('Executive Pay Breakdown'!W:W,$B495,'Executive Pay Breakdown'!Y:Y)</f>
        <v>0</v>
      </c>
      <c r="O495" s="69">
        <f>SUMIF('Executive Pay Breakdown'!AA:AA,$B495,'Executive Pay Breakdown'!AC:AC)</f>
        <v>2558250</v>
      </c>
    </row>
    <row r="496" hidden="1">
      <c r="A496" s="62"/>
      <c r="B496" s="86" t="s">
        <v>606</v>
      </c>
      <c r="C496" s="118" t="s">
        <v>31</v>
      </c>
      <c r="D496" s="118"/>
      <c r="E496" s="90"/>
      <c r="F496" s="88"/>
      <c r="G496" s="118"/>
      <c r="H496" s="120"/>
      <c r="I496" s="89">
        <f>SUMIF('Executive Pay Breakdown'!K:K,$B496,'Executive Pay Breakdown'!M:M)+SUMIF('Executive Pay Breakdown'!O:O,$B496,'Executive Pay Breakdown'!Q:Q)+SUMIF('Executive Pay Breakdown'!S:S,$B496,'Executive Pay Breakdown'!U:U)+SUMIF('Executive Pay Breakdown'!W:W,$B496,'Executive Pay Breakdown'!Y:Y)+SUMIF('Executive Pay Breakdown'!AA:AA,$B496,'Executive Pay Breakdown'!AC:AC)</f>
        <v>4120777</v>
      </c>
      <c r="J496" s="109"/>
      <c r="K496" s="69">
        <f>SUMIF('Executive Pay Breakdown'!K:K,$B496,'Executive Pay Breakdown'!M:M)</f>
        <v>0</v>
      </c>
      <c r="L496" s="69">
        <f>SUMIF('Executive Pay Breakdown'!O:O,$B496,'Executive Pay Breakdown'!Q:Q)</f>
        <v>0</v>
      </c>
      <c r="M496" s="69">
        <f>SUMIF('Executive Pay Breakdown'!S:S,$B496,'Executive Pay Breakdown'!U:U)</f>
        <v>0</v>
      </c>
      <c r="N496" s="69">
        <f>SUMIF('Executive Pay Breakdown'!W:W,$B496,'Executive Pay Breakdown'!Y:Y)</f>
        <v>2064255</v>
      </c>
      <c r="O496" s="69">
        <f>SUMIF('Executive Pay Breakdown'!AA:AA,$B496,'Executive Pay Breakdown'!AC:AC)</f>
        <v>2056522</v>
      </c>
    </row>
    <row r="497" hidden="1">
      <c r="A497" s="62"/>
      <c r="B497" s="86" t="s">
        <v>607</v>
      </c>
      <c r="C497" s="117" t="s">
        <v>71</v>
      </c>
      <c r="D497" s="118"/>
      <c r="E497" s="90"/>
      <c r="F497" s="88"/>
      <c r="G497" s="118"/>
      <c r="H497" s="120"/>
      <c r="I497" s="89">
        <f>SUMIF('Executive Pay Breakdown'!K:K,$B497,'Executive Pay Breakdown'!M:M)+SUMIF('Executive Pay Breakdown'!O:O,$B497,'Executive Pay Breakdown'!Q:Q)+SUMIF('Executive Pay Breakdown'!S:S,$B497,'Executive Pay Breakdown'!U:U)+SUMIF('Executive Pay Breakdown'!W:W,$B497,'Executive Pay Breakdown'!Y:Y)+SUMIF('Executive Pay Breakdown'!AA:AA,$B497,'Executive Pay Breakdown'!AC:AC)</f>
        <v>1885127</v>
      </c>
      <c r="J497" s="109"/>
      <c r="K497" s="69">
        <f>SUMIF('Executive Pay Breakdown'!K:K,$B497,'Executive Pay Breakdown'!M:M)</f>
        <v>0</v>
      </c>
      <c r="L497" s="69">
        <f>SUMIF('Executive Pay Breakdown'!O:O,$B497,'Executive Pay Breakdown'!Q:Q)</f>
        <v>0</v>
      </c>
      <c r="M497" s="69">
        <f>SUMIF('Executive Pay Breakdown'!S:S,$B497,'Executive Pay Breakdown'!U:U)</f>
        <v>1885127</v>
      </c>
      <c r="N497" s="69">
        <f>SUMIF('Executive Pay Breakdown'!W:W,$B497,'Executive Pay Breakdown'!Y:Y)</f>
        <v>0</v>
      </c>
      <c r="O497" s="69">
        <f>SUMIF('Executive Pay Breakdown'!AA:AA,$B497,'Executive Pay Breakdown'!AC:AC)</f>
        <v>0</v>
      </c>
    </row>
    <row r="498" hidden="1">
      <c r="A498" s="62"/>
      <c r="B498" s="125" t="s">
        <v>608</v>
      </c>
      <c r="C498" s="118" t="s">
        <v>27</v>
      </c>
      <c r="D498" s="122"/>
      <c r="E498" s="90"/>
      <c r="F498" s="88"/>
      <c r="G498" s="118"/>
      <c r="H498" s="120"/>
      <c r="I498" s="89">
        <f>SUMIF('Executive Pay Breakdown'!K:K,$B498,'Executive Pay Breakdown'!M:M)+SUMIF('Executive Pay Breakdown'!O:O,$B498,'Executive Pay Breakdown'!Q:Q)+SUMIF('Executive Pay Breakdown'!S:S,$B498,'Executive Pay Breakdown'!U:U)+SUMIF('Executive Pay Breakdown'!W:W,$B498,'Executive Pay Breakdown'!Y:Y)+SUMIF('Executive Pay Breakdown'!AA:AA,$B498,'Executive Pay Breakdown'!AC:AC)</f>
        <v>4099785</v>
      </c>
      <c r="J498" s="109"/>
      <c r="K498" s="69">
        <f>SUMIF('Executive Pay Breakdown'!K:K,$B498,'Executive Pay Breakdown'!M:M)</f>
        <v>1401725</v>
      </c>
      <c r="L498" s="69">
        <f>SUMIF('Executive Pay Breakdown'!O:O,$B498,'Executive Pay Breakdown'!Q:Q)</f>
        <v>1512367</v>
      </c>
      <c r="M498" s="69">
        <f>SUMIF('Executive Pay Breakdown'!S:S,$B498,'Executive Pay Breakdown'!U:U)</f>
        <v>1185693</v>
      </c>
      <c r="N498" s="69">
        <f>SUMIF('Executive Pay Breakdown'!W:W,$B498,'Executive Pay Breakdown'!Y:Y)</f>
        <v>0</v>
      </c>
      <c r="O498" s="69">
        <f>SUMIF('Executive Pay Breakdown'!AA:AA,$B498,'Executive Pay Breakdown'!AC:AC)</f>
        <v>0</v>
      </c>
    </row>
    <row r="499" hidden="1">
      <c r="A499" s="62"/>
      <c r="B499" s="86" t="s">
        <v>609</v>
      </c>
      <c r="C499" s="118" t="s">
        <v>44</v>
      </c>
      <c r="D499" s="118"/>
      <c r="E499" s="90"/>
      <c r="F499" s="88"/>
      <c r="G499" s="118"/>
      <c r="H499" s="120"/>
      <c r="I499" s="89">
        <f>SUMIF('Executive Pay Breakdown'!K:K,$B499,'Executive Pay Breakdown'!M:M)+SUMIF('Executive Pay Breakdown'!O:O,$B499,'Executive Pay Breakdown'!Q:Q)+SUMIF('Executive Pay Breakdown'!S:S,$B499,'Executive Pay Breakdown'!U:U)+SUMIF('Executive Pay Breakdown'!W:W,$B499,'Executive Pay Breakdown'!Y:Y)+SUMIF('Executive Pay Breakdown'!AA:AA,$B499,'Executive Pay Breakdown'!AC:AC)</f>
        <v>2508250</v>
      </c>
      <c r="J499" s="109"/>
      <c r="K499" s="69">
        <f>SUMIF('Executive Pay Breakdown'!K:K,$B499,'Executive Pay Breakdown'!M:M)</f>
        <v>0</v>
      </c>
      <c r="L499" s="69">
        <f>SUMIF('Executive Pay Breakdown'!O:O,$B499,'Executive Pay Breakdown'!Q:Q)</f>
        <v>0</v>
      </c>
      <c r="M499" s="69">
        <f>SUMIF('Executive Pay Breakdown'!S:S,$B499,'Executive Pay Breakdown'!U:U)</f>
        <v>0</v>
      </c>
      <c r="N499" s="69">
        <f>SUMIF('Executive Pay Breakdown'!W:W,$B499,'Executive Pay Breakdown'!Y:Y)</f>
        <v>0</v>
      </c>
      <c r="O499" s="69">
        <f>SUMIF('Executive Pay Breakdown'!AA:AA,$B499,'Executive Pay Breakdown'!AC:AC)</f>
        <v>2508250</v>
      </c>
    </row>
    <row r="500" hidden="1">
      <c r="A500" s="62"/>
      <c r="B500" s="86" t="s">
        <v>610</v>
      </c>
      <c r="C500" s="118" t="s">
        <v>32</v>
      </c>
      <c r="D500" s="118"/>
      <c r="E500" s="90"/>
      <c r="F500" s="88"/>
      <c r="G500" s="118"/>
      <c r="H500" s="120"/>
      <c r="I500" s="89">
        <f>SUMIF('Executive Pay Breakdown'!K:K,$B500,'Executive Pay Breakdown'!M:M)+SUMIF('Executive Pay Breakdown'!O:O,$B500,'Executive Pay Breakdown'!Q:Q)+SUMIF('Executive Pay Breakdown'!S:S,$B500,'Executive Pay Breakdown'!U:U)+SUMIF('Executive Pay Breakdown'!W:W,$B500,'Executive Pay Breakdown'!Y:Y)+SUMIF('Executive Pay Breakdown'!AA:AA,$B500,'Executive Pay Breakdown'!AC:AC)</f>
        <v>4209025</v>
      </c>
      <c r="J500" s="109"/>
      <c r="K500" s="69">
        <f>SUMIF('Executive Pay Breakdown'!K:K,$B500,'Executive Pay Breakdown'!M:M)</f>
        <v>0</v>
      </c>
      <c r="L500" s="69">
        <f>SUMIF('Executive Pay Breakdown'!O:O,$B500,'Executive Pay Breakdown'!Q:Q)</f>
        <v>0</v>
      </c>
      <c r="M500" s="69">
        <f>SUMIF('Executive Pay Breakdown'!S:S,$B500,'Executive Pay Breakdown'!U:U)</f>
        <v>0</v>
      </c>
      <c r="N500" s="69">
        <f>SUMIF('Executive Pay Breakdown'!W:W,$B500,'Executive Pay Breakdown'!Y:Y)</f>
        <v>0</v>
      </c>
      <c r="O500" s="69">
        <f>SUMIF('Executive Pay Breakdown'!AA:AA,$B500,'Executive Pay Breakdown'!AC:AC)</f>
        <v>4209025</v>
      </c>
    </row>
    <row r="501" hidden="1">
      <c r="A501" s="62"/>
      <c r="B501" s="127" t="s">
        <v>611</v>
      </c>
      <c r="C501" s="118" t="s">
        <v>40</v>
      </c>
      <c r="D501" s="118"/>
      <c r="E501" s="90"/>
      <c r="F501" s="88"/>
      <c r="G501" s="118"/>
      <c r="H501" s="120"/>
      <c r="I501" s="89">
        <f>SUMIF('Executive Pay Breakdown'!K:K,$B501,'Executive Pay Breakdown'!M:M)+SUMIF('Executive Pay Breakdown'!O:O,$B501,'Executive Pay Breakdown'!Q:Q)+SUMIF('Executive Pay Breakdown'!S:S,$B501,'Executive Pay Breakdown'!U:U)+SUMIF('Executive Pay Breakdown'!W:W,$B501,'Executive Pay Breakdown'!Y:Y)+SUMIF('Executive Pay Breakdown'!AA:AA,$B501,'Executive Pay Breakdown'!AC:AC)</f>
        <v>3482956</v>
      </c>
      <c r="J501" s="109"/>
      <c r="K501" s="69">
        <f>SUMIF('Executive Pay Breakdown'!K:K,$B501,'Executive Pay Breakdown'!M:M)</f>
        <v>0</v>
      </c>
      <c r="L501" s="69">
        <f>SUMIF('Executive Pay Breakdown'!O:O,$B501,'Executive Pay Breakdown'!Q:Q)</f>
        <v>0</v>
      </c>
      <c r="M501" s="69">
        <f>SUMIF('Executive Pay Breakdown'!S:S,$B501,'Executive Pay Breakdown'!U:U)</f>
        <v>0</v>
      </c>
      <c r="N501" s="69">
        <f>SUMIF('Executive Pay Breakdown'!W:W,$B501,'Executive Pay Breakdown'!Y:Y)</f>
        <v>0</v>
      </c>
      <c r="O501" s="69">
        <f>SUMIF('Executive Pay Breakdown'!AA:AA,$B501,'Executive Pay Breakdown'!AC:AC)</f>
        <v>3482956</v>
      </c>
    </row>
    <row r="502" hidden="1">
      <c r="A502" s="62"/>
      <c r="B502" s="86" t="s">
        <v>612</v>
      </c>
      <c r="C502" s="118" t="s">
        <v>39</v>
      </c>
      <c r="D502" s="122"/>
      <c r="E502" s="90"/>
      <c r="F502" s="88"/>
      <c r="G502" s="88"/>
      <c r="H502" s="120"/>
      <c r="I502" s="89">
        <f>SUMIF('Executive Pay Breakdown'!K:K,$B502,'Executive Pay Breakdown'!M:M)+SUMIF('Executive Pay Breakdown'!O:O,$B502,'Executive Pay Breakdown'!Q:Q)+SUMIF('Executive Pay Breakdown'!S:S,$B502,'Executive Pay Breakdown'!U:U)+SUMIF('Executive Pay Breakdown'!W:W,$B502,'Executive Pay Breakdown'!Y:Y)+SUMIF('Executive Pay Breakdown'!AA:AA,$B502,'Executive Pay Breakdown'!AC:AC)</f>
        <v>4038141</v>
      </c>
      <c r="J502" s="109"/>
      <c r="K502" s="69">
        <f>SUMIF('Executive Pay Breakdown'!K:K,$B502,'Executive Pay Breakdown'!M:M)</f>
        <v>1698257</v>
      </c>
      <c r="L502" s="69">
        <f>SUMIF('Executive Pay Breakdown'!O:O,$B502,'Executive Pay Breakdown'!Q:Q)</f>
        <v>2339884</v>
      </c>
      <c r="M502" s="69">
        <f>SUMIF('Executive Pay Breakdown'!S:S,$B502,'Executive Pay Breakdown'!U:U)</f>
        <v>0</v>
      </c>
      <c r="N502" s="69">
        <f>SUMIF('Executive Pay Breakdown'!W:W,$B502,'Executive Pay Breakdown'!Y:Y)</f>
        <v>0</v>
      </c>
      <c r="O502" s="69">
        <f>SUMIF('Executive Pay Breakdown'!AA:AA,$B502,'Executive Pay Breakdown'!AC:AC)</f>
        <v>0</v>
      </c>
    </row>
    <row r="503" hidden="1">
      <c r="A503" s="62"/>
      <c r="B503" s="86" t="s">
        <v>613</v>
      </c>
      <c r="C503" s="118" t="s">
        <v>67</v>
      </c>
      <c r="D503" s="122"/>
      <c r="E503" s="90"/>
      <c r="F503" s="88"/>
      <c r="G503" s="88"/>
      <c r="H503" s="120"/>
      <c r="I503" s="89">
        <f>SUMIF('Executive Pay Breakdown'!K:K,$B503,'Executive Pay Breakdown'!M:M)+SUMIF('Executive Pay Breakdown'!O:O,$B503,'Executive Pay Breakdown'!Q:Q)+SUMIF('Executive Pay Breakdown'!S:S,$B503,'Executive Pay Breakdown'!U:U)+SUMIF('Executive Pay Breakdown'!W:W,$B503,'Executive Pay Breakdown'!Y:Y)+SUMIF('Executive Pay Breakdown'!AA:AA,$B503,'Executive Pay Breakdown'!AC:AC)</f>
        <v>2646130</v>
      </c>
      <c r="J503" s="109"/>
      <c r="K503" s="69">
        <f>SUMIF('Executive Pay Breakdown'!K:K,$B503,'Executive Pay Breakdown'!M:M)</f>
        <v>1417024</v>
      </c>
      <c r="L503" s="69">
        <f>SUMIF('Executive Pay Breakdown'!O:O,$B503,'Executive Pay Breakdown'!Q:Q)</f>
        <v>1229106</v>
      </c>
      <c r="M503" s="69">
        <f>SUMIF('Executive Pay Breakdown'!S:S,$B503,'Executive Pay Breakdown'!U:U)</f>
        <v>0</v>
      </c>
      <c r="N503" s="69">
        <f>SUMIF('Executive Pay Breakdown'!W:W,$B503,'Executive Pay Breakdown'!Y:Y)</f>
        <v>0</v>
      </c>
      <c r="O503" s="69">
        <f>SUMIF('Executive Pay Breakdown'!AA:AA,$B503,'Executive Pay Breakdown'!AC:AC)</f>
        <v>0</v>
      </c>
    </row>
    <row r="504" hidden="1">
      <c r="A504" s="62"/>
      <c r="B504" s="86" t="s">
        <v>614</v>
      </c>
      <c r="C504" s="118" t="s">
        <v>46</v>
      </c>
      <c r="D504" s="118"/>
      <c r="E504" s="90"/>
      <c r="F504" s="88"/>
      <c r="G504" s="118"/>
      <c r="H504" s="120"/>
      <c r="I504" s="89">
        <f>SUMIF('Executive Pay Breakdown'!K:K,$B504,'Executive Pay Breakdown'!M:M)+SUMIF('Executive Pay Breakdown'!O:O,$B504,'Executive Pay Breakdown'!Q:Q)+SUMIF('Executive Pay Breakdown'!S:S,$B504,'Executive Pay Breakdown'!U:U)+SUMIF('Executive Pay Breakdown'!W:W,$B504,'Executive Pay Breakdown'!Y:Y)+SUMIF('Executive Pay Breakdown'!AA:AA,$B504,'Executive Pay Breakdown'!AC:AC)</f>
        <v>2212764</v>
      </c>
      <c r="J504" s="109"/>
      <c r="K504" s="69">
        <f>SUMIF('Executive Pay Breakdown'!K:K,$B504,'Executive Pay Breakdown'!M:M)</f>
        <v>0</v>
      </c>
      <c r="L504" s="69">
        <f>SUMIF('Executive Pay Breakdown'!O:O,$B504,'Executive Pay Breakdown'!Q:Q)</f>
        <v>0</v>
      </c>
      <c r="M504" s="69">
        <f>SUMIF('Executive Pay Breakdown'!S:S,$B504,'Executive Pay Breakdown'!U:U)</f>
        <v>0</v>
      </c>
      <c r="N504" s="69">
        <f>SUMIF('Executive Pay Breakdown'!W:W,$B504,'Executive Pay Breakdown'!Y:Y)</f>
        <v>0</v>
      </c>
      <c r="O504" s="69">
        <f>SUMIF('Executive Pay Breakdown'!AA:AA,$B504,'Executive Pay Breakdown'!AC:AC)</f>
        <v>2212764</v>
      </c>
    </row>
    <row r="505" hidden="1">
      <c r="A505" s="62"/>
      <c r="B505" s="144" t="s">
        <v>615</v>
      </c>
      <c r="C505" s="117" t="s">
        <v>71</v>
      </c>
      <c r="D505" s="118"/>
      <c r="E505" s="90"/>
      <c r="F505" s="88"/>
      <c r="G505" s="118"/>
      <c r="H505" s="120"/>
      <c r="I505" s="89">
        <f>SUMIF('Executive Pay Breakdown'!K:K,$B505,'Executive Pay Breakdown'!M:M)+SUMIF('Executive Pay Breakdown'!O:O,$B505,'Executive Pay Breakdown'!Q:Q)+SUMIF('Executive Pay Breakdown'!S:S,$B505,'Executive Pay Breakdown'!U:U)+SUMIF('Executive Pay Breakdown'!W:W,$B505,'Executive Pay Breakdown'!Y:Y)+SUMIF('Executive Pay Breakdown'!AA:AA,$B505,'Executive Pay Breakdown'!AC:AC)</f>
        <v>1796076</v>
      </c>
      <c r="J505" s="109"/>
      <c r="K505" s="69">
        <f>SUMIF('Executive Pay Breakdown'!K:K,$B505,'Executive Pay Breakdown'!M:M)</f>
        <v>0</v>
      </c>
      <c r="L505" s="69">
        <f>SUMIF('Executive Pay Breakdown'!O:O,$B505,'Executive Pay Breakdown'!Q:Q)</f>
        <v>0</v>
      </c>
      <c r="M505" s="69">
        <f>SUMIF('Executive Pay Breakdown'!S:S,$B505,'Executive Pay Breakdown'!U:U)</f>
        <v>0</v>
      </c>
      <c r="N505" s="69">
        <f>SUMIF('Executive Pay Breakdown'!W:W,$B505,'Executive Pay Breakdown'!Y:Y)</f>
        <v>1796076</v>
      </c>
      <c r="O505" s="69">
        <f>SUMIF('Executive Pay Breakdown'!AA:AA,$B505,'Executive Pay Breakdown'!AC:AC)</f>
        <v>0</v>
      </c>
    </row>
    <row r="506" hidden="1">
      <c r="A506" s="71"/>
      <c r="B506" s="124" t="s">
        <v>616</v>
      </c>
      <c r="C506" s="118" t="s">
        <v>58</v>
      </c>
      <c r="D506" s="118"/>
      <c r="E506" s="90"/>
      <c r="F506" s="88"/>
      <c r="G506" s="88"/>
      <c r="H506" s="120"/>
      <c r="I506" s="89">
        <f>SUMIF('Executive Pay Breakdown'!K:K,$B506,'Executive Pay Breakdown'!M:M)+SUMIF('Executive Pay Breakdown'!O:O,$B506,'Executive Pay Breakdown'!Q:Q)+SUMIF('Executive Pay Breakdown'!S:S,$B506,'Executive Pay Breakdown'!U:U)+SUMIF('Executive Pay Breakdown'!W:W,$B506,'Executive Pay Breakdown'!Y:Y)+SUMIF('Executive Pay Breakdown'!AA:AA,$B506,'Executive Pay Breakdown'!AC:AC)</f>
        <v>4216158</v>
      </c>
      <c r="J506" s="109"/>
      <c r="K506" s="69">
        <f>SUMIF('Executive Pay Breakdown'!K:K,$B506,'Executive Pay Breakdown'!M:M)</f>
        <v>0</v>
      </c>
      <c r="L506" s="69">
        <f>SUMIF('Executive Pay Breakdown'!O:O,$B506,'Executive Pay Breakdown'!Q:Q)</f>
        <v>4216158</v>
      </c>
      <c r="M506" s="69">
        <f>SUMIF('Executive Pay Breakdown'!S:S,$B506,'Executive Pay Breakdown'!U:U)</f>
        <v>0</v>
      </c>
      <c r="N506" s="69">
        <f>SUMIF('Executive Pay Breakdown'!W:W,$B506,'Executive Pay Breakdown'!Y:Y)</f>
        <v>0</v>
      </c>
      <c r="O506" s="69">
        <f>SUMIF('Executive Pay Breakdown'!AA:AA,$B506,'Executive Pay Breakdown'!AC:AC)</f>
        <v>0</v>
      </c>
    </row>
    <row r="507" hidden="1">
      <c r="A507" s="62"/>
      <c r="B507" s="86" t="s">
        <v>617</v>
      </c>
      <c r="C507" s="118" t="s">
        <v>28</v>
      </c>
      <c r="D507" s="122"/>
      <c r="E507" s="90"/>
      <c r="F507" s="88"/>
      <c r="G507" s="118"/>
      <c r="H507" s="120"/>
      <c r="I507" s="89">
        <f>SUMIF('Executive Pay Breakdown'!K:K,$B507,'Executive Pay Breakdown'!M:M)+SUMIF('Executive Pay Breakdown'!O:O,$B507,'Executive Pay Breakdown'!Q:Q)+SUMIF('Executive Pay Breakdown'!S:S,$B507,'Executive Pay Breakdown'!U:U)+SUMIF('Executive Pay Breakdown'!W:W,$B507,'Executive Pay Breakdown'!Y:Y)+SUMIF('Executive Pay Breakdown'!AA:AA,$B507,'Executive Pay Breakdown'!AC:AC)</f>
        <v>3495456</v>
      </c>
      <c r="J507" s="109"/>
      <c r="K507" s="69">
        <f>SUMIF('Executive Pay Breakdown'!K:K,$B507,'Executive Pay Breakdown'!M:M)</f>
        <v>2027696</v>
      </c>
      <c r="L507" s="69">
        <f>SUMIF('Executive Pay Breakdown'!O:O,$B507,'Executive Pay Breakdown'!Q:Q)</f>
        <v>0</v>
      </c>
      <c r="M507" s="69">
        <f>SUMIF('Executive Pay Breakdown'!S:S,$B507,'Executive Pay Breakdown'!U:U)</f>
        <v>0</v>
      </c>
      <c r="N507" s="69">
        <f>SUMIF('Executive Pay Breakdown'!W:W,$B507,'Executive Pay Breakdown'!Y:Y)</f>
        <v>1467760</v>
      </c>
      <c r="O507" s="69">
        <f>SUMIF('Executive Pay Breakdown'!AA:AA,$B507,'Executive Pay Breakdown'!AC:AC)</f>
        <v>0</v>
      </c>
    </row>
    <row r="508" hidden="1">
      <c r="A508" s="62"/>
      <c r="B508" s="127" t="s">
        <v>618</v>
      </c>
      <c r="C508" s="118" t="s">
        <v>15</v>
      </c>
      <c r="D508" s="118"/>
      <c r="E508" s="90"/>
      <c r="F508" s="88"/>
      <c r="G508" s="118"/>
      <c r="H508" s="120"/>
      <c r="I508" s="89">
        <f>SUMIF('Executive Pay Breakdown'!K:K,$B508,'Executive Pay Breakdown'!M:M)+SUMIF('Executive Pay Breakdown'!O:O,$B508,'Executive Pay Breakdown'!Q:Q)+SUMIF('Executive Pay Breakdown'!S:S,$B508,'Executive Pay Breakdown'!U:U)+SUMIF('Executive Pay Breakdown'!W:W,$B508,'Executive Pay Breakdown'!Y:Y)+SUMIF('Executive Pay Breakdown'!AA:AA,$B508,'Executive Pay Breakdown'!AC:AC)</f>
        <v>3545689</v>
      </c>
      <c r="J508" s="109"/>
      <c r="K508" s="69">
        <f>SUMIF('Executive Pay Breakdown'!K:K,$B508,'Executive Pay Breakdown'!M:M)</f>
        <v>0</v>
      </c>
      <c r="L508" s="69">
        <f>SUMIF('Executive Pay Breakdown'!O:O,$B508,'Executive Pay Breakdown'!Q:Q)</f>
        <v>0</v>
      </c>
      <c r="M508" s="69">
        <f>SUMIF('Executive Pay Breakdown'!S:S,$B508,'Executive Pay Breakdown'!U:U)</f>
        <v>3545689</v>
      </c>
      <c r="N508" s="69">
        <f>SUMIF('Executive Pay Breakdown'!W:W,$B508,'Executive Pay Breakdown'!Y:Y)</f>
        <v>0</v>
      </c>
      <c r="O508" s="69">
        <f>SUMIF('Executive Pay Breakdown'!AA:AA,$B508,'Executive Pay Breakdown'!AC:AC)</f>
        <v>0</v>
      </c>
    </row>
    <row r="509" hidden="1">
      <c r="A509" s="62"/>
      <c r="B509" s="86" t="s">
        <v>619</v>
      </c>
      <c r="C509" s="117" t="s">
        <v>59</v>
      </c>
      <c r="D509" s="118"/>
      <c r="E509" s="90"/>
      <c r="F509" s="88"/>
      <c r="G509" s="118"/>
      <c r="H509" s="120"/>
      <c r="I509" s="89">
        <f>SUMIF('Executive Pay Breakdown'!K:K,$B509,'Executive Pay Breakdown'!M:M)+SUMIF('Executive Pay Breakdown'!O:O,$B509,'Executive Pay Breakdown'!Q:Q)+SUMIF('Executive Pay Breakdown'!S:S,$B509,'Executive Pay Breakdown'!U:U)+SUMIF('Executive Pay Breakdown'!W:W,$B509,'Executive Pay Breakdown'!Y:Y)+SUMIF('Executive Pay Breakdown'!AA:AA,$B509,'Executive Pay Breakdown'!AC:AC)</f>
        <v>3000588</v>
      </c>
      <c r="J509" s="109"/>
      <c r="K509" s="69">
        <f>SUMIF('Executive Pay Breakdown'!K:K,$B509,'Executive Pay Breakdown'!M:M)</f>
        <v>3000588</v>
      </c>
      <c r="L509" s="69">
        <f>SUMIF('Executive Pay Breakdown'!O:O,$B509,'Executive Pay Breakdown'!Q:Q)</f>
        <v>0</v>
      </c>
      <c r="M509" s="69">
        <f>SUMIF('Executive Pay Breakdown'!S:S,$B509,'Executive Pay Breakdown'!U:U)</f>
        <v>0</v>
      </c>
      <c r="N509" s="69">
        <f>SUMIF('Executive Pay Breakdown'!W:W,$B509,'Executive Pay Breakdown'!Y:Y)</f>
        <v>0</v>
      </c>
      <c r="O509" s="69">
        <f>SUMIF('Executive Pay Breakdown'!AA:AA,$B509,'Executive Pay Breakdown'!AC:AC)</f>
        <v>0</v>
      </c>
    </row>
    <row r="510" hidden="1">
      <c r="A510" s="62"/>
      <c r="B510" s="86" t="s">
        <v>620</v>
      </c>
      <c r="C510" s="117" t="s">
        <v>61</v>
      </c>
      <c r="D510" s="118"/>
      <c r="E510" s="90"/>
      <c r="F510" s="88"/>
      <c r="G510" s="118"/>
      <c r="H510" s="120"/>
      <c r="I510" s="89">
        <f>SUMIF('Executive Pay Breakdown'!K:K,$B510,'Executive Pay Breakdown'!M:M)+SUMIF('Executive Pay Breakdown'!O:O,$B510,'Executive Pay Breakdown'!Q:Q)+SUMIF('Executive Pay Breakdown'!S:S,$B510,'Executive Pay Breakdown'!U:U)+SUMIF('Executive Pay Breakdown'!W:W,$B510,'Executive Pay Breakdown'!Y:Y)+SUMIF('Executive Pay Breakdown'!AA:AA,$B510,'Executive Pay Breakdown'!AC:AC)</f>
        <v>6584028</v>
      </c>
      <c r="J510" s="109"/>
      <c r="K510" s="69">
        <f>SUMIF('Executive Pay Breakdown'!K:K,$B510,'Executive Pay Breakdown'!M:M)</f>
        <v>0</v>
      </c>
      <c r="L510" s="69">
        <f>SUMIF('Executive Pay Breakdown'!O:O,$B510,'Executive Pay Breakdown'!Q:Q)</f>
        <v>6584028</v>
      </c>
      <c r="M510" s="69">
        <f>SUMIF('Executive Pay Breakdown'!S:S,$B510,'Executive Pay Breakdown'!U:U)</f>
        <v>0</v>
      </c>
      <c r="N510" s="69">
        <f>SUMIF('Executive Pay Breakdown'!W:W,$B510,'Executive Pay Breakdown'!Y:Y)</f>
        <v>0</v>
      </c>
      <c r="O510" s="69">
        <f>SUMIF('Executive Pay Breakdown'!AA:AA,$B510,'Executive Pay Breakdown'!AC:AC)</f>
        <v>0</v>
      </c>
    </row>
    <row r="511" hidden="1">
      <c r="A511" s="62"/>
      <c r="B511" s="86" t="s">
        <v>621</v>
      </c>
      <c r="C511" s="118" t="s">
        <v>38</v>
      </c>
      <c r="D511" s="122"/>
      <c r="E511" s="90"/>
      <c r="F511" s="88"/>
      <c r="G511" s="88"/>
      <c r="H511" s="120"/>
      <c r="I511" s="89">
        <f>SUMIF('Executive Pay Breakdown'!K:K,$B511,'Executive Pay Breakdown'!M:M)+SUMIF('Executive Pay Breakdown'!O:O,$B511,'Executive Pay Breakdown'!Q:Q)+SUMIF('Executive Pay Breakdown'!S:S,$B511,'Executive Pay Breakdown'!U:U)+SUMIF('Executive Pay Breakdown'!W:W,$B511,'Executive Pay Breakdown'!Y:Y)+SUMIF('Executive Pay Breakdown'!AA:AA,$B511,'Executive Pay Breakdown'!AC:AC)</f>
        <v>3577471</v>
      </c>
      <c r="J511" s="109"/>
      <c r="K511" s="69">
        <f>SUMIF('Executive Pay Breakdown'!K:K,$B511,'Executive Pay Breakdown'!M:M)</f>
        <v>2051110</v>
      </c>
      <c r="L511" s="69">
        <f>SUMIF('Executive Pay Breakdown'!O:O,$B511,'Executive Pay Breakdown'!Q:Q)</f>
        <v>1526361</v>
      </c>
      <c r="M511" s="69">
        <f>SUMIF('Executive Pay Breakdown'!S:S,$B511,'Executive Pay Breakdown'!U:U)</f>
        <v>0</v>
      </c>
      <c r="N511" s="69">
        <f>SUMIF('Executive Pay Breakdown'!W:W,$B511,'Executive Pay Breakdown'!Y:Y)</f>
        <v>0</v>
      </c>
      <c r="O511" s="69">
        <f>SUMIF('Executive Pay Breakdown'!AA:AA,$B511,'Executive Pay Breakdown'!AC:AC)</f>
        <v>0</v>
      </c>
    </row>
    <row r="512" hidden="1">
      <c r="A512" s="62"/>
      <c r="B512" s="131" t="s">
        <v>622</v>
      </c>
      <c r="C512" s="118" t="s">
        <v>27</v>
      </c>
      <c r="D512" s="118"/>
      <c r="E512" s="90"/>
      <c r="F512" s="88"/>
      <c r="G512" s="118"/>
      <c r="H512" s="120"/>
      <c r="I512" s="89">
        <f>SUMIF('Executive Pay Breakdown'!K:K,$B512,'Executive Pay Breakdown'!M:M)+SUMIF('Executive Pay Breakdown'!O:O,$B512,'Executive Pay Breakdown'!Q:Q)+SUMIF('Executive Pay Breakdown'!S:S,$B512,'Executive Pay Breakdown'!U:U)+SUMIF('Executive Pay Breakdown'!W:W,$B512,'Executive Pay Breakdown'!Y:Y)+SUMIF('Executive Pay Breakdown'!AA:AA,$B512,'Executive Pay Breakdown'!AC:AC)</f>
        <v>3676515</v>
      </c>
      <c r="J512" s="109"/>
      <c r="K512" s="69">
        <f>SUMIF('Executive Pay Breakdown'!K:K,$B512,'Executive Pay Breakdown'!M:M)</f>
        <v>0</v>
      </c>
      <c r="L512" s="69">
        <f>SUMIF('Executive Pay Breakdown'!O:O,$B512,'Executive Pay Breakdown'!Q:Q)</f>
        <v>0</v>
      </c>
      <c r="M512" s="69">
        <f>SUMIF('Executive Pay Breakdown'!S:S,$B512,'Executive Pay Breakdown'!U:U)</f>
        <v>1687667</v>
      </c>
      <c r="N512" s="69">
        <f>SUMIF('Executive Pay Breakdown'!W:W,$B512,'Executive Pay Breakdown'!Y:Y)</f>
        <v>1988848</v>
      </c>
      <c r="O512" s="69">
        <f>SUMIF('Executive Pay Breakdown'!AA:AA,$B512,'Executive Pay Breakdown'!AC:AC)</f>
        <v>0</v>
      </c>
    </row>
    <row r="513" hidden="1">
      <c r="A513" s="62"/>
      <c r="B513" s="127" t="s">
        <v>623</v>
      </c>
      <c r="C513" s="118" t="s">
        <v>15</v>
      </c>
      <c r="D513" s="122"/>
      <c r="E513" s="90"/>
      <c r="F513" s="88"/>
      <c r="G513" s="118"/>
      <c r="H513" s="120"/>
      <c r="I513" s="89">
        <f>SUMIF('Executive Pay Breakdown'!K:K,$B513,'Executive Pay Breakdown'!M:M)+SUMIF('Executive Pay Breakdown'!O:O,$B513,'Executive Pay Breakdown'!Q:Q)+SUMIF('Executive Pay Breakdown'!S:S,$B513,'Executive Pay Breakdown'!U:U)+SUMIF('Executive Pay Breakdown'!W:W,$B513,'Executive Pay Breakdown'!Y:Y)+SUMIF('Executive Pay Breakdown'!AA:AA,$B513,'Executive Pay Breakdown'!AC:AC)</f>
        <v>3340682</v>
      </c>
      <c r="J513" s="109"/>
      <c r="K513" s="69">
        <f>SUMIF('Executive Pay Breakdown'!K:K,$B513,'Executive Pay Breakdown'!M:M)</f>
        <v>3340682</v>
      </c>
      <c r="L513" s="69">
        <f>SUMIF('Executive Pay Breakdown'!O:O,$B513,'Executive Pay Breakdown'!Q:Q)</f>
        <v>0</v>
      </c>
      <c r="M513" s="69">
        <f>SUMIF('Executive Pay Breakdown'!S:S,$B513,'Executive Pay Breakdown'!U:U)</f>
        <v>0</v>
      </c>
      <c r="N513" s="69">
        <f>SUMIF('Executive Pay Breakdown'!W:W,$B513,'Executive Pay Breakdown'!Y:Y)</f>
        <v>0</v>
      </c>
      <c r="O513" s="69">
        <f>SUMIF('Executive Pay Breakdown'!AA:AA,$B513,'Executive Pay Breakdown'!AC:AC)</f>
        <v>0</v>
      </c>
    </row>
    <row r="514" hidden="1">
      <c r="A514" s="62"/>
      <c r="B514" s="127" t="s">
        <v>624</v>
      </c>
      <c r="C514" s="118" t="s">
        <v>12</v>
      </c>
      <c r="D514" s="122"/>
      <c r="E514" s="90"/>
      <c r="F514" s="88"/>
      <c r="G514" s="118"/>
      <c r="H514" s="120"/>
      <c r="I514" s="89">
        <f>SUMIF('Executive Pay Breakdown'!K:K,$B514,'Executive Pay Breakdown'!M:M)+SUMIF('Executive Pay Breakdown'!O:O,$B514,'Executive Pay Breakdown'!Q:Q)+SUMIF('Executive Pay Breakdown'!S:S,$B514,'Executive Pay Breakdown'!U:U)+SUMIF('Executive Pay Breakdown'!W:W,$B514,'Executive Pay Breakdown'!Y:Y)+SUMIF('Executive Pay Breakdown'!AA:AA,$B514,'Executive Pay Breakdown'!AC:AC)</f>
        <v>3626837</v>
      </c>
      <c r="J514" s="109"/>
      <c r="K514" s="69">
        <f>SUMIF('Executive Pay Breakdown'!K:K,$B514,'Executive Pay Breakdown'!M:M)</f>
        <v>3626837</v>
      </c>
      <c r="L514" s="69">
        <f>SUMIF('Executive Pay Breakdown'!O:O,$B514,'Executive Pay Breakdown'!Q:Q)</f>
        <v>0</v>
      </c>
      <c r="M514" s="69">
        <f>SUMIF('Executive Pay Breakdown'!S:S,$B514,'Executive Pay Breakdown'!U:U)</f>
        <v>0</v>
      </c>
      <c r="N514" s="69">
        <f>SUMIF('Executive Pay Breakdown'!W:W,$B514,'Executive Pay Breakdown'!Y:Y)</f>
        <v>0</v>
      </c>
      <c r="O514" s="69">
        <f>SUMIF('Executive Pay Breakdown'!AA:AA,$B514,'Executive Pay Breakdown'!AC:AC)</f>
        <v>0</v>
      </c>
    </row>
    <row r="515" hidden="1">
      <c r="A515" s="62"/>
      <c r="B515" s="86" t="s">
        <v>625</v>
      </c>
      <c r="C515" s="117" t="s">
        <v>61</v>
      </c>
      <c r="D515" s="118"/>
      <c r="E515" s="90"/>
      <c r="F515" s="88"/>
      <c r="G515" s="118"/>
      <c r="H515" s="120"/>
      <c r="I515" s="89">
        <f>SUMIF('Executive Pay Breakdown'!K:K,$B515,'Executive Pay Breakdown'!M:M)+SUMIF('Executive Pay Breakdown'!O:O,$B515,'Executive Pay Breakdown'!Q:Q)+SUMIF('Executive Pay Breakdown'!S:S,$B515,'Executive Pay Breakdown'!U:U)+SUMIF('Executive Pay Breakdown'!W:W,$B515,'Executive Pay Breakdown'!Y:Y)+SUMIF('Executive Pay Breakdown'!AA:AA,$B515,'Executive Pay Breakdown'!AC:AC)</f>
        <v>6077974</v>
      </c>
      <c r="J515" s="109"/>
      <c r="K515" s="69">
        <f>SUMIF('Executive Pay Breakdown'!K:K,$B515,'Executive Pay Breakdown'!M:M)</f>
        <v>0</v>
      </c>
      <c r="L515" s="69">
        <f>SUMIF('Executive Pay Breakdown'!O:O,$B515,'Executive Pay Breakdown'!Q:Q)</f>
        <v>0</v>
      </c>
      <c r="M515" s="69">
        <f>SUMIF('Executive Pay Breakdown'!S:S,$B515,'Executive Pay Breakdown'!U:U)</f>
        <v>0</v>
      </c>
      <c r="N515" s="69">
        <f>SUMIF('Executive Pay Breakdown'!W:W,$B515,'Executive Pay Breakdown'!Y:Y)</f>
        <v>1451840</v>
      </c>
      <c r="O515" s="69">
        <f>SUMIF('Executive Pay Breakdown'!AA:AA,$B515,'Executive Pay Breakdown'!AC:AC)</f>
        <v>4626134</v>
      </c>
    </row>
    <row r="516" hidden="1">
      <c r="A516" s="62"/>
      <c r="B516" s="86" t="s">
        <v>626</v>
      </c>
      <c r="C516" s="117" t="s">
        <v>59</v>
      </c>
      <c r="D516" s="118"/>
      <c r="E516" s="90"/>
      <c r="F516" s="88"/>
      <c r="G516" s="118"/>
      <c r="H516" s="120"/>
      <c r="I516" s="89">
        <f>SUMIF('Executive Pay Breakdown'!K:K,$B516,'Executive Pay Breakdown'!M:M)+SUMIF('Executive Pay Breakdown'!O:O,$B516,'Executive Pay Breakdown'!Q:Q)+SUMIF('Executive Pay Breakdown'!S:S,$B516,'Executive Pay Breakdown'!U:U)+SUMIF('Executive Pay Breakdown'!W:W,$B516,'Executive Pay Breakdown'!Y:Y)+SUMIF('Executive Pay Breakdown'!AA:AA,$B516,'Executive Pay Breakdown'!AC:AC)</f>
        <v>2730895</v>
      </c>
      <c r="J516" s="109"/>
      <c r="K516" s="69">
        <f>SUMIF('Executive Pay Breakdown'!K:K,$B516,'Executive Pay Breakdown'!M:M)</f>
        <v>0</v>
      </c>
      <c r="L516" s="69">
        <f>SUMIF('Executive Pay Breakdown'!O:O,$B516,'Executive Pay Breakdown'!Q:Q)</f>
        <v>2730895</v>
      </c>
      <c r="M516" s="69">
        <f>SUMIF('Executive Pay Breakdown'!S:S,$B516,'Executive Pay Breakdown'!U:U)</f>
        <v>0</v>
      </c>
      <c r="N516" s="69">
        <f>SUMIF('Executive Pay Breakdown'!W:W,$B516,'Executive Pay Breakdown'!Y:Y)</f>
        <v>0</v>
      </c>
      <c r="O516" s="69">
        <f>SUMIF('Executive Pay Breakdown'!AA:AA,$B516,'Executive Pay Breakdown'!AC:AC)</f>
        <v>0</v>
      </c>
    </row>
    <row r="517" hidden="1">
      <c r="A517" s="71"/>
      <c r="B517" s="124" t="s">
        <v>627</v>
      </c>
      <c r="C517" s="118" t="s">
        <v>58</v>
      </c>
      <c r="D517" s="118"/>
      <c r="E517" s="90"/>
      <c r="F517" s="88"/>
      <c r="G517" s="88"/>
      <c r="H517" s="120"/>
      <c r="I517" s="89">
        <f>SUMIF('Executive Pay Breakdown'!K:K,$B517,'Executive Pay Breakdown'!M:M)+SUMIF('Executive Pay Breakdown'!O:O,$B517,'Executive Pay Breakdown'!Q:Q)+SUMIF('Executive Pay Breakdown'!S:S,$B517,'Executive Pay Breakdown'!U:U)+SUMIF('Executive Pay Breakdown'!W:W,$B517,'Executive Pay Breakdown'!Y:Y)+SUMIF('Executive Pay Breakdown'!AA:AA,$B517,'Executive Pay Breakdown'!AC:AC)</f>
        <v>3722444</v>
      </c>
      <c r="J517" s="109"/>
      <c r="K517" s="69">
        <f>SUMIF('Executive Pay Breakdown'!K:K,$B517,'Executive Pay Breakdown'!M:M)</f>
        <v>0</v>
      </c>
      <c r="L517" s="69">
        <f>SUMIF('Executive Pay Breakdown'!O:O,$B517,'Executive Pay Breakdown'!Q:Q)</f>
        <v>3722444</v>
      </c>
      <c r="M517" s="69">
        <f>SUMIF('Executive Pay Breakdown'!S:S,$B517,'Executive Pay Breakdown'!U:U)</f>
        <v>0</v>
      </c>
      <c r="N517" s="69">
        <f>SUMIF('Executive Pay Breakdown'!W:W,$B517,'Executive Pay Breakdown'!Y:Y)</f>
        <v>0</v>
      </c>
      <c r="O517" s="69">
        <f>SUMIF('Executive Pay Breakdown'!AA:AA,$B517,'Executive Pay Breakdown'!AC:AC)</f>
        <v>0</v>
      </c>
    </row>
    <row r="518" hidden="1">
      <c r="A518" s="62"/>
      <c r="B518" s="86" t="s">
        <v>628</v>
      </c>
      <c r="C518" s="117" t="s">
        <v>70</v>
      </c>
      <c r="D518" s="118"/>
      <c r="E518" s="90"/>
      <c r="F518" s="88"/>
      <c r="G518" s="118"/>
      <c r="H518" s="120"/>
      <c r="I518" s="89">
        <f>SUMIF('Executive Pay Breakdown'!K:K,$B518,'Executive Pay Breakdown'!M:M)+SUMIF('Executive Pay Breakdown'!O:O,$B518,'Executive Pay Breakdown'!Q:Q)+SUMIF('Executive Pay Breakdown'!S:S,$B518,'Executive Pay Breakdown'!U:U)+SUMIF('Executive Pay Breakdown'!W:W,$B518,'Executive Pay Breakdown'!Y:Y)+SUMIF('Executive Pay Breakdown'!AA:AA,$B518,'Executive Pay Breakdown'!AC:AC)</f>
        <v>2684266</v>
      </c>
      <c r="J518" s="109"/>
      <c r="K518" s="69">
        <f>SUMIF('Executive Pay Breakdown'!K:K,$B518,'Executive Pay Breakdown'!M:M)</f>
        <v>2684266</v>
      </c>
      <c r="L518" s="69">
        <f>SUMIF('Executive Pay Breakdown'!O:O,$B518,'Executive Pay Breakdown'!Q:Q)</f>
        <v>0</v>
      </c>
      <c r="M518" s="69">
        <f>SUMIF('Executive Pay Breakdown'!S:S,$B518,'Executive Pay Breakdown'!U:U)</f>
        <v>0</v>
      </c>
      <c r="N518" s="69">
        <f>SUMIF('Executive Pay Breakdown'!W:W,$B518,'Executive Pay Breakdown'!Y:Y)</f>
        <v>0</v>
      </c>
      <c r="O518" s="69">
        <f>SUMIF('Executive Pay Breakdown'!AA:AA,$B518,'Executive Pay Breakdown'!AC:AC)</f>
        <v>0</v>
      </c>
    </row>
    <row r="519" hidden="1">
      <c r="A519" s="62"/>
      <c r="B519" s="125" t="s">
        <v>629</v>
      </c>
      <c r="C519" s="118" t="s">
        <v>25</v>
      </c>
      <c r="D519" s="122"/>
      <c r="E519" s="90"/>
      <c r="F519" s="88"/>
      <c r="G519" s="118"/>
      <c r="H519" s="120"/>
      <c r="I519" s="89">
        <f>SUMIF('Executive Pay Breakdown'!K:K,$B519,'Executive Pay Breakdown'!M:M)+SUMIF('Executive Pay Breakdown'!O:O,$B519,'Executive Pay Breakdown'!Q:Q)+SUMIF('Executive Pay Breakdown'!S:S,$B519,'Executive Pay Breakdown'!U:U)+SUMIF('Executive Pay Breakdown'!W:W,$B519,'Executive Pay Breakdown'!Y:Y)+SUMIF('Executive Pay Breakdown'!AA:AA,$B519,'Executive Pay Breakdown'!AC:AC)</f>
        <v>3839695</v>
      </c>
      <c r="J519" s="109"/>
      <c r="K519" s="69">
        <f>SUMIF('Executive Pay Breakdown'!K:K,$B519,'Executive Pay Breakdown'!M:M)</f>
        <v>3839695</v>
      </c>
      <c r="L519" s="69">
        <f>SUMIF('Executive Pay Breakdown'!O:O,$B519,'Executive Pay Breakdown'!Q:Q)</f>
        <v>0</v>
      </c>
      <c r="M519" s="69">
        <f>SUMIF('Executive Pay Breakdown'!S:S,$B519,'Executive Pay Breakdown'!U:U)</f>
        <v>0</v>
      </c>
      <c r="N519" s="69">
        <f>SUMIF('Executive Pay Breakdown'!W:W,$B519,'Executive Pay Breakdown'!Y:Y)</f>
        <v>0</v>
      </c>
      <c r="O519" s="69">
        <f>SUMIF('Executive Pay Breakdown'!AA:AA,$B519,'Executive Pay Breakdown'!AC:AC)</f>
        <v>0</v>
      </c>
    </row>
    <row r="520" hidden="1">
      <c r="A520" s="71"/>
      <c r="B520" s="124" t="s">
        <v>630</v>
      </c>
      <c r="C520" s="118" t="s">
        <v>58</v>
      </c>
      <c r="D520" s="122"/>
      <c r="E520" s="90"/>
      <c r="F520" s="88"/>
      <c r="G520" s="118"/>
      <c r="H520" s="120"/>
      <c r="I520" s="89">
        <f>SUMIF('Executive Pay Breakdown'!K:K,$B520,'Executive Pay Breakdown'!M:M)+SUMIF('Executive Pay Breakdown'!O:O,$B520,'Executive Pay Breakdown'!Q:Q)+SUMIF('Executive Pay Breakdown'!S:S,$B520,'Executive Pay Breakdown'!U:U)+SUMIF('Executive Pay Breakdown'!W:W,$B520,'Executive Pay Breakdown'!Y:Y)+SUMIF('Executive Pay Breakdown'!AA:AA,$B520,'Executive Pay Breakdown'!AC:AC)</f>
        <v>3632029</v>
      </c>
      <c r="J520" s="109"/>
      <c r="K520" s="69">
        <f>SUMIF('Executive Pay Breakdown'!K:K,$B520,'Executive Pay Breakdown'!M:M)</f>
        <v>3632029</v>
      </c>
      <c r="L520" s="69">
        <f>SUMIF('Executive Pay Breakdown'!O:O,$B520,'Executive Pay Breakdown'!Q:Q)</f>
        <v>0</v>
      </c>
      <c r="M520" s="69">
        <f>SUMIF('Executive Pay Breakdown'!S:S,$B520,'Executive Pay Breakdown'!U:U)</f>
        <v>0</v>
      </c>
      <c r="N520" s="69">
        <f>SUMIF('Executive Pay Breakdown'!W:W,$B520,'Executive Pay Breakdown'!Y:Y)</f>
        <v>0</v>
      </c>
      <c r="O520" s="69">
        <f>SUMIF('Executive Pay Breakdown'!AA:AA,$B520,'Executive Pay Breakdown'!AC:AC)</f>
        <v>0</v>
      </c>
    </row>
    <row r="521" hidden="1">
      <c r="A521" s="62"/>
      <c r="B521" s="127" t="s">
        <v>631</v>
      </c>
      <c r="C521" s="118" t="s">
        <v>12</v>
      </c>
      <c r="D521" s="122"/>
      <c r="E521" s="90"/>
      <c r="F521" s="88"/>
      <c r="G521" s="118"/>
      <c r="H521" s="120"/>
      <c r="I521" s="89">
        <f>SUMIF('Executive Pay Breakdown'!K:K,$B521,'Executive Pay Breakdown'!M:M)+SUMIF('Executive Pay Breakdown'!O:O,$B521,'Executive Pay Breakdown'!Q:Q)+SUMIF('Executive Pay Breakdown'!S:S,$B521,'Executive Pay Breakdown'!U:U)+SUMIF('Executive Pay Breakdown'!W:W,$B521,'Executive Pay Breakdown'!Y:Y)+SUMIF('Executive Pay Breakdown'!AA:AA,$B521,'Executive Pay Breakdown'!AC:AC)</f>
        <v>3296195</v>
      </c>
      <c r="J521" s="109"/>
      <c r="K521" s="69">
        <f>SUMIF('Executive Pay Breakdown'!K:K,$B521,'Executive Pay Breakdown'!M:M)</f>
        <v>3296195</v>
      </c>
      <c r="L521" s="69">
        <f>SUMIF('Executive Pay Breakdown'!O:O,$B521,'Executive Pay Breakdown'!Q:Q)</f>
        <v>0</v>
      </c>
      <c r="M521" s="69">
        <f>SUMIF('Executive Pay Breakdown'!S:S,$B521,'Executive Pay Breakdown'!U:U)</f>
        <v>0</v>
      </c>
      <c r="N521" s="69">
        <f>SUMIF('Executive Pay Breakdown'!W:W,$B521,'Executive Pay Breakdown'!Y:Y)</f>
        <v>0</v>
      </c>
      <c r="O521" s="69">
        <f>SUMIF('Executive Pay Breakdown'!AA:AA,$B521,'Executive Pay Breakdown'!AC:AC)</f>
        <v>0</v>
      </c>
    </row>
    <row r="522" hidden="1">
      <c r="A522" s="62"/>
      <c r="B522" s="86" t="s">
        <v>632</v>
      </c>
      <c r="C522" s="117" t="s">
        <v>61</v>
      </c>
      <c r="D522" s="118"/>
      <c r="E522" s="90"/>
      <c r="F522" s="88"/>
      <c r="G522" s="118"/>
      <c r="H522" s="120"/>
      <c r="I522" s="89">
        <f>SUMIF('Executive Pay Breakdown'!K:K,$B522,'Executive Pay Breakdown'!M:M)+SUMIF('Executive Pay Breakdown'!O:O,$B522,'Executive Pay Breakdown'!Q:Q)+SUMIF('Executive Pay Breakdown'!S:S,$B522,'Executive Pay Breakdown'!U:U)+SUMIF('Executive Pay Breakdown'!W:W,$B522,'Executive Pay Breakdown'!Y:Y)+SUMIF('Executive Pay Breakdown'!AA:AA,$B522,'Executive Pay Breakdown'!AC:AC)</f>
        <v>5696996</v>
      </c>
      <c r="J522" s="109"/>
      <c r="K522" s="69">
        <f>SUMIF('Executive Pay Breakdown'!K:K,$B522,'Executive Pay Breakdown'!M:M)</f>
        <v>0</v>
      </c>
      <c r="L522" s="69">
        <f>SUMIF('Executive Pay Breakdown'!O:O,$B522,'Executive Pay Breakdown'!Q:Q)</f>
        <v>0</v>
      </c>
      <c r="M522" s="69">
        <f>SUMIF('Executive Pay Breakdown'!S:S,$B522,'Executive Pay Breakdown'!U:U)</f>
        <v>0</v>
      </c>
      <c r="N522" s="69">
        <f>SUMIF('Executive Pay Breakdown'!W:W,$B522,'Executive Pay Breakdown'!Y:Y)</f>
        <v>0</v>
      </c>
      <c r="O522" s="69">
        <f>SUMIF('Executive Pay Breakdown'!AA:AA,$B522,'Executive Pay Breakdown'!AC:AC)</f>
        <v>5696996</v>
      </c>
    </row>
    <row r="523" hidden="1">
      <c r="A523" s="62"/>
      <c r="B523" s="127" t="s">
        <v>633</v>
      </c>
      <c r="C523" s="118" t="s">
        <v>60</v>
      </c>
      <c r="D523" s="118"/>
      <c r="E523" s="90"/>
      <c r="F523" s="88"/>
      <c r="G523" s="118"/>
      <c r="H523" s="120"/>
      <c r="I523" s="89">
        <f>SUMIF('Executive Pay Breakdown'!K:K,$B523,'Executive Pay Breakdown'!M:M)+SUMIF('Executive Pay Breakdown'!O:O,$B523,'Executive Pay Breakdown'!Q:Q)+SUMIF('Executive Pay Breakdown'!S:S,$B523,'Executive Pay Breakdown'!U:U)+SUMIF('Executive Pay Breakdown'!W:W,$B523,'Executive Pay Breakdown'!Y:Y)+SUMIF('Executive Pay Breakdown'!AA:AA,$B523,'Executive Pay Breakdown'!AC:AC)</f>
        <v>2600806</v>
      </c>
      <c r="J523" s="109"/>
      <c r="K523" s="69">
        <f>SUMIF('Executive Pay Breakdown'!K:K,$B523,'Executive Pay Breakdown'!M:M)</f>
        <v>0</v>
      </c>
      <c r="L523" s="69">
        <f>SUMIF('Executive Pay Breakdown'!O:O,$B523,'Executive Pay Breakdown'!Q:Q)</f>
        <v>0</v>
      </c>
      <c r="M523" s="69">
        <f>SUMIF('Executive Pay Breakdown'!S:S,$B523,'Executive Pay Breakdown'!U:U)</f>
        <v>0</v>
      </c>
      <c r="N523" s="69">
        <f>SUMIF('Executive Pay Breakdown'!W:W,$B523,'Executive Pay Breakdown'!Y:Y)</f>
        <v>0</v>
      </c>
      <c r="O523" s="69">
        <f>SUMIF('Executive Pay Breakdown'!AA:AA,$B523,'Executive Pay Breakdown'!AC:AC)</f>
        <v>2600806</v>
      </c>
    </row>
    <row r="524" hidden="1">
      <c r="A524" s="62"/>
      <c r="B524" s="86" t="s">
        <v>634</v>
      </c>
      <c r="C524" s="118" t="s">
        <v>32</v>
      </c>
      <c r="D524" s="122"/>
      <c r="E524" s="90"/>
      <c r="F524" s="88"/>
      <c r="G524" s="88"/>
      <c r="H524" s="120"/>
      <c r="I524" s="89">
        <f>SUMIF('Executive Pay Breakdown'!K:K,$B524,'Executive Pay Breakdown'!M:M)+SUMIF('Executive Pay Breakdown'!O:O,$B524,'Executive Pay Breakdown'!Q:Q)+SUMIF('Executive Pay Breakdown'!S:S,$B524,'Executive Pay Breakdown'!U:U)+SUMIF('Executive Pay Breakdown'!W:W,$B524,'Executive Pay Breakdown'!Y:Y)+SUMIF('Executive Pay Breakdown'!AA:AA,$B524,'Executive Pay Breakdown'!AC:AC)</f>
        <v>3217287</v>
      </c>
      <c r="J524" s="109"/>
      <c r="K524" s="69">
        <f>SUMIF('Executive Pay Breakdown'!K:K,$B524,'Executive Pay Breakdown'!M:M)</f>
        <v>1840035</v>
      </c>
      <c r="L524" s="69">
        <f>SUMIF('Executive Pay Breakdown'!O:O,$B524,'Executive Pay Breakdown'!Q:Q)</f>
        <v>1377252</v>
      </c>
      <c r="M524" s="69">
        <f>SUMIF('Executive Pay Breakdown'!S:S,$B524,'Executive Pay Breakdown'!U:U)</f>
        <v>0</v>
      </c>
      <c r="N524" s="69">
        <f>SUMIF('Executive Pay Breakdown'!W:W,$B524,'Executive Pay Breakdown'!Y:Y)</f>
        <v>0</v>
      </c>
      <c r="O524" s="69">
        <f>SUMIF('Executive Pay Breakdown'!AA:AA,$B524,'Executive Pay Breakdown'!AC:AC)</f>
        <v>0</v>
      </c>
    </row>
    <row r="525" hidden="1">
      <c r="A525" s="62"/>
      <c r="B525" s="130" t="s">
        <v>635</v>
      </c>
      <c r="C525" s="118" t="s">
        <v>25</v>
      </c>
      <c r="D525" s="118"/>
      <c r="E525" s="90"/>
      <c r="F525" s="88"/>
      <c r="G525" s="118"/>
      <c r="H525" s="120"/>
      <c r="I525" s="89">
        <f>SUMIF('Executive Pay Breakdown'!K:K,$B525,'Executive Pay Breakdown'!M:M)+SUMIF('Executive Pay Breakdown'!O:O,$B525,'Executive Pay Breakdown'!Q:Q)+SUMIF('Executive Pay Breakdown'!S:S,$B525,'Executive Pay Breakdown'!U:U)+SUMIF('Executive Pay Breakdown'!W:W,$B525,'Executive Pay Breakdown'!Y:Y)+SUMIF('Executive Pay Breakdown'!AA:AA,$B525,'Executive Pay Breakdown'!AC:AC)</f>
        <v>3455849</v>
      </c>
      <c r="J525" s="109"/>
      <c r="K525" s="69">
        <f>SUMIF('Executive Pay Breakdown'!K:K,$B525,'Executive Pay Breakdown'!M:M)</f>
        <v>0</v>
      </c>
      <c r="L525" s="69">
        <f>SUMIF('Executive Pay Breakdown'!O:O,$B525,'Executive Pay Breakdown'!Q:Q)</f>
        <v>0</v>
      </c>
      <c r="M525" s="69">
        <f>SUMIF('Executive Pay Breakdown'!S:S,$B525,'Executive Pay Breakdown'!U:U)</f>
        <v>0</v>
      </c>
      <c r="N525" s="69">
        <f>SUMIF('Executive Pay Breakdown'!W:W,$B525,'Executive Pay Breakdown'!Y:Y)</f>
        <v>3455849</v>
      </c>
      <c r="O525" s="69">
        <f>SUMIF('Executive Pay Breakdown'!AA:AA,$B525,'Executive Pay Breakdown'!AC:AC)</f>
        <v>0</v>
      </c>
    </row>
    <row r="526" hidden="1">
      <c r="A526" s="62"/>
      <c r="B526" s="86" t="s">
        <v>636</v>
      </c>
      <c r="C526" s="118" t="s">
        <v>31</v>
      </c>
      <c r="D526" s="118"/>
      <c r="E526" s="90"/>
      <c r="F526" s="88"/>
      <c r="G526" s="118"/>
      <c r="H526" s="120"/>
      <c r="I526" s="89">
        <f>SUMIF('Executive Pay Breakdown'!K:K,$B526,'Executive Pay Breakdown'!M:M)+SUMIF('Executive Pay Breakdown'!O:O,$B526,'Executive Pay Breakdown'!Q:Q)+SUMIF('Executive Pay Breakdown'!S:S,$B526,'Executive Pay Breakdown'!U:U)+SUMIF('Executive Pay Breakdown'!W:W,$B526,'Executive Pay Breakdown'!Y:Y)+SUMIF('Executive Pay Breakdown'!AA:AA,$B526,'Executive Pay Breakdown'!AC:AC)</f>
        <v>3044009</v>
      </c>
      <c r="J526" s="109"/>
      <c r="K526" s="69">
        <f>SUMIF('Executive Pay Breakdown'!K:K,$B526,'Executive Pay Breakdown'!M:M)</f>
        <v>0</v>
      </c>
      <c r="L526" s="69">
        <f>SUMIF('Executive Pay Breakdown'!O:O,$B526,'Executive Pay Breakdown'!Q:Q)</f>
        <v>0</v>
      </c>
      <c r="M526" s="69">
        <f>SUMIF('Executive Pay Breakdown'!S:S,$B526,'Executive Pay Breakdown'!U:U)</f>
        <v>0</v>
      </c>
      <c r="N526" s="69">
        <f>SUMIF('Executive Pay Breakdown'!W:W,$B526,'Executive Pay Breakdown'!Y:Y)</f>
        <v>1473245</v>
      </c>
      <c r="O526" s="69">
        <f>SUMIF('Executive Pay Breakdown'!AA:AA,$B526,'Executive Pay Breakdown'!AC:AC)</f>
        <v>1570764</v>
      </c>
    </row>
    <row r="527" hidden="1">
      <c r="A527" s="62"/>
      <c r="B527" s="86" t="s">
        <v>637</v>
      </c>
      <c r="C527" s="118" t="s">
        <v>28</v>
      </c>
      <c r="D527" s="118"/>
      <c r="E527" s="90"/>
      <c r="F527" s="88"/>
      <c r="G527" s="118"/>
      <c r="H527" s="120"/>
      <c r="I527" s="89">
        <f>SUMIF('Executive Pay Breakdown'!K:K,$B527,'Executive Pay Breakdown'!M:M)+SUMIF('Executive Pay Breakdown'!O:O,$B527,'Executive Pay Breakdown'!Q:Q)+SUMIF('Executive Pay Breakdown'!S:S,$B527,'Executive Pay Breakdown'!U:U)+SUMIF('Executive Pay Breakdown'!W:W,$B527,'Executive Pay Breakdown'!Y:Y)+SUMIF('Executive Pay Breakdown'!AA:AA,$B527,'Executive Pay Breakdown'!AC:AC)</f>
        <v>2682896</v>
      </c>
      <c r="J527" s="109"/>
      <c r="K527" s="69">
        <f>SUMIF('Executive Pay Breakdown'!K:K,$B527,'Executive Pay Breakdown'!M:M)</f>
        <v>0</v>
      </c>
      <c r="L527" s="69">
        <f>SUMIF('Executive Pay Breakdown'!O:O,$B527,'Executive Pay Breakdown'!Q:Q)</f>
        <v>0</v>
      </c>
      <c r="M527" s="69">
        <f>SUMIF('Executive Pay Breakdown'!S:S,$B527,'Executive Pay Breakdown'!U:U)</f>
        <v>0</v>
      </c>
      <c r="N527" s="69">
        <f>SUMIF('Executive Pay Breakdown'!W:W,$B527,'Executive Pay Breakdown'!Y:Y)</f>
        <v>0</v>
      </c>
      <c r="O527" s="69">
        <f>SUMIF('Executive Pay Breakdown'!AA:AA,$B527,'Executive Pay Breakdown'!AC:AC)</f>
        <v>2682896</v>
      </c>
    </row>
    <row r="528" hidden="1">
      <c r="A528" s="62"/>
      <c r="B528" s="86" t="s">
        <v>638</v>
      </c>
      <c r="C528" s="118" t="s">
        <v>45</v>
      </c>
      <c r="D528" s="118"/>
      <c r="E528" s="90"/>
      <c r="F528" s="88"/>
      <c r="G528" s="118"/>
      <c r="H528" s="120"/>
      <c r="I528" s="89">
        <f>SUMIF('Executive Pay Breakdown'!K:K,$B528,'Executive Pay Breakdown'!M:M)+SUMIF('Executive Pay Breakdown'!O:O,$B528,'Executive Pay Breakdown'!Q:Q)+SUMIF('Executive Pay Breakdown'!S:S,$B528,'Executive Pay Breakdown'!U:U)+SUMIF('Executive Pay Breakdown'!W:W,$B528,'Executive Pay Breakdown'!Y:Y)+SUMIF('Executive Pay Breakdown'!AA:AA,$B528,'Executive Pay Breakdown'!AC:AC)</f>
        <v>1455053</v>
      </c>
      <c r="J528" s="109"/>
      <c r="K528" s="69">
        <f>SUMIF('Executive Pay Breakdown'!K:K,$B528,'Executive Pay Breakdown'!M:M)</f>
        <v>0</v>
      </c>
      <c r="L528" s="69">
        <f>SUMIF('Executive Pay Breakdown'!O:O,$B528,'Executive Pay Breakdown'!Q:Q)</f>
        <v>0</v>
      </c>
      <c r="M528" s="69">
        <f>SUMIF('Executive Pay Breakdown'!S:S,$B528,'Executive Pay Breakdown'!U:U)</f>
        <v>0</v>
      </c>
      <c r="N528" s="69">
        <f>SUMIF('Executive Pay Breakdown'!W:W,$B528,'Executive Pay Breakdown'!Y:Y)</f>
        <v>0</v>
      </c>
      <c r="O528" s="69">
        <f>SUMIF('Executive Pay Breakdown'!AA:AA,$B528,'Executive Pay Breakdown'!AC:AC)</f>
        <v>1455053</v>
      </c>
    </row>
    <row r="529" hidden="1">
      <c r="A529" s="62"/>
      <c r="B529" s="130" t="s">
        <v>639</v>
      </c>
      <c r="C529" s="118" t="s">
        <v>27</v>
      </c>
      <c r="D529" s="118"/>
      <c r="E529" s="90"/>
      <c r="F529" s="88"/>
      <c r="G529" s="118"/>
      <c r="H529" s="120"/>
      <c r="I529" s="89">
        <f>SUMIF('Executive Pay Breakdown'!K:K,$B529,'Executive Pay Breakdown'!M:M)+SUMIF('Executive Pay Breakdown'!O:O,$B529,'Executive Pay Breakdown'!Q:Q)+SUMIF('Executive Pay Breakdown'!S:S,$B529,'Executive Pay Breakdown'!U:U)+SUMIF('Executive Pay Breakdown'!W:W,$B529,'Executive Pay Breakdown'!Y:Y)+SUMIF('Executive Pay Breakdown'!AA:AA,$B529,'Executive Pay Breakdown'!AC:AC)</f>
        <v>2942609</v>
      </c>
      <c r="J529" s="109"/>
      <c r="K529" s="69">
        <f>SUMIF('Executive Pay Breakdown'!K:K,$B529,'Executive Pay Breakdown'!M:M)</f>
        <v>0</v>
      </c>
      <c r="L529" s="69">
        <f>SUMIF('Executive Pay Breakdown'!O:O,$B529,'Executive Pay Breakdown'!Q:Q)</f>
        <v>0</v>
      </c>
      <c r="M529" s="69">
        <f>SUMIF('Executive Pay Breakdown'!S:S,$B529,'Executive Pay Breakdown'!U:U)</f>
        <v>0</v>
      </c>
      <c r="N529" s="69">
        <f>SUMIF('Executive Pay Breakdown'!W:W,$B529,'Executive Pay Breakdown'!Y:Y)</f>
        <v>0</v>
      </c>
      <c r="O529" s="69">
        <f>SUMIF('Executive Pay Breakdown'!AA:AA,$B529,'Executive Pay Breakdown'!AC:AC)</f>
        <v>2942609</v>
      </c>
    </row>
    <row r="530" hidden="1">
      <c r="A530" s="62"/>
      <c r="B530" s="86" t="s">
        <v>640</v>
      </c>
      <c r="C530" s="118" t="s">
        <v>28</v>
      </c>
      <c r="D530" s="118"/>
      <c r="E530" s="90"/>
      <c r="F530" s="88"/>
      <c r="G530" s="118"/>
      <c r="H530" s="120"/>
      <c r="I530" s="89">
        <f>SUMIF('Executive Pay Breakdown'!K:K,$B530,'Executive Pay Breakdown'!M:M)+SUMIF('Executive Pay Breakdown'!O:O,$B530,'Executive Pay Breakdown'!Q:Q)+SUMIF('Executive Pay Breakdown'!S:S,$B530,'Executive Pay Breakdown'!U:U)+SUMIF('Executive Pay Breakdown'!W:W,$B530,'Executive Pay Breakdown'!Y:Y)+SUMIF('Executive Pay Breakdown'!AA:AA,$B530,'Executive Pay Breakdown'!AC:AC)</f>
        <v>2641328</v>
      </c>
      <c r="J530" s="109"/>
      <c r="K530" s="69">
        <f>SUMIF('Executive Pay Breakdown'!K:K,$B530,'Executive Pay Breakdown'!M:M)</f>
        <v>0</v>
      </c>
      <c r="L530" s="69">
        <f>SUMIF('Executive Pay Breakdown'!O:O,$B530,'Executive Pay Breakdown'!Q:Q)</f>
        <v>0</v>
      </c>
      <c r="M530" s="69">
        <f>SUMIF('Executive Pay Breakdown'!S:S,$B530,'Executive Pay Breakdown'!U:U)</f>
        <v>0</v>
      </c>
      <c r="N530" s="69">
        <f>SUMIF('Executive Pay Breakdown'!W:W,$B530,'Executive Pay Breakdown'!Y:Y)</f>
        <v>0</v>
      </c>
      <c r="O530" s="69">
        <f>SUMIF('Executive Pay Breakdown'!AA:AA,$B530,'Executive Pay Breakdown'!AC:AC)</f>
        <v>2641328</v>
      </c>
    </row>
    <row r="531" hidden="1">
      <c r="A531" s="62"/>
      <c r="B531" s="127" t="s">
        <v>641</v>
      </c>
      <c r="C531" s="118" t="s">
        <v>64</v>
      </c>
      <c r="D531" s="118"/>
      <c r="E531" s="90"/>
      <c r="F531" s="88"/>
      <c r="G531" s="118"/>
      <c r="H531" s="120"/>
      <c r="I531" s="89">
        <f>SUMIF('Executive Pay Breakdown'!K:K,$B531,'Executive Pay Breakdown'!M:M)+SUMIF('Executive Pay Breakdown'!O:O,$B531,'Executive Pay Breakdown'!Q:Q)+SUMIF('Executive Pay Breakdown'!S:S,$B531,'Executive Pay Breakdown'!U:U)+SUMIF('Executive Pay Breakdown'!W:W,$B531,'Executive Pay Breakdown'!Y:Y)+SUMIF('Executive Pay Breakdown'!AA:AA,$B531,'Executive Pay Breakdown'!AC:AC)</f>
        <v>3779387</v>
      </c>
      <c r="J531" s="109"/>
      <c r="K531" s="69">
        <f>SUMIF('Executive Pay Breakdown'!K:K,$B531,'Executive Pay Breakdown'!M:M)</f>
        <v>0</v>
      </c>
      <c r="L531" s="69">
        <f>SUMIF('Executive Pay Breakdown'!O:O,$B531,'Executive Pay Breakdown'!Q:Q)</f>
        <v>0</v>
      </c>
      <c r="M531" s="69">
        <f>SUMIF('Executive Pay Breakdown'!S:S,$B531,'Executive Pay Breakdown'!U:U)</f>
        <v>0</v>
      </c>
      <c r="N531" s="69">
        <f>SUMIF('Executive Pay Breakdown'!W:W,$B531,'Executive Pay Breakdown'!Y:Y)</f>
        <v>1963695</v>
      </c>
      <c r="O531" s="69">
        <f>SUMIF('Executive Pay Breakdown'!AA:AA,$B531,'Executive Pay Breakdown'!AC:AC)</f>
        <v>1815692</v>
      </c>
    </row>
    <row r="532" hidden="1">
      <c r="A532" s="62"/>
      <c r="B532" s="127" t="s">
        <v>642</v>
      </c>
      <c r="C532" s="118" t="s">
        <v>60</v>
      </c>
      <c r="D532" s="122"/>
      <c r="E532" s="90"/>
      <c r="F532" s="88"/>
      <c r="G532" s="118"/>
      <c r="H532" s="120"/>
      <c r="I532" s="89">
        <f>SUMIF('Executive Pay Breakdown'!K:K,$B532,'Executive Pay Breakdown'!M:M)+SUMIF('Executive Pay Breakdown'!O:O,$B532,'Executive Pay Breakdown'!Q:Q)+SUMIF('Executive Pay Breakdown'!S:S,$B532,'Executive Pay Breakdown'!U:U)+SUMIF('Executive Pay Breakdown'!W:W,$B532,'Executive Pay Breakdown'!Y:Y)+SUMIF('Executive Pay Breakdown'!AA:AA,$B532,'Executive Pay Breakdown'!AC:AC)</f>
        <v>2420581</v>
      </c>
      <c r="J532" s="109"/>
      <c r="K532" s="69">
        <f>SUMIF('Executive Pay Breakdown'!K:K,$B532,'Executive Pay Breakdown'!M:M)</f>
        <v>2420581</v>
      </c>
      <c r="L532" s="69">
        <f>SUMIF('Executive Pay Breakdown'!O:O,$B532,'Executive Pay Breakdown'!Q:Q)</f>
        <v>0</v>
      </c>
      <c r="M532" s="69">
        <f>SUMIF('Executive Pay Breakdown'!S:S,$B532,'Executive Pay Breakdown'!U:U)</f>
        <v>0</v>
      </c>
      <c r="N532" s="69">
        <f>SUMIF('Executive Pay Breakdown'!W:W,$B532,'Executive Pay Breakdown'!Y:Y)</f>
        <v>0</v>
      </c>
      <c r="O532" s="69">
        <f>SUMIF('Executive Pay Breakdown'!AA:AA,$B532,'Executive Pay Breakdown'!AC:AC)</f>
        <v>0</v>
      </c>
    </row>
    <row r="533" hidden="1">
      <c r="A533" s="62"/>
      <c r="B533" s="127" t="s">
        <v>643</v>
      </c>
      <c r="C533" s="118" t="s">
        <v>30</v>
      </c>
      <c r="D533" s="122"/>
      <c r="E533" s="90"/>
      <c r="F533" s="88"/>
      <c r="G533" s="118"/>
      <c r="H533" s="120"/>
      <c r="I533" s="89">
        <f>SUMIF('Executive Pay Breakdown'!K:K,$B533,'Executive Pay Breakdown'!M:M)+SUMIF('Executive Pay Breakdown'!O:O,$B533,'Executive Pay Breakdown'!Q:Q)+SUMIF('Executive Pay Breakdown'!S:S,$B533,'Executive Pay Breakdown'!U:U)+SUMIF('Executive Pay Breakdown'!W:W,$B533,'Executive Pay Breakdown'!Y:Y)+SUMIF('Executive Pay Breakdown'!AA:AA,$B533,'Executive Pay Breakdown'!AC:AC)</f>
        <v>2487192</v>
      </c>
      <c r="J533" s="109"/>
      <c r="K533" s="69">
        <f>SUMIF('Executive Pay Breakdown'!K:K,$B533,'Executive Pay Breakdown'!M:M)</f>
        <v>2487192</v>
      </c>
      <c r="L533" s="69">
        <f>SUMIF('Executive Pay Breakdown'!O:O,$B533,'Executive Pay Breakdown'!Q:Q)</f>
        <v>0</v>
      </c>
      <c r="M533" s="69">
        <f>SUMIF('Executive Pay Breakdown'!S:S,$B533,'Executive Pay Breakdown'!U:U)</f>
        <v>0</v>
      </c>
      <c r="N533" s="69">
        <f>SUMIF('Executive Pay Breakdown'!W:W,$B533,'Executive Pay Breakdown'!Y:Y)</f>
        <v>0</v>
      </c>
      <c r="O533" s="69">
        <f>SUMIF('Executive Pay Breakdown'!AA:AA,$B533,'Executive Pay Breakdown'!AC:AC)</f>
        <v>0</v>
      </c>
    </row>
    <row r="534" hidden="1">
      <c r="A534" s="62"/>
      <c r="B534" s="145" t="s">
        <v>644</v>
      </c>
      <c r="C534" s="118" t="s">
        <v>31</v>
      </c>
      <c r="D534" s="122"/>
      <c r="E534" s="90"/>
      <c r="F534" s="88"/>
      <c r="G534" s="118"/>
      <c r="H534" s="120"/>
      <c r="I534" s="89">
        <f>SUMIF('Executive Pay Breakdown'!K:K,$B534,'Executive Pay Breakdown'!M:M)+SUMIF('Executive Pay Breakdown'!O:O,$B534,'Executive Pay Breakdown'!Q:Q)+SUMIF('Executive Pay Breakdown'!S:S,$B534,'Executive Pay Breakdown'!U:U)+SUMIF('Executive Pay Breakdown'!W:W,$B534,'Executive Pay Breakdown'!Y:Y)+SUMIF('Executive Pay Breakdown'!AA:AA,$B534,'Executive Pay Breakdown'!AC:AC)</f>
        <v>2878175</v>
      </c>
      <c r="J534" s="109"/>
      <c r="K534" s="69">
        <f>SUMIF('Executive Pay Breakdown'!K:K,$B534,'Executive Pay Breakdown'!M:M)</f>
        <v>2878175</v>
      </c>
      <c r="L534" s="69">
        <f>SUMIF('Executive Pay Breakdown'!O:O,$B534,'Executive Pay Breakdown'!Q:Q)</f>
        <v>0</v>
      </c>
      <c r="M534" s="69">
        <f>SUMIF('Executive Pay Breakdown'!S:S,$B534,'Executive Pay Breakdown'!U:U)</f>
        <v>0</v>
      </c>
      <c r="N534" s="69">
        <f>SUMIF('Executive Pay Breakdown'!W:W,$B534,'Executive Pay Breakdown'!Y:Y)</f>
        <v>0</v>
      </c>
      <c r="O534" s="69">
        <f>SUMIF('Executive Pay Breakdown'!AA:AA,$B534,'Executive Pay Breakdown'!AC:AC)</f>
        <v>0</v>
      </c>
    </row>
    <row r="535" hidden="1">
      <c r="A535" s="62"/>
      <c r="B535" s="127" t="s">
        <v>645</v>
      </c>
      <c r="C535" s="118" t="s">
        <v>30</v>
      </c>
      <c r="D535" s="118"/>
      <c r="E535" s="90"/>
      <c r="F535" s="88"/>
      <c r="G535" s="118"/>
      <c r="H535" s="120"/>
      <c r="I535" s="89">
        <f>SUMIF('Executive Pay Breakdown'!K:K,$B535,'Executive Pay Breakdown'!M:M)+SUMIF('Executive Pay Breakdown'!O:O,$B535,'Executive Pay Breakdown'!Q:Q)+SUMIF('Executive Pay Breakdown'!S:S,$B535,'Executive Pay Breakdown'!U:U)+SUMIF('Executive Pay Breakdown'!W:W,$B535,'Executive Pay Breakdown'!Y:Y)+SUMIF('Executive Pay Breakdown'!AA:AA,$B535,'Executive Pay Breakdown'!AC:AC)</f>
        <v>2466611</v>
      </c>
      <c r="J535" s="109"/>
      <c r="K535" s="69">
        <f>SUMIF('Executive Pay Breakdown'!K:K,$B535,'Executive Pay Breakdown'!M:M)</f>
        <v>0</v>
      </c>
      <c r="L535" s="69">
        <f>SUMIF('Executive Pay Breakdown'!O:O,$B535,'Executive Pay Breakdown'!Q:Q)</f>
        <v>0</v>
      </c>
      <c r="M535" s="69">
        <f>SUMIF('Executive Pay Breakdown'!S:S,$B535,'Executive Pay Breakdown'!U:U)</f>
        <v>0</v>
      </c>
      <c r="N535" s="69">
        <f>SUMIF('Executive Pay Breakdown'!W:W,$B535,'Executive Pay Breakdown'!Y:Y)</f>
        <v>2466611</v>
      </c>
      <c r="O535" s="69">
        <f>SUMIF('Executive Pay Breakdown'!AA:AA,$B535,'Executive Pay Breakdown'!AC:AC)</f>
        <v>0</v>
      </c>
    </row>
    <row r="536" hidden="1">
      <c r="A536" s="81"/>
      <c r="B536" s="133" t="s">
        <v>646</v>
      </c>
      <c r="C536" s="118" t="s">
        <v>52</v>
      </c>
      <c r="D536" s="118"/>
      <c r="E536" s="90"/>
      <c r="F536" s="88"/>
      <c r="G536" s="88"/>
      <c r="H536" s="120"/>
      <c r="I536" s="89">
        <f>SUMIF('Executive Pay Breakdown'!K:K,$B536,'Executive Pay Breakdown'!M:M)+SUMIF('Executive Pay Breakdown'!O:O,$B536,'Executive Pay Breakdown'!Q:Q)+SUMIF('Executive Pay Breakdown'!S:S,$B536,'Executive Pay Breakdown'!U:U)+SUMIF('Executive Pay Breakdown'!W:W,$B536,'Executive Pay Breakdown'!Y:Y)+SUMIF('Executive Pay Breakdown'!AA:AA,$B536,'Executive Pay Breakdown'!AC:AC)</f>
        <v>3574278</v>
      </c>
      <c r="J536" s="109"/>
      <c r="K536" s="69">
        <f>SUMIF('Executive Pay Breakdown'!K:K,$B536,'Executive Pay Breakdown'!M:M)</f>
        <v>0</v>
      </c>
      <c r="L536" s="69">
        <f>SUMIF('Executive Pay Breakdown'!O:O,$B536,'Executive Pay Breakdown'!Q:Q)</f>
        <v>3574278</v>
      </c>
      <c r="M536" s="69">
        <f>SUMIF('Executive Pay Breakdown'!S:S,$B536,'Executive Pay Breakdown'!U:U)</f>
        <v>0</v>
      </c>
      <c r="N536" s="69">
        <f>SUMIF('Executive Pay Breakdown'!W:W,$B536,'Executive Pay Breakdown'!Y:Y)</f>
        <v>0</v>
      </c>
      <c r="O536" s="69">
        <f>SUMIF('Executive Pay Breakdown'!AA:AA,$B536,'Executive Pay Breakdown'!AC:AC)</f>
        <v>0</v>
      </c>
    </row>
    <row r="537" hidden="1">
      <c r="A537" s="62"/>
      <c r="B537" s="127" t="s">
        <v>647</v>
      </c>
      <c r="C537" s="118" t="s">
        <v>60</v>
      </c>
      <c r="D537" s="118"/>
      <c r="E537" s="90"/>
      <c r="F537" s="88"/>
      <c r="G537" s="118"/>
      <c r="H537" s="120"/>
      <c r="I537" s="89">
        <f>SUMIF('Executive Pay Breakdown'!K:K,$B537,'Executive Pay Breakdown'!M:M)+SUMIF('Executive Pay Breakdown'!O:O,$B537,'Executive Pay Breakdown'!Q:Q)+SUMIF('Executive Pay Breakdown'!S:S,$B537,'Executive Pay Breakdown'!U:U)+SUMIF('Executive Pay Breakdown'!W:W,$B537,'Executive Pay Breakdown'!Y:Y)+SUMIF('Executive Pay Breakdown'!AA:AA,$B537,'Executive Pay Breakdown'!AC:AC)</f>
        <v>2321400</v>
      </c>
      <c r="J537" s="109"/>
      <c r="K537" s="69">
        <f>SUMIF('Executive Pay Breakdown'!K:K,$B537,'Executive Pay Breakdown'!M:M)</f>
        <v>0</v>
      </c>
      <c r="L537" s="69">
        <f>SUMIF('Executive Pay Breakdown'!O:O,$B537,'Executive Pay Breakdown'!Q:Q)</f>
        <v>0</v>
      </c>
      <c r="M537" s="69">
        <f>SUMIF('Executive Pay Breakdown'!S:S,$B537,'Executive Pay Breakdown'!U:U)</f>
        <v>0</v>
      </c>
      <c r="N537" s="69">
        <f>SUMIF('Executive Pay Breakdown'!W:W,$B537,'Executive Pay Breakdown'!Y:Y)</f>
        <v>0</v>
      </c>
      <c r="O537" s="69">
        <f>SUMIF('Executive Pay Breakdown'!AA:AA,$B537,'Executive Pay Breakdown'!AC:AC)</f>
        <v>2321400</v>
      </c>
    </row>
    <row r="538" hidden="1">
      <c r="A538" s="81"/>
      <c r="B538" s="87" t="s">
        <v>648</v>
      </c>
      <c r="C538" s="118" t="s">
        <v>52</v>
      </c>
      <c r="D538" s="122"/>
      <c r="E538" s="90"/>
      <c r="F538" s="88"/>
      <c r="G538" s="118"/>
      <c r="H538" s="120"/>
      <c r="I538" s="89">
        <f>SUMIF('Executive Pay Breakdown'!K:K,$B538,'Executive Pay Breakdown'!M:M)+SUMIF('Executive Pay Breakdown'!O:O,$B538,'Executive Pay Breakdown'!Q:Q)+SUMIF('Executive Pay Breakdown'!S:S,$B538,'Executive Pay Breakdown'!U:U)+SUMIF('Executive Pay Breakdown'!W:W,$B538,'Executive Pay Breakdown'!Y:Y)+SUMIF('Executive Pay Breakdown'!AA:AA,$B538,'Executive Pay Breakdown'!AC:AC)</f>
        <v>3522341</v>
      </c>
      <c r="J538" s="109"/>
      <c r="K538" s="69">
        <f>SUMIF('Executive Pay Breakdown'!K:K,$B538,'Executive Pay Breakdown'!M:M)</f>
        <v>3522341</v>
      </c>
      <c r="L538" s="69">
        <f>SUMIF('Executive Pay Breakdown'!O:O,$B538,'Executive Pay Breakdown'!Q:Q)</f>
        <v>0</v>
      </c>
      <c r="M538" s="69">
        <f>SUMIF('Executive Pay Breakdown'!S:S,$B538,'Executive Pay Breakdown'!U:U)</f>
        <v>0</v>
      </c>
      <c r="N538" s="69">
        <f>SUMIF('Executive Pay Breakdown'!W:W,$B538,'Executive Pay Breakdown'!Y:Y)</f>
        <v>0</v>
      </c>
      <c r="O538" s="69">
        <f>SUMIF('Executive Pay Breakdown'!AA:AA,$B538,'Executive Pay Breakdown'!AC:AC)</f>
        <v>0</v>
      </c>
    </row>
    <row r="539" hidden="1">
      <c r="A539" s="62"/>
      <c r="B539" s="130" t="s">
        <v>649</v>
      </c>
      <c r="C539" s="118" t="s">
        <v>25</v>
      </c>
      <c r="D539" s="122"/>
      <c r="E539" s="90"/>
      <c r="F539" s="88"/>
      <c r="G539" s="118"/>
      <c r="H539" s="120"/>
      <c r="I539" s="89">
        <f>SUMIF('Executive Pay Breakdown'!K:K,$B539,'Executive Pay Breakdown'!M:M)+SUMIF('Executive Pay Breakdown'!O:O,$B539,'Executive Pay Breakdown'!Q:Q)+SUMIF('Executive Pay Breakdown'!S:S,$B539,'Executive Pay Breakdown'!U:U)+SUMIF('Executive Pay Breakdown'!W:W,$B539,'Executive Pay Breakdown'!Y:Y)+SUMIF('Executive Pay Breakdown'!AA:AA,$B539,'Executive Pay Breakdown'!AC:AC)</f>
        <v>2927616</v>
      </c>
      <c r="J539" s="109"/>
      <c r="K539" s="69">
        <f>SUMIF('Executive Pay Breakdown'!K:K,$B539,'Executive Pay Breakdown'!M:M)</f>
        <v>2927616</v>
      </c>
      <c r="L539" s="69">
        <f>SUMIF('Executive Pay Breakdown'!O:O,$B539,'Executive Pay Breakdown'!Q:Q)</f>
        <v>0</v>
      </c>
      <c r="M539" s="69">
        <f>SUMIF('Executive Pay Breakdown'!S:S,$B539,'Executive Pay Breakdown'!U:U)</f>
        <v>0</v>
      </c>
      <c r="N539" s="69">
        <f>SUMIF('Executive Pay Breakdown'!W:W,$B539,'Executive Pay Breakdown'!Y:Y)</f>
        <v>0</v>
      </c>
      <c r="O539" s="69">
        <f>SUMIF('Executive Pay Breakdown'!AA:AA,$B539,'Executive Pay Breakdown'!AC:AC)</f>
        <v>0</v>
      </c>
    </row>
    <row r="540" hidden="1">
      <c r="A540" s="71"/>
      <c r="B540" s="124" t="s">
        <v>650</v>
      </c>
      <c r="C540" s="118" t="s">
        <v>58</v>
      </c>
      <c r="D540" s="122"/>
      <c r="E540" s="90"/>
      <c r="F540" s="88"/>
      <c r="G540" s="118"/>
      <c r="H540" s="120"/>
      <c r="I540" s="89">
        <f>SUMIF('Executive Pay Breakdown'!K:K,$B540,'Executive Pay Breakdown'!M:M)+SUMIF('Executive Pay Breakdown'!O:O,$B540,'Executive Pay Breakdown'!Q:Q)+SUMIF('Executive Pay Breakdown'!S:S,$B540,'Executive Pay Breakdown'!U:U)+SUMIF('Executive Pay Breakdown'!W:W,$B540,'Executive Pay Breakdown'!Y:Y)+SUMIF('Executive Pay Breakdown'!AA:AA,$B540,'Executive Pay Breakdown'!AC:AC)</f>
        <v>2790224</v>
      </c>
      <c r="J540" s="109"/>
      <c r="K540" s="69">
        <f>SUMIF('Executive Pay Breakdown'!K:K,$B540,'Executive Pay Breakdown'!M:M)</f>
        <v>2790224</v>
      </c>
      <c r="L540" s="69">
        <f>SUMIF('Executive Pay Breakdown'!O:O,$B540,'Executive Pay Breakdown'!Q:Q)</f>
        <v>0</v>
      </c>
      <c r="M540" s="69">
        <f>SUMIF('Executive Pay Breakdown'!S:S,$B540,'Executive Pay Breakdown'!U:U)</f>
        <v>0</v>
      </c>
      <c r="N540" s="69">
        <f>SUMIF('Executive Pay Breakdown'!W:W,$B540,'Executive Pay Breakdown'!Y:Y)</f>
        <v>0</v>
      </c>
      <c r="O540" s="69">
        <f>SUMIF('Executive Pay Breakdown'!AA:AA,$B540,'Executive Pay Breakdown'!AC:AC)</f>
        <v>0</v>
      </c>
    </row>
    <row r="541" hidden="1">
      <c r="A541" s="71"/>
      <c r="B541" s="124" t="s">
        <v>651</v>
      </c>
      <c r="C541" s="118" t="s">
        <v>58</v>
      </c>
      <c r="D541" s="122"/>
      <c r="E541" s="90"/>
      <c r="F541" s="88"/>
      <c r="G541" s="118"/>
      <c r="H541" s="120"/>
      <c r="I541" s="89">
        <f>SUMIF('Executive Pay Breakdown'!K:K,$B541,'Executive Pay Breakdown'!M:M)+SUMIF('Executive Pay Breakdown'!O:O,$B541,'Executive Pay Breakdown'!Q:Q)+SUMIF('Executive Pay Breakdown'!S:S,$B541,'Executive Pay Breakdown'!U:U)+SUMIF('Executive Pay Breakdown'!W:W,$B541,'Executive Pay Breakdown'!Y:Y)+SUMIF('Executive Pay Breakdown'!AA:AA,$B541,'Executive Pay Breakdown'!AC:AC)</f>
        <v>2714397</v>
      </c>
      <c r="J541" s="109"/>
      <c r="K541" s="69">
        <f>SUMIF('Executive Pay Breakdown'!K:K,$B541,'Executive Pay Breakdown'!M:M)</f>
        <v>2714397</v>
      </c>
      <c r="L541" s="69">
        <f>SUMIF('Executive Pay Breakdown'!O:O,$B541,'Executive Pay Breakdown'!Q:Q)</f>
        <v>0</v>
      </c>
      <c r="M541" s="69">
        <f>SUMIF('Executive Pay Breakdown'!S:S,$B541,'Executive Pay Breakdown'!U:U)</f>
        <v>0</v>
      </c>
      <c r="N541" s="69">
        <f>SUMIF('Executive Pay Breakdown'!W:W,$B541,'Executive Pay Breakdown'!Y:Y)</f>
        <v>0</v>
      </c>
      <c r="O541" s="69">
        <f>SUMIF('Executive Pay Breakdown'!AA:AA,$B541,'Executive Pay Breakdown'!AC:AC)</f>
        <v>0</v>
      </c>
    </row>
    <row r="542" hidden="1">
      <c r="A542" s="62"/>
      <c r="B542" s="86" t="s">
        <v>652</v>
      </c>
      <c r="C542" s="118" t="s">
        <v>42</v>
      </c>
      <c r="D542" s="122"/>
      <c r="E542" s="90"/>
      <c r="F542" s="88"/>
      <c r="G542" s="118"/>
      <c r="H542" s="120"/>
      <c r="I542" s="89">
        <f>SUMIF('Executive Pay Breakdown'!K:K,$B542,'Executive Pay Breakdown'!M:M)+SUMIF('Executive Pay Breakdown'!O:O,$B542,'Executive Pay Breakdown'!Q:Q)+SUMIF('Executive Pay Breakdown'!S:S,$B542,'Executive Pay Breakdown'!U:U)+SUMIF('Executive Pay Breakdown'!W:W,$B542,'Executive Pay Breakdown'!Y:Y)+SUMIF('Executive Pay Breakdown'!AA:AA,$B542,'Executive Pay Breakdown'!AC:AC)</f>
        <v>1539374</v>
      </c>
      <c r="J542" s="109"/>
      <c r="K542" s="69">
        <f>SUMIF('Executive Pay Breakdown'!K:K,$B542,'Executive Pay Breakdown'!M:M)</f>
        <v>1539374</v>
      </c>
      <c r="L542" s="69">
        <f>SUMIF('Executive Pay Breakdown'!O:O,$B542,'Executive Pay Breakdown'!Q:Q)</f>
        <v>0</v>
      </c>
      <c r="M542" s="69">
        <f>SUMIF('Executive Pay Breakdown'!S:S,$B542,'Executive Pay Breakdown'!U:U)</f>
        <v>0</v>
      </c>
      <c r="N542" s="69">
        <f>SUMIF('Executive Pay Breakdown'!W:W,$B542,'Executive Pay Breakdown'!Y:Y)</f>
        <v>0</v>
      </c>
      <c r="O542" s="69">
        <f>SUMIF('Executive Pay Breakdown'!AA:AA,$B542,'Executive Pay Breakdown'!AC:AC)</f>
        <v>0</v>
      </c>
    </row>
    <row r="543" hidden="1">
      <c r="A543" s="62"/>
      <c r="B543" s="145" t="s">
        <v>653</v>
      </c>
      <c r="C543" s="118" t="s">
        <v>31</v>
      </c>
      <c r="D543" s="122"/>
      <c r="E543" s="90"/>
      <c r="F543" s="88"/>
      <c r="G543" s="118"/>
      <c r="H543" s="120"/>
      <c r="I543" s="89">
        <f>SUMIF('Executive Pay Breakdown'!K:K,$B543,'Executive Pay Breakdown'!M:M)+SUMIF('Executive Pay Breakdown'!O:O,$B543,'Executive Pay Breakdown'!Q:Q)+SUMIF('Executive Pay Breakdown'!S:S,$B543,'Executive Pay Breakdown'!U:U)+SUMIF('Executive Pay Breakdown'!W:W,$B543,'Executive Pay Breakdown'!Y:Y)+SUMIF('Executive Pay Breakdown'!AA:AA,$B543,'Executive Pay Breakdown'!AC:AC)</f>
        <v>2376562</v>
      </c>
      <c r="J543" s="109"/>
      <c r="K543" s="69">
        <f>SUMIF('Executive Pay Breakdown'!K:K,$B543,'Executive Pay Breakdown'!M:M)</f>
        <v>2376562</v>
      </c>
      <c r="L543" s="69">
        <f>SUMIF('Executive Pay Breakdown'!O:O,$B543,'Executive Pay Breakdown'!Q:Q)</f>
        <v>0</v>
      </c>
      <c r="M543" s="69">
        <f>SUMIF('Executive Pay Breakdown'!S:S,$B543,'Executive Pay Breakdown'!U:U)</f>
        <v>0</v>
      </c>
      <c r="N543" s="69">
        <f>SUMIF('Executive Pay Breakdown'!W:W,$B543,'Executive Pay Breakdown'!Y:Y)</f>
        <v>0</v>
      </c>
      <c r="O543" s="69">
        <f>SUMIF('Executive Pay Breakdown'!AA:AA,$B543,'Executive Pay Breakdown'!AC:AC)</f>
        <v>0</v>
      </c>
    </row>
    <row r="544" hidden="1">
      <c r="A544" s="81"/>
      <c r="B544" s="133" t="s">
        <v>654</v>
      </c>
      <c r="C544" s="118" t="s">
        <v>52</v>
      </c>
      <c r="D544" s="122"/>
      <c r="E544" s="90"/>
      <c r="F544" s="88"/>
      <c r="G544" s="118"/>
      <c r="H544" s="120"/>
      <c r="I544" s="89">
        <f>SUMIF('Executive Pay Breakdown'!K:K,$B544,'Executive Pay Breakdown'!M:M)+SUMIF('Executive Pay Breakdown'!O:O,$B544,'Executive Pay Breakdown'!Q:Q)+SUMIF('Executive Pay Breakdown'!S:S,$B544,'Executive Pay Breakdown'!U:U)+SUMIF('Executive Pay Breakdown'!W:W,$B544,'Executive Pay Breakdown'!Y:Y)+SUMIF('Executive Pay Breakdown'!AA:AA,$B544,'Executive Pay Breakdown'!AC:AC)</f>
        <v>2939082</v>
      </c>
      <c r="J544" s="109"/>
      <c r="K544" s="69">
        <f>SUMIF('Executive Pay Breakdown'!K:K,$B544,'Executive Pay Breakdown'!M:M)</f>
        <v>2939082</v>
      </c>
      <c r="L544" s="69">
        <f>SUMIF('Executive Pay Breakdown'!O:O,$B544,'Executive Pay Breakdown'!Q:Q)</f>
        <v>0</v>
      </c>
      <c r="M544" s="69">
        <f>SUMIF('Executive Pay Breakdown'!S:S,$B544,'Executive Pay Breakdown'!U:U)</f>
        <v>0</v>
      </c>
      <c r="N544" s="69">
        <f>SUMIF('Executive Pay Breakdown'!W:W,$B544,'Executive Pay Breakdown'!Y:Y)</f>
        <v>0</v>
      </c>
      <c r="O544" s="69">
        <f>SUMIF('Executive Pay Breakdown'!AA:AA,$B544,'Executive Pay Breakdown'!AC:AC)</f>
        <v>0</v>
      </c>
    </row>
    <row r="545" hidden="1">
      <c r="A545" s="62"/>
      <c r="B545" s="130" t="s">
        <v>655</v>
      </c>
      <c r="C545" s="118" t="s">
        <v>25</v>
      </c>
      <c r="D545" s="118"/>
      <c r="E545" s="90"/>
      <c r="F545" s="88"/>
      <c r="G545" s="118"/>
      <c r="H545" s="120"/>
      <c r="I545" s="89">
        <f>SUMIF('Executive Pay Breakdown'!K:K,$B545,'Executive Pay Breakdown'!M:M)+SUMIF('Executive Pay Breakdown'!O:O,$B545,'Executive Pay Breakdown'!Q:Q)+SUMIF('Executive Pay Breakdown'!S:S,$B545,'Executive Pay Breakdown'!U:U)+SUMIF('Executive Pay Breakdown'!W:W,$B545,'Executive Pay Breakdown'!Y:Y)+SUMIF('Executive Pay Breakdown'!AA:AA,$B545,'Executive Pay Breakdown'!AC:AC)</f>
        <v>2557327</v>
      </c>
      <c r="J545" s="109"/>
      <c r="K545" s="69">
        <f>SUMIF('Executive Pay Breakdown'!K:K,$B545,'Executive Pay Breakdown'!M:M)</f>
        <v>0</v>
      </c>
      <c r="L545" s="69">
        <f>SUMIF('Executive Pay Breakdown'!O:O,$B545,'Executive Pay Breakdown'!Q:Q)</f>
        <v>0</v>
      </c>
      <c r="M545" s="69">
        <f>SUMIF('Executive Pay Breakdown'!S:S,$B545,'Executive Pay Breakdown'!U:U)</f>
        <v>0</v>
      </c>
      <c r="N545" s="69">
        <f>SUMIF('Executive Pay Breakdown'!W:W,$B545,'Executive Pay Breakdown'!Y:Y)</f>
        <v>0</v>
      </c>
      <c r="O545" s="69">
        <f>SUMIF('Executive Pay Breakdown'!AA:AA,$B545,'Executive Pay Breakdown'!AC:AC)</f>
        <v>2557327</v>
      </c>
    </row>
    <row r="546" hidden="1">
      <c r="A546" s="62"/>
      <c r="B546" s="127" t="s">
        <v>656</v>
      </c>
      <c r="C546" s="118" t="s">
        <v>17</v>
      </c>
      <c r="D546" s="118"/>
      <c r="E546" s="90"/>
      <c r="F546" s="88"/>
      <c r="G546" s="118"/>
      <c r="H546" s="120"/>
      <c r="I546" s="89">
        <f>SUMIF('Executive Pay Breakdown'!K:K,$B546,'Executive Pay Breakdown'!M:M)+SUMIF('Executive Pay Breakdown'!O:O,$B546,'Executive Pay Breakdown'!Q:Q)+SUMIF('Executive Pay Breakdown'!S:S,$B546,'Executive Pay Breakdown'!U:U)+SUMIF('Executive Pay Breakdown'!W:W,$B546,'Executive Pay Breakdown'!Y:Y)+SUMIF('Executive Pay Breakdown'!AA:AA,$B546,'Executive Pay Breakdown'!AC:AC)</f>
        <v>1018673</v>
      </c>
      <c r="J546" s="109"/>
      <c r="K546" s="69">
        <f>SUMIF('Executive Pay Breakdown'!K:K,$B546,'Executive Pay Breakdown'!M:M)</f>
        <v>0</v>
      </c>
      <c r="L546" s="69">
        <f>SUMIF('Executive Pay Breakdown'!O:O,$B546,'Executive Pay Breakdown'!Q:Q)</f>
        <v>0</v>
      </c>
      <c r="M546" s="69">
        <f>SUMIF('Executive Pay Breakdown'!S:S,$B546,'Executive Pay Breakdown'!U:U)</f>
        <v>0</v>
      </c>
      <c r="N546" s="69">
        <f>SUMIF('Executive Pay Breakdown'!W:W,$B546,'Executive Pay Breakdown'!Y:Y)</f>
        <v>1018673</v>
      </c>
      <c r="O546" s="69">
        <f>SUMIF('Executive Pay Breakdown'!AA:AA,$B546,'Executive Pay Breakdown'!AC:AC)</f>
        <v>0</v>
      </c>
    </row>
    <row r="547" hidden="1">
      <c r="A547" s="62"/>
      <c r="B547" s="86" t="s">
        <v>657</v>
      </c>
      <c r="C547" s="118" t="s">
        <v>38</v>
      </c>
      <c r="D547" s="122"/>
      <c r="E547" s="90"/>
      <c r="F547" s="88"/>
      <c r="G547" s="118"/>
      <c r="H547" s="120"/>
      <c r="I547" s="89">
        <f>SUMIF('Executive Pay Breakdown'!K:K,$B547,'Executive Pay Breakdown'!M:M)+SUMIF('Executive Pay Breakdown'!O:O,$B547,'Executive Pay Breakdown'!Q:Q)+SUMIF('Executive Pay Breakdown'!S:S,$B547,'Executive Pay Breakdown'!U:U)+SUMIF('Executive Pay Breakdown'!W:W,$B547,'Executive Pay Breakdown'!Y:Y)+SUMIF('Executive Pay Breakdown'!AA:AA,$B547,'Executive Pay Breakdown'!AC:AC)</f>
        <v>1940679</v>
      </c>
      <c r="J547" s="109"/>
      <c r="K547" s="69">
        <f>SUMIF('Executive Pay Breakdown'!K:K,$B547,'Executive Pay Breakdown'!M:M)</f>
        <v>1940679</v>
      </c>
      <c r="L547" s="69">
        <f>SUMIF('Executive Pay Breakdown'!O:O,$B547,'Executive Pay Breakdown'!Q:Q)</f>
        <v>0</v>
      </c>
      <c r="M547" s="69">
        <f>SUMIF('Executive Pay Breakdown'!S:S,$B547,'Executive Pay Breakdown'!U:U)</f>
        <v>0</v>
      </c>
      <c r="N547" s="69">
        <f>SUMIF('Executive Pay Breakdown'!W:W,$B547,'Executive Pay Breakdown'!Y:Y)</f>
        <v>0</v>
      </c>
      <c r="O547" s="69">
        <f>SUMIF('Executive Pay Breakdown'!AA:AA,$B547,'Executive Pay Breakdown'!AC:AC)</f>
        <v>0</v>
      </c>
    </row>
    <row r="548" hidden="1">
      <c r="A548" s="62"/>
      <c r="B548" s="130" t="s">
        <v>658</v>
      </c>
      <c r="C548" s="118" t="s">
        <v>22</v>
      </c>
      <c r="D548" s="122"/>
      <c r="E548" s="90"/>
      <c r="F548" s="88"/>
      <c r="G548" s="118"/>
      <c r="H548" s="120"/>
      <c r="I548" s="89">
        <f>SUMIF('Executive Pay Breakdown'!K:K,$B548,'Executive Pay Breakdown'!M:M)+SUMIF('Executive Pay Breakdown'!O:O,$B548,'Executive Pay Breakdown'!Q:Q)+SUMIF('Executive Pay Breakdown'!S:S,$B548,'Executive Pay Breakdown'!U:U)+SUMIF('Executive Pay Breakdown'!W:W,$B548,'Executive Pay Breakdown'!Y:Y)+SUMIF('Executive Pay Breakdown'!AA:AA,$B548,'Executive Pay Breakdown'!AC:AC)</f>
        <v>1871448</v>
      </c>
      <c r="J548" s="109"/>
      <c r="K548" s="69">
        <f>SUMIF('Executive Pay Breakdown'!K:K,$B548,'Executive Pay Breakdown'!M:M)</f>
        <v>1871448</v>
      </c>
      <c r="L548" s="69">
        <f>SUMIF('Executive Pay Breakdown'!O:O,$B548,'Executive Pay Breakdown'!Q:Q)</f>
        <v>0</v>
      </c>
      <c r="M548" s="69">
        <f>SUMIF('Executive Pay Breakdown'!S:S,$B548,'Executive Pay Breakdown'!U:U)</f>
        <v>0</v>
      </c>
      <c r="N548" s="69">
        <f>SUMIF('Executive Pay Breakdown'!W:W,$B548,'Executive Pay Breakdown'!Y:Y)</f>
        <v>0</v>
      </c>
      <c r="O548" s="69">
        <f>SUMIF('Executive Pay Breakdown'!AA:AA,$B548,'Executive Pay Breakdown'!AC:AC)</f>
        <v>0</v>
      </c>
    </row>
    <row r="549" hidden="1">
      <c r="A549" s="81"/>
      <c r="B549" s="137" t="s">
        <v>659</v>
      </c>
      <c r="C549" s="118" t="str">
        <f t="array" ref="C549">INDEX('Executive Pay Breakdown'!B:B,MATCH(B549,'Executive Pay Breakdown'!AA:AA,0))</f>
        <v>Reinsurance Group of America</v>
      </c>
      <c r="D549" s="122"/>
      <c r="E549" s="90"/>
      <c r="F549" s="88"/>
      <c r="G549" s="118"/>
      <c r="H549" s="120"/>
      <c r="I549" s="89">
        <f>SUMIF('Executive Pay Breakdown'!K:K,$B549,'Executive Pay Breakdown'!M:M)+SUMIF('Executive Pay Breakdown'!O:O,$B549,'Executive Pay Breakdown'!Q:Q)+SUMIF('Executive Pay Breakdown'!S:S,$B549,'Executive Pay Breakdown'!U:U)+SUMIF('Executive Pay Breakdown'!W:W,$B549,'Executive Pay Breakdown'!Y:Y)+SUMIF('Executive Pay Breakdown'!AA:AA,$B549,'Executive Pay Breakdown'!AC:AC)</f>
        <v>1740674</v>
      </c>
      <c r="J549" s="109"/>
      <c r="K549" s="69">
        <f>SUMIF('Executive Pay Breakdown'!K:K,$B549,'Executive Pay Breakdown'!M:M)</f>
        <v>0</v>
      </c>
      <c r="L549" s="69">
        <f>SUMIF('Executive Pay Breakdown'!O:O,$B549,'Executive Pay Breakdown'!Q:Q)</f>
        <v>0</v>
      </c>
      <c r="M549" s="69">
        <f>SUMIF('Executive Pay Breakdown'!S:S,$B549,'Executive Pay Breakdown'!U:U)</f>
        <v>0</v>
      </c>
      <c r="N549" s="69">
        <f>SUMIF('Executive Pay Breakdown'!W:W,$B549,'Executive Pay Breakdown'!Y:Y)</f>
        <v>0</v>
      </c>
      <c r="O549" s="69">
        <f>SUMIF('Executive Pay Breakdown'!AA:AA,$B549,'Executive Pay Breakdown'!AC:AC)</f>
        <v>1740674</v>
      </c>
    </row>
    <row r="550" hidden="1">
      <c r="A550" s="62"/>
      <c r="B550" s="86" t="s">
        <v>660</v>
      </c>
      <c r="C550" s="118" t="s">
        <v>38</v>
      </c>
      <c r="D550" s="118"/>
      <c r="E550" s="90"/>
      <c r="F550" s="88"/>
      <c r="G550" s="118"/>
      <c r="H550" s="120"/>
      <c r="I550" s="89">
        <f>SUMIF('Executive Pay Breakdown'!K:K,$B550,'Executive Pay Breakdown'!M:M)+SUMIF('Executive Pay Breakdown'!O:O,$B550,'Executive Pay Breakdown'!Q:Q)+SUMIF('Executive Pay Breakdown'!S:S,$B550,'Executive Pay Breakdown'!U:U)+SUMIF('Executive Pay Breakdown'!W:W,$B550,'Executive Pay Breakdown'!Y:Y)+SUMIF('Executive Pay Breakdown'!AA:AA,$B550,'Executive Pay Breakdown'!AC:AC)</f>
        <v>1824975</v>
      </c>
      <c r="J550" s="109"/>
      <c r="K550" s="69">
        <f>SUMIF('Executive Pay Breakdown'!K:K,$B550,'Executive Pay Breakdown'!M:M)</f>
        <v>0</v>
      </c>
      <c r="L550" s="69">
        <f>SUMIF('Executive Pay Breakdown'!O:O,$B550,'Executive Pay Breakdown'!Q:Q)</f>
        <v>0</v>
      </c>
      <c r="M550" s="69">
        <f>SUMIF('Executive Pay Breakdown'!S:S,$B550,'Executive Pay Breakdown'!U:U)</f>
        <v>1824975</v>
      </c>
      <c r="N550" s="69">
        <f>SUMIF('Executive Pay Breakdown'!W:W,$B550,'Executive Pay Breakdown'!Y:Y)</f>
        <v>0</v>
      </c>
      <c r="O550" s="69">
        <f>SUMIF('Executive Pay Breakdown'!AA:AA,$B550,'Executive Pay Breakdown'!AC:AC)</f>
        <v>0</v>
      </c>
    </row>
    <row r="551" hidden="1">
      <c r="A551" s="62"/>
      <c r="B551" s="127" t="s">
        <v>661</v>
      </c>
      <c r="C551" s="118" t="s">
        <v>34</v>
      </c>
      <c r="D551" s="122"/>
      <c r="E551" s="90"/>
      <c r="F551" s="88"/>
      <c r="G551" s="118"/>
      <c r="H551" s="120"/>
      <c r="I551" s="89">
        <f>SUMIF('Executive Pay Breakdown'!K:K,$B551,'Executive Pay Breakdown'!M:M)+SUMIF('Executive Pay Breakdown'!O:O,$B551,'Executive Pay Breakdown'!Q:Q)+SUMIF('Executive Pay Breakdown'!S:S,$B551,'Executive Pay Breakdown'!U:U)+SUMIF('Executive Pay Breakdown'!W:W,$B551,'Executive Pay Breakdown'!Y:Y)+SUMIF('Executive Pay Breakdown'!AA:AA,$B551,'Executive Pay Breakdown'!AC:AC)</f>
        <v>1929029</v>
      </c>
      <c r="J551" s="109"/>
      <c r="K551" s="69">
        <f>SUMIF('Executive Pay Breakdown'!K:K,$B551,'Executive Pay Breakdown'!M:M)</f>
        <v>1929029</v>
      </c>
      <c r="L551" s="69">
        <f>SUMIF('Executive Pay Breakdown'!O:O,$B551,'Executive Pay Breakdown'!Q:Q)</f>
        <v>0</v>
      </c>
      <c r="M551" s="69">
        <f>SUMIF('Executive Pay Breakdown'!S:S,$B551,'Executive Pay Breakdown'!U:U)</f>
        <v>0</v>
      </c>
      <c r="N551" s="69">
        <f>SUMIF('Executive Pay Breakdown'!W:W,$B551,'Executive Pay Breakdown'!Y:Y)</f>
        <v>0</v>
      </c>
      <c r="O551" s="69">
        <f>SUMIF('Executive Pay Breakdown'!AA:AA,$B551,'Executive Pay Breakdown'!AC:AC)</f>
        <v>0</v>
      </c>
    </row>
    <row r="552" hidden="1">
      <c r="A552" s="62"/>
      <c r="B552" s="86" t="s">
        <v>662</v>
      </c>
      <c r="C552" s="118" t="s">
        <v>67</v>
      </c>
      <c r="D552" s="118"/>
      <c r="E552" s="90"/>
      <c r="F552" s="88"/>
      <c r="G552" s="118"/>
      <c r="H552" s="120"/>
      <c r="I552" s="89">
        <f>SUMIF('Executive Pay Breakdown'!K:K,$B552,'Executive Pay Breakdown'!M:M)+SUMIF('Executive Pay Breakdown'!O:O,$B552,'Executive Pay Breakdown'!Q:Q)+SUMIF('Executive Pay Breakdown'!S:S,$B552,'Executive Pay Breakdown'!U:U)+SUMIF('Executive Pay Breakdown'!W:W,$B552,'Executive Pay Breakdown'!Y:Y)+SUMIF('Executive Pay Breakdown'!AA:AA,$B552,'Executive Pay Breakdown'!AC:AC)</f>
        <v>1261668</v>
      </c>
      <c r="J552" s="109"/>
      <c r="K552" s="69">
        <f>SUMIF('Executive Pay Breakdown'!K:K,$B552,'Executive Pay Breakdown'!M:M)</f>
        <v>0</v>
      </c>
      <c r="L552" s="69">
        <f>SUMIF('Executive Pay Breakdown'!O:O,$B552,'Executive Pay Breakdown'!Q:Q)</f>
        <v>0</v>
      </c>
      <c r="M552" s="69">
        <f>SUMIF('Executive Pay Breakdown'!S:S,$B552,'Executive Pay Breakdown'!U:U)</f>
        <v>1261668</v>
      </c>
      <c r="N552" s="69">
        <f>SUMIF('Executive Pay Breakdown'!W:W,$B552,'Executive Pay Breakdown'!Y:Y)</f>
        <v>0</v>
      </c>
      <c r="O552" s="69">
        <f>SUMIF('Executive Pay Breakdown'!AA:AA,$B552,'Executive Pay Breakdown'!AC:AC)</f>
        <v>0</v>
      </c>
    </row>
    <row r="553" hidden="1">
      <c r="A553" s="62"/>
      <c r="B553" s="86" t="s">
        <v>663</v>
      </c>
      <c r="C553" s="117" t="s">
        <v>61</v>
      </c>
      <c r="D553" s="118"/>
      <c r="E553" s="90"/>
      <c r="F553" s="88"/>
      <c r="G553" s="118"/>
      <c r="H553" s="120"/>
      <c r="I553" s="89">
        <f>SUMIF('Executive Pay Breakdown'!K:K,$B553,'Executive Pay Breakdown'!M:M)+SUMIF('Executive Pay Breakdown'!O:O,$B553,'Executive Pay Breakdown'!Q:Q)+SUMIF('Executive Pay Breakdown'!S:S,$B553,'Executive Pay Breakdown'!U:U)+SUMIF('Executive Pay Breakdown'!W:W,$B553,'Executive Pay Breakdown'!Y:Y)+SUMIF('Executive Pay Breakdown'!AA:AA,$B553,'Executive Pay Breakdown'!AC:AC)</f>
        <v>3197857</v>
      </c>
      <c r="J553" s="109"/>
      <c r="K553" s="69">
        <f>SUMIF('Executive Pay Breakdown'!K:K,$B553,'Executive Pay Breakdown'!M:M)</f>
        <v>0</v>
      </c>
      <c r="L553" s="69">
        <f>SUMIF('Executive Pay Breakdown'!O:O,$B553,'Executive Pay Breakdown'!Q:Q)</f>
        <v>0</v>
      </c>
      <c r="M553" s="69">
        <f>SUMIF('Executive Pay Breakdown'!S:S,$B553,'Executive Pay Breakdown'!U:U)</f>
        <v>0</v>
      </c>
      <c r="N553" s="69">
        <f>SUMIF('Executive Pay Breakdown'!W:W,$B553,'Executive Pay Breakdown'!Y:Y)</f>
        <v>3197857</v>
      </c>
      <c r="O553" s="69">
        <f>SUMIF('Executive Pay Breakdown'!AA:AA,$B553,'Executive Pay Breakdown'!AC:AC)</f>
        <v>0</v>
      </c>
    </row>
    <row r="554" hidden="1">
      <c r="A554" s="62"/>
      <c r="B554" s="86" t="s">
        <v>664</v>
      </c>
      <c r="C554" s="118" t="s">
        <v>67</v>
      </c>
      <c r="D554" s="118"/>
      <c r="E554" s="90"/>
      <c r="F554" s="88"/>
      <c r="G554" s="118"/>
      <c r="H554" s="120"/>
      <c r="I554" s="89">
        <f>SUMIF('Executive Pay Breakdown'!K:K,$B554,'Executive Pay Breakdown'!M:M)+SUMIF('Executive Pay Breakdown'!O:O,$B554,'Executive Pay Breakdown'!Q:Q)+SUMIF('Executive Pay Breakdown'!S:S,$B554,'Executive Pay Breakdown'!U:U)+SUMIF('Executive Pay Breakdown'!W:W,$B554,'Executive Pay Breakdown'!Y:Y)+SUMIF('Executive Pay Breakdown'!AA:AA,$B554,'Executive Pay Breakdown'!AC:AC)</f>
        <v>1209299</v>
      </c>
      <c r="J554" s="109"/>
      <c r="K554" s="69">
        <f>SUMIF('Executive Pay Breakdown'!K:K,$B554,'Executive Pay Breakdown'!M:M)</f>
        <v>0</v>
      </c>
      <c r="L554" s="69">
        <f>SUMIF('Executive Pay Breakdown'!O:O,$B554,'Executive Pay Breakdown'!Q:Q)</f>
        <v>0</v>
      </c>
      <c r="M554" s="69">
        <f>SUMIF('Executive Pay Breakdown'!S:S,$B554,'Executive Pay Breakdown'!U:U)</f>
        <v>1209299</v>
      </c>
      <c r="N554" s="69">
        <f>SUMIF('Executive Pay Breakdown'!W:W,$B554,'Executive Pay Breakdown'!Y:Y)</f>
        <v>0</v>
      </c>
      <c r="O554" s="69">
        <f>SUMIF('Executive Pay Breakdown'!AA:AA,$B554,'Executive Pay Breakdown'!AC:AC)</f>
        <v>0</v>
      </c>
    </row>
    <row r="555" hidden="1">
      <c r="A555" s="62"/>
      <c r="B555" s="86" t="s">
        <v>665</v>
      </c>
      <c r="C555" s="118" t="s">
        <v>37</v>
      </c>
      <c r="D555" s="122"/>
      <c r="E555" s="90"/>
      <c r="F555" s="88"/>
      <c r="G555" s="118"/>
      <c r="H555" s="120"/>
      <c r="I555" s="89">
        <f>SUMIF('Executive Pay Breakdown'!K:K,$B555,'Executive Pay Breakdown'!M:M)+SUMIF('Executive Pay Breakdown'!O:O,$B555,'Executive Pay Breakdown'!Q:Q)+SUMIF('Executive Pay Breakdown'!S:S,$B555,'Executive Pay Breakdown'!U:U)+SUMIF('Executive Pay Breakdown'!W:W,$B555,'Executive Pay Breakdown'!Y:Y)+SUMIF('Executive Pay Breakdown'!AA:AA,$B555,'Executive Pay Breakdown'!AC:AC)</f>
        <v>1752243</v>
      </c>
      <c r="J555" s="109"/>
      <c r="K555" s="69">
        <f>SUMIF('Executive Pay Breakdown'!K:K,$B555,'Executive Pay Breakdown'!M:M)</f>
        <v>1752243</v>
      </c>
      <c r="L555" s="69">
        <f>SUMIF('Executive Pay Breakdown'!O:O,$B555,'Executive Pay Breakdown'!Q:Q)</f>
        <v>0</v>
      </c>
      <c r="M555" s="69">
        <f>SUMIF('Executive Pay Breakdown'!S:S,$B555,'Executive Pay Breakdown'!U:U)</f>
        <v>0</v>
      </c>
      <c r="N555" s="69">
        <f>SUMIF('Executive Pay Breakdown'!W:W,$B555,'Executive Pay Breakdown'!Y:Y)</f>
        <v>0</v>
      </c>
      <c r="O555" s="69">
        <f>SUMIF('Executive Pay Breakdown'!AA:AA,$B555,'Executive Pay Breakdown'!AC:AC)</f>
        <v>0</v>
      </c>
    </row>
    <row r="556" hidden="1">
      <c r="A556" s="62"/>
      <c r="B556" s="86" t="s">
        <v>666</v>
      </c>
      <c r="C556" s="117" t="s">
        <v>61</v>
      </c>
      <c r="D556" s="118"/>
      <c r="E556" s="90"/>
      <c r="F556" s="88"/>
      <c r="G556" s="118"/>
      <c r="H556" s="120"/>
      <c r="I556" s="89">
        <f>SUMIF('Executive Pay Breakdown'!K:K,$B556,'Executive Pay Breakdown'!M:M)+SUMIF('Executive Pay Breakdown'!O:O,$B556,'Executive Pay Breakdown'!Q:Q)+SUMIF('Executive Pay Breakdown'!S:S,$B556,'Executive Pay Breakdown'!U:U)+SUMIF('Executive Pay Breakdown'!W:W,$B556,'Executive Pay Breakdown'!Y:Y)+SUMIF('Executive Pay Breakdown'!AA:AA,$B556,'Executive Pay Breakdown'!AC:AC)</f>
        <v>2937685</v>
      </c>
      <c r="J556" s="109"/>
      <c r="K556" s="69">
        <f>SUMIF('Executive Pay Breakdown'!K:K,$B556,'Executive Pay Breakdown'!M:M)</f>
        <v>0</v>
      </c>
      <c r="L556" s="69">
        <f>SUMIF('Executive Pay Breakdown'!O:O,$B556,'Executive Pay Breakdown'!Q:Q)</f>
        <v>0</v>
      </c>
      <c r="M556" s="69">
        <f>SUMIF('Executive Pay Breakdown'!S:S,$B556,'Executive Pay Breakdown'!U:U)</f>
        <v>0</v>
      </c>
      <c r="N556" s="69">
        <f>SUMIF('Executive Pay Breakdown'!W:W,$B556,'Executive Pay Breakdown'!Y:Y)</f>
        <v>0</v>
      </c>
      <c r="O556" s="69">
        <f>SUMIF('Executive Pay Breakdown'!AA:AA,$B556,'Executive Pay Breakdown'!AC:AC)</f>
        <v>2937685</v>
      </c>
    </row>
    <row r="557" hidden="1">
      <c r="A557" s="62"/>
      <c r="B557" s="86" t="s">
        <v>667</v>
      </c>
      <c r="C557" s="118" t="s">
        <v>67</v>
      </c>
      <c r="D557" s="118"/>
      <c r="E557" s="90"/>
      <c r="F557" s="88"/>
      <c r="G557" s="88"/>
      <c r="H557" s="120"/>
      <c r="I557" s="89">
        <f>SUMIF('Executive Pay Breakdown'!K:K,$B557,'Executive Pay Breakdown'!M:M)+SUMIF('Executive Pay Breakdown'!O:O,$B557,'Executive Pay Breakdown'!Q:Q)+SUMIF('Executive Pay Breakdown'!S:S,$B557,'Executive Pay Breakdown'!U:U)+SUMIF('Executive Pay Breakdown'!W:W,$B557,'Executive Pay Breakdown'!Y:Y)+SUMIF('Executive Pay Breakdown'!AA:AA,$B557,'Executive Pay Breakdown'!AC:AC)</f>
        <v>1075467</v>
      </c>
      <c r="J557" s="109"/>
      <c r="K557" s="69">
        <f>SUMIF('Executive Pay Breakdown'!K:K,$B557,'Executive Pay Breakdown'!M:M)</f>
        <v>0</v>
      </c>
      <c r="L557" s="69">
        <f>SUMIF('Executive Pay Breakdown'!O:O,$B557,'Executive Pay Breakdown'!Q:Q)</f>
        <v>1075467</v>
      </c>
      <c r="M557" s="69">
        <f>SUMIF('Executive Pay Breakdown'!S:S,$B557,'Executive Pay Breakdown'!U:U)</f>
        <v>0</v>
      </c>
      <c r="N557" s="69">
        <f>SUMIF('Executive Pay Breakdown'!W:W,$B557,'Executive Pay Breakdown'!Y:Y)</f>
        <v>0</v>
      </c>
      <c r="O557" s="69">
        <f>SUMIF('Executive Pay Breakdown'!AA:AA,$B557,'Executive Pay Breakdown'!AC:AC)</f>
        <v>0</v>
      </c>
    </row>
    <row r="558" hidden="1">
      <c r="A558" s="62"/>
      <c r="B558" s="86" t="s">
        <v>668</v>
      </c>
      <c r="C558" s="118" t="s">
        <v>28</v>
      </c>
      <c r="D558" s="118"/>
      <c r="E558" s="90"/>
      <c r="F558" s="88"/>
      <c r="G558" s="88"/>
      <c r="H558" s="120"/>
      <c r="I558" s="89">
        <f>SUMIF('Executive Pay Breakdown'!K:K,$B558,'Executive Pay Breakdown'!M:M)+SUMIF('Executive Pay Breakdown'!O:O,$B558,'Executive Pay Breakdown'!Q:Q)+SUMIF('Executive Pay Breakdown'!S:S,$B558,'Executive Pay Breakdown'!U:U)+SUMIF('Executive Pay Breakdown'!W:W,$B558,'Executive Pay Breakdown'!Y:Y)+SUMIF('Executive Pay Breakdown'!AA:AA,$B558,'Executive Pay Breakdown'!AC:AC)</f>
        <v>1397825</v>
      </c>
      <c r="J558" s="109"/>
      <c r="K558" s="69">
        <f>SUMIF('Executive Pay Breakdown'!K:K,$B558,'Executive Pay Breakdown'!M:M)</f>
        <v>0</v>
      </c>
      <c r="L558" s="69">
        <f>SUMIF('Executive Pay Breakdown'!O:O,$B558,'Executive Pay Breakdown'!Q:Q)</f>
        <v>1397825</v>
      </c>
      <c r="M558" s="69">
        <f>SUMIF('Executive Pay Breakdown'!S:S,$B558,'Executive Pay Breakdown'!U:U)</f>
        <v>0</v>
      </c>
      <c r="N558" s="69">
        <f>SUMIF('Executive Pay Breakdown'!W:W,$B558,'Executive Pay Breakdown'!Y:Y)</f>
        <v>0</v>
      </c>
      <c r="O558" s="69">
        <f>SUMIF('Executive Pay Breakdown'!AA:AA,$B558,'Executive Pay Breakdown'!AC:AC)</f>
        <v>0</v>
      </c>
    </row>
    <row r="559" hidden="1">
      <c r="A559" s="71"/>
      <c r="B559" s="124" t="s">
        <v>669</v>
      </c>
      <c r="C559" s="118" t="s">
        <v>58</v>
      </c>
      <c r="D559" s="122"/>
      <c r="E559" s="90"/>
      <c r="F559" s="88"/>
      <c r="G559" s="118"/>
      <c r="H559" s="120"/>
      <c r="I559" s="89">
        <f>SUMIF('Executive Pay Breakdown'!K:K,$B559,'Executive Pay Breakdown'!M:M)+SUMIF('Executive Pay Breakdown'!O:O,$B559,'Executive Pay Breakdown'!Q:Q)+SUMIF('Executive Pay Breakdown'!S:S,$B559,'Executive Pay Breakdown'!U:U)+SUMIF('Executive Pay Breakdown'!W:W,$B559,'Executive Pay Breakdown'!Y:Y)+SUMIF('Executive Pay Breakdown'!AA:AA,$B559,'Executive Pay Breakdown'!AC:AC)</f>
        <v>1610608</v>
      </c>
      <c r="J559" s="109"/>
      <c r="K559" s="69">
        <f>SUMIF('Executive Pay Breakdown'!K:K,$B559,'Executive Pay Breakdown'!M:M)</f>
        <v>1610608</v>
      </c>
      <c r="L559" s="69">
        <f>SUMIF('Executive Pay Breakdown'!O:O,$B559,'Executive Pay Breakdown'!Q:Q)</f>
        <v>0</v>
      </c>
      <c r="M559" s="69">
        <f>SUMIF('Executive Pay Breakdown'!S:S,$B559,'Executive Pay Breakdown'!U:U)</f>
        <v>0</v>
      </c>
      <c r="N559" s="69">
        <f>SUMIF('Executive Pay Breakdown'!W:W,$B559,'Executive Pay Breakdown'!Y:Y)</f>
        <v>0</v>
      </c>
      <c r="O559" s="69">
        <f>SUMIF('Executive Pay Breakdown'!AA:AA,$B559,'Executive Pay Breakdown'!AC:AC)</f>
        <v>0</v>
      </c>
    </row>
    <row r="560" hidden="1">
      <c r="A560" s="62"/>
      <c r="B560" s="130" t="s">
        <v>670</v>
      </c>
      <c r="C560" s="118" t="s">
        <v>27</v>
      </c>
      <c r="D560" s="118"/>
      <c r="E560" s="90"/>
      <c r="F560" s="88"/>
      <c r="G560" s="118"/>
      <c r="H560" s="120"/>
      <c r="I560" s="89">
        <f>SUMIF('Executive Pay Breakdown'!K:K,$B560,'Executive Pay Breakdown'!M:M)+SUMIF('Executive Pay Breakdown'!O:O,$B560,'Executive Pay Breakdown'!Q:Q)+SUMIF('Executive Pay Breakdown'!S:S,$B560,'Executive Pay Breakdown'!U:U)+SUMIF('Executive Pay Breakdown'!W:W,$B560,'Executive Pay Breakdown'!Y:Y)+SUMIF('Executive Pay Breakdown'!AA:AA,$B560,'Executive Pay Breakdown'!AC:AC)</f>
        <v>1442149</v>
      </c>
      <c r="J560" s="109"/>
      <c r="K560" s="69">
        <f>SUMIF('Executive Pay Breakdown'!K:K,$B560,'Executive Pay Breakdown'!M:M)</f>
        <v>0</v>
      </c>
      <c r="L560" s="69">
        <f>SUMIF('Executive Pay Breakdown'!O:O,$B560,'Executive Pay Breakdown'!Q:Q)</f>
        <v>0</v>
      </c>
      <c r="M560" s="69">
        <f>SUMIF('Executive Pay Breakdown'!S:S,$B560,'Executive Pay Breakdown'!U:U)</f>
        <v>0</v>
      </c>
      <c r="N560" s="69">
        <f>SUMIF('Executive Pay Breakdown'!W:W,$B560,'Executive Pay Breakdown'!Y:Y)</f>
        <v>0</v>
      </c>
      <c r="O560" s="69">
        <f>SUMIF('Executive Pay Breakdown'!AA:AA,$B560,'Executive Pay Breakdown'!AC:AC)</f>
        <v>1442149</v>
      </c>
    </row>
    <row r="561" hidden="1">
      <c r="A561" s="62"/>
      <c r="B561" s="86" t="s">
        <v>671</v>
      </c>
      <c r="C561" s="118" t="s">
        <v>43</v>
      </c>
      <c r="D561" s="122"/>
      <c r="E561" s="90"/>
      <c r="F561" s="88"/>
      <c r="G561" s="118"/>
      <c r="H561" s="120"/>
      <c r="I561" s="89">
        <f>SUMIF('Executive Pay Breakdown'!K:K,$B561,'Executive Pay Breakdown'!M:M)+SUMIF('Executive Pay Breakdown'!O:O,$B561,'Executive Pay Breakdown'!Q:Q)+SUMIF('Executive Pay Breakdown'!S:S,$B561,'Executive Pay Breakdown'!U:U)+SUMIF('Executive Pay Breakdown'!W:W,$B561,'Executive Pay Breakdown'!Y:Y)+SUMIF('Executive Pay Breakdown'!AA:AA,$B561,'Executive Pay Breakdown'!AC:AC)</f>
        <v>1407835</v>
      </c>
      <c r="J561" s="109"/>
      <c r="K561" s="69">
        <f>SUMIF('Executive Pay Breakdown'!K:K,$B561,'Executive Pay Breakdown'!M:M)</f>
        <v>1407835</v>
      </c>
      <c r="L561" s="69">
        <f>SUMIF('Executive Pay Breakdown'!O:O,$B561,'Executive Pay Breakdown'!Q:Q)</f>
        <v>0</v>
      </c>
      <c r="M561" s="69">
        <f>SUMIF('Executive Pay Breakdown'!S:S,$B561,'Executive Pay Breakdown'!U:U)</f>
        <v>0</v>
      </c>
      <c r="N561" s="69">
        <f>SUMIF('Executive Pay Breakdown'!W:W,$B561,'Executive Pay Breakdown'!Y:Y)</f>
        <v>0</v>
      </c>
      <c r="O561" s="69">
        <f>SUMIF('Executive Pay Breakdown'!AA:AA,$B561,'Executive Pay Breakdown'!AC:AC)</f>
        <v>0</v>
      </c>
    </row>
    <row r="562" hidden="1">
      <c r="A562" s="62"/>
      <c r="B562" s="127" t="s">
        <v>672</v>
      </c>
      <c r="C562" s="118" t="s">
        <v>64</v>
      </c>
      <c r="D562" s="118"/>
      <c r="E562" s="90"/>
      <c r="F562" s="88"/>
      <c r="G562" s="118"/>
      <c r="H562" s="120"/>
      <c r="I562" s="89">
        <f>SUMIF('Executive Pay Breakdown'!K:K,$B562,'Executive Pay Breakdown'!M:M)+SUMIF('Executive Pay Breakdown'!O:O,$B562,'Executive Pay Breakdown'!Q:Q)+SUMIF('Executive Pay Breakdown'!S:S,$B562,'Executive Pay Breakdown'!U:U)+SUMIF('Executive Pay Breakdown'!W:W,$B562,'Executive Pay Breakdown'!Y:Y)+SUMIF('Executive Pay Breakdown'!AA:AA,$B562,'Executive Pay Breakdown'!AC:AC)</f>
        <v>1798290</v>
      </c>
      <c r="J562" s="109"/>
      <c r="K562" s="69">
        <f>SUMIF('Executive Pay Breakdown'!K:K,$B562,'Executive Pay Breakdown'!M:M)</f>
        <v>0</v>
      </c>
      <c r="L562" s="69">
        <f>SUMIF('Executive Pay Breakdown'!O:O,$B562,'Executive Pay Breakdown'!Q:Q)</f>
        <v>0</v>
      </c>
      <c r="M562" s="69">
        <f>SUMIF('Executive Pay Breakdown'!S:S,$B562,'Executive Pay Breakdown'!U:U)</f>
        <v>1798290</v>
      </c>
      <c r="N562" s="69">
        <f>SUMIF('Executive Pay Breakdown'!W:W,$B562,'Executive Pay Breakdown'!Y:Y)</f>
        <v>0</v>
      </c>
      <c r="O562" s="69">
        <f>SUMIF('Executive Pay Breakdown'!AA:AA,$B562,'Executive Pay Breakdown'!AC:AC)</f>
        <v>0</v>
      </c>
    </row>
    <row r="563" hidden="1">
      <c r="A563" s="62"/>
      <c r="B563" s="125" t="s">
        <v>673</v>
      </c>
      <c r="C563" s="118" t="s">
        <v>27</v>
      </c>
      <c r="D563" s="118"/>
      <c r="E563" s="90"/>
      <c r="F563" s="88"/>
      <c r="G563" s="118"/>
      <c r="H563" s="120"/>
      <c r="I563" s="89">
        <f>SUMIF('Executive Pay Breakdown'!K:K,$B563,'Executive Pay Breakdown'!M:M)+SUMIF('Executive Pay Breakdown'!O:O,$B563,'Executive Pay Breakdown'!Q:Q)+SUMIF('Executive Pay Breakdown'!S:S,$B563,'Executive Pay Breakdown'!U:U)+SUMIF('Executive Pay Breakdown'!W:W,$B563,'Executive Pay Breakdown'!Y:Y)+SUMIF('Executive Pay Breakdown'!AA:AA,$B563,'Executive Pay Breakdown'!AC:AC)</f>
        <v>1387915</v>
      </c>
      <c r="J563" s="109"/>
      <c r="K563" s="69">
        <f>SUMIF('Executive Pay Breakdown'!K:K,$B563,'Executive Pay Breakdown'!M:M)</f>
        <v>0</v>
      </c>
      <c r="L563" s="69">
        <f>SUMIF('Executive Pay Breakdown'!O:O,$B563,'Executive Pay Breakdown'!Q:Q)</f>
        <v>0</v>
      </c>
      <c r="M563" s="69">
        <f>SUMIF('Executive Pay Breakdown'!S:S,$B563,'Executive Pay Breakdown'!U:U)</f>
        <v>1387915</v>
      </c>
      <c r="N563" s="69">
        <f>SUMIF('Executive Pay Breakdown'!W:W,$B563,'Executive Pay Breakdown'!Y:Y)</f>
        <v>0</v>
      </c>
      <c r="O563" s="69">
        <f>SUMIF('Executive Pay Breakdown'!AA:AA,$B563,'Executive Pay Breakdown'!AC:AC)</f>
        <v>0</v>
      </c>
    </row>
    <row r="564" hidden="1">
      <c r="A564" s="62"/>
      <c r="B564" s="86" t="s">
        <v>674</v>
      </c>
      <c r="C564" s="118" t="s">
        <v>43</v>
      </c>
      <c r="D564" s="118"/>
      <c r="E564" s="90"/>
      <c r="F564" s="88"/>
      <c r="G564" s="118"/>
      <c r="H564" s="120"/>
      <c r="I564" s="89">
        <f>SUMIF('Executive Pay Breakdown'!K:K,$B564,'Executive Pay Breakdown'!M:M)+SUMIF('Executive Pay Breakdown'!O:O,$B564,'Executive Pay Breakdown'!Q:Q)+SUMIF('Executive Pay Breakdown'!S:S,$B564,'Executive Pay Breakdown'!U:U)+SUMIF('Executive Pay Breakdown'!W:W,$B564,'Executive Pay Breakdown'!Y:Y)+SUMIF('Executive Pay Breakdown'!AA:AA,$B564,'Executive Pay Breakdown'!AC:AC)</f>
        <v>1327938</v>
      </c>
      <c r="J564" s="109"/>
      <c r="K564" s="69">
        <f>SUMIF('Executive Pay Breakdown'!K:K,$B564,'Executive Pay Breakdown'!M:M)</f>
        <v>0</v>
      </c>
      <c r="L564" s="69">
        <f>SUMIF('Executive Pay Breakdown'!O:O,$B564,'Executive Pay Breakdown'!Q:Q)</f>
        <v>0</v>
      </c>
      <c r="M564" s="69">
        <f>SUMIF('Executive Pay Breakdown'!S:S,$B564,'Executive Pay Breakdown'!U:U)</f>
        <v>0</v>
      </c>
      <c r="N564" s="69">
        <f>SUMIF('Executive Pay Breakdown'!W:W,$B564,'Executive Pay Breakdown'!Y:Y)</f>
        <v>0</v>
      </c>
      <c r="O564" s="69">
        <f>SUMIF('Executive Pay Breakdown'!AA:AA,$B564,'Executive Pay Breakdown'!AC:AC)</f>
        <v>1327938</v>
      </c>
    </row>
    <row r="565" hidden="1">
      <c r="A565" s="62"/>
      <c r="B565" s="116" t="s">
        <v>675</v>
      </c>
      <c r="C565" s="118" t="s">
        <v>51</v>
      </c>
      <c r="D565" s="118"/>
      <c r="E565" s="90"/>
      <c r="F565" s="88"/>
      <c r="G565" s="118"/>
      <c r="H565" s="120"/>
      <c r="I565" s="89">
        <f>SUMIF('Executive Pay Breakdown'!K:K,$B565,'Executive Pay Breakdown'!M:M)+SUMIF('Executive Pay Breakdown'!O:O,$B565,'Executive Pay Breakdown'!Q:Q)+SUMIF('Executive Pay Breakdown'!S:S,$B565,'Executive Pay Breakdown'!U:U)+SUMIF('Executive Pay Breakdown'!W:W,$B565,'Executive Pay Breakdown'!Y:Y)+SUMIF('Executive Pay Breakdown'!AA:AA,$B565,'Executive Pay Breakdown'!AC:AC)</f>
        <v>1241499</v>
      </c>
      <c r="J565" s="109"/>
      <c r="K565" s="69">
        <f>SUMIF('Executive Pay Breakdown'!K:K,$B565,'Executive Pay Breakdown'!M:M)</f>
        <v>0</v>
      </c>
      <c r="L565" s="69">
        <f>SUMIF('Executive Pay Breakdown'!O:O,$B565,'Executive Pay Breakdown'!Q:Q)</f>
        <v>0</v>
      </c>
      <c r="M565" s="69">
        <f>SUMIF('Executive Pay Breakdown'!S:S,$B565,'Executive Pay Breakdown'!U:U)</f>
        <v>0</v>
      </c>
      <c r="N565" s="69">
        <f>SUMIF('Executive Pay Breakdown'!W:W,$B565,'Executive Pay Breakdown'!Y:Y)</f>
        <v>0</v>
      </c>
      <c r="O565" s="69">
        <f>SUMIF('Executive Pay Breakdown'!AA:AA,$B565,'Executive Pay Breakdown'!AC:AC)</f>
        <v>1241499</v>
      </c>
    </row>
    <row r="566" hidden="1">
      <c r="A566" s="62"/>
      <c r="B566" s="127" t="s">
        <v>676</v>
      </c>
      <c r="C566" s="118" t="s">
        <v>17</v>
      </c>
      <c r="D566" s="118"/>
      <c r="E566" s="90"/>
      <c r="F566" s="88"/>
      <c r="G566" s="118"/>
      <c r="H566" s="120"/>
      <c r="I566" s="89">
        <f>SUMIF('Executive Pay Breakdown'!K:K,$B566,'Executive Pay Breakdown'!M:M)+SUMIF('Executive Pay Breakdown'!O:O,$B566,'Executive Pay Breakdown'!Q:Q)+SUMIF('Executive Pay Breakdown'!S:S,$B566,'Executive Pay Breakdown'!U:U)+SUMIF('Executive Pay Breakdown'!W:W,$B566,'Executive Pay Breakdown'!Y:Y)+SUMIF('Executive Pay Breakdown'!AA:AA,$B566,'Executive Pay Breakdown'!AC:AC)</f>
        <v>358704</v>
      </c>
      <c r="J566" s="109"/>
      <c r="K566" s="69">
        <f>SUMIF('Executive Pay Breakdown'!K:K,$B566,'Executive Pay Breakdown'!M:M)</f>
        <v>0</v>
      </c>
      <c r="L566" s="69">
        <f>SUMIF('Executive Pay Breakdown'!O:O,$B566,'Executive Pay Breakdown'!Q:Q)</f>
        <v>0</v>
      </c>
      <c r="M566" s="69">
        <f>SUMIF('Executive Pay Breakdown'!S:S,$B566,'Executive Pay Breakdown'!U:U)</f>
        <v>0</v>
      </c>
      <c r="N566" s="69">
        <f>SUMIF('Executive Pay Breakdown'!W:W,$B566,'Executive Pay Breakdown'!Y:Y)</f>
        <v>0</v>
      </c>
      <c r="O566" s="69">
        <f>SUMIF('Executive Pay Breakdown'!AA:AA,$B566,'Executive Pay Breakdown'!AC:AC)</f>
        <v>358704</v>
      </c>
    </row>
    <row r="567" hidden="1">
      <c r="A567" s="62"/>
      <c r="B567" s="127" t="s">
        <v>677</v>
      </c>
      <c r="C567" s="118" t="s">
        <v>20</v>
      </c>
      <c r="D567" s="122"/>
      <c r="E567" s="90"/>
      <c r="F567" s="88"/>
      <c r="G567" s="118"/>
      <c r="H567" s="120"/>
      <c r="I567" s="89">
        <f>SUMIF('Executive Pay Breakdown'!K:K,$B567,'Executive Pay Breakdown'!M:M)+SUMIF('Executive Pay Breakdown'!O:O,$B567,'Executive Pay Breakdown'!Q:Q)+SUMIF('Executive Pay Breakdown'!S:S,$B567,'Executive Pay Breakdown'!U:U)+SUMIF('Executive Pay Breakdown'!W:W,$B567,'Executive Pay Breakdown'!Y:Y)+SUMIF('Executive Pay Breakdown'!AA:AA,$B567,'Executive Pay Breakdown'!AC:AC)</f>
        <v>520768</v>
      </c>
      <c r="J567" s="109"/>
      <c r="K567" s="69">
        <f>SUMIF('Executive Pay Breakdown'!K:K,$B567,'Executive Pay Breakdown'!M:M)</f>
        <v>520768</v>
      </c>
      <c r="L567" s="69">
        <f>SUMIF('Executive Pay Breakdown'!O:O,$B567,'Executive Pay Breakdown'!Q:Q)</f>
        <v>0</v>
      </c>
      <c r="M567" s="69">
        <f>SUMIF('Executive Pay Breakdown'!S:S,$B567,'Executive Pay Breakdown'!U:U)</f>
        <v>0</v>
      </c>
      <c r="N567" s="69">
        <f>SUMIF('Executive Pay Breakdown'!W:W,$B567,'Executive Pay Breakdown'!Y:Y)</f>
        <v>0</v>
      </c>
      <c r="O567" s="69">
        <f>SUMIF('Executive Pay Breakdown'!AA:AA,$B567,'Executive Pay Breakdown'!AC:AC)</f>
        <v>0</v>
      </c>
    </row>
    <row r="568" hidden="1">
      <c r="A568" s="62"/>
      <c r="B568" s="116"/>
      <c r="C568" s="117"/>
      <c r="D568" s="118"/>
      <c r="E568" s="118"/>
      <c r="F568" s="88"/>
      <c r="G568" s="118"/>
      <c r="H568" s="120"/>
      <c r="I568" s="89"/>
      <c r="J568" s="109"/>
      <c r="K568" s="69"/>
      <c r="L568" s="69"/>
      <c r="M568" s="69"/>
      <c r="N568" s="69"/>
      <c r="O568" s="69"/>
    </row>
  </sheetData>
  <mergeCells count="7">
    <mergeCell ref="A1:A2"/>
    <mergeCell ref="B1:B2"/>
    <mergeCell ref="C1:C2"/>
    <mergeCell ref="D1:E1"/>
    <mergeCell ref="F1:G1"/>
    <mergeCell ref="I1:I2"/>
    <mergeCell ref="K2:O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hidden="1" min="1" max="1" width="5.13"/>
    <col customWidth="1" min="2" max="2" width="17.63"/>
    <col customWidth="1" min="3" max="3" width="10.13"/>
    <col customWidth="1" min="4" max="4" width="12.63"/>
    <col customWidth="1" min="5" max="9" width="10.13"/>
    <col customWidth="1" min="10" max="10" width="1.38"/>
    <col customWidth="1" min="11" max="11" width="11.38"/>
    <col customWidth="1" hidden="1" min="12" max="16" width="6.38"/>
    <col customWidth="1" min="17" max="17" width="1.38"/>
    <col customWidth="1" min="18" max="18" width="9.5"/>
    <col customWidth="1" min="19" max="23" width="7.63"/>
    <col customWidth="1" min="24" max="24" width="1.38"/>
    <col customWidth="1" min="25" max="25" width="9.5"/>
    <col customWidth="1" min="26" max="30" width="7.63"/>
    <col customWidth="1" min="31" max="31" width="1.38"/>
    <col customWidth="1" min="32" max="32" width="9.5"/>
    <col customWidth="1" min="33" max="37" width="7.63"/>
    <col customWidth="1" min="38" max="38" width="1.38"/>
    <col customWidth="1" hidden="1" min="39" max="39" width="9.5"/>
    <col customWidth="1" hidden="1" min="40" max="44" width="7.63"/>
    <col customWidth="1" hidden="1" min="45" max="45" width="1.38"/>
    <col customWidth="1" hidden="1" min="46" max="46" width="9.5"/>
    <col customWidth="1" hidden="1" min="47" max="51" width="7.63"/>
    <col customWidth="1" hidden="1" min="52" max="52" width="1.38"/>
    <col customWidth="1" hidden="1" min="53" max="59" width="7.63"/>
    <col customWidth="1" min="60" max="64" width="7.63"/>
  </cols>
  <sheetData>
    <row r="1">
      <c r="A1" s="52" t="s">
        <v>678</v>
      </c>
      <c r="B1" s="146" t="s">
        <v>679</v>
      </c>
      <c r="C1" s="147" t="s">
        <v>680</v>
      </c>
      <c r="D1" s="148" t="s">
        <v>681</v>
      </c>
      <c r="J1" s="149"/>
      <c r="K1" s="150" t="s">
        <v>682</v>
      </c>
      <c r="Q1" s="149"/>
      <c r="R1" s="151" t="s">
        <v>683</v>
      </c>
      <c r="X1" s="149"/>
      <c r="Y1" s="152" t="s">
        <v>684</v>
      </c>
      <c r="AE1" s="149"/>
      <c r="AF1" s="153" t="s">
        <v>685</v>
      </c>
      <c r="AL1" s="149"/>
      <c r="AM1" s="152" t="s">
        <v>686</v>
      </c>
      <c r="AS1" s="149"/>
      <c r="AT1" s="152" t="s">
        <v>687</v>
      </c>
      <c r="AZ1" s="149"/>
      <c r="BA1" s="152" t="s">
        <v>688</v>
      </c>
      <c r="BH1" s="152"/>
      <c r="BI1" s="154"/>
      <c r="BJ1" s="52" t="s">
        <v>689</v>
      </c>
      <c r="BK1" s="152"/>
      <c r="BL1" s="152"/>
    </row>
    <row r="2" ht="15.0" customHeight="1">
      <c r="C2" s="155"/>
      <c r="D2" s="52" t="s">
        <v>690</v>
      </c>
      <c r="E2" s="52">
        <v>2022.0</v>
      </c>
      <c r="F2" s="52">
        <v>2021.0</v>
      </c>
      <c r="G2" s="52">
        <v>2020.0</v>
      </c>
      <c r="H2" s="52">
        <v>2019.0</v>
      </c>
      <c r="I2" s="52">
        <v>2018.0</v>
      </c>
      <c r="J2" s="156"/>
      <c r="Q2" s="156"/>
      <c r="R2" s="52" t="s">
        <v>690</v>
      </c>
      <c r="S2" s="157">
        <v>2022.0</v>
      </c>
      <c r="T2" s="157">
        <v>2021.0</v>
      </c>
      <c r="U2" s="157">
        <v>2020.0</v>
      </c>
      <c r="V2" s="157">
        <v>2019.0</v>
      </c>
      <c r="W2" s="157">
        <v>2018.0</v>
      </c>
      <c r="X2" s="156"/>
      <c r="Y2" s="52" t="s">
        <v>690</v>
      </c>
      <c r="Z2" s="158">
        <v>2022.0</v>
      </c>
      <c r="AA2" s="158">
        <v>2021.0</v>
      </c>
      <c r="AB2" s="158">
        <v>2020.0</v>
      </c>
      <c r="AC2" s="158">
        <v>2019.0</v>
      </c>
      <c r="AD2" s="158">
        <v>2018.0</v>
      </c>
      <c r="AE2" s="149"/>
      <c r="AF2" s="52" t="s">
        <v>690</v>
      </c>
      <c r="AG2" s="157">
        <v>2022.0</v>
      </c>
      <c r="AH2" s="157">
        <v>2021.0</v>
      </c>
      <c r="AI2" s="157">
        <v>2020.0</v>
      </c>
      <c r="AJ2" s="157">
        <v>2019.0</v>
      </c>
      <c r="AK2" s="157">
        <v>2018.0</v>
      </c>
      <c r="AL2" s="156"/>
      <c r="AM2" s="52" t="s">
        <v>690</v>
      </c>
      <c r="AN2" s="157">
        <v>2022.0</v>
      </c>
      <c r="AO2" s="157">
        <v>2021.0</v>
      </c>
      <c r="AP2" s="157">
        <v>2020.0</v>
      </c>
      <c r="AQ2" s="157">
        <v>2019.0</v>
      </c>
      <c r="AR2" s="157">
        <v>2018.0</v>
      </c>
      <c r="AS2" s="156"/>
      <c r="AT2" s="52" t="s">
        <v>690</v>
      </c>
      <c r="AU2" s="157">
        <v>2022.0</v>
      </c>
      <c r="AV2" s="157">
        <v>2021.0</v>
      </c>
      <c r="AW2" s="157">
        <v>2020.0</v>
      </c>
      <c r="AX2" s="157">
        <v>2019.0</v>
      </c>
      <c r="AY2" s="157">
        <v>2018.0</v>
      </c>
      <c r="AZ2" s="156"/>
      <c r="BA2" s="159" t="s">
        <v>691</v>
      </c>
      <c r="BB2" s="52"/>
      <c r="BC2" s="52">
        <v>2022.0</v>
      </c>
      <c r="BD2" s="52">
        <v>2021.0</v>
      </c>
      <c r="BE2" s="52">
        <v>2020.0</v>
      </c>
      <c r="BF2" s="52">
        <v>2019.0</v>
      </c>
      <c r="BG2" s="52">
        <v>2018.0</v>
      </c>
      <c r="BH2" s="52"/>
      <c r="BI2" s="154"/>
      <c r="BK2" s="52"/>
      <c r="BL2" s="52"/>
    </row>
    <row r="3" ht="15.0" customHeight="1">
      <c r="C3" s="155"/>
      <c r="D3" s="160">
        <f t="shared" ref="D3:I3" si="1">SUM(D4:D75)</f>
        <v>15096785826</v>
      </c>
      <c r="E3" s="161">
        <f t="shared" si="1"/>
        <v>2618334094</v>
      </c>
      <c r="F3" s="161">
        <f t="shared" si="1"/>
        <v>2597289646</v>
      </c>
      <c r="G3" s="161">
        <f t="shared" si="1"/>
        <v>2884035793</v>
      </c>
      <c r="H3" s="161">
        <f t="shared" si="1"/>
        <v>2407324953</v>
      </c>
      <c r="I3" s="161">
        <f t="shared" si="1"/>
        <v>4589801340</v>
      </c>
      <c r="J3" s="149"/>
      <c r="K3" s="162" t="s">
        <v>692</v>
      </c>
      <c r="L3" s="52">
        <v>2022.0</v>
      </c>
      <c r="M3" s="52">
        <v>2021.0</v>
      </c>
      <c r="N3" s="52">
        <v>2020.0</v>
      </c>
      <c r="O3" s="52">
        <v>2019.0</v>
      </c>
      <c r="P3" s="52">
        <v>2018.0</v>
      </c>
      <c r="Q3" s="149"/>
      <c r="R3" s="160">
        <f t="shared" ref="R3:W3" si="2">SUM(R4:R75)</f>
        <v>657716.02</v>
      </c>
      <c r="S3" s="89">
        <f t="shared" si="2"/>
        <v>203498.67</v>
      </c>
      <c r="T3" s="89">
        <f t="shared" si="2"/>
        <v>175895.46</v>
      </c>
      <c r="U3" s="89">
        <f t="shared" si="2"/>
        <v>62581.61</v>
      </c>
      <c r="V3" s="89">
        <f t="shared" si="2"/>
        <v>108501.69</v>
      </c>
      <c r="W3" s="89">
        <f t="shared" si="2"/>
        <v>107238.59</v>
      </c>
      <c r="X3" s="149"/>
      <c r="Y3" s="163">
        <f t="shared" ref="Y3:AD3" si="3">SUM(Y4:Y75)</f>
        <v>18291.71</v>
      </c>
      <c r="Z3" s="69">
        <f t="shared" si="3"/>
        <v>15796.39</v>
      </c>
      <c r="AA3" s="69">
        <f t="shared" si="3"/>
        <v>3485.49</v>
      </c>
      <c r="AB3" s="69">
        <f t="shared" si="3"/>
        <v>-4132.11</v>
      </c>
      <c r="AC3" s="69">
        <f t="shared" si="3"/>
        <v>354.02</v>
      </c>
      <c r="AD3" s="69">
        <f t="shared" si="3"/>
        <v>2787.92</v>
      </c>
      <c r="AE3" s="149"/>
      <c r="AF3" s="164">
        <f t="shared" ref="AF3:AK3" si="4">Y3/R3</f>
        <v>0.02781095403</v>
      </c>
      <c r="AG3" s="165">
        <f t="shared" si="4"/>
        <v>0.07762404541</v>
      </c>
      <c r="AH3" s="165">
        <f t="shared" si="4"/>
        <v>0.01981569052</v>
      </c>
      <c r="AI3" s="165">
        <f t="shared" si="4"/>
        <v>-0.06602754387</v>
      </c>
      <c r="AJ3" s="165">
        <f t="shared" si="4"/>
        <v>0.003262806321</v>
      </c>
      <c r="AK3" s="165">
        <f t="shared" si="4"/>
        <v>0.02599735785</v>
      </c>
      <c r="AL3" s="149"/>
      <c r="AM3" s="160">
        <f t="shared" ref="AM3:AR3" si="5">SUM(AM4:AM75)</f>
        <v>247482.792</v>
      </c>
      <c r="AN3" s="69">
        <f t="shared" si="5"/>
        <v>76557.852</v>
      </c>
      <c r="AO3" s="69">
        <f t="shared" si="5"/>
        <v>50163.173</v>
      </c>
      <c r="AP3" s="69">
        <f t="shared" si="5"/>
        <v>51436.268</v>
      </c>
      <c r="AQ3" s="69">
        <f t="shared" si="5"/>
        <v>32634.3</v>
      </c>
      <c r="AR3" s="69">
        <f t="shared" si="5"/>
        <v>36691.199</v>
      </c>
      <c r="AS3" s="149"/>
      <c r="AT3" s="160">
        <f t="shared" ref="AT3:AY3" si="6">SUM(AT4:AT75)</f>
        <v>365114.995</v>
      </c>
      <c r="AU3" s="69">
        <f t="shared" si="6"/>
        <v>79843.097</v>
      </c>
      <c r="AV3" s="69">
        <f t="shared" si="6"/>
        <v>75607.728</v>
      </c>
      <c r="AW3" s="69">
        <f t="shared" si="6"/>
        <v>72248.12</v>
      </c>
      <c r="AX3" s="69">
        <f t="shared" si="6"/>
        <v>71770.11</v>
      </c>
      <c r="AY3" s="69">
        <f t="shared" si="6"/>
        <v>65645.94</v>
      </c>
      <c r="AZ3" s="149"/>
      <c r="BA3" s="166">
        <f>AVERAGE(BA4:BA57)</f>
        <v>104290.484</v>
      </c>
      <c r="BB3" s="166"/>
      <c r="BC3" s="166">
        <f t="shared" ref="BC3:BG3" si="7">AVERAGE(BC4:BC57)</f>
        <v>106042.8113</v>
      </c>
      <c r="BD3" s="166">
        <f t="shared" si="7"/>
        <v>105473.7736</v>
      </c>
      <c r="BE3" s="166">
        <f t="shared" si="7"/>
        <v>106229.2642</v>
      </c>
      <c r="BF3" s="166">
        <f t="shared" si="7"/>
        <v>108496.4808</v>
      </c>
      <c r="BG3" s="166">
        <f t="shared" si="7"/>
        <v>95006.98077</v>
      </c>
      <c r="BH3" s="167"/>
      <c r="BI3" s="154"/>
      <c r="BK3" s="168"/>
      <c r="BL3" s="167"/>
    </row>
    <row r="4" ht="15.0" customHeight="1">
      <c r="A4" s="169">
        <f t="array" ref="A4">INDEX('Federal Tax, Stock Buybacks, &amp; '!D:D,match(B4,'Federal Tax, Stock Buybacks, &amp; '!E:E,0))</f>
        <v>50</v>
      </c>
      <c r="B4" s="170" t="s">
        <v>35</v>
      </c>
      <c r="C4" s="171" t="s">
        <v>693</v>
      </c>
      <c r="D4" s="160">
        <f>SUMIF('Executive Pay Breakdown'!B:B,$B4,'Executive Pay Breakdown'!M:M)+SUMIF('Executive Pay Breakdown'!B:B,$B4,'Executive Pay Breakdown'!Q:Q)+SUMIF('Executive Pay Breakdown'!B:B,$B4,'Executive Pay Breakdown'!U:U)+SUMIF('Executive Pay Breakdown'!B:B,$B4,'Executive Pay Breakdown'!Y:Y)+SUMIF('Executive Pay Breakdown'!B:B,$B4,'Executive Pay Breakdown'!AC:AC)</f>
        <v>2495486949</v>
      </c>
      <c r="E4" s="161">
        <f>SUMIF('Executive Pay Breakdown'!B:B,$B4,'Executive Pay Breakdown'!M:M)</f>
        <v>606000</v>
      </c>
      <c r="F4" s="161">
        <f>SUMIF('Executive Pay Breakdown'!B:B,$B4,'Executive Pay Breakdown'!Q:Q)</f>
        <v>763846</v>
      </c>
      <c r="G4" s="161">
        <f>SUMIF('Executive Pay Breakdown'!B:B,$B4,'Executive Pay Breakdown'!U:U)</f>
        <v>139651362</v>
      </c>
      <c r="H4" s="161">
        <f>SUMIF('Executive Pay Breakdown'!B:B,$B4,'Executive Pay Breakdown'!Y:Y)</f>
        <v>34791033</v>
      </c>
      <c r="I4" s="161">
        <f>SUMIF('Executive Pay Breakdown'!B:B,$B4,'Executive Pay Breakdown'!AC:AC)</f>
        <v>2319674708</v>
      </c>
      <c r="J4" s="172"/>
      <c r="K4" s="173" t="s">
        <v>694</v>
      </c>
      <c r="L4" s="174" t="b">
        <f t="shared" ref="L4:P4" si="8">(E4/1000000)&gt;(Z4)</f>
        <v>1</v>
      </c>
      <c r="M4" s="174" t="b">
        <f t="shared" si="8"/>
        <v>1</v>
      </c>
      <c r="N4" s="174" t="b">
        <f t="shared" si="8"/>
        <v>1</v>
      </c>
      <c r="O4" s="174" t="b">
        <f t="shared" si="8"/>
        <v>1</v>
      </c>
      <c r="P4" s="174" t="b">
        <f t="shared" si="8"/>
        <v>1</v>
      </c>
      <c r="Q4" s="172"/>
      <c r="R4" s="175">
        <f t="shared" ref="R4:R67" si="11">SUM(S4:W4)</f>
        <v>4426</v>
      </c>
      <c r="S4" s="176">
        <f t="array" ref="S4">INDEX('Federal Tax, Stock Buybacks, &amp; '!U:U,MATCH($B4,'Federal Tax, Stock Buybacks, &amp; '!$E:$E,0))</f>
        <v>5474</v>
      </c>
      <c r="T4" s="176">
        <f t="array" ref="T4">INDEX('Federal Tax, Stock Buybacks, &amp; '!V:V,MATCH($B4,'Federal Tax, Stock Buybacks, &amp; '!$E:$E,0))</f>
        <v>-139</v>
      </c>
      <c r="U4" s="176">
        <f t="array" ref="U4">INDEX('Federal Tax, Stock Buybacks, &amp; '!W:W,MATCH($B4,'Federal Tax, Stock Buybacks, &amp; '!$E:$E,0))</f>
        <v>-202</v>
      </c>
      <c r="V4" s="176">
        <f t="array" ref="V4">INDEX('Federal Tax, Stock Buybacks, &amp; '!X:X,MATCH($B4,'Federal Tax, Stock Buybacks, &amp; '!$E:$E,0))</f>
        <v>-292</v>
      </c>
      <c r="W4" s="176">
        <f t="array" ref="W4">INDEX('Federal Tax, Stock Buybacks, &amp; '!Y:Y,MATCH($B4,'Federal Tax, Stock Buybacks, &amp; '!$E:$E,0))</f>
        <v>-415</v>
      </c>
      <c r="X4" s="172"/>
      <c r="Y4" s="177">
        <f t="shared" ref="Y4:Y67" si="12">SUM(Z4:AD4)</f>
        <v>-1</v>
      </c>
      <c r="Z4" s="178">
        <f t="array" ref="Z4">INDEX('Federal Tax, Stock Buybacks, &amp; '!AB:AB,MATCH($B4,'Federal Tax, Stock Buybacks, &amp; '!$E:$E,0))</f>
        <v>0</v>
      </c>
      <c r="AA4" s="178">
        <f t="array" ref="AA4">INDEX('Federal Tax, Stock Buybacks, &amp; '!AC:AC,MATCH($B4,'Federal Tax, Stock Buybacks, &amp; '!$E:$E,0))</f>
        <v>0</v>
      </c>
      <c r="AB4" s="178">
        <f t="array" ref="AB4">INDEX('Federal Tax, Stock Buybacks, &amp; '!AD:AD,MATCH($B4,'Federal Tax, Stock Buybacks, &amp; '!$E:$E,0))</f>
        <v>0</v>
      </c>
      <c r="AC4" s="178">
        <f t="array" ref="AC4">INDEX('Federal Tax, Stock Buybacks, &amp; '!AE:AE,MATCH($B4,'Federal Tax, Stock Buybacks, &amp; '!$E:$E,0))</f>
        <v>0</v>
      </c>
      <c r="AD4" s="178">
        <f t="array" ref="AD4">INDEX('Federal Tax, Stock Buybacks, &amp; '!AF:AF,MATCH($B4,'Federal Tax, Stock Buybacks, &amp; '!$E:$E,0))</f>
        <v>-1</v>
      </c>
      <c r="AE4" s="172"/>
      <c r="AF4" s="164">
        <f t="shared" ref="AF4:AK4" si="9">Y4/R4</f>
        <v>-0.0002259376412</v>
      </c>
      <c r="AG4" s="165">
        <f t="shared" si="9"/>
        <v>0</v>
      </c>
      <c r="AH4" s="165">
        <f t="shared" si="9"/>
        <v>0</v>
      </c>
      <c r="AI4" s="165">
        <f t="shared" si="9"/>
        <v>0</v>
      </c>
      <c r="AJ4" s="165">
        <f t="shared" si="9"/>
        <v>0</v>
      </c>
      <c r="AK4" s="165">
        <f t="shared" si="9"/>
        <v>0.002409638554</v>
      </c>
      <c r="AL4" s="172"/>
      <c r="AM4" s="175">
        <f t="shared" ref="AM4:AM67" si="14">SUM(AN4:AR4)</f>
        <v>0</v>
      </c>
      <c r="AN4" s="176">
        <f t="array" ref="AN4">INDEX('Federal Tax, Stock Buybacks, &amp; '!AP:AP,MATCH($B4,'Federal Tax, Stock Buybacks, &amp; '!$E:$E,0))</f>
        <v>0</v>
      </c>
      <c r="AO4" s="176">
        <f t="array" ref="AO4">INDEX('Federal Tax, Stock Buybacks, &amp; '!AQ:AQ,MATCH($B4,'Federal Tax, Stock Buybacks, &amp; '!$E:$E,0))</f>
        <v>0</v>
      </c>
      <c r="AP4" s="176">
        <f t="array" ref="AP4">INDEX('Federal Tax, Stock Buybacks, &amp; '!AR:AR,MATCH($B4,'Federal Tax, Stock Buybacks, &amp; '!$E:$E,0))</f>
        <v>0</v>
      </c>
      <c r="AQ4" s="176">
        <f t="array" ref="AQ4">INDEX('Federal Tax, Stock Buybacks, &amp; '!AS:AS,MATCH($B4,'Federal Tax, Stock Buybacks, &amp; '!$E:$E,0))</f>
        <v>0</v>
      </c>
      <c r="AR4" s="176">
        <f t="array" ref="AR4">INDEX('Federal Tax, Stock Buybacks, &amp; '!AT:AT,MATCH($B4,'Federal Tax, Stock Buybacks, &amp; '!$E:$E,0))</f>
        <v>0</v>
      </c>
      <c r="AS4" s="172"/>
      <c r="AT4" s="175">
        <f t="shared" ref="AT4:AT67" si="15">SUM(AU4:AY4)</f>
        <v>0</v>
      </c>
      <c r="AU4" s="176">
        <f t="array" ref="AU4">INDEX('Federal Tax, Stock Buybacks, &amp; '!AW:AW,MATCH($B4,'Federal Tax, Stock Buybacks, &amp; '!$E:$E,0))</f>
        <v>0</v>
      </c>
      <c r="AV4" s="176">
        <f t="array" ref="AV4">INDEX('Federal Tax, Stock Buybacks, &amp; '!AX:AX,MATCH($B4,'Federal Tax, Stock Buybacks, &amp; '!$E:$E,0))</f>
        <v>0</v>
      </c>
      <c r="AW4" s="176">
        <f t="array" ref="AW4">INDEX('Federal Tax, Stock Buybacks, &amp; '!AY:AY,MATCH($B4,'Federal Tax, Stock Buybacks, &amp; '!$E:$E,0))</f>
        <v>0</v>
      </c>
      <c r="AX4" s="176">
        <f t="array" ref="AX4">INDEX('Federal Tax, Stock Buybacks, &amp; '!AZ:AZ,MATCH($B4,'Federal Tax, Stock Buybacks, &amp; '!$E:$E,0))</f>
        <v>0</v>
      </c>
      <c r="AY4" s="176">
        <f t="array" ref="AY4">INDEX('Federal Tax, Stock Buybacks, &amp; '!BA:BA,MATCH($B4,'Federal Tax, Stock Buybacks, &amp; '!$E:$E,0))</f>
        <v>0</v>
      </c>
      <c r="AZ4" s="172"/>
      <c r="BA4" s="166">
        <f t="shared" ref="BA4:BA34" si="16">AVERAGE(BC4:BG4)</f>
        <v>47115</v>
      </c>
      <c r="BB4" s="179">
        <f t="shared" ref="BB4:BB34" si="17">sum(BC4:BG4)</f>
        <v>235575</v>
      </c>
      <c r="BC4" s="180">
        <v>34084.0</v>
      </c>
      <c r="BD4" s="180">
        <v>40723.0</v>
      </c>
      <c r="BE4" s="180">
        <v>46150.0</v>
      </c>
      <c r="BF4" s="180">
        <v>58455.0</v>
      </c>
      <c r="BG4" s="180">
        <v>56163.0</v>
      </c>
      <c r="BH4" s="87"/>
      <c r="BI4" s="154"/>
      <c r="BJ4" s="181" t="s">
        <v>695</v>
      </c>
      <c r="BK4" s="87"/>
      <c r="BL4" s="87"/>
    </row>
    <row r="5" ht="15.0" customHeight="1">
      <c r="A5" s="169">
        <f t="array" ref="A5">INDEX('Federal Tax, Stock Buybacks, &amp; '!D:D,match(B5,'Federal Tax, Stock Buybacks, &amp; '!E:E,0))</f>
        <v>76</v>
      </c>
      <c r="B5" s="182" t="s">
        <v>14</v>
      </c>
      <c r="C5" s="171" t="s">
        <v>696</v>
      </c>
      <c r="D5" s="160">
        <f>SUMIF('Executive Pay Breakdown'!B:B,$B5,'Executive Pay Breakdown'!M:M)+SUMIF('Executive Pay Breakdown'!B:B,$B5,'Executive Pay Breakdown'!Q:Q)+SUMIF('Executive Pay Breakdown'!B:B,$B5,'Executive Pay Breakdown'!U:U)+SUMIF('Executive Pay Breakdown'!B:B,$B5,'Executive Pay Breakdown'!Y:Y)+SUMIF('Executive Pay Breakdown'!B:B,$B5,'Executive Pay Breakdown'!AC:AC)</f>
        <v>406143128</v>
      </c>
      <c r="E5" s="161">
        <f>SUMIF('Executive Pay Breakdown'!B:B,$B5,'Executive Pay Breakdown'!M:M)</f>
        <v>111662835</v>
      </c>
      <c r="F5" s="161">
        <f>SUMIF('Executive Pay Breakdown'!B:B,$B5,'Executive Pay Breakdown'!Q:Q)</f>
        <v>88259311</v>
      </c>
      <c r="G5" s="161">
        <f>SUMIF('Executive Pay Breakdown'!B:B,$B5,'Executive Pay Breakdown'!U:U)</f>
        <v>78205186</v>
      </c>
      <c r="H5" s="161">
        <f>SUMIF('Executive Pay Breakdown'!B:B,$B5,'Executive Pay Breakdown'!Y:Y)</f>
        <v>64353553</v>
      </c>
      <c r="I5" s="161">
        <f>SUMIF('Executive Pay Breakdown'!B:B,$B5,'Executive Pay Breakdown'!AC:AC)</f>
        <v>63662243</v>
      </c>
      <c r="J5" s="172"/>
      <c r="K5" s="173" t="s">
        <v>694</v>
      </c>
      <c r="L5" s="174"/>
      <c r="M5" s="174" t="b">
        <f t="shared" ref="M5:N5" si="10">(F5/1000000)&gt;(AA5)</f>
        <v>1</v>
      </c>
      <c r="N5" s="174" t="b">
        <f t="shared" si="10"/>
        <v>1</v>
      </c>
      <c r="O5" s="174"/>
      <c r="P5" s="183"/>
      <c r="Q5" s="172"/>
      <c r="R5" s="175">
        <f t="shared" si="11"/>
        <v>17687</v>
      </c>
      <c r="S5" s="176">
        <f t="array" ref="S5">INDEX('Federal Tax, Stock Buybacks, &amp; '!U:U,MATCH($B5,'Federal Tax, Stock Buybacks, &amp; '!$E:$E,0))</f>
        <v>12432</v>
      </c>
      <c r="T5" s="176">
        <f t="array" ref="T5">INDEX('Federal Tax, Stock Buybacks, &amp; '!V:V,MATCH($B5,'Federal Tax, Stock Buybacks, &amp; '!$E:$E,0))</f>
        <v>9838</v>
      </c>
      <c r="U5" s="176">
        <f t="array" ref="U5">INDEX('Federal Tax, Stock Buybacks, &amp; '!W:W,MATCH($B5,'Federal Tax, Stock Buybacks, &amp; '!$E:$E,0))</f>
        <v>-8396</v>
      </c>
      <c r="V5" s="176">
        <f t="array" ref="V5">INDEX('Federal Tax, Stock Buybacks, &amp; '!X:X,MATCH($B5,'Federal Tax, Stock Buybacks, &amp; '!$E:$E,0))</f>
        <v>3825</v>
      </c>
      <c r="W5" s="176">
        <f t="array" ref="W5">INDEX('Federal Tax, Stock Buybacks, &amp; '!Y:Y,MATCH($B5,'Federal Tax, Stock Buybacks, &amp; '!$E:$E,0))</f>
        <v>-12</v>
      </c>
      <c r="X5" s="172"/>
      <c r="Y5" s="177">
        <f t="shared" si="12"/>
        <v>385</v>
      </c>
      <c r="Z5" s="178">
        <f t="array" ref="Z5">INDEX('Federal Tax, Stock Buybacks, &amp; '!AB:AB,MATCH($B5,'Federal Tax, Stock Buybacks, &amp; '!$E:$E,0))</f>
        <v>246</v>
      </c>
      <c r="AA5" s="178">
        <f t="array" ref="AA5">INDEX('Federal Tax, Stock Buybacks, &amp; '!AC:AC,MATCH($B5,'Federal Tax, Stock Buybacks, &amp; '!$E:$E,0))</f>
        <v>-216</v>
      </c>
      <c r="AB5" s="178">
        <f t="array" ref="AB5">INDEX('Federal Tax, Stock Buybacks, &amp; '!AD:AD,MATCH($B5,'Federal Tax, Stock Buybacks, &amp; '!$E:$E,0))</f>
        <v>-57</v>
      </c>
      <c r="AC5" s="178">
        <f t="array" ref="AC5">INDEX('Federal Tax, Stock Buybacks, &amp; '!AE:AE,MATCH($B5,'Federal Tax, Stock Buybacks, &amp; '!$E:$E,0))</f>
        <v>278</v>
      </c>
      <c r="AD5" s="178">
        <f t="array" ref="AD5">INDEX('Federal Tax, Stock Buybacks, &amp; '!AF:AF,MATCH($B5,'Federal Tax, Stock Buybacks, &amp; '!$E:$E,0))</f>
        <v>134</v>
      </c>
      <c r="AE5" s="172"/>
      <c r="AF5" s="164">
        <f t="shared" ref="AF5:AK5" si="13">Y5/R5</f>
        <v>0.02176739979</v>
      </c>
      <c r="AG5" s="165">
        <f t="shared" si="13"/>
        <v>0.01978764479</v>
      </c>
      <c r="AH5" s="165">
        <f t="shared" si="13"/>
        <v>-0.02195568205</v>
      </c>
      <c r="AI5" s="165">
        <f t="shared" si="13"/>
        <v>0.006788947118</v>
      </c>
      <c r="AJ5" s="165">
        <f t="shared" si="13"/>
        <v>0.07267973856</v>
      </c>
      <c r="AK5" s="165">
        <f t="shared" si="13"/>
        <v>-11.16666667</v>
      </c>
      <c r="AL5" s="172"/>
      <c r="AM5" s="175">
        <f t="shared" si="14"/>
        <v>10037</v>
      </c>
      <c r="AN5" s="176">
        <f t="array" ref="AN5">INDEX('Federal Tax, Stock Buybacks, &amp; '!AP:AP,MATCH($B5,'Federal Tax, Stock Buybacks, &amp; '!$E:$E,0))</f>
        <v>5200</v>
      </c>
      <c r="AO5" s="176">
        <f t="array" ref="AO5">INDEX('Federal Tax, Stock Buybacks, &amp; '!AQ:AQ,MATCH($B5,'Federal Tax, Stock Buybacks, &amp; '!$E:$E,0))</f>
        <v>2598</v>
      </c>
      <c r="AP5" s="176">
        <f t="array" ref="AP5">INDEX('Federal Tax, Stock Buybacks, &amp; '!AR:AR,MATCH($B5,'Federal Tax, Stock Buybacks, &amp; '!$E:$E,0))</f>
        <v>500</v>
      </c>
      <c r="AQ5" s="176">
        <f t="array" ref="AQ5">INDEX('Federal Tax, Stock Buybacks, &amp; '!AS:AS,MATCH($B5,'Federal Tax, Stock Buybacks, &amp; '!$E:$E,0))</f>
        <v>0</v>
      </c>
      <c r="AR5" s="176">
        <f t="array" ref="AR5">INDEX('Federal Tax, Stock Buybacks, &amp; '!AT:AT,MATCH($B5,'Federal Tax, Stock Buybacks, &amp; '!$E:$E,0))</f>
        <v>1739</v>
      </c>
      <c r="AS5" s="172"/>
      <c r="AT5" s="175">
        <f t="shared" si="15"/>
        <v>5529</v>
      </c>
      <c r="AU5" s="176">
        <f t="array" ref="AU5">INDEX('Federal Tax, Stock Buybacks, &amp; '!AW:AW,MATCH($B5,'Federal Tax, Stock Buybacks, &amp; '!$E:$E,0))</f>
        <v>1011</v>
      </c>
      <c r="AV5" s="176">
        <f t="array" ref="AV5">INDEX('Federal Tax, Stock Buybacks, &amp; '!AX:AX,MATCH($B5,'Federal Tax, Stock Buybacks, &amp; '!$E:$E,0))</f>
        <v>1112</v>
      </c>
      <c r="AW5" s="176">
        <f t="array" ref="AW5">INDEX('Federal Tax, Stock Buybacks, &amp; '!AY:AY,MATCH($B5,'Federal Tax, Stock Buybacks, &amp; '!$E:$E,0))</f>
        <v>1132</v>
      </c>
      <c r="AX5" s="176">
        <f t="array" ref="AX5">INDEX('Federal Tax, Stock Buybacks, &amp; '!AZ:AZ,MATCH($B5,'Federal Tax, Stock Buybacks, &amp; '!$E:$E,0))</f>
        <v>1136</v>
      </c>
      <c r="AY5" s="176">
        <f t="array" ref="AY5">INDEX('Federal Tax, Stock Buybacks, &amp; '!BA:BA,MATCH($B5,'Federal Tax, Stock Buybacks, &amp; '!$E:$E,0))</f>
        <v>1138</v>
      </c>
      <c r="AZ5" s="172"/>
      <c r="BA5" s="166">
        <f t="shared" si="16"/>
        <v>72189</v>
      </c>
      <c r="BB5" s="179">
        <f t="shared" si="17"/>
        <v>360945</v>
      </c>
      <c r="BC5" s="180">
        <v>84240.0</v>
      </c>
      <c r="BD5" s="180">
        <v>71936.0</v>
      </c>
      <c r="BE5" s="180">
        <v>70926.0</v>
      </c>
      <c r="BF5" s="180">
        <v>67403.0</v>
      </c>
      <c r="BG5" s="180">
        <v>66440.0</v>
      </c>
      <c r="BH5" s="87"/>
      <c r="BI5" s="154"/>
      <c r="BJ5" s="184" t="s">
        <v>695</v>
      </c>
      <c r="BK5" s="87"/>
      <c r="BL5" s="87"/>
    </row>
    <row r="6" ht="15.0" customHeight="1">
      <c r="A6" s="169">
        <f t="array" ref="A6">INDEX('Federal Tax, Stock Buybacks, &amp; '!D:D,match(B6,'Federal Tax, Stock Buybacks, &amp; '!E:E,0))</f>
        <v>54</v>
      </c>
      <c r="B6" s="182" t="s">
        <v>19</v>
      </c>
      <c r="C6" s="185"/>
      <c r="D6" s="160">
        <f>SUMIF('Executive Pay Breakdown'!B:B,$B6,'Executive Pay Breakdown'!M:M)+SUMIF('Executive Pay Breakdown'!B:B,$B6,'Executive Pay Breakdown'!Q:Q)+SUMIF('Executive Pay Breakdown'!B:B,$B6,'Executive Pay Breakdown'!U:U)+SUMIF('Executive Pay Breakdown'!B:B,$B6,'Executive Pay Breakdown'!Y:Y)+SUMIF('Executive Pay Breakdown'!B:B,$B6,'Executive Pay Breakdown'!AC:AC)</f>
        <v>239636188</v>
      </c>
      <c r="E6" s="161">
        <f>SUMIF('Executive Pay Breakdown'!B:B,$B6,'Executive Pay Breakdown'!M:M)</f>
        <v>47987552</v>
      </c>
      <c r="F6" s="161">
        <f>SUMIF('Executive Pay Breakdown'!B:B,$B6,'Executive Pay Breakdown'!Q:Q)</f>
        <v>44131279</v>
      </c>
      <c r="G6" s="161">
        <f>SUMIF('Executive Pay Breakdown'!B:B,$B6,'Executive Pay Breakdown'!U:U)</f>
        <v>41818878</v>
      </c>
      <c r="H6" s="161">
        <f>SUMIF('Executive Pay Breakdown'!B:B,$B6,'Executive Pay Breakdown'!Y:Y)</f>
        <v>54688507</v>
      </c>
      <c r="I6" s="161">
        <f>SUMIF('Executive Pay Breakdown'!B:B,$B6,'Executive Pay Breakdown'!AC:AC)</f>
        <v>51009972</v>
      </c>
      <c r="J6" s="172"/>
      <c r="K6" s="173" t="s">
        <v>694</v>
      </c>
      <c r="L6" s="174"/>
      <c r="M6" s="183"/>
      <c r="N6" s="174"/>
      <c r="O6" s="174" t="b">
        <f t="shared" ref="O6:P6" si="18">(H6/1000000)&gt;(AC6)</f>
        <v>1</v>
      </c>
      <c r="P6" s="174" t="b">
        <f t="shared" si="18"/>
        <v>1</v>
      </c>
      <c r="Q6" s="172"/>
      <c r="R6" s="175">
        <f t="shared" si="11"/>
        <v>11658</v>
      </c>
      <c r="S6" s="176">
        <f t="array" ref="S6">INDEX('Federal Tax, Stock Buybacks, &amp; '!U:U,MATCH($B6,'Federal Tax, Stock Buybacks, &amp; '!$E:$E,0))</f>
        <v>2636</v>
      </c>
      <c r="T6" s="176">
        <f t="array" ref="T6">INDEX('Federal Tax, Stock Buybacks, &amp; '!V:V,MATCH($B6,'Federal Tax, Stock Buybacks, &amp; '!$E:$E,0))</f>
        <v>4803</v>
      </c>
      <c r="U6" s="176">
        <f t="array" ref="U6">INDEX('Federal Tax, Stock Buybacks, &amp; '!W:W,MATCH($B6,'Federal Tax, Stock Buybacks, &amp; '!$E:$E,0))</f>
        <v>2943</v>
      </c>
      <c r="V6" s="176">
        <f t="array" ref="V6">INDEX('Federal Tax, Stock Buybacks, &amp; '!X:X,MATCH($B6,'Federal Tax, Stock Buybacks, &amp; '!$E:$E,0))</f>
        <v>2090</v>
      </c>
      <c r="W6" s="176">
        <f t="array" ref="W6">INDEX('Federal Tax, Stock Buybacks, &amp; '!Y:Y,MATCH($B6,'Federal Tax, Stock Buybacks, &amp; '!$E:$E,0))</f>
        <v>-814</v>
      </c>
      <c r="X6" s="172"/>
      <c r="Y6" s="177">
        <f t="shared" si="12"/>
        <v>96</v>
      </c>
      <c r="Z6" s="178">
        <f t="array" ref="Z6">INDEX('Federal Tax, Stock Buybacks, &amp; '!AB:AB,MATCH($B6,'Federal Tax, Stock Buybacks, &amp; '!$E:$E,0))</f>
        <v>159</v>
      </c>
      <c r="AA6" s="178">
        <f t="array" ref="AA6">INDEX('Federal Tax, Stock Buybacks, &amp; '!AC:AC,MATCH($B6,'Federal Tax, Stock Buybacks, &amp; '!$E:$E,0))</f>
        <v>62</v>
      </c>
      <c r="AB6" s="178">
        <f t="array" ref="AB6">INDEX('Federal Tax, Stock Buybacks, &amp; '!AD:AD,MATCH($B6,'Federal Tax, Stock Buybacks, &amp; '!$E:$E,0))</f>
        <v>271</v>
      </c>
      <c r="AC6" s="178">
        <f t="array" ref="AC6">INDEX('Federal Tax, Stock Buybacks, &amp; '!AE:AE,MATCH($B6,'Federal Tax, Stock Buybacks, &amp; '!$E:$E,0))</f>
        <v>-189</v>
      </c>
      <c r="AD6" s="178">
        <f t="array" ref="AD6">INDEX('Federal Tax, Stock Buybacks, &amp; '!AF:AF,MATCH($B6,'Federal Tax, Stock Buybacks, &amp; '!$E:$E,0))</f>
        <v>-207</v>
      </c>
      <c r="AE6" s="172"/>
      <c r="AF6" s="164">
        <f t="shared" ref="AF6:AK6" si="19">Y6/R6</f>
        <v>0.008234688626</v>
      </c>
      <c r="AG6" s="165">
        <f t="shared" si="19"/>
        <v>0.06031866464</v>
      </c>
      <c r="AH6" s="165">
        <f t="shared" si="19"/>
        <v>0.01290859879</v>
      </c>
      <c r="AI6" s="165">
        <f t="shared" si="19"/>
        <v>0.0920829086</v>
      </c>
      <c r="AJ6" s="165">
        <f t="shared" si="19"/>
        <v>-0.09043062201</v>
      </c>
      <c r="AK6" s="165">
        <f t="shared" si="19"/>
        <v>0.2542997543</v>
      </c>
      <c r="AL6" s="172"/>
      <c r="AM6" s="175">
        <f t="shared" si="14"/>
        <v>15057</v>
      </c>
      <c r="AN6" s="176">
        <f t="array" ref="AN6">INDEX('Federal Tax, Stock Buybacks, &amp; '!AP:AP,MATCH($B6,'Federal Tax, Stock Buybacks, &amp; '!$E:$E,0))</f>
        <v>3326</v>
      </c>
      <c r="AO6" s="176">
        <f t="array" ref="AO6">INDEX('Federal Tax, Stock Buybacks, &amp; '!AQ:AQ,MATCH($B6,'Federal Tax, Stock Buybacks, &amp; '!$E:$E,0))</f>
        <v>4303</v>
      </c>
      <c r="AP6" s="176">
        <f t="array" ref="AP6">INDEX('Federal Tax, Stock Buybacks, &amp; '!AR:AR,MATCH($B6,'Federal Tax, Stock Buybacks, &amp; '!$E:$E,0))</f>
        <v>1151</v>
      </c>
      <c r="AQ6" s="176">
        <f t="array" ref="AQ6">INDEX('Federal Tax, Stock Buybacks, &amp; '!AS:AS,MATCH($B6,'Federal Tax, Stock Buybacks, &amp; '!$E:$E,0))</f>
        <v>2285</v>
      </c>
      <c r="AR6" s="176">
        <f t="array" ref="AR6">INDEX('Federal Tax, Stock Buybacks, &amp; '!AT:AT,MATCH($B6,'Federal Tax, Stock Buybacks, &amp; '!$E:$E,0))</f>
        <v>3992</v>
      </c>
      <c r="AS6" s="172"/>
      <c r="AT6" s="175">
        <f t="shared" si="15"/>
        <v>9124</v>
      </c>
      <c r="AU6" s="176">
        <f t="array" ref="AU6">INDEX('Federal Tax, Stock Buybacks, &amp; '!AW:AW,MATCH($B6,'Federal Tax, Stock Buybacks, &amp; '!$E:$E,0))</f>
        <v>1783</v>
      </c>
      <c r="AV6" s="176">
        <f t="array" ref="AV6">INDEX('Federal Tax, Stock Buybacks, &amp; '!AX:AX,MATCH($B6,'Federal Tax, Stock Buybacks, &amp; '!$E:$E,0))</f>
        <v>1842</v>
      </c>
      <c r="AW6" s="176">
        <f t="array" ref="AW6">INDEX('Federal Tax, Stock Buybacks, &amp; '!AY:AY,MATCH($B6,'Federal Tax, Stock Buybacks, &amp; '!$E:$E,0))</f>
        <v>1859</v>
      </c>
      <c r="AX6" s="176">
        <f t="array" ref="AX6">INDEX('Federal Tax, Stock Buybacks, &amp; '!AZ:AZ,MATCH($B6,'Federal Tax, Stock Buybacks, &amp; '!$E:$E,0))</f>
        <v>1821</v>
      </c>
      <c r="AY6" s="176">
        <f t="array" ref="AY6">INDEX('Federal Tax, Stock Buybacks, &amp; '!BA:BA,MATCH($B6,'Federal Tax, Stock Buybacks, &amp; '!$E:$E,0))</f>
        <v>1819</v>
      </c>
      <c r="AZ6" s="172"/>
      <c r="BA6" s="166">
        <f t="shared" si="16"/>
        <v>73359.2</v>
      </c>
      <c r="BB6" s="179">
        <f t="shared" si="17"/>
        <v>366796</v>
      </c>
      <c r="BC6" s="180">
        <v>64070.0</v>
      </c>
      <c r="BD6" s="180">
        <v>76392.0</v>
      </c>
      <c r="BE6" s="180">
        <v>75511.0</v>
      </c>
      <c r="BF6" s="180">
        <v>77359.0</v>
      </c>
      <c r="BG6" s="180">
        <v>73464.0</v>
      </c>
      <c r="BH6" s="87"/>
      <c r="BI6" s="154"/>
      <c r="BJ6" s="186" t="s">
        <v>695</v>
      </c>
      <c r="BK6" s="87"/>
      <c r="BL6" s="87"/>
    </row>
    <row r="7" ht="15.0" customHeight="1">
      <c r="A7" s="169">
        <f t="array" ref="A7">INDEX('Federal Tax, Stock Buybacks, &amp; '!D:D,match(B7,'Federal Tax, Stock Buybacks, &amp; '!E:E,0))</f>
        <v>579</v>
      </c>
      <c r="B7" s="187" t="s">
        <v>40</v>
      </c>
      <c r="C7" s="185" t="s">
        <v>696</v>
      </c>
      <c r="D7" s="160">
        <f>SUMIF('Executive Pay Breakdown'!B:B,$B7,'Executive Pay Breakdown'!M:M)+SUMIF('Executive Pay Breakdown'!B:B,$B7,'Executive Pay Breakdown'!Q:Q)+SUMIF('Executive Pay Breakdown'!B:B,$B7,'Executive Pay Breakdown'!U:U)+SUMIF('Executive Pay Breakdown'!B:B,$B7,'Executive Pay Breakdown'!Y:Y)+SUMIF('Executive Pay Breakdown'!B:B,$B7,'Executive Pay Breakdown'!AC:AC)</f>
        <v>177163117</v>
      </c>
      <c r="E7" s="161">
        <f>SUMIF('Executive Pay Breakdown'!B:B,$B7,'Executive Pay Breakdown'!M:M)</f>
        <v>40468871</v>
      </c>
      <c r="F7" s="161">
        <f>SUMIF('Executive Pay Breakdown'!B:B,$B7,'Executive Pay Breakdown'!Q:Q)</f>
        <v>37700080</v>
      </c>
      <c r="G7" s="161">
        <f>SUMIF('Executive Pay Breakdown'!B:B,$B7,'Executive Pay Breakdown'!U:U)</f>
        <v>31923174</v>
      </c>
      <c r="H7" s="161">
        <f>SUMIF('Executive Pay Breakdown'!B:B,$B7,'Executive Pay Breakdown'!Y:Y)</f>
        <v>33206817</v>
      </c>
      <c r="I7" s="161">
        <f>SUMIF('Executive Pay Breakdown'!B:B,$B7,'Executive Pay Breakdown'!AC:AC)</f>
        <v>33864175</v>
      </c>
      <c r="J7" s="172"/>
      <c r="K7" s="173" t="s">
        <v>694</v>
      </c>
      <c r="L7" s="174" t="b">
        <f t="shared" ref="L7:N7" si="20">(E7/1000000)&gt;(Z7)</f>
        <v>1</v>
      </c>
      <c r="M7" s="174" t="b">
        <f t="shared" si="20"/>
        <v>1</v>
      </c>
      <c r="N7" s="174" t="b">
        <f t="shared" si="20"/>
        <v>1</v>
      </c>
      <c r="O7" s="174"/>
      <c r="P7" s="183"/>
      <c r="Q7" s="172"/>
      <c r="R7" s="175">
        <f t="shared" si="11"/>
        <v>3684</v>
      </c>
      <c r="S7" s="176">
        <f t="array" ref="S7">INDEX('Federal Tax, Stock Buybacks, &amp; '!U:U,MATCH($B7,'Federal Tax, Stock Buybacks, &amp; '!$E:$E,0))</f>
        <v>508</v>
      </c>
      <c r="T7" s="176">
        <f t="array" ref="T7">INDEX('Federal Tax, Stock Buybacks, &amp; '!V:V,MATCH($B7,'Federal Tax, Stock Buybacks, &amp; '!$E:$E,0))</f>
        <v>1997</v>
      </c>
      <c r="U7" s="176">
        <f t="array" ref="U7">INDEX('Federal Tax, Stock Buybacks, &amp; '!W:W,MATCH($B7,'Federal Tax, Stock Buybacks, &amp; '!$E:$E,0))</f>
        <v>195</v>
      </c>
      <c r="V7" s="176">
        <f t="array" ref="V7">INDEX('Federal Tax, Stock Buybacks, &amp; '!X:X,MATCH($B7,'Federal Tax, Stock Buybacks, &amp; '!$E:$E,0))</f>
        <v>509</v>
      </c>
      <c r="W7" s="176">
        <f t="array" ref="W7">INDEX('Federal Tax, Stock Buybacks, &amp; '!Y:Y,MATCH($B7,'Federal Tax, Stock Buybacks, &amp; '!$E:$E,0))</f>
        <v>475</v>
      </c>
      <c r="X7" s="172"/>
      <c r="Y7" s="177">
        <f t="shared" si="12"/>
        <v>-295</v>
      </c>
      <c r="Z7" s="178">
        <f t="array" ref="Z7">INDEX('Federal Tax, Stock Buybacks, &amp; '!AB:AB,MATCH($B7,'Federal Tax, Stock Buybacks, &amp; '!$E:$E,0))</f>
        <v>-5</v>
      </c>
      <c r="AA7" s="178">
        <f t="array" ref="AA7">INDEX('Federal Tax, Stock Buybacks, &amp; '!AC:AC,MATCH($B7,'Federal Tax, Stock Buybacks, &amp; '!$E:$E,0))</f>
        <v>-463</v>
      </c>
      <c r="AB7" s="178">
        <f t="array" ref="AB7">INDEX('Federal Tax, Stock Buybacks, &amp; '!AD:AD,MATCH($B7,'Federal Tax, Stock Buybacks, &amp; '!$E:$E,0))</f>
        <v>-9</v>
      </c>
      <c r="AC7" s="178">
        <f t="array" ref="AC7">INDEX('Federal Tax, Stock Buybacks, &amp; '!AE:AE,MATCH($B7,'Federal Tax, Stock Buybacks, &amp; '!$E:$E,0))</f>
        <v>126</v>
      </c>
      <c r="AD7" s="178">
        <f t="array" ref="AD7">INDEX('Federal Tax, Stock Buybacks, &amp; '!AF:AF,MATCH($B7,'Federal Tax, Stock Buybacks, &amp; '!$E:$E,0))</f>
        <v>56</v>
      </c>
      <c r="AE7" s="172"/>
      <c r="AF7" s="164">
        <f t="shared" ref="AF7:AK7" si="21">Y7/R7</f>
        <v>-0.08007600434</v>
      </c>
      <c r="AG7" s="165">
        <f t="shared" si="21"/>
        <v>-0.009842519685</v>
      </c>
      <c r="AH7" s="165">
        <f t="shared" si="21"/>
        <v>-0.2318477717</v>
      </c>
      <c r="AI7" s="165">
        <f t="shared" si="21"/>
        <v>-0.04615384615</v>
      </c>
      <c r="AJ7" s="165">
        <f t="shared" si="21"/>
        <v>0.2475442043</v>
      </c>
      <c r="AK7" s="165">
        <f t="shared" si="21"/>
        <v>0.1178947368</v>
      </c>
      <c r="AL7" s="172"/>
      <c r="AM7" s="175">
        <f t="shared" si="14"/>
        <v>4540</v>
      </c>
      <c r="AN7" s="176">
        <f t="array" ref="AN7">INDEX('Federal Tax, Stock Buybacks, &amp; '!AP:AP,MATCH($B7,'Federal Tax, Stock Buybacks, &amp; '!$E:$E,0))</f>
        <v>750</v>
      </c>
      <c r="AO7" s="176">
        <f t="array" ref="AO7">INDEX('Federal Tax, Stock Buybacks, &amp; '!AQ:AQ,MATCH($B7,'Federal Tax, Stock Buybacks, &amp; '!$E:$E,0))</f>
        <v>1113</v>
      </c>
      <c r="AP7" s="176">
        <f t="array" ref="AP7">INDEX('Federal Tax, Stock Buybacks, &amp; '!AR:AR,MATCH($B7,'Federal Tax, Stock Buybacks, &amp; '!$E:$E,0))</f>
        <v>516</v>
      </c>
      <c r="AQ7" s="176">
        <f t="array" ref="AQ7">INDEX('Federal Tax, Stock Buybacks, &amp; '!AS:AS,MATCH($B7,'Federal Tax, Stock Buybacks, &amp; '!$E:$E,0))</f>
        <v>1136</v>
      </c>
      <c r="AR7" s="176">
        <f t="array" ref="AR7">INDEX('Federal Tax, Stock Buybacks, &amp; '!AT:AT,MATCH($B7,'Federal Tax, Stock Buybacks, &amp; '!$E:$E,0))</f>
        <v>1025</v>
      </c>
      <c r="AS7" s="172"/>
      <c r="AT7" s="175">
        <f t="shared" si="15"/>
        <v>425</v>
      </c>
      <c r="AU7" s="176">
        <f t="array" ref="AU7">INDEX('Federal Tax, Stock Buybacks, &amp; '!AW:AW,MATCH($B7,'Federal Tax, Stock Buybacks, &amp; '!$E:$E,0))</f>
        <v>119</v>
      </c>
      <c r="AV7" s="176">
        <f t="array" ref="AV7">INDEX('Federal Tax, Stock Buybacks, &amp; '!AX:AX,MATCH($B7,'Federal Tax, Stock Buybacks, &amp; '!$E:$E,0))</f>
        <v>116</v>
      </c>
      <c r="AW7" s="176">
        <f t="array" ref="AW7">INDEX('Federal Tax, Stock Buybacks, &amp; '!AY:AY,MATCH($B7,'Federal Tax, Stock Buybacks, &amp; '!$E:$E,0))</f>
        <v>112</v>
      </c>
      <c r="AX7" s="176">
        <f t="array" ref="AX7">INDEX('Federal Tax, Stock Buybacks, &amp; '!AZ:AZ,MATCH($B7,'Federal Tax, Stock Buybacks, &amp; '!$E:$E,0))</f>
        <v>72</v>
      </c>
      <c r="AY7" s="176">
        <f t="array" ref="AY7">INDEX('Federal Tax, Stock Buybacks, &amp; '!BA:BA,MATCH($B7,'Federal Tax, Stock Buybacks, &amp; '!$E:$E,0))</f>
        <v>6</v>
      </c>
      <c r="AZ7" s="172"/>
      <c r="BA7" s="166">
        <f t="shared" si="16"/>
        <v>114405.6</v>
      </c>
      <c r="BB7" s="179">
        <f t="shared" si="17"/>
        <v>572028</v>
      </c>
      <c r="BC7" s="188">
        <v>106866.0</v>
      </c>
      <c r="BD7" s="188">
        <v>121489.0</v>
      </c>
      <c r="BE7" s="188">
        <v>117545.0</v>
      </c>
      <c r="BF7" s="188">
        <v>127400.0</v>
      </c>
      <c r="BG7" s="188">
        <v>98728.0</v>
      </c>
      <c r="BH7" s="87"/>
      <c r="BI7" s="154"/>
      <c r="BJ7" s="189" t="s">
        <v>695</v>
      </c>
      <c r="BK7" s="87"/>
      <c r="BL7" s="87"/>
    </row>
    <row r="8" ht="15.0" customHeight="1">
      <c r="A8" s="169">
        <f t="array" ref="A8">INDEX('Federal Tax, Stock Buybacks, &amp; '!D:D,match(B8,'Federal Tax, Stock Buybacks, &amp; '!E:E,0))</f>
        <v>236</v>
      </c>
      <c r="B8" s="190" t="s">
        <v>18</v>
      </c>
      <c r="C8" s="185" t="s">
        <v>697</v>
      </c>
      <c r="D8" s="160">
        <f>SUMIF('Executive Pay Breakdown'!B:B,$B8,'Executive Pay Breakdown'!M:M)+SUMIF('Executive Pay Breakdown'!B:B,$B8,'Executive Pay Breakdown'!Q:Q)+SUMIF('Executive Pay Breakdown'!B:B,$B8,'Executive Pay Breakdown'!U:U)+SUMIF('Executive Pay Breakdown'!B:B,$B8,'Executive Pay Breakdown'!Y:Y)+SUMIF('Executive Pay Breakdown'!B:B,$B8,'Executive Pay Breakdown'!AC:AC)</f>
        <v>170202177</v>
      </c>
      <c r="E8" s="161">
        <f>SUMIF('Executive Pay Breakdown'!B:B,$B8,'Executive Pay Breakdown'!M:M)</f>
        <v>32592472</v>
      </c>
      <c r="F8" s="161">
        <f>SUMIF('Executive Pay Breakdown'!B:B,$B8,'Executive Pay Breakdown'!Q:Q)</f>
        <v>38436273</v>
      </c>
      <c r="G8" s="161">
        <f>SUMIF('Executive Pay Breakdown'!B:B,$B8,'Executive Pay Breakdown'!U:U)</f>
        <v>33646602</v>
      </c>
      <c r="H8" s="161">
        <f>SUMIF('Executive Pay Breakdown'!B:B,$B8,'Executive Pay Breakdown'!Y:Y)</f>
        <v>33690305</v>
      </c>
      <c r="I8" s="161">
        <f>SUMIF('Executive Pay Breakdown'!B:B,$B8,'Executive Pay Breakdown'!AC:AC)</f>
        <v>31836525</v>
      </c>
      <c r="J8" s="172"/>
      <c r="K8" s="173" t="s">
        <v>694</v>
      </c>
      <c r="L8" s="174" t="b">
        <f t="shared" ref="L8:L9" si="24">(E8/1000000)&gt;(Z8)</f>
        <v>1</v>
      </c>
      <c r="M8" s="183"/>
      <c r="N8" s="174" t="b">
        <f t="shared" ref="N8:P8" si="22">(G8/1000000)&gt;(AB8)</f>
        <v>1</v>
      </c>
      <c r="O8" s="174" t="b">
        <f t="shared" si="22"/>
        <v>1</v>
      </c>
      <c r="P8" s="174" t="b">
        <f t="shared" si="22"/>
        <v>1</v>
      </c>
      <c r="Q8" s="172"/>
      <c r="R8" s="175">
        <f t="shared" si="11"/>
        <v>11976.3</v>
      </c>
      <c r="S8" s="176">
        <f t="array" ref="S8">INDEX('Federal Tax, Stock Buybacks, &amp; '!U:U,MATCH($B8,'Federal Tax, Stock Buybacks, &amp; '!$E:$E,0))</f>
        <v>5800.8</v>
      </c>
      <c r="T8" s="176">
        <f t="array" ref="T8">INDEX('Federal Tax, Stock Buybacks, &amp; '!V:V,MATCH($B8,'Federal Tax, Stock Buybacks, &amp; '!$E:$E,0))</f>
        <v>1869.7</v>
      </c>
      <c r="U8" s="176">
        <f t="array" ref="U8">INDEX('Federal Tax, Stock Buybacks, &amp; '!W:W,MATCH($B8,'Federal Tax, Stock Buybacks, &amp; '!$E:$E,0))</f>
        <v>1318.2</v>
      </c>
      <c r="V8" s="176">
        <f t="array" ref="V8">INDEX('Federal Tax, Stock Buybacks, &amp; '!X:X,MATCH($B8,'Federal Tax, Stock Buybacks, &amp; '!$E:$E,0))</f>
        <v>1347</v>
      </c>
      <c r="W8" s="176">
        <f t="array" ref="W8">INDEX('Federal Tax, Stock Buybacks, &amp; '!Y:Y,MATCH($B8,'Federal Tax, Stock Buybacks, &amp; '!$E:$E,0))</f>
        <v>1640.6</v>
      </c>
      <c r="X8" s="172"/>
      <c r="Y8" s="177">
        <f t="shared" si="12"/>
        <v>45.9</v>
      </c>
      <c r="Z8" s="178">
        <f t="array" ref="Z8">INDEX('Federal Tax, Stock Buybacks, &amp; '!AB:AB,MATCH($B8,'Federal Tax, Stock Buybacks, &amp; '!$E:$E,0))</f>
        <v>-57.3</v>
      </c>
      <c r="AA8" s="178">
        <f t="array" ref="AA8">INDEX('Federal Tax, Stock Buybacks, &amp; '!AC:AC,MATCH($B8,'Federal Tax, Stock Buybacks, &amp; '!$E:$E,0))</f>
        <v>110.3</v>
      </c>
      <c r="AB8" s="178">
        <f t="array" ref="AB8">INDEX('Federal Tax, Stock Buybacks, &amp; '!AD:AD,MATCH($B8,'Federal Tax, Stock Buybacks, &amp; '!$E:$E,0))</f>
        <v>15.8</v>
      </c>
      <c r="AC8" s="178">
        <f t="array" ref="AC8">INDEX('Federal Tax, Stock Buybacks, &amp; '!AE:AE,MATCH($B8,'Federal Tax, Stock Buybacks, &amp; '!$E:$E,0))</f>
        <v>31.9</v>
      </c>
      <c r="AD8" s="178">
        <f t="array" ref="AD8">INDEX('Federal Tax, Stock Buybacks, &amp; '!AF:AF,MATCH($B8,'Federal Tax, Stock Buybacks, &amp; '!$E:$E,0))</f>
        <v>-54.8</v>
      </c>
      <c r="AE8" s="172"/>
      <c r="AF8" s="164">
        <f t="shared" ref="AF8:AK8" si="23">Y8/R8</f>
        <v>0.003832569324</v>
      </c>
      <c r="AG8" s="165">
        <f t="shared" si="23"/>
        <v>-0.009877947869</v>
      </c>
      <c r="AH8" s="165">
        <f t="shared" si="23"/>
        <v>0.0589934214</v>
      </c>
      <c r="AI8" s="165">
        <f t="shared" si="23"/>
        <v>0.01198604157</v>
      </c>
      <c r="AJ8" s="165">
        <f t="shared" si="23"/>
        <v>0.02368225687</v>
      </c>
      <c r="AK8" s="165">
        <f t="shared" si="23"/>
        <v>-0.03340241375</v>
      </c>
      <c r="AL8" s="172"/>
      <c r="AM8" s="175">
        <f t="shared" si="14"/>
        <v>3892</v>
      </c>
      <c r="AN8" s="176">
        <f t="array" ref="AN8">INDEX('Federal Tax, Stock Buybacks, &amp; '!AP:AP,MATCH($B8,'Federal Tax, Stock Buybacks, &amp; '!$E:$E,0))</f>
        <v>1695</v>
      </c>
      <c r="AO8" s="176">
        <f t="array" ref="AO8">INDEX('Federal Tax, Stock Buybacks, &amp; '!AQ:AQ,MATCH($B8,'Federal Tax, Stock Buybacks, &amp; '!$E:$E,0))</f>
        <v>937</v>
      </c>
      <c r="AP8" s="176">
        <f t="array" ref="AP8">INDEX('Federal Tax, Stock Buybacks, &amp; '!AR:AR,MATCH($B8,'Federal Tax, Stock Buybacks, &amp; '!$E:$E,0))</f>
        <v>307</v>
      </c>
      <c r="AQ8" s="176">
        <f t="array" ref="AQ8">INDEX('Federal Tax, Stock Buybacks, &amp; '!AS:AS,MATCH($B8,'Federal Tax, Stock Buybacks, &amp; '!$E:$E,0))</f>
        <v>281</v>
      </c>
      <c r="AR8" s="176">
        <f t="array" ref="AR8">INDEX('Federal Tax, Stock Buybacks, &amp; '!AT:AT,MATCH($B8,'Federal Tax, Stock Buybacks, &amp; '!$E:$E,0))</f>
        <v>672</v>
      </c>
      <c r="AS8" s="172"/>
      <c r="AT8" s="175">
        <f t="shared" si="15"/>
        <v>3115.5</v>
      </c>
      <c r="AU8" s="176">
        <f t="array" ref="AU8">INDEX('Federal Tax, Stock Buybacks, &amp; '!AW:AW,MATCH($B8,'Federal Tax, Stock Buybacks, &amp; '!$E:$E,0))</f>
        <v>642.3</v>
      </c>
      <c r="AV8" s="176">
        <f t="array" ref="AV8">INDEX('Federal Tax, Stock Buybacks, &amp; '!AX:AX,MATCH($B8,'Federal Tax, Stock Buybacks, &amp; '!$E:$E,0))</f>
        <v>654.1</v>
      </c>
      <c r="AW8" s="176">
        <f t="array" ref="AW8">INDEX('Federal Tax, Stock Buybacks, &amp; '!AY:AY,MATCH($B8,'Federal Tax, Stock Buybacks, &amp; '!$E:$E,0))</f>
        <v>614.5</v>
      </c>
      <c r="AX8" s="176">
        <f t="array" ref="AX8">INDEX('Federal Tax, Stock Buybacks, &amp; '!AZ:AZ,MATCH($B8,'Federal Tax, Stock Buybacks, &amp; '!$E:$E,0))</f>
        <v>606</v>
      </c>
      <c r="AY8" s="176">
        <f t="array" ref="AY8">INDEX('Federal Tax, Stock Buybacks, &amp; '!BA:BA,MATCH($B8,'Federal Tax, Stock Buybacks, &amp; '!$E:$E,0))</f>
        <v>598.6</v>
      </c>
      <c r="AZ8" s="172"/>
      <c r="BA8" s="166">
        <f t="shared" si="16"/>
        <v>86353.4</v>
      </c>
      <c r="BB8" s="179">
        <f t="shared" si="17"/>
        <v>431767</v>
      </c>
      <c r="BC8" s="179">
        <v>75463.0</v>
      </c>
      <c r="BD8" s="179">
        <v>75348.0</v>
      </c>
      <c r="BE8" s="188">
        <v>81523.0</v>
      </c>
      <c r="BF8" s="188">
        <v>116561.0</v>
      </c>
      <c r="BG8" s="188">
        <v>82872.0</v>
      </c>
      <c r="BH8" s="87"/>
      <c r="BI8" s="154"/>
      <c r="BJ8" s="189" t="s">
        <v>695</v>
      </c>
      <c r="BK8" s="87"/>
      <c r="BL8" s="87"/>
    </row>
    <row r="9" ht="15.0" customHeight="1">
      <c r="A9" s="169">
        <f t="array" ref="A9">INDEX('Federal Tax, Stock Buybacks, &amp; '!D:D,match(B9,'Federal Tax, Stock Buybacks, &amp; '!E:E,0))</f>
        <v>257</v>
      </c>
      <c r="B9" s="191" t="s">
        <v>74</v>
      </c>
      <c r="C9" s="185" t="s">
        <v>698</v>
      </c>
      <c r="D9" s="160">
        <f>SUMIF('Executive Pay Breakdown'!B:B,$B9,'Executive Pay Breakdown'!M:M)+SUMIF('Executive Pay Breakdown'!B:B,$B9,'Executive Pay Breakdown'!Q:Q)+SUMIF('Executive Pay Breakdown'!B:B,$B9,'Executive Pay Breakdown'!U:U)+SUMIF('Executive Pay Breakdown'!B:B,$B9,'Executive Pay Breakdown'!Y:Y)+SUMIF('Executive Pay Breakdown'!B:B,$B9,'Executive Pay Breakdown'!AC:AC)</f>
        <v>115808255</v>
      </c>
      <c r="E9" s="161">
        <f>SUMIF('Executive Pay Breakdown'!B:B,$B9,'Executive Pay Breakdown'!M:M)</f>
        <v>23812117</v>
      </c>
      <c r="F9" s="161">
        <f>SUMIF('Executive Pay Breakdown'!B:B,$B9,'Executive Pay Breakdown'!Q:Q)</f>
        <v>32358770</v>
      </c>
      <c r="G9" s="161">
        <f>SUMIF('Executive Pay Breakdown'!B:B,$B9,'Executive Pay Breakdown'!U:U)</f>
        <v>21501807</v>
      </c>
      <c r="H9" s="161">
        <f>SUMIF('Executive Pay Breakdown'!B:B,$B9,'Executive Pay Breakdown'!Y:Y)</f>
        <v>21986263</v>
      </c>
      <c r="I9" s="161">
        <f>SUMIF('Executive Pay Breakdown'!B:B,$B9,'Executive Pay Breakdown'!AC:AC)</f>
        <v>16149298</v>
      </c>
      <c r="J9" s="192"/>
      <c r="K9" s="173" t="s">
        <v>699</v>
      </c>
      <c r="L9" s="174" t="b">
        <f t="shared" si="24"/>
        <v>1</v>
      </c>
      <c r="M9" s="174"/>
      <c r="N9" s="174"/>
      <c r="O9" s="174" t="b">
        <f t="shared" ref="O9:O10" si="26">(H9/1000000)&gt;(AC9)</f>
        <v>1</v>
      </c>
      <c r="P9" s="174"/>
      <c r="Q9" s="192"/>
      <c r="R9" s="175">
        <f t="shared" si="11"/>
        <v>2302.2</v>
      </c>
      <c r="S9" s="176">
        <f t="array" ref="S9">INDEX('Federal Tax, Stock Buybacks, &amp; '!U:U,MATCH($B9,'Federal Tax, Stock Buybacks, &amp; '!$E:$E,0))</f>
        <v>399</v>
      </c>
      <c r="T9" s="176">
        <f t="array" ref="T9">INDEX('Federal Tax, Stock Buybacks, &amp; '!V:V,MATCH($B9,'Federal Tax, Stock Buybacks, &amp; '!$E:$E,0))</f>
        <v>327</v>
      </c>
      <c r="U9" s="176">
        <f t="array" ref="U9">INDEX('Federal Tax, Stock Buybacks, &amp; '!W:W,MATCH($B9,'Federal Tax, Stock Buybacks, &amp; '!$E:$E,0))</f>
        <v>79</v>
      </c>
      <c r="V9" s="176">
        <f t="array" ref="V9">INDEX('Federal Tax, Stock Buybacks, &amp; '!X:X,MATCH($B9,'Federal Tax, Stock Buybacks, &amp; '!$E:$E,0))</f>
        <v>871</v>
      </c>
      <c r="W9" s="176">
        <f t="array" ref="W9">INDEX('Federal Tax, Stock Buybacks, &amp; '!Y:Y,MATCH($B9,'Federal Tax, Stock Buybacks, &amp; '!$E:$E,0))</f>
        <v>626.2</v>
      </c>
      <c r="X9" s="172"/>
      <c r="Y9" s="177">
        <f t="shared" si="12"/>
        <v>189.43</v>
      </c>
      <c r="Z9" s="178">
        <f t="array" ref="Z9">INDEX('Federal Tax, Stock Buybacks, &amp; '!AB:AB,MATCH($B9,'Federal Tax, Stock Buybacks, &amp; '!$E:$E,0))</f>
        <v>-12</v>
      </c>
      <c r="AA9" s="178">
        <f t="array" ref="AA9">INDEX('Federal Tax, Stock Buybacks, &amp; '!AC:AC,MATCH($B9,'Federal Tax, Stock Buybacks, &amp; '!$E:$E,0))</f>
        <v>80</v>
      </c>
      <c r="AB9" s="178">
        <f t="array" ref="AB9">INDEX('Federal Tax, Stock Buybacks, &amp; '!AD:AD,MATCH($B9,'Federal Tax, Stock Buybacks, &amp; '!$E:$E,0))</f>
        <v>62</v>
      </c>
      <c r="AC9" s="178">
        <f t="array" ref="AC9">INDEX('Federal Tax, Stock Buybacks, &amp; '!AE:AE,MATCH($B9,'Federal Tax, Stock Buybacks, &amp; '!$E:$E,0))</f>
        <v>-9</v>
      </c>
      <c r="AD9" s="178">
        <f t="array" ref="AD9">INDEX('Federal Tax, Stock Buybacks, &amp; '!AF:AF,MATCH($B9,'Federal Tax, Stock Buybacks, &amp; '!$E:$E,0))</f>
        <v>68.43</v>
      </c>
      <c r="AE9" s="172"/>
      <c r="AF9" s="193">
        <f t="shared" ref="AF9:AK9" si="25">Y9/R9</f>
        <v>0.08228216489</v>
      </c>
      <c r="AG9" s="194">
        <f t="shared" si="25"/>
        <v>-0.03007518797</v>
      </c>
      <c r="AH9" s="194">
        <f t="shared" si="25"/>
        <v>0.244648318</v>
      </c>
      <c r="AI9" s="194">
        <f t="shared" si="25"/>
        <v>0.7848101266</v>
      </c>
      <c r="AJ9" s="194">
        <f t="shared" si="25"/>
        <v>-0.01033295063</v>
      </c>
      <c r="AK9" s="194">
        <f t="shared" si="25"/>
        <v>0.1092781859</v>
      </c>
      <c r="AL9" s="172"/>
      <c r="AM9" s="175">
        <f t="shared" si="14"/>
        <v>743.679</v>
      </c>
      <c r="AN9" s="176">
        <f t="array" ref="AN9">INDEX('Federal Tax, Stock Buybacks, &amp; '!AP:AP,MATCH($B9,'Federal Tax, Stock Buybacks, &amp; '!$E:$E,0))</f>
        <v>81</v>
      </c>
      <c r="AO9" s="176">
        <f t="array" ref="AO9">INDEX('Federal Tax, Stock Buybacks, &amp; '!AQ:AQ,MATCH($B9,'Federal Tax, Stock Buybacks, &amp; '!$E:$E,0))</f>
        <v>99</v>
      </c>
      <c r="AP9" s="176">
        <f t="array" ref="AP9">INDEX('Federal Tax, Stock Buybacks, &amp; '!AR:AR,MATCH($B9,'Federal Tax, Stock Buybacks, &amp; '!$E:$E,0))</f>
        <v>163</v>
      </c>
      <c r="AQ9" s="176">
        <f t="array" ref="AQ9">INDEX('Federal Tax, Stock Buybacks, &amp; '!AS:AS,MATCH($B9,'Federal Tax, Stock Buybacks, &amp; '!$E:$E,0))</f>
        <v>101</v>
      </c>
      <c r="AR9" s="176">
        <f t="array" ref="AR9">INDEX('Federal Tax, Stock Buybacks, &amp; '!AT:AT,MATCH($B9,'Federal Tax, Stock Buybacks, &amp; '!$E:$E,0))</f>
        <v>299.679</v>
      </c>
      <c r="AS9" s="172"/>
      <c r="AT9" s="175">
        <f t="shared" si="15"/>
        <v>884</v>
      </c>
      <c r="AU9" s="176">
        <f t="array" ref="AU9">INDEX('Federal Tax, Stock Buybacks, &amp; '!AW:AW,MATCH($B9,'Federal Tax, Stock Buybacks, &amp; '!$E:$E,0))</f>
        <v>205</v>
      </c>
      <c r="AV9" s="176">
        <f t="array" ref="AV9">INDEX('Federal Tax, Stock Buybacks, &amp; '!AX:AX,MATCH($B9,'Federal Tax, Stock Buybacks, &amp; '!$E:$E,0))</f>
        <v>194</v>
      </c>
      <c r="AW9" s="176">
        <f t="array" ref="AW9">INDEX('Federal Tax, Stock Buybacks, &amp; '!AY:AY,MATCH($B9,'Federal Tax, Stock Buybacks, &amp; '!$E:$E,0))</f>
        <v>182</v>
      </c>
      <c r="AX9" s="176">
        <f t="array" ref="AX9">INDEX('Federal Tax, Stock Buybacks, &amp; '!AZ:AZ,MATCH($B9,'Federal Tax, Stock Buybacks, &amp; '!$E:$E,0))</f>
        <v>163</v>
      </c>
      <c r="AY9" s="176">
        <f t="array" ref="AY9">INDEX('Federal Tax, Stock Buybacks, &amp; '!BA:BA,MATCH($B9,'Federal Tax, Stock Buybacks, &amp; '!$E:$E,0))</f>
        <v>140</v>
      </c>
      <c r="AZ9" s="172"/>
      <c r="BA9" s="195">
        <f t="shared" si="16"/>
        <v>118653</v>
      </c>
      <c r="BB9" s="179">
        <f t="shared" si="17"/>
        <v>593265</v>
      </c>
      <c r="BC9" s="188">
        <v>129302.0</v>
      </c>
      <c r="BD9" s="188">
        <v>125152.0</v>
      </c>
      <c r="BE9" s="188">
        <v>117324.0</v>
      </c>
      <c r="BF9" s="188">
        <v>113479.0</v>
      </c>
      <c r="BG9" s="188">
        <v>108008.0</v>
      </c>
      <c r="BH9" s="87"/>
      <c r="BI9" s="154"/>
      <c r="BJ9" s="189" t="s">
        <v>695</v>
      </c>
      <c r="BK9" s="87"/>
      <c r="BL9" s="87"/>
    </row>
    <row r="10" ht="15.0" customHeight="1">
      <c r="A10" s="196">
        <f t="array" ref="A10">INDEX('Federal Tax, Stock Buybacks, &amp; '!D:D,match(B10,'Federal Tax, Stock Buybacks, &amp; '!E:E,0))</f>
        <v>174</v>
      </c>
      <c r="B10" s="197" t="s">
        <v>59</v>
      </c>
      <c r="C10" s="185" t="s">
        <v>700</v>
      </c>
      <c r="D10" s="160">
        <f>SUMIF('Executive Pay Breakdown'!B:B,$B10,'Executive Pay Breakdown'!M:M)+SUMIF('Executive Pay Breakdown'!B:B,$B10,'Executive Pay Breakdown'!Q:Q)+SUMIF('Executive Pay Breakdown'!B:B,$B10,'Executive Pay Breakdown'!U:U)+SUMIF('Executive Pay Breakdown'!B:B,$B10,'Executive Pay Breakdown'!Y:Y)+SUMIF('Executive Pay Breakdown'!B:B,$B10,'Executive Pay Breakdown'!AC:AC)</f>
        <v>180325187</v>
      </c>
      <c r="E10" s="161">
        <f>SUMIF('Executive Pay Breakdown'!B:B,$B10,'Executive Pay Breakdown'!M:M)</f>
        <v>37723286</v>
      </c>
      <c r="F10" s="161">
        <f>SUMIF('Executive Pay Breakdown'!B:B,$B10,'Executive Pay Breakdown'!Q:Q)</f>
        <v>39792977</v>
      </c>
      <c r="G10" s="161">
        <f>SUMIF('Executive Pay Breakdown'!B:B,$B10,'Executive Pay Breakdown'!U:U)</f>
        <v>31445575</v>
      </c>
      <c r="H10" s="161">
        <f>SUMIF('Executive Pay Breakdown'!B:B,$B10,'Executive Pay Breakdown'!Y:Y)</f>
        <v>36379015</v>
      </c>
      <c r="I10" s="161">
        <f>SUMIF('Executive Pay Breakdown'!B:B,$B10,'Executive Pay Breakdown'!AC:AC)</f>
        <v>34984334</v>
      </c>
      <c r="J10" s="172"/>
      <c r="K10" s="173" t="s">
        <v>699</v>
      </c>
      <c r="L10" s="174"/>
      <c r="M10" s="174"/>
      <c r="N10" s="174"/>
      <c r="O10" s="174" t="b">
        <f t="shared" si="26"/>
        <v>1</v>
      </c>
      <c r="P10" s="174" t="b">
        <f>(I10/1000000)&gt;(AD10)</f>
        <v>1</v>
      </c>
      <c r="Q10" s="172"/>
      <c r="R10" s="175">
        <f t="shared" si="11"/>
        <v>11761</v>
      </c>
      <c r="S10" s="176">
        <f t="array" ref="S10">INDEX('Federal Tax, Stock Buybacks, &amp; '!U:U,MATCH($B10,'Federal Tax, Stock Buybacks, &amp; '!$E:$E,0))</f>
        <v>2252</v>
      </c>
      <c r="T10" s="176">
        <f t="array" ref="T10">INDEX('Federal Tax, Stock Buybacks, &amp; '!V:V,MATCH($B10,'Federal Tax, Stock Buybacks, &amp; '!$E:$E,0))</f>
        <v>2910</v>
      </c>
      <c r="U10" s="176">
        <f t="array" ref="U10">INDEX('Federal Tax, Stock Buybacks, &amp; '!W:W,MATCH($B10,'Federal Tax, Stock Buybacks, &amp; '!$E:$E,0))</f>
        <v>2222</v>
      </c>
      <c r="V10" s="176">
        <f t="array" ref="V10">INDEX('Federal Tax, Stock Buybacks, &amp; '!X:X,MATCH($B10,'Federal Tax, Stock Buybacks, &amp; '!$E:$E,0))</f>
        <v>2624</v>
      </c>
      <c r="W10" s="176">
        <f t="array" ref="W10">INDEX('Federal Tax, Stock Buybacks, &amp; '!Y:Y,MATCH($B10,'Federal Tax, Stock Buybacks, &amp; '!$E:$E,0))</f>
        <v>1753</v>
      </c>
      <c r="X10" s="172"/>
      <c r="Y10" s="177">
        <f t="shared" si="12"/>
        <v>1436</v>
      </c>
      <c r="Z10" s="178">
        <f t="array" ref="Z10">INDEX('Federal Tax, Stock Buybacks, &amp; '!AB:AB,MATCH($B10,'Federal Tax, Stock Buybacks, &amp; '!$E:$E,0))</f>
        <v>550</v>
      </c>
      <c r="AA10" s="178">
        <f t="array" ref="AA10">INDEX('Federal Tax, Stock Buybacks, &amp; '!AC:AC,MATCH($B10,'Federal Tax, Stock Buybacks, &amp; '!$E:$E,0))</f>
        <v>486</v>
      </c>
      <c r="AB10" s="178">
        <f t="array" ref="AB10">INDEX('Federal Tax, Stock Buybacks, &amp; '!AD:AD,MATCH($B10,'Federal Tax, Stock Buybacks, &amp; '!$E:$E,0))</f>
        <v>410</v>
      </c>
      <c r="AC10" s="178">
        <f t="array" ref="AC10">INDEX('Federal Tax, Stock Buybacks, &amp; '!AE:AE,MATCH($B10,'Federal Tax, Stock Buybacks, &amp; '!$E:$E,0))</f>
        <v>8</v>
      </c>
      <c r="AD10" s="178">
        <f t="array" ref="AD10">INDEX('Federal Tax, Stock Buybacks, &amp; '!AF:AF,MATCH($B10,'Federal Tax, Stock Buybacks, &amp; '!$E:$E,0))</f>
        <v>-18</v>
      </c>
      <c r="AE10" s="172"/>
      <c r="AF10" s="164">
        <f t="shared" ref="AF10:AK10" si="27">Y10/R10</f>
        <v>0.122098461</v>
      </c>
      <c r="AG10" s="165">
        <f t="shared" si="27"/>
        <v>0.2442273535</v>
      </c>
      <c r="AH10" s="165">
        <f t="shared" si="27"/>
        <v>0.1670103093</v>
      </c>
      <c r="AI10" s="165">
        <f t="shared" si="27"/>
        <v>0.1845184518</v>
      </c>
      <c r="AJ10" s="165">
        <f t="shared" si="27"/>
        <v>0.003048780488</v>
      </c>
      <c r="AK10" s="165">
        <f t="shared" si="27"/>
        <v>-0.01026811181</v>
      </c>
      <c r="AL10" s="172"/>
      <c r="AM10" s="175">
        <f t="shared" si="14"/>
        <v>3602</v>
      </c>
      <c r="AN10" s="176">
        <f t="array" ref="AN10">INDEX('Federal Tax, Stock Buybacks, &amp; '!AP:AP,MATCH($B10,'Federal Tax, Stock Buybacks, &amp; '!$E:$E,0))</f>
        <v>1550</v>
      </c>
      <c r="AO10" s="176">
        <f t="array" ref="AO10">INDEX('Federal Tax, Stock Buybacks, &amp; '!AQ:AQ,MATCH($B10,'Federal Tax, Stock Buybacks, &amp; '!$E:$E,0))</f>
        <v>1702</v>
      </c>
      <c r="AP10" s="176">
        <f t="array" ref="AP10">INDEX('Federal Tax, Stock Buybacks, &amp; '!AR:AR,MATCH($B10,'Federal Tax, Stock Buybacks, &amp; '!$E:$E,0))</f>
        <v>150</v>
      </c>
      <c r="AQ10" s="176">
        <f t="array" ref="AQ10">INDEX('Federal Tax, Stock Buybacks, &amp; '!AS:AS,MATCH($B10,'Federal Tax, Stock Buybacks, &amp; '!$E:$E,0))</f>
        <v>200</v>
      </c>
      <c r="AR10" s="176">
        <f t="array" ref="AR10">INDEX('Federal Tax, Stock Buybacks, &amp; '!AT:AT,MATCH($B10,'Federal Tax, Stock Buybacks, &amp; '!$E:$E,0))</f>
        <v>0</v>
      </c>
      <c r="AS10" s="172"/>
      <c r="AT10" s="175">
        <f t="shared" si="15"/>
        <v>2344</v>
      </c>
      <c r="AU10" s="176">
        <f t="array" ref="AU10">INDEX('Federal Tax, Stock Buybacks, &amp; '!AW:AW,MATCH($B10,'Federal Tax, Stock Buybacks, &amp; '!$E:$E,0))</f>
        <v>527</v>
      </c>
      <c r="AV10" s="176">
        <f t="array" ref="AV10">INDEX('Federal Tax, Stock Buybacks, &amp; '!AX:AX,MATCH($B10,'Federal Tax, Stock Buybacks, &amp; '!$E:$E,0))</f>
        <v>506</v>
      </c>
      <c r="AW10" s="176">
        <f t="array" ref="AW10">INDEX('Federal Tax, Stock Buybacks, &amp; '!AY:AY,MATCH($B10,'Federal Tax, Stock Buybacks, &amp; '!$E:$E,0))</f>
        <v>478</v>
      </c>
      <c r="AX10" s="176">
        <f t="array" ref="AX10">INDEX('Federal Tax, Stock Buybacks, &amp; '!AZ:AZ,MATCH($B10,'Federal Tax, Stock Buybacks, &amp; '!$E:$E,0))</f>
        <v>454</v>
      </c>
      <c r="AY10" s="176">
        <f t="array" ref="AY10">INDEX('Federal Tax, Stock Buybacks, &amp; '!BA:BA,MATCH($B10,'Federal Tax, Stock Buybacks, &amp; '!$E:$E,0))</f>
        <v>379</v>
      </c>
      <c r="AZ10" s="172"/>
      <c r="BA10" s="166">
        <f t="shared" si="16"/>
        <v>103768.6</v>
      </c>
      <c r="BB10" s="179">
        <f t="shared" si="17"/>
        <v>518843</v>
      </c>
      <c r="BC10" s="188">
        <v>117472.0</v>
      </c>
      <c r="BD10" s="188">
        <v>106940.0</v>
      </c>
      <c r="BE10" s="188">
        <v>92639.0</v>
      </c>
      <c r="BF10" s="188">
        <v>96867.0</v>
      </c>
      <c r="BG10" s="188">
        <v>104925.0</v>
      </c>
      <c r="BH10" s="87"/>
      <c r="BI10" s="154"/>
      <c r="BJ10" s="189" t="s">
        <v>695</v>
      </c>
      <c r="BK10" s="87"/>
      <c r="BL10" s="87"/>
    </row>
    <row r="11" ht="15.0" customHeight="1">
      <c r="A11" s="196">
        <f t="array" ref="A11">INDEX('Federal Tax, Stock Buybacks, &amp; '!D:D,match(B11,'Federal Tax, Stock Buybacks, &amp; '!E:E,0))</f>
        <v>51.5</v>
      </c>
      <c r="B11" s="190" t="s">
        <v>13</v>
      </c>
      <c r="C11" s="185" t="s">
        <v>701</v>
      </c>
      <c r="D11" s="160">
        <f>SUMIF('Executive Pay Breakdown'!B:B,$B11,'Executive Pay Breakdown'!M:M)+SUMIF('Executive Pay Breakdown'!B:B,$B11,'Executive Pay Breakdown'!Q:Q)+SUMIF('Executive Pay Breakdown'!B:B,$B11,'Executive Pay Breakdown'!U:U)+SUMIF('Executive Pay Breakdown'!B:B,$B11,'Executive Pay Breakdown'!Y:Y)+SUMIF('Executive Pay Breakdown'!B:B,$B11,'Executive Pay Breakdown'!AC:AC)</f>
        <v>675159996</v>
      </c>
      <c r="E11" s="161">
        <f>SUMIF('Executive Pay Breakdown'!B:B,$B11,'Executive Pay Breakdown'!M:M)</f>
        <v>81368544</v>
      </c>
      <c r="F11" s="161">
        <f>SUMIF('Executive Pay Breakdown'!B:B,$B11,'Executive Pay Breakdown'!Q:Q)</f>
        <v>71060115</v>
      </c>
      <c r="G11" s="161">
        <f>SUMIF('Executive Pay Breakdown'!B:B,$B11,'Executive Pay Breakdown'!U:U)</f>
        <v>284954500</v>
      </c>
      <c r="H11" s="161">
        <f>SUMIF('Executive Pay Breakdown'!B:B,$B11,'Executive Pay Breakdown'!Y:Y)</f>
        <v>85493859</v>
      </c>
      <c r="I11" s="161">
        <f>SUMIF('Executive Pay Breakdown'!B:B,$B11,'Executive Pay Breakdown'!AC:AC)</f>
        <v>152282978</v>
      </c>
      <c r="J11" s="172"/>
      <c r="K11" s="173" t="s">
        <v>694</v>
      </c>
      <c r="L11" s="174" t="b">
        <f t="shared" ref="L11:P11" si="28">(E11/1000000)&gt;(Z11)</f>
        <v>1</v>
      </c>
      <c r="M11" s="174" t="b">
        <f t="shared" si="28"/>
        <v>1</v>
      </c>
      <c r="N11" s="174" t="b">
        <f t="shared" si="28"/>
        <v>1</v>
      </c>
      <c r="O11" s="174" t="b">
        <f t="shared" si="28"/>
        <v>1</v>
      </c>
      <c r="P11" s="174" t="b">
        <f t="shared" si="28"/>
        <v>1</v>
      </c>
      <c r="Q11" s="172"/>
      <c r="R11" s="175">
        <f t="shared" si="11"/>
        <v>17916.13</v>
      </c>
      <c r="S11" s="176">
        <f t="array" ref="S11">INDEX('Federal Tax, Stock Buybacks, &amp; '!U:U,MATCH($B11,'Federal Tax, Stock Buybacks, &amp; '!$E:$E,0))</f>
        <v>3052</v>
      </c>
      <c r="T11" s="176">
        <f t="array" ref="T11">INDEX('Federal Tax, Stock Buybacks, &amp; '!V:V,MATCH($B11,'Federal Tax, Stock Buybacks, &amp; '!$E:$E,0))</f>
        <v>3312</v>
      </c>
      <c r="U11" s="176">
        <f t="array" ref="U11">INDEX('Federal Tax, Stock Buybacks, &amp; '!W:W,MATCH($B11,'Federal Tax, Stock Buybacks, &amp; '!$E:$E,0))</f>
        <v>3428.86</v>
      </c>
      <c r="V11" s="176">
        <f t="array" ref="V11">INDEX('Federal Tax, Stock Buybacks, &amp; '!X:X,MATCH($B11,'Federal Tax, Stock Buybacks, &amp; '!$E:$E,0))</f>
        <v>4493.22</v>
      </c>
      <c r="W11" s="176">
        <f t="array" ref="W11">INDEX('Federal Tax, Stock Buybacks, &amp; '!Y:Y,MATCH($B11,'Federal Tax, Stock Buybacks, &amp; '!$E:$E,0))</f>
        <v>3630.05</v>
      </c>
      <c r="X11" s="172"/>
      <c r="Y11" s="177">
        <f t="shared" si="12"/>
        <v>-80</v>
      </c>
      <c r="Z11" s="178">
        <f t="array" ref="Z11">INDEX('Federal Tax, Stock Buybacks, &amp; '!AB:AB,MATCH($B11,'Federal Tax, Stock Buybacks, &amp; '!$E:$E,0))</f>
        <v>-22</v>
      </c>
      <c r="AA11" s="178">
        <f t="array" ref="AA11">INDEX('Federal Tax, Stock Buybacks, &amp; '!AC:AC,MATCH($B11,'Federal Tax, Stock Buybacks, &amp; '!$E:$E,0))</f>
        <v>22</v>
      </c>
      <c r="AB11" s="178">
        <f t="array" ref="AB11">INDEX('Federal Tax, Stock Buybacks, &amp; '!AD:AD,MATCH($B11,'Federal Tax, Stock Buybacks, &amp; '!$E:$E,0))</f>
        <v>-17</v>
      </c>
      <c r="AC11" s="178">
        <f t="array" ref="AC11">INDEX('Federal Tax, Stock Buybacks, &amp; '!AE:AE,MATCH($B11,'Federal Tax, Stock Buybacks, &amp; '!$E:$E,0))</f>
        <v>-24</v>
      </c>
      <c r="AD11" s="178">
        <f t="array" ref="AD11">INDEX('Federal Tax, Stock Buybacks, &amp; '!AF:AF,MATCH($B11,'Federal Tax, Stock Buybacks, &amp; '!$E:$E,0))</f>
        <v>-39</v>
      </c>
      <c r="AE11" s="172"/>
      <c r="AF11" s="164">
        <f t="shared" ref="AF11:AK11" si="29">Y11/R11</f>
        <v>-0.004465250029</v>
      </c>
      <c r="AG11" s="165">
        <f t="shared" si="29"/>
        <v>-0.007208387942</v>
      </c>
      <c r="AH11" s="165">
        <f t="shared" si="29"/>
        <v>0.006642512077</v>
      </c>
      <c r="AI11" s="165">
        <f t="shared" si="29"/>
        <v>-0.004957916042</v>
      </c>
      <c r="AJ11" s="165">
        <f t="shared" si="29"/>
        <v>-0.005341381014</v>
      </c>
      <c r="AK11" s="165">
        <f t="shared" si="29"/>
        <v>-0.01074365367</v>
      </c>
      <c r="AL11" s="172"/>
      <c r="AM11" s="175">
        <f t="shared" si="14"/>
        <v>23607</v>
      </c>
      <c r="AN11" s="176">
        <f t="array" ref="AN11">INDEX('Federal Tax, Stock Buybacks, &amp; '!AP:AP,MATCH($B11,'Federal Tax, Stock Buybacks, &amp; '!$E:$E,0))</f>
        <v>3000</v>
      </c>
      <c r="AO11" s="176">
        <f t="array" ref="AO11">INDEX('Federal Tax, Stock Buybacks, &amp; '!AQ:AQ,MATCH($B11,'Federal Tax, Stock Buybacks, &amp; '!$E:$E,0))</f>
        <v>0</v>
      </c>
      <c r="AP11" s="176">
        <f t="array" ref="AP11">INDEX('Federal Tax, Stock Buybacks, &amp; '!AR:AR,MATCH($B11,'Federal Tax, Stock Buybacks, &amp; '!$E:$E,0))</f>
        <v>19536</v>
      </c>
      <c r="AQ11" s="176">
        <f t="array" ref="AQ11">INDEX('Federal Tax, Stock Buybacks, &amp; '!AS:AS,MATCH($B11,'Federal Tax, Stock Buybacks, &amp; '!$E:$E,0))</f>
        <v>0</v>
      </c>
      <c r="AR11" s="176">
        <f t="array" ref="AR11">INDEX('Federal Tax, Stock Buybacks, &amp; '!AT:AT,MATCH($B11,'Federal Tax, Stock Buybacks, &amp; '!$E:$E,0))</f>
        <v>1071</v>
      </c>
      <c r="AS11" s="172"/>
      <c r="AT11" s="175">
        <f t="shared" si="15"/>
        <v>0</v>
      </c>
      <c r="AU11" s="176">
        <f t="array" ref="AU11">INDEX('Federal Tax, Stock Buybacks, &amp; '!AW:AW,MATCH($B11,'Federal Tax, Stock Buybacks, &amp; '!$E:$E,0))</f>
        <v>0</v>
      </c>
      <c r="AV11" s="176">
        <f t="array" ref="AV11">INDEX('Federal Tax, Stock Buybacks, &amp; '!AX:AX,MATCH($B11,'Federal Tax, Stock Buybacks, &amp; '!$E:$E,0))</f>
        <v>0</v>
      </c>
      <c r="AW11" s="176">
        <f t="array" ref="AW11">INDEX('Federal Tax, Stock Buybacks, &amp; '!AY:AY,MATCH($B11,'Federal Tax, Stock Buybacks, &amp; '!$E:$E,0))</f>
        <v>0</v>
      </c>
      <c r="AX11" s="176">
        <f t="array" ref="AX11">INDEX('Federal Tax, Stock Buybacks, &amp; '!AZ:AZ,MATCH($B11,'Federal Tax, Stock Buybacks, &amp; '!$E:$E,0))</f>
        <v>0</v>
      </c>
      <c r="AY11" s="176">
        <f t="array" ref="AY11">INDEX('Federal Tax, Stock Buybacks, &amp; '!BA:BA,MATCH($B11,'Federal Tax, Stock Buybacks, &amp; '!$E:$E,0))</f>
        <v>0</v>
      </c>
      <c r="AZ11" s="172"/>
      <c r="BA11" s="166">
        <f t="shared" si="16"/>
        <v>65940.4</v>
      </c>
      <c r="BB11" s="179">
        <f t="shared" si="17"/>
        <v>329702</v>
      </c>
      <c r="BC11" s="188">
        <v>71333.0</v>
      </c>
      <c r="BD11" s="188">
        <v>72572.0</v>
      </c>
      <c r="BE11" s="188">
        <v>63949.0</v>
      </c>
      <c r="BF11" s="188">
        <v>62195.0</v>
      </c>
      <c r="BG11" s="188">
        <v>59653.0</v>
      </c>
      <c r="BH11" s="87"/>
      <c r="BI11" s="154"/>
      <c r="BJ11" s="189" t="s">
        <v>695</v>
      </c>
      <c r="BK11" s="87"/>
      <c r="BL11" s="87"/>
    </row>
    <row r="12" ht="15.0" customHeight="1">
      <c r="A12" s="169">
        <f t="array" ref="A12">INDEX('Federal Tax, Stock Buybacks, &amp; '!D:D,match(B12,'Federal Tax, Stock Buybacks, &amp; '!E:E,0))</f>
        <v>129</v>
      </c>
      <c r="B12" s="198" t="s">
        <v>16</v>
      </c>
      <c r="C12" s="185" t="s">
        <v>702</v>
      </c>
      <c r="D12" s="160">
        <f>SUMIF('Executive Pay Breakdown'!B:B,$B12,'Executive Pay Breakdown'!M:M)+SUMIF('Executive Pay Breakdown'!B:B,$B12,'Executive Pay Breakdown'!Q:Q)+SUMIF('Executive Pay Breakdown'!B:B,$B12,'Executive Pay Breakdown'!U:U)+SUMIF('Executive Pay Breakdown'!B:B,$B12,'Executive Pay Breakdown'!Y:Y)+SUMIF('Executive Pay Breakdown'!B:B,$B12,'Executive Pay Breakdown'!AC:AC)</f>
        <v>651925175</v>
      </c>
      <c r="E12" s="161">
        <f>SUMIF('Executive Pay Breakdown'!B:B,$B12,'Executive Pay Breakdown'!M:M)</f>
        <v>166718443</v>
      </c>
      <c r="F12" s="161">
        <f>SUMIF('Executive Pay Breakdown'!B:B,$B12,'Executive Pay Breakdown'!Q:Q)</f>
        <v>127444969</v>
      </c>
      <c r="G12" s="161">
        <f>SUMIF('Executive Pay Breakdown'!B:B,$B12,'Executive Pay Breakdown'!U:U)</f>
        <v>132114867</v>
      </c>
      <c r="H12" s="161">
        <f>SUMIF('Executive Pay Breakdown'!B:B,$B12,'Executive Pay Breakdown'!Y:Y)</f>
        <v>126378740</v>
      </c>
      <c r="I12" s="161">
        <f>SUMIF('Executive Pay Breakdown'!B:B,$B12,'Executive Pay Breakdown'!AC:AC)</f>
        <v>99268156</v>
      </c>
      <c r="J12" s="172"/>
      <c r="K12" s="173" t="s">
        <v>694</v>
      </c>
      <c r="L12" s="174" t="b">
        <f t="shared" ref="L12:P12" si="30">(E12/1000000)&gt;(Z12)</f>
        <v>1</v>
      </c>
      <c r="M12" s="174" t="b">
        <f t="shared" si="30"/>
        <v>1</v>
      </c>
      <c r="N12" s="174" t="b">
        <f t="shared" si="30"/>
        <v>1</v>
      </c>
      <c r="O12" s="174" t="b">
        <f t="shared" si="30"/>
        <v>1</v>
      </c>
      <c r="P12" s="174" t="b">
        <f t="shared" si="30"/>
        <v>1</v>
      </c>
      <c r="Q12" s="172"/>
      <c r="R12" s="175">
        <f t="shared" si="11"/>
        <v>15079.54</v>
      </c>
      <c r="S12" s="176">
        <f t="array" ref="S12">INDEX('Federal Tax, Stock Buybacks, &amp; '!U:U,MATCH($B12,'Federal Tax, Stock Buybacks, &amp; '!$E:$E,0))</f>
        <v>4570.65</v>
      </c>
      <c r="T12" s="176">
        <f t="array" ref="T12">INDEX('Federal Tax, Stock Buybacks, &amp; '!V:V,MATCH($B12,'Federal Tax, Stock Buybacks, &amp; '!$E:$E,0))</f>
        <v>5255.91</v>
      </c>
      <c r="U12" s="176">
        <f t="array" ref="U12">INDEX('Federal Tax, Stock Buybacks, &amp; '!W:W,MATCH($B12,'Federal Tax, Stock Buybacks, &amp; '!$E:$E,0))</f>
        <v>2723.24</v>
      </c>
      <c r="V12" s="176">
        <f t="array" ref="V12">INDEX('Federal Tax, Stock Buybacks, &amp; '!X:X,MATCH($B12,'Federal Tax, Stock Buybacks, &amp; '!$E:$E,0))</f>
        <v>1674.1</v>
      </c>
      <c r="W12" s="176">
        <f t="array" ref="W12">INDEX('Federal Tax, Stock Buybacks, &amp; '!Y:Y,MATCH($B12,'Federal Tax, Stock Buybacks, &amp; '!$E:$E,0))</f>
        <v>855.64</v>
      </c>
      <c r="X12" s="172"/>
      <c r="Y12" s="177">
        <f t="shared" si="12"/>
        <v>235.98</v>
      </c>
      <c r="Z12" s="178">
        <f t="array" ref="Z12">INDEX('Federal Tax, Stock Buybacks, &amp; '!AB:AB,MATCH($B12,'Federal Tax, Stock Buybacks, &amp; '!$E:$E,0))</f>
        <v>109.91</v>
      </c>
      <c r="AA12" s="178">
        <f t="array" ref="AA12">INDEX('Federal Tax, Stock Buybacks, &amp; '!AC:AC,MATCH($B12,'Federal Tax, Stock Buybacks, &amp; '!$E:$E,0))</f>
        <v>57.53</v>
      </c>
      <c r="AB12" s="178">
        <f t="array" ref="AB12">INDEX('Federal Tax, Stock Buybacks, &amp; '!AD:AD,MATCH($B12,'Federal Tax, Stock Buybacks, &amp; '!$E:$E,0))</f>
        <v>24.22</v>
      </c>
      <c r="AC12" s="178">
        <f t="array" ref="AC12">INDEX('Federal Tax, Stock Buybacks, &amp; '!AE:AE,MATCH($B12,'Federal Tax, Stock Buybacks, &amp; '!$E:$E,0))</f>
        <v>21.5</v>
      </c>
      <c r="AD12" s="178">
        <f t="array" ref="AD12">INDEX('Federal Tax, Stock Buybacks, &amp; '!AF:AF,MATCH($B12,'Federal Tax, Stock Buybacks, &amp; '!$E:$E,0))</f>
        <v>22.82</v>
      </c>
      <c r="AE12" s="172"/>
      <c r="AF12" s="164">
        <f t="shared" ref="AF12:AK12" si="31">Y12/R12</f>
        <v>0.01564901847</v>
      </c>
      <c r="AG12" s="165">
        <f t="shared" si="31"/>
        <v>0.02404690799</v>
      </c>
      <c r="AH12" s="165">
        <f t="shared" si="31"/>
        <v>0.01094577342</v>
      </c>
      <c r="AI12" s="165">
        <f t="shared" si="31"/>
        <v>0.008893817658</v>
      </c>
      <c r="AJ12" s="165">
        <f t="shared" si="31"/>
        <v>0.01284272146</v>
      </c>
      <c r="AK12" s="165">
        <f t="shared" si="31"/>
        <v>0.0266700949</v>
      </c>
      <c r="AL12" s="172"/>
      <c r="AM12" s="175">
        <f t="shared" si="14"/>
        <v>600.022</v>
      </c>
      <c r="AN12" s="176">
        <f t="array" ref="AN12">INDEX('Federal Tax, Stock Buybacks, &amp; '!AP:AP,MATCH($B12,'Federal Tax, Stock Buybacks, &amp; '!$E:$E,0))</f>
        <v>0</v>
      </c>
      <c r="AO12" s="176">
        <f t="array" ref="AO12">INDEX('Federal Tax, Stock Buybacks, &amp; '!AQ:AQ,MATCH($B12,'Federal Tax, Stock Buybacks, &amp; '!$E:$E,0))</f>
        <v>600.022</v>
      </c>
      <c r="AP12" s="176">
        <f t="array" ref="AP12">INDEX('Federal Tax, Stock Buybacks, &amp; '!AR:AR,MATCH($B12,'Federal Tax, Stock Buybacks, &amp; '!$E:$E,0))</f>
        <v>0</v>
      </c>
      <c r="AQ12" s="176">
        <f t="array" ref="AQ12">INDEX('Federal Tax, Stock Buybacks, &amp; '!AS:AS,MATCH($B12,'Federal Tax, Stock Buybacks, &amp; '!$E:$E,0))</f>
        <v>0</v>
      </c>
      <c r="AR12" s="176">
        <f t="array" ref="AR12">INDEX('Federal Tax, Stock Buybacks, &amp; '!AT:AT,MATCH($B12,'Federal Tax, Stock Buybacks, &amp; '!$E:$E,0))</f>
        <v>0</v>
      </c>
      <c r="AS12" s="172"/>
      <c r="AT12" s="175">
        <f t="shared" si="15"/>
        <v>0</v>
      </c>
      <c r="AU12" s="176">
        <f t="array" ref="AU12">INDEX('Federal Tax, Stock Buybacks, &amp; '!AW:AW,MATCH($B12,'Federal Tax, Stock Buybacks, &amp; '!$E:$E,0))</f>
        <v>0</v>
      </c>
      <c r="AV12" s="176">
        <f t="array" ref="AV12">INDEX('Federal Tax, Stock Buybacks, &amp; '!AX:AX,MATCH($B12,'Federal Tax, Stock Buybacks, &amp; '!$E:$E,0))</f>
        <v>0</v>
      </c>
      <c r="AW12" s="176">
        <f t="array" ref="AW12">INDEX('Federal Tax, Stock Buybacks, &amp; '!AY:AY,MATCH($B12,'Federal Tax, Stock Buybacks, &amp; '!$E:$E,0))</f>
        <v>0</v>
      </c>
      <c r="AX12" s="176">
        <f t="array" ref="AX12">INDEX('Federal Tax, Stock Buybacks, &amp; '!AZ:AZ,MATCH($B12,'Federal Tax, Stock Buybacks, &amp; '!$E:$E,0))</f>
        <v>0</v>
      </c>
      <c r="AY12" s="176">
        <f t="array" ref="AY12">INDEX('Federal Tax, Stock Buybacks, &amp; '!BA:BA,MATCH($B12,'Federal Tax, Stock Buybacks, &amp; '!$E:$E,0))</f>
        <v>0</v>
      </c>
      <c r="AZ12" s="172"/>
      <c r="BA12" s="166">
        <f t="shared" si="16"/>
        <v>208997.2</v>
      </c>
      <c r="BB12" s="179">
        <f t="shared" si="17"/>
        <v>1044986</v>
      </c>
      <c r="BC12" s="188">
        <v>218400.0</v>
      </c>
      <c r="BD12" s="188">
        <v>201743.0</v>
      </c>
      <c r="BE12" s="188">
        <v>219577.0</v>
      </c>
      <c r="BF12" s="188">
        <v>202931.0</v>
      </c>
      <c r="BG12" s="188">
        <v>202335.0</v>
      </c>
      <c r="BH12" s="87"/>
      <c r="BI12" s="154"/>
      <c r="BJ12" s="199" t="s">
        <v>695</v>
      </c>
      <c r="BK12" s="87"/>
      <c r="BL12" s="87"/>
    </row>
    <row r="13" ht="15.0" customHeight="1">
      <c r="A13" s="169">
        <f t="array" ref="A13">INDEX('Federal Tax, Stock Buybacks, &amp; '!D:D,match(B13,'Federal Tax, Stock Buybacks, &amp; '!E:E,0))</f>
        <v>133</v>
      </c>
      <c r="B13" s="187" t="s">
        <v>29</v>
      </c>
      <c r="C13" s="185" t="s">
        <v>702</v>
      </c>
      <c r="D13" s="160">
        <f>SUMIF('Executive Pay Breakdown'!B:B,$B13,'Executive Pay Breakdown'!M:M)+SUMIF('Executive Pay Breakdown'!B:B,$B13,'Executive Pay Breakdown'!Q:Q)+SUMIF('Executive Pay Breakdown'!B:B,$B13,'Executive Pay Breakdown'!U:U)+SUMIF('Executive Pay Breakdown'!B:B,$B13,'Executive Pay Breakdown'!Y:Y)+SUMIF('Executive Pay Breakdown'!B:B,$B13,'Executive Pay Breakdown'!AC:AC)</f>
        <v>508220520</v>
      </c>
      <c r="E13" s="161">
        <f>SUMIF('Executive Pay Breakdown'!B:B,$B13,'Executive Pay Breakdown'!M:M)</f>
        <v>120356167</v>
      </c>
      <c r="F13" s="161">
        <f>SUMIF('Executive Pay Breakdown'!B:B,$B13,'Executive Pay Breakdown'!Q:Q)</f>
        <v>107574337</v>
      </c>
      <c r="G13" s="161">
        <f>SUMIF('Executive Pay Breakdown'!B:B,$B13,'Executive Pay Breakdown'!U:U)</f>
        <v>94938850</v>
      </c>
      <c r="H13" s="161">
        <f>SUMIF('Executive Pay Breakdown'!B:B,$B13,'Executive Pay Breakdown'!Y:Y)</f>
        <v>94064898</v>
      </c>
      <c r="I13" s="161">
        <f>SUMIF('Executive Pay Breakdown'!B:B,$B13,'Executive Pay Breakdown'!AC:AC)</f>
        <v>91286268</v>
      </c>
      <c r="J13" s="172"/>
      <c r="K13" s="173" t="s">
        <v>694</v>
      </c>
      <c r="L13" s="183"/>
      <c r="M13" s="174" t="b">
        <f t="shared" ref="M13:P13" si="32">(F13/1000000)&gt;(AA13)</f>
        <v>1</v>
      </c>
      <c r="N13" s="174" t="b">
        <f t="shared" si="32"/>
        <v>1</v>
      </c>
      <c r="O13" s="174" t="b">
        <f t="shared" si="32"/>
        <v>1</v>
      </c>
      <c r="P13" s="174" t="b">
        <f t="shared" si="32"/>
        <v>1</v>
      </c>
      <c r="Q13" s="172"/>
      <c r="R13" s="175">
        <f t="shared" si="11"/>
        <v>6031.73</v>
      </c>
      <c r="S13" s="176">
        <f t="array" ref="S13">INDEX('Federal Tax, Stock Buybacks, &amp; '!U:U,MATCH($B13,'Federal Tax, Stock Buybacks, &amp; '!$E:$E,0))</f>
        <v>594.73</v>
      </c>
      <c r="T13" s="176">
        <f t="array" ref="T13">INDEX('Federal Tax, Stock Buybacks, &amp; '!V:V,MATCH($B13,'Federal Tax, Stock Buybacks, &amp; '!$E:$E,0))</f>
        <v>1354</v>
      </c>
      <c r="U13" s="176">
        <f t="array" ref="U13">INDEX('Federal Tax, Stock Buybacks, &amp; '!W:W,MATCH($B13,'Federal Tax, Stock Buybacks, &amp; '!$E:$E,0))</f>
        <v>2630</v>
      </c>
      <c r="V13" s="176">
        <f t="array" ref="V13">INDEX('Federal Tax, Stock Buybacks, &amp; '!X:X,MATCH($B13,'Federal Tax, Stock Buybacks, &amp; '!$E:$E,0))</f>
        <v>653</v>
      </c>
      <c r="W13" s="176">
        <f t="array" ref="W13">INDEX('Federal Tax, Stock Buybacks, &amp; '!Y:Y,MATCH($B13,'Federal Tax, Stock Buybacks, &amp; '!$E:$E,0))</f>
        <v>800</v>
      </c>
      <c r="X13" s="172"/>
      <c r="Y13" s="177">
        <f t="shared" si="12"/>
        <v>175</v>
      </c>
      <c r="Z13" s="178">
        <f t="array" ref="Z13">INDEX('Federal Tax, Stock Buybacks, &amp; '!AB:AB,MATCH($B13,'Federal Tax, Stock Buybacks, &amp; '!$E:$E,0))</f>
        <v>173</v>
      </c>
      <c r="AA13" s="178">
        <f t="array" ref="AA13">INDEX('Federal Tax, Stock Buybacks, &amp; '!AC:AC,MATCH($B13,'Federal Tax, Stock Buybacks, &amp; '!$E:$E,0))</f>
        <v>6</v>
      </c>
      <c r="AB13" s="178">
        <f t="array" ref="AB13">INDEX('Federal Tax, Stock Buybacks, &amp; '!AD:AD,MATCH($B13,'Federal Tax, Stock Buybacks, &amp; '!$E:$E,0))</f>
        <v>-12</v>
      </c>
      <c r="AC13" s="178">
        <f t="array" ref="AC13">INDEX('Federal Tax, Stock Buybacks, &amp; '!AE:AE,MATCH($B13,'Federal Tax, Stock Buybacks, &amp; '!$E:$E,0))</f>
        <v>8</v>
      </c>
      <c r="AD13" s="178">
        <f t="array" ref="AD13">INDEX('Federal Tax, Stock Buybacks, &amp; '!AF:AF,MATCH($B13,'Federal Tax, Stock Buybacks, &amp; '!$E:$E,0))</f>
        <v>0</v>
      </c>
      <c r="AE13" s="172"/>
      <c r="AF13" s="164">
        <f t="shared" ref="AF13:AK13" si="33">Y13/R13</f>
        <v>0.02901323501</v>
      </c>
      <c r="AG13" s="165">
        <f t="shared" si="33"/>
        <v>0.2908883023</v>
      </c>
      <c r="AH13" s="165">
        <f t="shared" si="33"/>
        <v>0.004431314623</v>
      </c>
      <c r="AI13" s="165">
        <f t="shared" si="33"/>
        <v>-0.004562737643</v>
      </c>
      <c r="AJ13" s="165">
        <f t="shared" si="33"/>
        <v>0.01225114855</v>
      </c>
      <c r="AK13" s="165">
        <f t="shared" si="33"/>
        <v>0</v>
      </c>
      <c r="AL13" s="172"/>
      <c r="AM13" s="175">
        <f t="shared" si="14"/>
        <v>4000</v>
      </c>
      <c r="AN13" s="176">
        <f t="array" ref="AN13">INDEX('Federal Tax, Stock Buybacks, &amp; '!AP:AP,MATCH($B13,'Federal Tax, Stock Buybacks, &amp; '!$E:$E,0))</f>
        <v>4000</v>
      </c>
      <c r="AO13" s="176">
        <f t="array" ref="AO13">INDEX('Federal Tax, Stock Buybacks, &amp; '!AQ:AQ,MATCH($B13,'Federal Tax, Stock Buybacks, &amp; '!$E:$E,0))</f>
        <v>0</v>
      </c>
      <c r="AP13" s="176">
        <f t="array" ref="AP13">INDEX('Federal Tax, Stock Buybacks, &amp; '!AR:AR,MATCH($B13,'Federal Tax, Stock Buybacks, &amp; '!$E:$E,0))</f>
        <v>0</v>
      </c>
      <c r="AQ13" s="176">
        <f t="array" ref="AQ13">INDEX('Federal Tax, Stock Buybacks, &amp; '!AS:AS,MATCH($B13,'Federal Tax, Stock Buybacks, &amp; '!$E:$E,0))</f>
        <v>0</v>
      </c>
      <c r="AR13" s="176">
        <f t="array" ref="AR13">INDEX('Federal Tax, Stock Buybacks, &amp; '!AT:AT,MATCH($B13,'Federal Tax, Stock Buybacks, &amp; '!$E:$E,0))</f>
        <v>0</v>
      </c>
      <c r="AS13" s="172"/>
      <c r="AT13" s="175">
        <f t="shared" si="15"/>
        <v>0</v>
      </c>
      <c r="AU13" s="176">
        <f t="array" ref="AU13">INDEX('Federal Tax, Stock Buybacks, &amp; '!AW:AW,MATCH($B13,'Federal Tax, Stock Buybacks, &amp; '!$E:$E,0))</f>
        <v>0</v>
      </c>
      <c r="AV13" s="176">
        <f t="array" ref="AV13">INDEX('Federal Tax, Stock Buybacks, &amp; '!AX:AX,MATCH($B13,'Federal Tax, Stock Buybacks, &amp; '!$E:$E,0))</f>
        <v>0</v>
      </c>
      <c r="AW13" s="176">
        <f t="array" ref="AW13">INDEX('Federal Tax, Stock Buybacks, &amp; '!AY:AY,MATCH($B13,'Federal Tax, Stock Buybacks, &amp; '!$E:$E,0))</f>
        <v>0</v>
      </c>
      <c r="AX13" s="176">
        <f t="array" ref="AX13">INDEX('Federal Tax, Stock Buybacks, &amp; '!AZ:AZ,MATCH($B13,'Federal Tax, Stock Buybacks, &amp; '!$E:$E,0))</f>
        <v>0</v>
      </c>
      <c r="AY13" s="176">
        <f t="array" ref="AY13">INDEX('Federal Tax, Stock Buybacks, &amp; '!BA:BA,MATCH($B13,'Federal Tax, Stock Buybacks, &amp; '!$E:$E,0))</f>
        <v>0</v>
      </c>
      <c r="AZ13" s="172"/>
      <c r="BA13" s="166">
        <f t="shared" si="16"/>
        <v>171049.2</v>
      </c>
      <c r="BB13" s="179">
        <f t="shared" si="17"/>
        <v>855246</v>
      </c>
      <c r="BC13" s="188">
        <v>199130.0</v>
      </c>
      <c r="BD13" s="188">
        <v>181612.0</v>
      </c>
      <c r="BE13" s="188">
        <v>154799.0</v>
      </c>
      <c r="BF13" s="188">
        <v>167750.0</v>
      </c>
      <c r="BG13" s="188">
        <v>151955.0</v>
      </c>
      <c r="BH13" s="87"/>
      <c r="BI13" s="154"/>
      <c r="BJ13" s="189" t="s">
        <v>695</v>
      </c>
      <c r="BK13" s="87"/>
      <c r="BL13" s="87"/>
    </row>
    <row r="14" ht="15.0" customHeight="1">
      <c r="A14" s="169">
        <f t="array" ref="A14">INDEX('Federal Tax, Stock Buybacks, &amp; '!D:D,match(B14,'Federal Tax, Stock Buybacks, &amp; '!E:E,0))</f>
        <v>30</v>
      </c>
      <c r="B14" s="200" t="s">
        <v>49</v>
      </c>
      <c r="C14" s="185" t="s">
        <v>693</v>
      </c>
      <c r="D14" s="160">
        <f>SUMIF('Executive Pay Breakdown'!B:B,$B14,'Executive Pay Breakdown'!M:M)+SUMIF('Executive Pay Breakdown'!B:B,$B14,'Executive Pay Breakdown'!Q:Q)+SUMIF('Executive Pay Breakdown'!B:B,$B14,'Executive Pay Breakdown'!U:U)+SUMIF('Executive Pay Breakdown'!B:B,$B14,'Executive Pay Breakdown'!Y:Y)+SUMIF('Executive Pay Breakdown'!B:B,$B14,'Executive Pay Breakdown'!AC:AC)</f>
        <v>506156354</v>
      </c>
      <c r="E14" s="161">
        <f>SUMIF('Executive Pay Breakdown'!B:B,$B14,'Executive Pay Breakdown'!M:M)</f>
        <v>69022399</v>
      </c>
      <c r="F14" s="161">
        <f>SUMIF('Executive Pay Breakdown'!B:B,$B14,'Executive Pay Breakdown'!Q:Q)</f>
        <v>87438524</v>
      </c>
      <c r="G14" s="161">
        <f>SUMIF('Executive Pay Breakdown'!B:B,$B14,'Executive Pay Breakdown'!U:U)</f>
        <v>145666023</v>
      </c>
      <c r="H14" s="161">
        <f>SUMIF('Executive Pay Breakdown'!B:B,$B14,'Executive Pay Breakdown'!Y:Y)</f>
        <v>115280938</v>
      </c>
      <c r="I14" s="161">
        <f>SUMIF('Executive Pay Breakdown'!B:B,$B14,'Executive Pay Breakdown'!AC:AC)</f>
        <v>88748470</v>
      </c>
      <c r="J14" s="172"/>
      <c r="K14" s="173" t="s">
        <v>699</v>
      </c>
      <c r="L14" s="183"/>
      <c r="M14" s="174" t="b">
        <f t="shared" ref="M14:N14" si="34">(F14/1000000)&gt;(AA14)</f>
        <v>1</v>
      </c>
      <c r="N14" s="174" t="b">
        <f t="shared" si="34"/>
        <v>1</v>
      </c>
      <c r="O14" s="183"/>
      <c r="P14" s="183"/>
      <c r="Q14" s="172"/>
      <c r="R14" s="175">
        <f t="shared" si="11"/>
        <v>96279.52</v>
      </c>
      <c r="S14" s="176">
        <f t="array" ref="S14">INDEX('Federal Tax, Stock Buybacks, &amp; '!U:U,MATCH($B14,'Federal Tax, Stock Buybacks, &amp; '!$E:$E,0))</f>
        <v>18954.52</v>
      </c>
      <c r="T14" s="176">
        <f t="array" ref="T14">INDEX('Federal Tax, Stock Buybacks, &amp; '!V:V,MATCH($B14,'Federal Tax, Stock Buybacks, &amp; '!$E:$E,0))</f>
        <v>24036</v>
      </c>
      <c r="U14" s="176">
        <f t="array" ref="U14">INDEX('Federal Tax, Stock Buybacks, &amp; '!W:W,MATCH($B14,'Federal Tax, Stock Buybacks, &amp; '!$E:$E,0))</f>
        <v>10621</v>
      </c>
      <c r="V14" s="176">
        <f t="array" ref="V14">INDEX('Federal Tax, Stock Buybacks, &amp; '!X:X,MATCH($B14,'Federal Tax, Stock Buybacks, &amp; '!$E:$E,0))</f>
        <v>21797</v>
      </c>
      <c r="W14" s="176">
        <f t="array" ref="W14">INDEX('Federal Tax, Stock Buybacks, &amp; '!Y:Y,MATCH($B14,'Federal Tax, Stock Buybacks, &amp; '!$E:$E,0))</f>
        <v>20871</v>
      </c>
      <c r="X14" s="172"/>
      <c r="Y14" s="177">
        <f t="shared" si="12"/>
        <v>2536</v>
      </c>
      <c r="Z14" s="178">
        <f t="array" ref="Z14">INDEX('Federal Tax, Stock Buybacks, &amp; '!AB:AB,MATCH($B14,'Federal Tax, Stock Buybacks, &amp; '!$E:$E,0))</f>
        <v>579</v>
      </c>
      <c r="AA14" s="178">
        <f t="array" ref="AA14">INDEX('Federal Tax, Stock Buybacks, &amp; '!AC:AC,MATCH($B14,'Federal Tax, Stock Buybacks, &amp; '!$E:$E,0))</f>
        <v>-1198</v>
      </c>
      <c r="AB14" s="178">
        <f t="array" ref="AB14">INDEX('Federal Tax, Stock Buybacks, &amp; '!AD:AD,MATCH($B14,'Federal Tax, Stock Buybacks, &amp; '!$E:$E,0))</f>
        <v>-687</v>
      </c>
      <c r="AC14" s="178">
        <f t="array" ref="AC14">INDEX('Federal Tax, Stock Buybacks, &amp; '!AE:AE,MATCH($B14,'Federal Tax, Stock Buybacks, &amp; '!$E:$E,0))</f>
        <v>584</v>
      </c>
      <c r="AD14" s="178">
        <f t="array" ref="AD14">INDEX('Federal Tax, Stock Buybacks, &amp; '!AF:AF,MATCH($B14,'Federal Tax, Stock Buybacks, &amp; '!$E:$E,0))</f>
        <v>3258</v>
      </c>
      <c r="AE14" s="172"/>
      <c r="AF14" s="164">
        <f t="shared" ref="AF14:AK14" si="35">Y14/R14</f>
        <v>0.02633997344</v>
      </c>
      <c r="AG14" s="165">
        <f t="shared" si="35"/>
        <v>0.03054680361</v>
      </c>
      <c r="AH14" s="165">
        <f t="shared" si="35"/>
        <v>-0.04984190381</v>
      </c>
      <c r="AI14" s="165">
        <f t="shared" si="35"/>
        <v>-0.06468317484</v>
      </c>
      <c r="AJ14" s="165">
        <f t="shared" si="35"/>
        <v>0.02679267789</v>
      </c>
      <c r="AK14" s="165">
        <f t="shared" si="35"/>
        <v>0.156101768</v>
      </c>
      <c r="AL14" s="172"/>
      <c r="AM14" s="175">
        <f t="shared" si="14"/>
        <v>9616</v>
      </c>
      <c r="AN14" s="176">
        <f t="array" ref="AN14">INDEX('Federal Tax, Stock Buybacks, &amp; '!AP:AP,MATCH($B14,'Federal Tax, Stock Buybacks, &amp; '!$E:$E,0))</f>
        <v>890</v>
      </c>
      <c r="AO14" s="176">
        <f t="array" ref="AO14">INDEX('Federal Tax, Stock Buybacks, &amp; '!AQ:AQ,MATCH($B14,'Federal Tax, Stock Buybacks, &amp; '!$E:$E,0))</f>
        <v>202</v>
      </c>
      <c r="AP14" s="176">
        <f t="array" ref="AP14">INDEX('Federal Tax, Stock Buybacks, &amp; '!AR:AR,MATCH($B14,'Federal Tax, Stock Buybacks, &amp; '!$E:$E,0))</f>
        <v>5498</v>
      </c>
      <c r="AQ14" s="176">
        <f t="array" ref="AQ14">INDEX('Federal Tax, Stock Buybacks, &amp; '!AS:AS,MATCH($B14,'Federal Tax, Stock Buybacks, &amp; '!$E:$E,0))</f>
        <v>2417</v>
      </c>
      <c r="AR14" s="176">
        <f t="array" ref="AR14">INDEX('Federal Tax, Stock Buybacks, &amp; '!AT:AT,MATCH($B14,'Federal Tax, Stock Buybacks, &amp; '!$E:$E,0))</f>
        <v>609</v>
      </c>
      <c r="AS14" s="172"/>
      <c r="AT14" s="175">
        <f t="shared" si="15"/>
        <v>68181</v>
      </c>
      <c r="AU14" s="176">
        <f t="array" ref="AU14">INDEX('Federal Tax, Stock Buybacks, &amp; '!AW:AW,MATCH($B14,'Federal Tax, Stock Buybacks, &amp; '!$E:$E,0))</f>
        <v>9859</v>
      </c>
      <c r="AV14" s="176">
        <f t="array" ref="AV14">INDEX('Federal Tax, Stock Buybacks, &amp; '!AX:AX,MATCH($B14,'Federal Tax, Stock Buybacks, &amp; '!$E:$E,0))</f>
        <v>15068</v>
      </c>
      <c r="AW14" s="176">
        <f t="array" ref="AW14">INDEX('Federal Tax, Stock Buybacks, &amp; '!AY:AY,MATCH($B14,'Federal Tax, Stock Buybacks, &amp; '!$E:$E,0))</f>
        <v>14956</v>
      </c>
      <c r="AX14" s="176">
        <f t="array" ref="AX14">INDEX('Federal Tax, Stock Buybacks, &amp; '!AZ:AZ,MATCH($B14,'Federal Tax, Stock Buybacks, &amp; '!$E:$E,0))</f>
        <v>14888</v>
      </c>
      <c r="AY14" s="176">
        <f t="array" ref="AY14">INDEX('Federal Tax, Stock Buybacks, &amp; '!BA:BA,MATCH($B14,'Federal Tax, Stock Buybacks, &amp; '!$E:$E,0))</f>
        <v>13410</v>
      </c>
      <c r="AZ14" s="172"/>
      <c r="BA14" s="166">
        <f t="shared" si="16"/>
        <v>99184.4</v>
      </c>
      <c r="BB14" s="179">
        <f t="shared" si="17"/>
        <v>495922</v>
      </c>
      <c r="BC14" s="179">
        <v>104509.0</v>
      </c>
      <c r="BD14" s="179">
        <v>107570.0</v>
      </c>
      <c r="BE14" s="179">
        <v>89399.0</v>
      </c>
      <c r="BF14" s="179">
        <v>98630.0</v>
      </c>
      <c r="BG14" s="179">
        <v>95814.0</v>
      </c>
      <c r="BH14" s="201"/>
      <c r="BI14" s="154"/>
      <c r="BJ14" s="202" t="s">
        <v>695</v>
      </c>
      <c r="BK14" s="87"/>
      <c r="BL14" s="201"/>
    </row>
    <row r="15" ht="15.0" customHeight="1">
      <c r="A15" s="169">
        <f t="array" ref="A15">INDEX('Federal Tax, Stock Buybacks, &amp; '!D:D,match(B15,'Federal Tax, Stock Buybacks, &amp; '!E:E,0))</f>
        <v>19</v>
      </c>
      <c r="B15" s="203" t="s">
        <v>24</v>
      </c>
      <c r="C15" s="171" t="s">
        <v>703</v>
      </c>
      <c r="D15" s="160">
        <f>SUMIF('Executive Pay Breakdown'!B:B,$B15,'Executive Pay Breakdown'!M:M)+SUMIF('Executive Pay Breakdown'!B:B,$B15,'Executive Pay Breakdown'!Q:Q)+SUMIF('Executive Pay Breakdown'!B:B,$B15,'Executive Pay Breakdown'!U:U)+SUMIF('Executive Pay Breakdown'!B:B,$B15,'Executive Pay Breakdown'!Y:Y)+SUMIF('Executive Pay Breakdown'!B:B,$B15,'Executive Pay Breakdown'!AC:AC)</f>
        <v>354886022</v>
      </c>
      <c r="E15" s="161">
        <f>SUMIF('Executive Pay Breakdown'!B:B,$B15,'Executive Pay Breakdown'!M:M)</f>
        <v>70514448</v>
      </c>
      <c r="F15" s="161">
        <f>SUMIF('Executive Pay Breakdown'!B:B,$B15,'Executive Pay Breakdown'!Q:Q)</f>
        <v>85506594</v>
      </c>
      <c r="G15" s="161">
        <f>SUMIF('Executive Pay Breakdown'!B:B,$B15,'Executive Pay Breakdown'!U:U)</f>
        <v>77047762</v>
      </c>
      <c r="H15" s="161">
        <f>SUMIF('Executive Pay Breakdown'!B:B,$B15,'Executive Pay Breakdown'!Y:Y)</f>
        <v>70128449</v>
      </c>
      <c r="I15" s="161">
        <f>SUMIF('Executive Pay Breakdown'!B:B,$B15,'Executive Pay Breakdown'!AC:AC)</f>
        <v>51688769</v>
      </c>
      <c r="J15" s="172"/>
      <c r="K15" s="173" t="s">
        <v>694</v>
      </c>
      <c r="L15" s="174" t="b">
        <f>(E15/1000000)&gt;(Z15)</f>
        <v>1</v>
      </c>
      <c r="M15" s="183"/>
      <c r="N15" s="174" t="b">
        <f t="shared" ref="N15:O15" si="36">(G15/1000000)&gt;(AB15)</f>
        <v>1</v>
      </c>
      <c r="O15" s="174" t="b">
        <f t="shared" si="36"/>
        <v>1</v>
      </c>
      <c r="P15" s="183"/>
      <c r="Q15" s="172"/>
      <c r="R15" s="175">
        <f t="shared" si="11"/>
        <v>7840</v>
      </c>
      <c r="S15" s="176">
        <f t="array" ref="S15">INDEX('Federal Tax, Stock Buybacks, &amp; '!U:U,MATCH($B15,'Federal Tax, Stock Buybacks, &amp; '!$E:$E,0))</f>
        <v>-6671</v>
      </c>
      <c r="T15" s="176">
        <f t="array" ref="T15">INDEX('Federal Tax, Stock Buybacks, &amp; '!V:V,MATCH($B15,'Federal Tax, Stock Buybacks, &amp; '!$E:$E,0))</f>
        <v>10017</v>
      </c>
      <c r="U15" s="176">
        <f t="array" ref="U15">INDEX('Federal Tax, Stock Buybacks, &amp; '!W:W,MATCH($B15,'Federal Tax, Stock Buybacks, &amp; '!$E:$E,0))</f>
        <v>-186</v>
      </c>
      <c r="V15" s="176">
        <f t="array" ref="V15">INDEX('Federal Tax, Stock Buybacks, &amp; '!X:X,MATCH($B15,'Federal Tax, Stock Buybacks, &amp; '!$E:$E,0))</f>
        <v>2623</v>
      </c>
      <c r="W15" s="176">
        <f t="array" ref="W15">INDEX('Federal Tax, Stock Buybacks, &amp; '!Y:Y,MATCH($B15,'Federal Tax, Stock Buybacks, &amp; '!$E:$E,0))</f>
        <v>2057</v>
      </c>
      <c r="X15" s="172"/>
      <c r="Y15" s="177">
        <f t="shared" si="12"/>
        <v>121</v>
      </c>
      <c r="Z15" s="178">
        <f t="array" ref="Z15">INDEX('Federal Tax, Stock Buybacks, &amp; '!AB:AB,MATCH($B15,'Federal Tax, Stock Buybacks, &amp; '!$E:$E,0))</f>
        <v>68</v>
      </c>
      <c r="AA15" s="178">
        <f t="array" ref="AA15">INDEX('Federal Tax, Stock Buybacks, &amp; '!AC:AC,MATCH($B15,'Federal Tax, Stock Buybacks, &amp; '!$E:$E,0))</f>
        <v>102</v>
      </c>
      <c r="AB15" s="178">
        <f t="array" ref="AB15">INDEX('Federal Tax, Stock Buybacks, &amp; '!AD:AD,MATCH($B15,'Federal Tax, Stock Buybacks, &amp; '!$E:$E,0))</f>
        <v>-23</v>
      </c>
      <c r="AC15" s="178">
        <f t="array" ref="AC15">INDEX('Federal Tax, Stock Buybacks, &amp; '!AE:AE,MATCH($B15,'Federal Tax, Stock Buybacks, &amp; '!$E:$E,0))</f>
        <v>-101</v>
      </c>
      <c r="AD15" s="178">
        <f t="array" ref="AD15">INDEX('Federal Tax, Stock Buybacks, &amp; '!AF:AF,MATCH($B15,'Federal Tax, Stock Buybacks, &amp; '!$E:$E,0))</f>
        <v>75</v>
      </c>
      <c r="AE15" s="172"/>
      <c r="AF15" s="164">
        <f t="shared" ref="AF15:AK15" si="37">Y15/R15</f>
        <v>0.01543367347</v>
      </c>
      <c r="AG15" s="165">
        <f t="shared" si="37"/>
        <v>-0.01019337431</v>
      </c>
      <c r="AH15" s="165">
        <f t="shared" si="37"/>
        <v>0.01018268943</v>
      </c>
      <c r="AI15" s="165">
        <f t="shared" si="37"/>
        <v>0.123655914</v>
      </c>
      <c r="AJ15" s="165">
        <f t="shared" si="37"/>
        <v>-0.03850552802</v>
      </c>
      <c r="AK15" s="165">
        <f t="shared" si="37"/>
        <v>0.03646086534</v>
      </c>
      <c r="AL15" s="172"/>
      <c r="AM15" s="175">
        <f t="shared" si="14"/>
        <v>885</v>
      </c>
      <c r="AN15" s="176">
        <f t="array" ref="AN15">INDEX('Federal Tax, Stock Buybacks, &amp; '!AP:AP,MATCH($B15,'Federal Tax, Stock Buybacks, &amp; '!$E:$E,0))</f>
        <v>484</v>
      </c>
      <c r="AO15" s="176">
        <f t="array" ref="AO15">INDEX('Federal Tax, Stock Buybacks, &amp; '!AQ:AQ,MATCH($B15,'Federal Tax, Stock Buybacks, &amp; '!$E:$E,0))</f>
        <v>0</v>
      </c>
      <c r="AP15" s="176">
        <f t="array" ref="AP15">INDEX('Federal Tax, Stock Buybacks, &amp; '!AR:AR,MATCH($B15,'Federal Tax, Stock Buybacks, &amp; '!$E:$E,0))</f>
        <v>0</v>
      </c>
      <c r="AQ15" s="176">
        <f t="array" ref="AQ15">INDEX('Federal Tax, Stock Buybacks, &amp; '!AS:AS,MATCH($B15,'Federal Tax, Stock Buybacks, &amp; '!$E:$E,0))</f>
        <v>237</v>
      </c>
      <c r="AR15" s="176">
        <f t="array" ref="AR15">INDEX('Federal Tax, Stock Buybacks, &amp; '!AT:AT,MATCH($B15,'Federal Tax, Stock Buybacks, &amp; '!$E:$E,0))</f>
        <v>164</v>
      </c>
      <c r="AS15" s="172"/>
      <c r="AT15" s="175">
        <f t="shared" si="15"/>
        <v>8302</v>
      </c>
      <c r="AU15" s="176">
        <f t="array" ref="AU15">INDEX('Federal Tax, Stock Buybacks, &amp; '!AW:AW,MATCH($B15,'Federal Tax, Stock Buybacks, &amp; '!$E:$E,0))</f>
        <v>2009</v>
      </c>
      <c r="AV15" s="176">
        <f t="array" ref="AV15">INDEX('Federal Tax, Stock Buybacks, &amp; '!AX:AX,MATCH($B15,'Federal Tax, Stock Buybacks, &amp; '!$E:$E,0))</f>
        <v>403</v>
      </c>
      <c r="AW15" s="176">
        <f t="array" ref="AW15">INDEX('Federal Tax, Stock Buybacks, &amp; '!AY:AY,MATCH($B15,'Federal Tax, Stock Buybacks, &amp; '!$E:$E,0))</f>
        <v>596</v>
      </c>
      <c r="AX15" s="176">
        <f t="array" ref="AX15">INDEX('Federal Tax, Stock Buybacks, &amp; '!AZ:AZ,MATCH($B15,'Federal Tax, Stock Buybacks, &amp; '!$E:$E,0))</f>
        <v>2389</v>
      </c>
      <c r="AY15" s="176">
        <f t="array" ref="AY15">INDEX('Federal Tax, Stock Buybacks, &amp; '!BA:BA,MATCH($B15,'Federal Tax, Stock Buybacks, &amp; '!$E:$E,0))</f>
        <v>2905</v>
      </c>
      <c r="AZ15" s="172"/>
      <c r="BA15" s="166">
        <f t="shared" si="16"/>
        <v>75098.8</v>
      </c>
      <c r="BB15" s="179">
        <f t="shared" si="17"/>
        <v>375494</v>
      </c>
      <c r="BC15" s="180">
        <v>74691.0</v>
      </c>
      <c r="BD15" s="180">
        <v>64003.0</v>
      </c>
      <c r="BE15" s="180">
        <v>61778.0</v>
      </c>
      <c r="BF15" s="180">
        <v>110706.0</v>
      </c>
      <c r="BG15" s="180">
        <v>64316.0</v>
      </c>
      <c r="BH15" s="204"/>
      <c r="BI15" s="154"/>
      <c r="BJ15" s="202" t="s">
        <v>695</v>
      </c>
      <c r="BK15" s="87"/>
      <c r="BL15" s="204"/>
    </row>
    <row r="16" ht="15.0" customHeight="1">
      <c r="A16" s="169">
        <f t="array" ref="A16">INDEX('Federal Tax, Stock Buybacks, &amp; '!D:D,match(B16,'Federal Tax, Stock Buybacks, &amp; '!E:E,0))</f>
        <v>10</v>
      </c>
      <c r="B16" s="205" t="s">
        <v>51</v>
      </c>
      <c r="C16" s="171" t="s">
        <v>702</v>
      </c>
      <c r="D16" s="160">
        <f>SUMIF('Executive Pay Breakdown'!B:B,$B16,'Executive Pay Breakdown'!M:M)+SUMIF('Executive Pay Breakdown'!B:B,$B16,'Executive Pay Breakdown'!Q:Q)+SUMIF('Executive Pay Breakdown'!B:B,$B16,'Executive Pay Breakdown'!U:U)+SUMIF('Executive Pay Breakdown'!B:B,$B16,'Executive Pay Breakdown'!Y:Y)+SUMIF('Executive Pay Breakdown'!B:B,$B16,'Executive Pay Breakdown'!AC:AC)</f>
        <v>325651401</v>
      </c>
      <c r="E16" s="161">
        <f>SUMIF('Executive Pay Breakdown'!B:B,$B16,'Executive Pay Breakdown'!M:M)</f>
        <v>55537320</v>
      </c>
      <c r="F16" s="161">
        <f>SUMIF('Executive Pay Breakdown'!B:B,$B16,'Executive Pay Breakdown'!Q:Q)</f>
        <v>57227037</v>
      </c>
      <c r="G16" s="161">
        <f>SUMIF('Executive Pay Breakdown'!B:B,$B16,'Executive Pay Breakdown'!U:U)</f>
        <v>65229188</v>
      </c>
      <c r="H16" s="161">
        <f>SUMIF('Executive Pay Breakdown'!B:B,$B16,'Executive Pay Breakdown'!Y:Y)</f>
        <v>91811218</v>
      </c>
      <c r="I16" s="161">
        <f>SUMIF('Executive Pay Breakdown'!B:B,$B16,'Executive Pay Breakdown'!AC:AC)</f>
        <v>55846638</v>
      </c>
      <c r="J16" s="172"/>
      <c r="K16" s="173" t="s">
        <v>704</v>
      </c>
      <c r="L16" s="174"/>
      <c r="M16" s="174"/>
      <c r="N16" s="174" t="b">
        <f t="shared" ref="N16:P16" si="38">(G16/1000000)&gt;(AB16)</f>
        <v>1</v>
      </c>
      <c r="O16" s="174" t="b">
        <f t="shared" si="38"/>
        <v>1</v>
      </c>
      <c r="P16" s="174" t="b">
        <f t="shared" si="38"/>
        <v>1</v>
      </c>
      <c r="Q16" s="172"/>
      <c r="R16" s="175">
        <f t="shared" si="11"/>
        <v>23121</v>
      </c>
      <c r="S16" s="176">
        <f t="array" ref="S16">INDEX('Federal Tax, Stock Buybacks, &amp; '!U:U,MATCH($B16,'Federal Tax, Stock Buybacks, &amp; '!$E:$E,0))</f>
        <v>20523</v>
      </c>
      <c r="T16" s="176">
        <f t="array" ref="T16">INDEX('Federal Tax, Stock Buybacks, &amp; '!V:V,MATCH($B16,'Federal Tax, Stock Buybacks, &amp; '!$E:$E,0))</f>
        <v>9452</v>
      </c>
      <c r="U16" s="176">
        <f t="array" ref="U16">INDEX('Federal Tax, Stock Buybacks, &amp; '!W:W,MATCH($B16,'Federal Tax, Stock Buybacks, &amp; '!$E:$E,0))</f>
        <v>-5765</v>
      </c>
      <c r="V16" s="176">
        <f t="array" ref="V16">INDEX('Federal Tax, Stock Buybacks, &amp; '!X:X,MATCH($B16,'Federal Tax, Stock Buybacks, &amp; '!$E:$E,0))</f>
        <v>-5636</v>
      </c>
      <c r="W16" s="176">
        <f t="array" ref="W16">INDEX('Federal Tax, Stock Buybacks, &amp; '!Y:Y,MATCH($B16,'Federal Tax, Stock Buybacks, &amp; '!$E:$E,0))</f>
        <v>4547</v>
      </c>
      <c r="X16" s="172"/>
      <c r="Y16" s="177">
        <f t="shared" si="12"/>
        <v>1461</v>
      </c>
      <c r="Z16" s="178">
        <f t="array" ref="Z16">INDEX('Federal Tax, Stock Buybacks, &amp; '!AB:AB,MATCH($B16,'Federal Tax, Stock Buybacks, &amp; '!$E:$E,0))</f>
        <v>1723</v>
      </c>
      <c r="AA16" s="178">
        <f t="array" ref="AA16">INDEX('Federal Tax, Stock Buybacks, &amp; '!AC:AC,MATCH($B16,'Federal Tax, Stock Buybacks, &amp; '!$E:$E,0))</f>
        <v>174</v>
      </c>
      <c r="AB16" s="178">
        <f t="array" ref="AB16">INDEX('Federal Tax, Stock Buybacks, &amp; '!AD:AD,MATCH($B16,'Federal Tax, Stock Buybacks, &amp; '!$E:$E,0))</f>
        <v>-182</v>
      </c>
      <c r="AC16" s="178">
        <f t="array" ref="AC16">INDEX('Federal Tax, Stock Buybacks, &amp; '!AE:AE,MATCH($B16,'Federal Tax, Stock Buybacks, &amp; '!$E:$E,0))</f>
        <v>-73</v>
      </c>
      <c r="AD16" s="178">
        <f t="array" ref="AD16">INDEX('Federal Tax, Stock Buybacks, &amp; '!AF:AF,MATCH($B16,'Federal Tax, Stock Buybacks, &amp; '!$E:$E,0))</f>
        <v>-181</v>
      </c>
      <c r="AE16" s="172"/>
      <c r="AF16" s="164">
        <f t="shared" ref="AF16:AK16" si="39">Y16/R16</f>
        <v>0.06318930842</v>
      </c>
      <c r="AG16" s="165">
        <f t="shared" si="39"/>
        <v>0.08395458754</v>
      </c>
      <c r="AH16" s="165">
        <f t="shared" si="39"/>
        <v>0.01840880237</v>
      </c>
      <c r="AI16" s="165">
        <f t="shared" si="39"/>
        <v>0.03156981787</v>
      </c>
      <c r="AJ16" s="165">
        <f t="shared" si="39"/>
        <v>0.01295244855</v>
      </c>
      <c r="AK16" s="165">
        <f t="shared" si="39"/>
        <v>-0.0398064658</v>
      </c>
      <c r="AL16" s="172"/>
      <c r="AM16" s="175">
        <f t="shared" si="14"/>
        <v>10487</v>
      </c>
      <c r="AN16" s="176">
        <f t="array" ref="AN16">INDEX('Federal Tax, Stock Buybacks, &amp; '!AP:AP,MATCH($B16,'Federal Tax, Stock Buybacks, &amp; '!$E:$E,0))</f>
        <v>5417</v>
      </c>
      <c r="AO16" s="176">
        <f t="array" ref="AO16">INDEX('Federal Tax, Stock Buybacks, &amp; '!AQ:AQ,MATCH($B16,'Federal Tax, Stock Buybacks, &amp; '!$E:$E,0))</f>
        <v>0</v>
      </c>
      <c r="AP16" s="176">
        <f t="array" ref="AP16">INDEX('Federal Tax, Stock Buybacks, &amp; '!AR:AR,MATCH($B16,'Federal Tax, Stock Buybacks, &amp; '!$E:$E,0))</f>
        <v>1531</v>
      </c>
      <c r="AQ16" s="176">
        <f t="array" ref="AQ16">INDEX('Federal Tax, Stock Buybacks, &amp; '!AS:AS,MATCH($B16,'Federal Tax, Stock Buybacks, &amp; '!$E:$E,0))</f>
        <v>2935</v>
      </c>
      <c r="AR16" s="176">
        <f t="array" ref="AR16">INDEX('Federal Tax, Stock Buybacks, &amp; '!AT:AT,MATCH($B16,'Federal Tax, Stock Buybacks, &amp; '!$E:$E,0))</f>
        <v>604</v>
      </c>
      <c r="AS16" s="172"/>
      <c r="AT16" s="175">
        <f t="shared" si="15"/>
        <v>48259</v>
      </c>
      <c r="AU16" s="176">
        <f t="array" ref="AU16">INDEX('Federal Tax, Stock Buybacks, &amp; '!AW:AW,MATCH($B16,'Federal Tax, Stock Buybacks, &amp; '!$E:$E,0))</f>
        <v>10968</v>
      </c>
      <c r="AV16" s="176">
        <f t="array" ref="AV16">INDEX('Federal Tax, Stock Buybacks, &amp; '!AX:AX,MATCH($B16,'Federal Tax, Stock Buybacks, &amp; '!$E:$E,0))</f>
        <v>10179</v>
      </c>
      <c r="AW16" s="176">
        <f t="array" ref="AW16">INDEX('Federal Tax, Stock Buybacks, &amp; '!AY:AY,MATCH($B16,'Federal Tax, Stock Buybacks, &amp; '!$E:$E,0))</f>
        <v>9651</v>
      </c>
      <c r="AX16" s="176">
        <f t="array" ref="AX16">INDEX('Federal Tax, Stock Buybacks, &amp; '!AZ:AZ,MATCH($B16,'Federal Tax, Stock Buybacks, &amp; '!$E:$E,0))</f>
        <v>8959</v>
      </c>
      <c r="AY16" s="176">
        <f t="array" ref="AY16">INDEX('Federal Tax, Stock Buybacks, &amp; '!BA:BA,MATCH($B16,'Federal Tax, Stock Buybacks, &amp; '!$E:$E,0))</f>
        <v>8502</v>
      </c>
      <c r="AZ16" s="172"/>
      <c r="BA16" s="206">
        <f t="shared" si="16"/>
        <v>157003.2</v>
      </c>
      <c r="BB16" s="179">
        <f t="shared" si="17"/>
        <v>785016</v>
      </c>
      <c r="BC16" s="180">
        <v>161488.0</v>
      </c>
      <c r="BD16" s="180">
        <v>183531.0</v>
      </c>
      <c r="BE16" s="180">
        <v>157572.0</v>
      </c>
      <c r="BF16" s="180">
        <v>140063.0</v>
      </c>
      <c r="BG16" s="180">
        <v>142362.0</v>
      </c>
      <c r="BH16" s="201"/>
      <c r="BI16" s="154"/>
      <c r="BJ16" s="207" t="s">
        <v>695</v>
      </c>
      <c r="BK16" s="87"/>
      <c r="BL16" s="201"/>
    </row>
    <row r="17" ht="15.0" customHeight="1">
      <c r="A17" s="169">
        <f t="array" ref="A17">INDEX('Federal Tax, Stock Buybacks, &amp; '!D:D,match(B17,'Federal Tax, Stock Buybacks, &amp; '!E:E,0))</f>
        <v>187</v>
      </c>
      <c r="B17" s="190" t="s">
        <v>12</v>
      </c>
      <c r="C17" s="185" t="s">
        <v>705</v>
      </c>
      <c r="D17" s="160">
        <f>SUMIF('Executive Pay Breakdown'!B:B,$B17,'Executive Pay Breakdown'!M:M)+SUMIF('Executive Pay Breakdown'!B:B,$B17,'Executive Pay Breakdown'!Q:Q)+SUMIF('Executive Pay Breakdown'!B:B,$B17,'Executive Pay Breakdown'!U:U)+SUMIF('Executive Pay Breakdown'!B:B,$B17,'Executive Pay Breakdown'!Y:Y)+SUMIF('Executive Pay Breakdown'!B:B,$B17,'Executive Pay Breakdown'!AC:AC)</f>
        <v>324823145</v>
      </c>
      <c r="E17" s="161">
        <f>SUMIF('Executive Pay Breakdown'!B:B,$B17,'Executive Pay Breakdown'!M:M)</f>
        <v>94794812</v>
      </c>
      <c r="F17" s="161">
        <f>SUMIF('Executive Pay Breakdown'!B:B,$B17,'Executive Pay Breakdown'!Q:Q)</f>
        <v>78603376</v>
      </c>
      <c r="G17" s="161">
        <f>SUMIF('Executive Pay Breakdown'!B:B,$B17,'Executive Pay Breakdown'!U:U)</f>
        <v>49540467</v>
      </c>
      <c r="H17" s="161">
        <f>SUMIF('Executive Pay Breakdown'!B:B,$B17,'Executive Pay Breakdown'!Y:Y)</f>
        <v>56574381</v>
      </c>
      <c r="I17" s="161">
        <f>SUMIF('Executive Pay Breakdown'!B:B,$B17,'Executive Pay Breakdown'!AC:AC)</f>
        <v>45310109</v>
      </c>
      <c r="J17" s="172"/>
      <c r="K17" s="173" t="s">
        <v>694</v>
      </c>
      <c r="L17" s="174" t="b">
        <f t="shared" ref="L17:M17" si="40">(E17/1000000)&gt;(Z17)</f>
        <v>1</v>
      </c>
      <c r="M17" s="174" t="b">
        <f t="shared" si="40"/>
        <v>1</v>
      </c>
      <c r="N17" s="183"/>
      <c r="O17" s="183"/>
      <c r="P17" s="174" t="b">
        <f>(I17/1000000)&gt;(AD17)</f>
        <v>1</v>
      </c>
      <c r="Q17" s="172"/>
      <c r="R17" s="175">
        <f t="shared" si="11"/>
        <v>23965</v>
      </c>
      <c r="S17" s="176">
        <f t="array" ref="S17">INDEX('Federal Tax, Stock Buybacks, &amp; '!U:U,MATCH($B17,'Federal Tax, Stock Buybacks, &amp; '!$E:$E,0))</f>
        <v>4692</v>
      </c>
      <c r="T17" s="176">
        <f t="array" ref="T17">INDEX('Federal Tax, Stock Buybacks, &amp; '!V:V,MATCH($B17,'Federal Tax, Stock Buybacks, &amp; '!$E:$E,0))</f>
        <v>3983</v>
      </c>
      <c r="U17" s="176">
        <f t="array" ref="U17">INDEX('Federal Tax, Stock Buybacks, &amp; '!W:W,MATCH($B17,'Federal Tax, Stock Buybacks, &amp; '!$E:$E,0))</f>
        <v>2945</v>
      </c>
      <c r="V17" s="176">
        <f t="array" ref="V17">INDEX('Federal Tax, Stock Buybacks, &amp; '!X:X,MATCH($B17,'Federal Tax, Stock Buybacks, &amp; '!$E:$E,0))</f>
        <v>4194</v>
      </c>
      <c r="W17" s="176">
        <f t="array" ref="W17">INDEX('Federal Tax, Stock Buybacks, &amp; '!Y:Y,MATCH($B17,'Federal Tax, Stock Buybacks, &amp; '!$E:$E,0))</f>
        <v>8151</v>
      </c>
      <c r="X17" s="172"/>
      <c r="Y17" s="177">
        <f t="shared" si="12"/>
        <v>287</v>
      </c>
      <c r="Z17" s="178">
        <f t="array" ref="Z17">INDEX('Federal Tax, Stock Buybacks, &amp; '!AB:AB,MATCH($B17,'Federal Tax, Stock Buybacks, &amp; '!$E:$E,0))</f>
        <v>11</v>
      </c>
      <c r="AA17" s="178">
        <f t="array" ref="AA17">INDEX('Federal Tax, Stock Buybacks, &amp; '!AC:AC,MATCH($B17,'Federal Tax, Stock Buybacks, &amp; '!$E:$E,0))</f>
        <v>-26</v>
      </c>
      <c r="AB17" s="178">
        <f t="array" ref="AB17">INDEX('Federal Tax, Stock Buybacks, &amp; '!AD:AD,MATCH($B17,'Federal Tax, Stock Buybacks, &amp; '!$E:$E,0))</f>
        <v>105</v>
      </c>
      <c r="AC17" s="178">
        <f t="array" ref="AC17">INDEX('Federal Tax, Stock Buybacks, &amp; '!AE:AE,MATCH($B17,'Federal Tax, Stock Buybacks, &amp; '!$E:$E,0))</f>
        <v>167</v>
      </c>
      <c r="AD17" s="178">
        <f t="array" ref="AD17">INDEX('Federal Tax, Stock Buybacks, &amp; '!AF:AF,MATCH($B17,'Federal Tax, Stock Buybacks, &amp; '!$E:$E,0))</f>
        <v>30</v>
      </c>
      <c r="AE17" s="172"/>
      <c r="AF17" s="164">
        <f t="shared" ref="AF17:AK17" si="41">Y17/R17</f>
        <v>0.01197579804</v>
      </c>
      <c r="AG17" s="165">
        <f t="shared" si="41"/>
        <v>0.002344416027</v>
      </c>
      <c r="AH17" s="165">
        <f t="shared" si="41"/>
        <v>-0.006527742907</v>
      </c>
      <c r="AI17" s="165">
        <f t="shared" si="41"/>
        <v>0.03565365025</v>
      </c>
      <c r="AJ17" s="165">
        <f t="shared" si="41"/>
        <v>0.03981878875</v>
      </c>
      <c r="AK17" s="165">
        <f t="shared" si="41"/>
        <v>0.003680529996</v>
      </c>
      <c r="AL17" s="172"/>
      <c r="AM17" s="175">
        <f t="shared" si="14"/>
        <v>0</v>
      </c>
      <c r="AN17" s="176">
        <f t="array" ref="AN17">INDEX('Federal Tax, Stock Buybacks, &amp; '!AP:AP,MATCH($B17,'Federal Tax, Stock Buybacks, &amp; '!$E:$E,0))</f>
        <v>0</v>
      </c>
      <c r="AO17" s="176">
        <f t="array" ref="AO17">INDEX('Federal Tax, Stock Buybacks, &amp; '!AQ:AQ,MATCH($B17,'Federal Tax, Stock Buybacks, &amp; '!$E:$E,0))</f>
        <v>0</v>
      </c>
      <c r="AP17" s="176">
        <f t="array" ref="AP17">INDEX('Federal Tax, Stock Buybacks, &amp; '!AR:AR,MATCH($B17,'Federal Tax, Stock Buybacks, &amp; '!$E:$E,0))</f>
        <v>0</v>
      </c>
      <c r="AQ17" s="176">
        <f t="array" ref="AQ17">INDEX('Federal Tax, Stock Buybacks, &amp; '!AS:AS,MATCH($B17,'Federal Tax, Stock Buybacks, &amp; '!$E:$E,0))</f>
        <v>0</v>
      </c>
      <c r="AR17" s="176">
        <f t="array" ref="AR17">INDEX('Federal Tax, Stock Buybacks, &amp; '!AT:AT,MATCH($B17,'Federal Tax, Stock Buybacks, &amp; '!$E:$E,0))</f>
        <v>0</v>
      </c>
      <c r="AS17" s="172"/>
      <c r="AT17" s="175">
        <f t="shared" si="15"/>
        <v>13628</v>
      </c>
      <c r="AU17" s="176">
        <f t="array" ref="AU17">INDEX('Federal Tax, Stock Buybacks, &amp; '!AW:AW,MATCH($B17,'Federal Tax, Stock Buybacks, &amp; '!$E:$E,0))</f>
        <v>3352</v>
      </c>
      <c r="AV17" s="176">
        <f t="array" ref="AV17">INDEX('Federal Tax, Stock Buybacks, &amp; '!AX:AX,MATCH($B17,'Federal Tax, Stock Buybacks, &amp; '!$E:$E,0))</f>
        <v>3024</v>
      </c>
      <c r="AW17" s="176">
        <f t="array" ref="AW17">INDEX('Federal Tax, Stock Buybacks, &amp; '!AY:AY,MATCH($B17,'Federal Tax, Stock Buybacks, &amp; '!$E:$E,0))</f>
        <v>2743</v>
      </c>
      <c r="AX17" s="176">
        <f t="array" ref="AX17">INDEX('Federal Tax, Stock Buybacks, &amp; '!AZ:AZ,MATCH($B17,'Federal Tax, Stock Buybacks, &amp; '!$E:$E,0))</f>
        <v>2408</v>
      </c>
      <c r="AY17" s="176">
        <f t="array" ref="AY17">INDEX('Federal Tax, Stock Buybacks, &amp; '!BA:BA,MATCH($B17,'Federal Tax, Stock Buybacks, &amp; '!$E:$E,0))</f>
        <v>2101</v>
      </c>
      <c r="AZ17" s="172"/>
      <c r="BA17" s="166">
        <f t="shared" si="16"/>
        <v>132852.6</v>
      </c>
      <c r="BB17" s="179">
        <f t="shared" si="17"/>
        <v>664263</v>
      </c>
      <c r="BC17" s="179">
        <v>141446.0</v>
      </c>
      <c r="BD17" s="179">
        <v>132798.0</v>
      </c>
      <c r="BE17" s="179">
        <v>134919.0</v>
      </c>
      <c r="BF17" s="179">
        <v>129735.0</v>
      </c>
      <c r="BG17" s="179">
        <v>125365.0</v>
      </c>
      <c r="BH17" s="179"/>
      <c r="BI17" s="154"/>
      <c r="BJ17" s="189" t="s">
        <v>695</v>
      </c>
      <c r="BK17" s="87"/>
      <c r="BL17" s="208"/>
    </row>
    <row r="18" ht="15.0" customHeight="1">
      <c r="A18" s="169">
        <f t="array" ref="A18">INDEX('Federal Tax, Stock Buybacks, &amp; '!D:D,match(B18,'Federal Tax, Stock Buybacks, &amp; '!E:E,0))</f>
        <v>21</v>
      </c>
      <c r="B18" s="200" t="s">
        <v>50</v>
      </c>
      <c r="C18" s="185" t="s">
        <v>703</v>
      </c>
      <c r="D18" s="160">
        <f>SUMIF('Executive Pay Breakdown'!B:B,$B18,'Executive Pay Breakdown'!M:M)+SUMIF('Executive Pay Breakdown'!B:B,$B18,'Executive Pay Breakdown'!Q:Q)+SUMIF('Executive Pay Breakdown'!B:B,$B18,'Executive Pay Breakdown'!U:U)+SUMIF('Executive Pay Breakdown'!B:B,$B18,'Executive Pay Breakdown'!Y:Y)+SUMIF('Executive Pay Breakdown'!B:B,$B18,'Executive Pay Breakdown'!AC:AC)</f>
        <v>317606249</v>
      </c>
      <c r="E18" s="161">
        <f>SUMIF('Executive Pay Breakdown'!B:B,$B18,'Executive Pay Breakdown'!M:M)</f>
        <v>71139291</v>
      </c>
      <c r="F18" s="161">
        <f>SUMIF('Executive Pay Breakdown'!B:B,$B18,'Executive Pay Breakdown'!Q:Q)</f>
        <v>69066856</v>
      </c>
      <c r="G18" s="161">
        <f>SUMIF('Executive Pay Breakdown'!B:B,$B18,'Executive Pay Breakdown'!U:U)</f>
        <v>70088071</v>
      </c>
      <c r="H18" s="161">
        <f>SUMIF('Executive Pay Breakdown'!B:B,$B18,'Executive Pay Breakdown'!Y:Y)</f>
        <v>51327820</v>
      </c>
      <c r="I18" s="161">
        <f>SUMIF('Executive Pay Breakdown'!B:B,$B18,'Executive Pay Breakdown'!AC:AC)</f>
        <v>55984211</v>
      </c>
      <c r="J18" s="172"/>
      <c r="K18" s="173" t="s">
        <v>704</v>
      </c>
      <c r="L18" s="183"/>
      <c r="M18" s="174" t="b">
        <f t="shared" ref="M18:M19" si="44">(F18/1000000)&gt;(AA18)</f>
        <v>1</v>
      </c>
      <c r="N18" s="183"/>
      <c r="O18" s="174" t="b">
        <f t="shared" ref="O18:P18" si="42">(H18/1000000)&gt;(AC18)</f>
        <v>1</v>
      </c>
      <c r="P18" s="174" t="b">
        <f t="shared" si="42"/>
        <v>1</v>
      </c>
      <c r="Q18" s="172"/>
      <c r="R18" s="175">
        <f t="shared" si="11"/>
        <v>33110</v>
      </c>
      <c r="S18" s="176">
        <f t="array" ref="S18">INDEX('Federal Tax, Stock Buybacks, &amp; '!U:U,MATCH($B18,'Federal Tax, Stock Buybacks, &amp; '!$E:$E,0))</f>
        <v>9086</v>
      </c>
      <c r="T18" s="176">
        <f t="array" ref="T18">INDEX('Federal Tax, Stock Buybacks, &amp; '!V:V,MATCH($B18,'Federal Tax, Stock Buybacks, &amp; '!$E:$E,0))</f>
        <v>9371</v>
      </c>
      <c r="U18" s="176">
        <f t="array" ref="U18">INDEX('Federal Tax, Stock Buybacks, &amp; '!W:W,MATCH($B18,'Federal Tax, Stock Buybacks, &amp; '!$E:$E,0))</f>
        <v>6609</v>
      </c>
      <c r="V18" s="176">
        <f t="array" ref="V18">INDEX('Federal Tax, Stock Buybacks, &amp; '!X:X,MATCH($B18,'Federal Tax, Stock Buybacks, &amp; '!$E:$E,0))</f>
        <v>3724</v>
      </c>
      <c r="W18" s="176">
        <f t="array" ref="W18">INDEX('Federal Tax, Stock Buybacks, &amp; '!Y:Y,MATCH($B18,'Federal Tax, Stock Buybacks, &amp; '!$E:$E,0))</f>
        <v>4320</v>
      </c>
      <c r="X18" s="172"/>
      <c r="Y18" s="177">
        <f t="shared" si="12"/>
        <v>431</v>
      </c>
      <c r="Z18" s="178">
        <f t="array" ref="Z18">INDEX('Federal Tax, Stock Buybacks, &amp; '!AB:AB,MATCH($B18,'Federal Tax, Stock Buybacks, &amp; '!$E:$E,0))</f>
        <v>389</v>
      </c>
      <c r="AA18" s="178">
        <f t="array" ref="AA18">INDEX('Federal Tax, Stock Buybacks, &amp; '!AC:AC,MATCH($B18,'Federal Tax, Stock Buybacks, &amp; '!$E:$E,0))</f>
        <v>20</v>
      </c>
      <c r="AB18" s="178">
        <f t="array" ref="AB18">INDEX('Federal Tax, Stock Buybacks, &amp; '!AD:AD,MATCH($B18,'Federal Tax, Stock Buybacks, &amp; '!$E:$E,0))</f>
        <v>84</v>
      </c>
      <c r="AC18" s="178">
        <f t="array" ref="AC18">INDEX('Federal Tax, Stock Buybacks, &amp; '!AE:AE,MATCH($B18,'Federal Tax, Stock Buybacks, &amp; '!$E:$E,0))</f>
        <v>42</v>
      </c>
      <c r="AD18" s="178">
        <f t="array" ref="AD18">INDEX('Federal Tax, Stock Buybacks, &amp; '!AF:AF,MATCH($B18,'Federal Tax, Stock Buybacks, &amp; '!$E:$E,0))</f>
        <v>-104</v>
      </c>
      <c r="AE18" s="172"/>
      <c r="AF18" s="164">
        <f t="shared" ref="AF18:AK18" si="43">Y18/R18</f>
        <v>0.01301721534</v>
      </c>
      <c r="AG18" s="165">
        <f t="shared" si="43"/>
        <v>0.04281311908</v>
      </c>
      <c r="AH18" s="165">
        <f t="shared" si="43"/>
        <v>0.002134243944</v>
      </c>
      <c r="AI18" s="165">
        <f t="shared" si="43"/>
        <v>0.01270994099</v>
      </c>
      <c r="AJ18" s="165">
        <f t="shared" si="43"/>
        <v>0.01127819549</v>
      </c>
      <c r="AK18" s="165">
        <f t="shared" si="43"/>
        <v>-0.02407407407</v>
      </c>
      <c r="AL18" s="172"/>
      <c r="AM18" s="175">
        <f t="shared" si="14"/>
        <v>2690</v>
      </c>
      <c r="AN18" s="176">
        <f t="array" ref="AN18">INDEX('Federal Tax, Stock Buybacks, &amp; '!AP:AP,MATCH($B18,'Federal Tax, Stock Buybacks, &amp; '!$E:$E,0))</f>
        <v>2500</v>
      </c>
      <c r="AO18" s="176">
        <f t="array" ref="AO18">INDEX('Federal Tax, Stock Buybacks, &amp; '!AQ:AQ,MATCH($B18,'Federal Tax, Stock Buybacks, &amp; '!$E:$E,0))</f>
        <v>0</v>
      </c>
      <c r="AP18" s="176">
        <f t="array" ref="AP18">INDEX('Federal Tax, Stock Buybacks, &amp; '!AR:AR,MATCH($B18,'Federal Tax, Stock Buybacks, &amp; '!$E:$E,0))</f>
        <v>90</v>
      </c>
      <c r="AQ18" s="176">
        <f t="array" ref="AQ18">INDEX('Federal Tax, Stock Buybacks, &amp; '!AS:AS,MATCH($B18,'Federal Tax, Stock Buybacks, &amp; '!$E:$E,0))</f>
        <v>0</v>
      </c>
      <c r="AR18" s="176">
        <f t="array" ref="AR18">INDEX('Federal Tax, Stock Buybacks, &amp; '!AT:AT,MATCH($B18,'Federal Tax, Stock Buybacks, &amp; '!$E:$E,0))</f>
        <v>100</v>
      </c>
      <c r="AS18" s="172"/>
      <c r="AT18" s="175">
        <f t="shared" si="15"/>
        <v>5844</v>
      </c>
      <c r="AU18" s="176">
        <f t="array" ref="AU18">INDEX('Federal Tax, Stock Buybacks, &amp; '!AW:AW,MATCH($B18,'Federal Tax, Stock Buybacks, &amp; '!$E:$E,0))</f>
        <v>397</v>
      </c>
      <c r="AV18" s="176">
        <f t="array" ref="AV18">INDEX('Federal Tax, Stock Buybacks, &amp; '!AX:AX,MATCH($B18,'Federal Tax, Stock Buybacks, &amp; '!$E:$E,0))</f>
        <v>186</v>
      </c>
      <c r="AW18" s="176">
        <f t="array" ref="AW18">INDEX('Federal Tax, Stock Buybacks, &amp; '!AY:AY,MATCH($B18,'Federal Tax, Stock Buybacks, &amp; '!$E:$E,0))</f>
        <v>669</v>
      </c>
      <c r="AX18" s="176">
        <f t="array" ref="AX18">INDEX('Federal Tax, Stock Buybacks, &amp; '!AZ:AZ,MATCH($B18,'Federal Tax, Stock Buybacks, &amp; '!$E:$E,0))</f>
        <v>2350</v>
      </c>
      <c r="AY18" s="176">
        <f t="array" ref="AY18">INDEX('Federal Tax, Stock Buybacks, &amp; '!BA:BA,MATCH($B18,'Federal Tax, Stock Buybacks, &amp; '!$E:$E,0))</f>
        <v>2242</v>
      </c>
      <c r="AZ18" s="172"/>
      <c r="BA18" s="166">
        <f t="shared" si="16"/>
        <v>90319.4</v>
      </c>
      <c r="BB18" s="179">
        <f t="shared" si="17"/>
        <v>451597</v>
      </c>
      <c r="BC18" s="180">
        <v>80034.0</v>
      </c>
      <c r="BD18" s="180">
        <v>69433.0</v>
      </c>
      <c r="BE18" s="180">
        <v>117566.0</v>
      </c>
      <c r="BF18" s="180">
        <v>106715.0</v>
      </c>
      <c r="BG18" s="180">
        <v>77849.0</v>
      </c>
      <c r="BH18" s="204"/>
      <c r="BI18" s="154"/>
      <c r="BJ18" s="202" t="s">
        <v>695</v>
      </c>
      <c r="BK18" s="87"/>
      <c r="BL18" s="204"/>
    </row>
    <row r="19" ht="15.0" customHeight="1">
      <c r="A19" s="169">
        <f t="array" ref="A19">INDEX('Federal Tax, Stock Buybacks, &amp; '!D:D,match(B19,'Federal Tax, Stock Buybacks, &amp; '!E:E,0))</f>
        <v>79</v>
      </c>
      <c r="B19" s="209" t="s">
        <v>54</v>
      </c>
      <c r="C19" s="185" t="s">
        <v>700</v>
      </c>
      <c r="D19" s="160">
        <f>SUMIF('Executive Pay Breakdown'!B:B,$B19,'Executive Pay Breakdown'!M:M)+SUMIF('Executive Pay Breakdown'!B:B,$B19,'Executive Pay Breakdown'!Q:Q)+SUMIF('Executive Pay Breakdown'!B:B,$B19,'Executive Pay Breakdown'!U:U)+SUMIF('Executive Pay Breakdown'!B:B,$B19,'Executive Pay Breakdown'!Y:Y)+SUMIF('Executive Pay Breakdown'!B:B,$B19,'Executive Pay Breakdown'!AC:AC)</f>
        <v>313413516</v>
      </c>
      <c r="E19" s="161">
        <f>SUMIF('Executive Pay Breakdown'!B:B,$B19,'Executive Pay Breakdown'!M:M)</f>
        <v>84769628</v>
      </c>
      <c r="F19" s="161">
        <f>SUMIF('Executive Pay Breakdown'!B:B,$B19,'Executive Pay Breakdown'!Q:Q)</f>
        <v>82843548</v>
      </c>
      <c r="G19" s="161">
        <f>SUMIF('Executive Pay Breakdown'!B:B,$B19,'Executive Pay Breakdown'!U:U)</f>
        <v>104461965</v>
      </c>
      <c r="H19" s="161">
        <f>SUMIF('Executive Pay Breakdown'!B:B,$B19,'Executive Pay Breakdown'!Y:Y)</f>
        <v>21511198</v>
      </c>
      <c r="I19" s="161">
        <f>SUMIF('Executive Pay Breakdown'!B:B,$B19,'Executive Pay Breakdown'!AC:AC)</f>
        <v>19827177</v>
      </c>
      <c r="J19" s="172"/>
      <c r="K19" s="173" t="s">
        <v>704</v>
      </c>
      <c r="L19" s="183"/>
      <c r="M19" s="174" t="b">
        <f t="shared" si="44"/>
        <v>1</v>
      </c>
      <c r="N19" s="174" t="b">
        <f t="shared" ref="N19:O19" si="45">(G19/1000000)&gt;(AB19)</f>
        <v>1</v>
      </c>
      <c r="O19" s="174" t="b">
        <f t="shared" si="45"/>
        <v>1</v>
      </c>
      <c r="P19" s="183"/>
      <c r="Q19" s="172"/>
      <c r="R19" s="175">
        <f t="shared" si="11"/>
        <v>18849</v>
      </c>
      <c r="S19" s="176">
        <f t="array" ref="S19">INDEX('Federal Tax, Stock Buybacks, &amp; '!U:U,MATCH($B19,'Federal Tax, Stock Buybacks, &amp; '!$E:$E,0))</f>
        <v>6320</v>
      </c>
      <c r="T19" s="176">
        <f t="array" ref="T19">INDEX('Federal Tax, Stock Buybacks, &amp; '!V:V,MATCH($B19,'Federal Tax, Stock Buybacks, &amp; '!$E:$E,0))</f>
        <v>5492</v>
      </c>
      <c r="U19" s="176">
        <f t="array" ref="U19">INDEX('Federal Tax, Stock Buybacks, &amp; '!W:W,MATCH($B19,'Federal Tax, Stock Buybacks, &amp; '!$E:$E,0))</f>
        <v>3680</v>
      </c>
      <c r="V19" s="176">
        <f t="array" ref="V19">INDEX('Federal Tax, Stock Buybacks, &amp; '!X:X,MATCH($B19,'Federal Tax, Stock Buybacks, &amp; '!$E:$E,0))</f>
        <v>1994</v>
      </c>
      <c r="W19" s="176">
        <f t="array" ref="W19">INDEX('Federal Tax, Stock Buybacks, &amp; '!Y:Y,MATCH($B19,'Federal Tax, Stock Buybacks, &amp; '!$E:$E,0))</f>
        <v>1363</v>
      </c>
      <c r="X19" s="172"/>
      <c r="Y19" s="177">
        <f t="shared" si="12"/>
        <v>1212</v>
      </c>
      <c r="Z19" s="178">
        <f t="array" ref="Z19">INDEX('Federal Tax, Stock Buybacks, &amp; '!AB:AB,MATCH($B19,'Federal Tax, Stock Buybacks, &amp; '!$E:$E,0))</f>
        <v>1178</v>
      </c>
      <c r="AA19" s="178">
        <f t="array" ref="AA19">INDEX('Federal Tax, Stock Buybacks, &amp; '!AC:AC,MATCH($B19,'Federal Tax, Stock Buybacks, &amp; '!$E:$E,0))</f>
        <v>12</v>
      </c>
      <c r="AB19" s="178">
        <f t="array" ref="AB19">INDEX('Federal Tax, Stock Buybacks, &amp; '!AD:AD,MATCH($B19,'Federal Tax, Stock Buybacks, &amp; '!$E:$E,0))</f>
        <v>-7</v>
      </c>
      <c r="AC19" s="178">
        <f t="array" ref="AC19">INDEX('Federal Tax, Stock Buybacks, &amp; '!AE:AE,MATCH($B19,'Federal Tax, Stock Buybacks, &amp; '!$E:$E,0))</f>
        <v>6</v>
      </c>
      <c r="AD19" s="178">
        <f t="array" ref="AD19">INDEX('Federal Tax, Stock Buybacks, &amp; '!AF:AF,MATCH($B19,'Federal Tax, Stock Buybacks, &amp; '!$E:$E,0))</f>
        <v>23</v>
      </c>
      <c r="AE19" s="172"/>
      <c r="AF19" s="164">
        <f t="shared" ref="AF19:AK19" si="46">Y19/R19</f>
        <v>0.06430049339</v>
      </c>
      <c r="AG19" s="165">
        <f t="shared" si="46"/>
        <v>0.1863924051</v>
      </c>
      <c r="AH19" s="165">
        <f t="shared" si="46"/>
        <v>0.002184996358</v>
      </c>
      <c r="AI19" s="165">
        <f t="shared" si="46"/>
        <v>-0.001902173913</v>
      </c>
      <c r="AJ19" s="165">
        <f t="shared" si="46"/>
        <v>0.003009027081</v>
      </c>
      <c r="AK19" s="165">
        <f t="shared" si="46"/>
        <v>0.01687454145</v>
      </c>
      <c r="AL19" s="172"/>
      <c r="AM19" s="175">
        <f t="shared" si="14"/>
        <v>48197</v>
      </c>
      <c r="AN19" s="176">
        <f t="array" ref="AN19">INDEX('Federal Tax, Stock Buybacks, &amp; '!AP:AP,MATCH($B19,'Federal Tax, Stock Buybacks, &amp; '!$E:$E,0))</f>
        <v>10277</v>
      </c>
      <c r="AO19" s="176">
        <f t="array" ref="AO19">INDEX('Federal Tax, Stock Buybacks, &amp; '!AQ:AQ,MATCH($B19,'Federal Tax, Stock Buybacks, &amp; '!$E:$E,0))</f>
        <v>15431</v>
      </c>
      <c r="AP19" s="176">
        <f t="array" ref="AP19">INDEX('Federal Tax, Stock Buybacks, &amp; '!AR:AR,MATCH($B19,'Federal Tax, Stock Buybacks, &amp; '!$E:$E,0))</f>
        <v>11217</v>
      </c>
      <c r="AQ19" s="176">
        <f t="array" ref="AQ19">INDEX('Federal Tax, Stock Buybacks, &amp; '!AS:AS,MATCH($B19,'Federal Tax, Stock Buybacks, &amp; '!$E:$E,0))</f>
        <v>6873</v>
      </c>
      <c r="AR19" s="176">
        <f t="array" ref="AR19">INDEX('Federal Tax, Stock Buybacks, &amp; '!AT:AT,MATCH($B19,'Federal Tax, Stock Buybacks, &amp; '!$E:$E,0))</f>
        <v>4399</v>
      </c>
      <c r="AS19" s="172"/>
      <c r="AT19" s="175">
        <f t="shared" si="15"/>
        <v>0</v>
      </c>
      <c r="AU19" s="176">
        <f t="array" ref="AU19">INDEX('Federal Tax, Stock Buybacks, &amp; '!AW:AW,MATCH($B19,'Federal Tax, Stock Buybacks, &amp; '!$E:$E,0))</f>
        <v>0</v>
      </c>
      <c r="AV19" s="176">
        <f t="array" ref="AV19">INDEX('Federal Tax, Stock Buybacks, &amp; '!AX:AX,MATCH($B19,'Federal Tax, Stock Buybacks, &amp; '!$E:$E,0))</f>
        <v>0</v>
      </c>
      <c r="AW19" s="176">
        <f t="array" ref="AW19">INDEX('Federal Tax, Stock Buybacks, &amp; '!AY:AY,MATCH($B19,'Federal Tax, Stock Buybacks, &amp; '!$E:$E,0))</f>
        <v>0</v>
      </c>
      <c r="AX19" s="176">
        <f t="array" ref="AX19">INDEX('Federal Tax, Stock Buybacks, &amp; '!AZ:AZ,MATCH($B19,'Federal Tax, Stock Buybacks, &amp; '!$E:$E,0))</f>
        <v>0</v>
      </c>
      <c r="AY19" s="176">
        <f t="array" ref="AY19">INDEX('Federal Tax, Stock Buybacks, &amp; '!BA:BA,MATCH($B19,'Federal Tax, Stock Buybacks, &amp; '!$E:$E,0))</f>
        <v>0</v>
      </c>
      <c r="AZ19" s="172"/>
      <c r="BA19" s="166">
        <f t="shared" si="16"/>
        <v>57037.8</v>
      </c>
      <c r="BB19" s="179">
        <f t="shared" si="17"/>
        <v>285189</v>
      </c>
      <c r="BC19" s="188">
        <v>55429.0</v>
      </c>
      <c r="BD19" s="188">
        <v>60007.0</v>
      </c>
      <c r="BE19" s="188">
        <v>56568.0</v>
      </c>
      <c r="BF19" s="188">
        <v>57625.0</v>
      </c>
      <c r="BG19" s="188">
        <v>55560.0</v>
      </c>
      <c r="BH19" s="87"/>
      <c r="BI19" s="154"/>
      <c r="BJ19" s="184" t="s">
        <v>695</v>
      </c>
      <c r="BK19" s="87"/>
      <c r="BL19" s="87"/>
    </row>
    <row r="20" ht="15.0" customHeight="1">
      <c r="A20" s="169">
        <f t="array" ref="A20">INDEX('Federal Tax, Stock Buybacks, &amp; '!D:D,match(B20,'Federal Tax, Stock Buybacks, &amp; '!E:E,0))</f>
        <v>115</v>
      </c>
      <c r="B20" s="209" t="s">
        <v>55</v>
      </c>
      <c r="C20" s="185" t="s">
        <v>706</v>
      </c>
      <c r="D20" s="160">
        <f>SUMIF('Executive Pay Breakdown'!B:B,$B20,'Executive Pay Breakdown'!M:M)+SUMIF('Executive Pay Breakdown'!B:B,$B20,'Executive Pay Breakdown'!Q:Q)+SUMIF('Executive Pay Breakdown'!B:B,$B20,'Executive Pay Breakdown'!U:U)+SUMIF('Executive Pay Breakdown'!B:B,$B20,'Executive Pay Breakdown'!Y:Y)+SUMIF('Executive Pay Breakdown'!B:B,$B20,'Executive Pay Breakdown'!AC:AC)</f>
        <v>275600043</v>
      </c>
      <c r="E20" s="161">
        <f>SUMIF('Executive Pay Breakdown'!B:B,$B20,'Executive Pay Breakdown'!M:M)</f>
        <v>58777935</v>
      </c>
      <c r="F20" s="161">
        <f>SUMIF('Executive Pay Breakdown'!B:B,$B20,'Executive Pay Breakdown'!Q:Q)</f>
        <v>56056686</v>
      </c>
      <c r="G20" s="161">
        <f>SUMIF('Executive Pay Breakdown'!B:B,$B20,'Executive Pay Breakdown'!U:U)</f>
        <v>43631159</v>
      </c>
      <c r="H20" s="161">
        <f>SUMIF('Executive Pay Breakdown'!B:B,$B20,'Executive Pay Breakdown'!Y:Y)</f>
        <v>59441561</v>
      </c>
      <c r="I20" s="161">
        <f>SUMIF('Executive Pay Breakdown'!B:B,$B20,'Executive Pay Breakdown'!AC:AC)</f>
        <v>57692702</v>
      </c>
      <c r="J20" s="172"/>
      <c r="K20" s="173" t="s">
        <v>699</v>
      </c>
      <c r="L20" s="183"/>
      <c r="M20" s="183"/>
      <c r="N20" s="183"/>
      <c r="O20" s="174" t="b">
        <f t="shared" ref="O20:P20" si="47">(H20/1000000)&gt;(AC20)</f>
        <v>1</v>
      </c>
      <c r="P20" s="174" t="b">
        <f t="shared" si="47"/>
        <v>1</v>
      </c>
      <c r="Q20" s="172"/>
      <c r="R20" s="175">
        <f t="shared" si="11"/>
        <v>17194</v>
      </c>
      <c r="S20" s="176">
        <f t="array" ref="S20">INDEX('Federal Tax, Stock Buybacks, &amp; '!U:U,MATCH($B20,'Federal Tax, Stock Buybacks, &amp; '!$E:$E,0))</f>
        <v>3181</v>
      </c>
      <c r="T20" s="176">
        <f t="array" ref="T20">INDEX('Federal Tax, Stock Buybacks, &amp; '!V:V,MATCH($B20,'Federal Tax, Stock Buybacks, &amp; '!$E:$E,0))</f>
        <v>3809</v>
      </c>
      <c r="U20" s="176">
        <f t="array" ref="U20">INDEX('Federal Tax, Stock Buybacks, &amp; '!W:W,MATCH($B20,'Federal Tax, Stock Buybacks, &amp; '!$E:$E,0))</f>
        <v>3239</v>
      </c>
      <c r="V20" s="176">
        <f t="array" ref="V20">INDEX('Federal Tax, Stock Buybacks, &amp; '!X:X,MATCH($B20,'Federal Tax, Stock Buybacks, &amp; '!$E:$E,0))</f>
        <v>4135</v>
      </c>
      <c r="W20" s="176">
        <f t="array" ref="W20">INDEX('Federal Tax, Stock Buybacks, &amp; '!Y:Y,MATCH($B20,'Federal Tax, Stock Buybacks, &amp; '!$E:$E,0))</f>
        <v>2830</v>
      </c>
      <c r="X20" s="172"/>
      <c r="Y20" s="177">
        <f t="shared" si="12"/>
        <v>1480</v>
      </c>
      <c r="Z20" s="178">
        <f t="array" ref="Z20">INDEX('Federal Tax, Stock Buybacks, &amp; '!AB:AB,MATCH($B20,'Federal Tax, Stock Buybacks, &amp; '!$E:$E,0))</f>
        <v>653</v>
      </c>
      <c r="AA20" s="178">
        <f t="array" ref="AA20">INDEX('Federal Tax, Stock Buybacks, &amp; '!AC:AC,MATCH($B20,'Federal Tax, Stock Buybacks, &amp; '!$E:$E,0))</f>
        <v>415</v>
      </c>
      <c r="AB20" s="178">
        <f t="array" ref="AB20">INDEX('Federal Tax, Stock Buybacks, &amp; '!AD:AD,MATCH($B20,'Federal Tax, Stock Buybacks, &amp; '!$E:$E,0))</f>
        <v>475</v>
      </c>
      <c r="AC20" s="178">
        <f t="array" ref="AC20">INDEX('Federal Tax, Stock Buybacks, &amp; '!AE:AE,MATCH($B20,'Federal Tax, Stock Buybacks, &amp; '!$E:$E,0))</f>
        <v>8</v>
      </c>
      <c r="AD20" s="178">
        <f t="array" ref="AD20">INDEX('Federal Tax, Stock Buybacks, &amp; '!AF:AF,MATCH($B20,'Federal Tax, Stock Buybacks, &amp; '!$E:$E,0))</f>
        <v>-71</v>
      </c>
      <c r="AE20" s="172"/>
      <c r="AF20" s="164">
        <f t="shared" ref="AF20:AK20" si="48">Y20/R20</f>
        <v>0.08607653833</v>
      </c>
      <c r="AG20" s="165">
        <f t="shared" si="48"/>
        <v>0.2052813581</v>
      </c>
      <c r="AH20" s="165">
        <f t="shared" si="48"/>
        <v>0.108952481</v>
      </c>
      <c r="AI20" s="165">
        <f t="shared" si="48"/>
        <v>0.1466502007</v>
      </c>
      <c r="AJ20" s="165">
        <f t="shared" si="48"/>
        <v>0.001934703748</v>
      </c>
      <c r="AK20" s="165">
        <f t="shared" si="48"/>
        <v>-0.02508833922</v>
      </c>
      <c r="AL20" s="172"/>
      <c r="AM20" s="175">
        <f t="shared" si="14"/>
        <v>19694</v>
      </c>
      <c r="AN20" s="176">
        <f t="array" ref="AN20">INDEX('Federal Tax, Stock Buybacks, &amp; '!AP:AP,MATCH($B20,'Federal Tax, Stock Buybacks, &amp; '!$E:$E,0))</f>
        <v>4200</v>
      </c>
      <c r="AO20" s="176">
        <f t="array" ref="AO20">INDEX('Federal Tax, Stock Buybacks, &amp; '!AQ:AQ,MATCH($B20,'Federal Tax, Stock Buybacks, &amp; '!$E:$E,0))</f>
        <v>3380</v>
      </c>
      <c r="AP20" s="176">
        <f t="array" ref="AP20">INDEX('Federal Tax, Stock Buybacks, &amp; '!AR:AR,MATCH($B20,'Federal Tax, Stock Buybacks, &amp; '!$E:$E,0))</f>
        <v>3714</v>
      </c>
      <c r="AQ20" s="176">
        <f t="array" ref="AQ20">INDEX('Federal Tax, Stock Buybacks, &amp; '!AS:AS,MATCH($B20,'Federal Tax, Stock Buybacks, &amp; '!$E:$E,0))</f>
        <v>4400</v>
      </c>
      <c r="AR20" s="176">
        <f t="array" ref="AR20">INDEX('Federal Tax, Stock Buybacks, &amp; '!AT:AT,MATCH($B20,'Federal Tax, Stock Buybacks, &amp; '!$E:$E,0))</f>
        <v>4000</v>
      </c>
      <c r="AS20" s="172"/>
      <c r="AT20" s="175">
        <f t="shared" si="15"/>
        <v>12651</v>
      </c>
      <c r="AU20" s="176">
        <f t="array" ref="AU20">INDEX('Federal Tax, Stock Buybacks, &amp; '!AW:AW,MATCH($B20,'Federal Tax, Stock Buybacks, &amp; '!$E:$E,0))</f>
        <v>2719</v>
      </c>
      <c r="AV20" s="176">
        <f t="array" ref="AV20">INDEX('Federal Tax, Stock Buybacks, &amp; '!AX:AX,MATCH($B20,'Federal Tax, Stock Buybacks, &amp; '!$E:$E,0))</f>
        <v>2626</v>
      </c>
      <c r="AW20" s="176">
        <f t="array" ref="AW20">INDEX('Federal Tax, Stock Buybacks, &amp; '!AY:AY,MATCH($B20,'Federal Tax, Stock Buybacks, &amp; '!$E:$E,0))</f>
        <v>2592</v>
      </c>
      <c r="AX20" s="176">
        <f t="array" ref="AX20">INDEX('Federal Tax, Stock Buybacks, &amp; '!AZ:AZ,MATCH($B20,'Federal Tax, Stock Buybacks, &amp; '!$E:$E,0))</f>
        <v>2442</v>
      </c>
      <c r="AY20" s="176">
        <f t="array" ref="AY20">INDEX('Federal Tax, Stock Buybacks, &amp; '!BA:BA,MATCH($B20,'Federal Tax, Stock Buybacks, &amp; '!$E:$E,0))</f>
        <v>2272</v>
      </c>
      <c r="AZ20" s="172"/>
      <c r="BA20" s="166">
        <f t="shared" si="16"/>
        <v>70864.8</v>
      </c>
      <c r="BB20" s="179">
        <f t="shared" si="17"/>
        <v>354324</v>
      </c>
      <c r="BC20" s="188">
        <v>78095.0</v>
      </c>
      <c r="BD20" s="188">
        <v>75529.0</v>
      </c>
      <c r="BE20" s="188">
        <v>64438.0</v>
      </c>
      <c r="BF20" s="188">
        <v>69513.0</v>
      </c>
      <c r="BG20" s="188">
        <v>66749.0</v>
      </c>
      <c r="BH20" s="87"/>
      <c r="BI20" s="154"/>
      <c r="BJ20" s="184" t="s">
        <v>695</v>
      </c>
      <c r="BK20" s="87"/>
      <c r="BL20" s="87"/>
    </row>
    <row r="21" ht="15.0" customHeight="1">
      <c r="A21" s="169">
        <f t="array" ref="A21">INDEX('Federal Tax, Stock Buybacks, &amp; '!D:D,match(B21,'Federal Tax, Stock Buybacks, &amp; '!E:E,0))</f>
        <v>16</v>
      </c>
      <c r="B21" s="210" t="s">
        <v>52</v>
      </c>
      <c r="C21" s="171" t="s">
        <v>707</v>
      </c>
      <c r="D21" s="160">
        <f>SUMIF('Executive Pay Breakdown'!B:B,$B21,'Executive Pay Breakdown'!M:M)+SUMIF('Executive Pay Breakdown'!B:B,$B21,'Executive Pay Breakdown'!Q:Q)+SUMIF('Executive Pay Breakdown'!B:B,$B21,'Executive Pay Breakdown'!U:U)+SUMIF('Executive Pay Breakdown'!B:B,$B21,'Executive Pay Breakdown'!Y:Y)+SUMIF('Executive Pay Breakdown'!B:B,$B21,'Executive Pay Breakdown'!AC:AC)</f>
        <v>271475068</v>
      </c>
      <c r="E21" s="161">
        <f>SUMIF('Executive Pay Breakdown'!B:B,$B21,'Executive Pay Breakdown'!M:M)</f>
        <v>45088029</v>
      </c>
      <c r="F21" s="161">
        <f>SUMIF('Executive Pay Breakdown'!B:B,$B21,'Executive Pay Breakdown'!Q:Q)</f>
        <v>54679159</v>
      </c>
      <c r="G21" s="161">
        <f>SUMIF('Executive Pay Breakdown'!B:B,$B21,'Executive Pay Breakdown'!U:U)</f>
        <v>48052993</v>
      </c>
      <c r="H21" s="161">
        <f>SUMIF('Executive Pay Breakdown'!B:B,$B21,'Executive Pay Breakdown'!Y:Y)</f>
        <v>82255633</v>
      </c>
      <c r="I21" s="161">
        <f>SUMIF('Executive Pay Breakdown'!B:B,$B21,'Executive Pay Breakdown'!AC:AC)</f>
        <v>41399254</v>
      </c>
      <c r="J21" s="172"/>
      <c r="K21" s="173" t="s">
        <v>699</v>
      </c>
      <c r="L21" s="183"/>
      <c r="M21" s="183"/>
      <c r="N21" s="174" t="b">
        <f t="shared" ref="N21:O21" si="49">(G21/1000000)&gt;(AB21)</f>
        <v>1</v>
      </c>
      <c r="O21" s="174" t="b">
        <f t="shared" si="49"/>
        <v>1</v>
      </c>
      <c r="P21" s="183"/>
      <c r="Q21" s="172"/>
      <c r="R21" s="175">
        <f t="shared" si="11"/>
        <v>22394</v>
      </c>
      <c r="S21" s="176">
        <f t="array" ref="S21">INDEX('Federal Tax, Stock Buybacks, &amp; '!U:U,MATCH($B21,'Federal Tax, Stock Buybacks, &amp; '!$E:$E,0))</f>
        <v>21040</v>
      </c>
      <c r="T21" s="176">
        <f t="array" ref="T21">INDEX('Federal Tax, Stock Buybacks, &amp; '!V:V,MATCH($B21,'Federal Tax, Stock Buybacks, &amp; '!$E:$E,0))</f>
        <v>3969</v>
      </c>
      <c r="U21" s="176">
        <f t="array" ref="U21">INDEX('Federal Tax, Stock Buybacks, &amp; '!W:W,MATCH($B21,'Federal Tax, Stock Buybacks, &amp; '!$E:$E,0))</f>
        <v>-12481</v>
      </c>
      <c r="V21" s="176">
        <f t="array" ref="V21">INDEX('Federal Tax, Stock Buybacks, &amp; '!X:X,MATCH($B21,'Federal Tax, Stock Buybacks, &amp; '!$E:$E,0))</f>
        <v>5476</v>
      </c>
      <c r="W21" s="176">
        <f t="array" ref="W21">INDEX('Federal Tax, Stock Buybacks, &amp; '!Y:Y,MATCH($B21,'Federal Tax, Stock Buybacks, &amp; '!$E:$E,0))</f>
        <v>4390</v>
      </c>
      <c r="X21" s="172"/>
      <c r="Y21" s="177">
        <f t="shared" si="12"/>
        <v>2390</v>
      </c>
      <c r="Z21" s="178">
        <f t="array" ref="Z21">INDEX('Federal Tax, Stock Buybacks, &amp; '!AB:AB,MATCH($B21,'Federal Tax, Stock Buybacks, &amp; '!$E:$E,0))</f>
        <v>3565</v>
      </c>
      <c r="AA21" s="178">
        <f t="array" ref="AA21">INDEX('Federal Tax, Stock Buybacks, &amp; '!AC:AC,MATCH($B21,'Federal Tax, Stock Buybacks, &amp; '!$E:$E,0))</f>
        <v>380</v>
      </c>
      <c r="AB21" s="178">
        <f t="array" ref="AB21">INDEX('Federal Tax, Stock Buybacks, &amp; '!AD:AD,MATCH($B21,'Federal Tax, Stock Buybacks, &amp; '!$E:$E,0))</f>
        <v>-2267</v>
      </c>
      <c r="AC21" s="178">
        <f t="array" ref="AC21">INDEX('Federal Tax, Stock Buybacks, &amp; '!AE:AE,MATCH($B21,'Federal Tax, Stock Buybacks, &amp; '!$E:$E,0))</f>
        <v>-3</v>
      </c>
      <c r="AD21" s="178">
        <f t="array" ref="AD21">INDEX('Federal Tax, Stock Buybacks, &amp; '!AF:AF,MATCH($B21,'Federal Tax, Stock Buybacks, &amp; '!$E:$E,0))</f>
        <v>715</v>
      </c>
      <c r="AE21" s="172"/>
      <c r="AF21" s="164">
        <f t="shared" ref="AF21:AK21" si="50">Y21/R21</f>
        <v>0.1067250156</v>
      </c>
      <c r="AG21" s="165">
        <f t="shared" si="50"/>
        <v>0.1694391635</v>
      </c>
      <c r="AH21" s="165">
        <f t="shared" si="50"/>
        <v>0.0957420005</v>
      </c>
      <c r="AI21" s="165">
        <f t="shared" si="50"/>
        <v>0.1816360869</v>
      </c>
      <c r="AJ21" s="165">
        <f t="shared" si="50"/>
        <v>-0.0005478451424</v>
      </c>
      <c r="AK21" s="165">
        <f t="shared" si="50"/>
        <v>0.1628701595</v>
      </c>
      <c r="AL21" s="172"/>
      <c r="AM21" s="175">
        <f t="shared" si="14"/>
        <v>21813</v>
      </c>
      <c r="AN21" s="176">
        <f t="array" ref="AN21">INDEX('Federal Tax, Stock Buybacks, &amp; '!AP:AP,MATCH($B21,'Federal Tax, Stock Buybacks, &amp; '!$E:$E,0))</f>
        <v>11922</v>
      </c>
      <c r="AO21" s="176">
        <f t="array" ref="AO21">INDEX('Federal Tax, Stock Buybacks, &amp; '!AQ:AQ,MATCH($B21,'Federal Tax, Stock Buybacks, &amp; '!$E:$E,0))</f>
        <v>4654</v>
      </c>
      <c r="AP21" s="176">
        <f t="array" ref="AP21">INDEX('Federal Tax, Stock Buybacks, &amp; '!AR:AR,MATCH($B21,'Federal Tax, Stock Buybacks, &amp; '!$E:$E,0))</f>
        <v>0</v>
      </c>
      <c r="AQ21" s="176">
        <f t="array" ref="AQ21">INDEX('Federal Tax, Stock Buybacks, &amp; '!AS:AS,MATCH($B21,'Federal Tax, Stock Buybacks, &amp; '!$E:$E,0))</f>
        <v>1950</v>
      </c>
      <c r="AR21" s="176">
        <f t="array" ref="AR21">INDEX('Federal Tax, Stock Buybacks, &amp; '!AT:AT,MATCH($B21,'Federal Tax, Stock Buybacks, &amp; '!$E:$E,0))</f>
        <v>3287</v>
      </c>
      <c r="AS21" s="172"/>
      <c r="AT21" s="175">
        <f t="shared" si="15"/>
        <v>6625</v>
      </c>
      <c r="AU21" s="176">
        <f t="array" ref="AU21">INDEX('Federal Tax, Stock Buybacks, &amp; '!AW:AW,MATCH($B21,'Federal Tax, Stock Buybacks, &amp; '!$E:$E,0))</f>
        <v>1279</v>
      </c>
      <c r="AV21" s="176">
        <f t="array" ref="AV21">INDEX('Federal Tax, Stock Buybacks, &amp; '!AX:AX,MATCH($B21,'Federal Tax, Stock Buybacks, &amp; '!$E:$E,0))</f>
        <v>1484</v>
      </c>
      <c r="AW21" s="176">
        <f t="array" ref="AW21">INDEX('Federal Tax, Stock Buybacks, &amp; '!AY:AY,MATCH($B21,'Federal Tax, Stock Buybacks, &amp; '!$E:$E,0))</f>
        <v>1510</v>
      </c>
      <c r="AX21" s="176">
        <f t="array" ref="AX21">INDEX('Federal Tax, Stock Buybacks, &amp; '!AZ:AZ,MATCH($B21,'Federal Tax, Stock Buybacks, &amp; '!$E:$E,0))</f>
        <v>1398</v>
      </c>
      <c r="AY21" s="176">
        <f t="array" ref="AY21">INDEX('Federal Tax, Stock Buybacks, &amp; '!BA:BA,MATCH($B21,'Federal Tax, Stock Buybacks, &amp; '!$E:$E,0))</f>
        <v>954</v>
      </c>
      <c r="AZ21" s="172"/>
      <c r="BA21" s="166">
        <f t="shared" si="16"/>
        <v>166423.6</v>
      </c>
      <c r="BB21" s="179">
        <f t="shared" si="17"/>
        <v>832118</v>
      </c>
      <c r="BC21" s="179">
        <v>147088.0</v>
      </c>
      <c r="BD21" s="179">
        <v>148850.0</v>
      </c>
      <c r="BE21" s="179">
        <v>158331.0</v>
      </c>
      <c r="BF21" s="179">
        <v>210248.0</v>
      </c>
      <c r="BG21" s="179">
        <v>167601.0</v>
      </c>
      <c r="BH21" s="201"/>
      <c r="BI21" s="154"/>
      <c r="BJ21" s="202" t="s">
        <v>695</v>
      </c>
      <c r="BK21" s="87"/>
      <c r="BL21" s="201"/>
    </row>
    <row r="22" ht="15.0" customHeight="1">
      <c r="A22" s="169">
        <f t="array" ref="A22">INDEX('Federal Tax, Stock Buybacks, &amp; '!D:D,match(B22,'Federal Tax, Stock Buybacks, &amp; '!E:E,0))</f>
        <v>427</v>
      </c>
      <c r="B22" s="197" t="s">
        <v>61</v>
      </c>
      <c r="C22" s="185" t="s">
        <v>708</v>
      </c>
      <c r="D22" s="160">
        <f>SUMIF('Executive Pay Breakdown'!B:B,$B22,'Executive Pay Breakdown'!M:M)+SUMIF('Executive Pay Breakdown'!B:B,$B22,'Executive Pay Breakdown'!Q:Q)+SUMIF('Executive Pay Breakdown'!B:B,$B22,'Executive Pay Breakdown'!U:U)+SUMIF('Executive Pay Breakdown'!B:B,$B22,'Executive Pay Breakdown'!Y:Y)+SUMIF('Executive Pay Breakdown'!B:B,$B22,'Executive Pay Breakdown'!AC:AC)</f>
        <v>255770855</v>
      </c>
      <c r="E22" s="161">
        <f>SUMIF('Executive Pay Breakdown'!B:B,$B22,'Executive Pay Breakdown'!M:M)</f>
        <v>51793523</v>
      </c>
      <c r="F22" s="161">
        <f>SUMIF('Executive Pay Breakdown'!B:B,$B22,'Executive Pay Breakdown'!Q:Q)</f>
        <v>50305533</v>
      </c>
      <c r="G22" s="161">
        <f>SUMIF('Executive Pay Breakdown'!B:B,$B22,'Executive Pay Breakdown'!U:U)</f>
        <v>52374234</v>
      </c>
      <c r="H22" s="161">
        <f>SUMIF('Executive Pay Breakdown'!B:B,$B22,'Executive Pay Breakdown'!Y:Y)</f>
        <v>52839914</v>
      </c>
      <c r="I22" s="161">
        <f>SUMIF('Executive Pay Breakdown'!B:B,$B22,'Executive Pay Breakdown'!AC:AC)</f>
        <v>48457651</v>
      </c>
      <c r="J22" s="192"/>
      <c r="K22" s="173" t="s">
        <v>704</v>
      </c>
      <c r="L22" s="174"/>
      <c r="M22" s="174"/>
      <c r="N22" s="174" t="b">
        <f t="shared" ref="N22:P22" si="51">(G22/1000000)&gt;(AB22)</f>
        <v>1</v>
      </c>
      <c r="O22" s="174" t="b">
        <f t="shared" si="51"/>
        <v>1</v>
      </c>
      <c r="P22" s="174" t="b">
        <f t="shared" si="51"/>
        <v>1</v>
      </c>
      <c r="Q22" s="192"/>
      <c r="R22" s="175">
        <f t="shared" si="11"/>
        <v>10145.79</v>
      </c>
      <c r="S22" s="176">
        <f t="array" ref="S22">INDEX('Federal Tax, Stock Buybacks, &amp; '!U:U,MATCH($B22,'Federal Tax, Stock Buybacks, &amp; '!$E:$E,0))</f>
        <v>3222.1</v>
      </c>
      <c r="T22" s="176">
        <f t="array" ref="T22">INDEX('Federal Tax, Stock Buybacks, &amp; '!V:V,MATCH($B22,'Federal Tax, Stock Buybacks, &amp; '!$E:$E,0))</f>
        <v>2004.2</v>
      </c>
      <c r="U22" s="176">
        <f t="array" ref="U22">INDEX('Federal Tax, Stock Buybacks, &amp; '!W:W,MATCH($B22,'Federal Tax, Stock Buybacks, &amp; '!$E:$E,0))</f>
        <v>2866.57</v>
      </c>
      <c r="V22" s="176">
        <f t="array" ref="V22">INDEX('Federal Tax, Stock Buybacks, &amp; '!X:X,MATCH($B22,'Federal Tax, Stock Buybacks, &amp; '!$E:$E,0))</f>
        <v>1249.85</v>
      </c>
      <c r="W22" s="176">
        <f t="array" ref="W22">INDEX('Federal Tax, Stock Buybacks, &amp; '!Y:Y,MATCH($B22,'Federal Tax, Stock Buybacks, &amp; '!$E:$E,0))</f>
        <v>803.07</v>
      </c>
      <c r="X22" s="172"/>
      <c r="Y22" s="177">
        <f t="shared" si="12"/>
        <v>1042.36</v>
      </c>
      <c r="Z22" s="178">
        <f t="array" ref="Z22">INDEX('Federal Tax, Stock Buybacks, &amp; '!AB:AB,MATCH($B22,'Federal Tax, Stock Buybacks, &amp; '!$E:$E,0))</f>
        <v>698.58</v>
      </c>
      <c r="AA22" s="178">
        <f t="array" ref="AA22">INDEX('Federal Tax, Stock Buybacks, &amp; '!AC:AC,MATCH($B22,'Federal Tax, Stock Buybacks, &amp; '!$E:$E,0))</f>
        <v>355.79</v>
      </c>
      <c r="AB22" s="178">
        <f t="array" ref="AB22">INDEX('Federal Tax, Stock Buybacks, &amp; '!AD:AD,MATCH($B22,'Federal Tax, Stock Buybacks, &amp; '!$E:$E,0))</f>
        <v>-12.78</v>
      </c>
      <c r="AC22" s="178">
        <f t="array" ref="AC22">INDEX('Federal Tax, Stock Buybacks, &amp; '!AE:AE,MATCH($B22,'Federal Tax, Stock Buybacks, &amp; '!$E:$E,0))</f>
        <v>0</v>
      </c>
      <c r="AD22" s="178">
        <f t="array" ref="AD22">INDEX('Federal Tax, Stock Buybacks, &amp; '!AF:AF,MATCH($B22,'Federal Tax, Stock Buybacks, &amp; '!$E:$E,0))</f>
        <v>0.77</v>
      </c>
      <c r="AE22" s="172"/>
      <c r="AF22" s="164">
        <f t="shared" ref="AF22:AK22" si="52">Y22/R22</f>
        <v>0.1027381801</v>
      </c>
      <c r="AG22" s="165">
        <f t="shared" si="52"/>
        <v>0.2168089134</v>
      </c>
      <c r="AH22" s="165">
        <f t="shared" si="52"/>
        <v>0.1775222034</v>
      </c>
      <c r="AI22" s="165">
        <f t="shared" si="52"/>
        <v>-0.004458289873</v>
      </c>
      <c r="AJ22" s="165">
        <f t="shared" si="52"/>
        <v>0</v>
      </c>
      <c r="AK22" s="165">
        <f t="shared" si="52"/>
        <v>0.0009588205262</v>
      </c>
      <c r="AL22" s="172"/>
      <c r="AM22" s="175">
        <f t="shared" si="14"/>
        <v>2506</v>
      </c>
      <c r="AN22" s="176">
        <f t="array" ref="AN22">INDEX('Federal Tax, Stock Buybacks, &amp; '!AP:AP,MATCH($B22,'Federal Tax, Stock Buybacks, &amp; '!$E:$E,0))</f>
        <v>0</v>
      </c>
      <c r="AO22" s="176">
        <f t="array" ref="AO22">INDEX('Federal Tax, Stock Buybacks, &amp; '!AQ:AQ,MATCH($B22,'Federal Tax, Stock Buybacks, &amp; '!$E:$E,0))</f>
        <v>1425</v>
      </c>
      <c r="AP22" s="176">
        <f t="array" ref="AP22">INDEX('Federal Tax, Stock Buybacks, &amp; '!AR:AR,MATCH($B22,'Federal Tax, Stock Buybacks, &amp; '!$E:$E,0))</f>
        <v>539</v>
      </c>
      <c r="AQ22" s="176">
        <f t="array" ref="AQ22">INDEX('Federal Tax, Stock Buybacks, &amp; '!AS:AS,MATCH($B22,'Federal Tax, Stock Buybacks, &amp; '!$E:$E,0))</f>
        <v>192</v>
      </c>
      <c r="AR22" s="176">
        <f t="array" ref="AR22">INDEX('Federal Tax, Stock Buybacks, &amp; '!AT:AT,MATCH($B22,'Federal Tax, Stock Buybacks, &amp; '!$E:$E,0))</f>
        <v>350</v>
      </c>
      <c r="AS22" s="172"/>
      <c r="AT22" s="175">
        <f t="shared" si="15"/>
        <v>0</v>
      </c>
      <c r="AU22" s="176">
        <f t="array" ref="AU22">INDEX('Federal Tax, Stock Buybacks, &amp; '!AW:AW,MATCH($B22,'Federal Tax, Stock Buybacks, &amp; '!$E:$E,0))</f>
        <v>0</v>
      </c>
      <c r="AV22" s="176">
        <f t="array" ref="AV22">INDEX('Federal Tax, Stock Buybacks, &amp; '!AX:AX,MATCH($B22,'Federal Tax, Stock Buybacks, &amp; '!$E:$E,0))</f>
        <v>0</v>
      </c>
      <c r="AW22" s="176">
        <f t="array" ref="AW22">INDEX('Federal Tax, Stock Buybacks, &amp; '!AY:AY,MATCH($B22,'Federal Tax, Stock Buybacks, &amp; '!$E:$E,0))</f>
        <v>0</v>
      </c>
      <c r="AX22" s="176">
        <f t="array" ref="AX22">INDEX('Federal Tax, Stock Buybacks, &amp; '!AZ:AZ,MATCH($B22,'Federal Tax, Stock Buybacks, &amp; '!$E:$E,0))</f>
        <v>0</v>
      </c>
      <c r="AY22" s="176">
        <f t="array" ref="AY22">INDEX('Federal Tax, Stock Buybacks, &amp; '!BA:BA,MATCH($B22,'Federal Tax, Stock Buybacks, &amp; '!$E:$E,0))</f>
        <v>0</v>
      </c>
      <c r="AZ22" s="172"/>
      <c r="BA22" s="166">
        <f t="shared" si="16"/>
        <v>229653</v>
      </c>
      <c r="BB22" s="179">
        <f t="shared" si="17"/>
        <v>1148265</v>
      </c>
      <c r="BC22" s="188">
        <v>238818.0</v>
      </c>
      <c r="BD22" s="188">
        <v>234107.0</v>
      </c>
      <c r="BE22" s="188">
        <v>215509.0</v>
      </c>
      <c r="BF22" s="188">
        <v>227653.0</v>
      </c>
      <c r="BG22" s="188">
        <v>232178.0</v>
      </c>
      <c r="BH22" s="87"/>
      <c r="BI22" s="154"/>
      <c r="BJ22" s="189" t="s">
        <v>695</v>
      </c>
      <c r="BK22" s="87"/>
      <c r="BL22" s="87"/>
    </row>
    <row r="23" ht="15.0" customHeight="1">
      <c r="A23" s="169">
        <f t="array" ref="A23">INDEX('Federal Tax, Stock Buybacks, &amp; '!D:D,match(B23,'Federal Tax, Stock Buybacks, &amp; '!E:E,0))</f>
        <v>138</v>
      </c>
      <c r="B23" s="190" t="s">
        <v>53</v>
      </c>
      <c r="C23" s="185" t="s">
        <v>709</v>
      </c>
      <c r="D23" s="160">
        <f>SUMIF('Executive Pay Breakdown'!B:B,$B23,'Executive Pay Breakdown'!M:M)+SUMIF('Executive Pay Breakdown'!B:B,$B23,'Executive Pay Breakdown'!Q:Q)+SUMIF('Executive Pay Breakdown'!B:B,$B23,'Executive Pay Breakdown'!U:U)+SUMIF('Executive Pay Breakdown'!B:B,$B23,'Executive Pay Breakdown'!Y:Y)+SUMIF('Executive Pay Breakdown'!B:B,$B23,'Executive Pay Breakdown'!AC:AC)</f>
        <v>251676060</v>
      </c>
      <c r="E23" s="161">
        <f>SUMIF('Executive Pay Breakdown'!B:B,$B23,'Executive Pay Breakdown'!M:M)</f>
        <v>46680888</v>
      </c>
      <c r="F23" s="161">
        <f>SUMIF('Executive Pay Breakdown'!B:B,$B23,'Executive Pay Breakdown'!Q:Q)</f>
        <v>52509305</v>
      </c>
      <c r="G23" s="161">
        <f>SUMIF('Executive Pay Breakdown'!B:B,$B23,'Executive Pay Breakdown'!U:U)</f>
        <v>51008584</v>
      </c>
      <c r="H23" s="161">
        <f>SUMIF('Executive Pay Breakdown'!B:B,$B23,'Executive Pay Breakdown'!Y:Y)</f>
        <v>60016793</v>
      </c>
      <c r="I23" s="161">
        <f>SUMIF('Executive Pay Breakdown'!B:B,$B23,'Executive Pay Breakdown'!AC:AC)</f>
        <v>41460490</v>
      </c>
      <c r="J23" s="172"/>
      <c r="K23" s="173" t="s">
        <v>699</v>
      </c>
      <c r="L23" s="174" t="b">
        <f t="shared" ref="L23:M23" si="53">(E23/1000000)&gt;(Z23)</f>
        <v>1</v>
      </c>
      <c r="M23" s="174" t="b">
        <f t="shared" si="53"/>
        <v>1</v>
      </c>
      <c r="N23" s="183"/>
      <c r="O23" s="183"/>
      <c r="P23" s="183"/>
      <c r="Q23" s="172"/>
      <c r="R23" s="175">
        <f t="shared" si="11"/>
        <v>19021</v>
      </c>
      <c r="S23" s="176">
        <f t="array" ref="S23">INDEX('Federal Tax, Stock Buybacks, &amp; '!U:U,MATCH($B23,'Federal Tax, Stock Buybacks, &amp; '!$E:$E,0))</f>
        <v>4196</v>
      </c>
      <c r="T23" s="176">
        <f t="array" ref="T23">INDEX('Federal Tax, Stock Buybacks, &amp; '!V:V,MATCH($B23,'Federal Tax, Stock Buybacks, &amp; '!$E:$E,0))</f>
        <v>2601</v>
      </c>
      <c r="U23" s="176">
        <f t="array" ref="U23">INDEX('Federal Tax, Stock Buybacks, &amp; '!W:W,MATCH($B23,'Federal Tax, Stock Buybacks, &amp; '!$E:$E,0))</f>
        <v>3396</v>
      </c>
      <c r="V23" s="176">
        <f t="array" ref="V23">INDEX('Federal Tax, Stock Buybacks, &amp; '!X:X,MATCH($B23,'Federal Tax, Stock Buybacks, &amp; '!$E:$E,0))</f>
        <v>6267</v>
      </c>
      <c r="W23" s="176">
        <f t="array" ref="W23">INDEX('Federal Tax, Stock Buybacks, &amp; '!Y:Y,MATCH($B23,'Federal Tax, Stock Buybacks, &amp; '!$E:$E,0))</f>
        <v>2561</v>
      </c>
      <c r="X23" s="172"/>
      <c r="Y23" s="177">
        <f t="shared" si="12"/>
        <v>582</v>
      </c>
      <c r="Z23" s="178">
        <f t="array" ref="Z23">INDEX('Federal Tax, Stock Buybacks, &amp; '!AB:AB,MATCH($B23,'Federal Tax, Stock Buybacks, &amp; '!$E:$E,0))</f>
        <v>10</v>
      </c>
      <c r="AA23" s="178">
        <f t="array" ref="AA23">INDEX('Federal Tax, Stock Buybacks, &amp; '!AC:AC,MATCH($B23,'Federal Tax, Stock Buybacks, &amp; '!$E:$E,0))</f>
        <v>50</v>
      </c>
      <c r="AB23" s="178">
        <f t="array" ref="AB23">INDEX('Federal Tax, Stock Buybacks, &amp; '!AD:AD,MATCH($B23,'Federal Tax, Stock Buybacks, &amp; '!$E:$E,0))</f>
        <v>199</v>
      </c>
      <c r="AC23" s="178">
        <f t="array" ref="AC23">INDEX('Federal Tax, Stock Buybacks, &amp; '!AE:AE,MATCH($B23,'Federal Tax, Stock Buybacks, &amp; '!$E:$E,0))</f>
        <v>156</v>
      </c>
      <c r="AD23" s="178">
        <f t="array" ref="AD23">INDEX('Federal Tax, Stock Buybacks, &amp; '!AF:AF,MATCH($B23,'Federal Tax, Stock Buybacks, &amp; '!$E:$E,0))</f>
        <v>167</v>
      </c>
      <c r="AE23" s="172"/>
      <c r="AF23" s="164">
        <f t="shared" ref="AF23:AK23" si="54">Y23/R23</f>
        <v>0.03059776037</v>
      </c>
      <c r="AG23" s="165">
        <f t="shared" si="54"/>
        <v>0.002383222116</v>
      </c>
      <c r="AH23" s="165">
        <f t="shared" si="54"/>
        <v>0.01922337562</v>
      </c>
      <c r="AI23" s="165">
        <f t="shared" si="54"/>
        <v>0.058598351</v>
      </c>
      <c r="AJ23" s="165">
        <f t="shared" si="54"/>
        <v>0.02489229296</v>
      </c>
      <c r="AK23" s="165">
        <f t="shared" si="54"/>
        <v>0.06520890277</v>
      </c>
      <c r="AL23" s="172"/>
      <c r="AM23" s="175">
        <f t="shared" si="14"/>
        <v>0</v>
      </c>
      <c r="AN23" s="176">
        <f t="array" ref="AN23">INDEX('Federal Tax, Stock Buybacks, &amp; '!AP:AP,MATCH($B23,'Federal Tax, Stock Buybacks, &amp; '!$E:$E,0))</f>
        <v>0</v>
      </c>
      <c r="AO23" s="176">
        <f t="array" ref="AO23">INDEX('Federal Tax, Stock Buybacks, &amp; '!AQ:AQ,MATCH($B23,'Federal Tax, Stock Buybacks, &amp; '!$E:$E,0))</f>
        <v>0</v>
      </c>
      <c r="AP23" s="176">
        <f t="array" ref="AP23">INDEX('Federal Tax, Stock Buybacks, &amp; '!AR:AR,MATCH($B23,'Federal Tax, Stock Buybacks, &amp; '!$E:$E,0))</f>
        <v>0</v>
      </c>
      <c r="AQ23" s="176">
        <f t="array" ref="AQ23">INDEX('Federal Tax, Stock Buybacks, &amp; '!AS:AS,MATCH($B23,'Federal Tax, Stock Buybacks, &amp; '!$E:$E,0))</f>
        <v>0</v>
      </c>
      <c r="AR23" s="176">
        <f t="array" ref="AR23">INDEX('Federal Tax, Stock Buybacks, &amp; '!AT:AT,MATCH($B23,'Federal Tax, Stock Buybacks, &amp; '!$E:$E,0))</f>
        <v>0</v>
      </c>
      <c r="AS23" s="172"/>
      <c r="AT23" s="175">
        <f t="shared" si="15"/>
        <v>13364</v>
      </c>
      <c r="AU23" s="176">
        <f t="array" ref="AU23">INDEX('Federal Tax, Stock Buybacks, &amp; '!AW:AW,MATCH($B23,'Federal Tax, Stock Buybacks, &amp; '!$E:$E,0))</f>
        <v>2907</v>
      </c>
      <c r="AV23" s="176">
        <f t="array" ref="AV23">INDEX('Federal Tax, Stock Buybacks, &amp; '!AX:AX,MATCH($B23,'Federal Tax, Stock Buybacks, &amp; '!$E:$E,0))</f>
        <v>2777</v>
      </c>
      <c r="AW23" s="176">
        <f t="array" ref="AW23">INDEX('Federal Tax, Stock Buybacks, &amp; '!AY:AY,MATCH($B23,'Federal Tax, Stock Buybacks, &amp; '!$E:$E,0))</f>
        <v>2685</v>
      </c>
      <c r="AX23" s="176">
        <f t="array" ref="AX23">INDEX('Federal Tax, Stock Buybacks, &amp; '!AZ:AZ,MATCH($B23,'Federal Tax, Stock Buybacks, &amp; '!$E:$E,0))</f>
        <v>2570</v>
      </c>
      <c r="AY23" s="176">
        <f t="array" ref="AY23">INDEX('Federal Tax, Stock Buybacks, &amp; '!BA:BA,MATCH($B23,'Federal Tax, Stock Buybacks, &amp; '!$E:$E,0))</f>
        <v>2425</v>
      </c>
      <c r="AZ23" s="172"/>
      <c r="BA23" s="166">
        <f t="shared" si="16"/>
        <v>135924</v>
      </c>
      <c r="BB23" s="179">
        <f t="shared" si="17"/>
        <v>679620</v>
      </c>
      <c r="BC23" s="188">
        <v>143500.0</v>
      </c>
      <c r="BD23" s="188">
        <v>132450.0</v>
      </c>
      <c r="BE23" s="188">
        <v>122763.0</v>
      </c>
      <c r="BF23" s="188">
        <v>167872.0</v>
      </c>
      <c r="BG23" s="188">
        <v>113035.0</v>
      </c>
      <c r="BH23" s="87"/>
      <c r="BI23" s="154"/>
      <c r="BJ23" s="189" t="s">
        <v>695</v>
      </c>
      <c r="BK23" s="87"/>
      <c r="BL23" s="87"/>
    </row>
    <row r="24" ht="15.0" customHeight="1">
      <c r="A24" s="169">
        <f t="array" ref="A24">INDEX('Federal Tax, Stock Buybacks, &amp; '!D:D,match(B24,'Federal Tax, Stock Buybacks, &amp; '!E:E,0))</f>
        <v>35</v>
      </c>
      <c r="B24" s="211" t="s">
        <v>65</v>
      </c>
      <c r="C24" s="185" t="s">
        <v>710</v>
      </c>
      <c r="D24" s="160">
        <f>SUMIF('Executive Pay Breakdown'!B:B,$B24,'Executive Pay Breakdown'!M:M)+SUMIF('Executive Pay Breakdown'!B:B,$B24,'Executive Pay Breakdown'!Q:Q)+SUMIF('Executive Pay Breakdown'!B:B,$B24,'Executive Pay Breakdown'!U:U)+SUMIF('Executive Pay Breakdown'!B:B,$B24,'Executive Pay Breakdown'!Y:Y)+SUMIF('Executive Pay Breakdown'!B:B,$B24,'Executive Pay Breakdown'!AC:AC)</f>
        <v>241092933</v>
      </c>
      <c r="E24" s="161">
        <f>SUMIF('Executive Pay Breakdown'!B:B,$B24,'Executive Pay Breakdown'!M:M)</f>
        <v>60095848</v>
      </c>
      <c r="F24" s="161">
        <f>SUMIF('Executive Pay Breakdown'!B:B,$B24,'Executive Pay Breakdown'!Q:Q)</f>
        <v>47821656</v>
      </c>
      <c r="G24" s="161">
        <f>SUMIF('Executive Pay Breakdown'!B:B,$B24,'Executive Pay Breakdown'!U:U)</f>
        <v>49881298</v>
      </c>
      <c r="H24" s="161">
        <f>SUMIF('Executive Pay Breakdown'!B:B,$B24,'Executive Pay Breakdown'!Y:Y)</f>
        <v>39724497</v>
      </c>
      <c r="I24" s="161">
        <f>SUMIF('Executive Pay Breakdown'!B:B,$B24,'Executive Pay Breakdown'!AC:AC)</f>
        <v>43569634</v>
      </c>
      <c r="J24" s="172"/>
      <c r="K24" s="173" t="s">
        <v>699</v>
      </c>
      <c r="L24" s="183"/>
      <c r="M24" s="183"/>
      <c r="N24" s="174" t="b">
        <f t="shared" ref="N24:O24" si="55">(G24/1000000)&gt;(AB24)</f>
        <v>1</v>
      </c>
      <c r="O24" s="174" t="b">
        <f t="shared" si="55"/>
        <v>1</v>
      </c>
      <c r="P24" s="183"/>
      <c r="Q24" s="172"/>
      <c r="R24" s="175">
        <f t="shared" si="11"/>
        <v>6819</v>
      </c>
      <c r="S24" s="176">
        <f t="array" ref="S24">INDEX('Federal Tax, Stock Buybacks, &amp; '!U:U,MATCH($B24,'Federal Tax, Stock Buybacks, &amp; '!$E:$E,0))</f>
        <v>2628</v>
      </c>
      <c r="T24" s="176">
        <f t="array" ref="T24">INDEX('Federal Tax, Stock Buybacks, &amp; '!V:V,MATCH($B24,'Federal Tax, Stock Buybacks, &amp; '!$E:$E,0))</f>
        <v>2061</v>
      </c>
      <c r="U24" s="176">
        <f t="array" ref="U24">INDEX('Federal Tax, Stock Buybacks, &amp; '!W:W,MATCH($B24,'Federal Tax, Stock Buybacks, &amp; '!$E:$E,0))</f>
        <v>438</v>
      </c>
      <c r="V24" s="176">
        <f t="array" ref="V24">INDEX('Federal Tax, Stock Buybacks, &amp; '!X:X,MATCH($B24,'Federal Tax, Stock Buybacks, &amp; '!$E:$E,0))</f>
        <v>745</v>
      </c>
      <c r="W24" s="176">
        <f t="array" ref="W24">INDEX('Federal Tax, Stock Buybacks, &amp; '!Y:Y,MATCH($B24,'Federal Tax, Stock Buybacks, &amp; '!$E:$E,0))</f>
        <v>947</v>
      </c>
      <c r="X24" s="172"/>
      <c r="Y24" s="177">
        <f t="shared" si="12"/>
        <v>636.65</v>
      </c>
      <c r="Z24" s="178">
        <f t="array" ref="Z24">INDEX('Federal Tax, Stock Buybacks, &amp; '!AB:AB,MATCH($B24,'Federal Tax, Stock Buybacks, &amp; '!$E:$E,0))</f>
        <v>368.53</v>
      </c>
      <c r="AA24" s="178">
        <f t="array" ref="AA24">INDEX('Federal Tax, Stock Buybacks, &amp; '!AC:AC,MATCH($B24,'Federal Tax, Stock Buybacks, &amp; '!$E:$E,0))</f>
        <v>367.56</v>
      </c>
      <c r="AB24" s="178">
        <f t="array" ref="AB24">INDEX('Federal Tax, Stock Buybacks, &amp; '!AD:AD,MATCH($B24,'Federal Tax, Stock Buybacks, &amp; '!$E:$E,0))</f>
        <v>-218.61</v>
      </c>
      <c r="AC24" s="178">
        <f t="array" ref="AC24">INDEX('Federal Tax, Stock Buybacks, &amp; '!AE:AE,MATCH($B24,'Federal Tax, Stock Buybacks, &amp; '!$E:$E,0))</f>
        <v>14.77</v>
      </c>
      <c r="AD24" s="178">
        <f t="array" ref="AD24">INDEX('Federal Tax, Stock Buybacks, &amp; '!AF:AF,MATCH($B24,'Federal Tax, Stock Buybacks, &amp; '!$E:$E,0))</f>
        <v>104.4</v>
      </c>
      <c r="AE24" s="172"/>
      <c r="AF24" s="164">
        <f t="shared" ref="AF24:AK24" si="56">Y24/R24</f>
        <v>0.09336412964</v>
      </c>
      <c r="AG24" s="165">
        <f t="shared" si="56"/>
        <v>0.1402321157</v>
      </c>
      <c r="AH24" s="165">
        <f t="shared" si="56"/>
        <v>0.1783406114</v>
      </c>
      <c r="AI24" s="165">
        <f t="shared" si="56"/>
        <v>-0.499109589</v>
      </c>
      <c r="AJ24" s="165">
        <f t="shared" si="56"/>
        <v>0.01982550336</v>
      </c>
      <c r="AK24" s="165">
        <f t="shared" si="56"/>
        <v>0.1102428722</v>
      </c>
      <c r="AL24" s="172"/>
      <c r="AM24" s="175">
        <f t="shared" si="14"/>
        <v>1810</v>
      </c>
      <c r="AN24" s="176">
        <f t="array" ref="AN24">INDEX('Federal Tax, Stock Buybacks, &amp; '!AP:AP,MATCH($B24,'Federal Tax, Stock Buybacks, &amp; '!$E:$E,0))</f>
        <v>1450</v>
      </c>
      <c r="AO24" s="176">
        <f t="array" ref="AO24">INDEX('Federal Tax, Stock Buybacks, &amp; '!AQ:AQ,MATCH($B24,'Federal Tax, Stock Buybacks, &amp; '!$E:$E,0))</f>
        <v>0</v>
      </c>
      <c r="AP24" s="176">
        <f t="array" ref="AP24">INDEX('Federal Tax, Stock Buybacks, &amp; '!AR:AR,MATCH($B24,'Federal Tax, Stock Buybacks, &amp; '!$E:$E,0))</f>
        <v>133</v>
      </c>
      <c r="AQ24" s="176">
        <f t="array" ref="AQ24">INDEX('Federal Tax, Stock Buybacks, &amp; '!AS:AS,MATCH($B24,'Federal Tax, Stock Buybacks, &amp; '!$E:$E,0))</f>
        <v>150</v>
      </c>
      <c r="AR24" s="176">
        <f t="array" ref="AR24">INDEX('Federal Tax, Stock Buybacks, &amp; '!AT:AT,MATCH($B24,'Federal Tax, Stock Buybacks, &amp; '!$E:$E,0))</f>
        <v>77</v>
      </c>
      <c r="AS24" s="172"/>
      <c r="AT24" s="175">
        <f t="shared" si="15"/>
        <v>4089</v>
      </c>
      <c r="AU24" s="176">
        <f t="array" ref="AU24">INDEX('Federal Tax, Stock Buybacks, &amp; '!AW:AW,MATCH($B24,'Federal Tax, Stock Buybacks, &amp; '!$E:$E,0))</f>
        <v>899</v>
      </c>
      <c r="AV24" s="176">
        <f t="array" ref="AV24">INDEX('Federal Tax, Stock Buybacks, &amp; '!AX:AX,MATCH($B24,'Federal Tax, Stock Buybacks, &amp; '!$E:$E,0))</f>
        <v>834</v>
      </c>
      <c r="AW24" s="176">
        <f t="array" ref="AW24">INDEX('Federal Tax, Stock Buybacks, &amp; '!AY:AY,MATCH($B24,'Federal Tax, Stock Buybacks, &amp; '!$E:$E,0))</f>
        <v>809</v>
      </c>
      <c r="AX24" s="176">
        <f t="array" ref="AX24">INDEX('Federal Tax, Stock Buybacks, &amp; '!AZ:AZ,MATCH($B24,'Federal Tax, Stock Buybacks, &amp; '!$E:$E,0))</f>
        <v>789</v>
      </c>
      <c r="AY24" s="176">
        <f t="array" ref="AY24">INDEX('Federal Tax, Stock Buybacks, &amp; '!BA:BA,MATCH($B24,'Federal Tax, Stock Buybacks, &amp; '!$E:$E,0))</f>
        <v>758</v>
      </c>
      <c r="AZ24" s="172"/>
      <c r="BA24" s="166">
        <f t="shared" si="16"/>
        <v>65980.8</v>
      </c>
      <c r="BB24" s="179">
        <f t="shared" si="17"/>
        <v>329904</v>
      </c>
      <c r="BC24" s="179">
        <v>68383.0</v>
      </c>
      <c r="BD24" s="179">
        <v>81320.0</v>
      </c>
      <c r="BE24" s="179">
        <v>65133.0</v>
      </c>
      <c r="BF24" s="179">
        <v>63981.0</v>
      </c>
      <c r="BG24" s="179">
        <v>51087.0</v>
      </c>
      <c r="BH24" s="212"/>
      <c r="BI24" s="154"/>
      <c r="BJ24" s="186" t="s">
        <v>695</v>
      </c>
      <c r="BK24" s="87"/>
      <c r="BL24" s="212"/>
    </row>
    <row r="25" ht="15.0" customHeight="1">
      <c r="A25" s="169">
        <f t="array" ref="A25">INDEX('Federal Tax, Stock Buybacks, &amp; '!D:D,match(B25,'Federal Tax, Stock Buybacks, &amp; '!E:E,0))</f>
        <v>869</v>
      </c>
      <c r="B25" s="187" t="s">
        <v>44</v>
      </c>
      <c r="C25" s="185" t="s">
        <v>693</v>
      </c>
      <c r="D25" s="160">
        <f>SUMIF('Executive Pay Breakdown'!B:B,$B25,'Executive Pay Breakdown'!M:M)+SUMIF('Executive Pay Breakdown'!B:B,$B25,'Executive Pay Breakdown'!Q:Q)+SUMIF('Executive Pay Breakdown'!B:B,$B25,'Executive Pay Breakdown'!U:U)+SUMIF('Executive Pay Breakdown'!B:B,$B25,'Executive Pay Breakdown'!Y:Y)+SUMIF('Executive Pay Breakdown'!B:B,$B25,'Executive Pay Breakdown'!AC:AC)</f>
        <v>229343190</v>
      </c>
      <c r="E25" s="161">
        <f>SUMIF('Executive Pay Breakdown'!B:B,$B25,'Executive Pay Breakdown'!M:M)</f>
        <v>80473927</v>
      </c>
      <c r="F25" s="161">
        <f>SUMIF('Executive Pay Breakdown'!B:B,$B25,'Executive Pay Breakdown'!Q:Q)</f>
        <v>58654809</v>
      </c>
      <c r="G25" s="161">
        <f>SUMIF('Executive Pay Breakdown'!B:B,$B25,'Executive Pay Breakdown'!U:U)</f>
        <v>27029325</v>
      </c>
      <c r="H25" s="161">
        <f>SUMIF('Executive Pay Breakdown'!B:B,$B25,'Executive Pay Breakdown'!Y:Y)</f>
        <v>17152835</v>
      </c>
      <c r="I25" s="161">
        <f>SUMIF('Executive Pay Breakdown'!B:B,$B25,'Executive Pay Breakdown'!AC:AC)</f>
        <v>46032294</v>
      </c>
      <c r="J25" s="172"/>
      <c r="K25" s="173" t="s">
        <v>694</v>
      </c>
      <c r="L25" s="174" t="b">
        <f t="shared" ref="L25:P25" si="57">(E25/1000000)&gt;(Z25)</f>
        <v>1</v>
      </c>
      <c r="M25" s="174" t="b">
        <f t="shared" si="57"/>
        <v>1</v>
      </c>
      <c r="N25" s="174" t="b">
        <f t="shared" si="57"/>
        <v>1</v>
      </c>
      <c r="O25" s="174" t="b">
        <f t="shared" si="57"/>
        <v>1</v>
      </c>
      <c r="P25" s="174" t="b">
        <f t="shared" si="57"/>
        <v>1</v>
      </c>
      <c r="Q25" s="172"/>
      <c r="R25" s="175">
        <f t="shared" si="11"/>
        <v>2028.68</v>
      </c>
      <c r="S25" s="176">
        <f t="array" ref="S25">INDEX('Federal Tax, Stock Buybacks, &amp; '!U:U,MATCH($B25,'Federal Tax, Stock Buybacks, &amp; '!$E:$E,0))</f>
        <v>649.36</v>
      </c>
      <c r="T25" s="176">
        <f t="array" ref="T25">INDEX('Federal Tax, Stock Buybacks, &amp; '!V:V,MATCH($B25,'Federal Tax, Stock Buybacks, &amp; '!$E:$E,0))</f>
        <v>182.81</v>
      </c>
      <c r="U25" s="176">
        <f t="array" ref="U25">INDEX('Federal Tax, Stock Buybacks, &amp; '!W:W,MATCH($B25,'Federal Tax, Stock Buybacks, &amp; '!$E:$E,0))</f>
        <v>442.88</v>
      </c>
      <c r="V25" s="176">
        <f t="array" ref="V25">INDEX('Federal Tax, Stock Buybacks, &amp; '!X:X,MATCH($B25,'Federal Tax, Stock Buybacks, &amp; '!$E:$E,0))</f>
        <v>256.57</v>
      </c>
      <c r="W25" s="176">
        <f t="array" ref="W25">INDEX('Federal Tax, Stock Buybacks, &amp; '!Y:Y,MATCH($B25,'Federal Tax, Stock Buybacks, &amp; '!$E:$E,0))</f>
        <v>497.06</v>
      </c>
      <c r="X25" s="172"/>
      <c r="Y25" s="177">
        <f t="shared" si="12"/>
        <v>10.31</v>
      </c>
      <c r="Z25" s="178">
        <f t="array" ref="Z25">INDEX('Federal Tax, Stock Buybacks, &amp; '!AB:AB,MATCH($B25,'Federal Tax, Stock Buybacks, &amp; '!$E:$E,0))</f>
        <v>5.7</v>
      </c>
      <c r="AA25" s="178">
        <f t="array" ref="AA25">INDEX('Federal Tax, Stock Buybacks, &amp; '!AC:AC,MATCH($B25,'Federal Tax, Stock Buybacks, &amp; '!$E:$E,0))</f>
        <v>0.02</v>
      </c>
      <c r="AB25" s="178">
        <f t="array" ref="AB25">INDEX('Federal Tax, Stock Buybacks, &amp; '!AD:AD,MATCH($B25,'Federal Tax, Stock Buybacks, &amp; '!$E:$E,0))</f>
        <v>-2.04</v>
      </c>
      <c r="AC25" s="178">
        <f t="array" ref="AC25">INDEX('Federal Tax, Stock Buybacks, &amp; '!AE:AE,MATCH($B25,'Federal Tax, Stock Buybacks, &amp; '!$E:$E,0))</f>
        <v>0.28</v>
      </c>
      <c r="AD25" s="178">
        <f t="array" ref="AD25">INDEX('Federal Tax, Stock Buybacks, &amp; '!AF:AF,MATCH($B25,'Federal Tax, Stock Buybacks, &amp; '!$E:$E,0))</f>
        <v>6.35</v>
      </c>
      <c r="AE25" s="172"/>
      <c r="AF25" s="164">
        <f t="shared" ref="AF25:AK25" si="58">Y25/R25</f>
        <v>0.005082122365</v>
      </c>
      <c r="AG25" s="165">
        <f t="shared" si="58"/>
        <v>0.008777873599</v>
      </c>
      <c r="AH25" s="165">
        <f t="shared" si="58"/>
        <v>0.0001094032055</v>
      </c>
      <c r="AI25" s="165">
        <f t="shared" si="58"/>
        <v>-0.004606213873</v>
      </c>
      <c r="AJ25" s="165">
        <f t="shared" si="58"/>
        <v>0.001091320108</v>
      </c>
      <c r="AK25" s="165">
        <f t="shared" si="58"/>
        <v>0.01277511769</v>
      </c>
      <c r="AL25" s="172"/>
      <c r="AM25" s="175">
        <f t="shared" si="14"/>
        <v>614.917</v>
      </c>
      <c r="AN25" s="176">
        <f t="array" ref="AN25">INDEX('Federal Tax, Stock Buybacks, &amp; '!AP:AP,MATCH($B25,'Federal Tax, Stock Buybacks, &amp; '!$E:$E,0))</f>
        <v>482.049</v>
      </c>
      <c r="AO25" s="176">
        <f t="array" ref="AO25">INDEX('Federal Tax, Stock Buybacks, &amp; '!AQ:AQ,MATCH($B25,'Federal Tax, Stock Buybacks, &amp; '!$E:$E,0))</f>
        <v>0</v>
      </c>
      <c r="AP25" s="176">
        <f t="array" ref="AP25">INDEX('Federal Tax, Stock Buybacks, &amp; '!AR:AR,MATCH($B25,'Federal Tax, Stock Buybacks, &amp; '!$E:$E,0))</f>
        <v>132.868</v>
      </c>
      <c r="AQ25" s="176">
        <f t="array" ref="AQ25">INDEX('Federal Tax, Stock Buybacks, &amp; '!AS:AS,MATCH($B25,'Federal Tax, Stock Buybacks, &amp; '!$E:$E,0))</f>
        <v>0</v>
      </c>
      <c r="AR25" s="176">
        <f t="array" ref="AR25">INDEX('Federal Tax, Stock Buybacks, &amp; '!AT:AT,MATCH($B25,'Federal Tax, Stock Buybacks, &amp; '!$E:$E,0))</f>
        <v>0</v>
      </c>
      <c r="AS25" s="172"/>
      <c r="AT25" s="175">
        <f t="shared" si="15"/>
        <v>105.13</v>
      </c>
      <c r="AU25" s="176">
        <f t="array" ref="AU25">INDEX('Federal Tax, Stock Buybacks, &amp; '!AW:AW,MATCH($B25,'Federal Tax, Stock Buybacks, &amp; '!$E:$E,0))</f>
        <v>0</v>
      </c>
      <c r="AV25" s="176">
        <f t="array" ref="AV25">INDEX('Federal Tax, Stock Buybacks, &amp; '!AX:AX,MATCH($B25,'Federal Tax, Stock Buybacks, &amp; '!$E:$E,0))</f>
        <v>0</v>
      </c>
      <c r="AW25" s="176">
        <f t="array" ref="AW25">INDEX('Federal Tax, Stock Buybacks, &amp; '!AY:AY,MATCH($B25,'Federal Tax, Stock Buybacks, &amp; '!$E:$E,0))</f>
        <v>0</v>
      </c>
      <c r="AX25" s="176">
        <f t="array" ref="AX25">INDEX('Federal Tax, Stock Buybacks, &amp; '!AZ:AZ,MATCH($B25,'Federal Tax, Stock Buybacks, &amp; '!$E:$E,0))</f>
        <v>0</v>
      </c>
      <c r="AY25" s="176">
        <f t="array" ref="AY25">INDEX('Federal Tax, Stock Buybacks, &amp; '!BA:BA,MATCH($B25,'Federal Tax, Stock Buybacks, &amp; '!$E:$E,0))</f>
        <v>105.13</v>
      </c>
      <c r="AZ25" s="172"/>
      <c r="BA25" s="166">
        <f t="shared" si="16"/>
        <v>101377.75</v>
      </c>
      <c r="BB25" s="179">
        <f t="shared" si="17"/>
        <v>405511</v>
      </c>
      <c r="BC25" s="188">
        <v>129000.0</v>
      </c>
      <c r="BD25" s="188">
        <v>106881.0</v>
      </c>
      <c r="BE25" s="188">
        <v>117228.0</v>
      </c>
      <c r="BF25" s="213" t="s">
        <v>711</v>
      </c>
      <c r="BG25" s="188">
        <v>52402.0</v>
      </c>
      <c r="BH25" s="87"/>
      <c r="BI25" s="154"/>
      <c r="BJ25" s="189" t="s">
        <v>695</v>
      </c>
      <c r="BK25" s="87"/>
      <c r="BL25" s="87"/>
    </row>
    <row r="26" ht="15.0" customHeight="1">
      <c r="A26" s="196">
        <f t="array" ref="A26">INDEX('Federal Tax, Stock Buybacks, &amp; '!D:D,match(B26,'Federal Tax, Stock Buybacks, &amp; '!E:E,0))</f>
        <v>285</v>
      </c>
      <c r="B26" s="187" t="s">
        <v>32</v>
      </c>
      <c r="C26" s="185" t="s">
        <v>702</v>
      </c>
      <c r="D26" s="160">
        <f>SUMIF('Executive Pay Breakdown'!B:B,$B26,'Executive Pay Breakdown'!M:M)+SUMIF('Executive Pay Breakdown'!B:B,$B26,'Executive Pay Breakdown'!Q:Q)+SUMIF('Executive Pay Breakdown'!B:B,$B26,'Executive Pay Breakdown'!U:U)+SUMIF('Executive Pay Breakdown'!B:B,$B26,'Executive Pay Breakdown'!Y:Y)+SUMIF('Executive Pay Breakdown'!B:B,$B26,'Executive Pay Breakdown'!AC:AC)</f>
        <v>228387481</v>
      </c>
      <c r="E26" s="161">
        <f>SUMIF('Executive Pay Breakdown'!B:B,$B26,'Executive Pay Breakdown'!M:M)</f>
        <v>35295464</v>
      </c>
      <c r="F26" s="161">
        <f>SUMIF('Executive Pay Breakdown'!B:B,$B26,'Executive Pay Breakdown'!Q:Q)</f>
        <v>43584773</v>
      </c>
      <c r="G26" s="161">
        <f>SUMIF('Executive Pay Breakdown'!B:B,$B26,'Executive Pay Breakdown'!U:U)</f>
        <v>49570269</v>
      </c>
      <c r="H26" s="161">
        <f>SUMIF('Executive Pay Breakdown'!B:B,$B26,'Executive Pay Breakdown'!Y:Y)</f>
        <v>51713860</v>
      </c>
      <c r="I26" s="161">
        <f>SUMIF('Executive Pay Breakdown'!B:B,$B26,'Executive Pay Breakdown'!AC:AC)</f>
        <v>48223115</v>
      </c>
      <c r="J26" s="172"/>
      <c r="K26" s="173" t="s">
        <v>694</v>
      </c>
      <c r="L26" s="174" t="b">
        <f t="shared" ref="L26:P26" si="59">(E26/1000000)&gt;(Z26)</f>
        <v>1</v>
      </c>
      <c r="M26" s="174" t="b">
        <f t="shared" si="59"/>
        <v>1</v>
      </c>
      <c r="N26" s="174" t="b">
        <f t="shared" si="59"/>
        <v>1</v>
      </c>
      <c r="O26" s="174" t="b">
        <f t="shared" si="59"/>
        <v>1</v>
      </c>
      <c r="P26" s="174" t="b">
        <f t="shared" si="59"/>
        <v>1</v>
      </c>
      <c r="Q26" s="172"/>
      <c r="R26" s="175">
        <f t="shared" si="11"/>
        <v>5170.68</v>
      </c>
      <c r="S26" s="176">
        <f t="array" ref="S26">INDEX('Federal Tax, Stock Buybacks, &amp; '!U:U,MATCH($B26,'Federal Tax, Stock Buybacks, &amp; '!$E:$E,0))</f>
        <v>1450</v>
      </c>
      <c r="T26" s="176">
        <f t="array" ref="T26">INDEX('Federal Tax, Stock Buybacks, &amp; '!V:V,MATCH($B26,'Federal Tax, Stock Buybacks, &amp; '!$E:$E,0))</f>
        <v>352</v>
      </c>
      <c r="U26" s="176">
        <f t="array" ref="U26">INDEX('Federal Tax, Stock Buybacks, &amp; '!W:W,MATCH($B26,'Federal Tax, Stock Buybacks, &amp; '!$E:$E,0))</f>
        <v>1483</v>
      </c>
      <c r="V26" s="176">
        <f t="array" ref="V26">INDEX('Federal Tax, Stock Buybacks, &amp; '!X:X,MATCH($B26,'Federal Tax, Stock Buybacks, &amp; '!$E:$E,0))</f>
        <v>1205</v>
      </c>
      <c r="W26" s="176">
        <f t="array" ref="W26">INDEX('Federal Tax, Stock Buybacks, &amp; '!Y:Y,MATCH($B26,'Federal Tax, Stock Buybacks, &amp; '!$E:$E,0))</f>
        <v>680.68</v>
      </c>
      <c r="X26" s="172"/>
      <c r="Y26" s="177">
        <f t="shared" si="12"/>
        <v>6</v>
      </c>
      <c r="Z26" s="178">
        <f t="array" ref="Z26">INDEX('Federal Tax, Stock Buybacks, &amp; '!AB:AB,MATCH($B26,'Federal Tax, Stock Buybacks, &amp; '!$E:$E,0))</f>
        <v>0</v>
      </c>
      <c r="AA26" s="178">
        <f t="array" ref="AA26">INDEX('Federal Tax, Stock Buybacks, &amp; '!AC:AC,MATCH($B26,'Federal Tax, Stock Buybacks, &amp; '!$E:$E,0))</f>
        <v>0</v>
      </c>
      <c r="AB26" s="178">
        <f t="array" ref="AB26">INDEX('Federal Tax, Stock Buybacks, &amp; '!AD:AD,MATCH($B26,'Federal Tax, Stock Buybacks, &amp; '!$E:$E,0))</f>
        <v>0</v>
      </c>
      <c r="AC26" s="178">
        <f t="array" ref="AC26">INDEX('Federal Tax, Stock Buybacks, &amp; '!AE:AE,MATCH($B26,'Federal Tax, Stock Buybacks, &amp; '!$E:$E,0))</f>
        <v>0</v>
      </c>
      <c r="AD26" s="178">
        <f t="array" ref="AD26">INDEX('Federal Tax, Stock Buybacks, &amp; '!AF:AF,MATCH($B26,'Federal Tax, Stock Buybacks, &amp; '!$E:$E,0))</f>
        <v>6</v>
      </c>
      <c r="AE26" s="172"/>
      <c r="AF26" s="164">
        <f t="shared" ref="AF26:AK26" si="60">Y26/R26</f>
        <v>0.001160388962</v>
      </c>
      <c r="AG26" s="165">
        <f t="shared" si="60"/>
        <v>0</v>
      </c>
      <c r="AH26" s="165">
        <f t="shared" si="60"/>
        <v>0</v>
      </c>
      <c r="AI26" s="165">
        <f t="shared" si="60"/>
        <v>0</v>
      </c>
      <c r="AJ26" s="165">
        <f t="shared" si="60"/>
        <v>0</v>
      </c>
      <c r="AK26" s="165">
        <f t="shared" si="60"/>
        <v>0.008814714697</v>
      </c>
      <c r="AL26" s="172"/>
      <c r="AM26" s="175">
        <f t="shared" si="14"/>
        <v>1430</v>
      </c>
      <c r="AN26" s="176">
        <f t="array" ref="AN26">INDEX('Federal Tax, Stock Buybacks, &amp; '!AP:AP,MATCH($B26,'Federal Tax, Stock Buybacks, &amp; '!$E:$E,0))</f>
        <v>478</v>
      </c>
      <c r="AO26" s="176">
        <f t="array" ref="AO26">INDEX('Federal Tax, Stock Buybacks, &amp; '!AQ:AQ,MATCH($B26,'Federal Tax, Stock Buybacks, &amp; '!$E:$E,0))</f>
        <v>339</v>
      </c>
      <c r="AP26" s="176">
        <f t="array" ref="AP26">INDEX('Federal Tax, Stock Buybacks, &amp; '!AR:AR,MATCH($B26,'Federal Tax, Stock Buybacks, &amp; '!$E:$E,0))</f>
        <v>566</v>
      </c>
      <c r="AQ26" s="176">
        <f t="array" ref="AQ26">INDEX('Federal Tax, Stock Buybacks, &amp; '!AS:AS,MATCH($B26,'Federal Tax, Stock Buybacks, &amp; '!$E:$E,0))</f>
        <v>26</v>
      </c>
      <c r="AR26" s="176">
        <f t="array" ref="AR26">INDEX('Federal Tax, Stock Buybacks, &amp; '!AT:AT,MATCH($B26,'Federal Tax, Stock Buybacks, &amp; '!$E:$E,0))</f>
        <v>21</v>
      </c>
      <c r="AS26" s="172"/>
      <c r="AT26" s="175">
        <f t="shared" si="15"/>
        <v>6336</v>
      </c>
      <c r="AU26" s="176">
        <f t="array" ref="AU26">INDEX('Federal Tax, Stock Buybacks, &amp; '!AW:AW,MATCH($B26,'Federal Tax, Stock Buybacks, &amp; '!$E:$E,0))</f>
        <v>1474</v>
      </c>
      <c r="AV26" s="176">
        <f t="array" ref="AV26">INDEX('Federal Tax, Stock Buybacks, &amp; '!AX:AX,MATCH($B26,'Federal Tax, Stock Buybacks, &amp; '!$E:$E,0))</f>
        <v>1430</v>
      </c>
      <c r="AW26" s="176">
        <f t="array" ref="AW26">INDEX('Federal Tax, Stock Buybacks, &amp; '!AY:AY,MATCH($B26,'Federal Tax, Stock Buybacks, &amp; '!$E:$E,0))</f>
        <v>1331</v>
      </c>
      <c r="AX26" s="176">
        <f t="array" ref="AX26">INDEX('Federal Tax, Stock Buybacks, &amp; '!AZ:AZ,MATCH($B26,'Federal Tax, Stock Buybacks, &amp; '!$E:$E,0))</f>
        <v>1135</v>
      </c>
      <c r="AY26" s="176">
        <f t="array" ref="AY26">INDEX('Federal Tax, Stock Buybacks, &amp; '!BA:BA,MATCH($B26,'Federal Tax, Stock Buybacks, &amp; '!$E:$E,0))</f>
        <v>966</v>
      </c>
      <c r="AZ26" s="172"/>
      <c r="BA26" s="166">
        <f t="shared" si="16"/>
        <v>137063</v>
      </c>
      <c r="BB26" s="179">
        <f t="shared" si="17"/>
        <v>685315</v>
      </c>
      <c r="BC26" s="188">
        <v>132841.0</v>
      </c>
      <c r="BD26" s="188">
        <v>137800.0</v>
      </c>
      <c r="BE26" s="188">
        <v>142398.0</v>
      </c>
      <c r="BF26" s="188">
        <v>145951.0</v>
      </c>
      <c r="BG26" s="188">
        <v>126325.0</v>
      </c>
      <c r="BH26" s="87"/>
      <c r="BI26" s="154"/>
      <c r="BJ26" s="189" t="s">
        <v>695</v>
      </c>
      <c r="BK26" s="87"/>
      <c r="BL26" s="87"/>
    </row>
    <row r="27" ht="15.0" customHeight="1">
      <c r="A27" s="169">
        <f t="array" ref="A27">INDEX('Federal Tax, Stock Buybacks, &amp; '!D:D,match(B27,'Federal Tax, Stock Buybacks, &amp; '!E:E,0))</f>
        <v>218</v>
      </c>
      <c r="B27" s="209" t="s">
        <v>58</v>
      </c>
      <c r="C27" s="185" t="s">
        <v>710</v>
      </c>
      <c r="D27" s="160">
        <f>SUMIF('Executive Pay Breakdown'!B:B,$B27,'Executive Pay Breakdown'!M:M)+SUMIF('Executive Pay Breakdown'!B:B,$B27,'Executive Pay Breakdown'!Q:Q)+SUMIF('Executive Pay Breakdown'!B:B,$B27,'Executive Pay Breakdown'!U:U)+SUMIF('Executive Pay Breakdown'!B:B,$B27,'Executive Pay Breakdown'!Y:Y)+SUMIF('Executive Pay Breakdown'!B:B,$B27,'Executive Pay Breakdown'!AC:AC)</f>
        <v>220549158</v>
      </c>
      <c r="E27" s="161">
        <f>SUMIF('Executive Pay Breakdown'!B:B,$B27,'Executive Pay Breakdown'!M:M)</f>
        <v>52466933</v>
      </c>
      <c r="F27" s="161">
        <f>SUMIF('Executive Pay Breakdown'!B:B,$B27,'Executive Pay Breakdown'!Q:Q)</f>
        <v>48285924</v>
      </c>
      <c r="G27" s="161">
        <f>SUMIF('Executive Pay Breakdown'!B:B,$B27,'Executive Pay Breakdown'!U:U)</f>
        <v>33208279</v>
      </c>
      <c r="H27" s="161">
        <f>SUMIF('Executive Pay Breakdown'!B:B,$B27,'Executive Pay Breakdown'!Y:Y)</f>
        <v>38929807</v>
      </c>
      <c r="I27" s="161">
        <f>SUMIF('Executive Pay Breakdown'!B:B,$B27,'Executive Pay Breakdown'!AC:AC)</f>
        <v>47658215</v>
      </c>
      <c r="J27" s="172"/>
      <c r="K27" s="173" t="s">
        <v>699</v>
      </c>
      <c r="L27" s="174" t="b">
        <f>(E27/1000000)&gt;(Z27)</f>
        <v>1</v>
      </c>
      <c r="M27" s="183"/>
      <c r="N27" s="174" t="b">
        <f>(G27/1000000)&gt;(AB27)</f>
        <v>1</v>
      </c>
      <c r="O27" s="183"/>
      <c r="P27" s="183"/>
      <c r="Q27" s="172"/>
      <c r="R27" s="175">
        <f t="shared" si="11"/>
        <v>13096</v>
      </c>
      <c r="S27" s="176">
        <f t="array" ref="S27">INDEX('Federal Tax, Stock Buybacks, &amp; '!U:U,MATCH($B27,'Federal Tax, Stock Buybacks, &amp; '!$E:$E,0))</f>
        <v>2416</v>
      </c>
      <c r="T27" s="176">
        <f t="array" ref="T27">INDEX('Federal Tax, Stock Buybacks, &amp; '!V:V,MATCH($B27,'Federal Tax, Stock Buybacks, &amp; '!$E:$E,0))</f>
        <v>2176</v>
      </c>
      <c r="U27" s="176">
        <f t="array" ref="U27">INDEX('Federal Tax, Stock Buybacks, &amp; '!W:W,MATCH($B27,'Federal Tax, Stock Buybacks, &amp; '!$E:$E,0))</f>
        <v>2291</v>
      </c>
      <c r="V27" s="176">
        <f t="array" ref="V27">INDEX('Federal Tax, Stock Buybacks, &amp; '!X:X,MATCH($B27,'Federal Tax, Stock Buybacks, &amp; '!$E:$E,0))</f>
        <v>3980</v>
      </c>
      <c r="W27" s="176">
        <f t="array" ref="W27">INDEX('Federal Tax, Stock Buybacks, &amp; '!Y:Y,MATCH($B27,'Federal Tax, Stock Buybacks, &amp; '!$E:$E,0))</f>
        <v>2233</v>
      </c>
      <c r="X27" s="172"/>
      <c r="Y27" s="177">
        <f t="shared" si="12"/>
        <v>635</v>
      </c>
      <c r="Z27" s="178">
        <f t="array" ref="Z27">INDEX('Federal Tax, Stock Buybacks, &amp; '!AB:AB,MATCH($B27,'Federal Tax, Stock Buybacks, &amp; '!$E:$E,0))</f>
        <v>-24</v>
      </c>
      <c r="AA27" s="178">
        <f t="array" ref="AA27">INDEX('Federal Tax, Stock Buybacks, &amp; '!AC:AC,MATCH($B27,'Federal Tax, Stock Buybacks, &amp; '!$E:$E,0))</f>
        <v>322</v>
      </c>
      <c r="AB27" s="178">
        <f t="array" ref="AB27">INDEX('Federal Tax, Stock Buybacks, &amp; '!AD:AD,MATCH($B27,'Federal Tax, Stock Buybacks, &amp; '!$E:$E,0))</f>
        <v>26</v>
      </c>
      <c r="AC27" s="178">
        <f t="array" ref="AC27">INDEX('Federal Tax, Stock Buybacks, &amp; '!AE:AE,MATCH($B27,'Federal Tax, Stock Buybacks, &amp; '!$E:$E,0))</f>
        <v>85</v>
      </c>
      <c r="AD27" s="178">
        <f t="array" ref="AD27">INDEX('Federal Tax, Stock Buybacks, &amp; '!AF:AF,MATCH($B27,'Federal Tax, Stock Buybacks, &amp; '!$E:$E,0))</f>
        <v>226</v>
      </c>
      <c r="AE27" s="172"/>
      <c r="AF27" s="164">
        <f t="shared" ref="AF27:AK27" si="61">Y27/R27</f>
        <v>0.04848808797</v>
      </c>
      <c r="AG27" s="165">
        <f t="shared" si="61"/>
        <v>-0.009933774834</v>
      </c>
      <c r="AH27" s="165">
        <f t="shared" si="61"/>
        <v>0.1479779412</v>
      </c>
      <c r="AI27" s="165">
        <f t="shared" si="61"/>
        <v>0.011348756</v>
      </c>
      <c r="AJ27" s="165">
        <f t="shared" si="61"/>
        <v>0.02135678392</v>
      </c>
      <c r="AK27" s="165">
        <f t="shared" si="61"/>
        <v>0.1012091357</v>
      </c>
      <c r="AL27" s="172"/>
      <c r="AM27" s="175">
        <f t="shared" si="14"/>
        <v>0</v>
      </c>
      <c r="AN27" s="176">
        <f t="array" ref="AN27">INDEX('Federal Tax, Stock Buybacks, &amp; '!AP:AP,MATCH($B27,'Federal Tax, Stock Buybacks, &amp; '!$E:$E,0))</f>
        <v>0</v>
      </c>
      <c r="AO27" s="176">
        <f t="array" ref="AO27">INDEX('Federal Tax, Stock Buybacks, &amp; '!AQ:AQ,MATCH($B27,'Federal Tax, Stock Buybacks, &amp; '!$E:$E,0))</f>
        <v>0</v>
      </c>
      <c r="AP27" s="176">
        <f t="array" ref="AP27">INDEX('Federal Tax, Stock Buybacks, &amp; '!AR:AR,MATCH($B27,'Federal Tax, Stock Buybacks, &amp; '!$E:$E,0))</f>
        <v>0</v>
      </c>
      <c r="AQ27" s="176">
        <f t="array" ref="AQ27">INDEX('Federal Tax, Stock Buybacks, &amp; '!AS:AS,MATCH($B27,'Federal Tax, Stock Buybacks, &amp; '!$E:$E,0))</f>
        <v>0</v>
      </c>
      <c r="AR27" s="176">
        <f t="array" ref="AR27">INDEX('Federal Tax, Stock Buybacks, &amp; '!AT:AT,MATCH($B27,'Federal Tax, Stock Buybacks, &amp; '!$E:$E,0))</f>
        <v>0</v>
      </c>
      <c r="AS27" s="172"/>
      <c r="AT27" s="175">
        <f t="shared" si="15"/>
        <v>7063</v>
      </c>
      <c r="AU27" s="176">
        <f t="array" ref="AU27">INDEX('Federal Tax, Stock Buybacks, &amp; '!AW:AW,MATCH($B27,'Federal Tax, Stock Buybacks, &amp; '!$E:$E,0))</f>
        <v>1334</v>
      </c>
      <c r="AV27" s="176">
        <f t="array" ref="AV27">INDEX('Federal Tax, Stock Buybacks, &amp; '!AX:AX,MATCH($B27,'Federal Tax, Stock Buybacks, &amp; '!$E:$E,0))</f>
        <v>1497</v>
      </c>
      <c r="AW27" s="176">
        <f t="array" ref="AW27">INDEX('Federal Tax, Stock Buybacks, &amp; '!AY:AY,MATCH($B27,'Federal Tax, Stock Buybacks, &amp; '!$E:$E,0))</f>
        <v>1492</v>
      </c>
      <c r="AX27" s="176">
        <f t="array" ref="AX27">INDEX('Federal Tax, Stock Buybacks, &amp; '!AZ:AZ,MATCH($B27,'Federal Tax, Stock Buybacks, &amp; '!$E:$E,0))</f>
        <v>1408</v>
      </c>
      <c r="AY27" s="176">
        <f t="array" ref="AY27">INDEX('Federal Tax, Stock Buybacks, &amp; '!BA:BA,MATCH($B27,'Federal Tax, Stock Buybacks, &amp; '!$E:$E,0))</f>
        <v>1332</v>
      </c>
      <c r="AZ27" s="172"/>
      <c r="BA27" s="166">
        <f t="shared" si="16"/>
        <v>142197.4</v>
      </c>
      <c r="BB27" s="179">
        <f t="shared" si="17"/>
        <v>710987</v>
      </c>
      <c r="BC27" s="188">
        <v>143354.0</v>
      </c>
      <c r="BD27" s="188">
        <v>160633.0</v>
      </c>
      <c r="BE27" s="188">
        <v>157000.0</v>
      </c>
      <c r="BF27" s="188">
        <v>126000.0</v>
      </c>
      <c r="BG27" s="188">
        <v>124000.0</v>
      </c>
      <c r="BH27" s="87"/>
      <c r="BI27" s="154"/>
      <c r="BJ27" s="184" t="s">
        <v>695</v>
      </c>
      <c r="BK27" s="87"/>
      <c r="BL27" s="87"/>
    </row>
    <row r="28" ht="15.0" customHeight="1">
      <c r="A28" s="169">
        <f t="array" ref="A28">INDEX('Federal Tax, Stock Buybacks, &amp; '!D:D,match(B28,'Federal Tax, Stock Buybacks, &amp; '!E:E,0))</f>
        <v>237</v>
      </c>
      <c r="B28" s="197" t="s">
        <v>62</v>
      </c>
      <c r="C28" s="185" t="s">
        <v>712</v>
      </c>
      <c r="D28" s="160">
        <f>SUMIF('Executive Pay Breakdown'!B:B,$B28,'Executive Pay Breakdown'!M:M)+SUMIF('Executive Pay Breakdown'!B:B,$B28,'Executive Pay Breakdown'!Q:Q)+SUMIF('Executive Pay Breakdown'!B:B,$B28,'Executive Pay Breakdown'!U:U)+SUMIF('Executive Pay Breakdown'!B:B,$B28,'Executive Pay Breakdown'!Y:Y)+SUMIF('Executive Pay Breakdown'!B:B,$B28,'Executive Pay Breakdown'!AC:AC)</f>
        <v>213723878</v>
      </c>
      <c r="E28" s="161">
        <f>SUMIF('Executive Pay Breakdown'!B:B,$B28,'Executive Pay Breakdown'!M:M)</f>
        <v>50321218</v>
      </c>
      <c r="F28" s="161">
        <f>SUMIF('Executive Pay Breakdown'!B:B,$B28,'Executive Pay Breakdown'!Q:Q)</f>
        <v>38886568</v>
      </c>
      <c r="G28" s="161">
        <f>SUMIF('Executive Pay Breakdown'!B:B,$B28,'Executive Pay Breakdown'!U:U)</f>
        <v>29607976</v>
      </c>
      <c r="H28" s="161">
        <f>SUMIF('Executive Pay Breakdown'!B:B,$B28,'Executive Pay Breakdown'!Y:Y)</f>
        <v>28118897</v>
      </c>
      <c r="I28" s="161">
        <f>SUMIF('Executive Pay Breakdown'!B:B,$B28,'Executive Pay Breakdown'!AC:AC)</f>
        <v>66789219</v>
      </c>
      <c r="J28" s="192"/>
      <c r="K28" s="173" t="s">
        <v>713</v>
      </c>
      <c r="L28" s="174"/>
      <c r="M28" s="174" t="b">
        <f t="shared" ref="M28:P28" si="62">(F28/1000000)&gt;(AA28)</f>
        <v>1</v>
      </c>
      <c r="N28" s="174" t="b">
        <f t="shared" si="62"/>
        <v>1</v>
      </c>
      <c r="O28" s="174" t="b">
        <f t="shared" si="62"/>
        <v>1</v>
      </c>
      <c r="P28" s="174" t="b">
        <f t="shared" si="62"/>
        <v>1</v>
      </c>
      <c r="Q28" s="192"/>
      <c r="R28" s="175">
        <f t="shared" si="11"/>
        <v>8756</v>
      </c>
      <c r="S28" s="176">
        <f t="array" ref="S28">INDEX('Federal Tax, Stock Buybacks, &amp; '!U:U,MATCH($B28,'Federal Tax, Stock Buybacks, &amp; '!$E:$E,0))</f>
        <v>1869</v>
      </c>
      <c r="T28" s="176">
        <f t="array" ref="T28">INDEX('Federal Tax, Stock Buybacks, &amp; '!V:V,MATCH($B28,'Federal Tax, Stock Buybacks, &amp; '!$E:$E,0))</f>
        <v>2567</v>
      </c>
      <c r="U28" s="176">
        <f t="array" ref="U28">INDEX('Federal Tax, Stock Buybacks, &amp; '!W:W,MATCH($B28,'Federal Tax, Stock Buybacks, &amp; '!$E:$E,0))</f>
        <v>1694</v>
      </c>
      <c r="V28" s="176">
        <f t="array" ref="V28">INDEX('Federal Tax, Stock Buybacks, &amp; '!X:X,MATCH($B28,'Federal Tax, Stock Buybacks, &amp; '!$E:$E,0))</f>
        <v>1585</v>
      </c>
      <c r="W28" s="176">
        <f t="array" ref="W28">INDEX('Federal Tax, Stock Buybacks, &amp; '!Y:Y,MATCH($B28,'Federal Tax, Stock Buybacks, &amp; '!$E:$E,0))</f>
        <v>1041</v>
      </c>
      <c r="X28" s="172"/>
      <c r="Y28" s="177">
        <f t="shared" si="12"/>
        <v>279</v>
      </c>
      <c r="Z28" s="178">
        <f t="array" ref="Z28">INDEX('Federal Tax, Stock Buybacks, &amp; '!AB:AB,MATCH($B28,'Federal Tax, Stock Buybacks, &amp; '!$E:$E,0))</f>
        <v>838</v>
      </c>
      <c r="AA28" s="178">
        <f t="array" ref="AA28">INDEX('Federal Tax, Stock Buybacks, &amp; '!AC:AC,MATCH($B28,'Federal Tax, Stock Buybacks, &amp; '!$E:$E,0))</f>
        <v>5</v>
      </c>
      <c r="AB28" s="178">
        <f t="array" ref="AB28">INDEX('Federal Tax, Stock Buybacks, &amp; '!AD:AD,MATCH($B28,'Federal Tax, Stock Buybacks, &amp; '!$E:$E,0))</f>
        <v>5</v>
      </c>
      <c r="AC28" s="178">
        <f t="array" ref="AC28">INDEX('Federal Tax, Stock Buybacks, &amp; '!AE:AE,MATCH($B28,'Federal Tax, Stock Buybacks, &amp; '!$E:$E,0))</f>
        <v>7</v>
      </c>
      <c r="AD28" s="178">
        <f t="array" ref="AD28">INDEX('Federal Tax, Stock Buybacks, &amp; '!AF:AF,MATCH($B28,'Federal Tax, Stock Buybacks, &amp; '!$E:$E,0))</f>
        <v>-576</v>
      </c>
      <c r="AE28" s="172"/>
      <c r="AF28" s="164">
        <f t="shared" ref="AF28:AK28" si="63">Y28/R28</f>
        <v>0.03186386478</v>
      </c>
      <c r="AG28" s="165">
        <f t="shared" si="63"/>
        <v>0.4483681113</v>
      </c>
      <c r="AH28" s="165">
        <f t="shared" si="63"/>
        <v>0.001947798987</v>
      </c>
      <c r="AI28" s="165">
        <f t="shared" si="63"/>
        <v>0.002951593861</v>
      </c>
      <c r="AJ28" s="165">
        <f t="shared" si="63"/>
        <v>0.004416403785</v>
      </c>
      <c r="AK28" s="165">
        <f t="shared" si="63"/>
        <v>-0.553314121</v>
      </c>
      <c r="AL28" s="172"/>
      <c r="AM28" s="175">
        <f t="shared" si="14"/>
        <v>1200</v>
      </c>
      <c r="AN28" s="176">
        <f t="array" ref="AN28">INDEX('Federal Tax, Stock Buybacks, &amp; '!AP:AP,MATCH($B28,'Federal Tax, Stock Buybacks, &amp; '!$E:$E,0))</f>
        <v>200</v>
      </c>
      <c r="AO28" s="176">
        <f t="array" ref="AO28">INDEX('Federal Tax, Stock Buybacks, &amp; '!AQ:AQ,MATCH($B28,'Federal Tax, Stock Buybacks, &amp; '!$E:$E,0))</f>
        <v>1000</v>
      </c>
      <c r="AP28" s="176">
        <f t="array" ref="AP28">INDEX('Federal Tax, Stock Buybacks, &amp; '!AR:AR,MATCH($B28,'Federal Tax, Stock Buybacks, &amp; '!$E:$E,0))</f>
        <v>0</v>
      </c>
      <c r="AQ28" s="176">
        <f t="array" ref="AQ28">INDEX('Federal Tax, Stock Buybacks, &amp; '!AS:AS,MATCH($B28,'Federal Tax, Stock Buybacks, &amp; '!$E:$E,0))</f>
        <v>0</v>
      </c>
      <c r="AR28" s="176">
        <f t="array" ref="AR28">INDEX('Federal Tax, Stock Buybacks, &amp; '!AT:AT,MATCH($B28,'Federal Tax, Stock Buybacks, &amp; '!$E:$E,0))</f>
        <v>0</v>
      </c>
      <c r="AS28" s="172"/>
      <c r="AT28" s="175">
        <f t="shared" si="15"/>
        <v>6388</v>
      </c>
      <c r="AU28" s="176">
        <f t="array" ref="AU28">INDEX('Federal Tax, Stock Buybacks, &amp; '!AW:AW,MATCH($B28,'Federal Tax, Stock Buybacks, &amp; '!$E:$E,0))</f>
        <v>780</v>
      </c>
      <c r="AV28" s="176">
        <f t="array" ref="AV28">INDEX('Federal Tax, Stock Buybacks, &amp; '!AX:AX,MATCH($B28,'Federal Tax, Stock Buybacks, &amp; '!$E:$E,0))</f>
        <v>1087</v>
      </c>
      <c r="AW28" s="176">
        <f t="array" ref="AW28">INDEX('Federal Tax, Stock Buybacks, &amp; '!AY:AY,MATCH($B28,'Federal Tax, Stock Buybacks, &amp; '!$E:$E,0))</f>
        <v>1109</v>
      </c>
      <c r="AX28" s="176">
        <f t="array" ref="AX28">INDEX('Federal Tax, Stock Buybacks, &amp; '!AZ:AZ,MATCH($B28,'Federal Tax, Stock Buybacks, &amp; '!$E:$E,0))</f>
        <v>1100</v>
      </c>
      <c r="AY28" s="176">
        <f t="array" ref="AY28">INDEX('Federal Tax, Stock Buybacks, &amp; '!BA:BA,MATCH($B28,'Federal Tax, Stock Buybacks, &amp; '!$E:$E,0))</f>
        <v>2312</v>
      </c>
      <c r="AZ28" s="172"/>
      <c r="BA28" s="166">
        <f t="shared" si="16"/>
        <v>73649.6</v>
      </c>
      <c r="BB28" s="179">
        <f t="shared" si="17"/>
        <v>368248</v>
      </c>
      <c r="BC28" s="188">
        <v>79220.0</v>
      </c>
      <c r="BD28" s="188">
        <v>75984.0</v>
      </c>
      <c r="BE28" s="188">
        <v>73091.0</v>
      </c>
      <c r="BF28" s="188">
        <v>71279.0</v>
      </c>
      <c r="BG28" s="188">
        <v>68674.0</v>
      </c>
      <c r="BH28" s="87"/>
      <c r="BI28" s="154"/>
      <c r="BJ28" s="189" t="s">
        <v>695</v>
      </c>
      <c r="BK28" s="87"/>
      <c r="BL28" s="87"/>
    </row>
    <row r="29" ht="15.0" customHeight="1">
      <c r="A29" s="169">
        <f t="array" ref="A29">INDEX('Federal Tax, Stock Buybacks, &amp; '!D:D,match(B29,'Federal Tax, Stock Buybacks, &amp; '!E:E,0))</f>
        <v>420</v>
      </c>
      <c r="B29" s="197" t="s">
        <v>63</v>
      </c>
      <c r="C29" s="185" t="s">
        <v>693</v>
      </c>
      <c r="D29" s="160">
        <f>SUMIF('Executive Pay Breakdown'!B:B,$B29,'Executive Pay Breakdown'!M:M)+SUMIF('Executive Pay Breakdown'!B:B,$B29,'Executive Pay Breakdown'!Q:Q)+SUMIF('Executive Pay Breakdown'!B:B,$B29,'Executive Pay Breakdown'!U:U)+SUMIF('Executive Pay Breakdown'!B:B,$B29,'Executive Pay Breakdown'!Y:Y)+SUMIF('Executive Pay Breakdown'!B:B,$B29,'Executive Pay Breakdown'!AC:AC)</f>
        <v>196959742</v>
      </c>
      <c r="E29" s="161">
        <f>SUMIF('Executive Pay Breakdown'!B:B,$B29,'Executive Pay Breakdown'!M:M)</f>
        <v>55576917</v>
      </c>
      <c r="F29" s="161">
        <f>SUMIF('Executive Pay Breakdown'!B:B,$B29,'Executive Pay Breakdown'!Q:Q)</f>
        <v>59749647</v>
      </c>
      <c r="G29" s="161">
        <f>SUMIF('Executive Pay Breakdown'!B:B,$B29,'Executive Pay Breakdown'!U:U)</f>
        <v>28210457</v>
      </c>
      <c r="H29" s="161">
        <f>SUMIF('Executive Pay Breakdown'!B:B,$B29,'Executive Pay Breakdown'!Y:Y)</f>
        <v>27693139</v>
      </c>
      <c r="I29" s="161">
        <f>SUMIF('Executive Pay Breakdown'!B:B,$B29,'Executive Pay Breakdown'!AC:AC)</f>
        <v>25729582</v>
      </c>
      <c r="J29" s="192"/>
      <c r="K29" s="173" t="s">
        <v>704</v>
      </c>
      <c r="L29" s="174"/>
      <c r="M29" s="174"/>
      <c r="N29" s="174" t="b">
        <f t="shared" ref="N29:P29" si="64">(G29/1000000)&gt;(AB29)</f>
        <v>1</v>
      </c>
      <c r="O29" s="174" t="b">
        <f t="shared" si="64"/>
        <v>1</v>
      </c>
      <c r="P29" s="174" t="b">
        <f t="shared" si="64"/>
        <v>1</v>
      </c>
      <c r="Q29" s="192"/>
      <c r="R29" s="175">
        <f t="shared" si="11"/>
        <v>8409.83</v>
      </c>
      <c r="S29" s="176">
        <f t="array" ref="S29">INDEX('Federal Tax, Stock Buybacks, &amp; '!U:U,MATCH($B29,'Federal Tax, Stock Buybacks, &amp; '!$E:$E,0))</f>
        <v>5091</v>
      </c>
      <c r="T29" s="176">
        <f t="array" ref="T29">INDEX('Federal Tax, Stock Buybacks, &amp; '!V:V,MATCH($B29,'Federal Tax, Stock Buybacks, &amp; '!$E:$E,0))</f>
        <v>1491</v>
      </c>
      <c r="U29" s="176">
        <f t="array" ref="U29">INDEX('Federal Tax, Stock Buybacks, &amp; '!W:W,MATCH($B29,'Federal Tax, Stock Buybacks, &amp; '!$E:$E,0))</f>
        <v>240.47</v>
      </c>
      <c r="V29" s="176">
        <f t="array" ref="V29">INDEX('Federal Tax, Stock Buybacks, &amp; '!X:X,MATCH($B29,'Federal Tax, Stock Buybacks, &amp; '!$E:$E,0))</f>
        <v>895.9</v>
      </c>
      <c r="W29" s="176">
        <f t="array" ref="W29">INDEX('Federal Tax, Stock Buybacks, &amp; '!Y:Y,MATCH($B29,'Federal Tax, Stock Buybacks, &amp; '!$E:$E,0))</f>
        <v>691.46</v>
      </c>
      <c r="X29" s="172"/>
      <c r="Y29" s="177">
        <f t="shared" si="12"/>
        <v>841.39</v>
      </c>
      <c r="Z29" s="178">
        <f t="array" ref="Z29">INDEX('Federal Tax, Stock Buybacks, &amp; '!AB:AB,MATCH($B29,'Federal Tax, Stock Buybacks, &amp; '!$E:$E,0))</f>
        <v>791</v>
      </c>
      <c r="AA29" s="178">
        <f t="array" ref="AA29">INDEX('Federal Tax, Stock Buybacks, &amp; '!AC:AC,MATCH($B29,'Federal Tax, Stock Buybacks, &amp; '!$E:$E,0))</f>
        <v>207</v>
      </c>
      <c r="AB29" s="178">
        <f t="array" ref="AB29">INDEX('Federal Tax, Stock Buybacks, &amp; '!AD:AD,MATCH($B29,'Federal Tax, Stock Buybacks, &amp; '!$E:$E,0))</f>
        <v>-31.84</v>
      </c>
      <c r="AC29" s="178">
        <f t="array" ref="AC29">INDEX('Federal Tax, Stock Buybacks, &amp; '!AE:AE,MATCH($B29,'Federal Tax, Stock Buybacks, &amp; '!$E:$E,0))</f>
        <v>-29.58</v>
      </c>
      <c r="AD29" s="178">
        <f t="array" ref="AD29">INDEX('Federal Tax, Stock Buybacks, &amp; '!AF:AF,MATCH($B29,'Federal Tax, Stock Buybacks, &amp; '!$E:$E,0))</f>
        <v>-95.19</v>
      </c>
      <c r="AE29" s="172"/>
      <c r="AF29" s="164">
        <f t="shared" ref="AF29:AK29" si="65">Y29/R29</f>
        <v>0.1000483957</v>
      </c>
      <c r="AG29" s="165">
        <f t="shared" si="65"/>
        <v>0.1553722255</v>
      </c>
      <c r="AH29" s="165">
        <f t="shared" si="65"/>
        <v>0.138832998</v>
      </c>
      <c r="AI29" s="165">
        <f t="shared" si="65"/>
        <v>-0.1324073689</v>
      </c>
      <c r="AJ29" s="165">
        <f t="shared" si="65"/>
        <v>-0.0330170778</v>
      </c>
      <c r="AK29" s="165">
        <f t="shared" si="65"/>
        <v>-0.1376652301</v>
      </c>
      <c r="AL29" s="172"/>
      <c r="AM29" s="175">
        <f t="shared" si="14"/>
        <v>2653</v>
      </c>
      <c r="AN29" s="176">
        <f t="array" ref="AN29">INDEX('Federal Tax, Stock Buybacks, &amp; '!AP:AP,MATCH($B29,'Federal Tax, Stock Buybacks, &amp; '!$E:$E,0))</f>
        <v>1260</v>
      </c>
      <c r="AO29" s="176">
        <f t="array" ref="AO29">INDEX('Federal Tax, Stock Buybacks, &amp; '!AQ:AQ,MATCH($B29,'Federal Tax, Stock Buybacks, &amp; '!$E:$E,0))</f>
        <v>0</v>
      </c>
      <c r="AP29" s="176">
        <f t="array" ref="AP29">INDEX('Federal Tax, Stock Buybacks, &amp; '!AR:AR,MATCH($B29,'Federal Tax, Stock Buybacks, &amp; '!$E:$E,0))</f>
        <v>0</v>
      </c>
      <c r="AQ29" s="176">
        <f t="array" ref="AQ29">INDEX('Federal Tax, Stock Buybacks, &amp; '!AS:AS,MATCH($B29,'Federal Tax, Stock Buybacks, &amp; '!$E:$E,0))</f>
        <v>520</v>
      </c>
      <c r="AR29" s="176">
        <f t="array" ref="AR29">INDEX('Federal Tax, Stock Buybacks, &amp; '!AT:AT,MATCH($B29,'Federal Tax, Stock Buybacks, &amp; '!$E:$E,0))</f>
        <v>873</v>
      </c>
      <c r="AS29" s="172"/>
      <c r="AT29" s="175">
        <f t="shared" si="15"/>
        <v>3188.37</v>
      </c>
      <c r="AU29" s="176">
        <f t="array" ref="AU29">INDEX('Federal Tax, Stock Buybacks, &amp; '!AW:AW,MATCH($B29,'Federal Tax, Stock Buybacks, &amp; '!$E:$E,0))</f>
        <v>1992</v>
      </c>
      <c r="AV29" s="176">
        <f t="array" ref="AV29">INDEX('Federal Tax, Stock Buybacks, &amp; '!AX:AX,MATCH($B29,'Federal Tax, Stock Buybacks, &amp; '!$E:$E,0))</f>
        <v>780</v>
      </c>
      <c r="AW29" s="176">
        <f t="array" ref="AW29">INDEX('Federal Tax, Stock Buybacks, &amp; '!AY:AY,MATCH($B29,'Federal Tax, Stock Buybacks, &amp; '!$E:$E,0))</f>
        <v>159</v>
      </c>
      <c r="AX29" s="176">
        <f t="array" ref="AX29">INDEX('Federal Tax, Stock Buybacks, &amp; '!AZ:AZ,MATCH($B29,'Federal Tax, Stock Buybacks, &amp; '!$E:$E,0))</f>
        <v>146</v>
      </c>
      <c r="AY29" s="176">
        <f t="array" ref="AY29">INDEX('Federal Tax, Stock Buybacks, &amp; '!BA:BA,MATCH($B29,'Federal Tax, Stock Buybacks, &amp; '!$E:$E,0))</f>
        <v>111.37</v>
      </c>
      <c r="AZ29" s="172"/>
      <c r="BA29" s="166">
        <f t="shared" si="16"/>
        <v>90170.6</v>
      </c>
      <c r="BB29" s="179">
        <f t="shared" si="17"/>
        <v>450853</v>
      </c>
      <c r="BC29" s="188">
        <v>126643.0</v>
      </c>
      <c r="BD29" s="188">
        <v>91440.0</v>
      </c>
      <c r="BE29" s="188">
        <v>75986.0</v>
      </c>
      <c r="BF29" s="188">
        <v>74070.0</v>
      </c>
      <c r="BG29" s="188">
        <v>82714.0</v>
      </c>
      <c r="BH29" s="87"/>
      <c r="BI29" s="154"/>
      <c r="BJ29" s="189" t="s">
        <v>695</v>
      </c>
      <c r="BK29" s="87"/>
      <c r="BL29" s="87"/>
    </row>
    <row r="30" ht="15.0" customHeight="1">
      <c r="A30" s="169">
        <f t="array" ref="A30">INDEX('Federal Tax, Stock Buybacks, &amp; '!D:D,match(B30,'Federal Tax, Stock Buybacks, &amp; '!E:E,0))</f>
        <v>41</v>
      </c>
      <c r="B30" s="211" t="s">
        <v>56</v>
      </c>
      <c r="C30" s="185" t="s">
        <v>714</v>
      </c>
      <c r="D30" s="160">
        <f>SUMIF('Executive Pay Breakdown'!B:B,$B30,'Executive Pay Breakdown'!M:M)+SUMIF('Executive Pay Breakdown'!B:B,$B30,'Executive Pay Breakdown'!Q:Q)+SUMIF('Executive Pay Breakdown'!B:B,$B30,'Executive Pay Breakdown'!U:U)+SUMIF('Executive Pay Breakdown'!B:B,$B30,'Executive Pay Breakdown'!Y:Y)+SUMIF('Executive Pay Breakdown'!B:B,$B30,'Executive Pay Breakdown'!AC:AC)</f>
        <v>193767120</v>
      </c>
      <c r="E30" s="161">
        <f>SUMIF('Executive Pay Breakdown'!B:B,$B30,'Executive Pay Breakdown'!M:M)</f>
        <v>38433994</v>
      </c>
      <c r="F30" s="161">
        <f>SUMIF('Executive Pay Breakdown'!B:B,$B30,'Executive Pay Breakdown'!Q:Q)</f>
        <v>27120182</v>
      </c>
      <c r="G30" s="161">
        <f>SUMIF('Executive Pay Breakdown'!B:B,$B30,'Executive Pay Breakdown'!U:U)</f>
        <v>43240606</v>
      </c>
      <c r="H30" s="161">
        <f>SUMIF('Executive Pay Breakdown'!B:B,$B30,'Executive Pay Breakdown'!Y:Y)</f>
        <v>30730062</v>
      </c>
      <c r="I30" s="161">
        <f>SUMIF('Executive Pay Breakdown'!B:B,$B30,'Executive Pay Breakdown'!AC:AC)</f>
        <v>54242276</v>
      </c>
      <c r="J30" s="172"/>
      <c r="K30" s="173" t="s">
        <v>699</v>
      </c>
      <c r="L30" s="183"/>
      <c r="M30" s="183"/>
      <c r="N30" s="183"/>
      <c r="O30" s="174" t="b">
        <f t="shared" ref="O30:P30" si="66">(H30/1000000)&gt;(AC30)</f>
        <v>1</v>
      </c>
      <c r="P30" s="174" t="b">
        <f t="shared" si="66"/>
        <v>1</v>
      </c>
      <c r="Q30" s="172"/>
      <c r="R30" s="175">
        <f t="shared" si="11"/>
        <v>16228.85</v>
      </c>
      <c r="S30" s="176">
        <f t="array" ref="S30">INDEX('Federal Tax, Stock Buybacks, &amp; '!U:U,MATCH($B30,'Federal Tax, Stock Buybacks, &amp; '!$E:$E,0))</f>
        <v>4606</v>
      </c>
      <c r="T30" s="176">
        <f t="array" ref="T30">INDEX('Federal Tax, Stock Buybacks, &amp; '!V:V,MATCH($B30,'Federal Tax, Stock Buybacks, &amp; '!$E:$E,0))</f>
        <v>3376</v>
      </c>
      <c r="U30" s="176">
        <f t="array" ref="U30">INDEX('Federal Tax, Stock Buybacks, &amp; '!W:W,MATCH($B30,'Federal Tax, Stock Buybacks, &amp; '!$E:$E,0))</f>
        <v>4716</v>
      </c>
      <c r="V30" s="176">
        <f t="array" ref="V30">INDEX('Federal Tax, Stock Buybacks, &amp; '!X:X,MATCH($B30,'Federal Tax, Stock Buybacks, &amp; '!$E:$E,0))</f>
        <v>1218.35</v>
      </c>
      <c r="W30" s="176">
        <f t="array" ref="W30">INDEX('Federal Tax, Stock Buybacks, &amp; '!Y:Y,MATCH($B30,'Federal Tax, Stock Buybacks, &amp; '!$E:$E,0))</f>
        <v>2312.5</v>
      </c>
      <c r="X30" s="172"/>
      <c r="Y30" s="177">
        <f t="shared" si="12"/>
        <v>752</v>
      </c>
      <c r="Z30" s="178">
        <f t="array" ref="Z30">INDEX('Federal Tax, Stock Buybacks, &amp; '!AB:AB,MATCH($B30,'Federal Tax, Stock Buybacks, &amp; '!$E:$E,0))</f>
        <v>579</v>
      </c>
      <c r="AA30" s="178">
        <f t="array" ref="AA30">INDEX('Federal Tax, Stock Buybacks, &amp; '!AC:AC,MATCH($B30,'Federal Tax, Stock Buybacks, &amp; '!$E:$E,0))</f>
        <v>311</v>
      </c>
      <c r="AB30" s="178">
        <f t="array" ref="AB30">INDEX('Federal Tax, Stock Buybacks, &amp; '!AD:AD,MATCH($B30,'Federal Tax, Stock Buybacks, &amp; '!$E:$E,0))</f>
        <v>199</v>
      </c>
      <c r="AC30" s="178">
        <f t="array" ref="AC30">INDEX('Federal Tax, Stock Buybacks, &amp; '!AE:AE,MATCH($B30,'Federal Tax, Stock Buybacks, &amp; '!$E:$E,0))</f>
        <v>-230</v>
      </c>
      <c r="AD30" s="178">
        <f t="array" ref="AD30">INDEX('Federal Tax, Stock Buybacks, &amp; '!AF:AF,MATCH($B30,'Federal Tax, Stock Buybacks, &amp; '!$E:$E,0))</f>
        <v>-107</v>
      </c>
      <c r="AE30" s="172"/>
      <c r="AF30" s="164">
        <f t="shared" ref="AF30:AK30" si="67">Y30/R30</f>
        <v>0.04633723277</v>
      </c>
      <c r="AG30" s="165">
        <f t="shared" si="67"/>
        <v>0.1257056014</v>
      </c>
      <c r="AH30" s="165">
        <f t="shared" si="67"/>
        <v>0.09212085308</v>
      </c>
      <c r="AI30" s="165">
        <f t="shared" si="67"/>
        <v>0.04219677693</v>
      </c>
      <c r="AJ30" s="165">
        <f t="shared" si="67"/>
        <v>-0.1887799073</v>
      </c>
      <c r="AK30" s="165">
        <f t="shared" si="67"/>
        <v>-0.04627027027</v>
      </c>
      <c r="AL30" s="172"/>
      <c r="AM30" s="175">
        <f t="shared" si="14"/>
        <v>5231</v>
      </c>
      <c r="AN30" s="176">
        <f t="array" ref="AN30">INDEX('Federal Tax, Stock Buybacks, &amp; '!AP:AP,MATCH($B30,'Federal Tax, Stock Buybacks, &amp; '!$E:$E,0))</f>
        <v>1500</v>
      </c>
      <c r="AO30" s="176">
        <f t="array" ref="AO30">INDEX('Federal Tax, Stock Buybacks, &amp; '!AQ:AQ,MATCH($B30,'Federal Tax, Stock Buybacks, &amp; '!$E:$E,0))</f>
        <v>2248</v>
      </c>
      <c r="AP30" s="176">
        <f t="array" ref="AP30">INDEX('Federal Tax, Stock Buybacks, &amp; '!AR:AR,MATCH($B30,'Federal Tax, Stock Buybacks, &amp; '!$E:$E,0))</f>
        <v>0</v>
      </c>
      <c r="AQ30" s="176">
        <f t="array" ref="AQ30">INDEX('Federal Tax, Stock Buybacks, &amp; '!AS:AS,MATCH($B30,'Federal Tax, Stock Buybacks, &amp; '!$E:$E,0))</f>
        <v>3</v>
      </c>
      <c r="AR30" s="176">
        <f t="array" ref="AR30">INDEX('Federal Tax, Stock Buybacks, &amp; '!AT:AT,MATCH($B30,'Federal Tax, Stock Buybacks, &amp; '!$E:$E,0))</f>
        <v>1480</v>
      </c>
      <c r="AS30" s="172"/>
      <c r="AT30" s="175">
        <f t="shared" si="15"/>
        <v>4018</v>
      </c>
      <c r="AU30" s="176">
        <f t="array" ref="AU30">INDEX('Federal Tax, Stock Buybacks, &amp; '!AW:AW,MATCH($B30,'Federal Tax, Stock Buybacks, &amp; '!$E:$E,0))</f>
        <v>1177</v>
      </c>
      <c r="AV30" s="176">
        <f t="array" ref="AV30">INDEX('Federal Tax, Stock Buybacks, &amp; '!AX:AX,MATCH($B30,'Federal Tax, Stock Buybacks, &amp; '!$E:$E,0))</f>
        <v>793</v>
      </c>
      <c r="AW30" s="176">
        <f t="array" ref="AW30">INDEX('Federal Tax, Stock Buybacks, &amp; '!AY:AY,MATCH($B30,'Federal Tax, Stock Buybacks, &amp; '!$E:$E,0))</f>
        <v>686</v>
      </c>
      <c r="AX30" s="176">
        <f t="array" ref="AX30">INDEX('Federal Tax, Stock Buybacks, &amp; '!AZ:AZ,MATCH($B30,'Federal Tax, Stock Buybacks, &amp; '!$E:$E,0))</f>
        <v>679</v>
      </c>
      <c r="AY30" s="176">
        <f t="array" ref="AY30">INDEX('Federal Tax, Stock Buybacks, &amp; '!BA:BA,MATCH($B30,'Federal Tax, Stock Buybacks, &amp; '!$E:$E,0))</f>
        <v>683</v>
      </c>
      <c r="AZ30" s="172"/>
      <c r="BA30" s="166">
        <f t="shared" si="16"/>
        <v>46620.2</v>
      </c>
      <c r="BB30" s="179">
        <f t="shared" si="17"/>
        <v>233101</v>
      </c>
      <c r="BC30" s="179">
        <v>45976.0</v>
      </c>
      <c r="BD30" s="179">
        <v>39177.0</v>
      </c>
      <c r="BE30" s="179">
        <v>46171.0</v>
      </c>
      <c r="BF30" s="179">
        <v>49059.0</v>
      </c>
      <c r="BG30" s="179">
        <v>52718.0</v>
      </c>
      <c r="BH30" s="212"/>
      <c r="BI30" s="154"/>
      <c r="BJ30" s="186" t="s">
        <v>695</v>
      </c>
      <c r="BK30" s="87"/>
      <c r="BL30" s="212"/>
    </row>
    <row r="31" ht="15.0" customHeight="1">
      <c r="A31" s="169">
        <f t="array" ref="A31">INDEX('Federal Tax, Stock Buybacks, &amp; '!D:D,match(B31,'Federal Tax, Stock Buybacks, &amp; '!E:E,0))</f>
        <v>75</v>
      </c>
      <c r="B31" s="182" t="s">
        <v>73</v>
      </c>
      <c r="C31" s="171" t="s">
        <v>703</v>
      </c>
      <c r="D31" s="160">
        <f>SUMIF('Executive Pay Breakdown'!B:B,$B31,'Executive Pay Breakdown'!M:M)+SUMIF('Executive Pay Breakdown'!B:B,$B31,'Executive Pay Breakdown'!Q:Q)+SUMIF('Executive Pay Breakdown'!B:B,$B31,'Executive Pay Breakdown'!U:U)+SUMIF('Executive Pay Breakdown'!B:B,$B31,'Executive Pay Breakdown'!Y:Y)+SUMIF('Executive Pay Breakdown'!B:B,$B31,'Executive Pay Breakdown'!AC:AC)</f>
        <v>186638950</v>
      </c>
      <c r="E31" s="161">
        <f>SUMIF('Executive Pay Breakdown'!B:B,$B31,'Executive Pay Breakdown'!M:M)</f>
        <v>50045671</v>
      </c>
      <c r="F31" s="161">
        <f>SUMIF('Executive Pay Breakdown'!B:B,$B31,'Executive Pay Breakdown'!Q:Q)</f>
        <v>42763796</v>
      </c>
      <c r="G31" s="161">
        <f>SUMIF('Executive Pay Breakdown'!B:B,$B31,'Executive Pay Breakdown'!U:U)</f>
        <v>35987001</v>
      </c>
      <c r="H31" s="161">
        <f>SUMIF('Executive Pay Breakdown'!B:B,$B31,'Executive Pay Breakdown'!Y:Y)</f>
        <v>28412183</v>
      </c>
      <c r="I31" s="161">
        <f>SUMIF('Executive Pay Breakdown'!B:B,$B31,'Executive Pay Breakdown'!AC:AC)</f>
        <v>29430299</v>
      </c>
      <c r="J31" s="172"/>
      <c r="K31" s="173" t="s">
        <v>704</v>
      </c>
      <c r="L31" s="174"/>
      <c r="M31" s="174" t="b">
        <f t="shared" ref="M31:O31" si="68">(F31/1000000)&gt;(AA31)</f>
        <v>1</v>
      </c>
      <c r="N31" s="174" t="b">
        <f t="shared" si="68"/>
        <v>1</v>
      </c>
      <c r="O31" s="174" t="b">
        <f t="shared" si="68"/>
        <v>1</v>
      </c>
      <c r="P31" s="174"/>
      <c r="Q31" s="172"/>
      <c r="R31" s="175">
        <f t="shared" si="11"/>
        <v>2602</v>
      </c>
      <c r="S31" s="176">
        <f t="array" ref="S31">INDEX('Federal Tax, Stock Buybacks, &amp; '!U:U,MATCH($B31,'Federal Tax, Stock Buybacks, &amp; '!$E:$E,0))</f>
        <v>2301</v>
      </c>
      <c r="T31" s="176">
        <f t="array" ref="T31">INDEX('Federal Tax, Stock Buybacks, &amp; '!V:V,MATCH($B31,'Federal Tax, Stock Buybacks, &amp; '!$E:$E,0))</f>
        <v>1475</v>
      </c>
      <c r="U31" s="176">
        <f t="array" ref="U31">INDEX('Federal Tax, Stock Buybacks, &amp; '!W:W,MATCH($B31,'Federal Tax, Stock Buybacks, &amp; '!$E:$E,0))</f>
        <v>-685</v>
      </c>
      <c r="V31" s="176">
        <f t="array" ref="V31">INDEX('Federal Tax, Stock Buybacks, &amp; '!X:X,MATCH($B31,'Federal Tax, Stock Buybacks, &amp; '!$E:$E,0))</f>
        <v>-1221</v>
      </c>
      <c r="W31" s="176">
        <f t="array" ref="W31">INDEX('Federal Tax, Stock Buybacks, &amp; '!Y:Y,MATCH($B31,'Federal Tax, Stock Buybacks, &amp; '!$E:$E,0))</f>
        <v>732</v>
      </c>
      <c r="X31" s="172"/>
      <c r="Y31" s="177">
        <f t="shared" si="12"/>
        <v>249</v>
      </c>
      <c r="Z31" s="178">
        <f t="array" ref="Z31">INDEX('Federal Tax, Stock Buybacks, &amp; '!AB:AB,MATCH($B31,'Federal Tax, Stock Buybacks, &amp; '!$E:$E,0))</f>
        <v>434</v>
      </c>
      <c r="AA31" s="178">
        <f t="array" ref="AA31">INDEX('Federal Tax, Stock Buybacks, &amp; '!AC:AC,MATCH($B31,'Federal Tax, Stock Buybacks, &amp; '!$E:$E,0))</f>
        <v>-46</v>
      </c>
      <c r="AB31" s="178">
        <f t="array" ref="AB31">INDEX('Federal Tax, Stock Buybacks, &amp; '!AD:AD,MATCH($B31,'Federal Tax, Stock Buybacks, &amp; '!$E:$E,0))</f>
        <v>-176</v>
      </c>
      <c r="AC31" s="178">
        <f t="array" ref="AC31">INDEX('Federal Tax, Stock Buybacks, &amp; '!AE:AE,MATCH($B31,'Federal Tax, Stock Buybacks, &amp; '!$E:$E,0))</f>
        <v>-287</v>
      </c>
      <c r="AD31" s="178">
        <f t="array" ref="AD31">INDEX('Federal Tax, Stock Buybacks, &amp; '!AF:AF,MATCH($B31,'Federal Tax, Stock Buybacks, &amp; '!$E:$E,0))</f>
        <v>324</v>
      </c>
      <c r="AE31" s="172"/>
      <c r="AF31" s="164">
        <f t="shared" ref="AF31:AK31" si="69">Y31/R31</f>
        <v>0.09569561875</v>
      </c>
      <c r="AG31" s="165">
        <f t="shared" si="69"/>
        <v>0.1886136462</v>
      </c>
      <c r="AH31" s="165">
        <f t="shared" si="69"/>
        <v>-0.03118644068</v>
      </c>
      <c r="AI31" s="165">
        <f t="shared" si="69"/>
        <v>0.2569343066</v>
      </c>
      <c r="AJ31" s="165">
        <f t="shared" si="69"/>
        <v>0.2350532351</v>
      </c>
      <c r="AK31" s="165">
        <f t="shared" si="69"/>
        <v>0.4426229508</v>
      </c>
      <c r="AL31" s="172"/>
      <c r="AM31" s="175">
        <f t="shared" si="14"/>
        <v>3950</v>
      </c>
      <c r="AN31" s="176">
        <f t="array" ref="AN31">INDEX('Federal Tax, Stock Buybacks, &amp; '!AP:AP,MATCH($B31,'Federal Tax, Stock Buybacks, &amp; '!$E:$E,0))</f>
        <v>2325</v>
      </c>
      <c r="AO31" s="176">
        <f t="array" ref="AO31">INDEX('Federal Tax, Stock Buybacks, &amp; '!AQ:AQ,MATCH($B31,'Federal Tax, Stock Buybacks, &amp; '!$E:$E,0))</f>
        <v>1000</v>
      </c>
      <c r="AP31" s="176">
        <f t="array" ref="AP31">INDEX('Federal Tax, Stock Buybacks, &amp; '!AR:AR,MATCH($B31,'Federal Tax, Stock Buybacks, &amp; '!$E:$E,0))</f>
        <v>125</v>
      </c>
      <c r="AQ31" s="176">
        <f t="array" ref="AQ31">INDEX('Federal Tax, Stock Buybacks, &amp; '!AS:AS,MATCH($B31,'Federal Tax, Stock Buybacks, &amp; '!$E:$E,0))</f>
        <v>500</v>
      </c>
      <c r="AR31" s="176">
        <f t="array" ref="AR31">INDEX('Federal Tax, Stock Buybacks, &amp; '!AT:AT,MATCH($B31,'Federal Tax, Stock Buybacks, &amp; '!$E:$E,0))</f>
        <v>0</v>
      </c>
      <c r="AS31" s="172"/>
      <c r="AT31" s="175">
        <f t="shared" si="15"/>
        <v>7700</v>
      </c>
      <c r="AU31" s="176">
        <f t="array" ref="AU31">INDEX('Federal Tax, Stock Buybacks, &amp; '!AW:AW,MATCH($B31,'Federal Tax, Stock Buybacks, &amp; '!$E:$E,0))</f>
        <v>2006</v>
      </c>
      <c r="AV31" s="176">
        <f t="array" ref="AV31">INDEX('Federal Tax, Stock Buybacks, &amp; '!AX:AX,MATCH($B31,'Federal Tax, Stock Buybacks, &amp; '!$E:$E,0))</f>
        <v>2073</v>
      </c>
      <c r="AW31" s="176">
        <f t="array" ref="AW31">INDEX('Federal Tax, Stock Buybacks, &amp; '!AY:AY,MATCH($B31,'Federal Tax, Stock Buybacks, &amp; '!$E:$E,0))</f>
        <v>2071</v>
      </c>
      <c r="AX31" s="176">
        <f t="array" ref="AX31">INDEX('Federal Tax, Stock Buybacks, &amp; '!AZ:AZ,MATCH($B31,'Federal Tax, Stock Buybacks, &amp; '!$E:$E,0))</f>
        <v>1550</v>
      </c>
      <c r="AY31" s="176">
        <f t="array" ref="AY31">INDEX('Federal Tax, Stock Buybacks, &amp; '!BA:BA,MATCH($B31,'Federal Tax, Stock Buybacks, &amp; '!$E:$E,0))</f>
        <v>0</v>
      </c>
      <c r="AZ31" s="172"/>
      <c r="BA31" s="206">
        <f t="shared" si="16"/>
        <v>112890.5</v>
      </c>
      <c r="BB31" s="179">
        <f t="shared" si="17"/>
        <v>451562</v>
      </c>
      <c r="BC31" s="180">
        <v>88456.0</v>
      </c>
      <c r="BD31" s="180">
        <v>95607.0</v>
      </c>
      <c r="BE31" s="180">
        <v>157943.0</v>
      </c>
      <c r="BF31" s="180">
        <v>109556.0</v>
      </c>
      <c r="BG31" s="213" t="s">
        <v>711</v>
      </c>
      <c r="BH31" s="87"/>
      <c r="BI31" s="154"/>
      <c r="BJ31" s="184" t="s">
        <v>695</v>
      </c>
      <c r="BK31" s="87"/>
      <c r="BL31" s="87"/>
    </row>
    <row r="32" ht="15.0" customHeight="1">
      <c r="A32" s="169">
        <f t="array" ref="A32">INDEX('Federal Tax, Stock Buybacks, &amp; '!D:D,match(B32,'Federal Tax, Stock Buybacks, &amp; '!E:E,0))</f>
        <v>141</v>
      </c>
      <c r="B32" s="190" t="s">
        <v>15</v>
      </c>
      <c r="C32" s="185" t="s">
        <v>715</v>
      </c>
      <c r="D32" s="160">
        <f>SUMIF('Executive Pay Breakdown'!B:B,$B32,'Executive Pay Breakdown'!M:M)+SUMIF('Executive Pay Breakdown'!B:B,$B32,'Executive Pay Breakdown'!Q:Q)+SUMIF('Executive Pay Breakdown'!B:B,$B32,'Executive Pay Breakdown'!U:U)+SUMIF('Executive Pay Breakdown'!B:B,$B32,'Executive Pay Breakdown'!Y:Y)+SUMIF('Executive Pay Breakdown'!B:B,$B32,'Executive Pay Breakdown'!AC:AC)</f>
        <v>180556097</v>
      </c>
      <c r="E32" s="161">
        <f>SUMIF('Executive Pay Breakdown'!B:B,$B32,'Executive Pay Breakdown'!M:M)</f>
        <v>42837352</v>
      </c>
      <c r="F32" s="161">
        <f>SUMIF('Executive Pay Breakdown'!B:B,$B32,'Executive Pay Breakdown'!Q:Q)</f>
        <v>33842618</v>
      </c>
      <c r="G32" s="161">
        <f>SUMIF('Executive Pay Breakdown'!B:B,$B32,'Executive Pay Breakdown'!U:U)</f>
        <v>34408597</v>
      </c>
      <c r="H32" s="161">
        <f>SUMIF('Executive Pay Breakdown'!B:B,$B32,'Executive Pay Breakdown'!Y:Y)</f>
        <v>42714946</v>
      </c>
      <c r="I32" s="161">
        <f>SUMIF('Executive Pay Breakdown'!B:B,$B32,'Executive Pay Breakdown'!AC:AC)</f>
        <v>26752584</v>
      </c>
      <c r="J32" s="172"/>
      <c r="K32" s="173" t="s">
        <v>694</v>
      </c>
      <c r="L32" s="174" t="b">
        <f t="shared" ref="L32:P32" si="70">(E32/1000000)&gt;(Z32)</f>
        <v>1</v>
      </c>
      <c r="M32" s="174" t="b">
        <f t="shared" si="70"/>
        <v>1</v>
      </c>
      <c r="N32" s="174" t="b">
        <f t="shared" si="70"/>
        <v>1</v>
      </c>
      <c r="O32" s="174" t="b">
        <f t="shared" si="70"/>
        <v>1</v>
      </c>
      <c r="P32" s="174" t="b">
        <f t="shared" si="70"/>
        <v>1</v>
      </c>
      <c r="Q32" s="172"/>
      <c r="R32" s="175">
        <f t="shared" si="11"/>
        <v>15624</v>
      </c>
      <c r="S32" s="176">
        <f t="array" ref="S32">INDEX('Federal Tax, Stock Buybacks, &amp; '!U:U,MATCH($B32,'Federal Tax, Stock Buybacks, &amp; '!$E:$E,0))</f>
        <v>3999</v>
      </c>
      <c r="T32" s="176">
        <f t="array" ref="T32">INDEX('Federal Tax, Stock Buybacks, &amp; '!V:V,MATCH($B32,'Federal Tax, Stock Buybacks, &amp; '!$E:$E,0))</f>
        <v>3718</v>
      </c>
      <c r="U32" s="176">
        <f t="array" ref="U32">INDEX('Federal Tax, Stock Buybacks, &amp; '!W:W,MATCH($B32,'Federal Tax, Stock Buybacks, &amp; '!$E:$E,0))</f>
        <v>835</v>
      </c>
      <c r="V32" s="176">
        <f t="array" ref="V32">INDEX('Federal Tax, Stock Buybacks, &amp; '!X:X,MATCH($B32,'Federal Tax, Stock Buybacks, &amp; '!$E:$E,0))</f>
        <v>4043</v>
      </c>
      <c r="W32" s="176">
        <f t="array" ref="W32">INDEX('Federal Tax, Stock Buybacks, &amp; '!Y:Y,MATCH($B32,'Federal Tax, Stock Buybacks, &amp; '!$E:$E,0))</f>
        <v>3029</v>
      </c>
      <c r="X32" s="172"/>
      <c r="Y32" s="177">
        <f t="shared" si="12"/>
        <v>-1228</v>
      </c>
      <c r="Z32" s="178">
        <f t="array" ref="Z32">INDEX('Federal Tax, Stock Buybacks, &amp; '!AB:AB,MATCH($B32,'Federal Tax, Stock Buybacks, &amp; '!$E:$E,0))</f>
        <v>1</v>
      </c>
      <c r="AA32" s="178">
        <f t="array" ref="AA32">INDEX('Federal Tax, Stock Buybacks, &amp; '!AC:AC,MATCH($B32,'Federal Tax, Stock Buybacks, &amp; '!$E:$E,0))</f>
        <v>-2</v>
      </c>
      <c r="AB32" s="178">
        <f t="array" ref="AB32">INDEX('Federal Tax, Stock Buybacks, &amp; '!AD:AD,MATCH($B32,'Federal Tax, Stock Buybacks, &amp; '!$E:$E,0))</f>
        <v>-281</v>
      </c>
      <c r="AC32" s="178">
        <f t="array" ref="AC32">INDEX('Federal Tax, Stock Buybacks, &amp; '!AE:AE,MATCH($B32,'Federal Tax, Stock Buybacks, &amp; '!$E:$E,0))</f>
        <v>-299</v>
      </c>
      <c r="AD32" s="178">
        <f t="array" ref="AD32">INDEX('Federal Tax, Stock Buybacks, &amp; '!AF:AF,MATCH($B32,'Federal Tax, Stock Buybacks, &amp; '!$E:$E,0))</f>
        <v>-647</v>
      </c>
      <c r="AE32" s="172"/>
      <c r="AF32" s="164">
        <f t="shared" ref="AF32:AK32" si="71">Y32/R32</f>
        <v>-0.07859703021</v>
      </c>
      <c r="AG32" s="165">
        <f t="shared" si="71"/>
        <v>0.0002500625156</v>
      </c>
      <c r="AH32" s="165">
        <f t="shared" si="71"/>
        <v>-0.0005379236148</v>
      </c>
      <c r="AI32" s="165">
        <f t="shared" si="71"/>
        <v>-0.3365269461</v>
      </c>
      <c r="AJ32" s="165">
        <f t="shared" si="71"/>
        <v>-0.07395498392</v>
      </c>
      <c r="AK32" s="165">
        <f t="shared" si="71"/>
        <v>-0.2136018488</v>
      </c>
      <c r="AL32" s="172"/>
      <c r="AM32" s="175">
        <f t="shared" si="14"/>
        <v>0</v>
      </c>
      <c r="AN32" s="176">
        <f t="array" ref="AN32">INDEX('Federal Tax, Stock Buybacks, &amp; '!AP:AP,MATCH($B32,'Federal Tax, Stock Buybacks, &amp; '!$E:$E,0))</f>
        <v>0</v>
      </c>
      <c r="AO32" s="176">
        <f t="array" ref="AO32">INDEX('Federal Tax, Stock Buybacks, &amp; '!AQ:AQ,MATCH($B32,'Federal Tax, Stock Buybacks, &amp; '!$E:$E,0))</f>
        <v>0</v>
      </c>
      <c r="AP32" s="176">
        <f t="array" ref="AP32">INDEX('Federal Tax, Stock Buybacks, &amp; '!AR:AR,MATCH($B32,'Federal Tax, Stock Buybacks, &amp; '!$E:$E,0))</f>
        <v>0</v>
      </c>
      <c r="AQ32" s="176">
        <f t="array" ref="AQ32">INDEX('Federal Tax, Stock Buybacks, &amp; '!AS:AS,MATCH($B32,'Federal Tax, Stock Buybacks, &amp; '!$E:$E,0))</f>
        <v>0</v>
      </c>
      <c r="AR32" s="176">
        <f t="array" ref="AR32">INDEX('Federal Tax, Stock Buybacks, &amp; '!AT:AT,MATCH($B32,'Federal Tax, Stock Buybacks, &amp; '!$E:$E,0))</f>
        <v>0</v>
      </c>
      <c r="AS32" s="172"/>
      <c r="AT32" s="175">
        <f t="shared" si="15"/>
        <v>14244</v>
      </c>
      <c r="AU32" s="176">
        <f t="array" ref="AU32">INDEX('Federal Tax, Stock Buybacks, &amp; '!AW:AW,MATCH($B32,'Federal Tax, Stock Buybacks, &amp; '!$E:$E,0))</f>
        <v>3179</v>
      </c>
      <c r="AV32" s="176">
        <f t="array" ref="AV32">INDEX('Federal Tax, Stock Buybacks, &amp; '!AX:AX,MATCH($B32,'Federal Tax, Stock Buybacks, &amp; '!$E:$E,0))</f>
        <v>3114</v>
      </c>
      <c r="AW32" s="176">
        <f t="array" ref="AW32">INDEX('Federal Tax, Stock Buybacks, &amp; '!AY:AY,MATCH($B32,'Federal Tax, Stock Buybacks, &amp; '!$E:$E,0))</f>
        <v>2812</v>
      </c>
      <c r="AX32" s="176">
        <f t="array" ref="AX32">INDEX('Federal Tax, Stock Buybacks, &amp; '!AZ:AZ,MATCH($B32,'Federal Tax, Stock Buybacks, &amp; '!$E:$E,0))</f>
        <v>2668</v>
      </c>
      <c r="AY32" s="176">
        <f t="array" ref="AY32">INDEX('Federal Tax, Stock Buybacks, &amp; '!BA:BA,MATCH($B32,'Federal Tax, Stock Buybacks, &amp; '!$E:$E,0))</f>
        <v>2471</v>
      </c>
      <c r="AZ32" s="172"/>
      <c r="BA32" s="166">
        <f t="shared" si="16"/>
        <v>121517.4</v>
      </c>
      <c r="BB32" s="179">
        <f t="shared" si="17"/>
        <v>607587</v>
      </c>
      <c r="BC32" s="188">
        <v>125140.0</v>
      </c>
      <c r="BD32" s="188">
        <v>115895.0</v>
      </c>
      <c r="BE32" s="188">
        <v>125812.0</v>
      </c>
      <c r="BF32" s="188">
        <v>123608.0</v>
      </c>
      <c r="BG32" s="188">
        <v>117132.0</v>
      </c>
      <c r="BH32" s="87"/>
      <c r="BI32" s="154"/>
      <c r="BJ32" s="189" t="s">
        <v>695</v>
      </c>
      <c r="BK32" s="87"/>
      <c r="BL32" s="87"/>
    </row>
    <row r="33" ht="15.0" customHeight="1">
      <c r="A33" s="169">
        <f t="array" ref="A33">INDEX('Federal Tax, Stock Buybacks, &amp; '!D:D,match(B33,'Federal Tax, Stock Buybacks, &amp; '!E:E,0))</f>
        <v>186</v>
      </c>
      <c r="B33" s="214" t="s">
        <v>33</v>
      </c>
      <c r="C33" s="171" t="s">
        <v>716</v>
      </c>
      <c r="D33" s="160">
        <f>SUMIF('Executive Pay Breakdown'!B:B,$B33,'Executive Pay Breakdown'!M:M)+SUMIF('Executive Pay Breakdown'!B:B,$B33,'Executive Pay Breakdown'!Q:Q)+SUMIF('Executive Pay Breakdown'!B:B,$B33,'Executive Pay Breakdown'!U:U)+SUMIF('Executive Pay Breakdown'!B:B,$B33,'Executive Pay Breakdown'!Y:Y)+SUMIF('Executive Pay Breakdown'!B:B,$B33,'Executive Pay Breakdown'!AC:AC)</f>
        <v>172075619</v>
      </c>
      <c r="E33" s="161">
        <f>SUMIF('Executive Pay Breakdown'!B:B,$B33,'Executive Pay Breakdown'!M:M)</f>
        <v>45961434</v>
      </c>
      <c r="F33" s="161">
        <f>SUMIF('Executive Pay Breakdown'!B:B,$B33,'Executive Pay Breakdown'!Q:Q)</f>
        <v>48717035</v>
      </c>
      <c r="G33" s="161">
        <f>SUMIF('Executive Pay Breakdown'!B:B,$B33,'Executive Pay Breakdown'!U:U)</f>
        <v>19262880</v>
      </c>
      <c r="H33" s="161">
        <f>SUMIF('Executive Pay Breakdown'!B:B,$B33,'Executive Pay Breakdown'!Y:Y)</f>
        <v>33380238</v>
      </c>
      <c r="I33" s="161">
        <f>SUMIF('Executive Pay Breakdown'!B:B,$B33,'Executive Pay Breakdown'!AC:AC)</f>
        <v>24754032</v>
      </c>
      <c r="J33" s="172"/>
      <c r="K33" s="173" t="s">
        <v>694</v>
      </c>
      <c r="L33" s="174"/>
      <c r="M33" s="174" t="b">
        <f t="shared" ref="M33:P33" si="72">(F33/1000000)&gt;(AA33)</f>
        <v>1</v>
      </c>
      <c r="N33" s="174" t="b">
        <f t="shared" si="72"/>
        <v>1</v>
      </c>
      <c r="O33" s="174" t="b">
        <f t="shared" si="72"/>
        <v>1</v>
      </c>
      <c r="P33" s="174" t="b">
        <f t="shared" si="72"/>
        <v>1</v>
      </c>
      <c r="Q33" s="172"/>
      <c r="R33" s="175">
        <f t="shared" si="11"/>
        <v>4894</v>
      </c>
      <c r="S33" s="176">
        <f t="array" ref="S33">INDEX('Federal Tax, Stock Buybacks, &amp; '!U:U,MATCH($B33,'Federal Tax, Stock Buybacks, &amp; '!$E:$E,0))</f>
        <v>2793</v>
      </c>
      <c r="T33" s="176">
        <f t="array" ref="T33">INDEX('Federal Tax, Stock Buybacks, &amp; '!V:V,MATCH($B33,'Federal Tax, Stock Buybacks, &amp; '!$E:$E,0))</f>
        <v>3350</v>
      </c>
      <c r="U33" s="176">
        <f t="array" ref="U33">INDEX('Federal Tax, Stock Buybacks, &amp; '!W:W,MATCH($B33,'Federal Tax, Stock Buybacks, &amp; '!$E:$E,0))</f>
        <v>-1300</v>
      </c>
      <c r="V33" s="176">
        <f t="array" ref="V33">INDEX('Federal Tax, Stock Buybacks, &amp; '!X:X,MATCH($B33,'Federal Tax, Stock Buybacks, &amp; '!$E:$E,0))</f>
        <v>-381</v>
      </c>
      <c r="W33" s="176">
        <f t="array" ref="W33">INDEX('Federal Tax, Stock Buybacks, &amp; '!Y:Y,MATCH($B33,'Federal Tax, Stock Buybacks, &amp; '!$E:$E,0))</f>
        <v>432</v>
      </c>
      <c r="X33" s="172"/>
      <c r="Y33" s="177">
        <f t="shared" si="12"/>
        <v>26</v>
      </c>
      <c r="Z33" s="178">
        <f t="array" ref="Z33">INDEX('Federal Tax, Stock Buybacks, &amp; '!AB:AB,MATCH($B33,'Federal Tax, Stock Buybacks, &amp; '!$E:$E,0))</f>
        <v>101</v>
      </c>
      <c r="AA33" s="178">
        <f t="array" ref="AA33">INDEX('Federal Tax, Stock Buybacks, &amp; '!AC:AC,MATCH($B33,'Federal Tax, Stock Buybacks, &amp; '!$E:$E,0))</f>
        <v>-7</v>
      </c>
      <c r="AB33" s="178">
        <f t="array" ref="AB33">INDEX('Federal Tax, Stock Buybacks, &amp; '!AD:AD,MATCH($B33,'Federal Tax, Stock Buybacks, &amp; '!$E:$E,0))</f>
        <v>-10</v>
      </c>
      <c r="AC33" s="178">
        <f t="array" ref="AC33">INDEX('Federal Tax, Stock Buybacks, &amp; '!AE:AE,MATCH($B33,'Federal Tax, Stock Buybacks, &amp; '!$E:$E,0))</f>
        <v>-18</v>
      </c>
      <c r="AD33" s="178">
        <f t="array" ref="AD33">INDEX('Federal Tax, Stock Buybacks, &amp; '!AF:AF,MATCH($B33,'Federal Tax, Stock Buybacks, &amp; '!$E:$E,0))</f>
        <v>-40</v>
      </c>
      <c r="AE33" s="172"/>
      <c r="AF33" s="164">
        <f t="shared" ref="AF33:AK33" si="73">Y33/R33</f>
        <v>0.005312627707</v>
      </c>
      <c r="AG33" s="165">
        <f t="shared" si="73"/>
        <v>0.03616183315</v>
      </c>
      <c r="AH33" s="165">
        <f t="shared" si="73"/>
        <v>-0.002089552239</v>
      </c>
      <c r="AI33" s="165">
        <f t="shared" si="73"/>
        <v>0.007692307692</v>
      </c>
      <c r="AJ33" s="165">
        <f t="shared" si="73"/>
        <v>0.04724409449</v>
      </c>
      <c r="AK33" s="165">
        <f t="shared" si="73"/>
        <v>-0.09259259259</v>
      </c>
      <c r="AL33" s="172"/>
      <c r="AM33" s="175">
        <f t="shared" si="14"/>
        <v>1162</v>
      </c>
      <c r="AN33" s="176">
        <f t="array" ref="AN33">INDEX('Federal Tax, Stock Buybacks, &amp; '!AP:AP,MATCH($B33,'Federal Tax, Stock Buybacks, &amp; '!$E:$E,0))</f>
        <v>849</v>
      </c>
      <c r="AO33" s="176">
        <f t="array" ref="AO33">INDEX('Federal Tax, Stock Buybacks, &amp; '!AQ:AQ,MATCH($B33,'Federal Tax, Stock Buybacks, &amp; '!$E:$E,0))</f>
        <v>150</v>
      </c>
      <c r="AP33" s="176">
        <f t="array" ref="AP33">INDEX('Federal Tax, Stock Buybacks, &amp; '!AR:AR,MATCH($B33,'Federal Tax, Stock Buybacks, &amp; '!$E:$E,0))</f>
        <v>0</v>
      </c>
      <c r="AQ33" s="176">
        <f t="array" ref="AQ33">INDEX('Federal Tax, Stock Buybacks, &amp; '!AS:AS,MATCH($B33,'Federal Tax, Stock Buybacks, &amp; '!$E:$E,0))</f>
        <v>88</v>
      </c>
      <c r="AR33" s="176">
        <f t="array" ref="AR33">INDEX('Federal Tax, Stock Buybacks, &amp; '!AT:AT,MATCH($B33,'Federal Tax, Stock Buybacks, &amp; '!$E:$E,0))</f>
        <v>75</v>
      </c>
      <c r="AS33" s="172"/>
      <c r="AT33" s="175">
        <f t="shared" si="15"/>
        <v>79</v>
      </c>
      <c r="AU33" s="176">
        <f t="array" ref="AU33">INDEX('Federal Tax, Stock Buybacks, &amp; '!AW:AW,MATCH($B33,'Federal Tax, Stock Buybacks, &amp; '!$E:$E,0))</f>
        <v>0</v>
      </c>
      <c r="AV33" s="176">
        <f t="array" ref="AV33">INDEX('Federal Tax, Stock Buybacks, &amp; '!AX:AX,MATCH($B33,'Federal Tax, Stock Buybacks, &amp; '!$E:$E,0))</f>
        <v>0</v>
      </c>
      <c r="AW33" s="176">
        <f t="array" ref="AW33">INDEX('Federal Tax, Stock Buybacks, &amp; '!AY:AY,MATCH($B33,'Federal Tax, Stock Buybacks, &amp; '!$E:$E,0))</f>
        <v>8</v>
      </c>
      <c r="AX33" s="176">
        <f t="array" ref="AX33">INDEX('Federal Tax, Stock Buybacks, &amp; '!AZ:AZ,MATCH($B33,'Federal Tax, Stock Buybacks, &amp; '!$E:$E,0))</f>
        <v>35</v>
      </c>
      <c r="AY33" s="176">
        <f t="array" ref="AY33">INDEX('Federal Tax, Stock Buybacks, &amp; '!BA:BA,MATCH($B33,'Federal Tax, Stock Buybacks, &amp; '!$E:$E,0))</f>
        <v>36</v>
      </c>
      <c r="AZ33" s="172"/>
      <c r="BA33" s="166">
        <f t="shared" si="16"/>
        <v>94429.8</v>
      </c>
      <c r="BB33" s="179">
        <f t="shared" si="17"/>
        <v>472149</v>
      </c>
      <c r="BC33" s="188">
        <v>143684.0</v>
      </c>
      <c r="BD33" s="188">
        <v>109369.0</v>
      </c>
      <c r="BE33" s="188">
        <v>73054.0</v>
      </c>
      <c r="BF33" s="188">
        <v>72170.0</v>
      </c>
      <c r="BG33" s="188">
        <v>73872.0</v>
      </c>
      <c r="BH33" s="87"/>
      <c r="BI33" s="154"/>
      <c r="BJ33" s="189" t="s">
        <v>695</v>
      </c>
      <c r="BK33" s="87"/>
      <c r="BL33" s="87"/>
    </row>
    <row r="34" ht="15.0" customHeight="1">
      <c r="A34" s="169">
        <f t="array" ref="A34">INDEX('Federal Tax, Stock Buybacks, &amp; '!D:D,match(B34,'Federal Tax, Stock Buybacks, &amp; '!E:E,0))</f>
        <v>302</v>
      </c>
      <c r="B34" s="170" t="s">
        <v>34</v>
      </c>
      <c r="C34" s="185"/>
      <c r="D34" s="160">
        <f>SUMIF('Executive Pay Breakdown'!B:B,$B34,'Executive Pay Breakdown'!M:M)+SUMIF('Executive Pay Breakdown'!B:B,$B34,'Executive Pay Breakdown'!Q:Q)+SUMIF('Executive Pay Breakdown'!B:B,$B34,'Executive Pay Breakdown'!U:U)+SUMIF('Executive Pay Breakdown'!B:B,$B34,'Executive Pay Breakdown'!Y:Y)+SUMIF('Executive Pay Breakdown'!B:B,$B34,'Executive Pay Breakdown'!AC:AC)</f>
        <v>171474521</v>
      </c>
      <c r="E34" s="161">
        <f>SUMIF('Executive Pay Breakdown'!B:B,$B34,'Executive Pay Breakdown'!M:M)</f>
        <v>35076093</v>
      </c>
      <c r="F34" s="161">
        <f>SUMIF('Executive Pay Breakdown'!B:B,$B34,'Executive Pay Breakdown'!Q:Q)</f>
        <v>37372595</v>
      </c>
      <c r="G34" s="161">
        <f>SUMIF('Executive Pay Breakdown'!B:B,$B34,'Executive Pay Breakdown'!U:U)</f>
        <v>41766542</v>
      </c>
      <c r="H34" s="161">
        <f>SUMIF('Executive Pay Breakdown'!B:B,$B34,'Executive Pay Breakdown'!Y:Y)</f>
        <v>35462801</v>
      </c>
      <c r="I34" s="161">
        <f>SUMIF('Executive Pay Breakdown'!B:B,$B34,'Executive Pay Breakdown'!AC:AC)</f>
        <v>21796490</v>
      </c>
      <c r="J34" s="172"/>
      <c r="K34" s="173" t="s">
        <v>694</v>
      </c>
      <c r="L34" s="174" t="b">
        <f t="shared" ref="L34:O34" si="74">(E34/1000000)&gt;(Z34)</f>
        <v>1</v>
      </c>
      <c r="M34" s="174" t="b">
        <f t="shared" si="74"/>
        <v>1</v>
      </c>
      <c r="N34" s="174" t="b">
        <f t="shared" si="74"/>
        <v>1</v>
      </c>
      <c r="O34" s="174" t="b">
        <f t="shared" si="74"/>
        <v>1</v>
      </c>
      <c r="P34" s="174"/>
      <c r="Q34" s="172"/>
      <c r="R34" s="175">
        <f t="shared" si="11"/>
        <v>4507</v>
      </c>
      <c r="S34" s="176">
        <f t="array" ref="S34">INDEX('Federal Tax, Stock Buybacks, &amp; '!U:U,MATCH($B34,'Federal Tax, Stock Buybacks, &amp; '!$E:$E,0))</f>
        <v>1061</v>
      </c>
      <c r="T34" s="176">
        <f t="array" ref="T34">INDEX('Federal Tax, Stock Buybacks, &amp; '!V:V,MATCH($B34,'Federal Tax, Stock Buybacks, &amp; '!$E:$E,0))</f>
        <v>1319</v>
      </c>
      <c r="U34" s="176">
        <f t="array" ref="U34">INDEX('Federal Tax, Stock Buybacks, &amp; '!W:W,MATCH($B34,'Federal Tax, Stock Buybacks, &amp; '!$E:$E,0))</f>
        <v>1227</v>
      </c>
      <c r="V34" s="176">
        <f t="array" ref="V34">INDEX('Federal Tax, Stock Buybacks, &amp; '!X:X,MATCH($B34,'Federal Tax, Stock Buybacks, &amp; '!$E:$E,0))</f>
        <v>1082</v>
      </c>
      <c r="W34" s="176">
        <f t="array" ref="W34">INDEX('Federal Tax, Stock Buybacks, &amp; '!Y:Y,MATCH($B34,'Federal Tax, Stock Buybacks, &amp; '!$E:$E,0))</f>
        <v>-182</v>
      </c>
      <c r="X34" s="172"/>
      <c r="Y34" s="177">
        <f t="shared" si="12"/>
        <v>56</v>
      </c>
      <c r="Z34" s="178">
        <f t="array" ref="Z34">INDEX('Federal Tax, Stock Buybacks, &amp; '!AB:AB,MATCH($B34,'Federal Tax, Stock Buybacks, &amp; '!$E:$E,0))</f>
        <v>32</v>
      </c>
      <c r="AA34" s="178">
        <f t="array" ref="AA34">INDEX('Federal Tax, Stock Buybacks, &amp; '!AC:AC,MATCH($B34,'Federal Tax, Stock Buybacks, &amp; '!$E:$E,0))</f>
        <v>-5</v>
      </c>
      <c r="AB34" s="178">
        <f t="array" ref="AB34">INDEX('Federal Tax, Stock Buybacks, &amp; '!AD:AD,MATCH($B34,'Federal Tax, Stock Buybacks, &amp; '!$E:$E,0))</f>
        <v>6</v>
      </c>
      <c r="AC34" s="178">
        <f t="array" ref="AC34">INDEX('Federal Tax, Stock Buybacks, &amp; '!AE:AE,MATCH($B34,'Federal Tax, Stock Buybacks, &amp; '!$E:$E,0))</f>
        <v>-14</v>
      </c>
      <c r="AD34" s="178">
        <f t="array" ref="AD34">INDEX('Federal Tax, Stock Buybacks, &amp; '!AF:AF,MATCH($B34,'Federal Tax, Stock Buybacks, &amp; '!$E:$E,0))</f>
        <v>37</v>
      </c>
      <c r="AE34" s="172"/>
      <c r="AF34" s="164">
        <f t="shared" ref="AF34:AK34" si="75">Y34/R34</f>
        <v>0.01242511649</v>
      </c>
      <c r="AG34" s="165">
        <f t="shared" si="75"/>
        <v>0.0301602262</v>
      </c>
      <c r="AH34" s="165">
        <f t="shared" si="75"/>
        <v>-0.003790750569</v>
      </c>
      <c r="AI34" s="165">
        <f t="shared" si="75"/>
        <v>0.00488997555</v>
      </c>
      <c r="AJ34" s="165">
        <f t="shared" si="75"/>
        <v>-0.01293900185</v>
      </c>
      <c r="AK34" s="165">
        <f t="shared" si="75"/>
        <v>-0.2032967033</v>
      </c>
      <c r="AL34" s="172"/>
      <c r="AM34" s="175">
        <f t="shared" si="14"/>
        <v>104</v>
      </c>
      <c r="AN34" s="176">
        <f t="array" ref="AN34">INDEX('Federal Tax, Stock Buybacks, &amp; '!AP:AP,MATCH($B34,'Federal Tax, Stock Buybacks, &amp; '!$E:$E,0))</f>
        <v>0</v>
      </c>
      <c r="AO34" s="176">
        <f t="array" ref="AO34">INDEX('Federal Tax, Stock Buybacks, &amp; '!AQ:AQ,MATCH($B34,'Federal Tax, Stock Buybacks, &amp; '!$E:$E,0))</f>
        <v>0</v>
      </c>
      <c r="AP34" s="176">
        <f t="array" ref="AP34">INDEX('Federal Tax, Stock Buybacks, &amp; '!AR:AR,MATCH($B34,'Federal Tax, Stock Buybacks, &amp; '!$E:$E,0))</f>
        <v>0</v>
      </c>
      <c r="AQ34" s="176">
        <f t="array" ref="AQ34">INDEX('Federal Tax, Stock Buybacks, &amp; '!AS:AS,MATCH($B34,'Federal Tax, Stock Buybacks, &amp; '!$E:$E,0))</f>
        <v>50</v>
      </c>
      <c r="AR34" s="176">
        <f t="array" ref="AR34">INDEX('Federal Tax, Stock Buybacks, &amp; '!AT:AT,MATCH($B34,'Federal Tax, Stock Buybacks, &amp; '!$E:$E,0))</f>
        <v>54</v>
      </c>
      <c r="AS34" s="172"/>
      <c r="AT34" s="175">
        <f t="shared" si="15"/>
        <v>3810</v>
      </c>
      <c r="AU34" s="176">
        <f t="array" ref="AU34">INDEX('Federal Tax, Stock Buybacks, &amp; '!AW:AW,MATCH($B34,'Federal Tax, Stock Buybacks, &amp; '!$E:$E,0))</f>
        <v>860</v>
      </c>
      <c r="AV34" s="176">
        <f t="array" ref="AV34">INDEX('Federal Tax, Stock Buybacks, &amp; '!AX:AX,MATCH($B34,'Federal Tax, Stock Buybacks, &amp; '!$E:$E,0))</f>
        <v>793</v>
      </c>
      <c r="AW34" s="176">
        <f t="array" ref="AW34">INDEX('Federal Tax, Stock Buybacks, &amp; '!AY:AY,MATCH($B34,'Federal Tax, Stock Buybacks, &amp; '!$E:$E,0))</f>
        <v>767</v>
      </c>
      <c r="AX34" s="176">
        <f t="array" ref="AX34">INDEX('Federal Tax, Stock Buybacks, &amp; '!AZ:AZ,MATCH($B34,'Federal Tax, Stock Buybacks, &amp; '!$E:$E,0))</f>
        <v>728</v>
      </c>
      <c r="AY34" s="176">
        <f t="array" ref="AY34">INDEX('Federal Tax, Stock Buybacks, &amp; '!BA:BA,MATCH($B34,'Federal Tax, Stock Buybacks, &amp; '!$E:$E,0))</f>
        <v>662</v>
      </c>
      <c r="AZ34" s="172"/>
      <c r="BA34" s="166">
        <f t="shared" si="16"/>
        <v>135361.8</v>
      </c>
      <c r="BB34" s="179">
        <f t="shared" si="17"/>
        <v>676809</v>
      </c>
      <c r="BC34" s="188">
        <v>135749.0</v>
      </c>
      <c r="BD34" s="188">
        <v>135272.0</v>
      </c>
      <c r="BE34" s="188">
        <v>152733.0</v>
      </c>
      <c r="BF34" s="188">
        <v>129663.0</v>
      </c>
      <c r="BG34" s="188">
        <v>123392.0</v>
      </c>
      <c r="BH34" s="87"/>
      <c r="BI34" s="154"/>
      <c r="BJ34" s="215" t="s">
        <v>695</v>
      </c>
      <c r="BK34" s="87"/>
      <c r="BL34" s="87"/>
    </row>
    <row r="35" ht="15.0" customHeight="1">
      <c r="A35" s="169">
        <f t="array" ref="A35">INDEX('Federal Tax, Stock Buybacks, &amp; '!D:D,match(B35,'Federal Tax, Stock Buybacks, &amp; '!E:E,0))</f>
        <v>164</v>
      </c>
      <c r="B35" s="216" t="s">
        <v>57</v>
      </c>
      <c r="C35" s="171" t="s">
        <v>693</v>
      </c>
      <c r="D35" s="160">
        <f>SUMIF('Executive Pay Breakdown'!B:B,$B35,'Executive Pay Breakdown'!M:M)+SUMIF('Executive Pay Breakdown'!B:B,$B35,'Executive Pay Breakdown'!Q:Q)+SUMIF('Executive Pay Breakdown'!B:B,$B35,'Executive Pay Breakdown'!U:U)+SUMIF('Executive Pay Breakdown'!B:B,$B35,'Executive Pay Breakdown'!Y:Y)+SUMIF('Executive Pay Breakdown'!B:B,$B35,'Executive Pay Breakdown'!AC:AC)</f>
        <v>165472041</v>
      </c>
      <c r="E35" s="161">
        <f>SUMIF('Executive Pay Breakdown'!B:B,$B35,'Executive Pay Breakdown'!M:M)</f>
        <v>44436202</v>
      </c>
      <c r="F35" s="161">
        <f>SUMIF('Executive Pay Breakdown'!B:B,$B35,'Executive Pay Breakdown'!Q:Q)</f>
        <v>33041343</v>
      </c>
      <c r="G35" s="161">
        <f>SUMIF('Executive Pay Breakdown'!B:B,$B35,'Executive Pay Breakdown'!U:U)</f>
        <v>26405406</v>
      </c>
      <c r="H35" s="161">
        <f>SUMIF('Executive Pay Breakdown'!B:B,$B35,'Executive Pay Breakdown'!Y:Y)</f>
        <v>33210163</v>
      </c>
      <c r="I35" s="161">
        <f>SUMIF('Executive Pay Breakdown'!B:B,$B35,'Executive Pay Breakdown'!AC:AC)</f>
        <v>28378927</v>
      </c>
      <c r="J35" s="192"/>
      <c r="K35" s="173" t="s">
        <v>713</v>
      </c>
      <c r="L35" s="174"/>
      <c r="M35" s="174" t="b">
        <f t="shared" ref="M35:P35" si="76">(F35/1000000)&gt;(AA35)</f>
        <v>1</v>
      </c>
      <c r="N35" s="174" t="b">
        <f t="shared" si="76"/>
        <v>1</v>
      </c>
      <c r="O35" s="174" t="b">
        <f t="shared" si="76"/>
        <v>1</v>
      </c>
      <c r="P35" s="174" t="b">
        <f t="shared" si="76"/>
        <v>1</v>
      </c>
      <c r="Q35" s="192"/>
      <c r="R35" s="175">
        <f t="shared" si="11"/>
        <v>14583</v>
      </c>
      <c r="S35" s="176">
        <f t="array" ref="S35">INDEX('Federal Tax, Stock Buybacks, &amp; '!U:U,MATCH($B35,'Federal Tax, Stock Buybacks, &amp; '!$E:$E,0))</f>
        <v>9912</v>
      </c>
      <c r="T35" s="176">
        <f t="array" ref="T35">INDEX('Federal Tax, Stock Buybacks, &amp; '!V:V,MATCH($B35,'Federal Tax, Stock Buybacks, &amp; '!$E:$E,0))</f>
        <v>2702</v>
      </c>
      <c r="U35" s="176">
        <f t="array" ref="U35">INDEX('Federal Tax, Stock Buybacks, &amp; '!W:W,MATCH($B35,'Federal Tax, Stock Buybacks, &amp; '!$E:$E,0))</f>
        <v>-264</v>
      </c>
      <c r="V35" s="176">
        <f t="array" ref="V35">INDEX('Federal Tax, Stock Buybacks, &amp; '!X:X,MATCH($B35,'Federal Tax, Stock Buybacks, &amp; '!$E:$E,0))</f>
        <v>984</v>
      </c>
      <c r="W35" s="176">
        <f t="array" ref="W35">INDEX('Federal Tax, Stock Buybacks, &amp; '!Y:Y,MATCH($B35,'Federal Tax, Stock Buybacks, &amp; '!$E:$E,0))</f>
        <v>1249</v>
      </c>
      <c r="X35" s="172"/>
      <c r="Y35" s="177">
        <f t="shared" si="12"/>
        <v>241</v>
      </c>
      <c r="Z35" s="178">
        <f t="array" ref="Z35">INDEX('Federal Tax, Stock Buybacks, &amp; '!AB:AB,MATCH($B35,'Federal Tax, Stock Buybacks, &amp; '!$E:$E,0))</f>
        <v>260</v>
      </c>
      <c r="AA35" s="178">
        <f t="array" ref="AA35">INDEX('Federal Tax, Stock Buybacks, &amp; '!AC:AC,MATCH($B35,'Federal Tax, Stock Buybacks, &amp; '!$E:$E,0))</f>
        <v>1</v>
      </c>
      <c r="AB35" s="178">
        <f t="array" ref="AB35">INDEX('Federal Tax, Stock Buybacks, &amp; '!AD:AD,MATCH($B35,'Federal Tax, Stock Buybacks, &amp; '!$E:$E,0))</f>
        <v>-12</v>
      </c>
      <c r="AC35" s="178">
        <f t="array" ref="AC35">INDEX('Federal Tax, Stock Buybacks, &amp; '!AE:AE,MATCH($B35,'Federal Tax, Stock Buybacks, &amp; '!$E:$E,0))</f>
        <v>-8</v>
      </c>
      <c r="AD35" s="178">
        <f t="array" ref="AD35">INDEX('Federal Tax, Stock Buybacks, &amp; '!AF:AF,MATCH($B35,'Federal Tax, Stock Buybacks, &amp; '!$E:$E,0))</f>
        <v>0</v>
      </c>
      <c r="AE35" s="217"/>
      <c r="AF35" s="193">
        <f t="shared" ref="AF35:AK35" si="77">Y35/R35</f>
        <v>0.01652609202</v>
      </c>
      <c r="AG35" s="194">
        <f t="shared" si="77"/>
        <v>0.02623083132</v>
      </c>
      <c r="AH35" s="194">
        <f t="shared" si="77"/>
        <v>0.000370096225</v>
      </c>
      <c r="AI35" s="194">
        <f t="shared" si="77"/>
        <v>0.04545454545</v>
      </c>
      <c r="AJ35" s="194">
        <f t="shared" si="77"/>
        <v>-0.008130081301</v>
      </c>
      <c r="AK35" s="194">
        <f t="shared" si="77"/>
        <v>0</v>
      </c>
      <c r="AL35" s="172"/>
      <c r="AM35" s="175">
        <f t="shared" si="14"/>
        <v>2964</v>
      </c>
      <c r="AN35" s="176">
        <f t="array" ref="AN35">INDEX('Federal Tax, Stock Buybacks, &amp; '!AP:AP,MATCH($B35,'Federal Tax, Stock Buybacks, &amp; '!$E:$E,0))</f>
        <v>1687</v>
      </c>
      <c r="AO35" s="176">
        <f t="array" ref="AO35">INDEX('Federal Tax, Stock Buybacks, &amp; '!AQ:AQ,MATCH($B35,'Federal Tax, Stock Buybacks, &amp; '!$E:$E,0))</f>
        <v>269</v>
      </c>
      <c r="AP35" s="176">
        <f t="array" ref="AP35">INDEX('Federal Tax, Stock Buybacks, &amp; '!AR:AR,MATCH($B35,'Federal Tax, Stock Buybacks, &amp; '!$E:$E,0))</f>
        <v>176</v>
      </c>
      <c r="AQ35" s="176">
        <f t="array" ref="AQ35">INDEX('Federal Tax, Stock Buybacks, &amp; '!AS:AS,MATCH($B35,'Federal Tax, Stock Buybacks, &amp; '!$E:$E,0))</f>
        <v>653</v>
      </c>
      <c r="AR35" s="176">
        <f t="array" ref="AR35">INDEX('Federal Tax, Stock Buybacks, &amp; '!AT:AT,MATCH($B35,'Federal Tax, Stock Buybacks, &amp; '!$E:$E,0))</f>
        <v>179</v>
      </c>
      <c r="AS35" s="172"/>
      <c r="AT35" s="175">
        <f t="shared" si="15"/>
        <v>8391</v>
      </c>
      <c r="AU35" s="176">
        <f t="array" ref="AU35">INDEX('Federal Tax, Stock Buybacks, &amp; '!AW:AW,MATCH($B35,'Federal Tax, Stock Buybacks, &amp; '!$E:$E,0))</f>
        <v>6269</v>
      </c>
      <c r="AV35" s="176">
        <f t="array" ref="AV35">INDEX('Federal Tax, Stock Buybacks, &amp; '!AX:AX,MATCH($B35,'Federal Tax, Stock Buybacks, &amp; '!$E:$E,0))</f>
        <v>1594</v>
      </c>
      <c r="AW35" s="176">
        <f t="array" ref="AW35">INDEX('Federal Tax, Stock Buybacks, &amp; '!AY:AY,MATCH($B35,'Federal Tax, Stock Buybacks, &amp; '!$E:$E,0))</f>
        <v>346</v>
      </c>
      <c r="AX35" s="176">
        <f t="array" ref="AX35">INDEX('Federal Tax, Stock Buybacks, &amp; '!AZ:AZ,MATCH($B35,'Federal Tax, Stock Buybacks, &amp; '!$E:$E,0))</f>
        <v>127</v>
      </c>
      <c r="AY35" s="176">
        <f t="array" ref="AY35">INDEX('Federal Tax, Stock Buybacks, &amp; '!BA:BA,MATCH($B35,'Federal Tax, Stock Buybacks, &amp; '!$E:$E,0))</f>
        <v>55</v>
      </c>
      <c r="AZ35" s="172"/>
      <c r="BA35" s="166" t="s">
        <v>711</v>
      </c>
      <c r="BB35" s="179"/>
      <c r="BC35" s="213" t="s">
        <v>711</v>
      </c>
      <c r="BD35" s="213" t="s">
        <v>711</v>
      </c>
      <c r="BE35" s="213" t="s">
        <v>711</v>
      </c>
      <c r="BF35" s="213" t="s">
        <v>711</v>
      </c>
      <c r="BG35" s="213" t="s">
        <v>711</v>
      </c>
      <c r="BH35" s="87"/>
      <c r="BI35" s="154"/>
      <c r="BJ35" s="189" t="s">
        <v>695</v>
      </c>
      <c r="BK35" s="87"/>
      <c r="BL35" s="87"/>
    </row>
    <row r="36" ht="15.0" customHeight="1">
      <c r="A36" s="169">
        <f t="array" ref="A36">INDEX('Federal Tax, Stock Buybacks, &amp; '!D:D,match(B36,'Federal Tax, Stock Buybacks, &amp; '!E:E,0))</f>
        <v>249</v>
      </c>
      <c r="B36" s="190" t="s">
        <v>17</v>
      </c>
      <c r="C36" s="185" t="s">
        <v>717</v>
      </c>
      <c r="D36" s="160">
        <f>SUMIF('Executive Pay Breakdown'!B:B,$B36,'Executive Pay Breakdown'!M:M)+SUMIF('Executive Pay Breakdown'!B:B,$B36,'Executive Pay Breakdown'!Q:Q)+SUMIF('Executive Pay Breakdown'!B:B,$B36,'Executive Pay Breakdown'!U:U)+SUMIF('Executive Pay Breakdown'!B:B,$B36,'Executive Pay Breakdown'!Y:Y)+SUMIF('Executive Pay Breakdown'!B:B,$B36,'Executive Pay Breakdown'!AC:AC)</f>
        <v>164303386</v>
      </c>
      <c r="E36" s="161">
        <f>SUMIF('Executive Pay Breakdown'!B:B,$B36,'Executive Pay Breakdown'!M:M)</f>
        <v>27840460</v>
      </c>
      <c r="F36" s="161">
        <f>SUMIF('Executive Pay Breakdown'!B:B,$B36,'Executive Pay Breakdown'!Q:Q)</f>
        <v>10078943</v>
      </c>
      <c r="G36" s="161">
        <f>SUMIF('Executive Pay Breakdown'!B:B,$B36,'Executive Pay Breakdown'!U:U)</f>
        <v>102106911</v>
      </c>
      <c r="H36" s="161">
        <f>SUMIF('Executive Pay Breakdown'!B:B,$B36,'Executive Pay Breakdown'!Y:Y)</f>
        <v>7051760</v>
      </c>
      <c r="I36" s="161">
        <f>SUMIF('Executive Pay Breakdown'!B:B,$B36,'Executive Pay Breakdown'!AC:AC)</f>
        <v>17225312</v>
      </c>
      <c r="J36" s="172"/>
      <c r="K36" s="173" t="s">
        <v>694</v>
      </c>
      <c r="L36" s="174" t="b">
        <f t="shared" ref="L36:L37" si="79">(E36/1000000)&gt;(Z36)</f>
        <v>1</v>
      </c>
      <c r="M36" s="183"/>
      <c r="N36" s="174" t="b">
        <f>(G36/1000000)&gt;(AB36)</f>
        <v>1</v>
      </c>
      <c r="O36" s="183"/>
      <c r="P36" s="183"/>
      <c r="Q36" s="172"/>
      <c r="R36" s="175">
        <f t="shared" si="11"/>
        <v>12782.84</v>
      </c>
      <c r="S36" s="176">
        <f t="array" ref="S36">INDEX('Federal Tax, Stock Buybacks, &amp; '!U:U,MATCH($B36,'Federal Tax, Stock Buybacks, &amp; '!$E:$E,0))</f>
        <v>3042.77</v>
      </c>
      <c r="T36" s="176">
        <f t="array" ref="T36">INDEX('Federal Tax, Stock Buybacks, &amp; '!V:V,MATCH($B36,'Federal Tax, Stock Buybacks, &amp; '!$E:$E,0))</f>
        <v>3175.81</v>
      </c>
      <c r="U36" s="176">
        <f t="array" ref="U36">INDEX('Federal Tax, Stock Buybacks, &amp; '!W:W,MATCH($B36,'Federal Tax, Stock Buybacks, &amp; '!$E:$E,0))</f>
        <v>2531.65</v>
      </c>
      <c r="V36" s="176">
        <f t="array" ref="V36">INDEX('Federal Tax, Stock Buybacks, &amp; '!X:X,MATCH($B36,'Federal Tax, Stock Buybacks, &amp; '!$E:$E,0))</f>
        <v>1887.35</v>
      </c>
      <c r="W36" s="176">
        <f t="array" ref="W36">INDEX('Federal Tax, Stock Buybacks, &amp; '!Y:Y,MATCH($B36,'Federal Tax, Stock Buybacks, &amp; '!$E:$E,0))</f>
        <v>2145.26</v>
      </c>
      <c r="X36" s="172"/>
      <c r="Y36" s="177">
        <f t="shared" si="12"/>
        <v>89.71</v>
      </c>
      <c r="Z36" s="178">
        <f t="array" ref="Z36">INDEX('Federal Tax, Stock Buybacks, &amp; '!AB:AB,MATCH($B36,'Federal Tax, Stock Buybacks, &amp; '!$E:$E,0))</f>
        <v>-23.57</v>
      </c>
      <c r="AA36" s="178">
        <f t="array" ref="AA36">INDEX('Federal Tax, Stock Buybacks, &amp; '!AC:AC,MATCH($B36,'Federal Tax, Stock Buybacks, &amp; '!$E:$E,0))</f>
        <v>126.44</v>
      </c>
      <c r="AB36" s="178">
        <f t="array" ref="AB36">INDEX('Federal Tax, Stock Buybacks, &amp; '!AD:AD,MATCH($B36,'Federal Tax, Stock Buybacks, &amp; '!$E:$E,0))</f>
        <v>-230.94</v>
      </c>
      <c r="AC36" s="178">
        <f t="array" ref="AC36">INDEX('Federal Tax, Stock Buybacks, &amp; '!AE:AE,MATCH($B36,'Federal Tax, Stock Buybacks, &amp; '!$E:$E,0))</f>
        <v>173.33</v>
      </c>
      <c r="AD36" s="178">
        <f t="array" ref="AD36">INDEX('Federal Tax, Stock Buybacks, &amp; '!AF:AF,MATCH($B36,'Federal Tax, Stock Buybacks, &amp; '!$E:$E,0))</f>
        <v>44.45</v>
      </c>
      <c r="AE36" s="172"/>
      <c r="AF36" s="164">
        <f t="shared" ref="AF36:AK36" si="78">Y36/R36</f>
        <v>0.007018002259</v>
      </c>
      <c r="AG36" s="165">
        <f t="shared" si="78"/>
        <v>-0.00774623123</v>
      </c>
      <c r="AH36" s="165">
        <f t="shared" si="78"/>
        <v>0.03981346491</v>
      </c>
      <c r="AI36" s="165">
        <f t="shared" si="78"/>
        <v>-0.09122114036</v>
      </c>
      <c r="AJ36" s="165">
        <f t="shared" si="78"/>
        <v>0.09183776194</v>
      </c>
      <c r="AK36" s="165">
        <f t="shared" si="78"/>
        <v>0.0207200992</v>
      </c>
      <c r="AL36" s="172"/>
      <c r="AM36" s="175">
        <f t="shared" si="14"/>
        <v>0</v>
      </c>
      <c r="AN36" s="176">
        <f t="array" ref="AN36">INDEX('Federal Tax, Stock Buybacks, &amp; '!AP:AP,MATCH($B36,'Federal Tax, Stock Buybacks, &amp; '!$E:$E,0))</f>
        <v>0</v>
      </c>
      <c r="AO36" s="176">
        <f t="array" ref="AO36">INDEX('Federal Tax, Stock Buybacks, &amp; '!AQ:AQ,MATCH($B36,'Federal Tax, Stock Buybacks, &amp; '!$E:$E,0))</f>
        <v>0</v>
      </c>
      <c r="AP36" s="176">
        <f t="array" ref="AP36">INDEX('Federal Tax, Stock Buybacks, &amp; '!AR:AR,MATCH($B36,'Federal Tax, Stock Buybacks, &amp; '!$E:$E,0))</f>
        <v>0</v>
      </c>
      <c r="AQ36" s="176">
        <f t="array" ref="AQ36">INDEX('Federal Tax, Stock Buybacks, &amp; '!AS:AS,MATCH($B36,'Federal Tax, Stock Buybacks, &amp; '!$E:$E,0))</f>
        <v>0</v>
      </c>
      <c r="AR36" s="176">
        <f t="array" ref="AR36">INDEX('Federal Tax, Stock Buybacks, &amp; '!AT:AT,MATCH($B36,'Federal Tax, Stock Buybacks, &amp; '!$E:$E,0))</f>
        <v>0</v>
      </c>
      <c r="AS36" s="172"/>
      <c r="AT36" s="175">
        <f t="shared" si="15"/>
        <v>0</v>
      </c>
      <c r="AU36" s="176">
        <f t="array" ref="AU36">INDEX('Federal Tax, Stock Buybacks, &amp; '!AW:AW,MATCH($B36,'Federal Tax, Stock Buybacks, &amp; '!$E:$E,0))</f>
        <v>0</v>
      </c>
      <c r="AV36" s="176">
        <f t="array" ref="AV36">INDEX('Federal Tax, Stock Buybacks, &amp; '!AX:AX,MATCH($B36,'Federal Tax, Stock Buybacks, &amp; '!$E:$E,0))</f>
        <v>0</v>
      </c>
      <c r="AW36" s="176">
        <f t="array" ref="AW36">INDEX('Federal Tax, Stock Buybacks, &amp; '!AY:AY,MATCH($B36,'Federal Tax, Stock Buybacks, &amp; '!$E:$E,0))</f>
        <v>0</v>
      </c>
      <c r="AX36" s="176">
        <f t="array" ref="AX36">INDEX('Federal Tax, Stock Buybacks, &amp; '!AZ:AZ,MATCH($B36,'Federal Tax, Stock Buybacks, &amp; '!$E:$E,0))</f>
        <v>0</v>
      </c>
      <c r="AY36" s="176">
        <f t="array" ref="AY36">INDEX('Federal Tax, Stock Buybacks, &amp; '!BA:BA,MATCH($B36,'Federal Tax, Stock Buybacks, &amp; '!$E:$E,0))</f>
        <v>0</v>
      </c>
      <c r="AZ36" s="172"/>
      <c r="BA36" s="166">
        <f t="shared" ref="BA36:BA67" si="81">AVERAGE(BC36:BG36)</f>
        <v>59300</v>
      </c>
      <c r="BB36" s="179">
        <f t="shared" ref="BB36:BB67" si="82">sum(BC36:BG36)</f>
        <v>296500</v>
      </c>
      <c r="BC36" s="179">
        <v>72514.0</v>
      </c>
      <c r="BD36" s="179">
        <v>58161.0</v>
      </c>
      <c r="BE36" s="179">
        <v>57092.0</v>
      </c>
      <c r="BF36" s="179">
        <v>54685.0</v>
      </c>
      <c r="BG36" s="179">
        <v>54048.0</v>
      </c>
      <c r="BH36" s="212"/>
      <c r="BI36" s="154"/>
      <c r="BJ36" s="189" t="s">
        <v>695</v>
      </c>
      <c r="BK36" s="87"/>
      <c r="BL36" s="212"/>
    </row>
    <row r="37" ht="15.0" customHeight="1">
      <c r="A37" s="169">
        <f t="array" ref="A37">INDEX('Federal Tax, Stock Buybacks, &amp; '!D:D,match(B37,'Federal Tax, Stock Buybacks, &amp; '!E:E,0))</f>
        <v>203</v>
      </c>
      <c r="B37" s="191" t="s">
        <v>69</v>
      </c>
      <c r="C37" s="185" t="s">
        <v>703</v>
      </c>
      <c r="D37" s="160">
        <f>SUMIF('Executive Pay Breakdown'!B:B,$B37,'Executive Pay Breakdown'!M:M)+SUMIF('Executive Pay Breakdown'!B:B,$B37,'Executive Pay Breakdown'!Q:Q)+SUMIF('Executive Pay Breakdown'!B:B,$B37,'Executive Pay Breakdown'!U:U)+SUMIF('Executive Pay Breakdown'!B:B,$B37,'Executive Pay Breakdown'!Y:Y)+SUMIF('Executive Pay Breakdown'!B:B,$B37,'Executive Pay Breakdown'!AC:AC)</f>
        <v>163195139</v>
      </c>
      <c r="E37" s="161">
        <f>SUMIF('Executive Pay Breakdown'!B:B,$B37,'Executive Pay Breakdown'!M:M)</f>
        <v>24993000</v>
      </c>
      <c r="F37" s="161">
        <f>SUMIF('Executive Pay Breakdown'!B:B,$B37,'Executive Pay Breakdown'!Q:Q)</f>
        <v>40920268</v>
      </c>
      <c r="G37" s="161">
        <f>SUMIF('Executive Pay Breakdown'!B:B,$B37,'Executive Pay Breakdown'!U:U)</f>
        <v>38624671</v>
      </c>
      <c r="H37" s="161">
        <f>SUMIF('Executive Pay Breakdown'!B:B,$B37,'Executive Pay Breakdown'!Y:Y)</f>
        <v>30366029</v>
      </c>
      <c r="I37" s="161">
        <f>SUMIF('Executive Pay Breakdown'!B:B,$B37,'Executive Pay Breakdown'!AC:AC)</f>
        <v>28291171</v>
      </c>
      <c r="J37" s="192"/>
      <c r="K37" s="173" t="s">
        <v>699</v>
      </c>
      <c r="L37" s="174" t="b">
        <f t="shared" si="79"/>
        <v>1</v>
      </c>
      <c r="M37" s="174"/>
      <c r="N37" s="174"/>
      <c r="O37" s="174"/>
      <c r="P37" s="174" t="b">
        <f>(I37/1000000)&gt;(AD37)</f>
        <v>1</v>
      </c>
      <c r="Q37" s="192"/>
      <c r="R37" s="175">
        <f t="shared" si="11"/>
        <v>3578.26</v>
      </c>
      <c r="S37" s="176">
        <f t="array" ref="S37">INDEX('Federal Tax, Stock Buybacks, &amp; '!U:U,MATCH($B37,'Federal Tax, Stock Buybacks, &amp; '!$E:$E,0))</f>
        <v>36.26</v>
      </c>
      <c r="T37" s="176">
        <f t="array" ref="T37">INDEX('Federal Tax, Stock Buybacks, &amp; '!V:V,MATCH($B37,'Federal Tax, Stock Buybacks, &amp; '!$E:$E,0))</f>
        <v>1207</v>
      </c>
      <c r="U37" s="176">
        <f t="array" ref="U37">INDEX('Federal Tax, Stock Buybacks, &amp; '!W:W,MATCH($B37,'Federal Tax, Stock Buybacks, &amp; '!$E:$E,0))</f>
        <v>986</v>
      </c>
      <c r="V37" s="176">
        <f t="array" ref="V37">INDEX('Federal Tax, Stock Buybacks, &amp; '!X:X,MATCH($B37,'Federal Tax, Stock Buybacks, &amp; '!$E:$E,0))</f>
        <v>632</v>
      </c>
      <c r="W37" s="176">
        <f t="array" ref="W37">INDEX('Federal Tax, Stock Buybacks, &amp; '!Y:Y,MATCH($B37,'Federal Tax, Stock Buybacks, &amp; '!$E:$E,0))</f>
        <v>717</v>
      </c>
      <c r="X37" s="172"/>
      <c r="Y37" s="177">
        <f t="shared" si="12"/>
        <v>249</v>
      </c>
      <c r="Z37" s="178">
        <f t="array" ref="Z37">INDEX('Federal Tax, Stock Buybacks, &amp; '!AB:AB,MATCH($B37,'Federal Tax, Stock Buybacks, &amp; '!$E:$E,0))</f>
        <v>-40</v>
      </c>
      <c r="AA37" s="178">
        <f t="array" ref="AA37">INDEX('Federal Tax, Stock Buybacks, &amp; '!AC:AC,MATCH($B37,'Federal Tax, Stock Buybacks, &amp; '!$E:$E,0))</f>
        <v>132</v>
      </c>
      <c r="AB37" s="178">
        <f t="array" ref="AB37">INDEX('Federal Tax, Stock Buybacks, &amp; '!AD:AD,MATCH($B37,'Federal Tax, Stock Buybacks, &amp; '!$E:$E,0))</f>
        <v>90</v>
      </c>
      <c r="AC37" s="178">
        <f t="array" ref="AC37">INDEX('Federal Tax, Stock Buybacks, &amp; '!AE:AE,MATCH($B37,'Federal Tax, Stock Buybacks, &amp; '!$E:$E,0))</f>
        <v>177</v>
      </c>
      <c r="AD37" s="178">
        <f t="array" ref="AD37">INDEX('Federal Tax, Stock Buybacks, &amp; '!AF:AF,MATCH($B37,'Federal Tax, Stock Buybacks, &amp; '!$E:$E,0))</f>
        <v>-110</v>
      </c>
      <c r="AE37" s="172"/>
      <c r="AF37" s="193">
        <f t="shared" ref="AF37:AK37" si="80">Y37/R37</f>
        <v>0.06958689419</v>
      </c>
      <c r="AG37" s="194">
        <f t="shared" si="80"/>
        <v>-1.10314396</v>
      </c>
      <c r="AH37" s="194">
        <f t="shared" si="80"/>
        <v>0.1093620547</v>
      </c>
      <c r="AI37" s="194">
        <f t="shared" si="80"/>
        <v>0.09127789047</v>
      </c>
      <c r="AJ37" s="194">
        <f t="shared" si="80"/>
        <v>0.2800632911</v>
      </c>
      <c r="AK37" s="194">
        <f t="shared" si="80"/>
        <v>-0.1534170153</v>
      </c>
      <c r="AL37" s="172"/>
      <c r="AM37" s="175">
        <f t="shared" si="14"/>
        <v>3366</v>
      </c>
      <c r="AN37" s="176">
        <f t="array" ref="AN37">INDEX('Federal Tax, Stock Buybacks, &amp; '!AP:AP,MATCH($B37,'Federal Tax, Stock Buybacks, &amp; '!$E:$E,0))</f>
        <v>903</v>
      </c>
      <c r="AO37" s="176">
        <f t="array" ref="AO37">INDEX('Federal Tax, Stock Buybacks, &amp; '!AQ:AQ,MATCH($B37,'Federal Tax, Stock Buybacks, &amp; '!$E:$E,0))</f>
        <v>1041</v>
      </c>
      <c r="AP37" s="176">
        <f t="array" ref="AP37">INDEX('Federal Tax, Stock Buybacks, &amp; '!AR:AR,MATCH($B37,'Federal Tax, Stock Buybacks, &amp; '!$E:$E,0))</f>
        <v>121</v>
      </c>
      <c r="AQ37" s="176">
        <f t="array" ref="AQ37">INDEX('Federal Tax, Stock Buybacks, &amp; '!AS:AS,MATCH($B37,'Federal Tax, Stock Buybacks, &amp; '!$E:$E,0))</f>
        <v>148</v>
      </c>
      <c r="AR37" s="176">
        <f t="array" ref="AR37">INDEX('Federal Tax, Stock Buybacks, &amp; '!AT:AT,MATCH($B37,'Federal Tax, Stock Buybacks, &amp; '!$E:$E,0))</f>
        <v>1153</v>
      </c>
      <c r="AS37" s="172"/>
      <c r="AT37" s="175">
        <f t="shared" si="15"/>
        <v>1650</v>
      </c>
      <c r="AU37" s="176">
        <f t="array" ref="AU37">INDEX('Federal Tax, Stock Buybacks, &amp; '!AW:AW,MATCH($B37,'Federal Tax, Stock Buybacks, &amp; '!$E:$E,0))</f>
        <v>390</v>
      </c>
      <c r="AV37" s="176">
        <f t="array" ref="AV37">INDEX('Federal Tax, Stock Buybacks, &amp; '!AX:AX,MATCH($B37,'Federal Tax, Stock Buybacks, &amp; '!$E:$E,0))</f>
        <v>338</v>
      </c>
      <c r="AW37" s="176">
        <f t="array" ref="AW37">INDEX('Federal Tax, Stock Buybacks, &amp; '!AY:AY,MATCH($B37,'Federal Tax, Stock Buybacks, &amp; '!$E:$E,0))</f>
        <v>311</v>
      </c>
      <c r="AX37" s="176">
        <f t="array" ref="AX37">INDEX('Federal Tax, Stock Buybacks, &amp; '!AZ:AZ,MATCH($B37,'Federal Tax, Stock Buybacks, &amp; '!$E:$E,0))</f>
        <v>305</v>
      </c>
      <c r="AY37" s="176">
        <f t="array" ref="AY37">INDEX('Federal Tax, Stock Buybacks, &amp; '!BA:BA,MATCH($B37,'Federal Tax, Stock Buybacks, &amp; '!$E:$E,0))</f>
        <v>306</v>
      </c>
      <c r="AZ37" s="172"/>
      <c r="BA37" s="195">
        <f t="shared" si="81"/>
        <v>23806.2</v>
      </c>
      <c r="BB37" s="179">
        <f t="shared" si="82"/>
        <v>119031</v>
      </c>
      <c r="BC37" s="188">
        <v>28540.0</v>
      </c>
      <c r="BD37" s="188">
        <v>27128.0</v>
      </c>
      <c r="BE37" s="188">
        <v>22113.0</v>
      </c>
      <c r="BF37" s="188">
        <v>20765.0</v>
      </c>
      <c r="BG37" s="188">
        <v>20485.0</v>
      </c>
      <c r="BH37" s="87"/>
      <c r="BI37" s="154"/>
      <c r="BJ37" s="215" t="s">
        <v>695</v>
      </c>
      <c r="BK37" s="87"/>
      <c r="BL37" s="87"/>
    </row>
    <row r="38" ht="15.0" customHeight="1">
      <c r="A38" s="169">
        <f t="array" ref="A38">INDEX('Federal Tax, Stock Buybacks, &amp; '!D:D,match(B38,'Federal Tax, Stock Buybacks, &amp; '!E:E,0))</f>
        <v>205</v>
      </c>
      <c r="B38" s="190" t="s">
        <v>20</v>
      </c>
      <c r="C38" s="185" t="s">
        <v>707</v>
      </c>
      <c r="D38" s="160">
        <f>SUMIF('Executive Pay Breakdown'!B:B,$B38,'Executive Pay Breakdown'!M:M)+SUMIF('Executive Pay Breakdown'!B:B,$B38,'Executive Pay Breakdown'!Q:Q)+SUMIF('Executive Pay Breakdown'!B:B,$B38,'Executive Pay Breakdown'!U:U)+SUMIF('Executive Pay Breakdown'!B:B,$B38,'Executive Pay Breakdown'!Y:Y)+SUMIF('Executive Pay Breakdown'!B:B,$B38,'Executive Pay Breakdown'!AC:AC)</f>
        <v>157349849</v>
      </c>
      <c r="E38" s="161">
        <f>SUMIF('Executive Pay Breakdown'!B:B,$B38,'Executive Pay Breakdown'!M:M)</f>
        <v>34789568</v>
      </c>
      <c r="F38" s="161">
        <f>SUMIF('Executive Pay Breakdown'!B:B,$B38,'Executive Pay Breakdown'!Q:Q)</f>
        <v>34606062</v>
      </c>
      <c r="G38" s="161">
        <f>SUMIF('Executive Pay Breakdown'!B:B,$B38,'Executive Pay Breakdown'!U:U)</f>
        <v>29819289</v>
      </c>
      <c r="H38" s="161">
        <f>SUMIF('Executive Pay Breakdown'!B:B,$B38,'Executive Pay Breakdown'!Y:Y)</f>
        <v>34839041</v>
      </c>
      <c r="I38" s="161">
        <f>SUMIF('Executive Pay Breakdown'!B:B,$B38,'Executive Pay Breakdown'!AC:AC)</f>
        <v>23295889</v>
      </c>
      <c r="J38" s="172"/>
      <c r="K38" s="173" t="s">
        <v>694</v>
      </c>
      <c r="L38" s="183"/>
      <c r="M38" s="174" t="b">
        <f t="shared" ref="M38:P38" si="83">(F38/1000000)&gt;(AA38)</f>
        <v>1</v>
      </c>
      <c r="N38" s="174" t="b">
        <f t="shared" si="83"/>
        <v>1</v>
      </c>
      <c r="O38" s="174" t="b">
        <f t="shared" si="83"/>
        <v>1</v>
      </c>
      <c r="P38" s="174" t="b">
        <f t="shared" si="83"/>
        <v>1</v>
      </c>
      <c r="Q38" s="172"/>
      <c r="R38" s="175">
        <f t="shared" si="11"/>
        <v>10835.6</v>
      </c>
      <c r="S38" s="176">
        <f t="array" ref="S38">INDEX('Federal Tax, Stock Buybacks, &amp; '!U:U,MATCH($B38,'Federal Tax, Stock Buybacks, &amp; '!$E:$E,0))</f>
        <v>2393.8</v>
      </c>
      <c r="T38" s="176">
        <f t="array" ref="T38">INDEX('Federal Tax, Stock Buybacks, &amp; '!V:V,MATCH($B38,'Federal Tax, Stock Buybacks, &amp; '!$E:$E,0))</f>
        <v>2505.9</v>
      </c>
      <c r="U38" s="176">
        <f t="array" ref="U38">INDEX('Federal Tax, Stock Buybacks, &amp; '!W:W,MATCH($B38,'Federal Tax, Stock Buybacks, &amp; '!$E:$E,0))</f>
        <v>2162.8</v>
      </c>
      <c r="V38" s="176">
        <f t="array" ref="V38">INDEX('Federal Tax, Stock Buybacks, &amp; '!X:X,MATCH($B38,'Federal Tax, Stock Buybacks, &amp; '!$E:$E,0))</f>
        <v>1830.4</v>
      </c>
      <c r="W38" s="176">
        <f t="array" ref="W38">INDEX('Federal Tax, Stock Buybacks, &amp; '!Y:Y,MATCH($B38,'Federal Tax, Stock Buybacks, &amp; '!$E:$E,0))</f>
        <v>1942.7</v>
      </c>
      <c r="X38" s="172"/>
      <c r="Y38" s="177">
        <f t="shared" si="12"/>
        <v>-92</v>
      </c>
      <c r="Z38" s="178">
        <f t="array" ref="Z38">INDEX('Federal Tax, Stock Buybacks, &amp; '!AB:AB,MATCH($B38,'Federal Tax, Stock Buybacks, &amp; '!$E:$E,0))</f>
        <v>113.1</v>
      </c>
      <c r="AA38" s="178">
        <f t="array" ref="AA38">INDEX('Federal Tax, Stock Buybacks, &amp; '!AC:AC,MATCH($B38,'Federal Tax, Stock Buybacks, &amp; '!$E:$E,0))</f>
        <v>-27.8</v>
      </c>
      <c r="AB38" s="178">
        <f t="array" ref="AB38">INDEX('Federal Tax, Stock Buybacks, &amp; '!AD:AD,MATCH($B38,'Federal Tax, Stock Buybacks, &amp; '!$E:$E,0))</f>
        <v>-138.2</v>
      </c>
      <c r="AC38" s="178">
        <f t="array" ref="AC38">INDEX('Federal Tax, Stock Buybacks, &amp; '!AE:AE,MATCH($B38,'Federal Tax, Stock Buybacks, &amp; '!$E:$E,0))</f>
        <v>-7.4</v>
      </c>
      <c r="AD38" s="178">
        <f t="array" ref="AD38">INDEX('Federal Tax, Stock Buybacks, &amp; '!AF:AF,MATCH($B38,'Federal Tax, Stock Buybacks, &amp; '!$E:$E,0))</f>
        <v>-31.7</v>
      </c>
      <c r="AE38" s="172"/>
      <c r="AF38" s="164">
        <f t="shared" ref="AF38:AK38" si="84">Y38/R38</f>
        <v>-0.008490531212</v>
      </c>
      <c r="AG38" s="165">
        <f t="shared" si="84"/>
        <v>0.04724705489</v>
      </c>
      <c r="AH38" s="165">
        <f t="shared" si="84"/>
        <v>-0.01109381859</v>
      </c>
      <c r="AI38" s="165">
        <f t="shared" si="84"/>
        <v>-0.0638986499</v>
      </c>
      <c r="AJ38" s="165">
        <f t="shared" si="84"/>
        <v>-0.004042832168</v>
      </c>
      <c r="AK38" s="165">
        <f t="shared" si="84"/>
        <v>-0.01631749627</v>
      </c>
      <c r="AL38" s="172"/>
      <c r="AM38" s="175">
        <f t="shared" si="14"/>
        <v>0</v>
      </c>
      <c r="AN38" s="176">
        <f t="array" ref="AN38">INDEX('Federal Tax, Stock Buybacks, &amp; '!AP:AP,MATCH($B38,'Federal Tax, Stock Buybacks, &amp; '!$E:$E,0))</f>
        <v>0</v>
      </c>
      <c r="AO38" s="176">
        <f t="array" ref="AO38">INDEX('Federal Tax, Stock Buybacks, &amp; '!AQ:AQ,MATCH($B38,'Federal Tax, Stock Buybacks, &amp; '!$E:$E,0))</f>
        <v>0</v>
      </c>
      <c r="AP38" s="176">
        <f t="array" ref="AP38">INDEX('Federal Tax, Stock Buybacks, &amp; '!AR:AR,MATCH($B38,'Federal Tax, Stock Buybacks, &amp; '!$E:$E,0))</f>
        <v>0</v>
      </c>
      <c r="AQ38" s="176">
        <f t="array" ref="AQ38">INDEX('Federal Tax, Stock Buybacks, &amp; '!AS:AS,MATCH($B38,'Federal Tax, Stock Buybacks, &amp; '!$E:$E,0))</f>
        <v>0</v>
      </c>
      <c r="AR38" s="176">
        <f t="array" ref="AR38">INDEX('Federal Tax, Stock Buybacks, &amp; '!AT:AT,MATCH($B38,'Federal Tax, Stock Buybacks, &amp; '!$E:$E,0))</f>
        <v>0</v>
      </c>
      <c r="AS38" s="172"/>
      <c r="AT38" s="175">
        <f t="shared" si="15"/>
        <v>7195.1</v>
      </c>
      <c r="AU38" s="176">
        <f t="array" ref="AU38">INDEX('Federal Tax, Stock Buybacks, &amp; '!AW:AW,MATCH($B38,'Federal Tax, Stock Buybacks, &amp; '!$E:$E,0))</f>
        <v>1645.2</v>
      </c>
      <c r="AV38" s="176">
        <f t="array" ref="AV38">INDEX('Federal Tax, Stock Buybacks, &amp; '!AX:AX,MATCH($B38,'Federal Tax, Stock Buybacks, &amp; '!$E:$E,0))</f>
        <v>1519.5</v>
      </c>
      <c r="AW38" s="176">
        <f t="array" ref="AW38">INDEX('Federal Tax, Stock Buybacks, &amp; '!AY:AY,MATCH($B38,'Federal Tax, Stock Buybacks, &amp; '!$E:$E,0))</f>
        <v>1424.9</v>
      </c>
      <c r="AX38" s="176">
        <f t="array" ref="AX38">INDEX('Federal Tax, Stock Buybacks, &amp; '!AZ:AZ,MATCH($B38,'Federal Tax, Stock Buybacks, &amp; '!$E:$E,0))</f>
        <v>1350</v>
      </c>
      <c r="AY38" s="176">
        <f t="array" ref="AY38">INDEX('Federal Tax, Stock Buybacks, &amp; '!BA:BA,MATCH($B38,'Federal Tax, Stock Buybacks, &amp; '!$E:$E,0))</f>
        <v>1255.5</v>
      </c>
      <c r="AZ38" s="172"/>
      <c r="BA38" s="166">
        <f t="shared" si="81"/>
        <v>123066.4</v>
      </c>
      <c r="BB38" s="179">
        <f t="shared" si="82"/>
        <v>615332</v>
      </c>
      <c r="BC38" s="188">
        <v>119860.0</v>
      </c>
      <c r="BD38" s="188">
        <v>111771.0</v>
      </c>
      <c r="BE38" s="188">
        <v>140965.0</v>
      </c>
      <c r="BF38" s="188">
        <v>132611.0</v>
      </c>
      <c r="BG38" s="188">
        <v>110125.0</v>
      </c>
      <c r="BH38" s="87"/>
      <c r="BI38" s="154"/>
      <c r="BJ38" s="189" t="s">
        <v>695</v>
      </c>
      <c r="BK38" s="87"/>
      <c r="BL38" s="87"/>
    </row>
    <row r="39" ht="15.0" customHeight="1">
      <c r="A39" s="169">
        <f t="array" ref="A39">INDEX('Federal Tax, Stock Buybacks, &amp; '!D:D,match(B39,'Federal Tax, Stock Buybacks, &amp; '!E:E,0))</f>
        <v>242</v>
      </c>
      <c r="B39" s="190" t="s">
        <v>22</v>
      </c>
      <c r="C39" s="185" t="s">
        <v>718</v>
      </c>
      <c r="D39" s="160">
        <f>SUMIF('Executive Pay Breakdown'!B:B,$B39,'Executive Pay Breakdown'!M:M)+SUMIF('Executive Pay Breakdown'!B:B,$B39,'Executive Pay Breakdown'!Q:Q)+SUMIF('Executive Pay Breakdown'!B:B,$B39,'Executive Pay Breakdown'!U:U)+SUMIF('Executive Pay Breakdown'!B:B,$B39,'Executive Pay Breakdown'!Y:Y)+SUMIF('Executive Pay Breakdown'!B:B,$B39,'Executive Pay Breakdown'!AC:AC)</f>
        <v>155726849</v>
      </c>
      <c r="E39" s="161">
        <f>SUMIF('Executive Pay Breakdown'!B:B,$B39,'Executive Pay Breakdown'!M:M)</f>
        <v>17005357</v>
      </c>
      <c r="F39" s="161">
        <f>SUMIF('Executive Pay Breakdown'!B:B,$B39,'Executive Pay Breakdown'!Q:Q)</f>
        <v>33172625</v>
      </c>
      <c r="G39" s="161">
        <f>SUMIF('Executive Pay Breakdown'!B:B,$B39,'Executive Pay Breakdown'!U:U)</f>
        <v>39795483</v>
      </c>
      <c r="H39" s="161">
        <f>SUMIF('Executive Pay Breakdown'!B:B,$B39,'Executive Pay Breakdown'!Y:Y)</f>
        <v>33058179</v>
      </c>
      <c r="I39" s="161">
        <f>SUMIF('Executive Pay Breakdown'!B:B,$B39,'Executive Pay Breakdown'!AC:AC)</f>
        <v>32695205</v>
      </c>
      <c r="J39" s="172"/>
      <c r="K39" s="173" t="s">
        <v>694</v>
      </c>
      <c r="L39" s="174" t="b">
        <f t="shared" ref="L39:P39" si="85">(E39/1000000)&gt;(Z39)</f>
        <v>1</v>
      </c>
      <c r="M39" s="174" t="b">
        <f t="shared" si="85"/>
        <v>1</v>
      </c>
      <c r="N39" s="174" t="b">
        <f t="shared" si="85"/>
        <v>1</v>
      </c>
      <c r="O39" s="174" t="b">
        <f t="shared" si="85"/>
        <v>1</v>
      </c>
      <c r="P39" s="174" t="b">
        <f t="shared" si="85"/>
        <v>1</v>
      </c>
      <c r="Q39" s="172"/>
      <c r="R39" s="175">
        <f t="shared" si="11"/>
        <v>10200</v>
      </c>
      <c r="S39" s="176">
        <f t="array" ref="S39">INDEX('Federal Tax, Stock Buybacks, &amp; '!U:U,MATCH($B39,'Federal Tax, Stock Buybacks, &amp; '!$E:$E,0))</f>
        <v>1007</v>
      </c>
      <c r="T39" s="176">
        <f t="array" ref="T39">INDEX('Federal Tax, Stock Buybacks, &amp; '!V:V,MATCH($B39,'Federal Tax, Stock Buybacks, &amp; '!$E:$E,0))</f>
        <v>3027</v>
      </c>
      <c r="U39" s="176">
        <f t="array" ref="U39">INDEX('Federal Tax, Stock Buybacks, &amp; '!W:W,MATCH($B39,'Federal Tax, Stock Buybacks, &amp; '!$E:$E,0))</f>
        <v>1641</v>
      </c>
      <c r="V39" s="176">
        <f t="array" ref="V39">INDEX('Federal Tax, Stock Buybacks, &amp; '!X:X,MATCH($B39,'Federal Tax, Stock Buybacks, &amp; '!$E:$E,0))</f>
        <v>1606</v>
      </c>
      <c r="W39" s="176">
        <f t="array" ref="W39">INDEX('Federal Tax, Stock Buybacks, &amp; '!Y:Y,MATCH($B39,'Federal Tax, Stock Buybacks, &amp; '!$E:$E,0))</f>
        <v>2919</v>
      </c>
      <c r="X39" s="172"/>
      <c r="Y39" s="177">
        <f t="shared" si="12"/>
        <v>-482</v>
      </c>
      <c r="Z39" s="178">
        <f t="array" ref="Z39">INDEX('Federal Tax, Stock Buybacks, &amp; '!AB:AB,MATCH($B39,'Federal Tax, Stock Buybacks, &amp; '!$E:$E,0))</f>
        <v>7</v>
      </c>
      <c r="AA39" s="178">
        <f t="array" ref="AA39">INDEX('Federal Tax, Stock Buybacks, &amp; '!AC:AC,MATCH($B39,'Federal Tax, Stock Buybacks, &amp; '!$E:$E,0))</f>
        <v>-162</v>
      </c>
      <c r="AB39" s="178">
        <f t="array" ref="AB39">INDEX('Federal Tax, Stock Buybacks, &amp; '!AD:AD,MATCH($B39,'Federal Tax, Stock Buybacks, &amp; '!$E:$E,0))</f>
        <v>-314</v>
      </c>
      <c r="AC39" s="178">
        <f t="array" ref="AC39">INDEX('Federal Tax, Stock Buybacks, &amp; '!AE:AE,MATCH($B39,'Federal Tax, Stock Buybacks, &amp; '!$E:$E,0))</f>
        <v>32</v>
      </c>
      <c r="AD39" s="178">
        <f t="array" ref="AD39">INDEX('Federal Tax, Stock Buybacks, &amp; '!AF:AF,MATCH($B39,'Federal Tax, Stock Buybacks, &amp; '!$E:$E,0))</f>
        <v>-45</v>
      </c>
      <c r="AE39" s="172"/>
      <c r="AF39" s="164">
        <f t="shared" ref="AF39:AK39" si="86">Y39/R39</f>
        <v>-0.04725490196</v>
      </c>
      <c r="AG39" s="165">
        <f t="shared" si="86"/>
        <v>0.006951340616</v>
      </c>
      <c r="AH39" s="165">
        <f t="shared" si="86"/>
        <v>-0.05351833499</v>
      </c>
      <c r="AI39" s="165">
        <f t="shared" si="86"/>
        <v>-0.1913467398</v>
      </c>
      <c r="AJ39" s="165">
        <f t="shared" si="86"/>
        <v>0.0199252802</v>
      </c>
      <c r="AK39" s="165">
        <f t="shared" si="86"/>
        <v>-0.01541623844</v>
      </c>
      <c r="AL39" s="172"/>
      <c r="AM39" s="175">
        <f t="shared" si="14"/>
        <v>4690</v>
      </c>
      <c r="AN39" s="176">
        <f t="array" ref="AN39">INDEX('Federal Tax, Stock Buybacks, &amp; '!AP:AP,MATCH($B39,'Federal Tax, Stock Buybacks, &amp; '!$E:$E,0))</f>
        <v>1610</v>
      </c>
      <c r="AO39" s="176">
        <f t="array" ref="AO39">INDEX('Federal Tax, Stock Buybacks, &amp; '!AQ:AQ,MATCH($B39,'Federal Tax, Stock Buybacks, &amp; '!$E:$E,0))</f>
        <v>0</v>
      </c>
      <c r="AP39" s="176">
        <f t="array" ref="AP39">INDEX('Federal Tax, Stock Buybacks, &amp; '!AR:AR,MATCH($B39,'Federal Tax, Stock Buybacks, &amp; '!$E:$E,0))</f>
        <v>3080</v>
      </c>
      <c r="AQ39" s="176">
        <f t="array" ref="AQ39">INDEX('Federal Tax, Stock Buybacks, &amp; '!AS:AS,MATCH($B39,'Federal Tax, Stock Buybacks, &amp; '!$E:$E,0))</f>
        <v>0</v>
      </c>
      <c r="AR39" s="176">
        <f t="array" ref="AR39">INDEX('Federal Tax, Stock Buybacks, &amp; '!AT:AT,MATCH($B39,'Federal Tax, Stock Buybacks, &amp; '!$E:$E,0))</f>
        <v>0</v>
      </c>
      <c r="AS39" s="172"/>
      <c r="AT39" s="175">
        <f t="shared" si="15"/>
        <v>12286</v>
      </c>
      <c r="AU39" s="176">
        <f t="array" ref="AU39">INDEX('Federal Tax, Stock Buybacks, &amp; '!AW:AW,MATCH($B39,'Federal Tax, Stock Buybacks, &amp; '!$E:$E,0))</f>
        <v>2209</v>
      </c>
      <c r="AV39" s="176">
        <f t="array" ref="AV39">INDEX('Federal Tax, Stock Buybacks, &amp; '!AX:AX,MATCH($B39,'Federal Tax, Stock Buybacks, &amp; '!$E:$E,0))</f>
        <v>2036</v>
      </c>
      <c r="AW39" s="176">
        <f t="array" ref="AW39">INDEX('Federal Tax, Stock Buybacks, &amp; '!AY:AY,MATCH($B39,'Federal Tax, Stock Buybacks, &amp; '!$E:$E,0))</f>
        <v>2873</v>
      </c>
      <c r="AX39" s="176">
        <f t="array" ref="AX39">INDEX('Federal Tax, Stock Buybacks, &amp; '!AZ:AZ,MATCH($B39,'Federal Tax, Stock Buybacks, &amp; '!$E:$E,0))</f>
        <v>2983</v>
      </c>
      <c r="AY39" s="176">
        <f t="array" ref="AY39">INDEX('Federal Tax, Stock Buybacks, &amp; '!BA:BA,MATCH($B39,'Federal Tax, Stock Buybacks, &amp; '!$E:$E,0))</f>
        <v>2185</v>
      </c>
      <c r="AZ39" s="172"/>
      <c r="BA39" s="166">
        <f t="shared" si="81"/>
        <v>123592.4</v>
      </c>
      <c r="BB39" s="179">
        <f t="shared" si="82"/>
        <v>617962</v>
      </c>
      <c r="BC39" s="188">
        <v>105193.0</v>
      </c>
      <c r="BD39" s="188">
        <v>110406.0</v>
      </c>
      <c r="BE39" s="188">
        <v>153466.0</v>
      </c>
      <c r="BF39" s="188">
        <v>145136.0</v>
      </c>
      <c r="BG39" s="188">
        <v>103761.0</v>
      </c>
      <c r="BH39" s="87"/>
      <c r="BI39" s="154"/>
      <c r="BJ39" s="189" t="s">
        <v>695</v>
      </c>
      <c r="BK39" s="87"/>
      <c r="BL39" s="87"/>
    </row>
    <row r="40" ht="15.0" customHeight="1">
      <c r="A40" s="169">
        <f t="array" ref="A40">INDEX('Federal Tax, Stock Buybacks, &amp; '!D:D,match(B40,'Federal Tax, Stock Buybacks, &amp; '!E:E,0))</f>
        <v>293</v>
      </c>
      <c r="B40" s="187" t="s">
        <v>77</v>
      </c>
      <c r="C40" s="185" t="s">
        <v>719</v>
      </c>
      <c r="D40" s="160">
        <f>SUMIF('Executive Pay Breakdown'!B:B,$B40,'Executive Pay Breakdown'!M:M)+SUMIF('Executive Pay Breakdown'!B:B,$B40,'Executive Pay Breakdown'!Q:Q)+SUMIF('Executive Pay Breakdown'!B:B,$B40,'Executive Pay Breakdown'!U:U)+SUMIF('Executive Pay Breakdown'!B:B,$B40,'Executive Pay Breakdown'!Y:Y)+SUMIF('Executive Pay Breakdown'!B:B,$B40,'Executive Pay Breakdown'!AC:AC)</f>
        <v>155690310</v>
      </c>
      <c r="E40" s="161">
        <f>SUMIF('Executive Pay Breakdown'!B:B,$B40,'Executive Pay Breakdown'!M:M)</f>
        <v>24898368</v>
      </c>
      <c r="F40" s="161">
        <f>SUMIF('Executive Pay Breakdown'!B:B,$B40,'Executive Pay Breakdown'!Q:Q)</f>
        <v>20696769</v>
      </c>
      <c r="G40" s="161">
        <f>SUMIF('Executive Pay Breakdown'!B:B,$B40,'Executive Pay Breakdown'!U:U)</f>
        <v>38642945</v>
      </c>
      <c r="H40" s="161">
        <f>SUMIF('Executive Pay Breakdown'!B:B,$B40,'Executive Pay Breakdown'!Y:Y)</f>
        <v>38030075</v>
      </c>
      <c r="I40" s="161">
        <f>SUMIF('Executive Pay Breakdown'!B:B,$B40,'Executive Pay Breakdown'!AC:AC)</f>
        <v>33422153</v>
      </c>
      <c r="J40" s="172"/>
      <c r="K40" s="173" t="s">
        <v>704</v>
      </c>
      <c r="L40" s="174"/>
      <c r="M40" s="174" t="b">
        <f t="shared" ref="M40:N40" si="87">(F40/1000000)&gt;(AA40)</f>
        <v>1</v>
      </c>
      <c r="N40" s="174" t="b">
        <f t="shared" si="87"/>
        <v>1</v>
      </c>
      <c r="O40" s="174"/>
      <c r="P40" s="174" t="b">
        <f>(I40/1000000)&gt;(AD40)</f>
        <v>1</v>
      </c>
      <c r="Q40" s="172"/>
      <c r="R40" s="175">
        <f t="shared" si="11"/>
        <v>2045.29</v>
      </c>
      <c r="S40" s="176">
        <f t="array" ref="S40">INDEX('Federal Tax, Stock Buybacks, &amp; '!U:U,MATCH($B40,'Federal Tax, Stock Buybacks, &amp; '!$E:$E,0))</f>
        <v>273.49</v>
      </c>
      <c r="T40" s="176">
        <f t="array" ref="T40">INDEX('Federal Tax, Stock Buybacks, &amp; '!V:V,MATCH($B40,'Federal Tax, Stock Buybacks, &amp; '!$E:$E,0))</f>
        <v>266.96</v>
      </c>
      <c r="U40" s="176">
        <f t="array" ref="U40">INDEX('Federal Tax, Stock Buybacks, &amp; '!W:W,MATCH($B40,'Federal Tax, Stock Buybacks, &amp; '!$E:$E,0))</f>
        <v>94.62</v>
      </c>
      <c r="V40" s="176">
        <f t="array" ref="V40">INDEX('Federal Tax, Stock Buybacks, &amp; '!X:X,MATCH($B40,'Federal Tax, Stock Buybacks, &amp; '!$E:$E,0))</f>
        <v>709.33</v>
      </c>
      <c r="W40" s="176">
        <f t="array" ref="W40">INDEX('Federal Tax, Stock Buybacks, &amp; '!Y:Y,MATCH($B40,'Federal Tax, Stock Buybacks, &amp; '!$E:$E,0))</f>
        <v>700.89</v>
      </c>
      <c r="X40" s="172"/>
      <c r="Y40" s="177">
        <f t="shared" si="12"/>
        <v>199.29</v>
      </c>
      <c r="Z40" s="178">
        <f t="array" ref="Z40">INDEX('Federal Tax, Stock Buybacks, &amp; '!AB:AB,MATCH($B40,'Federal Tax, Stock Buybacks, &amp; '!$E:$E,0))</f>
        <v>123.59</v>
      </c>
      <c r="AA40" s="178">
        <f t="array" ref="AA40">INDEX('Federal Tax, Stock Buybacks, &amp; '!AC:AC,MATCH($B40,'Federal Tax, Stock Buybacks, &amp; '!$E:$E,0))</f>
        <v>20.16</v>
      </c>
      <c r="AB40" s="178">
        <f t="array" ref="AB40">INDEX('Federal Tax, Stock Buybacks, &amp; '!AD:AD,MATCH($B40,'Federal Tax, Stock Buybacks, &amp; '!$E:$E,0))</f>
        <v>-49.78</v>
      </c>
      <c r="AC40" s="178">
        <f t="array" ref="AC40">INDEX('Federal Tax, Stock Buybacks, &amp; '!AE:AE,MATCH($B40,'Federal Tax, Stock Buybacks, &amp; '!$E:$E,0))</f>
        <v>95.23</v>
      </c>
      <c r="AD40" s="178">
        <f t="array" ref="AD40">INDEX('Federal Tax, Stock Buybacks, &amp; '!AF:AF,MATCH($B40,'Federal Tax, Stock Buybacks, &amp; '!$E:$E,0))</f>
        <v>10.09</v>
      </c>
      <c r="AE40" s="172"/>
      <c r="AF40" s="164">
        <f t="shared" ref="AF40:AK40" si="88">Y40/R40</f>
        <v>0.09743850505</v>
      </c>
      <c r="AG40" s="165">
        <f t="shared" si="88"/>
        <v>0.451899521</v>
      </c>
      <c r="AH40" s="165">
        <f t="shared" si="88"/>
        <v>0.07551693138</v>
      </c>
      <c r="AI40" s="165">
        <f t="shared" si="88"/>
        <v>-0.5261044177</v>
      </c>
      <c r="AJ40" s="165">
        <f t="shared" si="88"/>
        <v>0.1342534504</v>
      </c>
      <c r="AK40" s="165">
        <f t="shared" si="88"/>
        <v>0.01439598225</v>
      </c>
      <c r="AL40" s="172"/>
      <c r="AM40" s="175">
        <f t="shared" si="14"/>
        <v>1687</v>
      </c>
      <c r="AN40" s="176">
        <f t="array" ref="AN40">INDEX('Federal Tax, Stock Buybacks, &amp; '!AP:AP,MATCH($B40,'Federal Tax, Stock Buybacks, &amp; '!$E:$E,0))</f>
        <v>518</v>
      </c>
      <c r="AO40" s="176">
        <f t="array" ref="AO40">INDEX('Federal Tax, Stock Buybacks, &amp; '!AQ:AQ,MATCH($B40,'Federal Tax, Stock Buybacks, &amp; '!$E:$E,0))</f>
        <v>107</v>
      </c>
      <c r="AP40" s="176">
        <f t="array" ref="AP40">INDEX('Federal Tax, Stock Buybacks, &amp; '!AR:AR,MATCH($B40,'Federal Tax, Stock Buybacks, &amp; '!$E:$E,0))</f>
        <v>146</v>
      </c>
      <c r="AQ40" s="176">
        <f t="array" ref="AQ40">INDEX('Federal Tax, Stock Buybacks, &amp; '!AS:AS,MATCH($B40,'Federal Tax, Stock Buybacks, &amp; '!$E:$E,0))</f>
        <v>354</v>
      </c>
      <c r="AR40" s="176">
        <f t="array" ref="AR40">INDEX('Federal Tax, Stock Buybacks, &amp; '!AT:AT,MATCH($B40,'Federal Tax, Stock Buybacks, &amp; '!$E:$E,0))</f>
        <v>562</v>
      </c>
      <c r="AS40" s="172"/>
      <c r="AT40" s="175">
        <f t="shared" si="15"/>
        <v>2777.7</v>
      </c>
      <c r="AU40" s="176">
        <f t="array" ref="AU40">INDEX('Federal Tax, Stock Buybacks, &amp; '!AW:AW,MATCH($B40,'Federal Tax, Stock Buybacks, &amp; '!$E:$E,0))</f>
        <v>602.8</v>
      </c>
      <c r="AV40" s="176">
        <f t="array" ref="AV40">INDEX('Federal Tax, Stock Buybacks, &amp; '!AX:AX,MATCH($B40,'Federal Tax, Stock Buybacks, &amp; '!$E:$E,0))</f>
        <v>566.4</v>
      </c>
      <c r="AW40" s="176">
        <f t="array" ref="AW40">INDEX('Federal Tax, Stock Buybacks, &amp; '!AY:AY,MATCH($B40,'Federal Tax, Stock Buybacks, &amp; '!$E:$E,0))</f>
        <v>560.8</v>
      </c>
      <c r="AX40" s="176">
        <f t="array" ref="AX40">INDEX('Federal Tax, Stock Buybacks, &amp; '!AZ:AZ,MATCH($B40,'Federal Tax, Stock Buybacks, &amp; '!$E:$E,0))</f>
        <v>552.9</v>
      </c>
      <c r="AY40" s="176">
        <f t="array" ref="AY40">INDEX('Federal Tax, Stock Buybacks, &amp; '!BA:BA,MATCH($B40,'Federal Tax, Stock Buybacks, &amp; '!$E:$E,0))</f>
        <v>494.8</v>
      </c>
      <c r="AZ40" s="172"/>
      <c r="BA40" s="166">
        <f t="shared" si="81"/>
        <v>53540.2</v>
      </c>
      <c r="BB40" s="179">
        <f t="shared" si="82"/>
        <v>267701</v>
      </c>
      <c r="BC40" s="188">
        <v>55729.0</v>
      </c>
      <c r="BD40" s="188">
        <v>52339.0</v>
      </c>
      <c r="BE40" s="188">
        <v>51114.0</v>
      </c>
      <c r="BF40" s="188">
        <v>54234.0</v>
      </c>
      <c r="BG40" s="188">
        <v>54285.0</v>
      </c>
      <c r="BH40" s="87"/>
      <c r="BI40" s="154"/>
      <c r="BJ40" s="189" t="s">
        <v>695</v>
      </c>
      <c r="BK40" s="87"/>
      <c r="BL40" s="87"/>
    </row>
    <row r="41" ht="15.0" customHeight="1">
      <c r="A41" s="196">
        <f t="array" ref="A41">INDEX('Federal Tax, Stock Buybacks, &amp; '!D:D,match(B41,'Federal Tax, Stock Buybacks, &amp; '!E:E,0))</f>
        <v>263</v>
      </c>
      <c r="B41" s="197" t="s">
        <v>66</v>
      </c>
      <c r="C41" s="185" t="s">
        <v>693</v>
      </c>
      <c r="D41" s="160">
        <f>SUMIF('Executive Pay Breakdown'!B:B,$B41,'Executive Pay Breakdown'!M:M)+SUMIF('Executive Pay Breakdown'!B:B,$B41,'Executive Pay Breakdown'!Q:Q)+SUMIF('Executive Pay Breakdown'!B:B,$B41,'Executive Pay Breakdown'!U:U)+SUMIF('Executive Pay Breakdown'!B:B,$B41,'Executive Pay Breakdown'!Y:Y)+SUMIF('Executive Pay Breakdown'!B:B,$B41,'Executive Pay Breakdown'!AC:AC)</f>
        <v>151543151</v>
      </c>
      <c r="E41" s="161">
        <f>SUMIF('Executive Pay Breakdown'!B:B,$B41,'Executive Pay Breakdown'!M:M)</f>
        <v>33968087</v>
      </c>
      <c r="F41" s="161">
        <f>SUMIF('Executive Pay Breakdown'!B:B,$B41,'Executive Pay Breakdown'!Q:Q)</f>
        <v>32682181</v>
      </c>
      <c r="G41" s="161">
        <f>SUMIF('Executive Pay Breakdown'!B:B,$B41,'Executive Pay Breakdown'!U:U)</f>
        <v>31417614</v>
      </c>
      <c r="H41" s="161">
        <f>SUMIF('Executive Pay Breakdown'!B:B,$B41,'Executive Pay Breakdown'!Y:Y)</f>
        <v>24673625</v>
      </c>
      <c r="I41" s="161">
        <f>SUMIF('Executive Pay Breakdown'!B:B,$B41,'Executive Pay Breakdown'!AC:AC)</f>
        <v>28801644</v>
      </c>
      <c r="J41" s="192"/>
      <c r="K41" s="173" t="s">
        <v>699</v>
      </c>
      <c r="L41" s="174"/>
      <c r="M41" s="174"/>
      <c r="N41" s="174" t="b">
        <f t="shared" ref="N41:O41" si="89">(G41/1000000)&gt;(AB41)</f>
        <v>1</v>
      </c>
      <c r="O41" s="174" t="b">
        <f t="shared" si="89"/>
        <v>1</v>
      </c>
      <c r="P41" s="174"/>
      <c r="Q41" s="192"/>
      <c r="R41" s="175">
        <f t="shared" si="11"/>
        <v>6427</v>
      </c>
      <c r="S41" s="176">
        <f t="array" ref="S41">INDEX('Federal Tax, Stock Buybacks, &amp; '!U:U,MATCH($B41,'Federal Tax, Stock Buybacks, &amp; '!$E:$E,0))</f>
        <v>2449</v>
      </c>
      <c r="T41" s="176">
        <f t="array" ref="T41">INDEX('Federal Tax, Stock Buybacks, &amp; '!V:V,MATCH($B41,'Federal Tax, Stock Buybacks, &amp; '!$E:$E,0))</f>
        <v>2241</v>
      </c>
      <c r="U41" s="176">
        <f t="array" ref="U41">INDEX('Federal Tax, Stock Buybacks, &amp; '!W:W,MATCH($B41,'Federal Tax, Stock Buybacks, &amp; '!$E:$E,0))</f>
        <v>227</v>
      </c>
      <c r="V41" s="176">
        <f t="array" ref="V41">INDEX('Federal Tax, Stock Buybacks, &amp; '!X:X,MATCH($B41,'Federal Tax, Stock Buybacks, &amp; '!$E:$E,0))</f>
        <v>451</v>
      </c>
      <c r="W41" s="176">
        <f t="array" ref="W41">INDEX('Federal Tax, Stock Buybacks, &amp; '!Y:Y,MATCH($B41,'Federal Tax, Stock Buybacks, &amp; '!$E:$E,0))</f>
        <v>1059</v>
      </c>
      <c r="X41" s="172"/>
      <c r="Y41" s="177">
        <f t="shared" si="12"/>
        <v>877</v>
      </c>
      <c r="Z41" s="178">
        <f t="array" ref="Z41">INDEX('Federal Tax, Stock Buybacks, &amp; '!AB:AB,MATCH($B41,'Federal Tax, Stock Buybacks, &amp; '!$E:$E,0))</f>
        <v>473</v>
      </c>
      <c r="AA41" s="178">
        <f t="array" ref="AA41">INDEX('Federal Tax, Stock Buybacks, &amp; '!AC:AC,MATCH($B41,'Federal Tax, Stock Buybacks, &amp; '!$E:$E,0))</f>
        <v>434</v>
      </c>
      <c r="AB41" s="178">
        <f t="array" ref="AB41">INDEX('Federal Tax, Stock Buybacks, &amp; '!AD:AD,MATCH($B41,'Federal Tax, Stock Buybacks, &amp; '!$E:$E,0))</f>
        <v>-208</v>
      </c>
      <c r="AC41" s="178">
        <f t="array" ref="AC41">INDEX('Federal Tax, Stock Buybacks, &amp; '!AE:AE,MATCH($B41,'Federal Tax, Stock Buybacks, &amp; '!$E:$E,0))</f>
        <v>20</v>
      </c>
      <c r="AD41" s="178">
        <f t="array" ref="AD41">INDEX('Federal Tax, Stock Buybacks, &amp; '!AF:AF,MATCH($B41,'Federal Tax, Stock Buybacks, &amp; '!$E:$E,0))</f>
        <v>158</v>
      </c>
      <c r="AE41" s="149"/>
      <c r="AF41" s="164">
        <f t="shared" ref="AF41:AK41" si="90">Y41/R41</f>
        <v>0.136455578</v>
      </c>
      <c r="AG41" s="165">
        <f t="shared" si="90"/>
        <v>0.1931400572</v>
      </c>
      <c r="AH41" s="165">
        <f t="shared" si="90"/>
        <v>0.1936635431</v>
      </c>
      <c r="AI41" s="165">
        <f t="shared" si="90"/>
        <v>-0.9162995595</v>
      </c>
      <c r="AJ41" s="165">
        <f t="shared" si="90"/>
        <v>0.044345898</v>
      </c>
      <c r="AK41" s="165">
        <f t="shared" si="90"/>
        <v>0.149197356</v>
      </c>
      <c r="AL41" s="172"/>
      <c r="AM41" s="175">
        <f t="shared" si="14"/>
        <v>321</v>
      </c>
      <c r="AN41" s="176">
        <f t="array" ref="AN41">INDEX('Federal Tax, Stock Buybacks, &amp; '!AP:AP,MATCH($B41,'Federal Tax, Stock Buybacks, &amp; '!$E:$E,0))</f>
        <v>101</v>
      </c>
      <c r="AO41" s="176">
        <f t="array" ref="AO41">INDEX('Federal Tax, Stock Buybacks, &amp; '!AQ:AQ,MATCH($B41,'Federal Tax, Stock Buybacks, &amp; '!$E:$E,0))</f>
        <v>30</v>
      </c>
      <c r="AP41" s="176">
        <f t="array" ref="AP41">INDEX('Federal Tax, Stock Buybacks, &amp; '!AR:AR,MATCH($B41,'Federal Tax, Stock Buybacks, &amp; '!$E:$E,0))</f>
        <v>54</v>
      </c>
      <c r="AQ41" s="176">
        <f t="array" ref="AQ41">INDEX('Federal Tax, Stock Buybacks, &amp; '!AS:AS,MATCH($B41,'Federal Tax, Stock Buybacks, &amp; '!$E:$E,0))</f>
        <v>30</v>
      </c>
      <c r="AR41" s="176">
        <f t="array" ref="AR41">INDEX('Federal Tax, Stock Buybacks, &amp; '!AT:AT,MATCH($B41,'Federal Tax, Stock Buybacks, &amp; '!$E:$E,0))</f>
        <v>106</v>
      </c>
      <c r="AS41" s="172"/>
      <c r="AT41" s="175">
        <f t="shared" si="15"/>
        <v>703</v>
      </c>
      <c r="AU41" s="176">
        <f t="array" ref="AU41">INDEX('Federal Tax, Stock Buybacks, &amp; '!AW:AW,MATCH($B41,'Federal Tax, Stock Buybacks, &amp; '!$E:$E,0))</f>
        <v>169</v>
      </c>
      <c r="AV41" s="176">
        <f t="array" ref="AV41">INDEX('Federal Tax, Stock Buybacks, &amp; '!AX:AX,MATCH($B41,'Federal Tax, Stock Buybacks, &amp; '!$E:$E,0))</f>
        <v>145</v>
      </c>
      <c r="AW41" s="176">
        <f t="array" ref="AW41">INDEX('Federal Tax, Stock Buybacks, &amp; '!AY:AY,MATCH($B41,'Federal Tax, Stock Buybacks, &amp; '!$E:$E,0))</f>
        <v>137</v>
      </c>
      <c r="AX41" s="176">
        <f t="array" ref="AX41">INDEX('Federal Tax, Stock Buybacks, &amp; '!AZ:AZ,MATCH($B41,'Federal Tax, Stock Buybacks, &amp; '!$E:$E,0))</f>
        <v>132</v>
      </c>
      <c r="AY41" s="176">
        <f t="array" ref="AY41">INDEX('Federal Tax, Stock Buybacks, &amp; '!BA:BA,MATCH($B41,'Federal Tax, Stock Buybacks, &amp; '!$E:$E,0))</f>
        <v>120</v>
      </c>
      <c r="AZ41" s="172"/>
      <c r="BA41" s="166">
        <f t="shared" si="81"/>
        <v>81872.4</v>
      </c>
      <c r="BB41" s="179">
        <f t="shared" si="82"/>
        <v>409362</v>
      </c>
      <c r="BC41" s="188">
        <v>76856.0</v>
      </c>
      <c r="BD41" s="188">
        <v>70250.0</v>
      </c>
      <c r="BE41" s="188">
        <v>88185.0</v>
      </c>
      <c r="BF41" s="188">
        <v>86219.0</v>
      </c>
      <c r="BG41" s="188">
        <v>87852.0</v>
      </c>
      <c r="BH41" s="87"/>
      <c r="BI41" s="154"/>
      <c r="BJ41" s="189" t="s">
        <v>695</v>
      </c>
      <c r="BK41" s="87"/>
      <c r="BL41" s="87"/>
    </row>
    <row r="42" ht="15.0" customHeight="1">
      <c r="A42" s="169">
        <f t="array" ref="A42">INDEX('Federal Tax, Stock Buybacks, &amp; '!D:D,match(B42,'Federal Tax, Stock Buybacks, &amp; '!E:E,0))</f>
        <v>370</v>
      </c>
      <c r="B42" s="187" t="s">
        <v>25</v>
      </c>
      <c r="C42" s="185" t="s">
        <v>720</v>
      </c>
      <c r="D42" s="160">
        <f>SUMIF('Executive Pay Breakdown'!B:B,$B42,'Executive Pay Breakdown'!M:M)+SUMIF('Executive Pay Breakdown'!B:B,$B42,'Executive Pay Breakdown'!Q:Q)+SUMIF('Executive Pay Breakdown'!B:B,$B42,'Executive Pay Breakdown'!U:U)+SUMIF('Executive Pay Breakdown'!B:B,$B42,'Executive Pay Breakdown'!Y:Y)+SUMIF('Executive Pay Breakdown'!B:B,$B42,'Executive Pay Breakdown'!AC:AC)</f>
        <v>150744432</v>
      </c>
      <c r="E42" s="161">
        <f>SUMIF('Executive Pay Breakdown'!B:B,$B42,'Executive Pay Breakdown'!M:M)</f>
        <v>31181083</v>
      </c>
      <c r="F42" s="161">
        <f>SUMIF('Executive Pay Breakdown'!B:B,$B42,'Executive Pay Breakdown'!Q:Q)</f>
        <v>29906684</v>
      </c>
      <c r="G42" s="161">
        <f>SUMIF('Executive Pay Breakdown'!B:B,$B42,'Executive Pay Breakdown'!U:U)</f>
        <v>28200840</v>
      </c>
      <c r="H42" s="161">
        <f>SUMIF('Executive Pay Breakdown'!B:B,$B42,'Executive Pay Breakdown'!Y:Y)</f>
        <v>35698222</v>
      </c>
      <c r="I42" s="161">
        <f>SUMIF('Executive Pay Breakdown'!B:B,$B42,'Executive Pay Breakdown'!AC:AC)</f>
        <v>25757603</v>
      </c>
      <c r="J42" s="172"/>
      <c r="K42" s="173" t="s">
        <v>694</v>
      </c>
      <c r="L42" s="174" t="b">
        <f t="shared" ref="L42:P42" si="91">(E42/1000000)&gt;(Z42)</f>
        <v>1</v>
      </c>
      <c r="M42" s="174" t="b">
        <f t="shared" si="91"/>
        <v>1</v>
      </c>
      <c r="N42" s="174" t="b">
        <f t="shared" si="91"/>
        <v>1</v>
      </c>
      <c r="O42" s="174" t="b">
        <f t="shared" si="91"/>
        <v>1</v>
      </c>
      <c r="P42" s="174" t="b">
        <f t="shared" si="91"/>
        <v>1</v>
      </c>
      <c r="Q42" s="172"/>
      <c r="R42" s="175">
        <f t="shared" si="11"/>
        <v>7818</v>
      </c>
      <c r="S42" s="176">
        <f t="array" ref="S42">INDEX('Federal Tax, Stock Buybacks, &amp; '!U:U,MATCH($B42,'Federal Tax, Stock Buybacks, &amp; '!$E:$E,0))</f>
        <v>2455</v>
      </c>
      <c r="T42" s="176">
        <f t="array" ref="T42">INDEX('Federal Tax, Stock Buybacks, &amp; '!V:V,MATCH($B42,'Federal Tax, Stock Buybacks, &amp; '!$E:$E,0))</f>
        <v>2027</v>
      </c>
      <c r="U42" s="176">
        <f t="array" ref="U42">INDEX('Federal Tax, Stock Buybacks, &amp; '!W:W,MATCH($B42,'Federal Tax, Stock Buybacks, &amp; '!$E:$E,0))</f>
        <v>291</v>
      </c>
      <c r="V42" s="176">
        <f t="array" ref="V42">INDEX('Federal Tax, Stock Buybacks, &amp; '!X:X,MATCH($B42,'Federal Tax, Stock Buybacks, &amp; '!$E:$E,0))</f>
        <v>1211</v>
      </c>
      <c r="W42" s="176">
        <f t="array" ref="W42">INDEX('Federal Tax, Stock Buybacks, &amp; '!Y:Y,MATCH($B42,'Federal Tax, Stock Buybacks, &amp; '!$E:$E,0))</f>
        <v>1834</v>
      </c>
      <c r="X42" s="172"/>
      <c r="Y42" s="177">
        <f t="shared" si="12"/>
        <v>-179</v>
      </c>
      <c r="Z42" s="178">
        <f t="array" ref="Z42">INDEX('Federal Tax, Stock Buybacks, &amp; '!AB:AB,MATCH($B42,'Federal Tax, Stock Buybacks, &amp; '!$E:$E,0))</f>
        <v>-25</v>
      </c>
      <c r="AA42" s="178">
        <f t="array" ref="AA42">INDEX('Federal Tax, Stock Buybacks, &amp; '!AC:AC,MATCH($B42,'Federal Tax, Stock Buybacks, &amp; '!$E:$E,0))</f>
        <v>-1</v>
      </c>
      <c r="AB42" s="178">
        <f t="array" ref="AB42">INDEX('Federal Tax, Stock Buybacks, &amp; '!AD:AD,MATCH($B42,'Federal Tax, Stock Buybacks, &amp; '!$E:$E,0))</f>
        <v>-29</v>
      </c>
      <c r="AC42" s="178">
        <f t="array" ref="AC42">INDEX('Federal Tax, Stock Buybacks, &amp; '!AE:AE,MATCH($B42,'Federal Tax, Stock Buybacks, &amp; '!$E:$E,0))</f>
        <v>-41</v>
      </c>
      <c r="AD42" s="178">
        <f t="array" ref="AD42">INDEX('Federal Tax, Stock Buybacks, &amp; '!AF:AF,MATCH($B42,'Federal Tax, Stock Buybacks, &amp; '!$E:$E,0))</f>
        <v>-83</v>
      </c>
      <c r="AE42" s="172"/>
      <c r="AF42" s="164">
        <f t="shared" ref="AF42:AK42" si="92">Y42/R42</f>
        <v>-0.0228958813</v>
      </c>
      <c r="AG42" s="165">
        <f t="shared" si="92"/>
        <v>-0.01018329939</v>
      </c>
      <c r="AH42" s="165">
        <f t="shared" si="92"/>
        <v>-0.0004933399112</v>
      </c>
      <c r="AI42" s="165">
        <f t="shared" si="92"/>
        <v>-0.09965635739</v>
      </c>
      <c r="AJ42" s="165">
        <f t="shared" si="92"/>
        <v>-0.03385631709</v>
      </c>
      <c r="AK42" s="165">
        <f t="shared" si="92"/>
        <v>-0.04525627045</v>
      </c>
      <c r="AL42" s="172"/>
      <c r="AM42" s="175">
        <f t="shared" si="14"/>
        <v>0</v>
      </c>
      <c r="AN42" s="176">
        <f t="array" ref="AN42">INDEX('Federal Tax, Stock Buybacks, &amp; '!AP:AP,MATCH($B42,'Federal Tax, Stock Buybacks, &amp; '!$E:$E,0))</f>
        <v>0</v>
      </c>
      <c r="AO42" s="176">
        <f t="array" ref="AO42">INDEX('Federal Tax, Stock Buybacks, &amp; '!AQ:AQ,MATCH($B42,'Federal Tax, Stock Buybacks, &amp; '!$E:$E,0))</f>
        <v>0</v>
      </c>
      <c r="AP42" s="176">
        <f t="array" ref="AP42">INDEX('Federal Tax, Stock Buybacks, &amp; '!AR:AR,MATCH($B42,'Federal Tax, Stock Buybacks, &amp; '!$E:$E,0))</f>
        <v>0</v>
      </c>
      <c r="AQ42" s="176">
        <f t="array" ref="AQ42">INDEX('Federal Tax, Stock Buybacks, &amp; '!AS:AS,MATCH($B42,'Federal Tax, Stock Buybacks, &amp; '!$E:$E,0))</f>
        <v>0</v>
      </c>
      <c r="AR42" s="176">
        <f t="array" ref="AR42">INDEX('Federal Tax, Stock Buybacks, &amp; '!AT:AT,MATCH($B42,'Federal Tax, Stock Buybacks, &amp; '!$E:$E,0))</f>
        <v>0</v>
      </c>
      <c r="AS42" s="172"/>
      <c r="AT42" s="175">
        <f t="shared" si="15"/>
        <v>9232</v>
      </c>
      <c r="AU42" s="176">
        <f t="array" ref="AU42">INDEX('Federal Tax, Stock Buybacks, &amp; '!AW:AW,MATCH($B42,'Federal Tax, Stock Buybacks, &amp; '!$E:$E,0))</f>
        <v>2071</v>
      </c>
      <c r="AV42" s="176">
        <f t="array" ref="AV42">INDEX('Federal Tax, Stock Buybacks, &amp; '!AX:AX,MATCH($B42,'Federal Tax, Stock Buybacks, &amp; '!$E:$E,0))</f>
        <v>1992</v>
      </c>
      <c r="AW42" s="176">
        <f t="array" ref="AW42">INDEX('Federal Tax, Stock Buybacks, &amp; '!AY:AY,MATCH($B42,'Federal Tax, Stock Buybacks, &amp; '!$E:$E,0))</f>
        <v>1941</v>
      </c>
      <c r="AX42" s="176">
        <f t="array" ref="AX42">INDEX('Federal Tax, Stock Buybacks, &amp; '!AZ:AZ,MATCH($B42,'Federal Tax, Stock Buybacks, &amp; '!$E:$E,0))</f>
        <v>1842</v>
      </c>
      <c r="AY42" s="176">
        <f t="array" ref="AY42">INDEX('Federal Tax, Stock Buybacks, &amp; '!BA:BA,MATCH($B42,'Federal Tax, Stock Buybacks, &amp; '!$E:$E,0))</f>
        <v>1386</v>
      </c>
      <c r="AZ42" s="172"/>
      <c r="BA42" s="166">
        <f t="shared" si="81"/>
        <v>148377.2</v>
      </c>
      <c r="BB42" s="179">
        <f t="shared" si="82"/>
        <v>741886</v>
      </c>
      <c r="BC42" s="188">
        <v>129286.0</v>
      </c>
      <c r="BD42" s="188">
        <v>167343.0</v>
      </c>
      <c r="BE42" s="188">
        <v>145112.0</v>
      </c>
      <c r="BF42" s="188">
        <v>177403.0</v>
      </c>
      <c r="BG42" s="188">
        <v>122742.0</v>
      </c>
      <c r="BH42" s="87"/>
      <c r="BI42" s="154"/>
      <c r="BJ42" s="189" t="s">
        <v>695</v>
      </c>
      <c r="BK42" s="87"/>
      <c r="BL42" s="87"/>
    </row>
    <row r="43" ht="15.0" customHeight="1">
      <c r="A43" s="169">
        <f t="array" ref="A43">INDEX('Federal Tax, Stock Buybacks, &amp; '!D:D,match(B43,'Federal Tax, Stock Buybacks, &amp; '!E:E,0))</f>
        <v>520</v>
      </c>
      <c r="B43" s="187" t="s">
        <v>46</v>
      </c>
      <c r="C43" s="185" t="s">
        <v>702</v>
      </c>
      <c r="D43" s="160">
        <f>SUMIF('Executive Pay Breakdown'!B:B,$B43,'Executive Pay Breakdown'!M:M)+SUMIF('Executive Pay Breakdown'!B:B,$B43,'Executive Pay Breakdown'!Q:Q)+SUMIF('Executive Pay Breakdown'!B:B,$B43,'Executive Pay Breakdown'!U:U)+SUMIF('Executive Pay Breakdown'!B:B,$B43,'Executive Pay Breakdown'!Y:Y)+SUMIF('Executive Pay Breakdown'!B:B,$B43,'Executive Pay Breakdown'!AC:AC)</f>
        <v>149787784</v>
      </c>
      <c r="E43" s="161">
        <f>SUMIF('Executive Pay Breakdown'!B:B,$B43,'Executive Pay Breakdown'!M:M)</f>
        <v>33313101</v>
      </c>
      <c r="F43" s="161">
        <f>SUMIF('Executive Pay Breakdown'!B:B,$B43,'Executive Pay Breakdown'!Q:Q)</f>
        <v>30988527</v>
      </c>
      <c r="G43" s="161">
        <f>SUMIF('Executive Pay Breakdown'!B:B,$B43,'Executive Pay Breakdown'!U:U)</f>
        <v>28903799</v>
      </c>
      <c r="H43" s="161">
        <f>SUMIF('Executive Pay Breakdown'!B:B,$B43,'Executive Pay Breakdown'!Y:Y)</f>
        <v>25569643</v>
      </c>
      <c r="I43" s="161">
        <f>SUMIF('Executive Pay Breakdown'!B:B,$B43,'Executive Pay Breakdown'!AC:AC)</f>
        <v>31012714</v>
      </c>
      <c r="J43" s="172"/>
      <c r="K43" s="173" t="s">
        <v>694</v>
      </c>
      <c r="L43" s="174"/>
      <c r="M43" s="174"/>
      <c r="N43" s="174" t="b">
        <f t="shared" ref="N43:P43" si="93">(G43/1000000)&gt;(AB43)</f>
        <v>1</v>
      </c>
      <c r="O43" s="174" t="b">
        <f t="shared" si="93"/>
        <v>1</v>
      </c>
      <c r="P43" s="174" t="b">
        <f t="shared" si="93"/>
        <v>1</v>
      </c>
      <c r="Q43" s="172"/>
      <c r="R43" s="175">
        <f t="shared" si="11"/>
        <v>2097</v>
      </c>
      <c r="S43" s="176">
        <f t="array" ref="S43">INDEX('Federal Tax, Stock Buybacks, &amp; '!U:U,MATCH($B43,'Federal Tax, Stock Buybacks, &amp; '!$E:$E,0))</f>
        <v>836</v>
      </c>
      <c r="T43" s="176">
        <f t="array" ref="T43">INDEX('Federal Tax, Stock Buybacks, &amp; '!V:V,MATCH($B43,'Federal Tax, Stock Buybacks, &amp; '!$E:$E,0))</f>
        <v>859</v>
      </c>
      <c r="U43" s="176">
        <f t="array" ref="U43">INDEX('Federal Tax, Stock Buybacks, &amp; '!W:W,MATCH($B43,'Federal Tax, Stock Buybacks, &amp; '!$E:$E,0))</f>
        <v>49</v>
      </c>
      <c r="V43" s="176">
        <f t="array" ref="V43">INDEX('Federal Tax, Stock Buybacks, &amp; '!X:X,MATCH($B43,'Federal Tax, Stock Buybacks, &amp; '!$E:$E,0))</f>
        <v>185</v>
      </c>
      <c r="W43" s="176">
        <f t="array" ref="W43">INDEX('Federal Tax, Stock Buybacks, &amp; '!Y:Y,MATCH($B43,'Federal Tax, Stock Buybacks, &amp; '!$E:$E,0))</f>
        <v>168</v>
      </c>
      <c r="X43" s="172"/>
      <c r="Y43" s="177">
        <f t="shared" si="12"/>
        <v>130</v>
      </c>
      <c r="Z43" s="178">
        <f t="array" ref="Z43">INDEX('Federal Tax, Stock Buybacks, &amp; '!AB:AB,MATCH($B43,'Federal Tax, Stock Buybacks, &amp; '!$E:$E,0))</f>
        <v>173</v>
      </c>
      <c r="AA43" s="178">
        <f t="array" ref="AA43">INDEX('Federal Tax, Stock Buybacks, &amp; '!AC:AC,MATCH($B43,'Federal Tax, Stock Buybacks, &amp; '!$E:$E,0))</f>
        <v>122</v>
      </c>
      <c r="AB43" s="178">
        <f t="array" ref="AB43">INDEX('Federal Tax, Stock Buybacks, &amp; '!AD:AD,MATCH($B43,'Federal Tax, Stock Buybacks, &amp; '!$E:$E,0))</f>
        <v>5</v>
      </c>
      <c r="AC43" s="178">
        <f t="array" ref="AC43">INDEX('Federal Tax, Stock Buybacks, &amp; '!AE:AE,MATCH($B43,'Federal Tax, Stock Buybacks, &amp; '!$E:$E,0))</f>
        <v>-191</v>
      </c>
      <c r="AD43" s="178">
        <f t="array" ref="AD43">INDEX('Federal Tax, Stock Buybacks, &amp; '!AF:AF,MATCH($B43,'Federal Tax, Stock Buybacks, &amp; '!$E:$E,0))</f>
        <v>21</v>
      </c>
      <c r="AE43" s="172"/>
      <c r="AF43" s="164">
        <f t="shared" ref="AF43:AK43" si="94">Y43/R43</f>
        <v>0.0619933238</v>
      </c>
      <c r="AG43" s="165">
        <f t="shared" si="94"/>
        <v>0.206937799</v>
      </c>
      <c r="AH43" s="165">
        <f t="shared" si="94"/>
        <v>0.1420256112</v>
      </c>
      <c r="AI43" s="165">
        <f t="shared" si="94"/>
        <v>0.1020408163</v>
      </c>
      <c r="AJ43" s="165">
        <f t="shared" si="94"/>
        <v>-1.032432432</v>
      </c>
      <c r="AK43" s="165">
        <f t="shared" si="94"/>
        <v>0.125</v>
      </c>
      <c r="AL43" s="172"/>
      <c r="AM43" s="175">
        <f t="shared" si="14"/>
        <v>3541</v>
      </c>
      <c r="AN43" s="176">
        <f t="array" ref="AN43">INDEX('Federal Tax, Stock Buybacks, &amp; '!AP:AP,MATCH($B43,'Federal Tax, Stock Buybacks, &amp; '!$E:$E,0))</f>
        <v>1139</v>
      </c>
      <c r="AO43" s="176">
        <f t="array" ref="AO43">INDEX('Federal Tax, Stock Buybacks, &amp; '!AQ:AQ,MATCH($B43,'Federal Tax, Stock Buybacks, &amp; '!$E:$E,0))</f>
        <v>788</v>
      </c>
      <c r="AP43" s="176">
        <f t="array" ref="AP43">INDEX('Federal Tax, Stock Buybacks, &amp; '!AR:AR,MATCH($B43,'Federal Tax, Stock Buybacks, &amp; '!$E:$E,0))</f>
        <v>469</v>
      </c>
      <c r="AQ43" s="176">
        <f t="array" ref="AQ43">INDEX('Federal Tax, Stock Buybacks, &amp; '!AS:AS,MATCH($B43,'Federal Tax, Stock Buybacks, &amp; '!$E:$E,0))</f>
        <v>723</v>
      </c>
      <c r="AR43" s="176">
        <f t="array" ref="AR43">INDEX('Federal Tax, Stock Buybacks, &amp; '!AT:AT,MATCH($B43,'Federal Tax, Stock Buybacks, &amp; '!$E:$E,0))</f>
        <v>422</v>
      </c>
      <c r="AS43" s="172"/>
      <c r="AT43" s="175">
        <f t="shared" si="15"/>
        <v>1105</v>
      </c>
      <c r="AU43" s="176">
        <f t="array" ref="AU43">INDEX('Federal Tax, Stock Buybacks, &amp; '!AW:AW,MATCH($B43,'Federal Tax, Stock Buybacks, &amp; '!$E:$E,0))</f>
        <v>250</v>
      </c>
      <c r="AV43" s="176">
        <f t="array" ref="AV43">INDEX('Federal Tax, Stock Buybacks, &amp; '!AX:AX,MATCH($B43,'Federal Tax, Stock Buybacks, &amp; '!$E:$E,0))</f>
        <v>236</v>
      </c>
      <c r="AW43" s="176">
        <f t="array" ref="AW43">INDEX('Federal Tax, Stock Buybacks, &amp; '!AY:AY,MATCH($B43,'Federal Tax, Stock Buybacks, &amp; '!$E:$E,0))</f>
        <v>222</v>
      </c>
      <c r="AX43" s="176">
        <f t="array" ref="AX43">INDEX('Federal Tax, Stock Buybacks, &amp; '!AZ:AZ,MATCH($B43,'Federal Tax, Stock Buybacks, &amp; '!$E:$E,0))</f>
        <v>206</v>
      </c>
      <c r="AY43" s="176">
        <f t="array" ref="AY43">INDEX('Federal Tax, Stock Buybacks, &amp; '!BA:BA,MATCH($B43,'Federal Tax, Stock Buybacks, &amp; '!$E:$E,0))</f>
        <v>191</v>
      </c>
      <c r="AZ43" s="172"/>
      <c r="BA43" s="166">
        <f t="shared" si="81"/>
        <v>74284.2</v>
      </c>
      <c r="BB43" s="179">
        <f t="shared" si="82"/>
        <v>371421</v>
      </c>
      <c r="BC43" s="188">
        <v>75498.0</v>
      </c>
      <c r="BD43" s="188">
        <v>82890.0</v>
      </c>
      <c r="BE43" s="188">
        <v>74440.0</v>
      </c>
      <c r="BF43" s="188">
        <v>70014.0</v>
      </c>
      <c r="BG43" s="188">
        <v>68579.0</v>
      </c>
      <c r="BH43" s="87"/>
      <c r="BI43" s="154"/>
      <c r="BJ43" s="189" t="s">
        <v>695</v>
      </c>
      <c r="BK43" s="87"/>
      <c r="BL43" s="87"/>
    </row>
    <row r="44" ht="15.0" customHeight="1">
      <c r="A44" s="169">
        <f t="array" ref="A44">INDEX('Federal Tax, Stock Buybacks, &amp; '!D:D,match(B44,'Federal Tax, Stock Buybacks, &amp; '!E:E,0))</f>
        <v>470</v>
      </c>
      <c r="B44" s="187" t="s">
        <v>37</v>
      </c>
      <c r="C44" s="185" t="s">
        <v>716</v>
      </c>
      <c r="D44" s="160">
        <f>SUMIF('Executive Pay Breakdown'!B:B,$B44,'Executive Pay Breakdown'!M:M)+SUMIF('Executive Pay Breakdown'!B:B,$B44,'Executive Pay Breakdown'!Q:Q)+SUMIF('Executive Pay Breakdown'!B:B,$B44,'Executive Pay Breakdown'!U:U)+SUMIF('Executive Pay Breakdown'!B:B,$B44,'Executive Pay Breakdown'!Y:Y)+SUMIF('Executive Pay Breakdown'!B:B,$B44,'Executive Pay Breakdown'!AC:AC)</f>
        <v>149785363</v>
      </c>
      <c r="E44" s="161">
        <f>SUMIF('Executive Pay Breakdown'!B:B,$B44,'Executive Pay Breakdown'!M:M)</f>
        <v>19994484</v>
      </c>
      <c r="F44" s="161">
        <f>SUMIF('Executive Pay Breakdown'!B:B,$B44,'Executive Pay Breakdown'!Q:Q)</f>
        <v>31240592</v>
      </c>
      <c r="G44" s="161">
        <f>SUMIF('Executive Pay Breakdown'!B:B,$B44,'Executive Pay Breakdown'!U:U)</f>
        <v>32674567</v>
      </c>
      <c r="H44" s="161">
        <f>SUMIF('Executive Pay Breakdown'!B:B,$B44,'Executive Pay Breakdown'!Y:Y)</f>
        <v>34289125</v>
      </c>
      <c r="I44" s="161">
        <f>SUMIF('Executive Pay Breakdown'!B:B,$B44,'Executive Pay Breakdown'!AC:AC)</f>
        <v>31586595</v>
      </c>
      <c r="J44" s="172"/>
      <c r="K44" s="173" t="s">
        <v>694</v>
      </c>
      <c r="L44" s="174" t="b">
        <f t="shared" ref="L44:P44" si="95">(E44/1000000)&gt;(Z44)</f>
        <v>1</v>
      </c>
      <c r="M44" s="174" t="b">
        <f t="shared" si="95"/>
        <v>1</v>
      </c>
      <c r="N44" s="174" t="b">
        <f t="shared" si="95"/>
        <v>1</v>
      </c>
      <c r="O44" s="174" t="b">
        <f t="shared" si="95"/>
        <v>1</v>
      </c>
      <c r="P44" s="174" t="b">
        <f t="shared" si="95"/>
        <v>1</v>
      </c>
      <c r="Q44" s="172"/>
      <c r="R44" s="175">
        <f t="shared" si="11"/>
        <v>4309</v>
      </c>
      <c r="S44" s="176">
        <f t="array" ref="S44">INDEX('Federal Tax, Stock Buybacks, &amp; '!U:U,MATCH($B44,'Federal Tax, Stock Buybacks, &amp; '!$E:$E,0))</f>
        <v>891</v>
      </c>
      <c r="T44" s="176">
        <f t="array" ref="T44">INDEX('Federal Tax, Stock Buybacks, &amp; '!V:V,MATCH($B44,'Federal Tax, Stock Buybacks, &amp; '!$E:$E,0))</f>
        <v>485</v>
      </c>
      <c r="U44" s="176">
        <f t="array" ref="U44">INDEX('Federal Tax, Stock Buybacks, &amp; '!W:W,MATCH($B44,'Federal Tax, Stock Buybacks, &amp; '!$E:$E,0))</f>
        <v>878</v>
      </c>
      <c r="V44" s="176">
        <f t="array" ref="V44">INDEX('Federal Tax, Stock Buybacks, &amp; '!X:X,MATCH($B44,'Federal Tax, Stock Buybacks, &amp; '!$E:$E,0))</f>
        <v>945</v>
      </c>
      <c r="W44" s="176">
        <f t="array" ref="W44">INDEX('Federal Tax, Stock Buybacks, &amp; '!Y:Y,MATCH($B44,'Federal Tax, Stock Buybacks, &amp; '!$E:$E,0))</f>
        <v>1110</v>
      </c>
      <c r="X44" s="172"/>
      <c r="Y44" s="177">
        <f t="shared" si="12"/>
        <v>-40</v>
      </c>
      <c r="Z44" s="178">
        <f t="array" ref="Z44">INDEX('Federal Tax, Stock Buybacks, &amp; '!AB:AB,MATCH($B44,'Federal Tax, Stock Buybacks, &amp; '!$E:$E,0))</f>
        <v>-2</v>
      </c>
      <c r="AA44" s="178">
        <f t="array" ref="AA44">INDEX('Federal Tax, Stock Buybacks, &amp; '!AC:AC,MATCH($B44,'Federal Tax, Stock Buybacks, &amp; '!$E:$E,0))</f>
        <v>-1</v>
      </c>
      <c r="AB44" s="178">
        <f t="array" ref="AB44">INDEX('Federal Tax, Stock Buybacks, &amp; '!AD:AD,MATCH($B44,'Federal Tax, Stock Buybacks, &amp; '!$E:$E,0))</f>
        <v>-8</v>
      </c>
      <c r="AC44" s="178">
        <f t="array" ref="AC44">INDEX('Federal Tax, Stock Buybacks, &amp; '!AE:AE,MATCH($B44,'Federal Tax, Stock Buybacks, &amp; '!$E:$E,0))</f>
        <v>-10</v>
      </c>
      <c r="AD44" s="178">
        <f t="array" ref="AD44">INDEX('Federal Tax, Stock Buybacks, &amp; '!AF:AF,MATCH($B44,'Federal Tax, Stock Buybacks, &amp; '!$E:$E,0))</f>
        <v>-19</v>
      </c>
      <c r="AE44" s="172"/>
      <c r="AF44" s="164">
        <f t="shared" ref="AF44:AK44" si="96">Y44/R44</f>
        <v>-0.009282896264</v>
      </c>
      <c r="AG44" s="165">
        <f t="shared" si="96"/>
        <v>-0.002244668911</v>
      </c>
      <c r="AH44" s="165">
        <f t="shared" si="96"/>
        <v>-0.00206185567</v>
      </c>
      <c r="AI44" s="165">
        <f t="shared" si="96"/>
        <v>-0.009111617312</v>
      </c>
      <c r="AJ44" s="165">
        <f t="shared" si="96"/>
        <v>-0.01058201058</v>
      </c>
      <c r="AK44" s="165">
        <f t="shared" si="96"/>
        <v>-0.01711711712</v>
      </c>
      <c r="AL44" s="172"/>
      <c r="AM44" s="175">
        <f t="shared" si="14"/>
        <v>1003</v>
      </c>
      <c r="AN44" s="176">
        <f t="array" ref="AN44">INDEX('Federal Tax, Stock Buybacks, &amp; '!AP:AP,MATCH($B44,'Federal Tax, Stock Buybacks, &amp; '!$E:$E,0))</f>
        <v>0</v>
      </c>
      <c r="AO44" s="176">
        <f t="array" ref="AO44">INDEX('Federal Tax, Stock Buybacks, &amp; '!AQ:AQ,MATCH($B44,'Federal Tax, Stock Buybacks, &amp; '!$E:$E,0))</f>
        <v>1003</v>
      </c>
      <c r="AP44" s="176">
        <f t="array" ref="AP44">INDEX('Federal Tax, Stock Buybacks, &amp; '!AR:AR,MATCH($B44,'Federal Tax, Stock Buybacks, &amp; '!$E:$E,0))</f>
        <v>0</v>
      </c>
      <c r="AQ44" s="176">
        <f t="array" ref="AQ44">INDEX('Federal Tax, Stock Buybacks, &amp; '!AS:AS,MATCH($B44,'Federal Tax, Stock Buybacks, &amp; '!$E:$E,0))</f>
        <v>0</v>
      </c>
      <c r="AR44" s="176">
        <f t="array" ref="AR44">INDEX('Federal Tax, Stock Buybacks, &amp; '!AT:AT,MATCH($B44,'Federal Tax, Stock Buybacks, &amp; '!$E:$E,0))</f>
        <v>0</v>
      </c>
      <c r="AS44" s="172"/>
      <c r="AT44" s="175">
        <f t="shared" si="15"/>
        <v>5666</v>
      </c>
      <c r="AU44" s="176">
        <f t="array" ref="AU44">INDEX('Federal Tax, Stock Buybacks, &amp; '!AW:AW,MATCH($B44,'Federal Tax, Stock Buybacks, &amp; '!$E:$E,0))</f>
        <v>787</v>
      </c>
      <c r="AV44" s="176">
        <f t="array" ref="AV44">INDEX('Federal Tax, Stock Buybacks, &amp; '!AX:AX,MATCH($B44,'Federal Tax, Stock Buybacks, &amp; '!$E:$E,0))</f>
        <v>1279</v>
      </c>
      <c r="AW44" s="176">
        <f t="array" ref="AW44">INDEX('Federal Tax, Stock Buybacks, &amp; '!AY:AY,MATCH($B44,'Federal Tax, Stock Buybacks, &amp; '!$E:$E,0))</f>
        <v>1275</v>
      </c>
      <c r="AX44" s="176">
        <f t="array" ref="AX44">INDEX('Federal Tax, Stock Buybacks, &amp; '!AZ:AZ,MATCH($B44,'Federal Tax, Stock Buybacks, &amp; '!$E:$E,0))</f>
        <v>1192</v>
      </c>
      <c r="AY44" s="176">
        <f t="array" ref="AY44">INDEX('Federal Tax, Stock Buybacks, &amp; '!BA:BA,MATCH($B44,'Federal Tax, Stock Buybacks, &amp; '!$E:$E,0))</f>
        <v>1133</v>
      </c>
      <c r="AZ44" s="172"/>
      <c r="BA44" s="166">
        <f t="shared" si="81"/>
        <v>129507.6</v>
      </c>
      <c r="BB44" s="179">
        <f t="shared" si="82"/>
        <v>647538</v>
      </c>
      <c r="BC44" s="188">
        <v>126546.0</v>
      </c>
      <c r="BD44" s="188">
        <v>147670.0</v>
      </c>
      <c r="BE44" s="188">
        <v>144648.0</v>
      </c>
      <c r="BF44" s="188">
        <v>147463.0</v>
      </c>
      <c r="BG44" s="188">
        <v>81211.0</v>
      </c>
      <c r="BH44" s="87"/>
      <c r="BI44" s="154"/>
      <c r="BJ44" s="189" t="s">
        <v>695</v>
      </c>
      <c r="BK44" s="87"/>
      <c r="BL44" s="87"/>
    </row>
    <row r="45" ht="15.0" customHeight="1">
      <c r="A45" s="169">
        <f t="array" ref="A45">INDEX('Federal Tax, Stock Buybacks, &amp; '!D:D,match(B45,'Federal Tax, Stock Buybacks, &amp; '!E:E,0))</f>
        <v>11</v>
      </c>
      <c r="B45" s="218" t="s">
        <v>36</v>
      </c>
      <c r="C45" s="185" t="s">
        <v>716</v>
      </c>
      <c r="D45" s="160">
        <f>SUMIF('Executive Pay Breakdown'!B:B,$B45,'Executive Pay Breakdown'!M:M)+SUMIF('Executive Pay Breakdown'!B:B,$B45,'Executive Pay Breakdown'!Q:Q)+SUMIF('Executive Pay Breakdown'!B:B,$B45,'Executive Pay Breakdown'!U:U)+SUMIF('Executive Pay Breakdown'!B:B,$B45,'Executive Pay Breakdown'!Y:Y)+SUMIF('Executive Pay Breakdown'!B:B,$B45,'Executive Pay Breakdown'!AC:AC)</f>
        <v>148934520</v>
      </c>
      <c r="E45" s="161">
        <f>SUMIF('Executive Pay Breakdown'!B:B,$B45,'Executive Pay Breakdown'!M:M)</f>
        <v>34533111</v>
      </c>
      <c r="F45" s="161">
        <f>SUMIF('Executive Pay Breakdown'!B:B,$B45,'Executive Pay Breakdown'!Q:Q)</f>
        <v>33282588</v>
      </c>
      <c r="G45" s="161">
        <f>SUMIF('Executive Pay Breakdown'!B:B,$B45,'Executive Pay Breakdown'!U:U)</f>
        <v>29892177</v>
      </c>
      <c r="H45" s="161">
        <f>SUMIF('Executive Pay Breakdown'!B:B,$B45,'Executive Pay Breakdown'!Y:Y)</f>
        <v>25543366</v>
      </c>
      <c r="I45" s="161">
        <f>SUMIF('Executive Pay Breakdown'!B:B,$B45,'Executive Pay Breakdown'!AC:AC)</f>
        <v>25683278</v>
      </c>
      <c r="J45" s="192"/>
      <c r="K45" s="173" t="s">
        <v>694</v>
      </c>
      <c r="L45" s="174"/>
      <c r="M45" s="174"/>
      <c r="N45" s="174" t="b">
        <f t="shared" ref="N45:O45" si="97">(G45/1000000)&gt;(AB45)</f>
        <v>1</v>
      </c>
      <c r="O45" s="174" t="b">
        <f t="shared" si="97"/>
        <v>1</v>
      </c>
      <c r="P45" s="174"/>
      <c r="Q45" s="172"/>
      <c r="R45" s="175">
        <f t="shared" si="11"/>
        <v>3819.97</v>
      </c>
      <c r="S45" s="176">
        <f t="array" ref="S45">INDEX('Federal Tax, Stock Buybacks, &amp; '!U:U,MATCH($B45,'Federal Tax, Stock Buybacks, &amp; '!$E:$E,0))</f>
        <v>849.02</v>
      </c>
      <c r="T45" s="176">
        <f t="array" ref="T45">INDEX('Federal Tax, Stock Buybacks, &amp; '!V:V,MATCH($B45,'Federal Tax, Stock Buybacks, &amp; '!$E:$E,0))</f>
        <v>1375.94</v>
      </c>
      <c r="U45" s="176">
        <f t="array" ref="U45">INDEX('Federal Tax, Stock Buybacks, &amp; '!W:W,MATCH($B45,'Federal Tax, Stock Buybacks, &amp; '!$E:$E,0))</f>
        <v>608.5</v>
      </c>
      <c r="V45" s="176">
        <f t="array" ref="V45">INDEX('Federal Tax, Stock Buybacks, &amp; '!X:X,MATCH($B45,'Federal Tax, Stock Buybacks, &amp; '!$E:$E,0))</f>
        <v>320.9</v>
      </c>
      <c r="W45" s="176">
        <f t="array" ref="W45">INDEX('Federal Tax, Stock Buybacks, &amp; '!Y:Y,MATCH($B45,'Federal Tax, Stock Buybacks, &amp; '!$E:$E,0))</f>
        <v>665.61</v>
      </c>
      <c r="X45" s="172"/>
      <c r="Y45" s="177">
        <f t="shared" si="12"/>
        <v>-148.29</v>
      </c>
      <c r="Z45" s="178">
        <f t="array" ref="Z45">INDEX('Federal Tax, Stock Buybacks, &amp; '!AB:AB,MATCH($B45,'Federal Tax, Stock Buybacks, &amp; '!$E:$E,0))</f>
        <v>126.97</v>
      </c>
      <c r="AA45" s="178">
        <f t="array" ref="AA45">INDEX('Federal Tax, Stock Buybacks, &amp; '!AC:AC,MATCH($B45,'Federal Tax, Stock Buybacks, &amp; '!$E:$E,0))</f>
        <v>184.38</v>
      </c>
      <c r="AB45" s="178">
        <f t="array" ref="AB45">INDEX('Federal Tax, Stock Buybacks, &amp; '!AD:AD,MATCH($B45,'Federal Tax, Stock Buybacks, &amp; '!$E:$E,0))</f>
        <v>-473.75</v>
      </c>
      <c r="AC45" s="178">
        <f t="array" ref="AC45">INDEX('Federal Tax, Stock Buybacks, &amp; '!AE:AE,MATCH($B45,'Federal Tax, Stock Buybacks, &amp; '!$E:$E,0))</f>
        <v>-12.8</v>
      </c>
      <c r="AD45" s="178">
        <f t="array" ref="AD45">INDEX('Federal Tax, Stock Buybacks, &amp; '!AF:AF,MATCH($B45,'Federal Tax, Stock Buybacks, &amp; '!$E:$E,0))</f>
        <v>26.91</v>
      </c>
      <c r="AE45" s="172"/>
      <c r="AF45" s="193">
        <f t="shared" ref="AF45:AK45" si="98">Y45/R45</f>
        <v>-0.03881967659</v>
      </c>
      <c r="AG45" s="194">
        <f t="shared" si="98"/>
        <v>0.1495488917</v>
      </c>
      <c r="AH45" s="194">
        <f t="shared" si="98"/>
        <v>0.1340029362</v>
      </c>
      <c r="AI45" s="194">
        <f t="shared" si="98"/>
        <v>-0.7785538209</v>
      </c>
      <c r="AJ45" s="194">
        <f t="shared" si="98"/>
        <v>-0.03988781552</v>
      </c>
      <c r="AK45" s="194">
        <f t="shared" si="98"/>
        <v>0.04042908009</v>
      </c>
      <c r="AL45" s="172"/>
      <c r="AM45" s="175">
        <f t="shared" si="14"/>
        <v>2298.854</v>
      </c>
      <c r="AN45" s="176">
        <f t="array" ref="AN45">INDEX('Federal Tax, Stock Buybacks, &amp; '!AP:AP,MATCH($B45,'Federal Tax, Stock Buybacks, &amp; '!$E:$E,0))</f>
        <v>483.704</v>
      </c>
      <c r="AO45" s="176">
        <f t="array" ref="AO45">INDEX('Federal Tax, Stock Buybacks, &amp; '!AQ:AQ,MATCH($B45,'Federal Tax, Stock Buybacks, &amp; '!$E:$E,0))</f>
        <v>82.15</v>
      </c>
      <c r="AP45" s="176">
        <f t="array" ref="AP45">INDEX('Federal Tax, Stock Buybacks, &amp; '!AR:AR,MATCH($B45,'Federal Tax, Stock Buybacks, &amp; '!$E:$E,0))</f>
        <v>420</v>
      </c>
      <c r="AQ45" s="176">
        <f t="array" ref="AQ45">INDEX('Federal Tax, Stock Buybacks, &amp; '!AS:AS,MATCH($B45,'Federal Tax, Stock Buybacks, &amp; '!$E:$E,0))</f>
        <v>674</v>
      </c>
      <c r="AR45" s="176">
        <f t="array" ref="AR45">INDEX('Federal Tax, Stock Buybacks, &amp; '!AT:AT,MATCH($B45,'Federal Tax, Stock Buybacks, &amp; '!$E:$E,0))</f>
        <v>639</v>
      </c>
      <c r="AS45" s="172"/>
      <c r="AT45" s="175">
        <f t="shared" si="15"/>
        <v>1774.335</v>
      </c>
      <c r="AU45" s="176">
        <f t="array" ref="AU45">INDEX('Federal Tax, Stock Buybacks, &amp; '!AW:AW,MATCH($B45,'Federal Tax, Stock Buybacks, &amp; '!$E:$E,0))</f>
        <v>391.687</v>
      </c>
      <c r="AV45" s="176">
        <f t="array" ref="AV45">INDEX('Federal Tax, Stock Buybacks, &amp; '!AX:AX,MATCH($B45,'Federal Tax, Stock Buybacks, &amp; '!$E:$E,0))</f>
        <v>366.648</v>
      </c>
      <c r="AW45" s="176">
        <f t="array" ref="AW45">INDEX('Federal Tax, Stock Buybacks, &amp; '!AY:AY,MATCH($B45,'Federal Tax, Stock Buybacks, &amp; '!$E:$E,0))</f>
        <v>344</v>
      </c>
      <c r="AX45" s="176">
        <f t="array" ref="AX45">INDEX('Federal Tax, Stock Buybacks, &amp; '!AZ:AZ,MATCH($B45,'Federal Tax, Stock Buybacks, &amp; '!$E:$E,0))</f>
        <v>339</v>
      </c>
      <c r="AY45" s="176">
        <f t="array" ref="AY45">INDEX('Federal Tax, Stock Buybacks, &amp; '!BA:BA,MATCH($B45,'Federal Tax, Stock Buybacks, &amp; '!$E:$E,0))</f>
        <v>333</v>
      </c>
      <c r="AZ45" s="172"/>
      <c r="BA45" s="195">
        <f t="shared" si="81"/>
        <v>60834.2</v>
      </c>
      <c r="BB45" s="179">
        <f t="shared" si="82"/>
        <v>304171</v>
      </c>
      <c r="BC45" s="219">
        <v>68343.0</v>
      </c>
      <c r="BD45" s="220">
        <v>65076.0</v>
      </c>
      <c r="BE45" s="219">
        <v>59388.0</v>
      </c>
      <c r="BF45" s="219">
        <v>54472.0</v>
      </c>
      <c r="BG45" s="219">
        <v>56892.0</v>
      </c>
      <c r="BH45" s="87"/>
      <c r="BI45" s="154"/>
      <c r="BJ45" s="207" t="s">
        <v>695</v>
      </c>
      <c r="BK45" s="87"/>
      <c r="BL45" s="87"/>
    </row>
    <row r="46" ht="15.0" customHeight="1">
      <c r="A46" s="169">
        <f t="array" ref="A46">INDEX('Federal Tax, Stock Buybacks, &amp; '!D:D,match(B46,'Federal Tax, Stock Buybacks, &amp; '!E:E,0))</f>
        <v>318</v>
      </c>
      <c r="B46" s="197" t="s">
        <v>72</v>
      </c>
      <c r="C46" s="185" t="s">
        <v>721</v>
      </c>
      <c r="D46" s="160">
        <f>SUMIF('Executive Pay Breakdown'!B:B,$B46,'Executive Pay Breakdown'!M:M)+SUMIF('Executive Pay Breakdown'!B:B,$B46,'Executive Pay Breakdown'!Q:Q)+SUMIF('Executive Pay Breakdown'!B:B,$B46,'Executive Pay Breakdown'!U:U)+SUMIF('Executive Pay Breakdown'!B:B,$B46,'Executive Pay Breakdown'!Y:Y)+SUMIF('Executive Pay Breakdown'!B:B,$B46,'Executive Pay Breakdown'!AC:AC)</f>
        <v>145442919</v>
      </c>
      <c r="E46" s="161">
        <f>SUMIF('Executive Pay Breakdown'!B:B,$B46,'Executive Pay Breakdown'!M:M)</f>
        <v>27013038</v>
      </c>
      <c r="F46" s="161">
        <f>SUMIF('Executive Pay Breakdown'!B:B,$B46,'Executive Pay Breakdown'!Q:Q)</f>
        <v>33034339</v>
      </c>
      <c r="G46" s="161">
        <f>SUMIF('Executive Pay Breakdown'!B:B,$B46,'Executive Pay Breakdown'!U:U)</f>
        <v>30389107</v>
      </c>
      <c r="H46" s="161">
        <f>SUMIF('Executive Pay Breakdown'!B:B,$B46,'Executive Pay Breakdown'!Y:Y)</f>
        <v>31379322</v>
      </c>
      <c r="I46" s="161">
        <f>SUMIF('Executive Pay Breakdown'!B:B,$B46,'Executive Pay Breakdown'!AC:AC)</f>
        <v>23627113</v>
      </c>
      <c r="J46" s="192"/>
      <c r="K46" s="173" t="s">
        <v>704</v>
      </c>
      <c r="L46" s="174"/>
      <c r="M46" s="174"/>
      <c r="N46" s="174" t="b">
        <f t="shared" ref="N46:P46" si="99">(G46/1000000)&gt;(AB46)</f>
        <v>1</v>
      </c>
      <c r="O46" s="174" t="b">
        <f t="shared" si="99"/>
        <v>1</v>
      </c>
      <c r="P46" s="174" t="b">
        <f t="shared" si="99"/>
        <v>1</v>
      </c>
      <c r="Q46" s="192"/>
      <c r="R46" s="175">
        <f t="shared" si="11"/>
        <v>2863</v>
      </c>
      <c r="S46" s="176">
        <f t="array" ref="S46">INDEX('Federal Tax, Stock Buybacks, &amp; '!U:U,MATCH($B46,'Federal Tax, Stock Buybacks, &amp; '!$E:$E,0))</f>
        <v>777</v>
      </c>
      <c r="T46" s="176">
        <f t="array" ref="T46">INDEX('Federal Tax, Stock Buybacks, &amp; '!V:V,MATCH($B46,'Federal Tax, Stock Buybacks, &amp; '!$E:$E,0))</f>
        <v>684</v>
      </c>
      <c r="U46" s="176">
        <f t="array" ref="U46">INDEX('Federal Tax, Stock Buybacks, &amp; '!W:W,MATCH($B46,'Federal Tax, Stock Buybacks, &amp; '!$E:$E,0))</f>
        <v>202</v>
      </c>
      <c r="V46" s="176">
        <f t="array" ref="V46">INDEX('Federal Tax, Stock Buybacks, &amp; '!X:X,MATCH($B46,'Federal Tax, Stock Buybacks, &amp; '!$E:$E,0))</f>
        <v>652</v>
      </c>
      <c r="W46" s="176">
        <f t="array" ref="W46">INDEX('Federal Tax, Stock Buybacks, &amp; '!Y:Y,MATCH($B46,'Federal Tax, Stock Buybacks, &amp; '!$E:$E,0))</f>
        <v>548</v>
      </c>
      <c r="X46" s="172"/>
      <c r="Y46" s="177">
        <f t="shared" si="12"/>
        <v>267</v>
      </c>
      <c r="Z46" s="178">
        <f t="array" ref="Z46">INDEX('Federal Tax, Stock Buybacks, &amp; '!AB:AB,MATCH($B46,'Federal Tax, Stock Buybacks, &amp; '!$E:$E,0))</f>
        <v>272</v>
      </c>
      <c r="AA46" s="178">
        <f t="array" ref="AA46">INDEX('Federal Tax, Stock Buybacks, &amp; '!AC:AC,MATCH($B46,'Federal Tax, Stock Buybacks, &amp; '!$E:$E,0))</f>
        <v>41</v>
      </c>
      <c r="AB46" s="178">
        <f t="array" ref="AB46">INDEX('Federal Tax, Stock Buybacks, &amp; '!AD:AD,MATCH($B46,'Federal Tax, Stock Buybacks, &amp; '!$E:$E,0))</f>
        <v>-1</v>
      </c>
      <c r="AC46" s="178">
        <f t="array" ref="AC46">INDEX('Federal Tax, Stock Buybacks, &amp; '!AE:AE,MATCH($B46,'Federal Tax, Stock Buybacks, &amp; '!$E:$E,0))</f>
        <v>-48</v>
      </c>
      <c r="AD46" s="178">
        <f t="array" ref="AD46">INDEX('Federal Tax, Stock Buybacks, &amp; '!AF:AF,MATCH($B46,'Federal Tax, Stock Buybacks, &amp; '!$E:$E,0))</f>
        <v>3</v>
      </c>
      <c r="AE46" s="172"/>
      <c r="AF46" s="164">
        <f t="shared" ref="AF46:AK46" si="100">Y46/R46</f>
        <v>0.09325881942</v>
      </c>
      <c r="AG46" s="165">
        <f t="shared" si="100"/>
        <v>0.3500643501</v>
      </c>
      <c r="AH46" s="165">
        <f t="shared" si="100"/>
        <v>0.05994152047</v>
      </c>
      <c r="AI46" s="165">
        <f t="shared" si="100"/>
        <v>-0.00495049505</v>
      </c>
      <c r="AJ46" s="165">
        <f t="shared" si="100"/>
        <v>-0.0736196319</v>
      </c>
      <c r="AK46" s="165">
        <f t="shared" si="100"/>
        <v>0.005474452555</v>
      </c>
      <c r="AL46" s="172"/>
      <c r="AM46" s="175">
        <f t="shared" si="14"/>
        <v>4257</v>
      </c>
      <c r="AN46" s="176">
        <f t="array" ref="AN46">INDEX('Federal Tax, Stock Buybacks, &amp; '!AP:AP,MATCH($B46,'Federal Tax, Stock Buybacks, &amp; '!$E:$E,0))</f>
        <v>867</v>
      </c>
      <c r="AO46" s="176">
        <f t="array" ref="AO46">INDEX('Federal Tax, Stock Buybacks, &amp; '!AQ:AQ,MATCH($B46,'Federal Tax, Stock Buybacks, &amp; '!$E:$E,0))</f>
        <v>921</v>
      </c>
      <c r="AP46" s="176">
        <f t="array" ref="AP46">INDEX('Federal Tax, Stock Buybacks, &amp; '!AR:AR,MATCH($B46,'Federal Tax, Stock Buybacks, &amp; '!$E:$E,0))</f>
        <v>183</v>
      </c>
      <c r="AQ46" s="176">
        <f t="array" ref="AQ46">INDEX('Federal Tax, Stock Buybacks, &amp; '!AS:AS,MATCH($B46,'Federal Tax, Stock Buybacks, &amp; '!$E:$E,0))</f>
        <v>503</v>
      </c>
      <c r="AR46" s="176">
        <f t="array" ref="AR46">INDEX('Federal Tax, Stock Buybacks, &amp; '!AT:AT,MATCH($B46,'Federal Tax, Stock Buybacks, &amp; '!$E:$E,0))</f>
        <v>1783</v>
      </c>
      <c r="AS46" s="172"/>
      <c r="AT46" s="175">
        <f t="shared" si="15"/>
        <v>91</v>
      </c>
      <c r="AU46" s="176">
        <f t="array" ref="AU46">INDEX('Federal Tax, Stock Buybacks, &amp; '!AW:AW,MATCH($B46,'Federal Tax, Stock Buybacks, &amp; '!$E:$E,0))</f>
        <v>17</v>
      </c>
      <c r="AV46" s="176">
        <f t="array" ref="AV46">INDEX('Federal Tax, Stock Buybacks, &amp; '!AX:AX,MATCH($B46,'Federal Tax, Stock Buybacks, &amp; '!$E:$E,0))</f>
        <v>18</v>
      </c>
      <c r="AW46" s="176">
        <f t="array" ref="AW46">INDEX('Federal Tax, Stock Buybacks, &amp; '!AY:AY,MATCH($B46,'Federal Tax, Stock Buybacks, &amp; '!$E:$E,0))</f>
        <v>18</v>
      </c>
      <c r="AX46" s="176">
        <f t="array" ref="AX46">INDEX('Federal Tax, Stock Buybacks, &amp; '!AZ:AZ,MATCH($B46,'Federal Tax, Stock Buybacks, &amp; '!$E:$E,0))</f>
        <v>18</v>
      </c>
      <c r="AY46" s="176">
        <f t="array" ref="AY46">INDEX('Federal Tax, Stock Buybacks, &amp; '!BA:BA,MATCH($B46,'Federal Tax, Stock Buybacks, &amp; '!$E:$E,0))</f>
        <v>20</v>
      </c>
      <c r="AZ46" s="172"/>
      <c r="BA46" s="166">
        <f t="shared" si="81"/>
        <v>101415.2</v>
      </c>
      <c r="BB46" s="179">
        <f t="shared" si="82"/>
        <v>507076</v>
      </c>
      <c r="BC46" s="188">
        <v>101172.0</v>
      </c>
      <c r="BD46" s="188">
        <v>102647.0</v>
      </c>
      <c r="BE46" s="188">
        <v>106481.0</v>
      </c>
      <c r="BF46" s="188">
        <v>99196.0</v>
      </c>
      <c r="BG46" s="188">
        <v>97580.0</v>
      </c>
      <c r="BH46" s="87"/>
      <c r="BI46" s="154"/>
      <c r="BJ46" s="189" t="s">
        <v>695</v>
      </c>
      <c r="BK46" s="87"/>
      <c r="BL46" s="87"/>
    </row>
    <row r="47" ht="15.0" customHeight="1">
      <c r="A47" s="169">
        <f t="array" ref="A47">INDEX('Federal Tax, Stock Buybacks, &amp; '!D:D,match(B47,'Federal Tax, Stock Buybacks, &amp; '!E:E,0))</f>
        <v>338</v>
      </c>
      <c r="B47" s="190" t="s">
        <v>60</v>
      </c>
      <c r="C47" s="185" t="s">
        <v>703</v>
      </c>
      <c r="D47" s="160">
        <f>SUMIF('Executive Pay Breakdown'!B:B,$B47,'Executive Pay Breakdown'!M:M)+SUMIF('Executive Pay Breakdown'!B:B,$B47,'Executive Pay Breakdown'!Q:Q)+SUMIF('Executive Pay Breakdown'!B:B,$B47,'Executive Pay Breakdown'!U:U)+SUMIF('Executive Pay Breakdown'!B:B,$B47,'Executive Pay Breakdown'!Y:Y)+SUMIF('Executive Pay Breakdown'!B:B,$B47,'Executive Pay Breakdown'!AC:AC)</f>
        <v>142907131</v>
      </c>
      <c r="E47" s="161">
        <f>SUMIF('Executive Pay Breakdown'!B:B,$B47,'Executive Pay Breakdown'!M:M)</f>
        <v>35254902</v>
      </c>
      <c r="F47" s="161">
        <f>SUMIF('Executive Pay Breakdown'!B:B,$B47,'Executive Pay Breakdown'!Q:Q)</f>
        <v>33769569</v>
      </c>
      <c r="G47" s="161">
        <f>SUMIF('Executive Pay Breakdown'!B:B,$B47,'Executive Pay Breakdown'!U:U)</f>
        <v>25169609</v>
      </c>
      <c r="H47" s="161">
        <f>SUMIF('Executive Pay Breakdown'!B:B,$B47,'Executive Pay Breakdown'!Y:Y)</f>
        <v>23433786</v>
      </c>
      <c r="I47" s="161">
        <f>SUMIF('Executive Pay Breakdown'!B:B,$B47,'Executive Pay Breakdown'!AC:AC)</f>
        <v>25279265</v>
      </c>
      <c r="J47" s="172"/>
      <c r="K47" s="173" t="s">
        <v>713</v>
      </c>
      <c r="L47" s="174"/>
      <c r="M47" s="183"/>
      <c r="N47" s="174" t="b">
        <f t="shared" ref="N47:P47" si="101">(G47/1000000)&gt;(AB47)</f>
        <v>1</v>
      </c>
      <c r="O47" s="174" t="b">
        <f t="shared" si="101"/>
        <v>1</v>
      </c>
      <c r="P47" s="174" t="b">
        <f t="shared" si="101"/>
        <v>1</v>
      </c>
      <c r="Q47" s="172"/>
      <c r="R47" s="175">
        <f t="shared" si="11"/>
        <v>13278</v>
      </c>
      <c r="S47" s="176">
        <f t="array" ref="S47">INDEX('Federal Tax, Stock Buybacks, &amp; '!U:U,MATCH($B47,'Federal Tax, Stock Buybacks, &amp; '!$E:$E,0))</f>
        <v>2777</v>
      </c>
      <c r="T47" s="176">
        <f t="array" ref="T47">INDEX('Federal Tax, Stock Buybacks, &amp; '!V:V,MATCH($B47,'Federal Tax, Stock Buybacks, &amp; '!$E:$E,0))</f>
        <v>3671</v>
      </c>
      <c r="U47" s="176">
        <f t="array" ref="U47">INDEX('Federal Tax, Stock Buybacks, &amp; '!W:W,MATCH($B47,'Federal Tax, Stock Buybacks, &amp; '!$E:$E,0))</f>
        <v>3354</v>
      </c>
      <c r="V47" s="176">
        <f t="array" ref="V47">INDEX('Federal Tax, Stock Buybacks, &amp; '!X:X,MATCH($B47,'Federal Tax, Stock Buybacks, &amp; '!$E:$E,0))</f>
        <v>1923</v>
      </c>
      <c r="W47" s="176">
        <f t="array" ref="W47">INDEX('Federal Tax, Stock Buybacks, &amp; '!Y:Y,MATCH($B47,'Federal Tax, Stock Buybacks, &amp; '!$E:$E,0))</f>
        <v>1553</v>
      </c>
      <c r="X47" s="172"/>
      <c r="Y47" s="177">
        <f t="shared" si="12"/>
        <v>489</v>
      </c>
      <c r="Z47" s="178">
        <f t="array" ref="Z47">INDEX('Federal Tax, Stock Buybacks, &amp; '!AB:AB,MATCH($B47,'Federal Tax, Stock Buybacks, &amp; '!$E:$E,0))</f>
        <v>1</v>
      </c>
      <c r="AA47" s="178">
        <f t="array" ref="AA47">INDEX('Federal Tax, Stock Buybacks, &amp; '!AC:AC,MATCH($B47,'Federal Tax, Stock Buybacks, &amp; '!$E:$E,0))</f>
        <v>502</v>
      </c>
      <c r="AB47" s="178">
        <f t="array" ref="AB47">INDEX('Federal Tax, Stock Buybacks, &amp; '!AD:AD,MATCH($B47,'Federal Tax, Stock Buybacks, &amp; '!$E:$E,0))</f>
        <v>0</v>
      </c>
      <c r="AC47" s="178">
        <f t="array" ref="AC47">INDEX('Federal Tax, Stock Buybacks, &amp; '!AE:AE,MATCH($B47,'Federal Tax, Stock Buybacks, &amp; '!$E:$E,0))</f>
        <v>-2</v>
      </c>
      <c r="AD47" s="178">
        <f t="array" ref="AD47">INDEX('Federal Tax, Stock Buybacks, &amp; '!AF:AF,MATCH($B47,'Federal Tax, Stock Buybacks, &amp; '!$E:$E,0))</f>
        <v>-12</v>
      </c>
      <c r="AE47" s="172"/>
      <c r="AF47" s="164">
        <f t="shared" ref="AF47:AK47" si="102">Y47/R47</f>
        <v>0.03682783552</v>
      </c>
      <c r="AG47" s="165">
        <f t="shared" si="102"/>
        <v>0.0003601008282</v>
      </c>
      <c r="AH47" s="165">
        <f t="shared" si="102"/>
        <v>0.1367474803</v>
      </c>
      <c r="AI47" s="165">
        <f t="shared" si="102"/>
        <v>0</v>
      </c>
      <c r="AJ47" s="165">
        <f t="shared" si="102"/>
        <v>-0.001040041602</v>
      </c>
      <c r="AK47" s="165">
        <f t="shared" si="102"/>
        <v>-0.007726980039</v>
      </c>
      <c r="AL47" s="172"/>
      <c r="AM47" s="175">
        <f t="shared" si="14"/>
        <v>5728</v>
      </c>
      <c r="AN47" s="176">
        <f t="array" ref="AN47">INDEX('Federal Tax, Stock Buybacks, &amp; '!AP:AP,MATCH($B47,'Federal Tax, Stock Buybacks, &amp; '!$E:$E,0))</f>
        <v>1650</v>
      </c>
      <c r="AO47" s="176">
        <f t="array" ref="AO47">INDEX('Federal Tax, Stock Buybacks, &amp; '!AQ:AQ,MATCH($B47,'Federal Tax, Stock Buybacks, &amp; '!$E:$E,0))</f>
        <v>1994</v>
      </c>
      <c r="AP47" s="176">
        <f t="array" ref="AP47">INDEX('Federal Tax, Stock Buybacks, &amp; '!AR:AR,MATCH($B47,'Federal Tax, Stock Buybacks, &amp; '!$E:$E,0))</f>
        <v>106</v>
      </c>
      <c r="AQ47" s="176">
        <f t="array" ref="AQ47">INDEX('Federal Tax, Stock Buybacks, &amp; '!AS:AS,MATCH($B47,'Federal Tax, Stock Buybacks, &amp; '!$E:$E,0))</f>
        <v>1039</v>
      </c>
      <c r="AR47" s="176">
        <f t="array" ref="AR47">INDEX('Federal Tax, Stock Buybacks, &amp; '!AT:AT,MATCH($B47,'Federal Tax, Stock Buybacks, &amp; '!$E:$E,0))</f>
        <v>939</v>
      </c>
      <c r="AS47" s="172"/>
      <c r="AT47" s="175">
        <f t="shared" si="15"/>
        <v>1679</v>
      </c>
      <c r="AU47" s="176">
        <f t="array" ref="AU47">INDEX('Federal Tax, Stock Buybacks, &amp; '!AW:AW,MATCH($B47,'Federal Tax, Stock Buybacks, &amp; '!$E:$E,0))</f>
        <v>494</v>
      </c>
      <c r="AV47" s="176">
        <f t="array" ref="AV47">INDEX('Federal Tax, Stock Buybacks, &amp; '!AX:AX,MATCH($B47,'Federal Tax, Stock Buybacks, &amp; '!$E:$E,0))</f>
        <v>381</v>
      </c>
      <c r="AW47" s="176">
        <f t="array" ref="AW47">INDEX('Federal Tax, Stock Buybacks, &amp; '!AY:AY,MATCH($B47,'Federal Tax, Stock Buybacks, &amp; '!$E:$E,0))</f>
        <v>289</v>
      </c>
      <c r="AX47" s="176">
        <f t="array" ref="AX47">INDEX('Federal Tax, Stock Buybacks, &amp; '!AZ:AZ,MATCH($B47,'Federal Tax, Stock Buybacks, &amp; '!$E:$E,0))</f>
        <v>273</v>
      </c>
      <c r="AY47" s="176">
        <f t="array" ref="AY47">INDEX('Federal Tax, Stock Buybacks, &amp; '!BA:BA,MATCH($B47,'Federal Tax, Stock Buybacks, &amp; '!$E:$E,0))</f>
        <v>242</v>
      </c>
      <c r="AZ47" s="172"/>
      <c r="BA47" s="166">
        <f t="shared" si="81"/>
        <v>109153.2</v>
      </c>
      <c r="BB47" s="179">
        <f t="shared" si="82"/>
        <v>545766</v>
      </c>
      <c r="BC47" s="188">
        <v>109445.0</v>
      </c>
      <c r="BD47" s="188">
        <v>106166.0</v>
      </c>
      <c r="BE47" s="188">
        <v>97398.0</v>
      </c>
      <c r="BF47" s="188">
        <v>123305.0</v>
      </c>
      <c r="BG47" s="188">
        <v>109452.0</v>
      </c>
      <c r="BH47" s="87"/>
      <c r="BI47" s="154"/>
      <c r="BJ47" s="189" t="s">
        <v>695</v>
      </c>
      <c r="BK47" s="87"/>
      <c r="BL47" s="87"/>
    </row>
    <row r="48" ht="15.0" customHeight="1">
      <c r="A48" s="169">
        <f t="array" ref="A48">INDEX('Federal Tax, Stock Buybacks, &amp; '!D:D,match(B48,'Federal Tax, Stock Buybacks, &amp; '!E:E,0))</f>
        <v>271</v>
      </c>
      <c r="B48" s="187" t="s">
        <v>26</v>
      </c>
      <c r="C48" s="185" t="s">
        <v>719</v>
      </c>
      <c r="D48" s="160">
        <f>SUMIF('Executive Pay Breakdown'!B:B,$B48,'Executive Pay Breakdown'!M:M)+SUMIF('Executive Pay Breakdown'!B:B,$B48,'Executive Pay Breakdown'!Q:Q)+SUMIF('Executive Pay Breakdown'!B:B,$B48,'Executive Pay Breakdown'!U:U)+SUMIF('Executive Pay Breakdown'!B:B,$B48,'Executive Pay Breakdown'!Y:Y)+SUMIF('Executive Pay Breakdown'!B:B,$B48,'Executive Pay Breakdown'!AC:AC)</f>
        <v>140125628</v>
      </c>
      <c r="E48" s="161">
        <f>SUMIF('Executive Pay Breakdown'!B:B,$B48,'Executive Pay Breakdown'!M:M)</f>
        <v>23351093</v>
      </c>
      <c r="F48" s="161">
        <f>SUMIF('Executive Pay Breakdown'!B:B,$B48,'Executive Pay Breakdown'!Q:Q)</f>
        <v>31309050</v>
      </c>
      <c r="G48" s="161">
        <f>SUMIF('Executive Pay Breakdown'!B:B,$B48,'Executive Pay Breakdown'!U:U)</f>
        <v>33581052</v>
      </c>
      <c r="H48" s="161">
        <f>SUMIF('Executive Pay Breakdown'!B:B,$B48,'Executive Pay Breakdown'!Y:Y)</f>
        <v>28256544</v>
      </c>
      <c r="I48" s="161">
        <f>SUMIF('Executive Pay Breakdown'!B:B,$B48,'Executive Pay Breakdown'!AC:AC)</f>
        <v>23627889</v>
      </c>
      <c r="J48" s="172"/>
      <c r="K48" s="173" t="s">
        <v>694</v>
      </c>
      <c r="L48" s="174" t="b">
        <f t="shared" ref="L48:P48" si="103">(E48/1000000)&gt;(Z48)</f>
        <v>1</v>
      </c>
      <c r="M48" s="174" t="b">
        <f t="shared" si="103"/>
        <v>1</v>
      </c>
      <c r="N48" s="174" t="b">
        <f t="shared" si="103"/>
        <v>1</v>
      </c>
      <c r="O48" s="174" t="b">
        <f t="shared" si="103"/>
        <v>1</v>
      </c>
      <c r="P48" s="174" t="b">
        <f t="shared" si="103"/>
        <v>1</v>
      </c>
      <c r="Q48" s="172"/>
      <c r="R48" s="175">
        <f t="shared" si="11"/>
        <v>7522</v>
      </c>
      <c r="S48" s="176">
        <f t="array" ref="S48">INDEX('Federal Tax, Stock Buybacks, &amp; '!U:U,MATCH($B48,'Federal Tax, Stock Buybacks, &amp; '!$E:$E,0))</f>
        <v>1598</v>
      </c>
      <c r="T48" s="176">
        <f t="array" ref="T48">INDEX('Federal Tax, Stock Buybacks, &amp; '!V:V,MATCH($B48,'Federal Tax, Stock Buybacks, &amp; '!$E:$E,0))</f>
        <v>1529</v>
      </c>
      <c r="U48" s="176">
        <f t="array" ref="U48">INDEX('Federal Tax, Stock Buybacks, &amp; '!W:W,MATCH($B48,'Federal Tax, Stock Buybacks, &amp; '!$E:$E,0))</f>
        <v>1465</v>
      </c>
      <c r="V48" s="176">
        <f t="array" ref="V48">INDEX('Federal Tax, Stock Buybacks, &amp; '!X:X,MATCH($B48,'Federal Tax, Stock Buybacks, &amp; '!$E:$E,0))</f>
        <v>1496</v>
      </c>
      <c r="W48" s="176">
        <f t="array" ref="W48">INDEX('Federal Tax, Stock Buybacks, &amp; '!Y:Y,MATCH($B48,'Federal Tax, Stock Buybacks, &amp; '!$E:$E,0))</f>
        <v>1434</v>
      </c>
      <c r="X48" s="172"/>
      <c r="Y48" s="177">
        <f t="shared" si="12"/>
        <v>-47</v>
      </c>
      <c r="Z48" s="178">
        <f t="array" ref="Z48">INDEX('Federal Tax, Stock Buybacks, &amp; '!AB:AB,MATCH($B48,'Federal Tax, Stock Buybacks, &amp; '!$E:$E,0))</f>
        <v>1</v>
      </c>
      <c r="AA48" s="178">
        <f t="array" ref="AA48">INDEX('Federal Tax, Stock Buybacks, &amp; '!AC:AC,MATCH($B48,'Federal Tax, Stock Buybacks, &amp; '!$E:$E,0))</f>
        <v>15</v>
      </c>
      <c r="AB48" s="178">
        <f t="array" ref="AB48">INDEX('Federal Tax, Stock Buybacks, &amp; '!AD:AD,MATCH($B48,'Federal Tax, Stock Buybacks, &amp; '!$E:$E,0))</f>
        <v>-13</v>
      </c>
      <c r="AC48" s="178">
        <f t="array" ref="AC48">INDEX('Federal Tax, Stock Buybacks, &amp; '!AE:AE,MATCH($B48,'Federal Tax, Stock Buybacks, &amp; '!$E:$E,0))</f>
        <v>-16</v>
      </c>
      <c r="AD48" s="178">
        <f t="array" ref="AD48">INDEX('Federal Tax, Stock Buybacks, &amp; '!AF:AF,MATCH($B48,'Federal Tax, Stock Buybacks, &amp; '!$E:$E,0))</f>
        <v>-34</v>
      </c>
      <c r="AE48" s="172"/>
      <c r="AF48" s="164">
        <f t="shared" ref="AF48:AK48" si="104">Y48/R48</f>
        <v>-0.006248338208</v>
      </c>
      <c r="AG48" s="165">
        <f t="shared" si="104"/>
        <v>0.0006257822278</v>
      </c>
      <c r="AH48" s="165">
        <f t="shared" si="104"/>
        <v>0.009810333551</v>
      </c>
      <c r="AI48" s="165">
        <f t="shared" si="104"/>
        <v>-0.008873720137</v>
      </c>
      <c r="AJ48" s="165">
        <f t="shared" si="104"/>
        <v>-0.01069518717</v>
      </c>
      <c r="AK48" s="165">
        <f t="shared" si="104"/>
        <v>-0.02370990237</v>
      </c>
      <c r="AL48" s="172"/>
      <c r="AM48" s="175">
        <f t="shared" si="14"/>
        <v>0</v>
      </c>
      <c r="AN48" s="176">
        <f t="array" ref="AN48">INDEX('Federal Tax, Stock Buybacks, &amp; '!AP:AP,MATCH($B48,'Federal Tax, Stock Buybacks, &amp; '!$E:$E,0))</f>
        <v>0</v>
      </c>
      <c r="AO48" s="176">
        <f t="array" ref="AO48">INDEX('Federal Tax, Stock Buybacks, &amp; '!AQ:AQ,MATCH($B48,'Federal Tax, Stock Buybacks, &amp; '!$E:$E,0))</f>
        <v>0</v>
      </c>
      <c r="AP48" s="176">
        <f t="array" ref="AP48">INDEX('Federal Tax, Stock Buybacks, &amp; '!AR:AR,MATCH($B48,'Federal Tax, Stock Buybacks, &amp; '!$E:$E,0))</f>
        <v>0</v>
      </c>
      <c r="AQ48" s="176">
        <f t="array" ref="AQ48">INDEX('Federal Tax, Stock Buybacks, &amp; '!AS:AS,MATCH($B48,'Federal Tax, Stock Buybacks, &amp; '!$E:$E,0))</f>
        <v>0</v>
      </c>
      <c r="AR48" s="176">
        <f t="array" ref="AR48">INDEX('Federal Tax, Stock Buybacks, &amp; '!AT:AT,MATCH($B48,'Federal Tax, Stock Buybacks, &amp; '!$E:$E,0))</f>
        <v>0</v>
      </c>
      <c r="AS48" s="172"/>
      <c r="AT48" s="175">
        <f t="shared" si="15"/>
        <v>4324</v>
      </c>
      <c r="AU48" s="176">
        <f t="array" ref="AU48">INDEX('Federal Tax, Stock Buybacks, &amp; '!AW:AW,MATCH($B48,'Federal Tax, Stock Buybacks, &amp; '!$E:$E,0))</f>
        <v>1012</v>
      </c>
      <c r="AV48" s="176">
        <f t="array" ref="AV48">INDEX('Federal Tax, Stock Buybacks, &amp; '!AX:AX,MATCH($B48,'Federal Tax, Stock Buybacks, &amp; '!$E:$E,0))</f>
        <v>935</v>
      </c>
      <c r="AW48" s="176">
        <f t="array" ref="AW48">INDEX('Federal Tax, Stock Buybacks, &amp; '!AY:AY,MATCH($B48,'Federal Tax, Stock Buybacks, &amp; '!$E:$E,0))</f>
        <v>856</v>
      </c>
      <c r="AX48" s="176">
        <f t="array" ref="AX48">INDEX('Federal Tax, Stock Buybacks, &amp; '!AZ:AZ,MATCH($B48,'Federal Tax, Stock Buybacks, &amp; '!$E:$E,0))</f>
        <v>791</v>
      </c>
      <c r="AY48" s="176">
        <f t="array" ref="AY48">INDEX('Federal Tax, Stock Buybacks, &amp; '!BA:BA,MATCH($B48,'Federal Tax, Stock Buybacks, &amp; '!$E:$E,0))</f>
        <v>730</v>
      </c>
      <c r="AZ48" s="172"/>
      <c r="BA48" s="166">
        <f t="shared" si="81"/>
        <v>116989.6</v>
      </c>
      <c r="BB48" s="179">
        <f t="shared" si="82"/>
        <v>584948</v>
      </c>
      <c r="BC48" s="188">
        <v>119851.0</v>
      </c>
      <c r="BD48" s="188">
        <v>122532.0</v>
      </c>
      <c r="BE48" s="188">
        <v>120597.0</v>
      </c>
      <c r="BF48" s="188">
        <v>113022.0</v>
      </c>
      <c r="BG48" s="188">
        <v>108946.0</v>
      </c>
      <c r="BH48" s="87"/>
      <c r="BI48" s="154"/>
      <c r="BJ48" s="189" t="s">
        <v>695</v>
      </c>
      <c r="BK48" s="87"/>
      <c r="BL48" s="87"/>
    </row>
    <row r="49" ht="15.0" customHeight="1">
      <c r="A49" s="169">
        <f t="array" ref="A49">INDEX('Federal Tax, Stock Buybacks, &amp; '!D:D,match(B49,'Federal Tax, Stock Buybacks, &amp; '!E:E,0))</f>
        <v>212</v>
      </c>
      <c r="B49" s="187" t="s">
        <v>30</v>
      </c>
      <c r="C49" s="185" t="s">
        <v>703</v>
      </c>
      <c r="D49" s="160">
        <f>SUMIF('Executive Pay Breakdown'!B:B,$B49,'Executive Pay Breakdown'!M:M)+SUMIF('Executive Pay Breakdown'!B:B,$B49,'Executive Pay Breakdown'!Q:Q)+SUMIF('Executive Pay Breakdown'!B:B,$B49,'Executive Pay Breakdown'!U:U)+SUMIF('Executive Pay Breakdown'!B:B,$B49,'Executive Pay Breakdown'!Y:Y)+SUMIF('Executive Pay Breakdown'!B:B,$B49,'Executive Pay Breakdown'!AC:AC)</f>
        <v>139349237</v>
      </c>
      <c r="E49" s="161">
        <f>SUMIF('Executive Pay Breakdown'!B:B,$B49,'Executive Pay Breakdown'!M:M)</f>
        <v>21490847</v>
      </c>
      <c r="F49" s="161">
        <f>SUMIF('Executive Pay Breakdown'!B:B,$B49,'Executive Pay Breakdown'!Q:Q)</f>
        <v>24982877</v>
      </c>
      <c r="G49" s="161">
        <f>SUMIF('Executive Pay Breakdown'!B:B,$B49,'Executive Pay Breakdown'!U:U)</f>
        <v>32542319</v>
      </c>
      <c r="H49" s="161">
        <f>SUMIF('Executive Pay Breakdown'!B:B,$B49,'Executive Pay Breakdown'!Y:Y)</f>
        <v>34477500</v>
      </c>
      <c r="I49" s="161">
        <f>SUMIF('Executive Pay Breakdown'!B:B,$B49,'Executive Pay Breakdown'!AC:AC)</f>
        <v>25855694</v>
      </c>
      <c r="J49" s="172"/>
      <c r="K49" s="173" t="s">
        <v>694</v>
      </c>
      <c r="L49" s="174" t="b">
        <f t="shared" ref="L49:P49" si="105">(E49/1000000)&gt;(Z49)</f>
        <v>1</v>
      </c>
      <c r="M49" s="174" t="b">
        <f t="shared" si="105"/>
        <v>1</v>
      </c>
      <c r="N49" s="174" t="b">
        <f t="shared" si="105"/>
        <v>1</v>
      </c>
      <c r="O49" s="174" t="b">
        <f t="shared" si="105"/>
        <v>1</v>
      </c>
      <c r="P49" s="174" t="b">
        <f t="shared" si="105"/>
        <v>1</v>
      </c>
      <c r="Q49" s="172"/>
      <c r="R49" s="175">
        <f t="shared" si="11"/>
        <v>5845</v>
      </c>
      <c r="S49" s="176">
        <f t="array" ref="S49">INDEX('Federal Tax, Stock Buybacks, &amp; '!U:U,MATCH($B49,'Federal Tax, Stock Buybacks, &amp; '!$E:$E,0))</f>
        <v>1114</v>
      </c>
      <c r="T49" s="176">
        <f t="array" ref="T49">INDEX('Federal Tax, Stock Buybacks, &amp; '!V:V,MATCH($B49,'Federal Tax, Stock Buybacks, &amp; '!$E:$E,0))</f>
        <v>668</v>
      </c>
      <c r="U49" s="176">
        <f t="array" ref="U49">INDEX('Federal Tax, Stock Buybacks, &amp; '!W:W,MATCH($B49,'Federal Tax, Stock Buybacks, &amp; '!$E:$E,0))</f>
        <v>1531</v>
      </c>
      <c r="V49" s="176">
        <f t="array" ref="V49">INDEX('Federal Tax, Stock Buybacks, &amp; '!X:X,MATCH($B49,'Federal Tax, Stock Buybacks, &amp; '!$E:$E,0))</f>
        <v>1317</v>
      </c>
      <c r="W49" s="176">
        <f t="array" ref="W49">INDEX('Federal Tax, Stock Buybacks, &amp; '!Y:Y,MATCH($B49,'Federal Tax, Stock Buybacks, &amp; '!$E:$E,0))</f>
        <v>1215</v>
      </c>
      <c r="X49" s="172"/>
      <c r="Y49" s="177">
        <f t="shared" si="12"/>
        <v>-494</v>
      </c>
      <c r="Z49" s="178">
        <f t="array" ref="Z49">INDEX('Federal Tax, Stock Buybacks, &amp; '!AB:AB,MATCH($B49,'Federal Tax, Stock Buybacks, &amp; '!$E:$E,0))</f>
        <v>-13</v>
      </c>
      <c r="AA49" s="178">
        <f t="array" ref="AA49">INDEX('Federal Tax, Stock Buybacks, &amp; '!AC:AC,MATCH($B49,'Federal Tax, Stock Buybacks, &amp; '!$E:$E,0))</f>
        <v>-33</v>
      </c>
      <c r="AB49" s="178">
        <f t="array" ref="AB49">INDEX('Federal Tax, Stock Buybacks, &amp; '!AD:AD,MATCH($B49,'Federal Tax, Stock Buybacks, &amp; '!$E:$E,0))</f>
        <v>-247</v>
      </c>
      <c r="AC49" s="178">
        <f t="array" ref="AC49">INDEX('Federal Tax, Stock Buybacks, &amp; '!AE:AE,MATCH($B49,'Federal Tax, Stock Buybacks, &amp; '!$E:$E,0))</f>
        <v>-184</v>
      </c>
      <c r="AD49" s="178">
        <f t="array" ref="AD49">INDEX('Federal Tax, Stock Buybacks, &amp; '!AF:AF,MATCH($B49,'Federal Tax, Stock Buybacks, &amp; '!$E:$E,0))</f>
        <v>-17</v>
      </c>
      <c r="AE49" s="172"/>
      <c r="AF49" s="164">
        <f t="shared" ref="AF49:AK49" si="106">Y49/R49</f>
        <v>-0.08451668092</v>
      </c>
      <c r="AG49" s="165">
        <f t="shared" si="106"/>
        <v>-0.01166965889</v>
      </c>
      <c r="AH49" s="165">
        <f t="shared" si="106"/>
        <v>-0.0494011976</v>
      </c>
      <c r="AI49" s="165">
        <f t="shared" si="106"/>
        <v>-0.1613324624</v>
      </c>
      <c r="AJ49" s="165">
        <f t="shared" si="106"/>
        <v>-0.1397114655</v>
      </c>
      <c r="AK49" s="165">
        <f t="shared" si="106"/>
        <v>-0.01399176955</v>
      </c>
      <c r="AL49" s="172"/>
      <c r="AM49" s="175">
        <f t="shared" si="14"/>
        <v>121</v>
      </c>
      <c r="AN49" s="176">
        <f t="array" ref="AN49">INDEX('Federal Tax, Stock Buybacks, &amp; '!AP:AP,MATCH($B49,'Federal Tax, Stock Buybacks, &amp; '!$E:$E,0))</f>
        <v>55</v>
      </c>
      <c r="AO49" s="176">
        <f t="array" ref="AO49">INDEX('Federal Tax, Stock Buybacks, &amp; '!AQ:AQ,MATCH($B49,'Federal Tax, Stock Buybacks, &amp; '!$E:$E,0))</f>
        <v>66</v>
      </c>
      <c r="AP49" s="176">
        <f t="array" ref="AP49">INDEX('Federal Tax, Stock Buybacks, &amp; '!AR:AR,MATCH($B49,'Federal Tax, Stock Buybacks, &amp; '!$E:$E,0))</f>
        <v>0</v>
      </c>
      <c r="AQ49" s="176">
        <f t="array" ref="AQ49">INDEX('Federal Tax, Stock Buybacks, &amp; '!AS:AS,MATCH($B49,'Federal Tax, Stock Buybacks, &amp; '!$E:$E,0))</f>
        <v>0</v>
      </c>
      <c r="AR49" s="176">
        <f t="array" ref="AR49">INDEX('Federal Tax, Stock Buybacks, &amp; '!AT:AT,MATCH($B49,'Federal Tax, Stock Buybacks, &amp; '!$E:$E,0))</f>
        <v>0</v>
      </c>
      <c r="AS49" s="172"/>
      <c r="AT49" s="175">
        <f t="shared" si="15"/>
        <v>3548</v>
      </c>
      <c r="AU49" s="176">
        <f t="array" ref="AU49">INDEX('Federal Tax, Stock Buybacks, &amp; '!AW:AW,MATCH($B49,'Federal Tax, Stock Buybacks, &amp; '!$E:$E,0))</f>
        <v>685</v>
      </c>
      <c r="AV49" s="176">
        <f t="array" ref="AV49">INDEX('Federal Tax, Stock Buybacks, &amp; '!AX:AX,MATCH($B49,'Federal Tax, Stock Buybacks, &amp; '!$E:$E,0))</f>
        <v>791</v>
      </c>
      <c r="AW49" s="176">
        <f t="array" ref="AW49">INDEX('Federal Tax, Stock Buybacks, &amp; '!AY:AY,MATCH($B49,'Federal Tax, Stock Buybacks, &amp; '!$E:$E,0))</f>
        <v>760</v>
      </c>
      <c r="AX49" s="176">
        <f t="array" ref="AX49">INDEX('Federal Tax, Stock Buybacks, &amp; '!AZ:AZ,MATCH($B49,'Federal Tax, Stock Buybacks, &amp; '!$E:$E,0))</f>
        <v>692</v>
      </c>
      <c r="AY49" s="176">
        <f t="array" ref="AY49">INDEX('Federal Tax, Stock Buybacks, &amp; '!BA:BA,MATCH($B49,'Federal Tax, Stock Buybacks, &amp; '!$E:$E,0))</f>
        <v>620</v>
      </c>
      <c r="AZ49" s="172"/>
      <c r="BA49" s="166">
        <f t="shared" si="81"/>
        <v>112572.2</v>
      </c>
      <c r="BB49" s="179">
        <f t="shared" si="82"/>
        <v>562861</v>
      </c>
      <c r="BC49" s="188">
        <v>102692.0</v>
      </c>
      <c r="BD49" s="188">
        <v>123806.0</v>
      </c>
      <c r="BE49" s="188">
        <v>130583.0</v>
      </c>
      <c r="BF49" s="188">
        <v>119157.0</v>
      </c>
      <c r="BG49" s="188">
        <v>86623.0</v>
      </c>
      <c r="BH49" s="87"/>
      <c r="BI49" s="154"/>
      <c r="BJ49" s="189" t="s">
        <v>695</v>
      </c>
      <c r="BK49" s="87"/>
      <c r="BL49" s="87"/>
    </row>
    <row r="50" ht="15.0" customHeight="1">
      <c r="A50" s="169">
        <f t="array" ref="A50">INDEX('Federal Tax, Stock Buybacks, &amp; '!D:D,match(B50,'Federal Tax, Stock Buybacks, &amp; '!E:E,0))</f>
        <v>232</v>
      </c>
      <c r="B50" s="191" t="s">
        <v>76</v>
      </c>
      <c r="C50" s="185" t="s">
        <v>716</v>
      </c>
      <c r="D50" s="160">
        <f>SUMIF('Executive Pay Breakdown'!B:B,$B50,'Executive Pay Breakdown'!M:M)+SUMIF('Executive Pay Breakdown'!B:B,$B50,'Executive Pay Breakdown'!Q:Q)+SUMIF('Executive Pay Breakdown'!B:B,$B50,'Executive Pay Breakdown'!U:U)+SUMIF('Executive Pay Breakdown'!B:B,$B50,'Executive Pay Breakdown'!Y:Y)+SUMIF('Executive Pay Breakdown'!B:B,$B50,'Executive Pay Breakdown'!AC:AC)</f>
        <v>124843137</v>
      </c>
      <c r="E50" s="161">
        <f>SUMIF('Executive Pay Breakdown'!B:B,$B50,'Executive Pay Breakdown'!M:M)</f>
        <v>20269790</v>
      </c>
      <c r="F50" s="161">
        <f>SUMIF('Executive Pay Breakdown'!B:B,$B50,'Executive Pay Breakdown'!Q:Q)</f>
        <v>25339969</v>
      </c>
      <c r="G50" s="161">
        <f>SUMIF('Executive Pay Breakdown'!B:B,$B50,'Executive Pay Breakdown'!U:U)</f>
        <v>30333588</v>
      </c>
      <c r="H50" s="161">
        <f>SUMIF('Executive Pay Breakdown'!B:B,$B50,'Executive Pay Breakdown'!Y:Y)</f>
        <v>25092696</v>
      </c>
      <c r="I50" s="161">
        <f>SUMIF('Executive Pay Breakdown'!B:B,$B50,'Executive Pay Breakdown'!AC:AC)</f>
        <v>23807094</v>
      </c>
      <c r="J50" s="192"/>
      <c r="K50" s="173" t="s">
        <v>704</v>
      </c>
      <c r="L50" s="174"/>
      <c r="M50" s="174" t="b">
        <f t="shared" ref="M50:N50" si="107">(F50/1000000)&gt;(AA50)</f>
        <v>1</v>
      </c>
      <c r="N50" s="174" t="b">
        <f t="shared" si="107"/>
        <v>1</v>
      </c>
      <c r="O50" s="174"/>
      <c r="P50" s="174" t="b">
        <f>(I50/1000000)&gt;(AD50)</f>
        <v>1</v>
      </c>
      <c r="Q50" s="192"/>
      <c r="R50" s="175">
        <f t="shared" si="11"/>
        <v>2056</v>
      </c>
      <c r="S50" s="176">
        <f t="array" ref="S50">INDEX('Federal Tax, Stock Buybacks, &amp; '!U:U,MATCH($B50,'Federal Tax, Stock Buybacks, &amp; '!$E:$E,0))</f>
        <v>268</v>
      </c>
      <c r="T50" s="176">
        <f t="array" ref="T50">INDEX('Federal Tax, Stock Buybacks, &amp; '!V:V,MATCH($B50,'Federal Tax, Stock Buybacks, &amp; '!$E:$E,0))</f>
        <v>456</v>
      </c>
      <c r="U50" s="176">
        <f t="array" ref="U50">INDEX('Federal Tax, Stock Buybacks, &amp; '!W:W,MATCH($B50,'Federal Tax, Stock Buybacks, &amp; '!$E:$E,0))</f>
        <v>184</v>
      </c>
      <c r="V50" s="176">
        <f t="array" ref="V50">INDEX('Federal Tax, Stock Buybacks, &amp; '!X:X,MATCH($B50,'Federal Tax, Stock Buybacks, &amp; '!$E:$E,0))</f>
        <v>581</v>
      </c>
      <c r="W50" s="176">
        <f t="array" ref="W50">INDEX('Federal Tax, Stock Buybacks, &amp; '!Y:Y,MATCH($B50,'Federal Tax, Stock Buybacks, &amp; '!$E:$E,0))</f>
        <v>567</v>
      </c>
      <c r="X50" s="172"/>
      <c r="Y50" s="177">
        <f t="shared" si="12"/>
        <v>267</v>
      </c>
      <c r="Z50" s="178">
        <f t="array" ref="Z50">INDEX('Federal Tax, Stock Buybacks, &amp; '!AB:AB,MATCH($B50,'Federal Tax, Stock Buybacks, &amp; '!$E:$E,0))</f>
        <v>137</v>
      </c>
      <c r="AA50" s="178">
        <f t="array" ref="AA50">INDEX('Federal Tax, Stock Buybacks, &amp; '!AC:AC,MATCH($B50,'Federal Tax, Stock Buybacks, &amp; '!$E:$E,0))</f>
        <v>25</v>
      </c>
      <c r="AB50" s="178">
        <f t="array" ref="AB50">INDEX('Federal Tax, Stock Buybacks, &amp; '!AD:AD,MATCH($B50,'Federal Tax, Stock Buybacks, &amp; '!$E:$E,0))</f>
        <v>12</v>
      </c>
      <c r="AC50" s="178">
        <f t="array" ref="AC50">INDEX('Federal Tax, Stock Buybacks, &amp; '!AE:AE,MATCH($B50,'Federal Tax, Stock Buybacks, &amp; '!$E:$E,0))</f>
        <v>86</v>
      </c>
      <c r="AD50" s="178">
        <f t="array" ref="AD50">INDEX('Federal Tax, Stock Buybacks, &amp; '!AF:AF,MATCH($B50,'Federal Tax, Stock Buybacks, &amp; '!$E:$E,0))</f>
        <v>7</v>
      </c>
      <c r="AE50" s="172"/>
      <c r="AF50" s="193">
        <f t="shared" ref="AF50:AK50" si="108">Y50/R50</f>
        <v>0.1298638132</v>
      </c>
      <c r="AG50" s="194">
        <f t="shared" si="108"/>
        <v>0.5111940299</v>
      </c>
      <c r="AH50" s="194">
        <f t="shared" si="108"/>
        <v>0.0548245614</v>
      </c>
      <c r="AI50" s="194">
        <f t="shared" si="108"/>
        <v>0.0652173913</v>
      </c>
      <c r="AJ50" s="194">
        <f t="shared" si="108"/>
        <v>0.148020654</v>
      </c>
      <c r="AK50" s="194">
        <f t="shared" si="108"/>
        <v>0.01234567901</v>
      </c>
      <c r="AL50" s="172"/>
      <c r="AM50" s="175">
        <f t="shared" si="14"/>
        <v>2446</v>
      </c>
      <c r="AN50" s="176">
        <f t="array" ref="AN50">INDEX('Federal Tax, Stock Buybacks, &amp; '!AP:AP,MATCH($B50,'Federal Tax, Stock Buybacks, &amp; '!$E:$E,0))</f>
        <v>190</v>
      </c>
      <c r="AO50" s="176">
        <f t="array" ref="AO50">INDEX('Federal Tax, Stock Buybacks, &amp; '!AQ:AQ,MATCH($B50,'Federal Tax, Stock Buybacks, &amp; '!$E:$E,0))</f>
        <v>210</v>
      </c>
      <c r="AP50" s="176">
        <f t="array" ref="AP50">INDEX('Federal Tax, Stock Buybacks, &amp; '!AR:AR,MATCH($B50,'Federal Tax, Stock Buybacks, &amp; '!$E:$E,0))</f>
        <v>0</v>
      </c>
      <c r="AQ50" s="176">
        <f t="array" ref="AQ50">INDEX('Federal Tax, Stock Buybacks, &amp; '!AS:AS,MATCH($B50,'Federal Tax, Stock Buybacks, &amp; '!$E:$E,0))</f>
        <v>325</v>
      </c>
      <c r="AR50" s="176">
        <f t="array" ref="AR50">INDEX('Federal Tax, Stock Buybacks, &amp; '!AT:AT,MATCH($B50,'Federal Tax, Stock Buybacks, &amp; '!$E:$E,0))</f>
        <v>1721</v>
      </c>
      <c r="AS50" s="172"/>
      <c r="AT50" s="175">
        <f t="shared" si="15"/>
        <v>2523</v>
      </c>
      <c r="AU50" s="176">
        <f t="array" ref="AU50">INDEX('Federal Tax, Stock Buybacks, &amp; '!AW:AW,MATCH($B50,'Federal Tax, Stock Buybacks, &amp; '!$E:$E,0))</f>
        <v>570</v>
      </c>
      <c r="AV50" s="176">
        <f t="array" ref="AV50">INDEX('Federal Tax, Stock Buybacks, &amp; '!AX:AX,MATCH($B50,'Federal Tax, Stock Buybacks, &amp; '!$E:$E,0))</f>
        <v>536</v>
      </c>
      <c r="AW50" s="176">
        <f t="array" ref="AW50">INDEX('Federal Tax, Stock Buybacks, &amp; '!AY:AY,MATCH($B50,'Federal Tax, Stock Buybacks, &amp; '!$E:$E,0))</f>
        <v>496</v>
      </c>
      <c r="AX50" s="176">
        <f t="array" ref="AX50">INDEX('Federal Tax, Stock Buybacks, &amp; '!AZ:AZ,MATCH($B50,'Federal Tax, Stock Buybacks, &amp; '!$E:$E,0))</f>
        <v>468</v>
      </c>
      <c r="AY50" s="176">
        <f t="array" ref="AY50">INDEX('Federal Tax, Stock Buybacks, &amp; '!BA:BA,MATCH($B50,'Federal Tax, Stock Buybacks, &amp; '!$E:$E,0))</f>
        <v>453</v>
      </c>
      <c r="AZ50" s="172"/>
      <c r="BA50" s="195">
        <f t="shared" si="81"/>
        <v>39351.4</v>
      </c>
      <c r="BB50" s="179">
        <f t="shared" si="82"/>
        <v>196757</v>
      </c>
      <c r="BC50" s="188">
        <v>35600.0</v>
      </c>
      <c r="BD50" s="188">
        <v>37282.0</v>
      </c>
      <c r="BE50" s="188">
        <v>43783.0</v>
      </c>
      <c r="BF50" s="188">
        <v>40598.0</v>
      </c>
      <c r="BG50" s="188">
        <v>39494.0</v>
      </c>
      <c r="BH50" s="87"/>
      <c r="BI50" s="154"/>
      <c r="BJ50" s="189" t="s">
        <v>695</v>
      </c>
      <c r="BK50" s="87"/>
      <c r="BL50" s="87"/>
    </row>
    <row r="51" ht="15.0" customHeight="1">
      <c r="A51" s="169">
        <f t="array" ref="A51">INDEX('Federal Tax, Stock Buybacks, &amp; '!D:D,match(B51,'Federal Tax, Stock Buybacks, &amp; '!E:E,0))</f>
        <v>343</v>
      </c>
      <c r="B51" s="187" t="s">
        <v>27</v>
      </c>
      <c r="C51" s="185" t="s">
        <v>707</v>
      </c>
      <c r="D51" s="160">
        <f>SUMIF('Executive Pay Breakdown'!B:B,$B51,'Executive Pay Breakdown'!M:M)+SUMIF('Executive Pay Breakdown'!B:B,$B51,'Executive Pay Breakdown'!Q:Q)+SUMIF('Executive Pay Breakdown'!B:B,$B51,'Executive Pay Breakdown'!U:U)+SUMIF('Executive Pay Breakdown'!B:B,$B51,'Executive Pay Breakdown'!Y:Y)+SUMIF('Executive Pay Breakdown'!B:B,$B51,'Executive Pay Breakdown'!AC:AC)</f>
        <v>121379835</v>
      </c>
      <c r="E51" s="161">
        <f>SUMIF('Executive Pay Breakdown'!B:B,$B51,'Executive Pay Breakdown'!M:M)</f>
        <v>22998446</v>
      </c>
      <c r="F51" s="161">
        <f>SUMIF('Executive Pay Breakdown'!B:B,$B51,'Executive Pay Breakdown'!Q:Q)</f>
        <v>27267087</v>
      </c>
      <c r="G51" s="161">
        <f>SUMIF('Executive Pay Breakdown'!B:B,$B51,'Executive Pay Breakdown'!U:U)</f>
        <v>18895356</v>
      </c>
      <c r="H51" s="161">
        <f>SUMIF('Executive Pay Breakdown'!B:B,$B51,'Executive Pay Breakdown'!Y:Y)</f>
        <v>24531322</v>
      </c>
      <c r="I51" s="161">
        <f>SUMIF('Executive Pay Breakdown'!B:B,$B51,'Executive Pay Breakdown'!AC:AC)</f>
        <v>27687624</v>
      </c>
      <c r="J51" s="172"/>
      <c r="K51" s="173" t="s">
        <v>694</v>
      </c>
      <c r="L51" s="174" t="b">
        <f t="shared" ref="L51:P51" si="109">(E51/1000000)&gt;(Z51)</f>
        <v>1</v>
      </c>
      <c r="M51" s="174" t="b">
        <f t="shared" si="109"/>
        <v>1</v>
      </c>
      <c r="N51" s="174" t="b">
        <f t="shared" si="109"/>
        <v>1</v>
      </c>
      <c r="O51" s="174" t="b">
        <f t="shared" si="109"/>
        <v>1</v>
      </c>
      <c r="P51" s="174" t="b">
        <f t="shared" si="109"/>
        <v>1</v>
      </c>
      <c r="Q51" s="172"/>
      <c r="R51" s="175">
        <f t="shared" si="11"/>
        <v>6662</v>
      </c>
      <c r="S51" s="176">
        <f t="array" ref="S51">INDEX('Federal Tax, Stock Buybacks, &amp; '!U:U,MATCH($B51,'Federal Tax, Stock Buybacks, &amp; '!$E:$E,0))</f>
        <v>1428</v>
      </c>
      <c r="T51" s="176">
        <f t="array" ref="T51">INDEX('Federal Tax, Stock Buybacks, &amp; '!V:V,MATCH($B51,'Federal Tax, Stock Buybacks, &amp; '!$E:$E,0))</f>
        <v>1538</v>
      </c>
      <c r="U51" s="176">
        <f t="array" ref="U51">INDEX('Federal Tax, Stock Buybacks, &amp; '!W:W,MATCH($B51,'Federal Tax, Stock Buybacks, &amp; '!$E:$E,0))</f>
        <v>1108</v>
      </c>
      <c r="V51" s="176">
        <f t="array" ref="V51">INDEX('Federal Tax, Stock Buybacks, &amp; '!X:X,MATCH($B51,'Federal Tax, Stock Buybacks, &amp; '!$E:$E,0))</f>
        <v>1093</v>
      </c>
      <c r="W51" s="176">
        <f t="array" ref="W51">INDEX('Federal Tax, Stock Buybacks, &amp; '!Y:Y,MATCH($B51,'Federal Tax, Stock Buybacks, &amp; '!$E:$E,0))</f>
        <v>1495</v>
      </c>
      <c r="X51" s="172"/>
      <c r="Y51" s="177">
        <f t="shared" si="12"/>
        <v>-44</v>
      </c>
      <c r="Z51" s="178">
        <f t="array" ref="Z51">INDEX('Federal Tax, Stock Buybacks, &amp; '!AB:AB,MATCH($B51,'Federal Tax, Stock Buybacks, &amp; '!$E:$E,0))</f>
        <v>0</v>
      </c>
      <c r="AA51" s="178">
        <f t="array" ref="AA51">INDEX('Federal Tax, Stock Buybacks, &amp; '!AC:AC,MATCH($B51,'Federal Tax, Stock Buybacks, &amp; '!$E:$E,0))</f>
        <v>2</v>
      </c>
      <c r="AB51" s="178">
        <f t="array" ref="AB51">INDEX('Federal Tax, Stock Buybacks, &amp; '!AD:AD,MATCH($B51,'Federal Tax, Stock Buybacks, &amp; '!$E:$E,0))</f>
        <v>-14</v>
      </c>
      <c r="AC51" s="178">
        <f t="array" ref="AC51">INDEX('Federal Tax, Stock Buybacks, &amp; '!AE:AE,MATCH($B51,'Federal Tax, Stock Buybacks, &amp; '!$E:$E,0))</f>
        <v>-16</v>
      </c>
      <c r="AD51" s="178">
        <f t="array" ref="AD51">INDEX('Federal Tax, Stock Buybacks, &amp; '!AF:AF,MATCH($B51,'Federal Tax, Stock Buybacks, &amp; '!$E:$E,0))</f>
        <v>-16</v>
      </c>
      <c r="AE51" s="172"/>
      <c r="AF51" s="164">
        <f t="shared" ref="AF51:AK51" si="110">Y51/R51</f>
        <v>-0.006604623236</v>
      </c>
      <c r="AG51" s="165">
        <f t="shared" si="110"/>
        <v>0</v>
      </c>
      <c r="AH51" s="165">
        <f t="shared" si="110"/>
        <v>0.001300390117</v>
      </c>
      <c r="AI51" s="165">
        <f t="shared" si="110"/>
        <v>-0.01263537906</v>
      </c>
      <c r="AJ51" s="165">
        <f t="shared" si="110"/>
        <v>-0.01463860933</v>
      </c>
      <c r="AK51" s="165">
        <f t="shared" si="110"/>
        <v>-0.01070234114</v>
      </c>
      <c r="AL51" s="172"/>
      <c r="AM51" s="175">
        <f t="shared" si="14"/>
        <v>0</v>
      </c>
      <c r="AN51" s="176">
        <f t="array" ref="AN51">INDEX('Federal Tax, Stock Buybacks, &amp; '!AP:AP,MATCH($B51,'Federal Tax, Stock Buybacks, &amp; '!$E:$E,0))</f>
        <v>0</v>
      </c>
      <c r="AO51" s="176">
        <f t="array" ref="AO51">INDEX('Federal Tax, Stock Buybacks, &amp; '!AQ:AQ,MATCH($B51,'Federal Tax, Stock Buybacks, &amp; '!$E:$E,0))</f>
        <v>0</v>
      </c>
      <c r="AP51" s="176">
        <f t="array" ref="AP51">INDEX('Federal Tax, Stock Buybacks, &amp; '!AR:AR,MATCH($B51,'Federal Tax, Stock Buybacks, &amp; '!$E:$E,0))</f>
        <v>0</v>
      </c>
      <c r="AQ51" s="176">
        <f t="array" ref="AQ51">INDEX('Federal Tax, Stock Buybacks, &amp; '!AS:AS,MATCH($B51,'Federal Tax, Stock Buybacks, &amp; '!$E:$E,0))</f>
        <v>0</v>
      </c>
      <c r="AR51" s="176">
        <f t="array" ref="AR51">INDEX('Federal Tax, Stock Buybacks, &amp; '!AT:AT,MATCH($B51,'Federal Tax, Stock Buybacks, &amp; '!$E:$E,0))</f>
        <v>0</v>
      </c>
      <c r="AS51" s="172"/>
      <c r="AT51" s="175">
        <f t="shared" si="15"/>
        <v>4110</v>
      </c>
      <c r="AU51" s="176">
        <f t="array" ref="AU51">INDEX('Federal Tax, Stock Buybacks, &amp; '!AW:AW,MATCH($B51,'Federal Tax, Stock Buybacks, &amp; '!$E:$E,0))</f>
        <v>891</v>
      </c>
      <c r="AV51" s="176">
        <f t="array" ref="AV51">INDEX('Federal Tax, Stock Buybacks, &amp; '!AX:AX,MATCH($B51,'Federal Tax, Stock Buybacks, &amp; '!$E:$E,0))</f>
        <v>849</v>
      </c>
      <c r="AW51" s="176">
        <f t="array" ref="AW51">INDEX('Federal Tax, Stock Buybacks, &amp; '!AY:AY,MATCH($B51,'Federal Tax, Stock Buybacks, &amp; '!$E:$E,0))</f>
        <v>845</v>
      </c>
      <c r="AX51" s="176">
        <f t="array" ref="AX51">INDEX('Federal Tax, Stock Buybacks, &amp; '!AZ:AZ,MATCH($B51,'Federal Tax, Stock Buybacks, &amp; '!$E:$E,0))</f>
        <v>814</v>
      </c>
      <c r="AY51" s="176">
        <f t="array" ref="AY51">INDEX('Federal Tax, Stock Buybacks, &amp; '!BA:BA,MATCH($B51,'Federal Tax, Stock Buybacks, &amp; '!$E:$E,0))</f>
        <v>711</v>
      </c>
      <c r="AZ51" s="172"/>
      <c r="BA51" s="166">
        <f t="shared" si="81"/>
        <v>131439.2</v>
      </c>
      <c r="BB51" s="179">
        <f t="shared" si="82"/>
        <v>657196</v>
      </c>
      <c r="BC51" s="188">
        <v>130212.0</v>
      </c>
      <c r="BD51" s="188">
        <v>124120.0</v>
      </c>
      <c r="BE51" s="188">
        <v>156509.0</v>
      </c>
      <c r="BF51" s="188">
        <v>149550.0</v>
      </c>
      <c r="BG51" s="188">
        <v>96805.0</v>
      </c>
      <c r="BH51" s="87"/>
      <c r="BI51" s="154"/>
      <c r="BJ51" s="189" t="s">
        <v>695</v>
      </c>
      <c r="BK51" s="87"/>
      <c r="BL51" s="87"/>
    </row>
    <row r="52" ht="15.0" customHeight="1">
      <c r="A52" s="169">
        <f t="array" ref="A52">INDEX('Federal Tax, Stock Buybacks, &amp; '!D:D,match(B52,'Federal Tax, Stock Buybacks, &amp; '!E:E,0))</f>
        <v>480</v>
      </c>
      <c r="B52" s="187" t="s">
        <v>31</v>
      </c>
      <c r="C52" s="185" t="s">
        <v>698</v>
      </c>
      <c r="D52" s="160">
        <f>SUMIF('Executive Pay Breakdown'!B:B,$B52,'Executive Pay Breakdown'!M:M)+SUMIF('Executive Pay Breakdown'!B:B,$B52,'Executive Pay Breakdown'!Q:Q)+SUMIF('Executive Pay Breakdown'!B:B,$B52,'Executive Pay Breakdown'!U:U)+SUMIF('Executive Pay Breakdown'!B:B,$B52,'Executive Pay Breakdown'!Y:Y)+SUMIF('Executive Pay Breakdown'!B:B,$B52,'Executive Pay Breakdown'!AC:AC)</f>
        <v>121378669</v>
      </c>
      <c r="E52" s="161">
        <f>SUMIF('Executive Pay Breakdown'!B:B,$B52,'Executive Pay Breakdown'!M:M)</f>
        <v>22780169</v>
      </c>
      <c r="F52" s="161">
        <f>SUMIF('Executive Pay Breakdown'!B:B,$B52,'Executive Pay Breakdown'!Q:Q)</f>
        <v>22923630</v>
      </c>
      <c r="G52" s="161">
        <f>SUMIF('Executive Pay Breakdown'!B:B,$B52,'Executive Pay Breakdown'!U:U)</f>
        <v>26538292</v>
      </c>
      <c r="H52" s="161">
        <f>SUMIF('Executive Pay Breakdown'!B:B,$B52,'Executive Pay Breakdown'!Y:Y)</f>
        <v>24772880</v>
      </c>
      <c r="I52" s="161">
        <f>SUMIF('Executive Pay Breakdown'!B:B,$B52,'Executive Pay Breakdown'!AC:AC)</f>
        <v>24363698</v>
      </c>
      <c r="J52" s="172"/>
      <c r="K52" s="173" t="s">
        <v>694</v>
      </c>
      <c r="L52" s="174" t="b">
        <f t="shared" ref="L52:P52" si="111">(E52/1000000)&gt;(Z52)</f>
        <v>1</v>
      </c>
      <c r="M52" s="174" t="b">
        <f t="shared" si="111"/>
        <v>1</v>
      </c>
      <c r="N52" s="174" t="b">
        <f t="shared" si="111"/>
        <v>1</v>
      </c>
      <c r="O52" s="174" t="b">
        <f t="shared" si="111"/>
        <v>1</v>
      </c>
      <c r="P52" s="174" t="b">
        <f t="shared" si="111"/>
        <v>1</v>
      </c>
      <c r="Q52" s="172"/>
      <c r="R52" s="175">
        <f t="shared" si="11"/>
        <v>5471</v>
      </c>
      <c r="S52" s="176">
        <f t="array" ref="S52">INDEX('Federal Tax, Stock Buybacks, &amp; '!U:U,MATCH($B52,'Federal Tax, Stock Buybacks, &amp; '!$E:$E,0))</f>
        <v>1254</v>
      </c>
      <c r="T52" s="176">
        <f t="array" ref="T52">INDEX('Federal Tax, Stock Buybacks, &amp; '!V:V,MATCH($B52,'Federal Tax, Stock Buybacks, &amp; '!$E:$E,0))</f>
        <v>1158</v>
      </c>
      <c r="U52" s="176">
        <f t="array" ref="U52">INDEX('Federal Tax, Stock Buybacks, &amp; '!W:W,MATCH($B52,'Federal Tax, Stock Buybacks, &amp; '!$E:$E,0))</f>
        <v>1027</v>
      </c>
      <c r="V52" s="176">
        <f t="array" ref="V52">INDEX('Federal Tax, Stock Buybacks, &amp; '!X:X,MATCH($B52,'Federal Tax, Stock Buybacks, &amp; '!$E:$E,0))</f>
        <v>997</v>
      </c>
      <c r="W52" s="176">
        <f t="array" ref="W52">INDEX('Federal Tax, Stock Buybacks, &amp; '!Y:Y,MATCH($B52,'Federal Tax, Stock Buybacks, &amp; '!$E:$E,0))</f>
        <v>1035</v>
      </c>
      <c r="X52" s="172"/>
      <c r="Y52" s="177">
        <f t="shared" si="12"/>
        <v>0</v>
      </c>
      <c r="Z52" s="178">
        <f t="array" ref="Z52">INDEX('Federal Tax, Stock Buybacks, &amp; '!AB:AB,MATCH($B52,'Federal Tax, Stock Buybacks, &amp; '!$E:$E,0))</f>
        <v>5</v>
      </c>
      <c r="AA52" s="178">
        <f t="array" ref="AA52">INDEX('Federal Tax, Stock Buybacks, &amp; '!AC:AC,MATCH($B52,'Federal Tax, Stock Buybacks, &amp; '!$E:$E,0))</f>
        <v>7</v>
      </c>
      <c r="AB52" s="178">
        <f t="array" ref="AB52">INDEX('Federal Tax, Stock Buybacks, &amp; '!AD:AD,MATCH($B52,'Federal Tax, Stock Buybacks, &amp; '!$E:$E,0))</f>
        <v>2</v>
      </c>
      <c r="AC52" s="178">
        <f t="array" ref="AC52">INDEX('Federal Tax, Stock Buybacks, &amp; '!AE:AE,MATCH($B52,'Federal Tax, Stock Buybacks, &amp; '!$E:$E,0))</f>
        <v>-4</v>
      </c>
      <c r="AD52" s="178">
        <f t="array" ref="AD52">INDEX('Federal Tax, Stock Buybacks, &amp; '!AF:AF,MATCH($B52,'Federal Tax, Stock Buybacks, &amp; '!$E:$E,0))</f>
        <v>-10</v>
      </c>
      <c r="AE52" s="172"/>
      <c r="AF52" s="164">
        <f t="shared" ref="AF52:AK52" si="112">Y52/R52</f>
        <v>0</v>
      </c>
      <c r="AG52" s="165">
        <f t="shared" si="112"/>
        <v>0.003987240829</v>
      </c>
      <c r="AH52" s="165">
        <f t="shared" si="112"/>
        <v>0.006044905009</v>
      </c>
      <c r="AI52" s="165">
        <f t="shared" si="112"/>
        <v>0.001947419669</v>
      </c>
      <c r="AJ52" s="165">
        <f t="shared" si="112"/>
        <v>-0.004012036108</v>
      </c>
      <c r="AK52" s="165">
        <f t="shared" si="112"/>
        <v>-0.009661835749</v>
      </c>
      <c r="AL52" s="172"/>
      <c r="AM52" s="175">
        <f t="shared" si="14"/>
        <v>13</v>
      </c>
      <c r="AN52" s="176">
        <f t="array" ref="AN52">INDEX('Federal Tax, Stock Buybacks, &amp; '!AP:AP,MATCH($B52,'Federal Tax, Stock Buybacks, &amp; '!$E:$E,0))</f>
        <v>0</v>
      </c>
      <c r="AO52" s="176">
        <f t="array" ref="AO52">INDEX('Federal Tax, Stock Buybacks, &amp; '!AQ:AQ,MATCH($B52,'Federal Tax, Stock Buybacks, &amp; '!$E:$E,0))</f>
        <v>13</v>
      </c>
      <c r="AP52" s="176">
        <f t="array" ref="AP52">INDEX('Federal Tax, Stock Buybacks, &amp; '!AR:AR,MATCH($B52,'Federal Tax, Stock Buybacks, &amp; '!$E:$E,0))</f>
        <v>0</v>
      </c>
      <c r="AQ52" s="176">
        <f t="array" ref="AQ52">INDEX('Federal Tax, Stock Buybacks, &amp; '!AS:AS,MATCH($B52,'Federal Tax, Stock Buybacks, &amp; '!$E:$E,0))</f>
        <v>0</v>
      </c>
      <c r="AR52" s="176">
        <f t="array" ref="AR52">INDEX('Federal Tax, Stock Buybacks, &amp; '!AT:AT,MATCH($B52,'Federal Tax, Stock Buybacks, &amp; '!$E:$E,0))</f>
        <v>0</v>
      </c>
      <c r="AS52" s="172"/>
      <c r="AT52" s="175">
        <f t="shared" si="15"/>
        <v>2592</v>
      </c>
      <c r="AU52" s="176">
        <f t="array" ref="AU52">INDEX('Federal Tax, Stock Buybacks, &amp; '!AW:AW,MATCH($B52,'Federal Tax, Stock Buybacks, &amp; '!$E:$E,0))</f>
        <v>610</v>
      </c>
      <c r="AV52" s="176">
        <f t="array" ref="AV52">INDEX('Federal Tax, Stock Buybacks, &amp; '!AX:AX,MATCH($B52,'Federal Tax, Stock Buybacks, &amp; '!$E:$E,0))</f>
        <v>565</v>
      </c>
      <c r="AW52" s="176">
        <f t="array" ref="AW52">INDEX('Federal Tax, Stock Buybacks, &amp; '!AY:AY,MATCH($B52,'Federal Tax, Stock Buybacks, &amp; '!$E:$E,0))</f>
        <v>494</v>
      </c>
      <c r="AX52" s="176">
        <f t="array" ref="AX52">INDEX('Federal Tax, Stock Buybacks, &amp; '!AZ:AZ,MATCH($B52,'Federal Tax, Stock Buybacks, &amp; '!$E:$E,0))</f>
        <v>472</v>
      </c>
      <c r="AY52" s="176">
        <f t="array" ref="AY52">INDEX('Federal Tax, Stock Buybacks, &amp; '!BA:BA,MATCH($B52,'Federal Tax, Stock Buybacks, &amp; '!$E:$E,0))</f>
        <v>451</v>
      </c>
      <c r="AZ52" s="172"/>
      <c r="BA52" s="166">
        <f t="shared" si="81"/>
        <v>130778.8</v>
      </c>
      <c r="BB52" s="179">
        <f t="shared" si="82"/>
        <v>653894</v>
      </c>
      <c r="BC52" s="188">
        <v>112030.0</v>
      </c>
      <c r="BD52" s="188">
        <v>132415.0</v>
      </c>
      <c r="BE52" s="188">
        <v>142604.0</v>
      </c>
      <c r="BF52" s="188">
        <v>147127.0</v>
      </c>
      <c r="BG52" s="188">
        <v>119718.0</v>
      </c>
      <c r="BH52" s="87"/>
      <c r="BI52" s="154"/>
      <c r="BJ52" s="189" t="s">
        <v>695</v>
      </c>
      <c r="BK52" s="87"/>
      <c r="BL52" s="87"/>
    </row>
    <row r="53" ht="15.0" customHeight="1">
      <c r="A53" s="169">
        <f t="array" ref="A53">INDEX('Federal Tax, Stock Buybacks, &amp; '!D:D,match(B53,'Federal Tax, Stock Buybacks, &amp; '!E:E,0))</f>
        <v>402</v>
      </c>
      <c r="B53" s="191" t="s">
        <v>41</v>
      </c>
      <c r="C53" s="185" t="s">
        <v>705</v>
      </c>
      <c r="D53" s="160">
        <f>SUMIF('Executive Pay Breakdown'!B:B,$B53,'Executive Pay Breakdown'!M:M)+SUMIF('Executive Pay Breakdown'!B:B,$B53,'Executive Pay Breakdown'!Q:Q)+SUMIF('Executive Pay Breakdown'!B:B,$B53,'Executive Pay Breakdown'!U:U)+SUMIF('Executive Pay Breakdown'!B:B,$B53,'Executive Pay Breakdown'!Y:Y)+SUMIF('Executive Pay Breakdown'!B:B,$B53,'Executive Pay Breakdown'!AC:AC)</f>
        <v>120064101</v>
      </c>
      <c r="E53" s="161">
        <f>SUMIF('Executive Pay Breakdown'!B:B,$B53,'Executive Pay Breakdown'!M:M)</f>
        <v>21321313</v>
      </c>
      <c r="F53" s="161">
        <f>SUMIF('Executive Pay Breakdown'!B:B,$B53,'Executive Pay Breakdown'!Q:Q)</f>
        <v>28889201</v>
      </c>
      <c r="G53" s="161">
        <f>SUMIF('Executive Pay Breakdown'!B:B,$B53,'Executive Pay Breakdown'!U:U)</f>
        <v>26422323</v>
      </c>
      <c r="H53" s="161">
        <f>SUMIF('Executive Pay Breakdown'!B:B,$B53,'Executive Pay Breakdown'!Y:Y)</f>
        <v>20222231</v>
      </c>
      <c r="I53" s="161">
        <f>SUMIF('Executive Pay Breakdown'!B:B,$B53,'Executive Pay Breakdown'!AC:AC)</f>
        <v>23209033</v>
      </c>
      <c r="J53" s="192"/>
      <c r="K53" s="173" t="s">
        <v>694</v>
      </c>
      <c r="L53" s="174"/>
      <c r="M53" s="174"/>
      <c r="N53" s="174" t="b">
        <f t="shared" ref="N53:P53" si="113">(G53/1000000)&gt;(AB53)</f>
        <v>1</v>
      </c>
      <c r="O53" s="174" t="b">
        <f t="shared" si="113"/>
        <v>1</v>
      </c>
      <c r="P53" s="174" t="b">
        <f t="shared" si="113"/>
        <v>1</v>
      </c>
      <c r="Q53" s="192"/>
      <c r="R53" s="175">
        <f t="shared" si="11"/>
        <v>3647.7</v>
      </c>
      <c r="S53" s="176">
        <f t="array" ref="S53">INDEX('Federal Tax, Stock Buybacks, &amp; '!U:U,MATCH($B53,'Federal Tax, Stock Buybacks, &amp; '!$E:$E,0))</f>
        <v>1091.7</v>
      </c>
      <c r="T53" s="176">
        <f t="array" ref="T53">INDEX('Federal Tax, Stock Buybacks, &amp; '!V:V,MATCH($B53,'Federal Tax, Stock Buybacks, &amp; '!$E:$E,0))</f>
        <v>1016.8</v>
      </c>
      <c r="U53" s="176">
        <f t="array" ref="U53">INDEX('Federal Tax, Stock Buybacks, &amp; '!W:W,MATCH($B53,'Federal Tax, Stock Buybacks, &amp; '!$E:$E,0))</f>
        <v>569.8</v>
      </c>
      <c r="V53" s="176">
        <f t="array" ref="V53">INDEX('Federal Tax, Stock Buybacks, &amp; '!X:X,MATCH($B53,'Federal Tax, Stock Buybacks, &amp; '!$E:$E,0))</f>
        <v>209</v>
      </c>
      <c r="W53" s="176">
        <f t="array" ref="W53">INDEX('Federal Tax, Stock Buybacks, &amp; '!Y:Y,MATCH($B53,'Federal Tax, Stock Buybacks, &amp; '!$E:$E,0))</f>
        <v>760.4</v>
      </c>
      <c r="X53" s="172"/>
      <c r="Y53" s="177">
        <f t="shared" si="12"/>
        <v>28.3</v>
      </c>
      <c r="Z53" s="178">
        <f t="array" ref="Z53">INDEX('Federal Tax, Stock Buybacks, &amp; '!AB:AB,MATCH($B53,'Federal Tax, Stock Buybacks, &amp; '!$E:$E,0))</f>
        <v>165.9</v>
      </c>
      <c r="AA53" s="178">
        <f t="array" ref="AA53">INDEX('Federal Tax, Stock Buybacks, &amp; '!AC:AC,MATCH($B53,'Federal Tax, Stock Buybacks, &amp; '!$E:$E,0))</f>
        <v>90.7</v>
      </c>
      <c r="AB53" s="178">
        <f t="array" ref="AB53">INDEX('Federal Tax, Stock Buybacks, &amp; '!AD:AD,MATCH($B53,'Federal Tax, Stock Buybacks, &amp; '!$E:$E,0))</f>
        <v>-226.9</v>
      </c>
      <c r="AC53" s="178">
        <f t="array" ref="AC53">INDEX('Federal Tax, Stock Buybacks, &amp; '!AE:AE,MATCH($B53,'Federal Tax, Stock Buybacks, &amp; '!$E:$E,0))</f>
        <v>5.8</v>
      </c>
      <c r="AD53" s="178">
        <f t="array" ref="AD53">INDEX('Federal Tax, Stock Buybacks, &amp; '!AF:AF,MATCH($B53,'Federal Tax, Stock Buybacks, &amp; '!$E:$E,0))</f>
        <v>-7.2</v>
      </c>
      <c r="AE53" s="172"/>
      <c r="AF53" s="193">
        <f t="shared" ref="AF53:AK53" si="114">Y53/R53</f>
        <v>0.007758313458</v>
      </c>
      <c r="AG53" s="194">
        <f t="shared" si="114"/>
        <v>0.1519648255</v>
      </c>
      <c r="AH53" s="194">
        <f t="shared" si="114"/>
        <v>0.08920141621</v>
      </c>
      <c r="AI53" s="194">
        <f t="shared" si="114"/>
        <v>-0.3982098982</v>
      </c>
      <c r="AJ53" s="194">
        <f t="shared" si="114"/>
        <v>0.02775119617</v>
      </c>
      <c r="AK53" s="194">
        <f t="shared" si="114"/>
        <v>-0.009468700684</v>
      </c>
      <c r="AL53" s="172"/>
      <c r="AM53" s="175">
        <f t="shared" si="14"/>
        <v>2113.2</v>
      </c>
      <c r="AN53" s="176">
        <f t="array" ref="AN53">INDEX('Federal Tax, Stock Buybacks, &amp; '!AP:AP,MATCH($B53,'Federal Tax, Stock Buybacks, &amp; '!$E:$E,0))</f>
        <v>458.7</v>
      </c>
      <c r="AO53" s="176">
        <f t="array" ref="AO53">INDEX('Federal Tax, Stock Buybacks, &amp; '!AQ:AQ,MATCH($B53,'Federal Tax, Stock Buybacks, &amp; '!$E:$E,0))</f>
        <v>1071.3</v>
      </c>
      <c r="AP53" s="176">
        <f t="array" ref="AP53">INDEX('Federal Tax, Stock Buybacks, &amp; '!AR:AR,MATCH($B53,'Federal Tax, Stock Buybacks, &amp; '!$E:$E,0))</f>
        <v>45.4</v>
      </c>
      <c r="AQ53" s="176">
        <f t="array" ref="AQ53">INDEX('Federal Tax, Stock Buybacks, &amp; '!AS:AS,MATCH($B53,'Federal Tax, Stock Buybacks, &amp; '!$E:$E,0))</f>
        <v>330.3</v>
      </c>
      <c r="AR53" s="176">
        <f t="array" ref="AR53">INDEX('Federal Tax, Stock Buybacks, &amp; '!AT:AT,MATCH($B53,'Federal Tax, Stock Buybacks, &amp; '!$E:$E,0))</f>
        <v>207.5</v>
      </c>
      <c r="AS53" s="172"/>
      <c r="AT53" s="175">
        <f t="shared" si="15"/>
        <v>2048.5</v>
      </c>
      <c r="AU53" s="176">
        <f t="array" ref="AU53">INDEX('Federal Tax, Stock Buybacks, &amp; '!AW:AW,MATCH($B53,'Federal Tax, Stock Buybacks, &amp; '!$E:$E,0))</f>
        <v>589.8</v>
      </c>
      <c r="AV53" s="176">
        <f t="array" ref="AV53">INDEX('Federal Tax, Stock Buybacks, &amp; '!AX:AX,MATCH($B53,'Federal Tax, Stock Buybacks, &amp; '!$E:$E,0))</f>
        <v>563</v>
      </c>
      <c r="AW53" s="176">
        <f t="array" ref="AW53">INDEX('Federal Tax, Stock Buybacks, &amp; '!AY:AY,MATCH($B53,'Federal Tax, Stock Buybacks, &amp; '!$E:$E,0))</f>
        <v>202.6</v>
      </c>
      <c r="AX53" s="176">
        <f t="array" ref="AX53">INDEX('Federal Tax, Stock Buybacks, &amp; '!AZ:AZ,MATCH($B53,'Federal Tax, Stock Buybacks, &amp; '!$E:$E,0))</f>
        <v>322.3</v>
      </c>
      <c r="AY53" s="176">
        <f t="array" ref="AY53">INDEX('Federal Tax, Stock Buybacks, &amp; '!BA:BA,MATCH($B53,'Federal Tax, Stock Buybacks, &amp; '!$E:$E,0))</f>
        <v>370.8</v>
      </c>
      <c r="AZ53" s="172"/>
      <c r="BA53" s="195">
        <f t="shared" si="81"/>
        <v>19269.2</v>
      </c>
      <c r="BB53" s="179">
        <f t="shared" si="82"/>
        <v>96346</v>
      </c>
      <c r="BC53" s="188">
        <v>22248.0</v>
      </c>
      <c r="BD53" s="188">
        <v>21931.0</v>
      </c>
      <c r="BE53" s="188">
        <v>17855.0</v>
      </c>
      <c r="BF53" s="188">
        <v>16137.0</v>
      </c>
      <c r="BG53" s="188">
        <v>18175.0</v>
      </c>
      <c r="BH53" s="87"/>
      <c r="BI53" s="154"/>
      <c r="BJ53" s="189" t="s">
        <v>695</v>
      </c>
      <c r="BK53" s="87"/>
      <c r="BL53" s="87"/>
    </row>
    <row r="54" ht="15.0" customHeight="1">
      <c r="A54" s="169">
        <f t="array" ref="A54">INDEX('Federal Tax, Stock Buybacks, &amp; '!D:D,match(B54,'Federal Tax, Stock Buybacks, &amp; '!E:E,0))</f>
        <v>214</v>
      </c>
      <c r="B54" s="190" t="s">
        <v>21</v>
      </c>
      <c r="C54" s="185" t="s">
        <v>693</v>
      </c>
      <c r="D54" s="160">
        <f>SUMIF('Executive Pay Breakdown'!B:B,$B54,'Executive Pay Breakdown'!M:M)+SUMIF('Executive Pay Breakdown'!B:B,$B54,'Executive Pay Breakdown'!Q:Q)+SUMIF('Executive Pay Breakdown'!B:B,$B54,'Executive Pay Breakdown'!U:U)+SUMIF('Executive Pay Breakdown'!B:B,$B54,'Executive Pay Breakdown'!Y:Y)+SUMIF('Executive Pay Breakdown'!B:B,$B54,'Executive Pay Breakdown'!AC:AC)</f>
        <v>117083965</v>
      </c>
      <c r="E54" s="161">
        <f>SUMIF('Executive Pay Breakdown'!B:B,$B54,'Executive Pay Breakdown'!M:M)</f>
        <v>15769989</v>
      </c>
      <c r="F54" s="161">
        <f>SUMIF('Executive Pay Breakdown'!B:B,$B54,'Executive Pay Breakdown'!Q:Q)</f>
        <v>32061776</v>
      </c>
      <c r="G54" s="161">
        <f>SUMIF('Executive Pay Breakdown'!B:B,$B54,'Executive Pay Breakdown'!U:U)</f>
        <v>12264906</v>
      </c>
      <c r="H54" s="161">
        <f>SUMIF('Executive Pay Breakdown'!B:B,$B54,'Executive Pay Breakdown'!Y:Y)</f>
        <v>18063049</v>
      </c>
      <c r="I54" s="161">
        <f>SUMIF('Executive Pay Breakdown'!B:B,$B54,'Executive Pay Breakdown'!AC:AC)</f>
        <v>38924245</v>
      </c>
      <c r="J54" s="172"/>
      <c r="K54" s="173" t="s">
        <v>694</v>
      </c>
      <c r="L54" s="174" t="b">
        <f t="shared" ref="L54:P54" si="115">(E54/1000000)&gt;(Z54)</f>
        <v>1</v>
      </c>
      <c r="M54" s="174" t="b">
        <f t="shared" si="115"/>
        <v>1</v>
      </c>
      <c r="N54" s="174" t="b">
        <f t="shared" si="115"/>
        <v>1</v>
      </c>
      <c r="O54" s="174" t="b">
        <f t="shared" si="115"/>
        <v>1</v>
      </c>
      <c r="P54" s="174" t="b">
        <f t="shared" si="115"/>
        <v>1</v>
      </c>
      <c r="Q54" s="172"/>
      <c r="R54" s="175">
        <f t="shared" si="11"/>
        <v>12867.48</v>
      </c>
      <c r="S54" s="176">
        <f t="array" ref="S54">INDEX('Federal Tax, Stock Buybacks, &amp; '!U:U,MATCH($B54,'Federal Tax, Stock Buybacks, &amp; '!$E:$E,0))</f>
        <v>3227</v>
      </c>
      <c r="T54" s="176">
        <f t="array" ref="T54">INDEX('Federal Tax, Stock Buybacks, &amp; '!V:V,MATCH($B54,'Federal Tax, Stock Buybacks, &amp; '!$E:$E,0))</f>
        <v>2140</v>
      </c>
      <c r="U54" s="176">
        <f t="array" ref="U54">INDEX('Federal Tax, Stock Buybacks, &amp; '!W:W,MATCH($B54,'Federal Tax, Stock Buybacks, &amp; '!$E:$E,0))</f>
        <v>2193</v>
      </c>
      <c r="V54" s="176">
        <f t="array" ref="V54">INDEX('Federal Tax, Stock Buybacks, &amp; '!X:X,MATCH($B54,'Federal Tax, Stock Buybacks, &amp; '!$E:$E,0))</f>
        <v>2937.29</v>
      </c>
      <c r="W54" s="176">
        <f t="array" ref="W54">INDEX('Federal Tax, Stock Buybacks, &amp; '!Y:Y,MATCH($B54,'Federal Tax, Stock Buybacks, &amp; '!$E:$E,0))</f>
        <v>2370.19</v>
      </c>
      <c r="X54" s="172"/>
      <c r="Y54" s="177">
        <f t="shared" si="12"/>
        <v>-44</v>
      </c>
      <c r="Z54" s="178">
        <f t="array" ref="Z54">INDEX('Federal Tax, Stock Buybacks, &amp; '!AB:AB,MATCH($B54,'Federal Tax, Stock Buybacks, &amp; '!$E:$E,0))</f>
        <v>0</v>
      </c>
      <c r="AA54" s="178">
        <f t="array" ref="AA54">INDEX('Federal Tax, Stock Buybacks, &amp; '!AC:AC,MATCH($B54,'Federal Tax, Stock Buybacks, &amp; '!$E:$E,0))</f>
        <v>0</v>
      </c>
      <c r="AB54" s="178">
        <f t="array" ref="AB54">INDEX('Federal Tax, Stock Buybacks, &amp; '!AD:AD,MATCH($B54,'Federal Tax, Stock Buybacks, &amp; '!$E:$E,0))</f>
        <v>-20</v>
      </c>
      <c r="AC54" s="178">
        <f t="array" ref="AC54">INDEX('Federal Tax, Stock Buybacks, &amp; '!AE:AE,MATCH($B54,'Federal Tax, Stock Buybacks, &amp; '!$E:$E,0))</f>
        <v>-2</v>
      </c>
      <c r="AD54" s="178">
        <f t="array" ref="AD54">INDEX('Federal Tax, Stock Buybacks, &amp; '!AF:AF,MATCH($B54,'Federal Tax, Stock Buybacks, &amp; '!$E:$E,0))</f>
        <v>-22</v>
      </c>
      <c r="AE54" s="172"/>
      <c r="AF54" s="164">
        <f t="shared" ref="AF54:AK54" si="116">Y54/R54</f>
        <v>-0.003419472966</v>
      </c>
      <c r="AG54" s="165">
        <f t="shared" si="116"/>
        <v>0</v>
      </c>
      <c r="AH54" s="165">
        <f t="shared" si="116"/>
        <v>0</v>
      </c>
      <c r="AI54" s="165">
        <f t="shared" si="116"/>
        <v>-0.009119927041</v>
      </c>
      <c r="AJ54" s="165">
        <f t="shared" si="116"/>
        <v>-0.0006808997409</v>
      </c>
      <c r="AK54" s="165">
        <f t="shared" si="116"/>
        <v>-0.009281956299</v>
      </c>
      <c r="AL54" s="172"/>
      <c r="AM54" s="175">
        <f t="shared" si="14"/>
        <v>693</v>
      </c>
      <c r="AN54" s="176">
        <f t="array" ref="AN54">INDEX('Federal Tax, Stock Buybacks, &amp; '!AP:AP,MATCH($B54,'Federal Tax, Stock Buybacks, &amp; '!$E:$E,0))</f>
        <v>368</v>
      </c>
      <c r="AO54" s="176">
        <f t="array" ref="AO54">INDEX('Federal Tax, Stock Buybacks, &amp; '!AQ:AQ,MATCH($B54,'Federal Tax, Stock Buybacks, &amp; '!$E:$E,0))</f>
        <v>0</v>
      </c>
      <c r="AP54" s="176">
        <f t="array" ref="AP54">INDEX('Federal Tax, Stock Buybacks, &amp; '!AR:AR,MATCH($B54,'Federal Tax, Stock Buybacks, &amp; '!$E:$E,0))</f>
        <v>50</v>
      </c>
      <c r="AQ54" s="176">
        <f t="array" ref="AQ54">INDEX('Federal Tax, Stock Buybacks, &amp; '!AS:AS,MATCH($B54,'Federal Tax, Stock Buybacks, &amp; '!$E:$E,0))</f>
        <v>2</v>
      </c>
      <c r="AR54" s="176">
        <f t="array" ref="AR54">INDEX('Federal Tax, Stock Buybacks, &amp; '!AT:AT,MATCH($B54,'Federal Tax, Stock Buybacks, &amp; '!$E:$E,0))</f>
        <v>273</v>
      </c>
      <c r="AS54" s="172"/>
      <c r="AT54" s="175">
        <f t="shared" si="15"/>
        <v>11246</v>
      </c>
      <c r="AU54" s="176">
        <f t="array" ref="AU54">INDEX('Federal Tax, Stock Buybacks, &amp; '!AW:AW,MATCH($B54,'Federal Tax, Stock Buybacks, &amp; '!$E:$E,0))</f>
        <v>2504</v>
      </c>
      <c r="AV54" s="176">
        <f t="array" ref="AV54">INDEX('Federal Tax, Stock Buybacks, &amp; '!AX:AX,MATCH($B54,'Federal Tax, Stock Buybacks, &amp; '!$E:$E,0))</f>
        <v>2443</v>
      </c>
      <c r="AW54" s="176">
        <f t="array" ref="AW54">INDEX('Federal Tax, Stock Buybacks, &amp; '!AY:AY,MATCH($B54,'Federal Tax, Stock Buybacks, &amp; '!$E:$E,0))</f>
        <v>2362</v>
      </c>
      <c r="AX54" s="176">
        <f t="array" ref="AX54">INDEX('Federal Tax, Stock Buybacks, &amp; '!AZ:AZ,MATCH($B54,'Federal Tax, Stock Buybacks, &amp; '!$E:$E,0))</f>
        <v>2163</v>
      </c>
      <c r="AY54" s="176">
        <f t="array" ref="AY54">INDEX('Federal Tax, Stock Buybacks, &amp; '!BA:BA,MATCH($B54,'Federal Tax, Stock Buybacks, &amp; '!$E:$E,0))</f>
        <v>1774</v>
      </c>
      <c r="AZ54" s="172"/>
      <c r="BA54" s="166">
        <f t="shared" si="81"/>
        <v>112617</v>
      </c>
      <c r="BB54" s="179">
        <f t="shared" si="82"/>
        <v>563085</v>
      </c>
      <c r="BC54" s="188">
        <v>111888.0</v>
      </c>
      <c r="BD54" s="188">
        <v>115388.0</v>
      </c>
      <c r="BE54" s="188">
        <v>117413.0</v>
      </c>
      <c r="BF54" s="188">
        <v>111546.0</v>
      </c>
      <c r="BG54" s="188">
        <v>106850.0</v>
      </c>
      <c r="BH54" s="87"/>
      <c r="BI54" s="154"/>
      <c r="BJ54" s="189" t="s">
        <v>695</v>
      </c>
      <c r="BK54" s="87"/>
      <c r="BL54" s="87"/>
    </row>
    <row r="55" ht="15.0" customHeight="1">
      <c r="A55" s="169">
        <f t="array" ref="A55">INDEX('Federal Tax, Stock Buybacks, &amp; '!D:D,match(B55,'Federal Tax, Stock Buybacks, &amp; '!E:E,0))</f>
        <v>173</v>
      </c>
      <c r="B55" s="187" t="s">
        <v>23</v>
      </c>
      <c r="C55" s="185" t="s">
        <v>720</v>
      </c>
      <c r="D55" s="160">
        <f>SUMIF('Executive Pay Breakdown'!B:B,$B55,'Executive Pay Breakdown'!M:M)+SUMIF('Executive Pay Breakdown'!B:B,$B55,'Executive Pay Breakdown'!Q:Q)+SUMIF('Executive Pay Breakdown'!B:B,$B55,'Executive Pay Breakdown'!U:U)+SUMIF('Executive Pay Breakdown'!B:B,$B55,'Executive Pay Breakdown'!Y:Y)+SUMIF('Executive Pay Breakdown'!B:B,$B55,'Executive Pay Breakdown'!AC:AC)</f>
        <v>107199343</v>
      </c>
      <c r="E55" s="161">
        <f>SUMIF('Executive Pay Breakdown'!B:B,$B55,'Executive Pay Breakdown'!M:M)</f>
        <v>20300314</v>
      </c>
      <c r="F55" s="161">
        <f>SUMIF('Executive Pay Breakdown'!B:B,$B55,'Executive Pay Breakdown'!Q:Q)</f>
        <v>29188330</v>
      </c>
      <c r="G55" s="161">
        <f>SUMIF('Executive Pay Breakdown'!B:B,$B55,'Executive Pay Breakdown'!U:U)</f>
        <v>20246976</v>
      </c>
      <c r="H55" s="161">
        <f>SUMIF('Executive Pay Breakdown'!B:B,$B55,'Executive Pay Breakdown'!Y:Y)</f>
        <v>20677562</v>
      </c>
      <c r="I55" s="161">
        <f>SUMIF('Executive Pay Breakdown'!B:B,$B55,'Executive Pay Breakdown'!AC:AC)</f>
        <v>16786161</v>
      </c>
      <c r="J55" s="172"/>
      <c r="K55" s="173" t="s">
        <v>694</v>
      </c>
      <c r="L55" s="174"/>
      <c r="M55" s="174" t="b">
        <f t="shared" ref="M55:P55" si="117">(F55/1000000)&gt;(AA55)</f>
        <v>1</v>
      </c>
      <c r="N55" s="174" t="b">
        <f t="shared" si="117"/>
        <v>1</v>
      </c>
      <c r="O55" s="174" t="b">
        <f t="shared" si="117"/>
        <v>1</v>
      </c>
      <c r="P55" s="174" t="b">
        <f t="shared" si="117"/>
        <v>1</v>
      </c>
      <c r="Q55" s="172"/>
      <c r="R55" s="175">
        <f t="shared" si="11"/>
        <v>8179.16</v>
      </c>
      <c r="S55" s="176">
        <f t="array" ref="S55">INDEX('Federal Tax, Stock Buybacks, &amp; '!U:U,MATCH($B55,'Federal Tax, Stock Buybacks, &amp; '!$E:$E,0))</f>
        <v>2237.65</v>
      </c>
      <c r="T55" s="176">
        <f t="array" ref="T55">INDEX('Federal Tax, Stock Buybacks, &amp; '!V:V,MATCH($B55,'Federal Tax, Stock Buybacks, &amp; '!$E:$E,0))</f>
        <v>1974.66</v>
      </c>
      <c r="U55" s="176">
        <f t="array" ref="U55">INDEX('Federal Tax, Stock Buybacks, &amp; '!W:W,MATCH($B55,'Federal Tax, Stock Buybacks, &amp; '!$E:$E,0))</f>
        <v>800.52</v>
      </c>
      <c r="V55" s="176">
        <f t="array" ref="V55">INDEX('Federal Tax, Stock Buybacks, &amp; '!X:X,MATCH($B55,'Federal Tax, Stock Buybacks, &amp; '!$E:$E,0))</f>
        <v>1650.03</v>
      </c>
      <c r="W55" s="176">
        <f t="array" ref="W55">INDEX('Federal Tax, Stock Buybacks, &amp; '!Y:Y,MATCH($B55,'Federal Tax, Stock Buybacks, &amp; '!$E:$E,0))</f>
        <v>1516.3</v>
      </c>
      <c r="X55" s="172"/>
      <c r="Y55" s="177">
        <f t="shared" si="12"/>
        <v>54.87</v>
      </c>
      <c r="Z55" s="178">
        <f t="array" ref="Z55">INDEX('Federal Tax, Stock Buybacks, &amp; '!AB:AB,MATCH($B55,'Federal Tax, Stock Buybacks, &amp; '!$E:$E,0))</f>
        <v>52.01</v>
      </c>
      <c r="AA55" s="178">
        <f t="array" ref="AA55">INDEX('Federal Tax, Stock Buybacks, &amp; '!AC:AC,MATCH($B55,'Federal Tax, Stock Buybacks, &amp; '!$E:$E,0))</f>
        <v>2.9</v>
      </c>
      <c r="AB55" s="178">
        <f t="array" ref="AB55">INDEX('Federal Tax, Stock Buybacks, &amp; '!AD:AD,MATCH($B55,'Federal Tax, Stock Buybacks, &amp; '!$E:$E,0))</f>
        <v>0.98</v>
      </c>
      <c r="AC55" s="178">
        <f t="array" ref="AC55">INDEX('Federal Tax, Stock Buybacks, &amp; '!AE:AE,MATCH($B55,'Federal Tax, Stock Buybacks, &amp; '!$E:$E,0))</f>
        <v>-1.28</v>
      </c>
      <c r="AD55" s="178">
        <f t="array" ref="AD55">INDEX('Federal Tax, Stock Buybacks, &amp; '!AF:AF,MATCH($B55,'Federal Tax, Stock Buybacks, &amp; '!$E:$E,0))</f>
        <v>0.26</v>
      </c>
      <c r="AE55" s="172"/>
      <c r="AF55" s="164">
        <f t="shared" ref="AF55:AK55" si="118">Y55/R55</f>
        <v>0.006708512855</v>
      </c>
      <c r="AG55" s="165">
        <f t="shared" si="118"/>
        <v>0.02324313454</v>
      </c>
      <c r="AH55" s="165">
        <f t="shared" si="118"/>
        <v>0.001468607254</v>
      </c>
      <c r="AI55" s="165">
        <f t="shared" si="118"/>
        <v>0.001224204267</v>
      </c>
      <c r="AJ55" s="165">
        <f t="shared" si="118"/>
        <v>-0.0007757434713</v>
      </c>
      <c r="AK55" s="165">
        <f t="shared" si="118"/>
        <v>0.0001714700257</v>
      </c>
      <c r="AL55" s="172"/>
      <c r="AM55" s="175">
        <f t="shared" si="14"/>
        <v>0</v>
      </c>
      <c r="AN55" s="176">
        <f t="array" ref="AN55">INDEX('Federal Tax, Stock Buybacks, &amp; '!AP:AP,MATCH($B55,'Federal Tax, Stock Buybacks, &amp; '!$E:$E,0))</f>
        <v>0</v>
      </c>
      <c r="AO55" s="176">
        <f t="array" ref="AO55">INDEX('Federal Tax, Stock Buybacks, &amp; '!AQ:AQ,MATCH($B55,'Federal Tax, Stock Buybacks, &amp; '!$E:$E,0))</f>
        <v>0</v>
      </c>
      <c r="AP55" s="176">
        <f t="array" ref="AP55">INDEX('Federal Tax, Stock Buybacks, &amp; '!AR:AR,MATCH($B55,'Federal Tax, Stock Buybacks, &amp; '!$E:$E,0))</f>
        <v>0</v>
      </c>
      <c r="AQ55" s="176">
        <f t="array" ref="AQ55">INDEX('Federal Tax, Stock Buybacks, &amp; '!AS:AS,MATCH($B55,'Federal Tax, Stock Buybacks, &amp; '!$E:$E,0))</f>
        <v>0</v>
      </c>
      <c r="AR55" s="176">
        <f t="array" ref="AR55">INDEX('Federal Tax, Stock Buybacks, &amp; '!AT:AT,MATCH($B55,'Federal Tax, Stock Buybacks, &amp; '!$E:$E,0))</f>
        <v>0</v>
      </c>
      <c r="AS55" s="172"/>
      <c r="AT55" s="175">
        <f t="shared" si="15"/>
        <v>7737.07</v>
      </c>
      <c r="AU55" s="176">
        <f t="array" ref="AU55">INDEX('Federal Tax, Stock Buybacks, &amp; '!AW:AW,MATCH($B55,'Federal Tax, Stock Buybacks, &amp; '!$E:$E,0))</f>
        <v>1671.58</v>
      </c>
      <c r="AV55" s="176">
        <f t="array" ref="AV55">INDEX('Federal Tax, Stock Buybacks, &amp; '!AX:AX,MATCH($B55,'Federal Tax, Stock Buybacks, &amp; '!$E:$E,0))</f>
        <v>1667.43</v>
      </c>
      <c r="AW55" s="176">
        <f t="array" ref="AW55">INDEX('Federal Tax, Stock Buybacks, &amp; '!AY:AY,MATCH($B55,'Federal Tax, Stock Buybacks, &amp; '!$E:$E,0))</f>
        <v>1605.37</v>
      </c>
      <c r="AX55" s="176">
        <f t="array" ref="AX55">INDEX('Federal Tax, Stock Buybacks, &amp; '!AZ:AZ,MATCH($B55,'Federal Tax, Stock Buybacks, &amp; '!$E:$E,0))</f>
        <v>1457.63</v>
      </c>
      <c r="AY55" s="176">
        <f t="array" ref="AY55">INDEX('Federal Tax, Stock Buybacks, &amp; '!BA:BA,MATCH($B55,'Federal Tax, Stock Buybacks, &amp; '!$E:$E,0))</f>
        <v>1335.06</v>
      </c>
      <c r="AZ55" s="172"/>
      <c r="BA55" s="166">
        <f t="shared" si="81"/>
        <v>124708.6</v>
      </c>
      <c r="BB55" s="179">
        <f t="shared" si="82"/>
        <v>623543</v>
      </c>
      <c r="BC55" s="188">
        <v>124718.0</v>
      </c>
      <c r="BD55" s="188">
        <v>119568.0</v>
      </c>
      <c r="BE55" s="188">
        <v>112696.0</v>
      </c>
      <c r="BF55" s="188">
        <v>136080.0</v>
      </c>
      <c r="BG55" s="188">
        <v>130481.0</v>
      </c>
      <c r="BH55" s="87"/>
      <c r="BI55" s="154"/>
      <c r="BJ55" s="189" t="s">
        <v>695</v>
      </c>
      <c r="BK55" s="87"/>
      <c r="BL55" s="87"/>
    </row>
    <row r="56" ht="15.0" customHeight="1">
      <c r="A56" s="169">
        <f t="array" ref="A56">INDEX('Federal Tax, Stock Buybacks, &amp; '!D:D,match(B56,'Federal Tax, Stock Buybacks, &amp; '!E:E,0))</f>
        <v>130</v>
      </c>
      <c r="B56" s="187" t="s">
        <v>28</v>
      </c>
      <c r="C56" s="185" t="s">
        <v>706</v>
      </c>
      <c r="D56" s="160">
        <f>SUMIF('Executive Pay Breakdown'!B:B,$B56,'Executive Pay Breakdown'!M:M)+SUMIF('Executive Pay Breakdown'!B:B,$B56,'Executive Pay Breakdown'!Q:Q)+SUMIF('Executive Pay Breakdown'!B:B,$B56,'Executive Pay Breakdown'!U:U)+SUMIF('Executive Pay Breakdown'!B:B,$B56,'Executive Pay Breakdown'!Y:Y)+SUMIF('Executive Pay Breakdown'!B:B,$B56,'Executive Pay Breakdown'!AC:AC)</f>
        <v>104323110</v>
      </c>
      <c r="E56" s="161">
        <f>SUMIF('Executive Pay Breakdown'!B:B,$B56,'Executive Pay Breakdown'!M:M)</f>
        <v>20090695</v>
      </c>
      <c r="F56" s="161">
        <f>SUMIF('Executive Pay Breakdown'!B:B,$B56,'Executive Pay Breakdown'!Q:Q)</f>
        <v>23109642</v>
      </c>
      <c r="G56" s="161">
        <f>SUMIF('Executive Pay Breakdown'!B:B,$B56,'Executive Pay Breakdown'!U:U)</f>
        <v>18518232</v>
      </c>
      <c r="H56" s="161">
        <f>SUMIF('Executive Pay Breakdown'!B:B,$B56,'Executive Pay Breakdown'!Y:Y)</f>
        <v>19512493</v>
      </c>
      <c r="I56" s="161">
        <f>SUMIF('Executive Pay Breakdown'!B:B,$B56,'Executive Pay Breakdown'!AC:AC)</f>
        <v>23092048</v>
      </c>
      <c r="J56" s="172"/>
      <c r="K56" s="173" t="s">
        <v>694</v>
      </c>
      <c r="L56" s="174" t="b">
        <f t="shared" ref="L56:P56" si="119">(E56/1000000)&gt;(Z56)</f>
        <v>1</v>
      </c>
      <c r="M56" s="174" t="b">
        <f t="shared" si="119"/>
        <v>1</v>
      </c>
      <c r="N56" s="174" t="b">
        <f t="shared" si="119"/>
        <v>1</v>
      </c>
      <c r="O56" s="174" t="b">
        <f t="shared" si="119"/>
        <v>1</v>
      </c>
      <c r="P56" s="174" t="b">
        <f t="shared" si="119"/>
        <v>1</v>
      </c>
      <c r="Q56" s="172"/>
      <c r="R56" s="175">
        <f t="shared" si="11"/>
        <v>6040</v>
      </c>
      <c r="S56" s="176">
        <f t="array" ref="S56">INDEX('Federal Tax, Stock Buybacks, &amp; '!U:U,MATCH($B56,'Federal Tax, Stock Buybacks, &amp; '!$E:$E,0))</f>
        <v>1371</v>
      </c>
      <c r="T56" s="176">
        <f t="array" ref="T56">INDEX('Federal Tax, Stock Buybacks, &amp; '!V:V,MATCH($B56,'Federal Tax, Stock Buybacks, &amp; '!$E:$E,0))</f>
        <v>2711</v>
      </c>
      <c r="U56" s="176">
        <f t="array" ref="U56">INDEX('Federal Tax, Stock Buybacks, &amp; '!W:W,MATCH($B56,'Federal Tax, Stock Buybacks, &amp; '!$E:$E,0))</f>
        <v>727</v>
      </c>
      <c r="V56" s="176">
        <f t="array" ref="V56">INDEX('Federal Tax, Stock Buybacks, &amp; '!X:X,MATCH($B56,'Federal Tax, Stock Buybacks, &amp; '!$E:$E,0))</f>
        <v>769</v>
      </c>
      <c r="W56" s="176">
        <f t="array" ref="W56">INDEX('Federal Tax, Stock Buybacks, &amp; '!Y:Y,MATCH($B56,'Federal Tax, Stock Buybacks, &amp; '!$E:$E,0))</f>
        <v>462</v>
      </c>
      <c r="X56" s="172"/>
      <c r="Y56" s="177">
        <f t="shared" si="12"/>
        <v>3</v>
      </c>
      <c r="Z56" s="178">
        <f t="array" ref="Z56">INDEX('Federal Tax, Stock Buybacks, &amp; '!AB:AB,MATCH($B56,'Federal Tax, Stock Buybacks, &amp; '!$E:$E,0))</f>
        <v>3</v>
      </c>
      <c r="AA56" s="178">
        <f t="array" ref="AA56">INDEX('Federal Tax, Stock Buybacks, &amp; '!AC:AC,MATCH($B56,'Federal Tax, Stock Buybacks, &amp; '!$E:$E,0))</f>
        <v>0</v>
      </c>
      <c r="AB56" s="178">
        <f t="array" ref="AB56">INDEX('Federal Tax, Stock Buybacks, &amp; '!AD:AD,MATCH($B56,'Federal Tax, Stock Buybacks, &amp; '!$E:$E,0))</f>
        <v>0</v>
      </c>
      <c r="AC56" s="178">
        <f t="array" ref="AC56">INDEX('Federal Tax, Stock Buybacks, &amp; '!AE:AE,MATCH($B56,'Federal Tax, Stock Buybacks, &amp; '!$E:$E,0))</f>
        <v>0</v>
      </c>
      <c r="AD56" s="178">
        <f t="array" ref="AD56">INDEX('Federal Tax, Stock Buybacks, &amp; '!AF:AF,MATCH($B56,'Federal Tax, Stock Buybacks, &amp; '!$E:$E,0))</f>
        <v>0</v>
      </c>
      <c r="AE56" s="172"/>
      <c r="AF56" s="164">
        <f t="shared" ref="AF56:AK56" si="120">Y56/R56</f>
        <v>0.0004966887417</v>
      </c>
      <c r="AG56" s="165">
        <f t="shared" si="120"/>
        <v>0.002188183807</v>
      </c>
      <c r="AH56" s="165">
        <f t="shared" si="120"/>
        <v>0</v>
      </c>
      <c r="AI56" s="165">
        <f t="shared" si="120"/>
        <v>0</v>
      </c>
      <c r="AJ56" s="165">
        <f t="shared" si="120"/>
        <v>0</v>
      </c>
      <c r="AK56" s="165">
        <f t="shared" si="120"/>
        <v>0</v>
      </c>
      <c r="AL56" s="172"/>
      <c r="AM56" s="175">
        <f t="shared" si="14"/>
        <v>3573</v>
      </c>
      <c r="AN56" s="176">
        <f t="array" ref="AN56">INDEX('Federal Tax, Stock Buybacks, &amp; '!AP:AP,MATCH($B56,'Federal Tax, Stock Buybacks, &amp; '!$E:$E,0))</f>
        <v>606</v>
      </c>
      <c r="AO56" s="176">
        <f t="array" ref="AO56">INDEX('Federal Tax, Stock Buybacks, &amp; '!AQ:AQ,MATCH($B56,'Federal Tax, Stock Buybacks, &amp; '!$E:$E,0))</f>
        <v>48</v>
      </c>
      <c r="AP56" s="176">
        <f t="array" ref="AP56">INDEX('Federal Tax, Stock Buybacks, &amp; '!AR:AR,MATCH($B56,'Federal Tax, Stock Buybacks, &amp; '!$E:$E,0))</f>
        <v>229</v>
      </c>
      <c r="AQ56" s="176">
        <f t="array" ref="AQ56">INDEX('Federal Tax, Stock Buybacks, &amp; '!AS:AS,MATCH($B56,'Federal Tax, Stock Buybacks, &amp; '!$E:$E,0))</f>
        <v>1440</v>
      </c>
      <c r="AR56" s="176">
        <f t="array" ref="AR56">INDEX('Federal Tax, Stock Buybacks, &amp; '!AT:AT,MATCH($B56,'Federal Tax, Stock Buybacks, &amp; '!$E:$E,0))</f>
        <v>1250</v>
      </c>
      <c r="AS56" s="172"/>
      <c r="AT56" s="175">
        <f t="shared" si="15"/>
        <v>1015</v>
      </c>
      <c r="AU56" s="176">
        <f t="array" ref="AU56">INDEX('Federal Tax, Stock Buybacks, &amp; '!AW:AW,MATCH($B56,'Federal Tax, Stock Buybacks, &amp; '!$E:$E,0))</f>
        <v>332</v>
      </c>
      <c r="AV56" s="176">
        <f t="array" ref="AV56">INDEX('Federal Tax, Stock Buybacks, &amp; '!AX:AX,MATCH($B56,'Federal Tax, Stock Buybacks, &amp; '!$E:$E,0))</f>
        <v>319</v>
      </c>
      <c r="AW56" s="176">
        <f t="array" ref="AW56">INDEX('Federal Tax, Stock Buybacks, &amp; '!AY:AY,MATCH($B56,'Federal Tax, Stock Buybacks, &amp; '!$E:$E,0))</f>
        <v>295</v>
      </c>
      <c r="AX56" s="176">
        <f t="array" ref="AX56">INDEX('Federal Tax, Stock Buybacks, &amp; '!AZ:AZ,MATCH($B56,'Federal Tax, Stock Buybacks, &amp; '!$E:$E,0))</f>
        <v>32</v>
      </c>
      <c r="AY56" s="176">
        <f t="array" ref="AY56">INDEX('Federal Tax, Stock Buybacks, &amp; '!BA:BA,MATCH($B56,'Federal Tax, Stock Buybacks, &amp; '!$E:$E,0))</f>
        <v>37</v>
      </c>
      <c r="AZ56" s="172"/>
      <c r="BA56" s="166">
        <f t="shared" si="81"/>
        <v>118400.2</v>
      </c>
      <c r="BB56" s="179">
        <f t="shared" si="82"/>
        <v>592001</v>
      </c>
      <c r="BC56" s="188">
        <v>121958.0</v>
      </c>
      <c r="BD56" s="188">
        <v>126289.0</v>
      </c>
      <c r="BE56" s="188">
        <v>113749.0</v>
      </c>
      <c r="BF56" s="188">
        <v>114883.0</v>
      </c>
      <c r="BG56" s="188">
        <v>115122.0</v>
      </c>
      <c r="BH56" s="87"/>
      <c r="BI56" s="154"/>
      <c r="BJ56" s="189" t="s">
        <v>695</v>
      </c>
      <c r="BK56" s="87"/>
      <c r="BL56" s="87"/>
    </row>
    <row r="57" ht="15.0" customHeight="1">
      <c r="A57" s="169">
        <f t="array" ref="A57">INDEX('Federal Tax, Stock Buybacks, &amp; '!D:D,match(B57,'Federal Tax, Stock Buybacks, &amp; '!E:E,0))</f>
        <v>584</v>
      </c>
      <c r="B57" s="187" t="s">
        <v>39</v>
      </c>
      <c r="C57" s="185" t="s">
        <v>698</v>
      </c>
      <c r="D57" s="160">
        <f>SUMIF('Executive Pay Breakdown'!B:B,$B57,'Executive Pay Breakdown'!M:M)+SUMIF('Executive Pay Breakdown'!B:B,$B57,'Executive Pay Breakdown'!Q:Q)+SUMIF('Executive Pay Breakdown'!B:B,$B57,'Executive Pay Breakdown'!U:U)+SUMIF('Executive Pay Breakdown'!B:B,$B57,'Executive Pay Breakdown'!Y:Y)+SUMIF('Executive Pay Breakdown'!B:B,$B57,'Executive Pay Breakdown'!AC:AC)</f>
        <v>100149044</v>
      </c>
      <c r="E57" s="161">
        <f>SUMIF('Executive Pay Breakdown'!B:B,$B57,'Executive Pay Breakdown'!M:M)</f>
        <v>18542600</v>
      </c>
      <c r="F57" s="161">
        <f>SUMIF('Executive Pay Breakdown'!B:B,$B57,'Executive Pay Breakdown'!Q:Q)</f>
        <v>30478644</v>
      </c>
      <c r="G57" s="161">
        <f>SUMIF('Executive Pay Breakdown'!B:B,$B57,'Executive Pay Breakdown'!U:U)</f>
        <v>19841851</v>
      </c>
      <c r="H57" s="161">
        <f>SUMIF('Executive Pay Breakdown'!B:B,$B57,'Executive Pay Breakdown'!Y:Y)</f>
        <v>13744765</v>
      </c>
      <c r="I57" s="161">
        <f>SUMIF('Executive Pay Breakdown'!B:B,$B57,'Executive Pay Breakdown'!AC:AC)</f>
        <v>17541184</v>
      </c>
      <c r="J57" s="172"/>
      <c r="K57" s="173" t="s">
        <v>694</v>
      </c>
      <c r="L57" s="183"/>
      <c r="M57" s="174" t="b">
        <f t="shared" ref="M57:P57" si="121">(F57/1000000)&gt;(AA57)</f>
        <v>1</v>
      </c>
      <c r="N57" s="174" t="b">
        <f t="shared" si="121"/>
        <v>1</v>
      </c>
      <c r="O57" s="174" t="b">
        <f t="shared" si="121"/>
        <v>1</v>
      </c>
      <c r="P57" s="174" t="b">
        <f t="shared" si="121"/>
        <v>1</v>
      </c>
      <c r="Q57" s="172"/>
      <c r="R57" s="175">
        <f t="shared" si="11"/>
        <v>3875.5</v>
      </c>
      <c r="S57" s="176">
        <f t="array" ref="S57">INDEX('Federal Tax, Stock Buybacks, &amp; '!U:U,MATCH($B57,'Federal Tax, Stock Buybacks, &amp; '!$E:$E,0))</f>
        <v>797</v>
      </c>
      <c r="T57" s="176">
        <f t="array" ref="T57">INDEX('Federal Tax, Stock Buybacks, &amp; '!V:V,MATCH($B57,'Federal Tax, Stock Buybacks, &amp; '!$E:$E,0))</f>
        <v>1001.5</v>
      </c>
      <c r="U57" s="176">
        <f t="array" ref="U57">INDEX('Federal Tax, Stock Buybacks, &amp; '!W:W,MATCH($B57,'Federal Tax, Stock Buybacks, &amp; '!$E:$E,0))</f>
        <v>721.8</v>
      </c>
      <c r="V57" s="176">
        <f t="array" ref="V57">INDEX('Federal Tax, Stock Buybacks, &amp; '!X:X,MATCH($B57,'Federal Tax, Stock Buybacks, &amp; '!$E:$E,0))</f>
        <v>757.8</v>
      </c>
      <c r="W57" s="176">
        <f t="array" ref="W57">INDEX('Federal Tax, Stock Buybacks, &amp; '!Y:Y,MATCH($B57,'Federal Tax, Stock Buybacks, &amp; '!$E:$E,0))</f>
        <v>597.4</v>
      </c>
      <c r="X57" s="172"/>
      <c r="Y57" s="177">
        <f t="shared" si="12"/>
        <v>-86.1</v>
      </c>
      <c r="Z57" s="178">
        <f t="array" ref="Z57">INDEX('Federal Tax, Stock Buybacks, &amp; '!AB:AB,MATCH($B57,'Federal Tax, Stock Buybacks, &amp; '!$E:$E,0))</f>
        <v>32</v>
      </c>
      <c r="AA57" s="178">
        <f t="array" ref="AA57">INDEX('Federal Tax, Stock Buybacks, &amp; '!AC:AC,MATCH($B57,'Federal Tax, Stock Buybacks, &amp; '!$E:$E,0))</f>
        <v>15.6</v>
      </c>
      <c r="AB57" s="178">
        <f t="array" ref="AB57">INDEX('Federal Tax, Stock Buybacks, &amp; '!AD:AD,MATCH($B57,'Federal Tax, Stock Buybacks, &amp; '!$E:$E,0))</f>
        <v>-26.8</v>
      </c>
      <c r="AC57" s="178">
        <f t="array" ref="AC57">INDEX('Federal Tax, Stock Buybacks, &amp; '!AE:AE,MATCH($B57,'Federal Tax, Stock Buybacks, &amp; '!$E:$E,0))</f>
        <v>-39.5</v>
      </c>
      <c r="AD57" s="178">
        <f t="array" ref="AD57">INDEX('Federal Tax, Stock Buybacks, &amp; '!AF:AF,MATCH($B57,'Federal Tax, Stock Buybacks, &amp; '!$E:$E,0))</f>
        <v>-67.4</v>
      </c>
      <c r="AE57" s="172"/>
      <c r="AF57" s="164">
        <f t="shared" ref="AF57:AK57" si="122">Y57/R57</f>
        <v>-0.0222164882</v>
      </c>
      <c r="AG57" s="165">
        <f t="shared" si="122"/>
        <v>0.04015056462</v>
      </c>
      <c r="AH57" s="165">
        <f t="shared" si="122"/>
        <v>0.01557663505</v>
      </c>
      <c r="AI57" s="165">
        <f t="shared" si="122"/>
        <v>-0.03712939873</v>
      </c>
      <c r="AJ57" s="165">
        <f t="shared" si="122"/>
        <v>-0.05212457113</v>
      </c>
      <c r="AK57" s="165">
        <f t="shared" si="122"/>
        <v>-0.1128222297</v>
      </c>
      <c r="AL57" s="172"/>
      <c r="AM57" s="175">
        <f t="shared" si="14"/>
        <v>2671</v>
      </c>
      <c r="AN57" s="176">
        <f t="array" ref="AN57">INDEX('Federal Tax, Stock Buybacks, &amp; '!AP:AP,MATCH($B57,'Federal Tax, Stock Buybacks, &amp; '!$E:$E,0))</f>
        <v>0</v>
      </c>
      <c r="AO57" s="176">
        <f t="array" ref="AO57">INDEX('Federal Tax, Stock Buybacks, &amp; '!AQ:AQ,MATCH($B57,'Federal Tax, Stock Buybacks, &amp; '!$E:$E,0))</f>
        <v>0</v>
      </c>
      <c r="AP57" s="176">
        <f t="array" ref="AP57">INDEX('Federal Tax, Stock Buybacks, &amp; '!AR:AR,MATCH($B57,'Federal Tax, Stock Buybacks, &amp; '!$E:$E,0))</f>
        <v>0</v>
      </c>
      <c r="AQ57" s="176">
        <f t="array" ref="AQ57">INDEX('Federal Tax, Stock Buybacks, &amp; '!AS:AS,MATCH($B57,'Federal Tax, Stock Buybacks, &amp; '!$E:$E,0))</f>
        <v>1629</v>
      </c>
      <c r="AR57" s="176">
        <f t="array" ref="AR57">INDEX('Federal Tax, Stock Buybacks, &amp; '!AT:AT,MATCH($B57,'Federal Tax, Stock Buybacks, &amp; '!$E:$E,0))</f>
        <v>1042</v>
      </c>
      <c r="AS57" s="172"/>
      <c r="AT57" s="175">
        <f t="shared" si="15"/>
        <v>2435.2</v>
      </c>
      <c r="AU57" s="176">
        <f t="array" ref="AU57">INDEX('Federal Tax, Stock Buybacks, &amp; '!AW:AW,MATCH($B57,'Federal Tax, Stock Buybacks, &amp; '!$E:$E,0))</f>
        <v>534.8</v>
      </c>
      <c r="AV57" s="176">
        <f t="array" ref="AV57">INDEX('Federal Tax, Stock Buybacks, &amp; '!AX:AX,MATCH($B57,'Federal Tax, Stock Buybacks, &amp; '!$E:$E,0))</f>
        <v>497.9</v>
      </c>
      <c r="AW57" s="176">
        <f t="array" ref="AW57">INDEX('Federal Tax, Stock Buybacks, &amp; '!AY:AY,MATCH($B57,'Federal Tax, Stock Buybacks, &amp; '!$E:$E,0))</f>
        <v>465</v>
      </c>
      <c r="AX57" s="176">
        <f t="array" ref="AX57">INDEX('Federal Tax, Stock Buybacks, &amp; '!AZ:AZ,MATCH($B57,'Federal Tax, Stock Buybacks, &amp; '!$E:$E,0))</f>
        <v>462.5</v>
      </c>
      <c r="AY57" s="176">
        <f t="array" ref="AY57">INDEX('Federal Tax, Stock Buybacks, &amp; '!BA:BA,MATCH($B57,'Federal Tax, Stock Buybacks, &amp; '!$E:$E,0))</f>
        <v>475</v>
      </c>
      <c r="AZ57" s="172"/>
      <c r="BA57" s="166">
        <f t="shared" si="81"/>
        <v>135069.2</v>
      </c>
      <c r="BB57" s="179">
        <f t="shared" si="82"/>
        <v>675346</v>
      </c>
      <c r="BC57" s="188">
        <v>126186.0</v>
      </c>
      <c r="BD57" s="188">
        <v>133369.0</v>
      </c>
      <c r="BE57" s="188">
        <v>128625.0</v>
      </c>
      <c r="BF57" s="188">
        <v>153717.0</v>
      </c>
      <c r="BG57" s="188">
        <v>133449.0</v>
      </c>
      <c r="BH57" s="87"/>
      <c r="BI57" s="154"/>
      <c r="BJ57" s="189" t="s">
        <v>695</v>
      </c>
      <c r="BK57" s="87"/>
      <c r="BL57" s="87"/>
    </row>
    <row r="58" ht="15.0" customHeight="1">
      <c r="A58" s="169">
        <f t="array" ref="A58">INDEX('Federal Tax, Stock Buybacks, &amp; '!D:D,match(B58,'Federal Tax, Stock Buybacks, &amp; '!E:E,0))</f>
        <v>395</v>
      </c>
      <c r="B58" s="197" t="s">
        <v>71</v>
      </c>
      <c r="C58" s="185" t="s">
        <v>707</v>
      </c>
      <c r="D58" s="160">
        <f>SUMIF('Executive Pay Breakdown'!B:B,$B58,'Executive Pay Breakdown'!M:M)+SUMIF('Executive Pay Breakdown'!B:B,$B58,'Executive Pay Breakdown'!Q:Q)+SUMIF('Executive Pay Breakdown'!B:B,$B58,'Executive Pay Breakdown'!U:U)+SUMIF('Executive Pay Breakdown'!B:B,$B58,'Executive Pay Breakdown'!Y:Y)+SUMIF('Executive Pay Breakdown'!B:B,$B58,'Executive Pay Breakdown'!AC:AC)</f>
        <v>100001593</v>
      </c>
      <c r="E58" s="161">
        <f>SUMIF('Executive Pay Breakdown'!B:B,$B58,'Executive Pay Breakdown'!M:M)</f>
        <v>22764200</v>
      </c>
      <c r="F58" s="161">
        <f>SUMIF('Executive Pay Breakdown'!B:B,$B58,'Executive Pay Breakdown'!Q:Q)</f>
        <v>21359120</v>
      </c>
      <c r="G58" s="161">
        <f>SUMIF('Executive Pay Breakdown'!B:B,$B58,'Executive Pay Breakdown'!U:U)</f>
        <v>17697182</v>
      </c>
      <c r="H58" s="161">
        <f>SUMIF('Executive Pay Breakdown'!B:B,$B58,'Executive Pay Breakdown'!Y:Y)</f>
        <v>18385350</v>
      </c>
      <c r="I58" s="161">
        <f>SUMIF('Executive Pay Breakdown'!B:B,$B58,'Executive Pay Breakdown'!AC:AC)</f>
        <v>19795741</v>
      </c>
      <c r="J58" s="192"/>
      <c r="K58" s="173" t="s">
        <v>704</v>
      </c>
      <c r="L58" s="174"/>
      <c r="M58" s="174"/>
      <c r="N58" s="174" t="b">
        <f t="shared" ref="N58:P58" si="123">(G58/1000000)&gt;(AB58)</f>
        <v>1</v>
      </c>
      <c r="O58" s="174" t="b">
        <f t="shared" si="123"/>
        <v>1</v>
      </c>
      <c r="P58" s="174" t="b">
        <f t="shared" si="123"/>
        <v>1</v>
      </c>
      <c r="Q58" s="192"/>
      <c r="R58" s="175">
        <f t="shared" si="11"/>
        <v>3030</v>
      </c>
      <c r="S58" s="176">
        <f t="array" ref="S58">INDEX('Federal Tax, Stock Buybacks, &amp; '!U:U,MATCH($B58,'Federal Tax, Stock Buybacks, &amp; '!$E:$E,0))</f>
        <v>1248</v>
      </c>
      <c r="T58" s="176">
        <f t="array" ref="T58">INDEX('Federal Tax, Stock Buybacks, &amp; '!V:V,MATCH($B58,'Federal Tax, Stock Buybacks, &amp; '!$E:$E,0))</f>
        <v>841</v>
      </c>
      <c r="U58" s="176">
        <f t="array" ref="U58">INDEX('Federal Tax, Stock Buybacks, &amp; '!W:W,MATCH($B58,'Federal Tax, Stock Buybacks, &amp; '!$E:$E,0))</f>
        <v>232</v>
      </c>
      <c r="V58" s="176">
        <f t="array" ref="V58">INDEX('Federal Tax, Stock Buybacks, &amp; '!X:X,MATCH($B58,'Federal Tax, Stock Buybacks, &amp; '!$E:$E,0))</f>
        <v>304</v>
      </c>
      <c r="W58" s="176">
        <f t="array" ref="W58">INDEX('Federal Tax, Stock Buybacks, &amp; '!Y:Y,MATCH($B58,'Federal Tax, Stock Buybacks, &amp; '!$E:$E,0))</f>
        <v>405</v>
      </c>
      <c r="X58" s="172"/>
      <c r="Y58" s="177">
        <f t="shared" si="12"/>
        <v>314</v>
      </c>
      <c r="Z58" s="178">
        <f t="array" ref="Z58">INDEX('Federal Tax, Stock Buybacks, &amp; '!AB:AB,MATCH($B58,'Federal Tax, Stock Buybacks, &amp; '!$E:$E,0))</f>
        <v>180</v>
      </c>
      <c r="AA58" s="178">
        <f t="array" ref="AA58">INDEX('Federal Tax, Stock Buybacks, &amp; '!AC:AC,MATCH($B58,'Federal Tax, Stock Buybacks, &amp; '!$E:$E,0))</f>
        <v>139</v>
      </c>
      <c r="AB58" s="178">
        <f t="array" ref="AB58">INDEX('Federal Tax, Stock Buybacks, &amp; '!AD:AD,MATCH($B58,'Federal Tax, Stock Buybacks, &amp; '!$E:$E,0))</f>
        <v>4</v>
      </c>
      <c r="AC58" s="178">
        <f t="array" ref="AC58">INDEX('Federal Tax, Stock Buybacks, &amp; '!AE:AE,MATCH($B58,'Federal Tax, Stock Buybacks, &amp; '!$E:$E,0))</f>
        <v>-4</v>
      </c>
      <c r="AD58" s="178">
        <f t="array" ref="AD58">INDEX('Federal Tax, Stock Buybacks, &amp; '!AF:AF,MATCH($B58,'Federal Tax, Stock Buybacks, &amp; '!$E:$E,0))</f>
        <v>-5</v>
      </c>
      <c r="AE58" s="172"/>
      <c r="AF58" s="164">
        <f t="shared" ref="AF58:AK58" si="124">Y58/R58</f>
        <v>0.103630363</v>
      </c>
      <c r="AG58" s="165">
        <f t="shared" si="124"/>
        <v>0.1442307692</v>
      </c>
      <c r="AH58" s="165">
        <f t="shared" si="124"/>
        <v>0.1652794293</v>
      </c>
      <c r="AI58" s="165">
        <f t="shared" si="124"/>
        <v>0.01724137931</v>
      </c>
      <c r="AJ58" s="165">
        <f t="shared" si="124"/>
        <v>-0.01315789474</v>
      </c>
      <c r="AK58" s="165">
        <f t="shared" si="124"/>
        <v>-0.01234567901</v>
      </c>
      <c r="AL58" s="172"/>
      <c r="AM58" s="175">
        <f t="shared" si="14"/>
        <v>1980</v>
      </c>
      <c r="AN58" s="176">
        <f t="array" ref="AN58">INDEX('Federal Tax, Stock Buybacks, &amp; '!AP:AP,MATCH($B58,'Federal Tax, Stock Buybacks, &amp; '!$E:$E,0))</f>
        <v>795</v>
      </c>
      <c r="AO58" s="176">
        <f t="array" ref="AO58">INDEX('Federal Tax, Stock Buybacks, &amp; '!AQ:AQ,MATCH($B58,'Federal Tax, Stock Buybacks, &amp; '!$E:$E,0))</f>
        <v>570</v>
      </c>
      <c r="AP58" s="176">
        <f t="array" ref="AP58">INDEX('Federal Tax, Stock Buybacks, &amp; '!AR:AR,MATCH($B58,'Federal Tax, Stock Buybacks, &amp; '!$E:$E,0))</f>
        <v>318</v>
      </c>
      <c r="AQ58" s="176">
        <f t="array" ref="AQ58">INDEX('Federal Tax, Stock Buybacks, &amp; '!AS:AS,MATCH($B58,'Federal Tax, Stock Buybacks, &amp; '!$E:$E,0))</f>
        <v>61</v>
      </c>
      <c r="AR58" s="176">
        <f t="array" ref="AR58">INDEX('Federal Tax, Stock Buybacks, &amp; '!AT:AT,MATCH($B58,'Federal Tax, Stock Buybacks, &amp; '!$E:$E,0))</f>
        <v>236</v>
      </c>
      <c r="AS58" s="172"/>
      <c r="AT58" s="175">
        <f t="shared" si="15"/>
        <v>535</v>
      </c>
      <c r="AU58" s="176">
        <f t="array" ref="AU58">INDEX('Federal Tax, Stock Buybacks, &amp; '!AW:AW,MATCH($B58,'Federal Tax, Stock Buybacks, &amp; '!$E:$E,0))</f>
        <v>136</v>
      </c>
      <c r="AV58" s="176">
        <f t="array" ref="AV58">INDEX('Federal Tax, Stock Buybacks, &amp; '!AX:AX,MATCH($B58,'Federal Tax, Stock Buybacks, &amp; '!$E:$E,0))</f>
        <v>108</v>
      </c>
      <c r="AW58" s="176">
        <f t="array" ref="AW58">INDEX('Federal Tax, Stock Buybacks, &amp; '!AY:AY,MATCH($B58,'Federal Tax, Stock Buybacks, &amp; '!$E:$E,0))</f>
        <v>104</v>
      </c>
      <c r="AX58" s="176">
        <f t="array" ref="AX58">INDEX('Federal Tax, Stock Buybacks, &amp; '!AZ:AZ,MATCH($B58,'Federal Tax, Stock Buybacks, &amp; '!$E:$E,0))</f>
        <v>95</v>
      </c>
      <c r="AY58" s="176">
        <f t="array" ref="AY58">INDEX('Federal Tax, Stock Buybacks, &amp; '!BA:BA,MATCH($B58,'Federal Tax, Stock Buybacks, &amp; '!$E:$E,0))</f>
        <v>92</v>
      </c>
      <c r="AZ58" s="172"/>
      <c r="BA58" s="166">
        <f t="shared" si="81"/>
        <v>60319.8</v>
      </c>
      <c r="BB58" s="179">
        <f t="shared" si="82"/>
        <v>301599</v>
      </c>
      <c r="BC58" s="188">
        <v>60396.0</v>
      </c>
      <c r="BD58" s="188">
        <v>64753.0</v>
      </c>
      <c r="BE58" s="188">
        <v>60773.0</v>
      </c>
      <c r="BF58" s="188">
        <v>55090.0</v>
      </c>
      <c r="BG58" s="188">
        <v>60587.0</v>
      </c>
      <c r="BH58" s="87"/>
      <c r="BI58" s="154"/>
      <c r="BJ58" s="189" t="s">
        <v>695</v>
      </c>
      <c r="BK58" s="87"/>
      <c r="BL58" s="87"/>
    </row>
    <row r="59" ht="15.0" customHeight="1">
      <c r="A59" s="169">
        <f t="array" ref="A59">INDEX('Federal Tax, Stock Buybacks, &amp; '!D:D,match(B59,'Federal Tax, Stock Buybacks, &amp; '!E:E,0))</f>
        <v>264</v>
      </c>
      <c r="B59" s="187" t="s">
        <v>64</v>
      </c>
      <c r="C59" s="185" t="s">
        <v>696</v>
      </c>
      <c r="D59" s="160">
        <f>SUMIF('Executive Pay Breakdown'!B:B,$B59,'Executive Pay Breakdown'!M:M)+SUMIF('Executive Pay Breakdown'!B:B,$B59,'Executive Pay Breakdown'!Q:Q)+SUMIF('Executive Pay Breakdown'!B:B,$B59,'Executive Pay Breakdown'!U:U)+SUMIF('Executive Pay Breakdown'!B:B,$B59,'Executive Pay Breakdown'!Y:Y)+SUMIF('Executive Pay Breakdown'!B:B,$B59,'Executive Pay Breakdown'!AC:AC)</f>
        <v>96959611</v>
      </c>
      <c r="E59" s="161">
        <f>SUMIF('Executive Pay Breakdown'!B:B,$B59,'Executive Pay Breakdown'!M:M)</f>
        <v>21369794</v>
      </c>
      <c r="F59" s="161">
        <f>SUMIF('Executive Pay Breakdown'!B:B,$B59,'Executive Pay Breakdown'!Q:Q)</f>
        <v>19546019</v>
      </c>
      <c r="G59" s="161">
        <f>SUMIF('Executive Pay Breakdown'!B:B,$B59,'Executive Pay Breakdown'!U:U)</f>
        <v>20861559</v>
      </c>
      <c r="H59" s="161">
        <f>SUMIF('Executive Pay Breakdown'!B:B,$B59,'Executive Pay Breakdown'!Y:Y)</f>
        <v>18806237</v>
      </c>
      <c r="I59" s="161">
        <f>SUMIF('Executive Pay Breakdown'!B:B,$B59,'Executive Pay Breakdown'!AC:AC)</f>
        <v>16376002</v>
      </c>
      <c r="J59" s="172"/>
      <c r="K59" s="173" t="s">
        <v>704</v>
      </c>
      <c r="L59" s="174"/>
      <c r="M59" s="174"/>
      <c r="N59" s="174" t="b">
        <f t="shared" ref="N59:P59" si="125">(G59/1000000)&gt;(AB59)</f>
        <v>1</v>
      </c>
      <c r="O59" s="174" t="b">
        <f t="shared" si="125"/>
        <v>1</v>
      </c>
      <c r="P59" s="174" t="b">
        <f t="shared" si="125"/>
        <v>1</v>
      </c>
      <c r="Q59" s="172"/>
      <c r="R59" s="175">
        <f t="shared" si="11"/>
        <v>8230</v>
      </c>
      <c r="S59" s="176">
        <f t="array" ref="S59">INDEX('Federal Tax, Stock Buybacks, &amp; '!U:U,MATCH($B59,'Federal Tax, Stock Buybacks, &amp; '!$E:$E,0))</f>
        <v>2093</v>
      </c>
      <c r="T59" s="176">
        <f t="array" ref="T59">INDEX('Federal Tax, Stock Buybacks, &amp; '!V:V,MATCH($B59,'Federal Tax, Stock Buybacks, &amp; '!$E:$E,0))</f>
        <v>1369</v>
      </c>
      <c r="U59" s="176">
        <f t="array" ref="U59">INDEX('Federal Tax, Stock Buybacks, &amp; '!W:W,MATCH($B59,'Federal Tax, Stock Buybacks, &amp; '!$E:$E,0))</f>
        <v>1227</v>
      </c>
      <c r="V59" s="176">
        <f t="array" ref="V59">INDEX('Federal Tax, Stock Buybacks, &amp; '!X:X,MATCH($B59,'Federal Tax, Stock Buybacks, &amp; '!$E:$E,0))</f>
        <v>1748</v>
      </c>
      <c r="W59" s="176">
        <f t="array" ref="W59">INDEX('Federal Tax, Stock Buybacks, &amp; '!Y:Y,MATCH($B59,'Federal Tax, Stock Buybacks, &amp; '!$E:$E,0))</f>
        <v>1793</v>
      </c>
      <c r="X59" s="172"/>
      <c r="Y59" s="177">
        <f t="shared" si="12"/>
        <v>102</v>
      </c>
      <c r="Z59" s="178">
        <f t="array" ref="Z59">INDEX('Federal Tax, Stock Buybacks, &amp; '!AB:AB,MATCH($B59,'Federal Tax, Stock Buybacks, &amp; '!$E:$E,0))</f>
        <v>58</v>
      </c>
      <c r="AA59" s="178">
        <f t="array" ref="AA59">INDEX('Federal Tax, Stock Buybacks, &amp; '!AC:AC,MATCH($B59,'Federal Tax, Stock Buybacks, &amp; '!$E:$E,0))</f>
        <v>43</v>
      </c>
      <c r="AB59" s="178">
        <f t="array" ref="AB59">INDEX('Federal Tax, Stock Buybacks, &amp; '!AD:AD,MATCH($B59,'Federal Tax, Stock Buybacks, &amp; '!$E:$E,0))</f>
        <v>-2</v>
      </c>
      <c r="AC59" s="178">
        <f t="array" ref="AC59">INDEX('Federal Tax, Stock Buybacks, &amp; '!AE:AE,MATCH($B59,'Federal Tax, Stock Buybacks, &amp; '!$E:$E,0))</f>
        <v>0</v>
      </c>
      <c r="AD59" s="178">
        <f t="array" ref="AD59">INDEX('Federal Tax, Stock Buybacks, &amp; '!AF:AF,MATCH($B59,'Federal Tax, Stock Buybacks, &amp; '!$E:$E,0))</f>
        <v>3</v>
      </c>
      <c r="AE59" s="172"/>
      <c r="AF59" s="164">
        <f t="shared" ref="AF59:AK59" si="126">Y59/R59</f>
        <v>0.01239368165</v>
      </c>
      <c r="AG59" s="165">
        <f t="shared" si="126"/>
        <v>0.02771141902</v>
      </c>
      <c r="AH59" s="165">
        <f t="shared" si="126"/>
        <v>0.03140978817</v>
      </c>
      <c r="AI59" s="165">
        <f t="shared" si="126"/>
        <v>-0.00162999185</v>
      </c>
      <c r="AJ59" s="165">
        <f t="shared" si="126"/>
        <v>0</v>
      </c>
      <c r="AK59" s="165">
        <f t="shared" si="126"/>
        <v>0.001673173452</v>
      </c>
      <c r="AL59" s="172"/>
      <c r="AM59" s="175">
        <f t="shared" si="14"/>
        <v>0</v>
      </c>
      <c r="AN59" s="176">
        <f t="array" ref="AN59">INDEX('Federal Tax, Stock Buybacks, &amp; '!AP:AP,MATCH($B59,'Federal Tax, Stock Buybacks, &amp; '!$E:$E,0))</f>
        <v>0</v>
      </c>
      <c r="AO59" s="176">
        <f t="array" ref="AO59">INDEX('Federal Tax, Stock Buybacks, &amp; '!AQ:AQ,MATCH($B59,'Federal Tax, Stock Buybacks, &amp; '!$E:$E,0))</f>
        <v>0</v>
      </c>
      <c r="AP59" s="176">
        <f t="array" ref="AP59">INDEX('Federal Tax, Stock Buybacks, &amp; '!AR:AR,MATCH($B59,'Federal Tax, Stock Buybacks, &amp; '!$E:$E,0))</f>
        <v>0</v>
      </c>
      <c r="AQ59" s="176">
        <f t="array" ref="AQ59">INDEX('Federal Tax, Stock Buybacks, &amp; '!AS:AS,MATCH($B59,'Federal Tax, Stock Buybacks, &amp; '!$E:$E,0))</f>
        <v>0</v>
      </c>
      <c r="AR59" s="176">
        <f t="array" ref="AR59">INDEX('Federal Tax, Stock Buybacks, &amp; '!AT:AT,MATCH($B59,'Federal Tax, Stock Buybacks, &amp; '!$E:$E,0))</f>
        <v>0</v>
      </c>
      <c r="AS59" s="172"/>
      <c r="AT59" s="175">
        <f t="shared" si="15"/>
        <v>4860</v>
      </c>
      <c r="AU59" s="176">
        <f t="array" ref="AU59">INDEX('Federal Tax, Stock Buybacks, &amp; '!AW:AW,MATCH($B59,'Federal Tax, Stock Buybacks, &amp; '!$E:$E,0))</f>
        <v>1089</v>
      </c>
      <c r="AV59" s="176">
        <f t="array" ref="AV59">INDEX('Federal Tax, Stock Buybacks, &amp; '!AX:AX,MATCH($B59,'Federal Tax, Stock Buybacks, &amp; '!$E:$E,0))</f>
        <v>1030</v>
      </c>
      <c r="AW59" s="176">
        <f t="array" ref="AW59">INDEX('Federal Tax, Stock Buybacks, &amp; '!AY:AY,MATCH($B59,'Federal Tax, Stock Buybacks, &amp; '!$E:$E,0))</f>
        <v>975</v>
      </c>
      <c r="AX59" s="176">
        <f t="array" ref="AX59">INDEX('Federal Tax, Stock Buybacks, &amp; '!AZ:AZ,MATCH($B59,'Federal Tax, Stock Buybacks, &amp; '!$E:$E,0))</f>
        <v>924</v>
      </c>
      <c r="AY59" s="176">
        <f t="array" ref="AY59">INDEX('Federal Tax, Stock Buybacks, &amp; '!BA:BA,MATCH($B59,'Federal Tax, Stock Buybacks, &amp; '!$E:$E,0))</f>
        <v>842</v>
      </c>
      <c r="AZ59" s="172"/>
      <c r="BA59" s="166">
        <f t="shared" si="81"/>
        <v>170198.6</v>
      </c>
      <c r="BB59" s="179">
        <f t="shared" si="82"/>
        <v>850993</v>
      </c>
      <c r="BC59" s="188">
        <v>136892.0</v>
      </c>
      <c r="BD59" s="188">
        <v>132803.0</v>
      </c>
      <c r="BE59" s="188">
        <v>259289.0</v>
      </c>
      <c r="BF59" s="188">
        <v>215556.0</v>
      </c>
      <c r="BG59" s="188">
        <v>106453.0</v>
      </c>
      <c r="BH59" s="87"/>
      <c r="BI59" s="154"/>
      <c r="BJ59" s="189" t="s">
        <v>695</v>
      </c>
      <c r="BK59" s="87"/>
      <c r="BL59" s="87"/>
    </row>
    <row r="60" ht="15.0" customHeight="1">
      <c r="A60" s="169">
        <f t="array" ref="A60">INDEX('Federal Tax, Stock Buybacks, &amp; '!D:D,match(B60,'Federal Tax, Stock Buybacks, &amp; '!E:E,0))</f>
        <v>388</v>
      </c>
      <c r="B60" s="187" t="s">
        <v>45</v>
      </c>
      <c r="C60" s="185" t="s">
        <v>716</v>
      </c>
      <c r="D60" s="160">
        <f>SUMIF('Executive Pay Breakdown'!B:B,$B60,'Executive Pay Breakdown'!M:M)+SUMIF('Executive Pay Breakdown'!B:B,$B60,'Executive Pay Breakdown'!Q:Q)+SUMIF('Executive Pay Breakdown'!B:B,$B60,'Executive Pay Breakdown'!U:U)+SUMIF('Executive Pay Breakdown'!B:B,$B60,'Executive Pay Breakdown'!Y:Y)+SUMIF('Executive Pay Breakdown'!B:B,$B60,'Executive Pay Breakdown'!AC:AC)</f>
        <v>93384202</v>
      </c>
      <c r="E60" s="161">
        <f>SUMIF('Executive Pay Breakdown'!B:B,$B60,'Executive Pay Breakdown'!M:M)</f>
        <v>14205421</v>
      </c>
      <c r="F60" s="161">
        <f>SUMIF('Executive Pay Breakdown'!B:B,$B60,'Executive Pay Breakdown'!Q:Q)</f>
        <v>22595120</v>
      </c>
      <c r="G60" s="161">
        <f>SUMIF('Executive Pay Breakdown'!B:B,$B60,'Executive Pay Breakdown'!U:U)</f>
        <v>18092980</v>
      </c>
      <c r="H60" s="161">
        <f>SUMIF('Executive Pay Breakdown'!B:B,$B60,'Executive Pay Breakdown'!Y:Y)</f>
        <v>18612429</v>
      </c>
      <c r="I60" s="161">
        <f>SUMIF('Executive Pay Breakdown'!B:B,$B60,'Executive Pay Breakdown'!AC:AC)</f>
        <v>19878252</v>
      </c>
      <c r="J60" s="172"/>
      <c r="K60" s="173" t="s">
        <v>694</v>
      </c>
      <c r="L60" s="183"/>
      <c r="M60" s="174" t="b">
        <f t="shared" ref="M60:N60" si="127">(F60/1000000)&gt;(AA60)</f>
        <v>1</v>
      </c>
      <c r="N60" s="174" t="b">
        <f t="shared" si="127"/>
        <v>1</v>
      </c>
      <c r="O60" s="174"/>
      <c r="P60" s="174" t="b">
        <f>(I60/1000000)&gt;(AD60)</f>
        <v>1</v>
      </c>
      <c r="Q60" s="172"/>
      <c r="R60" s="175">
        <f t="shared" si="11"/>
        <v>2114</v>
      </c>
      <c r="S60" s="176">
        <f t="array" ref="S60">INDEX('Federal Tax, Stock Buybacks, &amp; '!U:U,MATCH($B60,'Federal Tax, Stock Buybacks, &amp; '!$E:$E,0))</f>
        <v>344</v>
      </c>
      <c r="T60" s="176">
        <f t="array" ref="T60">INDEX('Federal Tax, Stock Buybacks, &amp; '!V:V,MATCH($B60,'Federal Tax, Stock Buybacks, &amp; '!$E:$E,0))</f>
        <v>640</v>
      </c>
      <c r="U60" s="176">
        <f t="array" ref="U60">INDEX('Federal Tax, Stock Buybacks, &amp; '!W:W,MATCH($B60,'Federal Tax, Stock Buybacks, &amp; '!$E:$E,0))</f>
        <v>420</v>
      </c>
      <c r="V60" s="176">
        <f t="array" ref="V60">INDEX('Federal Tax, Stock Buybacks, &amp; '!X:X,MATCH($B60,'Federal Tax, Stock Buybacks, &amp; '!$E:$E,0))</f>
        <v>263.7</v>
      </c>
      <c r="W60" s="176">
        <f t="array" ref="W60">INDEX('Federal Tax, Stock Buybacks, &amp; '!Y:Y,MATCH($B60,'Federal Tax, Stock Buybacks, &amp; '!$E:$E,0))</f>
        <v>446.3</v>
      </c>
      <c r="X60" s="172"/>
      <c r="Y60" s="177">
        <f t="shared" si="12"/>
        <v>-74.8</v>
      </c>
      <c r="Z60" s="178">
        <f t="array" ref="Z60">INDEX('Federal Tax, Stock Buybacks, &amp; '!AB:AB,MATCH($B60,'Federal Tax, Stock Buybacks, &amp; '!$E:$E,0))</f>
        <v>21</v>
      </c>
      <c r="AA60" s="178">
        <f t="array" ref="AA60">INDEX('Federal Tax, Stock Buybacks, &amp; '!AC:AC,MATCH($B60,'Federal Tax, Stock Buybacks, &amp; '!$E:$E,0))</f>
        <v>-56</v>
      </c>
      <c r="AB60" s="178">
        <f t="array" ref="AB60">INDEX('Federal Tax, Stock Buybacks, &amp; '!AD:AD,MATCH($B60,'Federal Tax, Stock Buybacks, &amp; '!$E:$E,0))</f>
        <v>-85</v>
      </c>
      <c r="AC60" s="178">
        <f t="array" ref="AC60">INDEX('Federal Tax, Stock Buybacks, &amp; '!AE:AE,MATCH($B60,'Federal Tax, Stock Buybacks, &amp; '!$E:$E,0))</f>
        <v>47.9</v>
      </c>
      <c r="AD60" s="178">
        <f t="array" ref="AD60">INDEX('Federal Tax, Stock Buybacks, &amp; '!AF:AF,MATCH($B60,'Federal Tax, Stock Buybacks, &amp; '!$E:$E,0))</f>
        <v>-2.7</v>
      </c>
      <c r="AE60" s="172"/>
      <c r="AF60" s="164">
        <f t="shared" ref="AF60:AK60" si="128">Y60/R60</f>
        <v>-0.03538315989</v>
      </c>
      <c r="AG60" s="165">
        <f t="shared" si="128"/>
        <v>0.06104651163</v>
      </c>
      <c r="AH60" s="165">
        <f t="shared" si="128"/>
        <v>-0.0875</v>
      </c>
      <c r="AI60" s="165">
        <f t="shared" si="128"/>
        <v>-0.2023809524</v>
      </c>
      <c r="AJ60" s="165">
        <f t="shared" si="128"/>
        <v>0.1816458096</v>
      </c>
      <c r="AK60" s="165">
        <f t="shared" si="128"/>
        <v>-0.006049742326</v>
      </c>
      <c r="AL60" s="172"/>
      <c r="AM60" s="175">
        <f t="shared" si="14"/>
        <v>153</v>
      </c>
      <c r="AN60" s="176">
        <f t="array" ref="AN60">INDEX('Federal Tax, Stock Buybacks, &amp; '!AP:AP,MATCH($B60,'Federal Tax, Stock Buybacks, &amp; '!$E:$E,0))</f>
        <v>38</v>
      </c>
      <c r="AO60" s="176">
        <f t="array" ref="AO60">INDEX('Federal Tax, Stock Buybacks, &amp; '!AQ:AQ,MATCH($B60,'Federal Tax, Stock Buybacks, &amp; '!$E:$E,0))</f>
        <v>0</v>
      </c>
      <c r="AP60" s="176">
        <f t="array" ref="AP60">INDEX('Federal Tax, Stock Buybacks, &amp; '!AR:AR,MATCH($B60,'Federal Tax, Stock Buybacks, &amp; '!$E:$E,0))</f>
        <v>38</v>
      </c>
      <c r="AQ60" s="176">
        <f t="array" ref="AQ60">INDEX('Federal Tax, Stock Buybacks, &amp; '!AS:AS,MATCH($B60,'Federal Tax, Stock Buybacks, &amp; '!$E:$E,0))</f>
        <v>17</v>
      </c>
      <c r="AR60" s="176">
        <f t="array" ref="AR60">INDEX('Federal Tax, Stock Buybacks, &amp; '!AT:AT,MATCH($B60,'Federal Tax, Stock Buybacks, &amp; '!$E:$E,0))</f>
        <v>60</v>
      </c>
      <c r="AS60" s="172"/>
      <c r="AT60" s="175">
        <f t="shared" si="15"/>
        <v>1228</v>
      </c>
      <c r="AU60" s="176">
        <f t="array" ref="AU60">INDEX('Federal Tax, Stock Buybacks, &amp; '!AW:AW,MATCH($B60,'Federal Tax, Stock Buybacks, &amp; '!$E:$E,0))</f>
        <v>296</v>
      </c>
      <c r="AV60" s="176">
        <f t="array" ref="AV60">INDEX('Federal Tax, Stock Buybacks, &amp; '!AX:AX,MATCH($B60,'Federal Tax, Stock Buybacks, &amp; '!$E:$E,0))</f>
        <v>282</v>
      </c>
      <c r="AW60" s="176">
        <f t="array" ref="AW60">INDEX('Federal Tax, Stock Buybacks, &amp; '!AY:AY,MATCH($B60,'Federal Tax, Stock Buybacks, &amp; '!$E:$E,0))</f>
        <v>273</v>
      </c>
      <c r="AX60" s="176">
        <f t="array" ref="AX60">INDEX('Federal Tax, Stock Buybacks, &amp; '!AZ:AZ,MATCH($B60,'Federal Tax, Stock Buybacks, &amp; '!$E:$E,0))</f>
        <v>200</v>
      </c>
      <c r="AY60" s="176">
        <f t="array" ref="AY60">INDEX('Federal Tax, Stock Buybacks, &amp; '!BA:BA,MATCH($B60,'Federal Tax, Stock Buybacks, &amp; '!$E:$E,0))</f>
        <v>177</v>
      </c>
      <c r="AZ60" s="172"/>
      <c r="BA60" s="166">
        <f t="shared" si="81"/>
        <v>64890.8</v>
      </c>
      <c r="BB60" s="179">
        <f t="shared" si="82"/>
        <v>324454</v>
      </c>
      <c r="BC60" s="188">
        <v>71717.0</v>
      </c>
      <c r="BD60" s="188">
        <v>63449.0</v>
      </c>
      <c r="BE60" s="188">
        <v>73403.0</v>
      </c>
      <c r="BF60" s="188">
        <v>64610.0</v>
      </c>
      <c r="BG60" s="188">
        <v>51275.0</v>
      </c>
      <c r="BH60" s="87"/>
      <c r="BI60" s="154"/>
      <c r="BJ60" s="189" t="s">
        <v>695</v>
      </c>
      <c r="BK60" s="87"/>
      <c r="BL60" s="87"/>
    </row>
    <row r="61" ht="15.0" customHeight="1">
      <c r="A61" s="169">
        <f t="array" ref="A61">INDEX('Federal Tax, Stock Buybacks, &amp; '!D:D,match(B61,'Federal Tax, Stock Buybacks, &amp; '!E:E,0))</f>
        <v>722</v>
      </c>
      <c r="B61" s="187" t="s">
        <v>42</v>
      </c>
      <c r="C61" s="185" t="s">
        <v>693</v>
      </c>
      <c r="D61" s="160">
        <f>SUMIF('Executive Pay Breakdown'!B:B,$B61,'Executive Pay Breakdown'!M:M)+SUMIF('Executive Pay Breakdown'!B:B,$B61,'Executive Pay Breakdown'!Q:Q)+SUMIF('Executive Pay Breakdown'!B:B,$B61,'Executive Pay Breakdown'!U:U)+SUMIF('Executive Pay Breakdown'!B:B,$B61,'Executive Pay Breakdown'!Y:Y)+SUMIF('Executive Pay Breakdown'!B:B,$B61,'Executive Pay Breakdown'!AC:AC)</f>
        <v>92271417</v>
      </c>
      <c r="E61" s="161">
        <f>SUMIF('Executive Pay Breakdown'!B:B,$B61,'Executive Pay Breakdown'!M:M)</f>
        <v>11352807</v>
      </c>
      <c r="F61" s="161">
        <f>SUMIF('Executive Pay Breakdown'!B:B,$B61,'Executive Pay Breakdown'!Q:Q)</f>
        <v>13133075</v>
      </c>
      <c r="G61" s="161">
        <f>SUMIF('Executive Pay Breakdown'!B:B,$B61,'Executive Pay Breakdown'!U:U)</f>
        <v>19658731</v>
      </c>
      <c r="H61" s="161">
        <f>SUMIF('Executive Pay Breakdown'!B:B,$B61,'Executive Pay Breakdown'!Y:Y)</f>
        <v>27961176</v>
      </c>
      <c r="I61" s="161">
        <f>SUMIF('Executive Pay Breakdown'!B:B,$B61,'Executive Pay Breakdown'!AC:AC)</f>
        <v>20165628</v>
      </c>
      <c r="J61" s="172"/>
      <c r="K61" s="173" t="s">
        <v>694</v>
      </c>
      <c r="L61" s="174" t="b">
        <f t="shared" ref="L61:P61" si="129">(E61/1000000)&gt;(Z61)</f>
        <v>1</v>
      </c>
      <c r="M61" s="174" t="b">
        <f t="shared" si="129"/>
        <v>1</v>
      </c>
      <c r="N61" s="174" t="b">
        <f t="shared" si="129"/>
        <v>1</v>
      </c>
      <c r="O61" s="174" t="b">
        <f t="shared" si="129"/>
        <v>1</v>
      </c>
      <c r="P61" s="174" t="b">
        <f t="shared" si="129"/>
        <v>1</v>
      </c>
      <c r="Q61" s="172"/>
      <c r="R61" s="175">
        <f t="shared" si="11"/>
        <v>3617.4</v>
      </c>
      <c r="S61" s="176">
        <f t="array" ref="S61">INDEX('Federal Tax, Stock Buybacks, &amp; '!U:U,MATCH($B61,'Federal Tax, Stock Buybacks, &amp; '!$E:$E,0))</f>
        <v>823.78</v>
      </c>
      <c r="T61" s="176">
        <f t="array" ref="T61">INDEX('Federal Tax, Stock Buybacks, &amp; '!V:V,MATCH($B61,'Federal Tax, Stock Buybacks, &amp; '!$E:$E,0))</f>
        <v>819.05</v>
      </c>
      <c r="U61" s="176">
        <f t="array" ref="U61">INDEX('Federal Tax, Stock Buybacks, &amp; '!W:W,MATCH($B61,'Federal Tax, Stock Buybacks, &amp; '!$E:$E,0))</f>
        <v>732.6</v>
      </c>
      <c r="V61" s="176">
        <f t="array" ref="V61">INDEX('Federal Tax, Stock Buybacks, &amp; '!X:X,MATCH($B61,'Federal Tax, Stock Buybacks, &amp; '!$E:$E,0))</f>
        <v>641.9</v>
      </c>
      <c r="W61" s="176">
        <f t="array" ref="W61">INDEX('Federal Tax, Stock Buybacks, &amp; '!Y:Y,MATCH($B61,'Federal Tax, Stock Buybacks, &amp; '!$E:$E,0))</f>
        <v>600.07</v>
      </c>
      <c r="X61" s="172"/>
      <c r="Y61" s="177">
        <f t="shared" si="12"/>
        <v>-7.25</v>
      </c>
      <c r="Z61" s="178">
        <f t="array" ref="Z61">INDEX('Federal Tax, Stock Buybacks, &amp; '!AB:AB,MATCH($B61,'Federal Tax, Stock Buybacks, &amp; '!$E:$E,0))</f>
        <v>2.85</v>
      </c>
      <c r="AA61" s="178">
        <f t="array" ref="AA61">INDEX('Federal Tax, Stock Buybacks, &amp; '!AC:AC,MATCH($B61,'Federal Tax, Stock Buybacks, &amp; '!$E:$E,0))</f>
        <v>0</v>
      </c>
      <c r="AB61" s="178">
        <f t="array" ref="AB61">INDEX('Federal Tax, Stock Buybacks, &amp; '!AD:AD,MATCH($B61,'Federal Tax, Stock Buybacks, &amp; '!$E:$E,0))</f>
        <v>0</v>
      </c>
      <c r="AC61" s="178">
        <f t="array" ref="AC61">INDEX('Federal Tax, Stock Buybacks, &amp; '!AE:AE,MATCH($B61,'Federal Tax, Stock Buybacks, &amp; '!$E:$E,0))</f>
        <v>0</v>
      </c>
      <c r="AD61" s="178">
        <f t="array" ref="AD61">INDEX('Federal Tax, Stock Buybacks, &amp; '!AF:AF,MATCH($B61,'Federal Tax, Stock Buybacks, &amp; '!$E:$E,0))</f>
        <v>-10.1</v>
      </c>
      <c r="AE61" s="172"/>
      <c r="AF61" s="164">
        <f t="shared" ref="AF61:AK61" si="130">Y61/R61</f>
        <v>-0.002004201913</v>
      </c>
      <c r="AG61" s="165">
        <f t="shared" si="130"/>
        <v>0.00345966156</v>
      </c>
      <c r="AH61" s="165">
        <f t="shared" si="130"/>
        <v>0</v>
      </c>
      <c r="AI61" s="165">
        <f t="shared" si="130"/>
        <v>0</v>
      </c>
      <c r="AJ61" s="165">
        <f t="shared" si="130"/>
        <v>0</v>
      </c>
      <c r="AK61" s="165">
        <f t="shared" si="130"/>
        <v>-0.01683136967</v>
      </c>
      <c r="AL61" s="172"/>
      <c r="AM61" s="175">
        <f t="shared" si="14"/>
        <v>0</v>
      </c>
      <c r="AN61" s="176">
        <f t="array" ref="AN61">INDEX('Federal Tax, Stock Buybacks, &amp; '!AP:AP,MATCH($B61,'Federal Tax, Stock Buybacks, &amp; '!$E:$E,0))</f>
        <v>0</v>
      </c>
      <c r="AO61" s="176">
        <f t="array" ref="AO61">INDEX('Federal Tax, Stock Buybacks, &amp; '!AQ:AQ,MATCH($B61,'Federal Tax, Stock Buybacks, &amp; '!$E:$E,0))</f>
        <v>0</v>
      </c>
      <c r="AP61" s="176">
        <f t="array" ref="AP61">INDEX('Federal Tax, Stock Buybacks, &amp; '!AR:AR,MATCH($B61,'Federal Tax, Stock Buybacks, &amp; '!$E:$E,0))</f>
        <v>0</v>
      </c>
      <c r="AQ61" s="176">
        <f t="array" ref="AQ61">INDEX('Federal Tax, Stock Buybacks, &amp; '!AS:AS,MATCH($B61,'Federal Tax, Stock Buybacks, &amp; '!$E:$E,0))</f>
        <v>0</v>
      </c>
      <c r="AR61" s="176">
        <f t="array" ref="AR61">INDEX('Federal Tax, Stock Buybacks, &amp; '!AT:AT,MATCH($B61,'Federal Tax, Stock Buybacks, &amp; '!$E:$E,0))</f>
        <v>0</v>
      </c>
      <c r="AS61" s="172"/>
      <c r="AT61" s="175">
        <f t="shared" si="15"/>
        <v>1442.88</v>
      </c>
      <c r="AU61" s="176">
        <f t="array" ref="AU61">INDEX('Federal Tax, Stock Buybacks, &amp; '!AW:AW,MATCH($B61,'Federal Tax, Stock Buybacks, &amp; '!$E:$E,0))</f>
        <v>375.91</v>
      </c>
      <c r="AV61" s="176">
        <f t="array" ref="AV61">INDEX('Federal Tax, Stock Buybacks, &amp; '!AX:AX,MATCH($B61,'Federal Tax, Stock Buybacks, &amp; '!$E:$E,0))</f>
        <v>323.9</v>
      </c>
      <c r="AW61" s="176">
        <f t="array" ref="AW61">INDEX('Federal Tax, Stock Buybacks, &amp; '!AY:AY,MATCH($B61,'Federal Tax, Stock Buybacks, &amp; '!$E:$E,0))</f>
        <v>282.44</v>
      </c>
      <c r="AX61" s="176">
        <f t="array" ref="AX61">INDEX('Federal Tax, Stock Buybacks, &amp; '!AZ:AZ,MATCH($B61,'Federal Tax, Stock Buybacks, &amp; '!$E:$E,0))</f>
        <v>245.72</v>
      </c>
      <c r="AY61" s="176">
        <f t="array" ref="AY61">INDEX('Federal Tax, Stock Buybacks, &amp; '!BA:BA,MATCH($B61,'Federal Tax, Stock Buybacks, &amp; '!$E:$E,0))</f>
        <v>214.91</v>
      </c>
      <c r="AZ61" s="172"/>
      <c r="BA61" s="166">
        <f t="shared" si="81"/>
        <v>81606</v>
      </c>
      <c r="BB61" s="179">
        <f t="shared" si="82"/>
        <v>408030</v>
      </c>
      <c r="BC61" s="188">
        <v>81388.0</v>
      </c>
      <c r="BD61" s="188">
        <v>78050.0</v>
      </c>
      <c r="BE61" s="188">
        <v>83111.0</v>
      </c>
      <c r="BF61" s="188">
        <v>84516.0</v>
      </c>
      <c r="BG61" s="188">
        <v>80965.0</v>
      </c>
      <c r="BH61" s="87"/>
      <c r="BI61" s="154"/>
      <c r="BJ61" s="189" t="s">
        <v>695</v>
      </c>
      <c r="BK61" s="87"/>
      <c r="BL61" s="87"/>
    </row>
    <row r="62" ht="15.0" customHeight="1">
      <c r="A62" s="169">
        <f t="array" ref="A62">INDEX('Federal Tax, Stock Buybacks, &amp; '!D:D,match(B62,'Federal Tax, Stock Buybacks, &amp; '!E:E,0))</f>
        <v>441</v>
      </c>
      <c r="B62" s="187" t="s">
        <v>38</v>
      </c>
      <c r="C62" s="185" t="s">
        <v>703</v>
      </c>
      <c r="D62" s="160">
        <f>SUMIF('Executive Pay Breakdown'!B:B,$B62,'Executive Pay Breakdown'!M:M)+SUMIF('Executive Pay Breakdown'!B:B,$B62,'Executive Pay Breakdown'!Q:Q)+SUMIF('Executive Pay Breakdown'!B:B,$B62,'Executive Pay Breakdown'!U:U)+SUMIF('Executive Pay Breakdown'!B:B,$B62,'Executive Pay Breakdown'!Y:Y)+SUMIF('Executive Pay Breakdown'!B:B,$B62,'Executive Pay Breakdown'!AC:AC)</f>
        <v>90422315</v>
      </c>
      <c r="E62" s="161">
        <f>SUMIF('Executive Pay Breakdown'!B:B,$B62,'Executive Pay Breakdown'!M:M)</f>
        <v>18201368</v>
      </c>
      <c r="F62" s="161">
        <f>SUMIF('Executive Pay Breakdown'!B:B,$B62,'Executive Pay Breakdown'!Q:Q)</f>
        <v>15398971</v>
      </c>
      <c r="G62" s="161">
        <f>SUMIF('Executive Pay Breakdown'!B:B,$B62,'Executive Pay Breakdown'!U:U)</f>
        <v>19210560</v>
      </c>
      <c r="H62" s="161">
        <f>SUMIF('Executive Pay Breakdown'!B:B,$B62,'Executive Pay Breakdown'!Y:Y)</f>
        <v>20597269</v>
      </c>
      <c r="I62" s="161">
        <f>SUMIF('Executive Pay Breakdown'!B:B,$B62,'Executive Pay Breakdown'!AC:AC)</f>
        <v>17014147</v>
      </c>
      <c r="J62" s="172"/>
      <c r="K62" s="173" t="s">
        <v>694</v>
      </c>
      <c r="L62" s="174" t="b">
        <f t="shared" ref="L62:P62" si="131">(E62/1000000)&gt;(Z62)</f>
        <v>1</v>
      </c>
      <c r="M62" s="174" t="b">
        <f t="shared" si="131"/>
        <v>1</v>
      </c>
      <c r="N62" s="174" t="b">
        <f t="shared" si="131"/>
        <v>1</v>
      </c>
      <c r="O62" s="174" t="b">
        <f t="shared" si="131"/>
        <v>1</v>
      </c>
      <c r="P62" s="174" t="b">
        <f t="shared" si="131"/>
        <v>1</v>
      </c>
      <c r="Q62" s="172"/>
      <c r="R62" s="175">
        <f t="shared" si="11"/>
        <v>4186</v>
      </c>
      <c r="S62" s="176">
        <f t="array" ref="S62">INDEX('Federal Tax, Stock Buybacks, &amp; '!U:U,MATCH($B62,'Federal Tax, Stock Buybacks, &amp; '!$E:$E,0))</f>
        <v>902</v>
      </c>
      <c r="T62" s="176">
        <f t="array" ref="T62">INDEX('Federal Tax, Stock Buybacks, &amp; '!V:V,MATCH($B62,'Federal Tax, Stock Buybacks, &amp; '!$E:$E,0))</f>
        <v>822</v>
      </c>
      <c r="U62" s="176">
        <f t="array" ref="U62">INDEX('Federal Tax, Stock Buybacks, &amp; '!W:W,MATCH($B62,'Federal Tax, Stock Buybacks, &amp; '!$E:$E,0))</f>
        <v>887</v>
      </c>
      <c r="V62" s="176">
        <f t="array" ref="V62">INDEX('Federal Tax, Stock Buybacks, &amp; '!X:X,MATCH($B62,'Federal Tax, Stock Buybacks, &amp; '!$E:$E,0))</f>
        <v>801</v>
      </c>
      <c r="W62" s="176">
        <f t="array" ref="W62">INDEX('Federal Tax, Stock Buybacks, &amp; '!Y:Y,MATCH($B62,'Federal Tax, Stock Buybacks, &amp; '!$E:$E,0))</f>
        <v>774</v>
      </c>
      <c r="X62" s="172"/>
      <c r="Y62" s="177">
        <f t="shared" si="12"/>
        <v>-128</v>
      </c>
      <c r="Z62" s="178">
        <f t="array" ref="Z62">INDEX('Federal Tax, Stock Buybacks, &amp; '!AB:AB,MATCH($B62,'Federal Tax, Stock Buybacks, &amp; '!$E:$E,0))</f>
        <v>6</v>
      </c>
      <c r="AA62" s="178">
        <f t="array" ref="AA62">INDEX('Federal Tax, Stock Buybacks, &amp; '!AC:AC,MATCH($B62,'Federal Tax, Stock Buybacks, &amp; '!$E:$E,0))</f>
        <v>-1</v>
      </c>
      <c r="AB62" s="178">
        <f t="array" ref="AB62">INDEX('Federal Tax, Stock Buybacks, &amp; '!AD:AD,MATCH($B62,'Federal Tax, Stock Buybacks, &amp; '!$E:$E,0))</f>
        <v>-35</v>
      </c>
      <c r="AC62" s="178">
        <f t="array" ref="AC62">INDEX('Federal Tax, Stock Buybacks, &amp; '!AE:AE,MATCH($B62,'Federal Tax, Stock Buybacks, &amp; '!$E:$E,0))</f>
        <v>-31</v>
      </c>
      <c r="AD62" s="178">
        <f t="array" ref="AD62">INDEX('Federal Tax, Stock Buybacks, &amp; '!AF:AF,MATCH($B62,'Federal Tax, Stock Buybacks, &amp; '!$E:$E,0))</f>
        <v>-67</v>
      </c>
      <c r="AE62" s="172"/>
      <c r="AF62" s="164">
        <f t="shared" ref="AF62:AK62" si="132">Y62/R62</f>
        <v>-0.03057811753</v>
      </c>
      <c r="AG62" s="165">
        <f t="shared" si="132"/>
        <v>0.006651884701</v>
      </c>
      <c r="AH62" s="165">
        <f t="shared" si="132"/>
        <v>-0.001216545012</v>
      </c>
      <c r="AI62" s="165">
        <f t="shared" si="132"/>
        <v>-0.03945885006</v>
      </c>
      <c r="AJ62" s="165">
        <f t="shared" si="132"/>
        <v>-0.03870162297</v>
      </c>
      <c r="AK62" s="165">
        <f t="shared" si="132"/>
        <v>-0.08656330749</v>
      </c>
      <c r="AL62" s="172"/>
      <c r="AM62" s="175">
        <f t="shared" si="14"/>
        <v>0</v>
      </c>
      <c r="AN62" s="176">
        <f t="array" ref="AN62">INDEX('Federal Tax, Stock Buybacks, &amp; '!AP:AP,MATCH($B62,'Federal Tax, Stock Buybacks, &amp; '!$E:$E,0))</f>
        <v>0</v>
      </c>
      <c r="AO62" s="176">
        <f t="array" ref="AO62">INDEX('Federal Tax, Stock Buybacks, &amp; '!AQ:AQ,MATCH($B62,'Federal Tax, Stock Buybacks, &amp; '!$E:$E,0))</f>
        <v>0</v>
      </c>
      <c r="AP62" s="176">
        <f t="array" ref="AP62">INDEX('Federal Tax, Stock Buybacks, &amp; '!AR:AR,MATCH($B62,'Federal Tax, Stock Buybacks, &amp; '!$E:$E,0))</f>
        <v>0</v>
      </c>
      <c r="AQ62" s="176">
        <f t="array" ref="AQ62">INDEX('Federal Tax, Stock Buybacks, &amp; '!AS:AS,MATCH($B62,'Federal Tax, Stock Buybacks, &amp; '!$E:$E,0))</f>
        <v>0</v>
      </c>
      <c r="AR62" s="176">
        <f t="array" ref="AR62">INDEX('Federal Tax, Stock Buybacks, &amp; '!AT:AT,MATCH($B62,'Federal Tax, Stock Buybacks, &amp; '!$E:$E,0))</f>
        <v>0</v>
      </c>
      <c r="AS62" s="172"/>
      <c r="AT62" s="175">
        <f t="shared" si="15"/>
        <v>2365</v>
      </c>
      <c r="AU62" s="176">
        <f t="array" ref="AU62">INDEX('Federal Tax, Stock Buybacks, &amp; '!AW:AW,MATCH($B62,'Federal Tax, Stock Buybacks, &amp; '!$E:$E,0))</f>
        <v>546</v>
      </c>
      <c r="AV62" s="176">
        <f t="array" ref="AV62">INDEX('Federal Tax, Stock Buybacks, &amp; '!AX:AX,MATCH($B62,'Federal Tax, Stock Buybacks, &amp; '!$E:$E,0))</f>
        <v>509</v>
      </c>
      <c r="AW62" s="176">
        <f t="array" ref="AW62">INDEX('Federal Tax, Stock Buybacks, &amp; '!AY:AY,MATCH($B62,'Federal Tax, Stock Buybacks, &amp; '!$E:$E,0))</f>
        <v>467</v>
      </c>
      <c r="AX62" s="176">
        <f t="array" ref="AX62">INDEX('Federal Tax, Stock Buybacks, &amp; '!AZ:AZ,MATCH($B62,'Federal Tax, Stock Buybacks, &amp; '!$E:$E,0))</f>
        <v>436</v>
      </c>
      <c r="AY62" s="176">
        <f t="array" ref="AY62">INDEX('Federal Tax, Stock Buybacks, &amp; '!BA:BA,MATCH($B62,'Federal Tax, Stock Buybacks, &amp; '!$E:$E,0))</f>
        <v>407</v>
      </c>
      <c r="AZ62" s="172"/>
      <c r="BA62" s="166">
        <f t="shared" si="81"/>
        <v>125089.6</v>
      </c>
      <c r="BB62" s="179">
        <f t="shared" si="82"/>
        <v>625448</v>
      </c>
      <c r="BC62" s="188">
        <v>122989.0</v>
      </c>
      <c r="BD62" s="188">
        <v>135987.0</v>
      </c>
      <c r="BE62" s="188">
        <v>137564.0</v>
      </c>
      <c r="BF62" s="188">
        <v>122783.0</v>
      </c>
      <c r="BG62" s="188">
        <v>106125.0</v>
      </c>
      <c r="BH62" s="87"/>
      <c r="BI62" s="154"/>
      <c r="BJ62" s="189" t="s">
        <v>695</v>
      </c>
      <c r="BK62" s="87"/>
      <c r="BL62" s="87"/>
    </row>
    <row r="63" ht="15.0" customHeight="1">
      <c r="A63" s="169">
        <f t="array" ref="A63">INDEX('Federal Tax, Stock Buybacks, &amp; '!D:D,match(B63,'Federal Tax, Stock Buybacks, &amp; '!E:E,0))</f>
        <v>721</v>
      </c>
      <c r="B63" s="187" t="s">
        <v>43</v>
      </c>
      <c r="C63" s="185" t="s">
        <v>722</v>
      </c>
      <c r="D63" s="160">
        <f>SUMIF('Executive Pay Breakdown'!B:B,$B63,'Executive Pay Breakdown'!M:M)+SUMIF('Executive Pay Breakdown'!B:B,$B63,'Executive Pay Breakdown'!Q:Q)+SUMIF('Executive Pay Breakdown'!B:B,$B63,'Executive Pay Breakdown'!U:U)+SUMIF('Executive Pay Breakdown'!B:B,$B63,'Executive Pay Breakdown'!Y:Y)+SUMIF('Executive Pay Breakdown'!B:B,$B63,'Executive Pay Breakdown'!AC:AC)</f>
        <v>82363663</v>
      </c>
      <c r="E63" s="161">
        <f>SUMIF('Executive Pay Breakdown'!B:B,$B63,'Executive Pay Breakdown'!M:M)</f>
        <v>15078278</v>
      </c>
      <c r="F63" s="161">
        <f>SUMIF('Executive Pay Breakdown'!B:B,$B63,'Executive Pay Breakdown'!Q:Q)</f>
        <v>16969457</v>
      </c>
      <c r="G63" s="161">
        <f>SUMIF('Executive Pay Breakdown'!B:B,$B63,'Executive Pay Breakdown'!U:U)</f>
        <v>17577309</v>
      </c>
      <c r="H63" s="161">
        <f>SUMIF('Executive Pay Breakdown'!B:B,$B63,'Executive Pay Breakdown'!Y:Y)</f>
        <v>18811018</v>
      </c>
      <c r="I63" s="161">
        <f>SUMIF('Executive Pay Breakdown'!B:B,$B63,'Executive Pay Breakdown'!AC:AC)</f>
        <v>13927601</v>
      </c>
      <c r="J63" s="172"/>
      <c r="K63" s="173" t="s">
        <v>694</v>
      </c>
      <c r="L63" s="174" t="b">
        <f t="shared" ref="L63:P63" si="133">(E63/1000000)&gt;(Z63)</f>
        <v>1</v>
      </c>
      <c r="M63" s="174" t="b">
        <f t="shared" si="133"/>
        <v>1</v>
      </c>
      <c r="N63" s="174" t="b">
        <f t="shared" si="133"/>
        <v>1</v>
      </c>
      <c r="O63" s="174" t="b">
        <f t="shared" si="133"/>
        <v>1</v>
      </c>
      <c r="P63" s="174" t="b">
        <f t="shared" si="133"/>
        <v>1</v>
      </c>
      <c r="Q63" s="172"/>
      <c r="R63" s="175">
        <f t="shared" si="11"/>
        <v>3049</v>
      </c>
      <c r="S63" s="176">
        <f t="array" ref="S63">INDEX('Federal Tax, Stock Buybacks, &amp; '!U:U,MATCH($B63,'Federal Tax, Stock Buybacks, &amp; '!$E:$E,0))</f>
        <v>706</v>
      </c>
      <c r="T63" s="176">
        <f t="array" ref="T63">INDEX('Federal Tax, Stock Buybacks, &amp; '!V:V,MATCH($B63,'Federal Tax, Stock Buybacks, &amp; '!$E:$E,0))</f>
        <v>597</v>
      </c>
      <c r="U63" s="176">
        <f t="array" ref="U63">INDEX('Federal Tax, Stock Buybacks, &amp; '!W:W,MATCH($B63,'Federal Tax, Stock Buybacks, &amp; '!$E:$E,0))</f>
        <v>559</v>
      </c>
      <c r="V63" s="176">
        <f t="array" ref="V63">INDEX('Federal Tax, Stock Buybacks, &amp; '!X:X,MATCH($B63,'Federal Tax, Stock Buybacks, &amp; '!$E:$E,0))</f>
        <v>611.9</v>
      </c>
      <c r="W63" s="176">
        <f t="array" ref="W63">INDEX('Federal Tax, Stock Buybacks, &amp; '!Y:Y,MATCH($B63,'Federal Tax, Stock Buybacks, &amp; '!$E:$E,0))</f>
        <v>575.1</v>
      </c>
      <c r="X63" s="172"/>
      <c r="Y63" s="177">
        <f t="shared" si="12"/>
        <v>1.4</v>
      </c>
      <c r="Z63" s="178">
        <f t="array" ref="Z63">INDEX('Federal Tax, Stock Buybacks, &amp; '!AB:AB,MATCH($B63,'Federal Tax, Stock Buybacks, &amp; '!$E:$E,0))</f>
        <v>7</v>
      </c>
      <c r="AA63" s="178">
        <f t="array" ref="AA63">INDEX('Federal Tax, Stock Buybacks, &amp; '!AC:AC,MATCH($B63,'Federal Tax, Stock Buybacks, &amp; '!$E:$E,0))</f>
        <v>1</v>
      </c>
      <c r="AB63" s="178">
        <f t="array" ref="AB63">INDEX('Federal Tax, Stock Buybacks, &amp; '!AD:AD,MATCH($B63,'Federal Tax, Stock Buybacks, &amp; '!$E:$E,0))</f>
        <v>1</v>
      </c>
      <c r="AC63" s="178">
        <f t="array" ref="AC63">INDEX('Federal Tax, Stock Buybacks, &amp; '!AE:AE,MATCH($B63,'Federal Tax, Stock Buybacks, &amp; '!$E:$E,0))</f>
        <v>-6.6</v>
      </c>
      <c r="AD63" s="178">
        <f t="array" ref="AD63">INDEX('Federal Tax, Stock Buybacks, &amp; '!AF:AF,MATCH($B63,'Federal Tax, Stock Buybacks, &amp; '!$E:$E,0))</f>
        <v>-1</v>
      </c>
      <c r="AE63" s="172"/>
      <c r="AF63" s="164">
        <f t="shared" ref="AF63:AK63" si="134">Y63/R63</f>
        <v>0.00045916694</v>
      </c>
      <c r="AG63" s="165">
        <f t="shared" si="134"/>
        <v>0.009915014164</v>
      </c>
      <c r="AH63" s="165">
        <f t="shared" si="134"/>
        <v>0.001675041876</v>
      </c>
      <c r="AI63" s="165">
        <f t="shared" si="134"/>
        <v>0.001788908766</v>
      </c>
      <c r="AJ63" s="165">
        <f t="shared" si="134"/>
        <v>-0.01078607616</v>
      </c>
      <c r="AK63" s="165">
        <f t="shared" si="134"/>
        <v>-0.00173882803</v>
      </c>
      <c r="AL63" s="172"/>
      <c r="AM63" s="175">
        <f t="shared" si="14"/>
        <v>200</v>
      </c>
      <c r="AN63" s="176">
        <f t="array" ref="AN63">INDEX('Federal Tax, Stock Buybacks, &amp; '!AP:AP,MATCH($B63,'Federal Tax, Stock Buybacks, &amp; '!$E:$E,0))</f>
        <v>0</v>
      </c>
      <c r="AO63" s="176">
        <f t="array" ref="AO63">INDEX('Federal Tax, Stock Buybacks, &amp; '!AQ:AQ,MATCH($B63,'Federal Tax, Stock Buybacks, &amp; '!$E:$E,0))</f>
        <v>200</v>
      </c>
      <c r="AP63" s="176">
        <f t="array" ref="AP63">INDEX('Federal Tax, Stock Buybacks, &amp; '!AR:AR,MATCH($B63,'Federal Tax, Stock Buybacks, &amp; '!$E:$E,0))</f>
        <v>0</v>
      </c>
      <c r="AQ63" s="176">
        <f t="array" ref="AQ63">INDEX('Federal Tax, Stock Buybacks, &amp; '!AS:AS,MATCH($B63,'Federal Tax, Stock Buybacks, &amp; '!$E:$E,0))</f>
        <v>0</v>
      </c>
      <c r="AR63" s="176">
        <f t="array" ref="AR63">INDEX('Federal Tax, Stock Buybacks, &amp; '!AT:AT,MATCH($B63,'Federal Tax, Stock Buybacks, &amp; '!$E:$E,0))</f>
        <v>0</v>
      </c>
      <c r="AS63" s="172"/>
      <c r="AT63" s="175">
        <f t="shared" si="15"/>
        <v>1857</v>
      </c>
      <c r="AU63" s="176">
        <f t="array" ref="AU63">INDEX('Federal Tax, Stock Buybacks, &amp; '!AW:AW,MATCH($B63,'Federal Tax, Stock Buybacks, &amp; '!$E:$E,0))</f>
        <v>428</v>
      </c>
      <c r="AV63" s="176">
        <f t="array" ref="AV63">INDEX('Federal Tax, Stock Buybacks, &amp; '!AX:AX,MATCH($B63,'Federal Tax, Stock Buybacks, &amp; '!$E:$E,0))</f>
        <v>403</v>
      </c>
      <c r="AW63" s="176">
        <f t="array" ref="AW63">INDEX('Federal Tax, Stock Buybacks, &amp; '!AY:AY,MATCH($B63,'Federal Tax, Stock Buybacks, &amp; '!$E:$E,0))</f>
        <v>377</v>
      </c>
      <c r="AX63" s="176">
        <f t="array" ref="AX63">INDEX('Federal Tax, Stock Buybacks, &amp; '!AZ:AZ,MATCH($B63,'Federal Tax, Stock Buybacks, &amp; '!$E:$E,0))</f>
        <v>337</v>
      </c>
      <c r="AY63" s="176">
        <f t="array" ref="AY63">INDEX('Federal Tax, Stock Buybacks, &amp; '!BA:BA,MATCH($B63,'Federal Tax, Stock Buybacks, &amp; '!$E:$E,0))</f>
        <v>312</v>
      </c>
      <c r="AZ63" s="172"/>
      <c r="BA63" s="166">
        <f t="shared" si="81"/>
        <v>129429.4</v>
      </c>
      <c r="BB63" s="179">
        <f t="shared" si="82"/>
        <v>647147</v>
      </c>
      <c r="BC63" s="188">
        <v>100691.0</v>
      </c>
      <c r="BD63" s="188">
        <v>110610.0</v>
      </c>
      <c r="BE63" s="188">
        <v>199102.0</v>
      </c>
      <c r="BF63" s="188">
        <v>138044.0</v>
      </c>
      <c r="BG63" s="188">
        <v>98700.0</v>
      </c>
      <c r="BH63" s="87"/>
      <c r="BI63" s="154"/>
      <c r="BJ63" s="189" t="s">
        <v>695</v>
      </c>
      <c r="BK63" s="87"/>
      <c r="BL63" s="87"/>
    </row>
    <row r="64" ht="15.0" customHeight="1">
      <c r="A64" s="169">
        <f t="array" ref="A64">INDEX('Federal Tax, Stock Buybacks, &amp; '!D:D,match(B64,'Federal Tax, Stock Buybacks, &amp; '!E:E,0))</f>
        <v>774</v>
      </c>
      <c r="B64" s="187" t="s">
        <v>67</v>
      </c>
      <c r="C64" s="185" t="s">
        <v>706</v>
      </c>
      <c r="D64" s="160">
        <f>SUMIF('Executive Pay Breakdown'!B:B,$B64,'Executive Pay Breakdown'!M:M)+SUMIF('Executive Pay Breakdown'!B:B,$B64,'Executive Pay Breakdown'!Q:Q)+SUMIF('Executive Pay Breakdown'!B:B,$B64,'Executive Pay Breakdown'!U:U)+SUMIF('Executive Pay Breakdown'!B:B,$B64,'Executive Pay Breakdown'!Y:Y)+SUMIF('Executive Pay Breakdown'!B:B,$B64,'Executive Pay Breakdown'!AC:AC)</f>
        <v>82080474</v>
      </c>
      <c r="E64" s="161">
        <f>SUMIF('Executive Pay Breakdown'!B:B,$B64,'Executive Pay Breakdown'!M:M)</f>
        <v>19548969</v>
      </c>
      <c r="F64" s="161">
        <f>SUMIF('Executive Pay Breakdown'!B:B,$B64,'Executive Pay Breakdown'!Q:Q)</f>
        <v>16596542</v>
      </c>
      <c r="G64" s="161">
        <f>SUMIF('Executive Pay Breakdown'!B:B,$B64,'Executive Pay Breakdown'!U:U)</f>
        <v>18326251</v>
      </c>
      <c r="H64" s="161">
        <f>SUMIF('Executive Pay Breakdown'!B:B,$B64,'Executive Pay Breakdown'!Y:Y)</f>
        <v>15938865</v>
      </c>
      <c r="I64" s="161">
        <f>SUMIF('Executive Pay Breakdown'!B:B,$B64,'Executive Pay Breakdown'!AC:AC)</f>
        <v>11669847</v>
      </c>
      <c r="J64" s="172"/>
      <c r="K64" s="173" t="s">
        <v>704</v>
      </c>
      <c r="L64" s="174"/>
      <c r="M64" s="174"/>
      <c r="N64" s="174" t="b">
        <f t="shared" ref="N64:P64" si="135">(G64/1000000)&gt;(AB64)</f>
        <v>1</v>
      </c>
      <c r="O64" s="174" t="b">
        <f t="shared" si="135"/>
        <v>1</v>
      </c>
      <c r="P64" s="174" t="b">
        <f t="shared" si="135"/>
        <v>1</v>
      </c>
      <c r="Q64" s="172"/>
      <c r="R64" s="175">
        <f t="shared" si="11"/>
        <v>5056</v>
      </c>
      <c r="S64" s="176">
        <f t="array" ref="S64">INDEX('Federal Tax, Stock Buybacks, &amp; '!U:U,MATCH($B64,'Federal Tax, Stock Buybacks, &amp; '!$E:$E,0))</f>
        <v>982</v>
      </c>
      <c r="T64" s="176">
        <f t="array" ref="T64">INDEX('Federal Tax, Stock Buybacks, &amp; '!V:V,MATCH($B64,'Federal Tax, Stock Buybacks, &amp; '!$E:$E,0))</f>
        <v>1568</v>
      </c>
      <c r="U64" s="176">
        <f t="array" ref="U64">INDEX('Federal Tax, Stock Buybacks, &amp; '!W:W,MATCH($B64,'Federal Tax, Stock Buybacks, &amp; '!$E:$E,0))</f>
        <v>916</v>
      </c>
      <c r="V64" s="176">
        <f t="array" ref="V64">INDEX('Federal Tax, Stock Buybacks, &amp; '!X:X,MATCH($B64,'Federal Tax, Stock Buybacks, &amp; '!$E:$E,0))</f>
        <v>829</v>
      </c>
      <c r="W64" s="176">
        <f t="array" ref="W64">INDEX('Federal Tax, Stock Buybacks, &amp; '!Y:Y,MATCH($B64,'Federal Tax, Stock Buybacks, &amp; '!$E:$E,0))</f>
        <v>761</v>
      </c>
      <c r="X64" s="172"/>
      <c r="Y64" s="177">
        <f t="shared" si="12"/>
        <v>158</v>
      </c>
      <c r="Z64" s="178">
        <f t="array" ref="Z64">INDEX('Federal Tax, Stock Buybacks, &amp; '!AB:AB,MATCH($B64,'Federal Tax, Stock Buybacks, &amp; '!$E:$E,0))</f>
        <v>82</v>
      </c>
      <c r="AA64" s="178">
        <f t="array" ref="AA64">INDEX('Federal Tax, Stock Buybacks, &amp; '!AC:AC,MATCH($B64,'Federal Tax, Stock Buybacks, &amp; '!$E:$E,0))</f>
        <v>75</v>
      </c>
      <c r="AB64" s="178">
        <f t="array" ref="AB64">INDEX('Federal Tax, Stock Buybacks, &amp; '!AD:AD,MATCH($B64,'Federal Tax, Stock Buybacks, &amp; '!$E:$E,0))</f>
        <v>0</v>
      </c>
      <c r="AC64" s="178">
        <f t="array" ref="AC64">INDEX('Federal Tax, Stock Buybacks, &amp; '!AE:AE,MATCH($B64,'Federal Tax, Stock Buybacks, &amp; '!$E:$E,0))</f>
        <v>0</v>
      </c>
      <c r="AD64" s="178">
        <f t="array" ref="AD64">INDEX('Federal Tax, Stock Buybacks, &amp; '!AF:AF,MATCH($B64,'Federal Tax, Stock Buybacks, &amp; '!$E:$E,0))</f>
        <v>1</v>
      </c>
      <c r="AE64" s="172"/>
      <c r="AF64" s="164">
        <f t="shared" ref="AF64:AK64" si="136">Y64/R64</f>
        <v>0.03125</v>
      </c>
      <c r="AG64" s="165">
        <f t="shared" si="136"/>
        <v>0.08350305499</v>
      </c>
      <c r="AH64" s="165">
        <f t="shared" si="136"/>
        <v>0.04783163265</v>
      </c>
      <c r="AI64" s="165">
        <f t="shared" si="136"/>
        <v>0</v>
      </c>
      <c r="AJ64" s="165">
        <f t="shared" si="136"/>
        <v>0</v>
      </c>
      <c r="AK64" s="165">
        <f t="shared" si="136"/>
        <v>0.001314060447</v>
      </c>
      <c r="AL64" s="172"/>
      <c r="AM64" s="175">
        <f t="shared" si="14"/>
        <v>81</v>
      </c>
      <c r="AN64" s="176">
        <f t="array" ref="AN64">INDEX('Federal Tax, Stock Buybacks, &amp; '!AP:AP,MATCH($B64,'Federal Tax, Stock Buybacks, &amp; '!$E:$E,0))</f>
        <v>0</v>
      </c>
      <c r="AO64" s="176">
        <f t="array" ref="AO64">INDEX('Federal Tax, Stock Buybacks, &amp; '!AQ:AQ,MATCH($B64,'Federal Tax, Stock Buybacks, &amp; '!$E:$E,0))</f>
        <v>0</v>
      </c>
      <c r="AP64" s="176">
        <f t="array" ref="AP64">INDEX('Federal Tax, Stock Buybacks, &amp; '!AR:AR,MATCH($B64,'Federal Tax, Stock Buybacks, &amp; '!$E:$E,0))</f>
        <v>0</v>
      </c>
      <c r="AQ64" s="176">
        <f t="array" ref="AQ64">INDEX('Federal Tax, Stock Buybacks, &amp; '!AS:AS,MATCH($B64,'Federal Tax, Stock Buybacks, &amp; '!$E:$E,0))</f>
        <v>36</v>
      </c>
      <c r="AR64" s="176">
        <f t="array" ref="AR64">INDEX('Federal Tax, Stock Buybacks, &amp; '!AT:AT,MATCH($B64,'Federal Tax, Stock Buybacks, &amp; '!$E:$E,0))</f>
        <v>45</v>
      </c>
      <c r="AS64" s="172"/>
      <c r="AT64" s="175">
        <f t="shared" si="15"/>
        <v>1956</v>
      </c>
      <c r="AU64" s="176">
        <f t="array" ref="AU64">INDEX('Federal Tax, Stock Buybacks, &amp; '!AW:AW,MATCH($B64,'Federal Tax, Stock Buybacks, &amp; '!$E:$E,0))</f>
        <v>467</v>
      </c>
      <c r="AV64" s="176">
        <f t="array" ref="AV64">INDEX('Federal Tax, Stock Buybacks, &amp; '!AX:AX,MATCH($B64,'Federal Tax, Stock Buybacks, &amp; '!$E:$E,0))</f>
        <v>428</v>
      </c>
      <c r="AW64" s="176">
        <f t="array" ref="AW64">INDEX('Federal Tax, Stock Buybacks, &amp; '!AY:AY,MATCH($B64,'Federal Tax, Stock Buybacks, &amp; '!$E:$E,0))</f>
        <v>389</v>
      </c>
      <c r="AX64" s="176">
        <f t="array" ref="AX64">INDEX('Federal Tax, Stock Buybacks, &amp; '!AZ:AZ,MATCH($B64,'Federal Tax, Stock Buybacks, &amp; '!$E:$E,0))</f>
        <v>353</v>
      </c>
      <c r="AY64" s="176">
        <f t="array" ref="AY64">INDEX('Federal Tax, Stock Buybacks, &amp; '!BA:BA,MATCH($B64,'Federal Tax, Stock Buybacks, &amp; '!$E:$E,0))</f>
        <v>319</v>
      </c>
      <c r="AZ64" s="172"/>
      <c r="BA64" s="166">
        <f t="shared" si="81"/>
        <v>88548.8</v>
      </c>
      <c r="BB64" s="179">
        <f t="shared" si="82"/>
        <v>442744</v>
      </c>
      <c r="BC64" s="188">
        <v>91262.0</v>
      </c>
      <c r="BD64" s="188">
        <v>91238.0</v>
      </c>
      <c r="BE64" s="188">
        <v>90790.0</v>
      </c>
      <c r="BF64" s="188">
        <v>85855.0</v>
      </c>
      <c r="BG64" s="188">
        <v>83599.0</v>
      </c>
      <c r="BH64" s="87"/>
      <c r="BI64" s="154"/>
      <c r="BJ64" s="189" t="s">
        <v>695</v>
      </c>
      <c r="BK64" s="87"/>
      <c r="BL64" s="87"/>
    </row>
    <row r="65" ht="15.0" customHeight="1">
      <c r="A65" s="169">
        <f t="array" ref="A65">INDEX('Federal Tax, Stock Buybacks, &amp; '!D:D,match(B65,'Federal Tax, Stock Buybacks, &amp; '!E:E,0))</f>
        <v>457</v>
      </c>
      <c r="B65" s="197" t="s">
        <v>70</v>
      </c>
      <c r="C65" s="185" t="s">
        <v>723</v>
      </c>
      <c r="D65" s="160">
        <f>SUMIF('Executive Pay Breakdown'!B:B,$B65,'Executive Pay Breakdown'!M:M)+SUMIF('Executive Pay Breakdown'!B:B,$B65,'Executive Pay Breakdown'!Q:Q)+SUMIF('Executive Pay Breakdown'!B:B,$B65,'Executive Pay Breakdown'!U:U)+SUMIF('Executive Pay Breakdown'!B:B,$B65,'Executive Pay Breakdown'!Y:Y)+SUMIF('Executive Pay Breakdown'!B:B,$B65,'Executive Pay Breakdown'!AC:AC)</f>
        <v>73239673</v>
      </c>
      <c r="E65" s="161">
        <f>SUMIF('Executive Pay Breakdown'!B:B,$B65,'Executive Pay Breakdown'!M:M)</f>
        <v>13476720</v>
      </c>
      <c r="F65" s="161">
        <f>SUMIF('Executive Pay Breakdown'!B:B,$B65,'Executive Pay Breakdown'!Q:Q)</f>
        <v>19716181</v>
      </c>
      <c r="G65" s="161">
        <f>SUMIF('Executive Pay Breakdown'!B:B,$B65,'Executive Pay Breakdown'!U:U)</f>
        <v>15311594</v>
      </c>
      <c r="H65" s="161">
        <f>SUMIF('Executive Pay Breakdown'!B:B,$B65,'Executive Pay Breakdown'!Y:Y)</f>
        <v>13888694</v>
      </c>
      <c r="I65" s="161">
        <f>SUMIF('Executive Pay Breakdown'!B:B,$B65,'Executive Pay Breakdown'!AC:AC)</f>
        <v>10846484</v>
      </c>
      <c r="J65" s="192"/>
      <c r="K65" s="173" t="s">
        <v>699</v>
      </c>
      <c r="L65" s="174"/>
      <c r="M65" s="174"/>
      <c r="N65" s="174" t="b">
        <f t="shared" ref="N65:N66" si="138">(G65/1000000)&gt;(AB65)</f>
        <v>1</v>
      </c>
      <c r="O65" s="174"/>
      <c r="P65" s="174" t="b">
        <f t="shared" ref="P65:P66" si="139">(I65/1000000)&gt;(AD65)</f>
        <v>1</v>
      </c>
      <c r="Q65" s="192"/>
      <c r="R65" s="175">
        <f t="shared" si="11"/>
        <v>3075.88</v>
      </c>
      <c r="S65" s="176">
        <f t="array" ref="S65">INDEX('Federal Tax, Stock Buybacks, &amp; '!U:U,MATCH($B65,'Federal Tax, Stock Buybacks, &amp; '!$E:$E,0))</f>
        <v>1344.54</v>
      </c>
      <c r="T65" s="176">
        <f t="array" ref="T65">INDEX('Federal Tax, Stock Buybacks, &amp; '!V:V,MATCH($B65,'Federal Tax, Stock Buybacks, &amp; '!$E:$E,0))</f>
        <v>839.62</v>
      </c>
      <c r="U65" s="176">
        <f t="array" ref="U65">INDEX('Federal Tax, Stock Buybacks, &amp; '!W:W,MATCH($B65,'Federal Tax, Stock Buybacks, &amp; '!$E:$E,0))</f>
        <v>312.38</v>
      </c>
      <c r="V65" s="176">
        <f t="array" ref="V65">INDEX('Federal Tax, Stock Buybacks, &amp; '!X:X,MATCH($B65,'Federal Tax, Stock Buybacks, &amp; '!$E:$E,0))</f>
        <v>312.43</v>
      </c>
      <c r="W65" s="176">
        <f t="array" ref="W65">INDEX('Federal Tax, Stock Buybacks, &amp; '!Y:Y,MATCH($B65,'Federal Tax, Stock Buybacks, &amp; '!$E:$E,0))</f>
        <v>266.91</v>
      </c>
      <c r="X65" s="172"/>
      <c r="Y65" s="177">
        <f t="shared" si="12"/>
        <v>331.63</v>
      </c>
      <c r="Z65" s="178">
        <f t="array" ref="Z65">INDEX('Federal Tax, Stock Buybacks, &amp; '!AB:AB,MATCH($B65,'Federal Tax, Stock Buybacks, &amp; '!$E:$E,0))</f>
        <v>203.12</v>
      </c>
      <c r="AA65" s="178">
        <f t="array" ref="AA65">INDEX('Federal Tax, Stock Buybacks, &amp; '!AC:AC,MATCH($B65,'Federal Tax, Stock Buybacks, &amp; '!$E:$E,0))</f>
        <v>73.09</v>
      </c>
      <c r="AB65" s="178">
        <f t="array" ref="AB65">INDEX('Federal Tax, Stock Buybacks, &amp; '!AD:AD,MATCH($B65,'Federal Tax, Stock Buybacks, &amp; '!$E:$E,0))</f>
        <v>11.62</v>
      </c>
      <c r="AC65" s="178">
        <f t="array" ref="AC65">INDEX('Federal Tax, Stock Buybacks, &amp; '!AE:AE,MATCH($B65,'Federal Tax, Stock Buybacks, &amp; '!$E:$E,0))</f>
        <v>54.37</v>
      </c>
      <c r="AD65" s="178">
        <f t="array" ref="AD65">INDEX('Federal Tax, Stock Buybacks, &amp; '!AF:AF,MATCH($B65,'Federal Tax, Stock Buybacks, &amp; '!$E:$E,0))</f>
        <v>-10.57</v>
      </c>
      <c r="AE65" s="172"/>
      <c r="AF65" s="164">
        <f t="shared" ref="AF65:AK65" si="137">Y65/R65</f>
        <v>0.1078162997</v>
      </c>
      <c r="AG65" s="165">
        <f t="shared" si="137"/>
        <v>0.1510702545</v>
      </c>
      <c r="AH65" s="165">
        <f t="shared" si="137"/>
        <v>0.08705128511</v>
      </c>
      <c r="AI65" s="165">
        <f t="shared" si="137"/>
        <v>0.03719828414</v>
      </c>
      <c r="AJ65" s="165">
        <f t="shared" si="137"/>
        <v>0.1740229811</v>
      </c>
      <c r="AK65" s="165">
        <f t="shared" si="137"/>
        <v>-0.03960136376</v>
      </c>
      <c r="AL65" s="172"/>
      <c r="AM65" s="175">
        <f t="shared" si="14"/>
        <v>2025</v>
      </c>
      <c r="AN65" s="176">
        <f t="array" ref="AN65">INDEX('Federal Tax, Stock Buybacks, &amp; '!AP:AP,MATCH($B65,'Federal Tax, Stock Buybacks, &amp; '!$E:$E,0))</f>
        <v>376</v>
      </c>
      <c r="AO65" s="176">
        <f t="array" ref="AO65">INDEX('Federal Tax, Stock Buybacks, &amp; '!AQ:AQ,MATCH($B65,'Federal Tax, Stock Buybacks, &amp; '!$E:$E,0))</f>
        <v>281</v>
      </c>
      <c r="AP65" s="176">
        <f t="array" ref="AP65">INDEX('Federal Tax, Stock Buybacks, &amp; '!AR:AR,MATCH($B65,'Federal Tax, Stock Buybacks, &amp; '!$E:$E,0))</f>
        <v>103</v>
      </c>
      <c r="AQ65" s="176">
        <f t="array" ref="AQ65">INDEX('Federal Tax, Stock Buybacks, &amp; '!AS:AS,MATCH($B65,'Federal Tax, Stock Buybacks, &amp; '!$E:$E,0))</f>
        <v>157</v>
      </c>
      <c r="AR65" s="176">
        <f t="array" ref="AR65">INDEX('Federal Tax, Stock Buybacks, &amp; '!AT:AT,MATCH($B65,'Federal Tax, Stock Buybacks, &amp; '!$E:$E,0))</f>
        <v>1108</v>
      </c>
      <c r="AS65" s="172"/>
      <c r="AT65" s="175">
        <f t="shared" si="15"/>
        <v>0</v>
      </c>
      <c r="AU65" s="176">
        <f t="array" ref="AU65">INDEX('Federal Tax, Stock Buybacks, &amp; '!AW:AW,MATCH($B65,'Federal Tax, Stock Buybacks, &amp; '!$E:$E,0))</f>
        <v>0</v>
      </c>
      <c r="AV65" s="176">
        <f t="array" ref="AV65">INDEX('Federal Tax, Stock Buybacks, &amp; '!AX:AX,MATCH($B65,'Federal Tax, Stock Buybacks, &amp; '!$E:$E,0))</f>
        <v>0</v>
      </c>
      <c r="AW65" s="176">
        <f t="array" ref="AW65">INDEX('Federal Tax, Stock Buybacks, &amp; '!AY:AY,MATCH($B65,'Federal Tax, Stock Buybacks, &amp; '!$E:$E,0))</f>
        <v>0</v>
      </c>
      <c r="AX65" s="176">
        <f t="array" ref="AX65">INDEX('Federal Tax, Stock Buybacks, &amp; '!AZ:AZ,MATCH($B65,'Federal Tax, Stock Buybacks, &amp; '!$E:$E,0))</f>
        <v>0</v>
      </c>
      <c r="AY65" s="176">
        <f t="array" ref="AY65">INDEX('Federal Tax, Stock Buybacks, &amp; '!BA:BA,MATCH($B65,'Federal Tax, Stock Buybacks, &amp; '!$E:$E,0))</f>
        <v>0</v>
      </c>
      <c r="AZ65" s="172"/>
      <c r="BA65" s="166">
        <f t="shared" si="81"/>
        <v>103344.8</v>
      </c>
      <c r="BB65" s="179">
        <f t="shared" si="82"/>
        <v>516724</v>
      </c>
      <c r="BC65" s="188">
        <v>122800.0</v>
      </c>
      <c r="BD65" s="188">
        <v>107478.0</v>
      </c>
      <c r="BE65" s="188">
        <v>98192.0</v>
      </c>
      <c r="BF65" s="188">
        <v>94209.0</v>
      </c>
      <c r="BG65" s="188">
        <v>94045.0</v>
      </c>
      <c r="BH65" s="87"/>
      <c r="BI65" s="154"/>
      <c r="BJ65" s="189" t="s">
        <v>695</v>
      </c>
      <c r="BK65" s="87"/>
      <c r="BL65" s="87"/>
    </row>
    <row r="66" ht="15.0" customHeight="1">
      <c r="A66" s="169">
        <f t="array" ref="A66">INDEX('Federal Tax, Stock Buybacks, &amp; '!D:D,match(B66,'Federal Tax, Stock Buybacks, &amp; '!E:E,0))</f>
        <v>147</v>
      </c>
      <c r="B66" s="197" t="s">
        <v>68</v>
      </c>
      <c r="C66" s="185" t="s">
        <v>703</v>
      </c>
      <c r="D66" s="160">
        <f>SUMIF('Executive Pay Breakdown'!B:B,$B66,'Executive Pay Breakdown'!M:M)+SUMIF('Executive Pay Breakdown'!B:B,$B66,'Executive Pay Breakdown'!Q:Q)+SUMIF('Executive Pay Breakdown'!B:B,$B66,'Executive Pay Breakdown'!U:U)+SUMIF('Executive Pay Breakdown'!B:B,$B66,'Executive Pay Breakdown'!Y:Y)+SUMIF('Executive Pay Breakdown'!B:B,$B66,'Executive Pay Breakdown'!AC:AC)</f>
        <v>72698342</v>
      </c>
      <c r="E66" s="161">
        <f>SUMIF('Executive Pay Breakdown'!B:B,$B66,'Executive Pay Breakdown'!M:M)</f>
        <v>15337263</v>
      </c>
      <c r="F66" s="161">
        <f>SUMIF('Executive Pay Breakdown'!B:B,$B66,'Executive Pay Breakdown'!Q:Q)</f>
        <v>17993484</v>
      </c>
      <c r="G66" s="161">
        <f>SUMIF('Executive Pay Breakdown'!B:B,$B66,'Executive Pay Breakdown'!U:U)</f>
        <v>12002742</v>
      </c>
      <c r="H66" s="161">
        <f>SUMIF('Executive Pay Breakdown'!B:B,$B66,'Executive Pay Breakdown'!Y:Y)</f>
        <v>13241972</v>
      </c>
      <c r="I66" s="161">
        <f>SUMIF('Executive Pay Breakdown'!B:B,$B66,'Executive Pay Breakdown'!AC:AC)</f>
        <v>14122881</v>
      </c>
      <c r="J66" s="192"/>
      <c r="K66" s="173" t="s">
        <v>699</v>
      </c>
      <c r="L66" s="174"/>
      <c r="M66" s="174"/>
      <c r="N66" s="174" t="b">
        <f t="shared" si="138"/>
        <v>1</v>
      </c>
      <c r="O66" s="174"/>
      <c r="P66" s="174" t="b">
        <f t="shared" si="139"/>
        <v>1</v>
      </c>
      <c r="Q66" s="192"/>
      <c r="R66" s="175">
        <f t="shared" si="11"/>
        <v>3918.8</v>
      </c>
      <c r="S66" s="176">
        <f t="array" ref="S66">INDEX('Federal Tax, Stock Buybacks, &amp; '!U:U,MATCH($B66,'Federal Tax, Stock Buybacks, &amp; '!$E:$E,0))</f>
        <v>1402.5</v>
      </c>
      <c r="T66" s="176">
        <f t="array" ref="T66">INDEX('Federal Tax, Stock Buybacks, &amp; '!V:V,MATCH($B66,'Federal Tax, Stock Buybacks, &amp; '!$E:$E,0))</f>
        <v>1194.5</v>
      </c>
      <c r="U66" s="176">
        <f t="array" ref="U66">INDEX('Federal Tax, Stock Buybacks, &amp; '!W:W,MATCH($B66,'Federal Tax, Stock Buybacks, &amp; '!$E:$E,0))</f>
        <v>505.1</v>
      </c>
      <c r="V66" s="176">
        <f t="array" ref="V66">INDEX('Federal Tax, Stock Buybacks, &amp; '!X:X,MATCH($B66,'Federal Tax, Stock Buybacks, &amp; '!$E:$E,0))</f>
        <v>423.5</v>
      </c>
      <c r="W66" s="176">
        <f t="array" ref="W66">INDEX('Federal Tax, Stock Buybacks, &amp; '!Y:Y,MATCH($B66,'Federal Tax, Stock Buybacks, &amp; '!$E:$E,0))</f>
        <v>393.2</v>
      </c>
      <c r="X66" s="172"/>
      <c r="Y66" s="177">
        <f t="shared" si="12"/>
        <v>249.2</v>
      </c>
      <c r="Z66" s="178">
        <f t="array" ref="Z66">INDEX('Federal Tax, Stock Buybacks, &amp; '!AB:AB,MATCH($B66,'Federal Tax, Stock Buybacks, &amp; '!$E:$E,0))</f>
        <v>201</v>
      </c>
      <c r="AA66" s="178">
        <f t="array" ref="AA66">INDEX('Federal Tax, Stock Buybacks, &amp; '!AC:AC,MATCH($B66,'Federal Tax, Stock Buybacks, &amp; '!$E:$E,0))</f>
        <v>115.7</v>
      </c>
      <c r="AB66" s="178">
        <f t="array" ref="AB66">INDEX('Federal Tax, Stock Buybacks, &amp; '!AD:AD,MATCH($B66,'Federal Tax, Stock Buybacks, &amp; '!$E:$E,0))</f>
        <v>-78.1</v>
      </c>
      <c r="AC66" s="178">
        <f t="array" ref="AC66">INDEX('Federal Tax, Stock Buybacks, &amp; '!AE:AE,MATCH($B66,'Federal Tax, Stock Buybacks, &amp; '!$E:$E,0))</f>
        <v>23.6</v>
      </c>
      <c r="AD66" s="178">
        <f t="array" ref="AD66">INDEX('Federal Tax, Stock Buybacks, &amp; '!AF:AF,MATCH($B66,'Federal Tax, Stock Buybacks, &amp; '!$E:$E,0))</f>
        <v>-13</v>
      </c>
      <c r="AE66" s="172"/>
      <c r="AF66" s="164">
        <f t="shared" ref="AF66:AK66" si="140">Y66/R66</f>
        <v>0.06359089517</v>
      </c>
      <c r="AG66" s="165">
        <f t="shared" si="140"/>
        <v>0.143315508</v>
      </c>
      <c r="AH66" s="165">
        <f t="shared" si="140"/>
        <v>0.09686061113</v>
      </c>
      <c r="AI66" s="165">
        <f t="shared" si="140"/>
        <v>-0.154622847</v>
      </c>
      <c r="AJ66" s="165">
        <f t="shared" si="140"/>
        <v>0.05572609209</v>
      </c>
      <c r="AK66" s="165">
        <f t="shared" si="140"/>
        <v>-0.03306205493</v>
      </c>
      <c r="AL66" s="172"/>
      <c r="AM66" s="175">
        <f t="shared" si="14"/>
        <v>1417</v>
      </c>
      <c r="AN66" s="176">
        <f t="array" ref="AN66">INDEX('Federal Tax, Stock Buybacks, &amp; '!AP:AP,MATCH($B66,'Federal Tax, Stock Buybacks, &amp; '!$E:$E,0))</f>
        <v>869</v>
      </c>
      <c r="AO66" s="176">
        <f t="array" ref="AO66">INDEX('Federal Tax, Stock Buybacks, &amp; '!AQ:AQ,MATCH($B66,'Federal Tax, Stock Buybacks, &amp; '!$E:$E,0))</f>
        <v>281</v>
      </c>
      <c r="AP66" s="176">
        <f t="array" ref="AP66">INDEX('Federal Tax, Stock Buybacks, &amp; '!AR:AR,MATCH($B66,'Federal Tax, Stock Buybacks, &amp; '!$E:$E,0))</f>
        <v>29</v>
      </c>
      <c r="AQ66" s="176">
        <f t="array" ref="AQ66">INDEX('Federal Tax, Stock Buybacks, &amp; '!AS:AS,MATCH($B66,'Federal Tax, Stock Buybacks, &amp; '!$E:$E,0))</f>
        <v>169</v>
      </c>
      <c r="AR66" s="176">
        <f t="array" ref="AR66">INDEX('Federal Tax, Stock Buybacks, &amp; '!AT:AT,MATCH($B66,'Federal Tax, Stock Buybacks, &amp; '!$E:$E,0))</f>
        <v>69</v>
      </c>
      <c r="AS66" s="172"/>
      <c r="AT66" s="175">
        <f t="shared" si="15"/>
        <v>616.7</v>
      </c>
      <c r="AU66" s="176">
        <f t="array" ref="AU66">INDEX('Federal Tax, Stock Buybacks, &amp; '!AW:AW,MATCH($B66,'Federal Tax, Stock Buybacks, &amp; '!$E:$E,0))</f>
        <v>154.1</v>
      </c>
      <c r="AV66" s="176">
        <f t="array" ref="AV66">INDEX('Federal Tax, Stock Buybacks, &amp; '!AX:AX,MATCH($B66,'Federal Tax, Stock Buybacks, &amp; '!$E:$E,0))</f>
        <v>142.5</v>
      </c>
      <c r="AW66" s="176">
        <f t="array" ref="AW66">INDEX('Federal Tax, Stock Buybacks, &amp; '!AY:AY,MATCH($B66,'Federal Tax, Stock Buybacks, &amp; '!$E:$E,0))</f>
        <v>68.1</v>
      </c>
      <c r="AX66" s="176">
        <f t="array" ref="AX66">INDEX('Federal Tax, Stock Buybacks, &amp; '!AZ:AZ,MATCH($B66,'Federal Tax, Stock Buybacks, &amp; '!$E:$E,0))</f>
        <v>130.8</v>
      </c>
      <c r="AY66" s="176">
        <f t="array" ref="AY66">INDEX('Federal Tax, Stock Buybacks, &amp; '!BA:BA,MATCH($B66,'Federal Tax, Stock Buybacks, &amp; '!$E:$E,0))</f>
        <v>121.2</v>
      </c>
      <c r="AZ66" s="172"/>
      <c r="BA66" s="166">
        <f t="shared" si="81"/>
        <v>47545.8</v>
      </c>
      <c r="BB66" s="179">
        <f t="shared" si="82"/>
        <v>237729</v>
      </c>
      <c r="BC66" s="188">
        <v>55966.0</v>
      </c>
      <c r="BD66" s="188">
        <v>52712.0</v>
      </c>
      <c r="BE66" s="188">
        <v>43804.0</v>
      </c>
      <c r="BF66" s="188">
        <v>44527.0</v>
      </c>
      <c r="BG66" s="188">
        <v>40720.0</v>
      </c>
      <c r="BH66" s="87"/>
      <c r="BI66" s="154"/>
      <c r="BJ66" s="189" t="s">
        <v>695</v>
      </c>
      <c r="BK66" s="87"/>
      <c r="BL66" s="87"/>
    </row>
    <row r="67" ht="15.0" customHeight="1">
      <c r="A67" s="196">
        <f t="array" ref="A67">INDEX('Federal Tax, Stock Buybacks, &amp; '!D:D,match(B67,'Federal Tax, Stock Buybacks, &amp; '!E:E,0))</f>
        <v>515</v>
      </c>
      <c r="B67" s="187" t="s">
        <v>75</v>
      </c>
      <c r="C67" s="185" t="s">
        <v>724</v>
      </c>
      <c r="D67" s="160">
        <f>SUMIF('Executive Pay Breakdown'!B:B,$B67,'Executive Pay Breakdown'!M:M)+SUMIF('Executive Pay Breakdown'!B:B,$B67,'Executive Pay Breakdown'!Q:Q)+SUMIF('Executive Pay Breakdown'!B:B,$B67,'Executive Pay Breakdown'!U:U)+SUMIF('Executive Pay Breakdown'!B:B,$B67,'Executive Pay Breakdown'!Y:Y)+SUMIF('Executive Pay Breakdown'!B:B,$B67,'Executive Pay Breakdown'!AC:AC)</f>
        <v>64887499</v>
      </c>
      <c r="E67" s="161">
        <f>SUMIF('Executive Pay Breakdown'!B:B,$B67,'Executive Pay Breakdown'!M:M)</f>
        <v>12863846</v>
      </c>
      <c r="F67" s="161">
        <f>SUMIF('Executive Pay Breakdown'!B:B,$B67,'Executive Pay Breakdown'!Q:Q)</f>
        <v>12452803</v>
      </c>
      <c r="G67" s="161">
        <f>SUMIF('Executive Pay Breakdown'!B:B,$B67,'Executive Pay Breakdown'!U:U)</f>
        <v>14595095</v>
      </c>
      <c r="H67" s="161">
        <f>SUMIF('Executive Pay Breakdown'!B:B,$B67,'Executive Pay Breakdown'!Y:Y)</f>
        <v>14334405</v>
      </c>
      <c r="I67" s="161">
        <f>SUMIF('Executive Pay Breakdown'!B:B,$B67,'Executive Pay Breakdown'!AC:AC)</f>
        <v>10641350</v>
      </c>
      <c r="J67" s="172"/>
      <c r="K67" s="173" t="s">
        <v>699</v>
      </c>
      <c r="L67" s="174"/>
      <c r="M67" s="183"/>
      <c r="N67" s="174"/>
      <c r="O67" s="174" t="b">
        <f t="shared" ref="O67:P67" si="141">(H67/1000000)&gt;(AC67)</f>
        <v>1</v>
      </c>
      <c r="P67" s="174" t="b">
        <f t="shared" si="141"/>
        <v>1</v>
      </c>
      <c r="Q67" s="172"/>
      <c r="R67" s="175">
        <f t="shared" si="11"/>
        <v>2058.89</v>
      </c>
      <c r="S67" s="176">
        <f t="array" ref="S67">INDEX('Federal Tax, Stock Buybacks, &amp; '!U:U,MATCH($B67,'Federal Tax, Stock Buybacks, &amp; '!$E:$E,0))</f>
        <v>441</v>
      </c>
      <c r="T67" s="176">
        <f t="array" ref="T67">INDEX('Federal Tax, Stock Buybacks, &amp; '!V:V,MATCH($B67,'Federal Tax, Stock Buybacks, &amp; '!$E:$E,0))</f>
        <v>455.1</v>
      </c>
      <c r="U67" s="176">
        <f t="array" ref="U67">INDEX('Federal Tax, Stock Buybacks, &amp; '!W:W,MATCH($B67,'Federal Tax, Stock Buybacks, &amp; '!$E:$E,0))</f>
        <v>453.62</v>
      </c>
      <c r="V67" s="176">
        <f t="array" ref="V67">INDEX('Federal Tax, Stock Buybacks, &amp; '!X:X,MATCH($B67,'Federal Tax, Stock Buybacks, &amp; '!$E:$E,0))</f>
        <v>395.17</v>
      </c>
      <c r="W67" s="176">
        <f t="array" ref="W67">INDEX('Federal Tax, Stock Buybacks, &amp; '!Y:Y,MATCH($B67,'Federal Tax, Stock Buybacks, &amp; '!$E:$E,0))</f>
        <v>314</v>
      </c>
      <c r="X67" s="172"/>
      <c r="Y67" s="177">
        <f t="shared" si="12"/>
        <v>113.73</v>
      </c>
      <c r="Z67" s="178">
        <f t="array" ref="Z67">INDEX('Federal Tax, Stock Buybacks, &amp; '!AB:AB,MATCH($B67,'Federal Tax, Stock Buybacks, &amp; '!$E:$E,0))</f>
        <v>51</v>
      </c>
      <c r="AA67" s="178">
        <f t="array" ref="AA67">INDEX('Federal Tax, Stock Buybacks, &amp; '!AC:AC,MATCH($B67,'Federal Tax, Stock Buybacks, &amp; '!$E:$E,0))</f>
        <v>17.12</v>
      </c>
      <c r="AB67" s="178">
        <f t="array" ref="AB67">INDEX('Federal Tax, Stock Buybacks, &amp; '!AD:AD,MATCH($B67,'Federal Tax, Stock Buybacks, &amp; '!$E:$E,0))</f>
        <v>65.01</v>
      </c>
      <c r="AC67" s="178">
        <f t="array" ref="AC67">INDEX('Federal Tax, Stock Buybacks, &amp; '!AE:AE,MATCH($B67,'Federal Tax, Stock Buybacks, &amp; '!$E:$E,0))</f>
        <v>-3.5</v>
      </c>
      <c r="AD67" s="178">
        <f t="array" ref="AD67">INDEX('Federal Tax, Stock Buybacks, &amp; '!AF:AF,MATCH($B67,'Federal Tax, Stock Buybacks, &amp; '!$E:$E,0))</f>
        <v>-15.9</v>
      </c>
      <c r="AE67" s="172"/>
      <c r="AF67" s="164">
        <f t="shared" ref="AF67:AK67" si="142">Y67/R67</f>
        <v>0.0552385023</v>
      </c>
      <c r="AG67" s="165">
        <f t="shared" si="142"/>
        <v>0.1156462585</v>
      </c>
      <c r="AH67" s="165">
        <f t="shared" si="142"/>
        <v>0.03761810591</v>
      </c>
      <c r="AI67" s="165">
        <f t="shared" si="142"/>
        <v>0.1433137869</v>
      </c>
      <c r="AJ67" s="165">
        <f t="shared" si="142"/>
        <v>-0.008856947643</v>
      </c>
      <c r="AK67" s="165">
        <f t="shared" si="142"/>
        <v>-0.05063694268</v>
      </c>
      <c r="AL67" s="172"/>
      <c r="AM67" s="175">
        <f t="shared" si="14"/>
        <v>19.12</v>
      </c>
      <c r="AN67" s="176">
        <f t="array" ref="AN67">INDEX('Federal Tax, Stock Buybacks, &amp; '!AP:AP,MATCH($B67,'Federal Tax, Stock Buybacks, &amp; '!$E:$E,0))</f>
        <v>7.399</v>
      </c>
      <c r="AO67" s="176">
        <f t="array" ref="AO67">INDEX('Federal Tax, Stock Buybacks, &amp; '!AQ:AQ,MATCH($B67,'Federal Tax, Stock Buybacks, &amp; '!$E:$E,0))</f>
        <v>6.701</v>
      </c>
      <c r="AP67" s="176">
        <f t="array" ref="AP67">INDEX('Federal Tax, Stock Buybacks, &amp; '!AR:AR,MATCH($B67,'Federal Tax, Stock Buybacks, &amp; '!$E:$E,0))</f>
        <v>0</v>
      </c>
      <c r="AQ67" s="176">
        <f t="array" ref="AQ67">INDEX('Federal Tax, Stock Buybacks, &amp; '!AS:AS,MATCH($B67,'Federal Tax, Stock Buybacks, &amp; '!$E:$E,0))</f>
        <v>0</v>
      </c>
      <c r="AR67" s="176">
        <f t="array" ref="AR67">INDEX('Federal Tax, Stock Buybacks, &amp; '!AT:AT,MATCH($B67,'Federal Tax, Stock Buybacks, &amp; '!$E:$E,0))</f>
        <v>5.02</v>
      </c>
      <c r="AS67" s="172"/>
      <c r="AT67" s="175">
        <f t="shared" si="15"/>
        <v>829.51</v>
      </c>
      <c r="AU67" s="176">
        <f t="array" ref="AU67">INDEX('Federal Tax, Stock Buybacks, &amp; '!AW:AW,MATCH($B67,'Federal Tax, Stock Buybacks, &amp; '!$E:$E,0))</f>
        <v>176.92</v>
      </c>
      <c r="AV67" s="176">
        <f t="array" ref="AV67">INDEX('Federal Tax, Stock Buybacks, &amp; '!AX:AX,MATCH($B67,'Federal Tax, Stock Buybacks, &amp; '!$E:$E,0))</f>
        <v>171.35</v>
      </c>
      <c r="AW67" s="176">
        <f t="array" ref="AW67">INDEX('Federal Tax, Stock Buybacks, &amp; '!AY:AY,MATCH($B67,'Federal Tax, Stock Buybacks, &amp; '!$E:$E,0))</f>
        <v>166.41</v>
      </c>
      <c r="AX67" s="176">
        <f t="array" ref="AX67">INDEX('Federal Tax, Stock Buybacks, &amp; '!AZ:AZ,MATCH($B67,'Federal Tax, Stock Buybacks, &amp; '!$E:$E,0))</f>
        <v>160.26</v>
      </c>
      <c r="AY67" s="176">
        <f t="array" ref="AY67">INDEX('Federal Tax, Stock Buybacks, &amp; '!BA:BA,MATCH($B67,'Federal Tax, Stock Buybacks, &amp; '!$E:$E,0))</f>
        <v>154.57</v>
      </c>
      <c r="AZ67" s="172"/>
      <c r="BA67" s="166">
        <f t="shared" si="81"/>
        <v>82211.6</v>
      </c>
      <c r="BB67" s="179">
        <f t="shared" si="82"/>
        <v>411058</v>
      </c>
      <c r="BC67" s="188">
        <v>96652.0</v>
      </c>
      <c r="BD67" s="188">
        <v>78907.0</v>
      </c>
      <c r="BE67" s="188">
        <v>94463.0</v>
      </c>
      <c r="BF67" s="188">
        <v>63768.0</v>
      </c>
      <c r="BG67" s="188">
        <v>77268.0</v>
      </c>
      <c r="BH67" s="87"/>
      <c r="BI67" s="154"/>
      <c r="BJ67" s="189" t="s">
        <v>695</v>
      </c>
      <c r="BK67" s="87"/>
      <c r="BL67" s="87"/>
    </row>
    <row r="68" ht="15.0" customHeight="1">
      <c r="A68" s="196"/>
      <c r="B68" s="191"/>
      <c r="C68" s="221"/>
      <c r="D68" s="160"/>
      <c r="E68" s="161"/>
      <c r="F68" s="161"/>
      <c r="G68" s="161"/>
      <c r="H68" s="161"/>
      <c r="I68" s="161"/>
      <c r="J68" s="192"/>
      <c r="K68" s="173"/>
      <c r="L68" s="174"/>
      <c r="M68" s="174"/>
      <c r="N68" s="174"/>
      <c r="O68" s="174"/>
      <c r="P68" s="174"/>
      <c r="Q68" s="172"/>
      <c r="R68" s="160"/>
      <c r="S68" s="89"/>
      <c r="T68" s="89"/>
      <c r="U68" s="89"/>
      <c r="V68" s="89"/>
      <c r="W68" s="89"/>
      <c r="X68" s="172"/>
      <c r="Y68" s="177"/>
      <c r="Z68" s="178"/>
      <c r="AA68" s="178"/>
      <c r="AB68" s="178"/>
      <c r="AC68" s="178"/>
      <c r="AD68" s="178"/>
      <c r="AE68" s="172"/>
      <c r="AF68" s="193"/>
      <c r="AG68" s="194"/>
      <c r="AH68" s="194"/>
      <c r="AI68" s="194"/>
      <c r="AJ68" s="194"/>
      <c r="AK68" s="194"/>
      <c r="AL68" s="172"/>
      <c r="AM68" s="175"/>
      <c r="AN68" s="188"/>
      <c r="AO68" s="188"/>
      <c r="AP68" s="188"/>
      <c r="AQ68" s="188"/>
      <c r="AR68" s="188"/>
      <c r="AS68" s="172"/>
      <c r="AT68" s="175"/>
      <c r="AU68" s="188"/>
      <c r="AV68" s="188"/>
      <c r="AW68" s="188"/>
      <c r="AX68" s="188"/>
      <c r="AY68" s="188"/>
      <c r="AZ68" s="172"/>
      <c r="BA68" s="166"/>
      <c r="BB68" s="188"/>
      <c r="BC68" s="188"/>
      <c r="BD68" s="188"/>
      <c r="BE68" s="188"/>
      <c r="BF68" s="188"/>
      <c r="BG68" s="188"/>
      <c r="BH68" s="87"/>
      <c r="BI68" s="222"/>
      <c r="BJ68" s="223"/>
      <c r="BK68" s="87"/>
      <c r="BL68" s="87"/>
    </row>
    <row r="69" ht="15.0" customHeight="1">
      <c r="A69" s="196"/>
      <c r="B69" s="197"/>
      <c r="C69" s="221"/>
      <c r="D69" s="160"/>
      <c r="E69" s="161"/>
      <c r="F69" s="161"/>
      <c r="G69" s="161"/>
      <c r="H69" s="161"/>
      <c r="I69" s="161"/>
      <c r="J69" s="192"/>
      <c r="K69" s="224"/>
      <c r="L69" s="174"/>
      <c r="M69" s="174"/>
      <c r="N69" s="174"/>
      <c r="O69" s="174"/>
      <c r="P69" s="174"/>
      <c r="Q69" s="192"/>
      <c r="R69" s="175"/>
      <c r="S69" s="176"/>
      <c r="T69" s="176"/>
      <c r="U69" s="176"/>
      <c r="V69" s="176"/>
      <c r="W69" s="176"/>
      <c r="X69" s="172"/>
      <c r="Y69" s="177"/>
      <c r="Z69" s="178"/>
      <c r="AA69" s="178"/>
      <c r="AB69" s="178"/>
      <c r="AC69" s="178"/>
      <c r="AD69" s="178"/>
      <c r="AE69" s="172"/>
      <c r="AF69" s="175"/>
      <c r="AG69" s="175"/>
      <c r="AH69" s="175"/>
      <c r="AI69" s="175"/>
      <c r="AJ69" s="175"/>
      <c r="AK69" s="175"/>
      <c r="AL69" s="172"/>
      <c r="AM69" s="175"/>
      <c r="AN69" s="188"/>
      <c r="AO69" s="188"/>
      <c r="AP69" s="188"/>
      <c r="AQ69" s="188"/>
      <c r="AR69" s="188"/>
      <c r="AS69" s="172"/>
      <c r="AT69" s="175"/>
      <c r="AU69" s="188"/>
      <c r="AV69" s="188"/>
      <c r="AW69" s="188"/>
      <c r="AX69" s="188"/>
      <c r="AY69" s="188"/>
      <c r="AZ69" s="172"/>
      <c r="BA69" s="166"/>
      <c r="BB69" s="188"/>
      <c r="BC69" s="188"/>
      <c r="BD69" s="188"/>
      <c r="BE69" s="188"/>
      <c r="BF69" s="188"/>
      <c r="BG69" s="188"/>
      <c r="BH69" s="87"/>
      <c r="BI69" s="222"/>
      <c r="BJ69" s="223"/>
      <c r="BK69" s="87"/>
      <c r="BL69" s="87"/>
    </row>
    <row r="70" ht="15.0" customHeight="1">
      <c r="A70" s="196"/>
      <c r="B70" s="197"/>
      <c r="C70" s="221"/>
      <c r="D70" s="160"/>
      <c r="E70" s="161"/>
      <c r="F70" s="161"/>
      <c r="G70" s="161"/>
      <c r="H70" s="161"/>
      <c r="I70" s="161"/>
      <c r="J70" s="192"/>
      <c r="K70" s="224"/>
      <c r="L70" s="174"/>
      <c r="M70" s="174"/>
      <c r="N70" s="174"/>
      <c r="O70" s="174"/>
      <c r="P70" s="174"/>
      <c r="Q70" s="192"/>
      <c r="R70" s="175"/>
      <c r="S70" s="176"/>
      <c r="T70" s="176"/>
      <c r="U70" s="176"/>
      <c r="V70" s="176"/>
      <c r="W70" s="176"/>
      <c r="X70" s="172"/>
      <c r="Y70" s="177"/>
      <c r="Z70" s="178"/>
      <c r="AA70" s="178"/>
      <c r="AB70" s="178"/>
      <c r="AC70" s="178"/>
      <c r="AD70" s="178"/>
      <c r="AE70" s="172"/>
      <c r="AF70" s="175"/>
      <c r="AG70" s="175"/>
      <c r="AH70" s="175"/>
      <c r="AI70" s="175"/>
      <c r="AJ70" s="175"/>
      <c r="AK70" s="175"/>
      <c r="AL70" s="172"/>
      <c r="AM70" s="175"/>
      <c r="AN70" s="188"/>
      <c r="AO70" s="188"/>
      <c r="AP70" s="188"/>
      <c r="AQ70" s="188"/>
      <c r="AR70" s="188"/>
      <c r="AS70" s="172"/>
      <c r="AT70" s="175"/>
      <c r="AU70" s="188"/>
      <c r="AV70" s="188"/>
      <c r="AW70" s="188"/>
      <c r="AX70" s="188"/>
      <c r="AY70" s="188"/>
      <c r="AZ70" s="172"/>
      <c r="BA70" s="166"/>
      <c r="BB70" s="188"/>
      <c r="BC70" s="188"/>
      <c r="BD70" s="188"/>
      <c r="BE70" s="188"/>
      <c r="BF70" s="188"/>
      <c r="BG70" s="188"/>
      <c r="BH70" s="87"/>
      <c r="BI70" s="222"/>
      <c r="BJ70" s="223"/>
      <c r="BK70" s="87"/>
      <c r="BL70" s="87"/>
    </row>
    <row r="71" ht="15.0" customHeight="1">
      <c r="A71" s="196"/>
      <c r="B71" s="197"/>
      <c r="C71" s="221"/>
      <c r="D71" s="160"/>
      <c r="E71" s="161"/>
      <c r="F71" s="161"/>
      <c r="G71" s="161"/>
      <c r="H71" s="161"/>
      <c r="I71" s="161"/>
      <c r="J71" s="192"/>
      <c r="K71" s="224"/>
      <c r="L71" s="174"/>
      <c r="M71" s="174"/>
      <c r="N71" s="174"/>
      <c r="O71" s="174"/>
      <c r="P71" s="174"/>
      <c r="Q71" s="192"/>
      <c r="R71" s="175"/>
      <c r="S71" s="176"/>
      <c r="T71" s="176"/>
      <c r="U71" s="176"/>
      <c r="V71" s="176"/>
      <c r="W71" s="176"/>
      <c r="X71" s="172"/>
      <c r="Y71" s="177"/>
      <c r="Z71" s="178"/>
      <c r="AA71" s="178"/>
      <c r="AB71" s="178"/>
      <c r="AC71" s="178"/>
      <c r="AD71" s="178"/>
      <c r="AE71" s="172"/>
      <c r="AF71" s="175"/>
      <c r="AG71" s="175"/>
      <c r="AH71" s="175"/>
      <c r="AI71" s="175"/>
      <c r="AJ71" s="175"/>
      <c r="AK71" s="175"/>
      <c r="AL71" s="172"/>
      <c r="AM71" s="175"/>
      <c r="AN71" s="188"/>
      <c r="AO71" s="188"/>
      <c r="AP71" s="188"/>
      <c r="AQ71" s="188"/>
      <c r="AR71" s="188"/>
      <c r="AS71" s="172"/>
      <c r="AT71" s="175"/>
      <c r="AU71" s="188"/>
      <c r="AV71" s="188"/>
      <c r="AW71" s="188"/>
      <c r="AX71" s="188"/>
      <c r="AY71" s="188"/>
      <c r="AZ71" s="172"/>
      <c r="BA71" s="166"/>
      <c r="BB71" s="188"/>
      <c r="BC71" s="188"/>
      <c r="BD71" s="188"/>
      <c r="BE71" s="188"/>
      <c r="BF71" s="188"/>
      <c r="BG71" s="188"/>
      <c r="BH71" s="87"/>
      <c r="BI71" s="222"/>
      <c r="BJ71" s="223"/>
      <c r="BK71" s="87"/>
      <c r="BL71" s="87"/>
    </row>
    <row r="72" ht="15.0" customHeight="1">
      <c r="A72" s="196"/>
      <c r="B72" s="197"/>
      <c r="C72" s="221"/>
      <c r="D72" s="160"/>
      <c r="E72" s="161"/>
      <c r="F72" s="161"/>
      <c r="G72" s="161"/>
      <c r="H72" s="161"/>
      <c r="I72" s="161"/>
      <c r="J72" s="192"/>
      <c r="K72" s="224"/>
      <c r="L72" s="174"/>
      <c r="M72" s="174"/>
      <c r="N72" s="174"/>
      <c r="O72" s="174"/>
      <c r="P72" s="174"/>
      <c r="Q72" s="192"/>
      <c r="R72" s="175"/>
      <c r="S72" s="176"/>
      <c r="T72" s="176"/>
      <c r="U72" s="176"/>
      <c r="V72" s="176"/>
      <c r="W72" s="176"/>
      <c r="X72" s="172"/>
      <c r="Y72" s="177"/>
      <c r="Z72" s="178"/>
      <c r="AA72" s="178"/>
      <c r="AB72" s="178"/>
      <c r="AC72" s="178"/>
      <c r="AD72" s="178"/>
      <c r="AE72" s="172"/>
      <c r="AF72" s="175"/>
      <c r="AG72" s="175"/>
      <c r="AH72" s="175"/>
      <c r="AI72" s="175"/>
      <c r="AJ72" s="175"/>
      <c r="AK72" s="175"/>
      <c r="AL72" s="172"/>
      <c r="AM72" s="175"/>
      <c r="AN72" s="188"/>
      <c r="AO72" s="188"/>
      <c r="AP72" s="188"/>
      <c r="AQ72" s="188"/>
      <c r="AR72" s="188"/>
      <c r="AS72" s="172"/>
      <c r="AT72" s="175"/>
      <c r="AU72" s="188"/>
      <c r="AV72" s="188"/>
      <c r="AW72" s="188"/>
      <c r="AX72" s="188"/>
      <c r="AY72" s="188"/>
      <c r="AZ72" s="172"/>
      <c r="BA72" s="166"/>
      <c r="BB72" s="188"/>
      <c r="BC72" s="188"/>
      <c r="BD72" s="188"/>
      <c r="BE72" s="188"/>
      <c r="BF72" s="188"/>
      <c r="BG72" s="188"/>
      <c r="BH72" s="87"/>
      <c r="BI72" s="222"/>
      <c r="BJ72" s="223"/>
      <c r="BK72" s="87"/>
      <c r="BL72" s="87"/>
    </row>
    <row r="73" ht="15.0" customHeight="1">
      <c r="A73" s="196"/>
      <c r="B73" s="197"/>
      <c r="C73" s="221"/>
      <c r="D73" s="160"/>
      <c r="E73" s="161"/>
      <c r="F73" s="161"/>
      <c r="G73" s="161"/>
      <c r="H73" s="161"/>
      <c r="I73" s="161"/>
      <c r="J73" s="192"/>
      <c r="K73" s="224"/>
      <c r="L73" s="174"/>
      <c r="M73" s="174"/>
      <c r="N73" s="174"/>
      <c r="O73" s="174"/>
      <c r="P73" s="174"/>
      <c r="Q73" s="192"/>
      <c r="R73" s="175"/>
      <c r="S73" s="176"/>
      <c r="T73" s="176"/>
      <c r="U73" s="176"/>
      <c r="V73" s="176"/>
      <c r="W73" s="176"/>
      <c r="X73" s="172"/>
      <c r="Y73" s="177"/>
      <c r="Z73" s="178"/>
      <c r="AA73" s="178"/>
      <c r="AB73" s="178"/>
      <c r="AC73" s="178"/>
      <c r="AD73" s="178"/>
      <c r="AE73" s="172"/>
      <c r="AF73" s="175"/>
      <c r="AG73" s="175"/>
      <c r="AH73" s="175"/>
      <c r="AI73" s="175"/>
      <c r="AJ73" s="175"/>
      <c r="AK73" s="175"/>
      <c r="AL73" s="172"/>
      <c r="AM73" s="175"/>
      <c r="AN73" s="188"/>
      <c r="AO73" s="188"/>
      <c r="AP73" s="188"/>
      <c r="AQ73" s="188"/>
      <c r="AR73" s="188"/>
      <c r="AS73" s="172"/>
      <c r="AT73" s="175"/>
      <c r="AU73" s="188"/>
      <c r="AV73" s="188"/>
      <c r="AW73" s="188"/>
      <c r="AX73" s="188"/>
      <c r="AY73" s="188"/>
      <c r="AZ73" s="172"/>
      <c r="BA73" s="166"/>
      <c r="BB73" s="188"/>
      <c r="BC73" s="188"/>
      <c r="BD73" s="188"/>
      <c r="BE73" s="188"/>
      <c r="BF73" s="188"/>
      <c r="BG73" s="188"/>
      <c r="BH73" s="87"/>
      <c r="BI73" s="222"/>
      <c r="BJ73" s="223"/>
      <c r="BK73" s="87"/>
      <c r="BL73" s="87"/>
    </row>
    <row r="74" ht="15.0" customHeight="1">
      <c r="A74" s="196"/>
      <c r="B74" s="197"/>
      <c r="C74" s="221"/>
      <c r="D74" s="160"/>
      <c r="E74" s="161"/>
      <c r="F74" s="161"/>
      <c r="G74" s="161"/>
      <c r="H74" s="161"/>
      <c r="I74" s="161"/>
      <c r="J74" s="192"/>
      <c r="K74" s="224"/>
      <c r="L74" s="174"/>
      <c r="M74" s="174"/>
      <c r="N74" s="174"/>
      <c r="O74" s="174"/>
      <c r="P74" s="174"/>
      <c r="Q74" s="192"/>
      <c r="R74" s="175"/>
      <c r="S74" s="176"/>
      <c r="T74" s="176"/>
      <c r="U74" s="176"/>
      <c r="V74" s="176"/>
      <c r="W74" s="176"/>
      <c r="X74" s="172"/>
      <c r="Y74" s="177"/>
      <c r="Z74" s="178"/>
      <c r="AA74" s="178"/>
      <c r="AB74" s="178"/>
      <c r="AC74" s="178"/>
      <c r="AD74" s="178"/>
      <c r="AE74" s="172"/>
      <c r="AF74" s="175"/>
      <c r="AG74" s="175"/>
      <c r="AH74" s="175"/>
      <c r="AI74" s="175"/>
      <c r="AJ74" s="175"/>
      <c r="AK74" s="175"/>
      <c r="AL74" s="172"/>
      <c r="AM74" s="175"/>
      <c r="AN74" s="188"/>
      <c r="AO74" s="188"/>
      <c r="AP74" s="188"/>
      <c r="AQ74" s="188"/>
      <c r="AR74" s="188"/>
      <c r="AS74" s="172"/>
      <c r="AT74" s="175"/>
      <c r="AU74" s="188"/>
      <c r="AV74" s="188"/>
      <c r="AW74" s="188"/>
      <c r="AX74" s="188"/>
      <c r="AY74" s="188"/>
      <c r="AZ74" s="172"/>
      <c r="BA74" s="166"/>
      <c r="BB74" s="188"/>
      <c r="BC74" s="188"/>
      <c r="BD74" s="188"/>
      <c r="BE74" s="188"/>
      <c r="BF74" s="188"/>
      <c r="BG74" s="188"/>
      <c r="BH74" s="87"/>
      <c r="BI74" s="222"/>
      <c r="BJ74" s="223"/>
      <c r="BK74" s="87"/>
      <c r="BL74" s="87"/>
    </row>
    <row r="75" ht="15.0" customHeight="1">
      <c r="A75" s="196"/>
      <c r="B75" s="197"/>
      <c r="C75" s="221"/>
      <c r="D75" s="160"/>
      <c r="E75" s="161"/>
      <c r="F75" s="161"/>
      <c r="G75" s="161"/>
      <c r="H75" s="161"/>
      <c r="I75" s="161"/>
      <c r="J75" s="192"/>
      <c r="K75" s="224"/>
      <c r="L75" s="174"/>
      <c r="M75" s="174"/>
      <c r="N75" s="174"/>
      <c r="O75" s="174"/>
      <c r="P75" s="174"/>
      <c r="Q75" s="192"/>
      <c r="R75" s="175"/>
      <c r="S75" s="176"/>
      <c r="T75" s="176"/>
      <c r="U75" s="176"/>
      <c r="V75" s="176"/>
      <c r="W75" s="176"/>
      <c r="X75" s="172"/>
      <c r="Y75" s="177"/>
      <c r="Z75" s="178"/>
      <c r="AA75" s="178"/>
      <c r="AB75" s="178"/>
      <c r="AC75" s="178"/>
      <c r="AD75" s="178"/>
      <c r="AE75" s="172"/>
      <c r="AF75" s="175"/>
      <c r="AG75" s="175"/>
      <c r="AH75" s="175"/>
      <c r="AI75" s="175"/>
      <c r="AJ75" s="175"/>
      <c r="AK75" s="175"/>
      <c r="AL75" s="172"/>
      <c r="AM75" s="175"/>
      <c r="AN75" s="188"/>
      <c r="AO75" s="188"/>
      <c r="AP75" s="188"/>
      <c r="AQ75" s="188"/>
      <c r="AR75" s="188"/>
      <c r="AS75" s="172"/>
      <c r="AT75" s="175"/>
      <c r="AU75" s="188"/>
      <c r="AV75" s="188"/>
      <c r="AW75" s="188"/>
      <c r="AX75" s="188"/>
      <c r="AY75" s="188"/>
      <c r="AZ75" s="172"/>
      <c r="BA75" s="166"/>
      <c r="BB75" s="188"/>
      <c r="BC75" s="188"/>
      <c r="BD75" s="188"/>
      <c r="BE75" s="188"/>
      <c r="BF75" s="188"/>
      <c r="BG75" s="188"/>
      <c r="BH75" s="87"/>
      <c r="BI75" s="222"/>
      <c r="BJ75" s="223"/>
      <c r="BK75" s="87"/>
      <c r="BL75" s="87"/>
    </row>
  </sheetData>
  <mergeCells count="12">
    <mergeCell ref="AF1:AK1"/>
    <mergeCell ref="AM1:AR1"/>
    <mergeCell ref="AT1:AY1"/>
    <mergeCell ref="BA1:BG1"/>
    <mergeCell ref="BJ1:BJ3"/>
    <mergeCell ref="A1:A3"/>
    <mergeCell ref="B1:B3"/>
    <mergeCell ref="C1:C3"/>
    <mergeCell ref="D1:I1"/>
    <mergeCell ref="K1:P2"/>
    <mergeCell ref="R1:W1"/>
    <mergeCell ref="Y1:AD1"/>
  </mergeCells>
  <conditionalFormatting sqref="R1:AK75">
    <cfRule type="cellIs" dxfId="0" priority="1" operator="lessThan">
      <formula>0.01</formula>
    </cfRule>
  </conditionalFormatting>
  <hyperlinks>
    <hyperlink r:id="rId1" ref="BJ4"/>
    <hyperlink r:id="rId2" ref="BJ5"/>
    <hyperlink r:id="rId3" ref="BJ6"/>
    <hyperlink r:id="rId4" ref="BJ7"/>
    <hyperlink r:id="rId5" ref="BJ8"/>
    <hyperlink r:id="rId6" ref="BJ9"/>
    <hyperlink r:id="rId7" ref="BJ10"/>
    <hyperlink r:id="rId8" ref="BJ11"/>
    <hyperlink r:id="rId9" ref="BJ12"/>
    <hyperlink r:id="rId10" ref="BJ13"/>
    <hyperlink r:id="rId11" ref="BJ14"/>
    <hyperlink r:id="rId12" ref="BJ15"/>
    <hyperlink r:id="rId13" ref="BJ16"/>
    <hyperlink r:id="rId14" ref="BJ17"/>
    <hyperlink r:id="rId15" ref="BJ18"/>
    <hyperlink r:id="rId16" ref="BJ19"/>
    <hyperlink r:id="rId17" ref="BJ20"/>
    <hyperlink r:id="rId18" ref="B21"/>
    <hyperlink r:id="rId19" ref="BJ21"/>
    <hyperlink r:id="rId20" ref="BJ22"/>
    <hyperlink r:id="rId21" ref="BJ23"/>
    <hyperlink r:id="rId22" ref="BJ24"/>
    <hyperlink r:id="rId23" ref="BJ25"/>
    <hyperlink r:id="rId24" ref="BJ26"/>
    <hyperlink r:id="rId25" ref="BJ27"/>
    <hyperlink r:id="rId26" ref="BJ28"/>
    <hyperlink r:id="rId27" ref="BJ29"/>
    <hyperlink r:id="rId28" ref="BJ30"/>
    <hyperlink r:id="rId29" ref="BJ31"/>
    <hyperlink r:id="rId30" ref="BJ32"/>
    <hyperlink r:id="rId31" ref="BJ33"/>
    <hyperlink r:id="rId32" ref="B34"/>
    <hyperlink r:id="rId33" ref="BJ34"/>
    <hyperlink r:id="rId34" ref="B35"/>
    <hyperlink r:id="rId35" ref="BJ35"/>
    <hyperlink r:id="rId36" ref="BJ36"/>
    <hyperlink r:id="rId37" ref="BJ37"/>
    <hyperlink r:id="rId38" ref="BJ38"/>
    <hyperlink r:id="rId39" ref="BJ39"/>
    <hyperlink r:id="rId40" ref="BJ40"/>
    <hyperlink r:id="rId41" ref="BJ41"/>
    <hyperlink r:id="rId42" ref="BJ42"/>
    <hyperlink r:id="rId43" ref="BJ43"/>
    <hyperlink r:id="rId44" ref="BJ44"/>
    <hyperlink r:id="rId45" ref="BJ45"/>
    <hyperlink r:id="rId46" ref="BJ46"/>
    <hyperlink r:id="rId47" ref="BJ47"/>
    <hyperlink r:id="rId48" ref="BJ48"/>
    <hyperlink r:id="rId49" ref="BJ49"/>
    <hyperlink r:id="rId50" ref="BJ50"/>
    <hyperlink r:id="rId51" ref="BJ51"/>
    <hyperlink r:id="rId52" ref="BJ52"/>
    <hyperlink r:id="rId53" ref="BJ53"/>
    <hyperlink r:id="rId54" ref="BJ54"/>
    <hyperlink r:id="rId55" ref="BJ55"/>
    <hyperlink r:id="rId56" ref="BJ56"/>
    <hyperlink r:id="rId57" ref="BJ57"/>
    <hyperlink r:id="rId58" ref="BJ58"/>
    <hyperlink r:id="rId59" ref="BJ59"/>
    <hyperlink r:id="rId60" ref="BJ60"/>
    <hyperlink r:id="rId61" ref="BJ61"/>
    <hyperlink r:id="rId62" ref="BJ62"/>
    <hyperlink r:id="rId63" ref="BJ63"/>
    <hyperlink r:id="rId64" ref="BJ64"/>
    <hyperlink r:id="rId65" ref="BJ65"/>
    <hyperlink r:id="rId66" ref="BJ66"/>
    <hyperlink r:id="rId67" ref="BJ67"/>
  </hyperlinks>
  <drawing r:id="rId6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hidden="1" min="1" max="1" width="7.63"/>
    <col customWidth="1" min="2" max="2" width="15.13"/>
    <col customWidth="1" min="3" max="3" width="15.63"/>
    <col customWidth="1" min="4" max="4" width="12.63"/>
    <col customWidth="1" min="5" max="5" width="1.38"/>
    <col customWidth="1" min="6" max="13" width="10.13"/>
    <col customWidth="1" hidden="1" min="14" max="15" width="10.13"/>
  </cols>
  <sheetData>
    <row r="1">
      <c r="A1" s="47" t="s">
        <v>78</v>
      </c>
      <c r="B1" s="225" t="s">
        <v>725</v>
      </c>
      <c r="C1" s="226" t="s">
        <v>128</v>
      </c>
      <c r="D1" s="53" t="s">
        <v>82</v>
      </c>
      <c r="E1" s="94"/>
      <c r="F1" s="52">
        <v>2022.0</v>
      </c>
      <c r="G1" s="52">
        <v>2021.0</v>
      </c>
      <c r="H1" s="52">
        <v>2020.0</v>
      </c>
      <c r="I1" s="52">
        <v>2019.0</v>
      </c>
      <c r="J1" s="52">
        <v>2018.0</v>
      </c>
      <c r="K1" s="88"/>
      <c r="L1" s="212"/>
      <c r="M1" s="212"/>
      <c r="N1" s="212"/>
      <c r="O1" s="93"/>
    </row>
    <row r="2">
      <c r="E2" s="97"/>
      <c r="F2" s="53" t="s">
        <v>85</v>
      </c>
      <c r="K2" s="52"/>
      <c r="L2" s="212"/>
      <c r="M2" s="212"/>
      <c r="N2" s="227">
        <f>AVERAGE(N3:N1278)</f>
        <v>0.6526672094</v>
      </c>
      <c r="O2" s="93"/>
    </row>
    <row r="3" hidden="1">
      <c r="D3" s="152">
        <f>SUM(D6:D1280)</f>
        <v>36612674938</v>
      </c>
      <c r="E3" s="228"/>
      <c r="F3" s="229">
        <f>SUM('Executive Pay Breakdown'!M48:M1280)</f>
        <v>9371783556</v>
      </c>
      <c r="G3" s="229">
        <f>SUM('Executive Pay Breakdown'!Q48:Q1280)</f>
        <v>9561563225</v>
      </c>
      <c r="H3" s="229">
        <f>SUM('Executive Pay Breakdown'!U48:U1280)</f>
        <v>8519085324</v>
      </c>
      <c r="I3" s="229">
        <f>SUM('Executive Pay Breakdown'!Y48:Y1280)</f>
        <v>8710071749</v>
      </c>
      <c r="J3" s="229">
        <f>SUM('Executive Pay Breakdown'!AC48:AC1280)</f>
        <v>8018641960</v>
      </c>
      <c r="K3" s="118"/>
      <c r="L3" s="212"/>
      <c r="M3" s="87"/>
      <c r="N3" s="87"/>
      <c r="O3" s="120"/>
    </row>
    <row r="4">
      <c r="A4" s="81" t="s">
        <v>86</v>
      </c>
      <c r="B4" s="138" t="s">
        <v>87</v>
      </c>
      <c r="C4" s="87" t="s">
        <v>35</v>
      </c>
      <c r="D4" s="89">
        <f>SUMIF('Executive Pay Breakdown'!K:K,$B4,'Executive Pay Breakdown'!M:M)+SUMIF('Executive Pay Breakdown'!O:O,$B4,'Executive Pay Breakdown'!Q:Q)+SUMIF('Executive Pay Breakdown'!S:S,$B4,'Executive Pay Breakdown'!U:U)+SUMIF('Executive Pay Breakdown'!W:W,$B4,'Executive Pay Breakdown'!Y:Y)+SUMIF('Executive Pay Breakdown'!AA:AA,$B4,'Executive Pay Breakdown'!AC:AC)</f>
        <v>2284068644</v>
      </c>
      <c r="E4" s="109"/>
      <c r="F4" s="69">
        <f>SUMIF('Executive Pay Breakdown'!K:K,$B4,'Executive Pay Breakdown'!M:M)</f>
        <v>0</v>
      </c>
      <c r="G4" s="69">
        <f>SUMIF('Executive Pay Breakdown'!O:O,$B4,'Executive Pay Breakdown'!Q:Q)</f>
        <v>0</v>
      </c>
      <c r="H4" s="69">
        <f>SUMIF('Executive Pay Breakdown'!S:S,$B4,'Executive Pay Breakdown'!U:U)</f>
        <v>0</v>
      </c>
      <c r="I4" s="69">
        <f>SUMIF('Executive Pay Breakdown'!W:W,$B4,'Executive Pay Breakdown'!Y:Y)</f>
        <v>23760</v>
      </c>
      <c r="J4" s="69">
        <f>SUMIF('Executive Pay Breakdown'!AA:AA,$B4,'Executive Pay Breakdown'!AC:AC)</f>
        <v>2284044884</v>
      </c>
      <c r="K4" s="90"/>
      <c r="L4" s="212"/>
      <c r="M4" s="87"/>
      <c r="N4" s="230"/>
      <c r="O4" s="120">
        <f>MATCH(C4,'Key Findings'!B:B,0)</f>
        <v>4</v>
      </c>
    </row>
    <row r="5">
      <c r="A5" s="62"/>
      <c r="B5" s="127" t="s">
        <v>89</v>
      </c>
      <c r="C5" s="87" t="s">
        <v>13</v>
      </c>
      <c r="D5" s="89">
        <f>SUMIF('Executive Pay Breakdown'!K:K,$B5,'Executive Pay Breakdown'!M:M)+SUMIF('Executive Pay Breakdown'!O:O,$B5,'Executive Pay Breakdown'!Q:Q)+SUMIF('Executive Pay Breakdown'!S:S,$B5,'Executive Pay Breakdown'!U:U)+SUMIF('Executive Pay Breakdown'!W:W,$B5,'Executive Pay Breakdown'!Y:Y)+SUMIF('Executive Pay Breakdown'!AA:AA,$B5,'Executive Pay Breakdown'!AC:AC)</f>
        <v>231490784</v>
      </c>
      <c r="E5" s="109"/>
      <c r="F5" s="69">
        <f>SUMIF('Executive Pay Breakdown'!K:K,$B5,'Executive Pay Breakdown'!M:M)</f>
        <v>0</v>
      </c>
      <c r="G5" s="69">
        <f>SUMIF('Executive Pay Breakdown'!O:O,$B5,'Executive Pay Breakdown'!Q:Q)</f>
        <v>0</v>
      </c>
      <c r="H5" s="69">
        <f>SUMIF('Executive Pay Breakdown'!S:S,$B5,'Executive Pay Breakdown'!U:U)</f>
        <v>137195887</v>
      </c>
      <c r="I5" s="69">
        <f>SUMIF('Executive Pay Breakdown'!W:W,$B5,'Executive Pay Breakdown'!Y:Y)</f>
        <v>27756690</v>
      </c>
      <c r="J5" s="69">
        <f>SUMIF('Executive Pay Breakdown'!AA:AA,$B5,'Executive Pay Breakdown'!AC:AC)</f>
        <v>66538207</v>
      </c>
      <c r="K5" s="90"/>
      <c r="L5" s="212"/>
      <c r="M5" s="87"/>
      <c r="N5" s="230"/>
      <c r="O5" s="120">
        <f>MATCH(C5,'Key Findings'!B:B,0)</f>
        <v>11</v>
      </c>
    </row>
    <row r="6">
      <c r="A6" s="81" t="s">
        <v>86</v>
      </c>
      <c r="B6" s="134" t="s">
        <v>91</v>
      </c>
      <c r="C6" s="87" t="s">
        <v>16</v>
      </c>
      <c r="D6" s="89">
        <f>SUMIF('Executive Pay Breakdown'!K:K,$B6,'Executive Pay Breakdown'!M:M)+SUMIF('Executive Pay Breakdown'!O:O,$B6,'Executive Pay Breakdown'!Q:Q)+SUMIF('Executive Pay Breakdown'!S:S,$B6,'Executive Pay Breakdown'!U:U)+SUMIF('Executive Pay Breakdown'!W:W,$B6,'Executive Pay Breakdown'!Y:Y)+SUMIF('Executive Pay Breakdown'!AA:AA,$B6,'Executive Pay Breakdown'!AC:AC)</f>
        <v>209780532</v>
      </c>
      <c r="E6" s="109"/>
      <c r="F6" s="69">
        <f>SUMIF('Executive Pay Breakdown'!K:K,$B6,'Executive Pay Breakdown'!M:M)</f>
        <v>51073237</v>
      </c>
      <c r="G6" s="69">
        <f>SUMIF('Executive Pay Breakdown'!O:O,$B6,'Executive Pay Breakdown'!Q:Q)</f>
        <v>40823725</v>
      </c>
      <c r="H6" s="69">
        <f>SUMIF('Executive Pay Breakdown'!S:S,$B6,'Executive Pay Breakdown'!U:U)</f>
        <v>43226024</v>
      </c>
      <c r="I6" s="69">
        <f>SUMIF('Executive Pay Breakdown'!W:W,$B6,'Executive Pay Breakdown'!Y:Y)</f>
        <v>38577129</v>
      </c>
      <c r="J6" s="69">
        <f>SUMIF('Executive Pay Breakdown'!AA:AA,$B6,'Executive Pay Breakdown'!AC:AC)</f>
        <v>36080417</v>
      </c>
      <c r="K6" s="90"/>
      <c r="L6" s="212"/>
      <c r="M6" s="87"/>
      <c r="N6" s="230">
        <f t="shared" ref="N6:N19" si="1">F6/J6-1</f>
        <v>0.4155389889</v>
      </c>
      <c r="O6" s="120">
        <f>MATCH(C6,'Key Findings'!B:B,0)</f>
        <v>12</v>
      </c>
    </row>
    <row r="7">
      <c r="A7" s="71"/>
      <c r="B7" s="132" t="s">
        <v>93</v>
      </c>
      <c r="C7" s="87" t="s">
        <v>16</v>
      </c>
      <c r="D7" s="89">
        <f>SUMIF('Executive Pay Breakdown'!K:K,$B7,'Executive Pay Breakdown'!M:M)+SUMIF('Executive Pay Breakdown'!O:O,$B7,'Executive Pay Breakdown'!Q:Q)+SUMIF('Executive Pay Breakdown'!S:S,$B7,'Executive Pay Breakdown'!U:U)+SUMIF('Executive Pay Breakdown'!W:W,$B7,'Executive Pay Breakdown'!Y:Y)+SUMIF('Executive Pay Breakdown'!AA:AA,$B7,'Executive Pay Breakdown'!AC:AC)</f>
        <v>192171581</v>
      </c>
      <c r="E7" s="109"/>
      <c r="F7" s="69">
        <f>SUMIF('Executive Pay Breakdown'!K:K,$B7,'Executive Pay Breakdown'!M:M)</f>
        <v>50299296</v>
      </c>
      <c r="G7" s="69">
        <f>SUMIF('Executive Pay Breakdown'!O:O,$B7,'Executive Pay Breakdown'!Q:Q)</f>
        <v>38232164</v>
      </c>
      <c r="H7" s="69">
        <f>SUMIF('Executive Pay Breakdown'!S:S,$B7,'Executive Pay Breakdown'!U:U)</f>
        <v>39318251</v>
      </c>
      <c r="I7" s="69">
        <f>SUMIF('Executive Pay Breakdown'!W:W,$B7,'Executive Pay Breakdown'!Y:Y)</f>
        <v>34674399</v>
      </c>
      <c r="J7" s="69">
        <f>SUMIF('Executive Pay Breakdown'!AA:AA,$B7,'Executive Pay Breakdown'!AC:AC)</f>
        <v>29647471</v>
      </c>
      <c r="K7" s="90"/>
      <c r="L7" s="212"/>
      <c r="M7" s="87"/>
      <c r="N7" s="230">
        <f t="shared" si="1"/>
        <v>0.6965796509</v>
      </c>
      <c r="O7" s="120">
        <f>MATCH(C7,'Key Findings'!B:B,0)</f>
        <v>12</v>
      </c>
    </row>
    <row r="8">
      <c r="A8" s="62"/>
      <c r="B8" s="127" t="s">
        <v>95</v>
      </c>
      <c r="C8" s="87" t="s">
        <v>13</v>
      </c>
      <c r="D8" s="89">
        <f>SUMIF('Executive Pay Breakdown'!K:K,$B8,'Executive Pay Breakdown'!M:M)+SUMIF('Executive Pay Breakdown'!O:O,$B8,'Executive Pay Breakdown'!Q:Q)+SUMIF('Executive Pay Breakdown'!S:S,$B8,'Executive Pay Breakdown'!U:U)+SUMIF('Executive Pay Breakdown'!W:W,$B8,'Executive Pay Breakdown'!Y:Y)+SUMIF('Executive Pay Breakdown'!AA:AA,$B8,'Executive Pay Breakdown'!AC:AC)</f>
        <v>158603797</v>
      </c>
      <c r="E8" s="109"/>
      <c r="F8" s="69">
        <f>SUMIF('Executive Pay Breakdown'!K:K,$B8,'Executive Pay Breakdown'!M:M)</f>
        <v>29060048</v>
      </c>
      <c r="G8" s="69">
        <f>SUMIF('Executive Pay Breakdown'!O:O,$B8,'Executive Pay Breakdown'!Q:Q)</f>
        <v>22610659</v>
      </c>
      <c r="H8" s="69">
        <f>SUMIF('Executive Pay Breakdown'!S:S,$B8,'Executive Pay Breakdown'!U:U)</f>
        <v>54914014</v>
      </c>
      <c r="I8" s="69">
        <f>SUMIF('Executive Pay Breakdown'!W:W,$B8,'Executive Pay Breakdown'!Y:Y)</f>
        <v>16369704</v>
      </c>
      <c r="J8" s="69">
        <f>SUMIF('Executive Pay Breakdown'!AA:AA,$B8,'Executive Pay Breakdown'!AC:AC)</f>
        <v>35649372</v>
      </c>
      <c r="K8" s="90"/>
      <c r="L8" s="212"/>
      <c r="M8" s="87"/>
      <c r="N8" s="230">
        <f t="shared" si="1"/>
        <v>-0.1848370288</v>
      </c>
      <c r="O8" s="120">
        <f>MATCH(C8,'Key Findings'!B:B,0)</f>
        <v>11</v>
      </c>
    </row>
    <row r="9">
      <c r="A9" s="62"/>
      <c r="B9" s="120" t="s">
        <v>97</v>
      </c>
      <c r="C9" s="87" t="s">
        <v>14</v>
      </c>
      <c r="D9" s="89">
        <f>SUMIF('Executive Pay Breakdown'!K:K,$B9,'Executive Pay Breakdown'!M:M)+SUMIF('Executive Pay Breakdown'!O:O,$B9,'Executive Pay Breakdown'!Q:Q)+SUMIF('Executive Pay Breakdown'!S:S,$B9,'Executive Pay Breakdown'!U:U)+SUMIF('Executive Pay Breakdown'!W:W,$B9,'Executive Pay Breakdown'!Y:Y)+SUMIF('Executive Pay Breakdown'!AA:AA,$B9,'Executive Pay Breakdown'!AC:AC)</f>
        <v>152295198</v>
      </c>
      <c r="E9" s="109"/>
      <c r="F9" s="69">
        <f>SUMIF('Executive Pay Breakdown'!K:K,$B9,'Executive Pay Breakdown'!M:M)</f>
        <v>75314199</v>
      </c>
      <c r="G9" s="69">
        <f>SUMIF('Executive Pay Breakdown'!O:O,$B9,'Executive Pay Breakdown'!Q:Q)</f>
        <v>21905220</v>
      </c>
      <c r="H9" s="69">
        <f>SUMIF('Executive Pay Breakdown'!S:S,$B9,'Executive Pay Breakdown'!U:U)</f>
        <v>24066986</v>
      </c>
      <c r="I9" s="69">
        <f>SUMIF('Executive Pay Breakdown'!W:W,$B9,'Executive Pay Breakdown'!Y:Y)</f>
        <v>18388334</v>
      </c>
      <c r="J9" s="69">
        <f>SUMIF('Executive Pay Breakdown'!AA:AA,$B9,'Executive Pay Breakdown'!AC:AC)</f>
        <v>12620459</v>
      </c>
      <c r="K9" s="90"/>
      <c r="L9" s="212"/>
      <c r="M9" s="87"/>
      <c r="N9" s="230">
        <f t="shared" si="1"/>
        <v>4.967627564</v>
      </c>
      <c r="O9" s="120">
        <f>MATCH(C9,'Key Findings'!B:B,0)</f>
        <v>5</v>
      </c>
    </row>
    <row r="10">
      <c r="A10" s="62" t="s">
        <v>86</v>
      </c>
      <c r="B10" s="231" t="s">
        <v>99</v>
      </c>
      <c r="C10" s="87" t="s">
        <v>29</v>
      </c>
      <c r="D10" s="89">
        <f>SUMIF('Executive Pay Breakdown'!K:K,$B10,'Executive Pay Breakdown'!M:M)+SUMIF('Executive Pay Breakdown'!O:O,$B10,'Executive Pay Breakdown'!Q:Q)+SUMIF('Executive Pay Breakdown'!S:S,$B10,'Executive Pay Breakdown'!U:U)+SUMIF('Executive Pay Breakdown'!W:W,$B10,'Executive Pay Breakdown'!Y:Y)+SUMIF('Executive Pay Breakdown'!AA:AA,$B10,'Executive Pay Breakdown'!AC:AC)</f>
        <v>138573120</v>
      </c>
      <c r="E10" s="109"/>
      <c r="F10" s="69">
        <f>SUMIF('Executive Pay Breakdown'!K:K,$B10,'Executive Pay Breakdown'!M:M)</f>
        <v>29868893</v>
      </c>
      <c r="G10" s="69">
        <f>SUMIF('Executive Pay Breakdown'!O:O,$B10,'Executive Pay Breakdown'!Q:Q)</f>
        <v>28602112</v>
      </c>
      <c r="H10" s="69">
        <f>SUMIF('Executive Pay Breakdown'!S:S,$B10,'Executive Pay Breakdown'!U:U)</f>
        <v>25740775</v>
      </c>
      <c r="I10" s="69">
        <f>SUMIF('Executive Pay Breakdown'!W:W,$B10,'Executive Pay Breakdown'!Y:Y)</f>
        <v>25969494</v>
      </c>
      <c r="J10" s="69">
        <f>SUMIF('Executive Pay Breakdown'!AA:AA,$B10,'Executive Pay Breakdown'!AC:AC)</f>
        <v>28391846</v>
      </c>
      <c r="K10" s="90"/>
      <c r="L10" s="212"/>
      <c r="M10" s="87"/>
      <c r="N10" s="230">
        <f t="shared" si="1"/>
        <v>0.05202363383</v>
      </c>
      <c r="O10" s="120">
        <f>MATCH(C10,'Key Findings'!B:B,0)</f>
        <v>13</v>
      </c>
    </row>
    <row r="11">
      <c r="A11" s="71"/>
      <c r="B11" s="132" t="s">
        <v>101</v>
      </c>
      <c r="C11" s="87" t="s">
        <v>54</v>
      </c>
      <c r="D11" s="89">
        <f>SUMIF('Executive Pay Breakdown'!K:K,$B11,'Executive Pay Breakdown'!M:M)+SUMIF('Executive Pay Breakdown'!O:O,$B11,'Executive Pay Breakdown'!Q:Q)+SUMIF('Executive Pay Breakdown'!S:S,$B11,'Executive Pay Breakdown'!U:U)+SUMIF('Executive Pay Breakdown'!W:W,$B11,'Executive Pay Breakdown'!Y:Y)+SUMIF('Executive Pay Breakdown'!AA:AA,$B11,'Executive Pay Breakdown'!AC:AC)</f>
        <v>136821183</v>
      </c>
      <c r="E11" s="109"/>
      <c r="F11" s="69">
        <f>SUMIF('Executive Pay Breakdown'!K:K,$B11,'Executive Pay Breakdown'!M:M)</f>
        <v>39213350</v>
      </c>
      <c r="G11" s="69">
        <f>SUMIF('Executive Pay Breakdown'!O:O,$B11,'Executive Pay Breakdown'!Q:Q)</f>
        <v>41860263</v>
      </c>
      <c r="H11" s="69">
        <f>SUMIF('Executive Pay Breakdown'!S:S,$B11,'Executive Pay Breakdown'!U:U)</f>
        <v>38846705</v>
      </c>
      <c r="I11" s="69">
        <f>SUMIF('Executive Pay Breakdown'!W:W,$B11,'Executive Pay Breakdown'!Y:Y)</f>
        <v>8743601</v>
      </c>
      <c r="J11" s="69">
        <f>SUMIF('Executive Pay Breakdown'!AA:AA,$B11,'Executive Pay Breakdown'!AC:AC)</f>
        <v>8157264</v>
      </c>
      <c r="K11" s="90"/>
      <c r="L11" s="212"/>
      <c r="M11" s="87"/>
      <c r="N11" s="230">
        <f t="shared" si="1"/>
        <v>3.807169414</v>
      </c>
      <c r="O11" s="120">
        <f>MATCH(C11,'Key Findings'!B:B,0)</f>
        <v>19</v>
      </c>
    </row>
    <row r="12">
      <c r="A12" s="62"/>
      <c r="B12" s="127" t="s">
        <v>103</v>
      </c>
      <c r="C12" s="87" t="s">
        <v>12</v>
      </c>
      <c r="D12" s="89">
        <f>SUMIF('Executive Pay Breakdown'!K:K,$B12,'Executive Pay Breakdown'!M:M)+SUMIF('Executive Pay Breakdown'!O:O,$B12,'Executive Pay Breakdown'!Q:Q)+SUMIF('Executive Pay Breakdown'!S:S,$B12,'Executive Pay Breakdown'!U:U)+SUMIF('Executive Pay Breakdown'!W:W,$B12,'Executive Pay Breakdown'!Y:Y)+SUMIF('Executive Pay Breakdown'!AA:AA,$B12,'Executive Pay Breakdown'!AC:AC)</f>
        <v>132699000</v>
      </c>
      <c r="E12" s="109"/>
      <c r="F12" s="69">
        <f>SUMIF('Executive Pay Breakdown'!K:K,$B12,'Executive Pay Breakdown'!M:M)</f>
        <v>40406018</v>
      </c>
      <c r="G12" s="69">
        <f>SUMIF('Executive Pay Breakdown'!O:O,$B12,'Executive Pay Breakdown'!Q:Q)</f>
        <v>25335936</v>
      </c>
      <c r="H12" s="69">
        <f>SUMIF('Executive Pay Breakdown'!S:S,$B12,'Executive Pay Breakdown'!U:U)</f>
        <v>23720707</v>
      </c>
      <c r="I12" s="69">
        <f>SUMIF('Executive Pay Breakdown'!W:W,$B12,'Executive Pay Breakdown'!Y:Y)</f>
        <v>21877597</v>
      </c>
      <c r="J12" s="69">
        <f>SUMIF('Executive Pay Breakdown'!AA:AA,$B12,'Executive Pay Breakdown'!AC:AC)</f>
        <v>21358742</v>
      </c>
      <c r="K12" s="90"/>
      <c r="L12" s="212"/>
      <c r="M12" s="87"/>
      <c r="N12" s="230">
        <f t="shared" si="1"/>
        <v>0.8917789259</v>
      </c>
      <c r="O12" s="120">
        <f>MATCH(C12,'Key Findings'!B:B,0)</f>
        <v>17</v>
      </c>
    </row>
    <row r="13">
      <c r="A13" s="62"/>
      <c r="B13" s="232" t="s">
        <v>105</v>
      </c>
      <c r="C13" s="87" t="s">
        <v>51</v>
      </c>
      <c r="D13" s="89">
        <f>SUMIF('Executive Pay Breakdown'!K:K,$B13,'Executive Pay Breakdown'!M:M)+SUMIF('Executive Pay Breakdown'!O:O,$B13,'Executive Pay Breakdown'!Q:Q)+SUMIF('Executive Pay Breakdown'!S:S,$B13,'Executive Pay Breakdown'!U:U)+SUMIF('Executive Pay Breakdown'!W:W,$B13,'Executive Pay Breakdown'!Y:Y)+SUMIF('Executive Pay Breakdown'!AA:AA,$B13,'Executive Pay Breakdown'!AC:AC)</f>
        <v>128912181</v>
      </c>
      <c r="E13" s="109"/>
      <c r="F13" s="69">
        <f>SUMIF('Executive Pay Breakdown'!K:K,$B13,'Executive Pay Breakdown'!M:M)</f>
        <v>23573925</v>
      </c>
      <c r="G13" s="69">
        <f>SUMIF('Executive Pay Breakdown'!O:O,$B13,'Executive Pay Breakdown'!Q:Q)</f>
        <v>22610285</v>
      </c>
      <c r="H13" s="69">
        <f>SUMIF('Executive Pay Breakdown'!S:S,$B13,'Executive Pay Breakdown'!U:U)</f>
        <v>29016686</v>
      </c>
      <c r="I13" s="69">
        <f>SUMIF('Executive Pay Breakdown'!W:W,$B13,'Executive Pay Breakdown'!Y:Y)</f>
        <v>33070662</v>
      </c>
      <c r="J13" s="69">
        <f>SUMIF('Executive Pay Breakdown'!AA:AA,$B13,'Executive Pay Breakdown'!AC:AC)</f>
        <v>20640623</v>
      </c>
      <c r="K13" s="90"/>
      <c r="L13" s="212"/>
      <c r="M13" s="87"/>
      <c r="N13" s="230">
        <f t="shared" si="1"/>
        <v>0.1421130554</v>
      </c>
      <c r="O13" s="120">
        <f>MATCH(C13,'Key Findings'!B:B,0)</f>
        <v>16</v>
      </c>
    </row>
    <row r="14">
      <c r="A14" s="81"/>
      <c r="B14" s="133" t="s">
        <v>107</v>
      </c>
      <c r="C14" s="87" t="s">
        <v>50</v>
      </c>
      <c r="D14" s="89">
        <f>SUMIF('Executive Pay Breakdown'!K:K,$B14,'Executive Pay Breakdown'!M:M)+SUMIF('Executive Pay Breakdown'!O:O,$B14,'Executive Pay Breakdown'!Q:Q)+SUMIF('Executive Pay Breakdown'!S:S,$B14,'Executive Pay Breakdown'!U:U)+SUMIF('Executive Pay Breakdown'!W:W,$B14,'Executive Pay Breakdown'!Y:Y)+SUMIF('Executive Pay Breakdown'!AA:AA,$B14,'Executive Pay Breakdown'!AC:AC)</f>
        <v>125275654</v>
      </c>
      <c r="E14" s="109"/>
      <c r="F14" s="69">
        <f>SUMIF('Executive Pay Breakdown'!K:K,$B14,'Executive Pay Breakdown'!M:M)</f>
        <v>28979570</v>
      </c>
      <c r="G14" s="69">
        <f>SUMIF('Executive Pay Breakdown'!O:O,$B14,'Executive Pay Breakdown'!Q:Q)</f>
        <v>29136780</v>
      </c>
      <c r="H14" s="69">
        <f>SUMIF('Executive Pay Breakdown'!S:S,$B14,'Executive Pay Breakdown'!U:U)</f>
        <v>23657987</v>
      </c>
      <c r="I14" s="69">
        <f>SUMIF('Executive Pay Breakdown'!W:W,$B14,'Executive Pay Breakdown'!Y:Y)</f>
        <v>21630867</v>
      </c>
      <c r="J14" s="69">
        <f>SUMIF('Executive Pay Breakdown'!AA:AA,$B14,'Executive Pay Breakdown'!AC:AC)</f>
        <v>21870450</v>
      </c>
      <c r="K14" s="90"/>
      <c r="L14" s="212"/>
      <c r="M14" s="87"/>
      <c r="N14" s="230">
        <f t="shared" si="1"/>
        <v>0.3250559545</v>
      </c>
      <c r="O14" s="120">
        <f>MATCH(C14,'Key Findings'!B:B,0)</f>
        <v>18</v>
      </c>
    </row>
    <row r="15">
      <c r="A15" s="62"/>
      <c r="B15" s="121" t="s">
        <v>109</v>
      </c>
      <c r="C15" s="233" t="s">
        <v>62</v>
      </c>
      <c r="D15" s="89">
        <f>SUMIF('Executive Pay Breakdown'!K:K,$B15,'Executive Pay Breakdown'!M:M)+SUMIF('Executive Pay Breakdown'!O:O,$B15,'Executive Pay Breakdown'!Q:Q)+SUMIF('Executive Pay Breakdown'!S:S,$B15,'Executive Pay Breakdown'!U:U)+SUMIF('Executive Pay Breakdown'!W:W,$B15,'Executive Pay Breakdown'!Y:Y)+SUMIF('Executive Pay Breakdown'!AA:AA,$B15,'Executive Pay Breakdown'!AC:AC)</f>
        <v>112321574</v>
      </c>
      <c r="E15" s="109"/>
      <c r="F15" s="69">
        <f>SUMIF('Executive Pay Breakdown'!K:K,$B15,'Executive Pay Breakdown'!M:M)</f>
        <v>19816806</v>
      </c>
      <c r="G15" s="69">
        <f>SUMIF('Executive Pay Breakdown'!O:O,$B15,'Executive Pay Breakdown'!Q:Q)</f>
        <v>22654781</v>
      </c>
      <c r="H15" s="69">
        <f>SUMIF('Executive Pay Breakdown'!S:S,$B15,'Executive Pay Breakdown'!U:U)</f>
        <v>16959233</v>
      </c>
      <c r="I15" s="69">
        <f>SUMIF('Executive Pay Breakdown'!W:W,$B15,'Executive Pay Breakdown'!Y:Y)</f>
        <v>17235108</v>
      </c>
      <c r="J15" s="69">
        <f>SUMIF('Executive Pay Breakdown'!AA:AA,$B15,'Executive Pay Breakdown'!AC:AC)</f>
        <v>35655646</v>
      </c>
      <c r="K15" s="90"/>
      <c r="L15" s="212"/>
      <c r="M15" s="87"/>
      <c r="N15" s="230">
        <f t="shared" si="1"/>
        <v>-0.444216885</v>
      </c>
      <c r="O15" s="120">
        <f>MATCH(C15,'Key Findings'!B:B,0)</f>
        <v>28</v>
      </c>
    </row>
    <row r="16">
      <c r="A16" s="81"/>
      <c r="B16" s="234" t="s">
        <v>111</v>
      </c>
      <c r="C16" s="87" t="s">
        <v>55</v>
      </c>
      <c r="D16" s="89">
        <f>SUMIF('Executive Pay Breakdown'!K:K,$B16,'Executive Pay Breakdown'!M:M)+SUMIF('Executive Pay Breakdown'!O:O,$B16,'Executive Pay Breakdown'!Q:Q)+SUMIF('Executive Pay Breakdown'!S:S,$B16,'Executive Pay Breakdown'!U:U)+SUMIF('Executive Pay Breakdown'!W:W,$B16,'Executive Pay Breakdown'!Y:Y)+SUMIF('Executive Pay Breakdown'!AA:AA,$B16,'Executive Pay Breakdown'!AC:AC)</f>
        <v>110384707</v>
      </c>
      <c r="E16" s="109"/>
      <c r="F16" s="69">
        <f>SUMIF('Executive Pay Breakdown'!K:K,$B16,'Executive Pay Breakdown'!M:M)</f>
        <v>25437598</v>
      </c>
      <c r="G16" s="69">
        <f>SUMIF('Executive Pay Breakdown'!O:O,$B16,'Executive Pay Breakdown'!Q:Q)</f>
        <v>26100120</v>
      </c>
      <c r="H16" s="69">
        <f>SUMIF('Executive Pay Breakdown'!S:S,$B16,'Executive Pay Breakdown'!U:U)</f>
        <v>19075281</v>
      </c>
      <c r="I16" s="69">
        <f>SUMIF('Executive Pay Breakdown'!W:W,$B16,'Executive Pay Breakdown'!Y:Y)</f>
        <v>20525104</v>
      </c>
      <c r="J16" s="69">
        <f>SUMIF('Executive Pay Breakdown'!AA:AA,$B16,'Executive Pay Breakdown'!AC:AC)</f>
        <v>19246604</v>
      </c>
      <c r="K16" s="90"/>
      <c r="L16" s="212"/>
      <c r="M16" s="87"/>
      <c r="N16" s="230">
        <f t="shared" si="1"/>
        <v>0.321666825</v>
      </c>
      <c r="O16" s="120">
        <f>MATCH(C16,'Key Findings'!B:B,0)</f>
        <v>20</v>
      </c>
    </row>
    <row r="17">
      <c r="A17" s="62"/>
      <c r="B17" s="235" t="s">
        <v>113</v>
      </c>
      <c r="C17" s="87" t="s">
        <v>53</v>
      </c>
      <c r="D17" s="89">
        <f>SUMIF('Executive Pay Breakdown'!K:K,$B17,'Executive Pay Breakdown'!M:M)+SUMIF('Executive Pay Breakdown'!O:O,$B17,'Executive Pay Breakdown'!Q:Q)+SUMIF('Executive Pay Breakdown'!S:S,$B17,'Executive Pay Breakdown'!U:U)+SUMIF('Executive Pay Breakdown'!W:W,$B17,'Executive Pay Breakdown'!Y:Y)+SUMIF('Executive Pay Breakdown'!AA:AA,$B17,'Executive Pay Breakdown'!AC:AC)</f>
        <v>108579955</v>
      </c>
      <c r="E17" s="109"/>
      <c r="F17" s="69">
        <f>SUMIF('Executive Pay Breakdown'!K:K,$B17,'Executive Pay Breakdown'!M:M)</f>
        <v>24006670</v>
      </c>
      <c r="G17" s="69">
        <f>SUMIF('Executive Pay Breakdown'!O:O,$B17,'Executive Pay Breakdown'!Q:Q)</f>
        <v>21243559</v>
      </c>
      <c r="H17" s="69">
        <f>SUMIF('Executive Pay Breakdown'!S:S,$B17,'Executive Pay Breakdown'!U:U)</f>
        <v>22366850</v>
      </c>
      <c r="I17" s="69">
        <f>SUMIF('Executive Pay Breakdown'!W:W,$B17,'Executive Pay Breakdown'!Y:Y)</f>
        <v>27865185</v>
      </c>
      <c r="J17" s="69">
        <f>SUMIF('Executive Pay Breakdown'!AA:AA,$B17,'Executive Pay Breakdown'!AC:AC)</f>
        <v>13097691</v>
      </c>
      <c r="K17" s="90"/>
      <c r="L17" s="212"/>
      <c r="M17" s="87"/>
      <c r="N17" s="230">
        <f t="shared" si="1"/>
        <v>0.8328932939</v>
      </c>
      <c r="O17" s="120">
        <f>MATCH(C17,'Key Findings'!B:B,0)</f>
        <v>23</v>
      </c>
    </row>
    <row r="18">
      <c r="A18" s="81"/>
      <c r="B18" s="134" t="s">
        <v>115</v>
      </c>
      <c r="C18" s="87" t="s">
        <v>65</v>
      </c>
      <c r="D18" s="89">
        <f>SUMIF('Executive Pay Breakdown'!K:K,$B18,'Executive Pay Breakdown'!M:M)+SUMIF('Executive Pay Breakdown'!O:O,$B18,'Executive Pay Breakdown'!Q:Q)+SUMIF('Executive Pay Breakdown'!S:S,$B18,'Executive Pay Breakdown'!U:U)+SUMIF('Executive Pay Breakdown'!W:W,$B18,'Executive Pay Breakdown'!Y:Y)+SUMIF('Executive Pay Breakdown'!AA:AA,$B18,'Executive Pay Breakdown'!AC:AC)</f>
        <v>108030407</v>
      </c>
      <c r="E18" s="109"/>
      <c r="F18" s="69">
        <f>SUMIF('Executive Pay Breakdown'!K:K,$B18,'Executive Pay Breakdown'!M:M)</f>
        <v>24749178</v>
      </c>
      <c r="G18" s="69">
        <f>SUMIF('Executive Pay Breakdown'!O:O,$B18,'Executive Pay Breakdown'!Q:Q)</f>
        <v>23508841</v>
      </c>
      <c r="H18" s="69">
        <f>SUMIF('Executive Pay Breakdown'!S:S,$B18,'Executive Pay Breakdown'!U:U)</f>
        <v>21994433</v>
      </c>
      <c r="I18" s="69">
        <f>SUMIF('Executive Pay Breakdown'!W:W,$B18,'Executive Pay Breakdown'!Y:Y)</f>
        <v>18140421</v>
      </c>
      <c r="J18" s="69">
        <f>SUMIF('Executive Pay Breakdown'!AA:AA,$B18,'Executive Pay Breakdown'!AC:AC)</f>
        <v>19637534</v>
      </c>
      <c r="K18" s="90"/>
      <c r="L18" s="212"/>
      <c r="M18" s="87"/>
      <c r="N18" s="230">
        <f t="shared" si="1"/>
        <v>0.2602996894</v>
      </c>
      <c r="O18" s="120">
        <f>MATCH(C18,'Key Findings'!B:B,0)</f>
        <v>24</v>
      </c>
    </row>
    <row r="19">
      <c r="A19" s="81"/>
      <c r="B19" s="135" t="s">
        <v>117</v>
      </c>
      <c r="C19" s="87" t="s">
        <v>49</v>
      </c>
      <c r="D19" s="89">
        <f>SUMIF('Executive Pay Breakdown'!K:K,$B19,'Executive Pay Breakdown'!M:M)+SUMIF('Executive Pay Breakdown'!O:O,$B19,'Executive Pay Breakdown'!Q:Q)+SUMIF('Executive Pay Breakdown'!S:S,$B19,'Executive Pay Breakdown'!U:U)+SUMIF('Executive Pay Breakdown'!W:W,$B19,'Executive Pay Breakdown'!Y:Y)+SUMIF('Executive Pay Breakdown'!AA:AA,$B19,'Executive Pay Breakdown'!AC:AC)</f>
        <v>107783233</v>
      </c>
      <c r="E19" s="109"/>
      <c r="F19" s="69">
        <f>SUMIF('Executive Pay Breakdown'!K:K,$B19,'Executive Pay Breakdown'!M:M)</f>
        <v>22915526</v>
      </c>
      <c r="G19" s="69">
        <f>SUMIF('Executive Pay Breakdown'!O:O,$B19,'Executive Pay Breakdown'!Q:Q)</f>
        <v>24820879</v>
      </c>
      <c r="H19" s="69">
        <f>SUMIF('Executive Pay Breakdown'!S:S,$B19,'Executive Pay Breakdown'!U:U)</f>
        <v>21020917</v>
      </c>
      <c r="I19" s="69">
        <f>SUMIF('Executive Pay Breakdown'!W:W,$B19,'Executive Pay Breakdown'!Y:Y)</f>
        <v>22473006</v>
      </c>
      <c r="J19" s="69">
        <f>SUMIF('Executive Pay Breakdown'!AA:AA,$B19,'Executive Pay Breakdown'!AC:AC)</f>
        <v>16552905</v>
      </c>
      <c r="K19" s="90"/>
      <c r="L19" s="212"/>
      <c r="M19" s="87"/>
      <c r="N19" s="230">
        <f t="shared" si="1"/>
        <v>0.3843809289</v>
      </c>
      <c r="O19" s="120">
        <f>MATCH(C19,'Key Findings'!B:B,0)</f>
        <v>14</v>
      </c>
    </row>
    <row r="20">
      <c r="A20" s="81"/>
      <c r="B20" s="87" t="s">
        <v>119</v>
      </c>
      <c r="C20" s="87" t="s">
        <v>49</v>
      </c>
      <c r="D20" s="89">
        <f>SUMIF('Executive Pay Breakdown'!K:K,$B20,'Executive Pay Breakdown'!M:M)+SUMIF('Executive Pay Breakdown'!O:O,$B20,'Executive Pay Breakdown'!Q:Q)+SUMIF('Executive Pay Breakdown'!S:S,$B20,'Executive Pay Breakdown'!U:U)+SUMIF('Executive Pay Breakdown'!W:W,$B20,'Executive Pay Breakdown'!Y:Y)+SUMIF('Executive Pay Breakdown'!AA:AA,$B20,'Executive Pay Breakdown'!AC:AC)</f>
        <v>106651170</v>
      </c>
      <c r="E20" s="109"/>
      <c r="F20" s="69">
        <f>SUMIF('Executive Pay Breakdown'!K:K,$B20,'Executive Pay Breakdown'!M:M)</f>
        <v>0</v>
      </c>
      <c r="G20" s="69">
        <f>SUMIF('Executive Pay Breakdown'!O:O,$B20,'Executive Pay Breakdown'!Q:Q)</f>
        <v>16345499</v>
      </c>
      <c r="H20" s="69">
        <f>SUMIF('Executive Pay Breakdown'!S:S,$B20,'Executive Pay Breakdown'!U:U)</f>
        <v>29154628</v>
      </c>
      <c r="I20" s="69">
        <f>SUMIF('Executive Pay Breakdown'!W:W,$B20,'Executive Pay Breakdown'!Y:Y)</f>
        <v>32032925</v>
      </c>
      <c r="J20" s="69">
        <f>SUMIF('Executive Pay Breakdown'!AA:AA,$B20,'Executive Pay Breakdown'!AC:AC)</f>
        <v>29118118</v>
      </c>
      <c r="K20" s="90"/>
      <c r="L20" s="212"/>
      <c r="M20" s="87"/>
      <c r="N20" s="230"/>
      <c r="O20" s="120">
        <f>MATCH(C20,'Key Findings'!B:B,0)</f>
        <v>14</v>
      </c>
    </row>
    <row r="21">
      <c r="A21" s="81" t="s">
        <v>86</v>
      </c>
      <c r="B21" s="127" t="s">
        <v>121</v>
      </c>
      <c r="C21" s="87" t="s">
        <v>17</v>
      </c>
      <c r="D21" s="89">
        <f>SUMIF('Executive Pay Breakdown'!K:K,$B21,'Executive Pay Breakdown'!M:M)+SUMIF('Executive Pay Breakdown'!O:O,$B21,'Executive Pay Breakdown'!Q:Q)+SUMIF('Executive Pay Breakdown'!S:S,$B21,'Executive Pay Breakdown'!U:U)+SUMIF('Executive Pay Breakdown'!W:W,$B21,'Executive Pay Breakdown'!Y:Y)+SUMIF('Executive Pay Breakdown'!AA:AA,$B21,'Executive Pay Breakdown'!AC:AC)</f>
        <v>106511754</v>
      </c>
      <c r="E21" s="109"/>
      <c r="F21" s="69">
        <f>SUMIF('Executive Pay Breakdown'!K:K,$B21,'Executive Pay Breakdown'!M:M)</f>
        <v>3219778</v>
      </c>
      <c r="G21" s="69">
        <f>SUMIF('Executive Pay Breakdown'!O:O,$B21,'Executive Pay Breakdown'!Q:Q)</f>
        <v>3060317</v>
      </c>
      <c r="H21" s="69">
        <f>SUMIF('Executive Pay Breakdown'!S:S,$B21,'Executive Pay Breakdown'!U:U)</f>
        <v>94761246</v>
      </c>
      <c r="I21" s="69">
        <f>SUMIF('Executive Pay Breakdown'!W:W,$B21,'Executive Pay Breakdown'!Y:Y)</f>
        <v>2357756</v>
      </c>
      <c r="J21" s="69">
        <f>SUMIF('Executive Pay Breakdown'!AA:AA,$B21,'Executive Pay Breakdown'!AC:AC)</f>
        <v>3112657</v>
      </c>
      <c r="K21" s="90"/>
      <c r="L21" s="212"/>
      <c r="M21" s="87"/>
      <c r="N21" s="230">
        <f t="shared" ref="N21:N35" si="2">F21/J21-1</f>
        <v>0.03441464961</v>
      </c>
      <c r="O21" s="120">
        <f>MATCH(C21,'Key Findings'!B:B,0)</f>
        <v>36</v>
      </c>
    </row>
    <row r="22">
      <c r="A22" s="71"/>
      <c r="B22" s="132" t="s">
        <v>123</v>
      </c>
      <c r="C22" s="87" t="s">
        <v>16</v>
      </c>
      <c r="D22" s="89">
        <f>SUMIF('Executive Pay Breakdown'!K:K,$B22,'Executive Pay Breakdown'!M:M)+SUMIF('Executive Pay Breakdown'!O:O,$B22,'Executive Pay Breakdown'!Q:Q)+SUMIF('Executive Pay Breakdown'!S:S,$B22,'Executive Pay Breakdown'!U:U)+SUMIF('Executive Pay Breakdown'!W:W,$B22,'Executive Pay Breakdown'!Y:Y)+SUMIF('Executive Pay Breakdown'!AA:AA,$B22,'Executive Pay Breakdown'!AC:AC)</f>
        <v>102753950</v>
      </c>
      <c r="E22" s="109"/>
      <c r="F22" s="69">
        <f>SUMIF('Executive Pay Breakdown'!K:K,$B22,'Executive Pay Breakdown'!M:M)</f>
        <v>28129263</v>
      </c>
      <c r="G22" s="69">
        <f>SUMIF('Executive Pay Breakdown'!O:O,$B22,'Executive Pay Breakdown'!Q:Q)</f>
        <v>20371393</v>
      </c>
      <c r="H22" s="69">
        <f>SUMIF('Executive Pay Breakdown'!S:S,$B22,'Executive Pay Breakdown'!U:U)</f>
        <v>20805995</v>
      </c>
      <c r="I22" s="69">
        <f>SUMIF('Executive Pay Breakdown'!W:W,$B22,'Executive Pay Breakdown'!Y:Y)</f>
        <v>18628710</v>
      </c>
      <c r="J22" s="69">
        <f>SUMIF('Executive Pay Breakdown'!AA:AA,$B22,'Executive Pay Breakdown'!AC:AC)</f>
        <v>14818589</v>
      </c>
      <c r="K22" s="90"/>
      <c r="L22" s="212"/>
      <c r="M22" s="87"/>
      <c r="N22" s="230">
        <f t="shared" si="2"/>
        <v>0.8982416612</v>
      </c>
      <c r="O22" s="120">
        <f>MATCH(C22,'Key Findings'!B:B,0)</f>
        <v>12</v>
      </c>
    </row>
    <row r="23">
      <c r="A23" s="62"/>
      <c r="B23" s="86" t="s">
        <v>125</v>
      </c>
      <c r="C23" s="87" t="s">
        <v>32</v>
      </c>
      <c r="D23" s="89">
        <f>SUMIF('Executive Pay Breakdown'!K:K,$B23,'Executive Pay Breakdown'!M:M)+SUMIF('Executive Pay Breakdown'!O:O,$B23,'Executive Pay Breakdown'!Q:Q)+SUMIF('Executive Pay Breakdown'!S:S,$B23,'Executive Pay Breakdown'!U:U)+SUMIF('Executive Pay Breakdown'!W:W,$B23,'Executive Pay Breakdown'!Y:Y)+SUMIF('Executive Pay Breakdown'!AA:AA,$B23,'Executive Pay Breakdown'!AC:AC)</f>
        <v>95596632</v>
      </c>
      <c r="E23" s="109"/>
      <c r="F23" s="69">
        <f>SUMIF('Executive Pay Breakdown'!K:K,$B23,'Executive Pay Breakdown'!M:M)</f>
        <v>18608094</v>
      </c>
      <c r="G23" s="69">
        <f>SUMIF('Executive Pay Breakdown'!O:O,$B23,'Executive Pay Breakdown'!Q:Q)</f>
        <v>24675982</v>
      </c>
      <c r="H23" s="69">
        <f>SUMIF('Executive Pay Breakdown'!S:S,$B23,'Executive Pay Breakdown'!U:U)</f>
        <v>23181719</v>
      </c>
      <c r="I23" s="69">
        <f>SUMIF('Executive Pay Breakdown'!W:W,$B23,'Executive Pay Breakdown'!Y:Y)</f>
        <v>19806346</v>
      </c>
      <c r="J23" s="69">
        <f>SUMIF('Executive Pay Breakdown'!AA:AA,$B23,'Executive Pay Breakdown'!AC:AC)</f>
        <v>9324491</v>
      </c>
      <c r="K23" s="90"/>
      <c r="L23" s="212"/>
      <c r="M23" s="87"/>
      <c r="N23" s="230">
        <f t="shared" si="2"/>
        <v>0.9956149885</v>
      </c>
      <c r="O23" s="120">
        <f>MATCH(C23,'Key Findings'!B:B,0)</f>
        <v>26</v>
      </c>
    </row>
    <row r="24">
      <c r="A24" s="62"/>
      <c r="B24" s="127" t="s">
        <v>283</v>
      </c>
      <c r="C24" s="87" t="s">
        <v>13</v>
      </c>
      <c r="D24" s="89">
        <f>SUMIF('Executive Pay Breakdown'!K:K,$B24,'Executive Pay Breakdown'!M:M)+SUMIF('Executive Pay Breakdown'!O:O,$B24,'Executive Pay Breakdown'!Q:Q)+SUMIF('Executive Pay Breakdown'!S:S,$B24,'Executive Pay Breakdown'!U:U)+SUMIF('Executive Pay Breakdown'!W:W,$B24,'Executive Pay Breakdown'!Y:Y)+SUMIF('Executive Pay Breakdown'!AA:AA,$B24,'Executive Pay Breakdown'!AC:AC)</f>
        <v>94813450</v>
      </c>
      <c r="E24" s="109"/>
      <c r="F24" s="69">
        <f>SUMIF('Executive Pay Breakdown'!K:K,$B24,'Executive Pay Breakdown'!M:M)</f>
        <v>13103145</v>
      </c>
      <c r="G24" s="69">
        <f>SUMIF('Executive Pay Breakdown'!O:O,$B24,'Executive Pay Breakdown'!Q:Q)</f>
        <v>11547241</v>
      </c>
      <c r="H24" s="69">
        <f>SUMIF('Executive Pay Breakdown'!S:S,$B24,'Executive Pay Breakdown'!U:U)</f>
        <v>33212469</v>
      </c>
      <c r="I24" s="69">
        <f>SUMIF('Executive Pay Breakdown'!W:W,$B24,'Executive Pay Breakdown'!Y:Y)</f>
        <v>11175697</v>
      </c>
      <c r="J24" s="69">
        <f>SUMIF('Executive Pay Breakdown'!AA:AA,$B24,'Executive Pay Breakdown'!AC:AC)</f>
        <v>25774898</v>
      </c>
      <c r="K24" s="90"/>
      <c r="L24" s="212"/>
      <c r="M24" s="87"/>
      <c r="N24" s="230">
        <f t="shared" si="2"/>
        <v>-0.4916315479</v>
      </c>
      <c r="O24" s="120">
        <f>MATCH(C24,'Key Findings'!B:B,0)</f>
        <v>11</v>
      </c>
    </row>
    <row r="25">
      <c r="A25" s="71"/>
      <c r="B25" s="124" t="s">
        <v>169</v>
      </c>
      <c r="C25" s="87" t="s">
        <v>58</v>
      </c>
      <c r="D25" s="89">
        <f>SUMIF('Executive Pay Breakdown'!K:K,$B25,'Executive Pay Breakdown'!M:M)+SUMIF('Executive Pay Breakdown'!O:O,$B25,'Executive Pay Breakdown'!Q:Q)+SUMIF('Executive Pay Breakdown'!S:S,$B25,'Executive Pay Breakdown'!U:U)+SUMIF('Executive Pay Breakdown'!W:W,$B25,'Executive Pay Breakdown'!Y:Y)+SUMIF('Executive Pay Breakdown'!AA:AA,$B25,'Executive Pay Breakdown'!AC:AC)</f>
        <v>91174203</v>
      </c>
      <c r="E25" s="109"/>
      <c r="F25" s="69">
        <f>SUMIF('Executive Pay Breakdown'!K:K,$B25,'Executive Pay Breakdown'!M:M)</f>
        <v>30084980</v>
      </c>
      <c r="G25" s="69">
        <f>SUMIF('Executive Pay Breakdown'!O:O,$B25,'Executive Pay Breakdown'!Q:Q)</f>
        <v>15667002</v>
      </c>
      <c r="H25" s="69">
        <f>SUMIF('Executive Pay Breakdown'!S:S,$B25,'Executive Pay Breakdown'!U:U)</f>
        <v>14440051</v>
      </c>
      <c r="I25" s="69">
        <f>SUMIF('Executive Pay Breakdown'!W:W,$B25,'Executive Pay Breakdown'!Y:Y)</f>
        <v>15383737</v>
      </c>
      <c r="J25" s="69">
        <f>SUMIF('Executive Pay Breakdown'!AA:AA,$B25,'Executive Pay Breakdown'!AC:AC)</f>
        <v>15598433</v>
      </c>
      <c r="K25" s="90"/>
      <c r="L25" s="212"/>
      <c r="M25" s="87"/>
      <c r="N25" s="230">
        <f t="shared" si="2"/>
        <v>0.9287180962</v>
      </c>
      <c r="O25" s="120">
        <f>MATCH(C25,'Key Findings'!B:B,0)</f>
        <v>27</v>
      </c>
    </row>
    <row r="26">
      <c r="A26" s="62"/>
      <c r="B26" s="125" t="s">
        <v>160</v>
      </c>
      <c r="C26" s="87" t="s">
        <v>29</v>
      </c>
      <c r="D26" s="89">
        <f>SUMIF('Executive Pay Breakdown'!K:K,$B26,'Executive Pay Breakdown'!M:M)+SUMIF('Executive Pay Breakdown'!O:O,$B26,'Executive Pay Breakdown'!Q:Q)+SUMIF('Executive Pay Breakdown'!S:S,$B26,'Executive Pay Breakdown'!U:U)+SUMIF('Executive Pay Breakdown'!W:W,$B26,'Executive Pay Breakdown'!Y:Y)+SUMIF('Executive Pay Breakdown'!AA:AA,$B26,'Executive Pay Breakdown'!AC:AC)</f>
        <v>87267336</v>
      </c>
      <c r="E26" s="109"/>
      <c r="F26" s="69">
        <f>SUMIF('Executive Pay Breakdown'!K:K,$B26,'Executive Pay Breakdown'!M:M)</f>
        <v>26792798</v>
      </c>
      <c r="G26" s="69">
        <f>SUMIF('Executive Pay Breakdown'!O:O,$B26,'Executive Pay Breakdown'!Q:Q)</f>
        <v>22794415</v>
      </c>
      <c r="H26" s="69">
        <f>SUMIF('Executive Pay Breakdown'!S:S,$B26,'Executive Pay Breakdown'!U:U)</f>
        <v>13919121</v>
      </c>
      <c r="I26" s="69">
        <f>SUMIF('Executive Pay Breakdown'!W:W,$B26,'Executive Pay Breakdown'!Y:Y)</f>
        <v>11944513</v>
      </c>
      <c r="J26" s="69">
        <f>SUMIF('Executive Pay Breakdown'!AA:AA,$B26,'Executive Pay Breakdown'!AC:AC)</f>
        <v>11816489</v>
      </c>
      <c r="K26" s="90"/>
      <c r="L26" s="212"/>
      <c r="M26" s="87"/>
      <c r="N26" s="230">
        <f t="shared" si="2"/>
        <v>1.267407688</v>
      </c>
      <c r="O26" s="120">
        <f>MATCH(C26,'Key Findings'!B:B,0)</f>
        <v>13</v>
      </c>
    </row>
    <row r="27">
      <c r="A27" s="62"/>
      <c r="B27" s="86" t="s">
        <v>240</v>
      </c>
      <c r="C27" s="233" t="s">
        <v>72</v>
      </c>
      <c r="D27" s="89">
        <f>SUMIF('Executive Pay Breakdown'!K:K,$B27,'Executive Pay Breakdown'!M:M)+SUMIF('Executive Pay Breakdown'!O:O,$B27,'Executive Pay Breakdown'!Q:Q)+SUMIF('Executive Pay Breakdown'!S:S,$B27,'Executive Pay Breakdown'!U:U)+SUMIF('Executive Pay Breakdown'!W:W,$B27,'Executive Pay Breakdown'!Y:Y)+SUMIF('Executive Pay Breakdown'!AA:AA,$B27,'Executive Pay Breakdown'!AC:AC)</f>
        <v>84584589</v>
      </c>
      <c r="E27" s="109"/>
      <c r="F27" s="69">
        <f>SUMIF('Executive Pay Breakdown'!K:K,$B27,'Executive Pay Breakdown'!M:M)</f>
        <v>15367279</v>
      </c>
      <c r="G27" s="69">
        <f>SUMIF('Executive Pay Breakdown'!O:O,$B27,'Executive Pay Breakdown'!Q:Q)</f>
        <v>18576014</v>
      </c>
      <c r="H27" s="69">
        <f>SUMIF('Executive Pay Breakdown'!S:S,$B27,'Executive Pay Breakdown'!U:U)</f>
        <v>17770781</v>
      </c>
      <c r="I27" s="69">
        <f>SUMIF('Executive Pay Breakdown'!W:W,$B27,'Executive Pay Breakdown'!Y:Y)</f>
        <v>18921598</v>
      </c>
      <c r="J27" s="69">
        <f>SUMIF('Executive Pay Breakdown'!AA:AA,$B27,'Executive Pay Breakdown'!AC:AC)</f>
        <v>13948917</v>
      </c>
      <c r="K27" s="90"/>
      <c r="L27" s="212"/>
      <c r="M27" s="87"/>
      <c r="N27" s="230">
        <f t="shared" si="2"/>
        <v>0.1016825894</v>
      </c>
      <c r="O27" s="120">
        <f>MATCH(C27,'Key Findings'!B:B,0)</f>
        <v>46</v>
      </c>
    </row>
    <row r="28">
      <c r="A28" s="81" t="s">
        <v>86</v>
      </c>
      <c r="B28" s="136" t="s">
        <v>221</v>
      </c>
      <c r="C28" s="87" t="s">
        <v>24</v>
      </c>
      <c r="D28" s="89">
        <f>SUMIF('Executive Pay Breakdown'!K:K,$B28,'Executive Pay Breakdown'!M:M)+SUMIF('Executive Pay Breakdown'!O:O,$B28,'Executive Pay Breakdown'!Q:Q)+SUMIF('Executive Pay Breakdown'!S:S,$B28,'Executive Pay Breakdown'!U:U)+SUMIF('Executive Pay Breakdown'!W:W,$B28,'Executive Pay Breakdown'!Y:Y)+SUMIF('Executive Pay Breakdown'!AA:AA,$B28,'Executive Pay Breakdown'!AC:AC)</f>
        <v>82608490</v>
      </c>
      <c r="E28" s="109"/>
      <c r="F28" s="69">
        <f>SUMIF('Executive Pay Breakdown'!K:K,$B28,'Executive Pay Breakdown'!M:M)</f>
        <v>17302266</v>
      </c>
      <c r="G28" s="69">
        <f>SUMIF('Executive Pay Breakdown'!O:O,$B28,'Executive Pay Breakdown'!Q:Q)</f>
        <v>18662706</v>
      </c>
      <c r="H28" s="69">
        <f>SUMIF('Executive Pay Breakdown'!S:S,$B28,'Executive Pay Breakdown'!U:U)</f>
        <v>16046542</v>
      </c>
      <c r="I28" s="69">
        <f>SUMIF('Executive Pay Breakdown'!W:W,$B28,'Executive Pay Breakdown'!Y:Y)</f>
        <v>16757250</v>
      </c>
      <c r="J28" s="69">
        <f>SUMIF('Executive Pay Breakdown'!AA:AA,$B28,'Executive Pay Breakdown'!AC:AC)</f>
        <v>13839726</v>
      </c>
      <c r="K28" s="90"/>
      <c r="L28" s="212"/>
      <c r="M28" s="87"/>
      <c r="N28" s="230">
        <f t="shared" si="2"/>
        <v>0.2501884792</v>
      </c>
      <c r="O28" s="120">
        <f>MATCH(C28,'Key Findings'!B:B,0)</f>
        <v>15</v>
      </c>
    </row>
    <row r="29">
      <c r="A29" s="62"/>
      <c r="B29" s="86" t="s">
        <v>181</v>
      </c>
      <c r="C29" s="87" t="s">
        <v>44</v>
      </c>
      <c r="D29" s="89">
        <f>SUMIF('Executive Pay Breakdown'!K:K,$B29,'Executive Pay Breakdown'!M:M)+SUMIF('Executive Pay Breakdown'!O:O,$B29,'Executive Pay Breakdown'!Q:Q)+SUMIF('Executive Pay Breakdown'!S:S,$B29,'Executive Pay Breakdown'!U:U)+SUMIF('Executive Pay Breakdown'!W:W,$B29,'Executive Pay Breakdown'!Y:Y)+SUMIF('Executive Pay Breakdown'!AA:AA,$B29,'Executive Pay Breakdown'!AC:AC)</f>
        <v>82060779</v>
      </c>
      <c r="E29" s="109"/>
      <c r="F29" s="69">
        <f>SUMIF('Executive Pay Breakdown'!K:K,$B29,'Executive Pay Breakdown'!M:M)</f>
        <v>23016375</v>
      </c>
      <c r="G29" s="69">
        <f>SUMIF('Executive Pay Breakdown'!O:O,$B29,'Executive Pay Breakdown'!Q:Q)</f>
        <v>25397675</v>
      </c>
      <c r="H29" s="69">
        <f>SUMIF('Executive Pay Breakdown'!S:S,$B29,'Executive Pay Breakdown'!U:U)</f>
        <v>13705132</v>
      </c>
      <c r="I29" s="69">
        <f>SUMIF('Executive Pay Breakdown'!W:W,$B29,'Executive Pay Breakdown'!Y:Y)</f>
        <v>5883361</v>
      </c>
      <c r="J29" s="69">
        <f>SUMIF('Executive Pay Breakdown'!AA:AA,$B29,'Executive Pay Breakdown'!AC:AC)</f>
        <v>14058236</v>
      </c>
      <c r="K29" s="90"/>
      <c r="L29" s="212"/>
      <c r="M29" s="87"/>
      <c r="N29" s="230">
        <f t="shared" si="2"/>
        <v>0.6372164331</v>
      </c>
      <c r="O29" s="120">
        <f>MATCH(C29,'Key Findings'!B:B,0)</f>
        <v>25</v>
      </c>
    </row>
    <row r="30">
      <c r="A30" s="62"/>
      <c r="B30" s="127" t="s">
        <v>186</v>
      </c>
      <c r="C30" s="87" t="s">
        <v>15</v>
      </c>
      <c r="D30" s="89">
        <f>SUMIF('Executive Pay Breakdown'!K:K,$B30,'Executive Pay Breakdown'!M:M)+SUMIF('Executive Pay Breakdown'!O:O,$B30,'Executive Pay Breakdown'!Q:Q)+SUMIF('Executive Pay Breakdown'!S:S,$B30,'Executive Pay Breakdown'!U:U)+SUMIF('Executive Pay Breakdown'!W:W,$B30,'Executive Pay Breakdown'!Y:Y)+SUMIF('Executive Pay Breakdown'!AA:AA,$B30,'Executive Pay Breakdown'!AC:AC)</f>
        <v>81362789</v>
      </c>
      <c r="E30" s="109"/>
      <c r="F30" s="69">
        <f>SUMIF('Executive Pay Breakdown'!K:K,$B30,'Executive Pay Breakdown'!M:M)</f>
        <v>21354759</v>
      </c>
      <c r="G30" s="69">
        <f>SUMIF('Executive Pay Breakdown'!O:O,$B30,'Executive Pay Breakdown'!Q:Q)</f>
        <v>16451236</v>
      </c>
      <c r="H30" s="69">
        <f>SUMIF('Executive Pay Breakdown'!S:S,$B30,'Executive Pay Breakdown'!U:U)</f>
        <v>14544398</v>
      </c>
      <c r="I30" s="69">
        <f>SUMIF('Executive Pay Breakdown'!W:W,$B30,'Executive Pay Breakdown'!Y:Y)</f>
        <v>15029436</v>
      </c>
      <c r="J30" s="69">
        <f>SUMIF('Executive Pay Breakdown'!AA:AA,$B30,'Executive Pay Breakdown'!AC:AC)</f>
        <v>13982960</v>
      </c>
      <c r="K30" s="90"/>
      <c r="L30" s="212"/>
      <c r="M30" s="87"/>
      <c r="N30" s="230">
        <f t="shared" si="2"/>
        <v>0.5271987476</v>
      </c>
      <c r="O30" s="120">
        <f>MATCH(C30,'Key Findings'!B:B,0)</f>
        <v>32</v>
      </c>
    </row>
    <row r="31">
      <c r="A31" s="62"/>
      <c r="B31" s="86" t="s">
        <v>168</v>
      </c>
      <c r="C31" s="233" t="s">
        <v>63</v>
      </c>
      <c r="D31" s="89">
        <f>SUMIF('Executive Pay Breakdown'!K:K,$B31,'Executive Pay Breakdown'!M:M)+SUMIF('Executive Pay Breakdown'!O:O,$B31,'Executive Pay Breakdown'!Q:Q)+SUMIF('Executive Pay Breakdown'!S:S,$B31,'Executive Pay Breakdown'!U:U)+SUMIF('Executive Pay Breakdown'!W:W,$B31,'Executive Pay Breakdown'!Y:Y)+SUMIF('Executive Pay Breakdown'!AA:AA,$B31,'Executive Pay Breakdown'!AC:AC)</f>
        <v>81060698</v>
      </c>
      <c r="E31" s="109"/>
      <c r="F31" s="69">
        <f>SUMIF('Executive Pay Breakdown'!K:K,$B31,'Executive Pay Breakdown'!M:M)</f>
        <v>25430018</v>
      </c>
      <c r="G31" s="69">
        <f>SUMIF('Executive Pay Breakdown'!O:O,$B31,'Executive Pay Breakdown'!Q:Q)</f>
        <v>14554728</v>
      </c>
      <c r="H31" s="69">
        <f>SUMIF('Executive Pay Breakdown'!S:S,$B31,'Executive Pay Breakdown'!U:U)</f>
        <v>14194706</v>
      </c>
      <c r="I31" s="69">
        <f>SUMIF('Executive Pay Breakdown'!W:W,$B31,'Executive Pay Breakdown'!Y:Y)</f>
        <v>13830926</v>
      </c>
      <c r="J31" s="69">
        <f>SUMIF('Executive Pay Breakdown'!AA:AA,$B31,'Executive Pay Breakdown'!AC:AC)</f>
        <v>13050320</v>
      </c>
      <c r="K31" s="90"/>
      <c r="L31" s="212"/>
      <c r="M31" s="87"/>
      <c r="N31" s="230">
        <f t="shared" si="2"/>
        <v>0.9486126011</v>
      </c>
      <c r="O31" s="120">
        <f>MATCH(C31,'Key Findings'!B:B,0)</f>
        <v>29</v>
      </c>
    </row>
    <row r="32">
      <c r="A32" s="62"/>
      <c r="B32" s="128" t="s">
        <v>155</v>
      </c>
      <c r="C32" s="87" t="s">
        <v>73</v>
      </c>
      <c r="D32" s="89">
        <f>SUMIF('Executive Pay Breakdown'!K:K,$B32,'Executive Pay Breakdown'!M:M)+SUMIF('Executive Pay Breakdown'!O:O,$B32,'Executive Pay Breakdown'!Q:Q)+SUMIF('Executive Pay Breakdown'!S:S,$B32,'Executive Pay Breakdown'!U:U)+SUMIF('Executive Pay Breakdown'!W:W,$B32,'Executive Pay Breakdown'!Y:Y)+SUMIF('Executive Pay Breakdown'!AA:AA,$B32,'Executive Pay Breakdown'!AC:AC)</f>
        <v>76505708</v>
      </c>
      <c r="E32" s="109"/>
      <c r="F32" s="69">
        <f>SUMIF('Executive Pay Breakdown'!K:K,$B32,'Executive Pay Breakdown'!M:M)</f>
        <v>19464583</v>
      </c>
      <c r="G32" s="69">
        <f>SUMIF('Executive Pay Breakdown'!O:O,$B32,'Executive Pay Breakdown'!Q:Q)</f>
        <v>20223897</v>
      </c>
      <c r="H32" s="69">
        <f>SUMIF('Executive Pay Breakdown'!S:S,$B32,'Executive Pay Breakdown'!U:U)</f>
        <v>16763267</v>
      </c>
      <c r="I32" s="69">
        <f>SUMIF('Executive Pay Breakdown'!W:W,$B32,'Executive Pay Breakdown'!Y:Y)</f>
        <v>12476488</v>
      </c>
      <c r="J32" s="69">
        <f>SUMIF('Executive Pay Breakdown'!AA:AA,$B32,'Executive Pay Breakdown'!AC:AC)</f>
        <v>7577473</v>
      </c>
      <c r="K32" s="90"/>
      <c r="L32" s="212"/>
      <c r="M32" s="87"/>
      <c r="N32" s="230">
        <f t="shared" si="2"/>
        <v>1.5687433</v>
      </c>
      <c r="O32" s="120">
        <f>MATCH(C32,'Key Findings'!B:B,0)</f>
        <v>31</v>
      </c>
    </row>
    <row r="33">
      <c r="A33" s="62"/>
      <c r="B33" s="129" t="s">
        <v>177</v>
      </c>
      <c r="C33" s="87" t="s">
        <v>19</v>
      </c>
      <c r="D33" s="89">
        <f>SUMIF('Executive Pay Breakdown'!K:K,$B33,'Executive Pay Breakdown'!M:M)+SUMIF('Executive Pay Breakdown'!O:O,$B33,'Executive Pay Breakdown'!Q:Q)+SUMIF('Executive Pay Breakdown'!S:S,$B33,'Executive Pay Breakdown'!U:U)+SUMIF('Executive Pay Breakdown'!W:W,$B33,'Executive Pay Breakdown'!Y:Y)+SUMIF('Executive Pay Breakdown'!AA:AA,$B33,'Executive Pay Breakdown'!AC:AC)</f>
        <v>75541135</v>
      </c>
      <c r="E33" s="109"/>
      <c r="F33" s="69">
        <f>SUMIF('Executive Pay Breakdown'!K:K,$B33,'Executive Pay Breakdown'!M:M)</f>
        <v>18107426</v>
      </c>
      <c r="G33" s="69">
        <f>SUMIF('Executive Pay Breakdown'!O:O,$B33,'Executive Pay Breakdown'!Q:Q)</f>
        <v>16621373</v>
      </c>
      <c r="H33" s="69">
        <f>SUMIF('Executive Pay Breakdown'!S:S,$B33,'Executive Pay Breakdown'!U:U)</f>
        <v>15434255</v>
      </c>
      <c r="I33" s="69">
        <f>SUMIF('Executive Pay Breakdown'!W:W,$B33,'Executive Pay Breakdown'!Y:Y)</f>
        <v>14570581</v>
      </c>
      <c r="J33" s="69">
        <f>SUMIF('Executive Pay Breakdown'!AA:AA,$B33,'Executive Pay Breakdown'!AC:AC)</f>
        <v>10807500</v>
      </c>
      <c r="K33" s="90"/>
      <c r="L33" s="212"/>
      <c r="M33" s="87"/>
      <c r="N33" s="230">
        <f t="shared" si="2"/>
        <v>0.6754500116</v>
      </c>
      <c r="O33" s="120">
        <f>MATCH(C33,'Key Findings'!B:B,0)</f>
        <v>6</v>
      </c>
    </row>
    <row r="34">
      <c r="A34" s="62"/>
      <c r="B34" s="125" t="s">
        <v>238</v>
      </c>
      <c r="C34" s="87" t="s">
        <v>18</v>
      </c>
      <c r="D34" s="89">
        <f>SUMIF('Executive Pay Breakdown'!K:K,$B34,'Executive Pay Breakdown'!M:M)+SUMIF('Executive Pay Breakdown'!O:O,$B34,'Executive Pay Breakdown'!Q:Q)+SUMIF('Executive Pay Breakdown'!S:S,$B34,'Executive Pay Breakdown'!U:U)+SUMIF('Executive Pay Breakdown'!W:W,$B34,'Executive Pay Breakdown'!Y:Y)+SUMIF('Executive Pay Breakdown'!AA:AA,$B34,'Executive Pay Breakdown'!AC:AC)</f>
        <v>73959798</v>
      </c>
      <c r="E34" s="109"/>
      <c r="F34" s="69">
        <f>SUMIF('Executive Pay Breakdown'!K:K,$B34,'Executive Pay Breakdown'!M:M)</f>
        <v>13804149</v>
      </c>
      <c r="G34" s="69">
        <f>SUMIF('Executive Pay Breakdown'!O:O,$B34,'Executive Pay Breakdown'!Q:Q)</f>
        <v>17566163</v>
      </c>
      <c r="H34" s="69">
        <f>SUMIF('Executive Pay Breakdown'!S:S,$B34,'Executive Pay Breakdown'!U:U)</f>
        <v>15614418</v>
      </c>
      <c r="I34" s="69">
        <f>SUMIF('Executive Pay Breakdown'!W:W,$B34,'Executive Pay Breakdown'!Y:Y)</f>
        <v>14748051</v>
      </c>
      <c r="J34" s="69">
        <f>SUMIF('Executive Pay Breakdown'!AA:AA,$B34,'Executive Pay Breakdown'!AC:AC)</f>
        <v>12227017</v>
      </c>
      <c r="K34" s="90"/>
      <c r="L34" s="212"/>
      <c r="M34" s="87"/>
      <c r="N34" s="230">
        <f t="shared" si="2"/>
        <v>0.1289874709</v>
      </c>
      <c r="O34" s="120">
        <f>MATCH(C34,'Key Findings'!B:B,0)</f>
        <v>8</v>
      </c>
    </row>
    <row r="35">
      <c r="A35" s="62"/>
      <c r="B35" s="127" t="s">
        <v>207</v>
      </c>
      <c r="C35" s="87" t="s">
        <v>20</v>
      </c>
      <c r="D35" s="89">
        <f>SUMIF('Executive Pay Breakdown'!K:K,$B35,'Executive Pay Breakdown'!M:M)+SUMIF('Executive Pay Breakdown'!O:O,$B35,'Executive Pay Breakdown'!Q:Q)+SUMIF('Executive Pay Breakdown'!S:S,$B35,'Executive Pay Breakdown'!U:U)+SUMIF('Executive Pay Breakdown'!W:W,$B35,'Executive Pay Breakdown'!Y:Y)+SUMIF('Executive Pay Breakdown'!AA:AA,$B35,'Executive Pay Breakdown'!AC:AC)</f>
        <v>73624621</v>
      </c>
      <c r="E35" s="109"/>
      <c r="F35" s="69">
        <f>SUMIF('Executive Pay Breakdown'!K:K,$B35,'Executive Pay Breakdown'!M:M)</f>
        <v>16375508</v>
      </c>
      <c r="G35" s="69">
        <f>SUMIF('Executive Pay Breakdown'!O:O,$B35,'Executive Pay Breakdown'!Q:Q)</f>
        <v>15051215</v>
      </c>
      <c r="H35" s="69">
        <f>SUMIF('Executive Pay Breakdown'!S:S,$B35,'Executive Pay Breakdown'!U:U)</f>
        <v>15503434</v>
      </c>
      <c r="I35" s="69">
        <f>SUMIF('Executive Pay Breakdown'!W:W,$B35,'Executive Pay Breakdown'!Y:Y)</f>
        <v>14492436</v>
      </c>
      <c r="J35" s="69">
        <f>SUMIF('Executive Pay Breakdown'!AA:AA,$B35,'Executive Pay Breakdown'!AC:AC)</f>
        <v>12202028</v>
      </c>
      <c r="K35" s="90"/>
      <c r="L35" s="212"/>
      <c r="M35" s="87"/>
      <c r="N35" s="230">
        <f t="shared" si="2"/>
        <v>0.3420316688</v>
      </c>
      <c r="O35" s="120">
        <f>MATCH(C35,'Key Findings'!B:B,0)</f>
        <v>38</v>
      </c>
    </row>
    <row r="36">
      <c r="A36" s="81"/>
      <c r="B36" s="137" t="s">
        <v>295</v>
      </c>
      <c r="C36" s="87" t="str">
        <f t="array" ref="C36">INDEX('Executive Pay Breakdown'!B:B,MATCH(B36,'Executive Pay Breakdown'!K:K,0))</f>
        <v>Whirlpool</v>
      </c>
      <c r="D36" s="89">
        <f>SUMIF('Executive Pay Breakdown'!K:K,$B36,'Executive Pay Breakdown'!M:M)+SUMIF('Executive Pay Breakdown'!O:O,$B36,'Executive Pay Breakdown'!Q:Q)+SUMIF('Executive Pay Breakdown'!S:S,$B36,'Executive Pay Breakdown'!U:U)+SUMIF('Executive Pay Breakdown'!W:W,$B36,'Executive Pay Breakdown'!Y:Y)+SUMIF('Executive Pay Breakdown'!AA:AA,$B36,'Executive Pay Breakdown'!AC:AC)</f>
        <v>73579112</v>
      </c>
      <c r="E36" s="109"/>
      <c r="F36" s="69">
        <f>SUMIF('Executive Pay Breakdown'!K:K,$B36,'Executive Pay Breakdown'!M:M)</f>
        <v>11940033</v>
      </c>
      <c r="G36" s="69">
        <f>SUMIF('Executive Pay Breakdown'!O:O,$B36,'Executive Pay Breakdown'!Q:Q)</f>
        <v>18751901</v>
      </c>
      <c r="H36" s="69">
        <f>SUMIF('Executive Pay Breakdown'!S:S,$B36,'Executive Pay Breakdown'!U:U)</f>
        <v>17051409</v>
      </c>
      <c r="I36" s="69">
        <f>SUMIF('Executive Pay Breakdown'!W:W,$B36,'Executive Pay Breakdown'!Y:Y)</f>
        <v>13999494</v>
      </c>
      <c r="J36" s="69">
        <f>SUMIF('Executive Pay Breakdown'!AA:AA,$B36,'Executive Pay Breakdown'!AC:AC)</f>
        <v>11836275</v>
      </c>
      <c r="K36" s="90"/>
      <c r="L36" s="212"/>
      <c r="M36" s="87"/>
      <c r="N36" s="230"/>
      <c r="O36" s="120">
        <f>MATCH(C36,'Key Findings'!B:B,0)</f>
        <v>37</v>
      </c>
    </row>
    <row r="37">
      <c r="A37" s="62"/>
      <c r="B37" s="129" t="s">
        <v>305</v>
      </c>
      <c r="C37" s="87" t="s">
        <v>14</v>
      </c>
      <c r="D37" s="89">
        <f>SUMIF('Executive Pay Breakdown'!K:K,$B37,'Executive Pay Breakdown'!M:M)+SUMIF('Executive Pay Breakdown'!O:O,$B37,'Executive Pay Breakdown'!Q:Q)+SUMIF('Executive Pay Breakdown'!S:S,$B37,'Executive Pay Breakdown'!U:U)+SUMIF('Executive Pay Breakdown'!W:W,$B37,'Executive Pay Breakdown'!Y:Y)+SUMIF('Executive Pay Breakdown'!AA:AA,$B37,'Executive Pay Breakdown'!AC:AC)</f>
        <v>73004217</v>
      </c>
      <c r="E37" s="109"/>
      <c r="F37" s="69">
        <f>SUMIF('Executive Pay Breakdown'!K:K,$B37,'Executive Pay Breakdown'!M:M)</f>
        <v>0</v>
      </c>
      <c r="G37" s="69">
        <f>SUMIF('Executive Pay Breakdown'!O:O,$B37,'Executive Pay Breakdown'!Q:Q)</f>
        <v>13969537</v>
      </c>
      <c r="H37" s="69">
        <f>SUMIF('Executive Pay Breakdown'!S:S,$B37,'Executive Pay Breakdown'!U:U)</f>
        <v>18810374</v>
      </c>
      <c r="I37" s="69">
        <f>SUMIF('Executive Pay Breakdown'!W:W,$B37,'Executive Pay Breakdown'!Y:Y)</f>
        <v>19369637</v>
      </c>
      <c r="J37" s="69">
        <f>SUMIF('Executive Pay Breakdown'!AA:AA,$B37,'Executive Pay Breakdown'!AC:AC)</f>
        <v>20854669</v>
      </c>
      <c r="K37" s="90"/>
      <c r="L37" s="212"/>
      <c r="M37" s="87"/>
      <c r="N37" s="230"/>
      <c r="O37" s="120">
        <f>MATCH(C37,'Key Findings'!B:B,0)</f>
        <v>5</v>
      </c>
    </row>
    <row r="38">
      <c r="A38" s="62"/>
      <c r="B38" s="138" t="s">
        <v>298</v>
      </c>
      <c r="C38" s="87" t="s">
        <v>35</v>
      </c>
      <c r="D38" s="89">
        <f>SUMIF('Executive Pay Breakdown'!K:K,$B38,'Executive Pay Breakdown'!M:M)+SUMIF('Executive Pay Breakdown'!O:O,$B38,'Executive Pay Breakdown'!Q:Q)+SUMIF('Executive Pay Breakdown'!S:S,$B38,'Executive Pay Breakdown'!U:U)+SUMIF('Executive Pay Breakdown'!W:W,$B38,'Executive Pay Breakdown'!Y:Y)+SUMIF('Executive Pay Breakdown'!AA:AA,$B38,'Executive Pay Breakdown'!AC:AC)</f>
        <v>72724424</v>
      </c>
      <c r="E38" s="109"/>
      <c r="F38" s="69">
        <f>SUMIF('Executive Pay Breakdown'!K:K,$B38,'Executive Pay Breakdown'!M:M)</f>
        <v>0</v>
      </c>
      <c r="G38" s="69">
        <f>SUMIF('Executive Pay Breakdown'!O:O,$B38,'Executive Pay Breakdown'!Q:Q)</f>
        <v>161538</v>
      </c>
      <c r="H38" s="69">
        <f>SUMIF('Executive Pay Breakdown'!S:S,$B38,'Executive Pay Breakdown'!U:U)</f>
        <v>46544623</v>
      </c>
      <c r="I38" s="69">
        <f>SUMIF('Executive Pay Breakdown'!W:W,$B38,'Executive Pay Breakdown'!Y:Y)</f>
        <v>8266212</v>
      </c>
      <c r="J38" s="69">
        <f>SUMIF('Executive Pay Breakdown'!AA:AA,$B38,'Executive Pay Breakdown'!AC:AC)</f>
        <v>17752051</v>
      </c>
      <c r="K38" s="90"/>
      <c r="L38" s="212"/>
      <c r="M38" s="87"/>
      <c r="N38" s="87"/>
      <c r="O38" s="120">
        <f>MATCH(C38,'Key Findings'!B:B,0)</f>
        <v>4</v>
      </c>
    </row>
    <row r="39">
      <c r="A39" s="62"/>
      <c r="B39" s="86" t="s">
        <v>231</v>
      </c>
      <c r="C39" s="233" t="s">
        <v>59</v>
      </c>
      <c r="D39" s="89">
        <f>SUMIF('Executive Pay Breakdown'!K:K,$B39,'Executive Pay Breakdown'!M:M)+SUMIF('Executive Pay Breakdown'!O:O,$B39,'Executive Pay Breakdown'!Q:Q)+SUMIF('Executive Pay Breakdown'!S:S,$B39,'Executive Pay Breakdown'!U:U)+SUMIF('Executive Pay Breakdown'!W:W,$B39,'Executive Pay Breakdown'!Y:Y)+SUMIF('Executive Pay Breakdown'!AA:AA,$B39,'Executive Pay Breakdown'!AC:AC)</f>
        <v>72161375</v>
      </c>
      <c r="E39" s="109"/>
      <c r="F39" s="69">
        <f>SUMIF('Executive Pay Breakdown'!K:K,$B39,'Executive Pay Breakdown'!M:M)</f>
        <v>16086469</v>
      </c>
      <c r="G39" s="69">
        <f>SUMIF('Executive Pay Breakdown'!O:O,$B39,'Executive Pay Breakdown'!Q:Q)</f>
        <v>15824348</v>
      </c>
      <c r="H39" s="69">
        <f>SUMIF('Executive Pay Breakdown'!S:S,$B39,'Executive Pay Breakdown'!U:U)</f>
        <v>11806195</v>
      </c>
      <c r="I39" s="69">
        <f>SUMIF('Executive Pay Breakdown'!W:W,$B39,'Executive Pay Breakdown'!Y:Y)</f>
        <v>14560748</v>
      </c>
      <c r="J39" s="69">
        <f>SUMIF('Executive Pay Breakdown'!AA:AA,$B39,'Executive Pay Breakdown'!AC:AC)</f>
        <v>13883615</v>
      </c>
      <c r="K39" s="90"/>
      <c r="L39" s="212"/>
      <c r="M39" s="87"/>
      <c r="N39" s="230">
        <f t="shared" ref="N39:N44" si="3">F39/J39-1</f>
        <v>0.1586657366</v>
      </c>
      <c r="O39" s="120">
        <f>MATCH(C39,'Key Findings'!B:B,0)</f>
        <v>10</v>
      </c>
    </row>
    <row r="40">
      <c r="A40" s="62"/>
      <c r="B40" s="86" t="s">
        <v>180</v>
      </c>
      <c r="C40" s="87" t="s">
        <v>33</v>
      </c>
      <c r="D40" s="89">
        <f>SUMIF('Executive Pay Breakdown'!K:K,$B40,'Executive Pay Breakdown'!M:M)+SUMIF('Executive Pay Breakdown'!O:O,$B40,'Executive Pay Breakdown'!Q:Q)+SUMIF('Executive Pay Breakdown'!S:S,$B40,'Executive Pay Breakdown'!U:U)+SUMIF('Executive Pay Breakdown'!W:W,$B40,'Executive Pay Breakdown'!Y:Y)+SUMIF('Executive Pay Breakdown'!AA:AA,$B40,'Executive Pay Breakdown'!AC:AC)</f>
        <v>71305058</v>
      </c>
      <c r="E40" s="109"/>
      <c r="F40" s="69">
        <f>SUMIF('Executive Pay Breakdown'!K:K,$B40,'Executive Pay Breakdown'!M:M)</f>
        <v>18988369</v>
      </c>
      <c r="G40" s="69">
        <f>SUMIF('Executive Pay Breakdown'!O:O,$B40,'Executive Pay Breakdown'!Q:Q)</f>
        <v>18824816</v>
      </c>
      <c r="H40" s="69">
        <f>SUMIF('Executive Pay Breakdown'!S:S,$B40,'Executive Pay Breakdown'!U:U)</f>
        <v>8583443</v>
      </c>
      <c r="I40" s="69">
        <f>SUMIF('Executive Pay Breakdown'!W:W,$B40,'Executive Pay Breakdown'!Y:Y)</f>
        <v>13318357</v>
      </c>
      <c r="J40" s="69">
        <f>SUMIF('Executive Pay Breakdown'!AA:AA,$B40,'Executive Pay Breakdown'!AC:AC)</f>
        <v>11590073</v>
      </c>
      <c r="K40" s="90"/>
      <c r="L40" s="212"/>
      <c r="M40" s="87"/>
      <c r="N40" s="230">
        <f t="shared" si="3"/>
        <v>0.6383304057</v>
      </c>
      <c r="O40" s="120">
        <f>MATCH(C40,'Key Findings'!B:B,0)</f>
        <v>33</v>
      </c>
    </row>
    <row r="41">
      <c r="A41" s="62"/>
      <c r="B41" s="127" t="s">
        <v>217</v>
      </c>
      <c r="C41" s="87" t="s">
        <v>34</v>
      </c>
      <c r="D41" s="89">
        <f>SUMIF('Executive Pay Breakdown'!K:K,$B41,'Executive Pay Breakdown'!M:M)+SUMIF('Executive Pay Breakdown'!O:O,$B41,'Executive Pay Breakdown'!Q:Q)+SUMIF('Executive Pay Breakdown'!S:S,$B41,'Executive Pay Breakdown'!U:U)+SUMIF('Executive Pay Breakdown'!W:W,$B41,'Executive Pay Breakdown'!Y:Y)+SUMIF('Executive Pay Breakdown'!AA:AA,$B41,'Executive Pay Breakdown'!AC:AC)</f>
        <v>71042401</v>
      </c>
      <c r="E41" s="109"/>
      <c r="F41" s="69">
        <f>SUMIF('Executive Pay Breakdown'!K:K,$B41,'Executive Pay Breakdown'!M:M)</f>
        <v>13207355</v>
      </c>
      <c r="G41" s="69">
        <f>SUMIF('Executive Pay Breakdown'!O:O,$B41,'Executive Pay Breakdown'!Q:Q)</f>
        <v>17045744</v>
      </c>
      <c r="H41" s="69">
        <f>SUMIF('Executive Pay Breakdown'!S:S,$B41,'Executive Pay Breakdown'!U:U)</f>
        <v>16198597</v>
      </c>
      <c r="I41" s="69">
        <f>SUMIF('Executive Pay Breakdown'!W:W,$B41,'Executive Pay Breakdown'!Y:Y)</f>
        <v>14264249</v>
      </c>
      <c r="J41" s="69">
        <f>SUMIF('Executive Pay Breakdown'!AA:AA,$B41,'Executive Pay Breakdown'!AC:AC)</f>
        <v>10326456</v>
      </c>
      <c r="K41" s="90"/>
      <c r="L41" s="212"/>
      <c r="M41" s="87"/>
      <c r="N41" s="230">
        <f t="shared" si="3"/>
        <v>0.2789823537</v>
      </c>
      <c r="O41" s="120">
        <f>MATCH(C41,'Key Findings'!B:B,0)</f>
        <v>34</v>
      </c>
    </row>
    <row r="42">
      <c r="A42" s="62"/>
      <c r="B42" s="86" t="s">
        <v>285</v>
      </c>
      <c r="C42" s="233" t="s">
        <v>61</v>
      </c>
      <c r="D42" s="89">
        <f>SUMIF('Executive Pay Breakdown'!K:K,$B42,'Executive Pay Breakdown'!M:M)+SUMIF('Executive Pay Breakdown'!O:O,$B42,'Executive Pay Breakdown'!Q:Q)+SUMIF('Executive Pay Breakdown'!S:S,$B42,'Executive Pay Breakdown'!U:U)+SUMIF('Executive Pay Breakdown'!W:W,$B42,'Executive Pay Breakdown'!Y:Y)+SUMIF('Executive Pay Breakdown'!AA:AA,$B42,'Executive Pay Breakdown'!AC:AC)</f>
        <v>70812796</v>
      </c>
      <c r="E42" s="109"/>
      <c r="F42" s="69">
        <f>SUMIF('Executive Pay Breakdown'!K:K,$B42,'Executive Pay Breakdown'!M:M)</f>
        <v>8593180</v>
      </c>
      <c r="G42" s="69">
        <f>SUMIF('Executive Pay Breakdown'!O:O,$B42,'Executive Pay Breakdown'!Q:Q)</f>
        <v>8157239</v>
      </c>
      <c r="H42" s="69">
        <f>SUMIF('Executive Pay Breakdown'!S:S,$B42,'Executive Pay Breakdown'!U:U)</f>
        <v>16473245</v>
      </c>
      <c r="I42" s="69">
        <f>SUMIF('Executive Pay Breakdown'!W:W,$B42,'Executive Pay Breakdown'!Y:Y)</f>
        <v>18789985</v>
      </c>
      <c r="J42" s="69">
        <f>SUMIF('Executive Pay Breakdown'!AA:AA,$B42,'Executive Pay Breakdown'!AC:AC)</f>
        <v>18799147</v>
      </c>
      <c r="K42" s="90"/>
      <c r="L42" s="212"/>
      <c r="M42" s="87"/>
      <c r="N42" s="230">
        <f t="shared" si="3"/>
        <v>-0.5428952175</v>
      </c>
      <c r="O42" s="120">
        <f>MATCH(C42,'Key Findings'!B:B,0)</f>
        <v>22</v>
      </c>
    </row>
    <row r="43">
      <c r="A43" s="62"/>
      <c r="B43" s="86" t="s">
        <v>195</v>
      </c>
      <c r="C43" s="87" t="s">
        <v>46</v>
      </c>
      <c r="D43" s="89">
        <f>SUMIF('Executive Pay Breakdown'!K:K,$B43,'Executive Pay Breakdown'!M:M)+SUMIF('Executive Pay Breakdown'!O:O,$B43,'Executive Pay Breakdown'!Q:Q)+SUMIF('Executive Pay Breakdown'!S:S,$B43,'Executive Pay Breakdown'!U:U)+SUMIF('Executive Pay Breakdown'!W:W,$B43,'Executive Pay Breakdown'!Y:Y)+SUMIF('Executive Pay Breakdown'!AA:AA,$B43,'Executive Pay Breakdown'!AC:AC)</f>
        <v>70454321</v>
      </c>
      <c r="E43" s="109"/>
      <c r="F43" s="69">
        <f>SUMIF('Executive Pay Breakdown'!K:K,$B43,'Executive Pay Breakdown'!M:M)</f>
        <v>16647413</v>
      </c>
      <c r="G43" s="69">
        <f>SUMIF('Executive Pay Breakdown'!O:O,$B43,'Executive Pay Breakdown'!Q:Q)</f>
        <v>15967631</v>
      </c>
      <c r="H43" s="69">
        <f>SUMIF('Executive Pay Breakdown'!S:S,$B43,'Executive Pay Breakdown'!U:U)</f>
        <v>13610481</v>
      </c>
      <c r="I43" s="69">
        <f>SUMIF('Executive Pay Breakdown'!W:W,$B43,'Executive Pay Breakdown'!Y:Y)</f>
        <v>12520566</v>
      </c>
      <c r="J43" s="69">
        <f>SUMIF('Executive Pay Breakdown'!AA:AA,$B43,'Executive Pay Breakdown'!AC:AC)</f>
        <v>11708230</v>
      </c>
      <c r="K43" s="90"/>
      <c r="L43" s="212"/>
      <c r="M43" s="87"/>
      <c r="N43" s="230">
        <f t="shared" si="3"/>
        <v>0.421855652</v>
      </c>
      <c r="O43" s="120">
        <f>MATCH(C43,'Key Findings'!B:B,0)</f>
        <v>43</v>
      </c>
    </row>
    <row r="44">
      <c r="A44" s="81"/>
      <c r="B44" s="125" t="s">
        <v>139</v>
      </c>
      <c r="C44" s="87" t="s">
        <v>24</v>
      </c>
      <c r="D44" s="89">
        <f>SUMIF('Executive Pay Breakdown'!K:K,$B44,'Executive Pay Breakdown'!M:M)+SUMIF('Executive Pay Breakdown'!O:O,$B44,'Executive Pay Breakdown'!Q:Q)+SUMIF('Executive Pay Breakdown'!S:S,$B44,'Executive Pay Breakdown'!U:U)+SUMIF('Executive Pay Breakdown'!W:W,$B44,'Executive Pay Breakdown'!Y:Y)+SUMIF('Executive Pay Breakdown'!AA:AA,$B44,'Executive Pay Breakdown'!AC:AC)</f>
        <v>69833441</v>
      </c>
      <c r="E44" s="109"/>
      <c r="F44" s="69">
        <f>SUMIF('Executive Pay Breakdown'!K:K,$B44,'Executive Pay Breakdown'!M:M)</f>
        <v>20996146</v>
      </c>
      <c r="G44" s="69">
        <f>SUMIF('Executive Pay Breakdown'!O:O,$B44,'Executive Pay Breakdown'!Q:Q)</f>
        <v>22813174</v>
      </c>
      <c r="H44" s="69">
        <f>SUMIF('Executive Pay Breakdown'!S:S,$B44,'Executive Pay Breakdown'!U:U)</f>
        <v>11802054</v>
      </c>
      <c r="I44" s="69">
        <f>SUMIF('Executive Pay Breakdown'!W:W,$B44,'Executive Pay Breakdown'!Y:Y)</f>
        <v>8361479</v>
      </c>
      <c r="J44" s="69">
        <f>SUMIF('Executive Pay Breakdown'!AA:AA,$B44,'Executive Pay Breakdown'!AC:AC)</f>
        <v>5860588</v>
      </c>
      <c r="K44" s="90"/>
      <c r="L44" s="212"/>
      <c r="M44" s="87"/>
      <c r="N44" s="230">
        <f t="shared" si="3"/>
        <v>2.582600585</v>
      </c>
      <c r="O44" s="120">
        <f>MATCH(C44,'Key Findings'!B:B,0)</f>
        <v>15</v>
      </c>
    </row>
    <row r="45">
      <c r="A45" s="81"/>
      <c r="B45" s="137" t="s">
        <v>301</v>
      </c>
      <c r="C45" s="87" t="str">
        <f t="array" ref="C45">INDEX('Executive Pay Breakdown'!B:B,MATCH(B45,'Executive Pay Breakdown'!K:K,0))</f>
        <v>AmerisourceBergen</v>
      </c>
      <c r="D45" s="89">
        <f>SUMIF('Executive Pay Breakdown'!K:K,$B45,'Executive Pay Breakdown'!M:M)+SUMIF('Executive Pay Breakdown'!O:O,$B45,'Executive Pay Breakdown'!Q:Q)+SUMIF('Executive Pay Breakdown'!S:S,$B45,'Executive Pay Breakdown'!U:U)+SUMIF('Executive Pay Breakdown'!W:W,$B45,'Executive Pay Breakdown'!Y:Y)+SUMIF('Executive Pay Breakdown'!AA:AA,$B45,'Executive Pay Breakdown'!AC:AC)</f>
        <v>68728752</v>
      </c>
      <c r="E45" s="109"/>
      <c r="F45" s="69">
        <f>SUMIF('Executive Pay Breakdown'!K:K,$B45,'Executive Pay Breakdown'!M:M)</f>
        <v>16735752</v>
      </c>
      <c r="G45" s="69">
        <f>SUMIF('Executive Pay Breakdown'!O:O,$B45,'Executive Pay Breakdown'!Q:Q)</f>
        <v>14873815</v>
      </c>
      <c r="H45" s="69">
        <f>SUMIF('Executive Pay Breakdown'!S:S,$B45,'Executive Pay Breakdown'!U:U)</f>
        <v>14295140</v>
      </c>
      <c r="I45" s="69">
        <f>SUMIF('Executive Pay Breakdown'!W:W,$B45,'Executive Pay Breakdown'!Y:Y)</f>
        <v>11309930</v>
      </c>
      <c r="J45" s="69">
        <f>SUMIF('Executive Pay Breakdown'!AA:AA,$B45,'Executive Pay Breakdown'!AC:AC)</f>
        <v>11514115</v>
      </c>
      <c r="K45" s="90"/>
      <c r="L45" s="212"/>
      <c r="M45" s="87"/>
      <c r="N45" s="230"/>
      <c r="O45" s="120">
        <f>MATCH(C45,'Key Findings'!B:B,0)</f>
        <v>45</v>
      </c>
    </row>
    <row r="46">
      <c r="A46" s="62"/>
      <c r="B46" s="138" t="s">
        <v>299</v>
      </c>
      <c r="C46" s="87" t="s">
        <v>35</v>
      </c>
      <c r="D46" s="89">
        <f>SUMIF('Executive Pay Breakdown'!K:K,$B46,'Executive Pay Breakdown'!M:M)+SUMIF('Executive Pay Breakdown'!O:O,$B46,'Executive Pay Breakdown'!Q:Q)+SUMIF('Executive Pay Breakdown'!S:S,$B46,'Executive Pay Breakdown'!U:U)+SUMIF('Executive Pay Breakdown'!W:W,$B46,'Executive Pay Breakdown'!Y:Y)+SUMIF('Executive Pay Breakdown'!AA:AA,$B46,'Executive Pay Breakdown'!AC:AC)</f>
        <v>68410227</v>
      </c>
      <c r="E46" s="109"/>
      <c r="F46" s="69">
        <f>SUMIF('Executive Pay Breakdown'!K:K,$B46,'Executive Pay Breakdown'!M:M)</f>
        <v>303000</v>
      </c>
      <c r="G46" s="69">
        <f>SUMIF('Executive Pay Breakdown'!O:O,$B46,'Executive Pay Breakdown'!Q:Q)</f>
        <v>301154</v>
      </c>
      <c r="H46" s="69">
        <f>SUMIF('Executive Pay Breakdown'!S:S,$B46,'Executive Pay Breakdown'!U:U)</f>
        <v>46562116</v>
      </c>
      <c r="I46" s="69">
        <f>SUMIF('Executive Pay Breakdown'!W:W,$B46,'Executive Pay Breakdown'!Y:Y)</f>
        <v>21243957</v>
      </c>
      <c r="J46" s="69">
        <f>SUMIF('Executive Pay Breakdown'!AA:AA,$B46,'Executive Pay Breakdown'!AC:AC)</f>
        <v>0</v>
      </c>
      <c r="K46" s="90"/>
      <c r="L46" s="212"/>
      <c r="M46" s="87"/>
      <c r="N46" s="230"/>
      <c r="O46" s="120">
        <f>MATCH(C46,'Key Findings'!B:B,0)</f>
        <v>4</v>
      </c>
    </row>
    <row r="47">
      <c r="A47" s="62"/>
      <c r="B47" s="127" t="s">
        <v>215</v>
      </c>
      <c r="C47" s="87" t="s">
        <v>40</v>
      </c>
      <c r="D47" s="89">
        <f>SUMIF('Executive Pay Breakdown'!K:K,$B47,'Executive Pay Breakdown'!M:M)+SUMIF('Executive Pay Breakdown'!O:O,$B47,'Executive Pay Breakdown'!Q:Q)+SUMIF('Executive Pay Breakdown'!S:S,$B47,'Executive Pay Breakdown'!U:U)+SUMIF('Executive Pay Breakdown'!W:W,$B47,'Executive Pay Breakdown'!Y:Y)+SUMIF('Executive Pay Breakdown'!AA:AA,$B47,'Executive Pay Breakdown'!AC:AC)</f>
        <v>68196198</v>
      </c>
      <c r="E47" s="109"/>
      <c r="F47" s="69">
        <f>SUMIF('Executive Pay Breakdown'!K:K,$B47,'Executive Pay Breakdown'!M:M)</f>
        <v>14676883</v>
      </c>
      <c r="G47" s="69">
        <f>SUMIF('Executive Pay Breakdown'!O:O,$B47,'Executive Pay Breakdown'!Q:Q)</f>
        <v>16030105</v>
      </c>
      <c r="H47" s="69">
        <f>SUMIF('Executive Pay Breakdown'!S:S,$B47,'Executive Pay Breakdown'!U:U)</f>
        <v>13597008</v>
      </c>
      <c r="I47" s="69">
        <f>SUMIF('Executive Pay Breakdown'!W:W,$B47,'Executive Pay Breakdown'!Y:Y)</f>
        <v>12554291</v>
      </c>
      <c r="J47" s="69">
        <f>SUMIF('Executive Pay Breakdown'!AA:AA,$B47,'Executive Pay Breakdown'!AC:AC)</f>
        <v>11337911</v>
      </c>
      <c r="K47" s="90"/>
      <c r="L47" s="212"/>
      <c r="M47" s="87"/>
      <c r="N47" s="230">
        <f t="shared" ref="N47:N50" si="4">F47/J47-1</f>
        <v>0.294496226</v>
      </c>
      <c r="O47" s="120">
        <f>MATCH(C47,'Key Findings'!B:B,0)</f>
        <v>7</v>
      </c>
    </row>
    <row r="48">
      <c r="A48" s="62"/>
      <c r="B48" s="125" t="s">
        <v>211</v>
      </c>
      <c r="C48" s="87" t="s">
        <v>29</v>
      </c>
      <c r="D48" s="89">
        <f>SUMIF('Executive Pay Breakdown'!K:K,$B48,'Executive Pay Breakdown'!M:M)+SUMIF('Executive Pay Breakdown'!O:O,$B48,'Executive Pay Breakdown'!Q:Q)+SUMIF('Executive Pay Breakdown'!S:S,$B48,'Executive Pay Breakdown'!U:U)+SUMIF('Executive Pay Breakdown'!W:W,$B48,'Executive Pay Breakdown'!Y:Y)+SUMIF('Executive Pay Breakdown'!AA:AA,$B48,'Executive Pay Breakdown'!AC:AC)</f>
        <v>67612914</v>
      </c>
      <c r="E48" s="109"/>
      <c r="F48" s="69">
        <f>SUMIF('Executive Pay Breakdown'!K:K,$B48,'Executive Pay Breakdown'!M:M)</f>
        <v>15700157</v>
      </c>
      <c r="G48" s="69">
        <f>SUMIF('Executive Pay Breakdown'!O:O,$B48,'Executive Pay Breakdown'!Q:Q)</f>
        <v>14000260</v>
      </c>
      <c r="H48" s="69">
        <f>SUMIF('Executive Pay Breakdown'!S:S,$B48,'Executive Pay Breakdown'!U:U)</f>
        <v>12911164</v>
      </c>
      <c r="I48" s="69">
        <f>SUMIF('Executive Pay Breakdown'!W:W,$B48,'Executive Pay Breakdown'!Y:Y)</f>
        <v>13000762</v>
      </c>
      <c r="J48" s="69">
        <f>SUMIF('Executive Pay Breakdown'!AA:AA,$B48,'Executive Pay Breakdown'!AC:AC)</f>
        <v>12000571</v>
      </c>
      <c r="K48" s="90"/>
      <c r="L48" s="212"/>
      <c r="M48" s="87"/>
      <c r="N48" s="230">
        <f t="shared" si="4"/>
        <v>0.3082841641</v>
      </c>
      <c r="O48" s="120">
        <f>MATCH(C48,'Key Findings'!B:B,0)</f>
        <v>13</v>
      </c>
    </row>
    <row r="49">
      <c r="A49" s="62"/>
      <c r="B49" s="125" t="s">
        <v>218</v>
      </c>
      <c r="C49" s="87" t="s">
        <v>29</v>
      </c>
      <c r="D49" s="89">
        <f>SUMIF('Executive Pay Breakdown'!K:K,$B49,'Executive Pay Breakdown'!M:M)+SUMIF('Executive Pay Breakdown'!O:O,$B49,'Executive Pay Breakdown'!Q:Q)+SUMIF('Executive Pay Breakdown'!S:S,$B49,'Executive Pay Breakdown'!U:U)+SUMIF('Executive Pay Breakdown'!W:W,$B49,'Executive Pay Breakdown'!Y:Y)+SUMIF('Executive Pay Breakdown'!AA:AA,$B49,'Executive Pay Breakdown'!AC:AC)</f>
        <v>66896525</v>
      </c>
      <c r="E49" s="109"/>
      <c r="F49" s="69">
        <f>SUMIF('Executive Pay Breakdown'!K:K,$B49,'Executive Pay Breakdown'!M:M)</f>
        <v>15705157</v>
      </c>
      <c r="G49" s="69">
        <f>SUMIF('Executive Pay Breakdown'!O:O,$B49,'Executive Pay Breakdown'!Q:Q)</f>
        <v>14005427</v>
      </c>
      <c r="H49" s="69">
        <f>SUMIF('Executive Pay Breakdown'!S:S,$B49,'Executive Pay Breakdown'!U:U)</f>
        <v>13070781</v>
      </c>
      <c r="I49" s="69">
        <f>SUMIF('Executive Pay Breakdown'!W:W,$B49,'Executive Pay Breakdown'!Y:Y)</f>
        <v>11805669</v>
      </c>
      <c r="J49" s="69">
        <f>SUMIF('Executive Pay Breakdown'!AA:AA,$B49,'Executive Pay Breakdown'!AC:AC)</f>
        <v>12309491</v>
      </c>
      <c r="K49" s="90"/>
      <c r="L49" s="212"/>
      <c r="M49" s="87"/>
      <c r="N49" s="230">
        <f t="shared" si="4"/>
        <v>0.2758575476</v>
      </c>
      <c r="O49" s="120">
        <f>MATCH(C49,'Key Findings'!B:B,0)</f>
        <v>13</v>
      </c>
    </row>
    <row r="50">
      <c r="A50" s="62"/>
      <c r="B50" s="125" t="s">
        <v>213</v>
      </c>
      <c r="C50" s="87" t="s">
        <v>25</v>
      </c>
      <c r="D50" s="89">
        <f>SUMIF('Executive Pay Breakdown'!K:K,$B50,'Executive Pay Breakdown'!M:M)+SUMIF('Executive Pay Breakdown'!O:O,$B50,'Executive Pay Breakdown'!Q:Q)+SUMIF('Executive Pay Breakdown'!S:S,$B50,'Executive Pay Breakdown'!U:U)+SUMIF('Executive Pay Breakdown'!W:W,$B50,'Executive Pay Breakdown'!Y:Y)+SUMIF('Executive Pay Breakdown'!AA:AA,$B50,'Executive Pay Breakdown'!AC:AC)</f>
        <v>66100801</v>
      </c>
      <c r="E50" s="109"/>
      <c r="F50" s="69">
        <f>SUMIF('Executive Pay Breakdown'!K:K,$B50,'Executive Pay Breakdown'!M:M)</f>
        <v>13887596</v>
      </c>
      <c r="G50" s="69">
        <f>SUMIF('Executive Pay Breakdown'!O:O,$B50,'Executive Pay Breakdown'!Q:Q)</f>
        <v>13759533</v>
      </c>
      <c r="H50" s="69">
        <f>SUMIF('Executive Pay Breakdown'!S:S,$B50,'Executive Pay Breakdown'!U:U)</f>
        <v>12171958</v>
      </c>
      <c r="I50" s="69">
        <f>SUMIF('Executive Pay Breakdown'!W:W,$B50,'Executive Pay Breakdown'!Y:Y)</f>
        <v>15590338</v>
      </c>
      <c r="J50" s="69">
        <f>SUMIF('Executive Pay Breakdown'!AA:AA,$B50,'Executive Pay Breakdown'!AC:AC)</f>
        <v>10691376</v>
      </c>
      <c r="K50" s="90"/>
      <c r="L50" s="212"/>
      <c r="M50" s="87"/>
      <c r="N50" s="230">
        <f t="shared" si="4"/>
        <v>0.2989531001</v>
      </c>
      <c r="O50" s="120">
        <f>MATCH(C50,'Key Findings'!B:B,0)</f>
        <v>42</v>
      </c>
    </row>
    <row r="51">
      <c r="A51" s="81"/>
      <c r="B51" s="87" t="s">
        <v>334</v>
      </c>
      <c r="C51" s="87" t="s">
        <v>52</v>
      </c>
      <c r="D51" s="89">
        <f>SUMIF('Executive Pay Breakdown'!K:K,$B51,'Executive Pay Breakdown'!M:M)+SUMIF('Executive Pay Breakdown'!O:O,$B51,'Executive Pay Breakdown'!Q:Q)+SUMIF('Executive Pay Breakdown'!S:S,$B51,'Executive Pay Breakdown'!U:U)+SUMIF('Executive Pay Breakdown'!W:W,$B51,'Executive Pay Breakdown'!Y:Y)+SUMIF('Executive Pay Breakdown'!AA:AA,$B51,'Executive Pay Breakdown'!AC:AC)</f>
        <v>65664870</v>
      </c>
      <c r="E51" s="109"/>
      <c r="F51" s="69">
        <f>SUMIF('Executive Pay Breakdown'!K:K,$B51,'Executive Pay Breakdown'!M:M)</f>
        <v>21288532</v>
      </c>
      <c r="G51" s="69">
        <f>SUMIF('Executive Pay Breakdown'!O:O,$B51,'Executive Pay Breakdown'!Q:Q)</f>
        <v>21185206</v>
      </c>
      <c r="H51" s="69">
        <f>SUMIF('Executive Pay Breakdown'!S:S,$B51,'Executive Pay Breakdown'!U:U)</f>
        <v>15534265</v>
      </c>
      <c r="I51" s="69">
        <f>SUMIF('Executive Pay Breakdown'!W:W,$B51,'Executive Pay Breakdown'!Y:Y)</f>
        <v>7656867</v>
      </c>
      <c r="J51" s="69">
        <f>SUMIF('Executive Pay Breakdown'!AA:AA,$B51,'Executive Pay Breakdown'!AC:AC)</f>
        <v>0</v>
      </c>
      <c r="K51" s="90"/>
      <c r="L51" s="212"/>
      <c r="M51" s="87"/>
      <c r="N51" s="87"/>
      <c r="O51" s="120">
        <f>MATCH(C51,'Key Findings'!B:B,0)</f>
        <v>21</v>
      </c>
    </row>
    <row r="52">
      <c r="A52" s="81"/>
      <c r="B52" s="137" t="s">
        <v>297</v>
      </c>
      <c r="C52" s="87" t="str">
        <f t="array" ref="C52">INDEX('Executive Pay Breakdown'!B:B,MATCH(B52,'Executive Pay Breakdown'!K:K,0))</f>
        <v>PPG Industries</v>
      </c>
      <c r="D52" s="89">
        <f>SUMIF('Executive Pay Breakdown'!K:K,$B52,'Executive Pay Breakdown'!M:M)+SUMIF('Executive Pay Breakdown'!O:O,$B52,'Executive Pay Breakdown'!Q:Q)+SUMIF('Executive Pay Breakdown'!S:S,$B52,'Executive Pay Breakdown'!U:U)+SUMIF('Executive Pay Breakdown'!W:W,$B52,'Executive Pay Breakdown'!Y:Y)+SUMIF('Executive Pay Breakdown'!AA:AA,$B52,'Executive Pay Breakdown'!AC:AC)</f>
        <v>64873328</v>
      </c>
      <c r="E52" s="109"/>
      <c r="F52" s="69">
        <f>SUMIF('Executive Pay Breakdown'!K:K,$B52,'Executive Pay Breakdown'!M:M)</f>
        <v>8867377</v>
      </c>
      <c r="G52" s="69">
        <f>SUMIF('Executive Pay Breakdown'!O:O,$B52,'Executive Pay Breakdown'!Q:Q)</f>
        <v>13199616</v>
      </c>
      <c r="H52" s="69">
        <f>SUMIF('Executive Pay Breakdown'!S:S,$B52,'Executive Pay Breakdown'!U:U)</f>
        <v>15903993</v>
      </c>
      <c r="I52" s="69">
        <f>SUMIF('Executive Pay Breakdown'!W:W,$B52,'Executive Pay Breakdown'!Y:Y)</f>
        <v>15117938</v>
      </c>
      <c r="J52" s="69">
        <f>SUMIF('Executive Pay Breakdown'!AA:AA,$B52,'Executive Pay Breakdown'!AC:AC)</f>
        <v>11784404</v>
      </c>
      <c r="K52" s="90"/>
      <c r="L52" s="212"/>
      <c r="M52" s="87"/>
      <c r="N52" s="230"/>
      <c r="O52" s="120">
        <f>MATCH(C52,'Key Findings'!B:B,0)</f>
        <v>50</v>
      </c>
    </row>
    <row r="53">
      <c r="A53" s="81"/>
      <c r="B53" s="135" t="s">
        <v>268</v>
      </c>
      <c r="C53" s="87" t="s">
        <v>49</v>
      </c>
      <c r="D53" s="89">
        <f>SUMIF('Executive Pay Breakdown'!K:K,$B53,'Executive Pay Breakdown'!M:M)+SUMIF('Executive Pay Breakdown'!O:O,$B53,'Executive Pay Breakdown'!Q:Q)+SUMIF('Executive Pay Breakdown'!S:S,$B53,'Executive Pay Breakdown'!U:U)+SUMIF('Executive Pay Breakdown'!W:W,$B53,'Executive Pay Breakdown'!Y:Y)+SUMIF('Executive Pay Breakdown'!AA:AA,$B53,'Executive Pay Breakdown'!AC:AC)</f>
        <v>62647503</v>
      </c>
      <c r="E53" s="109"/>
      <c r="F53" s="69">
        <f>SUMIF('Executive Pay Breakdown'!K:K,$B53,'Executive Pay Breakdown'!M:M)</f>
        <v>11295315</v>
      </c>
      <c r="G53" s="69">
        <f>SUMIF('Executive Pay Breakdown'!O:O,$B53,'Executive Pay Breakdown'!Q:Q)</f>
        <v>10542922</v>
      </c>
      <c r="H53" s="69">
        <f>SUMIF('Executive Pay Breakdown'!S:S,$B53,'Executive Pay Breakdown'!U:U)</f>
        <v>18608614</v>
      </c>
      <c r="I53" s="69">
        <f>SUMIF('Executive Pay Breakdown'!W:W,$B53,'Executive Pay Breakdown'!Y:Y)</f>
        <v>9351376</v>
      </c>
      <c r="J53" s="69">
        <f>SUMIF('Executive Pay Breakdown'!AA:AA,$B53,'Executive Pay Breakdown'!AC:AC)</f>
        <v>12849276</v>
      </c>
      <c r="K53" s="90"/>
      <c r="L53" s="212"/>
      <c r="M53" s="87"/>
      <c r="N53" s="230">
        <f t="shared" ref="N53:N54" si="5">F53/J53-1</f>
        <v>-0.120937631</v>
      </c>
      <c r="O53" s="120">
        <f>MATCH(C53,'Key Findings'!B:B,0)</f>
        <v>14</v>
      </c>
    </row>
    <row r="54">
      <c r="A54" s="62"/>
      <c r="B54" s="127" t="s">
        <v>187</v>
      </c>
      <c r="C54" s="87" t="s">
        <v>60</v>
      </c>
      <c r="D54" s="89">
        <f>SUMIF('Executive Pay Breakdown'!K:K,$B54,'Executive Pay Breakdown'!M:M)+SUMIF('Executive Pay Breakdown'!O:O,$B54,'Executive Pay Breakdown'!Q:Q)+SUMIF('Executive Pay Breakdown'!S:S,$B54,'Executive Pay Breakdown'!U:U)+SUMIF('Executive Pay Breakdown'!W:W,$B54,'Executive Pay Breakdown'!Y:Y)+SUMIF('Executive Pay Breakdown'!AA:AA,$B54,'Executive Pay Breakdown'!AC:AC)</f>
        <v>61840727</v>
      </c>
      <c r="E54" s="109"/>
      <c r="F54" s="69">
        <f>SUMIF('Executive Pay Breakdown'!K:K,$B54,'Executive Pay Breakdown'!M:M)</f>
        <v>14439223</v>
      </c>
      <c r="G54" s="69">
        <f>SUMIF('Executive Pay Breakdown'!O:O,$B54,'Executive Pay Breakdown'!Q:Q)</f>
        <v>15545746</v>
      </c>
      <c r="H54" s="69">
        <f>SUMIF('Executive Pay Breakdown'!S:S,$B54,'Executive Pay Breakdown'!U:U)</f>
        <v>11622074</v>
      </c>
      <c r="I54" s="69">
        <f>SUMIF('Executive Pay Breakdown'!W:W,$B54,'Executive Pay Breakdown'!Y:Y)</f>
        <v>10642118</v>
      </c>
      <c r="J54" s="69">
        <f>SUMIF('Executive Pay Breakdown'!AA:AA,$B54,'Executive Pay Breakdown'!AC:AC)</f>
        <v>9591566</v>
      </c>
      <c r="K54" s="90"/>
      <c r="L54" s="212"/>
      <c r="M54" s="87"/>
      <c r="N54" s="230">
        <f t="shared" si="5"/>
        <v>0.5054082931</v>
      </c>
      <c r="O54" s="120">
        <f>MATCH(C54,'Key Findings'!B:B,0)</f>
        <v>47</v>
      </c>
    </row>
    <row r="55">
      <c r="A55" s="81"/>
      <c r="B55" s="137" t="s">
        <v>286</v>
      </c>
      <c r="C55" s="87" t="str">
        <f t="array" ref="C55">INDEX('Executive Pay Breakdown'!B:B,MATCH(B55,'Executive Pay Breakdown'!K:K,0))</f>
        <v>Pioneer Natural Resources</v>
      </c>
      <c r="D55" s="89">
        <f>SUMIF('Executive Pay Breakdown'!K:K,$B55,'Executive Pay Breakdown'!M:M)+SUMIF('Executive Pay Breakdown'!O:O,$B55,'Executive Pay Breakdown'!Q:Q)+SUMIF('Executive Pay Breakdown'!S:S,$B55,'Executive Pay Breakdown'!U:U)+SUMIF('Executive Pay Breakdown'!W:W,$B55,'Executive Pay Breakdown'!Y:Y)+SUMIF('Executive Pay Breakdown'!AA:AA,$B55,'Executive Pay Breakdown'!AC:AC)</f>
        <v>61810797</v>
      </c>
      <c r="E55" s="109"/>
      <c r="F55" s="69">
        <f>SUMIF('Executive Pay Breakdown'!K:K,$B55,'Executive Pay Breakdown'!M:M)</f>
        <v>19055854</v>
      </c>
      <c r="G55" s="69">
        <f>SUMIF('Executive Pay Breakdown'!O:O,$B55,'Executive Pay Breakdown'!Q:Q)</f>
        <v>16002825</v>
      </c>
      <c r="H55" s="69">
        <f>SUMIF('Executive Pay Breakdown'!S:S,$B55,'Executive Pay Breakdown'!U:U)</f>
        <v>13396571</v>
      </c>
      <c r="I55" s="69">
        <f>SUMIF('Executive Pay Breakdown'!W:W,$B55,'Executive Pay Breakdown'!Y:Y)</f>
        <v>13355547</v>
      </c>
      <c r="J55" s="69">
        <f>SUMIF('Executive Pay Breakdown'!AA:AA,$B55,'Executive Pay Breakdown'!AC:AC)</f>
        <v>0</v>
      </c>
      <c r="K55" s="90"/>
      <c r="L55" s="212"/>
      <c r="M55" s="87"/>
      <c r="N55" s="230"/>
      <c r="O55" s="120">
        <f>MATCH(C55,'Key Findings'!B:B,0)</f>
        <v>35</v>
      </c>
    </row>
    <row r="56">
      <c r="A56" s="62"/>
      <c r="B56" s="127" t="s">
        <v>320</v>
      </c>
      <c r="C56" s="87" t="s">
        <v>22</v>
      </c>
      <c r="D56" s="89">
        <f>SUMIF('Executive Pay Breakdown'!K:K,$B56,'Executive Pay Breakdown'!M:M)+SUMIF('Executive Pay Breakdown'!O:O,$B56,'Executive Pay Breakdown'!Q:Q)+SUMIF('Executive Pay Breakdown'!S:S,$B56,'Executive Pay Breakdown'!U:U)+SUMIF('Executive Pay Breakdown'!W:W,$B56,'Executive Pay Breakdown'!Y:Y)+SUMIF('Executive Pay Breakdown'!AA:AA,$B56,'Executive Pay Breakdown'!AC:AC)</f>
        <v>61083834</v>
      </c>
      <c r="E56" s="109"/>
      <c r="F56" s="69">
        <f>SUMIF('Executive Pay Breakdown'!K:K,$B56,'Executive Pay Breakdown'!M:M)</f>
        <v>0</v>
      </c>
      <c r="G56" s="69">
        <f>SUMIF('Executive Pay Breakdown'!O:O,$B56,'Executive Pay Breakdown'!Q:Q)</f>
        <v>12829732</v>
      </c>
      <c r="H56" s="69">
        <f>SUMIF('Executive Pay Breakdown'!S:S,$B56,'Executive Pay Breakdown'!U:U)</f>
        <v>16040625</v>
      </c>
      <c r="I56" s="69">
        <f>SUMIF('Executive Pay Breakdown'!W:W,$B56,'Executive Pay Breakdown'!Y:Y)</f>
        <v>17257035</v>
      </c>
      <c r="J56" s="69">
        <f>SUMIF('Executive Pay Breakdown'!AA:AA,$B56,'Executive Pay Breakdown'!AC:AC)</f>
        <v>14956442</v>
      </c>
      <c r="K56" s="90"/>
      <c r="L56" s="212"/>
      <c r="M56" s="87"/>
      <c r="N56" s="87"/>
      <c r="O56" s="120">
        <f>MATCH(C56,'Key Findings'!B:B,0)</f>
        <v>39</v>
      </c>
    </row>
    <row r="57">
      <c r="A57" s="81" t="s">
        <v>86</v>
      </c>
      <c r="B57" s="134" t="s">
        <v>284</v>
      </c>
      <c r="C57" s="87" t="s">
        <v>56</v>
      </c>
      <c r="D57" s="89">
        <f>SUMIF('Executive Pay Breakdown'!K:K,$B57,'Executive Pay Breakdown'!M:M)+SUMIF('Executive Pay Breakdown'!O:O,$B57,'Executive Pay Breakdown'!Q:Q)+SUMIF('Executive Pay Breakdown'!S:S,$B57,'Executive Pay Breakdown'!U:U)+SUMIF('Executive Pay Breakdown'!W:W,$B57,'Executive Pay Breakdown'!Y:Y)+SUMIF('Executive Pay Breakdown'!AA:AA,$B57,'Executive Pay Breakdown'!AC:AC)</f>
        <v>60087202</v>
      </c>
      <c r="E57" s="109"/>
      <c r="F57" s="69">
        <f>SUMIF('Executive Pay Breakdown'!K:K,$B57,'Executive Pay Breakdown'!M:M)</f>
        <v>8077742</v>
      </c>
      <c r="G57" s="69">
        <f>SUMIF('Executive Pay Breakdown'!O:O,$B57,'Executive Pay Breakdown'!Q:Q)</f>
        <v>10596150</v>
      </c>
      <c r="H57" s="69">
        <f>SUMIF('Executive Pay Breakdown'!S:S,$B57,'Executive Pay Breakdown'!U:U)</f>
        <v>14325537</v>
      </c>
      <c r="I57" s="69">
        <f>SUMIF('Executive Pay Breakdown'!W:W,$B57,'Executive Pay Breakdown'!Y:Y)</f>
        <v>11125799</v>
      </c>
      <c r="J57" s="69">
        <f>SUMIF('Executive Pay Breakdown'!AA:AA,$B57,'Executive Pay Breakdown'!AC:AC)</f>
        <v>15961974</v>
      </c>
      <c r="K57" s="90"/>
      <c r="L57" s="212"/>
      <c r="M57" s="87"/>
      <c r="N57" s="230">
        <f>F57/J57-1</f>
        <v>-0.4939384064</v>
      </c>
      <c r="O57" s="120">
        <f>MATCH(C57,'Key Findings'!B:B,0)</f>
        <v>30</v>
      </c>
    </row>
    <row r="58">
      <c r="A58" s="62"/>
      <c r="B58" s="127" t="s">
        <v>319</v>
      </c>
      <c r="C58" s="87" t="s">
        <v>26</v>
      </c>
      <c r="D58" s="89">
        <f>SUMIF('Executive Pay Breakdown'!K:K,$B58,'Executive Pay Breakdown'!M:M)+SUMIF('Executive Pay Breakdown'!O:O,$B58,'Executive Pay Breakdown'!Q:Q)+SUMIF('Executive Pay Breakdown'!S:S,$B58,'Executive Pay Breakdown'!U:U)+SUMIF('Executive Pay Breakdown'!W:W,$B58,'Executive Pay Breakdown'!Y:Y)+SUMIF('Executive Pay Breakdown'!AA:AA,$B58,'Executive Pay Breakdown'!AC:AC)</f>
        <v>58637597</v>
      </c>
      <c r="E58" s="109"/>
      <c r="F58" s="69">
        <f>SUMIF('Executive Pay Breakdown'!K:K,$B58,'Executive Pay Breakdown'!M:M)</f>
        <v>0</v>
      </c>
      <c r="G58" s="69">
        <f>SUMIF('Executive Pay Breakdown'!O:O,$B58,'Executive Pay Breakdown'!Q:Q)</f>
        <v>12785442</v>
      </c>
      <c r="H58" s="69">
        <f>SUMIF('Executive Pay Breakdown'!S:S,$B58,'Executive Pay Breakdown'!U:U)</f>
        <v>16805589</v>
      </c>
      <c r="I58" s="69">
        <f>SUMIF('Executive Pay Breakdown'!W:W,$B58,'Executive Pay Breakdown'!Y:Y)</f>
        <v>16898798</v>
      </c>
      <c r="J58" s="69">
        <f>SUMIF('Executive Pay Breakdown'!AA:AA,$B58,'Executive Pay Breakdown'!AC:AC)</f>
        <v>12147768</v>
      </c>
      <c r="K58" s="90"/>
      <c r="L58" s="212"/>
      <c r="M58" s="87"/>
      <c r="N58" s="87"/>
      <c r="O58" s="120">
        <f>MATCH(C58,'Key Findings'!B:B,0)</f>
        <v>48</v>
      </c>
    </row>
    <row r="59">
      <c r="A59" s="62"/>
      <c r="B59" s="86" t="s">
        <v>141</v>
      </c>
      <c r="C59" s="87" t="s">
        <v>44</v>
      </c>
      <c r="D59" s="89">
        <f>SUMIF('Executive Pay Breakdown'!K:K,$B59,'Executive Pay Breakdown'!M:M)+SUMIF('Executive Pay Breakdown'!O:O,$B59,'Executive Pay Breakdown'!Q:Q)+SUMIF('Executive Pay Breakdown'!S:S,$B59,'Executive Pay Breakdown'!U:U)+SUMIF('Executive Pay Breakdown'!W:W,$B59,'Executive Pay Breakdown'!Y:Y)+SUMIF('Executive Pay Breakdown'!AA:AA,$B59,'Executive Pay Breakdown'!AC:AC)</f>
        <v>56837602</v>
      </c>
      <c r="E59" s="109"/>
      <c r="F59" s="69">
        <f>SUMIF('Executive Pay Breakdown'!K:K,$B59,'Executive Pay Breakdown'!M:M)</f>
        <v>23677633</v>
      </c>
      <c r="G59" s="69">
        <f>SUMIF('Executive Pay Breakdown'!O:O,$B59,'Executive Pay Breakdown'!Q:Q)</f>
        <v>15367669</v>
      </c>
      <c r="H59" s="69">
        <f>SUMIF('Executive Pay Breakdown'!S:S,$B59,'Executive Pay Breakdown'!U:U)</f>
        <v>8730701</v>
      </c>
      <c r="I59" s="69">
        <f>SUMIF('Executive Pay Breakdown'!W:W,$B59,'Executive Pay Breakdown'!Y:Y)</f>
        <v>5404149</v>
      </c>
      <c r="J59" s="69">
        <f>SUMIF('Executive Pay Breakdown'!AA:AA,$B59,'Executive Pay Breakdown'!AC:AC)</f>
        <v>3657450</v>
      </c>
      <c r="K59" s="90"/>
      <c r="L59" s="212"/>
      <c r="M59" s="87"/>
      <c r="N59" s="230">
        <f t="shared" ref="N59:N60" si="6">F59/J59-1</f>
        <v>5.473809075</v>
      </c>
      <c r="O59" s="120">
        <f>MATCH(C59,'Key Findings'!B:B,0)</f>
        <v>25</v>
      </c>
    </row>
    <row r="60">
      <c r="A60" s="62"/>
      <c r="B60" s="125" t="s">
        <v>271</v>
      </c>
      <c r="C60" s="87" t="s">
        <v>51</v>
      </c>
      <c r="D60" s="89">
        <f>SUMIF('Executive Pay Breakdown'!K:K,$B60,'Executive Pay Breakdown'!M:M)+SUMIF('Executive Pay Breakdown'!O:O,$B60,'Executive Pay Breakdown'!Q:Q)+SUMIF('Executive Pay Breakdown'!S:S,$B60,'Executive Pay Breakdown'!U:U)+SUMIF('Executive Pay Breakdown'!W:W,$B60,'Executive Pay Breakdown'!Y:Y)+SUMIF('Executive Pay Breakdown'!AA:AA,$B60,'Executive Pay Breakdown'!AC:AC)</f>
        <v>54865305</v>
      </c>
      <c r="E60" s="109"/>
      <c r="F60" s="69">
        <f>SUMIF('Executive Pay Breakdown'!K:K,$B60,'Executive Pay Breakdown'!M:M)</f>
        <v>8974810</v>
      </c>
      <c r="G60" s="69">
        <f>SUMIF('Executive Pay Breakdown'!O:O,$B60,'Executive Pay Breakdown'!Q:Q)</f>
        <v>9446827</v>
      </c>
      <c r="H60" s="69">
        <f>SUMIF('Executive Pay Breakdown'!S:S,$B60,'Executive Pay Breakdown'!U:U)</f>
        <v>10202056</v>
      </c>
      <c r="I60" s="69">
        <f>SUMIF('Executive Pay Breakdown'!W:W,$B60,'Executive Pay Breakdown'!Y:Y)</f>
        <v>15315630</v>
      </c>
      <c r="J60" s="69">
        <f>SUMIF('Executive Pay Breakdown'!AA:AA,$B60,'Executive Pay Breakdown'!AC:AC)</f>
        <v>10925982</v>
      </c>
      <c r="K60" s="90"/>
      <c r="L60" s="212"/>
      <c r="M60" s="87"/>
      <c r="N60" s="230">
        <f t="shared" si="6"/>
        <v>-0.1785809276</v>
      </c>
      <c r="O60" s="120">
        <f>MATCH(C60,'Key Findings'!B:B,0)</f>
        <v>16</v>
      </c>
    </row>
    <row r="61">
      <c r="A61" s="71"/>
      <c r="B61" s="132" t="s">
        <v>367</v>
      </c>
      <c r="C61" s="87" t="s">
        <v>16</v>
      </c>
      <c r="D61" s="89">
        <f>SUMIF('Executive Pay Breakdown'!K:K,$B61,'Executive Pay Breakdown'!M:M)+SUMIF('Executive Pay Breakdown'!O:O,$B61,'Executive Pay Breakdown'!Q:Q)+SUMIF('Executive Pay Breakdown'!S:S,$B61,'Executive Pay Breakdown'!U:U)+SUMIF('Executive Pay Breakdown'!W:W,$B61,'Executive Pay Breakdown'!Y:Y)+SUMIF('Executive Pay Breakdown'!AA:AA,$B61,'Executive Pay Breakdown'!AC:AC)</f>
        <v>54494057</v>
      </c>
      <c r="E61" s="109"/>
      <c r="F61" s="69">
        <f>SUMIF('Executive Pay Breakdown'!K:K,$B61,'Executive Pay Breakdown'!M:M)</f>
        <v>17061489</v>
      </c>
      <c r="G61" s="69">
        <f>SUMIF('Executive Pay Breakdown'!O:O,$B61,'Executive Pay Breakdown'!Q:Q)</f>
        <v>12510696</v>
      </c>
      <c r="H61" s="69">
        <f>SUMIF('Executive Pay Breakdown'!S:S,$B61,'Executive Pay Breakdown'!U:U)</f>
        <v>12939151</v>
      </c>
      <c r="I61" s="69">
        <f>SUMIF('Executive Pay Breakdown'!W:W,$B61,'Executive Pay Breakdown'!Y:Y)</f>
        <v>11982721</v>
      </c>
      <c r="J61" s="69">
        <f>SUMIF('Executive Pay Breakdown'!AA:AA,$B61,'Executive Pay Breakdown'!AC:AC)</f>
        <v>0</v>
      </c>
      <c r="K61" s="90"/>
      <c r="L61" s="212"/>
      <c r="M61" s="87"/>
      <c r="N61" s="230"/>
      <c r="O61" s="120">
        <f>MATCH(C61,'Key Findings'!B:B,0)</f>
        <v>12</v>
      </c>
    </row>
    <row r="62">
      <c r="A62" s="81"/>
      <c r="B62" s="133" t="s">
        <v>349</v>
      </c>
      <c r="C62" s="87" t="s">
        <v>52</v>
      </c>
      <c r="D62" s="89">
        <f>SUMIF('Executive Pay Breakdown'!K:K,$B62,'Executive Pay Breakdown'!M:M)+SUMIF('Executive Pay Breakdown'!O:O,$B62,'Executive Pay Breakdown'!Q:Q)+SUMIF('Executive Pay Breakdown'!S:S,$B62,'Executive Pay Breakdown'!U:U)+SUMIF('Executive Pay Breakdown'!W:W,$B62,'Executive Pay Breakdown'!Y:Y)+SUMIF('Executive Pay Breakdown'!AA:AA,$B62,'Executive Pay Breakdown'!AC:AC)</f>
        <v>53940914</v>
      </c>
      <c r="E62" s="109"/>
      <c r="F62" s="69">
        <f>SUMIF('Executive Pay Breakdown'!K:K,$B62,'Executive Pay Breakdown'!M:M)</f>
        <v>0</v>
      </c>
      <c r="G62" s="69">
        <f>SUMIF('Executive Pay Breakdown'!O:O,$B62,'Executive Pay Breakdown'!Q:Q)</f>
        <v>0</v>
      </c>
      <c r="H62" s="69">
        <f>SUMIF('Executive Pay Breakdown'!S:S,$B62,'Executive Pay Breakdown'!U:U)</f>
        <v>10005700</v>
      </c>
      <c r="I62" s="69">
        <f>SUMIF('Executive Pay Breakdown'!W:W,$B62,'Executive Pay Breakdown'!Y:Y)</f>
        <v>24129164</v>
      </c>
      <c r="J62" s="69">
        <f>SUMIF('Executive Pay Breakdown'!AA:AA,$B62,'Executive Pay Breakdown'!AC:AC)</f>
        <v>19806050</v>
      </c>
      <c r="K62" s="90"/>
      <c r="L62" s="212"/>
      <c r="M62" s="87"/>
      <c r="N62" s="87"/>
      <c r="O62" s="120">
        <f>MATCH(C62,'Key Findings'!B:B,0)</f>
        <v>21</v>
      </c>
    </row>
    <row r="63">
      <c r="A63" s="71"/>
      <c r="B63" s="139" t="s">
        <v>307</v>
      </c>
      <c r="C63" s="87" t="s">
        <v>54</v>
      </c>
      <c r="D63" s="89">
        <f>SUMIF('Executive Pay Breakdown'!K:K,$B63,'Executive Pay Breakdown'!M:M)+SUMIF('Executive Pay Breakdown'!O:O,$B63,'Executive Pay Breakdown'!Q:Q)+SUMIF('Executive Pay Breakdown'!S:S,$B63,'Executive Pay Breakdown'!U:U)+SUMIF('Executive Pay Breakdown'!W:W,$B63,'Executive Pay Breakdown'!Y:Y)+SUMIF('Executive Pay Breakdown'!AA:AA,$B63,'Executive Pay Breakdown'!AC:AC)</f>
        <v>53693459</v>
      </c>
      <c r="E63" s="109"/>
      <c r="F63" s="69">
        <f>SUMIF('Executive Pay Breakdown'!K:K,$B63,'Executive Pay Breakdown'!M:M)</f>
        <v>0</v>
      </c>
      <c r="G63" s="69">
        <f>SUMIF('Executive Pay Breakdown'!O:O,$B63,'Executive Pay Breakdown'!Q:Q)</f>
        <v>7470953</v>
      </c>
      <c r="H63" s="69">
        <f>SUMIF('Executive Pay Breakdown'!S:S,$B63,'Executive Pay Breakdown'!U:U)</f>
        <v>36455947</v>
      </c>
      <c r="I63" s="69">
        <f>SUMIF('Executive Pay Breakdown'!W:W,$B63,'Executive Pay Breakdown'!Y:Y)</f>
        <v>5037405</v>
      </c>
      <c r="J63" s="69">
        <f>SUMIF('Executive Pay Breakdown'!AA:AA,$B63,'Executive Pay Breakdown'!AC:AC)</f>
        <v>4729154</v>
      </c>
      <c r="K63" s="90"/>
      <c r="L63" s="212"/>
      <c r="M63" s="87"/>
      <c r="N63" s="87"/>
      <c r="O63" s="120">
        <f>MATCH(C63,'Key Findings'!B:B,0)</f>
        <v>19</v>
      </c>
    </row>
    <row r="64">
      <c r="A64" s="62"/>
      <c r="B64" s="127" t="s">
        <v>308</v>
      </c>
      <c r="C64" s="87" t="s">
        <v>13</v>
      </c>
      <c r="D64" s="89">
        <f>SUMIF('Executive Pay Breakdown'!K:K,$B64,'Executive Pay Breakdown'!M:M)+SUMIF('Executive Pay Breakdown'!O:O,$B64,'Executive Pay Breakdown'!Q:Q)+SUMIF('Executive Pay Breakdown'!S:S,$B64,'Executive Pay Breakdown'!U:U)+SUMIF('Executive Pay Breakdown'!W:W,$B64,'Executive Pay Breakdown'!Y:Y)+SUMIF('Executive Pay Breakdown'!AA:AA,$B64,'Executive Pay Breakdown'!AC:AC)</f>
        <v>53617171</v>
      </c>
      <c r="E64" s="109"/>
      <c r="F64" s="69">
        <f>SUMIF('Executive Pay Breakdown'!K:K,$B64,'Executive Pay Breakdown'!M:M)</f>
        <v>0</v>
      </c>
      <c r="G64" s="69">
        <f>SUMIF('Executive Pay Breakdown'!O:O,$B64,'Executive Pay Breakdown'!Q:Q)</f>
        <v>0</v>
      </c>
      <c r="H64" s="69">
        <f>SUMIF('Executive Pay Breakdown'!S:S,$B64,'Executive Pay Breakdown'!U:U)</f>
        <v>29847619</v>
      </c>
      <c r="I64" s="69">
        <f>SUMIF('Executive Pay Breakdown'!W:W,$B64,'Executive Pay Breakdown'!Y:Y)</f>
        <v>7915575</v>
      </c>
      <c r="J64" s="69">
        <f>SUMIF('Executive Pay Breakdown'!AA:AA,$B64,'Executive Pay Breakdown'!AC:AC)</f>
        <v>15853977</v>
      </c>
      <c r="K64" s="90"/>
      <c r="L64" s="212"/>
      <c r="M64" s="87"/>
      <c r="N64" s="87"/>
      <c r="O64" s="120">
        <f>MATCH(C64,'Key Findings'!B:B,0)</f>
        <v>11</v>
      </c>
    </row>
    <row r="65">
      <c r="A65" s="62"/>
      <c r="B65" s="86" t="s">
        <v>306</v>
      </c>
      <c r="C65" s="87" t="s">
        <v>77</v>
      </c>
      <c r="D65" s="89">
        <f>SUMIF('Executive Pay Breakdown'!K:K,$B65,'Executive Pay Breakdown'!M:M)+SUMIF('Executive Pay Breakdown'!O:O,$B65,'Executive Pay Breakdown'!Q:Q)+SUMIF('Executive Pay Breakdown'!S:S,$B65,'Executive Pay Breakdown'!U:U)+SUMIF('Executive Pay Breakdown'!W:W,$B65,'Executive Pay Breakdown'!Y:Y)+SUMIF('Executive Pay Breakdown'!AA:AA,$B65,'Executive Pay Breakdown'!AC:AC)</f>
        <v>53528145</v>
      </c>
      <c r="E65" s="109"/>
      <c r="F65" s="69">
        <f>SUMIF('Executive Pay Breakdown'!K:K,$B65,'Executive Pay Breakdown'!M:M)</f>
        <v>0</v>
      </c>
      <c r="G65" s="69">
        <f>SUMIF('Executive Pay Breakdown'!O:O,$B65,'Executive Pay Breakdown'!Q:Q)</f>
        <v>2455739</v>
      </c>
      <c r="H65" s="69">
        <f>SUMIF('Executive Pay Breakdown'!S:S,$B65,'Executive Pay Breakdown'!U:U)</f>
        <v>16905180</v>
      </c>
      <c r="I65" s="69">
        <f>SUMIF('Executive Pay Breakdown'!W:W,$B65,'Executive Pay Breakdown'!Y:Y)</f>
        <v>19803193</v>
      </c>
      <c r="J65" s="69">
        <f>SUMIF('Executive Pay Breakdown'!AA:AA,$B65,'Executive Pay Breakdown'!AC:AC)</f>
        <v>14364033</v>
      </c>
      <c r="K65" s="90"/>
      <c r="L65" s="212"/>
      <c r="M65" s="87"/>
      <c r="N65" s="87"/>
      <c r="O65" s="120">
        <f>MATCH(C65,'Key Findings'!B:B,0)</f>
        <v>40</v>
      </c>
    </row>
    <row r="66">
      <c r="A66" s="62"/>
      <c r="B66" s="86" t="s">
        <v>203</v>
      </c>
      <c r="C66" s="233" t="s">
        <v>66</v>
      </c>
      <c r="D66" s="89">
        <f>SUMIF('Executive Pay Breakdown'!K:K,$B66,'Executive Pay Breakdown'!M:M)+SUMIF('Executive Pay Breakdown'!O:O,$B66,'Executive Pay Breakdown'!Q:Q)+SUMIF('Executive Pay Breakdown'!S:S,$B66,'Executive Pay Breakdown'!U:U)+SUMIF('Executive Pay Breakdown'!W:W,$B66,'Executive Pay Breakdown'!Y:Y)+SUMIF('Executive Pay Breakdown'!AA:AA,$B66,'Executive Pay Breakdown'!AC:AC)</f>
        <v>53466338</v>
      </c>
      <c r="E66" s="109"/>
      <c r="F66" s="69">
        <f>SUMIF('Executive Pay Breakdown'!K:K,$B66,'Executive Pay Breakdown'!M:M)</f>
        <v>12242340</v>
      </c>
      <c r="G66" s="69">
        <f>SUMIF('Executive Pay Breakdown'!O:O,$B66,'Executive Pay Breakdown'!Q:Q)</f>
        <v>10401407</v>
      </c>
      <c r="H66" s="69">
        <f>SUMIF('Executive Pay Breakdown'!S:S,$B66,'Executive Pay Breakdown'!U:U)</f>
        <v>10927684</v>
      </c>
      <c r="I66" s="69">
        <f>SUMIF('Executive Pay Breakdown'!W:W,$B66,'Executive Pay Breakdown'!Y:Y)</f>
        <v>10880451</v>
      </c>
      <c r="J66" s="69">
        <f>SUMIF('Executive Pay Breakdown'!AA:AA,$B66,'Executive Pay Breakdown'!AC:AC)</f>
        <v>9014456</v>
      </c>
      <c r="K66" s="90"/>
      <c r="L66" s="212"/>
      <c r="M66" s="87"/>
      <c r="N66" s="230">
        <f>F66/J66-1</f>
        <v>0.3580786239</v>
      </c>
      <c r="O66" s="120">
        <f>MATCH(C66,'Key Findings'!B:B,0)</f>
        <v>41</v>
      </c>
    </row>
    <row r="67">
      <c r="A67" s="81"/>
      <c r="B67" s="135" t="s">
        <v>317</v>
      </c>
      <c r="C67" s="87" t="s">
        <v>49</v>
      </c>
      <c r="D67" s="89">
        <f>SUMIF('Executive Pay Breakdown'!K:K,$B67,'Executive Pay Breakdown'!M:M)+SUMIF('Executive Pay Breakdown'!O:O,$B67,'Executive Pay Breakdown'!Q:Q)+SUMIF('Executive Pay Breakdown'!S:S,$B67,'Executive Pay Breakdown'!U:U)+SUMIF('Executive Pay Breakdown'!W:W,$B67,'Executive Pay Breakdown'!Y:Y)+SUMIF('Executive Pay Breakdown'!AA:AA,$B67,'Executive Pay Breakdown'!AC:AC)</f>
        <v>52650082</v>
      </c>
      <c r="E67" s="109"/>
      <c r="F67" s="69">
        <f>SUMIF('Executive Pay Breakdown'!K:K,$B67,'Executive Pay Breakdown'!M:M)</f>
        <v>0</v>
      </c>
      <c r="G67" s="69">
        <f>SUMIF('Executive Pay Breakdown'!O:O,$B67,'Executive Pay Breakdown'!Q:Q)</f>
        <v>4145305</v>
      </c>
      <c r="H67" s="69">
        <f>SUMIF('Executive Pay Breakdown'!S:S,$B67,'Executive Pay Breakdown'!U:U)</f>
        <v>16137145</v>
      </c>
      <c r="I67" s="69">
        <f>SUMIF('Executive Pay Breakdown'!W:W,$B67,'Executive Pay Breakdown'!Y:Y)</f>
        <v>16725328</v>
      </c>
      <c r="J67" s="69">
        <f>SUMIF('Executive Pay Breakdown'!AA:AA,$B67,'Executive Pay Breakdown'!AC:AC)</f>
        <v>15642304</v>
      </c>
      <c r="K67" s="90"/>
      <c r="L67" s="212"/>
      <c r="M67" s="87"/>
      <c r="N67" s="87"/>
      <c r="O67" s="120">
        <f>MATCH(C67,'Key Findings'!B:B,0)</f>
        <v>14</v>
      </c>
    </row>
    <row r="68">
      <c r="A68" s="62"/>
      <c r="B68" s="127" t="s">
        <v>162</v>
      </c>
      <c r="C68" s="87" t="s">
        <v>12</v>
      </c>
      <c r="D68" s="89">
        <f>SUMIF('Executive Pay Breakdown'!K:K,$B68,'Executive Pay Breakdown'!M:M)+SUMIF('Executive Pay Breakdown'!O:O,$B68,'Executive Pay Breakdown'!Q:Q)+SUMIF('Executive Pay Breakdown'!S:S,$B68,'Executive Pay Breakdown'!U:U)+SUMIF('Executive Pay Breakdown'!W:W,$B68,'Executive Pay Breakdown'!Y:Y)+SUMIF('Executive Pay Breakdown'!AA:AA,$B68,'Executive Pay Breakdown'!AC:AC)</f>
        <v>52624715</v>
      </c>
      <c r="E68" s="109"/>
      <c r="F68" s="69">
        <f>SUMIF('Executive Pay Breakdown'!K:K,$B68,'Executive Pay Breakdown'!M:M)</f>
        <v>14021037</v>
      </c>
      <c r="G68" s="69">
        <f>SUMIF('Executive Pay Breakdown'!O:O,$B68,'Executive Pay Breakdown'!Q:Q)</f>
        <v>15553964</v>
      </c>
      <c r="H68" s="69">
        <f>SUMIF('Executive Pay Breakdown'!S:S,$B68,'Executive Pay Breakdown'!U:U)</f>
        <v>8801904</v>
      </c>
      <c r="I68" s="69">
        <f>SUMIF('Executive Pay Breakdown'!W:W,$B68,'Executive Pay Breakdown'!Y:Y)</f>
        <v>7646500</v>
      </c>
      <c r="J68" s="69">
        <f>SUMIF('Executive Pay Breakdown'!AA:AA,$B68,'Executive Pay Breakdown'!AC:AC)</f>
        <v>6601310</v>
      </c>
      <c r="K68" s="90"/>
      <c r="L68" s="212"/>
      <c r="M68" s="87"/>
      <c r="N68" s="230">
        <f t="shared" ref="N68:N69" si="7">F68/J68-1</f>
        <v>1.123977968</v>
      </c>
      <c r="O68" s="120">
        <f>MATCH(C68,'Key Findings'!B:B,0)</f>
        <v>17</v>
      </c>
    </row>
    <row r="69">
      <c r="A69" s="81"/>
      <c r="B69" s="133" t="s">
        <v>167</v>
      </c>
      <c r="C69" s="87" t="s">
        <v>50</v>
      </c>
      <c r="D69" s="89">
        <f>SUMIF('Executive Pay Breakdown'!K:K,$B69,'Executive Pay Breakdown'!M:M)+SUMIF('Executive Pay Breakdown'!O:O,$B69,'Executive Pay Breakdown'!Q:Q)+SUMIF('Executive Pay Breakdown'!S:S,$B69,'Executive Pay Breakdown'!U:U)+SUMIF('Executive Pay Breakdown'!W:W,$B69,'Executive Pay Breakdown'!Y:Y)+SUMIF('Executive Pay Breakdown'!AA:AA,$B69,'Executive Pay Breakdown'!AC:AC)</f>
        <v>52387037</v>
      </c>
      <c r="E69" s="109"/>
      <c r="F69" s="69">
        <f>SUMIF('Executive Pay Breakdown'!K:K,$B69,'Executive Pay Breakdown'!M:M)</f>
        <v>14349551</v>
      </c>
      <c r="G69" s="69">
        <f>SUMIF('Executive Pay Breakdown'!O:O,$B69,'Executive Pay Breakdown'!Q:Q)</f>
        <v>12535747</v>
      </c>
      <c r="H69" s="69">
        <f>SUMIF('Executive Pay Breakdown'!S:S,$B69,'Executive Pay Breakdown'!U:U)</f>
        <v>9963402</v>
      </c>
      <c r="I69" s="69">
        <f>SUMIF('Executive Pay Breakdown'!W:W,$B69,'Executive Pay Breakdown'!Y:Y)</f>
        <v>8182247</v>
      </c>
      <c r="J69" s="69">
        <f>SUMIF('Executive Pay Breakdown'!AA:AA,$B69,'Executive Pay Breakdown'!AC:AC)</f>
        <v>7356090</v>
      </c>
      <c r="K69" s="90"/>
      <c r="L69" s="212"/>
      <c r="M69" s="87"/>
      <c r="N69" s="230">
        <f t="shared" si="7"/>
        <v>0.9507035667</v>
      </c>
      <c r="O69" s="120">
        <f>MATCH(C69,'Key Findings'!B:B,0)</f>
        <v>18</v>
      </c>
    </row>
    <row r="70">
      <c r="A70" s="62"/>
      <c r="B70" s="138" t="s">
        <v>302</v>
      </c>
      <c r="C70" s="87" t="s">
        <v>35</v>
      </c>
      <c r="D70" s="89">
        <f>SUMIF('Executive Pay Breakdown'!K:K,$B70,'Executive Pay Breakdown'!M:M)+SUMIF('Executive Pay Breakdown'!O:O,$B70,'Executive Pay Breakdown'!Q:Q)+SUMIF('Executive Pay Breakdown'!S:S,$B70,'Executive Pay Breakdown'!U:U)+SUMIF('Executive Pay Breakdown'!W:W,$B70,'Executive Pay Breakdown'!Y:Y)+SUMIF('Executive Pay Breakdown'!AA:AA,$B70,'Executive Pay Breakdown'!AC:AC)</f>
        <v>52229011</v>
      </c>
      <c r="E70" s="109"/>
      <c r="F70" s="69">
        <f>SUMIF('Executive Pay Breakdown'!K:K,$B70,'Executive Pay Breakdown'!M:M)</f>
        <v>303000</v>
      </c>
      <c r="G70" s="69">
        <f>SUMIF('Executive Pay Breakdown'!O:O,$B70,'Executive Pay Breakdown'!Q:Q)</f>
        <v>301154</v>
      </c>
      <c r="H70" s="69">
        <f>SUMIF('Executive Pay Breakdown'!S:S,$B70,'Executive Pay Breakdown'!U:U)</f>
        <v>46544623</v>
      </c>
      <c r="I70" s="69">
        <f>SUMIF('Executive Pay Breakdown'!W:W,$B70,'Executive Pay Breakdown'!Y:Y)</f>
        <v>5080234</v>
      </c>
      <c r="J70" s="69">
        <f>SUMIF('Executive Pay Breakdown'!AA:AA,$B70,'Executive Pay Breakdown'!AC:AC)</f>
        <v>0</v>
      </c>
      <c r="K70" s="90"/>
      <c r="L70" s="212"/>
      <c r="M70" s="87"/>
      <c r="N70" s="230"/>
      <c r="O70" s="120">
        <f>MATCH(C70,'Key Findings'!B:B,0)</f>
        <v>4</v>
      </c>
    </row>
    <row r="71">
      <c r="A71" s="81"/>
      <c r="B71" s="135" t="s">
        <v>318</v>
      </c>
      <c r="C71" s="87" t="s">
        <v>49</v>
      </c>
      <c r="D71" s="89">
        <f>SUMIF('Executive Pay Breakdown'!K:K,$B71,'Executive Pay Breakdown'!M:M)+SUMIF('Executive Pay Breakdown'!O:O,$B71,'Executive Pay Breakdown'!Q:Q)+SUMIF('Executive Pay Breakdown'!S:S,$B71,'Executive Pay Breakdown'!U:U)+SUMIF('Executive Pay Breakdown'!W:W,$B71,'Executive Pay Breakdown'!Y:Y)+SUMIF('Executive Pay Breakdown'!AA:AA,$B71,'Executive Pay Breakdown'!AC:AC)</f>
        <v>52172599</v>
      </c>
      <c r="E71" s="109"/>
      <c r="F71" s="69">
        <f>SUMIF('Executive Pay Breakdown'!K:K,$B71,'Executive Pay Breakdown'!M:M)</f>
        <v>0</v>
      </c>
      <c r="G71" s="69">
        <f>SUMIF('Executive Pay Breakdown'!O:O,$B71,'Executive Pay Breakdown'!Q:Q)</f>
        <v>0</v>
      </c>
      <c r="H71" s="69">
        <f>SUMIF('Executive Pay Breakdown'!S:S,$B71,'Executive Pay Breakdown'!U:U)</f>
        <v>52172599</v>
      </c>
      <c r="I71" s="69">
        <f>SUMIF('Executive Pay Breakdown'!W:W,$B71,'Executive Pay Breakdown'!Y:Y)</f>
        <v>0</v>
      </c>
      <c r="J71" s="69">
        <f>SUMIF('Executive Pay Breakdown'!AA:AA,$B71,'Executive Pay Breakdown'!AC:AC)</f>
        <v>0</v>
      </c>
      <c r="K71" s="90"/>
      <c r="L71" s="212"/>
      <c r="M71" s="87"/>
      <c r="N71" s="87"/>
      <c r="O71" s="120">
        <f>MATCH(C71,'Key Findings'!B:B,0)</f>
        <v>14</v>
      </c>
    </row>
    <row r="72">
      <c r="A72" s="81"/>
      <c r="B72" s="136" t="s">
        <v>310</v>
      </c>
      <c r="C72" s="87" t="s">
        <v>24</v>
      </c>
      <c r="D72" s="89">
        <f>SUMIF('Executive Pay Breakdown'!K:K,$B72,'Executive Pay Breakdown'!M:M)+SUMIF('Executive Pay Breakdown'!O:O,$B72,'Executive Pay Breakdown'!Q:Q)+SUMIF('Executive Pay Breakdown'!S:S,$B72,'Executive Pay Breakdown'!U:U)+SUMIF('Executive Pay Breakdown'!W:W,$B72,'Executive Pay Breakdown'!Y:Y)+SUMIF('Executive Pay Breakdown'!AA:AA,$B72,'Executive Pay Breakdown'!AC:AC)</f>
        <v>51836846</v>
      </c>
      <c r="E72" s="109"/>
      <c r="F72" s="69">
        <f>SUMIF('Executive Pay Breakdown'!K:K,$B72,'Executive Pay Breakdown'!M:M)</f>
        <v>0</v>
      </c>
      <c r="G72" s="69">
        <f>SUMIF('Executive Pay Breakdown'!O:O,$B72,'Executive Pay Breakdown'!Q:Q)</f>
        <v>0</v>
      </c>
      <c r="H72" s="69">
        <f>SUMIF('Executive Pay Breakdown'!S:S,$B72,'Executive Pay Breakdown'!U:U)</f>
        <v>16728505</v>
      </c>
      <c r="I72" s="69">
        <f>SUMIF('Executive Pay Breakdown'!W:W,$B72,'Executive Pay Breakdown'!Y:Y)</f>
        <v>17355506</v>
      </c>
      <c r="J72" s="69">
        <f>SUMIF('Executive Pay Breakdown'!AA:AA,$B72,'Executive Pay Breakdown'!AC:AC)</f>
        <v>17752835</v>
      </c>
      <c r="K72" s="90"/>
      <c r="L72" s="212"/>
      <c r="M72" s="87"/>
      <c r="N72" s="87"/>
      <c r="O72" s="120">
        <f>MATCH(C72,'Key Findings'!B:B,0)</f>
        <v>15</v>
      </c>
    </row>
    <row r="73">
      <c r="A73" s="62"/>
      <c r="B73" s="127" t="s">
        <v>140</v>
      </c>
      <c r="C73" s="87" t="s">
        <v>12</v>
      </c>
      <c r="D73" s="89">
        <f>SUMIF('Executive Pay Breakdown'!K:K,$B73,'Executive Pay Breakdown'!M:M)+SUMIF('Executive Pay Breakdown'!O:O,$B73,'Executive Pay Breakdown'!Q:Q)+SUMIF('Executive Pay Breakdown'!S:S,$B73,'Executive Pay Breakdown'!U:U)+SUMIF('Executive Pay Breakdown'!W:W,$B73,'Executive Pay Breakdown'!Y:Y)+SUMIF('Executive Pay Breakdown'!AA:AA,$B73,'Executive Pay Breakdown'!AC:AC)</f>
        <v>51569148</v>
      </c>
      <c r="E73" s="109"/>
      <c r="F73" s="69">
        <f>SUMIF('Executive Pay Breakdown'!K:K,$B73,'Executive Pay Breakdown'!M:M)</f>
        <v>17414329</v>
      </c>
      <c r="G73" s="69">
        <f>SUMIF('Executive Pay Breakdown'!O:O,$B73,'Executive Pay Breakdown'!Q:Q)</f>
        <v>15507153</v>
      </c>
      <c r="H73" s="69">
        <f>SUMIF('Executive Pay Breakdown'!S:S,$B73,'Executive Pay Breakdown'!U:U)</f>
        <v>7518782</v>
      </c>
      <c r="I73" s="69">
        <f>SUMIF('Executive Pay Breakdown'!W:W,$B73,'Executive Pay Breakdown'!Y:Y)</f>
        <v>6150815</v>
      </c>
      <c r="J73" s="69">
        <f>SUMIF('Executive Pay Breakdown'!AA:AA,$B73,'Executive Pay Breakdown'!AC:AC)</f>
        <v>4978069</v>
      </c>
      <c r="K73" s="90"/>
      <c r="L73" s="212"/>
      <c r="M73" s="87"/>
      <c r="N73" s="230">
        <f>F73/J73-1</f>
        <v>2.498209647</v>
      </c>
      <c r="O73" s="120">
        <f>MATCH(C73,'Key Findings'!B:B,0)</f>
        <v>17</v>
      </c>
    </row>
    <row r="74">
      <c r="A74" s="81"/>
      <c r="B74" s="137" t="s">
        <v>327</v>
      </c>
      <c r="C74" s="87" t="str">
        <f t="array" ref="C74">INDEX('Executive Pay Breakdown'!B:B,MATCH(B74,'Executive Pay Breakdown'!K:K,0))</f>
        <v>Reinsurance Group of America</v>
      </c>
      <c r="D74" s="89">
        <f>SUMIF('Executive Pay Breakdown'!K:K,$B74,'Executive Pay Breakdown'!M:M)+SUMIF('Executive Pay Breakdown'!O:O,$B74,'Executive Pay Breakdown'!Q:Q)+SUMIF('Executive Pay Breakdown'!S:S,$B74,'Executive Pay Breakdown'!U:U)+SUMIF('Executive Pay Breakdown'!W:W,$B74,'Executive Pay Breakdown'!Y:Y)+SUMIF('Executive Pay Breakdown'!AA:AA,$B74,'Executive Pay Breakdown'!AC:AC)</f>
        <v>51325107</v>
      </c>
      <c r="E74" s="109"/>
      <c r="F74" s="69">
        <f>SUMIF('Executive Pay Breakdown'!K:K,$B74,'Executive Pay Breakdown'!M:M)</f>
        <v>11354662</v>
      </c>
      <c r="G74" s="69">
        <f>SUMIF('Executive Pay Breakdown'!O:O,$B74,'Executive Pay Breakdown'!Q:Q)</f>
        <v>16109515</v>
      </c>
      <c r="H74" s="69">
        <f>SUMIF('Executive Pay Breakdown'!S:S,$B74,'Executive Pay Breakdown'!U:U)</f>
        <v>9044233</v>
      </c>
      <c r="I74" s="69">
        <f>SUMIF('Executive Pay Breakdown'!W:W,$B74,'Executive Pay Breakdown'!Y:Y)</f>
        <v>8116275</v>
      </c>
      <c r="J74" s="69">
        <f>SUMIF('Executive Pay Breakdown'!AA:AA,$B74,'Executive Pay Breakdown'!AC:AC)</f>
        <v>6700422</v>
      </c>
      <c r="K74" s="90"/>
      <c r="L74" s="212"/>
      <c r="M74" s="87"/>
      <c r="N74" s="230"/>
      <c r="O74" s="120">
        <f>MATCH(C74,'Key Findings'!B:B,0)</f>
        <v>9</v>
      </c>
    </row>
    <row r="75">
      <c r="A75" s="62"/>
      <c r="B75" s="137" t="s">
        <v>237</v>
      </c>
      <c r="C75" s="87" t="s">
        <v>28</v>
      </c>
      <c r="D75" s="89">
        <f>SUMIF('Executive Pay Breakdown'!K:K,$B75,'Executive Pay Breakdown'!M:M)+SUMIF('Executive Pay Breakdown'!O:O,$B75,'Executive Pay Breakdown'!Q:Q)+SUMIF('Executive Pay Breakdown'!S:S,$B75,'Executive Pay Breakdown'!U:U)+SUMIF('Executive Pay Breakdown'!W:W,$B75,'Executive Pay Breakdown'!Y:Y)+SUMIF('Executive Pay Breakdown'!AA:AA,$B75,'Executive Pay Breakdown'!AC:AC)</f>
        <v>48946348</v>
      </c>
      <c r="E75" s="109"/>
      <c r="F75" s="69">
        <f>SUMIF('Executive Pay Breakdown'!K:K,$B75,'Executive Pay Breakdown'!M:M)</f>
        <v>10151847</v>
      </c>
      <c r="G75" s="69">
        <f>SUMIF('Executive Pay Breakdown'!O:O,$B75,'Executive Pay Breakdown'!Q:Q)</f>
        <v>10854224</v>
      </c>
      <c r="H75" s="69">
        <f>SUMIF('Executive Pay Breakdown'!S:S,$B75,'Executive Pay Breakdown'!U:U)</f>
        <v>9879276</v>
      </c>
      <c r="I75" s="69">
        <f>SUMIF('Executive Pay Breakdown'!W:W,$B75,'Executive Pay Breakdown'!Y:Y)</f>
        <v>9146053</v>
      </c>
      <c r="J75" s="69">
        <f>SUMIF('Executive Pay Breakdown'!AA:AA,$B75,'Executive Pay Breakdown'!AC:AC)</f>
        <v>8914948</v>
      </c>
      <c r="K75" s="90"/>
      <c r="L75" s="212"/>
      <c r="M75" s="87"/>
      <c r="N75" s="230">
        <f t="shared" ref="N75:N76" si="8">F75/J75-1</f>
        <v>0.1387443875</v>
      </c>
      <c r="O75" s="120">
        <f>MATCH(C75,'Key Findings'!B:B,0)</f>
        <v>56</v>
      </c>
    </row>
    <row r="76">
      <c r="A76" s="71"/>
      <c r="B76" s="132" t="s">
        <v>164</v>
      </c>
      <c r="C76" s="87" t="s">
        <v>16</v>
      </c>
      <c r="D76" s="89">
        <f>SUMIF('Executive Pay Breakdown'!K:K,$B76,'Executive Pay Breakdown'!M:M)+SUMIF('Executive Pay Breakdown'!O:O,$B76,'Executive Pay Breakdown'!Q:Q)+SUMIF('Executive Pay Breakdown'!S:S,$B76,'Executive Pay Breakdown'!U:U)+SUMIF('Executive Pay Breakdown'!W:W,$B76,'Executive Pay Breakdown'!Y:Y)+SUMIF('Executive Pay Breakdown'!AA:AA,$B76,'Executive Pay Breakdown'!AC:AC)</f>
        <v>48482651</v>
      </c>
      <c r="E76" s="109"/>
      <c r="F76" s="69">
        <f>SUMIF('Executive Pay Breakdown'!K:K,$B76,'Executive Pay Breakdown'!M:M)</f>
        <v>13250652</v>
      </c>
      <c r="G76" s="69">
        <f>SUMIF('Executive Pay Breakdown'!O:O,$B76,'Executive Pay Breakdown'!Q:Q)</f>
        <v>10177573</v>
      </c>
      <c r="H76" s="69">
        <f>SUMIF('Executive Pay Breakdown'!S:S,$B76,'Executive Pay Breakdown'!U:U)</f>
        <v>10469347</v>
      </c>
      <c r="I76" s="69">
        <f>SUMIF('Executive Pay Breakdown'!W:W,$B76,'Executive Pay Breakdown'!Y:Y)</f>
        <v>8158679</v>
      </c>
      <c r="J76" s="69">
        <f>SUMIF('Executive Pay Breakdown'!AA:AA,$B76,'Executive Pay Breakdown'!AC:AC)</f>
        <v>6426400</v>
      </c>
      <c r="K76" s="90"/>
      <c r="L76" s="212"/>
      <c r="M76" s="87"/>
      <c r="N76" s="230">
        <f t="shared" si="8"/>
        <v>1.061909</v>
      </c>
      <c r="O76" s="120">
        <f>MATCH(C76,'Key Findings'!B:B,0)</f>
        <v>12</v>
      </c>
    </row>
    <row r="77">
      <c r="A77" s="62"/>
      <c r="B77" s="86" t="s">
        <v>383</v>
      </c>
      <c r="C77" s="233" t="s">
        <v>61</v>
      </c>
      <c r="D77" s="89">
        <f>SUMIF('Executive Pay Breakdown'!K:K,$B77,'Executive Pay Breakdown'!M:M)+SUMIF('Executive Pay Breakdown'!O:O,$B77,'Executive Pay Breakdown'!Q:Q)+SUMIF('Executive Pay Breakdown'!S:S,$B77,'Executive Pay Breakdown'!U:U)+SUMIF('Executive Pay Breakdown'!W:W,$B77,'Executive Pay Breakdown'!Y:Y)+SUMIF('Executive Pay Breakdown'!AA:AA,$B77,'Executive Pay Breakdown'!AC:AC)</f>
        <v>46991648</v>
      </c>
      <c r="E77" s="109"/>
      <c r="F77" s="69">
        <f>SUMIF('Executive Pay Breakdown'!K:K,$B77,'Executive Pay Breakdown'!M:M)</f>
        <v>15864497</v>
      </c>
      <c r="G77" s="69">
        <f>SUMIF('Executive Pay Breakdown'!O:O,$B77,'Executive Pay Breakdown'!Q:Q)</f>
        <v>15198856</v>
      </c>
      <c r="H77" s="69">
        <f>SUMIF('Executive Pay Breakdown'!S:S,$B77,'Executive Pay Breakdown'!U:U)</f>
        <v>9111359</v>
      </c>
      <c r="I77" s="69">
        <f>SUMIF('Executive Pay Breakdown'!W:W,$B77,'Executive Pay Breakdown'!Y:Y)</f>
        <v>6816936</v>
      </c>
      <c r="J77" s="69">
        <f>SUMIF('Executive Pay Breakdown'!AA:AA,$B77,'Executive Pay Breakdown'!AC:AC)</f>
        <v>0</v>
      </c>
      <c r="K77" s="90"/>
      <c r="L77" s="212"/>
      <c r="M77" s="87"/>
      <c r="N77" s="87"/>
      <c r="O77" s="120">
        <f>MATCH(C77,'Key Findings'!B:B,0)</f>
        <v>22</v>
      </c>
    </row>
    <row r="78">
      <c r="A78" s="62"/>
      <c r="B78" s="86" t="s">
        <v>214</v>
      </c>
      <c r="C78" s="233" t="s">
        <v>70</v>
      </c>
      <c r="D78" s="89">
        <f>SUMIF('Executive Pay Breakdown'!K:K,$B78,'Executive Pay Breakdown'!M:M)+SUMIF('Executive Pay Breakdown'!O:O,$B78,'Executive Pay Breakdown'!Q:Q)+SUMIF('Executive Pay Breakdown'!S:S,$B78,'Executive Pay Breakdown'!U:U)+SUMIF('Executive Pay Breakdown'!W:W,$B78,'Executive Pay Breakdown'!Y:Y)+SUMIF('Executive Pay Breakdown'!AA:AA,$B78,'Executive Pay Breakdown'!AC:AC)</f>
        <v>46314591</v>
      </c>
      <c r="E78" s="109"/>
      <c r="F78" s="69">
        <f>SUMIF('Executive Pay Breakdown'!K:K,$B78,'Executive Pay Breakdown'!M:M)</f>
        <v>8795572</v>
      </c>
      <c r="G78" s="69">
        <f>SUMIF('Executive Pay Breakdown'!O:O,$B78,'Executive Pay Breakdown'!Q:Q)</f>
        <v>12063477</v>
      </c>
      <c r="H78" s="69">
        <f>SUMIF('Executive Pay Breakdown'!S:S,$B78,'Executive Pay Breakdown'!U:U)</f>
        <v>10377789</v>
      </c>
      <c r="I78" s="69">
        <f>SUMIF('Executive Pay Breakdown'!W:W,$B78,'Executive Pay Breakdown'!Y:Y)</f>
        <v>8304888</v>
      </c>
      <c r="J78" s="69">
        <f>SUMIF('Executive Pay Breakdown'!AA:AA,$B78,'Executive Pay Breakdown'!AC:AC)</f>
        <v>6772865</v>
      </c>
      <c r="K78" s="90"/>
      <c r="L78" s="212"/>
      <c r="M78" s="87"/>
      <c r="N78" s="230">
        <f t="shared" ref="N78:N81" si="9">F78/J78-1</f>
        <v>0.2986486516</v>
      </c>
      <c r="O78" s="120">
        <f>MATCH(C78,'Key Findings'!B:B,0)</f>
        <v>65</v>
      </c>
    </row>
    <row r="79">
      <c r="A79" s="62"/>
      <c r="B79" s="127" t="s">
        <v>170</v>
      </c>
      <c r="C79" s="87" t="s">
        <v>30</v>
      </c>
      <c r="D79" s="89">
        <f>SUMIF('Executive Pay Breakdown'!K:K,$B79,'Executive Pay Breakdown'!M:M)+SUMIF('Executive Pay Breakdown'!O:O,$B79,'Executive Pay Breakdown'!Q:Q)+SUMIF('Executive Pay Breakdown'!S:S,$B79,'Executive Pay Breakdown'!U:U)+SUMIF('Executive Pay Breakdown'!W:W,$B79,'Executive Pay Breakdown'!Y:Y)+SUMIF('Executive Pay Breakdown'!AA:AA,$B79,'Executive Pay Breakdown'!AC:AC)</f>
        <v>45897333</v>
      </c>
      <c r="E79" s="109"/>
      <c r="F79" s="69">
        <f>SUMIF('Executive Pay Breakdown'!K:K,$B79,'Executive Pay Breakdown'!M:M)</f>
        <v>10458218</v>
      </c>
      <c r="G79" s="69">
        <f>SUMIF('Executive Pay Breakdown'!O:O,$B79,'Executive Pay Breakdown'!Q:Q)</f>
        <v>11128277</v>
      </c>
      <c r="H79" s="69">
        <f>SUMIF('Executive Pay Breakdown'!S:S,$B79,'Executive Pay Breakdown'!U:U)</f>
        <v>10605622</v>
      </c>
      <c r="I79" s="69">
        <f>SUMIF('Executive Pay Breakdown'!W:W,$B79,'Executive Pay Breakdown'!Y:Y)</f>
        <v>8228339</v>
      </c>
      <c r="J79" s="69">
        <f>SUMIF('Executive Pay Breakdown'!AA:AA,$B79,'Executive Pay Breakdown'!AC:AC)</f>
        <v>5476877</v>
      </c>
      <c r="K79" s="90"/>
      <c r="L79" s="212"/>
      <c r="M79" s="87"/>
      <c r="N79" s="230">
        <f t="shared" si="9"/>
        <v>0.9095221602</v>
      </c>
      <c r="O79" s="120">
        <f>MATCH(C79,'Key Findings'!B:B,0)</f>
        <v>49</v>
      </c>
    </row>
    <row r="80">
      <c r="A80" s="62"/>
      <c r="B80" s="86" t="s">
        <v>251</v>
      </c>
      <c r="C80" s="233" t="s">
        <v>59</v>
      </c>
      <c r="D80" s="89">
        <f>SUMIF('Executive Pay Breakdown'!K:K,$B80,'Executive Pay Breakdown'!M:M)+SUMIF('Executive Pay Breakdown'!O:O,$B80,'Executive Pay Breakdown'!Q:Q)+SUMIF('Executive Pay Breakdown'!S:S,$B80,'Executive Pay Breakdown'!U:U)+SUMIF('Executive Pay Breakdown'!W:W,$B80,'Executive Pay Breakdown'!Y:Y)+SUMIF('Executive Pay Breakdown'!AA:AA,$B80,'Executive Pay Breakdown'!AC:AC)</f>
        <v>45010141</v>
      </c>
      <c r="E80" s="109"/>
      <c r="F80" s="69">
        <f>SUMIF('Executive Pay Breakdown'!K:K,$B80,'Executive Pay Breakdown'!M:M)</f>
        <v>9426954</v>
      </c>
      <c r="G80" s="69">
        <f>SUMIF('Executive Pay Breakdown'!O:O,$B80,'Executive Pay Breakdown'!Q:Q)</f>
        <v>9708693</v>
      </c>
      <c r="H80" s="69">
        <f>SUMIF('Executive Pay Breakdown'!S:S,$B80,'Executive Pay Breakdown'!U:U)</f>
        <v>7542532</v>
      </c>
      <c r="I80" s="69">
        <f>SUMIF('Executive Pay Breakdown'!W:W,$B80,'Executive Pay Breakdown'!Y:Y)</f>
        <v>9332849</v>
      </c>
      <c r="J80" s="69">
        <f>SUMIF('Executive Pay Breakdown'!AA:AA,$B80,'Executive Pay Breakdown'!AC:AC)</f>
        <v>8999113</v>
      </c>
      <c r="K80" s="90"/>
      <c r="L80" s="212"/>
      <c r="M80" s="87"/>
      <c r="N80" s="230">
        <f t="shared" si="9"/>
        <v>0.04754257447</v>
      </c>
      <c r="O80" s="120">
        <f>MATCH(C80,'Key Findings'!B:B,0)</f>
        <v>10</v>
      </c>
    </row>
    <row r="81">
      <c r="A81" s="62"/>
      <c r="B81" s="129" t="s">
        <v>260</v>
      </c>
      <c r="C81" s="87" t="s">
        <v>73</v>
      </c>
      <c r="D81" s="89">
        <f>SUMIF('Executive Pay Breakdown'!K:K,$B81,'Executive Pay Breakdown'!M:M)+SUMIF('Executive Pay Breakdown'!O:O,$B81,'Executive Pay Breakdown'!Q:Q)+SUMIF('Executive Pay Breakdown'!S:S,$B81,'Executive Pay Breakdown'!U:U)+SUMIF('Executive Pay Breakdown'!W:W,$B81,'Executive Pay Breakdown'!Y:Y)+SUMIF('Executive Pay Breakdown'!AA:AA,$B81,'Executive Pay Breakdown'!AC:AC)</f>
        <v>44772975</v>
      </c>
      <c r="E81" s="109"/>
      <c r="F81" s="69">
        <f>SUMIF('Executive Pay Breakdown'!K:K,$B81,'Executive Pay Breakdown'!M:M)</f>
        <v>11618900</v>
      </c>
      <c r="G81" s="69">
        <f>SUMIF('Executive Pay Breakdown'!O:O,$B81,'Executive Pay Breakdown'!Q:Q)</f>
        <v>8603097</v>
      </c>
      <c r="H81" s="69">
        <f>SUMIF('Executive Pay Breakdown'!S:S,$B81,'Executive Pay Breakdown'!U:U)</f>
        <v>7427530</v>
      </c>
      <c r="I81" s="69">
        <f>SUMIF('Executive Pay Breakdown'!W:W,$B81,'Executive Pay Breakdown'!Y:Y)</f>
        <v>5459670</v>
      </c>
      <c r="J81" s="69">
        <f>SUMIF('Executive Pay Breakdown'!AA:AA,$B81,'Executive Pay Breakdown'!AC:AC)</f>
        <v>11663778</v>
      </c>
      <c r="K81" s="90"/>
      <c r="L81" s="212"/>
      <c r="M81" s="87"/>
      <c r="N81" s="230">
        <f t="shared" si="9"/>
        <v>-0.00384763839</v>
      </c>
      <c r="O81" s="120">
        <f>MATCH(C81,'Key Findings'!B:B,0)</f>
        <v>31</v>
      </c>
    </row>
    <row r="82">
      <c r="A82" s="62"/>
      <c r="B82" s="129" t="s">
        <v>314</v>
      </c>
      <c r="C82" s="87" t="s">
        <v>14</v>
      </c>
      <c r="D82" s="89">
        <f>SUMIF('Executive Pay Breakdown'!K:K,$B82,'Executive Pay Breakdown'!M:M)+SUMIF('Executive Pay Breakdown'!O:O,$B82,'Executive Pay Breakdown'!Q:Q)+SUMIF('Executive Pay Breakdown'!S:S,$B82,'Executive Pay Breakdown'!U:U)+SUMIF('Executive Pay Breakdown'!W:W,$B82,'Executive Pay Breakdown'!Y:Y)+SUMIF('Executive Pay Breakdown'!AA:AA,$B82,'Executive Pay Breakdown'!AC:AC)</f>
        <v>44429597</v>
      </c>
      <c r="E82" s="109"/>
      <c r="F82" s="69">
        <f>SUMIF('Executive Pay Breakdown'!K:K,$B82,'Executive Pay Breakdown'!M:M)</f>
        <v>0</v>
      </c>
      <c r="G82" s="69">
        <f>SUMIF('Executive Pay Breakdown'!O:O,$B82,'Executive Pay Breakdown'!Q:Q)</f>
        <v>15510315</v>
      </c>
      <c r="H82" s="69">
        <f>SUMIF('Executive Pay Breakdown'!S:S,$B82,'Executive Pay Breakdown'!U:U)</f>
        <v>8666267</v>
      </c>
      <c r="I82" s="69">
        <f>SUMIF('Executive Pay Breakdown'!W:W,$B82,'Executive Pay Breakdown'!Y:Y)</f>
        <v>10545619</v>
      </c>
      <c r="J82" s="69">
        <f>SUMIF('Executive Pay Breakdown'!AA:AA,$B82,'Executive Pay Breakdown'!AC:AC)</f>
        <v>9707396</v>
      </c>
      <c r="K82" s="90"/>
      <c r="L82" s="212"/>
      <c r="M82" s="87"/>
      <c r="N82" s="87"/>
      <c r="O82" s="120">
        <f>MATCH(C82,'Key Findings'!B:B,0)</f>
        <v>5</v>
      </c>
    </row>
    <row r="83">
      <c r="A83" s="62"/>
      <c r="B83" s="86" t="s">
        <v>279</v>
      </c>
      <c r="C83" s="87" t="s">
        <v>31</v>
      </c>
      <c r="D83" s="89">
        <f>SUMIF('Executive Pay Breakdown'!K:K,$B83,'Executive Pay Breakdown'!M:M)+SUMIF('Executive Pay Breakdown'!O:O,$B83,'Executive Pay Breakdown'!Q:Q)+SUMIF('Executive Pay Breakdown'!S:S,$B83,'Executive Pay Breakdown'!U:U)+SUMIF('Executive Pay Breakdown'!W:W,$B83,'Executive Pay Breakdown'!Y:Y)+SUMIF('Executive Pay Breakdown'!AA:AA,$B83,'Executive Pay Breakdown'!AC:AC)</f>
        <v>43904582</v>
      </c>
      <c r="E83" s="109"/>
      <c r="F83" s="69">
        <f>SUMIF('Executive Pay Breakdown'!K:K,$B83,'Executive Pay Breakdown'!M:M)</f>
        <v>5864935</v>
      </c>
      <c r="G83" s="69">
        <f>SUMIF('Executive Pay Breakdown'!O:O,$B83,'Executive Pay Breakdown'!Q:Q)</f>
        <v>9807836</v>
      </c>
      <c r="H83" s="69">
        <f>SUMIF('Executive Pay Breakdown'!S:S,$B83,'Executive Pay Breakdown'!U:U)</f>
        <v>10058353</v>
      </c>
      <c r="I83" s="69">
        <f>SUMIF('Executive Pay Breakdown'!W:W,$B83,'Executive Pay Breakdown'!Y:Y)</f>
        <v>9718998</v>
      </c>
      <c r="J83" s="69">
        <f>SUMIF('Executive Pay Breakdown'!AA:AA,$B83,'Executive Pay Breakdown'!AC:AC)</f>
        <v>8454460</v>
      </c>
      <c r="K83" s="90"/>
      <c r="L83" s="212"/>
      <c r="M83" s="87"/>
      <c r="N83" s="230">
        <f t="shared" ref="N83:N87" si="10">F83/J83-1</f>
        <v>-0.3062909991</v>
      </c>
      <c r="O83" s="120">
        <f>MATCH(C83,'Key Findings'!B:B,0)</f>
        <v>52</v>
      </c>
    </row>
    <row r="84">
      <c r="A84" s="71"/>
      <c r="B84" s="139" t="s">
        <v>133</v>
      </c>
      <c r="C84" s="87" t="s">
        <v>54</v>
      </c>
      <c r="D84" s="89">
        <f>SUMIF('Executive Pay Breakdown'!K:K,$B84,'Executive Pay Breakdown'!M:M)+SUMIF('Executive Pay Breakdown'!O:O,$B84,'Executive Pay Breakdown'!Q:Q)+SUMIF('Executive Pay Breakdown'!S:S,$B84,'Executive Pay Breakdown'!U:U)+SUMIF('Executive Pay Breakdown'!W:W,$B84,'Executive Pay Breakdown'!Y:Y)+SUMIF('Executive Pay Breakdown'!AA:AA,$B84,'Executive Pay Breakdown'!AC:AC)</f>
        <v>43654124</v>
      </c>
      <c r="E84" s="109"/>
      <c r="F84" s="69">
        <f>SUMIF('Executive Pay Breakdown'!K:K,$B84,'Executive Pay Breakdown'!M:M)</f>
        <v>15626967</v>
      </c>
      <c r="G84" s="69">
        <f>SUMIF('Executive Pay Breakdown'!O:O,$B84,'Executive Pay Breakdown'!Q:Q)</f>
        <v>11685716</v>
      </c>
      <c r="H84" s="69">
        <f>SUMIF('Executive Pay Breakdown'!S:S,$B84,'Executive Pay Breakdown'!U:U)</f>
        <v>11737410</v>
      </c>
      <c r="I84" s="69">
        <f>SUMIF('Executive Pay Breakdown'!W:W,$B84,'Executive Pay Breakdown'!Y:Y)</f>
        <v>2472763</v>
      </c>
      <c r="J84" s="69">
        <f>SUMIF('Executive Pay Breakdown'!AA:AA,$B84,'Executive Pay Breakdown'!AC:AC)</f>
        <v>2131268</v>
      </c>
      <c r="K84" s="90"/>
      <c r="L84" s="212"/>
      <c r="M84" s="87"/>
      <c r="N84" s="230">
        <f t="shared" si="10"/>
        <v>6.332239305</v>
      </c>
      <c r="O84" s="120">
        <f>MATCH(C84,'Key Findings'!B:B,0)</f>
        <v>19</v>
      </c>
    </row>
    <row r="85">
      <c r="A85" s="62"/>
      <c r="B85" s="125" t="s">
        <v>267</v>
      </c>
      <c r="C85" s="87" t="s">
        <v>51</v>
      </c>
      <c r="D85" s="89">
        <f>SUMIF('Executive Pay Breakdown'!K:K,$B85,'Executive Pay Breakdown'!M:M)+SUMIF('Executive Pay Breakdown'!O:O,$B85,'Executive Pay Breakdown'!Q:Q)+SUMIF('Executive Pay Breakdown'!S:S,$B85,'Executive Pay Breakdown'!U:U)+SUMIF('Executive Pay Breakdown'!W:W,$B85,'Executive Pay Breakdown'!Y:Y)+SUMIF('Executive Pay Breakdown'!AA:AA,$B85,'Executive Pay Breakdown'!AC:AC)</f>
        <v>43214719</v>
      </c>
      <c r="E85" s="109"/>
      <c r="F85" s="69">
        <f>SUMIF('Executive Pay Breakdown'!K:K,$B85,'Executive Pay Breakdown'!M:M)</f>
        <v>7305507</v>
      </c>
      <c r="G85" s="69">
        <f>SUMIF('Executive Pay Breakdown'!O:O,$B85,'Executive Pay Breakdown'!Q:Q)</f>
        <v>8105534</v>
      </c>
      <c r="H85" s="69">
        <f>SUMIF('Executive Pay Breakdown'!S:S,$B85,'Executive Pay Breakdown'!U:U)</f>
        <v>8353214</v>
      </c>
      <c r="I85" s="69">
        <f>SUMIF('Executive Pay Breakdown'!W:W,$B85,'Executive Pay Breakdown'!Y:Y)</f>
        <v>11420420</v>
      </c>
      <c r="J85" s="69">
        <f>SUMIF('Executive Pay Breakdown'!AA:AA,$B85,'Executive Pay Breakdown'!AC:AC)</f>
        <v>8030044</v>
      </c>
      <c r="K85" s="90"/>
      <c r="L85" s="212"/>
      <c r="M85" s="87"/>
      <c r="N85" s="230">
        <f t="shared" si="10"/>
        <v>-0.09022827272</v>
      </c>
      <c r="O85" s="120">
        <f>MATCH(C85,'Key Findings'!B:B,0)</f>
        <v>16</v>
      </c>
    </row>
    <row r="86">
      <c r="A86" s="62"/>
      <c r="B86" s="86" t="s">
        <v>148</v>
      </c>
      <c r="C86" s="233" t="s">
        <v>61</v>
      </c>
      <c r="D86" s="89">
        <f>SUMIF('Executive Pay Breakdown'!K:K,$B86,'Executive Pay Breakdown'!M:M)+SUMIF('Executive Pay Breakdown'!O:O,$B86,'Executive Pay Breakdown'!Q:Q)+SUMIF('Executive Pay Breakdown'!S:S,$B86,'Executive Pay Breakdown'!U:U)+SUMIF('Executive Pay Breakdown'!W:W,$B86,'Executive Pay Breakdown'!Y:Y)+SUMIF('Executive Pay Breakdown'!AA:AA,$B86,'Executive Pay Breakdown'!AC:AC)</f>
        <v>42298850</v>
      </c>
      <c r="E86" s="109"/>
      <c r="F86" s="69">
        <f>SUMIF('Executive Pay Breakdown'!K:K,$B86,'Executive Pay Breakdown'!M:M)</f>
        <v>14999106</v>
      </c>
      <c r="G86" s="69">
        <f>SUMIF('Executive Pay Breakdown'!O:O,$B86,'Executive Pay Breakdown'!Q:Q)</f>
        <v>7810141</v>
      </c>
      <c r="H86" s="69">
        <f>SUMIF('Executive Pay Breakdown'!S:S,$B86,'Executive Pay Breakdown'!U:U)</f>
        <v>7282978</v>
      </c>
      <c r="I86" s="69">
        <f>SUMIF('Executive Pay Breakdown'!W:W,$B86,'Executive Pay Breakdown'!Y:Y)</f>
        <v>6859533</v>
      </c>
      <c r="J86" s="69">
        <f>SUMIF('Executive Pay Breakdown'!AA:AA,$B86,'Executive Pay Breakdown'!AC:AC)</f>
        <v>5347092</v>
      </c>
      <c r="K86" s="90"/>
      <c r="L86" s="212"/>
      <c r="M86" s="87"/>
      <c r="N86" s="230">
        <f t="shared" si="10"/>
        <v>1.805095929</v>
      </c>
      <c r="O86" s="120">
        <f>MATCH(C86,'Key Findings'!B:B,0)</f>
        <v>22</v>
      </c>
    </row>
    <row r="87">
      <c r="A87" s="62"/>
      <c r="B87" s="120" t="s">
        <v>261</v>
      </c>
      <c r="C87" s="87" t="s">
        <v>14</v>
      </c>
      <c r="D87" s="89">
        <f>SUMIF('Executive Pay Breakdown'!K:K,$B87,'Executive Pay Breakdown'!M:M)+SUMIF('Executive Pay Breakdown'!O:O,$B87,'Executive Pay Breakdown'!Q:Q)+SUMIF('Executive Pay Breakdown'!S:S,$B87,'Executive Pay Breakdown'!U:U)+SUMIF('Executive Pay Breakdown'!W:W,$B87,'Executive Pay Breakdown'!Y:Y)+SUMIF('Executive Pay Breakdown'!AA:AA,$B87,'Executive Pay Breakdown'!AC:AC)</f>
        <v>42136057</v>
      </c>
      <c r="E87" s="109"/>
      <c r="F87" s="69">
        <f>SUMIF('Executive Pay Breakdown'!K:K,$B87,'Executive Pay Breakdown'!M:M)</f>
        <v>8881597</v>
      </c>
      <c r="G87" s="69">
        <f>SUMIF('Executive Pay Breakdown'!O:O,$B87,'Executive Pay Breakdown'!Q:Q)</f>
        <v>8005245</v>
      </c>
      <c r="H87" s="69">
        <f>SUMIF('Executive Pay Breakdown'!S:S,$B87,'Executive Pay Breakdown'!U:U)</f>
        <v>7832913</v>
      </c>
      <c r="I87" s="69">
        <f>SUMIF('Executive Pay Breakdown'!W:W,$B87,'Executive Pay Breakdown'!Y:Y)</f>
        <v>8294833</v>
      </c>
      <c r="J87" s="69">
        <f>SUMIF('Executive Pay Breakdown'!AA:AA,$B87,'Executive Pay Breakdown'!AC:AC)</f>
        <v>9121469</v>
      </c>
      <c r="K87" s="90"/>
      <c r="L87" s="212"/>
      <c r="M87" s="87"/>
      <c r="N87" s="230">
        <f t="shared" si="10"/>
        <v>-0.02629751852</v>
      </c>
      <c r="O87" s="120">
        <f>MATCH(C87,'Key Findings'!B:B,0)</f>
        <v>5</v>
      </c>
    </row>
    <row r="88">
      <c r="A88" s="81"/>
      <c r="B88" s="135" t="s">
        <v>329</v>
      </c>
      <c r="C88" s="87" t="s">
        <v>49</v>
      </c>
      <c r="D88" s="89">
        <f>SUMIF('Executive Pay Breakdown'!K:K,$B88,'Executive Pay Breakdown'!M:M)+SUMIF('Executive Pay Breakdown'!O:O,$B88,'Executive Pay Breakdown'!Q:Q)+SUMIF('Executive Pay Breakdown'!S:S,$B88,'Executive Pay Breakdown'!U:U)+SUMIF('Executive Pay Breakdown'!W:W,$B88,'Executive Pay Breakdown'!Y:Y)+SUMIF('Executive Pay Breakdown'!AA:AA,$B88,'Executive Pay Breakdown'!AC:AC)</f>
        <v>41890620</v>
      </c>
      <c r="E88" s="109"/>
      <c r="F88" s="69">
        <f>SUMIF('Executive Pay Breakdown'!K:K,$B88,'Executive Pay Breakdown'!M:M)</f>
        <v>13312646</v>
      </c>
      <c r="G88" s="69">
        <f>SUMIF('Executive Pay Breakdown'!O:O,$B88,'Executive Pay Breakdown'!Q:Q)</f>
        <v>12329529</v>
      </c>
      <c r="H88" s="69">
        <f>SUMIF('Executive Pay Breakdown'!S:S,$B88,'Executive Pay Breakdown'!U:U)</f>
        <v>8572120</v>
      </c>
      <c r="I88" s="69">
        <f>SUMIF('Executive Pay Breakdown'!W:W,$B88,'Executive Pay Breakdown'!Y:Y)</f>
        <v>7676325</v>
      </c>
      <c r="J88" s="69">
        <f>SUMIF('Executive Pay Breakdown'!AA:AA,$B88,'Executive Pay Breakdown'!AC:AC)</f>
        <v>0</v>
      </c>
      <c r="K88" s="90"/>
      <c r="L88" s="212"/>
      <c r="M88" s="87"/>
      <c r="N88" s="230"/>
      <c r="O88" s="120">
        <f>MATCH(C88,'Key Findings'!B:B,0)</f>
        <v>14</v>
      </c>
    </row>
    <row r="89">
      <c r="A89" s="81"/>
      <c r="B89" s="135" t="s">
        <v>330</v>
      </c>
      <c r="C89" s="87" t="s">
        <v>49</v>
      </c>
      <c r="D89" s="89">
        <f>SUMIF('Executive Pay Breakdown'!K:K,$B89,'Executive Pay Breakdown'!M:M)+SUMIF('Executive Pay Breakdown'!O:O,$B89,'Executive Pay Breakdown'!Q:Q)+SUMIF('Executive Pay Breakdown'!S:S,$B89,'Executive Pay Breakdown'!U:U)+SUMIF('Executive Pay Breakdown'!W:W,$B89,'Executive Pay Breakdown'!Y:Y)+SUMIF('Executive Pay Breakdown'!AA:AA,$B89,'Executive Pay Breakdown'!AC:AC)</f>
        <v>41607845</v>
      </c>
      <c r="E89" s="109"/>
      <c r="F89" s="69">
        <f>SUMIF('Executive Pay Breakdown'!K:K,$B89,'Executive Pay Breakdown'!M:M)</f>
        <v>0</v>
      </c>
      <c r="G89" s="69">
        <f>SUMIF('Executive Pay Breakdown'!O:O,$B89,'Executive Pay Breakdown'!Q:Q)</f>
        <v>0</v>
      </c>
      <c r="H89" s="69">
        <f>SUMIF('Executive Pay Breakdown'!S:S,$B89,'Executive Pay Breakdown'!U:U)</f>
        <v>0</v>
      </c>
      <c r="I89" s="69">
        <f>SUMIF('Executive Pay Breakdown'!W:W,$B89,'Executive Pay Breakdown'!Y:Y)</f>
        <v>27021978</v>
      </c>
      <c r="J89" s="69">
        <f>SUMIF('Executive Pay Breakdown'!AA:AA,$B89,'Executive Pay Breakdown'!AC:AC)</f>
        <v>14585867</v>
      </c>
      <c r="K89" s="90"/>
      <c r="L89" s="212"/>
      <c r="M89" s="87"/>
      <c r="N89" s="87"/>
      <c r="O89" s="120">
        <f>MATCH(C89,'Key Findings'!B:B,0)</f>
        <v>14</v>
      </c>
    </row>
    <row r="90">
      <c r="A90" s="81"/>
      <c r="B90" s="137" t="s">
        <v>296</v>
      </c>
      <c r="C90" s="87" t="str">
        <f t="array" ref="C90">INDEX('Executive Pay Breakdown'!B:B,MATCH(B90,'Executive Pay Breakdown'!O:O,0))</f>
        <v>Darden Restaurants</v>
      </c>
      <c r="D90" s="89">
        <f>SUMIF('Executive Pay Breakdown'!K:K,$B90,'Executive Pay Breakdown'!M:M)+SUMIF('Executive Pay Breakdown'!O:O,$B90,'Executive Pay Breakdown'!Q:Q)+SUMIF('Executive Pay Breakdown'!S:S,$B90,'Executive Pay Breakdown'!U:U)+SUMIF('Executive Pay Breakdown'!W:W,$B90,'Executive Pay Breakdown'!Y:Y)+SUMIF('Executive Pay Breakdown'!AA:AA,$B90,'Executive Pay Breakdown'!AC:AC)</f>
        <v>41419312</v>
      </c>
      <c r="E90" s="109"/>
      <c r="F90" s="69">
        <f>SUMIF('Executive Pay Breakdown'!K:K,$B90,'Executive Pay Breakdown'!M:M)</f>
        <v>0</v>
      </c>
      <c r="G90" s="69">
        <f>SUMIF('Executive Pay Breakdown'!O:O,$B90,'Executive Pay Breakdown'!Q:Q)</f>
        <v>11891841</v>
      </c>
      <c r="H90" s="69">
        <f>SUMIF('Executive Pay Breakdown'!S:S,$B90,'Executive Pay Breakdown'!U:U)</f>
        <v>10128186</v>
      </c>
      <c r="I90" s="69">
        <f>SUMIF('Executive Pay Breakdown'!W:W,$B90,'Executive Pay Breakdown'!Y:Y)</f>
        <v>8688707</v>
      </c>
      <c r="J90" s="69">
        <f>SUMIF('Executive Pay Breakdown'!AA:AA,$B90,'Executive Pay Breakdown'!AC:AC)</f>
        <v>10710578</v>
      </c>
      <c r="K90" s="90"/>
      <c r="L90" s="212"/>
      <c r="M90" s="87"/>
      <c r="N90" s="230"/>
      <c r="O90" s="120">
        <f>MATCH(C90,'Key Findings'!B:B,0)</f>
        <v>53</v>
      </c>
    </row>
    <row r="91">
      <c r="A91" s="62"/>
      <c r="B91" s="127" t="s">
        <v>315</v>
      </c>
      <c r="C91" s="87" t="s">
        <v>13</v>
      </c>
      <c r="D91" s="89">
        <f>SUMIF('Executive Pay Breakdown'!K:K,$B91,'Executive Pay Breakdown'!M:M)+SUMIF('Executive Pay Breakdown'!O:O,$B91,'Executive Pay Breakdown'!Q:Q)+SUMIF('Executive Pay Breakdown'!S:S,$B91,'Executive Pay Breakdown'!U:U)+SUMIF('Executive Pay Breakdown'!W:W,$B91,'Executive Pay Breakdown'!Y:Y)+SUMIF('Executive Pay Breakdown'!AA:AA,$B91,'Executive Pay Breakdown'!AC:AC)</f>
        <v>40138929</v>
      </c>
      <c r="E91" s="109"/>
      <c r="F91" s="69">
        <f>SUMIF('Executive Pay Breakdown'!K:K,$B91,'Executive Pay Breakdown'!M:M)</f>
        <v>0</v>
      </c>
      <c r="G91" s="69">
        <f>SUMIF('Executive Pay Breakdown'!O:O,$B91,'Executive Pay Breakdown'!Q:Q)</f>
        <v>0</v>
      </c>
      <c r="H91" s="69">
        <f>SUMIF('Executive Pay Breakdown'!S:S,$B91,'Executive Pay Breakdown'!U:U)</f>
        <v>9396212</v>
      </c>
      <c r="I91" s="69">
        <f>SUMIF('Executive Pay Breakdown'!W:W,$B91,'Executive Pay Breakdown'!Y:Y)</f>
        <v>22276193</v>
      </c>
      <c r="J91" s="69">
        <f>SUMIF('Executive Pay Breakdown'!AA:AA,$B91,'Executive Pay Breakdown'!AC:AC)</f>
        <v>8466524</v>
      </c>
      <c r="K91" s="90"/>
      <c r="L91" s="212"/>
      <c r="M91" s="87"/>
      <c r="N91" s="87"/>
      <c r="O91" s="120">
        <f>MATCH(C91,'Key Findings'!B:B,0)</f>
        <v>11</v>
      </c>
    </row>
    <row r="92">
      <c r="A92" s="62"/>
      <c r="B92" s="86" t="s">
        <v>147</v>
      </c>
      <c r="C92" s="87" t="s">
        <v>43</v>
      </c>
      <c r="D92" s="89">
        <f>SUMIF('Executive Pay Breakdown'!K:K,$B92,'Executive Pay Breakdown'!M:M)+SUMIF('Executive Pay Breakdown'!O:O,$B92,'Executive Pay Breakdown'!Q:Q)+SUMIF('Executive Pay Breakdown'!S:S,$B92,'Executive Pay Breakdown'!U:U)+SUMIF('Executive Pay Breakdown'!W:W,$B92,'Executive Pay Breakdown'!Y:Y)+SUMIF('Executive Pay Breakdown'!AA:AA,$B92,'Executive Pay Breakdown'!AC:AC)</f>
        <v>38829320</v>
      </c>
      <c r="E92" s="109"/>
      <c r="F92" s="69">
        <f>SUMIF('Executive Pay Breakdown'!K:K,$B92,'Executive Pay Breakdown'!M:M)</f>
        <v>7286977</v>
      </c>
      <c r="G92" s="69">
        <f>SUMIF('Executive Pay Breakdown'!O:O,$B92,'Executive Pay Breakdown'!Q:Q)</f>
        <v>10449260</v>
      </c>
      <c r="H92" s="69">
        <f>SUMIF('Executive Pay Breakdown'!S:S,$B92,'Executive Pay Breakdown'!U:U)</f>
        <v>11020134</v>
      </c>
      <c r="I92" s="69">
        <f>SUMIF('Executive Pay Breakdown'!W:W,$B92,'Executive Pay Breakdown'!Y:Y)</f>
        <v>7619999</v>
      </c>
      <c r="J92" s="69">
        <f>SUMIF('Executive Pay Breakdown'!AA:AA,$B92,'Executive Pay Breakdown'!AC:AC)</f>
        <v>2452950</v>
      </c>
      <c r="K92" s="90"/>
      <c r="L92" s="212"/>
      <c r="M92" s="87"/>
      <c r="N92" s="230">
        <f t="shared" ref="N92:N94" si="11">F92/J92-1</f>
        <v>1.970699362</v>
      </c>
      <c r="O92" s="120">
        <f>MATCH(C92,'Key Findings'!B:B,0)</f>
        <v>63</v>
      </c>
    </row>
    <row r="93">
      <c r="A93" s="81"/>
      <c r="B93" s="134" t="s">
        <v>254</v>
      </c>
      <c r="C93" s="87" t="s">
        <v>65</v>
      </c>
      <c r="D93" s="89">
        <f>SUMIF('Executive Pay Breakdown'!K:K,$B93,'Executive Pay Breakdown'!M:M)+SUMIF('Executive Pay Breakdown'!O:O,$B93,'Executive Pay Breakdown'!Q:Q)+SUMIF('Executive Pay Breakdown'!S:S,$B93,'Executive Pay Breakdown'!U:U)+SUMIF('Executive Pay Breakdown'!W:W,$B93,'Executive Pay Breakdown'!Y:Y)+SUMIF('Executive Pay Breakdown'!AA:AA,$B93,'Executive Pay Breakdown'!AC:AC)</f>
        <v>38721367</v>
      </c>
      <c r="E93" s="109"/>
      <c r="F93" s="69">
        <f>SUMIF('Executive Pay Breakdown'!K:K,$B93,'Executive Pay Breakdown'!M:M)</f>
        <v>7755200</v>
      </c>
      <c r="G93" s="69">
        <f>SUMIF('Executive Pay Breakdown'!O:O,$B93,'Executive Pay Breakdown'!Q:Q)</f>
        <v>8094974</v>
      </c>
      <c r="H93" s="69">
        <f>SUMIF('Executive Pay Breakdown'!S:S,$B93,'Executive Pay Breakdown'!U:U)</f>
        <v>8548754</v>
      </c>
      <c r="I93" s="69">
        <f>SUMIF('Executive Pay Breakdown'!W:W,$B93,'Executive Pay Breakdown'!Y:Y)</f>
        <v>6825067</v>
      </c>
      <c r="J93" s="69">
        <f>SUMIF('Executive Pay Breakdown'!AA:AA,$B93,'Executive Pay Breakdown'!AC:AC)</f>
        <v>7497372</v>
      </c>
      <c r="K93" s="90"/>
      <c r="L93" s="212"/>
      <c r="M93" s="87"/>
      <c r="N93" s="230">
        <f t="shared" si="11"/>
        <v>0.03438911661</v>
      </c>
      <c r="O93" s="120">
        <f>MATCH(C93,'Key Findings'!B:B,0)</f>
        <v>24</v>
      </c>
    </row>
    <row r="94">
      <c r="A94" s="62"/>
      <c r="B94" s="86" t="s">
        <v>241</v>
      </c>
      <c r="C94" s="233" t="s">
        <v>63</v>
      </c>
      <c r="D94" s="89">
        <f>SUMIF('Executive Pay Breakdown'!K:K,$B94,'Executive Pay Breakdown'!M:M)+SUMIF('Executive Pay Breakdown'!O:O,$B94,'Executive Pay Breakdown'!Q:Q)+SUMIF('Executive Pay Breakdown'!S:S,$B94,'Executive Pay Breakdown'!U:U)+SUMIF('Executive Pay Breakdown'!W:W,$B94,'Executive Pay Breakdown'!Y:Y)+SUMIF('Executive Pay Breakdown'!AA:AA,$B94,'Executive Pay Breakdown'!AC:AC)</f>
        <v>38028619</v>
      </c>
      <c r="E94" s="109"/>
      <c r="F94" s="69">
        <f>SUMIF('Executive Pay Breakdown'!K:K,$B94,'Executive Pay Breakdown'!M:M)</f>
        <v>6611316</v>
      </c>
      <c r="G94" s="69">
        <f>SUMIF('Executive Pay Breakdown'!O:O,$B94,'Executive Pay Breakdown'!Q:Q)</f>
        <v>12184259</v>
      </c>
      <c r="H94" s="69">
        <f>SUMIF('Executive Pay Breakdown'!S:S,$B94,'Executive Pay Breakdown'!U:U)</f>
        <v>6674117</v>
      </c>
      <c r="I94" s="69">
        <f>SUMIF('Executive Pay Breakdown'!W:W,$B94,'Executive Pay Breakdown'!Y:Y)</f>
        <v>6516082</v>
      </c>
      <c r="J94" s="69">
        <f>SUMIF('Executive Pay Breakdown'!AA:AA,$B94,'Executive Pay Breakdown'!AC:AC)</f>
        <v>6042845</v>
      </c>
      <c r="K94" s="90"/>
      <c r="L94" s="212"/>
      <c r="M94" s="87"/>
      <c r="N94" s="230">
        <f t="shared" si="11"/>
        <v>0.09407340417</v>
      </c>
      <c r="O94" s="120">
        <f>MATCH(C94,'Key Findings'!B:B,0)</f>
        <v>29</v>
      </c>
    </row>
    <row r="95">
      <c r="A95" s="62"/>
      <c r="B95" s="135" t="s">
        <v>371</v>
      </c>
      <c r="C95" s="87" t="s">
        <v>51</v>
      </c>
      <c r="D95" s="89">
        <f>SUMIF('Executive Pay Breakdown'!K:K,$B95,'Executive Pay Breakdown'!M:M)+SUMIF('Executive Pay Breakdown'!O:O,$B95,'Executive Pay Breakdown'!Q:Q)+SUMIF('Executive Pay Breakdown'!S:S,$B95,'Executive Pay Breakdown'!U:U)+SUMIF('Executive Pay Breakdown'!W:W,$B95,'Executive Pay Breakdown'!Y:Y)+SUMIF('Executive Pay Breakdown'!AA:AA,$B95,'Executive Pay Breakdown'!AC:AC)</f>
        <v>37887483</v>
      </c>
      <c r="E95" s="109"/>
      <c r="F95" s="69">
        <f>SUMIF('Executive Pay Breakdown'!K:K,$B95,'Executive Pay Breakdown'!M:M)</f>
        <v>0</v>
      </c>
      <c r="G95" s="69">
        <f>SUMIF('Executive Pay Breakdown'!O:O,$B95,'Executive Pay Breakdown'!Q:Q)</f>
        <v>9076011</v>
      </c>
      <c r="H95" s="69">
        <f>SUMIF('Executive Pay Breakdown'!S:S,$B95,'Executive Pay Breakdown'!U:U)</f>
        <v>7952258</v>
      </c>
      <c r="I95" s="69">
        <f>SUMIF('Executive Pay Breakdown'!W:W,$B95,'Executive Pay Breakdown'!Y:Y)</f>
        <v>13009803</v>
      </c>
      <c r="J95" s="69">
        <f>SUMIF('Executive Pay Breakdown'!AA:AA,$B95,'Executive Pay Breakdown'!AC:AC)</f>
        <v>7849411</v>
      </c>
      <c r="K95" s="90"/>
      <c r="L95" s="212"/>
      <c r="M95" s="87"/>
      <c r="N95" s="87"/>
      <c r="O95" s="120">
        <f>MATCH(C95,'Key Findings'!B:B,0)</f>
        <v>16</v>
      </c>
    </row>
    <row r="96">
      <c r="A96" s="62"/>
      <c r="B96" s="125" t="s">
        <v>379</v>
      </c>
      <c r="C96" s="87" t="s">
        <v>29</v>
      </c>
      <c r="D96" s="89">
        <f>SUMIF('Executive Pay Breakdown'!K:K,$B96,'Executive Pay Breakdown'!M:M)+SUMIF('Executive Pay Breakdown'!O:O,$B96,'Executive Pay Breakdown'!Q:Q)+SUMIF('Executive Pay Breakdown'!S:S,$B96,'Executive Pay Breakdown'!U:U)+SUMIF('Executive Pay Breakdown'!W:W,$B96,'Executive Pay Breakdown'!Y:Y)+SUMIF('Executive Pay Breakdown'!AA:AA,$B96,'Executive Pay Breakdown'!AC:AC)</f>
        <v>37504209</v>
      </c>
      <c r="E96" s="109"/>
      <c r="F96" s="69">
        <f>SUMIF('Executive Pay Breakdown'!K:K,$B96,'Executive Pay Breakdown'!M:M)</f>
        <v>0</v>
      </c>
      <c r="G96" s="69">
        <f>SUMIF('Executive Pay Breakdown'!O:O,$B96,'Executive Pay Breakdown'!Q:Q)</f>
        <v>0</v>
      </c>
      <c r="H96" s="69">
        <f>SUMIF('Executive Pay Breakdown'!S:S,$B96,'Executive Pay Breakdown'!U:U)</f>
        <v>1232157</v>
      </c>
      <c r="I96" s="69">
        <f>SUMIF('Executive Pay Breakdown'!W:W,$B96,'Executive Pay Breakdown'!Y:Y)</f>
        <v>19310896</v>
      </c>
      <c r="J96" s="69">
        <f>SUMIF('Executive Pay Breakdown'!AA:AA,$B96,'Executive Pay Breakdown'!AC:AC)</f>
        <v>16961156</v>
      </c>
      <c r="K96" s="90"/>
      <c r="L96" s="212"/>
      <c r="M96" s="87"/>
      <c r="N96" s="87"/>
      <c r="O96" s="120">
        <f>MATCH(C96,'Key Findings'!B:B,0)</f>
        <v>13</v>
      </c>
    </row>
    <row r="97">
      <c r="A97" s="62"/>
      <c r="B97" s="130" t="s">
        <v>354</v>
      </c>
      <c r="C97" s="87" t="s">
        <v>23</v>
      </c>
      <c r="D97" s="89">
        <f>SUMIF('Executive Pay Breakdown'!K:K,$B97,'Executive Pay Breakdown'!M:M)+SUMIF('Executive Pay Breakdown'!O:O,$B97,'Executive Pay Breakdown'!Q:Q)+SUMIF('Executive Pay Breakdown'!S:S,$B97,'Executive Pay Breakdown'!U:U)+SUMIF('Executive Pay Breakdown'!W:W,$B97,'Executive Pay Breakdown'!Y:Y)+SUMIF('Executive Pay Breakdown'!AA:AA,$B97,'Executive Pay Breakdown'!AC:AC)</f>
        <v>37473650</v>
      </c>
      <c r="E97" s="109"/>
      <c r="F97" s="69">
        <f>SUMIF('Executive Pay Breakdown'!K:K,$B97,'Executive Pay Breakdown'!M:M)</f>
        <v>0</v>
      </c>
      <c r="G97" s="69">
        <f>SUMIF('Executive Pay Breakdown'!O:O,$B97,'Executive Pay Breakdown'!Q:Q)</f>
        <v>9287113</v>
      </c>
      <c r="H97" s="69">
        <f>SUMIF('Executive Pay Breakdown'!S:S,$B97,'Executive Pay Breakdown'!U:U)</f>
        <v>10143927</v>
      </c>
      <c r="I97" s="69">
        <f>SUMIF('Executive Pay Breakdown'!W:W,$B97,'Executive Pay Breakdown'!Y:Y)</f>
        <v>10945741</v>
      </c>
      <c r="J97" s="69">
        <f>SUMIF('Executive Pay Breakdown'!AA:AA,$B97,'Executive Pay Breakdown'!AC:AC)</f>
        <v>7096869</v>
      </c>
      <c r="K97" s="90"/>
      <c r="L97" s="212"/>
      <c r="M97" s="87"/>
      <c r="N97" s="87"/>
      <c r="O97" s="120">
        <f>MATCH(C97,'Key Findings'!B:B,0)</f>
        <v>55</v>
      </c>
    </row>
    <row r="98">
      <c r="A98" s="62"/>
      <c r="B98" s="86" t="s">
        <v>136</v>
      </c>
      <c r="C98" s="233" t="s">
        <v>71</v>
      </c>
      <c r="D98" s="89">
        <f>SUMIF('Executive Pay Breakdown'!K:K,$B98,'Executive Pay Breakdown'!M:M)+SUMIF('Executive Pay Breakdown'!O:O,$B98,'Executive Pay Breakdown'!Q:Q)+SUMIF('Executive Pay Breakdown'!S:S,$B98,'Executive Pay Breakdown'!U:U)+SUMIF('Executive Pay Breakdown'!W:W,$B98,'Executive Pay Breakdown'!Y:Y)+SUMIF('Executive Pay Breakdown'!AA:AA,$B98,'Executive Pay Breakdown'!AC:AC)</f>
        <v>37048505</v>
      </c>
      <c r="E98" s="109"/>
      <c r="F98" s="69">
        <f>SUMIF('Executive Pay Breakdown'!K:K,$B98,'Executive Pay Breakdown'!M:M)</f>
        <v>10979854</v>
      </c>
      <c r="G98" s="69">
        <f>SUMIF('Executive Pay Breakdown'!O:O,$B98,'Executive Pay Breakdown'!Q:Q)</f>
        <v>9782143</v>
      </c>
      <c r="H98" s="69">
        <f>SUMIF('Executive Pay Breakdown'!S:S,$B98,'Executive Pay Breakdown'!U:U)</f>
        <v>7549789</v>
      </c>
      <c r="I98" s="69">
        <f>SUMIF('Executive Pay Breakdown'!W:W,$B98,'Executive Pay Breakdown'!Y:Y)</f>
        <v>6086329</v>
      </c>
      <c r="J98" s="69">
        <f>SUMIF('Executive Pay Breakdown'!AA:AA,$B98,'Executive Pay Breakdown'!AC:AC)</f>
        <v>2650390</v>
      </c>
      <c r="K98" s="90"/>
      <c r="L98" s="212"/>
      <c r="M98" s="87"/>
      <c r="N98" s="230">
        <f>F98/J98-1</f>
        <v>3.142731447</v>
      </c>
      <c r="O98" s="120">
        <f>MATCH(C98,'Key Findings'!B:B,0)</f>
        <v>58</v>
      </c>
    </row>
    <row r="99">
      <c r="A99" s="81"/>
      <c r="B99" s="133" t="s">
        <v>380</v>
      </c>
      <c r="C99" s="87" t="s">
        <v>52</v>
      </c>
      <c r="D99" s="89">
        <f>SUMIF('Executive Pay Breakdown'!K:K,$B99,'Executive Pay Breakdown'!M:M)+SUMIF('Executive Pay Breakdown'!O:O,$B99,'Executive Pay Breakdown'!Q:Q)+SUMIF('Executive Pay Breakdown'!S:S,$B99,'Executive Pay Breakdown'!U:U)+SUMIF('Executive Pay Breakdown'!W:W,$B99,'Executive Pay Breakdown'!Y:Y)+SUMIF('Executive Pay Breakdown'!AA:AA,$B99,'Executive Pay Breakdown'!AC:AC)</f>
        <v>36300789</v>
      </c>
      <c r="E99" s="109"/>
      <c r="F99" s="69">
        <f>SUMIF('Executive Pay Breakdown'!K:K,$B99,'Executive Pay Breakdown'!M:M)</f>
        <v>0</v>
      </c>
      <c r="G99" s="69">
        <f>SUMIF('Executive Pay Breakdown'!O:O,$B99,'Executive Pay Breakdown'!Q:Q)</f>
        <v>0</v>
      </c>
      <c r="H99" s="69">
        <f>SUMIF('Executive Pay Breakdown'!S:S,$B99,'Executive Pay Breakdown'!U:U)</f>
        <v>0</v>
      </c>
      <c r="I99" s="69">
        <f>SUMIF('Executive Pay Breakdown'!W:W,$B99,'Executive Pay Breakdown'!Y:Y)</f>
        <v>30116540</v>
      </c>
      <c r="J99" s="69">
        <f>SUMIF('Executive Pay Breakdown'!AA:AA,$B99,'Executive Pay Breakdown'!AC:AC)</f>
        <v>6184249</v>
      </c>
      <c r="K99" s="90"/>
      <c r="L99" s="212"/>
      <c r="M99" s="87"/>
      <c r="N99" s="87"/>
      <c r="O99" s="120">
        <f>MATCH(C99,'Key Findings'!B:B,0)</f>
        <v>21</v>
      </c>
    </row>
    <row r="100">
      <c r="A100" s="62"/>
      <c r="B100" s="86" t="s">
        <v>144</v>
      </c>
      <c r="C100" s="87" t="s">
        <v>37</v>
      </c>
      <c r="D100" s="89">
        <f>SUMIF('Executive Pay Breakdown'!K:K,$B100,'Executive Pay Breakdown'!M:M)+SUMIF('Executive Pay Breakdown'!O:O,$B100,'Executive Pay Breakdown'!Q:Q)+SUMIF('Executive Pay Breakdown'!S:S,$B100,'Executive Pay Breakdown'!U:U)+SUMIF('Executive Pay Breakdown'!W:W,$B100,'Executive Pay Breakdown'!Y:Y)+SUMIF('Executive Pay Breakdown'!AA:AA,$B100,'Executive Pay Breakdown'!AC:AC)</f>
        <v>35944103</v>
      </c>
      <c r="E100" s="109"/>
      <c r="F100" s="69">
        <f>SUMIF('Executive Pay Breakdown'!K:K,$B100,'Executive Pay Breakdown'!M:M)</f>
        <v>9146575</v>
      </c>
      <c r="G100" s="69">
        <f>SUMIF('Executive Pay Breakdown'!O:O,$B100,'Executive Pay Breakdown'!Q:Q)</f>
        <v>11356481</v>
      </c>
      <c r="H100" s="69">
        <f>SUMIF('Executive Pay Breakdown'!S:S,$B100,'Executive Pay Breakdown'!U:U)</f>
        <v>7774443</v>
      </c>
      <c r="I100" s="69">
        <f>SUMIF('Executive Pay Breakdown'!W:W,$B100,'Executive Pay Breakdown'!Y:Y)</f>
        <v>4731409</v>
      </c>
      <c r="J100" s="69">
        <f>SUMIF('Executive Pay Breakdown'!AA:AA,$B100,'Executive Pay Breakdown'!AC:AC)</f>
        <v>2935195</v>
      </c>
      <c r="K100" s="90"/>
      <c r="L100" s="212"/>
      <c r="M100" s="87"/>
      <c r="N100" s="230">
        <f t="shared" ref="N100:N101" si="12">F100/J100-1</f>
        <v>2.116172861</v>
      </c>
      <c r="O100" s="120">
        <f>MATCH(C100,'Key Findings'!B:B,0)</f>
        <v>44</v>
      </c>
    </row>
    <row r="101">
      <c r="A101" s="62"/>
      <c r="B101" s="129" t="s">
        <v>235</v>
      </c>
      <c r="C101" s="87" t="s">
        <v>19</v>
      </c>
      <c r="D101" s="89">
        <f>SUMIF('Executive Pay Breakdown'!K:K,$B101,'Executive Pay Breakdown'!M:M)+SUMIF('Executive Pay Breakdown'!O:O,$B101,'Executive Pay Breakdown'!Q:Q)+SUMIF('Executive Pay Breakdown'!S:S,$B101,'Executive Pay Breakdown'!U:U)+SUMIF('Executive Pay Breakdown'!W:W,$B101,'Executive Pay Breakdown'!Y:Y)+SUMIF('Executive Pay Breakdown'!AA:AA,$B101,'Executive Pay Breakdown'!AC:AC)</f>
        <v>35504046</v>
      </c>
      <c r="E101" s="109"/>
      <c r="F101" s="69">
        <f>SUMIF('Executive Pay Breakdown'!K:K,$B101,'Executive Pay Breakdown'!M:M)</f>
        <v>7720500</v>
      </c>
      <c r="G101" s="69">
        <f>SUMIF('Executive Pay Breakdown'!O:O,$B101,'Executive Pay Breakdown'!Q:Q)</f>
        <v>7128340</v>
      </c>
      <c r="H101" s="69">
        <f>SUMIF('Executive Pay Breakdown'!S:S,$B101,'Executive Pay Breakdown'!U:U)</f>
        <v>6839384</v>
      </c>
      <c r="I101" s="69">
        <f>SUMIF('Executive Pay Breakdown'!W:W,$B101,'Executive Pay Breakdown'!Y:Y)</f>
        <v>7088939</v>
      </c>
      <c r="J101" s="69">
        <f>SUMIF('Executive Pay Breakdown'!AA:AA,$B101,'Executive Pay Breakdown'!AC:AC)</f>
        <v>6726883</v>
      </c>
      <c r="K101" s="90"/>
      <c r="L101" s="212"/>
      <c r="M101" s="87"/>
      <c r="N101" s="230">
        <f t="shared" si="12"/>
        <v>0.1477083814</v>
      </c>
      <c r="O101" s="120">
        <f>MATCH(C101,'Key Findings'!B:B,0)</f>
        <v>6</v>
      </c>
    </row>
    <row r="102">
      <c r="A102" s="62"/>
      <c r="B102" s="86" t="s">
        <v>361</v>
      </c>
      <c r="C102" s="87" t="s">
        <v>37</v>
      </c>
      <c r="D102" s="89">
        <f>SUMIF('Executive Pay Breakdown'!K:K,$B102,'Executive Pay Breakdown'!M:M)+SUMIF('Executive Pay Breakdown'!O:O,$B102,'Executive Pay Breakdown'!Q:Q)+SUMIF('Executive Pay Breakdown'!S:S,$B102,'Executive Pay Breakdown'!U:U)+SUMIF('Executive Pay Breakdown'!W:W,$B102,'Executive Pay Breakdown'!Y:Y)+SUMIF('Executive Pay Breakdown'!AA:AA,$B102,'Executive Pay Breakdown'!AC:AC)</f>
        <v>35407465</v>
      </c>
      <c r="E102" s="109"/>
      <c r="F102" s="69">
        <f>SUMIF('Executive Pay Breakdown'!K:K,$B102,'Executive Pay Breakdown'!M:M)</f>
        <v>0</v>
      </c>
      <c r="G102" s="69">
        <f>SUMIF('Executive Pay Breakdown'!O:O,$B102,'Executive Pay Breakdown'!Q:Q)</f>
        <v>0</v>
      </c>
      <c r="H102" s="69">
        <f>SUMIF('Executive Pay Breakdown'!S:S,$B102,'Executive Pay Breakdown'!U:U)</f>
        <v>9926113</v>
      </c>
      <c r="I102" s="69">
        <f>SUMIF('Executive Pay Breakdown'!W:W,$B102,'Executive Pay Breakdown'!Y:Y)</f>
        <v>14142567</v>
      </c>
      <c r="J102" s="69">
        <f>SUMIF('Executive Pay Breakdown'!AA:AA,$B102,'Executive Pay Breakdown'!AC:AC)</f>
        <v>11338785</v>
      </c>
      <c r="K102" s="90"/>
      <c r="L102" s="212"/>
      <c r="M102" s="87"/>
      <c r="N102" s="87"/>
      <c r="O102" s="120">
        <f>MATCH(C102,'Key Findings'!B:B,0)</f>
        <v>44</v>
      </c>
    </row>
    <row r="103">
      <c r="A103" s="62"/>
      <c r="B103" s="125" t="s">
        <v>375</v>
      </c>
      <c r="C103" s="87" t="s">
        <v>51</v>
      </c>
      <c r="D103" s="89">
        <f>SUMIF('Executive Pay Breakdown'!K:K,$B103,'Executive Pay Breakdown'!M:M)+SUMIF('Executive Pay Breakdown'!O:O,$B103,'Executive Pay Breakdown'!Q:Q)+SUMIF('Executive Pay Breakdown'!S:S,$B103,'Executive Pay Breakdown'!U:U)+SUMIF('Executive Pay Breakdown'!W:W,$B103,'Executive Pay Breakdown'!Y:Y)+SUMIF('Executive Pay Breakdown'!AA:AA,$B103,'Executive Pay Breakdown'!AC:AC)</f>
        <v>35075565</v>
      </c>
      <c r="E103" s="109"/>
      <c r="F103" s="69">
        <f>SUMIF('Executive Pay Breakdown'!K:K,$B103,'Executive Pay Breakdown'!M:M)</f>
        <v>7560678</v>
      </c>
      <c r="G103" s="69">
        <f>SUMIF('Executive Pay Breakdown'!O:O,$B103,'Executive Pay Breakdown'!Q:Q)</f>
        <v>7988380</v>
      </c>
      <c r="H103" s="69">
        <f>SUMIF('Executive Pay Breakdown'!S:S,$B103,'Executive Pay Breakdown'!U:U)</f>
        <v>9704974</v>
      </c>
      <c r="I103" s="69">
        <f>SUMIF('Executive Pay Breakdown'!W:W,$B103,'Executive Pay Breakdown'!Y:Y)</f>
        <v>9821533</v>
      </c>
      <c r="J103" s="69">
        <f>SUMIF('Executive Pay Breakdown'!AA:AA,$B103,'Executive Pay Breakdown'!AC:AC)</f>
        <v>0</v>
      </c>
      <c r="K103" s="90"/>
      <c r="L103" s="212"/>
      <c r="M103" s="87"/>
      <c r="N103" s="230"/>
      <c r="O103" s="120">
        <f>MATCH(C103,'Key Findings'!B:B,0)</f>
        <v>16</v>
      </c>
    </row>
    <row r="104">
      <c r="A104" s="71"/>
      <c r="B104" s="124" t="s">
        <v>154</v>
      </c>
      <c r="C104" s="87" t="s">
        <v>54</v>
      </c>
      <c r="D104" s="89">
        <f>SUMIF('Executive Pay Breakdown'!K:K,$B104,'Executive Pay Breakdown'!M:M)+SUMIF('Executive Pay Breakdown'!O:O,$B104,'Executive Pay Breakdown'!Q:Q)+SUMIF('Executive Pay Breakdown'!S:S,$B104,'Executive Pay Breakdown'!U:U)+SUMIF('Executive Pay Breakdown'!W:W,$B104,'Executive Pay Breakdown'!Y:Y)+SUMIF('Executive Pay Breakdown'!AA:AA,$B104,'Executive Pay Breakdown'!AC:AC)</f>
        <v>35055326</v>
      </c>
      <c r="E104" s="109"/>
      <c r="F104" s="69">
        <f>SUMIF('Executive Pay Breakdown'!K:K,$B104,'Executive Pay Breakdown'!M:M)</f>
        <v>8370447</v>
      </c>
      <c r="G104" s="69">
        <f>SUMIF('Executive Pay Breakdown'!O:O,$B104,'Executive Pay Breakdown'!Q:Q)</f>
        <v>9356288</v>
      </c>
      <c r="H104" s="69">
        <f>SUMIF('Executive Pay Breakdown'!S:S,$B104,'Executive Pay Breakdown'!U:U)</f>
        <v>10787568</v>
      </c>
      <c r="I104" s="69">
        <f>SUMIF('Executive Pay Breakdown'!W:W,$B104,'Executive Pay Breakdown'!Y:Y)</f>
        <v>3299709</v>
      </c>
      <c r="J104" s="69">
        <f>SUMIF('Executive Pay Breakdown'!AA:AA,$B104,'Executive Pay Breakdown'!AC:AC)</f>
        <v>3241314</v>
      </c>
      <c r="K104" s="90"/>
      <c r="L104" s="212"/>
      <c r="M104" s="87"/>
      <c r="N104" s="230">
        <f t="shared" ref="N104:N106" si="13">F104/J104-1</f>
        <v>1.58242398</v>
      </c>
      <c r="O104" s="120">
        <f>MATCH(C104,'Key Findings'!B:B,0)</f>
        <v>19</v>
      </c>
    </row>
    <row r="105">
      <c r="A105" s="62"/>
      <c r="B105" s="86" t="s">
        <v>257</v>
      </c>
      <c r="C105" s="233" t="s">
        <v>66</v>
      </c>
      <c r="D105" s="89">
        <f>SUMIF('Executive Pay Breakdown'!K:K,$B105,'Executive Pay Breakdown'!M:M)+SUMIF('Executive Pay Breakdown'!O:O,$B105,'Executive Pay Breakdown'!Q:Q)+SUMIF('Executive Pay Breakdown'!S:S,$B105,'Executive Pay Breakdown'!U:U)+SUMIF('Executive Pay Breakdown'!W:W,$B105,'Executive Pay Breakdown'!Y:Y)+SUMIF('Executive Pay Breakdown'!AA:AA,$B105,'Executive Pay Breakdown'!AC:AC)</f>
        <v>34949198</v>
      </c>
      <c r="E105" s="109"/>
      <c r="F105" s="69">
        <f>SUMIF('Executive Pay Breakdown'!K:K,$B105,'Executive Pay Breakdown'!M:M)</f>
        <v>6882920</v>
      </c>
      <c r="G105" s="69">
        <f>SUMIF('Executive Pay Breakdown'!O:O,$B105,'Executive Pay Breakdown'!Q:Q)</f>
        <v>5628500</v>
      </c>
      <c r="H105" s="69">
        <f>SUMIF('Executive Pay Breakdown'!S:S,$B105,'Executive Pay Breakdown'!U:U)</f>
        <v>7365266</v>
      </c>
      <c r="I105" s="69">
        <f>SUMIF('Executive Pay Breakdown'!W:W,$B105,'Executive Pay Breakdown'!Y:Y)</f>
        <v>8336163</v>
      </c>
      <c r="J105" s="69">
        <f>SUMIF('Executive Pay Breakdown'!AA:AA,$B105,'Executive Pay Breakdown'!AC:AC)</f>
        <v>6736349</v>
      </c>
      <c r="K105" s="90"/>
      <c r="L105" s="212"/>
      <c r="M105" s="87"/>
      <c r="N105" s="230">
        <f t="shared" si="13"/>
        <v>0.02175822541</v>
      </c>
      <c r="O105" s="120">
        <f>MATCH(C105,'Key Findings'!B:B,0)</f>
        <v>41</v>
      </c>
    </row>
    <row r="106">
      <c r="A106" s="62"/>
      <c r="B106" s="127" t="s">
        <v>176</v>
      </c>
      <c r="C106" s="87" t="s">
        <v>53</v>
      </c>
      <c r="D106" s="89">
        <f>SUMIF('Executive Pay Breakdown'!K:K,$B106,'Executive Pay Breakdown'!M:M)+SUMIF('Executive Pay Breakdown'!O:O,$B106,'Executive Pay Breakdown'!Q:Q)+SUMIF('Executive Pay Breakdown'!S:S,$B106,'Executive Pay Breakdown'!U:U)+SUMIF('Executive Pay Breakdown'!W:W,$B106,'Executive Pay Breakdown'!Y:Y)+SUMIF('Executive Pay Breakdown'!AA:AA,$B106,'Executive Pay Breakdown'!AC:AC)</f>
        <v>34267884</v>
      </c>
      <c r="E106" s="109"/>
      <c r="F106" s="69">
        <f>SUMIF('Executive Pay Breakdown'!K:K,$B106,'Executive Pay Breakdown'!M:M)</f>
        <v>8501572</v>
      </c>
      <c r="G106" s="69">
        <f>SUMIF('Executive Pay Breakdown'!O:O,$B106,'Executive Pay Breakdown'!Q:Q)</f>
        <v>5267590</v>
      </c>
      <c r="H106" s="69">
        <f>SUMIF('Executive Pay Breakdown'!S:S,$B106,'Executive Pay Breakdown'!U:U)</f>
        <v>7302772</v>
      </c>
      <c r="I106" s="69">
        <f>SUMIF('Executive Pay Breakdown'!W:W,$B106,'Executive Pay Breakdown'!Y:Y)</f>
        <v>8234664</v>
      </c>
      <c r="J106" s="69">
        <f>SUMIF('Executive Pay Breakdown'!AA:AA,$B106,'Executive Pay Breakdown'!AC:AC)</f>
        <v>4961286</v>
      </c>
      <c r="K106" s="90"/>
      <c r="L106" s="212"/>
      <c r="M106" s="87"/>
      <c r="N106" s="230">
        <f t="shared" si="13"/>
        <v>0.7135823252</v>
      </c>
      <c r="O106" s="120">
        <f>MATCH(C106,'Key Findings'!B:B,0)</f>
        <v>23</v>
      </c>
    </row>
    <row r="107">
      <c r="A107" s="62"/>
      <c r="B107" s="125" t="s">
        <v>353</v>
      </c>
      <c r="C107" s="87" t="s">
        <v>21</v>
      </c>
      <c r="D107" s="89">
        <f>SUMIF('Executive Pay Breakdown'!K:K,$B107,'Executive Pay Breakdown'!M:M)+SUMIF('Executive Pay Breakdown'!O:O,$B107,'Executive Pay Breakdown'!Q:Q)+SUMIF('Executive Pay Breakdown'!S:S,$B107,'Executive Pay Breakdown'!U:U)+SUMIF('Executive Pay Breakdown'!W:W,$B107,'Executive Pay Breakdown'!Y:Y)+SUMIF('Executive Pay Breakdown'!AA:AA,$B107,'Executive Pay Breakdown'!AC:AC)</f>
        <v>34019573</v>
      </c>
      <c r="E107" s="109"/>
      <c r="F107" s="69">
        <f>SUMIF('Executive Pay Breakdown'!K:K,$B107,'Executive Pay Breakdown'!M:M)</f>
        <v>1462</v>
      </c>
      <c r="G107" s="69">
        <f>SUMIF('Executive Pay Breakdown'!O:O,$B107,'Executive Pay Breakdown'!Q:Q)</f>
        <v>18000259</v>
      </c>
      <c r="H107" s="69">
        <f>SUMIF('Executive Pay Breakdown'!S:S,$B107,'Executive Pay Breakdown'!U:U)</f>
        <v>1</v>
      </c>
      <c r="I107" s="69">
        <f>SUMIF('Executive Pay Breakdown'!W:W,$B107,'Executive Pay Breakdown'!Y:Y)</f>
        <v>7270</v>
      </c>
      <c r="J107" s="69">
        <f>SUMIF('Executive Pay Breakdown'!AA:AA,$B107,'Executive Pay Breakdown'!AC:AC)</f>
        <v>16010581</v>
      </c>
      <c r="K107" s="90"/>
      <c r="L107" s="212"/>
      <c r="M107" s="87"/>
      <c r="N107" s="230"/>
      <c r="O107" s="120">
        <f>MATCH(C107,'Key Findings'!B:B,0)</f>
        <v>54</v>
      </c>
    </row>
    <row r="108">
      <c r="A108" s="62"/>
      <c r="B108" s="86" t="s">
        <v>245</v>
      </c>
      <c r="C108" s="233" t="s">
        <v>68</v>
      </c>
      <c r="D108" s="89">
        <f>SUMIF('Executive Pay Breakdown'!K:K,$B108,'Executive Pay Breakdown'!M:M)+SUMIF('Executive Pay Breakdown'!O:O,$B108,'Executive Pay Breakdown'!Q:Q)+SUMIF('Executive Pay Breakdown'!S:S,$B108,'Executive Pay Breakdown'!U:U)+SUMIF('Executive Pay Breakdown'!W:W,$B108,'Executive Pay Breakdown'!Y:Y)+SUMIF('Executive Pay Breakdown'!AA:AA,$B108,'Executive Pay Breakdown'!AC:AC)</f>
        <v>33979956</v>
      </c>
      <c r="E108" s="109"/>
      <c r="F108" s="69">
        <f>SUMIF('Executive Pay Breakdown'!K:K,$B108,'Executive Pay Breakdown'!M:M)</f>
        <v>7300613</v>
      </c>
      <c r="G108" s="69">
        <f>SUMIF('Executive Pay Breakdown'!O:O,$B108,'Executive Pay Breakdown'!Q:Q)</f>
        <v>6981685</v>
      </c>
      <c r="H108" s="69">
        <f>SUMIF('Executive Pay Breakdown'!S:S,$B108,'Executive Pay Breakdown'!U:U)</f>
        <v>5979555</v>
      </c>
      <c r="I108" s="69">
        <f>SUMIF('Executive Pay Breakdown'!W:W,$B108,'Executive Pay Breakdown'!Y:Y)</f>
        <v>6893752</v>
      </c>
      <c r="J108" s="69">
        <f>SUMIF('Executive Pay Breakdown'!AA:AA,$B108,'Executive Pay Breakdown'!AC:AC)</f>
        <v>6824351</v>
      </c>
      <c r="K108" s="90"/>
      <c r="L108" s="212"/>
      <c r="M108" s="87"/>
      <c r="N108" s="230">
        <f>F108/J108-1</f>
        <v>0.06978861433</v>
      </c>
      <c r="O108" s="120">
        <f>MATCH(C108,'Key Findings'!B:B,0)</f>
        <v>66</v>
      </c>
    </row>
    <row r="109">
      <c r="A109" s="62"/>
      <c r="B109" s="130" t="s">
        <v>389</v>
      </c>
      <c r="C109" s="87" t="s">
        <v>29</v>
      </c>
      <c r="D109" s="89">
        <f>SUMIF('Executive Pay Breakdown'!K:K,$B109,'Executive Pay Breakdown'!M:M)+SUMIF('Executive Pay Breakdown'!O:O,$B109,'Executive Pay Breakdown'!Q:Q)+SUMIF('Executive Pay Breakdown'!S:S,$B109,'Executive Pay Breakdown'!U:U)+SUMIF('Executive Pay Breakdown'!W:W,$B109,'Executive Pay Breakdown'!Y:Y)+SUMIF('Executive Pay Breakdown'!AA:AA,$B109,'Executive Pay Breakdown'!AC:AC)</f>
        <v>33755179</v>
      </c>
      <c r="E109" s="109"/>
      <c r="F109" s="69">
        <f>SUMIF('Executive Pay Breakdown'!K:K,$B109,'Executive Pay Breakdown'!M:M)</f>
        <v>0</v>
      </c>
      <c r="G109" s="69">
        <f>SUMIF('Executive Pay Breakdown'!O:O,$B109,'Executive Pay Breakdown'!Q:Q)</f>
        <v>0</v>
      </c>
      <c r="H109" s="69">
        <f>SUMIF('Executive Pay Breakdown'!S:S,$B109,'Executive Pay Breakdown'!U:U)</f>
        <v>11914900</v>
      </c>
      <c r="I109" s="69">
        <f>SUMIF('Executive Pay Breakdown'!W:W,$B109,'Executive Pay Breakdown'!Y:Y)</f>
        <v>12033564</v>
      </c>
      <c r="J109" s="69">
        <f>SUMIF('Executive Pay Breakdown'!AA:AA,$B109,'Executive Pay Breakdown'!AC:AC)</f>
        <v>9806715</v>
      </c>
      <c r="K109" s="90"/>
      <c r="L109" s="212"/>
      <c r="M109" s="87"/>
      <c r="N109" s="87"/>
      <c r="O109" s="120">
        <f>MATCH(C109,'Key Findings'!B:B,0)</f>
        <v>13</v>
      </c>
    </row>
    <row r="110">
      <c r="A110" s="62"/>
      <c r="B110" s="86" t="s">
        <v>142</v>
      </c>
      <c r="C110" s="87" t="s">
        <v>44</v>
      </c>
      <c r="D110" s="89">
        <f>SUMIF('Executive Pay Breakdown'!K:K,$B110,'Executive Pay Breakdown'!M:M)+SUMIF('Executive Pay Breakdown'!O:O,$B110,'Executive Pay Breakdown'!Q:Q)+SUMIF('Executive Pay Breakdown'!S:S,$B110,'Executive Pay Breakdown'!U:U)+SUMIF('Executive Pay Breakdown'!W:W,$B110,'Executive Pay Breakdown'!Y:Y)+SUMIF('Executive Pay Breakdown'!AA:AA,$B110,'Executive Pay Breakdown'!AC:AC)</f>
        <v>33531913</v>
      </c>
      <c r="E110" s="109"/>
      <c r="F110" s="69">
        <f>SUMIF('Executive Pay Breakdown'!K:K,$B110,'Executive Pay Breakdown'!M:M)</f>
        <v>8565840</v>
      </c>
      <c r="G110" s="69">
        <f>SUMIF('Executive Pay Breakdown'!O:O,$B110,'Executive Pay Breakdown'!Q:Q)</f>
        <v>16993744</v>
      </c>
      <c r="H110" s="69">
        <f>SUMIF('Executive Pay Breakdown'!S:S,$B110,'Executive Pay Breakdown'!U:U)</f>
        <v>3609960</v>
      </c>
      <c r="I110" s="69">
        <f>SUMIF('Executive Pay Breakdown'!W:W,$B110,'Executive Pay Breakdown'!Y:Y)</f>
        <v>2504122</v>
      </c>
      <c r="J110" s="69">
        <f>SUMIF('Executive Pay Breakdown'!AA:AA,$B110,'Executive Pay Breakdown'!AC:AC)</f>
        <v>1858247</v>
      </c>
      <c r="K110" s="90"/>
      <c r="L110" s="212"/>
      <c r="M110" s="87"/>
      <c r="N110" s="230">
        <f t="shared" ref="N110:N111" si="14">F110/J110-1</f>
        <v>3.609634779</v>
      </c>
      <c r="O110" s="120">
        <f>MATCH(C110,'Key Findings'!B:B,0)</f>
        <v>25</v>
      </c>
    </row>
    <row r="111">
      <c r="A111" s="71"/>
      <c r="B111" s="124" t="s">
        <v>145</v>
      </c>
      <c r="C111" s="87" t="s">
        <v>55</v>
      </c>
      <c r="D111" s="89">
        <f>SUMIF('Executive Pay Breakdown'!K:K,$B111,'Executive Pay Breakdown'!M:M)+SUMIF('Executive Pay Breakdown'!O:O,$B111,'Executive Pay Breakdown'!Q:Q)+SUMIF('Executive Pay Breakdown'!S:S,$B111,'Executive Pay Breakdown'!U:U)+SUMIF('Executive Pay Breakdown'!W:W,$B111,'Executive Pay Breakdown'!Y:Y)+SUMIF('Executive Pay Breakdown'!AA:AA,$B111,'Executive Pay Breakdown'!AC:AC)</f>
        <v>32441237</v>
      </c>
      <c r="E111" s="109"/>
      <c r="F111" s="69">
        <f>SUMIF('Executive Pay Breakdown'!K:K,$B111,'Executive Pay Breakdown'!M:M)</f>
        <v>7979076</v>
      </c>
      <c r="G111" s="69">
        <f>SUMIF('Executive Pay Breakdown'!O:O,$B111,'Executive Pay Breakdown'!Q:Q)</f>
        <v>8379703</v>
      </c>
      <c r="H111" s="69">
        <f>SUMIF('Executive Pay Breakdown'!S:S,$B111,'Executive Pay Breakdown'!U:U)</f>
        <v>6831332</v>
      </c>
      <c r="I111" s="69">
        <f>SUMIF('Executive Pay Breakdown'!W:W,$B111,'Executive Pay Breakdown'!Y:Y)</f>
        <v>6644633</v>
      </c>
      <c r="J111" s="69">
        <f>SUMIF('Executive Pay Breakdown'!AA:AA,$B111,'Executive Pay Breakdown'!AC:AC)</f>
        <v>2606493</v>
      </c>
      <c r="K111" s="90"/>
      <c r="L111" s="212"/>
      <c r="M111" s="87"/>
      <c r="N111" s="230">
        <f t="shared" si="14"/>
        <v>2.06123055</v>
      </c>
      <c r="O111" s="120">
        <f>MATCH(C111,'Key Findings'!B:B,0)</f>
        <v>20</v>
      </c>
    </row>
    <row r="112">
      <c r="A112" s="62"/>
      <c r="B112" s="127" t="s">
        <v>372</v>
      </c>
      <c r="C112" s="87" t="s">
        <v>53</v>
      </c>
      <c r="D112" s="89">
        <f>SUMIF('Executive Pay Breakdown'!K:K,$B112,'Executive Pay Breakdown'!M:M)+SUMIF('Executive Pay Breakdown'!O:O,$B112,'Executive Pay Breakdown'!Q:Q)+SUMIF('Executive Pay Breakdown'!S:S,$B112,'Executive Pay Breakdown'!U:U)+SUMIF('Executive Pay Breakdown'!W:W,$B112,'Executive Pay Breakdown'!Y:Y)+SUMIF('Executive Pay Breakdown'!AA:AA,$B112,'Executive Pay Breakdown'!AC:AC)</f>
        <v>32217462</v>
      </c>
      <c r="E112" s="109"/>
      <c r="F112" s="69">
        <f>SUMIF('Executive Pay Breakdown'!K:K,$B112,'Executive Pay Breakdown'!M:M)</f>
        <v>0</v>
      </c>
      <c r="G112" s="69">
        <f>SUMIF('Executive Pay Breakdown'!O:O,$B112,'Executive Pay Breakdown'!Q:Q)</f>
        <v>7219036</v>
      </c>
      <c r="H112" s="69">
        <f>SUMIF('Executive Pay Breakdown'!S:S,$B112,'Executive Pay Breakdown'!U:U)</f>
        <v>10758895</v>
      </c>
      <c r="I112" s="69">
        <f>SUMIF('Executive Pay Breakdown'!W:W,$B112,'Executive Pay Breakdown'!Y:Y)</f>
        <v>8862243</v>
      </c>
      <c r="J112" s="69">
        <f>SUMIF('Executive Pay Breakdown'!AA:AA,$B112,'Executive Pay Breakdown'!AC:AC)</f>
        <v>5377288</v>
      </c>
      <c r="K112" s="90"/>
      <c r="L112" s="212"/>
      <c r="M112" s="87"/>
      <c r="N112" s="87"/>
      <c r="O112" s="120">
        <f>MATCH(C112,'Key Findings'!B:B,0)</f>
        <v>23</v>
      </c>
    </row>
    <row r="113">
      <c r="A113" s="62"/>
      <c r="B113" s="129" t="s">
        <v>157</v>
      </c>
      <c r="C113" s="87" t="s">
        <v>19</v>
      </c>
      <c r="D113" s="89">
        <f>SUMIF('Executive Pay Breakdown'!K:K,$B113,'Executive Pay Breakdown'!M:M)+SUMIF('Executive Pay Breakdown'!O:O,$B113,'Executive Pay Breakdown'!Q:Q)+SUMIF('Executive Pay Breakdown'!S:S,$B113,'Executive Pay Breakdown'!U:U)+SUMIF('Executive Pay Breakdown'!W:W,$B113,'Executive Pay Breakdown'!Y:Y)+SUMIF('Executive Pay Breakdown'!AA:AA,$B113,'Executive Pay Breakdown'!AC:AC)</f>
        <v>32184822</v>
      </c>
      <c r="E113" s="109"/>
      <c r="F113" s="69">
        <f>SUMIF('Executive Pay Breakdown'!K:K,$B113,'Executive Pay Breakdown'!M:M)</f>
        <v>8230386</v>
      </c>
      <c r="G113" s="69">
        <f>SUMIF('Executive Pay Breakdown'!O:O,$B113,'Executive Pay Breakdown'!Q:Q)</f>
        <v>7490465</v>
      </c>
      <c r="H113" s="69">
        <f>SUMIF('Executive Pay Breakdown'!S:S,$B113,'Executive Pay Breakdown'!U:U)</f>
        <v>6800860</v>
      </c>
      <c r="I113" s="69">
        <f>SUMIF('Executive Pay Breakdown'!W:W,$B113,'Executive Pay Breakdown'!Y:Y)</f>
        <v>6319358</v>
      </c>
      <c r="J113" s="69">
        <f>SUMIF('Executive Pay Breakdown'!AA:AA,$B113,'Executive Pay Breakdown'!AC:AC)</f>
        <v>3343753</v>
      </c>
      <c r="K113" s="90"/>
      <c r="L113" s="212"/>
      <c r="M113" s="87"/>
      <c r="N113" s="230">
        <f>F113/J113-1</f>
        <v>1.461421642</v>
      </c>
      <c r="O113" s="120">
        <f>MATCH(C113,'Key Findings'!B:B,0)</f>
        <v>6</v>
      </c>
    </row>
    <row r="114">
      <c r="A114" s="81"/>
      <c r="B114" s="134" t="s">
        <v>312</v>
      </c>
      <c r="C114" s="87" t="s">
        <v>56</v>
      </c>
      <c r="D114" s="89">
        <f>SUMIF('Executive Pay Breakdown'!K:K,$B114,'Executive Pay Breakdown'!M:M)+SUMIF('Executive Pay Breakdown'!O:O,$B114,'Executive Pay Breakdown'!Q:Q)+SUMIF('Executive Pay Breakdown'!S:S,$B114,'Executive Pay Breakdown'!U:U)+SUMIF('Executive Pay Breakdown'!W:W,$B114,'Executive Pay Breakdown'!Y:Y)+SUMIF('Executive Pay Breakdown'!AA:AA,$B114,'Executive Pay Breakdown'!AC:AC)</f>
        <v>31812748</v>
      </c>
      <c r="E114" s="109"/>
      <c r="F114" s="69">
        <f>SUMIF('Executive Pay Breakdown'!K:K,$B114,'Executive Pay Breakdown'!M:M)</f>
        <v>13249823</v>
      </c>
      <c r="G114" s="69">
        <f>SUMIF('Executive Pay Breakdown'!O:O,$B114,'Executive Pay Breakdown'!Q:Q)</f>
        <v>5170126</v>
      </c>
      <c r="H114" s="69">
        <f>SUMIF('Executive Pay Breakdown'!S:S,$B114,'Executive Pay Breakdown'!U:U)</f>
        <v>8237930</v>
      </c>
      <c r="I114" s="69">
        <f>SUMIF('Executive Pay Breakdown'!W:W,$B114,'Executive Pay Breakdown'!Y:Y)</f>
        <v>5154869</v>
      </c>
      <c r="J114" s="69">
        <f>SUMIF('Executive Pay Breakdown'!AA:AA,$B114,'Executive Pay Breakdown'!AC:AC)</f>
        <v>0</v>
      </c>
      <c r="K114" s="90"/>
      <c r="L114" s="212"/>
      <c r="M114" s="87"/>
      <c r="N114" s="230"/>
      <c r="O114" s="120">
        <f>MATCH(C114,'Key Findings'!B:B,0)</f>
        <v>30</v>
      </c>
    </row>
    <row r="115">
      <c r="A115" s="62"/>
      <c r="B115" s="86" t="s">
        <v>236</v>
      </c>
      <c r="C115" s="233" t="s">
        <v>72</v>
      </c>
      <c r="D115" s="89">
        <f>SUMIF('Executive Pay Breakdown'!K:K,$B115,'Executive Pay Breakdown'!M:M)+SUMIF('Executive Pay Breakdown'!O:O,$B115,'Executive Pay Breakdown'!Q:Q)+SUMIF('Executive Pay Breakdown'!S:S,$B115,'Executive Pay Breakdown'!U:U)+SUMIF('Executive Pay Breakdown'!W:W,$B115,'Executive Pay Breakdown'!Y:Y)+SUMIF('Executive Pay Breakdown'!AA:AA,$B115,'Executive Pay Breakdown'!AC:AC)</f>
        <v>31634428</v>
      </c>
      <c r="E115" s="109"/>
      <c r="F115" s="69">
        <f>SUMIF('Executive Pay Breakdown'!K:K,$B115,'Executive Pay Breakdown'!M:M)</f>
        <v>5948201</v>
      </c>
      <c r="G115" s="69">
        <f>SUMIF('Executive Pay Breakdown'!O:O,$B115,'Executive Pay Breakdown'!Q:Q)</f>
        <v>7272471</v>
      </c>
      <c r="H115" s="69">
        <f>SUMIF('Executive Pay Breakdown'!S:S,$B115,'Executive Pay Breakdown'!U:U)</f>
        <v>6516717</v>
      </c>
      <c r="I115" s="69">
        <f>SUMIF('Executive Pay Breakdown'!W:W,$B115,'Executive Pay Breakdown'!Y:Y)</f>
        <v>6683605</v>
      </c>
      <c r="J115" s="69">
        <f>SUMIF('Executive Pay Breakdown'!AA:AA,$B115,'Executive Pay Breakdown'!AC:AC)</f>
        <v>5213434</v>
      </c>
      <c r="K115" s="90"/>
      <c r="L115" s="212"/>
      <c r="M115" s="87"/>
      <c r="N115" s="230">
        <f>F115/J115-1</f>
        <v>0.1409372402</v>
      </c>
      <c r="O115" s="120">
        <f>MATCH(C115,'Key Findings'!B:B,0)</f>
        <v>46</v>
      </c>
    </row>
    <row r="116">
      <c r="A116" s="62"/>
      <c r="B116" s="87" t="s">
        <v>326</v>
      </c>
      <c r="C116" s="87" t="s">
        <v>14</v>
      </c>
      <c r="D116" s="89">
        <f>SUMIF('Executive Pay Breakdown'!K:K,$B116,'Executive Pay Breakdown'!M:M)+SUMIF('Executive Pay Breakdown'!O:O,$B116,'Executive Pay Breakdown'!Q:Q)+SUMIF('Executive Pay Breakdown'!S:S,$B116,'Executive Pay Breakdown'!U:U)+SUMIF('Executive Pay Breakdown'!W:W,$B116,'Executive Pay Breakdown'!Y:Y)+SUMIF('Executive Pay Breakdown'!AA:AA,$B116,'Executive Pay Breakdown'!AC:AC)</f>
        <v>31508662</v>
      </c>
      <c r="E116" s="109"/>
      <c r="F116" s="69">
        <f>SUMIF('Executive Pay Breakdown'!K:K,$B116,'Executive Pay Breakdown'!M:M)</f>
        <v>0</v>
      </c>
      <c r="G116" s="69">
        <f>SUMIF('Executive Pay Breakdown'!O:O,$B116,'Executive Pay Breakdown'!Q:Q)</f>
        <v>8757188</v>
      </c>
      <c r="H116" s="69">
        <f>SUMIF('Executive Pay Breakdown'!S:S,$B116,'Executive Pay Breakdown'!U:U)</f>
        <v>10236456</v>
      </c>
      <c r="I116" s="69">
        <f>SUMIF('Executive Pay Breakdown'!W:W,$B116,'Executive Pay Breakdown'!Y:Y)</f>
        <v>7755130</v>
      </c>
      <c r="J116" s="69">
        <f>SUMIF('Executive Pay Breakdown'!AA:AA,$B116,'Executive Pay Breakdown'!AC:AC)</f>
        <v>4759888</v>
      </c>
      <c r="K116" s="90"/>
      <c r="L116" s="212"/>
      <c r="M116" s="87"/>
      <c r="N116" s="87"/>
      <c r="O116" s="120">
        <f>MATCH(C116,'Key Findings'!B:B,0)</f>
        <v>5</v>
      </c>
    </row>
    <row r="117">
      <c r="A117" s="62"/>
      <c r="B117" s="86" t="s">
        <v>138</v>
      </c>
      <c r="C117" s="87" t="s">
        <v>77</v>
      </c>
      <c r="D117" s="89">
        <f>SUMIF('Executive Pay Breakdown'!K:K,$B117,'Executive Pay Breakdown'!M:M)+SUMIF('Executive Pay Breakdown'!O:O,$B117,'Executive Pay Breakdown'!Q:Q)+SUMIF('Executive Pay Breakdown'!S:S,$B117,'Executive Pay Breakdown'!U:U)+SUMIF('Executive Pay Breakdown'!W:W,$B117,'Executive Pay Breakdown'!Y:Y)+SUMIF('Executive Pay Breakdown'!AA:AA,$B117,'Executive Pay Breakdown'!AC:AC)</f>
        <v>30815796</v>
      </c>
      <c r="E117" s="109"/>
      <c r="F117" s="69">
        <f>SUMIF('Executive Pay Breakdown'!K:K,$B117,'Executive Pay Breakdown'!M:M)</f>
        <v>8720419</v>
      </c>
      <c r="G117" s="69">
        <f>SUMIF('Executive Pay Breakdown'!O:O,$B117,'Executive Pay Breakdown'!Q:Q)</f>
        <v>8365888</v>
      </c>
      <c r="H117" s="69">
        <f>SUMIF('Executive Pay Breakdown'!S:S,$B117,'Executive Pay Breakdown'!U:U)</f>
        <v>6445060</v>
      </c>
      <c r="I117" s="69">
        <f>SUMIF('Executive Pay Breakdown'!W:W,$B117,'Executive Pay Breakdown'!Y:Y)</f>
        <v>4899032</v>
      </c>
      <c r="J117" s="69">
        <f>SUMIF('Executive Pay Breakdown'!AA:AA,$B117,'Executive Pay Breakdown'!AC:AC)</f>
        <v>2385397</v>
      </c>
      <c r="K117" s="90"/>
      <c r="L117" s="212"/>
      <c r="M117" s="87"/>
      <c r="N117" s="230">
        <f t="shared" ref="N117:N118" si="15">F117/J117-1</f>
        <v>2.655751642</v>
      </c>
      <c r="O117" s="120">
        <f>MATCH(C117,'Key Findings'!B:B,0)</f>
        <v>40</v>
      </c>
    </row>
    <row r="118">
      <c r="A118" s="62"/>
      <c r="B118" s="86" t="s">
        <v>149</v>
      </c>
      <c r="C118" s="87" t="s">
        <v>42</v>
      </c>
      <c r="D118" s="89">
        <f>SUMIF('Executive Pay Breakdown'!K:K,$B118,'Executive Pay Breakdown'!M:M)+SUMIF('Executive Pay Breakdown'!O:O,$B118,'Executive Pay Breakdown'!Q:Q)+SUMIF('Executive Pay Breakdown'!S:S,$B118,'Executive Pay Breakdown'!U:U)+SUMIF('Executive Pay Breakdown'!W:W,$B118,'Executive Pay Breakdown'!Y:Y)+SUMIF('Executive Pay Breakdown'!AA:AA,$B118,'Executive Pay Breakdown'!AC:AC)</f>
        <v>30725684</v>
      </c>
      <c r="E118" s="109"/>
      <c r="F118" s="69">
        <f>SUMIF('Executive Pay Breakdown'!K:K,$B118,'Executive Pay Breakdown'!M:M)</f>
        <v>4839562</v>
      </c>
      <c r="G118" s="69">
        <f>SUMIF('Executive Pay Breakdown'!O:O,$B118,'Executive Pay Breakdown'!Q:Q)</f>
        <v>6467314</v>
      </c>
      <c r="H118" s="69">
        <f>SUMIF('Executive Pay Breakdown'!S:S,$B118,'Executive Pay Breakdown'!U:U)</f>
        <v>9826659</v>
      </c>
      <c r="I118" s="69">
        <f>SUMIF('Executive Pay Breakdown'!W:W,$B118,'Executive Pay Breakdown'!Y:Y)</f>
        <v>7855539</v>
      </c>
      <c r="J118" s="69">
        <f>SUMIF('Executive Pay Breakdown'!AA:AA,$B118,'Executive Pay Breakdown'!AC:AC)</f>
        <v>1736610</v>
      </c>
      <c r="K118" s="90"/>
      <c r="L118" s="212"/>
      <c r="M118" s="87"/>
      <c r="N118" s="230">
        <f t="shared" si="15"/>
        <v>1.786786901</v>
      </c>
      <c r="O118" s="120">
        <f>MATCH(C118,'Key Findings'!B:B,0)</f>
        <v>61</v>
      </c>
    </row>
    <row r="119">
      <c r="A119" s="62"/>
      <c r="B119" s="127" t="s">
        <v>362</v>
      </c>
      <c r="C119" s="87" t="s">
        <v>30</v>
      </c>
      <c r="D119" s="89">
        <f>SUMIF('Executive Pay Breakdown'!K:K,$B119,'Executive Pay Breakdown'!M:M)+SUMIF('Executive Pay Breakdown'!O:O,$B119,'Executive Pay Breakdown'!Q:Q)+SUMIF('Executive Pay Breakdown'!S:S,$B119,'Executive Pay Breakdown'!U:U)+SUMIF('Executive Pay Breakdown'!W:W,$B119,'Executive Pay Breakdown'!Y:Y)+SUMIF('Executive Pay Breakdown'!AA:AA,$B119,'Executive Pay Breakdown'!AC:AC)</f>
        <v>30350981</v>
      </c>
      <c r="E119" s="109"/>
      <c r="F119" s="69">
        <f>SUMIF('Executive Pay Breakdown'!K:K,$B119,'Executive Pay Breakdown'!M:M)</f>
        <v>0</v>
      </c>
      <c r="G119" s="69">
        <f>SUMIF('Executive Pay Breakdown'!O:O,$B119,'Executive Pay Breakdown'!Q:Q)</f>
        <v>0</v>
      </c>
      <c r="H119" s="69">
        <f>SUMIF('Executive Pay Breakdown'!S:S,$B119,'Executive Pay Breakdown'!U:U)</f>
        <v>7218993</v>
      </c>
      <c r="I119" s="69">
        <f>SUMIF('Executive Pay Breakdown'!W:W,$B119,'Executive Pay Breakdown'!Y:Y)</f>
        <v>12145179</v>
      </c>
      <c r="J119" s="69">
        <f>SUMIF('Executive Pay Breakdown'!AA:AA,$B119,'Executive Pay Breakdown'!AC:AC)</f>
        <v>10986809</v>
      </c>
      <c r="K119" s="90"/>
      <c r="L119" s="212"/>
      <c r="M119" s="87"/>
      <c r="N119" s="87"/>
      <c r="O119" s="120">
        <f>MATCH(C119,'Key Findings'!B:B,0)</f>
        <v>49</v>
      </c>
    </row>
    <row r="120">
      <c r="A120" s="62"/>
      <c r="B120" s="86" t="s">
        <v>324</v>
      </c>
      <c r="C120" s="87" t="s">
        <v>45</v>
      </c>
      <c r="D120" s="89">
        <f>SUMIF('Executive Pay Breakdown'!K:K,$B120,'Executive Pay Breakdown'!M:M)+SUMIF('Executive Pay Breakdown'!O:O,$B120,'Executive Pay Breakdown'!Q:Q)+SUMIF('Executive Pay Breakdown'!S:S,$B120,'Executive Pay Breakdown'!U:U)+SUMIF('Executive Pay Breakdown'!W:W,$B120,'Executive Pay Breakdown'!Y:Y)+SUMIF('Executive Pay Breakdown'!AA:AA,$B120,'Executive Pay Breakdown'!AC:AC)</f>
        <v>30319910</v>
      </c>
      <c r="E120" s="109"/>
      <c r="F120" s="69">
        <f>SUMIF('Executive Pay Breakdown'!K:K,$B120,'Executive Pay Breakdown'!M:M)</f>
        <v>0</v>
      </c>
      <c r="G120" s="69">
        <f>SUMIF('Executive Pay Breakdown'!O:O,$B120,'Executive Pay Breakdown'!Q:Q)</f>
        <v>6853838</v>
      </c>
      <c r="H120" s="69">
        <f>SUMIF('Executive Pay Breakdown'!S:S,$B120,'Executive Pay Breakdown'!U:U)</f>
        <v>7468264</v>
      </c>
      <c r="I120" s="69">
        <f>SUMIF('Executive Pay Breakdown'!W:W,$B120,'Executive Pay Breakdown'!Y:Y)</f>
        <v>8551149</v>
      </c>
      <c r="J120" s="69">
        <f>SUMIF('Executive Pay Breakdown'!AA:AA,$B120,'Executive Pay Breakdown'!AC:AC)</f>
        <v>7446659</v>
      </c>
      <c r="K120" s="90"/>
      <c r="L120" s="212"/>
      <c r="M120" s="87"/>
      <c r="N120" s="87"/>
      <c r="O120" s="120">
        <f>MATCH(C120,'Key Findings'!B:B,0)</f>
        <v>60</v>
      </c>
    </row>
    <row r="121">
      <c r="A121" s="62"/>
      <c r="B121" s="125" t="s">
        <v>396</v>
      </c>
      <c r="C121" s="87" t="s">
        <v>29</v>
      </c>
      <c r="D121" s="89">
        <f>SUMIF('Executive Pay Breakdown'!K:K,$B121,'Executive Pay Breakdown'!M:M)+SUMIF('Executive Pay Breakdown'!O:O,$B121,'Executive Pay Breakdown'!Q:Q)+SUMIF('Executive Pay Breakdown'!S:S,$B121,'Executive Pay Breakdown'!U:U)+SUMIF('Executive Pay Breakdown'!W:W,$B121,'Executive Pay Breakdown'!Y:Y)+SUMIF('Executive Pay Breakdown'!AA:AA,$B121,'Executive Pay Breakdown'!AC:AC)</f>
        <v>30278561</v>
      </c>
      <c r="E121" s="109"/>
      <c r="F121" s="69">
        <f>SUMIF('Executive Pay Breakdown'!K:K,$B121,'Executive Pay Breakdown'!M:M)</f>
        <v>0</v>
      </c>
      <c r="G121" s="69">
        <f>SUMIF('Executive Pay Breakdown'!O:O,$B121,'Executive Pay Breakdown'!Q:Q)</f>
        <v>14128609</v>
      </c>
      <c r="H121" s="69">
        <f>SUMIF('Executive Pay Breakdown'!S:S,$B121,'Executive Pay Breakdown'!U:U)</f>
        <v>16149952</v>
      </c>
      <c r="I121" s="69">
        <f>SUMIF('Executive Pay Breakdown'!W:W,$B121,'Executive Pay Breakdown'!Y:Y)</f>
        <v>0</v>
      </c>
      <c r="J121" s="69">
        <f>SUMIF('Executive Pay Breakdown'!AA:AA,$B121,'Executive Pay Breakdown'!AC:AC)</f>
        <v>0</v>
      </c>
      <c r="K121" s="90"/>
      <c r="L121" s="212"/>
      <c r="M121" s="87"/>
      <c r="N121" s="87"/>
      <c r="O121" s="120">
        <f>MATCH(C121,'Key Findings'!B:B,0)</f>
        <v>13</v>
      </c>
    </row>
    <row r="122">
      <c r="A122" s="62"/>
      <c r="B122" s="130" t="s">
        <v>159</v>
      </c>
      <c r="C122" s="87" t="s">
        <v>22</v>
      </c>
      <c r="D122" s="89">
        <f>SUMIF('Executive Pay Breakdown'!K:K,$B122,'Executive Pay Breakdown'!M:M)+SUMIF('Executive Pay Breakdown'!O:O,$B122,'Executive Pay Breakdown'!Q:Q)+SUMIF('Executive Pay Breakdown'!S:S,$B122,'Executive Pay Breakdown'!U:U)+SUMIF('Executive Pay Breakdown'!W:W,$B122,'Executive Pay Breakdown'!Y:Y)+SUMIF('Executive Pay Breakdown'!AA:AA,$B122,'Executive Pay Breakdown'!AC:AC)</f>
        <v>30096123</v>
      </c>
      <c r="E122" s="109"/>
      <c r="F122" s="69">
        <f>SUMIF('Executive Pay Breakdown'!K:K,$B122,'Executive Pay Breakdown'!M:M)</f>
        <v>6794985</v>
      </c>
      <c r="G122" s="69">
        <f>SUMIF('Executive Pay Breakdown'!O:O,$B122,'Executive Pay Breakdown'!Q:Q)</f>
        <v>8161083</v>
      </c>
      <c r="H122" s="69">
        <f>SUMIF('Executive Pay Breakdown'!S:S,$B122,'Executive Pay Breakdown'!U:U)</f>
        <v>7912643</v>
      </c>
      <c r="I122" s="69">
        <f>SUMIF('Executive Pay Breakdown'!W:W,$B122,'Executive Pay Breakdown'!Y:Y)</f>
        <v>4293209</v>
      </c>
      <c r="J122" s="69">
        <f>SUMIF('Executive Pay Breakdown'!AA:AA,$B122,'Executive Pay Breakdown'!AC:AC)</f>
        <v>2934203</v>
      </c>
      <c r="K122" s="90"/>
      <c r="L122" s="212"/>
      <c r="M122" s="87"/>
      <c r="N122" s="230">
        <f>F122/J122-1</f>
        <v>1.315785581</v>
      </c>
      <c r="O122" s="120">
        <f>MATCH(C122,'Key Findings'!B:B,0)</f>
        <v>39</v>
      </c>
    </row>
    <row r="123">
      <c r="A123" s="71"/>
      <c r="B123" s="124" t="s">
        <v>328</v>
      </c>
      <c r="C123" s="87" t="s">
        <v>55</v>
      </c>
      <c r="D123" s="89">
        <f>SUMIF('Executive Pay Breakdown'!K:K,$B123,'Executive Pay Breakdown'!M:M)+SUMIF('Executive Pay Breakdown'!O:O,$B123,'Executive Pay Breakdown'!Q:Q)+SUMIF('Executive Pay Breakdown'!S:S,$B123,'Executive Pay Breakdown'!U:U)+SUMIF('Executive Pay Breakdown'!W:W,$B123,'Executive Pay Breakdown'!Y:Y)+SUMIF('Executive Pay Breakdown'!AA:AA,$B123,'Executive Pay Breakdown'!AC:AC)</f>
        <v>30064322</v>
      </c>
      <c r="E123" s="109"/>
      <c r="F123" s="69">
        <f>SUMIF('Executive Pay Breakdown'!K:K,$B123,'Executive Pay Breakdown'!M:M)</f>
        <v>8260807</v>
      </c>
      <c r="G123" s="69">
        <f>SUMIF('Executive Pay Breakdown'!O:O,$B123,'Executive Pay Breakdown'!Q:Q)</f>
        <v>8659391</v>
      </c>
      <c r="H123" s="69">
        <f>SUMIF('Executive Pay Breakdown'!S:S,$B123,'Executive Pay Breakdown'!U:U)</f>
        <v>6435628</v>
      </c>
      <c r="I123" s="69">
        <f>SUMIF('Executive Pay Breakdown'!W:W,$B123,'Executive Pay Breakdown'!Y:Y)</f>
        <v>6708496</v>
      </c>
      <c r="J123" s="69">
        <f>SUMIF('Executive Pay Breakdown'!AA:AA,$B123,'Executive Pay Breakdown'!AC:AC)</f>
        <v>0</v>
      </c>
      <c r="K123" s="90"/>
      <c r="L123" s="212"/>
      <c r="M123" s="87"/>
      <c r="N123" s="230"/>
      <c r="O123" s="120">
        <f>MATCH(C123,'Key Findings'!B:B,0)</f>
        <v>20</v>
      </c>
    </row>
    <row r="124">
      <c r="A124" s="62"/>
      <c r="B124" s="125" t="s">
        <v>398</v>
      </c>
      <c r="C124" s="87" t="s">
        <v>29</v>
      </c>
      <c r="D124" s="89">
        <f>SUMIF('Executive Pay Breakdown'!K:K,$B124,'Executive Pay Breakdown'!M:M)+SUMIF('Executive Pay Breakdown'!O:O,$B124,'Executive Pay Breakdown'!Q:Q)+SUMIF('Executive Pay Breakdown'!S:S,$B124,'Executive Pay Breakdown'!U:U)+SUMIF('Executive Pay Breakdown'!W:W,$B124,'Executive Pay Breakdown'!Y:Y)+SUMIF('Executive Pay Breakdown'!AA:AA,$B124,'Executive Pay Breakdown'!AC:AC)</f>
        <v>29750988</v>
      </c>
      <c r="E124" s="109"/>
      <c r="F124" s="69">
        <f>SUMIF('Executive Pay Breakdown'!K:K,$B124,'Executive Pay Breakdown'!M:M)</f>
        <v>15707474</v>
      </c>
      <c r="G124" s="69">
        <f>SUMIF('Executive Pay Breakdown'!O:O,$B124,'Executive Pay Breakdown'!Q:Q)</f>
        <v>14043514</v>
      </c>
      <c r="H124" s="69">
        <f>SUMIF('Executive Pay Breakdown'!S:S,$B124,'Executive Pay Breakdown'!U:U)</f>
        <v>0</v>
      </c>
      <c r="I124" s="69">
        <f>SUMIF('Executive Pay Breakdown'!W:W,$B124,'Executive Pay Breakdown'!Y:Y)</f>
        <v>0</v>
      </c>
      <c r="J124" s="69">
        <f>SUMIF('Executive Pay Breakdown'!AA:AA,$B124,'Executive Pay Breakdown'!AC:AC)</f>
        <v>0</v>
      </c>
      <c r="K124" s="90"/>
      <c r="L124" s="212"/>
      <c r="M124" s="212"/>
      <c r="N124" s="230"/>
      <c r="O124" s="120">
        <f>MATCH(C124,'Key Findings'!B:B,0)</f>
        <v>13</v>
      </c>
    </row>
    <row r="125">
      <c r="A125" s="62"/>
      <c r="B125" s="129" t="s">
        <v>332</v>
      </c>
      <c r="C125" s="87" t="s">
        <v>19</v>
      </c>
      <c r="D125" s="89">
        <f>SUMIF('Executive Pay Breakdown'!K:K,$B125,'Executive Pay Breakdown'!M:M)+SUMIF('Executive Pay Breakdown'!O:O,$B125,'Executive Pay Breakdown'!Q:Q)+SUMIF('Executive Pay Breakdown'!S:S,$B125,'Executive Pay Breakdown'!U:U)+SUMIF('Executive Pay Breakdown'!W:W,$B125,'Executive Pay Breakdown'!Y:Y)+SUMIF('Executive Pay Breakdown'!AA:AA,$B125,'Executive Pay Breakdown'!AC:AC)</f>
        <v>29463847</v>
      </c>
      <c r="E125" s="109"/>
      <c r="F125" s="69">
        <f>SUMIF('Executive Pay Breakdown'!K:K,$B125,'Executive Pay Breakdown'!M:M)</f>
        <v>0</v>
      </c>
      <c r="G125" s="69">
        <f>SUMIF('Executive Pay Breakdown'!O:O,$B125,'Executive Pay Breakdown'!Q:Q)</f>
        <v>0</v>
      </c>
      <c r="H125" s="69">
        <f>SUMIF('Executive Pay Breakdown'!S:S,$B125,'Executive Pay Breakdown'!U:U)</f>
        <v>0</v>
      </c>
      <c r="I125" s="69">
        <f>SUMIF('Executive Pay Breakdown'!W:W,$B125,'Executive Pay Breakdown'!Y:Y)</f>
        <v>12037102</v>
      </c>
      <c r="J125" s="69">
        <f>SUMIF('Executive Pay Breakdown'!AA:AA,$B125,'Executive Pay Breakdown'!AC:AC)</f>
        <v>17426745</v>
      </c>
      <c r="K125" s="90"/>
      <c r="L125" s="212"/>
      <c r="M125" s="87"/>
      <c r="N125" s="87"/>
      <c r="O125" s="120">
        <f>MATCH(C125,'Key Findings'!B:B,0)</f>
        <v>6</v>
      </c>
    </row>
    <row r="126">
      <c r="A126" s="81"/>
      <c r="B126" s="134" t="s">
        <v>270</v>
      </c>
      <c r="C126" s="87" t="s">
        <v>65</v>
      </c>
      <c r="D126" s="89">
        <f>SUMIF('Executive Pay Breakdown'!K:K,$B126,'Executive Pay Breakdown'!M:M)+SUMIF('Executive Pay Breakdown'!O:O,$B126,'Executive Pay Breakdown'!Q:Q)+SUMIF('Executive Pay Breakdown'!S:S,$B126,'Executive Pay Breakdown'!U:U)+SUMIF('Executive Pay Breakdown'!W:W,$B126,'Executive Pay Breakdown'!Y:Y)+SUMIF('Executive Pay Breakdown'!AA:AA,$B126,'Executive Pay Breakdown'!AC:AC)</f>
        <v>29209056</v>
      </c>
      <c r="E126" s="109"/>
      <c r="F126" s="69">
        <f>SUMIF('Executive Pay Breakdown'!K:K,$B126,'Executive Pay Breakdown'!M:M)</f>
        <v>5469689</v>
      </c>
      <c r="G126" s="69">
        <f>SUMIF('Executive Pay Breakdown'!O:O,$B126,'Executive Pay Breakdown'!Q:Q)</f>
        <v>5391094</v>
      </c>
      <c r="H126" s="69">
        <f>SUMIF('Executive Pay Breakdown'!S:S,$B126,'Executive Pay Breakdown'!U:U)</f>
        <v>6440204</v>
      </c>
      <c r="I126" s="69">
        <f>SUMIF('Executive Pay Breakdown'!W:W,$B126,'Executive Pay Breakdown'!Y:Y)</f>
        <v>5315962</v>
      </c>
      <c r="J126" s="69">
        <f>SUMIF('Executive Pay Breakdown'!AA:AA,$B126,'Executive Pay Breakdown'!AC:AC)</f>
        <v>6592107</v>
      </c>
      <c r="K126" s="90"/>
      <c r="L126" s="212"/>
      <c r="M126" s="87"/>
      <c r="N126" s="230">
        <f t="shared" ref="N126:N127" si="16">F126/J126-1</f>
        <v>-0.1702669571</v>
      </c>
      <c r="O126" s="120">
        <f>MATCH(C126,'Key Findings'!B:B,0)</f>
        <v>24</v>
      </c>
    </row>
    <row r="127">
      <c r="A127" s="62"/>
      <c r="B127" s="127" t="s">
        <v>258</v>
      </c>
      <c r="C127" s="87" t="s">
        <v>40</v>
      </c>
      <c r="D127" s="89">
        <f>SUMIF('Executive Pay Breakdown'!K:K,$B127,'Executive Pay Breakdown'!M:M)+SUMIF('Executive Pay Breakdown'!O:O,$B127,'Executive Pay Breakdown'!Q:Q)+SUMIF('Executive Pay Breakdown'!S:S,$B127,'Executive Pay Breakdown'!U:U)+SUMIF('Executive Pay Breakdown'!W:W,$B127,'Executive Pay Breakdown'!Y:Y)+SUMIF('Executive Pay Breakdown'!AA:AA,$B127,'Executive Pay Breakdown'!AC:AC)</f>
        <v>29064937</v>
      </c>
      <c r="E127" s="109"/>
      <c r="F127" s="69">
        <f>SUMIF('Executive Pay Breakdown'!K:K,$B127,'Executive Pay Breakdown'!M:M)</f>
        <v>5751915</v>
      </c>
      <c r="G127" s="69">
        <f>SUMIF('Executive Pay Breakdown'!O:O,$B127,'Executive Pay Breakdown'!Q:Q)</f>
        <v>5829452</v>
      </c>
      <c r="H127" s="69">
        <f>SUMIF('Executive Pay Breakdown'!S:S,$B127,'Executive Pay Breakdown'!U:U)</f>
        <v>5414402</v>
      </c>
      <c r="I127" s="69">
        <f>SUMIF('Executive Pay Breakdown'!W:W,$B127,'Executive Pay Breakdown'!Y:Y)</f>
        <v>6419295</v>
      </c>
      <c r="J127" s="69">
        <f>SUMIF('Executive Pay Breakdown'!AA:AA,$B127,'Executive Pay Breakdown'!AC:AC)</f>
        <v>5649873</v>
      </c>
      <c r="K127" s="90"/>
      <c r="L127" s="212"/>
      <c r="M127" s="87"/>
      <c r="N127" s="230">
        <f t="shared" si="16"/>
        <v>0.01806093694</v>
      </c>
      <c r="O127" s="120">
        <f>MATCH(C127,'Key Findings'!B:B,0)</f>
        <v>7</v>
      </c>
    </row>
    <row r="128">
      <c r="A128" s="62"/>
      <c r="B128" s="127" t="s">
        <v>381</v>
      </c>
      <c r="C128" s="87" t="s">
        <v>12</v>
      </c>
      <c r="D128" s="89">
        <f>SUMIF('Executive Pay Breakdown'!K:K,$B128,'Executive Pay Breakdown'!M:M)+SUMIF('Executive Pay Breakdown'!O:O,$B128,'Executive Pay Breakdown'!Q:Q)+SUMIF('Executive Pay Breakdown'!S:S,$B128,'Executive Pay Breakdown'!U:U)+SUMIF('Executive Pay Breakdown'!W:W,$B128,'Executive Pay Breakdown'!Y:Y)+SUMIF('Executive Pay Breakdown'!AA:AA,$B128,'Executive Pay Breakdown'!AC:AC)</f>
        <v>28963517</v>
      </c>
      <c r="E128" s="109"/>
      <c r="F128" s="69">
        <f>SUMIF('Executive Pay Breakdown'!K:K,$B128,'Executive Pay Breakdown'!M:M)</f>
        <v>10001836</v>
      </c>
      <c r="G128" s="69">
        <f>SUMIF('Executive Pay Breakdown'!O:O,$B128,'Executive Pay Breakdown'!Q:Q)</f>
        <v>11444178</v>
      </c>
      <c r="H128" s="69">
        <f>SUMIF('Executive Pay Breakdown'!S:S,$B128,'Executive Pay Breakdown'!U:U)</f>
        <v>4304706</v>
      </c>
      <c r="I128" s="69">
        <f>SUMIF('Executive Pay Breakdown'!W:W,$B128,'Executive Pay Breakdown'!Y:Y)</f>
        <v>3212797</v>
      </c>
      <c r="J128" s="69">
        <f>SUMIF('Executive Pay Breakdown'!AA:AA,$B128,'Executive Pay Breakdown'!AC:AC)</f>
        <v>0</v>
      </c>
      <c r="K128" s="90"/>
      <c r="L128" s="212"/>
      <c r="M128" s="87"/>
      <c r="N128" s="230"/>
      <c r="O128" s="120">
        <f>MATCH(C128,'Key Findings'!B:B,0)</f>
        <v>17</v>
      </c>
    </row>
    <row r="129">
      <c r="A129" s="62"/>
      <c r="B129" s="86" t="s">
        <v>198</v>
      </c>
      <c r="C129" s="87" t="s">
        <v>32</v>
      </c>
      <c r="D129" s="89">
        <f>SUMIF('Executive Pay Breakdown'!K:K,$B129,'Executive Pay Breakdown'!M:M)+SUMIF('Executive Pay Breakdown'!O:O,$B129,'Executive Pay Breakdown'!Q:Q)+SUMIF('Executive Pay Breakdown'!S:S,$B129,'Executive Pay Breakdown'!U:U)+SUMIF('Executive Pay Breakdown'!W:W,$B129,'Executive Pay Breakdown'!Y:Y)+SUMIF('Executive Pay Breakdown'!AA:AA,$B129,'Executive Pay Breakdown'!AC:AC)</f>
        <v>28778152</v>
      </c>
      <c r="E129" s="109"/>
      <c r="F129" s="69">
        <f>SUMIF('Executive Pay Breakdown'!K:K,$B129,'Executive Pay Breakdown'!M:M)</f>
        <v>5299024</v>
      </c>
      <c r="G129" s="69">
        <f>SUMIF('Executive Pay Breakdown'!O:O,$B129,'Executive Pay Breakdown'!Q:Q)</f>
        <v>7255881</v>
      </c>
      <c r="H129" s="69">
        <f>SUMIF('Executive Pay Breakdown'!S:S,$B129,'Executive Pay Breakdown'!U:U)</f>
        <v>7199722</v>
      </c>
      <c r="I129" s="69">
        <f>SUMIF('Executive Pay Breakdown'!W:W,$B129,'Executive Pay Breakdown'!Y:Y)</f>
        <v>5239307</v>
      </c>
      <c r="J129" s="69">
        <f>SUMIF('Executive Pay Breakdown'!AA:AA,$B129,'Executive Pay Breakdown'!AC:AC)</f>
        <v>3784218</v>
      </c>
      <c r="K129" s="90"/>
      <c r="L129" s="212"/>
      <c r="M129" s="87"/>
      <c r="N129" s="230">
        <f t="shared" ref="N129:N130" si="17">F129/J129-1</f>
        <v>0.4002956489</v>
      </c>
      <c r="O129" s="120">
        <f>MATCH(C129,'Key Findings'!B:B,0)</f>
        <v>26</v>
      </c>
    </row>
    <row r="130">
      <c r="A130" s="62"/>
      <c r="B130" s="125" t="s">
        <v>227</v>
      </c>
      <c r="C130" s="87" t="s">
        <v>25</v>
      </c>
      <c r="D130" s="89">
        <f>SUMIF('Executive Pay Breakdown'!K:K,$B130,'Executive Pay Breakdown'!M:M)+SUMIF('Executive Pay Breakdown'!O:O,$B130,'Executive Pay Breakdown'!Q:Q)+SUMIF('Executive Pay Breakdown'!S:S,$B130,'Executive Pay Breakdown'!U:U)+SUMIF('Executive Pay Breakdown'!W:W,$B130,'Executive Pay Breakdown'!Y:Y)+SUMIF('Executive Pay Breakdown'!AA:AA,$B130,'Executive Pay Breakdown'!AC:AC)</f>
        <v>28731525</v>
      </c>
      <c r="E130" s="109"/>
      <c r="F130" s="69">
        <f>SUMIF('Executive Pay Breakdown'!K:K,$B130,'Executive Pay Breakdown'!M:M)</f>
        <v>5997568</v>
      </c>
      <c r="G130" s="69">
        <f>SUMIF('Executive Pay Breakdown'!O:O,$B130,'Executive Pay Breakdown'!Q:Q)</f>
        <v>5433225</v>
      </c>
      <c r="H130" s="69">
        <f>SUMIF('Executive Pay Breakdown'!S:S,$B130,'Executive Pay Breakdown'!U:U)</f>
        <v>5591351</v>
      </c>
      <c r="I130" s="69">
        <f>SUMIF('Executive Pay Breakdown'!W:W,$B130,'Executive Pay Breakdown'!Y:Y)</f>
        <v>6611309</v>
      </c>
      <c r="J130" s="69">
        <f>SUMIF('Executive Pay Breakdown'!AA:AA,$B130,'Executive Pay Breakdown'!AC:AC)</f>
        <v>5098072</v>
      </c>
      <c r="K130" s="90"/>
      <c r="L130" s="212"/>
      <c r="M130" s="87"/>
      <c r="N130" s="230">
        <f t="shared" si="17"/>
        <v>0.1764384654</v>
      </c>
      <c r="O130" s="120">
        <f>MATCH(C130,'Key Findings'!B:B,0)</f>
        <v>42</v>
      </c>
    </row>
    <row r="131">
      <c r="A131" s="81"/>
      <c r="B131" s="137" t="s">
        <v>287</v>
      </c>
      <c r="C131" s="87" t="str">
        <f t="array" ref="C131">INDEX('Executive Pay Breakdown'!B:B,MATCH(B131,'Executive Pay Breakdown'!K:K,0))</f>
        <v>Pioneer Natural Resources</v>
      </c>
      <c r="D131" s="89">
        <f>SUMIF('Executive Pay Breakdown'!K:K,$B131,'Executive Pay Breakdown'!M:M)+SUMIF('Executive Pay Breakdown'!O:O,$B131,'Executive Pay Breakdown'!Q:Q)+SUMIF('Executive Pay Breakdown'!S:S,$B131,'Executive Pay Breakdown'!U:U)+SUMIF('Executive Pay Breakdown'!W:W,$B131,'Executive Pay Breakdown'!Y:Y)+SUMIF('Executive Pay Breakdown'!AA:AA,$B131,'Executive Pay Breakdown'!AC:AC)</f>
        <v>28401545</v>
      </c>
      <c r="E131" s="109"/>
      <c r="F131" s="69">
        <f>SUMIF('Executive Pay Breakdown'!K:K,$B131,'Executive Pay Breakdown'!M:M)</f>
        <v>9496977</v>
      </c>
      <c r="G131" s="69">
        <f>SUMIF('Executive Pay Breakdown'!O:O,$B131,'Executive Pay Breakdown'!Q:Q)</f>
        <v>5837812</v>
      </c>
      <c r="H131" s="69">
        <f>SUMIF('Executive Pay Breakdown'!S:S,$B131,'Executive Pay Breakdown'!U:U)</f>
        <v>3889912</v>
      </c>
      <c r="I131" s="69">
        <f>SUMIF('Executive Pay Breakdown'!W:W,$B131,'Executive Pay Breakdown'!Y:Y)</f>
        <v>4511806</v>
      </c>
      <c r="J131" s="69">
        <f>SUMIF('Executive Pay Breakdown'!AA:AA,$B131,'Executive Pay Breakdown'!AC:AC)</f>
        <v>4665038</v>
      </c>
      <c r="K131" s="90"/>
      <c r="L131" s="212"/>
      <c r="M131" s="87"/>
      <c r="N131" s="230"/>
      <c r="O131" s="120">
        <f>MATCH(C131,'Key Findings'!B:B,0)</f>
        <v>35</v>
      </c>
    </row>
    <row r="132">
      <c r="A132" s="62"/>
      <c r="B132" s="127" t="s">
        <v>135</v>
      </c>
      <c r="C132" s="87" t="s">
        <v>26</v>
      </c>
      <c r="D132" s="89">
        <f>SUMIF('Executive Pay Breakdown'!K:K,$B132,'Executive Pay Breakdown'!M:M)+SUMIF('Executive Pay Breakdown'!O:O,$B132,'Executive Pay Breakdown'!Q:Q)+SUMIF('Executive Pay Breakdown'!S:S,$B132,'Executive Pay Breakdown'!U:U)+SUMIF('Executive Pay Breakdown'!W:W,$B132,'Executive Pay Breakdown'!Y:Y)+SUMIF('Executive Pay Breakdown'!AA:AA,$B132,'Executive Pay Breakdown'!AC:AC)</f>
        <v>28150026</v>
      </c>
      <c r="E132" s="109"/>
      <c r="F132" s="69">
        <f>SUMIF('Executive Pay Breakdown'!K:K,$B132,'Executive Pay Breakdown'!M:M)</f>
        <v>10318579</v>
      </c>
      <c r="G132" s="69">
        <f>SUMIF('Executive Pay Breakdown'!O:O,$B132,'Executive Pay Breakdown'!Q:Q)</f>
        <v>8350364</v>
      </c>
      <c r="H132" s="69">
        <f>SUMIF('Executive Pay Breakdown'!S:S,$B132,'Executive Pay Breakdown'!U:U)</f>
        <v>4052934</v>
      </c>
      <c r="I132" s="69">
        <f>SUMIF('Executive Pay Breakdown'!W:W,$B132,'Executive Pay Breakdown'!Y:Y)</f>
        <v>3103984</v>
      </c>
      <c r="J132" s="69">
        <f>SUMIF('Executive Pay Breakdown'!AA:AA,$B132,'Executive Pay Breakdown'!AC:AC)</f>
        <v>2324165</v>
      </c>
      <c r="K132" s="90"/>
      <c r="L132" s="212"/>
      <c r="M132" s="87"/>
      <c r="N132" s="230">
        <f>F132/J132-1</f>
        <v>3.439692965</v>
      </c>
      <c r="O132" s="120">
        <f>MATCH(C132,'Key Findings'!B:B,0)</f>
        <v>48</v>
      </c>
    </row>
    <row r="133">
      <c r="A133" s="62"/>
      <c r="B133" s="120" t="s">
        <v>335</v>
      </c>
      <c r="C133" s="87" t="s">
        <v>14</v>
      </c>
      <c r="D133" s="89">
        <f>SUMIF('Executive Pay Breakdown'!K:K,$B133,'Executive Pay Breakdown'!M:M)+SUMIF('Executive Pay Breakdown'!O:O,$B133,'Executive Pay Breakdown'!Q:Q)+SUMIF('Executive Pay Breakdown'!S:S,$B133,'Executive Pay Breakdown'!U:U)+SUMIF('Executive Pay Breakdown'!W:W,$B133,'Executive Pay Breakdown'!Y:Y)+SUMIF('Executive Pay Breakdown'!AA:AA,$B133,'Executive Pay Breakdown'!AC:AC)</f>
        <v>27957394</v>
      </c>
      <c r="E133" s="109"/>
      <c r="F133" s="69">
        <f>SUMIF('Executive Pay Breakdown'!K:K,$B133,'Executive Pay Breakdown'!M:M)</f>
        <v>10603300</v>
      </c>
      <c r="G133" s="69">
        <f>SUMIF('Executive Pay Breakdown'!O:O,$B133,'Executive Pay Breakdown'!Q:Q)</f>
        <v>8761904</v>
      </c>
      <c r="H133" s="69">
        <f>SUMIF('Executive Pay Breakdown'!S:S,$B133,'Executive Pay Breakdown'!U:U)</f>
        <v>8592190</v>
      </c>
      <c r="I133" s="69">
        <f>SUMIF('Executive Pay Breakdown'!W:W,$B133,'Executive Pay Breakdown'!Y:Y)</f>
        <v>0</v>
      </c>
      <c r="J133" s="69">
        <f>SUMIF('Executive Pay Breakdown'!AA:AA,$B133,'Executive Pay Breakdown'!AC:AC)</f>
        <v>0</v>
      </c>
      <c r="K133" s="90"/>
      <c r="L133" s="212"/>
      <c r="M133" s="87"/>
      <c r="N133" s="230"/>
      <c r="O133" s="120">
        <f>MATCH(C133,'Key Findings'!B:B,0)</f>
        <v>5</v>
      </c>
    </row>
    <row r="134">
      <c r="A134" s="81"/>
      <c r="B134" s="136" t="s">
        <v>338</v>
      </c>
      <c r="C134" s="87" t="s">
        <v>24</v>
      </c>
      <c r="D134" s="89">
        <f>SUMIF('Executive Pay Breakdown'!K:K,$B134,'Executive Pay Breakdown'!M:M)+SUMIF('Executive Pay Breakdown'!O:O,$B134,'Executive Pay Breakdown'!Q:Q)+SUMIF('Executive Pay Breakdown'!S:S,$B134,'Executive Pay Breakdown'!U:U)+SUMIF('Executive Pay Breakdown'!W:W,$B134,'Executive Pay Breakdown'!Y:Y)+SUMIF('Executive Pay Breakdown'!AA:AA,$B134,'Executive Pay Breakdown'!AC:AC)</f>
        <v>27679829</v>
      </c>
      <c r="E134" s="109"/>
      <c r="F134" s="69">
        <f>SUMIF('Executive Pay Breakdown'!K:K,$B134,'Executive Pay Breakdown'!M:M)</f>
        <v>8172563</v>
      </c>
      <c r="G134" s="69">
        <f>SUMIF('Executive Pay Breakdown'!O:O,$B134,'Executive Pay Breakdown'!Q:Q)</f>
        <v>10973172</v>
      </c>
      <c r="H134" s="69">
        <f>SUMIF('Executive Pay Breakdown'!S:S,$B134,'Executive Pay Breakdown'!U:U)</f>
        <v>8534094</v>
      </c>
      <c r="I134" s="69">
        <f>SUMIF('Executive Pay Breakdown'!W:W,$B134,'Executive Pay Breakdown'!Y:Y)</f>
        <v>0</v>
      </c>
      <c r="J134" s="69">
        <f>SUMIF('Executive Pay Breakdown'!AA:AA,$B134,'Executive Pay Breakdown'!AC:AC)</f>
        <v>0</v>
      </c>
      <c r="K134" s="90"/>
      <c r="L134" s="212"/>
      <c r="M134" s="87"/>
      <c r="N134" s="230"/>
      <c r="O134" s="120">
        <f>MATCH(C134,'Key Findings'!B:B,0)</f>
        <v>15</v>
      </c>
    </row>
    <row r="135">
      <c r="A135" s="81"/>
      <c r="B135" s="134" t="s">
        <v>247</v>
      </c>
      <c r="C135" s="87" t="s">
        <v>65</v>
      </c>
      <c r="D135" s="89">
        <f>SUMIF('Executive Pay Breakdown'!K:K,$B135,'Executive Pay Breakdown'!M:M)+SUMIF('Executive Pay Breakdown'!O:O,$B135,'Executive Pay Breakdown'!Q:Q)+SUMIF('Executive Pay Breakdown'!S:S,$B135,'Executive Pay Breakdown'!U:U)+SUMIF('Executive Pay Breakdown'!W:W,$B135,'Executive Pay Breakdown'!Y:Y)+SUMIF('Executive Pay Breakdown'!AA:AA,$B135,'Executive Pay Breakdown'!AC:AC)</f>
        <v>27646102</v>
      </c>
      <c r="E135" s="109"/>
      <c r="F135" s="69">
        <f>SUMIF('Executive Pay Breakdown'!K:K,$B135,'Executive Pay Breakdown'!M:M)</f>
        <v>5311334</v>
      </c>
      <c r="G135" s="69">
        <f>SUMIF('Executive Pay Breakdown'!O:O,$B135,'Executive Pay Breakdown'!Q:Q)</f>
        <v>5417223</v>
      </c>
      <c r="H135" s="69">
        <f>SUMIF('Executive Pay Breakdown'!S:S,$B135,'Executive Pay Breakdown'!U:U)</f>
        <v>6764333</v>
      </c>
      <c r="I135" s="69">
        <f>SUMIF('Executive Pay Breakdown'!W:W,$B135,'Executive Pay Breakdown'!Y:Y)</f>
        <v>5118329</v>
      </c>
      <c r="J135" s="69">
        <f>SUMIF('Executive Pay Breakdown'!AA:AA,$B135,'Executive Pay Breakdown'!AC:AC)</f>
        <v>5034883</v>
      </c>
      <c r="K135" s="90"/>
      <c r="L135" s="212"/>
      <c r="M135" s="87"/>
      <c r="N135" s="230">
        <f>F135/J135-1</f>
        <v>0.05490713488</v>
      </c>
      <c r="O135" s="120">
        <f>MATCH(C135,'Key Findings'!B:B,0)</f>
        <v>24</v>
      </c>
    </row>
    <row r="136">
      <c r="A136" s="71"/>
      <c r="B136" s="132" t="s">
        <v>323</v>
      </c>
      <c r="C136" s="87" t="s">
        <v>54</v>
      </c>
      <c r="D136" s="89">
        <f>SUMIF('Executive Pay Breakdown'!K:K,$B136,'Executive Pay Breakdown'!M:M)+SUMIF('Executive Pay Breakdown'!O:O,$B136,'Executive Pay Breakdown'!Q:Q)+SUMIF('Executive Pay Breakdown'!S:S,$B136,'Executive Pay Breakdown'!U:U)+SUMIF('Executive Pay Breakdown'!W:W,$B136,'Executive Pay Breakdown'!Y:Y)+SUMIF('Executive Pay Breakdown'!AA:AA,$B136,'Executive Pay Breakdown'!AC:AC)</f>
        <v>27542698</v>
      </c>
      <c r="E136" s="109"/>
      <c r="F136" s="69">
        <f>SUMIF('Executive Pay Breakdown'!K:K,$B136,'Executive Pay Breakdown'!M:M)</f>
        <v>12041521</v>
      </c>
      <c r="G136" s="69">
        <f>SUMIF('Executive Pay Breakdown'!O:O,$B136,'Executive Pay Breakdown'!Q:Q)</f>
        <v>8866842</v>
      </c>
      <c r="H136" s="69">
        <f>SUMIF('Executive Pay Breakdown'!S:S,$B136,'Executive Pay Breakdown'!U:U)</f>
        <v>6634335</v>
      </c>
      <c r="I136" s="69">
        <f>SUMIF('Executive Pay Breakdown'!W:W,$B136,'Executive Pay Breakdown'!Y:Y)</f>
        <v>0</v>
      </c>
      <c r="J136" s="69">
        <f>SUMIF('Executive Pay Breakdown'!AA:AA,$B136,'Executive Pay Breakdown'!AC:AC)</f>
        <v>0</v>
      </c>
      <c r="K136" s="90"/>
      <c r="L136" s="212"/>
      <c r="M136" s="87"/>
      <c r="N136" s="230"/>
      <c r="O136" s="120">
        <f>MATCH(C136,'Key Findings'!B:B,0)</f>
        <v>19</v>
      </c>
    </row>
    <row r="137">
      <c r="A137" s="62"/>
      <c r="B137" s="86" t="s">
        <v>219</v>
      </c>
      <c r="C137" s="87" t="s">
        <v>75</v>
      </c>
      <c r="D137" s="89">
        <f>SUMIF('Executive Pay Breakdown'!K:K,$B137,'Executive Pay Breakdown'!M:M)+SUMIF('Executive Pay Breakdown'!O:O,$B137,'Executive Pay Breakdown'!Q:Q)+SUMIF('Executive Pay Breakdown'!S:S,$B137,'Executive Pay Breakdown'!U:U)+SUMIF('Executive Pay Breakdown'!W:W,$B137,'Executive Pay Breakdown'!Y:Y)+SUMIF('Executive Pay Breakdown'!AA:AA,$B137,'Executive Pay Breakdown'!AC:AC)</f>
        <v>27190776</v>
      </c>
      <c r="E137" s="109"/>
      <c r="F137" s="69">
        <f>SUMIF('Executive Pay Breakdown'!K:K,$B137,'Executive Pay Breakdown'!M:M)</f>
        <v>5257289</v>
      </c>
      <c r="G137" s="69">
        <f>SUMIF('Executive Pay Breakdown'!O:O,$B137,'Executive Pay Breakdown'!Q:Q)</f>
        <v>5210467</v>
      </c>
      <c r="H137" s="69">
        <f>SUMIF('Executive Pay Breakdown'!S:S,$B137,'Executive Pay Breakdown'!U:U)</f>
        <v>6423410</v>
      </c>
      <c r="I137" s="69">
        <f>SUMIF('Executive Pay Breakdown'!W:W,$B137,'Executive Pay Breakdown'!Y:Y)</f>
        <v>6144355</v>
      </c>
      <c r="J137" s="69">
        <f>SUMIF('Executive Pay Breakdown'!AA:AA,$B137,'Executive Pay Breakdown'!AC:AC)</f>
        <v>4155255</v>
      </c>
      <c r="K137" s="90"/>
      <c r="L137" s="212"/>
      <c r="M137" s="87"/>
      <c r="N137" s="230">
        <f>F137/J137-1</f>
        <v>0.2652145296</v>
      </c>
      <c r="O137" s="120">
        <f>MATCH(C137,'Key Findings'!B:B,0)</f>
        <v>67</v>
      </c>
    </row>
    <row r="138">
      <c r="A138" s="62"/>
      <c r="B138" s="127" t="s">
        <v>385</v>
      </c>
      <c r="C138" s="87" t="s">
        <v>12</v>
      </c>
      <c r="D138" s="89">
        <f>SUMIF('Executive Pay Breakdown'!K:K,$B138,'Executive Pay Breakdown'!M:M)+SUMIF('Executive Pay Breakdown'!O:O,$B138,'Executive Pay Breakdown'!Q:Q)+SUMIF('Executive Pay Breakdown'!S:S,$B138,'Executive Pay Breakdown'!U:U)+SUMIF('Executive Pay Breakdown'!W:W,$B138,'Executive Pay Breakdown'!Y:Y)+SUMIF('Executive Pay Breakdown'!AA:AA,$B138,'Executive Pay Breakdown'!AC:AC)</f>
        <v>26720184</v>
      </c>
      <c r="E138" s="109"/>
      <c r="F138" s="69">
        <f>SUMIF('Executive Pay Breakdown'!K:K,$B138,'Executive Pay Breakdown'!M:M)</f>
        <v>6028560</v>
      </c>
      <c r="G138" s="69">
        <f>SUMIF('Executive Pay Breakdown'!O:O,$B138,'Executive Pay Breakdown'!Q:Q)</f>
        <v>10762145</v>
      </c>
      <c r="H138" s="69">
        <f>SUMIF('Executive Pay Breakdown'!S:S,$B138,'Executive Pay Breakdown'!U:U)</f>
        <v>5194368</v>
      </c>
      <c r="I138" s="69">
        <f>SUMIF('Executive Pay Breakdown'!W:W,$B138,'Executive Pay Breakdown'!Y:Y)</f>
        <v>4735111</v>
      </c>
      <c r="J138" s="69">
        <f>SUMIF('Executive Pay Breakdown'!AA:AA,$B138,'Executive Pay Breakdown'!AC:AC)</f>
        <v>0</v>
      </c>
      <c r="K138" s="90"/>
      <c r="L138" s="212"/>
      <c r="M138" s="87"/>
      <c r="N138" s="230"/>
      <c r="O138" s="120">
        <f>MATCH(C138,'Key Findings'!B:B,0)</f>
        <v>17</v>
      </c>
    </row>
    <row r="139">
      <c r="A139" s="62"/>
      <c r="B139" s="130" t="s">
        <v>175</v>
      </c>
      <c r="C139" s="87" t="s">
        <v>21</v>
      </c>
      <c r="D139" s="89">
        <f>SUMIF('Executive Pay Breakdown'!K:K,$B139,'Executive Pay Breakdown'!M:M)+SUMIF('Executive Pay Breakdown'!O:O,$B139,'Executive Pay Breakdown'!Q:Q)+SUMIF('Executive Pay Breakdown'!S:S,$B139,'Executive Pay Breakdown'!U:U)+SUMIF('Executive Pay Breakdown'!W:W,$B139,'Executive Pay Breakdown'!Y:Y)+SUMIF('Executive Pay Breakdown'!AA:AA,$B139,'Executive Pay Breakdown'!AC:AC)</f>
        <v>26670092</v>
      </c>
      <c r="E139" s="109"/>
      <c r="F139" s="69">
        <f>SUMIF('Executive Pay Breakdown'!K:K,$B139,'Executive Pay Breakdown'!M:M)</f>
        <v>6888338</v>
      </c>
      <c r="G139" s="69">
        <f>SUMIF('Executive Pay Breakdown'!O:O,$B139,'Executive Pay Breakdown'!Q:Q)</f>
        <v>6120766</v>
      </c>
      <c r="H139" s="69">
        <f>SUMIF('Executive Pay Breakdown'!S:S,$B139,'Executive Pay Breakdown'!U:U)</f>
        <v>4847937</v>
      </c>
      <c r="I139" s="69">
        <f>SUMIF('Executive Pay Breakdown'!W:W,$B139,'Executive Pay Breakdown'!Y:Y)</f>
        <v>4906188</v>
      </c>
      <c r="J139" s="69">
        <f>SUMIF('Executive Pay Breakdown'!AA:AA,$B139,'Executive Pay Breakdown'!AC:AC)</f>
        <v>3906863</v>
      </c>
      <c r="K139" s="90"/>
      <c r="L139" s="212"/>
      <c r="M139" s="87"/>
      <c r="N139" s="230">
        <f t="shared" ref="N139:N140" si="18">F139/J139-1</f>
        <v>0.7631378423</v>
      </c>
      <c r="O139" s="120">
        <f>MATCH(C139,'Key Findings'!B:B,0)</f>
        <v>54</v>
      </c>
    </row>
    <row r="140">
      <c r="A140" s="62"/>
      <c r="B140" s="127" t="s">
        <v>209</v>
      </c>
      <c r="C140" s="87" t="s">
        <v>40</v>
      </c>
      <c r="D140" s="89">
        <f>SUMIF('Executive Pay Breakdown'!K:K,$B140,'Executive Pay Breakdown'!M:M)+SUMIF('Executive Pay Breakdown'!O:O,$B140,'Executive Pay Breakdown'!Q:Q)+SUMIF('Executive Pay Breakdown'!S:S,$B140,'Executive Pay Breakdown'!U:U)+SUMIF('Executive Pay Breakdown'!W:W,$B140,'Executive Pay Breakdown'!Y:Y)+SUMIF('Executive Pay Breakdown'!AA:AA,$B140,'Executive Pay Breakdown'!AC:AC)</f>
        <v>26515577</v>
      </c>
      <c r="E140" s="109"/>
      <c r="F140" s="69">
        <f>SUMIF('Executive Pay Breakdown'!K:K,$B140,'Executive Pay Breakdown'!M:M)</f>
        <v>5746350</v>
      </c>
      <c r="G140" s="69">
        <f>SUMIF('Executive Pay Breakdown'!O:O,$B140,'Executive Pay Breakdown'!Q:Q)</f>
        <v>6341300</v>
      </c>
      <c r="H140" s="69">
        <f>SUMIF('Executive Pay Breakdown'!S:S,$B140,'Executive Pay Breakdown'!U:U)</f>
        <v>4935417</v>
      </c>
      <c r="I140" s="69">
        <f>SUMIF('Executive Pay Breakdown'!W:W,$B140,'Executive Pay Breakdown'!Y:Y)</f>
        <v>5159992</v>
      </c>
      <c r="J140" s="69">
        <f>SUMIF('Executive Pay Breakdown'!AA:AA,$B140,'Executive Pay Breakdown'!AC:AC)</f>
        <v>4332518</v>
      </c>
      <c r="K140" s="90"/>
      <c r="L140" s="212"/>
      <c r="M140" s="87"/>
      <c r="N140" s="230">
        <f t="shared" si="18"/>
        <v>0.3263303234</v>
      </c>
      <c r="O140" s="120">
        <f>MATCH(C140,'Key Findings'!B:B,0)</f>
        <v>7</v>
      </c>
    </row>
    <row r="141">
      <c r="A141" s="62"/>
      <c r="B141" s="86" t="s">
        <v>357</v>
      </c>
      <c r="C141" s="233" t="s">
        <v>63</v>
      </c>
      <c r="D141" s="89">
        <f>SUMIF('Executive Pay Breakdown'!K:K,$B141,'Executive Pay Breakdown'!M:M)+SUMIF('Executive Pay Breakdown'!O:O,$B141,'Executive Pay Breakdown'!Q:Q)+SUMIF('Executive Pay Breakdown'!S:S,$B141,'Executive Pay Breakdown'!U:U)+SUMIF('Executive Pay Breakdown'!W:W,$B141,'Executive Pay Breakdown'!Y:Y)+SUMIF('Executive Pay Breakdown'!AA:AA,$B141,'Executive Pay Breakdown'!AC:AC)</f>
        <v>26365336</v>
      </c>
      <c r="E141" s="109"/>
      <c r="F141" s="69">
        <f>SUMIF('Executive Pay Breakdown'!K:K,$B141,'Executive Pay Breakdown'!M:M)</f>
        <v>15303397</v>
      </c>
      <c r="G141" s="69">
        <f>SUMIF('Executive Pay Breakdown'!O:O,$B141,'Executive Pay Breakdown'!Q:Q)</f>
        <v>11061939</v>
      </c>
      <c r="H141" s="69">
        <f>SUMIF('Executive Pay Breakdown'!S:S,$B141,'Executive Pay Breakdown'!U:U)</f>
        <v>0</v>
      </c>
      <c r="I141" s="69">
        <f>SUMIF('Executive Pay Breakdown'!W:W,$B141,'Executive Pay Breakdown'!Y:Y)</f>
        <v>0</v>
      </c>
      <c r="J141" s="69">
        <f>SUMIF('Executive Pay Breakdown'!AA:AA,$B141,'Executive Pay Breakdown'!AC:AC)</f>
        <v>0</v>
      </c>
      <c r="K141" s="90"/>
      <c r="L141" s="212"/>
      <c r="M141" s="87"/>
      <c r="N141" s="87"/>
      <c r="O141" s="120">
        <f>MATCH(C141,'Key Findings'!B:B,0)</f>
        <v>29</v>
      </c>
    </row>
    <row r="142">
      <c r="A142" s="62"/>
      <c r="B142" s="127" t="s">
        <v>413</v>
      </c>
      <c r="C142" s="87" t="s">
        <v>64</v>
      </c>
      <c r="D142" s="89">
        <f>SUMIF('Executive Pay Breakdown'!K:K,$B142,'Executive Pay Breakdown'!M:M)+SUMIF('Executive Pay Breakdown'!O:O,$B142,'Executive Pay Breakdown'!Q:Q)+SUMIF('Executive Pay Breakdown'!S:S,$B142,'Executive Pay Breakdown'!U:U)+SUMIF('Executive Pay Breakdown'!W:W,$B142,'Executive Pay Breakdown'!Y:Y)+SUMIF('Executive Pay Breakdown'!AA:AA,$B142,'Executive Pay Breakdown'!AC:AC)</f>
        <v>26328778</v>
      </c>
      <c r="E142" s="109"/>
      <c r="F142" s="69">
        <f>SUMIF('Executive Pay Breakdown'!K:K,$B142,'Executive Pay Breakdown'!M:M)</f>
        <v>0</v>
      </c>
      <c r="G142" s="69">
        <f>SUMIF('Executive Pay Breakdown'!O:O,$B142,'Executive Pay Breakdown'!Q:Q)</f>
        <v>0</v>
      </c>
      <c r="H142" s="69">
        <f>SUMIF('Executive Pay Breakdown'!S:S,$B142,'Executive Pay Breakdown'!U:U)</f>
        <v>9366284</v>
      </c>
      <c r="I142" s="69">
        <f>SUMIF('Executive Pay Breakdown'!W:W,$B142,'Executive Pay Breakdown'!Y:Y)</f>
        <v>8946840</v>
      </c>
      <c r="J142" s="69">
        <f>SUMIF('Executive Pay Breakdown'!AA:AA,$B142,'Executive Pay Breakdown'!AC:AC)</f>
        <v>8015654</v>
      </c>
      <c r="K142" s="90"/>
      <c r="L142" s="212"/>
      <c r="M142" s="87"/>
      <c r="N142" s="87"/>
      <c r="O142" s="120">
        <f>MATCH(C142,'Key Findings'!B:B,0)</f>
        <v>59</v>
      </c>
    </row>
    <row r="143">
      <c r="A143" s="62"/>
      <c r="B143" s="125" t="s">
        <v>146</v>
      </c>
      <c r="C143" s="87" t="s">
        <v>27</v>
      </c>
      <c r="D143" s="89">
        <f>SUMIF('Executive Pay Breakdown'!K:K,$B143,'Executive Pay Breakdown'!M:M)+SUMIF('Executive Pay Breakdown'!O:O,$B143,'Executive Pay Breakdown'!Q:Q)+SUMIF('Executive Pay Breakdown'!S:S,$B143,'Executive Pay Breakdown'!U:U)+SUMIF('Executive Pay Breakdown'!W:W,$B143,'Executive Pay Breakdown'!Y:Y)+SUMIF('Executive Pay Breakdown'!AA:AA,$B143,'Executive Pay Breakdown'!AC:AC)</f>
        <v>26298713</v>
      </c>
      <c r="E143" s="109"/>
      <c r="F143" s="69">
        <f>SUMIF('Executive Pay Breakdown'!K:K,$B143,'Executive Pay Breakdown'!M:M)</f>
        <v>8553297</v>
      </c>
      <c r="G143" s="69">
        <f>SUMIF('Executive Pay Breakdown'!O:O,$B143,'Executive Pay Breakdown'!Q:Q)</f>
        <v>8837858</v>
      </c>
      <c r="H143" s="69">
        <f>SUMIF('Executive Pay Breakdown'!S:S,$B143,'Executive Pay Breakdown'!U:U)</f>
        <v>3264629</v>
      </c>
      <c r="I143" s="69">
        <f>SUMIF('Executive Pay Breakdown'!W:W,$B143,'Executive Pay Breakdown'!Y:Y)</f>
        <v>2844406</v>
      </c>
      <c r="J143" s="69">
        <f>SUMIF('Executive Pay Breakdown'!AA:AA,$B143,'Executive Pay Breakdown'!AC:AC)</f>
        <v>2798523</v>
      </c>
      <c r="K143" s="90"/>
      <c r="L143" s="212"/>
      <c r="M143" s="87"/>
      <c r="N143" s="230">
        <f>F143/J143-1</f>
        <v>2.056361159</v>
      </c>
      <c r="O143" s="120">
        <f>MATCH(C143,'Key Findings'!B:B,0)</f>
        <v>51</v>
      </c>
    </row>
    <row r="144">
      <c r="A144" s="62"/>
      <c r="B144" s="127" t="s">
        <v>333</v>
      </c>
      <c r="C144" s="87" t="s">
        <v>13</v>
      </c>
      <c r="D144" s="89">
        <f>SUMIF('Executive Pay Breakdown'!K:K,$B144,'Executive Pay Breakdown'!M:M)+SUMIF('Executive Pay Breakdown'!O:O,$B144,'Executive Pay Breakdown'!Q:Q)+SUMIF('Executive Pay Breakdown'!S:S,$B144,'Executive Pay Breakdown'!U:U)+SUMIF('Executive Pay Breakdown'!W:W,$B144,'Executive Pay Breakdown'!Y:Y)+SUMIF('Executive Pay Breakdown'!AA:AA,$B144,'Executive Pay Breakdown'!AC:AC)</f>
        <v>26297515</v>
      </c>
      <c r="E144" s="109"/>
      <c r="F144" s="69">
        <f>SUMIF('Executive Pay Breakdown'!K:K,$B144,'Executive Pay Breakdown'!M:M)</f>
        <v>12478167</v>
      </c>
      <c r="G144" s="69">
        <f>SUMIF('Executive Pay Breakdown'!O:O,$B144,'Executive Pay Breakdown'!Q:Q)</f>
        <v>13819348</v>
      </c>
      <c r="H144" s="69">
        <f>SUMIF('Executive Pay Breakdown'!S:S,$B144,'Executive Pay Breakdown'!U:U)</f>
        <v>0</v>
      </c>
      <c r="I144" s="69">
        <f>SUMIF('Executive Pay Breakdown'!W:W,$B144,'Executive Pay Breakdown'!Y:Y)</f>
        <v>0</v>
      </c>
      <c r="J144" s="69">
        <f>SUMIF('Executive Pay Breakdown'!AA:AA,$B144,'Executive Pay Breakdown'!AC:AC)</f>
        <v>0</v>
      </c>
      <c r="K144" s="90"/>
      <c r="L144" s="212"/>
      <c r="M144" s="212"/>
      <c r="N144" s="230"/>
      <c r="O144" s="120">
        <f>MATCH(C144,'Key Findings'!B:B,0)</f>
        <v>11</v>
      </c>
    </row>
    <row r="145">
      <c r="A145" s="62"/>
      <c r="B145" s="127" t="s">
        <v>137</v>
      </c>
      <c r="C145" s="87" t="s">
        <v>64</v>
      </c>
      <c r="D145" s="89">
        <f>SUMIF('Executive Pay Breakdown'!K:K,$B145,'Executive Pay Breakdown'!M:M)+SUMIF('Executive Pay Breakdown'!O:O,$B145,'Executive Pay Breakdown'!Q:Q)+SUMIF('Executive Pay Breakdown'!S:S,$B145,'Executive Pay Breakdown'!U:U)+SUMIF('Executive Pay Breakdown'!W:W,$B145,'Executive Pay Breakdown'!Y:Y)+SUMIF('Executive Pay Breakdown'!AA:AA,$B145,'Executive Pay Breakdown'!AC:AC)</f>
        <v>26212426</v>
      </c>
      <c r="E145" s="109"/>
      <c r="F145" s="69">
        <f>SUMIF('Executive Pay Breakdown'!K:K,$B145,'Executive Pay Breakdown'!M:M)</f>
        <v>9592297</v>
      </c>
      <c r="G145" s="69">
        <f>SUMIF('Executive Pay Breakdown'!O:O,$B145,'Executive Pay Breakdown'!Q:Q)</f>
        <v>8841587</v>
      </c>
      <c r="H145" s="69">
        <f>SUMIF('Executive Pay Breakdown'!S:S,$B145,'Executive Pay Breakdown'!U:U)</f>
        <v>2766656</v>
      </c>
      <c r="I145" s="69">
        <f>SUMIF('Executive Pay Breakdown'!W:W,$B145,'Executive Pay Breakdown'!Y:Y)</f>
        <v>2626232</v>
      </c>
      <c r="J145" s="69">
        <f>SUMIF('Executive Pay Breakdown'!AA:AA,$B145,'Executive Pay Breakdown'!AC:AC)</f>
        <v>2385654</v>
      </c>
      <c r="K145" s="90"/>
      <c r="L145" s="212"/>
      <c r="M145" s="87"/>
      <c r="N145" s="230">
        <f>F145/J145-1</f>
        <v>3.020824897</v>
      </c>
      <c r="O145" s="120">
        <f>MATCH(C145,'Key Findings'!B:B,0)</f>
        <v>59</v>
      </c>
    </row>
    <row r="146">
      <c r="A146" s="62"/>
      <c r="B146" s="125" t="s">
        <v>388</v>
      </c>
      <c r="C146" s="87" t="s">
        <v>27</v>
      </c>
      <c r="D146" s="89">
        <f>SUMIF('Executive Pay Breakdown'!K:K,$B146,'Executive Pay Breakdown'!M:M)+SUMIF('Executive Pay Breakdown'!O:O,$B146,'Executive Pay Breakdown'!Q:Q)+SUMIF('Executive Pay Breakdown'!S:S,$B146,'Executive Pay Breakdown'!U:U)+SUMIF('Executive Pay Breakdown'!W:W,$B146,'Executive Pay Breakdown'!Y:Y)+SUMIF('Executive Pay Breakdown'!AA:AA,$B146,'Executive Pay Breakdown'!AC:AC)</f>
        <v>26009190</v>
      </c>
      <c r="E146" s="109"/>
      <c r="F146" s="69">
        <f>SUMIF('Executive Pay Breakdown'!K:K,$B146,'Executive Pay Breakdown'!M:M)</f>
        <v>0</v>
      </c>
      <c r="G146" s="69">
        <f>SUMIF('Executive Pay Breakdown'!O:O,$B146,'Executive Pay Breakdown'!Q:Q)</f>
        <v>0</v>
      </c>
      <c r="H146" s="69">
        <f>SUMIF('Executive Pay Breakdown'!S:S,$B146,'Executive Pay Breakdown'!U:U)</f>
        <v>7078005</v>
      </c>
      <c r="I146" s="69">
        <f>SUMIF('Executive Pay Breakdown'!W:W,$B146,'Executive Pay Breakdown'!Y:Y)</f>
        <v>9073076</v>
      </c>
      <c r="J146" s="69">
        <f>SUMIF('Executive Pay Breakdown'!AA:AA,$B146,'Executive Pay Breakdown'!AC:AC)</f>
        <v>9858109</v>
      </c>
      <c r="K146" s="90"/>
      <c r="L146" s="212"/>
      <c r="M146" s="87"/>
      <c r="N146" s="87"/>
      <c r="O146" s="120">
        <f>MATCH(C146,'Key Findings'!B:B,0)</f>
        <v>51</v>
      </c>
    </row>
    <row r="147">
      <c r="A147" s="81"/>
      <c r="B147" s="125" t="s">
        <v>344</v>
      </c>
      <c r="C147" s="87" t="s">
        <v>24</v>
      </c>
      <c r="D147" s="89">
        <f>SUMIF('Executive Pay Breakdown'!K:K,$B147,'Executive Pay Breakdown'!M:M)+SUMIF('Executive Pay Breakdown'!O:O,$B147,'Executive Pay Breakdown'!Q:Q)+SUMIF('Executive Pay Breakdown'!S:S,$B147,'Executive Pay Breakdown'!U:U)+SUMIF('Executive Pay Breakdown'!W:W,$B147,'Executive Pay Breakdown'!Y:Y)+SUMIF('Executive Pay Breakdown'!AA:AA,$B147,'Executive Pay Breakdown'!AC:AC)</f>
        <v>25935343</v>
      </c>
      <c r="E147" s="109"/>
      <c r="F147" s="69">
        <f>SUMIF('Executive Pay Breakdown'!K:K,$B147,'Executive Pay Breakdown'!M:M)</f>
        <v>15087262</v>
      </c>
      <c r="G147" s="69">
        <f>SUMIF('Executive Pay Breakdown'!O:O,$B147,'Executive Pay Breakdown'!Q:Q)</f>
        <v>10848081</v>
      </c>
      <c r="H147" s="69">
        <f>SUMIF('Executive Pay Breakdown'!S:S,$B147,'Executive Pay Breakdown'!U:U)</f>
        <v>0</v>
      </c>
      <c r="I147" s="69">
        <f>SUMIF('Executive Pay Breakdown'!W:W,$B147,'Executive Pay Breakdown'!Y:Y)</f>
        <v>0</v>
      </c>
      <c r="J147" s="69">
        <f>SUMIF('Executive Pay Breakdown'!AA:AA,$B147,'Executive Pay Breakdown'!AC:AC)</f>
        <v>0</v>
      </c>
      <c r="K147" s="90"/>
      <c r="L147" s="212"/>
      <c r="M147" s="212"/>
      <c r="N147" s="230"/>
      <c r="O147" s="120">
        <f>MATCH(C147,'Key Findings'!B:B,0)</f>
        <v>15</v>
      </c>
    </row>
    <row r="148">
      <c r="A148" s="62"/>
      <c r="B148" s="127" t="s">
        <v>226</v>
      </c>
      <c r="C148" s="87" t="s">
        <v>40</v>
      </c>
      <c r="D148" s="89">
        <f>SUMIF('Executive Pay Breakdown'!K:K,$B148,'Executive Pay Breakdown'!M:M)+SUMIF('Executive Pay Breakdown'!O:O,$B148,'Executive Pay Breakdown'!Q:Q)+SUMIF('Executive Pay Breakdown'!S:S,$B148,'Executive Pay Breakdown'!U:U)+SUMIF('Executive Pay Breakdown'!W:W,$B148,'Executive Pay Breakdown'!Y:Y)+SUMIF('Executive Pay Breakdown'!AA:AA,$B148,'Executive Pay Breakdown'!AC:AC)</f>
        <v>25754919</v>
      </c>
      <c r="E148" s="109"/>
      <c r="F148" s="69">
        <f>SUMIF('Executive Pay Breakdown'!K:K,$B148,'Executive Pay Breakdown'!M:M)</f>
        <v>5588971</v>
      </c>
      <c r="G148" s="69">
        <f>SUMIF('Executive Pay Breakdown'!O:O,$B148,'Executive Pay Breakdown'!Q:Q)</f>
        <v>5757689</v>
      </c>
      <c r="H148" s="69">
        <f>SUMIF('Executive Pay Breakdown'!S:S,$B148,'Executive Pay Breakdown'!U:U)</f>
        <v>4702504</v>
      </c>
      <c r="I148" s="69">
        <f>SUMIF('Executive Pay Breakdown'!W:W,$B148,'Executive Pay Breakdown'!Y:Y)</f>
        <v>5001396</v>
      </c>
      <c r="J148" s="69">
        <f>SUMIF('Executive Pay Breakdown'!AA:AA,$B148,'Executive Pay Breakdown'!AC:AC)</f>
        <v>4704359</v>
      </c>
      <c r="K148" s="90"/>
      <c r="L148" s="212"/>
      <c r="M148" s="87"/>
      <c r="N148" s="230">
        <f t="shared" ref="N148:N149" si="19">F148/J148-1</f>
        <v>0.1880409212</v>
      </c>
      <c r="O148" s="120">
        <f>MATCH(C148,'Key Findings'!B:B,0)</f>
        <v>7</v>
      </c>
    </row>
    <row r="149">
      <c r="A149" s="62"/>
      <c r="B149" s="86" t="s">
        <v>174</v>
      </c>
      <c r="C149" s="87" t="s">
        <v>31</v>
      </c>
      <c r="D149" s="89">
        <f>SUMIF('Executive Pay Breakdown'!K:K,$B149,'Executive Pay Breakdown'!M:M)+SUMIF('Executive Pay Breakdown'!O:O,$B149,'Executive Pay Breakdown'!Q:Q)+SUMIF('Executive Pay Breakdown'!S:S,$B149,'Executive Pay Breakdown'!U:U)+SUMIF('Executive Pay Breakdown'!W:W,$B149,'Executive Pay Breakdown'!Y:Y)+SUMIF('Executive Pay Breakdown'!AA:AA,$B149,'Executive Pay Breakdown'!AC:AC)</f>
        <v>25662730</v>
      </c>
      <c r="E149" s="109"/>
      <c r="F149" s="69">
        <f>SUMIF('Executive Pay Breakdown'!K:K,$B149,'Executive Pay Breakdown'!M:M)</f>
        <v>7357331</v>
      </c>
      <c r="G149" s="69">
        <f>SUMIF('Executive Pay Breakdown'!O:O,$B149,'Executive Pay Breakdown'!Q:Q)</f>
        <v>4305713</v>
      </c>
      <c r="H149" s="69">
        <f>SUMIF('Executive Pay Breakdown'!S:S,$B149,'Executive Pay Breakdown'!U:U)</f>
        <v>6065768</v>
      </c>
      <c r="I149" s="69">
        <f>SUMIF('Executive Pay Breakdown'!W:W,$B149,'Executive Pay Breakdown'!Y:Y)</f>
        <v>3779709</v>
      </c>
      <c r="J149" s="69">
        <f>SUMIF('Executive Pay Breakdown'!AA:AA,$B149,'Executive Pay Breakdown'!AC:AC)</f>
        <v>4154209</v>
      </c>
      <c r="K149" s="90"/>
      <c r="L149" s="212"/>
      <c r="M149" s="87"/>
      <c r="N149" s="230">
        <f t="shared" si="19"/>
        <v>0.7710546099</v>
      </c>
      <c r="O149" s="120">
        <f>MATCH(C149,'Key Findings'!B:B,0)</f>
        <v>52</v>
      </c>
    </row>
    <row r="150">
      <c r="A150" s="81"/>
      <c r="B150" s="137" t="s">
        <v>303</v>
      </c>
      <c r="C150" s="87" t="str">
        <f t="array" ref="C150">INDEX('Executive Pay Breakdown'!B:B,MATCH(B150,'Executive Pay Breakdown'!K:K,0))</f>
        <v>Whirlpool</v>
      </c>
      <c r="D150" s="89">
        <f>SUMIF('Executive Pay Breakdown'!K:K,$B150,'Executive Pay Breakdown'!M:M)+SUMIF('Executive Pay Breakdown'!O:O,$B150,'Executive Pay Breakdown'!Q:Q)+SUMIF('Executive Pay Breakdown'!S:S,$B150,'Executive Pay Breakdown'!U:U)+SUMIF('Executive Pay Breakdown'!W:W,$B150,'Executive Pay Breakdown'!Y:Y)+SUMIF('Executive Pay Breakdown'!AA:AA,$B150,'Executive Pay Breakdown'!AC:AC)</f>
        <v>25556422</v>
      </c>
      <c r="E150" s="109"/>
      <c r="F150" s="69">
        <f>SUMIF('Executive Pay Breakdown'!K:K,$B150,'Executive Pay Breakdown'!M:M)</f>
        <v>4941682</v>
      </c>
      <c r="G150" s="69">
        <f>SUMIF('Executive Pay Breakdown'!O:O,$B150,'Executive Pay Breakdown'!Q:Q)</f>
        <v>6869686</v>
      </c>
      <c r="H150" s="69">
        <f>SUMIF('Executive Pay Breakdown'!S:S,$B150,'Executive Pay Breakdown'!U:U)</f>
        <v>6178417</v>
      </c>
      <c r="I150" s="69">
        <f>SUMIF('Executive Pay Breakdown'!W:W,$B150,'Executive Pay Breakdown'!Y:Y)</f>
        <v>4796558</v>
      </c>
      <c r="J150" s="69">
        <f>SUMIF('Executive Pay Breakdown'!AA:AA,$B150,'Executive Pay Breakdown'!AC:AC)</f>
        <v>2770079</v>
      </c>
      <c r="K150" s="90"/>
      <c r="L150" s="212"/>
      <c r="M150" s="87"/>
      <c r="N150" s="230"/>
      <c r="O150" s="120">
        <f>MATCH(C150,'Key Findings'!B:B,0)</f>
        <v>37</v>
      </c>
    </row>
    <row r="151">
      <c r="A151" s="71"/>
      <c r="B151" s="124" t="s">
        <v>272</v>
      </c>
      <c r="C151" s="87" t="s">
        <v>58</v>
      </c>
      <c r="D151" s="89">
        <f>SUMIF('Executive Pay Breakdown'!K:K,$B151,'Executive Pay Breakdown'!M:M)+SUMIF('Executive Pay Breakdown'!O:O,$B151,'Executive Pay Breakdown'!Q:Q)+SUMIF('Executive Pay Breakdown'!S:S,$B151,'Executive Pay Breakdown'!U:U)+SUMIF('Executive Pay Breakdown'!W:W,$B151,'Executive Pay Breakdown'!Y:Y)+SUMIF('Executive Pay Breakdown'!AA:AA,$B151,'Executive Pay Breakdown'!AC:AC)</f>
        <v>25493085</v>
      </c>
      <c r="E151" s="109"/>
      <c r="F151" s="69">
        <f>SUMIF('Executive Pay Breakdown'!K:K,$B151,'Executive Pay Breakdown'!M:M)</f>
        <v>5348604</v>
      </c>
      <c r="G151" s="69">
        <f>SUMIF('Executive Pay Breakdown'!O:O,$B151,'Executive Pay Breakdown'!Q:Q)</f>
        <v>5073519</v>
      </c>
      <c r="H151" s="69">
        <f>SUMIF('Executive Pay Breakdown'!S:S,$B151,'Executive Pay Breakdown'!U:U)</f>
        <v>4200244</v>
      </c>
      <c r="I151" s="69">
        <f>SUMIF('Executive Pay Breakdown'!W:W,$B151,'Executive Pay Breakdown'!Y:Y)</f>
        <v>4344743</v>
      </c>
      <c r="J151" s="69">
        <f>SUMIF('Executive Pay Breakdown'!AA:AA,$B151,'Executive Pay Breakdown'!AC:AC)</f>
        <v>6525975</v>
      </c>
      <c r="K151" s="90"/>
      <c r="L151" s="212"/>
      <c r="M151" s="87"/>
      <c r="N151" s="230">
        <f t="shared" ref="N151:N153" si="20">F151/J151-1</f>
        <v>-0.1804130417</v>
      </c>
      <c r="O151" s="120">
        <f>MATCH(C151,'Key Findings'!B:B,0)</f>
        <v>27</v>
      </c>
    </row>
    <row r="152">
      <c r="A152" s="62"/>
      <c r="B152" s="86" t="s">
        <v>158</v>
      </c>
      <c r="C152" s="233" t="s">
        <v>62</v>
      </c>
      <c r="D152" s="89">
        <f>SUMIF('Executive Pay Breakdown'!K:K,$B152,'Executive Pay Breakdown'!M:M)+SUMIF('Executive Pay Breakdown'!O:O,$B152,'Executive Pay Breakdown'!Q:Q)+SUMIF('Executive Pay Breakdown'!S:S,$B152,'Executive Pay Breakdown'!U:U)+SUMIF('Executive Pay Breakdown'!W:W,$B152,'Executive Pay Breakdown'!Y:Y)+SUMIF('Executive Pay Breakdown'!AA:AA,$B152,'Executive Pay Breakdown'!AC:AC)</f>
        <v>25467664</v>
      </c>
      <c r="E152" s="109"/>
      <c r="F152" s="69">
        <f>SUMIF('Executive Pay Breakdown'!K:K,$B152,'Executive Pay Breakdown'!M:M)</f>
        <v>6524928</v>
      </c>
      <c r="G152" s="69">
        <f>SUMIF('Executive Pay Breakdown'!O:O,$B152,'Executive Pay Breakdown'!Q:Q)</f>
        <v>6935121</v>
      </c>
      <c r="H152" s="69">
        <f>SUMIF('Executive Pay Breakdown'!S:S,$B152,'Executive Pay Breakdown'!U:U)</f>
        <v>5249291</v>
      </c>
      <c r="I152" s="69">
        <f>SUMIF('Executive Pay Breakdown'!W:W,$B152,'Executive Pay Breakdown'!Y:Y)</f>
        <v>4029369</v>
      </c>
      <c r="J152" s="69">
        <f>SUMIF('Executive Pay Breakdown'!AA:AA,$B152,'Executive Pay Breakdown'!AC:AC)</f>
        <v>2728955</v>
      </c>
      <c r="K152" s="90"/>
      <c r="L152" s="212"/>
      <c r="M152" s="87"/>
      <c r="N152" s="230">
        <f t="shared" si="20"/>
        <v>1.390998752</v>
      </c>
      <c r="O152" s="120">
        <f>MATCH(C152,'Key Findings'!B:B,0)</f>
        <v>28</v>
      </c>
    </row>
    <row r="153">
      <c r="A153" s="62"/>
      <c r="B153" s="127" t="s">
        <v>278</v>
      </c>
      <c r="C153" s="87" t="s">
        <v>53</v>
      </c>
      <c r="D153" s="89">
        <f>SUMIF('Executive Pay Breakdown'!K:K,$B153,'Executive Pay Breakdown'!M:M)+SUMIF('Executive Pay Breakdown'!O:O,$B153,'Executive Pay Breakdown'!Q:Q)+SUMIF('Executive Pay Breakdown'!S:S,$B153,'Executive Pay Breakdown'!U:U)+SUMIF('Executive Pay Breakdown'!W:W,$B153,'Executive Pay Breakdown'!Y:Y)+SUMIF('Executive Pay Breakdown'!AA:AA,$B153,'Executive Pay Breakdown'!AC:AC)</f>
        <v>25465011</v>
      </c>
      <c r="E153" s="109"/>
      <c r="F153" s="69">
        <f>SUMIF('Executive Pay Breakdown'!K:K,$B153,'Executive Pay Breakdown'!M:M)</f>
        <v>4657373</v>
      </c>
      <c r="G153" s="69">
        <f>SUMIF('Executive Pay Breakdown'!O:O,$B153,'Executive Pay Breakdown'!Q:Q)</f>
        <v>4792126</v>
      </c>
      <c r="H153" s="69">
        <f>SUMIF('Executive Pay Breakdown'!S:S,$B153,'Executive Pay Breakdown'!U:U)</f>
        <v>5081474</v>
      </c>
      <c r="I153" s="69">
        <f>SUMIF('Executive Pay Breakdown'!W:W,$B153,'Executive Pay Breakdown'!Y:Y)</f>
        <v>4476955</v>
      </c>
      <c r="J153" s="69">
        <f>SUMIF('Executive Pay Breakdown'!AA:AA,$B153,'Executive Pay Breakdown'!AC:AC)</f>
        <v>6457083</v>
      </c>
      <c r="K153" s="90"/>
      <c r="L153" s="212"/>
      <c r="M153" s="87"/>
      <c r="N153" s="230">
        <f t="shared" si="20"/>
        <v>-0.2787187341</v>
      </c>
      <c r="O153" s="120">
        <f>MATCH(C153,'Key Findings'!B:B,0)</f>
        <v>23</v>
      </c>
    </row>
    <row r="154">
      <c r="A154" s="62"/>
      <c r="B154" s="87" t="s">
        <v>345</v>
      </c>
      <c r="C154" s="87" t="s">
        <v>19</v>
      </c>
      <c r="D154" s="89">
        <f>SUMIF('Executive Pay Breakdown'!K:K,$B154,'Executive Pay Breakdown'!M:M)+SUMIF('Executive Pay Breakdown'!O:O,$B154,'Executive Pay Breakdown'!Q:Q)+SUMIF('Executive Pay Breakdown'!S:S,$B154,'Executive Pay Breakdown'!U:U)+SUMIF('Executive Pay Breakdown'!W:W,$B154,'Executive Pay Breakdown'!Y:Y)+SUMIF('Executive Pay Breakdown'!AA:AA,$B154,'Executive Pay Breakdown'!AC:AC)</f>
        <v>25176892</v>
      </c>
      <c r="E154" s="109"/>
      <c r="F154" s="69">
        <f>SUMIF('Executive Pay Breakdown'!K:K,$B154,'Executive Pay Breakdown'!M:M)</f>
        <v>6963356</v>
      </c>
      <c r="G154" s="69">
        <f>SUMIF('Executive Pay Breakdown'!O:O,$B154,'Executive Pay Breakdown'!Q:Q)</f>
        <v>6455999</v>
      </c>
      <c r="H154" s="69">
        <f>SUMIF('Executive Pay Breakdown'!S:S,$B154,'Executive Pay Breakdown'!U:U)</f>
        <v>7063257</v>
      </c>
      <c r="I154" s="69">
        <f>SUMIF('Executive Pay Breakdown'!W:W,$B154,'Executive Pay Breakdown'!Y:Y)</f>
        <v>4694280</v>
      </c>
      <c r="J154" s="69">
        <f>SUMIF('Executive Pay Breakdown'!AA:AA,$B154,'Executive Pay Breakdown'!AC:AC)</f>
        <v>0</v>
      </c>
      <c r="K154" s="90"/>
      <c r="L154" s="212"/>
      <c r="M154" s="87"/>
      <c r="N154" s="230"/>
      <c r="O154" s="120">
        <f>MATCH(C154,'Key Findings'!B:B,0)</f>
        <v>6</v>
      </c>
    </row>
    <row r="155">
      <c r="A155" s="81"/>
      <c r="B155" s="87" t="s">
        <v>359</v>
      </c>
      <c r="C155" s="87" t="s">
        <v>50</v>
      </c>
      <c r="D155" s="89">
        <f>SUMIF('Executive Pay Breakdown'!K:K,$B155,'Executive Pay Breakdown'!M:M)+SUMIF('Executive Pay Breakdown'!O:O,$B155,'Executive Pay Breakdown'!Q:Q)+SUMIF('Executive Pay Breakdown'!S:S,$B155,'Executive Pay Breakdown'!U:U)+SUMIF('Executive Pay Breakdown'!W:W,$B155,'Executive Pay Breakdown'!Y:Y)+SUMIF('Executive Pay Breakdown'!AA:AA,$B155,'Executive Pay Breakdown'!AC:AC)</f>
        <v>41666321</v>
      </c>
      <c r="E155" s="109"/>
      <c r="F155" s="69">
        <f>SUMIF('Executive Pay Breakdown'!K:K,$B155,'Executive Pay Breakdown'!M:M)</f>
        <v>10235938</v>
      </c>
      <c r="G155" s="69">
        <f>SUMIF('Executive Pay Breakdown'!O:O,$B155,'Executive Pay Breakdown'!Q:Q)</f>
        <v>9578648</v>
      </c>
      <c r="H155" s="69">
        <f>SUMIF('Executive Pay Breakdown'!S:S,$B155,'Executive Pay Breakdown'!U:U)</f>
        <v>9818600</v>
      </c>
      <c r="I155" s="69">
        <f>SUMIF('Executive Pay Breakdown'!W:W,$B155,'Executive Pay Breakdown'!Y:Y)</f>
        <v>6283152</v>
      </c>
      <c r="J155" s="69">
        <f>SUMIF('Executive Pay Breakdown'!AA:AA,$B155,'Executive Pay Breakdown'!AC:AC)</f>
        <v>5749983</v>
      </c>
      <c r="K155" s="90"/>
      <c r="L155" s="212"/>
      <c r="M155" s="87"/>
      <c r="N155" s="230"/>
      <c r="O155" s="120">
        <f>MATCH(C155,'Key Findings'!B:B,0)</f>
        <v>18</v>
      </c>
    </row>
    <row r="156">
      <c r="A156" s="62"/>
      <c r="B156" s="86" t="s">
        <v>387</v>
      </c>
      <c r="C156" s="87" t="s">
        <v>38</v>
      </c>
      <c r="D156" s="89">
        <f>SUMIF('Executive Pay Breakdown'!K:K,$B156,'Executive Pay Breakdown'!M:M)+SUMIF('Executive Pay Breakdown'!O:O,$B156,'Executive Pay Breakdown'!Q:Q)+SUMIF('Executive Pay Breakdown'!S:S,$B156,'Executive Pay Breakdown'!U:U)+SUMIF('Executive Pay Breakdown'!W:W,$B156,'Executive Pay Breakdown'!Y:Y)+SUMIF('Executive Pay Breakdown'!AA:AA,$B156,'Executive Pay Breakdown'!AC:AC)</f>
        <v>24976423</v>
      </c>
      <c r="E156" s="109"/>
      <c r="F156" s="69">
        <f>SUMIF('Executive Pay Breakdown'!K:K,$B156,'Executive Pay Breakdown'!M:M)</f>
        <v>0</v>
      </c>
      <c r="G156" s="69">
        <f>SUMIF('Executive Pay Breakdown'!O:O,$B156,'Executive Pay Breakdown'!Q:Q)</f>
        <v>0</v>
      </c>
      <c r="H156" s="69">
        <f>SUMIF('Executive Pay Breakdown'!S:S,$B156,'Executive Pay Breakdown'!U:U)</f>
        <v>7898536</v>
      </c>
      <c r="I156" s="69">
        <f>SUMIF('Executive Pay Breakdown'!W:W,$B156,'Executive Pay Breakdown'!Y:Y)</f>
        <v>8986702</v>
      </c>
      <c r="J156" s="69">
        <f>SUMIF('Executive Pay Breakdown'!AA:AA,$B156,'Executive Pay Breakdown'!AC:AC)</f>
        <v>8091185</v>
      </c>
      <c r="K156" s="90"/>
      <c r="L156" s="212"/>
      <c r="M156" s="87"/>
      <c r="N156" s="87"/>
      <c r="O156" s="120">
        <f>MATCH(C156,'Key Findings'!B:B,0)</f>
        <v>62</v>
      </c>
    </row>
    <row r="157">
      <c r="A157" s="81"/>
      <c r="B157" s="134" t="s">
        <v>265</v>
      </c>
      <c r="C157" s="87" t="s">
        <v>56</v>
      </c>
      <c r="D157" s="89">
        <f>SUMIF('Executive Pay Breakdown'!K:K,$B157,'Executive Pay Breakdown'!M:M)+SUMIF('Executive Pay Breakdown'!O:O,$B157,'Executive Pay Breakdown'!Q:Q)+SUMIF('Executive Pay Breakdown'!S:S,$B157,'Executive Pay Breakdown'!U:U)+SUMIF('Executive Pay Breakdown'!W:W,$B157,'Executive Pay Breakdown'!Y:Y)+SUMIF('Executive Pay Breakdown'!AA:AA,$B157,'Executive Pay Breakdown'!AC:AC)</f>
        <v>24954498</v>
      </c>
      <c r="E157" s="109"/>
      <c r="F157" s="69">
        <f>SUMIF('Executive Pay Breakdown'!K:K,$B157,'Executive Pay Breakdown'!M:M)</f>
        <v>5677999</v>
      </c>
      <c r="G157" s="69">
        <f>SUMIF('Executive Pay Breakdown'!O:O,$B157,'Executive Pay Breakdown'!Q:Q)</f>
        <v>3452232</v>
      </c>
      <c r="H157" s="69">
        <f>SUMIF('Executive Pay Breakdown'!S:S,$B157,'Executive Pay Breakdown'!U:U)</f>
        <v>5154792</v>
      </c>
      <c r="I157" s="69">
        <f>SUMIF('Executive Pay Breakdown'!W:W,$B157,'Executive Pay Breakdown'!Y:Y)</f>
        <v>4705929</v>
      </c>
      <c r="J157" s="69">
        <f>SUMIF('Executive Pay Breakdown'!AA:AA,$B157,'Executive Pay Breakdown'!AC:AC)</f>
        <v>5963546</v>
      </c>
      <c r="K157" s="90"/>
      <c r="L157" s="212"/>
      <c r="M157" s="87"/>
      <c r="N157" s="230">
        <f t="shared" ref="N157:N158" si="21">F157/J157-1</f>
        <v>-0.04788208224</v>
      </c>
      <c r="O157" s="120">
        <f>MATCH(C157,'Key Findings'!B:B,0)</f>
        <v>30</v>
      </c>
    </row>
    <row r="158">
      <c r="A158" s="62"/>
      <c r="B158" s="131" t="s">
        <v>163</v>
      </c>
      <c r="C158" s="87" t="s">
        <v>18</v>
      </c>
      <c r="D158" s="89">
        <f>SUMIF('Executive Pay Breakdown'!K:K,$B158,'Executive Pay Breakdown'!M:M)+SUMIF('Executive Pay Breakdown'!O:O,$B158,'Executive Pay Breakdown'!Q:Q)+SUMIF('Executive Pay Breakdown'!S:S,$B158,'Executive Pay Breakdown'!U:U)+SUMIF('Executive Pay Breakdown'!W:W,$B158,'Executive Pay Breakdown'!Y:Y)+SUMIF('Executive Pay Breakdown'!AA:AA,$B158,'Executive Pay Breakdown'!AC:AC)</f>
        <v>24664520</v>
      </c>
      <c r="E158" s="109"/>
      <c r="F158" s="69">
        <f>SUMIF('Executive Pay Breakdown'!K:K,$B158,'Executive Pay Breakdown'!M:M)</f>
        <v>5340376</v>
      </c>
      <c r="G158" s="69">
        <f>SUMIF('Executive Pay Breakdown'!O:O,$B158,'Executive Pay Breakdown'!Q:Q)</f>
        <v>7192784</v>
      </c>
      <c r="H158" s="69">
        <f>SUMIF('Executive Pay Breakdown'!S:S,$B158,'Executive Pay Breakdown'!U:U)</f>
        <v>4539501</v>
      </c>
      <c r="I158" s="69">
        <f>SUMIF('Executive Pay Breakdown'!W:W,$B158,'Executive Pay Breakdown'!Y:Y)</f>
        <v>5027436</v>
      </c>
      <c r="J158" s="69">
        <f>SUMIF('Executive Pay Breakdown'!AA:AA,$B158,'Executive Pay Breakdown'!AC:AC)</f>
        <v>2564423</v>
      </c>
      <c r="K158" s="90"/>
      <c r="L158" s="212"/>
      <c r="M158" s="87"/>
      <c r="N158" s="230">
        <f t="shared" si="21"/>
        <v>1.082486392</v>
      </c>
      <c r="O158" s="120">
        <f>MATCH(C158,'Key Findings'!B:B,0)</f>
        <v>8</v>
      </c>
    </row>
    <row r="159">
      <c r="A159" s="81"/>
      <c r="B159" s="137" t="s">
        <v>304</v>
      </c>
      <c r="C159" s="87" t="str">
        <f t="array" ref="C159">INDEX('Executive Pay Breakdown'!B:B,MATCH(B159,'Executive Pay Breakdown'!K:K,0))</f>
        <v>Whirlpool</v>
      </c>
      <c r="D159" s="89">
        <f>SUMIF('Executive Pay Breakdown'!K:K,$B159,'Executive Pay Breakdown'!M:M)+SUMIF('Executive Pay Breakdown'!O:O,$B159,'Executive Pay Breakdown'!Q:Q)+SUMIF('Executive Pay Breakdown'!S:S,$B159,'Executive Pay Breakdown'!U:U)+SUMIF('Executive Pay Breakdown'!W:W,$B159,'Executive Pay Breakdown'!Y:Y)+SUMIF('Executive Pay Breakdown'!AA:AA,$B159,'Executive Pay Breakdown'!AC:AC)</f>
        <v>24488336</v>
      </c>
      <c r="E159" s="109"/>
      <c r="F159" s="69">
        <f>SUMIF('Executive Pay Breakdown'!K:K,$B159,'Executive Pay Breakdown'!M:M)</f>
        <v>3868145</v>
      </c>
      <c r="G159" s="69">
        <f>SUMIF('Executive Pay Breakdown'!O:O,$B159,'Executive Pay Breakdown'!Q:Q)</f>
        <v>8331820</v>
      </c>
      <c r="H159" s="69">
        <f>SUMIF('Executive Pay Breakdown'!S:S,$B159,'Executive Pay Breakdown'!U:U)</f>
        <v>5389599</v>
      </c>
      <c r="I159" s="69">
        <f>SUMIF('Executive Pay Breakdown'!W:W,$B159,'Executive Pay Breakdown'!Y:Y)</f>
        <v>4007186</v>
      </c>
      <c r="J159" s="69">
        <f>SUMIF('Executive Pay Breakdown'!AA:AA,$B159,'Executive Pay Breakdown'!AC:AC)</f>
        <v>2891586</v>
      </c>
      <c r="K159" s="90"/>
      <c r="L159" s="212"/>
      <c r="M159" s="87"/>
      <c r="N159" s="230"/>
      <c r="O159" s="120">
        <f>MATCH(C159,'Key Findings'!B:B,0)</f>
        <v>37</v>
      </c>
    </row>
    <row r="160">
      <c r="A160" s="81"/>
      <c r="B160" s="136" t="s">
        <v>348</v>
      </c>
      <c r="C160" s="87" t="s">
        <v>24</v>
      </c>
      <c r="D160" s="89">
        <f>SUMIF('Executive Pay Breakdown'!K:K,$B160,'Executive Pay Breakdown'!M:M)+SUMIF('Executive Pay Breakdown'!O:O,$B160,'Executive Pay Breakdown'!Q:Q)+SUMIF('Executive Pay Breakdown'!S:S,$B160,'Executive Pay Breakdown'!U:U)+SUMIF('Executive Pay Breakdown'!W:W,$B160,'Executive Pay Breakdown'!Y:Y)+SUMIF('Executive Pay Breakdown'!AA:AA,$B160,'Executive Pay Breakdown'!AC:AC)</f>
        <v>24367677</v>
      </c>
      <c r="E160" s="109"/>
      <c r="F160" s="69">
        <f>SUMIF('Executive Pay Breakdown'!K:K,$B160,'Executive Pay Breakdown'!M:M)</f>
        <v>8956211</v>
      </c>
      <c r="G160" s="69">
        <f>SUMIF('Executive Pay Breakdown'!O:O,$B160,'Executive Pay Breakdown'!Q:Q)</f>
        <v>9428325</v>
      </c>
      <c r="H160" s="69">
        <f>SUMIF('Executive Pay Breakdown'!S:S,$B160,'Executive Pay Breakdown'!U:U)</f>
        <v>5983141</v>
      </c>
      <c r="I160" s="69">
        <f>SUMIF('Executive Pay Breakdown'!W:W,$B160,'Executive Pay Breakdown'!Y:Y)</f>
        <v>0</v>
      </c>
      <c r="J160" s="69">
        <f>SUMIF('Executive Pay Breakdown'!AA:AA,$B160,'Executive Pay Breakdown'!AC:AC)</f>
        <v>0</v>
      </c>
      <c r="K160" s="90"/>
      <c r="L160" s="212"/>
      <c r="M160" s="87"/>
      <c r="N160" s="230"/>
      <c r="O160" s="120">
        <f>MATCH(C160,'Key Findings'!B:B,0)</f>
        <v>15</v>
      </c>
    </row>
    <row r="161">
      <c r="A161" s="81"/>
      <c r="B161" s="87" t="s">
        <v>363</v>
      </c>
      <c r="C161" s="87" t="s">
        <v>50</v>
      </c>
      <c r="D161" s="89">
        <f>SUMIF('Executive Pay Breakdown'!K:K,$B161,'Executive Pay Breakdown'!M:M)+SUMIF('Executive Pay Breakdown'!O:O,$B161,'Executive Pay Breakdown'!Q:Q)+SUMIF('Executive Pay Breakdown'!S:S,$B161,'Executive Pay Breakdown'!U:U)+SUMIF('Executive Pay Breakdown'!W:W,$B161,'Executive Pay Breakdown'!Y:Y)+SUMIF('Executive Pay Breakdown'!AA:AA,$B161,'Executive Pay Breakdown'!AC:AC)</f>
        <v>24348451</v>
      </c>
      <c r="E161" s="109"/>
      <c r="F161" s="69">
        <f>SUMIF('Executive Pay Breakdown'!K:K,$B161,'Executive Pay Breakdown'!M:M)</f>
        <v>8779266</v>
      </c>
      <c r="G161" s="69">
        <f>SUMIF('Executive Pay Breakdown'!O:O,$B161,'Executive Pay Breakdown'!Q:Q)</f>
        <v>8835477</v>
      </c>
      <c r="H161" s="69">
        <f>SUMIF('Executive Pay Breakdown'!S:S,$B161,'Executive Pay Breakdown'!U:U)</f>
        <v>6733708</v>
      </c>
      <c r="I161" s="69">
        <f>SUMIF('Executive Pay Breakdown'!W:W,$B161,'Executive Pay Breakdown'!Y:Y)</f>
        <v>0</v>
      </c>
      <c r="J161" s="69">
        <f>SUMIF('Executive Pay Breakdown'!AA:AA,$B161,'Executive Pay Breakdown'!AC:AC)</f>
        <v>0</v>
      </c>
      <c r="K161" s="90"/>
      <c r="L161" s="212"/>
      <c r="M161" s="87"/>
      <c r="N161" s="230"/>
      <c r="O161" s="120">
        <f>MATCH(C161,'Key Findings'!B:B,0)</f>
        <v>18</v>
      </c>
    </row>
    <row r="162">
      <c r="A162" s="62"/>
      <c r="B162" s="127" t="s">
        <v>153</v>
      </c>
      <c r="C162" s="87" t="s">
        <v>34</v>
      </c>
      <c r="D162" s="89">
        <f>SUMIF('Executive Pay Breakdown'!K:K,$B162,'Executive Pay Breakdown'!M:M)+SUMIF('Executive Pay Breakdown'!O:O,$B162,'Executive Pay Breakdown'!Q:Q)+SUMIF('Executive Pay Breakdown'!S:S,$B162,'Executive Pay Breakdown'!U:U)+SUMIF('Executive Pay Breakdown'!W:W,$B162,'Executive Pay Breakdown'!Y:Y)+SUMIF('Executive Pay Breakdown'!AA:AA,$B162,'Executive Pay Breakdown'!AC:AC)</f>
        <v>24296290</v>
      </c>
      <c r="E162" s="109"/>
      <c r="F162" s="69">
        <f>SUMIF('Executive Pay Breakdown'!K:K,$B162,'Executive Pay Breakdown'!M:M)</f>
        <v>6861760</v>
      </c>
      <c r="G162" s="69">
        <f>SUMIF('Executive Pay Breakdown'!O:O,$B162,'Executive Pay Breakdown'!Q:Q)</f>
        <v>3889327</v>
      </c>
      <c r="H162" s="69">
        <f>SUMIF('Executive Pay Breakdown'!S:S,$B162,'Executive Pay Breakdown'!U:U)</f>
        <v>6007055</v>
      </c>
      <c r="I162" s="69">
        <f>SUMIF('Executive Pay Breakdown'!W:W,$B162,'Executive Pay Breakdown'!Y:Y)</f>
        <v>4934063</v>
      </c>
      <c r="J162" s="69">
        <f>SUMIF('Executive Pay Breakdown'!AA:AA,$B162,'Executive Pay Breakdown'!AC:AC)</f>
        <v>2604085</v>
      </c>
      <c r="K162" s="90"/>
      <c r="L162" s="212"/>
      <c r="M162" s="87"/>
      <c r="N162" s="230">
        <f t="shared" ref="N162:N163" si="22">F162/J162-1</f>
        <v>1.634998474</v>
      </c>
      <c r="O162" s="120">
        <f>MATCH(C162,'Key Findings'!B:B,0)</f>
        <v>34</v>
      </c>
    </row>
    <row r="163">
      <c r="A163" s="62"/>
      <c r="B163" s="86" t="s">
        <v>276</v>
      </c>
      <c r="C163" s="87" t="s">
        <v>46</v>
      </c>
      <c r="D163" s="89">
        <f>SUMIF('Executive Pay Breakdown'!K:K,$B163,'Executive Pay Breakdown'!M:M)+SUMIF('Executive Pay Breakdown'!O:O,$B163,'Executive Pay Breakdown'!Q:Q)+SUMIF('Executive Pay Breakdown'!S:S,$B163,'Executive Pay Breakdown'!U:U)+SUMIF('Executive Pay Breakdown'!W:W,$B163,'Executive Pay Breakdown'!Y:Y)+SUMIF('Executive Pay Breakdown'!AA:AA,$B163,'Executive Pay Breakdown'!AC:AC)</f>
        <v>24128585</v>
      </c>
      <c r="E163" s="109"/>
      <c r="F163" s="69">
        <f>SUMIF('Executive Pay Breakdown'!K:K,$B163,'Executive Pay Breakdown'!M:M)</f>
        <v>4790676</v>
      </c>
      <c r="G163" s="69">
        <f>SUMIF('Executive Pay Breakdown'!O:O,$B163,'Executive Pay Breakdown'!Q:Q)</f>
        <v>4711733</v>
      </c>
      <c r="H163" s="69">
        <f>SUMIF('Executive Pay Breakdown'!S:S,$B163,'Executive Pay Breakdown'!U:U)</f>
        <v>3665071</v>
      </c>
      <c r="I163" s="69">
        <f>SUMIF('Executive Pay Breakdown'!W:W,$B163,'Executive Pay Breakdown'!Y:Y)</f>
        <v>4379242</v>
      </c>
      <c r="J163" s="69">
        <f>SUMIF('Executive Pay Breakdown'!AA:AA,$B163,'Executive Pay Breakdown'!AC:AC)</f>
        <v>6581863</v>
      </c>
      <c r="K163" s="90"/>
      <c r="L163" s="212"/>
      <c r="M163" s="87"/>
      <c r="N163" s="230">
        <f t="shared" si="22"/>
        <v>-0.2721398182</v>
      </c>
      <c r="O163" s="120">
        <f>MATCH(C163,'Key Findings'!B:B,0)</f>
        <v>43</v>
      </c>
    </row>
    <row r="164">
      <c r="A164" s="81"/>
      <c r="B164" s="87" t="s">
        <v>364</v>
      </c>
      <c r="C164" s="87" t="s">
        <v>50</v>
      </c>
      <c r="D164" s="89">
        <f>SUMIF('Executive Pay Breakdown'!K:K,$B164,'Executive Pay Breakdown'!M:M)+SUMIF('Executive Pay Breakdown'!O:O,$B164,'Executive Pay Breakdown'!Q:Q)+SUMIF('Executive Pay Breakdown'!S:S,$B164,'Executive Pay Breakdown'!U:U)+SUMIF('Executive Pay Breakdown'!W:W,$B164,'Executive Pay Breakdown'!Y:Y)+SUMIF('Executive Pay Breakdown'!AA:AA,$B164,'Executive Pay Breakdown'!AC:AC)</f>
        <v>24064633</v>
      </c>
      <c r="E164" s="109"/>
      <c r="F164" s="69">
        <f>SUMIF('Executive Pay Breakdown'!K:K,$B164,'Executive Pay Breakdown'!M:M)</f>
        <v>8794966</v>
      </c>
      <c r="G164" s="69">
        <f>SUMIF('Executive Pay Breakdown'!O:O,$B164,'Executive Pay Breakdown'!Q:Q)</f>
        <v>8980204</v>
      </c>
      <c r="H164" s="69">
        <f>SUMIF('Executive Pay Breakdown'!S:S,$B164,'Executive Pay Breakdown'!U:U)</f>
        <v>6289463</v>
      </c>
      <c r="I164" s="69">
        <f>SUMIF('Executive Pay Breakdown'!W:W,$B164,'Executive Pay Breakdown'!Y:Y)</f>
        <v>0</v>
      </c>
      <c r="J164" s="69">
        <f>SUMIF('Executive Pay Breakdown'!AA:AA,$B164,'Executive Pay Breakdown'!AC:AC)</f>
        <v>0</v>
      </c>
      <c r="K164" s="90"/>
      <c r="L164" s="212"/>
      <c r="M164" s="87"/>
      <c r="N164" s="230"/>
      <c r="O164" s="120">
        <f>MATCH(C164,'Key Findings'!B:B,0)</f>
        <v>18</v>
      </c>
    </row>
    <row r="165">
      <c r="A165" s="62"/>
      <c r="B165" s="86" t="s">
        <v>356</v>
      </c>
      <c r="C165" s="87" t="s">
        <v>44</v>
      </c>
      <c r="D165" s="89">
        <f>SUMIF('Executive Pay Breakdown'!K:K,$B165,'Executive Pay Breakdown'!M:M)+SUMIF('Executive Pay Breakdown'!O:O,$B165,'Executive Pay Breakdown'!Q:Q)+SUMIF('Executive Pay Breakdown'!S:S,$B165,'Executive Pay Breakdown'!U:U)+SUMIF('Executive Pay Breakdown'!W:W,$B165,'Executive Pay Breakdown'!Y:Y)+SUMIF('Executive Pay Breakdown'!AA:AA,$B165,'Executive Pay Breakdown'!AC:AC)</f>
        <v>23921211</v>
      </c>
      <c r="E165" s="109"/>
      <c r="F165" s="69">
        <f>SUMIF('Executive Pay Breakdown'!K:K,$B165,'Executive Pay Breakdown'!M:M)</f>
        <v>23921211</v>
      </c>
      <c r="G165" s="69">
        <f>SUMIF('Executive Pay Breakdown'!O:O,$B165,'Executive Pay Breakdown'!Q:Q)</f>
        <v>0</v>
      </c>
      <c r="H165" s="69">
        <f>SUMIF('Executive Pay Breakdown'!S:S,$B165,'Executive Pay Breakdown'!U:U)</f>
        <v>0</v>
      </c>
      <c r="I165" s="69">
        <f>SUMIF('Executive Pay Breakdown'!W:W,$B165,'Executive Pay Breakdown'!Y:Y)</f>
        <v>0</v>
      </c>
      <c r="J165" s="69">
        <f>SUMIF('Executive Pay Breakdown'!AA:AA,$B165,'Executive Pay Breakdown'!AC:AC)</f>
        <v>0</v>
      </c>
      <c r="K165" s="90"/>
      <c r="L165" s="212"/>
      <c r="M165" s="87"/>
      <c r="N165" s="87"/>
      <c r="O165" s="120">
        <f>MATCH(C165,'Key Findings'!B:B,0)</f>
        <v>25</v>
      </c>
    </row>
    <row r="166">
      <c r="A166" s="62"/>
      <c r="B166" s="127" t="s">
        <v>201</v>
      </c>
      <c r="C166" s="87" t="s">
        <v>15</v>
      </c>
      <c r="D166" s="89">
        <f>SUMIF('Executive Pay Breakdown'!K:K,$B166,'Executive Pay Breakdown'!M:M)+SUMIF('Executive Pay Breakdown'!O:O,$B166,'Executive Pay Breakdown'!Q:Q)+SUMIF('Executive Pay Breakdown'!S:S,$B166,'Executive Pay Breakdown'!U:U)+SUMIF('Executive Pay Breakdown'!W:W,$B166,'Executive Pay Breakdown'!Y:Y)+SUMIF('Executive Pay Breakdown'!AA:AA,$B166,'Executive Pay Breakdown'!AC:AC)</f>
        <v>23826703</v>
      </c>
      <c r="E166" s="109"/>
      <c r="F166" s="69">
        <f>SUMIF('Executive Pay Breakdown'!K:K,$B166,'Executive Pay Breakdown'!M:M)</f>
        <v>5487720</v>
      </c>
      <c r="G166" s="69">
        <f>SUMIF('Executive Pay Breakdown'!O:O,$B166,'Executive Pay Breakdown'!Q:Q)</f>
        <v>5098569</v>
      </c>
      <c r="H166" s="69">
        <f>SUMIF('Executive Pay Breakdown'!S:S,$B166,'Executive Pay Breakdown'!U:U)</f>
        <v>4587700</v>
      </c>
      <c r="I166" s="69">
        <f>SUMIF('Executive Pay Breakdown'!W:W,$B166,'Executive Pay Breakdown'!Y:Y)</f>
        <v>4658314</v>
      </c>
      <c r="J166" s="69">
        <f>SUMIF('Executive Pay Breakdown'!AA:AA,$B166,'Executive Pay Breakdown'!AC:AC)</f>
        <v>3994400</v>
      </c>
      <c r="K166" s="90"/>
      <c r="L166" s="212"/>
      <c r="M166" s="87"/>
      <c r="N166" s="230">
        <f>F166/J166-1</f>
        <v>0.3738533948</v>
      </c>
      <c r="O166" s="120">
        <f>MATCH(C166,'Key Findings'!B:B,0)</f>
        <v>32</v>
      </c>
    </row>
    <row r="167">
      <c r="A167" s="62"/>
      <c r="B167" s="127" t="s">
        <v>340</v>
      </c>
      <c r="C167" s="87" t="s">
        <v>13</v>
      </c>
      <c r="D167" s="89">
        <f>SUMIF('Executive Pay Breakdown'!K:K,$B167,'Executive Pay Breakdown'!M:M)+SUMIF('Executive Pay Breakdown'!O:O,$B167,'Executive Pay Breakdown'!Q:Q)+SUMIF('Executive Pay Breakdown'!S:S,$B167,'Executive Pay Breakdown'!U:U)+SUMIF('Executive Pay Breakdown'!W:W,$B167,'Executive Pay Breakdown'!Y:Y)+SUMIF('Executive Pay Breakdown'!AA:AA,$B167,'Executive Pay Breakdown'!AC:AC)</f>
        <v>23653469</v>
      </c>
      <c r="E167" s="109"/>
      <c r="F167" s="69">
        <f>SUMIF('Executive Pay Breakdown'!K:K,$B167,'Executive Pay Breakdown'!M:M)</f>
        <v>10070254</v>
      </c>
      <c r="G167" s="69">
        <f>SUMIF('Executive Pay Breakdown'!O:O,$B167,'Executive Pay Breakdown'!Q:Q)</f>
        <v>7479731</v>
      </c>
      <c r="H167" s="69">
        <f>SUMIF('Executive Pay Breakdown'!S:S,$B167,'Executive Pay Breakdown'!U:U)</f>
        <v>6103484</v>
      </c>
      <c r="I167" s="69">
        <f>SUMIF('Executive Pay Breakdown'!W:W,$B167,'Executive Pay Breakdown'!Y:Y)</f>
        <v>0</v>
      </c>
      <c r="J167" s="69">
        <f>SUMIF('Executive Pay Breakdown'!AA:AA,$B167,'Executive Pay Breakdown'!AC:AC)</f>
        <v>0</v>
      </c>
      <c r="K167" s="90"/>
      <c r="L167" s="212"/>
      <c r="M167" s="87"/>
      <c r="N167" s="230"/>
      <c r="O167" s="120">
        <f>MATCH(C167,'Key Findings'!B:B,0)</f>
        <v>11</v>
      </c>
    </row>
    <row r="168">
      <c r="A168" s="81"/>
      <c r="B168" s="137" t="s">
        <v>300</v>
      </c>
      <c r="C168" s="87" t="str">
        <f t="array" ref="C168">INDEX('Executive Pay Breakdown'!B:B,MATCH(B168,'Executive Pay Breakdown'!K:K,0))</f>
        <v>Darden Restaurants</v>
      </c>
      <c r="D168" s="89">
        <f>SUMIF('Executive Pay Breakdown'!K:K,$B168,'Executive Pay Breakdown'!M:M)+SUMIF('Executive Pay Breakdown'!O:O,$B168,'Executive Pay Breakdown'!Q:Q)+SUMIF('Executive Pay Breakdown'!S:S,$B168,'Executive Pay Breakdown'!U:U)+SUMIF('Executive Pay Breakdown'!W:W,$B168,'Executive Pay Breakdown'!Y:Y)+SUMIF('Executive Pay Breakdown'!AA:AA,$B168,'Executive Pay Breakdown'!AC:AC)</f>
        <v>23597363</v>
      </c>
      <c r="E168" s="109"/>
      <c r="F168" s="69">
        <f>SUMIF('Executive Pay Breakdown'!K:K,$B168,'Executive Pay Breakdown'!M:M)</f>
        <v>8500029</v>
      </c>
      <c r="G168" s="69">
        <f>SUMIF('Executive Pay Breakdown'!O:O,$B168,'Executive Pay Breakdown'!Q:Q)</f>
        <v>4709282</v>
      </c>
      <c r="H168" s="69">
        <f>SUMIF('Executive Pay Breakdown'!S:S,$B168,'Executive Pay Breakdown'!U:U)</f>
        <v>3756954</v>
      </c>
      <c r="I168" s="69">
        <f>SUMIF('Executive Pay Breakdown'!W:W,$B168,'Executive Pay Breakdown'!Y:Y)</f>
        <v>3204365</v>
      </c>
      <c r="J168" s="69">
        <f>SUMIF('Executive Pay Breakdown'!AA:AA,$B168,'Executive Pay Breakdown'!AC:AC)</f>
        <v>3426733</v>
      </c>
      <c r="K168" s="90"/>
      <c r="L168" s="212"/>
      <c r="M168" s="87"/>
      <c r="N168" s="230"/>
      <c r="O168" s="120">
        <f>MATCH(C168,'Key Findings'!B:B,0)</f>
        <v>53</v>
      </c>
    </row>
    <row r="169">
      <c r="A169" s="62"/>
      <c r="B169" s="87" t="s">
        <v>350</v>
      </c>
      <c r="C169" s="87" t="s">
        <v>19</v>
      </c>
      <c r="D169" s="89">
        <f>SUMIF('Executive Pay Breakdown'!K:K,$B169,'Executive Pay Breakdown'!M:M)+SUMIF('Executive Pay Breakdown'!O:O,$B169,'Executive Pay Breakdown'!Q:Q)+SUMIF('Executive Pay Breakdown'!S:S,$B169,'Executive Pay Breakdown'!U:U)+SUMIF('Executive Pay Breakdown'!W:W,$B169,'Executive Pay Breakdown'!Y:Y)+SUMIF('Executive Pay Breakdown'!AA:AA,$B169,'Executive Pay Breakdown'!AC:AC)</f>
        <v>23592648</v>
      </c>
      <c r="E169" s="109"/>
      <c r="F169" s="69">
        <f>SUMIF('Executive Pay Breakdown'!K:K,$B169,'Executive Pay Breakdown'!M:M)</f>
        <v>6965884</v>
      </c>
      <c r="G169" s="69">
        <f>SUMIF('Executive Pay Breakdown'!O:O,$B169,'Executive Pay Breakdown'!Q:Q)</f>
        <v>6435102</v>
      </c>
      <c r="H169" s="69">
        <f>SUMIF('Executive Pay Breakdown'!S:S,$B169,'Executive Pay Breakdown'!U:U)</f>
        <v>5681122</v>
      </c>
      <c r="I169" s="69">
        <f>SUMIF('Executive Pay Breakdown'!W:W,$B169,'Executive Pay Breakdown'!Y:Y)</f>
        <v>4510540</v>
      </c>
      <c r="J169" s="69">
        <f>SUMIF('Executive Pay Breakdown'!AA:AA,$B169,'Executive Pay Breakdown'!AC:AC)</f>
        <v>0</v>
      </c>
      <c r="K169" s="90"/>
      <c r="L169" s="212"/>
      <c r="M169" s="87"/>
      <c r="N169" s="230"/>
      <c r="O169" s="120">
        <f>MATCH(C169,'Key Findings'!B:B,0)</f>
        <v>6</v>
      </c>
    </row>
    <row r="170">
      <c r="A170" s="81"/>
      <c r="B170" s="133" t="s">
        <v>424</v>
      </c>
      <c r="C170" s="87" t="s">
        <v>52</v>
      </c>
      <c r="D170" s="89">
        <f>SUMIF('Executive Pay Breakdown'!K:K,$B170,'Executive Pay Breakdown'!M:M)+SUMIF('Executive Pay Breakdown'!O:O,$B170,'Executive Pay Breakdown'!Q:Q)+SUMIF('Executive Pay Breakdown'!S:S,$B170,'Executive Pay Breakdown'!U:U)+SUMIF('Executive Pay Breakdown'!W:W,$B170,'Executive Pay Breakdown'!Y:Y)+SUMIF('Executive Pay Breakdown'!AA:AA,$B170,'Executive Pay Breakdown'!AC:AC)</f>
        <v>23579588</v>
      </c>
      <c r="E170" s="109"/>
      <c r="F170" s="69">
        <f>SUMIF('Executive Pay Breakdown'!K:K,$B170,'Executive Pay Breakdown'!M:M)</f>
        <v>0</v>
      </c>
      <c r="G170" s="69">
        <f>SUMIF('Executive Pay Breakdown'!O:O,$B170,'Executive Pay Breakdown'!Q:Q)</f>
        <v>6686413</v>
      </c>
      <c r="H170" s="69">
        <f>SUMIF('Executive Pay Breakdown'!S:S,$B170,'Executive Pay Breakdown'!U:U)</f>
        <v>5839449</v>
      </c>
      <c r="I170" s="69">
        <f>SUMIF('Executive Pay Breakdown'!W:W,$B170,'Executive Pay Breakdown'!Y:Y)</f>
        <v>6536028</v>
      </c>
      <c r="J170" s="69">
        <f>SUMIF('Executive Pay Breakdown'!AA:AA,$B170,'Executive Pay Breakdown'!AC:AC)</f>
        <v>4517698</v>
      </c>
      <c r="K170" s="90"/>
      <c r="L170" s="212"/>
      <c r="M170" s="87"/>
      <c r="N170" s="87"/>
      <c r="O170" s="120">
        <f>MATCH(C170,'Key Findings'!B:B,0)</f>
        <v>21</v>
      </c>
    </row>
    <row r="171">
      <c r="A171" s="62"/>
      <c r="B171" s="125" t="s">
        <v>263</v>
      </c>
      <c r="C171" s="87" t="s">
        <v>22</v>
      </c>
      <c r="D171" s="89">
        <f>SUMIF('Executive Pay Breakdown'!K:K,$B171,'Executive Pay Breakdown'!M:M)+SUMIF('Executive Pay Breakdown'!O:O,$B171,'Executive Pay Breakdown'!Q:Q)+SUMIF('Executive Pay Breakdown'!S:S,$B171,'Executive Pay Breakdown'!U:U)+SUMIF('Executive Pay Breakdown'!W:W,$B171,'Executive Pay Breakdown'!Y:Y)+SUMIF('Executive Pay Breakdown'!AA:AA,$B171,'Executive Pay Breakdown'!AC:AC)</f>
        <v>23530982</v>
      </c>
      <c r="E171" s="109"/>
      <c r="F171" s="69">
        <f>SUMIF('Executive Pay Breakdown'!K:K,$B171,'Executive Pay Breakdown'!M:M)</f>
        <v>3023465</v>
      </c>
      <c r="G171" s="69">
        <f>SUMIF('Executive Pay Breakdown'!O:O,$B171,'Executive Pay Breakdown'!Q:Q)</f>
        <v>4575773</v>
      </c>
      <c r="H171" s="69">
        <f>SUMIF('Executive Pay Breakdown'!S:S,$B171,'Executive Pay Breakdown'!U:U)</f>
        <v>8167332</v>
      </c>
      <c r="I171" s="69">
        <f>SUMIF('Executive Pay Breakdown'!W:W,$B171,'Executive Pay Breakdown'!Y:Y)</f>
        <v>4642173</v>
      </c>
      <c r="J171" s="69">
        <f>SUMIF('Executive Pay Breakdown'!AA:AA,$B171,'Executive Pay Breakdown'!AC:AC)</f>
        <v>3122239</v>
      </c>
      <c r="K171" s="90"/>
      <c r="L171" s="212"/>
      <c r="M171" s="87"/>
      <c r="N171" s="230">
        <f>F171/J171-1</f>
        <v>-0.03163563071</v>
      </c>
      <c r="O171" s="120">
        <f>MATCH(C171,'Key Findings'!B:B,0)</f>
        <v>39</v>
      </c>
    </row>
    <row r="172">
      <c r="A172" s="81"/>
      <c r="B172" s="135" t="s">
        <v>373</v>
      </c>
      <c r="C172" s="87" t="s">
        <v>49</v>
      </c>
      <c r="D172" s="89">
        <f>SUMIF('Executive Pay Breakdown'!K:K,$B172,'Executive Pay Breakdown'!M:M)+SUMIF('Executive Pay Breakdown'!O:O,$B172,'Executive Pay Breakdown'!Q:Q)+SUMIF('Executive Pay Breakdown'!S:S,$B172,'Executive Pay Breakdown'!U:U)+SUMIF('Executive Pay Breakdown'!W:W,$B172,'Executive Pay Breakdown'!Y:Y)+SUMIF('Executive Pay Breakdown'!AA:AA,$B172,'Executive Pay Breakdown'!AC:AC)</f>
        <v>23497640</v>
      </c>
      <c r="E172" s="109"/>
      <c r="F172" s="69">
        <f>SUMIF('Executive Pay Breakdown'!K:K,$B172,'Executive Pay Breakdown'!M:M)</f>
        <v>11752507</v>
      </c>
      <c r="G172" s="69">
        <f>SUMIF('Executive Pay Breakdown'!O:O,$B172,'Executive Pay Breakdown'!Q:Q)</f>
        <v>11745133</v>
      </c>
      <c r="H172" s="69">
        <f>SUMIF('Executive Pay Breakdown'!S:S,$B172,'Executive Pay Breakdown'!U:U)</f>
        <v>0</v>
      </c>
      <c r="I172" s="69">
        <f>SUMIF('Executive Pay Breakdown'!W:W,$B172,'Executive Pay Breakdown'!Y:Y)</f>
        <v>0</v>
      </c>
      <c r="J172" s="69">
        <f>SUMIF('Executive Pay Breakdown'!AA:AA,$B172,'Executive Pay Breakdown'!AC:AC)</f>
        <v>0</v>
      </c>
      <c r="K172" s="90"/>
      <c r="L172" s="212"/>
      <c r="M172" s="212"/>
      <c r="N172" s="230"/>
      <c r="O172" s="120">
        <f>MATCH(C172,'Key Findings'!B:B,0)</f>
        <v>14</v>
      </c>
    </row>
    <row r="173">
      <c r="A173" s="71"/>
      <c r="B173" s="124" t="s">
        <v>405</v>
      </c>
      <c r="C173" s="87" t="s">
        <v>58</v>
      </c>
      <c r="D173" s="89">
        <f>SUMIF('Executive Pay Breakdown'!K:K,$B173,'Executive Pay Breakdown'!M:M)+SUMIF('Executive Pay Breakdown'!O:O,$B173,'Executive Pay Breakdown'!Q:Q)+SUMIF('Executive Pay Breakdown'!S:S,$B173,'Executive Pay Breakdown'!U:U)+SUMIF('Executive Pay Breakdown'!W:W,$B173,'Executive Pay Breakdown'!Y:Y)+SUMIF('Executive Pay Breakdown'!AA:AA,$B173,'Executive Pay Breakdown'!AC:AC)</f>
        <v>23402568</v>
      </c>
      <c r="E173" s="109"/>
      <c r="F173" s="69">
        <f>SUMIF('Executive Pay Breakdown'!K:K,$B173,'Executive Pay Breakdown'!M:M)</f>
        <v>0</v>
      </c>
      <c r="G173" s="69">
        <f>SUMIF('Executive Pay Breakdown'!O:O,$B173,'Executive Pay Breakdown'!Q:Q)</f>
        <v>6891943</v>
      </c>
      <c r="H173" s="69">
        <f>SUMIF('Executive Pay Breakdown'!S:S,$B173,'Executive Pay Breakdown'!U:U)</f>
        <v>5467201</v>
      </c>
      <c r="I173" s="69">
        <f>SUMIF('Executive Pay Breakdown'!W:W,$B173,'Executive Pay Breakdown'!Y:Y)</f>
        <v>5728687</v>
      </c>
      <c r="J173" s="69">
        <f>SUMIF('Executive Pay Breakdown'!AA:AA,$B173,'Executive Pay Breakdown'!AC:AC)</f>
        <v>5314737</v>
      </c>
      <c r="K173" s="90"/>
      <c r="L173" s="212"/>
      <c r="M173" s="87"/>
      <c r="N173" s="87"/>
      <c r="O173" s="120">
        <f>MATCH(C173,'Key Findings'!B:B,0)</f>
        <v>27</v>
      </c>
    </row>
    <row r="174">
      <c r="A174" s="62"/>
      <c r="B174" s="127" t="s">
        <v>165</v>
      </c>
      <c r="C174" s="87" t="s">
        <v>17</v>
      </c>
      <c r="D174" s="89">
        <f>SUMIF('Executive Pay Breakdown'!K:K,$B174,'Executive Pay Breakdown'!M:M)+SUMIF('Executive Pay Breakdown'!O:O,$B174,'Executive Pay Breakdown'!Q:Q)+SUMIF('Executive Pay Breakdown'!S:S,$B174,'Executive Pay Breakdown'!U:U)+SUMIF('Executive Pay Breakdown'!W:W,$B174,'Executive Pay Breakdown'!Y:Y)+SUMIF('Executive Pay Breakdown'!AA:AA,$B174,'Executive Pay Breakdown'!AC:AC)</f>
        <v>23360783</v>
      </c>
      <c r="E174" s="109"/>
      <c r="F174" s="69">
        <f>SUMIF('Executive Pay Breakdown'!K:K,$B174,'Executive Pay Breakdown'!M:M)</f>
        <v>10820717</v>
      </c>
      <c r="G174" s="69">
        <f>SUMIF('Executive Pay Breakdown'!O:O,$B174,'Executive Pay Breakdown'!Q:Q)</f>
        <v>2895882</v>
      </c>
      <c r="H174" s="69">
        <f>SUMIF('Executive Pay Breakdown'!S:S,$B174,'Executive Pay Breakdown'!U:U)</f>
        <v>3316247</v>
      </c>
      <c r="I174" s="69">
        <f>SUMIF('Executive Pay Breakdown'!W:W,$B174,'Executive Pay Breakdown'!Y:Y)</f>
        <v>1007020</v>
      </c>
      <c r="J174" s="69">
        <f>SUMIF('Executive Pay Breakdown'!AA:AA,$B174,'Executive Pay Breakdown'!AC:AC)</f>
        <v>5320917</v>
      </c>
      <c r="K174" s="90"/>
      <c r="L174" s="212"/>
      <c r="M174" s="87"/>
      <c r="N174" s="230">
        <f t="shared" ref="N174:N175" si="23">F174/J174-1</f>
        <v>1.033618829</v>
      </c>
      <c r="O174" s="120">
        <f>MATCH(C174,'Key Findings'!B:B,0)</f>
        <v>36</v>
      </c>
    </row>
    <row r="175">
      <c r="A175" s="62"/>
      <c r="B175" s="125" t="s">
        <v>222</v>
      </c>
      <c r="C175" s="87" t="s">
        <v>18</v>
      </c>
      <c r="D175" s="89">
        <f>SUMIF('Executive Pay Breakdown'!K:K,$B175,'Executive Pay Breakdown'!M:M)+SUMIF('Executive Pay Breakdown'!O:O,$B175,'Executive Pay Breakdown'!Q:Q)+SUMIF('Executive Pay Breakdown'!S:S,$B175,'Executive Pay Breakdown'!U:U)+SUMIF('Executive Pay Breakdown'!W:W,$B175,'Executive Pay Breakdown'!Y:Y)+SUMIF('Executive Pay Breakdown'!AA:AA,$B175,'Executive Pay Breakdown'!AC:AC)</f>
        <v>23286564</v>
      </c>
      <c r="E175" s="109"/>
      <c r="F175" s="69">
        <f>SUMIF('Executive Pay Breakdown'!K:K,$B175,'Executive Pay Breakdown'!M:M)</f>
        <v>4215598</v>
      </c>
      <c r="G175" s="69">
        <f>SUMIF('Executive Pay Breakdown'!O:O,$B175,'Executive Pay Breakdown'!Q:Q)</f>
        <v>5690706</v>
      </c>
      <c r="H175" s="69">
        <f>SUMIF('Executive Pay Breakdown'!S:S,$B175,'Executive Pay Breakdown'!U:U)</f>
        <v>5234424</v>
      </c>
      <c r="I175" s="69">
        <f>SUMIF('Executive Pay Breakdown'!W:W,$B175,'Executive Pay Breakdown'!Y:Y)</f>
        <v>4692005</v>
      </c>
      <c r="J175" s="69">
        <f>SUMIF('Executive Pay Breakdown'!AA:AA,$B175,'Executive Pay Breakdown'!AC:AC)</f>
        <v>3453831</v>
      </c>
      <c r="K175" s="90"/>
      <c r="L175" s="212"/>
      <c r="M175" s="87"/>
      <c r="N175" s="230">
        <f t="shared" si="23"/>
        <v>0.2205571147</v>
      </c>
      <c r="O175" s="120">
        <f>MATCH(C175,'Key Findings'!B:B,0)</f>
        <v>8</v>
      </c>
    </row>
    <row r="176">
      <c r="A176" s="81"/>
      <c r="B176" s="133" t="s">
        <v>288</v>
      </c>
      <c r="C176" s="236" t="s">
        <v>289</v>
      </c>
      <c r="D176" s="89">
        <f>SUMIF('Executive Pay Breakdown'!K:K,$B176,'Executive Pay Breakdown'!M:M)+SUMIF('Executive Pay Breakdown'!O:O,$B176,'Executive Pay Breakdown'!Q:Q)+SUMIF('Executive Pay Breakdown'!S:S,$B176,'Executive Pay Breakdown'!U:U)+SUMIF('Executive Pay Breakdown'!W:W,$B176,'Executive Pay Breakdown'!Y:Y)+SUMIF('Executive Pay Breakdown'!AA:AA,$B176,'Executive Pay Breakdown'!AC:AC)</f>
        <v>23131889</v>
      </c>
      <c r="E176" s="109"/>
      <c r="F176" s="126">
        <f>SUMIF('Executive Pay Breakdown'!K:K,$B176,'Executive Pay Breakdown'!M:M)</f>
        <v>313653</v>
      </c>
      <c r="G176" s="69">
        <f>SUMIF('Executive Pay Breakdown'!O:O,$B176,'Executive Pay Breakdown'!Q:Q)</f>
        <v>939067</v>
      </c>
      <c r="H176" s="69">
        <f>SUMIF('Executive Pay Breakdown'!S:S,$B176,'Executive Pay Breakdown'!U:U)</f>
        <v>7338642</v>
      </c>
      <c r="I176" s="69">
        <f>SUMIF('Executive Pay Breakdown'!W:W,$B176,'Executive Pay Breakdown'!Y:Y)</f>
        <v>8116548</v>
      </c>
      <c r="J176" s="69">
        <f>SUMIF('Executive Pay Breakdown'!AA:AA,$B176,'Executive Pay Breakdown'!AC:AC)</f>
        <v>6423979</v>
      </c>
      <c r="K176" s="90"/>
      <c r="L176" s="212"/>
      <c r="M176" s="87"/>
      <c r="N176" s="230"/>
      <c r="O176" s="120" t="str">
        <f>MATCH(C176,'Key Findings'!B:B,0)</f>
        <v>#N/A</v>
      </c>
    </row>
    <row r="177">
      <c r="A177" s="81"/>
      <c r="B177" s="134" t="s">
        <v>343</v>
      </c>
      <c r="C177" s="87" t="s">
        <v>65</v>
      </c>
      <c r="D177" s="89">
        <f>SUMIF('Executive Pay Breakdown'!K:K,$B177,'Executive Pay Breakdown'!M:M)+SUMIF('Executive Pay Breakdown'!O:O,$B177,'Executive Pay Breakdown'!Q:Q)+SUMIF('Executive Pay Breakdown'!S:S,$B177,'Executive Pay Breakdown'!U:U)+SUMIF('Executive Pay Breakdown'!W:W,$B177,'Executive Pay Breakdown'!Y:Y)+SUMIF('Executive Pay Breakdown'!AA:AA,$B177,'Executive Pay Breakdown'!AC:AC)</f>
        <v>23122048</v>
      </c>
      <c r="E177" s="109"/>
      <c r="F177" s="69">
        <f>SUMIF('Executive Pay Breakdown'!K:K,$B177,'Executive Pay Breakdown'!M:M)</f>
        <v>7254232</v>
      </c>
      <c r="G177" s="69">
        <f>SUMIF('Executive Pay Breakdown'!O:O,$B177,'Executive Pay Breakdown'!Q:Q)</f>
        <v>5409524</v>
      </c>
      <c r="H177" s="69">
        <f>SUMIF('Executive Pay Breakdown'!S:S,$B177,'Executive Pay Breakdown'!U:U)</f>
        <v>6133574</v>
      </c>
      <c r="I177" s="69">
        <f>SUMIF('Executive Pay Breakdown'!W:W,$B177,'Executive Pay Breakdown'!Y:Y)</f>
        <v>4324718</v>
      </c>
      <c r="J177" s="69">
        <f>SUMIF('Executive Pay Breakdown'!AA:AA,$B177,'Executive Pay Breakdown'!AC:AC)</f>
        <v>0</v>
      </c>
      <c r="K177" s="90"/>
      <c r="L177" s="212"/>
      <c r="M177" s="87"/>
      <c r="N177" s="230"/>
      <c r="O177" s="120">
        <f>MATCH(C177,'Key Findings'!B:B,0)</f>
        <v>24</v>
      </c>
    </row>
    <row r="178">
      <c r="A178" s="81"/>
      <c r="B178" s="87" t="s">
        <v>229</v>
      </c>
      <c r="C178" s="87" t="s">
        <v>73</v>
      </c>
      <c r="D178" s="89">
        <f>SUMIF('Executive Pay Breakdown'!K:K,$B178,'Executive Pay Breakdown'!M:M)+SUMIF('Executive Pay Breakdown'!O:O,$B178,'Executive Pay Breakdown'!Q:Q)+SUMIF('Executive Pay Breakdown'!S:S,$B178,'Executive Pay Breakdown'!U:U)+SUMIF('Executive Pay Breakdown'!W:W,$B178,'Executive Pay Breakdown'!Y:Y)+SUMIF('Executive Pay Breakdown'!AA:AA,$B178,'Executive Pay Breakdown'!AC:AC)</f>
        <v>23107861</v>
      </c>
      <c r="E178" s="109"/>
      <c r="F178" s="69">
        <f>SUMIF('Executive Pay Breakdown'!K:K,$B178,'Executive Pay Breakdown'!M:M)</f>
        <v>4851673</v>
      </c>
      <c r="G178" s="69">
        <f>SUMIF('Executive Pay Breakdown'!O:O,$B178,'Executive Pay Breakdown'!Q:Q)</f>
        <v>5147196</v>
      </c>
      <c r="H178" s="69">
        <f>SUMIF('Executive Pay Breakdown'!S:S,$B178,'Executive Pay Breakdown'!U:U)</f>
        <v>4429217</v>
      </c>
      <c r="I178" s="69">
        <f>SUMIF('Executive Pay Breakdown'!W:W,$B178,'Executive Pay Breakdown'!Y:Y)</f>
        <v>4521698</v>
      </c>
      <c r="J178" s="69">
        <f>SUMIF('Executive Pay Breakdown'!AA:AA,$B178,'Executive Pay Breakdown'!AC:AC)</f>
        <v>4158077</v>
      </c>
      <c r="K178" s="90"/>
      <c r="L178" s="212"/>
      <c r="M178" s="87"/>
      <c r="N178" s="230">
        <f>F178/J178-1</f>
        <v>0.1668069158</v>
      </c>
      <c r="O178" s="120">
        <f>MATCH(C178,'Key Findings'!B:B,0)</f>
        <v>31</v>
      </c>
    </row>
    <row r="179">
      <c r="A179" s="62"/>
      <c r="B179" s="86" t="s">
        <v>404</v>
      </c>
      <c r="C179" s="87" t="s">
        <v>32</v>
      </c>
      <c r="D179" s="89">
        <f>SUMIF('Executive Pay Breakdown'!K:K,$B179,'Executive Pay Breakdown'!M:M)+SUMIF('Executive Pay Breakdown'!O:O,$B179,'Executive Pay Breakdown'!Q:Q)+SUMIF('Executive Pay Breakdown'!S:S,$B179,'Executive Pay Breakdown'!U:U)+SUMIF('Executive Pay Breakdown'!W:W,$B179,'Executive Pay Breakdown'!Y:Y)+SUMIF('Executive Pay Breakdown'!AA:AA,$B179,'Executive Pay Breakdown'!AC:AC)</f>
        <v>22890369</v>
      </c>
      <c r="E179" s="109"/>
      <c r="F179" s="69">
        <f>SUMIF('Executive Pay Breakdown'!K:K,$B179,'Executive Pay Breakdown'!M:M)</f>
        <v>7939492</v>
      </c>
      <c r="G179" s="69">
        <f>SUMIF('Executive Pay Breakdown'!O:O,$B179,'Executive Pay Breakdown'!Q:Q)</f>
        <v>8262408</v>
      </c>
      <c r="H179" s="69">
        <f>SUMIF('Executive Pay Breakdown'!S:S,$B179,'Executive Pay Breakdown'!U:U)</f>
        <v>6688469</v>
      </c>
      <c r="I179" s="69">
        <f>SUMIF('Executive Pay Breakdown'!W:W,$B179,'Executive Pay Breakdown'!Y:Y)</f>
        <v>0</v>
      </c>
      <c r="J179" s="69">
        <f>SUMIF('Executive Pay Breakdown'!AA:AA,$B179,'Executive Pay Breakdown'!AC:AC)</f>
        <v>0</v>
      </c>
      <c r="K179" s="90"/>
      <c r="L179" s="212"/>
      <c r="M179" s="87"/>
      <c r="N179" s="230"/>
      <c r="O179" s="120">
        <f>MATCH(C179,'Key Findings'!B:B,0)</f>
        <v>26</v>
      </c>
    </row>
    <row r="180">
      <c r="A180" s="62"/>
      <c r="B180" s="86" t="s">
        <v>225</v>
      </c>
      <c r="C180" s="233" t="s">
        <v>59</v>
      </c>
      <c r="D180" s="89">
        <f>SUMIF('Executive Pay Breakdown'!K:K,$B180,'Executive Pay Breakdown'!M:M)+SUMIF('Executive Pay Breakdown'!O:O,$B180,'Executive Pay Breakdown'!Q:Q)+SUMIF('Executive Pay Breakdown'!S:S,$B180,'Executive Pay Breakdown'!U:U)+SUMIF('Executive Pay Breakdown'!W:W,$B180,'Executive Pay Breakdown'!Y:Y)+SUMIF('Executive Pay Breakdown'!AA:AA,$B180,'Executive Pay Breakdown'!AC:AC)</f>
        <v>22782713</v>
      </c>
      <c r="E180" s="109"/>
      <c r="F180" s="69">
        <f>SUMIF('Executive Pay Breakdown'!K:K,$B180,'Executive Pay Breakdown'!M:M)</f>
        <v>5290975</v>
      </c>
      <c r="G180" s="69">
        <f>SUMIF('Executive Pay Breakdown'!O:O,$B180,'Executive Pay Breakdown'!Q:Q)</f>
        <v>4926200</v>
      </c>
      <c r="H180" s="69">
        <f>SUMIF('Executive Pay Breakdown'!S:S,$B180,'Executive Pay Breakdown'!U:U)</f>
        <v>3572472</v>
      </c>
      <c r="I180" s="69">
        <f>SUMIF('Executive Pay Breakdown'!W:W,$B180,'Executive Pay Breakdown'!Y:Y)</f>
        <v>4567391</v>
      </c>
      <c r="J180" s="69">
        <f>SUMIF('Executive Pay Breakdown'!AA:AA,$B180,'Executive Pay Breakdown'!AC:AC)</f>
        <v>4425675</v>
      </c>
      <c r="K180" s="90"/>
      <c r="L180" s="212"/>
      <c r="M180" s="87"/>
      <c r="N180" s="230">
        <f>F180/J180-1</f>
        <v>0.1955181978</v>
      </c>
      <c r="O180" s="120">
        <f>MATCH(C180,'Key Findings'!B:B,0)</f>
        <v>10</v>
      </c>
    </row>
    <row r="181">
      <c r="A181" s="81"/>
      <c r="B181" s="137" t="s">
        <v>337</v>
      </c>
      <c r="C181" s="87" t="str">
        <f t="array" ref="C181">INDEX('Executive Pay Breakdown'!B:B,MATCH(B181,'Executive Pay Breakdown'!K:K,0))</f>
        <v>AmerisourceBergen</v>
      </c>
      <c r="D181" s="89">
        <f>SUMIF('Executive Pay Breakdown'!K:K,$B181,'Executive Pay Breakdown'!M:M)+SUMIF('Executive Pay Breakdown'!O:O,$B181,'Executive Pay Breakdown'!Q:Q)+SUMIF('Executive Pay Breakdown'!S:S,$B181,'Executive Pay Breakdown'!U:U)+SUMIF('Executive Pay Breakdown'!W:W,$B181,'Executive Pay Breakdown'!Y:Y)+SUMIF('Executive Pay Breakdown'!AA:AA,$B181,'Executive Pay Breakdown'!AC:AC)</f>
        <v>22679714</v>
      </c>
      <c r="E181" s="109"/>
      <c r="F181" s="69">
        <f>SUMIF('Executive Pay Breakdown'!K:K,$B181,'Executive Pay Breakdown'!M:M)</f>
        <v>5818742</v>
      </c>
      <c r="G181" s="69">
        <f>SUMIF('Executive Pay Breakdown'!O:O,$B181,'Executive Pay Breakdown'!Q:Q)</f>
        <v>5608097</v>
      </c>
      <c r="H181" s="69">
        <f>SUMIF('Executive Pay Breakdown'!S:S,$B181,'Executive Pay Breakdown'!U:U)</f>
        <v>4309637</v>
      </c>
      <c r="I181" s="69">
        <f>SUMIF('Executive Pay Breakdown'!W:W,$B181,'Executive Pay Breakdown'!Y:Y)</f>
        <v>3537601</v>
      </c>
      <c r="J181" s="69">
        <f>SUMIF('Executive Pay Breakdown'!AA:AA,$B181,'Executive Pay Breakdown'!AC:AC)</f>
        <v>3405637</v>
      </c>
      <c r="K181" s="90"/>
      <c r="L181" s="212"/>
      <c r="M181" s="87"/>
      <c r="N181" s="230"/>
      <c r="O181" s="120">
        <f>MATCH(C181,'Key Findings'!B:B,0)</f>
        <v>45</v>
      </c>
    </row>
    <row r="182">
      <c r="A182" s="62"/>
      <c r="B182" s="127" t="s">
        <v>161</v>
      </c>
      <c r="C182" s="87" t="s">
        <v>34</v>
      </c>
      <c r="D182" s="89">
        <f>SUMIF('Executive Pay Breakdown'!K:K,$B182,'Executive Pay Breakdown'!M:M)+SUMIF('Executive Pay Breakdown'!O:O,$B182,'Executive Pay Breakdown'!Q:Q)+SUMIF('Executive Pay Breakdown'!S:S,$B182,'Executive Pay Breakdown'!U:U)+SUMIF('Executive Pay Breakdown'!W:W,$B182,'Executive Pay Breakdown'!Y:Y)+SUMIF('Executive Pay Breakdown'!AA:AA,$B182,'Executive Pay Breakdown'!AC:AC)</f>
        <v>22337972</v>
      </c>
      <c r="E182" s="109"/>
      <c r="F182" s="69">
        <f>SUMIF('Executive Pay Breakdown'!K:K,$B182,'Executive Pay Breakdown'!M:M)</f>
        <v>5732721</v>
      </c>
      <c r="G182" s="69">
        <f>SUMIF('Executive Pay Breakdown'!O:O,$B182,'Executive Pay Breakdown'!Q:Q)</f>
        <v>3585706</v>
      </c>
      <c r="H182" s="69">
        <f>SUMIF('Executive Pay Breakdown'!S:S,$B182,'Executive Pay Breakdown'!U:U)</f>
        <v>5632024</v>
      </c>
      <c r="I182" s="69">
        <f>SUMIF('Executive Pay Breakdown'!W:W,$B182,'Executive Pay Breakdown'!Y:Y)</f>
        <v>4714774</v>
      </c>
      <c r="J182" s="69">
        <f>SUMIF('Executive Pay Breakdown'!AA:AA,$B182,'Executive Pay Breakdown'!AC:AC)</f>
        <v>2672747</v>
      </c>
      <c r="K182" s="90"/>
      <c r="L182" s="212"/>
      <c r="M182" s="87"/>
      <c r="N182" s="230">
        <f t="shared" ref="N182:N183" si="24">F182/J182-1</f>
        <v>1.144879781</v>
      </c>
      <c r="O182" s="120">
        <f>MATCH(C182,'Key Findings'!B:B,0)</f>
        <v>34</v>
      </c>
    </row>
    <row r="183">
      <c r="A183" s="62"/>
      <c r="B183" s="86" t="s">
        <v>134</v>
      </c>
      <c r="C183" s="87" t="s">
        <v>38</v>
      </c>
      <c r="D183" s="89">
        <f>SUMIF('Executive Pay Breakdown'!K:K,$B183,'Executive Pay Breakdown'!M:M)+SUMIF('Executive Pay Breakdown'!O:O,$B183,'Executive Pay Breakdown'!Q:Q)+SUMIF('Executive Pay Breakdown'!S:S,$B183,'Executive Pay Breakdown'!U:U)+SUMIF('Executive Pay Breakdown'!W:W,$B183,'Executive Pay Breakdown'!Y:Y)+SUMIF('Executive Pay Breakdown'!AA:AA,$B183,'Executive Pay Breakdown'!AC:AC)</f>
        <v>22050819</v>
      </c>
      <c r="E183" s="109"/>
      <c r="F183" s="69">
        <f>SUMIF('Executive Pay Breakdown'!K:K,$B183,'Executive Pay Breakdown'!M:M)</f>
        <v>8706194</v>
      </c>
      <c r="G183" s="69">
        <f>SUMIF('Executive Pay Breakdown'!O:O,$B183,'Executive Pay Breakdown'!Q:Q)</f>
        <v>6871068</v>
      </c>
      <c r="H183" s="69">
        <f>SUMIF('Executive Pay Breakdown'!S:S,$B183,'Executive Pay Breakdown'!U:U)</f>
        <v>2615131</v>
      </c>
      <c r="I183" s="69">
        <f>SUMIF('Executive Pay Breakdown'!W:W,$B183,'Executive Pay Breakdown'!Y:Y)</f>
        <v>2003514</v>
      </c>
      <c r="J183" s="69">
        <f>SUMIF('Executive Pay Breakdown'!AA:AA,$B183,'Executive Pay Breakdown'!AC:AC)</f>
        <v>1854912</v>
      </c>
      <c r="K183" s="90"/>
      <c r="L183" s="212"/>
      <c r="M183" s="87"/>
      <c r="N183" s="230">
        <f t="shared" si="24"/>
        <v>3.693588699</v>
      </c>
      <c r="O183" s="120">
        <f>MATCH(C183,'Key Findings'!B:B,0)</f>
        <v>62</v>
      </c>
    </row>
    <row r="184">
      <c r="A184" s="62"/>
      <c r="B184" s="86" t="s">
        <v>409</v>
      </c>
      <c r="C184" s="87" t="s">
        <v>32</v>
      </c>
      <c r="D184" s="89">
        <f>SUMIF('Executive Pay Breakdown'!K:K,$B184,'Executive Pay Breakdown'!M:M)+SUMIF('Executive Pay Breakdown'!O:O,$B184,'Executive Pay Breakdown'!Q:Q)+SUMIF('Executive Pay Breakdown'!S:S,$B184,'Executive Pay Breakdown'!U:U)+SUMIF('Executive Pay Breakdown'!W:W,$B184,'Executive Pay Breakdown'!Y:Y)+SUMIF('Executive Pay Breakdown'!AA:AA,$B184,'Executive Pay Breakdown'!AC:AC)</f>
        <v>21865148</v>
      </c>
      <c r="E184" s="109"/>
      <c r="F184" s="69">
        <f>SUMIF('Executive Pay Breakdown'!K:K,$B184,'Executive Pay Breakdown'!M:M)</f>
        <v>0</v>
      </c>
      <c r="G184" s="69">
        <f>SUMIF('Executive Pay Breakdown'!O:O,$B184,'Executive Pay Breakdown'!Q:Q)</f>
        <v>0</v>
      </c>
      <c r="H184" s="69">
        <f>SUMIF('Executive Pay Breakdown'!S:S,$B184,'Executive Pay Breakdown'!U:U)</f>
        <v>0</v>
      </c>
      <c r="I184" s="69">
        <f>SUMIF('Executive Pay Breakdown'!W:W,$B184,'Executive Pay Breakdown'!Y:Y)</f>
        <v>12763588</v>
      </c>
      <c r="J184" s="69">
        <f>SUMIF('Executive Pay Breakdown'!AA:AA,$B184,'Executive Pay Breakdown'!AC:AC)</f>
        <v>9101560</v>
      </c>
      <c r="K184" s="90"/>
      <c r="L184" s="212"/>
      <c r="M184" s="87"/>
      <c r="N184" s="87"/>
      <c r="O184" s="120">
        <f>MATCH(C184,'Key Findings'!B:B,0)</f>
        <v>26</v>
      </c>
    </row>
    <row r="185">
      <c r="A185" s="62"/>
      <c r="B185" s="86" t="s">
        <v>408</v>
      </c>
      <c r="C185" s="87" t="s">
        <v>39</v>
      </c>
      <c r="D185" s="89">
        <f>SUMIF('Executive Pay Breakdown'!K:K,$B185,'Executive Pay Breakdown'!M:M)+SUMIF('Executive Pay Breakdown'!O:O,$B185,'Executive Pay Breakdown'!Q:Q)+SUMIF('Executive Pay Breakdown'!S:S,$B185,'Executive Pay Breakdown'!U:U)+SUMIF('Executive Pay Breakdown'!W:W,$B185,'Executive Pay Breakdown'!Y:Y)+SUMIF('Executive Pay Breakdown'!AA:AA,$B185,'Executive Pay Breakdown'!AC:AC)</f>
        <v>21680538</v>
      </c>
      <c r="E185" s="109"/>
      <c r="F185" s="69">
        <f>SUMIF('Executive Pay Breakdown'!K:K,$B185,'Executive Pay Breakdown'!M:M)</f>
        <v>0</v>
      </c>
      <c r="G185" s="69">
        <f>SUMIF('Executive Pay Breakdown'!O:O,$B185,'Executive Pay Breakdown'!Q:Q)</f>
        <v>43763</v>
      </c>
      <c r="H185" s="69">
        <f>SUMIF('Executive Pay Breakdown'!S:S,$B185,'Executive Pay Breakdown'!U:U)</f>
        <v>8999456</v>
      </c>
      <c r="I185" s="69">
        <f>SUMIF('Executive Pay Breakdown'!W:W,$B185,'Executive Pay Breakdown'!Y:Y)</f>
        <v>5793975</v>
      </c>
      <c r="J185" s="69">
        <f>SUMIF('Executive Pay Breakdown'!AA:AA,$B185,'Executive Pay Breakdown'!AC:AC)</f>
        <v>6843344</v>
      </c>
      <c r="K185" s="90"/>
      <c r="L185" s="212"/>
      <c r="M185" s="87"/>
      <c r="N185" s="87"/>
      <c r="O185" s="120">
        <f>MATCH(C185,'Key Findings'!B:B,0)</f>
        <v>57</v>
      </c>
    </row>
    <row r="186">
      <c r="A186" s="62"/>
      <c r="B186" s="130" t="s">
        <v>223</v>
      </c>
      <c r="C186" s="87" t="s">
        <v>25</v>
      </c>
      <c r="D186" s="89">
        <f>SUMIF('Executive Pay Breakdown'!K:K,$B186,'Executive Pay Breakdown'!M:M)+SUMIF('Executive Pay Breakdown'!O:O,$B186,'Executive Pay Breakdown'!Q:Q)+SUMIF('Executive Pay Breakdown'!S:S,$B186,'Executive Pay Breakdown'!U:U)+SUMIF('Executive Pay Breakdown'!W:W,$B186,'Executive Pay Breakdown'!Y:Y)+SUMIF('Executive Pay Breakdown'!AA:AA,$B186,'Executive Pay Breakdown'!AC:AC)</f>
        <v>21631238</v>
      </c>
      <c r="E186" s="109"/>
      <c r="F186" s="69">
        <f>SUMIF('Executive Pay Breakdown'!K:K,$B186,'Executive Pay Breakdown'!M:M)</f>
        <v>4528608</v>
      </c>
      <c r="G186" s="69">
        <f>SUMIF('Executive Pay Breakdown'!O:O,$B186,'Executive Pay Breakdown'!Q:Q)</f>
        <v>4122715</v>
      </c>
      <c r="H186" s="69">
        <f>SUMIF('Executive Pay Breakdown'!S:S,$B186,'Executive Pay Breakdown'!U:U)</f>
        <v>3995728</v>
      </c>
      <c r="I186" s="69">
        <f>SUMIF('Executive Pay Breakdown'!W:W,$B186,'Executive Pay Breakdown'!Y:Y)</f>
        <v>5268657</v>
      </c>
      <c r="J186" s="69">
        <f>SUMIF('Executive Pay Breakdown'!AA:AA,$B186,'Executive Pay Breakdown'!AC:AC)</f>
        <v>3715530</v>
      </c>
      <c r="K186" s="90"/>
      <c r="L186" s="212"/>
      <c r="M186" s="87"/>
      <c r="N186" s="230">
        <f>F186/J186-1</f>
        <v>0.2188323066</v>
      </c>
      <c r="O186" s="120">
        <f>MATCH(C186,'Key Findings'!B:B,0)</f>
        <v>42</v>
      </c>
    </row>
    <row r="187">
      <c r="A187" s="62"/>
      <c r="B187" s="86" t="s">
        <v>475</v>
      </c>
      <c r="C187" s="233" t="s">
        <v>61</v>
      </c>
      <c r="D187" s="89">
        <f>SUMIF('Executive Pay Breakdown'!K:K,$B187,'Executive Pay Breakdown'!M:M)+SUMIF('Executive Pay Breakdown'!O:O,$B187,'Executive Pay Breakdown'!Q:Q)+SUMIF('Executive Pay Breakdown'!S:S,$B187,'Executive Pay Breakdown'!U:U)+SUMIF('Executive Pay Breakdown'!W:W,$B187,'Executive Pay Breakdown'!Y:Y)+SUMIF('Executive Pay Breakdown'!AA:AA,$B187,'Executive Pay Breakdown'!AC:AC)</f>
        <v>21613146</v>
      </c>
      <c r="E187" s="109"/>
      <c r="F187" s="69">
        <f>SUMIF('Executive Pay Breakdown'!K:K,$B187,'Executive Pay Breakdown'!M:M)</f>
        <v>5811611</v>
      </c>
      <c r="G187" s="69">
        <f>SUMIF('Executive Pay Breakdown'!O:O,$B187,'Executive Pay Breakdown'!Q:Q)</f>
        <v>6223932</v>
      </c>
      <c r="H187" s="69">
        <f>SUMIF('Executive Pay Breakdown'!S:S,$B187,'Executive Pay Breakdown'!U:U)</f>
        <v>6090390</v>
      </c>
      <c r="I187" s="69">
        <f>SUMIF('Executive Pay Breakdown'!W:W,$B187,'Executive Pay Breakdown'!Y:Y)</f>
        <v>3487213</v>
      </c>
      <c r="J187" s="69">
        <f>SUMIF('Executive Pay Breakdown'!AA:AA,$B187,'Executive Pay Breakdown'!AC:AC)</f>
        <v>0</v>
      </c>
      <c r="K187" s="90"/>
      <c r="L187" s="212"/>
      <c r="M187" s="87"/>
      <c r="N187" s="87"/>
      <c r="O187" s="120">
        <f>MATCH(C187,'Key Findings'!B:B,0)</f>
        <v>22</v>
      </c>
    </row>
    <row r="188">
      <c r="A188" s="62"/>
      <c r="B188" s="127" t="s">
        <v>205</v>
      </c>
      <c r="C188" s="87" t="s">
        <v>34</v>
      </c>
      <c r="D188" s="89">
        <f>SUMIF('Executive Pay Breakdown'!K:K,$B188,'Executive Pay Breakdown'!M:M)+SUMIF('Executive Pay Breakdown'!O:O,$B188,'Executive Pay Breakdown'!Q:Q)+SUMIF('Executive Pay Breakdown'!S:S,$B188,'Executive Pay Breakdown'!U:U)+SUMIF('Executive Pay Breakdown'!W:W,$B188,'Executive Pay Breakdown'!Y:Y)+SUMIF('Executive Pay Breakdown'!AA:AA,$B188,'Executive Pay Breakdown'!AC:AC)</f>
        <v>21609120</v>
      </c>
      <c r="E188" s="109"/>
      <c r="F188" s="69">
        <f>SUMIF('Executive Pay Breakdown'!K:K,$B188,'Executive Pay Breakdown'!M:M)</f>
        <v>3975754</v>
      </c>
      <c r="G188" s="69">
        <f>SUMIF('Executive Pay Breakdown'!O:O,$B188,'Executive Pay Breakdown'!Q:Q)</f>
        <v>5117061</v>
      </c>
      <c r="H188" s="69">
        <f>SUMIF('Executive Pay Breakdown'!S:S,$B188,'Executive Pay Breakdown'!U:U)</f>
        <v>5150403</v>
      </c>
      <c r="I188" s="69">
        <f>SUMIF('Executive Pay Breakdown'!W:W,$B188,'Executive Pay Breakdown'!Y:Y)</f>
        <v>4417412</v>
      </c>
      <c r="J188" s="69">
        <f>SUMIF('Executive Pay Breakdown'!AA:AA,$B188,'Executive Pay Breakdown'!AC:AC)</f>
        <v>2948490</v>
      </c>
      <c r="K188" s="90"/>
      <c r="L188" s="212"/>
      <c r="M188" s="87"/>
      <c r="N188" s="230">
        <f>F188/J188-1</f>
        <v>0.3484034201</v>
      </c>
      <c r="O188" s="120">
        <f>MATCH(C188,'Key Findings'!B:B,0)</f>
        <v>34</v>
      </c>
    </row>
    <row r="189">
      <c r="A189" s="62"/>
      <c r="B189" s="86" t="s">
        <v>366</v>
      </c>
      <c r="C189" s="87" t="s">
        <v>42</v>
      </c>
      <c r="D189" s="89">
        <f>SUMIF('Executive Pay Breakdown'!K:K,$B189,'Executive Pay Breakdown'!M:M)+SUMIF('Executive Pay Breakdown'!O:O,$B189,'Executive Pay Breakdown'!Q:Q)+SUMIF('Executive Pay Breakdown'!S:S,$B189,'Executive Pay Breakdown'!U:U)+SUMIF('Executive Pay Breakdown'!W:W,$B189,'Executive Pay Breakdown'!Y:Y)+SUMIF('Executive Pay Breakdown'!AA:AA,$B189,'Executive Pay Breakdown'!AC:AC)</f>
        <v>21385831</v>
      </c>
      <c r="E189" s="109"/>
      <c r="F189" s="69">
        <f>SUMIF('Executive Pay Breakdown'!K:K,$B189,'Executive Pay Breakdown'!M:M)</f>
        <v>0</v>
      </c>
      <c r="G189" s="69">
        <f>SUMIF('Executive Pay Breakdown'!O:O,$B189,'Executive Pay Breakdown'!Q:Q)</f>
        <v>0</v>
      </c>
      <c r="H189" s="69">
        <f>SUMIF('Executive Pay Breakdown'!S:S,$B189,'Executive Pay Breakdown'!U:U)</f>
        <v>0</v>
      </c>
      <c r="I189" s="69">
        <f>SUMIF('Executive Pay Breakdown'!W:W,$B189,'Executive Pay Breakdown'!Y:Y)</f>
        <v>10395993</v>
      </c>
      <c r="J189" s="69">
        <f>SUMIF('Executive Pay Breakdown'!AA:AA,$B189,'Executive Pay Breakdown'!AC:AC)</f>
        <v>10989838</v>
      </c>
      <c r="K189" s="90"/>
      <c r="L189" s="212"/>
      <c r="M189" s="87"/>
      <c r="N189" s="87"/>
      <c r="O189" s="120">
        <f>MATCH(C189,'Key Findings'!B:B,0)</f>
        <v>61</v>
      </c>
    </row>
    <row r="190">
      <c r="A190" s="81"/>
      <c r="B190" s="86" t="s">
        <v>342</v>
      </c>
      <c r="C190" s="87" t="str">
        <f t="array" ref="C190">INDEX('Executive Pay Breakdown'!B:B,MATCH(B190,'Executive Pay Breakdown'!K:K,0))</f>
        <v>AmerisourceBergen</v>
      </c>
      <c r="D190" s="89">
        <f>SUMIF('Executive Pay Breakdown'!K:K,$B190,'Executive Pay Breakdown'!M:M)+SUMIF('Executive Pay Breakdown'!O:O,$B190,'Executive Pay Breakdown'!Q:Q)+SUMIF('Executive Pay Breakdown'!S:S,$B190,'Executive Pay Breakdown'!U:U)+SUMIF('Executive Pay Breakdown'!W:W,$B190,'Executive Pay Breakdown'!Y:Y)+SUMIF('Executive Pay Breakdown'!AA:AA,$B190,'Executive Pay Breakdown'!AC:AC)</f>
        <v>21334456</v>
      </c>
      <c r="E190" s="109"/>
      <c r="F190" s="69">
        <f>SUMIF('Executive Pay Breakdown'!K:K,$B190,'Executive Pay Breakdown'!M:M)</f>
        <v>5321701</v>
      </c>
      <c r="G190" s="69">
        <f>SUMIF('Executive Pay Breakdown'!O:O,$B190,'Executive Pay Breakdown'!Q:Q)</f>
        <v>5169108</v>
      </c>
      <c r="H190" s="69">
        <f>SUMIF('Executive Pay Breakdown'!S:S,$B190,'Executive Pay Breakdown'!U:U)</f>
        <v>4282943</v>
      </c>
      <c r="I190" s="69">
        <f>SUMIF('Executive Pay Breakdown'!W:W,$B190,'Executive Pay Breakdown'!Y:Y)</f>
        <v>3453481</v>
      </c>
      <c r="J190" s="69">
        <f>SUMIF('Executive Pay Breakdown'!AA:AA,$B190,'Executive Pay Breakdown'!AC:AC)</f>
        <v>3107223</v>
      </c>
      <c r="K190" s="90"/>
      <c r="L190" s="212"/>
      <c r="M190" s="87"/>
      <c r="N190" s="230"/>
      <c r="O190" s="120">
        <f>MATCH(C190,'Key Findings'!B:B,0)</f>
        <v>45</v>
      </c>
    </row>
    <row r="191">
      <c r="A191" s="81"/>
      <c r="B191" s="137" t="s">
        <v>290</v>
      </c>
      <c r="C191" s="87" t="str">
        <f t="array" ref="C191">INDEX('Executive Pay Breakdown'!B:B,MATCH(B191,'Executive Pay Breakdown'!K:K,0))</f>
        <v>Pioneer Natural Resources</v>
      </c>
      <c r="D191" s="89">
        <f>SUMIF('Executive Pay Breakdown'!K:K,$B191,'Executive Pay Breakdown'!M:M)+SUMIF('Executive Pay Breakdown'!O:O,$B191,'Executive Pay Breakdown'!Q:Q)+SUMIF('Executive Pay Breakdown'!S:S,$B191,'Executive Pay Breakdown'!U:U)+SUMIF('Executive Pay Breakdown'!W:W,$B191,'Executive Pay Breakdown'!Y:Y)+SUMIF('Executive Pay Breakdown'!AA:AA,$B191,'Executive Pay Breakdown'!AC:AC)</f>
        <v>21216058</v>
      </c>
      <c r="E191" s="109"/>
      <c r="F191" s="69">
        <f>SUMIF('Executive Pay Breakdown'!K:K,$B191,'Executive Pay Breakdown'!M:M)</f>
        <v>5376845</v>
      </c>
      <c r="G191" s="69">
        <f>SUMIF('Executive Pay Breakdown'!O:O,$B191,'Executive Pay Breakdown'!Q:Q)</f>
        <v>3979416</v>
      </c>
      <c r="H191" s="69">
        <f>SUMIF('Executive Pay Breakdown'!S:S,$B191,'Executive Pay Breakdown'!U:U)</f>
        <v>3034396</v>
      </c>
      <c r="I191" s="69">
        <f>SUMIF('Executive Pay Breakdown'!W:W,$B191,'Executive Pay Breakdown'!Y:Y)</f>
        <v>4251561</v>
      </c>
      <c r="J191" s="69">
        <f>SUMIF('Executive Pay Breakdown'!AA:AA,$B191,'Executive Pay Breakdown'!AC:AC)</f>
        <v>4573840</v>
      </c>
      <c r="K191" s="90"/>
      <c r="L191" s="212"/>
      <c r="M191" s="87"/>
      <c r="N191" s="230"/>
      <c r="O191" s="120">
        <f>MATCH(C191,'Key Findings'!B:B,0)</f>
        <v>35</v>
      </c>
    </row>
    <row r="192">
      <c r="A192" s="62"/>
      <c r="B192" s="127" t="s">
        <v>191</v>
      </c>
      <c r="C192" s="87" t="s">
        <v>60</v>
      </c>
      <c r="D192" s="89">
        <f>SUMIF('Executive Pay Breakdown'!K:K,$B192,'Executive Pay Breakdown'!M:M)+SUMIF('Executive Pay Breakdown'!O:O,$B192,'Executive Pay Breakdown'!Q:Q)+SUMIF('Executive Pay Breakdown'!S:S,$B192,'Executive Pay Breakdown'!U:U)+SUMIF('Executive Pay Breakdown'!W:W,$B192,'Executive Pay Breakdown'!Y:Y)+SUMIF('Executive Pay Breakdown'!AA:AA,$B192,'Executive Pay Breakdown'!AC:AC)</f>
        <v>20961012</v>
      </c>
      <c r="E192" s="109"/>
      <c r="F192" s="69">
        <f>SUMIF('Executive Pay Breakdown'!K:K,$B192,'Executive Pay Breakdown'!M:M)</f>
        <v>5036024</v>
      </c>
      <c r="G192" s="69">
        <f>SUMIF('Executive Pay Breakdown'!O:O,$B192,'Executive Pay Breakdown'!Q:Q)</f>
        <v>5083689</v>
      </c>
      <c r="H192" s="69">
        <f>SUMIF('Executive Pay Breakdown'!S:S,$B192,'Executive Pay Breakdown'!U:U)</f>
        <v>3728297</v>
      </c>
      <c r="I192" s="69">
        <f>SUMIF('Executive Pay Breakdown'!W:W,$B192,'Executive Pay Breakdown'!Y:Y)</f>
        <v>3631795</v>
      </c>
      <c r="J192" s="69">
        <f>SUMIF('Executive Pay Breakdown'!AA:AA,$B192,'Executive Pay Breakdown'!AC:AC)</f>
        <v>3481207</v>
      </c>
      <c r="K192" s="90"/>
      <c r="L192" s="212"/>
      <c r="M192" s="87"/>
      <c r="N192" s="230">
        <f t="shared" ref="N192:N193" si="25">F192/J192-1</f>
        <v>0.446631585</v>
      </c>
      <c r="O192" s="120">
        <f>MATCH(C192,'Key Findings'!B:B,0)</f>
        <v>47</v>
      </c>
    </row>
    <row r="193">
      <c r="A193" s="62"/>
      <c r="B193" s="86" t="s">
        <v>253</v>
      </c>
      <c r="C193" s="233" t="s">
        <v>66</v>
      </c>
      <c r="D193" s="89">
        <f>SUMIF('Executive Pay Breakdown'!K:K,$B193,'Executive Pay Breakdown'!M:M)+SUMIF('Executive Pay Breakdown'!O:O,$B193,'Executive Pay Breakdown'!Q:Q)+SUMIF('Executive Pay Breakdown'!S:S,$B193,'Executive Pay Breakdown'!U:U)+SUMIF('Executive Pay Breakdown'!W:W,$B193,'Executive Pay Breakdown'!Y:Y)+SUMIF('Executive Pay Breakdown'!AA:AA,$B193,'Executive Pay Breakdown'!AC:AC)</f>
        <v>20740248</v>
      </c>
      <c r="E193" s="109"/>
      <c r="F193" s="69">
        <f>SUMIF('Executive Pay Breakdown'!K:K,$B193,'Executive Pay Breakdown'!M:M)</f>
        <v>5400143</v>
      </c>
      <c r="G193" s="69">
        <f>SUMIF('Executive Pay Breakdown'!O:O,$B193,'Executive Pay Breakdown'!Q:Q)</f>
        <v>6651394</v>
      </c>
      <c r="H193" s="69">
        <f>SUMIF('Executive Pay Breakdown'!S:S,$B193,'Executive Pay Breakdown'!U:U)</f>
        <v>3481123</v>
      </c>
      <c r="I193" s="69">
        <f>SUMIF('Executive Pay Breakdown'!W:W,$B193,'Executive Pay Breakdown'!Y:Y)</f>
        <v>0</v>
      </c>
      <c r="J193" s="69">
        <f>SUMIF('Executive Pay Breakdown'!AA:AA,$B193,'Executive Pay Breakdown'!AC:AC)</f>
        <v>5207588</v>
      </c>
      <c r="K193" s="90"/>
      <c r="L193" s="212"/>
      <c r="M193" s="87"/>
      <c r="N193" s="230">
        <f t="shared" si="25"/>
        <v>0.03697585139</v>
      </c>
      <c r="O193" s="120">
        <f>MATCH(C193,'Key Findings'!B:B,0)</f>
        <v>41</v>
      </c>
    </row>
    <row r="194">
      <c r="A194" s="62"/>
      <c r="B194" s="86" t="s">
        <v>378</v>
      </c>
      <c r="C194" s="87" t="s">
        <v>33</v>
      </c>
      <c r="D194" s="89">
        <f>SUMIF('Executive Pay Breakdown'!K:K,$B194,'Executive Pay Breakdown'!M:M)+SUMIF('Executive Pay Breakdown'!O:O,$B194,'Executive Pay Breakdown'!Q:Q)+SUMIF('Executive Pay Breakdown'!S:S,$B194,'Executive Pay Breakdown'!U:U)+SUMIF('Executive Pay Breakdown'!W:W,$B194,'Executive Pay Breakdown'!Y:Y)+SUMIF('Executive Pay Breakdown'!AA:AA,$B194,'Executive Pay Breakdown'!AC:AC)</f>
        <v>20728811</v>
      </c>
      <c r="E194" s="109"/>
      <c r="F194" s="69">
        <f>SUMIF('Executive Pay Breakdown'!K:K,$B194,'Executive Pay Breakdown'!M:M)</f>
        <v>8651089</v>
      </c>
      <c r="G194" s="69">
        <f>SUMIF('Executive Pay Breakdown'!O:O,$B194,'Executive Pay Breakdown'!Q:Q)</f>
        <v>6664084</v>
      </c>
      <c r="H194" s="69">
        <f>SUMIF('Executive Pay Breakdown'!S:S,$B194,'Executive Pay Breakdown'!U:U)</f>
        <v>2844107</v>
      </c>
      <c r="I194" s="69">
        <f>SUMIF('Executive Pay Breakdown'!W:W,$B194,'Executive Pay Breakdown'!Y:Y)</f>
        <v>2569531</v>
      </c>
      <c r="J194" s="69">
        <f>SUMIF('Executive Pay Breakdown'!AA:AA,$B194,'Executive Pay Breakdown'!AC:AC)</f>
        <v>0</v>
      </c>
      <c r="K194" s="90"/>
      <c r="L194" s="212"/>
      <c r="M194" s="87"/>
      <c r="N194" s="230"/>
      <c r="O194" s="120">
        <f>MATCH(C194,'Key Findings'!B:B,0)</f>
        <v>33</v>
      </c>
    </row>
    <row r="195">
      <c r="A195" s="62"/>
      <c r="B195" s="120" t="s">
        <v>358</v>
      </c>
      <c r="C195" s="87" t="s">
        <v>14</v>
      </c>
      <c r="D195" s="89">
        <f>SUMIF('Executive Pay Breakdown'!K:K,$B195,'Executive Pay Breakdown'!M:M)+SUMIF('Executive Pay Breakdown'!O:O,$B195,'Executive Pay Breakdown'!Q:Q)+SUMIF('Executive Pay Breakdown'!S:S,$B195,'Executive Pay Breakdown'!U:U)+SUMIF('Executive Pay Breakdown'!W:W,$B195,'Executive Pay Breakdown'!Y:Y)+SUMIF('Executive Pay Breakdown'!AA:AA,$B195,'Executive Pay Breakdown'!AC:AC)</f>
        <v>20650024</v>
      </c>
      <c r="E195" s="109"/>
      <c r="F195" s="69">
        <f>SUMIF('Executive Pay Breakdown'!K:K,$B195,'Executive Pay Breakdown'!M:M)</f>
        <v>9300122</v>
      </c>
      <c r="G195" s="69">
        <f>SUMIF('Executive Pay Breakdown'!O:O,$B195,'Executive Pay Breakdown'!Q:Q)</f>
        <v>11349902</v>
      </c>
      <c r="H195" s="69">
        <f>SUMIF('Executive Pay Breakdown'!S:S,$B195,'Executive Pay Breakdown'!U:U)</f>
        <v>0</v>
      </c>
      <c r="I195" s="69">
        <f>SUMIF('Executive Pay Breakdown'!W:W,$B195,'Executive Pay Breakdown'!Y:Y)</f>
        <v>0</v>
      </c>
      <c r="J195" s="69">
        <f>SUMIF('Executive Pay Breakdown'!AA:AA,$B195,'Executive Pay Breakdown'!AC:AC)</f>
        <v>0</v>
      </c>
      <c r="K195" s="90"/>
      <c r="L195" s="212"/>
      <c r="M195" s="212"/>
      <c r="N195" s="230"/>
      <c r="O195" s="120">
        <f>MATCH(C195,'Key Findings'!B:B,0)</f>
        <v>5</v>
      </c>
    </row>
    <row r="196">
      <c r="A196" s="62"/>
      <c r="B196" s="127" t="s">
        <v>418</v>
      </c>
      <c r="C196" s="87" t="s">
        <v>53</v>
      </c>
      <c r="D196" s="89">
        <f>SUMIF('Executive Pay Breakdown'!K:K,$B196,'Executive Pay Breakdown'!M:M)+SUMIF('Executive Pay Breakdown'!O:O,$B196,'Executive Pay Breakdown'!Q:Q)+SUMIF('Executive Pay Breakdown'!S:S,$B196,'Executive Pay Breakdown'!U:U)+SUMIF('Executive Pay Breakdown'!W:W,$B196,'Executive Pay Breakdown'!Y:Y)+SUMIF('Executive Pay Breakdown'!AA:AA,$B196,'Executive Pay Breakdown'!AC:AC)</f>
        <v>20500399</v>
      </c>
      <c r="E196" s="109"/>
      <c r="F196" s="69">
        <f>SUMIF('Executive Pay Breakdown'!K:K,$B196,'Executive Pay Breakdown'!M:M)</f>
        <v>0</v>
      </c>
      <c r="G196" s="69">
        <f>SUMIF('Executive Pay Breakdown'!O:O,$B196,'Executive Pay Breakdown'!Q:Q)</f>
        <v>5130318</v>
      </c>
      <c r="H196" s="69">
        <f>SUMIF('Executive Pay Breakdown'!S:S,$B196,'Executive Pay Breakdown'!U:U)</f>
        <v>5498593</v>
      </c>
      <c r="I196" s="69">
        <f>SUMIF('Executive Pay Breakdown'!W:W,$B196,'Executive Pay Breakdown'!Y:Y)</f>
        <v>5483764</v>
      </c>
      <c r="J196" s="69">
        <f>SUMIF('Executive Pay Breakdown'!AA:AA,$B196,'Executive Pay Breakdown'!AC:AC)</f>
        <v>4387724</v>
      </c>
      <c r="K196" s="90"/>
      <c r="L196" s="212"/>
      <c r="M196" s="87"/>
      <c r="N196" s="87"/>
      <c r="O196" s="120">
        <f>MATCH(C196,'Key Findings'!B:B,0)</f>
        <v>23</v>
      </c>
    </row>
    <row r="197">
      <c r="A197" s="62"/>
      <c r="B197" s="86" t="s">
        <v>204</v>
      </c>
      <c r="C197" s="87" t="s">
        <v>31</v>
      </c>
      <c r="D197" s="89">
        <f>SUMIF('Executive Pay Breakdown'!K:K,$B197,'Executive Pay Breakdown'!M:M)+SUMIF('Executive Pay Breakdown'!O:O,$B197,'Executive Pay Breakdown'!Q:Q)+SUMIF('Executive Pay Breakdown'!S:S,$B197,'Executive Pay Breakdown'!U:U)+SUMIF('Executive Pay Breakdown'!W:W,$B197,'Executive Pay Breakdown'!Y:Y)+SUMIF('Executive Pay Breakdown'!AA:AA,$B197,'Executive Pay Breakdown'!AC:AC)</f>
        <v>20188126</v>
      </c>
      <c r="E197" s="109"/>
      <c r="F197" s="69">
        <f>SUMIF('Executive Pay Breakdown'!K:K,$B197,'Executive Pay Breakdown'!M:M)</f>
        <v>4303166</v>
      </c>
      <c r="G197" s="69">
        <f>SUMIF('Executive Pay Breakdown'!O:O,$B197,'Executive Pay Breakdown'!Q:Q)</f>
        <v>4061881</v>
      </c>
      <c r="H197" s="69">
        <f>SUMIF('Executive Pay Breakdown'!S:S,$B197,'Executive Pay Breakdown'!U:U)</f>
        <v>5667754</v>
      </c>
      <c r="I197" s="69">
        <f>SUMIF('Executive Pay Breakdown'!W:W,$B197,'Executive Pay Breakdown'!Y:Y)</f>
        <v>2972537</v>
      </c>
      <c r="J197" s="69">
        <f>SUMIF('Executive Pay Breakdown'!AA:AA,$B197,'Executive Pay Breakdown'!AC:AC)</f>
        <v>3182788</v>
      </c>
      <c r="K197" s="90"/>
      <c r="L197" s="212"/>
      <c r="M197" s="87"/>
      <c r="N197" s="230">
        <f t="shared" ref="N197:N199" si="26">F197/J197-1</f>
        <v>0.3520115069</v>
      </c>
      <c r="O197" s="120">
        <f>MATCH(C197,'Key Findings'!B:B,0)</f>
        <v>52</v>
      </c>
    </row>
    <row r="198">
      <c r="A198" s="62"/>
      <c r="B198" s="127" t="s">
        <v>156</v>
      </c>
      <c r="C198" s="87" t="s">
        <v>60</v>
      </c>
      <c r="D198" s="89">
        <f>SUMIF('Executive Pay Breakdown'!K:K,$B198,'Executive Pay Breakdown'!M:M)+SUMIF('Executive Pay Breakdown'!O:O,$B198,'Executive Pay Breakdown'!Q:Q)+SUMIF('Executive Pay Breakdown'!S:S,$B198,'Executive Pay Breakdown'!U:U)+SUMIF('Executive Pay Breakdown'!W:W,$B198,'Executive Pay Breakdown'!Y:Y)+SUMIF('Executive Pay Breakdown'!AA:AA,$B198,'Executive Pay Breakdown'!AC:AC)</f>
        <v>20026110</v>
      </c>
      <c r="E198" s="109"/>
      <c r="F198" s="69">
        <f>SUMIF('Executive Pay Breakdown'!K:K,$B198,'Executive Pay Breakdown'!M:M)</f>
        <v>5377393</v>
      </c>
      <c r="G198" s="69">
        <f>SUMIF('Executive Pay Breakdown'!O:O,$B198,'Executive Pay Breakdown'!Q:Q)</f>
        <v>5179465</v>
      </c>
      <c r="H198" s="69">
        <f>SUMIF('Executive Pay Breakdown'!S:S,$B198,'Executive Pay Breakdown'!U:U)</f>
        <v>3829685</v>
      </c>
      <c r="I198" s="69">
        <f>SUMIF('Executive Pay Breakdown'!W:W,$B198,'Executive Pay Breakdown'!Y:Y)</f>
        <v>3534514</v>
      </c>
      <c r="J198" s="69">
        <f>SUMIF('Executive Pay Breakdown'!AA:AA,$B198,'Executive Pay Breakdown'!AC:AC)</f>
        <v>2105053</v>
      </c>
      <c r="K198" s="90"/>
      <c r="L198" s="212"/>
      <c r="M198" s="87"/>
      <c r="N198" s="230">
        <f t="shared" si="26"/>
        <v>1.55451668</v>
      </c>
      <c r="O198" s="120">
        <f>MATCH(C198,'Key Findings'!B:B,0)</f>
        <v>47</v>
      </c>
    </row>
    <row r="199">
      <c r="A199" s="62"/>
      <c r="B199" s="127" t="s">
        <v>185</v>
      </c>
      <c r="C199" s="87" t="s">
        <v>15</v>
      </c>
      <c r="D199" s="89">
        <f>SUMIF('Executive Pay Breakdown'!K:K,$B199,'Executive Pay Breakdown'!M:M)+SUMIF('Executive Pay Breakdown'!O:O,$B199,'Executive Pay Breakdown'!Q:Q)+SUMIF('Executive Pay Breakdown'!S:S,$B199,'Executive Pay Breakdown'!U:U)+SUMIF('Executive Pay Breakdown'!W:W,$B199,'Executive Pay Breakdown'!Y:Y)+SUMIF('Executive Pay Breakdown'!AA:AA,$B199,'Executive Pay Breakdown'!AC:AC)</f>
        <v>19973595</v>
      </c>
      <c r="E199" s="109"/>
      <c r="F199" s="69">
        <f>SUMIF('Executive Pay Breakdown'!K:K,$B199,'Executive Pay Breakdown'!M:M)</f>
        <v>4794344</v>
      </c>
      <c r="G199" s="69">
        <f>SUMIF('Executive Pay Breakdown'!O:O,$B199,'Executive Pay Breakdown'!Q:Q)</f>
        <v>4364888</v>
      </c>
      <c r="H199" s="69">
        <f>SUMIF('Executive Pay Breakdown'!S:S,$B199,'Executive Pay Breakdown'!U:U)</f>
        <v>3901609</v>
      </c>
      <c r="I199" s="69">
        <f>SUMIF('Executive Pay Breakdown'!W:W,$B199,'Executive Pay Breakdown'!Y:Y)</f>
        <v>3779999</v>
      </c>
      <c r="J199" s="69">
        <f>SUMIF('Executive Pay Breakdown'!AA:AA,$B199,'Executive Pay Breakdown'!AC:AC)</f>
        <v>3132755</v>
      </c>
      <c r="K199" s="90"/>
      <c r="L199" s="212"/>
      <c r="M199" s="87"/>
      <c r="N199" s="230">
        <f t="shared" si="26"/>
        <v>0.5303922586</v>
      </c>
      <c r="O199" s="120">
        <f>MATCH(C199,'Key Findings'!B:B,0)</f>
        <v>32</v>
      </c>
    </row>
    <row r="200">
      <c r="A200" s="62"/>
      <c r="B200" s="86" t="s">
        <v>487</v>
      </c>
      <c r="C200" s="233" t="s">
        <v>61</v>
      </c>
      <c r="D200" s="89">
        <f>SUMIF('Executive Pay Breakdown'!K:K,$B200,'Executive Pay Breakdown'!M:M)+SUMIF('Executive Pay Breakdown'!O:O,$B200,'Executive Pay Breakdown'!Q:Q)+SUMIF('Executive Pay Breakdown'!S:S,$B200,'Executive Pay Breakdown'!U:U)+SUMIF('Executive Pay Breakdown'!W:W,$B200,'Executive Pay Breakdown'!Y:Y)+SUMIF('Executive Pay Breakdown'!AA:AA,$B200,'Executive Pay Breakdown'!AC:AC)</f>
        <v>19917050</v>
      </c>
      <c r="E200" s="109"/>
      <c r="F200" s="69">
        <f>SUMIF('Executive Pay Breakdown'!K:K,$B200,'Executive Pay Breakdown'!M:M)</f>
        <v>6525129</v>
      </c>
      <c r="G200" s="69">
        <f>SUMIF('Executive Pay Breakdown'!O:O,$B200,'Executive Pay Breakdown'!Q:Q)</f>
        <v>6331337</v>
      </c>
      <c r="H200" s="69">
        <f>SUMIF('Executive Pay Breakdown'!S:S,$B200,'Executive Pay Breakdown'!U:U)</f>
        <v>7060584</v>
      </c>
      <c r="I200" s="69">
        <f>SUMIF('Executive Pay Breakdown'!W:W,$B200,'Executive Pay Breakdown'!Y:Y)</f>
        <v>0</v>
      </c>
      <c r="J200" s="69">
        <f>SUMIF('Executive Pay Breakdown'!AA:AA,$B200,'Executive Pay Breakdown'!AC:AC)</f>
        <v>0</v>
      </c>
      <c r="K200" s="90"/>
      <c r="L200" s="212"/>
      <c r="M200" s="87"/>
      <c r="N200" s="87"/>
      <c r="O200" s="120">
        <f>MATCH(C200,'Key Findings'!B:B,0)</f>
        <v>22</v>
      </c>
    </row>
    <row r="201">
      <c r="A201" s="62"/>
      <c r="B201" s="127" t="s">
        <v>182</v>
      </c>
      <c r="C201" s="87" t="s">
        <v>60</v>
      </c>
      <c r="D201" s="89">
        <f>SUMIF('Executive Pay Breakdown'!K:K,$B201,'Executive Pay Breakdown'!M:M)+SUMIF('Executive Pay Breakdown'!O:O,$B201,'Executive Pay Breakdown'!Q:Q)+SUMIF('Executive Pay Breakdown'!S:S,$B201,'Executive Pay Breakdown'!U:U)+SUMIF('Executive Pay Breakdown'!W:W,$B201,'Executive Pay Breakdown'!Y:Y)+SUMIF('Executive Pay Breakdown'!AA:AA,$B201,'Executive Pay Breakdown'!AC:AC)</f>
        <v>19803064</v>
      </c>
      <c r="E201" s="109"/>
      <c r="F201" s="69">
        <f>SUMIF('Executive Pay Breakdown'!K:K,$B201,'Executive Pay Breakdown'!M:M)</f>
        <v>4982581</v>
      </c>
      <c r="G201" s="69">
        <f>SUMIF('Executive Pay Breakdown'!O:O,$B201,'Executive Pay Breakdown'!Q:Q)</f>
        <v>4872931</v>
      </c>
      <c r="H201" s="69">
        <f>SUMIF('Executive Pay Breakdown'!S:S,$B201,'Executive Pay Breakdown'!U:U)</f>
        <v>3542434</v>
      </c>
      <c r="I201" s="69">
        <f>SUMIF('Executive Pay Breakdown'!W:W,$B201,'Executive Pay Breakdown'!Y:Y)</f>
        <v>3315656</v>
      </c>
      <c r="J201" s="69">
        <f>SUMIF('Executive Pay Breakdown'!AA:AA,$B201,'Executive Pay Breakdown'!AC:AC)</f>
        <v>3089462</v>
      </c>
      <c r="K201" s="90"/>
      <c r="L201" s="212"/>
      <c r="M201" s="87"/>
      <c r="N201" s="230">
        <f t="shared" ref="N201:N202" si="27">F201/J201-1</f>
        <v>0.6127665594</v>
      </c>
      <c r="O201" s="120">
        <f>MATCH(C201,'Key Findings'!B:B,0)</f>
        <v>47</v>
      </c>
    </row>
    <row r="202">
      <c r="A202" s="62"/>
      <c r="B202" s="127" t="s">
        <v>179</v>
      </c>
      <c r="C202" s="87" t="s">
        <v>15</v>
      </c>
      <c r="D202" s="89">
        <f>SUMIF('Executive Pay Breakdown'!K:K,$B202,'Executive Pay Breakdown'!M:M)+SUMIF('Executive Pay Breakdown'!O:O,$B202,'Executive Pay Breakdown'!Q:Q)+SUMIF('Executive Pay Breakdown'!S:S,$B202,'Executive Pay Breakdown'!U:U)+SUMIF('Executive Pay Breakdown'!W:W,$B202,'Executive Pay Breakdown'!Y:Y)+SUMIF('Executive Pay Breakdown'!AA:AA,$B202,'Executive Pay Breakdown'!AC:AC)</f>
        <v>19762365</v>
      </c>
      <c r="E202" s="109"/>
      <c r="F202" s="69">
        <f>SUMIF('Executive Pay Breakdown'!K:K,$B202,'Executive Pay Breakdown'!M:M)</f>
        <v>4420284</v>
      </c>
      <c r="G202" s="69">
        <f>SUMIF('Executive Pay Breakdown'!O:O,$B202,'Executive Pay Breakdown'!Q:Q)</f>
        <v>4648200</v>
      </c>
      <c r="H202" s="69">
        <f>SUMIF('Executive Pay Breakdown'!S:S,$B202,'Executive Pay Breakdown'!U:U)</f>
        <v>4048848</v>
      </c>
      <c r="I202" s="69">
        <f>SUMIF('Executive Pay Breakdown'!W:W,$B202,'Executive Pay Breakdown'!Y:Y)</f>
        <v>3955357</v>
      </c>
      <c r="J202" s="69">
        <f>SUMIF('Executive Pay Breakdown'!AA:AA,$B202,'Executive Pay Breakdown'!AC:AC)</f>
        <v>2689676</v>
      </c>
      <c r="K202" s="90"/>
      <c r="L202" s="212"/>
      <c r="M202" s="87"/>
      <c r="N202" s="230">
        <f t="shared" si="27"/>
        <v>0.6434261971</v>
      </c>
      <c r="O202" s="120">
        <f>MATCH(C202,'Key Findings'!B:B,0)</f>
        <v>32</v>
      </c>
    </row>
    <row r="203">
      <c r="A203" s="62"/>
      <c r="B203" s="127" t="s">
        <v>355</v>
      </c>
      <c r="C203" s="87" t="s">
        <v>13</v>
      </c>
      <c r="D203" s="89">
        <f>SUMIF('Executive Pay Breakdown'!K:K,$B203,'Executive Pay Breakdown'!M:M)+SUMIF('Executive Pay Breakdown'!O:O,$B203,'Executive Pay Breakdown'!Q:Q)+SUMIF('Executive Pay Breakdown'!S:S,$B203,'Executive Pay Breakdown'!U:U)+SUMIF('Executive Pay Breakdown'!W:W,$B203,'Executive Pay Breakdown'!Y:Y)+SUMIF('Executive Pay Breakdown'!AA:AA,$B203,'Executive Pay Breakdown'!AC:AC)</f>
        <v>19724354</v>
      </c>
      <c r="E203" s="109"/>
      <c r="F203" s="69">
        <f>SUMIF('Executive Pay Breakdown'!K:K,$B203,'Executive Pay Breakdown'!M:M)</f>
        <v>7366043</v>
      </c>
      <c r="G203" s="69">
        <f>SUMIF('Executive Pay Breakdown'!O:O,$B203,'Executive Pay Breakdown'!Q:Q)</f>
        <v>5849873</v>
      </c>
      <c r="H203" s="69">
        <f>SUMIF('Executive Pay Breakdown'!S:S,$B203,'Executive Pay Breakdown'!U:U)</f>
        <v>6508438</v>
      </c>
      <c r="I203" s="69">
        <f>SUMIF('Executive Pay Breakdown'!W:W,$B203,'Executive Pay Breakdown'!Y:Y)</f>
        <v>0</v>
      </c>
      <c r="J203" s="69">
        <f>SUMIF('Executive Pay Breakdown'!AA:AA,$B203,'Executive Pay Breakdown'!AC:AC)</f>
        <v>0</v>
      </c>
      <c r="K203" s="90"/>
      <c r="L203" s="212"/>
      <c r="M203" s="87"/>
      <c r="N203" s="230"/>
      <c r="O203" s="120">
        <f>MATCH(C203,'Key Findings'!B:B,0)</f>
        <v>11</v>
      </c>
    </row>
    <row r="204">
      <c r="A204" s="62"/>
      <c r="B204" s="86" t="s">
        <v>275</v>
      </c>
      <c r="C204" s="87" t="s">
        <v>67</v>
      </c>
      <c r="D204" s="89">
        <f>SUMIF('Executive Pay Breakdown'!K:K,$B204,'Executive Pay Breakdown'!M:M)+SUMIF('Executive Pay Breakdown'!O:O,$B204,'Executive Pay Breakdown'!Q:Q)+SUMIF('Executive Pay Breakdown'!S:S,$B204,'Executive Pay Breakdown'!U:U)+SUMIF('Executive Pay Breakdown'!W:W,$B204,'Executive Pay Breakdown'!Y:Y)+SUMIF('Executive Pay Breakdown'!AA:AA,$B204,'Executive Pay Breakdown'!AC:AC)</f>
        <v>19658067</v>
      </c>
      <c r="E204" s="109"/>
      <c r="F204" s="69">
        <f>SUMIF('Executive Pay Breakdown'!K:K,$B204,'Executive Pay Breakdown'!M:M)</f>
        <v>1522833</v>
      </c>
      <c r="G204" s="69">
        <f>SUMIF('Executive Pay Breakdown'!O:O,$B204,'Executive Pay Breakdown'!Q:Q)</f>
        <v>7398128</v>
      </c>
      <c r="H204" s="69">
        <f>SUMIF('Executive Pay Breakdown'!S:S,$B204,'Executive Pay Breakdown'!U:U)</f>
        <v>5675833</v>
      </c>
      <c r="I204" s="69">
        <f>SUMIF('Executive Pay Breakdown'!W:W,$B204,'Executive Pay Breakdown'!Y:Y)</f>
        <v>3023155</v>
      </c>
      <c r="J204" s="69">
        <f>SUMIF('Executive Pay Breakdown'!AA:AA,$B204,'Executive Pay Breakdown'!AC:AC)</f>
        <v>2038118</v>
      </c>
      <c r="K204" s="90"/>
      <c r="L204" s="212"/>
      <c r="M204" s="87"/>
      <c r="N204" s="230">
        <f>F204/J204-1</f>
        <v>-0.2528239287</v>
      </c>
      <c r="O204" s="120">
        <f>MATCH(C204,'Key Findings'!B:B,0)</f>
        <v>64</v>
      </c>
    </row>
    <row r="205">
      <c r="A205" s="81"/>
      <c r="B205" s="137" t="s">
        <v>291</v>
      </c>
      <c r="C205" s="87" t="str">
        <f t="array" ref="C205">INDEX('Executive Pay Breakdown'!B:B,MATCH(B205,'Executive Pay Breakdown'!K:K,0))</f>
        <v>Pioneer Natural Resources</v>
      </c>
      <c r="D205" s="89">
        <f>SUMIF('Executive Pay Breakdown'!K:K,$B205,'Executive Pay Breakdown'!M:M)+SUMIF('Executive Pay Breakdown'!O:O,$B205,'Executive Pay Breakdown'!Q:Q)+SUMIF('Executive Pay Breakdown'!S:S,$B205,'Executive Pay Breakdown'!U:U)+SUMIF('Executive Pay Breakdown'!W:W,$B205,'Executive Pay Breakdown'!Y:Y)+SUMIF('Executive Pay Breakdown'!AA:AA,$B205,'Executive Pay Breakdown'!AC:AC)</f>
        <v>19495109</v>
      </c>
      <c r="E205" s="109"/>
      <c r="F205" s="69">
        <f>SUMIF('Executive Pay Breakdown'!K:K,$B205,'Executive Pay Breakdown'!M:M)</f>
        <v>5375180</v>
      </c>
      <c r="G205" s="69">
        <f>SUMIF('Executive Pay Breakdown'!O:O,$B205,'Executive Pay Breakdown'!Q:Q)</f>
        <v>3966376</v>
      </c>
      <c r="H205" s="69">
        <f>SUMIF('Executive Pay Breakdown'!S:S,$B205,'Executive Pay Breakdown'!U:U)</f>
        <v>3050111</v>
      </c>
      <c r="I205" s="69">
        <f>SUMIF('Executive Pay Breakdown'!W:W,$B205,'Executive Pay Breakdown'!Y:Y)</f>
        <v>3453323</v>
      </c>
      <c r="J205" s="69">
        <f>SUMIF('Executive Pay Breakdown'!AA:AA,$B205,'Executive Pay Breakdown'!AC:AC)</f>
        <v>3650119</v>
      </c>
      <c r="K205" s="90"/>
      <c r="L205" s="212"/>
      <c r="M205" s="87"/>
      <c r="N205" s="230"/>
      <c r="O205" s="120">
        <f>MATCH(C205,'Key Findings'!B:B,0)</f>
        <v>35</v>
      </c>
    </row>
    <row r="206">
      <c r="A206" s="71"/>
      <c r="B206" s="124" t="s">
        <v>360</v>
      </c>
      <c r="C206" s="87" t="s">
        <v>55</v>
      </c>
      <c r="D206" s="89">
        <f>SUMIF('Executive Pay Breakdown'!K:K,$B206,'Executive Pay Breakdown'!M:M)+SUMIF('Executive Pay Breakdown'!O:O,$B206,'Executive Pay Breakdown'!Q:Q)+SUMIF('Executive Pay Breakdown'!S:S,$B206,'Executive Pay Breakdown'!U:U)+SUMIF('Executive Pay Breakdown'!W:W,$B206,'Executive Pay Breakdown'!Y:Y)+SUMIF('Executive Pay Breakdown'!AA:AA,$B206,'Executive Pay Breakdown'!AC:AC)</f>
        <v>19422543</v>
      </c>
      <c r="E206" s="109"/>
      <c r="F206" s="69">
        <f>SUMIF('Executive Pay Breakdown'!K:K,$B206,'Executive Pay Breakdown'!M:M)</f>
        <v>0</v>
      </c>
      <c r="G206" s="69">
        <f>SUMIF('Executive Pay Breakdown'!O:O,$B206,'Executive Pay Breakdown'!Q:Q)</f>
        <v>0</v>
      </c>
      <c r="H206" s="69">
        <f>SUMIF('Executive Pay Breakdown'!S:S,$B206,'Executive Pay Breakdown'!U:U)</f>
        <v>0</v>
      </c>
      <c r="I206" s="69">
        <f>SUMIF('Executive Pay Breakdown'!W:W,$B206,'Executive Pay Breakdown'!Y:Y)</f>
        <v>10289338</v>
      </c>
      <c r="J206" s="69">
        <f>SUMIF('Executive Pay Breakdown'!AA:AA,$B206,'Executive Pay Breakdown'!AC:AC)</f>
        <v>9133205</v>
      </c>
      <c r="K206" s="90"/>
      <c r="L206" s="212"/>
      <c r="M206" s="87"/>
      <c r="N206" s="87"/>
      <c r="O206" s="120">
        <f>MATCH(C206,'Key Findings'!B:B,0)</f>
        <v>20</v>
      </c>
    </row>
    <row r="207">
      <c r="A207" s="81"/>
      <c r="B207" s="133" t="s">
        <v>449</v>
      </c>
      <c r="C207" s="87" t="s">
        <v>52</v>
      </c>
      <c r="D207" s="89">
        <f>SUMIF('Executive Pay Breakdown'!K:K,$B207,'Executive Pay Breakdown'!M:M)+SUMIF('Executive Pay Breakdown'!O:O,$B207,'Executive Pay Breakdown'!Q:Q)+SUMIF('Executive Pay Breakdown'!S:S,$B207,'Executive Pay Breakdown'!U:U)+SUMIF('Executive Pay Breakdown'!W:W,$B207,'Executive Pay Breakdown'!Y:Y)+SUMIF('Executive Pay Breakdown'!AA:AA,$B207,'Executive Pay Breakdown'!AC:AC)</f>
        <v>18838237</v>
      </c>
      <c r="E207" s="109"/>
      <c r="F207" s="69">
        <f>SUMIF('Executive Pay Breakdown'!K:K,$B207,'Executive Pay Breakdown'!M:M)</f>
        <v>7718410</v>
      </c>
      <c r="G207" s="69">
        <f>SUMIF('Executive Pay Breakdown'!O:O,$B207,'Executive Pay Breakdown'!Q:Q)</f>
        <v>11119827</v>
      </c>
      <c r="H207" s="69">
        <f>SUMIF('Executive Pay Breakdown'!S:S,$B207,'Executive Pay Breakdown'!U:U)</f>
        <v>0</v>
      </c>
      <c r="I207" s="69">
        <f>SUMIF('Executive Pay Breakdown'!W:W,$B207,'Executive Pay Breakdown'!Y:Y)</f>
        <v>0</v>
      </c>
      <c r="J207" s="69">
        <f>SUMIF('Executive Pay Breakdown'!AA:AA,$B207,'Executive Pay Breakdown'!AC:AC)</f>
        <v>0</v>
      </c>
      <c r="K207" s="90"/>
      <c r="L207" s="212"/>
      <c r="M207" s="212"/>
      <c r="N207" s="230"/>
      <c r="O207" s="120">
        <f>MATCH(C207,'Key Findings'!B:B,0)</f>
        <v>21</v>
      </c>
    </row>
    <row r="208">
      <c r="A208" s="81"/>
      <c r="B208" s="133" t="s">
        <v>382</v>
      </c>
      <c r="C208" s="87" t="s">
        <v>50</v>
      </c>
      <c r="D208" s="89">
        <f>SUMIF('Executive Pay Breakdown'!K:K,$B208,'Executive Pay Breakdown'!M:M)+SUMIF('Executive Pay Breakdown'!O:O,$B208,'Executive Pay Breakdown'!Q:Q)+SUMIF('Executive Pay Breakdown'!S:S,$B208,'Executive Pay Breakdown'!U:U)+SUMIF('Executive Pay Breakdown'!W:W,$B208,'Executive Pay Breakdown'!Y:Y)+SUMIF('Executive Pay Breakdown'!AA:AA,$B208,'Executive Pay Breakdown'!AC:AC)</f>
        <v>18624586</v>
      </c>
      <c r="E208" s="109"/>
      <c r="F208" s="69">
        <f>SUMIF('Executive Pay Breakdown'!K:K,$B208,'Executive Pay Breakdown'!M:M)</f>
        <v>0</v>
      </c>
      <c r="G208" s="69">
        <f>SUMIF('Executive Pay Breakdown'!O:O,$B208,'Executive Pay Breakdown'!Q:Q)</f>
        <v>0</v>
      </c>
      <c r="H208" s="69">
        <f>SUMIF('Executive Pay Breakdown'!S:S,$B208,'Executive Pay Breakdown'!U:U)</f>
        <v>6350939</v>
      </c>
      <c r="I208" s="69">
        <f>SUMIF('Executive Pay Breakdown'!W:W,$B208,'Executive Pay Breakdown'!Y:Y)</f>
        <v>6767557</v>
      </c>
      <c r="J208" s="69">
        <f>SUMIF('Executive Pay Breakdown'!AA:AA,$B208,'Executive Pay Breakdown'!AC:AC)</f>
        <v>5506090</v>
      </c>
      <c r="K208" s="90"/>
      <c r="L208" s="212"/>
      <c r="M208" s="87"/>
      <c r="N208" s="87"/>
      <c r="O208" s="120">
        <f>MATCH(C208,'Key Findings'!B:B,0)</f>
        <v>18</v>
      </c>
    </row>
    <row r="209">
      <c r="A209" s="62"/>
      <c r="B209" s="127" t="s">
        <v>193</v>
      </c>
      <c r="C209" s="87" t="s">
        <v>20</v>
      </c>
      <c r="D209" s="89">
        <f>SUMIF('Executive Pay Breakdown'!K:K,$B209,'Executive Pay Breakdown'!M:M)+SUMIF('Executive Pay Breakdown'!O:O,$B209,'Executive Pay Breakdown'!Q:Q)+SUMIF('Executive Pay Breakdown'!S:S,$B209,'Executive Pay Breakdown'!U:U)+SUMIF('Executive Pay Breakdown'!W:W,$B209,'Executive Pay Breakdown'!Y:Y)+SUMIF('Executive Pay Breakdown'!AA:AA,$B209,'Executive Pay Breakdown'!AC:AC)</f>
        <v>18576406</v>
      </c>
      <c r="E209" s="109"/>
      <c r="F209" s="69">
        <f>SUMIF('Executive Pay Breakdown'!K:K,$B209,'Executive Pay Breakdown'!M:M)</f>
        <v>3453520</v>
      </c>
      <c r="G209" s="69">
        <f>SUMIF('Executive Pay Breakdown'!O:O,$B209,'Executive Pay Breakdown'!Q:Q)</f>
        <v>4389497</v>
      </c>
      <c r="H209" s="69">
        <f>SUMIF('Executive Pay Breakdown'!S:S,$B209,'Executive Pay Breakdown'!U:U)</f>
        <v>3429985</v>
      </c>
      <c r="I209" s="69">
        <f>SUMIF('Executive Pay Breakdown'!W:W,$B209,'Executive Pay Breakdown'!Y:Y)</f>
        <v>4893636</v>
      </c>
      <c r="J209" s="69">
        <f>SUMIF('Executive Pay Breakdown'!AA:AA,$B209,'Executive Pay Breakdown'!AC:AC)</f>
        <v>2409768</v>
      </c>
      <c r="K209" s="90"/>
      <c r="L209" s="212"/>
      <c r="M209" s="87"/>
      <c r="N209" s="230">
        <f>F209/J209-1</f>
        <v>0.4331338121</v>
      </c>
      <c r="O209" s="120">
        <f>MATCH(C209,'Key Findings'!B:B,0)</f>
        <v>38</v>
      </c>
    </row>
    <row r="210">
      <c r="A210" s="62"/>
      <c r="B210" s="127" t="s">
        <v>417</v>
      </c>
      <c r="C210" s="87" t="s">
        <v>20</v>
      </c>
      <c r="D210" s="89">
        <f>SUMIF('Executive Pay Breakdown'!K:K,$B210,'Executive Pay Breakdown'!M:M)+SUMIF('Executive Pay Breakdown'!O:O,$B210,'Executive Pay Breakdown'!Q:Q)+SUMIF('Executive Pay Breakdown'!S:S,$B210,'Executive Pay Breakdown'!U:U)+SUMIF('Executive Pay Breakdown'!W:W,$B210,'Executive Pay Breakdown'!Y:Y)+SUMIF('Executive Pay Breakdown'!AA:AA,$B210,'Executive Pay Breakdown'!AC:AC)</f>
        <v>18563889</v>
      </c>
      <c r="E210" s="109"/>
      <c r="F210" s="69">
        <f>SUMIF('Executive Pay Breakdown'!K:K,$B210,'Executive Pay Breakdown'!M:M)</f>
        <v>0</v>
      </c>
      <c r="G210" s="69">
        <f>SUMIF('Executive Pay Breakdown'!O:O,$B210,'Executive Pay Breakdown'!Q:Q)</f>
        <v>3818454</v>
      </c>
      <c r="H210" s="69">
        <f>SUMIF('Executive Pay Breakdown'!S:S,$B210,'Executive Pay Breakdown'!U:U)</f>
        <v>4566727</v>
      </c>
      <c r="I210" s="69">
        <f>SUMIF('Executive Pay Breakdown'!W:W,$B210,'Executive Pay Breakdown'!Y:Y)</f>
        <v>6511418</v>
      </c>
      <c r="J210" s="69">
        <f>SUMIF('Executive Pay Breakdown'!AA:AA,$B210,'Executive Pay Breakdown'!AC:AC)</f>
        <v>3667290</v>
      </c>
      <c r="K210" s="90"/>
      <c r="L210" s="212"/>
      <c r="M210" s="87"/>
      <c r="N210" s="87"/>
      <c r="O210" s="120">
        <f>MATCH(C210,'Key Findings'!B:B,0)</f>
        <v>38</v>
      </c>
    </row>
    <row r="211">
      <c r="A211" s="62"/>
      <c r="B211" s="86" t="s">
        <v>432</v>
      </c>
      <c r="C211" s="87" t="s">
        <v>32</v>
      </c>
      <c r="D211" s="89">
        <f>SUMIF('Executive Pay Breakdown'!K:K,$B211,'Executive Pay Breakdown'!M:M)+SUMIF('Executive Pay Breakdown'!O:O,$B211,'Executive Pay Breakdown'!Q:Q)+SUMIF('Executive Pay Breakdown'!S:S,$B211,'Executive Pay Breakdown'!U:U)+SUMIF('Executive Pay Breakdown'!W:W,$B211,'Executive Pay Breakdown'!Y:Y)+SUMIF('Executive Pay Breakdown'!AA:AA,$B211,'Executive Pay Breakdown'!AC:AC)</f>
        <v>18553296</v>
      </c>
      <c r="E211" s="109"/>
      <c r="F211" s="69">
        <f>SUMIF('Executive Pay Breakdown'!K:K,$B211,'Executive Pay Breakdown'!M:M)</f>
        <v>0</v>
      </c>
      <c r="G211" s="69">
        <f>SUMIF('Executive Pay Breakdown'!O:O,$B211,'Executive Pay Breakdown'!Q:Q)</f>
        <v>0</v>
      </c>
      <c r="H211" s="69">
        <f>SUMIF('Executive Pay Breakdown'!S:S,$B211,'Executive Pay Breakdown'!U:U)</f>
        <v>0</v>
      </c>
      <c r="I211" s="69">
        <f>SUMIF('Executive Pay Breakdown'!W:W,$B211,'Executive Pay Breakdown'!Y:Y)</f>
        <v>0</v>
      </c>
      <c r="J211" s="69">
        <f>SUMIF('Executive Pay Breakdown'!AA:AA,$B211,'Executive Pay Breakdown'!AC:AC)</f>
        <v>18553296</v>
      </c>
      <c r="K211" s="90"/>
      <c r="L211" s="212"/>
      <c r="M211" s="87"/>
      <c r="N211" s="87"/>
      <c r="O211" s="120">
        <f>MATCH(C211,'Key Findings'!B:B,0)</f>
        <v>26</v>
      </c>
    </row>
    <row r="212">
      <c r="A212" s="62"/>
      <c r="B212" s="86" t="s">
        <v>346</v>
      </c>
      <c r="C212" s="87" t="s">
        <v>77</v>
      </c>
      <c r="D212" s="89">
        <f>SUMIF('Executive Pay Breakdown'!K:K,$B212,'Executive Pay Breakdown'!M:M)+SUMIF('Executive Pay Breakdown'!O:O,$B212,'Executive Pay Breakdown'!Q:Q)+SUMIF('Executive Pay Breakdown'!S:S,$B212,'Executive Pay Breakdown'!U:U)+SUMIF('Executive Pay Breakdown'!W:W,$B212,'Executive Pay Breakdown'!Y:Y)+SUMIF('Executive Pay Breakdown'!AA:AA,$B212,'Executive Pay Breakdown'!AC:AC)</f>
        <v>18353804</v>
      </c>
      <c r="E212" s="109"/>
      <c r="F212" s="69">
        <f>SUMIF('Executive Pay Breakdown'!K:K,$B212,'Executive Pay Breakdown'!M:M)</f>
        <v>0</v>
      </c>
      <c r="G212" s="69">
        <f>SUMIF('Executive Pay Breakdown'!O:O,$B212,'Executive Pay Breakdown'!Q:Q)</f>
        <v>3662566</v>
      </c>
      <c r="H212" s="69">
        <f>SUMIF('Executive Pay Breakdown'!S:S,$B212,'Executive Pay Breakdown'!U:U)</f>
        <v>5682742</v>
      </c>
      <c r="I212" s="69">
        <f>SUMIF('Executive Pay Breakdown'!W:W,$B212,'Executive Pay Breakdown'!Y:Y)</f>
        <v>5242014</v>
      </c>
      <c r="J212" s="69">
        <f>SUMIF('Executive Pay Breakdown'!AA:AA,$B212,'Executive Pay Breakdown'!AC:AC)</f>
        <v>3766482</v>
      </c>
      <c r="K212" s="90"/>
      <c r="L212" s="212"/>
      <c r="M212" s="87"/>
      <c r="N212" s="87"/>
      <c r="O212" s="120">
        <f>MATCH(C212,'Key Findings'!B:B,0)</f>
        <v>40</v>
      </c>
    </row>
    <row r="213">
      <c r="A213" s="71"/>
      <c r="B213" s="124" t="s">
        <v>369</v>
      </c>
      <c r="C213" s="87" t="s">
        <v>55</v>
      </c>
      <c r="D213" s="89">
        <f>SUMIF('Executive Pay Breakdown'!K:K,$B213,'Executive Pay Breakdown'!M:M)+SUMIF('Executive Pay Breakdown'!O:O,$B213,'Executive Pay Breakdown'!Q:Q)+SUMIF('Executive Pay Breakdown'!S:S,$B213,'Executive Pay Breakdown'!U:U)+SUMIF('Executive Pay Breakdown'!W:W,$B213,'Executive Pay Breakdown'!Y:Y)+SUMIF('Executive Pay Breakdown'!AA:AA,$B213,'Executive Pay Breakdown'!AC:AC)</f>
        <v>18092567</v>
      </c>
      <c r="E213" s="109"/>
      <c r="F213" s="69">
        <f>SUMIF('Executive Pay Breakdown'!K:K,$B213,'Executive Pay Breakdown'!M:M)</f>
        <v>0</v>
      </c>
      <c r="G213" s="69">
        <f>SUMIF('Executive Pay Breakdown'!O:O,$B213,'Executive Pay Breakdown'!Q:Q)</f>
        <v>0</v>
      </c>
      <c r="H213" s="69">
        <f>SUMIF('Executive Pay Breakdown'!S:S,$B213,'Executive Pay Breakdown'!U:U)</f>
        <v>5927741</v>
      </c>
      <c r="I213" s="69">
        <f>SUMIF('Executive Pay Breakdown'!W:W,$B213,'Executive Pay Breakdown'!Y:Y)</f>
        <v>6531163</v>
      </c>
      <c r="J213" s="69">
        <f>SUMIF('Executive Pay Breakdown'!AA:AA,$B213,'Executive Pay Breakdown'!AC:AC)</f>
        <v>5633663</v>
      </c>
      <c r="K213" s="90"/>
      <c r="L213" s="212"/>
      <c r="M213" s="87"/>
      <c r="N213" s="87"/>
      <c r="O213" s="120">
        <f>MATCH(C213,'Key Findings'!B:B,0)</f>
        <v>20</v>
      </c>
    </row>
    <row r="214">
      <c r="A214" s="71"/>
      <c r="B214" s="124" t="s">
        <v>438</v>
      </c>
      <c r="C214" s="87" t="s">
        <v>58</v>
      </c>
      <c r="D214" s="89">
        <f>SUMIF('Executive Pay Breakdown'!K:K,$B214,'Executive Pay Breakdown'!M:M)+SUMIF('Executive Pay Breakdown'!O:O,$B214,'Executive Pay Breakdown'!Q:Q)+SUMIF('Executive Pay Breakdown'!S:S,$B214,'Executive Pay Breakdown'!U:U)+SUMIF('Executive Pay Breakdown'!W:W,$B214,'Executive Pay Breakdown'!Y:Y)+SUMIF('Executive Pay Breakdown'!AA:AA,$B214,'Executive Pay Breakdown'!AC:AC)</f>
        <v>18058962</v>
      </c>
      <c r="E214" s="109"/>
      <c r="F214" s="69">
        <f>SUMIF('Executive Pay Breakdown'!K:K,$B214,'Executive Pay Breakdown'!M:M)</f>
        <v>6286091</v>
      </c>
      <c r="G214" s="69">
        <f>SUMIF('Executive Pay Breakdown'!O:O,$B214,'Executive Pay Breakdown'!Q:Q)</f>
        <v>4596942</v>
      </c>
      <c r="H214" s="69">
        <f>SUMIF('Executive Pay Breakdown'!S:S,$B214,'Executive Pay Breakdown'!U:U)</f>
        <v>3671753</v>
      </c>
      <c r="I214" s="69">
        <f>SUMIF('Executive Pay Breakdown'!W:W,$B214,'Executive Pay Breakdown'!Y:Y)</f>
        <v>3504176</v>
      </c>
      <c r="J214" s="69">
        <f>SUMIF('Executive Pay Breakdown'!AA:AA,$B214,'Executive Pay Breakdown'!AC:AC)</f>
        <v>0</v>
      </c>
      <c r="K214" s="90"/>
      <c r="L214" s="212"/>
      <c r="M214" s="87"/>
      <c r="N214" s="230"/>
      <c r="O214" s="120">
        <f>MATCH(C214,'Key Findings'!B:B,0)</f>
        <v>27</v>
      </c>
    </row>
    <row r="215">
      <c r="A215" s="62"/>
      <c r="B215" s="86" t="s">
        <v>434</v>
      </c>
      <c r="C215" s="87" t="s">
        <v>39</v>
      </c>
      <c r="D215" s="89">
        <f>SUMIF('Executive Pay Breakdown'!K:K,$B215,'Executive Pay Breakdown'!M:M)+SUMIF('Executive Pay Breakdown'!O:O,$B215,'Executive Pay Breakdown'!Q:Q)+SUMIF('Executive Pay Breakdown'!S:S,$B215,'Executive Pay Breakdown'!U:U)+SUMIF('Executive Pay Breakdown'!W:W,$B215,'Executive Pay Breakdown'!Y:Y)+SUMIF('Executive Pay Breakdown'!AA:AA,$B215,'Executive Pay Breakdown'!AC:AC)</f>
        <v>18026398</v>
      </c>
      <c r="E215" s="109"/>
      <c r="F215" s="69">
        <f>SUMIF('Executive Pay Breakdown'!K:K,$B215,'Executive Pay Breakdown'!M:M)</f>
        <v>6888316</v>
      </c>
      <c r="G215" s="69">
        <f>SUMIF('Executive Pay Breakdown'!O:O,$B215,'Executive Pay Breakdown'!Q:Q)</f>
        <v>11138082</v>
      </c>
      <c r="H215" s="69">
        <f>SUMIF('Executive Pay Breakdown'!S:S,$B215,'Executive Pay Breakdown'!U:U)</f>
        <v>0</v>
      </c>
      <c r="I215" s="69">
        <f>SUMIF('Executive Pay Breakdown'!W:W,$B215,'Executive Pay Breakdown'!Y:Y)</f>
        <v>0</v>
      </c>
      <c r="J215" s="69">
        <f>SUMIF('Executive Pay Breakdown'!AA:AA,$B215,'Executive Pay Breakdown'!AC:AC)</f>
        <v>0</v>
      </c>
      <c r="K215" s="90"/>
      <c r="L215" s="212"/>
      <c r="M215" s="212"/>
      <c r="N215" s="230"/>
      <c r="O215" s="120">
        <f>MATCH(C215,'Key Findings'!B:B,0)</f>
        <v>57</v>
      </c>
    </row>
    <row r="216">
      <c r="A216" s="62"/>
      <c r="B216" s="86" t="s">
        <v>250</v>
      </c>
      <c r="C216" s="233" t="s">
        <v>62</v>
      </c>
      <c r="D216" s="89">
        <f>SUMIF('Executive Pay Breakdown'!K:K,$B216,'Executive Pay Breakdown'!M:M)+SUMIF('Executive Pay Breakdown'!O:O,$B216,'Executive Pay Breakdown'!Q:Q)+SUMIF('Executive Pay Breakdown'!S:S,$B216,'Executive Pay Breakdown'!U:U)+SUMIF('Executive Pay Breakdown'!W:W,$B216,'Executive Pay Breakdown'!Y:Y)+SUMIF('Executive Pay Breakdown'!AA:AA,$B216,'Executive Pay Breakdown'!AC:AC)</f>
        <v>17814072</v>
      </c>
      <c r="E216" s="109"/>
      <c r="F216" s="69">
        <f>SUMIF('Executive Pay Breakdown'!K:K,$B216,'Executive Pay Breakdown'!M:M)</f>
        <v>3754251</v>
      </c>
      <c r="G216" s="69">
        <f>SUMIF('Executive Pay Breakdown'!O:O,$B216,'Executive Pay Breakdown'!Q:Q)</f>
        <v>3787097</v>
      </c>
      <c r="H216" s="69">
        <f>SUMIF('Executive Pay Breakdown'!S:S,$B216,'Executive Pay Breakdown'!U:U)</f>
        <v>3251312</v>
      </c>
      <c r="I216" s="69">
        <f>SUMIF('Executive Pay Breakdown'!W:W,$B216,'Executive Pay Breakdown'!Y:Y)</f>
        <v>3445957</v>
      </c>
      <c r="J216" s="69">
        <f>SUMIF('Executive Pay Breakdown'!AA:AA,$B216,'Executive Pay Breakdown'!AC:AC)</f>
        <v>3575455</v>
      </c>
      <c r="K216" s="90"/>
      <c r="L216" s="212"/>
      <c r="M216" s="87"/>
      <c r="N216" s="230">
        <f>F216/J216-1</f>
        <v>0.05000650267</v>
      </c>
      <c r="O216" s="120">
        <f>MATCH(C216,'Key Findings'!B:B,0)</f>
        <v>28</v>
      </c>
    </row>
    <row r="217">
      <c r="A217" s="62"/>
      <c r="B217" s="86" t="s">
        <v>508</v>
      </c>
      <c r="C217" s="233" t="s">
        <v>61</v>
      </c>
      <c r="D217" s="89">
        <f>SUMIF('Executive Pay Breakdown'!K:K,$B217,'Executive Pay Breakdown'!M:M)+SUMIF('Executive Pay Breakdown'!O:O,$B217,'Executive Pay Breakdown'!Q:Q)+SUMIF('Executive Pay Breakdown'!S:S,$B217,'Executive Pay Breakdown'!U:U)+SUMIF('Executive Pay Breakdown'!W:W,$B217,'Executive Pay Breakdown'!Y:Y)+SUMIF('Executive Pay Breakdown'!AA:AA,$B217,'Executive Pay Breakdown'!AC:AC)</f>
        <v>17767511</v>
      </c>
      <c r="E217" s="109"/>
      <c r="F217" s="69">
        <f>SUMIF('Executive Pay Breakdown'!K:K,$B217,'Executive Pay Breakdown'!M:M)</f>
        <v>0</v>
      </c>
      <c r="G217" s="69">
        <f>SUMIF('Executive Pay Breakdown'!O:O,$B217,'Executive Pay Breakdown'!Q:Q)</f>
        <v>0</v>
      </c>
      <c r="H217" s="69">
        <f>SUMIF('Executive Pay Breakdown'!S:S,$B217,'Executive Pay Breakdown'!U:U)</f>
        <v>6355678</v>
      </c>
      <c r="I217" s="69">
        <f>SUMIF('Executive Pay Breakdown'!W:W,$B217,'Executive Pay Breakdown'!Y:Y)</f>
        <v>6039497</v>
      </c>
      <c r="J217" s="69">
        <f>SUMIF('Executive Pay Breakdown'!AA:AA,$B217,'Executive Pay Breakdown'!AC:AC)</f>
        <v>5372336</v>
      </c>
      <c r="K217" s="90"/>
      <c r="L217" s="212"/>
      <c r="M217" s="87"/>
      <c r="N217" s="87"/>
      <c r="O217" s="120">
        <f>MATCH(C217,'Key Findings'!B:B,0)</f>
        <v>22</v>
      </c>
    </row>
    <row r="218">
      <c r="A218" s="62"/>
      <c r="B218" s="86" t="s">
        <v>392</v>
      </c>
      <c r="C218" s="87" t="s">
        <v>33</v>
      </c>
      <c r="D218" s="89">
        <f>SUMIF('Executive Pay Breakdown'!K:K,$B218,'Executive Pay Breakdown'!M:M)+SUMIF('Executive Pay Breakdown'!O:O,$B218,'Executive Pay Breakdown'!Q:Q)+SUMIF('Executive Pay Breakdown'!S:S,$B218,'Executive Pay Breakdown'!U:U)+SUMIF('Executive Pay Breakdown'!W:W,$B218,'Executive Pay Breakdown'!Y:Y)+SUMIF('Executive Pay Breakdown'!AA:AA,$B218,'Executive Pay Breakdown'!AC:AC)</f>
        <v>17732026</v>
      </c>
      <c r="E218" s="109"/>
      <c r="F218" s="69">
        <f>SUMIF('Executive Pay Breakdown'!K:K,$B218,'Executive Pay Breakdown'!M:M)</f>
        <v>5563883</v>
      </c>
      <c r="G218" s="69">
        <f>SUMIF('Executive Pay Breakdown'!O:O,$B218,'Executive Pay Breakdown'!Q:Q)</f>
        <v>6295216</v>
      </c>
      <c r="H218" s="69">
        <f>SUMIF('Executive Pay Breakdown'!S:S,$B218,'Executive Pay Breakdown'!U:U)</f>
        <v>3014353</v>
      </c>
      <c r="I218" s="69">
        <f>SUMIF('Executive Pay Breakdown'!W:W,$B218,'Executive Pay Breakdown'!Y:Y)</f>
        <v>2858574</v>
      </c>
      <c r="J218" s="69">
        <f>SUMIF('Executive Pay Breakdown'!AA:AA,$B218,'Executive Pay Breakdown'!AC:AC)</f>
        <v>0</v>
      </c>
      <c r="K218" s="90"/>
      <c r="L218" s="212"/>
      <c r="M218" s="87"/>
      <c r="N218" s="230"/>
      <c r="O218" s="120">
        <f>MATCH(C218,'Key Findings'!B:B,0)</f>
        <v>33</v>
      </c>
    </row>
    <row r="219">
      <c r="A219" s="62"/>
      <c r="B219" s="86" t="s">
        <v>184</v>
      </c>
      <c r="C219" s="87" t="s">
        <v>33</v>
      </c>
      <c r="D219" s="89">
        <f>SUMIF('Executive Pay Breakdown'!K:K,$B219,'Executive Pay Breakdown'!M:M)+SUMIF('Executive Pay Breakdown'!O:O,$B219,'Executive Pay Breakdown'!Q:Q)+SUMIF('Executive Pay Breakdown'!S:S,$B219,'Executive Pay Breakdown'!U:U)+SUMIF('Executive Pay Breakdown'!W:W,$B219,'Executive Pay Breakdown'!Y:Y)+SUMIF('Executive Pay Breakdown'!AA:AA,$B219,'Executive Pay Breakdown'!AC:AC)</f>
        <v>17688838</v>
      </c>
      <c r="E219" s="109"/>
      <c r="F219" s="69">
        <f>SUMIF('Executive Pay Breakdown'!K:K,$B219,'Executive Pay Breakdown'!M:M)</f>
        <v>3841749</v>
      </c>
      <c r="G219" s="69">
        <f>SUMIF('Executive Pay Breakdown'!O:O,$B219,'Executive Pay Breakdown'!Q:Q)</f>
        <v>5517074</v>
      </c>
      <c r="H219" s="69">
        <f>SUMIF('Executive Pay Breakdown'!S:S,$B219,'Executive Pay Breakdown'!U:U)</f>
        <v>2833102</v>
      </c>
      <c r="I219" s="69">
        <f>SUMIF('Executive Pay Breakdown'!W:W,$B219,'Executive Pay Breakdown'!Y:Y)</f>
        <v>3019451</v>
      </c>
      <c r="J219" s="69">
        <f>SUMIF('Executive Pay Breakdown'!AA:AA,$B219,'Executive Pay Breakdown'!AC:AC)</f>
        <v>2477462</v>
      </c>
      <c r="K219" s="90"/>
      <c r="L219" s="212"/>
      <c r="M219" s="87"/>
      <c r="N219" s="230">
        <f>F219/J219-1</f>
        <v>0.5506792839</v>
      </c>
      <c r="O219" s="120">
        <f>MATCH(C219,'Key Findings'!B:B,0)</f>
        <v>33</v>
      </c>
    </row>
    <row r="220">
      <c r="A220" s="62"/>
      <c r="B220" s="127" t="s">
        <v>412</v>
      </c>
      <c r="C220" s="87" t="s">
        <v>30</v>
      </c>
      <c r="D220" s="89">
        <f>SUMIF('Executive Pay Breakdown'!K:K,$B220,'Executive Pay Breakdown'!M:M)+SUMIF('Executive Pay Breakdown'!O:O,$B220,'Executive Pay Breakdown'!Q:Q)+SUMIF('Executive Pay Breakdown'!S:S,$B220,'Executive Pay Breakdown'!U:U)+SUMIF('Executive Pay Breakdown'!W:W,$B220,'Executive Pay Breakdown'!Y:Y)+SUMIF('Executive Pay Breakdown'!AA:AA,$B220,'Executive Pay Breakdown'!AC:AC)</f>
        <v>17624088</v>
      </c>
      <c r="E220" s="109"/>
      <c r="F220" s="69">
        <f>SUMIF('Executive Pay Breakdown'!K:K,$B220,'Executive Pay Breakdown'!M:M)</f>
        <v>0</v>
      </c>
      <c r="G220" s="69">
        <f>SUMIF('Executive Pay Breakdown'!O:O,$B220,'Executive Pay Breakdown'!Q:Q)</f>
        <v>4809501</v>
      </c>
      <c r="H220" s="69">
        <f>SUMIF('Executive Pay Breakdown'!S:S,$B220,'Executive Pay Breakdown'!U:U)</f>
        <v>5050659</v>
      </c>
      <c r="I220" s="69">
        <f>SUMIF('Executive Pay Breakdown'!W:W,$B220,'Executive Pay Breakdown'!Y:Y)</f>
        <v>4347440</v>
      </c>
      <c r="J220" s="69">
        <f>SUMIF('Executive Pay Breakdown'!AA:AA,$B220,'Executive Pay Breakdown'!AC:AC)</f>
        <v>3416488</v>
      </c>
      <c r="K220" s="90"/>
      <c r="L220" s="212"/>
      <c r="M220" s="87"/>
      <c r="N220" s="87"/>
      <c r="O220" s="120">
        <f>MATCH(C220,'Key Findings'!B:B,0)</f>
        <v>49</v>
      </c>
    </row>
    <row r="221">
      <c r="A221" s="71"/>
      <c r="B221" s="141" t="s">
        <v>492</v>
      </c>
      <c r="C221" s="87" t="s">
        <v>16</v>
      </c>
      <c r="D221" s="89">
        <f>SUMIF('Executive Pay Breakdown'!K:K,$B221,'Executive Pay Breakdown'!M:M)+SUMIF('Executive Pay Breakdown'!O:O,$B221,'Executive Pay Breakdown'!Q:Q)+SUMIF('Executive Pay Breakdown'!S:S,$B221,'Executive Pay Breakdown'!U:U)+SUMIF('Executive Pay Breakdown'!W:W,$B221,'Executive Pay Breakdown'!Y:Y)+SUMIF('Executive Pay Breakdown'!AA:AA,$B221,'Executive Pay Breakdown'!AC:AC)</f>
        <v>17590023</v>
      </c>
      <c r="E221" s="109"/>
      <c r="F221" s="69">
        <f>SUMIF('Executive Pay Breakdown'!K:K,$B221,'Executive Pay Breakdown'!M:M)</f>
        <v>6904506</v>
      </c>
      <c r="G221" s="69">
        <f>SUMIF('Executive Pay Breakdown'!O:O,$B221,'Executive Pay Breakdown'!Q:Q)</f>
        <v>5329418</v>
      </c>
      <c r="H221" s="69">
        <f>SUMIF('Executive Pay Breakdown'!S:S,$B221,'Executive Pay Breakdown'!U:U)</f>
        <v>5356099</v>
      </c>
      <c r="I221" s="69">
        <f>SUMIF('Executive Pay Breakdown'!W:W,$B221,'Executive Pay Breakdown'!Y:Y)</f>
        <v>0</v>
      </c>
      <c r="J221" s="69">
        <f>SUMIF('Executive Pay Breakdown'!AA:AA,$B221,'Executive Pay Breakdown'!AC:AC)</f>
        <v>0</v>
      </c>
      <c r="K221" s="90"/>
      <c r="L221" s="212"/>
      <c r="M221" s="87"/>
      <c r="N221" s="230"/>
      <c r="O221" s="120">
        <f>MATCH(C221,'Key Findings'!B:B,0)</f>
        <v>12</v>
      </c>
    </row>
    <row r="222">
      <c r="A222" s="81"/>
      <c r="B222" s="137" t="s">
        <v>325</v>
      </c>
      <c r="C222" s="87" t="str">
        <f t="array" ref="C222">INDEX('Executive Pay Breakdown'!B:B,MATCH(B222,'Executive Pay Breakdown'!K:K,0))</f>
        <v>PPG Industries</v>
      </c>
      <c r="D222" s="89">
        <f>SUMIF('Executive Pay Breakdown'!K:K,$B222,'Executive Pay Breakdown'!M:M)+SUMIF('Executive Pay Breakdown'!O:O,$B222,'Executive Pay Breakdown'!Q:Q)+SUMIF('Executive Pay Breakdown'!S:S,$B222,'Executive Pay Breakdown'!U:U)+SUMIF('Executive Pay Breakdown'!W:W,$B222,'Executive Pay Breakdown'!Y:Y)+SUMIF('Executive Pay Breakdown'!AA:AA,$B222,'Executive Pay Breakdown'!AC:AC)</f>
        <v>17571342</v>
      </c>
      <c r="E222" s="109"/>
      <c r="F222" s="69">
        <f>SUMIF('Executive Pay Breakdown'!K:K,$B222,'Executive Pay Breakdown'!M:M)</f>
        <v>2745470</v>
      </c>
      <c r="G222" s="69">
        <f>SUMIF('Executive Pay Breakdown'!O:O,$B222,'Executive Pay Breakdown'!Q:Q)</f>
        <v>3739616</v>
      </c>
      <c r="H222" s="69">
        <f>SUMIF('Executive Pay Breakdown'!S:S,$B222,'Executive Pay Breakdown'!U:U)</f>
        <v>4949859</v>
      </c>
      <c r="I222" s="69">
        <f>SUMIF('Executive Pay Breakdown'!W:W,$B222,'Executive Pay Breakdown'!Y:Y)</f>
        <v>3800131</v>
      </c>
      <c r="J222" s="69">
        <f>SUMIF('Executive Pay Breakdown'!AA:AA,$B222,'Executive Pay Breakdown'!AC:AC)</f>
        <v>2336266</v>
      </c>
      <c r="K222" s="90"/>
      <c r="L222" s="212"/>
      <c r="M222" s="87"/>
      <c r="N222" s="230"/>
      <c r="O222" s="120">
        <f>MATCH(C222,'Key Findings'!B:B,0)</f>
        <v>50</v>
      </c>
    </row>
    <row r="223">
      <c r="A223" s="62"/>
      <c r="B223" s="127" t="s">
        <v>365</v>
      </c>
      <c r="C223" s="87" t="s">
        <v>13</v>
      </c>
      <c r="D223" s="89">
        <f>SUMIF('Executive Pay Breakdown'!K:K,$B223,'Executive Pay Breakdown'!M:M)+SUMIF('Executive Pay Breakdown'!O:O,$B223,'Executive Pay Breakdown'!Q:Q)+SUMIF('Executive Pay Breakdown'!S:S,$B223,'Executive Pay Breakdown'!U:U)+SUMIF('Executive Pay Breakdown'!W:W,$B223,'Executive Pay Breakdown'!Y:Y)+SUMIF('Executive Pay Breakdown'!AA:AA,$B223,'Executive Pay Breakdown'!AC:AC)</f>
        <v>17529640</v>
      </c>
      <c r="E223" s="109"/>
      <c r="F223" s="69">
        <f>SUMIF('Executive Pay Breakdown'!K:K,$B223,'Executive Pay Breakdown'!M:M)</f>
        <v>0</v>
      </c>
      <c r="G223" s="69">
        <f>SUMIF('Executive Pay Breakdown'!O:O,$B223,'Executive Pay Breakdown'!Q:Q)</f>
        <v>9753263</v>
      </c>
      <c r="H223" s="69">
        <f>SUMIF('Executive Pay Breakdown'!S:S,$B223,'Executive Pay Breakdown'!U:U)</f>
        <v>7776377</v>
      </c>
      <c r="I223" s="69">
        <f>SUMIF('Executive Pay Breakdown'!W:W,$B223,'Executive Pay Breakdown'!Y:Y)</f>
        <v>0</v>
      </c>
      <c r="J223" s="69">
        <f>SUMIF('Executive Pay Breakdown'!AA:AA,$B223,'Executive Pay Breakdown'!AC:AC)</f>
        <v>0</v>
      </c>
      <c r="K223" s="90"/>
      <c r="L223" s="212"/>
      <c r="M223" s="87"/>
      <c r="N223" s="87"/>
      <c r="O223" s="120">
        <f>MATCH(C223,'Key Findings'!B:B,0)</f>
        <v>11</v>
      </c>
    </row>
    <row r="224">
      <c r="A224" s="62"/>
      <c r="B224" s="86" t="s">
        <v>433</v>
      </c>
      <c r="C224" s="87" t="s">
        <v>37</v>
      </c>
      <c r="D224" s="89">
        <f>SUMIF('Executive Pay Breakdown'!K:K,$B224,'Executive Pay Breakdown'!M:M)+SUMIF('Executive Pay Breakdown'!O:O,$B224,'Executive Pay Breakdown'!Q:Q)+SUMIF('Executive Pay Breakdown'!S:S,$B224,'Executive Pay Breakdown'!U:U)+SUMIF('Executive Pay Breakdown'!W:W,$B224,'Executive Pay Breakdown'!Y:Y)+SUMIF('Executive Pay Breakdown'!AA:AA,$B224,'Executive Pay Breakdown'!AC:AC)</f>
        <v>17515606</v>
      </c>
      <c r="E224" s="109"/>
      <c r="F224" s="69">
        <f>SUMIF('Executive Pay Breakdown'!K:K,$B224,'Executive Pay Breakdown'!M:M)</f>
        <v>0</v>
      </c>
      <c r="G224" s="69">
        <f>SUMIF('Executive Pay Breakdown'!O:O,$B224,'Executive Pay Breakdown'!Q:Q)</f>
        <v>4197328</v>
      </c>
      <c r="H224" s="69">
        <f>SUMIF('Executive Pay Breakdown'!S:S,$B224,'Executive Pay Breakdown'!U:U)</f>
        <v>5148755</v>
      </c>
      <c r="I224" s="69">
        <f>SUMIF('Executive Pay Breakdown'!W:W,$B224,'Executive Pay Breakdown'!Y:Y)</f>
        <v>5420963</v>
      </c>
      <c r="J224" s="69">
        <f>SUMIF('Executive Pay Breakdown'!AA:AA,$B224,'Executive Pay Breakdown'!AC:AC)</f>
        <v>2748560</v>
      </c>
      <c r="K224" s="90"/>
      <c r="L224" s="212"/>
      <c r="M224" s="87"/>
      <c r="N224" s="87"/>
      <c r="O224" s="120">
        <f>MATCH(C224,'Key Findings'!B:B,0)</f>
        <v>44</v>
      </c>
    </row>
    <row r="225">
      <c r="A225" s="81"/>
      <c r="B225" s="135" t="s">
        <v>397</v>
      </c>
      <c r="C225" s="87" t="s">
        <v>49</v>
      </c>
      <c r="D225" s="89">
        <f>SUMIF('Executive Pay Breakdown'!K:K,$B225,'Executive Pay Breakdown'!M:M)+SUMIF('Executive Pay Breakdown'!O:O,$B225,'Executive Pay Breakdown'!Q:Q)+SUMIF('Executive Pay Breakdown'!S:S,$B225,'Executive Pay Breakdown'!U:U)+SUMIF('Executive Pay Breakdown'!W:W,$B225,'Executive Pay Breakdown'!Y:Y)+SUMIF('Executive Pay Breakdown'!AA:AA,$B225,'Executive Pay Breakdown'!AC:AC)</f>
        <v>17255662</v>
      </c>
      <c r="E225" s="109"/>
      <c r="F225" s="69">
        <f>SUMIF('Executive Pay Breakdown'!K:K,$B225,'Executive Pay Breakdown'!M:M)</f>
        <v>9746405</v>
      </c>
      <c r="G225" s="69">
        <f>SUMIF('Executive Pay Breakdown'!O:O,$B225,'Executive Pay Breakdown'!Q:Q)</f>
        <v>7509257</v>
      </c>
      <c r="H225" s="69">
        <f>SUMIF('Executive Pay Breakdown'!S:S,$B225,'Executive Pay Breakdown'!U:U)</f>
        <v>0</v>
      </c>
      <c r="I225" s="69">
        <f>SUMIF('Executive Pay Breakdown'!W:W,$B225,'Executive Pay Breakdown'!Y:Y)</f>
        <v>0</v>
      </c>
      <c r="J225" s="69">
        <f>SUMIF('Executive Pay Breakdown'!AA:AA,$B225,'Executive Pay Breakdown'!AC:AC)</f>
        <v>0</v>
      </c>
      <c r="K225" s="90"/>
      <c r="L225" s="212"/>
      <c r="M225" s="212"/>
      <c r="N225" s="230"/>
      <c r="O225" s="120">
        <f>MATCH(C225,'Key Findings'!B:B,0)</f>
        <v>14</v>
      </c>
    </row>
    <row r="226">
      <c r="A226" s="81"/>
      <c r="B226" s="87" t="s">
        <v>461</v>
      </c>
      <c r="C226" s="87" t="s">
        <v>52</v>
      </c>
      <c r="D226" s="89">
        <f>SUMIF('Executive Pay Breakdown'!K:K,$B226,'Executive Pay Breakdown'!M:M)+SUMIF('Executive Pay Breakdown'!O:O,$B226,'Executive Pay Breakdown'!Q:Q)+SUMIF('Executive Pay Breakdown'!S:S,$B226,'Executive Pay Breakdown'!U:U)+SUMIF('Executive Pay Breakdown'!W:W,$B226,'Executive Pay Breakdown'!Y:Y)+SUMIF('Executive Pay Breakdown'!AA:AA,$B226,'Executive Pay Breakdown'!AC:AC)</f>
        <v>17064694</v>
      </c>
      <c r="E226" s="109"/>
      <c r="F226" s="69">
        <f>SUMIF('Executive Pay Breakdown'!K:K,$B226,'Executive Pay Breakdown'!M:M)</f>
        <v>5039331</v>
      </c>
      <c r="G226" s="69">
        <f>SUMIF('Executive Pay Breakdown'!O:O,$B226,'Executive Pay Breakdown'!Q:Q)</f>
        <v>6510389</v>
      </c>
      <c r="H226" s="69">
        <f>SUMIF('Executive Pay Breakdown'!S:S,$B226,'Executive Pay Breakdown'!U:U)</f>
        <v>5514974</v>
      </c>
      <c r="I226" s="69">
        <f>SUMIF('Executive Pay Breakdown'!W:W,$B226,'Executive Pay Breakdown'!Y:Y)</f>
        <v>0</v>
      </c>
      <c r="J226" s="69">
        <f>SUMIF('Executive Pay Breakdown'!AA:AA,$B226,'Executive Pay Breakdown'!AC:AC)</f>
        <v>0</v>
      </c>
      <c r="K226" s="90"/>
      <c r="L226" s="212"/>
      <c r="M226" s="87"/>
      <c r="N226" s="230"/>
      <c r="O226" s="120">
        <f>MATCH(C226,'Key Findings'!B:B,0)</f>
        <v>21</v>
      </c>
    </row>
    <row r="227">
      <c r="A227" s="62"/>
      <c r="B227" s="127" t="s">
        <v>252</v>
      </c>
      <c r="C227" s="87" t="s">
        <v>34</v>
      </c>
      <c r="D227" s="89">
        <f>SUMIF('Executive Pay Breakdown'!K:K,$B227,'Executive Pay Breakdown'!M:M)+SUMIF('Executive Pay Breakdown'!O:O,$B227,'Executive Pay Breakdown'!Q:Q)+SUMIF('Executive Pay Breakdown'!S:S,$B227,'Executive Pay Breakdown'!U:U)+SUMIF('Executive Pay Breakdown'!W:W,$B227,'Executive Pay Breakdown'!Y:Y)+SUMIF('Executive Pay Breakdown'!AA:AA,$B227,'Executive Pay Breakdown'!AC:AC)</f>
        <v>16916973</v>
      </c>
      <c r="E227" s="109"/>
      <c r="F227" s="69">
        <f>SUMIF('Executive Pay Breakdown'!K:K,$B227,'Executive Pay Breakdown'!M:M)</f>
        <v>3369474</v>
      </c>
      <c r="G227" s="69">
        <f>SUMIF('Executive Pay Breakdown'!O:O,$B227,'Executive Pay Breakdown'!Q:Q)</f>
        <v>3442338</v>
      </c>
      <c r="H227" s="69">
        <f>SUMIF('Executive Pay Breakdown'!S:S,$B227,'Executive Pay Breakdown'!U:U)</f>
        <v>3674009</v>
      </c>
      <c r="I227" s="69">
        <f>SUMIF('Executive Pay Breakdown'!W:W,$B227,'Executive Pay Breakdown'!Y:Y)</f>
        <v>3186440</v>
      </c>
      <c r="J227" s="69">
        <f>SUMIF('Executive Pay Breakdown'!AA:AA,$B227,'Executive Pay Breakdown'!AC:AC)</f>
        <v>3244712</v>
      </c>
      <c r="K227" s="90"/>
      <c r="L227" s="212"/>
      <c r="M227" s="87"/>
      <c r="N227" s="230">
        <f t="shared" ref="N227:N228" si="28">F227/J227-1</f>
        <v>0.03845087022</v>
      </c>
      <c r="O227" s="120">
        <f>MATCH(C227,'Key Findings'!B:B,0)</f>
        <v>34</v>
      </c>
    </row>
    <row r="228">
      <c r="A228" s="62"/>
      <c r="B228" s="86" t="s">
        <v>206</v>
      </c>
      <c r="C228" s="87" t="s">
        <v>46</v>
      </c>
      <c r="D228" s="89">
        <f>SUMIF('Executive Pay Breakdown'!K:K,$B228,'Executive Pay Breakdown'!M:M)+SUMIF('Executive Pay Breakdown'!O:O,$B228,'Executive Pay Breakdown'!Q:Q)+SUMIF('Executive Pay Breakdown'!S:S,$B228,'Executive Pay Breakdown'!U:U)+SUMIF('Executive Pay Breakdown'!W:W,$B228,'Executive Pay Breakdown'!Y:Y)+SUMIF('Executive Pay Breakdown'!AA:AA,$B228,'Executive Pay Breakdown'!AC:AC)</f>
        <v>16849870</v>
      </c>
      <c r="E228" s="109"/>
      <c r="F228" s="69">
        <f>SUMIF('Executive Pay Breakdown'!K:K,$B228,'Executive Pay Breakdown'!M:M)</f>
        <v>4060081</v>
      </c>
      <c r="G228" s="69">
        <f>SUMIF('Executive Pay Breakdown'!O:O,$B228,'Executive Pay Breakdown'!Q:Q)</f>
        <v>3802349</v>
      </c>
      <c r="H228" s="69">
        <f>SUMIF('Executive Pay Breakdown'!S:S,$B228,'Executive Pay Breakdown'!U:U)</f>
        <v>3074102</v>
      </c>
      <c r="I228" s="69">
        <f>SUMIF('Executive Pay Breakdown'!W:W,$B228,'Executive Pay Breakdown'!Y:Y)</f>
        <v>2897546</v>
      </c>
      <c r="J228" s="69">
        <f>SUMIF('Executive Pay Breakdown'!AA:AA,$B228,'Executive Pay Breakdown'!AC:AC)</f>
        <v>3015792</v>
      </c>
      <c r="K228" s="90"/>
      <c r="L228" s="212"/>
      <c r="M228" s="87"/>
      <c r="N228" s="230">
        <f t="shared" si="28"/>
        <v>0.3462735494</v>
      </c>
      <c r="O228" s="120">
        <f>MATCH(C228,'Key Findings'!B:B,0)</f>
        <v>43</v>
      </c>
    </row>
    <row r="229">
      <c r="A229" s="81"/>
      <c r="B229" s="136" t="s">
        <v>374</v>
      </c>
      <c r="C229" s="87" t="s">
        <v>24</v>
      </c>
      <c r="D229" s="89">
        <f>SUMIF('Executive Pay Breakdown'!K:K,$B229,'Executive Pay Breakdown'!M:M)+SUMIF('Executive Pay Breakdown'!O:O,$B229,'Executive Pay Breakdown'!Q:Q)+SUMIF('Executive Pay Breakdown'!S:S,$B229,'Executive Pay Breakdown'!U:U)+SUMIF('Executive Pay Breakdown'!W:W,$B229,'Executive Pay Breakdown'!Y:Y)+SUMIF('Executive Pay Breakdown'!AA:AA,$B229,'Executive Pay Breakdown'!AC:AC)</f>
        <v>16834340</v>
      </c>
      <c r="E229" s="109"/>
      <c r="F229" s="69">
        <f>SUMIF('Executive Pay Breakdown'!K:K,$B229,'Executive Pay Breakdown'!M:M)</f>
        <v>0</v>
      </c>
      <c r="G229" s="69">
        <f>SUMIF('Executive Pay Breakdown'!O:O,$B229,'Executive Pay Breakdown'!Q:Q)</f>
        <v>0</v>
      </c>
      <c r="H229" s="69">
        <f>SUMIF('Executive Pay Breakdown'!S:S,$B229,'Executive Pay Breakdown'!U:U)</f>
        <v>0</v>
      </c>
      <c r="I229" s="69">
        <f>SUMIF('Executive Pay Breakdown'!W:W,$B229,'Executive Pay Breakdown'!Y:Y)</f>
        <v>11018885</v>
      </c>
      <c r="J229" s="69">
        <f>SUMIF('Executive Pay Breakdown'!AA:AA,$B229,'Executive Pay Breakdown'!AC:AC)</f>
        <v>5815455</v>
      </c>
      <c r="K229" s="90"/>
      <c r="L229" s="212"/>
      <c r="M229" s="87"/>
      <c r="N229" s="87"/>
      <c r="O229" s="120">
        <f>MATCH(C229,'Key Findings'!B:B,0)</f>
        <v>15</v>
      </c>
    </row>
    <row r="230">
      <c r="A230" s="71"/>
      <c r="B230" s="124" t="s">
        <v>446</v>
      </c>
      <c r="C230" s="87" t="s">
        <v>58</v>
      </c>
      <c r="D230" s="89">
        <f>SUMIF('Executive Pay Breakdown'!K:K,$B230,'Executive Pay Breakdown'!M:M)+SUMIF('Executive Pay Breakdown'!O:O,$B230,'Executive Pay Breakdown'!Q:Q)+SUMIF('Executive Pay Breakdown'!S:S,$B230,'Executive Pay Breakdown'!U:U)+SUMIF('Executive Pay Breakdown'!W:W,$B230,'Executive Pay Breakdown'!Y:Y)+SUMIF('Executive Pay Breakdown'!AA:AA,$B230,'Executive Pay Breakdown'!AC:AC)</f>
        <v>16779363</v>
      </c>
      <c r="E230" s="109"/>
      <c r="F230" s="69">
        <f>SUMIF('Executive Pay Breakdown'!K:K,$B230,'Executive Pay Breakdown'!M:M)</f>
        <v>0</v>
      </c>
      <c r="G230" s="69">
        <f>SUMIF('Executive Pay Breakdown'!O:O,$B230,'Executive Pay Breakdown'!Q:Q)</f>
        <v>0</v>
      </c>
      <c r="H230" s="69">
        <f>SUMIF('Executive Pay Breakdown'!S:S,$B230,'Executive Pay Breakdown'!U:U)</f>
        <v>5429030</v>
      </c>
      <c r="I230" s="69">
        <f>SUMIF('Executive Pay Breakdown'!W:W,$B230,'Executive Pay Breakdown'!Y:Y)</f>
        <v>5665675</v>
      </c>
      <c r="J230" s="69">
        <f>SUMIF('Executive Pay Breakdown'!AA:AA,$B230,'Executive Pay Breakdown'!AC:AC)</f>
        <v>5684658</v>
      </c>
      <c r="K230" s="90"/>
      <c r="L230" s="212"/>
      <c r="M230" s="87"/>
      <c r="N230" s="87"/>
      <c r="O230" s="120">
        <f>MATCH(C230,'Key Findings'!B:B,0)</f>
        <v>27</v>
      </c>
    </row>
    <row r="231">
      <c r="A231" s="81"/>
      <c r="B231" s="136" t="s">
        <v>376</v>
      </c>
      <c r="C231" s="87" t="s">
        <v>24</v>
      </c>
      <c r="D231" s="89">
        <f>SUMIF('Executive Pay Breakdown'!K:K,$B231,'Executive Pay Breakdown'!M:M)+SUMIF('Executive Pay Breakdown'!O:O,$B231,'Executive Pay Breakdown'!Q:Q)+SUMIF('Executive Pay Breakdown'!S:S,$B231,'Executive Pay Breakdown'!U:U)+SUMIF('Executive Pay Breakdown'!W:W,$B231,'Executive Pay Breakdown'!Y:Y)+SUMIF('Executive Pay Breakdown'!AA:AA,$B231,'Executive Pay Breakdown'!AC:AC)</f>
        <v>16737241</v>
      </c>
      <c r="E231" s="109"/>
      <c r="F231" s="69">
        <f>SUMIF('Executive Pay Breakdown'!K:K,$B231,'Executive Pay Breakdown'!M:M)</f>
        <v>0</v>
      </c>
      <c r="G231" s="69">
        <f>SUMIF('Executive Pay Breakdown'!O:O,$B231,'Executive Pay Breakdown'!Q:Q)</f>
        <v>0</v>
      </c>
      <c r="H231" s="69">
        <f>SUMIF('Executive Pay Breakdown'!S:S,$B231,'Executive Pay Breakdown'!U:U)</f>
        <v>0</v>
      </c>
      <c r="I231" s="69">
        <f>SUMIF('Executive Pay Breakdown'!W:W,$B231,'Executive Pay Breakdown'!Y:Y)</f>
        <v>8317076</v>
      </c>
      <c r="J231" s="69">
        <f>SUMIF('Executive Pay Breakdown'!AA:AA,$B231,'Executive Pay Breakdown'!AC:AC)</f>
        <v>8420165</v>
      </c>
      <c r="K231" s="90"/>
      <c r="L231" s="212"/>
      <c r="M231" s="87"/>
      <c r="N231" s="87"/>
      <c r="O231" s="120">
        <f>MATCH(C231,'Key Findings'!B:B,0)</f>
        <v>15</v>
      </c>
    </row>
    <row r="232">
      <c r="A232" s="62"/>
      <c r="B232" s="86" t="s">
        <v>143</v>
      </c>
      <c r="C232" s="87" t="s">
        <v>45</v>
      </c>
      <c r="D232" s="89">
        <f>SUMIF('Executive Pay Breakdown'!K:K,$B232,'Executive Pay Breakdown'!M:M)+SUMIF('Executive Pay Breakdown'!O:O,$B232,'Executive Pay Breakdown'!Q:Q)+SUMIF('Executive Pay Breakdown'!S:S,$B232,'Executive Pay Breakdown'!U:U)+SUMIF('Executive Pay Breakdown'!W:W,$B232,'Executive Pay Breakdown'!Y:Y)+SUMIF('Executive Pay Breakdown'!AA:AA,$B232,'Executive Pay Breakdown'!AC:AC)</f>
        <v>16723757</v>
      </c>
      <c r="E232" s="109"/>
      <c r="F232" s="69">
        <f>SUMIF('Executive Pay Breakdown'!K:K,$B232,'Executive Pay Breakdown'!M:M)</f>
        <v>6060694</v>
      </c>
      <c r="G232" s="69">
        <f>SUMIF('Executive Pay Breakdown'!O:O,$B232,'Executive Pay Breakdown'!Q:Q)</f>
        <v>4107789</v>
      </c>
      <c r="H232" s="69">
        <f>SUMIF('Executive Pay Breakdown'!S:S,$B232,'Executive Pay Breakdown'!U:U)</f>
        <v>2385873</v>
      </c>
      <c r="I232" s="69">
        <f>SUMIF('Executive Pay Breakdown'!W:W,$B232,'Executive Pay Breakdown'!Y:Y)</f>
        <v>2272717</v>
      </c>
      <c r="J232" s="69">
        <f>SUMIF('Executive Pay Breakdown'!AA:AA,$B232,'Executive Pay Breakdown'!AC:AC)</f>
        <v>1896684</v>
      </c>
      <c r="K232" s="90"/>
      <c r="L232" s="212"/>
      <c r="M232" s="87"/>
      <c r="N232" s="230">
        <f t="shared" ref="N232:N233" si="29">F232/J232-1</f>
        <v>2.195415789</v>
      </c>
      <c r="O232" s="120">
        <f>MATCH(C232,'Key Findings'!B:B,0)</f>
        <v>60</v>
      </c>
    </row>
    <row r="233">
      <c r="A233" s="62"/>
      <c r="B233" s="86" t="s">
        <v>188</v>
      </c>
      <c r="C233" s="87" t="s">
        <v>33</v>
      </c>
      <c r="D233" s="89">
        <f>SUMIF('Executive Pay Breakdown'!K:K,$B233,'Executive Pay Breakdown'!M:M)+SUMIF('Executive Pay Breakdown'!O:O,$B233,'Executive Pay Breakdown'!Q:Q)+SUMIF('Executive Pay Breakdown'!S:S,$B233,'Executive Pay Breakdown'!U:U)+SUMIF('Executive Pay Breakdown'!W:W,$B233,'Executive Pay Breakdown'!Y:Y)+SUMIF('Executive Pay Breakdown'!AA:AA,$B233,'Executive Pay Breakdown'!AC:AC)</f>
        <v>16671268</v>
      </c>
      <c r="E233" s="109"/>
      <c r="F233" s="69">
        <f>SUMIF('Executive Pay Breakdown'!K:K,$B233,'Executive Pay Breakdown'!M:M)</f>
        <v>3791759</v>
      </c>
      <c r="G233" s="69">
        <f>SUMIF('Executive Pay Breakdown'!O:O,$B233,'Executive Pay Breakdown'!Q:Q)</f>
        <v>5403234</v>
      </c>
      <c r="H233" s="69">
        <f>SUMIF('Executive Pay Breakdown'!S:S,$B233,'Executive Pay Breakdown'!U:U)</f>
        <v>1987875</v>
      </c>
      <c r="I233" s="69">
        <f>SUMIF('Executive Pay Breakdown'!W:W,$B233,'Executive Pay Breakdown'!Y:Y)</f>
        <v>2965605</v>
      </c>
      <c r="J233" s="69">
        <f>SUMIF('Executive Pay Breakdown'!AA:AA,$B233,'Executive Pay Breakdown'!AC:AC)</f>
        <v>2522795</v>
      </c>
      <c r="K233" s="90"/>
      <c r="L233" s="212"/>
      <c r="M233" s="87"/>
      <c r="N233" s="230">
        <f t="shared" si="29"/>
        <v>0.5029992528</v>
      </c>
      <c r="O233" s="120">
        <f>MATCH(C233,'Key Findings'!B:B,0)</f>
        <v>33</v>
      </c>
    </row>
    <row r="234">
      <c r="A234" s="62"/>
      <c r="B234" s="125" t="s">
        <v>468</v>
      </c>
      <c r="C234" s="87" t="s">
        <v>29</v>
      </c>
      <c r="D234" s="89">
        <f>SUMIF('Executive Pay Breakdown'!K:K,$B234,'Executive Pay Breakdown'!M:M)+SUMIF('Executive Pay Breakdown'!O:O,$B234,'Executive Pay Breakdown'!Q:Q)+SUMIF('Executive Pay Breakdown'!S:S,$B234,'Executive Pay Breakdown'!U:U)+SUMIF('Executive Pay Breakdown'!W:W,$B234,'Executive Pay Breakdown'!Y:Y)+SUMIF('Executive Pay Breakdown'!AA:AA,$B234,'Executive Pay Breakdown'!AC:AC)</f>
        <v>16581688</v>
      </c>
      <c r="E234" s="109"/>
      <c r="F234" s="69">
        <f>SUMIF('Executive Pay Breakdown'!K:K,$B234,'Executive Pay Breakdown'!M:M)</f>
        <v>16581688</v>
      </c>
      <c r="G234" s="69">
        <f>SUMIF('Executive Pay Breakdown'!O:O,$B234,'Executive Pay Breakdown'!Q:Q)</f>
        <v>0</v>
      </c>
      <c r="H234" s="69">
        <f>SUMIF('Executive Pay Breakdown'!S:S,$B234,'Executive Pay Breakdown'!U:U)</f>
        <v>0</v>
      </c>
      <c r="I234" s="69">
        <f>SUMIF('Executive Pay Breakdown'!W:W,$B234,'Executive Pay Breakdown'!Y:Y)</f>
        <v>0</v>
      </c>
      <c r="J234" s="69">
        <f>SUMIF('Executive Pay Breakdown'!AA:AA,$B234,'Executive Pay Breakdown'!AC:AC)</f>
        <v>0</v>
      </c>
      <c r="K234" s="90"/>
      <c r="L234" s="212"/>
      <c r="M234" s="87"/>
      <c r="N234" s="230"/>
      <c r="O234" s="120">
        <f>MATCH(C234,'Key Findings'!B:B,0)</f>
        <v>13</v>
      </c>
    </row>
    <row r="235">
      <c r="A235" s="62"/>
      <c r="B235" s="86" t="s">
        <v>200</v>
      </c>
      <c r="C235" s="87" t="s">
        <v>37</v>
      </c>
      <c r="D235" s="89">
        <f>SUMIF('Executive Pay Breakdown'!K:K,$B235,'Executive Pay Breakdown'!M:M)+SUMIF('Executive Pay Breakdown'!O:O,$B235,'Executive Pay Breakdown'!Q:Q)+SUMIF('Executive Pay Breakdown'!S:S,$B235,'Executive Pay Breakdown'!U:U)+SUMIF('Executive Pay Breakdown'!W:W,$B235,'Executive Pay Breakdown'!Y:Y)+SUMIF('Executive Pay Breakdown'!AA:AA,$B235,'Executive Pay Breakdown'!AC:AC)</f>
        <v>16567144</v>
      </c>
      <c r="E235" s="109"/>
      <c r="F235" s="69">
        <f>SUMIF('Executive Pay Breakdown'!K:K,$B235,'Executive Pay Breakdown'!M:M)</f>
        <v>3606120</v>
      </c>
      <c r="G235" s="69">
        <f>SUMIF('Executive Pay Breakdown'!O:O,$B235,'Executive Pay Breakdown'!Q:Q)</f>
        <v>4041484</v>
      </c>
      <c r="H235" s="69">
        <f>SUMIF('Executive Pay Breakdown'!S:S,$B235,'Executive Pay Breakdown'!U:U)</f>
        <v>3062093</v>
      </c>
      <c r="I235" s="69">
        <f>SUMIF('Executive Pay Breakdown'!W:W,$B235,'Executive Pay Breakdown'!Y:Y)</f>
        <v>3260761</v>
      </c>
      <c r="J235" s="69">
        <f>SUMIF('Executive Pay Breakdown'!AA:AA,$B235,'Executive Pay Breakdown'!AC:AC)</f>
        <v>2596686</v>
      </c>
      <c r="K235" s="90"/>
      <c r="L235" s="212"/>
      <c r="M235" s="87"/>
      <c r="N235" s="230">
        <f>F235/J235-1</f>
        <v>0.3887393393</v>
      </c>
      <c r="O235" s="120">
        <f>MATCH(C235,'Key Findings'!B:B,0)</f>
        <v>44</v>
      </c>
    </row>
    <row r="236">
      <c r="A236" s="81"/>
      <c r="B236" s="137" t="s">
        <v>428</v>
      </c>
      <c r="C236" s="87" t="str">
        <f t="array" ref="C236">INDEX('Executive Pay Breakdown'!B:B,MATCH(B236,'Executive Pay Breakdown'!K:K,0))</f>
        <v>Reinsurance Group of America</v>
      </c>
      <c r="D236" s="89">
        <f>SUMIF('Executive Pay Breakdown'!K:K,$B236,'Executive Pay Breakdown'!M:M)+SUMIF('Executive Pay Breakdown'!O:O,$B236,'Executive Pay Breakdown'!Q:Q)+SUMIF('Executive Pay Breakdown'!S:S,$B236,'Executive Pay Breakdown'!U:U)+SUMIF('Executive Pay Breakdown'!W:W,$B236,'Executive Pay Breakdown'!Y:Y)+SUMIF('Executive Pay Breakdown'!AA:AA,$B236,'Executive Pay Breakdown'!AC:AC)</f>
        <v>16395812</v>
      </c>
      <c r="E236" s="109"/>
      <c r="F236" s="69">
        <f>SUMIF('Executive Pay Breakdown'!K:K,$B236,'Executive Pay Breakdown'!M:M)</f>
        <v>3912745</v>
      </c>
      <c r="G236" s="69">
        <f>SUMIF('Executive Pay Breakdown'!O:O,$B236,'Executive Pay Breakdown'!Q:Q)</f>
        <v>4428125</v>
      </c>
      <c r="H236" s="69">
        <f>SUMIF('Executive Pay Breakdown'!S:S,$B236,'Executive Pay Breakdown'!U:U)</f>
        <v>2913763</v>
      </c>
      <c r="I236" s="69">
        <f>SUMIF('Executive Pay Breakdown'!W:W,$B236,'Executive Pay Breakdown'!Y:Y)</f>
        <v>2806837</v>
      </c>
      <c r="J236" s="69">
        <f>SUMIF('Executive Pay Breakdown'!AA:AA,$B236,'Executive Pay Breakdown'!AC:AC)</f>
        <v>2334342</v>
      </c>
      <c r="K236" s="90"/>
      <c r="L236" s="212"/>
      <c r="M236" s="87"/>
      <c r="N236" s="230"/>
      <c r="O236" s="120">
        <f>MATCH(C236,'Key Findings'!B:B,0)</f>
        <v>9</v>
      </c>
    </row>
    <row r="237">
      <c r="A237" s="62"/>
      <c r="B237" s="125" t="s">
        <v>458</v>
      </c>
      <c r="C237" s="87" t="s">
        <v>51</v>
      </c>
      <c r="D237" s="89">
        <f>SUMIF('Executive Pay Breakdown'!K:K,$B237,'Executive Pay Breakdown'!M:M)+SUMIF('Executive Pay Breakdown'!O:O,$B237,'Executive Pay Breakdown'!Q:Q)+SUMIF('Executive Pay Breakdown'!S:S,$B237,'Executive Pay Breakdown'!U:U)+SUMIF('Executive Pay Breakdown'!W:W,$B237,'Executive Pay Breakdown'!Y:Y)+SUMIF('Executive Pay Breakdown'!AA:AA,$B237,'Executive Pay Breakdown'!AC:AC)</f>
        <v>16332249</v>
      </c>
      <c r="E237" s="109"/>
      <c r="F237" s="69">
        <f>SUMIF('Executive Pay Breakdown'!K:K,$B237,'Executive Pay Breakdown'!M:M)</f>
        <v>0</v>
      </c>
      <c r="G237" s="69">
        <f>SUMIF('Executive Pay Breakdown'!O:O,$B237,'Executive Pay Breakdown'!Q:Q)</f>
        <v>0</v>
      </c>
      <c r="H237" s="69">
        <f>SUMIF('Executive Pay Breakdown'!S:S,$B237,'Executive Pay Breakdown'!U:U)</f>
        <v>0</v>
      </c>
      <c r="I237" s="69">
        <f>SUMIF('Executive Pay Breakdown'!W:W,$B237,'Executive Pay Breakdown'!Y:Y)</f>
        <v>9173170</v>
      </c>
      <c r="J237" s="69">
        <f>SUMIF('Executive Pay Breakdown'!AA:AA,$B237,'Executive Pay Breakdown'!AC:AC)</f>
        <v>7159079</v>
      </c>
      <c r="K237" s="90"/>
      <c r="L237" s="212"/>
      <c r="M237" s="87"/>
      <c r="N237" s="87"/>
      <c r="O237" s="120">
        <f>MATCH(C237,'Key Findings'!B:B,0)</f>
        <v>16</v>
      </c>
    </row>
    <row r="238">
      <c r="A238" s="62"/>
      <c r="B238" s="127" t="s">
        <v>196</v>
      </c>
      <c r="C238" s="87" t="s">
        <v>64</v>
      </c>
      <c r="D238" s="89">
        <f>SUMIF('Executive Pay Breakdown'!K:K,$B238,'Executive Pay Breakdown'!M:M)+SUMIF('Executive Pay Breakdown'!O:O,$B238,'Executive Pay Breakdown'!Q:Q)+SUMIF('Executive Pay Breakdown'!S:S,$B238,'Executive Pay Breakdown'!U:U)+SUMIF('Executive Pay Breakdown'!W:W,$B238,'Executive Pay Breakdown'!Y:Y)+SUMIF('Executive Pay Breakdown'!AA:AA,$B238,'Executive Pay Breakdown'!AC:AC)</f>
        <v>16166691</v>
      </c>
      <c r="E238" s="109"/>
      <c r="F238" s="69">
        <f>SUMIF('Executive Pay Breakdown'!K:K,$B238,'Executive Pay Breakdown'!M:M)</f>
        <v>3643718</v>
      </c>
      <c r="G238" s="69">
        <f>SUMIF('Executive Pay Breakdown'!O:O,$B238,'Executive Pay Breakdown'!Q:Q)</f>
        <v>3449763</v>
      </c>
      <c r="H238" s="69">
        <f>SUMIF('Executive Pay Breakdown'!S:S,$B238,'Executive Pay Breakdown'!U:U)</f>
        <v>3061602</v>
      </c>
      <c r="I238" s="69">
        <f>SUMIF('Executive Pay Breakdown'!W:W,$B238,'Executive Pay Breakdown'!Y:Y)</f>
        <v>3443888</v>
      </c>
      <c r="J238" s="69">
        <f>SUMIF('Executive Pay Breakdown'!AA:AA,$B238,'Executive Pay Breakdown'!AC:AC)</f>
        <v>2567720</v>
      </c>
      <c r="K238" s="90"/>
      <c r="L238" s="212"/>
      <c r="M238" s="87"/>
      <c r="N238" s="230">
        <f>F238/J238-1</f>
        <v>0.419048027</v>
      </c>
      <c r="O238" s="120">
        <f>MATCH(C238,'Key Findings'!B:B,0)</f>
        <v>59</v>
      </c>
    </row>
    <row r="239">
      <c r="A239" s="81"/>
      <c r="B239" s="137" t="s">
        <v>292</v>
      </c>
      <c r="C239" s="87" t="str">
        <f t="array" ref="C239">INDEX('Executive Pay Breakdown'!B:B,MATCH(B239,'Executive Pay Breakdown'!W:W,0))</f>
        <v>Pioneer Natural Resources</v>
      </c>
      <c r="D239" s="89">
        <f>SUMIF('Executive Pay Breakdown'!K:K,$B239,'Executive Pay Breakdown'!M:M)+SUMIF('Executive Pay Breakdown'!O:O,$B239,'Executive Pay Breakdown'!Q:Q)+SUMIF('Executive Pay Breakdown'!S:S,$B239,'Executive Pay Breakdown'!U:U)+SUMIF('Executive Pay Breakdown'!W:W,$B239,'Executive Pay Breakdown'!Y:Y)+SUMIF('Executive Pay Breakdown'!AA:AA,$B239,'Executive Pay Breakdown'!AC:AC)</f>
        <v>16122659</v>
      </c>
      <c r="E239" s="109"/>
      <c r="F239" s="69">
        <f>SUMIF('Executive Pay Breakdown'!K:K,$B239,'Executive Pay Breakdown'!M:M)</f>
        <v>0</v>
      </c>
      <c r="G239" s="69">
        <f>SUMIF('Executive Pay Breakdown'!O:O,$B239,'Executive Pay Breakdown'!Q:Q)</f>
        <v>0</v>
      </c>
      <c r="H239" s="69">
        <f>SUMIF('Executive Pay Breakdown'!S:S,$B239,'Executive Pay Breakdown'!U:U)</f>
        <v>0</v>
      </c>
      <c r="I239" s="69">
        <f>SUMIF('Executive Pay Breakdown'!W:W,$B239,'Executive Pay Breakdown'!Y:Y)</f>
        <v>4185868</v>
      </c>
      <c r="J239" s="69">
        <f>SUMIF('Executive Pay Breakdown'!AA:AA,$B239,'Executive Pay Breakdown'!AC:AC)</f>
        <v>11936791</v>
      </c>
      <c r="K239" s="90"/>
      <c r="L239" s="212"/>
      <c r="M239" s="87"/>
      <c r="N239" s="230"/>
      <c r="O239" s="120">
        <f>MATCH(C239,'Key Findings'!B:B,0)</f>
        <v>35</v>
      </c>
    </row>
    <row r="240">
      <c r="A240" s="62"/>
      <c r="B240" s="125" t="s">
        <v>451</v>
      </c>
      <c r="C240" s="87" t="s">
        <v>25</v>
      </c>
      <c r="D240" s="89">
        <f>SUMIF('Executive Pay Breakdown'!K:K,$B240,'Executive Pay Breakdown'!M:M)+SUMIF('Executive Pay Breakdown'!O:O,$B240,'Executive Pay Breakdown'!Q:Q)+SUMIF('Executive Pay Breakdown'!S:S,$B240,'Executive Pay Breakdown'!U:U)+SUMIF('Executive Pay Breakdown'!W:W,$B240,'Executive Pay Breakdown'!Y:Y)+SUMIF('Executive Pay Breakdown'!AA:AA,$B240,'Executive Pay Breakdown'!AC:AC)</f>
        <v>16063400</v>
      </c>
      <c r="E240" s="109"/>
      <c r="F240" s="69">
        <f>SUMIF('Executive Pay Breakdown'!K:K,$B240,'Executive Pay Breakdown'!M:M)</f>
        <v>0</v>
      </c>
      <c r="G240" s="69">
        <f>SUMIF('Executive Pay Breakdown'!O:O,$B240,'Executive Pay Breakdown'!Q:Q)</f>
        <v>3833843</v>
      </c>
      <c r="H240" s="69">
        <f>SUMIF('Executive Pay Breakdown'!S:S,$B240,'Executive Pay Breakdown'!U:U)</f>
        <v>3762190</v>
      </c>
      <c r="I240" s="69">
        <f>SUMIF('Executive Pay Breakdown'!W:W,$B240,'Executive Pay Breakdown'!Y:Y)</f>
        <v>4772069</v>
      </c>
      <c r="J240" s="69">
        <f>SUMIF('Executive Pay Breakdown'!AA:AA,$B240,'Executive Pay Breakdown'!AC:AC)</f>
        <v>3695298</v>
      </c>
      <c r="K240" s="90"/>
      <c r="L240" s="212"/>
      <c r="M240" s="87"/>
      <c r="N240" s="87"/>
      <c r="O240" s="120">
        <f>MATCH(C240,'Key Findings'!B:B,0)</f>
        <v>42</v>
      </c>
    </row>
    <row r="241">
      <c r="A241" s="81"/>
      <c r="B241" s="137" t="s">
        <v>331</v>
      </c>
      <c r="C241" s="87" t="str">
        <f t="array" ref="C241">INDEX('Executive Pay Breakdown'!B:B,MATCH(B241,'Executive Pay Breakdown'!K:K,0))</f>
        <v>PPG Industries</v>
      </c>
      <c r="D241" s="89">
        <f>SUMIF('Executive Pay Breakdown'!K:K,$B241,'Executive Pay Breakdown'!M:M)+SUMIF('Executive Pay Breakdown'!O:O,$B241,'Executive Pay Breakdown'!Q:Q)+SUMIF('Executive Pay Breakdown'!S:S,$B241,'Executive Pay Breakdown'!U:U)+SUMIF('Executive Pay Breakdown'!W:W,$B241,'Executive Pay Breakdown'!Y:Y)+SUMIF('Executive Pay Breakdown'!AA:AA,$B241,'Executive Pay Breakdown'!AC:AC)</f>
        <v>16061425</v>
      </c>
      <c r="E241" s="109"/>
      <c r="F241" s="69">
        <f>SUMIF('Executive Pay Breakdown'!K:K,$B241,'Executive Pay Breakdown'!M:M)</f>
        <v>2466221</v>
      </c>
      <c r="G241" s="69">
        <f>SUMIF('Executive Pay Breakdown'!O:O,$B241,'Executive Pay Breakdown'!Q:Q)</f>
        <v>3116976</v>
      </c>
      <c r="H241" s="69">
        <f>SUMIF('Executive Pay Breakdown'!S:S,$B241,'Executive Pay Breakdown'!U:U)</f>
        <v>2684153</v>
      </c>
      <c r="I241" s="69">
        <f>SUMIF('Executive Pay Breakdown'!W:W,$B241,'Executive Pay Breakdown'!Y:Y)</f>
        <v>2114658</v>
      </c>
      <c r="J241" s="69">
        <f>SUMIF('Executive Pay Breakdown'!AA:AA,$B241,'Executive Pay Breakdown'!AC:AC)</f>
        <v>5679417</v>
      </c>
      <c r="K241" s="90"/>
      <c r="L241" s="212"/>
      <c r="M241" s="87"/>
      <c r="N241" s="230"/>
      <c r="O241" s="120">
        <f>MATCH(C241,'Key Findings'!B:B,0)</f>
        <v>50</v>
      </c>
    </row>
    <row r="242">
      <c r="A242" s="62"/>
      <c r="B242" s="86" t="s">
        <v>232</v>
      </c>
      <c r="C242" s="233" t="s">
        <v>72</v>
      </c>
      <c r="D242" s="89">
        <f>SUMIF('Executive Pay Breakdown'!K:K,$B242,'Executive Pay Breakdown'!M:M)+SUMIF('Executive Pay Breakdown'!O:O,$B242,'Executive Pay Breakdown'!Q:Q)+SUMIF('Executive Pay Breakdown'!S:S,$B242,'Executive Pay Breakdown'!U:U)+SUMIF('Executive Pay Breakdown'!W:W,$B242,'Executive Pay Breakdown'!Y:Y)+SUMIF('Executive Pay Breakdown'!AA:AA,$B242,'Executive Pay Breakdown'!AC:AC)</f>
        <v>15821039</v>
      </c>
      <c r="E242" s="109"/>
      <c r="F242" s="69">
        <f>SUMIF('Executive Pay Breakdown'!K:K,$B242,'Executive Pay Breakdown'!M:M)</f>
        <v>3259047</v>
      </c>
      <c r="G242" s="69">
        <f>SUMIF('Executive Pay Breakdown'!O:O,$B242,'Executive Pay Breakdown'!Q:Q)</f>
        <v>3887770</v>
      </c>
      <c r="H242" s="69">
        <f>SUMIF('Executive Pay Breakdown'!S:S,$B242,'Executive Pay Breakdown'!U:U)</f>
        <v>2907243</v>
      </c>
      <c r="I242" s="69">
        <f>SUMIF('Executive Pay Breakdown'!W:W,$B242,'Executive Pay Breakdown'!Y:Y)</f>
        <v>2953666</v>
      </c>
      <c r="J242" s="69">
        <f>SUMIF('Executive Pay Breakdown'!AA:AA,$B242,'Executive Pay Breakdown'!AC:AC)</f>
        <v>2813313</v>
      </c>
      <c r="K242" s="90"/>
      <c r="L242" s="212"/>
      <c r="M242" s="87"/>
      <c r="N242" s="230">
        <f>F242/J242-1</f>
        <v>0.158437401</v>
      </c>
      <c r="O242" s="120">
        <f>MATCH(C242,'Key Findings'!B:B,0)</f>
        <v>46</v>
      </c>
    </row>
    <row r="243">
      <c r="A243" s="62"/>
      <c r="B243" s="86" t="s">
        <v>448</v>
      </c>
      <c r="C243" s="87" t="s">
        <v>32</v>
      </c>
      <c r="D243" s="89">
        <f>SUMIF('Executive Pay Breakdown'!K:K,$B243,'Executive Pay Breakdown'!M:M)+SUMIF('Executive Pay Breakdown'!O:O,$B243,'Executive Pay Breakdown'!Q:Q)+SUMIF('Executive Pay Breakdown'!S:S,$B243,'Executive Pay Breakdown'!U:U)+SUMIF('Executive Pay Breakdown'!W:W,$B243,'Executive Pay Breakdown'!Y:Y)+SUMIF('Executive Pay Breakdown'!AA:AA,$B243,'Executive Pay Breakdown'!AC:AC)</f>
        <v>15810067</v>
      </c>
      <c r="E243" s="109"/>
      <c r="F243" s="69">
        <f>SUMIF('Executive Pay Breakdown'!K:K,$B243,'Executive Pay Breakdown'!M:M)</f>
        <v>0</v>
      </c>
      <c r="G243" s="69">
        <f>SUMIF('Executive Pay Breakdown'!O:O,$B243,'Executive Pay Breakdown'!Q:Q)</f>
        <v>0</v>
      </c>
      <c r="H243" s="69">
        <f>SUMIF('Executive Pay Breakdown'!S:S,$B243,'Executive Pay Breakdown'!U:U)</f>
        <v>5005252</v>
      </c>
      <c r="I243" s="69">
        <f>SUMIF('Executive Pay Breakdown'!W:W,$B243,'Executive Pay Breakdown'!Y:Y)</f>
        <v>7554290</v>
      </c>
      <c r="J243" s="69">
        <f>SUMIF('Executive Pay Breakdown'!AA:AA,$B243,'Executive Pay Breakdown'!AC:AC)</f>
        <v>3250525</v>
      </c>
      <c r="K243" s="90"/>
      <c r="L243" s="212"/>
      <c r="M243" s="87"/>
      <c r="N243" s="87"/>
      <c r="O243" s="120">
        <f>MATCH(C243,'Key Findings'!B:B,0)</f>
        <v>26</v>
      </c>
    </row>
    <row r="244">
      <c r="A244" s="81"/>
      <c r="B244" s="134" t="s">
        <v>347</v>
      </c>
      <c r="C244" s="87" t="s">
        <v>56</v>
      </c>
      <c r="D244" s="89">
        <f>SUMIF('Executive Pay Breakdown'!K:K,$B244,'Executive Pay Breakdown'!M:M)+SUMIF('Executive Pay Breakdown'!O:O,$B244,'Executive Pay Breakdown'!Q:Q)+SUMIF('Executive Pay Breakdown'!S:S,$B244,'Executive Pay Breakdown'!U:U)+SUMIF('Executive Pay Breakdown'!W:W,$B244,'Executive Pay Breakdown'!Y:Y)+SUMIF('Executive Pay Breakdown'!AA:AA,$B244,'Executive Pay Breakdown'!AC:AC)</f>
        <v>15797287</v>
      </c>
      <c r="E244" s="109"/>
      <c r="F244" s="69">
        <f>SUMIF('Executive Pay Breakdown'!K:K,$B244,'Executive Pay Breakdown'!M:M)</f>
        <v>0</v>
      </c>
      <c r="G244" s="69">
        <f>SUMIF('Executive Pay Breakdown'!O:O,$B244,'Executive Pay Breakdown'!Q:Q)</f>
        <v>0</v>
      </c>
      <c r="H244" s="69">
        <f>SUMIF('Executive Pay Breakdown'!S:S,$B244,'Executive Pay Breakdown'!U:U)</f>
        <v>5143249</v>
      </c>
      <c r="I244" s="69">
        <f>SUMIF('Executive Pay Breakdown'!W:W,$B244,'Executive Pay Breakdown'!Y:Y)</f>
        <v>5316680</v>
      </c>
      <c r="J244" s="69">
        <f>SUMIF('Executive Pay Breakdown'!AA:AA,$B244,'Executive Pay Breakdown'!AC:AC)</f>
        <v>5337358</v>
      </c>
      <c r="K244" s="90"/>
      <c r="L244" s="212"/>
      <c r="M244" s="87"/>
      <c r="N244" s="87"/>
      <c r="O244" s="120">
        <f>MATCH(C244,'Key Findings'!B:B,0)</f>
        <v>30</v>
      </c>
    </row>
    <row r="245">
      <c r="A245" s="71"/>
      <c r="B245" s="124" t="s">
        <v>377</v>
      </c>
      <c r="C245" s="87" t="s">
        <v>55</v>
      </c>
      <c r="D245" s="89">
        <f>SUMIF('Executive Pay Breakdown'!K:K,$B245,'Executive Pay Breakdown'!M:M)+SUMIF('Executive Pay Breakdown'!O:O,$B245,'Executive Pay Breakdown'!Q:Q)+SUMIF('Executive Pay Breakdown'!S:S,$B245,'Executive Pay Breakdown'!U:U)+SUMIF('Executive Pay Breakdown'!W:W,$B245,'Executive Pay Breakdown'!Y:Y)+SUMIF('Executive Pay Breakdown'!AA:AA,$B245,'Executive Pay Breakdown'!AC:AC)</f>
        <v>15769473</v>
      </c>
      <c r="E245" s="109"/>
      <c r="F245" s="69">
        <f>SUMIF('Executive Pay Breakdown'!K:K,$B245,'Executive Pay Breakdown'!M:M)</f>
        <v>0</v>
      </c>
      <c r="G245" s="69">
        <f>SUMIF('Executive Pay Breakdown'!O:O,$B245,'Executive Pay Breakdown'!Q:Q)</f>
        <v>0</v>
      </c>
      <c r="H245" s="69">
        <f>SUMIF('Executive Pay Breakdown'!S:S,$B245,'Executive Pay Breakdown'!U:U)</f>
        <v>0</v>
      </c>
      <c r="I245" s="69">
        <f>SUMIF('Executive Pay Breakdown'!W:W,$B245,'Executive Pay Breakdown'!Y:Y)</f>
        <v>8742827</v>
      </c>
      <c r="J245" s="69">
        <f>SUMIF('Executive Pay Breakdown'!AA:AA,$B245,'Executive Pay Breakdown'!AC:AC)</f>
        <v>7026646</v>
      </c>
      <c r="K245" s="90"/>
      <c r="L245" s="212"/>
      <c r="M245" s="87"/>
      <c r="N245" s="87"/>
      <c r="O245" s="120">
        <f>MATCH(C245,'Key Findings'!B:B,0)</f>
        <v>20</v>
      </c>
    </row>
    <row r="246">
      <c r="A246" s="71"/>
      <c r="B246" s="139" t="s">
        <v>513</v>
      </c>
      <c r="C246" s="87" t="s">
        <v>16</v>
      </c>
      <c r="D246" s="89">
        <f>SUMIF('Executive Pay Breakdown'!K:K,$B246,'Executive Pay Breakdown'!M:M)+SUMIF('Executive Pay Breakdown'!O:O,$B246,'Executive Pay Breakdown'!Q:Q)+SUMIF('Executive Pay Breakdown'!S:S,$B246,'Executive Pay Breakdown'!U:U)+SUMIF('Executive Pay Breakdown'!W:W,$B246,'Executive Pay Breakdown'!Y:Y)+SUMIF('Executive Pay Breakdown'!AA:AA,$B246,'Executive Pay Breakdown'!AC:AC)</f>
        <v>15681088</v>
      </c>
      <c r="E246" s="109"/>
      <c r="F246" s="69">
        <f>SUMIF('Executive Pay Breakdown'!K:K,$B246,'Executive Pay Breakdown'!M:M)</f>
        <v>0</v>
      </c>
      <c r="G246" s="69">
        <f>SUMIF('Executive Pay Breakdown'!O:O,$B246,'Executive Pay Breakdown'!Q:Q)</f>
        <v>0</v>
      </c>
      <c r="H246" s="69">
        <f>SUMIF('Executive Pay Breakdown'!S:S,$B246,'Executive Pay Breakdown'!U:U)</f>
        <v>0</v>
      </c>
      <c r="I246" s="69">
        <f>SUMIF('Executive Pay Breakdown'!W:W,$B246,'Executive Pay Breakdown'!Y:Y)</f>
        <v>9224520</v>
      </c>
      <c r="J246" s="69">
        <f>SUMIF('Executive Pay Breakdown'!AA:AA,$B246,'Executive Pay Breakdown'!AC:AC)</f>
        <v>6456568</v>
      </c>
      <c r="K246" s="90"/>
      <c r="L246" s="212"/>
      <c r="M246" s="87"/>
      <c r="N246" s="87"/>
      <c r="O246" s="120">
        <f>MATCH(C246,'Key Findings'!B:B,0)</f>
        <v>12</v>
      </c>
    </row>
    <row r="247">
      <c r="A247" s="62"/>
      <c r="B247" s="86" t="s">
        <v>171</v>
      </c>
      <c r="C247" s="233" t="s">
        <v>66</v>
      </c>
      <c r="D247" s="89">
        <f>SUMIF('Executive Pay Breakdown'!K:K,$B247,'Executive Pay Breakdown'!M:M)+SUMIF('Executive Pay Breakdown'!O:O,$B247,'Executive Pay Breakdown'!Q:Q)+SUMIF('Executive Pay Breakdown'!S:S,$B247,'Executive Pay Breakdown'!U:U)+SUMIF('Executive Pay Breakdown'!W:W,$B247,'Executive Pay Breakdown'!Y:Y)+SUMIF('Executive Pay Breakdown'!AA:AA,$B247,'Executive Pay Breakdown'!AC:AC)</f>
        <v>15668811</v>
      </c>
      <c r="E247" s="109"/>
      <c r="F247" s="69">
        <f>SUMIF('Executive Pay Breakdown'!K:K,$B247,'Executive Pay Breakdown'!M:M)</f>
        <v>4331901</v>
      </c>
      <c r="G247" s="69">
        <f>SUMIF('Executive Pay Breakdown'!O:O,$B247,'Executive Pay Breakdown'!Q:Q)</f>
        <v>3016061</v>
      </c>
      <c r="H247" s="69">
        <f>SUMIF('Executive Pay Breakdown'!S:S,$B247,'Executive Pay Breakdown'!U:U)</f>
        <v>3267391</v>
      </c>
      <c r="I247" s="69">
        <f>SUMIF('Executive Pay Breakdown'!W:W,$B247,'Executive Pay Breakdown'!Y:Y)</f>
        <v>2721923</v>
      </c>
      <c r="J247" s="69">
        <f>SUMIF('Executive Pay Breakdown'!AA:AA,$B247,'Executive Pay Breakdown'!AC:AC)</f>
        <v>2331535</v>
      </c>
      <c r="K247" s="90"/>
      <c r="L247" s="212"/>
      <c r="M247" s="87"/>
      <c r="N247" s="230">
        <f t="shared" ref="N247:N251" si="30">F247/J247-1</f>
        <v>0.8579609571</v>
      </c>
      <c r="O247" s="120">
        <f>MATCH(C247,'Key Findings'!B:B,0)</f>
        <v>41</v>
      </c>
    </row>
    <row r="248">
      <c r="A248" s="62"/>
      <c r="B248" s="127" t="s">
        <v>228</v>
      </c>
      <c r="C248" s="87" t="s">
        <v>20</v>
      </c>
      <c r="D248" s="89">
        <f>SUMIF('Executive Pay Breakdown'!K:K,$B248,'Executive Pay Breakdown'!M:M)+SUMIF('Executive Pay Breakdown'!O:O,$B248,'Executive Pay Breakdown'!Q:Q)+SUMIF('Executive Pay Breakdown'!S:S,$B248,'Executive Pay Breakdown'!U:U)+SUMIF('Executive Pay Breakdown'!W:W,$B248,'Executive Pay Breakdown'!Y:Y)+SUMIF('Executive Pay Breakdown'!AA:AA,$B248,'Executive Pay Breakdown'!AC:AC)</f>
        <v>15664535</v>
      </c>
      <c r="E248" s="109"/>
      <c r="F248" s="69">
        <f>SUMIF('Executive Pay Breakdown'!K:K,$B248,'Executive Pay Breakdown'!M:M)</f>
        <v>3205873</v>
      </c>
      <c r="G248" s="69">
        <f>SUMIF('Executive Pay Breakdown'!O:O,$B248,'Executive Pay Breakdown'!Q:Q)</f>
        <v>3105946</v>
      </c>
      <c r="H248" s="69">
        <f>SUMIF('Executive Pay Breakdown'!S:S,$B248,'Executive Pay Breakdown'!U:U)</f>
        <v>3376008</v>
      </c>
      <c r="I248" s="69">
        <f>SUMIF('Executive Pay Breakdown'!W:W,$B248,'Executive Pay Breakdown'!Y:Y)</f>
        <v>3235304</v>
      </c>
      <c r="J248" s="69">
        <f>SUMIF('Executive Pay Breakdown'!AA:AA,$B248,'Executive Pay Breakdown'!AC:AC)</f>
        <v>2741404</v>
      </c>
      <c r="K248" s="90"/>
      <c r="L248" s="212"/>
      <c r="M248" s="87"/>
      <c r="N248" s="230">
        <f t="shared" si="30"/>
        <v>0.1694274175</v>
      </c>
      <c r="O248" s="120">
        <f>MATCH(C248,'Key Findings'!B:B,0)</f>
        <v>38</v>
      </c>
    </row>
    <row r="249">
      <c r="A249" s="62"/>
      <c r="B249" s="86" t="s">
        <v>194</v>
      </c>
      <c r="C249" s="87" t="s">
        <v>38</v>
      </c>
      <c r="D249" s="89">
        <f>SUMIF('Executive Pay Breakdown'!K:K,$B249,'Executive Pay Breakdown'!M:M)+SUMIF('Executive Pay Breakdown'!O:O,$B249,'Executive Pay Breakdown'!Q:Q)+SUMIF('Executive Pay Breakdown'!S:S,$B249,'Executive Pay Breakdown'!U:U)+SUMIF('Executive Pay Breakdown'!W:W,$B249,'Executive Pay Breakdown'!Y:Y)+SUMIF('Executive Pay Breakdown'!AA:AA,$B249,'Executive Pay Breakdown'!AC:AC)</f>
        <v>15663269</v>
      </c>
      <c r="E249" s="109"/>
      <c r="F249" s="69">
        <f>SUMIF('Executive Pay Breakdown'!K:K,$B249,'Executive Pay Breakdown'!M:M)</f>
        <v>3586679</v>
      </c>
      <c r="G249" s="69">
        <f>SUMIF('Executive Pay Breakdown'!O:O,$B249,'Executive Pay Breakdown'!Q:Q)</f>
        <v>3642758</v>
      </c>
      <c r="H249" s="69">
        <f>SUMIF('Executive Pay Breakdown'!S:S,$B249,'Executive Pay Breakdown'!U:U)</f>
        <v>3093249</v>
      </c>
      <c r="I249" s="69">
        <f>SUMIF('Executive Pay Breakdown'!W:W,$B249,'Executive Pay Breakdown'!Y:Y)</f>
        <v>2831910</v>
      </c>
      <c r="J249" s="69">
        <f>SUMIF('Executive Pay Breakdown'!AA:AA,$B249,'Executive Pay Breakdown'!AC:AC)</f>
        <v>2508673</v>
      </c>
      <c r="K249" s="90"/>
      <c r="L249" s="212"/>
      <c r="M249" s="87"/>
      <c r="N249" s="230">
        <f t="shared" si="30"/>
        <v>0.4297116444</v>
      </c>
      <c r="O249" s="120">
        <f>MATCH(C249,'Key Findings'!B:B,0)</f>
        <v>62</v>
      </c>
    </row>
    <row r="250">
      <c r="A250" s="62"/>
      <c r="B250" s="130" t="s">
        <v>280</v>
      </c>
      <c r="C250" s="87" t="s">
        <v>21</v>
      </c>
      <c r="D250" s="89">
        <f>SUMIF('Executive Pay Breakdown'!K:K,$B250,'Executive Pay Breakdown'!M:M)+SUMIF('Executive Pay Breakdown'!O:O,$B250,'Executive Pay Breakdown'!Q:Q)+SUMIF('Executive Pay Breakdown'!S:S,$B250,'Executive Pay Breakdown'!U:U)+SUMIF('Executive Pay Breakdown'!W:W,$B250,'Executive Pay Breakdown'!Y:Y)+SUMIF('Executive Pay Breakdown'!AA:AA,$B250,'Executive Pay Breakdown'!AC:AC)</f>
        <v>15614331</v>
      </c>
      <c r="E250" s="109"/>
      <c r="F250" s="69">
        <f>SUMIF('Executive Pay Breakdown'!K:K,$B250,'Executive Pay Breakdown'!M:M)</f>
        <v>3051329</v>
      </c>
      <c r="G250" s="69">
        <f>SUMIF('Executive Pay Breakdown'!O:O,$B250,'Executive Pay Breakdown'!Q:Q)</f>
        <v>2721722</v>
      </c>
      <c r="H250" s="69">
        <f>SUMIF('Executive Pay Breakdown'!S:S,$B250,'Executive Pay Breakdown'!U:U)</f>
        <v>2647929</v>
      </c>
      <c r="I250" s="69">
        <f>SUMIF('Executive Pay Breakdown'!W:W,$B250,'Executive Pay Breakdown'!Y:Y)</f>
        <v>2735804</v>
      </c>
      <c r="J250" s="69">
        <f>SUMIF('Executive Pay Breakdown'!AA:AA,$B250,'Executive Pay Breakdown'!AC:AC)</f>
        <v>4457547</v>
      </c>
      <c r="K250" s="90"/>
      <c r="L250" s="212"/>
      <c r="M250" s="87"/>
      <c r="N250" s="230">
        <f t="shared" si="30"/>
        <v>-0.3154690237</v>
      </c>
      <c r="O250" s="120">
        <f>MATCH(C250,'Key Findings'!B:B,0)</f>
        <v>54</v>
      </c>
    </row>
    <row r="251">
      <c r="A251" s="62"/>
      <c r="B251" s="125" t="s">
        <v>212</v>
      </c>
      <c r="C251" s="87" t="s">
        <v>23</v>
      </c>
      <c r="D251" s="89">
        <f>SUMIF('Executive Pay Breakdown'!K:K,$B251,'Executive Pay Breakdown'!M:M)+SUMIF('Executive Pay Breakdown'!O:O,$B251,'Executive Pay Breakdown'!Q:Q)+SUMIF('Executive Pay Breakdown'!S:S,$B251,'Executive Pay Breakdown'!U:U)+SUMIF('Executive Pay Breakdown'!W:W,$B251,'Executive Pay Breakdown'!Y:Y)+SUMIF('Executive Pay Breakdown'!AA:AA,$B251,'Executive Pay Breakdown'!AC:AC)</f>
        <v>15546081</v>
      </c>
      <c r="E251" s="109"/>
      <c r="F251" s="69">
        <f>SUMIF('Executive Pay Breakdown'!K:K,$B251,'Executive Pay Breakdown'!M:M)</f>
        <v>3691412</v>
      </c>
      <c r="G251" s="69">
        <f>SUMIF('Executive Pay Breakdown'!O:O,$B251,'Executive Pay Breakdown'!Q:Q)</f>
        <v>3733623</v>
      </c>
      <c r="H251" s="69">
        <f>SUMIF('Executive Pay Breakdown'!S:S,$B251,'Executive Pay Breakdown'!U:U)</f>
        <v>2609060</v>
      </c>
      <c r="I251" s="69">
        <f>SUMIF('Executive Pay Breakdown'!W:W,$B251,'Executive Pay Breakdown'!Y:Y)</f>
        <v>2674042</v>
      </c>
      <c r="J251" s="69">
        <f>SUMIF('Executive Pay Breakdown'!AA:AA,$B251,'Executive Pay Breakdown'!AC:AC)</f>
        <v>2837944</v>
      </c>
      <c r="K251" s="90"/>
      <c r="L251" s="212"/>
      <c r="M251" s="87"/>
      <c r="N251" s="230">
        <f t="shared" si="30"/>
        <v>0.3007346163</v>
      </c>
      <c r="O251" s="120">
        <f>MATCH(C251,'Key Findings'!B:B,0)</f>
        <v>55</v>
      </c>
    </row>
    <row r="252">
      <c r="A252" s="81"/>
      <c r="B252" s="137" t="s">
        <v>368</v>
      </c>
      <c r="C252" s="87" t="str">
        <f t="array" ref="C252">INDEX('Executive Pay Breakdown'!B:B,MATCH(B252,'Executive Pay Breakdown'!O:O,0))</f>
        <v>AmerisourceBergen</v>
      </c>
      <c r="D252" s="89">
        <f>SUMIF('Executive Pay Breakdown'!K:K,$B252,'Executive Pay Breakdown'!M:M)+SUMIF('Executive Pay Breakdown'!O:O,$B252,'Executive Pay Breakdown'!Q:Q)+SUMIF('Executive Pay Breakdown'!S:S,$B252,'Executive Pay Breakdown'!U:U)+SUMIF('Executive Pay Breakdown'!W:W,$B252,'Executive Pay Breakdown'!Y:Y)+SUMIF('Executive Pay Breakdown'!AA:AA,$B252,'Executive Pay Breakdown'!AC:AC)</f>
        <v>15542217</v>
      </c>
      <c r="E252" s="109"/>
      <c r="F252" s="69">
        <f>SUMIF('Executive Pay Breakdown'!K:K,$B252,'Executive Pay Breakdown'!M:M)</f>
        <v>0</v>
      </c>
      <c r="G252" s="69">
        <f>SUMIF('Executive Pay Breakdown'!O:O,$B252,'Executive Pay Breakdown'!Q:Q)</f>
        <v>4414159</v>
      </c>
      <c r="H252" s="69">
        <f>SUMIF('Executive Pay Breakdown'!S:S,$B252,'Executive Pay Breakdown'!U:U)</f>
        <v>4048839</v>
      </c>
      <c r="I252" s="69">
        <f>SUMIF('Executive Pay Breakdown'!W:W,$B252,'Executive Pay Breakdown'!Y:Y)</f>
        <v>3508615</v>
      </c>
      <c r="J252" s="69">
        <f>SUMIF('Executive Pay Breakdown'!AA:AA,$B252,'Executive Pay Breakdown'!AC:AC)</f>
        <v>3570604</v>
      </c>
      <c r="K252" s="90"/>
      <c r="L252" s="212"/>
      <c r="M252" s="87"/>
      <c r="N252" s="230"/>
      <c r="O252" s="120">
        <f>MATCH(C252,'Key Findings'!B:B,0)</f>
        <v>45</v>
      </c>
    </row>
    <row r="253">
      <c r="A253" s="81"/>
      <c r="B253" s="137" t="s">
        <v>437</v>
      </c>
      <c r="C253" s="87" t="str">
        <f t="array" ref="C253">INDEX('Executive Pay Breakdown'!B:B,MATCH(B253,'Executive Pay Breakdown'!O:O,0))</f>
        <v>Reinsurance Group of America</v>
      </c>
      <c r="D253" s="89">
        <f>SUMIF('Executive Pay Breakdown'!K:K,$B253,'Executive Pay Breakdown'!M:M)+SUMIF('Executive Pay Breakdown'!O:O,$B253,'Executive Pay Breakdown'!Q:Q)+SUMIF('Executive Pay Breakdown'!S:S,$B253,'Executive Pay Breakdown'!U:U)+SUMIF('Executive Pay Breakdown'!W:W,$B253,'Executive Pay Breakdown'!Y:Y)+SUMIF('Executive Pay Breakdown'!AA:AA,$B253,'Executive Pay Breakdown'!AC:AC)</f>
        <v>15437709</v>
      </c>
      <c r="E253" s="109"/>
      <c r="F253" s="69">
        <f>SUMIF('Executive Pay Breakdown'!K:K,$B253,'Executive Pay Breakdown'!M:M)</f>
        <v>0</v>
      </c>
      <c r="G253" s="69">
        <f>SUMIF('Executive Pay Breakdown'!O:O,$B253,'Executive Pay Breakdown'!Q:Q)</f>
        <v>4595249</v>
      </c>
      <c r="H253" s="69">
        <f>SUMIF('Executive Pay Breakdown'!S:S,$B253,'Executive Pay Breakdown'!U:U)</f>
        <v>3412231</v>
      </c>
      <c r="I253" s="69">
        <f>SUMIF('Executive Pay Breakdown'!W:W,$B253,'Executive Pay Breakdown'!Y:Y)</f>
        <v>4625890</v>
      </c>
      <c r="J253" s="69">
        <f>SUMIF('Executive Pay Breakdown'!AA:AA,$B253,'Executive Pay Breakdown'!AC:AC)</f>
        <v>2804339</v>
      </c>
      <c r="K253" s="90"/>
      <c r="L253" s="212"/>
      <c r="M253" s="87"/>
      <c r="N253" s="230"/>
      <c r="O253" s="120">
        <f>MATCH(C253,'Key Findings'!B:B,0)</f>
        <v>9</v>
      </c>
    </row>
    <row r="254">
      <c r="A254" s="62"/>
      <c r="B254" s="125" t="s">
        <v>439</v>
      </c>
      <c r="C254" s="87" t="s">
        <v>23</v>
      </c>
      <c r="D254" s="89">
        <f>SUMIF('Executive Pay Breakdown'!K:K,$B254,'Executive Pay Breakdown'!M:M)+SUMIF('Executive Pay Breakdown'!O:O,$B254,'Executive Pay Breakdown'!Q:Q)+SUMIF('Executive Pay Breakdown'!S:S,$B254,'Executive Pay Breakdown'!U:U)+SUMIF('Executive Pay Breakdown'!W:W,$B254,'Executive Pay Breakdown'!Y:Y)+SUMIF('Executive Pay Breakdown'!AA:AA,$B254,'Executive Pay Breakdown'!AC:AC)</f>
        <v>15385602</v>
      </c>
      <c r="E254" s="109"/>
      <c r="F254" s="69">
        <f>SUMIF('Executive Pay Breakdown'!K:K,$B254,'Executive Pay Breakdown'!M:M)</f>
        <v>8139024</v>
      </c>
      <c r="G254" s="69">
        <f>SUMIF('Executive Pay Breakdown'!O:O,$B254,'Executive Pay Breakdown'!Q:Q)</f>
        <v>7246578</v>
      </c>
      <c r="H254" s="69">
        <f>SUMIF('Executive Pay Breakdown'!S:S,$B254,'Executive Pay Breakdown'!U:U)</f>
        <v>0</v>
      </c>
      <c r="I254" s="69">
        <f>SUMIF('Executive Pay Breakdown'!W:W,$B254,'Executive Pay Breakdown'!Y:Y)</f>
        <v>0</v>
      </c>
      <c r="J254" s="69">
        <f>SUMIF('Executive Pay Breakdown'!AA:AA,$B254,'Executive Pay Breakdown'!AC:AC)</f>
        <v>0</v>
      </c>
      <c r="K254" s="90"/>
      <c r="L254" s="212"/>
      <c r="M254" s="87"/>
      <c r="N254" s="230"/>
      <c r="O254" s="120">
        <f>MATCH(C254,'Key Findings'!B:B,0)</f>
        <v>55</v>
      </c>
    </row>
    <row r="255">
      <c r="A255" s="62"/>
      <c r="B255" s="86" t="s">
        <v>178</v>
      </c>
      <c r="C255" s="233" t="s">
        <v>66</v>
      </c>
      <c r="D255" s="89">
        <f>SUMIF('Executive Pay Breakdown'!K:K,$B255,'Executive Pay Breakdown'!M:M)+SUMIF('Executive Pay Breakdown'!O:O,$B255,'Executive Pay Breakdown'!Q:Q)+SUMIF('Executive Pay Breakdown'!S:S,$B255,'Executive Pay Breakdown'!U:U)+SUMIF('Executive Pay Breakdown'!W:W,$B255,'Executive Pay Breakdown'!Y:Y)+SUMIF('Executive Pay Breakdown'!AA:AA,$B255,'Executive Pay Breakdown'!AC:AC)</f>
        <v>15384920</v>
      </c>
      <c r="E255" s="109"/>
      <c r="F255" s="69">
        <f>SUMIF('Executive Pay Breakdown'!K:K,$B255,'Executive Pay Breakdown'!M:M)</f>
        <v>5110783</v>
      </c>
      <c r="G255" s="69">
        <f>SUMIF('Executive Pay Breakdown'!O:O,$B255,'Executive Pay Breakdown'!Q:Q)</f>
        <v>3678676</v>
      </c>
      <c r="H255" s="69">
        <f>SUMIF('Executive Pay Breakdown'!S:S,$B255,'Executive Pay Breakdown'!U:U)</f>
        <v>3507756</v>
      </c>
      <c r="I255" s="69">
        <f>SUMIF('Executive Pay Breakdown'!W:W,$B255,'Executive Pay Breakdown'!Y:Y)</f>
        <v>0</v>
      </c>
      <c r="J255" s="69">
        <f>SUMIF('Executive Pay Breakdown'!AA:AA,$B255,'Executive Pay Breakdown'!AC:AC)</f>
        <v>3087705</v>
      </c>
      <c r="K255" s="90"/>
      <c r="L255" s="212"/>
      <c r="M255" s="87"/>
      <c r="N255" s="230">
        <f>F255/J255-1</f>
        <v>0.6552044318</v>
      </c>
      <c r="O255" s="120">
        <f>MATCH(C255,'Key Findings'!B:B,0)</f>
        <v>41</v>
      </c>
    </row>
    <row r="256">
      <c r="A256" s="62"/>
      <c r="B256" s="87" t="s">
        <v>402</v>
      </c>
      <c r="C256" s="87" t="s">
        <v>73</v>
      </c>
      <c r="D256" s="89">
        <f>SUMIF('Executive Pay Breakdown'!K:K,$B256,'Executive Pay Breakdown'!M:M)+SUMIF('Executive Pay Breakdown'!O:O,$B256,'Executive Pay Breakdown'!Q:Q)+SUMIF('Executive Pay Breakdown'!S:S,$B256,'Executive Pay Breakdown'!U:U)+SUMIF('Executive Pay Breakdown'!W:W,$B256,'Executive Pay Breakdown'!Y:Y)+SUMIF('Executive Pay Breakdown'!AA:AA,$B256,'Executive Pay Breakdown'!AC:AC)</f>
        <v>15284655</v>
      </c>
      <c r="E256" s="109"/>
      <c r="F256" s="69">
        <f>SUMIF('Executive Pay Breakdown'!K:K,$B256,'Executive Pay Breakdown'!M:M)</f>
        <v>0</v>
      </c>
      <c r="G256" s="69">
        <f>SUMIF('Executive Pay Breakdown'!O:O,$B256,'Executive Pay Breakdown'!Q:Q)</f>
        <v>4868664</v>
      </c>
      <c r="H256" s="69">
        <f>SUMIF('Executive Pay Breakdown'!S:S,$B256,'Executive Pay Breakdown'!U:U)</f>
        <v>3951552</v>
      </c>
      <c r="I256" s="69">
        <f>SUMIF('Executive Pay Breakdown'!W:W,$B256,'Executive Pay Breakdown'!Y:Y)</f>
        <v>3243840</v>
      </c>
      <c r="J256" s="69">
        <f>SUMIF('Executive Pay Breakdown'!AA:AA,$B256,'Executive Pay Breakdown'!AC:AC)</f>
        <v>3220599</v>
      </c>
      <c r="K256" s="90"/>
      <c r="L256" s="212"/>
      <c r="M256" s="87"/>
      <c r="N256" s="87"/>
      <c r="O256" s="120">
        <f>MATCH(C256,'Key Findings'!B:B,0)</f>
        <v>31</v>
      </c>
    </row>
    <row r="257">
      <c r="A257" s="62"/>
      <c r="B257" s="127" t="s">
        <v>210</v>
      </c>
      <c r="C257" s="87" t="s">
        <v>30</v>
      </c>
      <c r="D257" s="89">
        <f>SUMIF('Executive Pay Breakdown'!K:K,$B257,'Executive Pay Breakdown'!M:M)+SUMIF('Executive Pay Breakdown'!O:O,$B257,'Executive Pay Breakdown'!Q:Q)+SUMIF('Executive Pay Breakdown'!S:S,$B257,'Executive Pay Breakdown'!U:U)+SUMIF('Executive Pay Breakdown'!W:W,$B257,'Executive Pay Breakdown'!Y:Y)+SUMIF('Executive Pay Breakdown'!AA:AA,$B257,'Executive Pay Breakdown'!AC:AC)</f>
        <v>15189535</v>
      </c>
      <c r="E257" s="109"/>
      <c r="F257" s="69">
        <f>SUMIF('Executive Pay Breakdown'!K:K,$B257,'Executive Pay Breakdown'!M:M)</f>
        <v>3152168</v>
      </c>
      <c r="G257" s="69">
        <f>SUMIF('Executive Pay Breakdown'!O:O,$B257,'Executive Pay Breakdown'!Q:Q)</f>
        <v>3269748</v>
      </c>
      <c r="H257" s="69">
        <f>SUMIF('Executive Pay Breakdown'!S:S,$B257,'Executive Pay Breakdown'!U:U)</f>
        <v>3259383</v>
      </c>
      <c r="I257" s="69">
        <f>SUMIF('Executive Pay Breakdown'!W:W,$B257,'Executive Pay Breakdown'!Y:Y)</f>
        <v>3106171</v>
      </c>
      <c r="J257" s="69">
        <f>SUMIF('Executive Pay Breakdown'!AA:AA,$B257,'Executive Pay Breakdown'!AC:AC)</f>
        <v>2402065</v>
      </c>
      <c r="K257" s="90"/>
      <c r="L257" s="212"/>
      <c r="M257" s="87"/>
      <c r="N257" s="230">
        <f>F257/J257-1</f>
        <v>0.3122742307</v>
      </c>
      <c r="O257" s="120">
        <f>MATCH(C257,'Key Findings'!B:B,0)</f>
        <v>49</v>
      </c>
    </row>
    <row r="258">
      <c r="A258" s="62"/>
      <c r="B258" s="86" t="s">
        <v>394</v>
      </c>
      <c r="C258" s="87" t="s">
        <v>42</v>
      </c>
      <c r="D258" s="89">
        <f>SUMIF('Executive Pay Breakdown'!K:K,$B258,'Executive Pay Breakdown'!M:M)+SUMIF('Executive Pay Breakdown'!O:O,$B258,'Executive Pay Breakdown'!Q:Q)+SUMIF('Executive Pay Breakdown'!S:S,$B258,'Executive Pay Breakdown'!U:U)+SUMIF('Executive Pay Breakdown'!W:W,$B258,'Executive Pay Breakdown'!Y:Y)+SUMIF('Executive Pay Breakdown'!AA:AA,$B258,'Executive Pay Breakdown'!AC:AC)</f>
        <v>15123981</v>
      </c>
      <c r="E258" s="109"/>
      <c r="F258" s="69">
        <f>SUMIF('Executive Pay Breakdown'!K:K,$B258,'Executive Pay Breakdown'!M:M)</f>
        <v>0</v>
      </c>
      <c r="G258" s="69">
        <f>SUMIF('Executive Pay Breakdown'!O:O,$B258,'Executive Pay Breakdown'!Q:Q)</f>
        <v>0</v>
      </c>
      <c r="H258" s="69">
        <f>SUMIF('Executive Pay Breakdown'!S:S,$B258,'Executive Pay Breakdown'!U:U)</f>
        <v>4900927</v>
      </c>
      <c r="I258" s="69">
        <f>SUMIF('Executive Pay Breakdown'!W:W,$B258,'Executive Pay Breakdown'!Y:Y)</f>
        <v>5877434</v>
      </c>
      <c r="J258" s="69">
        <f>SUMIF('Executive Pay Breakdown'!AA:AA,$B258,'Executive Pay Breakdown'!AC:AC)</f>
        <v>4345620</v>
      </c>
      <c r="K258" s="90"/>
      <c r="L258" s="212"/>
      <c r="M258" s="87"/>
      <c r="N258" s="87"/>
      <c r="O258" s="120">
        <f>MATCH(C258,'Key Findings'!B:B,0)</f>
        <v>61</v>
      </c>
    </row>
    <row r="259">
      <c r="A259" s="62"/>
      <c r="B259" s="86" t="s">
        <v>403</v>
      </c>
      <c r="C259" s="87" t="s">
        <v>67</v>
      </c>
      <c r="D259" s="89">
        <f>SUMIF('Executive Pay Breakdown'!K:K,$B259,'Executive Pay Breakdown'!M:M)+SUMIF('Executive Pay Breakdown'!O:O,$B259,'Executive Pay Breakdown'!Q:Q)+SUMIF('Executive Pay Breakdown'!S:S,$B259,'Executive Pay Breakdown'!U:U)+SUMIF('Executive Pay Breakdown'!W:W,$B259,'Executive Pay Breakdown'!Y:Y)+SUMIF('Executive Pay Breakdown'!AA:AA,$B259,'Executive Pay Breakdown'!AC:AC)</f>
        <v>14973891</v>
      </c>
      <c r="E259" s="109"/>
      <c r="F259" s="69">
        <f>SUMIF('Executive Pay Breakdown'!K:K,$B259,'Executive Pay Breakdown'!M:M)</f>
        <v>0</v>
      </c>
      <c r="G259" s="69">
        <f>SUMIF('Executive Pay Breakdown'!O:O,$B259,'Executive Pay Breakdown'!Q:Q)</f>
        <v>0</v>
      </c>
      <c r="H259" s="69">
        <f>SUMIF('Executive Pay Breakdown'!S:S,$B259,'Executive Pay Breakdown'!U:U)</f>
        <v>4072322</v>
      </c>
      <c r="I259" s="69">
        <f>SUMIF('Executive Pay Breakdown'!W:W,$B259,'Executive Pay Breakdown'!Y:Y)</f>
        <v>5918455</v>
      </c>
      <c r="J259" s="69">
        <f>SUMIF('Executive Pay Breakdown'!AA:AA,$B259,'Executive Pay Breakdown'!AC:AC)</f>
        <v>4983114</v>
      </c>
      <c r="K259" s="90"/>
      <c r="L259" s="212"/>
      <c r="M259" s="87"/>
      <c r="N259" s="87"/>
      <c r="O259" s="120">
        <f>MATCH(C259,'Key Findings'!B:B,0)</f>
        <v>64</v>
      </c>
    </row>
    <row r="260">
      <c r="A260" s="62"/>
      <c r="B260" s="125" t="s">
        <v>249</v>
      </c>
      <c r="C260" s="87" t="s">
        <v>27</v>
      </c>
      <c r="D260" s="89">
        <f>SUMIF('Executive Pay Breakdown'!K:K,$B260,'Executive Pay Breakdown'!M:M)+SUMIF('Executive Pay Breakdown'!O:O,$B260,'Executive Pay Breakdown'!Q:Q)+SUMIF('Executive Pay Breakdown'!S:S,$B260,'Executive Pay Breakdown'!U:U)+SUMIF('Executive Pay Breakdown'!W:W,$B260,'Executive Pay Breakdown'!Y:Y)+SUMIF('Executive Pay Breakdown'!AA:AA,$B260,'Executive Pay Breakdown'!AC:AC)</f>
        <v>14811611</v>
      </c>
      <c r="E260" s="109"/>
      <c r="F260" s="69">
        <f>SUMIF('Executive Pay Breakdown'!K:K,$B260,'Executive Pay Breakdown'!M:M)</f>
        <v>3162836</v>
      </c>
      <c r="G260" s="69">
        <f>SUMIF('Executive Pay Breakdown'!O:O,$B260,'Executive Pay Breakdown'!Q:Q)</f>
        <v>3520949</v>
      </c>
      <c r="H260" s="69">
        <f>SUMIF('Executive Pay Breakdown'!S:S,$B260,'Executive Pay Breakdown'!U:U)</f>
        <v>2638271</v>
      </c>
      <c r="I260" s="69">
        <f>SUMIF('Executive Pay Breakdown'!W:W,$B260,'Executive Pay Breakdown'!Y:Y)</f>
        <v>2485536</v>
      </c>
      <c r="J260" s="69">
        <f>SUMIF('Executive Pay Breakdown'!AA:AA,$B260,'Executive Pay Breakdown'!AC:AC)</f>
        <v>3004019</v>
      </c>
      <c r="K260" s="90"/>
      <c r="L260" s="212"/>
      <c r="M260" s="87"/>
      <c r="N260" s="230">
        <f>F260/J260-1</f>
        <v>0.05286817427</v>
      </c>
      <c r="O260" s="120">
        <f>MATCH(C260,'Key Findings'!B:B,0)</f>
        <v>51</v>
      </c>
    </row>
    <row r="261">
      <c r="A261" s="81"/>
      <c r="B261" s="137" t="s">
        <v>313</v>
      </c>
      <c r="C261" s="87" t="str">
        <f t="array" ref="C261">INDEX('Executive Pay Breakdown'!B:B,MATCH(B261,'Executive Pay Breakdown'!K:K,0))</f>
        <v>Whirlpool</v>
      </c>
      <c r="D261" s="89">
        <f>SUMIF('Executive Pay Breakdown'!K:K,$B261,'Executive Pay Breakdown'!M:M)+SUMIF('Executive Pay Breakdown'!O:O,$B261,'Executive Pay Breakdown'!Q:Q)+SUMIF('Executive Pay Breakdown'!S:S,$B261,'Executive Pay Breakdown'!U:U)+SUMIF('Executive Pay Breakdown'!W:W,$B261,'Executive Pay Breakdown'!Y:Y)+SUMIF('Executive Pay Breakdown'!AA:AA,$B261,'Executive Pay Breakdown'!AC:AC)</f>
        <v>14672753</v>
      </c>
      <c r="E261" s="109"/>
      <c r="F261" s="69">
        <f>SUMIF('Executive Pay Breakdown'!K:K,$B261,'Executive Pay Breakdown'!M:M)</f>
        <v>2075668</v>
      </c>
      <c r="G261" s="69">
        <f>SUMIF('Executive Pay Breakdown'!O:O,$B261,'Executive Pay Breakdown'!Q:Q)</f>
        <v>3106567</v>
      </c>
      <c r="H261" s="69">
        <f>SUMIF('Executive Pay Breakdown'!S:S,$B261,'Executive Pay Breakdown'!U:U)</f>
        <v>2609154</v>
      </c>
      <c r="I261" s="69">
        <f>SUMIF('Executive Pay Breakdown'!W:W,$B261,'Executive Pay Breakdown'!Y:Y)</f>
        <v>4854765</v>
      </c>
      <c r="J261" s="69">
        <f>SUMIF('Executive Pay Breakdown'!AA:AA,$B261,'Executive Pay Breakdown'!AC:AC)</f>
        <v>2026599</v>
      </c>
      <c r="K261" s="90"/>
      <c r="L261" s="212"/>
      <c r="M261" s="87"/>
      <c r="N261" s="230"/>
      <c r="O261" s="120">
        <f>MATCH(C261,'Key Findings'!B:B,0)</f>
        <v>37</v>
      </c>
    </row>
    <row r="262">
      <c r="A262" s="62"/>
      <c r="B262" s="125" t="s">
        <v>224</v>
      </c>
      <c r="C262" s="87" t="s">
        <v>23</v>
      </c>
      <c r="D262" s="89">
        <f>SUMIF('Executive Pay Breakdown'!K:K,$B262,'Executive Pay Breakdown'!M:M)+SUMIF('Executive Pay Breakdown'!O:O,$B262,'Executive Pay Breakdown'!Q:Q)+SUMIF('Executive Pay Breakdown'!S:S,$B262,'Executive Pay Breakdown'!U:U)+SUMIF('Executive Pay Breakdown'!W:W,$B262,'Executive Pay Breakdown'!Y:Y)+SUMIF('Executive Pay Breakdown'!AA:AA,$B262,'Executive Pay Breakdown'!AC:AC)</f>
        <v>14653961</v>
      </c>
      <c r="E262" s="109"/>
      <c r="F262" s="69">
        <f>SUMIF('Executive Pay Breakdown'!K:K,$B262,'Executive Pay Breakdown'!M:M)</f>
        <v>3269613</v>
      </c>
      <c r="G262" s="69">
        <f>SUMIF('Executive Pay Breakdown'!O:O,$B262,'Executive Pay Breakdown'!Q:Q)</f>
        <v>3416525</v>
      </c>
      <c r="H262" s="69">
        <f>SUMIF('Executive Pay Breakdown'!S:S,$B262,'Executive Pay Breakdown'!U:U)</f>
        <v>2593460</v>
      </c>
      <c r="I262" s="69">
        <f>SUMIF('Executive Pay Breakdown'!W:W,$B262,'Executive Pay Breakdown'!Y:Y)</f>
        <v>2656819</v>
      </c>
      <c r="J262" s="69">
        <f>SUMIF('Executive Pay Breakdown'!AA:AA,$B262,'Executive Pay Breakdown'!AC:AC)</f>
        <v>2717544</v>
      </c>
      <c r="K262" s="90"/>
      <c r="L262" s="212"/>
      <c r="M262" s="87"/>
      <c r="N262" s="230">
        <f t="shared" ref="N262:N263" si="31">F262/J262-1</f>
        <v>0.2031499766</v>
      </c>
      <c r="O262" s="120">
        <f>MATCH(C262,'Key Findings'!B:B,0)</f>
        <v>55</v>
      </c>
    </row>
    <row r="263">
      <c r="A263" s="62"/>
      <c r="B263" s="127" t="s">
        <v>152</v>
      </c>
      <c r="C263" s="87" t="s">
        <v>17</v>
      </c>
      <c r="D263" s="89">
        <f>SUMIF('Executive Pay Breakdown'!K:K,$B263,'Executive Pay Breakdown'!M:M)+SUMIF('Executive Pay Breakdown'!O:O,$B263,'Executive Pay Breakdown'!Q:Q)+SUMIF('Executive Pay Breakdown'!S:S,$B263,'Executive Pay Breakdown'!U:U)+SUMIF('Executive Pay Breakdown'!W:W,$B263,'Executive Pay Breakdown'!Y:Y)+SUMIF('Executive Pay Breakdown'!AA:AA,$B263,'Executive Pay Breakdown'!AC:AC)</f>
        <v>14593228</v>
      </c>
      <c r="E263" s="109"/>
      <c r="F263" s="69">
        <f>SUMIF('Executive Pay Breakdown'!K:K,$B263,'Executive Pay Breakdown'!M:M)</f>
        <v>7926917</v>
      </c>
      <c r="G263" s="69">
        <f>SUMIF('Executive Pay Breakdown'!O:O,$B263,'Executive Pay Breakdown'!Q:Q)</f>
        <v>1724889</v>
      </c>
      <c r="H263" s="69">
        <f>SUMIF('Executive Pay Breakdown'!S:S,$B263,'Executive Pay Breakdown'!U:U)</f>
        <v>1000290</v>
      </c>
      <c r="I263" s="69">
        <f>SUMIF('Executive Pay Breakdown'!W:W,$B263,'Executive Pay Breakdown'!Y:Y)</f>
        <v>1018673</v>
      </c>
      <c r="J263" s="69">
        <f>SUMIF('Executive Pay Breakdown'!AA:AA,$B263,'Executive Pay Breakdown'!AC:AC)</f>
        <v>2922459</v>
      </c>
      <c r="K263" s="90"/>
      <c r="L263" s="212"/>
      <c r="M263" s="87"/>
      <c r="N263" s="230">
        <f t="shared" si="31"/>
        <v>1.712413416</v>
      </c>
      <c r="O263" s="120">
        <f>MATCH(C263,'Key Findings'!B:B,0)</f>
        <v>36</v>
      </c>
    </row>
    <row r="264">
      <c r="A264" s="81"/>
      <c r="B264" s="136" t="s">
        <v>390</v>
      </c>
      <c r="C264" s="87" t="s">
        <v>24</v>
      </c>
      <c r="D264" s="89">
        <f>SUMIF('Executive Pay Breakdown'!K:K,$B264,'Executive Pay Breakdown'!M:M)+SUMIF('Executive Pay Breakdown'!O:O,$B264,'Executive Pay Breakdown'!Q:Q)+SUMIF('Executive Pay Breakdown'!S:S,$B264,'Executive Pay Breakdown'!U:U)+SUMIF('Executive Pay Breakdown'!W:W,$B264,'Executive Pay Breakdown'!Y:Y)+SUMIF('Executive Pay Breakdown'!AA:AA,$B264,'Executive Pay Breakdown'!AC:AC)</f>
        <v>14491274</v>
      </c>
      <c r="E264" s="109"/>
      <c r="F264" s="69">
        <f>SUMIF('Executive Pay Breakdown'!K:K,$B264,'Executive Pay Breakdown'!M:M)</f>
        <v>0</v>
      </c>
      <c r="G264" s="69">
        <f>SUMIF('Executive Pay Breakdown'!O:O,$B264,'Executive Pay Breakdown'!Q:Q)</f>
        <v>0</v>
      </c>
      <c r="H264" s="69">
        <f>SUMIF('Executive Pay Breakdown'!S:S,$B264,'Executive Pay Breakdown'!U:U)</f>
        <v>6173021</v>
      </c>
      <c r="I264" s="69">
        <f>SUMIF('Executive Pay Breakdown'!W:W,$B264,'Executive Pay Breakdown'!Y:Y)</f>
        <v>8318253</v>
      </c>
      <c r="J264" s="69">
        <f>SUMIF('Executive Pay Breakdown'!AA:AA,$B264,'Executive Pay Breakdown'!AC:AC)</f>
        <v>0</v>
      </c>
      <c r="K264" s="90"/>
      <c r="L264" s="212"/>
      <c r="M264" s="87"/>
      <c r="N264" s="87"/>
      <c r="O264" s="120">
        <f>MATCH(C264,'Key Findings'!B:B,0)</f>
        <v>15</v>
      </c>
    </row>
    <row r="265">
      <c r="A265" s="81"/>
      <c r="B265" s="134" t="s">
        <v>351</v>
      </c>
      <c r="C265" s="87" t="s">
        <v>56</v>
      </c>
      <c r="D265" s="89">
        <f>SUMIF('Executive Pay Breakdown'!K:K,$B265,'Executive Pay Breakdown'!M:M)+SUMIF('Executive Pay Breakdown'!O:O,$B265,'Executive Pay Breakdown'!Q:Q)+SUMIF('Executive Pay Breakdown'!S:S,$B265,'Executive Pay Breakdown'!U:U)+SUMIF('Executive Pay Breakdown'!W:W,$B265,'Executive Pay Breakdown'!Y:Y)+SUMIF('Executive Pay Breakdown'!AA:AA,$B265,'Executive Pay Breakdown'!AC:AC)</f>
        <v>14487313</v>
      </c>
      <c r="E265" s="109"/>
      <c r="F265" s="69">
        <f>SUMIF('Executive Pay Breakdown'!K:K,$B265,'Executive Pay Breakdown'!M:M)</f>
        <v>6042253</v>
      </c>
      <c r="G265" s="69">
        <f>SUMIF('Executive Pay Breakdown'!O:O,$B265,'Executive Pay Breakdown'!Q:Q)</f>
        <v>3936673</v>
      </c>
      <c r="H265" s="69">
        <f>SUMIF('Executive Pay Breakdown'!S:S,$B265,'Executive Pay Breakdown'!U:U)</f>
        <v>4508387</v>
      </c>
      <c r="I265" s="69">
        <f>SUMIF('Executive Pay Breakdown'!W:W,$B265,'Executive Pay Breakdown'!Y:Y)</f>
        <v>0</v>
      </c>
      <c r="J265" s="69">
        <f>SUMIF('Executive Pay Breakdown'!AA:AA,$B265,'Executive Pay Breakdown'!AC:AC)</f>
        <v>0</v>
      </c>
      <c r="K265" s="90"/>
      <c r="L265" s="212"/>
      <c r="M265" s="87"/>
      <c r="N265" s="230"/>
      <c r="O265" s="120">
        <f>MATCH(C265,'Key Findings'!B:B,0)</f>
        <v>30</v>
      </c>
    </row>
    <row r="266">
      <c r="A266" s="62"/>
      <c r="B266" s="127" t="s">
        <v>277</v>
      </c>
      <c r="C266" s="87" t="s">
        <v>26</v>
      </c>
      <c r="D266" s="89">
        <f>SUMIF('Executive Pay Breakdown'!K:K,$B266,'Executive Pay Breakdown'!M:M)+SUMIF('Executive Pay Breakdown'!O:O,$B266,'Executive Pay Breakdown'!Q:Q)+SUMIF('Executive Pay Breakdown'!S:S,$B266,'Executive Pay Breakdown'!U:U)+SUMIF('Executive Pay Breakdown'!W:W,$B266,'Executive Pay Breakdown'!Y:Y)+SUMIF('Executive Pay Breakdown'!AA:AA,$B266,'Executive Pay Breakdown'!AC:AC)</f>
        <v>14376953</v>
      </c>
      <c r="E266" s="109"/>
      <c r="F266" s="69">
        <f>SUMIF('Executive Pay Breakdown'!K:K,$B266,'Executive Pay Breakdown'!M:M)</f>
        <v>3033407</v>
      </c>
      <c r="G266" s="69">
        <f>SUMIF('Executive Pay Breakdown'!O:O,$B266,'Executive Pay Breakdown'!Q:Q)</f>
        <v>2224950</v>
      </c>
      <c r="H266" s="69">
        <f>SUMIF('Executive Pay Breakdown'!S:S,$B266,'Executive Pay Breakdown'!U:U)</f>
        <v>2324165</v>
      </c>
      <c r="I266" s="69">
        <f>SUMIF('Executive Pay Breakdown'!W:W,$B266,'Executive Pay Breakdown'!Y:Y)</f>
        <v>2605008</v>
      </c>
      <c r="J266" s="69">
        <f>SUMIF('Executive Pay Breakdown'!AA:AA,$B266,'Executive Pay Breakdown'!AC:AC)</f>
        <v>4189423</v>
      </c>
      <c r="K266" s="90"/>
      <c r="L266" s="212"/>
      <c r="M266" s="87"/>
      <c r="N266" s="230">
        <f>F266/J266-1</f>
        <v>-0.2759368056</v>
      </c>
      <c r="O266" s="120">
        <f>MATCH(C266,'Key Findings'!B:B,0)</f>
        <v>48</v>
      </c>
    </row>
    <row r="267">
      <c r="A267" s="81"/>
      <c r="B267" s="137" t="s">
        <v>309</v>
      </c>
      <c r="C267" s="87" t="str">
        <f t="array" ref="C267">INDEX('Executive Pay Breakdown'!B:B,MATCH(B267,'Executive Pay Breakdown'!K:K,0))</f>
        <v>Darden Restaurants</v>
      </c>
      <c r="D267" s="89">
        <f>SUMIF('Executive Pay Breakdown'!K:K,$B267,'Executive Pay Breakdown'!M:M)+SUMIF('Executive Pay Breakdown'!O:O,$B267,'Executive Pay Breakdown'!Q:Q)+SUMIF('Executive Pay Breakdown'!S:S,$B267,'Executive Pay Breakdown'!U:U)+SUMIF('Executive Pay Breakdown'!W:W,$B267,'Executive Pay Breakdown'!Y:Y)+SUMIF('Executive Pay Breakdown'!AA:AA,$B267,'Executive Pay Breakdown'!AC:AC)</f>
        <v>14343110</v>
      </c>
      <c r="E267" s="109"/>
      <c r="F267" s="69">
        <f>SUMIF('Executive Pay Breakdown'!K:K,$B267,'Executive Pay Breakdown'!M:M)</f>
        <v>3026160</v>
      </c>
      <c r="G267" s="69">
        <f>SUMIF('Executive Pay Breakdown'!O:O,$B267,'Executive Pay Breakdown'!Q:Q)</f>
        <v>3102699</v>
      </c>
      <c r="H267" s="69">
        <f>SUMIF('Executive Pay Breakdown'!S:S,$B267,'Executive Pay Breakdown'!U:U)</f>
        <v>2693769</v>
      </c>
      <c r="I267" s="69">
        <f>SUMIF('Executive Pay Breakdown'!W:W,$B267,'Executive Pay Breakdown'!Y:Y)</f>
        <v>2719627</v>
      </c>
      <c r="J267" s="69">
        <f>SUMIF('Executive Pay Breakdown'!AA:AA,$B267,'Executive Pay Breakdown'!AC:AC)</f>
        <v>2800855</v>
      </c>
      <c r="K267" s="90"/>
      <c r="L267" s="212"/>
      <c r="M267" s="87"/>
      <c r="N267" s="230"/>
      <c r="O267" s="120">
        <f>MATCH(C267,'Key Findings'!B:B,0)</f>
        <v>53</v>
      </c>
    </row>
    <row r="268">
      <c r="A268" s="81"/>
      <c r="B268" s="134" t="s">
        <v>352</v>
      </c>
      <c r="C268" s="87" t="s">
        <v>56</v>
      </c>
      <c r="D268" s="89">
        <f>SUMIF('Executive Pay Breakdown'!K:K,$B268,'Executive Pay Breakdown'!M:M)+SUMIF('Executive Pay Breakdown'!O:O,$B268,'Executive Pay Breakdown'!Q:Q)+SUMIF('Executive Pay Breakdown'!S:S,$B268,'Executive Pay Breakdown'!U:U)+SUMIF('Executive Pay Breakdown'!W:W,$B268,'Executive Pay Breakdown'!Y:Y)+SUMIF('Executive Pay Breakdown'!AA:AA,$B268,'Executive Pay Breakdown'!AC:AC)</f>
        <v>14262497</v>
      </c>
      <c r="E268" s="109"/>
      <c r="F268" s="69">
        <f>SUMIF('Executive Pay Breakdown'!K:K,$B268,'Executive Pay Breakdown'!M:M)</f>
        <v>0</v>
      </c>
      <c r="G268" s="69">
        <f>SUMIF('Executive Pay Breakdown'!O:O,$B268,'Executive Pay Breakdown'!Q:Q)</f>
        <v>3965001</v>
      </c>
      <c r="H268" s="69">
        <f>SUMIF('Executive Pay Breakdown'!S:S,$B268,'Executive Pay Breakdown'!U:U)</f>
        <v>5870711</v>
      </c>
      <c r="I268" s="69">
        <f>SUMIF('Executive Pay Breakdown'!W:W,$B268,'Executive Pay Breakdown'!Y:Y)</f>
        <v>4426785</v>
      </c>
      <c r="J268" s="69">
        <f>SUMIF('Executive Pay Breakdown'!AA:AA,$B268,'Executive Pay Breakdown'!AC:AC)</f>
        <v>0</v>
      </c>
      <c r="K268" s="90"/>
      <c r="L268" s="212"/>
      <c r="M268" s="87"/>
      <c r="N268" s="87"/>
      <c r="O268" s="120">
        <f>MATCH(C268,'Key Findings'!B:B,0)</f>
        <v>30</v>
      </c>
    </row>
    <row r="269">
      <c r="A269" s="62"/>
      <c r="B269" s="127" t="s">
        <v>407</v>
      </c>
      <c r="C269" s="87" t="s">
        <v>18</v>
      </c>
      <c r="D269" s="89">
        <f>SUMIF('Executive Pay Breakdown'!K:K,$B269,'Executive Pay Breakdown'!M:M)+SUMIF('Executive Pay Breakdown'!O:O,$B269,'Executive Pay Breakdown'!Q:Q)+SUMIF('Executive Pay Breakdown'!S:S,$B269,'Executive Pay Breakdown'!U:U)+SUMIF('Executive Pay Breakdown'!W:W,$B269,'Executive Pay Breakdown'!Y:Y)+SUMIF('Executive Pay Breakdown'!AA:AA,$B269,'Executive Pay Breakdown'!AC:AC)</f>
        <v>14155140</v>
      </c>
      <c r="E269" s="109"/>
      <c r="F269" s="69">
        <f>SUMIF('Executive Pay Breakdown'!K:K,$B269,'Executive Pay Breakdown'!M:M)</f>
        <v>0</v>
      </c>
      <c r="G269" s="69">
        <f>SUMIF('Executive Pay Breakdown'!O:O,$B269,'Executive Pay Breakdown'!Q:Q)</f>
        <v>0</v>
      </c>
      <c r="H269" s="69">
        <f>SUMIF('Executive Pay Breakdown'!S:S,$B269,'Executive Pay Breakdown'!U:U)</f>
        <v>5414165</v>
      </c>
      <c r="I269" s="69">
        <f>SUMIF('Executive Pay Breakdown'!W:W,$B269,'Executive Pay Breakdown'!Y:Y)</f>
        <v>6176552</v>
      </c>
      <c r="J269" s="69">
        <f>SUMIF('Executive Pay Breakdown'!AA:AA,$B269,'Executive Pay Breakdown'!AC:AC)</f>
        <v>2564423</v>
      </c>
      <c r="K269" s="90"/>
      <c r="L269" s="212"/>
      <c r="M269" s="87"/>
      <c r="N269" s="87"/>
      <c r="O269" s="120">
        <f>MATCH(C269,'Key Findings'!B:B,0)</f>
        <v>8</v>
      </c>
    </row>
    <row r="270">
      <c r="A270" s="81"/>
      <c r="B270" s="137" t="s">
        <v>341</v>
      </c>
      <c r="C270" s="87" t="str">
        <f t="array" ref="C270">INDEX('Executive Pay Breakdown'!B:B,MATCH(B270,'Executive Pay Breakdown'!K:K,0))</f>
        <v>PPG Industries</v>
      </c>
      <c r="D270" s="89">
        <f>SUMIF('Executive Pay Breakdown'!K:K,$B270,'Executive Pay Breakdown'!M:M)+SUMIF('Executive Pay Breakdown'!O:O,$B270,'Executive Pay Breakdown'!Q:Q)+SUMIF('Executive Pay Breakdown'!S:S,$B270,'Executive Pay Breakdown'!U:U)+SUMIF('Executive Pay Breakdown'!W:W,$B270,'Executive Pay Breakdown'!Y:Y)+SUMIF('Executive Pay Breakdown'!AA:AA,$B270,'Executive Pay Breakdown'!AC:AC)</f>
        <v>14058875</v>
      </c>
      <c r="E270" s="109"/>
      <c r="F270" s="69">
        <f>SUMIF('Executive Pay Breakdown'!K:K,$B270,'Executive Pay Breakdown'!M:M)</f>
        <v>2861192</v>
      </c>
      <c r="G270" s="69">
        <f>SUMIF('Executive Pay Breakdown'!O:O,$B270,'Executive Pay Breakdown'!Q:Q)</f>
        <v>3094708</v>
      </c>
      <c r="H270" s="69">
        <f>SUMIF('Executive Pay Breakdown'!S:S,$B270,'Executive Pay Breakdown'!U:U)</f>
        <v>4053263</v>
      </c>
      <c r="I270" s="69">
        <f>SUMIF('Executive Pay Breakdown'!W:W,$B270,'Executive Pay Breakdown'!Y:Y)</f>
        <v>2114658</v>
      </c>
      <c r="J270" s="69">
        <f>SUMIF('Executive Pay Breakdown'!AA:AA,$B270,'Executive Pay Breakdown'!AC:AC)</f>
        <v>1935054</v>
      </c>
      <c r="K270" s="90"/>
      <c r="L270" s="212"/>
      <c r="M270" s="87"/>
      <c r="N270" s="230"/>
      <c r="O270" s="120">
        <f>MATCH(C270,'Key Findings'!B:B,0)</f>
        <v>50</v>
      </c>
    </row>
    <row r="271">
      <c r="A271" s="62"/>
      <c r="B271" s="127" t="s">
        <v>459</v>
      </c>
      <c r="C271" s="87" t="s">
        <v>12</v>
      </c>
      <c r="D271" s="89">
        <f>SUMIF('Executive Pay Breakdown'!K:K,$B271,'Executive Pay Breakdown'!M:M)+SUMIF('Executive Pay Breakdown'!O:O,$B271,'Executive Pay Breakdown'!Q:Q)+SUMIF('Executive Pay Breakdown'!S:S,$B271,'Executive Pay Breakdown'!U:U)+SUMIF('Executive Pay Breakdown'!W:W,$B271,'Executive Pay Breakdown'!Y:Y)+SUMIF('Executive Pay Breakdown'!AA:AA,$B271,'Executive Pay Breakdown'!AC:AC)</f>
        <v>13786671</v>
      </c>
      <c r="E271" s="109"/>
      <c r="F271" s="69">
        <f>SUMIF('Executive Pay Breakdown'!K:K,$B271,'Executive Pay Breakdown'!M:M)</f>
        <v>0</v>
      </c>
      <c r="G271" s="69">
        <f>SUMIF('Executive Pay Breakdown'!O:O,$B271,'Executive Pay Breakdown'!Q:Q)</f>
        <v>0</v>
      </c>
      <c r="H271" s="69">
        <f>SUMIF('Executive Pay Breakdown'!S:S,$B271,'Executive Pay Breakdown'!U:U)</f>
        <v>0</v>
      </c>
      <c r="I271" s="69">
        <f>SUMIF('Executive Pay Breakdown'!W:W,$B271,'Executive Pay Breakdown'!Y:Y)</f>
        <v>7122222</v>
      </c>
      <c r="J271" s="69">
        <f>SUMIF('Executive Pay Breakdown'!AA:AA,$B271,'Executive Pay Breakdown'!AC:AC)</f>
        <v>6664449</v>
      </c>
      <c r="K271" s="90"/>
      <c r="L271" s="212"/>
      <c r="M271" s="87"/>
      <c r="N271" s="87"/>
      <c r="O271" s="120">
        <f>MATCH(C271,'Key Findings'!B:B,0)</f>
        <v>17</v>
      </c>
    </row>
    <row r="272">
      <c r="A272" s="62"/>
      <c r="B272" s="86" t="s">
        <v>281</v>
      </c>
      <c r="C272" s="87" t="s">
        <v>45</v>
      </c>
      <c r="D272" s="89">
        <f>SUMIF('Executive Pay Breakdown'!K:K,$B272,'Executive Pay Breakdown'!M:M)+SUMIF('Executive Pay Breakdown'!O:O,$B272,'Executive Pay Breakdown'!Q:Q)+SUMIF('Executive Pay Breakdown'!S:S,$B272,'Executive Pay Breakdown'!U:U)+SUMIF('Executive Pay Breakdown'!W:W,$B272,'Executive Pay Breakdown'!Y:Y)+SUMIF('Executive Pay Breakdown'!AA:AA,$B272,'Executive Pay Breakdown'!AC:AC)</f>
        <v>13719221</v>
      </c>
      <c r="E272" s="109"/>
      <c r="F272" s="69">
        <f>SUMIF('Executive Pay Breakdown'!K:K,$B272,'Executive Pay Breakdown'!M:M)</f>
        <v>2504003</v>
      </c>
      <c r="G272" s="69">
        <f>SUMIF('Executive Pay Breakdown'!O:O,$B272,'Executive Pay Breakdown'!Q:Q)</f>
        <v>2692704</v>
      </c>
      <c r="H272" s="69">
        <f>SUMIF('Executive Pay Breakdown'!S:S,$B272,'Executive Pay Breakdown'!U:U)</f>
        <v>2432145</v>
      </c>
      <c r="I272" s="69">
        <f>SUMIF('Executive Pay Breakdown'!W:W,$B272,'Executive Pay Breakdown'!Y:Y)</f>
        <v>2375349</v>
      </c>
      <c r="J272" s="69">
        <f>SUMIF('Executive Pay Breakdown'!AA:AA,$B272,'Executive Pay Breakdown'!AC:AC)</f>
        <v>3715020</v>
      </c>
      <c r="K272" s="90"/>
      <c r="L272" s="212"/>
      <c r="M272" s="87"/>
      <c r="N272" s="230">
        <f>F272/J272-1</f>
        <v>-0.325978595</v>
      </c>
      <c r="O272" s="120">
        <f>MATCH(C272,'Key Findings'!B:B,0)</f>
        <v>60</v>
      </c>
    </row>
    <row r="273">
      <c r="A273" s="62"/>
      <c r="B273" s="86" t="s">
        <v>416</v>
      </c>
      <c r="C273" s="233" t="s">
        <v>63</v>
      </c>
      <c r="D273" s="89">
        <f>SUMIF('Executive Pay Breakdown'!K:K,$B273,'Executive Pay Breakdown'!M:M)+SUMIF('Executive Pay Breakdown'!O:O,$B273,'Executive Pay Breakdown'!Q:Q)+SUMIF('Executive Pay Breakdown'!S:S,$B273,'Executive Pay Breakdown'!U:U)+SUMIF('Executive Pay Breakdown'!W:W,$B273,'Executive Pay Breakdown'!Y:Y)+SUMIF('Executive Pay Breakdown'!AA:AA,$B273,'Executive Pay Breakdown'!AC:AC)</f>
        <v>13642769</v>
      </c>
      <c r="E273" s="109"/>
      <c r="F273" s="69">
        <f>SUMIF('Executive Pay Breakdown'!K:K,$B273,'Executive Pay Breakdown'!M:M)</f>
        <v>0</v>
      </c>
      <c r="G273" s="69">
        <f>SUMIF('Executive Pay Breakdown'!O:O,$B273,'Executive Pay Breakdown'!Q:Q)</f>
        <v>6517451</v>
      </c>
      <c r="H273" s="69">
        <f>SUMIF('Executive Pay Breakdown'!S:S,$B273,'Executive Pay Breakdown'!U:U)</f>
        <v>2448472</v>
      </c>
      <c r="I273" s="69">
        <f>SUMIF('Executive Pay Breakdown'!W:W,$B273,'Executive Pay Breakdown'!Y:Y)</f>
        <v>2452976</v>
      </c>
      <c r="J273" s="69">
        <f>SUMIF('Executive Pay Breakdown'!AA:AA,$B273,'Executive Pay Breakdown'!AC:AC)</f>
        <v>2223870</v>
      </c>
      <c r="K273" s="90"/>
      <c r="L273" s="212"/>
      <c r="M273" s="87"/>
      <c r="N273" s="87"/>
      <c r="O273" s="120">
        <f>MATCH(C273,'Key Findings'!B:B,0)</f>
        <v>29</v>
      </c>
    </row>
    <row r="274">
      <c r="A274" s="62"/>
      <c r="B274" s="86" t="s">
        <v>419</v>
      </c>
      <c r="C274" s="233" t="s">
        <v>63</v>
      </c>
      <c r="D274" s="89">
        <f>SUMIF('Executive Pay Breakdown'!K:K,$B274,'Executive Pay Breakdown'!M:M)+SUMIF('Executive Pay Breakdown'!O:O,$B274,'Executive Pay Breakdown'!Q:Q)+SUMIF('Executive Pay Breakdown'!S:S,$B274,'Executive Pay Breakdown'!U:U)+SUMIF('Executive Pay Breakdown'!W:W,$B274,'Executive Pay Breakdown'!Y:Y)+SUMIF('Executive Pay Breakdown'!AA:AA,$B274,'Executive Pay Breakdown'!AC:AC)</f>
        <v>13562733</v>
      </c>
      <c r="E274" s="109"/>
      <c r="F274" s="69">
        <f>SUMIF('Executive Pay Breakdown'!K:K,$B274,'Executive Pay Breakdown'!M:M)</f>
        <v>0</v>
      </c>
      <c r="G274" s="69">
        <f>SUMIF('Executive Pay Breakdown'!O:O,$B274,'Executive Pay Breakdown'!Q:Q)</f>
        <v>6497117</v>
      </c>
      <c r="H274" s="69">
        <f>SUMIF('Executive Pay Breakdown'!S:S,$B274,'Executive Pay Breakdown'!U:U)</f>
        <v>2430318</v>
      </c>
      <c r="I274" s="69">
        <f>SUMIF('Executive Pay Breakdown'!W:W,$B274,'Executive Pay Breakdown'!Y:Y)</f>
        <v>2433242</v>
      </c>
      <c r="J274" s="69">
        <f>SUMIF('Executive Pay Breakdown'!AA:AA,$B274,'Executive Pay Breakdown'!AC:AC)</f>
        <v>2202056</v>
      </c>
      <c r="K274" s="90"/>
      <c r="L274" s="212"/>
      <c r="M274" s="87"/>
      <c r="N274" s="87"/>
      <c r="O274" s="120">
        <f>MATCH(C274,'Key Findings'!B:B,0)</f>
        <v>29</v>
      </c>
    </row>
    <row r="275">
      <c r="A275" s="62"/>
      <c r="B275" s="86" t="s">
        <v>189</v>
      </c>
      <c r="C275" s="233" t="s">
        <v>72</v>
      </c>
      <c r="D275" s="89">
        <f>SUMIF('Executive Pay Breakdown'!K:K,$B275,'Executive Pay Breakdown'!M:M)+SUMIF('Executive Pay Breakdown'!O:O,$B275,'Executive Pay Breakdown'!Q:Q)+SUMIF('Executive Pay Breakdown'!S:S,$B275,'Executive Pay Breakdown'!U:U)+SUMIF('Executive Pay Breakdown'!W:W,$B275,'Executive Pay Breakdown'!Y:Y)+SUMIF('Executive Pay Breakdown'!AA:AA,$B275,'Executive Pay Breakdown'!AC:AC)</f>
        <v>13402863</v>
      </c>
      <c r="E275" s="109"/>
      <c r="F275" s="69">
        <f>SUMIF('Executive Pay Breakdown'!K:K,$B275,'Executive Pay Breakdown'!M:M)</f>
        <v>2438511</v>
      </c>
      <c r="G275" s="69">
        <f>SUMIF('Executive Pay Breakdown'!O:O,$B275,'Executive Pay Breakdown'!Q:Q)</f>
        <v>3298084</v>
      </c>
      <c r="H275" s="69">
        <f>SUMIF('Executive Pay Breakdown'!S:S,$B275,'Executive Pay Breakdown'!U:U)</f>
        <v>3194366</v>
      </c>
      <c r="I275" s="69">
        <f>SUMIF('Executive Pay Breakdown'!W:W,$B275,'Executive Pay Breakdown'!Y:Y)</f>
        <v>2820453</v>
      </c>
      <c r="J275" s="69">
        <f>SUMIF('Executive Pay Breakdown'!AA:AA,$B275,'Executive Pay Breakdown'!AC:AC)</f>
        <v>1651449</v>
      </c>
      <c r="K275" s="90"/>
      <c r="L275" s="212"/>
      <c r="M275" s="87"/>
      <c r="N275" s="230">
        <f>F275/J275-1</f>
        <v>0.4765887412</v>
      </c>
      <c r="O275" s="120">
        <f>MATCH(C275,'Key Findings'!B:B,0)</f>
        <v>46</v>
      </c>
    </row>
    <row r="276">
      <c r="A276" s="62"/>
      <c r="B276" s="87" t="s">
        <v>395</v>
      </c>
      <c r="C276" s="87" t="s">
        <v>19</v>
      </c>
      <c r="D276" s="89">
        <f>SUMIF('Executive Pay Breakdown'!K:K,$B276,'Executive Pay Breakdown'!M:M)+SUMIF('Executive Pay Breakdown'!O:O,$B276,'Executive Pay Breakdown'!Q:Q)+SUMIF('Executive Pay Breakdown'!S:S,$B276,'Executive Pay Breakdown'!U:U)+SUMIF('Executive Pay Breakdown'!W:W,$B276,'Executive Pay Breakdown'!Y:Y)+SUMIF('Executive Pay Breakdown'!AA:AA,$B276,'Executive Pay Breakdown'!AC:AC)</f>
        <v>13348808</v>
      </c>
      <c r="E276" s="109"/>
      <c r="F276" s="69">
        <f>SUMIF('Executive Pay Breakdown'!K:K,$B276,'Executive Pay Breakdown'!M:M)</f>
        <v>0</v>
      </c>
      <c r="G276" s="69">
        <f>SUMIF('Executive Pay Breakdown'!O:O,$B276,'Executive Pay Breakdown'!Q:Q)</f>
        <v>0</v>
      </c>
      <c r="H276" s="69">
        <f>SUMIF('Executive Pay Breakdown'!S:S,$B276,'Executive Pay Breakdown'!U:U)</f>
        <v>0</v>
      </c>
      <c r="I276" s="69">
        <f>SUMIF('Executive Pay Breakdown'!W:W,$B276,'Executive Pay Breakdown'!Y:Y)</f>
        <v>5467707</v>
      </c>
      <c r="J276" s="69">
        <f>SUMIF('Executive Pay Breakdown'!AA:AA,$B276,'Executive Pay Breakdown'!AC:AC)</f>
        <v>7881101</v>
      </c>
      <c r="K276" s="90"/>
      <c r="L276" s="212"/>
      <c r="M276" s="87"/>
      <c r="N276" s="87"/>
      <c r="O276" s="120">
        <f>MATCH(C276,'Key Findings'!B:B,0)</f>
        <v>6</v>
      </c>
    </row>
    <row r="277">
      <c r="A277" s="62"/>
      <c r="B277" s="127" t="s">
        <v>467</v>
      </c>
      <c r="C277" s="87" t="s">
        <v>34</v>
      </c>
      <c r="D277" s="89">
        <f>SUMIF('Executive Pay Breakdown'!K:K,$B277,'Executive Pay Breakdown'!M:M)+SUMIF('Executive Pay Breakdown'!O:O,$B277,'Executive Pay Breakdown'!Q:Q)+SUMIF('Executive Pay Breakdown'!S:S,$B277,'Executive Pay Breakdown'!U:U)+SUMIF('Executive Pay Breakdown'!W:W,$B277,'Executive Pay Breakdown'!Y:Y)+SUMIF('Executive Pay Breakdown'!AA:AA,$B277,'Executive Pay Breakdown'!AC:AC)</f>
        <v>13342736</v>
      </c>
      <c r="E277" s="109"/>
      <c r="F277" s="69">
        <f>SUMIF('Executive Pay Breakdown'!K:K,$B277,'Executive Pay Breakdown'!M:M)</f>
        <v>0</v>
      </c>
      <c r="G277" s="69">
        <f>SUMIF('Executive Pay Breakdown'!O:O,$B277,'Executive Pay Breakdown'!Q:Q)</f>
        <v>4292419</v>
      </c>
      <c r="H277" s="69">
        <f>SUMIF('Executive Pay Breakdown'!S:S,$B277,'Executive Pay Breakdown'!U:U)</f>
        <v>5104454</v>
      </c>
      <c r="I277" s="69">
        <f>SUMIF('Executive Pay Breakdown'!W:W,$B277,'Executive Pay Breakdown'!Y:Y)</f>
        <v>3945863</v>
      </c>
      <c r="J277" s="69">
        <f>SUMIF('Executive Pay Breakdown'!AA:AA,$B277,'Executive Pay Breakdown'!AC:AC)</f>
        <v>0</v>
      </c>
      <c r="K277" s="90"/>
      <c r="L277" s="212"/>
      <c r="M277" s="87"/>
      <c r="N277" s="87"/>
      <c r="O277" s="120">
        <f>MATCH(C277,'Key Findings'!B:B,0)</f>
        <v>34</v>
      </c>
    </row>
    <row r="278">
      <c r="A278" s="81"/>
      <c r="B278" s="133" t="s">
        <v>420</v>
      </c>
      <c r="C278" s="87" t="s">
        <v>50</v>
      </c>
      <c r="D278" s="89">
        <f>SUMIF('Executive Pay Breakdown'!K:K,$B278,'Executive Pay Breakdown'!M:M)+SUMIF('Executive Pay Breakdown'!O:O,$B278,'Executive Pay Breakdown'!Q:Q)+SUMIF('Executive Pay Breakdown'!S:S,$B278,'Executive Pay Breakdown'!U:U)+SUMIF('Executive Pay Breakdown'!W:W,$B278,'Executive Pay Breakdown'!Y:Y)+SUMIF('Executive Pay Breakdown'!AA:AA,$B278,'Executive Pay Breakdown'!AC:AC)</f>
        <v>13312383</v>
      </c>
      <c r="E278" s="109"/>
      <c r="F278" s="69">
        <f>SUMIF('Executive Pay Breakdown'!K:K,$B278,'Executive Pay Breakdown'!M:M)</f>
        <v>0</v>
      </c>
      <c r="G278" s="69">
        <f>SUMIF('Executive Pay Breakdown'!O:O,$B278,'Executive Pay Breakdown'!Q:Q)</f>
        <v>0</v>
      </c>
      <c r="H278" s="69">
        <f>SUMIF('Executive Pay Breakdown'!S:S,$B278,'Executive Pay Breakdown'!U:U)</f>
        <v>8166099</v>
      </c>
      <c r="I278" s="69">
        <f>SUMIF('Executive Pay Breakdown'!W:W,$B278,'Executive Pay Breakdown'!Y:Y)</f>
        <v>5146284</v>
      </c>
      <c r="J278" s="69">
        <f>SUMIF('Executive Pay Breakdown'!AA:AA,$B278,'Executive Pay Breakdown'!AC:AC)</f>
        <v>0</v>
      </c>
      <c r="K278" s="90"/>
      <c r="L278" s="212"/>
      <c r="M278" s="87"/>
      <c r="N278" s="87"/>
      <c r="O278" s="120">
        <f>MATCH(C278,'Key Findings'!B:B,0)</f>
        <v>18</v>
      </c>
    </row>
    <row r="279">
      <c r="A279" s="81"/>
      <c r="B279" s="137" t="s">
        <v>311</v>
      </c>
      <c r="C279" s="87" t="str">
        <f t="array" ref="C279">INDEX('Executive Pay Breakdown'!B:B,MATCH(B279,'Executive Pay Breakdown'!K:K,0))</f>
        <v>Darden Restaurants</v>
      </c>
      <c r="D279" s="89">
        <f>SUMIF('Executive Pay Breakdown'!K:K,$B279,'Executive Pay Breakdown'!M:M)+SUMIF('Executive Pay Breakdown'!O:O,$B279,'Executive Pay Breakdown'!Q:Q)+SUMIF('Executive Pay Breakdown'!S:S,$B279,'Executive Pay Breakdown'!U:U)+SUMIF('Executive Pay Breakdown'!W:W,$B279,'Executive Pay Breakdown'!Y:Y)+SUMIF('Executive Pay Breakdown'!AA:AA,$B279,'Executive Pay Breakdown'!AC:AC)</f>
        <v>13237422</v>
      </c>
      <c r="E279" s="109"/>
      <c r="F279" s="69">
        <f>SUMIF('Executive Pay Breakdown'!K:K,$B279,'Executive Pay Breakdown'!M:M)</f>
        <v>3268719</v>
      </c>
      <c r="G279" s="69">
        <f>SUMIF('Executive Pay Breakdown'!O:O,$B279,'Executive Pay Breakdown'!Q:Q)</f>
        <v>2928556</v>
      </c>
      <c r="H279" s="69">
        <f>SUMIF('Executive Pay Breakdown'!S:S,$B279,'Executive Pay Breakdown'!U:U)</f>
        <v>2594115</v>
      </c>
      <c r="I279" s="69">
        <f>SUMIF('Executive Pay Breakdown'!W:W,$B279,'Executive Pay Breakdown'!Y:Y)</f>
        <v>2165563</v>
      </c>
      <c r="J279" s="69">
        <f>SUMIF('Executive Pay Breakdown'!AA:AA,$B279,'Executive Pay Breakdown'!AC:AC)</f>
        <v>2280469</v>
      </c>
      <c r="K279" s="90"/>
      <c r="L279" s="212"/>
      <c r="M279" s="87"/>
      <c r="N279" s="230"/>
      <c r="O279" s="120">
        <f>MATCH(C279,'Key Findings'!B:B,0)</f>
        <v>53</v>
      </c>
    </row>
    <row r="280">
      <c r="A280" s="62"/>
      <c r="B280" s="86" t="s">
        <v>269</v>
      </c>
      <c r="C280" s="87" t="s">
        <v>39</v>
      </c>
      <c r="D280" s="89">
        <f>SUMIF('Executive Pay Breakdown'!K:K,$B280,'Executive Pay Breakdown'!M:M)+SUMIF('Executive Pay Breakdown'!O:O,$B280,'Executive Pay Breakdown'!Q:Q)+SUMIF('Executive Pay Breakdown'!S:S,$B280,'Executive Pay Breakdown'!U:U)+SUMIF('Executive Pay Breakdown'!W:W,$B280,'Executive Pay Breakdown'!Y:Y)+SUMIF('Executive Pay Breakdown'!AA:AA,$B280,'Executive Pay Breakdown'!AC:AC)</f>
        <v>13161260</v>
      </c>
      <c r="E280" s="109"/>
      <c r="F280" s="69">
        <f>SUMIF('Executive Pay Breakdown'!K:K,$B280,'Executive Pay Breakdown'!M:M)</f>
        <v>2532467</v>
      </c>
      <c r="G280" s="69">
        <f>SUMIF('Executive Pay Breakdown'!O:O,$B280,'Executive Pay Breakdown'!Q:Q)</f>
        <v>2755867</v>
      </c>
      <c r="H280" s="69">
        <f>SUMIF('Executive Pay Breakdown'!S:S,$B280,'Executive Pay Breakdown'!U:U)</f>
        <v>2842848</v>
      </c>
      <c r="I280" s="69">
        <f>SUMIF('Executive Pay Breakdown'!W:W,$B280,'Executive Pay Breakdown'!Y:Y)</f>
        <v>2053703</v>
      </c>
      <c r="J280" s="69">
        <f>SUMIF('Executive Pay Breakdown'!AA:AA,$B280,'Executive Pay Breakdown'!AC:AC)</f>
        <v>2976375</v>
      </c>
      <c r="K280" s="90"/>
      <c r="L280" s="212"/>
      <c r="M280" s="87"/>
      <c r="N280" s="230">
        <f>F280/J280-1</f>
        <v>-0.1491438411</v>
      </c>
      <c r="O280" s="120">
        <f>MATCH(C280,'Key Findings'!B:B,0)</f>
        <v>57</v>
      </c>
    </row>
    <row r="281">
      <c r="A281" s="81"/>
      <c r="B281" s="87" t="s">
        <v>504</v>
      </c>
      <c r="C281" s="87" t="s">
        <v>52</v>
      </c>
      <c r="D281" s="89">
        <f>SUMIF('Executive Pay Breakdown'!K:K,$B281,'Executive Pay Breakdown'!M:M)+SUMIF('Executive Pay Breakdown'!O:O,$B281,'Executive Pay Breakdown'!Q:Q)+SUMIF('Executive Pay Breakdown'!S:S,$B281,'Executive Pay Breakdown'!U:U)+SUMIF('Executive Pay Breakdown'!W:W,$B281,'Executive Pay Breakdown'!Y:Y)+SUMIF('Executive Pay Breakdown'!AA:AA,$B281,'Executive Pay Breakdown'!AC:AC)</f>
        <v>13064275</v>
      </c>
      <c r="E281" s="109"/>
      <c r="F281" s="69">
        <f>SUMIF('Executive Pay Breakdown'!K:K,$B281,'Executive Pay Breakdown'!M:M)</f>
        <v>4580333</v>
      </c>
      <c r="G281" s="69">
        <f>SUMIF('Executive Pay Breakdown'!O:O,$B281,'Executive Pay Breakdown'!Q:Q)</f>
        <v>4663979</v>
      </c>
      <c r="H281" s="69">
        <f>SUMIF('Executive Pay Breakdown'!S:S,$B281,'Executive Pay Breakdown'!U:U)</f>
        <v>3819963</v>
      </c>
      <c r="I281" s="69">
        <f>SUMIF('Executive Pay Breakdown'!W:W,$B281,'Executive Pay Breakdown'!Y:Y)</f>
        <v>0</v>
      </c>
      <c r="J281" s="69">
        <f>SUMIF('Executive Pay Breakdown'!AA:AA,$B281,'Executive Pay Breakdown'!AC:AC)</f>
        <v>0</v>
      </c>
      <c r="K281" s="90"/>
      <c r="L281" s="212"/>
      <c r="M281" s="87"/>
      <c r="N281" s="230"/>
      <c r="O281" s="120">
        <f>MATCH(C281,'Key Findings'!B:B,0)</f>
        <v>21</v>
      </c>
    </row>
    <row r="282">
      <c r="A282" s="62"/>
      <c r="B282" s="125" t="s">
        <v>202</v>
      </c>
      <c r="C282" s="87" t="s">
        <v>23</v>
      </c>
      <c r="D282" s="89">
        <f>SUMIF('Executive Pay Breakdown'!K:K,$B282,'Executive Pay Breakdown'!M:M)+SUMIF('Executive Pay Breakdown'!O:O,$B282,'Executive Pay Breakdown'!Q:Q)+SUMIF('Executive Pay Breakdown'!S:S,$B282,'Executive Pay Breakdown'!U:U)+SUMIF('Executive Pay Breakdown'!W:W,$B282,'Executive Pay Breakdown'!Y:Y)+SUMIF('Executive Pay Breakdown'!AA:AA,$B282,'Executive Pay Breakdown'!AC:AC)</f>
        <v>13047889</v>
      </c>
      <c r="E282" s="109"/>
      <c r="F282" s="69">
        <f>SUMIF('Executive Pay Breakdown'!K:K,$B282,'Executive Pay Breakdown'!M:M)</f>
        <v>2749806</v>
      </c>
      <c r="G282" s="69">
        <f>SUMIF('Executive Pay Breakdown'!O:O,$B282,'Executive Pay Breakdown'!Q:Q)</f>
        <v>2952624</v>
      </c>
      <c r="H282" s="69">
        <f>SUMIF('Executive Pay Breakdown'!S:S,$B282,'Executive Pay Breakdown'!U:U)</f>
        <v>2989300</v>
      </c>
      <c r="I282" s="69">
        <f>SUMIF('Executive Pay Breakdown'!W:W,$B282,'Executive Pay Breakdown'!Y:Y)</f>
        <v>2351341</v>
      </c>
      <c r="J282" s="69">
        <f>SUMIF('Executive Pay Breakdown'!AA:AA,$B282,'Executive Pay Breakdown'!AC:AC)</f>
        <v>2004818</v>
      </c>
      <c r="K282" s="90"/>
      <c r="L282" s="212"/>
      <c r="M282" s="87"/>
      <c r="N282" s="230">
        <f t="shared" ref="N282:N283" si="32">F282/J282-1</f>
        <v>0.3715988184</v>
      </c>
      <c r="O282" s="120">
        <f>MATCH(C282,'Key Findings'!B:B,0)</f>
        <v>55</v>
      </c>
    </row>
    <row r="283">
      <c r="A283" s="62"/>
      <c r="B283" s="127" t="s">
        <v>192</v>
      </c>
      <c r="C283" s="87" t="s">
        <v>60</v>
      </c>
      <c r="D283" s="89">
        <f>SUMIF('Executive Pay Breakdown'!K:K,$B283,'Executive Pay Breakdown'!M:M)+SUMIF('Executive Pay Breakdown'!O:O,$B283,'Executive Pay Breakdown'!Q:Q)+SUMIF('Executive Pay Breakdown'!S:S,$B283,'Executive Pay Breakdown'!U:U)+SUMIF('Executive Pay Breakdown'!W:W,$B283,'Executive Pay Breakdown'!Y:Y)+SUMIF('Executive Pay Breakdown'!AA:AA,$B283,'Executive Pay Breakdown'!AC:AC)</f>
        <v>12933431</v>
      </c>
      <c r="E283" s="109"/>
      <c r="F283" s="69">
        <f>SUMIF('Executive Pay Breakdown'!K:K,$B283,'Executive Pay Breakdown'!M:M)</f>
        <v>2999100</v>
      </c>
      <c r="G283" s="69">
        <f>SUMIF('Executive Pay Breakdown'!O:O,$B283,'Executive Pay Breakdown'!Q:Q)</f>
        <v>3087738</v>
      </c>
      <c r="H283" s="69">
        <f>SUMIF('Executive Pay Breakdown'!S:S,$B283,'Executive Pay Breakdown'!U:U)</f>
        <v>2447119</v>
      </c>
      <c r="I283" s="69">
        <f>SUMIF('Executive Pay Breakdown'!W:W,$B283,'Executive Pay Breakdown'!Y:Y)</f>
        <v>2309703</v>
      </c>
      <c r="J283" s="69">
        <f>SUMIF('Executive Pay Breakdown'!AA:AA,$B283,'Executive Pay Breakdown'!AC:AC)</f>
        <v>2089771</v>
      </c>
      <c r="K283" s="90"/>
      <c r="L283" s="212"/>
      <c r="M283" s="87"/>
      <c r="N283" s="230">
        <f t="shared" si="32"/>
        <v>0.4351333232</v>
      </c>
      <c r="O283" s="120">
        <f>MATCH(C283,'Key Findings'!B:B,0)</f>
        <v>47</v>
      </c>
    </row>
    <row r="284">
      <c r="A284" s="62"/>
      <c r="B284" s="86" t="s">
        <v>422</v>
      </c>
      <c r="C284" s="233" t="s">
        <v>63</v>
      </c>
      <c r="D284" s="89">
        <f>SUMIF('Executive Pay Breakdown'!K:K,$B284,'Executive Pay Breakdown'!M:M)+SUMIF('Executive Pay Breakdown'!O:O,$B284,'Executive Pay Breakdown'!Q:Q)+SUMIF('Executive Pay Breakdown'!S:S,$B284,'Executive Pay Breakdown'!U:U)+SUMIF('Executive Pay Breakdown'!W:W,$B284,'Executive Pay Breakdown'!Y:Y)+SUMIF('Executive Pay Breakdown'!AA:AA,$B284,'Executive Pay Breakdown'!AC:AC)</f>
        <v>12918247</v>
      </c>
      <c r="E284" s="109"/>
      <c r="F284" s="69">
        <f>SUMIF('Executive Pay Breakdown'!K:K,$B284,'Executive Pay Breakdown'!M:M)</f>
        <v>0</v>
      </c>
      <c r="G284" s="69">
        <f>SUMIF('Executive Pay Breakdown'!O:O,$B284,'Executive Pay Breakdown'!Q:Q)</f>
        <v>5784999</v>
      </c>
      <c r="H284" s="69">
        <f>SUMIF('Executive Pay Breakdown'!S:S,$B284,'Executive Pay Breakdown'!U:U)</f>
        <v>2462844</v>
      </c>
      <c r="I284" s="69">
        <f>SUMIF('Executive Pay Breakdown'!W:W,$B284,'Executive Pay Breakdown'!Y:Y)</f>
        <v>2459913</v>
      </c>
      <c r="J284" s="69">
        <f>SUMIF('Executive Pay Breakdown'!AA:AA,$B284,'Executive Pay Breakdown'!AC:AC)</f>
        <v>2210491</v>
      </c>
      <c r="K284" s="90"/>
      <c r="L284" s="212"/>
      <c r="M284" s="87"/>
      <c r="N284" s="87"/>
      <c r="O284" s="120">
        <f>MATCH(C284,'Key Findings'!B:B,0)</f>
        <v>29</v>
      </c>
    </row>
    <row r="285">
      <c r="A285" s="62"/>
      <c r="B285" s="86" t="s">
        <v>150</v>
      </c>
      <c r="C285" s="236" t="s">
        <v>151</v>
      </c>
      <c r="D285" s="89">
        <f>SUMIF('Executive Pay Breakdown'!K:K,$B285,'Executive Pay Breakdown'!M:M)+SUMIF('Executive Pay Breakdown'!O:O,$B285,'Executive Pay Breakdown'!Q:Q)+SUMIF('Executive Pay Breakdown'!S:S,$B285,'Executive Pay Breakdown'!U:U)+SUMIF('Executive Pay Breakdown'!W:W,$B285,'Executive Pay Breakdown'!Y:Y)+SUMIF('Executive Pay Breakdown'!AA:AA,$B285,'Executive Pay Breakdown'!AC:AC)</f>
        <v>12826091</v>
      </c>
      <c r="E285" s="109"/>
      <c r="F285" s="126">
        <f>SUMIF('Executive Pay Breakdown'!K:K,$B285,'Executive Pay Breakdown'!M:M)</f>
        <v>4916509</v>
      </c>
      <c r="G285" s="69">
        <f>SUMIF('Executive Pay Breakdown'!O:O,$B285,'Executive Pay Breakdown'!Q:Q)</f>
        <v>2129552</v>
      </c>
      <c r="H285" s="69">
        <f>SUMIF('Executive Pay Breakdown'!S:S,$B285,'Executive Pay Breakdown'!U:U)</f>
        <v>2062273</v>
      </c>
      <c r="I285" s="69">
        <f>SUMIF('Executive Pay Breakdown'!W:W,$B285,'Executive Pay Breakdown'!Y:Y)</f>
        <v>1928911</v>
      </c>
      <c r="J285" s="69">
        <f>SUMIF('Executive Pay Breakdown'!AA:AA,$B285,'Executive Pay Breakdown'!AC:AC)</f>
        <v>1788846</v>
      </c>
      <c r="K285" s="90"/>
      <c r="L285" s="212"/>
      <c r="M285" s="87"/>
      <c r="N285" s="230">
        <f>F285/J285-1</f>
        <v>1.748424962</v>
      </c>
      <c r="O285" s="120" t="str">
        <f>MATCH(C285,'Key Findings'!B:B,0)</f>
        <v>#N/A</v>
      </c>
    </row>
    <row r="286">
      <c r="A286" s="81"/>
      <c r="B286" s="125" t="s">
        <v>401</v>
      </c>
      <c r="C286" s="87" t="s">
        <v>24</v>
      </c>
      <c r="D286" s="89">
        <f>SUMIF('Executive Pay Breakdown'!K:K,$B286,'Executive Pay Breakdown'!M:M)+SUMIF('Executive Pay Breakdown'!O:O,$B286,'Executive Pay Breakdown'!Q:Q)+SUMIF('Executive Pay Breakdown'!S:S,$B286,'Executive Pay Breakdown'!U:U)+SUMIF('Executive Pay Breakdown'!W:W,$B286,'Executive Pay Breakdown'!Y:Y)+SUMIF('Executive Pay Breakdown'!AA:AA,$B286,'Executive Pay Breakdown'!AC:AC)</f>
        <v>12781136</v>
      </c>
      <c r="E286" s="109"/>
      <c r="F286" s="69">
        <f>SUMIF('Executive Pay Breakdown'!K:K,$B286,'Executive Pay Breakdown'!M:M)</f>
        <v>0</v>
      </c>
      <c r="G286" s="69">
        <f>SUMIF('Executive Pay Breakdown'!O:O,$B286,'Executive Pay Breakdown'!Q:Q)</f>
        <v>12781136</v>
      </c>
      <c r="H286" s="69">
        <f>SUMIF('Executive Pay Breakdown'!S:S,$B286,'Executive Pay Breakdown'!U:U)</f>
        <v>0</v>
      </c>
      <c r="I286" s="69">
        <f>SUMIF('Executive Pay Breakdown'!W:W,$B286,'Executive Pay Breakdown'!Y:Y)</f>
        <v>0</v>
      </c>
      <c r="J286" s="69">
        <f>SUMIF('Executive Pay Breakdown'!AA:AA,$B286,'Executive Pay Breakdown'!AC:AC)</f>
        <v>0</v>
      </c>
      <c r="K286" s="90"/>
      <c r="L286" s="212"/>
      <c r="M286" s="212"/>
      <c r="N286" s="87"/>
      <c r="O286" s="120">
        <f>MATCH(C286,'Key Findings'!B:B,0)</f>
        <v>15</v>
      </c>
    </row>
    <row r="287">
      <c r="A287" s="62"/>
      <c r="B287" s="86" t="s">
        <v>466</v>
      </c>
      <c r="C287" s="87" t="s">
        <v>37</v>
      </c>
      <c r="D287" s="89">
        <f>SUMIF('Executive Pay Breakdown'!K:K,$B287,'Executive Pay Breakdown'!M:M)+SUMIF('Executive Pay Breakdown'!O:O,$B287,'Executive Pay Breakdown'!Q:Q)+SUMIF('Executive Pay Breakdown'!S:S,$B287,'Executive Pay Breakdown'!U:U)+SUMIF('Executive Pay Breakdown'!W:W,$B287,'Executive Pay Breakdown'!Y:Y)+SUMIF('Executive Pay Breakdown'!AA:AA,$B287,'Executive Pay Breakdown'!AC:AC)</f>
        <v>12768043</v>
      </c>
      <c r="E287" s="109"/>
      <c r="F287" s="69">
        <f>SUMIF('Executive Pay Breakdown'!K:K,$B287,'Executive Pay Breakdown'!M:M)</f>
        <v>3068826</v>
      </c>
      <c r="G287" s="69">
        <f>SUMIF('Executive Pay Breakdown'!O:O,$B287,'Executive Pay Breakdown'!Q:Q)</f>
        <v>3938769</v>
      </c>
      <c r="H287" s="69">
        <f>SUMIF('Executive Pay Breakdown'!S:S,$B287,'Executive Pay Breakdown'!U:U)</f>
        <v>3535007</v>
      </c>
      <c r="I287" s="69">
        <f>SUMIF('Executive Pay Breakdown'!W:W,$B287,'Executive Pay Breakdown'!Y:Y)</f>
        <v>2225441</v>
      </c>
      <c r="J287" s="69">
        <f>SUMIF('Executive Pay Breakdown'!AA:AA,$B287,'Executive Pay Breakdown'!AC:AC)</f>
        <v>0</v>
      </c>
      <c r="K287" s="90"/>
      <c r="L287" s="212"/>
      <c r="M287" s="87"/>
      <c r="N287" s="230"/>
      <c r="O287" s="120">
        <f>MATCH(C287,'Key Findings'!B:B,0)</f>
        <v>44</v>
      </c>
    </row>
    <row r="288">
      <c r="A288" s="62"/>
      <c r="B288" s="86" t="s">
        <v>441</v>
      </c>
      <c r="C288" s="233" t="s">
        <v>59</v>
      </c>
      <c r="D288" s="89">
        <f>SUMIF('Executive Pay Breakdown'!K:K,$B288,'Executive Pay Breakdown'!M:M)+SUMIF('Executive Pay Breakdown'!O:O,$B288,'Executive Pay Breakdown'!Q:Q)+SUMIF('Executive Pay Breakdown'!S:S,$B288,'Executive Pay Breakdown'!U:U)+SUMIF('Executive Pay Breakdown'!W:W,$B288,'Executive Pay Breakdown'!Y:Y)+SUMIF('Executive Pay Breakdown'!AA:AA,$B288,'Executive Pay Breakdown'!AC:AC)</f>
        <v>12706942</v>
      </c>
      <c r="E288" s="109"/>
      <c r="F288" s="69">
        <f>SUMIF('Executive Pay Breakdown'!K:K,$B288,'Executive Pay Breakdown'!M:M)</f>
        <v>0</v>
      </c>
      <c r="G288" s="69">
        <f>SUMIF('Executive Pay Breakdown'!O:O,$B288,'Executive Pay Breakdown'!Q:Q)</f>
        <v>3202037</v>
      </c>
      <c r="H288" s="69">
        <f>SUMIF('Executive Pay Breakdown'!S:S,$B288,'Executive Pay Breakdown'!U:U)</f>
        <v>2734318</v>
      </c>
      <c r="I288" s="69">
        <f>SUMIF('Executive Pay Breakdown'!W:W,$B288,'Executive Pay Breakdown'!Y:Y)</f>
        <v>3519856</v>
      </c>
      <c r="J288" s="69">
        <f>SUMIF('Executive Pay Breakdown'!AA:AA,$B288,'Executive Pay Breakdown'!AC:AC)</f>
        <v>3250731</v>
      </c>
      <c r="K288" s="90"/>
      <c r="L288" s="212"/>
      <c r="M288" s="87"/>
      <c r="N288" s="87"/>
      <c r="O288" s="120">
        <f>MATCH(C288,'Key Findings'!B:B,0)</f>
        <v>10</v>
      </c>
    </row>
    <row r="289">
      <c r="A289" s="62"/>
      <c r="B289" s="86" t="s">
        <v>443</v>
      </c>
      <c r="C289" s="233" t="s">
        <v>70</v>
      </c>
      <c r="D289" s="89">
        <f>SUMIF('Executive Pay Breakdown'!K:K,$B289,'Executive Pay Breakdown'!M:M)+SUMIF('Executive Pay Breakdown'!O:O,$B289,'Executive Pay Breakdown'!Q:Q)+SUMIF('Executive Pay Breakdown'!S:S,$B289,'Executive Pay Breakdown'!U:U)+SUMIF('Executive Pay Breakdown'!W:W,$B289,'Executive Pay Breakdown'!Y:Y)+SUMIF('Executive Pay Breakdown'!AA:AA,$B289,'Executive Pay Breakdown'!AC:AC)</f>
        <v>12598968</v>
      </c>
      <c r="E289" s="109"/>
      <c r="F289" s="69">
        <f>SUMIF('Executive Pay Breakdown'!K:K,$B289,'Executive Pay Breakdown'!M:M)</f>
        <v>0</v>
      </c>
      <c r="G289" s="69">
        <f>SUMIF('Executive Pay Breakdown'!O:O,$B289,'Executive Pay Breakdown'!Q:Q)</f>
        <v>4264518</v>
      </c>
      <c r="H289" s="69">
        <f>SUMIF('Executive Pay Breakdown'!S:S,$B289,'Executive Pay Breakdown'!U:U)</f>
        <v>2806504</v>
      </c>
      <c r="I289" s="69">
        <f>SUMIF('Executive Pay Breakdown'!W:W,$B289,'Executive Pay Breakdown'!Y:Y)</f>
        <v>3167932</v>
      </c>
      <c r="J289" s="69">
        <f>SUMIF('Executive Pay Breakdown'!AA:AA,$B289,'Executive Pay Breakdown'!AC:AC)</f>
        <v>2360014</v>
      </c>
      <c r="K289" s="90"/>
      <c r="L289" s="212"/>
      <c r="M289" s="87"/>
      <c r="N289" s="87"/>
      <c r="O289" s="120">
        <f>MATCH(C289,'Key Findings'!B:B,0)</f>
        <v>65</v>
      </c>
    </row>
    <row r="290">
      <c r="A290" s="62"/>
      <c r="B290" s="86" t="s">
        <v>478</v>
      </c>
      <c r="C290" s="87" t="s">
        <v>32</v>
      </c>
      <c r="D290" s="89">
        <f>SUMIF('Executive Pay Breakdown'!K:K,$B290,'Executive Pay Breakdown'!M:M)+SUMIF('Executive Pay Breakdown'!O:O,$B290,'Executive Pay Breakdown'!Q:Q)+SUMIF('Executive Pay Breakdown'!S:S,$B290,'Executive Pay Breakdown'!U:U)+SUMIF('Executive Pay Breakdown'!W:W,$B290,'Executive Pay Breakdown'!Y:Y)+SUMIF('Executive Pay Breakdown'!AA:AA,$B290,'Executive Pay Breakdown'!AC:AC)</f>
        <v>12594652</v>
      </c>
      <c r="E290" s="109"/>
      <c r="F290" s="69">
        <f>SUMIF('Executive Pay Breakdown'!K:K,$B290,'Executive Pay Breakdown'!M:M)</f>
        <v>0</v>
      </c>
      <c r="G290" s="69">
        <f>SUMIF('Executive Pay Breakdown'!O:O,$B290,'Executive Pay Breakdown'!Q:Q)</f>
        <v>0</v>
      </c>
      <c r="H290" s="69">
        <f>SUMIF('Executive Pay Breakdown'!S:S,$B290,'Executive Pay Breakdown'!U:U)</f>
        <v>6244323</v>
      </c>
      <c r="I290" s="69">
        <f>SUMIF('Executive Pay Breakdown'!W:W,$B290,'Executive Pay Breakdown'!Y:Y)</f>
        <v>6350329</v>
      </c>
      <c r="J290" s="69">
        <f>SUMIF('Executive Pay Breakdown'!AA:AA,$B290,'Executive Pay Breakdown'!AC:AC)</f>
        <v>0</v>
      </c>
      <c r="K290" s="90"/>
      <c r="L290" s="212"/>
      <c r="M290" s="87"/>
      <c r="N290" s="87"/>
      <c r="O290" s="120">
        <f>MATCH(C290,'Key Findings'!B:B,0)</f>
        <v>26</v>
      </c>
    </row>
    <row r="291">
      <c r="A291" s="62"/>
      <c r="B291" s="86" t="s">
        <v>423</v>
      </c>
      <c r="C291" s="87" t="s">
        <v>67</v>
      </c>
      <c r="D291" s="89">
        <f>SUMIF('Executive Pay Breakdown'!K:K,$B291,'Executive Pay Breakdown'!M:M)+SUMIF('Executive Pay Breakdown'!O:O,$B291,'Executive Pay Breakdown'!Q:Q)+SUMIF('Executive Pay Breakdown'!S:S,$B291,'Executive Pay Breakdown'!U:U)+SUMIF('Executive Pay Breakdown'!W:W,$B291,'Executive Pay Breakdown'!Y:Y)+SUMIF('Executive Pay Breakdown'!AA:AA,$B291,'Executive Pay Breakdown'!AC:AC)</f>
        <v>12563709</v>
      </c>
      <c r="E291" s="109"/>
      <c r="F291" s="69">
        <f>SUMIF('Executive Pay Breakdown'!K:K,$B291,'Executive Pay Breakdown'!M:M)</f>
        <v>6720753</v>
      </c>
      <c r="G291" s="69">
        <f>SUMIF('Executive Pay Breakdown'!O:O,$B291,'Executive Pay Breakdown'!Q:Q)</f>
        <v>2408687</v>
      </c>
      <c r="H291" s="69">
        <f>SUMIF('Executive Pay Breakdown'!S:S,$B291,'Executive Pay Breakdown'!U:U)</f>
        <v>2097292</v>
      </c>
      <c r="I291" s="69">
        <f>SUMIF('Executive Pay Breakdown'!W:W,$B291,'Executive Pay Breakdown'!Y:Y)</f>
        <v>1336977</v>
      </c>
      <c r="J291" s="69">
        <f>SUMIF('Executive Pay Breakdown'!AA:AA,$B291,'Executive Pay Breakdown'!AC:AC)</f>
        <v>0</v>
      </c>
      <c r="K291" s="90"/>
      <c r="L291" s="212"/>
      <c r="M291" s="87"/>
      <c r="N291" s="230"/>
      <c r="O291" s="120">
        <f>MATCH(C291,'Key Findings'!B:B,0)</f>
        <v>64</v>
      </c>
    </row>
    <row r="292">
      <c r="A292" s="62"/>
      <c r="B292" s="86" t="s">
        <v>259</v>
      </c>
      <c r="C292" s="87" t="s">
        <v>39</v>
      </c>
      <c r="D292" s="89">
        <f>SUMIF('Executive Pay Breakdown'!K:K,$B292,'Executive Pay Breakdown'!M:M)+SUMIF('Executive Pay Breakdown'!O:O,$B292,'Executive Pay Breakdown'!Q:Q)+SUMIF('Executive Pay Breakdown'!S:S,$B292,'Executive Pay Breakdown'!U:U)+SUMIF('Executive Pay Breakdown'!W:W,$B292,'Executive Pay Breakdown'!Y:Y)+SUMIF('Executive Pay Breakdown'!AA:AA,$B292,'Executive Pay Breakdown'!AC:AC)</f>
        <v>12438133</v>
      </c>
      <c r="E292" s="109"/>
      <c r="F292" s="69">
        <f>SUMIF('Executive Pay Breakdown'!K:K,$B292,'Executive Pay Breakdown'!M:M)</f>
        <v>2608121</v>
      </c>
      <c r="G292" s="69">
        <f>SUMIF('Executive Pay Breakdown'!O:O,$B292,'Executive Pay Breakdown'!Q:Q)</f>
        <v>2146478</v>
      </c>
      <c r="H292" s="69">
        <f>SUMIF('Executive Pay Breakdown'!S:S,$B292,'Executive Pay Breakdown'!U:U)</f>
        <v>2864429</v>
      </c>
      <c r="I292" s="69">
        <f>SUMIF('Executive Pay Breakdown'!W:W,$B292,'Executive Pay Breakdown'!Y:Y)</f>
        <v>2208528</v>
      </c>
      <c r="J292" s="69">
        <f>SUMIF('Executive Pay Breakdown'!AA:AA,$B292,'Executive Pay Breakdown'!AC:AC)</f>
        <v>2610577</v>
      </c>
      <c r="K292" s="90"/>
      <c r="L292" s="212"/>
      <c r="M292" s="87"/>
      <c r="N292" s="230">
        <f t="shared" ref="N292:N293" si="33">F292/J292-1</f>
        <v>-0.0009407881859</v>
      </c>
      <c r="O292" s="120">
        <f>MATCH(C292,'Key Findings'!B:B,0)</f>
        <v>57</v>
      </c>
    </row>
    <row r="293">
      <c r="A293" s="62"/>
      <c r="B293" s="86" t="s">
        <v>248</v>
      </c>
      <c r="C293" s="233" t="s">
        <v>71</v>
      </c>
      <c r="D293" s="89">
        <f>SUMIF('Executive Pay Breakdown'!K:K,$B293,'Executive Pay Breakdown'!M:M)+SUMIF('Executive Pay Breakdown'!O:O,$B293,'Executive Pay Breakdown'!Q:Q)+SUMIF('Executive Pay Breakdown'!S:S,$B293,'Executive Pay Breakdown'!U:U)+SUMIF('Executive Pay Breakdown'!W:W,$B293,'Executive Pay Breakdown'!Y:Y)+SUMIF('Executive Pay Breakdown'!AA:AA,$B293,'Executive Pay Breakdown'!AC:AC)</f>
        <v>12144522</v>
      </c>
      <c r="E293" s="109"/>
      <c r="F293" s="69">
        <f>SUMIF('Executive Pay Breakdown'!K:K,$B293,'Executive Pay Breakdown'!M:M)</f>
        <v>2669869</v>
      </c>
      <c r="G293" s="69">
        <f>SUMIF('Executive Pay Breakdown'!O:O,$B293,'Executive Pay Breakdown'!Q:Q)</f>
        <v>2603415</v>
      </c>
      <c r="H293" s="69">
        <f>SUMIF('Executive Pay Breakdown'!S:S,$B293,'Executive Pay Breakdown'!U:U)</f>
        <v>2232977</v>
      </c>
      <c r="I293" s="69">
        <f>SUMIF('Executive Pay Breakdown'!W:W,$B293,'Executive Pay Breakdown'!Y:Y)</f>
        <v>2103639</v>
      </c>
      <c r="J293" s="69">
        <f>SUMIF('Executive Pay Breakdown'!AA:AA,$B293,'Executive Pay Breakdown'!AC:AC)</f>
        <v>2534622</v>
      </c>
      <c r="K293" s="90"/>
      <c r="L293" s="212"/>
      <c r="M293" s="87"/>
      <c r="N293" s="230">
        <f t="shared" si="33"/>
        <v>0.05335983038</v>
      </c>
      <c r="O293" s="120">
        <f>MATCH(C293,'Key Findings'!B:B,0)</f>
        <v>58</v>
      </c>
    </row>
    <row r="294">
      <c r="A294" s="62"/>
      <c r="B294" s="86" t="s">
        <v>447</v>
      </c>
      <c r="C294" s="233" t="s">
        <v>59</v>
      </c>
      <c r="D294" s="89">
        <f>SUMIF('Executive Pay Breakdown'!K:K,$B294,'Executive Pay Breakdown'!M:M)+SUMIF('Executive Pay Breakdown'!O:O,$B294,'Executive Pay Breakdown'!Q:Q)+SUMIF('Executive Pay Breakdown'!S:S,$B294,'Executive Pay Breakdown'!U:U)+SUMIF('Executive Pay Breakdown'!W:W,$B294,'Executive Pay Breakdown'!Y:Y)+SUMIF('Executive Pay Breakdown'!AA:AA,$B294,'Executive Pay Breakdown'!AC:AC)</f>
        <v>12137634</v>
      </c>
      <c r="E294" s="109"/>
      <c r="F294" s="69">
        <f>SUMIF('Executive Pay Breakdown'!K:K,$B294,'Executive Pay Breakdown'!M:M)</f>
        <v>0</v>
      </c>
      <c r="G294" s="69">
        <f>SUMIF('Executive Pay Breakdown'!O:O,$B294,'Executive Pay Breakdown'!Q:Q)</f>
        <v>0</v>
      </c>
      <c r="H294" s="69">
        <f>SUMIF('Executive Pay Breakdown'!S:S,$B294,'Executive Pay Breakdown'!U:U)</f>
        <v>3314263</v>
      </c>
      <c r="I294" s="69">
        <f>SUMIF('Executive Pay Breakdown'!W:W,$B294,'Executive Pay Breakdown'!Y:Y)</f>
        <v>4398171</v>
      </c>
      <c r="J294" s="69">
        <f>SUMIF('Executive Pay Breakdown'!AA:AA,$B294,'Executive Pay Breakdown'!AC:AC)</f>
        <v>4425200</v>
      </c>
      <c r="K294" s="90"/>
      <c r="L294" s="212"/>
      <c r="M294" s="87"/>
      <c r="N294" s="87"/>
      <c r="O294" s="120">
        <f>MATCH(C294,'Key Findings'!B:B,0)</f>
        <v>10</v>
      </c>
    </row>
    <row r="295">
      <c r="A295" s="62"/>
      <c r="B295" s="127" t="s">
        <v>453</v>
      </c>
      <c r="C295" s="87" t="s">
        <v>40</v>
      </c>
      <c r="D295" s="89">
        <f>SUMIF('Executive Pay Breakdown'!K:K,$B295,'Executive Pay Breakdown'!M:M)+SUMIF('Executive Pay Breakdown'!O:O,$B295,'Executive Pay Breakdown'!Q:Q)+SUMIF('Executive Pay Breakdown'!S:S,$B295,'Executive Pay Breakdown'!U:U)+SUMIF('Executive Pay Breakdown'!W:W,$B295,'Executive Pay Breakdown'!Y:Y)+SUMIF('Executive Pay Breakdown'!AA:AA,$B295,'Executive Pay Breakdown'!AC:AC)</f>
        <v>12132633</v>
      </c>
      <c r="E295" s="109"/>
      <c r="F295" s="69">
        <f>SUMIF('Executive Pay Breakdown'!K:K,$B295,'Executive Pay Breakdown'!M:M)</f>
        <v>8391099</v>
      </c>
      <c r="G295" s="69">
        <f>SUMIF('Executive Pay Breakdown'!O:O,$B295,'Executive Pay Breakdown'!Q:Q)</f>
        <v>3741534</v>
      </c>
      <c r="H295" s="69">
        <f>SUMIF('Executive Pay Breakdown'!S:S,$B295,'Executive Pay Breakdown'!U:U)</f>
        <v>0</v>
      </c>
      <c r="I295" s="69">
        <f>SUMIF('Executive Pay Breakdown'!W:W,$B295,'Executive Pay Breakdown'!Y:Y)</f>
        <v>0</v>
      </c>
      <c r="J295" s="69">
        <f>SUMIF('Executive Pay Breakdown'!AA:AA,$B295,'Executive Pay Breakdown'!AC:AC)</f>
        <v>0</v>
      </c>
      <c r="K295" s="90"/>
      <c r="L295" s="212"/>
      <c r="M295" s="212"/>
      <c r="N295" s="230"/>
      <c r="O295" s="120">
        <f>MATCH(C295,'Key Findings'!B:B,0)</f>
        <v>7</v>
      </c>
    </row>
    <row r="296">
      <c r="A296" s="62"/>
      <c r="B296" s="86" t="s">
        <v>386</v>
      </c>
      <c r="C296" s="233" t="s">
        <v>71</v>
      </c>
      <c r="D296" s="89">
        <f>SUMIF('Executive Pay Breakdown'!K:K,$B296,'Executive Pay Breakdown'!M:M)+SUMIF('Executive Pay Breakdown'!O:O,$B296,'Executive Pay Breakdown'!Q:Q)+SUMIF('Executive Pay Breakdown'!S:S,$B296,'Executive Pay Breakdown'!U:U)+SUMIF('Executive Pay Breakdown'!W:W,$B296,'Executive Pay Breakdown'!Y:Y)+SUMIF('Executive Pay Breakdown'!AA:AA,$B296,'Executive Pay Breakdown'!AC:AC)</f>
        <v>12098122</v>
      </c>
      <c r="E296" s="109"/>
      <c r="F296" s="69">
        <f>SUMIF('Executive Pay Breakdown'!K:K,$B296,'Executive Pay Breakdown'!M:M)</f>
        <v>0</v>
      </c>
      <c r="G296" s="69">
        <f>SUMIF('Executive Pay Breakdown'!O:O,$B296,'Executive Pay Breakdown'!Q:Q)</f>
        <v>0</v>
      </c>
      <c r="H296" s="69">
        <f>SUMIF('Executive Pay Breakdown'!S:S,$B296,'Executive Pay Breakdown'!U:U)</f>
        <v>0</v>
      </c>
      <c r="I296" s="69">
        <f>SUMIF('Executive Pay Breakdown'!W:W,$B296,'Executive Pay Breakdown'!Y:Y)</f>
        <v>3360662</v>
      </c>
      <c r="J296" s="69">
        <f>SUMIF('Executive Pay Breakdown'!AA:AA,$B296,'Executive Pay Breakdown'!AC:AC)</f>
        <v>8737460</v>
      </c>
      <c r="K296" s="90"/>
      <c r="L296" s="212"/>
      <c r="M296" s="87"/>
      <c r="N296" s="87"/>
      <c r="O296" s="120">
        <f>MATCH(C296,'Key Findings'!B:B,0)</f>
        <v>58</v>
      </c>
    </row>
    <row r="297">
      <c r="A297" s="62"/>
      <c r="B297" s="86" t="s">
        <v>476</v>
      </c>
      <c r="C297" s="87" t="s">
        <v>43</v>
      </c>
      <c r="D297" s="89">
        <f>SUMIF('Executive Pay Breakdown'!K:K,$B297,'Executive Pay Breakdown'!M:M)+SUMIF('Executive Pay Breakdown'!O:O,$B297,'Executive Pay Breakdown'!Q:Q)+SUMIF('Executive Pay Breakdown'!S:S,$B297,'Executive Pay Breakdown'!U:U)+SUMIF('Executive Pay Breakdown'!W:W,$B297,'Executive Pay Breakdown'!Y:Y)+SUMIF('Executive Pay Breakdown'!AA:AA,$B297,'Executive Pay Breakdown'!AC:AC)</f>
        <v>12028823</v>
      </c>
      <c r="E297" s="109"/>
      <c r="F297" s="69">
        <f>SUMIF('Executive Pay Breakdown'!K:K,$B297,'Executive Pay Breakdown'!M:M)</f>
        <v>0</v>
      </c>
      <c r="G297" s="69">
        <f>SUMIF('Executive Pay Breakdown'!O:O,$B297,'Executive Pay Breakdown'!Q:Q)</f>
        <v>0</v>
      </c>
      <c r="H297" s="69">
        <f>SUMIF('Executive Pay Breakdown'!S:S,$B297,'Executive Pay Breakdown'!U:U)</f>
        <v>0</v>
      </c>
      <c r="I297" s="69">
        <f>SUMIF('Executive Pay Breakdown'!W:W,$B297,'Executive Pay Breakdown'!Y:Y)</f>
        <v>5508114</v>
      </c>
      <c r="J297" s="69">
        <f>SUMIF('Executive Pay Breakdown'!AA:AA,$B297,'Executive Pay Breakdown'!AC:AC)</f>
        <v>6520709</v>
      </c>
      <c r="K297" s="90"/>
      <c r="L297" s="212"/>
      <c r="M297" s="87"/>
      <c r="N297" s="87"/>
      <c r="O297" s="120">
        <f>MATCH(C297,'Key Findings'!B:B,0)</f>
        <v>63</v>
      </c>
    </row>
    <row r="298">
      <c r="A298" s="62"/>
      <c r="B298" s="127" t="s">
        <v>452</v>
      </c>
      <c r="C298" s="87" t="s">
        <v>21</v>
      </c>
      <c r="D298" s="89">
        <f>SUMIF('Executive Pay Breakdown'!K:K,$B298,'Executive Pay Breakdown'!M:M)+SUMIF('Executive Pay Breakdown'!O:O,$B298,'Executive Pay Breakdown'!Q:Q)+SUMIF('Executive Pay Breakdown'!S:S,$B298,'Executive Pay Breakdown'!U:U)+SUMIF('Executive Pay Breakdown'!W:W,$B298,'Executive Pay Breakdown'!Y:Y)+SUMIF('Executive Pay Breakdown'!AA:AA,$B298,'Executive Pay Breakdown'!AC:AC)</f>
        <v>11943591</v>
      </c>
      <c r="E298" s="109"/>
      <c r="F298" s="69">
        <f>SUMIF('Executive Pay Breakdown'!K:K,$B298,'Executive Pay Breakdown'!M:M)</f>
        <v>0</v>
      </c>
      <c r="G298" s="69">
        <f>SUMIF('Executive Pay Breakdown'!O:O,$B298,'Executive Pay Breakdown'!Q:Q)</f>
        <v>0</v>
      </c>
      <c r="H298" s="69">
        <f>SUMIF('Executive Pay Breakdown'!S:S,$B298,'Executive Pay Breakdown'!U:U)</f>
        <v>0</v>
      </c>
      <c r="I298" s="69">
        <f>SUMIF('Executive Pay Breakdown'!W:W,$B298,'Executive Pay Breakdown'!Y:Y)</f>
        <v>8650752</v>
      </c>
      <c r="J298" s="69">
        <f>SUMIF('Executive Pay Breakdown'!AA:AA,$B298,'Executive Pay Breakdown'!AC:AC)</f>
        <v>3292839</v>
      </c>
      <c r="K298" s="90"/>
      <c r="L298" s="212"/>
      <c r="M298" s="87"/>
      <c r="N298" s="87"/>
      <c r="O298" s="120">
        <f>MATCH(C298,'Key Findings'!B:B,0)</f>
        <v>54</v>
      </c>
    </row>
    <row r="299">
      <c r="A299" s="62"/>
      <c r="B299" s="127" t="s">
        <v>484</v>
      </c>
      <c r="C299" s="87" t="s">
        <v>53</v>
      </c>
      <c r="D299" s="89">
        <f>SUMIF('Executive Pay Breakdown'!K:K,$B299,'Executive Pay Breakdown'!M:M)+SUMIF('Executive Pay Breakdown'!O:O,$B299,'Executive Pay Breakdown'!Q:Q)+SUMIF('Executive Pay Breakdown'!S:S,$B299,'Executive Pay Breakdown'!U:U)+SUMIF('Executive Pay Breakdown'!W:W,$B299,'Executive Pay Breakdown'!Y:Y)+SUMIF('Executive Pay Breakdown'!AA:AA,$B299,'Executive Pay Breakdown'!AC:AC)</f>
        <v>11875608</v>
      </c>
      <c r="E299" s="109"/>
      <c r="F299" s="69">
        <f>SUMIF('Executive Pay Breakdown'!K:K,$B299,'Executive Pay Breakdown'!M:M)</f>
        <v>5695893</v>
      </c>
      <c r="G299" s="69">
        <f>SUMIF('Executive Pay Breakdown'!O:O,$B299,'Executive Pay Breakdown'!Q:Q)</f>
        <v>6179715</v>
      </c>
      <c r="H299" s="69">
        <f>SUMIF('Executive Pay Breakdown'!S:S,$B299,'Executive Pay Breakdown'!U:U)</f>
        <v>0</v>
      </c>
      <c r="I299" s="69">
        <f>SUMIF('Executive Pay Breakdown'!W:W,$B299,'Executive Pay Breakdown'!Y:Y)</f>
        <v>0</v>
      </c>
      <c r="J299" s="69">
        <f>SUMIF('Executive Pay Breakdown'!AA:AA,$B299,'Executive Pay Breakdown'!AC:AC)</f>
        <v>0</v>
      </c>
      <c r="K299" s="90"/>
      <c r="L299" s="212"/>
      <c r="M299" s="212"/>
      <c r="N299" s="230"/>
      <c r="O299" s="120">
        <f>MATCH(C299,'Key Findings'!B:B,0)</f>
        <v>23</v>
      </c>
    </row>
    <row r="300">
      <c r="A300" s="62"/>
      <c r="B300" s="86" t="s">
        <v>565</v>
      </c>
      <c r="C300" s="233" t="s">
        <v>61</v>
      </c>
      <c r="D300" s="89">
        <f>SUMIF('Executive Pay Breakdown'!K:K,$B300,'Executive Pay Breakdown'!M:M)+SUMIF('Executive Pay Breakdown'!O:O,$B300,'Executive Pay Breakdown'!Q:Q)+SUMIF('Executive Pay Breakdown'!S:S,$B300,'Executive Pay Breakdown'!U:U)+SUMIF('Executive Pay Breakdown'!W:W,$B300,'Executive Pay Breakdown'!Y:Y)+SUMIF('Executive Pay Breakdown'!AA:AA,$B300,'Executive Pay Breakdown'!AC:AC)</f>
        <v>11875314</v>
      </c>
      <c r="E300" s="109"/>
      <c r="F300" s="69">
        <f>SUMIF('Executive Pay Breakdown'!K:K,$B300,'Executive Pay Breakdown'!M:M)</f>
        <v>0</v>
      </c>
      <c r="G300" s="69">
        <f>SUMIF('Executive Pay Breakdown'!O:O,$B300,'Executive Pay Breakdown'!Q:Q)</f>
        <v>0</v>
      </c>
      <c r="H300" s="69">
        <f>SUMIF('Executive Pay Breakdown'!S:S,$B300,'Executive Pay Breakdown'!U:U)</f>
        <v>0</v>
      </c>
      <c r="I300" s="69">
        <f>SUMIF('Executive Pay Breakdown'!W:W,$B300,'Executive Pay Breakdown'!Y:Y)</f>
        <v>6197053</v>
      </c>
      <c r="J300" s="69">
        <f>SUMIF('Executive Pay Breakdown'!AA:AA,$B300,'Executive Pay Breakdown'!AC:AC)</f>
        <v>5678261</v>
      </c>
      <c r="K300" s="90"/>
      <c r="L300" s="212"/>
      <c r="M300" s="87"/>
      <c r="N300" s="87"/>
      <c r="O300" s="120">
        <f>MATCH(C300,'Key Findings'!B:B,0)</f>
        <v>22</v>
      </c>
    </row>
    <row r="301">
      <c r="A301" s="81"/>
      <c r="B301" s="136" t="s">
        <v>411</v>
      </c>
      <c r="C301" s="87" t="s">
        <v>24</v>
      </c>
      <c r="D301" s="89">
        <f>SUMIF('Executive Pay Breakdown'!K:K,$B301,'Executive Pay Breakdown'!M:M)+SUMIF('Executive Pay Breakdown'!O:O,$B301,'Executive Pay Breakdown'!Q:Q)+SUMIF('Executive Pay Breakdown'!S:S,$B301,'Executive Pay Breakdown'!U:U)+SUMIF('Executive Pay Breakdown'!W:W,$B301,'Executive Pay Breakdown'!Y:Y)+SUMIF('Executive Pay Breakdown'!AA:AA,$B301,'Executive Pay Breakdown'!AC:AC)</f>
        <v>11780405</v>
      </c>
      <c r="E301" s="109"/>
      <c r="F301" s="69">
        <f>SUMIF('Executive Pay Breakdown'!K:K,$B301,'Executive Pay Breakdown'!M:M)</f>
        <v>0</v>
      </c>
      <c r="G301" s="69">
        <f>SUMIF('Executive Pay Breakdown'!O:O,$B301,'Executive Pay Breakdown'!Q:Q)</f>
        <v>0</v>
      </c>
      <c r="H301" s="69">
        <f>SUMIF('Executive Pay Breakdown'!S:S,$B301,'Executive Pay Breakdown'!U:U)</f>
        <v>11780405</v>
      </c>
      <c r="I301" s="69">
        <f>SUMIF('Executive Pay Breakdown'!W:W,$B301,'Executive Pay Breakdown'!Y:Y)</f>
        <v>0</v>
      </c>
      <c r="J301" s="69">
        <f>SUMIF('Executive Pay Breakdown'!AA:AA,$B301,'Executive Pay Breakdown'!AC:AC)</f>
        <v>0</v>
      </c>
      <c r="K301" s="90"/>
      <c r="L301" s="212"/>
      <c r="M301" s="87"/>
      <c r="N301" s="87"/>
      <c r="O301" s="120">
        <f>MATCH(C301,'Key Findings'!B:B,0)</f>
        <v>15</v>
      </c>
    </row>
    <row r="302">
      <c r="A302" s="62"/>
      <c r="B302" s="127" t="s">
        <v>457</v>
      </c>
      <c r="C302" s="87" t="s">
        <v>30</v>
      </c>
      <c r="D302" s="89">
        <f>SUMIF('Executive Pay Breakdown'!K:K,$B302,'Executive Pay Breakdown'!M:M)+SUMIF('Executive Pay Breakdown'!O:O,$B302,'Executive Pay Breakdown'!Q:Q)+SUMIF('Executive Pay Breakdown'!S:S,$B302,'Executive Pay Breakdown'!U:U)+SUMIF('Executive Pay Breakdown'!W:W,$B302,'Executive Pay Breakdown'!Y:Y)+SUMIF('Executive Pay Breakdown'!AA:AA,$B302,'Executive Pay Breakdown'!AC:AC)</f>
        <v>11727239</v>
      </c>
      <c r="E302" s="109"/>
      <c r="F302" s="69">
        <f>SUMIF('Executive Pay Breakdown'!K:K,$B302,'Executive Pay Breakdown'!M:M)</f>
        <v>0</v>
      </c>
      <c r="G302" s="69">
        <f>SUMIF('Executive Pay Breakdown'!O:O,$B302,'Executive Pay Breakdown'!Q:Q)</f>
        <v>0</v>
      </c>
      <c r="H302" s="69">
        <f>SUMIF('Executive Pay Breakdown'!S:S,$B302,'Executive Pay Breakdown'!U:U)</f>
        <v>3970024</v>
      </c>
      <c r="I302" s="69">
        <f>SUMIF('Executive Pay Breakdown'!W:W,$B302,'Executive Pay Breakdown'!Y:Y)</f>
        <v>4183760</v>
      </c>
      <c r="J302" s="69">
        <f>SUMIF('Executive Pay Breakdown'!AA:AA,$B302,'Executive Pay Breakdown'!AC:AC)</f>
        <v>3573455</v>
      </c>
      <c r="K302" s="90"/>
      <c r="L302" s="212"/>
      <c r="M302" s="87"/>
      <c r="N302" s="87"/>
      <c r="O302" s="120">
        <f>MATCH(C302,'Key Findings'!B:B,0)</f>
        <v>49</v>
      </c>
    </row>
    <row r="303">
      <c r="A303" s="81"/>
      <c r="B303" s="86" t="s">
        <v>391</v>
      </c>
      <c r="C303" s="87" t="str">
        <f t="array" ref="C303">INDEX('Executive Pay Breakdown'!B:B,MATCH(B303,'Executive Pay Breakdown'!K:K,0))</f>
        <v>AmerisourceBergen</v>
      </c>
      <c r="D303" s="89">
        <f>SUMIF('Executive Pay Breakdown'!K:K,$B303,'Executive Pay Breakdown'!M:M)+SUMIF('Executive Pay Breakdown'!O:O,$B303,'Executive Pay Breakdown'!Q:Q)+SUMIF('Executive Pay Breakdown'!S:S,$B303,'Executive Pay Breakdown'!U:U)+SUMIF('Executive Pay Breakdown'!W:W,$B303,'Executive Pay Breakdown'!Y:Y)+SUMIF('Executive Pay Breakdown'!AA:AA,$B303,'Executive Pay Breakdown'!AC:AC)</f>
        <v>11716377</v>
      </c>
      <c r="E303" s="109"/>
      <c r="F303" s="69">
        <f>SUMIF('Executive Pay Breakdown'!K:K,$B303,'Executive Pay Breakdown'!M:M)</f>
        <v>3177160</v>
      </c>
      <c r="G303" s="69">
        <f>SUMIF('Executive Pay Breakdown'!O:O,$B303,'Executive Pay Breakdown'!Q:Q)</f>
        <v>3217409</v>
      </c>
      <c r="H303" s="69">
        <f>SUMIF('Executive Pay Breakdown'!S:S,$B303,'Executive Pay Breakdown'!U:U)</f>
        <v>2955618</v>
      </c>
      <c r="I303" s="69">
        <f>SUMIF('Executive Pay Breakdown'!W:W,$B303,'Executive Pay Breakdown'!Y:Y)</f>
        <v>2366190</v>
      </c>
      <c r="J303" s="69">
        <f>SUMIF('Executive Pay Breakdown'!AA:AA,$B303,'Executive Pay Breakdown'!AC:AC)</f>
        <v>0</v>
      </c>
      <c r="K303" s="90"/>
      <c r="L303" s="212"/>
      <c r="M303" s="87"/>
      <c r="N303" s="230"/>
      <c r="O303" s="120">
        <f>MATCH(C303,'Key Findings'!B:B,0)</f>
        <v>45</v>
      </c>
    </row>
    <row r="304">
      <c r="A304" s="62"/>
      <c r="B304" s="86" t="s">
        <v>244</v>
      </c>
      <c r="C304" s="87" t="s">
        <v>28</v>
      </c>
      <c r="D304" s="89">
        <f>SUMIF('Executive Pay Breakdown'!K:K,$B304,'Executive Pay Breakdown'!M:M)+SUMIF('Executive Pay Breakdown'!O:O,$B304,'Executive Pay Breakdown'!Q:Q)+SUMIF('Executive Pay Breakdown'!S:S,$B304,'Executive Pay Breakdown'!U:U)+SUMIF('Executive Pay Breakdown'!W:W,$B304,'Executive Pay Breakdown'!Y:Y)+SUMIF('Executive Pay Breakdown'!AA:AA,$B304,'Executive Pay Breakdown'!AC:AC)</f>
        <v>11702225</v>
      </c>
      <c r="E304" s="109"/>
      <c r="F304" s="69">
        <f>SUMIF('Executive Pay Breakdown'!K:K,$B304,'Executive Pay Breakdown'!M:M)</f>
        <v>2332900</v>
      </c>
      <c r="G304" s="69">
        <f>SUMIF('Executive Pay Breakdown'!O:O,$B304,'Executive Pay Breakdown'!Q:Q)</f>
        <v>2567086</v>
      </c>
      <c r="H304" s="69">
        <f>SUMIF('Executive Pay Breakdown'!S:S,$B304,'Executive Pay Breakdown'!U:U)</f>
        <v>2423775</v>
      </c>
      <c r="I304" s="69">
        <f>SUMIF('Executive Pay Breakdown'!W:W,$B304,'Executive Pay Breakdown'!Y:Y)</f>
        <v>2207319</v>
      </c>
      <c r="J304" s="69">
        <f>SUMIF('Executive Pay Breakdown'!AA:AA,$B304,'Executive Pay Breakdown'!AC:AC)</f>
        <v>2171145</v>
      </c>
      <c r="K304" s="90"/>
      <c r="L304" s="212"/>
      <c r="M304" s="87"/>
      <c r="N304" s="230">
        <f>F304/J304-1</f>
        <v>0.0745021636</v>
      </c>
      <c r="O304" s="120">
        <f>MATCH(C304,'Key Findings'!B:B,0)</f>
        <v>56</v>
      </c>
    </row>
    <row r="305">
      <c r="A305" s="62"/>
      <c r="B305" s="138" t="s">
        <v>370</v>
      </c>
      <c r="C305" s="87" t="s">
        <v>35</v>
      </c>
      <c r="D305" s="89">
        <f>SUMIF('Executive Pay Breakdown'!K:K,$B305,'Executive Pay Breakdown'!M:M)+SUMIF('Executive Pay Breakdown'!O:O,$B305,'Executive Pay Breakdown'!Q:Q)+SUMIF('Executive Pay Breakdown'!S:S,$B305,'Executive Pay Breakdown'!U:U)+SUMIF('Executive Pay Breakdown'!W:W,$B305,'Executive Pay Breakdown'!Y:Y)+SUMIF('Executive Pay Breakdown'!AA:AA,$B305,'Executive Pay Breakdown'!AC:AC)</f>
        <v>11667420</v>
      </c>
      <c r="E305" s="109"/>
      <c r="F305" s="69">
        <f>SUMIF('Executive Pay Breakdown'!K:K,$B305,'Executive Pay Breakdown'!M:M)</f>
        <v>0</v>
      </c>
      <c r="G305" s="69">
        <f>SUMIF('Executive Pay Breakdown'!O:O,$B305,'Executive Pay Breakdown'!Q:Q)</f>
        <v>0</v>
      </c>
      <c r="H305" s="69">
        <f>SUMIF('Executive Pay Breakdown'!S:S,$B305,'Executive Pay Breakdown'!U:U)</f>
        <v>0</v>
      </c>
      <c r="I305" s="69">
        <f>SUMIF('Executive Pay Breakdown'!W:W,$B305,'Executive Pay Breakdown'!Y:Y)</f>
        <v>0</v>
      </c>
      <c r="J305" s="69">
        <f>SUMIF('Executive Pay Breakdown'!AA:AA,$B305,'Executive Pay Breakdown'!AC:AC)</f>
        <v>11667420</v>
      </c>
      <c r="K305" s="90"/>
      <c r="L305" s="212"/>
      <c r="M305" s="87"/>
      <c r="N305" s="87"/>
      <c r="O305" s="120">
        <f>MATCH(C305,'Key Findings'!B:B,0)</f>
        <v>4</v>
      </c>
    </row>
    <row r="306">
      <c r="A306" s="81"/>
      <c r="B306" s="137" t="s">
        <v>322</v>
      </c>
      <c r="C306" s="87" t="str">
        <f t="array" ref="C306">INDEX('Executive Pay Breakdown'!B:B,MATCH(B306,'Executive Pay Breakdown'!K:K,0))</f>
        <v>Whirlpool</v>
      </c>
      <c r="D306" s="89">
        <f>SUMIF('Executive Pay Breakdown'!K:K,$B306,'Executive Pay Breakdown'!M:M)+SUMIF('Executive Pay Breakdown'!O:O,$B306,'Executive Pay Breakdown'!Q:Q)+SUMIF('Executive Pay Breakdown'!S:S,$B306,'Executive Pay Breakdown'!U:U)+SUMIF('Executive Pay Breakdown'!W:W,$B306,'Executive Pay Breakdown'!Y:Y)+SUMIF('Executive Pay Breakdown'!AA:AA,$B306,'Executive Pay Breakdown'!AC:AC)</f>
        <v>11662110</v>
      </c>
      <c r="E306" s="109"/>
      <c r="F306" s="69">
        <f>SUMIF('Executive Pay Breakdown'!K:K,$B306,'Executive Pay Breakdown'!M:M)</f>
        <v>2167472</v>
      </c>
      <c r="G306" s="69">
        <f>SUMIF('Executive Pay Breakdown'!O:O,$B306,'Executive Pay Breakdown'!Q:Q)</f>
        <v>3860294</v>
      </c>
      <c r="H306" s="69">
        <f>SUMIF('Executive Pay Breakdown'!S:S,$B306,'Executive Pay Breakdown'!U:U)</f>
        <v>2926318</v>
      </c>
      <c r="I306" s="69">
        <f>SUMIF('Executive Pay Breakdown'!W:W,$B306,'Executive Pay Breakdown'!Y:Y)</f>
        <v>2708026</v>
      </c>
      <c r="J306" s="69">
        <f>SUMIF('Executive Pay Breakdown'!AA:AA,$B306,'Executive Pay Breakdown'!AC:AC)</f>
        <v>0</v>
      </c>
      <c r="K306" s="90"/>
      <c r="L306" s="212"/>
      <c r="M306" s="87"/>
      <c r="N306" s="230"/>
      <c r="O306" s="120">
        <f>MATCH(C306,'Key Findings'!B:B,0)</f>
        <v>37</v>
      </c>
    </row>
    <row r="307">
      <c r="A307" s="62"/>
      <c r="B307" s="86" t="s">
        <v>230</v>
      </c>
      <c r="C307" s="233" t="s">
        <v>70</v>
      </c>
      <c r="D307" s="89">
        <f>SUMIF('Executive Pay Breakdown'!K:K,$B307,'Executive Pay Breakdown'!M:M)+SUMIF('Executive Pay Breakdown'!O:O,$B307,'Executive Pay Breakdown'!Q:Q)+SUMIF('Executive Pay Breakdown'!S:S,$B307,'Executive Pay Breakdown'!U:U)+SUMIF('Executive Pay Breakdown'!W:W,$B307,'Executive Pay Breakdown'!Y:Y)+SUMIF('Executive Pay Breakdown'!AA:AA,$B307,'Executive Pay Breakdown'!AC:AC)</f>
        <v>11641848</v>
      </c>
      <c r="E307" s="109"/>
      <c r="F307" s="69">
        <f>SUMIF('Executive Pay Breakdown'!K:K,$B307,'Executive Pay Breakdown'!M:M)</f>
        <v>1996882</v>
      </c>
      <c r="G307" s="69">
        <f>SUMIF('Executive Pay Breakdown'!O:O,$B307,'Executive Pay Breakdown'!Q:Q)</f>
        <v>3388186</v>
      </c>
      <c r="H307" s="69">
        <f>SUMIF('Executive Pay Breakdown'!S:S,$B307,'Executive Pay Breakdown'!U:U)</f>
        <v>2127301</v>
      </c>
      <c r="I307" s="69">
        <f>SUMIF('Executive Pay Breakdown'!W:W,$B307,'Executive Pay Breakdown'!Y:Y)</f>
        <v>2415874</v>
      </c>
      <c r="J307" s="69">
        <f>SUMIF('Executive Pay Breakdown'!AA:AA,$B307,'Executive Pay Breakdown'!AC:AC)</f>
        <v>1713605</v>
      </c>
      <c r="K307" s="90"/>
      <c r="L307" s="212"/>
      <c r="M307" s="87"/>
      <c r="N307" s="230">
        <f>F307/J307-1</f>
        <v>0.1653105587</v>
      </c>
      <c r="O307" s="120">
        <f>MATCH(C307,'Key Findings'!B:B,0)</f>
        <v>65</v>
      </c>
    </row>
    <row r="308">
      <c r="A308" s="62"/>
      <c r="B308" s="127" t="s">
        <v>486</v>
      </c>
      <c r="C308" s="87" t="s">
        <v>12</v>
      </c>
      <c r="D308" s="89">
        <f>SUMIF('Executive Pay Breakdown'!K:K,$B308,'Executive Pay Breakdown'!M:M)+SUMIF('Executive Pay Breakdown'!O:O,$B308,'Executive Pay Breakdown'!Q:Q)+SUMIF('Executive Pay Breakdown'!S:S,$B308,'Executive Pay Breakdown'!U:U)+SUMIF('Executive Pay Breakdown'!W:W,$B308,'Executive Pay Breakdown'!Y:Y)+SUMIF('Executive Pay Breakdown'!AA:AA,$B308,'Executive Pay Breakdown'!AC:AC)</f>
        <v>11536878</v>
      </c>
      <c r="E308" s="109"/>
      <c r="F308" s="69">
        <f>SUMIF('Executive Pay Breakdown'!K:K,$B308,'Executive Pay Breakdown'!M:M)</f>
        <v>0</v>
      </c>
      <c r="G308" s="69">
        <f>SUMIF('Executive Pay Breakdown'!O:O,$B308,'Executive Pay Breakdown'!Q:Q)</f>
        <v>0</v>
      </c>
      <c r="H308" s="69">
        <f>SUMIF('Executive Pay Breakdown'!S:S,$B308,'Executive Pay Breakdown'!U:U)</f>
        <v>0</v>
      </c>
      <c r="I308" s="69">
        <f>SUMIF('Executive Pay Breakdown'!W:W,$B308,'Executive Pay Breakdown'!Y:Y)</f>
        <v>5829339</v>
      </c>
      <c r="J308" s="69">
        <f>SUMIF('Executive Pay Breakdown'!AA:AA,$B308,'Executive Pay Breakdown'!AC:AC)</f>
        <v>5707539</v>
      </c>
      <c r="K308" s="90"/>
      <c r="L308" s="212"/>
      <c r="M308" s="87"/>
      <c r="N308" s="87"/>
      <c r="O308" s="120">
        <f>MATCH(C308,'Key Findings'!B:B,0)</f>
        <v>17</v>
      </c>
    </row>
    <row r="309">
      <c r="A309" s="62"/>
      <c r="B309" s="86" t="s">
        <v>264</v>
      </c>
      <c r="C309" s="87" t="s">
        <v>28</v>
      </c>
      <c r="D309" s="89">
        <f>SUMIF('Executive Pay Breakdown'!K:K,$B309,'Executive Pay Breakdown'!M:M)+SUMIF('Executive Pay Breakdown'!O:O,$B309,'Executive Pay Breakdown'!Q:Q)+SUMIF('Executive Pay Breakdown'!S:S,$B309,'Executive Pay Breakdown'!U:U)+SUMIF('Executive Pay Breakdown'!W:W,$B309,'Executive Pay Breakdown'!Y:Y)+SUMIF('Executive Pay Breakdown'!AA:AA,$B309,'Executive Pay Breakdown'!AC:AC)</f>
        <v>11527267</v>
      </c>
      <c r="E309" s="109"/>
      <c r="F309" s="69">
        <f>SUMIF('Executive Pay Breakdown'!K:K,$B309,'Executive Pay Breakdown'!M:M)</f>
        <v>2107527</v>
      </c>
      <c r="G309" s="69">
        <f>SUMIF('Executive Pay Breakdown'!O:O,$B309,'Executive Pay Breakdown'!Q:Q)</f>
        <v>2567086</v>
      </c>
      <c r="H309" s="69">
        <f>SUMIF('Executive Pay Breakdown'!S:S,$B309,'Executive Pay Breakdown'!U:U)</f>
        <v>2423775</v>
      </c>
      <c r="I309" s="69">
        <f>SUMIF('Executive Pay Breakdown'!W:W,$B309,'Executive Pay Breakdown'!Y:Y)</f>
        <v>2233090</v>
      </c>
      <c r="J309" s="69">
        <f>SUMIF('Executive Pay Breakdown'!AA:AA,$B309,'Executive Pay Breakdown'!AC:AC)</f>
        <v>2195789</v>
      </c>
      <c r="K309" s="90"/>
      <c r="L309" s="212"/>
      <c r="M309" s="87"/>
      <c r="N309" s="230">
        <f>F309/J309-1</f>
        <v>-0.04019602976</v>
      </c>
      <c r="O309" s="120">
        <f>MATCH(C309,'Key Findings'!B:B,0)</f>
        <v>56</v>
      </c>
    </row>
    <row r="310">
      <c r="A310" s="62"/>
      <c r="B310" s="86" t="s">
        <v>427</v>
      </c>
      <c r="C310" s="233" t="s">
        <v>66</v>
      </c>
      <c r="D310" s="89">
        <f>SUMIF('Executive Pay Breakdown'!K:K,$B310,'Executive Pay Breakdown'!M:M)+SUMIF('Executive Pay Breakdown'!O:O,$B310,'Executive Pay Breakdown'!Q:Q)+SUMIF('Executive Pay Breakdown'!S:S,$B310,'Executive Pay Breakdown'!U:U)+SUMIF('Executive Pay Breakdown'!W:W,$B310,'Executive Pay Breakdown'!Y:Y)+SUMIF('Executive Pay Breakdown'!AA:AA,$B310,'Executive Pay Breakdown'!AC:AC)</f>
        <v>11333636</v>
      </c>
      <c r="E310" s="109"/>
      <c r="F310" s="69">
        <f>SUMIF('Executive Pay Breakdown'!K:K,$B310,'Executive Pay Breakdown'!M:M)</f>
        <v>0</v>
      </c>
      <c r="G310" s="69">
        <f>SUMIF('Executive Pay Breakdown'!O:O,$B310,'Executive Pay Breakdown'!Q:Q)</f>
        <v>3306143</v>
      </c>
      <c r="H310" s="69">
        <f>SUMIF('Executive Pay Breakdown'!S:S,$B310,'Executive Pay Breakdown'!U:U)</f>
        <v>2868394</v>
      </c>
      <c r="I310" s="69">
        <f>SUMIF('Executive Pay Breakdown'!W:W,$B310,'Executive Pay Breakdown'!Y:Y)</f>
        <v>2735088</v>
      </c>
      <c r="J310" s="69">
        <f>SUMIF('Executive Pay Breakdown'!AA:AA,$B310,'Executive Pay Breakdown'!AC:AC)</f>
        <v>2424011</v>
      </c>
      <c r="K310" s="90"/>
      <c r="L310" s="212"/>
      <c r="M310" s="87"/>
      <c r="N310" s="87"/>
      <c r="O310" s="120">
        <f>MATCH(C310,'Key Findings'!B:B,0)</f>
        <v>41</v>
      </c>
    </row>
    <row r="311">
      <c r="A311" s="62"/>
      <c r="B311" s="127" t="s">
        <v>480</v>
      </c>
      <c r="C311" s="87" t="s">
        <v>20</v>
      </c>
      <c r="D311" s="89">
        <f>SUMIF('Executive Pay Breakdown'!K:K,$B311,'Executive Pay Breakdown'!M:M)+SUMIF('Executive Pay Breakdown'!O:O,$B311,'Executive Pay Breakdown'!Q:Q)+SUMIF('Executive Pay Breakdown'!S:S,$B311,'Executive Pay Breakdown'!U:U)+SUMIF('Executive Pay Breakdown'!W:W,$B311,'Executive Pay Breakdown'!Y:Y)+SUMIF('Executive Pay Breakdown'!AA:AA,$B311,'Executive Pay Breakdown'!AC:AC)</f>
        <v>11232567</v>
      </c>
      <c r="E311" s="109"/>
      <c r="F311" s="69">
        <f>SUMIF('Executive Pay Breakdown'!K:K,$B311,'Executive Pay Breakdown'!M:M)</f>
        <v>2773018</v>
      </c>
      <c r="G311" s="69">
        <f>SUMIF('Executive Pay Breakdown'!O:O,$B311,'Executive Pay Breakdown'!Q:Q)</f>
        <v>2657226</v>
      </c>
      <c r="H311" s="69">
        <f>SUMIF('Executive Pay Breakdown'!S:S,$B311,'Executive Pay Breakdown'!U:U)</f>
        <v>2943135</v>
      </c>
      <c r="I311" s="69">
        <f>SUMIF('Executive Pay Breakdown'!W:W,$B311,'Executive Pay Breakdown'!Y:Y)</f>
        <v>2859188</v>
      </c>
      <c r="J311" s="69">
        <f>SUMIF('Executive Pay Breakdown'!AA:AA,$B311,'Executive Pay Breakdown'!AC:AC)</f>
        <v>0</v>
      </c>
      <c r="K311" s="90"/>
      <c r="L311" s="212"/>
      <c r="M311" s="87"/>
      <c r="N311" s="230"/>
      <c r="O311" s="120">
        <f>MATCH(C311,'Key Findings'!B:B,0)</f>
        <v>38</v>
      </c>
    </row>
    <row r="312">
      <c r="A312" s="62"/>
      <c r="B312" s="86" t="s">
        <v>197</v>
      </c>
      <c r="C312" s="87" t="s">
        <v>43</v>
      </c>
      <c r="D312" s="89">
        <f>SUMIF('Executive Pay Breakdown'!K:K,$B312,'Executive Pay Breakdown'!M:M)+SUMIF('Executive Pay Breakdown'!O:O,$B312,'Executive Pay Breakdown'!Q:Q)+SUMIF('Executive Pay Breakdown'!S:S,$B312,'Executive Pay Breakdown'!U:U)+SUMIF('Executive Pay Breakdown'!W:W,$B312,'Executive Pay Breakdown'!Y:Y)+SUMIF('Executive Pay Breakdown'!AA:AA,$B312,'Executive Pay Breakdown'!AC:AC)</f>
        <v>11169128</v>
      </c>
      <c r="E312" s="109"/>
      <c r="F312" s="69">
        <f>SUMIF('Executive Pay Breakdown'!K:K,$B312,'Executive Pay Breakdown'!M:M)</f>
        <v>2580416</v>
      </c>
      <c r="G312" s="69">
        <f>SUMIF('Executive Pay Breakdown'!O:O,$B312,'Executive Pay Breakdown'!Q:Q)</f>
        <v>2329735</v>
      </c>
      <c r="H312" s="69">
        <f>SUMIF('Executive Pay Breakdown'!S:S,$B312,'Executive Pay Breakdown'!U:U)</f>
        <v>2332855</v>
      </c>
      <c r="I312" s="69">
        <f>SUMIF('Executive Pay Breakdown'!W:W,$B312,'Executive Pay Breakdown'!Y:Y)</f>
        <v>2088964</v>
      </c>
      <c r="J312" s="69">
        <f>SUMIF('Executive Pay Breakdown'!AA:AA,$B312,'Executive Pay Breakdown'!AC:AC)</f>
        <v>1837158</v>
      </c>
      <c r="K312" s="90"/>
      <c r="L312" s="212"/>
      <c r="M312" s="87"/>
      <c r="N312" s="230">
        <f t="shared" ref="N312:N313" si="34">F312/J312-1</f>
        <v>0.4045694491</v>
      </c>
      <c r="O312" s="120">
        <f>MATCH(C312,'Key Findings'!B:B,0)</f>
        <v>63</v>
      </c>
    </row>
    <row r="313">
      <c r="A313" s="62"/>
      <c r="B313" s="125" t="s">
        <v>234</v>
      </c>
      <c r="C313" s="87" t="s">
        <v>23</v>
      </c>
      <c r="D313" s="89">
        <f>SUMIF('Executive Pay Breakdown'!K:K,$B313,'Executive Pay Breakdown'!M:M)+SUMIF('Executive Pay Breakdown'!O:O,$B313,'Executive Pay Breakdown'!Q:Q)+SUMIF('Executive Pay Breakdown'!S:S,$B313,'Executive Pay Breakdown'!U:U)+SUMIF('Executive Pay Breakdown'!W:W,$B313,'Executive Pay Breakdown'!Y:Y)+SUMIF('Executive Pay Breakdown'!AA:AA,$B313,'Executive Pay Breakdown'!AC:AC)</f>
        <v>11092160</v>
      </c>
      <c r="E313" s="109"/>
      <c r="F313" s="69">
        <f>SUMIF('Executive Pay Breakdown'!K:K,$B313,'Executive Pay Breakdown'!M:M)</f>
        <v>2450459</v>
      </c>
      <c r="G313" s="69">
        <f>SUMIF('Executive Pay Breakdown'!O:O,$B313,'Executive Pay Breakdown'!Q:Q)</f>
        <v>2551867</v>
      </c>
      <c r="H313" s="69">
        <f>SUMIF('Executive Pay Breakdown'!S:S,$B313,'Executive Pay Breakdown'!U:U)</f>
        <v>1911229</v>
      </c>
      <c r="I313" s="69">
        <f>SUMIF('Executive Pay Breakdown'!W:W,$B313,'Executive Pay Breakdown'!Y:Y)</f>
        <v>2049619</v>
      </c>
      <c r="J313" s="69">
        <f>SUMIF('Executive Pay Breakdown'!AA:AA,$B313,'Executive Pay Breakdown'!AC:AC)</f>
        <v>2128986</v>
      </c>
      <c r="K313" s="90"/>
      <c r="L313" s="212"/>
      <c r="M313" s="87"/>
      <c r="N313" s="230">
        <f t="shared" si="34"/>
        <v>0.1509981747</v>
      </c>
      <c r="O313" s="120">
        <f>MATCH(C313,'Key Findings'!B:B,0)</f>
        <v>55</v>
      </c>
    </row>
    <row r="314">
      <c r="A314" s="71"/>
      <c r="B314" s="139" t="s">
        <v>563</v>
      </c>
      <c r="C314" s="87" t="s">
        <v>16</v>
      </c>
      <c r="D314" s="89">
        <f>SUMIF('Executive Pay Breakdown'!K:K,$B314,'Executive Pay Breakdown'!M:M)+SUMIF('Executive Pay Breakdown'!O:O,$B314,'Executive Pay Breakdown'!Q:Q)+SUMIF('Executive Pay Breakdown'!S:S,$B314,'Executive Pay Breakdown'!U:U)+SUMIF('Executive Pay Breakdown'!W:W,$B314,'Executive Pay Breakdown'!Y:Y)+SUMIF('Executive Pay Breakdown'!AA:AA,$B314,'Executive Pay Breakdown'!AC:AC)</f>
        <v>10971293</v>
      </c>
      <c r="E314" s="109"/>
      <c r="F314" s="69">
        <f>SUMIF('Executive Pay Breakdown'!K:K,$B314,'Executive Pay Breakdown'!M:M)</f>
        <v>0</v>
      </c>
      <c r="G314" s="69">
        <f>SUMIF('Executive Pay Breakdown'!O:O,$B314,'Executive Pay Breakdown'!Q:Q)</f>
        <v>0</v>
      </c>
      <c r="H314" s="69">
        <f>SUMIF('Executive Pay Breakdown'!S:S,$B314,'Executive Pay Breakdown'!U:U)</f>
        <v>0</v>
      </c>
      <c r="I314" s="69">
        <f>SUMIF('Executive Pay Breakdown'!W:W,$B314,'Executive Pay Breakdown'!Y:Y)</f>
        <v>5132582</v>
      </c>
      <c r="J314" s="69">
        <f>SUMIF('Executive Pay Breakdown'!AA:AA,$B314,'Executive Pay Breakdown'!AC:AC)</f>
        <v>5838711</v>
      </c>
      <c r="K314" s="90"/>
      <c r="L314" s="212"/>
      <c r="M314" s="87"/>
      <c r="N314" s="87"/>
      <c r="O314" s="120">
        <f>MATCH(C314,'Key Findings'!B:B,0)</f>
        <v>12</v>
      </c>
    </row>
    <row r="315">
      <c r="A315" s="62"/>
      <c r="B315" s="86" t="s">
        <v>421</v>
      </c>
      <c r="C315" s="233" t="s">
        <v>62</v>
      </c>
      <c r="D315" s="89">
        <f>SUMIF('Executive Pay Breakdown'!K:K,$B315,'Executive Pay Breakdown'!M:M)+SUMIF('Executive Pay Breakdown'!O:O,$B315,'Executive Pay Breakdown'!Q:Q)+SUMIF('Executive Pay Breakdown'!S:S,$B315,'Executive Pay Breakdown'!U:U)+SUMIF('Executive Pay Breakdown'!W:W,$B315,'Executive Pay Breakdown'!Y:Y)+SUMIF('Executive Pay Breakdown'!AA:AA,$B315,'Executive Pay Breakdown'!AC:AC)</f>
        <v>10744214</v>
      </c>
      <c r="E315" s="109"/>
      <c r="F315" s="69">
        <f>SUMIF('Executive Pay Breakdown'!K:K,$B315,'Executive Pay Breakdown'!M:M)</f>
        <v>0</v>
      </c>
      <c r="G315" s="69">
        <f>SUMIF('Executive Pay Breakdown'!O:O,$B315,'Executive Pay Breakdown'!Q:Q)</f>
        <v>0</v>
      </c>
      <c r="H315" s="69">
        <f>SUMIF('Executive Pay Breakdown'!S:S,$B315,'Executive Pay Breakdown'!U:U)</f>
        <v>0</v>
      </c>
      <c r="I315" s="69">
        <f>SUMIF('Executive Pay Breakdown'!W:W,$B315,'Executive Pay Breakdown'!Y:Y)</f>
        <v>0</v>
      </c>
      <c r="J315" s="69">
        <f>SUMIF('Executive Pay Breakdown'!AA:AA,$B315,'Executive Pay Breakdown'!AC:AC)</f>
        <v>10744214</v>
      </c>
      <c r="K315" s="90"/>
      <c r="L315" s="212"/>
      <c r="M315" s="87"/>
      <c r="N315" s="87"/>
      <c r="O315" s="120">
        <f>MATCH(C315,'Key Findings'!B:B,0)</f>
        <v>28</v>
      </c>
    </row>
    <row r="316">
      <c r="A316" s="62"/>
      <c r="B316" s="86" t="s">
        <v>494</v>
      </c>
      <c r="C316" s="87" t="s">
        <v>37</v>
      </c>
      <c r="D316" s="89">
        <f>SUMIF('Executive Pay Breakdown'!K:K,$B316,'Executive Pay Breakdown'!M:M)+SUMIF('Executive Pay Breakdown'!O:O,$B316,'Executive Pay Breakdown'!Q:Q)+SUMIF('Executive Pay Breakdown'!S:S,$B316,'Executive Pay Breakdown'!U:U)+SUMIF('Executive Pay Breakdown'!W:W,$B316,'Executive Pay Breakdown'!Y:Y)+SUMIF('Executive Pay Breakdown'!AA:AA,$B316,'Executive Pay Breakdown'!AC:AC)</f>
        <v>10736331</v>
      </c>
      <c r="E316" s="109"/>
      <c r="F316" s="69">
        <f>SUMIF('Executive Pay Breakdown'!K:K,$B316,'Executive Pay Breakdown'!M:M)</f>
        <v>0</v>
      </c>
      <c r="G316" s="69">
        <f>SUMIF('Executive Pay Breakdown'!O:O,$B316,'Executive Pay Breakdown'!Q:Q)</f>
        <v>0</v>
      </c>
      <c r="H316" s="69">
        <f>SUMIF('Executive Pay Breakdown'!S:S,$B316,'Executive Pay Breakdown'!U:U)</f>
        <v>3228156</v>
      </c>
      <c r="I316" s="69">
        <f>SUMIF('Executive Pay Breakdown'!W:W,$B316,'Executive Pay Breakdown'!Y:Y)</f>
        <v>4507984</v>
      </c>
      <c r="J316" s="69">
        <f>SUMIF('Executive Pay Breakdown'!AA:AA,$B316,'Executive Pay Breakdown'!AC:AC)</f>
        <v>3000191</v>
      </c>
      <c r="K316" s="90"/>
      <c r="L316" s="212"/>
      <c r="M316" s="87"/>
      <c r="N316" s="87"/>
      <c r="O316" s="120">
        <f>MATCH(C316,'Key Findings'!B:B,0)</f>
        <v>44</v>
      </c>
    </row>
    <row r="317">
      <c r="A317" s="81"/>
      <c r="B317" s="133" t="s">
        <v>445</v>
      </c>
      <c r="C317" s="87" t="s">
        <v>50</v>
      </c>
      <c r="D317" s="89">
        <f>SUMIF('Executive Pay Breakdown'!K:K,$B317,'Executive Pay Breakdown'!M:M)+SUMIF('Executive Pay Breakdown'!O:O,$B317,'Executive Pay Breakdown'!Q:Q)+SUMIF('Executive Pay Breakdown'!S:S,$B317,'Executive Pay Breakdown'!U:U)+SUMIF('Executive Pay Breakdown'!W:W,$B317,'Executive Pay Breakdown'!Y:Y)+SUMIF('Executive Pay Breakdown'!AA:AA,$B317,'Executive Pay Breakdown'!AC:AC)</f>
        <v>10658553</v>
      </c>
      <c r="E317" s="109"/>
      <c r="F317" s="69">
        <f>SUMIF('Executive Pay Breakdown'!K:K,$B317,'Executive Pay Breakdown'!M:M)</f>
        <v>0</v>
      </c>
      <c r="G317" s="69">
        <f>SUMIF('Executive Pay Breakdown'!O:O,$B317,'Executive Pay Breakdown'!Q:Q)</f>
        <v>0</v>
      </c>
      <c r="H317" s="69">
        <f>SUMIF('Executive Pay Breakdown'!S:S,$B317,'Executive Pay Breakdown'!U:U)</f>
        <v>0</v>
      </c>
      <c r="I317" s="69">
        <f>SUMIF('Executive Pay Breakdown'!W:W,$B317,'Executive Pay Breakdown'!Y:Y)</f>
        <v>5318033</v>
      </c>
      <c r="J317" s="69">
        <f>SUMIF('Executive Pay Breakdown'!AA:AA,$B317,'Executive Pay Breakdown'!AC:AC)</f>
        <v>5340520</v>
      </c>
      <c r="K317" s="90"/>
      <c r="L317" s="212"/>
      <c r="M317" s="87"/>
      <c r="N317" s="87"/>
      <c r="O317" s="120">
        <f>MATCH(C317,'Key Findings'!B:B,0)</f>
        <v>18</v>
      </c>
    </row>
    <row r="318">
      <c r="A318" s="62"/>
      <c r="B318" s="86" t="s">
        <v>266</v>
      </c>
      <c r="C318" s="87" t="s">
        <v>75</v>
      </c>
      <c r="D318" s="89">
        <f>SUMIF('Executive Pay Breakdown'!K:K,$B318,'Executive Pay Breakdown'!M:M)+SUMIF('Executive Pay Breakdown'!O:O,$B318,'Executive Pay Breakdown'!Q:Q)+SUMIF('Executive Pay Breakdown'!S:S,$B318,'Executive Pay Breakdown'!U:U)+SUMIF('Executive Pay Breakdown'!W:W,$B318,'Executive Pay Breakdown'!Y:Y)+SUMIF('Executive Pay Breakdown'!AA:AA,$B318,'Executive Pay Breakdown'!AC:AC)</f>
        <v>10657594</v>
      </c>
      <c r="E318" s="109"/>
      <c r="F318" s="69">
        <f>SUMIF('Executive Pay Breakdown'!K:K,$B318,'Executive Pay Breakdown'!M:M)</f>
        <v>1931645</v>
      </c>
      <c r="G318" s="69">
        <f>SUMIF('Executive Pay Breakdown'!O:O,$B318,'Executive Pay Breakdown'!Q:Q)</f>
        <v>1926900</v>
      </c>
      <c r="H318" s="69">
        <f>SUMIF('Executive Pay Breakdown'!S:S,$B318,'Executive Pay Breakdown'!U:U)</f>
        <v>2323718</v>
      </c>
      <c r="I318" s="69">
        <f>SUMIF('Executive Pay Breakdown'!W:W,$B318,'Executive Pay Breakdown'!Y:Y)</f>
        <v>2426077</v>
      </c>
      <c r="J318" s="69">
        <f>SUMIF('Executive Pay Breakdown'!AA:AA,$B318,'Executive Pay Breakdown'!AC:AC)</f>
        <v>2049254</v>
      </c>
      <c r="K318" s="90"/>
      <c r="L318" s="212"/>
      <c r="M318" s="87"/>
      <c r="N318" s="230">
        <f>F318/J318-1</f>
        <v>-0.05739112867</v>
      </c>
      <c r="O318" s="120">
        <f>MATCH(C318,'Key Findings'!B:B,0)</f>
        <v>67</v>
      </c>
    </row>
    <row r="319">
      <c r="A319" s="81"/>
      <c r="B319" s="137" t="s">
        <v>316</v>
      </c>
      <c r="C319" s="87" t="str">
        <f t="array" ref="C319">INDEX('Executive Pay Breakdown'!B:B,MATCH(B319,'Executive Pay Breakdown'!S:S,0))</f>
        <v>Darden Restaurants</v>
      </c>
      <c r="D319" s="89">
        <f>SUMIF('Executive Pay Breakdown'!K:K,$B319,'Executive Pay Breakdown'!M:M)+SUMIF('Executive Pay Breakdown'!O:O,$B319,'Executive Pay Breakdown'!Q:Q)+SUMIF('Executive Pay Breakdown'!S:S,$B319,'Executive Pay Breakdown'!U:U)+SUMIF('Executive Pay Breakdown'!W:W,$B319,'Executive Pay Breakdown'!Y:Y)+SUMIF('Executive Pay Breakdown'!AA:AA,$B319,'Executive Pay Breakdown'!AC:AC)</f>
        <v>10592043</v>
      </c>
      <c r="E319" s="109"/>
      <c r="F319" s="69">
        <f>SUMIF('Executive Pay Breakdown'!K:K,$B319,'Executive Pay Breakdown'!M:M)</f>
        <v>0</v>
      </c>
      <c r="G319" s="69">
        <f>SUMIF('Executive Pay Breakdown'!O:O,$B319,'Executive Pay Breakdown'!Q:Q)</f>
        <v>0</v>
      </c>
      <c r="H319" s="69">
        <f>SUMIF('Executive Pay Breakdown'!S:S,$B319,'Executive Pay Breakdown'!U:U)</f>
        <v>3157676</v>
      </c>
      <c r="I319" s="69">
        <f>SUMIF('Executive Pay Breakdown'!W:W,$B319,'Executive Pay Breakdown'!Y:Y)</f>
        <v>3443969</v>
      </c>
      <c r="J319" s="69">
        <f>SUMIF('Executive Pay Breakdown'!AA:AA,$B319,'Executive Pay Breakdown'!AC:AC)</f>
        <v>3990398</v>
      </c>
      <c r="K319" s="90"/>
      <c r="L319" s="212"/>
      <c r="M319" s="87"/>
      <c r="N319" s="230"/>
      <c r="O319" s="120">
        <f>MATCH(C319,'Key Findings'!B:B,0)</f>
        <v>53</v>
      </c>
    </row>
    <row r="320">
      <c r="A320" s="62"/>
      <c r="B320" s="86" t="s">
        <v>199</v>
      </c>
      <c r="C320" s="233" t="s">
        <v>62</v>
      </c>
      <c r="D320" s="89">
        <f>SUMIF('Executive Pay Breakdown'!K:K,$B320,'Executive Pay Breakdown'!M:M)+SUMIF('Executive Pay Breakdown'!O:O,$B320,'Executive Pay Breakdown'!Q:Q)+SUMIF('Executive Pay Breakdown'!S:S,$B320,'Executive Pay Breakdown'!U:U)+SUMIF('Executive Pay Breakdown'!W:W,$B320,'Executive Pay Breakdown'!Y:Y)+SUMIF('Executive Pay Breakdown'!AA:AA,$B320,'Executive Pay Breakdown'!AC:AC)</f>
        <v>10505161</v>
      </c>
      <c r="E320" s="109"/>
      <c r="F320" s="69">
        <f>SUMIF('Executive Pay Breakdown'!K:K,$B320,'Executive Pay Breakdown'!M:M)</f>
        <v>2586614</v>
      </c>
      <c r="G320" s="69">
        <f>SUMIF('Executive Pay Breakdown'!O:O,$B320,'Executive Pay Breakdown'!Q:Q)</f>
        <v>2477083</v>
      </c>
      <c r="H320" s="69">
        <f>SUMIF('Executive Pay Breakdown'!S:S,$B320,'Executive Pay Breakdown'!U:U)</f>
        <v>1849005</v>
      </c>
      <c r="I320" s="69">
        <f>SUMIF('Executive Pay Breakdown'!W:W,$B320,'Executive Pay Breakdown'!Y:Y)</f>
        <v>1731155</v>
      </c>
      <c r="J320" s="69">
        <f>SUMIF('Executive Pay Breakdown'!AA:AA,$B320,'Executive Pay Breakdown'!AC:AC)</f>
        <v>1861304</v>
      </c>
      <c r="K320" s="90"/>
      <c r="L320" s="212"/>
      <c r="M320" s="87"/>
      <c r="N320" s="230">
        <f>F320/J320-1</f>
        <v>0.389678419</v>
      </c>
      <c r="O320" s="120">
        <f>MATCH(C320,'Key Findings'!B:B,0)</f>
        <v>28</v>
      </c>
    </row>
    <row r="321">
      <c r="A321" s="62"/>
      <c r="B321" s="127" t="s">
        <v>489</v>
      </c>
      <c r="C321" s="87" t="s">
        <v>15</v>
      </c>
      <c r="D321" s="89">
        <f>SUMIF('Executive Pay Breakdown'!K:K,$B321,'Executive Pay Breakdown'!M:M)+SUMIF('Executive Pay Breakdown'!O:O,$B321,'Executive Pay Breakdown'!Q:Q)+SUMIF('Executive Pay Breakdown'!S:S,$B321,'Executive Pay Breakdown'!U:U)+SUMIF('Executive Pay Breakdown'!W:W,$B321,'Executive Pay Breakdown'!Y:Y)+SUMIF('Executive Pay Breakdown'!AA:AA,$B321,'Executive Pay Breakdown'!AC:AC)</f>
        <v>10488593</v>
      </c>
      <c r="E321" s="109"/>
      <c r="F321" s="69">
        <f>SUMIF('Executive Pay Breakdown'!K:K,$B321,'Executive Pay Breakdown'!M:M)</f>
        <v>0</v>
      </c>
      <c r="G321" s="69">
        <f>SUMIF('Executive Pay Breakdown'!O:O,$B321,'Executive Pay Breakdown'!Q:Q)</f>
        <v>0</v>
      </c>
      <c r="H321" s="69">
        <f>SUMIF('Executive Pay Breakdown'!S:S,$B321,'Executive Pay Breakdown'!U:U)</f>
        <v>0</v>
      </c>
      <c r="I321" s="69">
        <f>SUMIF('Executive Pay Breakdown'!W:W,$B321,'Executive Pay Breakdown'!Y:Y)</f>
        <v>7535800</v>
      </c>
      <c r="J321" s="69">
        <f>SUMIF('Executive Pay Breakdown'!AA:AA,$B321,'Executive Pay Breakdown'!AC:AC)</f>
        <v>2952793</v>
      </c>
      <c r="K321" s="90"/>
      <c r="L321" s="212"/>
      <c r="M321" s="87"/>
      <c r="N321" s="87"/>
      <c r="O321" s="120">
        <f>MATCH(C321,'Key Findings'!B:B,0)</f>
        <v>32</v>
      </c>
    </row>
    <row r="322">
      <c r="A322" s="62"/>
      <c r="B322" s="86" t="s">
        <v>507</v>
      </c>
      <c r="C322" s="87" t="s">
        <v>39</v>
      </c>
      <c r="D322" s="89">
        <f>SUMIF('Executive Pay Breakdown'!K:K,$B322,'Executive Pay Breakdown'!M:M)+SUMIF('Executive Pay Breakdown'!O:O,$B322,'Executive Pay Breakdown'!Q:Q)+SUMIF('Executive Pay Breakdown'!S:S,$B322,'Executive Pay Breakdown'!U:U)+SUMIF('Executive Pay Breakdown'!W:W,$B322,'Executive Pay Breakdown'!Y:Y)+SUMIF('Executive Pay Breakdown'!AA:AA,$B322,'Executive Pay Breakdown'!AC:AC)</f>
        <v>10458545</v>
      </c>
      <c r="E322" s="109"/>
      <c r="F322" s="69">
        <f>SUMIF('Executive Pay Breakdown'!K:K,$B322,'Executive Pay Breakdown'!M:M)</f>
        <v>0</v>
      </c>
      <c r="G322" s="69">
        <f>SUMIF('Executive Pay Breakdown'!O:O,$B322,'Executive Pay Breakdown'!Q:Q)</f>
        <v>3142098</v>
      </c>
      <c r="H322" s="69">
        <f>SUMIF('Executive Pay Breakdown'!S:S,$B322,'Executive Pay Breakdown'!U:U)</f>
        <v>2849424</v>
      </c>
      <c r="I322" s="69">
        <f>SUMIF('Executive Pay Breakdown'!W:W,$B322,'Executive Pay Breakdown'!Y:Y)</f>
        <v>1991581</v>
      </c>
      <c r="J322" s="69">
        <f>SUMIF('Executive Pay Breakdown'!AA:AA,$B322,'Executive Pay Breakdown'!AC:AC)</f>
        <v>2475442</v>
      </c>
      <c r="K322" s="90"/>
      <c r="L322" s="212"/>
      <c r="M322" s="87"/>
      <c r="N322" s="87"/>
      <c r="O322" s="120">
        <f>MATCH(C322,'Key Findings'!B:B,0)</f>
        <v>57</v>
      </c>
    </row>
    <row r="323">
      <c r="A323" s="62"/>
      <c r="B323" s="86" t="s">
        <v>501</v>
      </c>
      <c r="C323" s="87" t="s">
        <v>31</v>
      </c>
      <c r="D323" s="89">
        <f>SUMIF('Executive Pay Breakdown'!K:K,$B323,'Executive Pay Breakdown'!M:M)+SUMIF('Executive Pay Breakdown'!O:O,$B323,'Executive Pay Breakdown'!Q:Q)+SUMIF('Executive Pay Breakdown'!S:S,$B323,'Executive Pay Breakdown'!U:U)+SUMIF('Executive Pay Breakdown'!W:W,$B323,'Executive Pay Breakdown'!Y:Y)+SUMIF('Executive Pay Breakdown'!AA:AA,$B323,'Executive Pay Breakdown'!AC:AC)</f>
        <v>10454208</v>
      </c>
      <c r="E323" s="109"/>
      <c r="F323" s="69">
        <f>SUMIF('Executive Pay Breakdown'!K:K,$B323,'Executive Pay Breakdown'!M:M)</f>
        <v>0</v>
      </c>
      <c r="G323" s="69">
        <f>SUMIF('Executive Pay Breakdown'!O:O,$B323,'Executive Pay Breakdown'!Q:Q)</f>
        <v>2499003</v>
      </c>
      <c r="H323" s="69">
        <f>SUMIF('Executive Pay Breakdown'!S:S,$B323,'Executive Pay Breakdown'!U:U)</f>
        <v>2456931</v>
      </c>
      <c r="I323" s="69">
        <f>SUMIF('Executive Pay Breakdown'!W:W,$B323,'Executive Pay Breakdown'!Y:Y)</f>
        <v>2460369</v>
      </c>
      <c r="J323" s="69">
        <f>SUMIF('Executive Pay Breakdown'!AA:AA,$B323,'Executive Pay Breakdown'!AC:AC)</f>
        <v>3037905</v>
      </c>
      <c r="K323" s="90"/>
      <c r="L323" s="212"/>
      <c r="M323" s="87"/>
      <c r="N323" s="87"/>
      <c r="O323" s="120">
        <f>MATCH(C323,'Key Findings'!B:B,0)</f>
        <v>52</v>
      </c>
    </row>
    <row r="324">
      <c r="A324" s="62"/>
      <c r="B324" s="86" t="s">
        <v>242</v>
      </c>
      <c r="C324" s="87" t="s">
        <v>75</v>
      </c>
      <c r="D324" s="89">
        <f>SUMIF('Executive Pay Breakdown'!K:K,$B324,'Executive Pay Breakdown'!M:M)+SUMIF('Executive Pay Breakdown'!O:O,$B324,'Executive Pay Breakdown'!Q:Q)+SUMIF('Executive Pay Breakdown'!S:S,$B324,'Executive Pay Breakdown'!U:U)+SUMIF('Executive Pay Breakdown'!W:W,$B324,'Executive Pay Breakdown'!Y:Y)+SUMIF('Executive Pay Breakdown'!AA:AA,$B324,'Executive Pay Breakdown'!AC:AC)</f>
        <v>10447330</v>
      </c>
      <c r="E324" s="109"/>
      <c r="F324" s="69">
        <f>SUMIF('Executive Pay Breakdown'!K:K,$B324,'Executive Pay Breakdown'!M:M)</f>
        <v>2170462</v>
      </c>
      <c r="G324" s="69">
        <f>SUMIF('Executive Pay Breakdown'!O:O,$B324,'Executive Pay Breakdown'!Q:Q)</f>
        <v>1848932</v>
      </c>
      <c r="H324" s="69">
        <f>SUMIF('Executive Pay Breakdown'!S:S,$B324,'Executive Pay Breakdown'!U:U)</f>
        <v>2234520</v>
      </c>
      <c r="I324" s="69">
        <f>SUMIF('Executive Pay Breakdown'!W:W,$B324,'Executive Pay Breakdown'!Y:Y)</f>
        <v>2201940</v>
      </c>
      <c r="J324" s="69">
        <f>SUMIF('Executive Pay Breakdown'!AA:AA,$B324,'Executive Pay Breakdown'!AC:AC)</f>
        <v>1991476</v>
      </c>
      <c r="K324" s="90"/>
      <c r="L324" s="212"/>
      <c r="M324" s="87"/>
      <c r="N324" s="230">
        <f t="shared" ref="N324:N325" si="35">F324/J324-1</f>
        <v>0.08987605173</v>
      </c>
      <c r="O324" s="120">
        <f>MATCH(C324,'Key Findings'!B:B,0)</f>
        <v>67</v>
      </c>
    </row>
    <row r="325">
      <c r="A325" s="62"/>
      <c r="B325" s="86" t="s">
        <v>282</v>
      </c>
      <c r="C325" s="87" t="s">
        <v>39</v>
      </c>
      <c r="D325" s="89">
        <f>SUMIF('Executive Pay Breakdown'!K:K,$B325,'Executive Pay Breakdown'!M:M)+SUMIF('Executive Pay Breakdown'!O:O,$B325,'Executive Pay Breakdown'!Q:Q)+SUMIF('Executive Pay Breakdown'!S:S,$B325,'Executive Pay Breakdown'!U:U)+SUMIF('Executive Pay Breakdown'!W:W,$B325,'Executive Pay Breakdown'!Y:Y)+SUMIF('Executive Pay Breakdown'!AA:AA,$B325,'Executive Pay Breakdown'!AC:AC)</f>
        <v>10395708</v>
      </c>
      <c r="E325" s="109"/>
      <c r="F325" s="69">
        <f>SUMIF('Executive Pay Breakdown'!K:K,$B325,'Executive Pay Breakdown'!M:M)</f>
        <v>1762046</v>
      </c>
      <c r="G325" s="69">
        <f>SUMIF('Executive Pay Breakdown'!O:O,$B325,'Executive Pay Breakdown'!Q:Q)</f>
        <v>2015544</v>
      </c>
      <c r="H325" s="69">
        <f>SUMIF('Executive Pay Breakdown'!S:S,$B325,'Executive Pay Breakdown'!U:U)</f>
        <v>2285694</v>
      </c>
      <c r="I325" s="69">
        <f>SUMIF('Executive Pay Breakdown'!W:W,$B325,'Executive Pay Breakdown'!Y:Y)</f>
        <v>1696978</v>
      </c>
      <c r="J325" s="69">
        <f>SUMIF('Executive Pay Breakdown'!AA:AA,$B325,'Executive Pay Breakdown'!AC:AC)</f>
        <v>2635446</v>
      </c>
      <c r="K325" s="90"/>
      <c r="L325" s="212"/>
      <c r="M325" s="87"/>
      <c r="N325" s="230">
        <f t="shared" si="35"/>
        <v>-0.331405007</v>
      </c>
      <c r="O325" s="120">
        <f>MATCH(C325,'Key Findings'!B:B,0)</f>
        <v>57</v>
      </c>
    </row>
    <row r="326">
      <c r="A326" s="62"/>
      <c r="B326" s="86" t="s">
        <v>426</v>
      </c>
      <c r="C326" s="87" t="s">
        <v>46</v>
      </c>
      <c r="D326" s="89">
        <f>SUMIF('Executive Pay Breakdown'!K:K,$B326,'Executive Pay Breakdown'!M:M)+SUMIF('Executive Pay Breakdown'!O:O,$B326,'Executive Pay Breakdown'!Q:Q)+SUMIF('Executive Pay Breakdown'!S:S,$B326,'Executive Pay Breakdown'!U:U)+SUMIF('Executive Pay Breakdown'!W:W,$B326,'Executive Pay Breakdown'!Y:Y)+SUMIF('Executive Pay Breakdown'!AA:AA,$B326,'Executive Pay Breakdown'!AC:AC)</f>
        <v>10393961</v>
      </c>
      <c r="E326" s="109"/>
      <c r="F326" s="69">
        <f>SUMIF('Executive Pay Breakdown'!K:K,$B326,'Executive Pay Breakdown'!M:M)</f>
        <v>0</v>
      </c>
      <c r="G326" s="69">
        <f>SUMIF('Executive Pay Breakdown'!O:O,$B326,'Executive Pay Breakdown'!Q:Q)</f>
        <v>0</v>
      </c>
      <c r="H326" s="69">
        <f>SUMIF('Executive Pay Breakdown'!S:S,$B326,'Executive Pay Breakdown'!U:U)</f>
        <v>3643380</v>
      </c>
      <c r="I326" s="69">
        <f>SUMIF('Executive Pay Breakdown'!W:W,$B326,'Executive Pay Breakdown'!Y:Y)</f>
        <v>3428935</v>
      </c>
      <c r="J326" s="69">
        <f>SUMIF('Executive Pay Breakdown'!AA:AA,$B326,'Executive Pay Breakdown'!AC:AC)</f>
        <v>3321646</v>
      </c>
      <c r="K326" s="90"/>
      <c r="L326" s="212"/>
      <c r="M326" s="87"/>
      <c r="N326" s="87"/>
      <c r="O326" s="120">
        <f>MATCH(C326,'Key Findings'!B:B,0)</f>
        <v>43</v>
      </c>
    </row>
    <row r="327">
      <c r="A327" s="71"/>
      <c r="B327" s="124" t="s">
        <v>519</v>
      </c>
      <c r="C327" s="87" t="s">
        <v>58</v>
      </c>
      <c r="D327" s="89">
        <f>SUMIF('Executive Pay Breakdown'!K:K,$B327,'Executive Pay Breakdown'!M:M)+SUMIF('Executive Pay Breakdown'!O:O,$B327,'Executive Pay Breakdown'!Q:Q)+SUMIF('Executive Pay Breakdown'!S:S,$B327,'Executive Pay Breakdown'!U:U)+SUMIF('Executive Pay Breakdown'!W:W,$B327,'Executive Pay Breakdown'!Y:Y)+SUMIF('Executive Pay Breakdown'!AA:AA,$B327,'Executive Pay Breakdown'!AC:AC)</f>
        <v>10216919</v>
      </c>
      <c r="E327" s="109"/>
      <c r="F327" s="69">
        <f>SUMIF('Executive Pay Breakdown'!K:K,$B327,'Executive Pay Breakdown'!M:M)</f>
        <v>0</v>
      </c>
      <c r="G327" s="69">
        <f>SUMIF('Executive Pay Breakdown'!O:O,$B327,'Executive Pay Breakdown'!Q:Q)</f>
        <v>0</v>
      </c>
      <c r="H327" s="69">
        <f>SUMIF('Executive Pay Breakdown'!S:S,$B327,'Executive Pay Breakdown'!U:U)</f>
        <v>0</v>
      </c>
      <c r="I327" s="69">
        <f>SUMIF('Executive Pay Breakdown'!W:W,$B327,'Executive Pay Breakdown'!Y:Y)</f>
        <v>4302789</v>
      </c>
      <c r="J327" s="69">
        <f>SUMIF('Executive Pay Breakdown'!AA:AA,$B327,'Executive Pay Breakdown'!AC:AC)</f>
        <v>5914130</v>
      </c>
      <c r="K327" s="90"/>
      <c r="L327" s="212"/>
      <c r="M327" s="87"/>
      <c r="N327" s="87"/>
      <c r="O327" s="120">
        <f>MATCH(C327,'Key Findings'!B:B,0)</f>
        <v>27</v>
      </c>
    </row>
    <row r="328">
      <c r="A328" s="81"/>
      <c r="B328" s="134" t="s">
        <v>239</v>
      </c>
      <c r="C328" s="87" t="s">
        <v>56</v>
      </c>
      <c r="D328" s="89">
        <f>SUMIF('Executive Pay Breakdown'!K:K,$B328,'Executive Pay Breakdown'!M:M)+SUMIF('Executive Pay Breakdown'!O:O,$B328,'Executive Pay Breakdown'!Q:Q)+SUMIF('Executive Pay Breakdown'!S:S,$B328,'Executive Pay Breakdown'!U:U)+SUMIF('Executive Pay Breakdown'!W:W,$B328,'Executive Pay Breakdown'!Y:Y)+SUMIF('Executive Pay Breakdown'!AA:AA,$B328,'Executive Pay Breakdown'!AC:AC)</f>
        <v>10175354</v>
      </c>
      <c r="E328" s="109"/>
      <c r="F328" s="69">
        <f>SUMIF('Executive Pay Breakdown'!K:K,$B328,'Executive Pay Breakdown'!M:M)</f>
        <v>5386177</v>
      </c>
      <c r="G328" s="69">
        <f>SUMIF('Executive Pay Breakdown'!O:O,$B328,'Executive Pay Breakdown'!Q:Q)</f>
        <v>0</v>
      </c>
      <c r="H328" s="69">
        <f>SUMIF('Executive Pay Breakdown'!S:S,$B328,'Executive Pay Breakdown'!U:U)</f>
        <v>0</v>
      </c>
      <c r="I328" s="69">
        <f>SUMIF('Executive Pay Breakdown'!W:W,$B328,'Executive Pay Breakdown'!Y:Y)</f>
        <v>0</v>
      </c>
      <c r="J328" s="69">
        <f>SUMIF('Executive Pay Breakdown'!AA:AA,$B328,'Executive Pay Breakdown'!AC:AC)</f>
        <v>4789177</v>
      </c>
      <c r="K328" s="90"/>
      <c r="L328" s="212"/>
      <c r="M328" s="87"/>
      <c r="N328" s="230">
        <f>F328/J328-1</f>
        <v>0.1246560735</v>
      </c>
      <c r="O328" s="120">
        <f>MATCH(C328,'Key Findings'!B:B,0)</f>
        <v>30</v>
      </c>
    </row>
    <row r="329">
      <c r="A329" s="81"/>
      <c r="B329" s="133" t="s">
        <v>540</v>
      </c>
      <c r="C329" s="87" t="s">
        <v>52</v>
      </c>
      <c r="D329" s="89">
        <f>SUMIF('Executive Pay Breakdown'!K:K,$B329,'Executive Pay Breakdown'!M:M)+SUMIF('Executive Pay Breakdown'!O:O,$B329,'Executive Pay Breakdown'!Q:Q)+SUMIF('Executive Pay Breakdown'!S:S,$B329,'Executive Pay Breakdown'!U:U)+SUMIF('Executive Pay Breakdown'!W:W,$B329,'Executive Pay Breakdown'!Y:Y)+SUMIF('Executive Pay Breakdown'!AA:AA,$B329,'Executive Pay Breakdown'!AC:AC)</f>
        <v>10167764</v>
      </c>
      <c r="E329" s="109"/>
      <c r="F329" s="69">
        <f>SUMIF('Executive Pay Breakdown'!K:K,$B329,'Executive Pay Breakdown'!M:M)</f>
        <v>0</v>
      </c>
      <c r="G329" s="69">
        <f>SUMIF('Executive Pay Breakdown'!O:O,$B329,'Executive Pay Breakdown'!Q:Q)</f>
        <v>0</v>
      </c>
      <c r="H329" s="69">
        <f>SUMIF('Executive Pay Breakdown'!S:S,$B329,'Executive Pay Breakdown'!U:U)</f>
        <v>0</v>
      </c>
      <c r="I329" s="69">
        <f>SUMIF('Executive Pay Breakdown'!W:W,$B329,'Executive Pay Breakdown'!Y:Y)</f>
        <v>5700486</v>
      </c>
      <c r="J329" s="69">
        <f>SUMIF('Executive Pay Breakdown'!AA:AA,$B329,'Executive Pay Breakdown'!AC:AC)</f>
        <v>4467278</v>
      </c>
      <c r="K329" s="90"/>
      <c r="L329" s="212"/>
      <c r="M329" s="87"/>
      <c r="N329" s="87"/>
      <c r="O329" s="120">
        <f>MATCH(C329,'Key Findings'!B:B,0)</f>
        <v>21</v>
      </c>
    </row>
    <row r="330">
      <c r="A330" s="62"/>
      <c r="B330" s="86" t="s">
        <v>429</v>
      </c>
      <c r="C330" s="233" t="s">
        <v>62</v>
      </c>
      <c r="D330" s="89">
        <f>SUMIF('Executive Pay Breakdown'!K:K,$B330,'Executive Pay Breakdown'!M:M)+SUMIF('Executive Pay Breakdown'!O:O,$B330,'Executive Pay Breakdown'!Q:Q)+SUMIF('Executive Pay Breakdown'!S:S,$B330,'Executive Pay Breakdown'!U:U)+SUMIF('Executive Pay Breakdown'!W:W,$B330,'Executive Pay Breakdown'!Y:Y)+SUMIF('Executive Pay Breakdown'!AA:AA,$B330,'Executive Pay Breakdown'!AC:AC)</f>
        <v>10161435</v>
      </c>
      <c r="E330" s="109"/>
      <c r="F330" s="69">
        <f>SUMIF('Executive Pay Breakdown'!K:K,$B330,'Executive Pay Breakdown'!M:M)</f>
        <v>10161435</v>
      </c>
      <c r="G330" s="69">
        <f>SUMIF('Executive Pay Breakdown'!O:O,$B330,'Executive Pay Breakdown'!Q:Q)</f>
        <v>0</v>
      </c>
      <c r="H330" s="69">
        <f>SUMIF('Executive Pay Breakdown'!S:S,$B330,'Executive Pay Breakdown'!U:U)</f>
        <v>0</v>
      </c>
      <c r="I330" s="69">
        <f>SUMIF('Executive Pay Breakdown'!W:W,$B330,'Executive Pay Breakdown'!Y:Y)</f>
        <v>0</v>
      </c>
      <c r="J330" s="69">
        <f>SUMIF('Executive Pay Breakdown'!AA:AA,$B330,'Executive Pay Breakdown'!AC:AC)</f>
        <v>0</v>
      </c>
      <c r="K330" s="90"/>
      <c r="L330" s="212"/>
      <c r="M330" s="87"/>
      <c r="N330" s="87"/>
      <c r="O330" s="120">
        <f>MATCH(C330,'Key Findings'!B:B,0)</f>
        <v>28</v>
      </c>
    </row>
    <row r="331">
      <c r="A331" s="62"/>
      <c r="B331" s="125" t="s">
        <v>172</v>
      </c>
      <c r="C331" s="87" t="s">
        <v>21</v>
      </c>
      <c r="D331" s="89">
        <f>SUMIF('Executive Pay Breakdown'!K:K,$B331,'Executive Pay Breakdown'!M:M)+SUMIF('Executive Pay Breakdown'!O:O,$B331,'Executive Pay Breakdown'!Q:Q)+SUMIF('Executive Pay Breakdown'!S:S,$B331,'Executive Pay Breakdown'!U:U)+SUMIF('Executive Pay Breakdown'!W:W,$B331,'Executive Pay Breakdown'!Y:Y)+SUMIF('Executive Pay Breakdown'!AA:AA,$B331,'Executive Pay Breakdown'!AC:AC)</f>
        <v>10154437</v>
      </c>
      <c r="E331" s="109"/>
      <c r="F331" s="69">
        <f>SUMIF('Executive Pay Breakdown'!K:K,$B331,'Executive Pay Breakdown'!M:M)</f>
        <v>2738342</v>
      </c>
      <c r="G331" s="69">
        <f>SUMIF('Executive Pay Breakdown'!O:O,$B331,'Executive Pay Breakdown'!Q:Q)</f>
        <v>2234532</v>
      </c>
      <c r="H331" s="69">
        <f>SUMIF('Executive Pay Breakdown'!S:S,$B331,'Executive Pay Breakdown'!U:U)</f>
        <v>1923987</v>
      </c>
      <c r="I331" s="69">
        <f>SUMIF('Executive Pay Breakdown'!W:W,$B331,'Executive Pay Breakdown'!Y:Y)</f>
        <v>1763035</v>
      </c>
      <c r="J331" s="69">
        <f>SUMIF('Executive Pay Breakdown'!AA:AA,$B331,'Executive Pay Breakdown'!AC:AC)</f>
        <v>1494541</v>
      </c>
      <c r="K331" s="90"/>
      <c r="L331" s="212"/>
      <c r="M331" s="87"/>
      <c r="N331" s="230">
        <f>F331/J331-1</f>
        <v>0.832229427</v>
      </c>
      <c r="O331" s="120">
        <f>MATCH(C331,'Key Findings'!B:B,0)</f>
        <v>54</v>
      </c>
    </row>
    <row r="332">
      <c r="A332" s="81"/>
      <c r="B332" s="137" t="s">
        <v>293</v>
      </c>
      <c r="C332" s="87" t="str">
        <f t="array" ref="C332">INDEX('Executive Pay Breakdown'!B:B,MATCH(B332,'Executive Pay Breakdown'!S:S,0))</f>
        <v>Pioneer Natural Resources</v>
      </c>
      <c r="D332" s="89">
        <f>SUMIF('Executive Pay Breakdown'!K:K,$B332,'Executive Pay Breakdown'!M:M)+SUMIF('Executive Pay Breakdown'!O:O,$B332,'Executive Pay Breakdown'!Q:Q)+SUMIF('Executive Pay Breakdown'!S:S,$B332,'Executive Pay Breakdown'!U:U)+SUMIF('Executive Pay Breakdown'!W:W,$B332,'Executive Pay Breakdown'!Y:Y)+SUMIF('Executive Pay Breakdown'!AA:AA,$B332,'Executive Pay Breakdown'!AC:AC)</f>
        <v>10039613</v>
      </c>
      <c r="E332" s="109"/>
      <c r="F332" s="69">
        <f>SUMIF('Executive Pay Breakdown'!K:K,$B332,'Executive Pay Breakdown'!M:M)</f>
        <v>0</v>
      </c>
      <c r="G332" s="69">
        <f>SUMIF('Executive Pay Breakdown'!O:O,$B332,'Executive Pay Breakdown'!Q:Q)</f>
        <v>0</v>
      </c>
      <c r="H332" s="69">
        <f>SUMIF('Executive Pay Breakdown'!S:S,$B332,'Executive Pay Breakdown'!U:U)</f>
        <v>3034416</v>
      </c>
      <c r="I332" s="69">
        <f>SUMIF('Executive Pay Breakdown'!W:W,$B332,'Executive Pay Breakdown'!Y:Y)</f>
        <v>3452058</v>
      </c>
      <c r="J332" s="69">
        <f>SUMIF('Executive Pay Breakdown'!AA:AA,$B332,'Executive Pay Breakdown'!AC:AC)</f>
        <v>3553139</v>
      </c>
      <c r="K332" s="90"/>
      <c r="L332" s="212"/>
      <c r="M332" s="87"/>
      <c r="N332" s="230"/>
      <c r="O332" s="120">
        <f>MATCH(C332,'Key Findings'!B:B,0)</f>
        <v>35</v>
      </c>
    </row>
    <row r="333">
      <c r="A333" s="62"/>
      <c r="B333" s="130" t="s">
        <v>233</v>
      </c>
      <c r="C333" s="87" t="s">
        <v>22</v>
      </c>
      <c r="D333" s="89">
        <f>SUMIF('Executive Pay Breakdown'!K:K,$B333,'Executive Pay Breakdown'!M:M)+SUMIF('Executive Pay Breakdown'!O:O,$B333,'Executive Pay Breakdown'!Q:Q)+SUMIF('Executive Pay Breakdown'!S:S,$B333,'Executive Pay Breakdown'!U:U)+SUMIF('Executive Pay Breakdown'!W:W,$B333,'Executive Pay Breakdown'!Y:Y)+SUMIF('Executive Pay Breakdown'!AA:AA,$B333,'Executive Pay Breakdown'!AC:AC)</f>
        <v>9980558</v>
      </c>
      <c r="E333" s="109"/>
      <c r="F333" s="69">
        <f>SUMIF('Executive Pay Breakdown'!K:K,$B333,'Executive Pay Breakdown'!M:M)</f>
        <v>1488300</v>
      </c>
      <c r="G333" s="69">
        <f>SUMIF('Executive Pay Breakdown'!O:O,$B333,'Executive Pay Breakdown'!Q:Q)</f>
        <v>2839907</v>
      </c>
      <c r="H333" s="69">
        <f>SUMIF('Executive Pay Breakdown'!S:S,$B333,'Executive Pay Breakdown'!U:U)</f>
        <v>2457568</v>
      </c>
      <c r="I333" s="69">
        <f>SUMIF('Executive Pay Breakdown'!W:W,$B333,'Executive Pay Breakdown'!Y:Y)</f>
        <v>1907433</v>
      </c>
      <c r="J333" s="69">
        <f>SUMIF('Executive Pay Breakdown'!AA:AA,$B333,'Executive Pay Breakdown'!AC:AC)</f>
        <v>1287350</v>
      </c>
      <c r="K333" s="90"/>
      <c r="L333" s="212"/>
      <c r="M333" s="87"/>
      <c r="N333" s="230">
        <f>F333/J333-1</f>
        <v>0.1560958558</v>
      </c>
      <c r="O333" s="120">
        <f>MATCH(C333,'Key Findings'!B:B,0)</f>
        <v>39</v>
      </c>
    </row>
    <row r="334">
      <c r="A334" s="62"/>
      <c r="B334" s="86" t="s">
        <v>517</v>
      </c>
      <c r="C334" s="87" t="s">
        <v>39</v>
      </c>
      <c r="D334" s="89">
        <f>SUMIF('Executive Pay Breakdown'!K:K,$B334,'Executive Pay Breakdown'!M:M)+SUMIF('Executive Pay Breakdown'!O:O,$B334,'Executive Pay Breakdown'!Q:Q)+SUMIF('Executive Pay Breakdown'!S:S,$B334,'Executive Pay Breakdown'!U:U)+SUMIF('Executive Pay Breakdown'!W:W,$B334,'Executive Pay Breakdown'!Y:Y)+SUMIF('Executive Pay Breakdown'!AA:AA,$B334,'Executive Pay Breakdown'!AC:AC)</f>
        <v>9950321</v>
      </c>
      <c r="E334" s="109"/>
      <c r="F334" s="69">
        <f>SUMIF('Executive Pay Breakdown'!K:K,$B334,'Executive Pay Breakdown'!M:M)</f>
        <v>3053393</v>
      </c>
      <c r="G334" s="69">
        <f>SUMIF('Executive Pay Breakdown'!O:O,$B334,'Executive Pay Breakdown'!Q:Q)</f>
        <v>6896928</v>
      </c>
      <c r="H334" s="69">
        <f>SUMIF('Executive Pay Breakdown'!S:S,$B334,'Executive Pay Breakdown'!U:U)</f>
        <v>0</v>
      </c>
      <c r="I334" s="69">
        <f>SUMIF('Executive Pay Breakdown'!W:W,$B334,'Executive Pay Breakdown'!Y:Y)</f>
        <v>0</v>
      </c>
      <c r="J334" s="69">
        <f>SUMIF('Executive Pay Breakdown'!AA:AA,$B334,'Executive Pay Breakdown'!AC:AC)</f>
        <v>0</v>
      </c>
      <c r="K334" s="90"/>
      <c r="L334" s="212"/>
      <c r="M334" s="212"/>
      <c r="N334" s="230"/>
      <c r="O334" s="120">
        <f>MATCH(C334,'Key Findings'!B:B,0)</f>
        <v>57</v>
      </c>
    </row>
    <row r="335">
      <c r="A335" s="62"/>
      <c r="B335" s="127" t="s">
        <v>274</v>
      </c>
      <c r="C335" s="87" t="s">
        <v>17</v>
      </c>
      <c r="D335" s="89">
        <f>SUMIF('Executive Pay Breakdown'!K:K,$B335,'Executive Pay Breakdown'!M:M)+SUMIF('Executive Pay Breakdown'!O:O,$B335,'Executive Pay Breakdown'!Q:Q)+SUMIF('Executive Pay Breakdown'!S:S,$B335,'Executive Pay Breakdown'!U:U)+SUMIF('Executive Pay Breakdown'!W:W,$B335,'Executive Pay Breakdown'!Y:Y)+SUMIF('Executive Pay Breakdown'!AA:AA,$B335,'Executive Pay Breakdown'!AC:AC)</f>
        <v>9928926</v>
      </c>
      <c r="E335" s="109"/>
      <c r="F335" s="69">
        <f>SUMIF('Executive Pay Breakdown'!K:K,$B335,'Executive Pay Breakdown'!M:M)</f>
        <v>3178011</v>
      </c>
      <c r="G335" s="69">
        <f>SUMIF('Executive Pay Breakdown'!O:O,$B335,'Executive Pay Breakdown'!Q:Q)</f>
        <v>846963</v>
      </c>
      <c r="H335" s="69">
        <f>SUMIF('Executive Pay Breakdown'!S:S,$B335,'Executive Pay Breakdown'!U:U)</f>
        <v>1907478</v>
      </c>
      <c r="I335" s="69">
        <f>SUMIF('Executive Pay Breakdown'!W:W,$B335,'Executive Pay Breakdown'!Y:Y)</f>
        <v>0</v>
      </c>
      <c r="J335" s="69">
        <f>SUMIF('Executive Pay Breakdown'!AA:AA,$B335,'Executive Pay Breakdown'!AC:AC)</f>
        <v>3996474</v>
      </c>
      <c r="K335" s="90"/>
      <c r="L335" s="212"/>
      <c r="M335" s="87"/>
      <c r="N335" s="230">
        <f t="shared" ref="N335:N336" si="36">F335/J335-1</f>
        <v>-0.2047962779</v>
      </c>
      <c r="O335" s="120">
        <f>MATCH(C335,'Key Findings'!B:B,0)</f>
        <v>36</v>
      </c>
    </row>
    <row r="336">
      <c r="A336" s="81"/>
      <c r="B336" s="134" t="s">
        <v>246</v>
      </c>
      <c r="C336" s="87" t="s">
        <v>65</v>
      </c>
      <c r="D336" s="89">
        <f>SUMIF('Executive Pay Breakdown'!K:K,$B336,'Executive Pay Breakdown'!M:M)+SUMIF('Executive Pay Breakdown'!O:O,$B336,'Executive Pay Breakdown'!Q:Q)+SUMIF('Executive Pay Breakdown'!S:S,$B336,'Executive Pay Breakdown'!U:U)+SUMIF('Executive Pay Breakdown'!W:W,$B336,'Executive Pay Breakdown'!Y:Y)+SUMIF('Executive Pay Breakdown'!AA:AA,$B336,'Executive Pay Breakdown'!AC:AC)</f>
        <v>9925525</v>
      </c>
      <c r="E336" s="109"/>
      <c r="F336" s="69">
        <f>SUMIF('Executive Pay Breakdown'!K:K,$B336,'Executive Pay Breakdown'!M:M)</f>
        <v>5117787</v>
      </c>
      <c r="G336" s="69">
        <f>SUMIF('Executive Pay Breakdown'!O:O,$B336,'Executive Pay Breakdown'!Q:Q)</f>
        <v>0</v>
      </c>
      <c r="H336" s="69">
        <f>SUMIF('Executive Pay Breakdown'!S:S,$B336,'Executive Pay Breakdown'!U:U)</f>
        <v>0</v>
      </c>
      <c r="I336" s="69">
        <f>SUMIF('Executive Pay Breakdown'!W:W,$B336,'Executive Pay Breakdown'!Y:Y)</f>
        <v>0</v>
      </c>
      <c r="J336" s="69">
        <f>SUMIF('Executive Pay Breakdown'!AA:AA,$B336,'Executive Pay Breakdown'!AC:AC)</f>
        <v>4807738</v>
      </c>
      <c r="K336" s="90"/>
      <c r="L336" s="212"/>
      <c r="M336" s="87"/>
      <c r="N336" s="230">
        <f t="shared" si="36"/>
        <v>0.06448957909</v>
      </c>
      <c r="O336" s="120">
        <f>MATCH(C336,'Key Findings'!B:B,0)</f>
        <v>24</v>
      </c>
    </row>
    <row r="337">
      <c r="A337" s="62"/>
      <c r="B337" s="86" t="s">
        <v>406</v>
      </c>
      <c r="C337" s="233" t="s">
        <v>71</v>
      </c>
      <c r="D337" s="89">
        <f>SUMIF('Executive Pay Breakdown'!K:K,$B337,'Executive Pay Breakdown'!M:M)+SUMIF('Executive Pay Breakdown'!O:O,$B337,'Executive Pay Breakdown'!Q:Q)+SUMIF('Executive Pay Breakdown'!S:S,$B337,'Executive Pay Breakdown'!U:U)+SUMIF('Executive Pay Breakdown'!W:W,$B337,'Executive Pay Breakdown'!Y:Y)+SUMIF('Executive Pay Breakdown'!AA:AA,$B337,'Executive Pay Breakdown'!AC:AC)</f>
        <v>9897785</v>
      </c>
      <c r="E337" s="109"/>
      <c r="F337" s="69">
        <f>SUMIF('Executive Pay Breakdown'!K:K,$B337,'Executive Pay Breakdown'!M:M)</f>
        <v>3686659</v>
      </c>
      <c r="G337" s="69">
        <f>SUMIF('Executive Pay Breakdown'!O:O,$B337,'Executive Pay Breakdown'!Q:Q)</f>
        <v>3589911</v>
      </c>
      <c r="H337" s="69">
        <f>SUMIF('Executive Pay Breakdown'!S:S,$B337,'Executive Pay Breakdown'!U:U)</f>
        <v>2621215</v>
      </c>
      <c r="I337" s="69">
        <f>SUMIF('Executive Pay Breakdown'!W:W,$B337,'Executive Pay Breakdown'!Y:Y)</f>
        <v>0</v>
      </c>
      <c r="J337" s="69">
        <f>SUMIF('Executive Pay Breakdown'!AA:AA,$B337,'Executive Pay Breakdown'!AC:AC)</f>
        <v>0</v>
      </c>
      <c r="K337" s="90"/>
      <c r="L337" s="212"/>
      <c r="M337" s="87"/>
      <c r="N337" s="87"/>
      <c r="O337" s="120">
        <f>MATCH(C337,'Key Findings'!B:B,0)</f>
        <v>58</v>
      </c>
    </row>
    <row r="338">
      <c r="A338" s="62"/>
      <c r="B338" s="86" t="s">
        <v>166</v>
      </c>
      <c r="C338" s="87" t="s">
        <v>45</v>
      </c>
      <c r="D338" s="89">
        <f>SUMIF('Executive Pay Breakdown'!K:K,$B338,'Executive Pay Breakdown'!M:M)+SUMIF('Executive Pay Breakdown'!O:O,$B338,'Executive Pay Breakdown'!Q:Q)+SUMIF('Executive Pay Breakdown'!S:S,$B338,'Executive Pay Breakdown'!U:U)+SUMIF('Executive Pay Breakdown'!W:W,$B338,'Executive Pay Breakdown'!Y:Y)+SUMIF('Executive Pay Breakdown'!AA:AA,$B338,'Executive Pay Breakdown'!AC:AC)</f>
        <v>9847799</v>
      </c>
      <c r="E338" s="109"/>
      <c r="F338" s="69">
        <f>SUMIF('Executive Pay Breakdown'!K:K,$B338,'Executive Pay Breakdown'!M:M)</f>
        <v>2196356</v>
      </c>
      <c r="G338" s="69">
        <f>SUMIF('Executive Pay Breakdown'!O:O,$B338,'Executive Pay Breakdown'!Q:Q)</f>
        <v>1847679</v>
      </c>
      <c r="H338" s="69">
        <f>SUMIF('Executive Pay Breakdown'!S:S,$B338,'Executive Pay Breakdown'!U:U)</f>
        <v>2471012</v>
      </c>
      <c r="I338" s="69">
        <f>SUMIF('Executive Pay Breakdown'!W:W,$B338,'Executive Pay Breakdown'!Y:Y)</f>
        <v>2211761</v>
      </c>
      <c r="J338" s="69">
        <f>SUMIF('Executive Pay Breakdown'!AA:AA,$B338,'Executive Pay Breakdown'!AC:AC)</f>
        <v>1120991</v>
      </c>
      <c r="K338" s="90"/>
      <c r="L338" s="212"/>
      <c r="M338" s="87"/>
      <c r="N338" s="230">
        <f>F338/J338-1</f>
        <v>0.9592985135</v>
      </c>
      <c r="O338" s="120">
        <f>MATCH(C338,'Key Findings'!B:B,0)</f>
        <v>60</v>
      </c>
    </row>
    <row r="339">
      <c r="A339" s="62"/>
      <c r="B339" s="86" t="s">
        <v>472</v>
      </c>
      <c r="C339" s="233" t="s">
        <v>59</v>
      </c>
      <c r="D339" s="89">
        <f>SUMIF('Executive Pay Breakdown'!K:K,$B339,'Executive Pay Breakdown'!M:M)+SUMIF('Executive Pay Breakdown'!O:O,$B339,'Executive Pay Breakdown'!Q:Q)+SUMIF('Executive Pay Breakdown'!S:S,$B339,'Executive Pay Breakdown'!U:U)+SUMIF('Executive Pay Breakdown'!W:W,$B339,'Executive Pay Breakdown'!Y:Y)+SUMIF('Executive Pay Breakdown'!AA:AA,$B339,'Executive Pay Breakdown'!AC:AC)</f>
        <v>9794899</v>
      </c>
      <c r="E339" s="109"/>
      <c r="F339" s="69">
        <f>SUMIF('Executive Pay Breakdown'!K:K,$B339,'Executive Pay Breakdown'!M:M)</f>
        <v>3918300</v>
      </c>
      <c r="G339" s="69">
        <f>SUMIF('Executive Pay Breakdown'!O:O,$B339,'Executive Pay Breakdown'!Q:Q)</f>
        <v>3400804</v>
      </c>
      <c r="H339" s="69">
        <f>SUMIF('Executive Pay Breakdown'!S:S,$B339,'Executive Pay Breakdown'!U:U)</f>
        <v>2475795</v>
      </c>
      <c r="I339" s="69">
        <f>SUMIF('Executive Pay Breakdown'!W:W,$B339,'Executive Pay Breakdown'!Y:Y)</f>
        <v>0</v>
      </c>
      <c r="J339" s="69">
        <f>SUMIF('Executive Pay Breakdown'!AA:AA,$B339,'Executive Pay Breakdown'!AC:AC)</f>
        <v>0</v>
      </c>
      <c r="K339" s="90"/>
      <c r="L339" s="212"/>
      <c r="M339" s="87"/>
      <c r="N339" s="87"/>
      <c r="O339" s="120">
        <f>MATCH(C339,'Key Findings'!B:B,0)</f>
        <v>10</v>
      </c>
    </row>
    <row r="340">
      <c r="A340" s="62"/>
      <c r="B340" s="86" t="s">
        <v>495</v>
      </c>
      <c r="C340" s="87" t="s">
        <v>28</v>
      </c>
      <c r="D340" s="89">
        <f>SUMIF('Executive Pay Breakdown'!K:K,$B340,'Executive Pay Breakdown'!M:M)+SUMIF('Executive Pay Breakdown'!O:O,$B340,'Executive Pay Breakdown'!Q:Q)+SUMIF('Executive Pay Breakdown'!S:S,$B340,'Executive Pay Breakdown'!U:U)+SUMIF('Executive Pay Breakdown'!W:W,$B340,'Executive Pay Breakdown'!Y:Y)+SUMIF('Executive Pay Breakdown'!AA:AA,$B340,'Executive Pay Breakdown'!AC:AC)</f>
        <v>9794808</v>
      </c>
      <c r="E340" s="109"/>
      <c r="F340" s="69">
        <f>SUMIF('Executive Pay Breakdown'!K:K,$B340,'Executive Pay Breakdown'!M:M)</f>
        <v>0</v>
      </c>
      <c r="G340" s="69">
        <f>SUMIF('Executive Pay Breakdown'!O:O,$B340,'Executive Pay Breakdown'!Q:Q)</f>
        <v>1611231</v>
      </c>
      <c r="H340" s="69">
        <f>SUMIF('Executive Pay Breakdown'!S:S,$B340,'Executive Pay Breakdown'!U:U)</f>
        <v>2164402</v>
      </c>
      <c r="I340" s="69">
        <f>SUMIF('Executive Pay Breakdown'!W:W,$B340,'Executive Pay Breakdown'!Y:Y)</f>
        <v>3018068</v>
      </c>
      <c r="J340" s="69">
        <f>SUMIF('Executive Pay Breakdown'!AA:AA,$B340,'Executive Pay Breakdown'!AC:AC)</f>
        <v>3001107</v>
      </c>
      <c r="K340" s="90"/>
      <c r="L340" s="212"/>
      <c r="M340" s="87"/>
      <c r="N340" s="87"/>
      <c r="O340" s="120">
        <f>MATCH(C340,'Key Findings'!B:B,0)</f>
        <v>56</v>
      </c>
    </row>
    <row r="341">
      <c r="A341" s="62"/>
      <c r="B341" s="127" t="s">
        <v>488</v>
      </c>
      <c r="C341" s="87" t="s">
        <v>21</v>
      </c>
      <c r="D341" s="89">
        <f>SUMIF('Executive Pay Breakdown'!K:K,$B341,'Executive Pay Breakdown'!M:M)+SUMIF('Executive Pay Breakdown'!O:O,$B341,'Executive Pay Breakdown'!Q:Q)+SUMIF('Executive Pay Breakdown'!S:S,$B341,'Executive Pay Breakdown'!U:U)+SUMIF('Executive Pay Breakdown'!W:W,$B341,'Executive Pay Breakdown'!Y:Y)+SUMIF('Executive Pay Breakdown'!AA:AA,$B341,'Executive Pay Breakdown'!AC:AC)</f>
        <v>9761874</v>
      </c>
      <c r="E341" s="109"/>
      <c r="F341" s="69">
        <f>SUMIF('Executive Pay Breakdown'!K:K,$B341,'Executive Pay Breakdown'!M:M)</f>
        <v>0</v>
      </c>
      <c r="G341" s="69">
        <f>SUMIF('Executive Pay Breakdown'!O:O,$B341,'Executive Pay Breakdown'!Q:Q)</f>
        <v>0</v>
      </c>
      <c r="H341" s="69">
        <f>SUMIF('Executive Pay Breakdown'!S:S,$B341,'Executive Pay Breakdown'!U:U)</f>
        <v>0</v>
      </c>
      <c r="I341" s="69">
        <f>SUMIF('Executive Pay Breakdown'!W:W,$B341,'Executive Pay Breakdown'!Y:Y)</f>
        <v>0</v>
      </c>
      <c r="J341" s="69">
        <f>SUMIF('Executive Pay Breakdown'!AA:AA,$B341,'Executive Pay Breakdown'!AC:AC)</f>
        <v>9761874</v>
      </c>
      <c r="K341" s="90"/>
      <c r="L341" s="212"/>
      <c r="M341" s="87"/>
      <c r="N341" s="87"/>
      <c r="O341" s="120">
        <f>MATCH(C341,'Key Findings'!B:B,0)</f>
        <v>54</v>
      </c>
    </row>
    <row r="342">
      <c r="A342" s="62"/>
      <c r="B342" s="86" t="s">
        <v>220</v>
      </c>
      <c r="C342" s="87" t="s">
        <v>42</v>
      </c>
      <c r="D342" s="89">
        <f>SUMIF('Executive Pay Breakdown'!K:K,$B342,'Executive Pay Breakdown'!M:M)+SUMIF('Executive Pay Breakdown'!O:O,$B342,'Executive Pay Breakdown'!Q:Q)+SUMIF('Executive Pay Breakdown'!S:S,$B342,'Executive Pay Breakdown'!U:U)+SUMIF('Executive Pay Breakdown'!W:W,$B342,'Executive Pay Breakdown'!Y:Y)+SUMIF('Executive Pay Breakdown'!AA:AA,$B342,'Executive Pay Breakdown'!AC:AC)</f>
        <v>9719390</v>
      </c>
      <c r="E342" s="109"/>
      <c r="F342" s="69">
        <f>SUMIF('Executive Pay Breakdown'!K:K,$B342,'Executive Pay Breakdown'!M:M)</f>
        <v>1959099</v>
      </c>
      <c r="G342" s="69">
        <f>SUMIF('Executive Pay Breakdown'!O:O,$B342,'Executive Pay Breakdown'!Q:Q)</f>
        <v>2022245</v>
      </c>
      <c r="H342" s="69">
        <f>SUMIF('Executive Pay Breakdown'!S:S,$B342,'Executive Pay Breakdown'!U:U)</f>
        <v>2009733</v>
      </c>
      <c r="I342" s="69">
        <f>SUMIF('Executive Pay Breakdown'!W:W,$B342,'Executive Pay Breakdown'!Y:Y)</f>
        <v>2161275</v>
      </c>
      <c r="J342" s="69">
        <f>SUMIF('Executive Pay Breakdown'!AA:AA,$B342,'Executive Pay Breakdown'!AC:AC)</f>
        <v>1567038</v>
      </c>
      <c r="K342" s="90"/>
      <c r="L342" s="212"/>
      <c r="M342" s="87"/>
      <c r="N342" s="230">
        <f t="shared" ref="N342:N343" si="37">F342/J342-1</f>
        <v>0.2501924012</v>
      </c>
      <c r="O342" s="120">
        <f>MATCH(C342,'Key Findings'!B:B,0)</f>
        <v>61</v>
      </c>
    </row>
    <row r="343">
      <c r="A343" s="62"/>
      <c r="B343" s="127" t="s">
        <v>190</v>
      </c>
      <c r="C343" s="87" t="s">
        <v>64</v>
      </c>
      <c r="D343" s="89">
        <f>SUMIF('Executive Pay Breakdown'!K:K,$B343,'Executive Pay Breakdown'!M:M)+SUMIF('Executive Pay Breakdown'!O:O,$B343,'Executive Pay Breakdown'!Q:Q)+SUMIF('Executive Pay Breakdown'!S:S,$B343,'Executive Pay Breakdown'!U:U)+SUMIF('Executive Pay Breakdown'!W:W,$B343,'Executive Pay Breakdown'!Y:Y)+SUMIF('Executive Pay Breakdown'!AA:AA,$B343,'Executive Pay Breakdown'!AC:AC)</f>
        <v>9712332</v>
      </c>
      <c r="E343" s="109"/>
      <c r="F343" s="69">
        <f>SUMIF('Executive Pay Breakdown'!K:K,$B343,'Executive Pay Breakdown'!M:M)</f>
        <v>2313217</v>
      </c>
      <c r="G343" s="69">
        <f>SUMIF('Executive Pay Breakdown'!O:O,$B343,'Executive Pay Breakdown'!Q:Q)</f>
        <v>2086318</v>
      </c>
      <c r="H343" s="69">
        <f>SUMIF('Executive Pay Breakdown'!S:S,$B343,'Executive Pay Breakdown'!U:U)</f>
        <v>1895933</v>
      </c>
      <c r="I343" s="69">
        <f>SUMIF('Executive Pay Breakdown'!W:W,$B343,'Executive Pay Breakdown'!Y:Y)</f>
        <v>1825582</v>
      </c>
      <c r="J343" s="69">
        <f>SUMIF('Executive Pay Breakdown'!AA:AA,$B343,'Executive Pay Breakdown'!AC:AC)</f>
        <v>1591282</v>
      </c>
      <c r="K343" s="90"/>
      <c r="L343" s="212"/>
      <c r="M343" s="87"/>
      <c r="N343" s="230">
        <f t="shared" si="37"/>
        <v>0.4536813714</v>
      </c>
      <c r="O343" s="120">
        <f>MATCH(C343,'Key Findings'!B:B,0)</f>
        <v>59</v>
      </c>
    </row>
    <row r="344">
      <c r="A344" s="62"/>
      <c r="B344" s="86" t="s">
        <v>436</v>
      </c>
      <c r="C344" s="233" t="s">
        <v>62</v>
      </c>
      <c r="D344" s="89">
        <f>SUMIF('Executive Pay Breakdown'!K:K,$B344,'Executive Pay Breakdown'!M:M)+SUMIF('Executive Pay Breakdown'!O:O,$B344,'Executive Pay Breakdown'!Q:Q)+SUMIF('Executive Pay Breakdown'!S:S,$B344,'Executive Pay Breakdown'!U:U)+SUMIF('Executive Pay Breakdown'!W:W,$B344,'Executive Pay Breakdown'!Y:Y)+SUMIF('Executive Pay Breakdown'!AA:AA,$B344,'Executive Pay Breakdown'!AC:AC)</f>
        <v>9707983</v>
      </c>
      <c r="E344" s="109"/>
      <c r="F344" s="69">
        <f>SUMIF('Executive Pay Breakdown'!K:K,$B344,'Executive Pay Breakdown'!M:M)</f>
        <v>2699054</v>
      </c>
      <c r="G344" s="69">
        <f>SUMIF('Executive Pay Breakdown'!O:O,$B344,'Executive Pay Breakdown'!Q:Q)</f>
        <v>3032486</v>
      </c>
      <c r="H344" s="69">
        <f>SUMIF('Executive Pay Breakdown'!S:S,$B344,'Executive Pay Breakdown'!U:U)</f>
        <v>2299135</v>
      </c>
      <c r="I344" s="69">
        <f>SUMIF('Executive Pay Breakdown'!W:W,$B344,'Executive Pay Breakdown'!Y:Y)</f>
        <v>1677308</v>
      </c>
      <c r="J344" s="69">
        <f>SUMIF('Executive Pay Breakdown'!AA:AA,$B344,'Executive Pay Breakdown'!AC:AC)</f>
        <v>0</v>
      </c>
      <c r="K344" s="90"/>
      <c r="L344" s="212"/>
      <c r="M344" s="87"/>
      <c r="N344" s="87"/>
      <c r="O344" s="120">
        <f>MATCH(C344,'Key Findings'!B:B,0)</f>
        <v>28</v>
      </c>
    </row>
    <row r="345">
      <c r="A345" s="62"/>
      <c r="B345" s="127" t="s">
        <v>496</v>
      </c>
      <c r="C345" s="87" t="s">
        <v>26</v>
      </c>
      <c r="D345" s="89">
        <f>SUMIF('Executive Pay Breakdown'!K:K,$B345,'Executive Pay Breakdown'!M:M)+SUMIF('Executive Pay Breakdown'!O:O,$B345,'Executive Pay Breakdown'!Q:Q)+SUMIF('Executive Pay Breakdown'!S:S,$B345,'Executive Pay Breakdown'!U:U)+SUMIF('Executive Pay Breakdown'!W:W,$B345,'Executive Pay Breakdown'!Y:Y)+SUMIF('Executive Pay Breakdown'!AA:AA,$B345,'Executive Pay Breakdown'!AC:AC)</f>
        <v>9661185</v>
      </c>
      <c r="E345" s="109"/>
      <c r="F345" s="69">
        <f>SUMIF('Executive Pay Breakdown'!K:K,$B345,'Executive Pay Breakdown'!M:M)</f>
        <v>4285186</v>
      </c>
      <c r="G345" s="69">
        <f>SUMIF('Executive Pay Breakdown'!O:O,$B345,'Executive Pay Breakdown'!Q:Q)</f>
        <v>2915854</v>
      </c>
      <c r="H345" s="69">
        <f>SUMIF('Executive Pay Breakdown'!S:S,$B345,'Executive Pay Breakdown'!U:U)</f>
        <v>2460145</v>
      </c>
      <c r="I345" s="69">
        <f>SUMIF('Executive Pay Breakdown'!W:W,$B345,'Executive Pay Breakdown'!Y:Y)</f>
        <v>0</v>
      </c>
      <c r="J345" s="69">
        <f>SUMIF('Executive Pay Breakdown'!AA:AA,$B345,'Executive Pay Breakdown'!AC:AC)</f>
        <v>0</v>
      </c>
      <c r="K345" s="90"/>
      <c r="L345" s="212"/>
      <c r="M345" s="87"/>
      <c r="N345" s="230"/>
      <c r="O345" s="120">
        <f>MATCH(C345,'Key Findings'!B:B,0)</f>
        <v>48</v>
      </c>
    </row>
    <row r="346">
      <c r="A346" s="81"/>
      <c r="B346" s="137" t="s">
        <v>499</v>
      </c>
      <c r="C346" s="87" t="str">
        <f t="array" ref="C346">INDEX('Executive Pay Breakdown'!B:B,MATCH(B346,'Executive Pay Breakdown'!K:K,0))</f>
        <v>Reinsurance Group of America</v>
      </c>
      <c r="D346" s="89">
        <f>SUMIF('Executive Pay Breakdown'!K:K,$B346,'Executive Pay Breakdown'!M:M)+SUMIF('Executive Pay Breakdown'!O:O,$B346,'Executive Pay Breakdown'!Q:Q)+SUMIF('Executive Pay Breakdown'!S:S,$B346,'Executive Pay Breakdown'!U:U)+SUMIF('Executive Pay Breakdown'!W:W,$B346,'Executive Pay Breakdown'!Y:Y)+SUMIF('Executive Pay Breakdown'!AA:AA,$B346,'Executive Pay Breakdown'!AC:AC)</f>
        <v>9632203</v>
      </c>
      <c r="E346" s="109"/>
      <c r="F346" s="69">
        <f>SUMIF('Executive Pay Breakdown'!K:K,$B346,'Executive Pay Breakdown'!M:M)</f>
        <v>2769612</v>
      </c>
      <c r="G346" s="69">
        <f>SUMIF('Executive Pay Breakdown'!O:O,$B346,'Executive Pay Breakdown'!Q:Q)</f>
        <v>2474653</v>
      </c>
      <c r="H346" s="69">
        <f>SUMIF('Executive Pay Breakdown'!S:S,$B346,'Executive Pay Breakdown'!U:U)</f>
        <v>1785336</v>
      </c>
      <c r="I346" s="69">
        <f>SUMIF('Executive Pay Breakdown'!W:W,$B346,'Executive Pay Breakdown'!Y:Y)</f>
        <v>2602602</v>
      </c>
      <c r="J346" s="69">
        <f>SUMIF('Executive Pay Breakdown'!AA:AA,$B346,'Executive Pay Breakdown'!AC:AC)</f>
        <v>0</v>
      </c>
      <c r="K346" s="90"/>
      <c r="L346" s="212"/>
      <c r="M346" s="87"/>
      <c r="N346" s="230"/>
      <c r="O346" s="120">
        <f>MATCH(C346,'Key Findings'!B:B,0)</f>
        <v>9</v>
      </c>
    </row>
    <row r="347">
      <c r="A347" s="62"/>
      <c r="B347" s="86" t="s">
        <v>243</v>
      </c>
      <c r="C347" s="233" t="s">
        <v>68</v>
      </c>
      <c r="D347" s="89">
        <f>SUMIF('Executive Pay Breakdown'!K:K,$B347,'Executive Pay Breakdown'!M:M)+SUMIF('Executive Pay Breakdown'!O:O,$B347,'Executive Pay Breakdown'!Q:Q)+SUMIF('Executive Pay Breakdown'!S:S,$B347,'Executive Pay Breakdown'!U:U)+SUMIF('Executive Pay Breakdown'!W:W,$B347,'Executive Pay Breakdown'!Y:Y)+SUMIF('Executive Pay Breakdown'!AA:AA,$B347,'Executive Pay Breakdown'!AC:AC)</f>
        <v>9584656</v>
      </c>
      <c r="E347" s="109"/>
      <c r="F347" s="69">
        <f>SUMIF('Executive Pay Breakdown'!K:K,$B347,'Executive Pay Breakdown'!M:M)</f>
        <v>2117834</v>
      </c>
      <c r="G347" s="69">
        <f>SUMIF('Executive Pay Breakdown'!O:O,$B347,'Executive Pay Breakdown'!Q:Q)</f>
        <v>1994036</v>
      </c>
      <c r="H347" s="69">
        <f>SUMIF('Executive Pay Breakdown'!S:S,$B347,'Executive Pay Breakdown'!U:U)</f>
        <v>1533581</v>
      </c>
      <c r="I347" s="69">
        <f>SUMIF('Executive Pay Breakdown'!W:W,$B347,'Executive Pay Breakdown'!Y:Y)</f>
        <v>1976315</v>
      </c>
      <c r="J347" s="69">
        <f>SUMIF('Executive Pay Breakdown'!AA:AA,$B347,'Executive Pay Breakdown'!AC:AC)</f>
        <v>1962890</v>
      </c>
      <c r="K347" s="90"/>
      <c r="L347" s="212"/>
      <c r="M347" s="87"/>
      <c r="N347" s="230">
        <f>F347/J347-1</f>
        <v>0.07893666991</v>
      </c>
      <c r="O347" s="120">
        <f>MATCH(C347,'Key Findings'!B:B,0)</f>
        <v>66</v>
      </c>
    </row>
    <row r="348">
      <c r="A348" s="62"/>
      <c r="B348" s="127" t="s">
        <v>498</v>
      </c>
      <c r="C348" s="87" t="s">
        <v>26</v>
      </c>
      <c r="D348" s="89">
        <f>SUMIF('Executive Pay Breakdown'!K:K,$B348,'Executive Pay Breakdown'!M:M)+SUMIF('Executive Pay Breakdown'!O:O,$B348,'Executive Pay Breakdown'!Q:Q)+SUMIF('Executive Pay Breakdown'!S:S,$B348,'Executive Pay Breakdown'!U:U)+SUMIF('Executive Pay Breakdown'!W:W,$B348,'Executive Pay Breakdown'!Y:Y)+SUMIF('Executive Pay Breakdown'!AA:AA,$B348,'Executive Pay Breakdown'!AC:AC)</f>
        <v>9565529</v>
      </c>
      <c r="E348" s="109"/>
      <c r="F348" s="69">
        <f>SUMIF('Executive Pay Breakdown'!K:K,$B348,'Executive Pay Breakdown'!M:M)</f>
        <v>0</v>
      </c>
      <c r="G348" s="69">
        <f>SUMIF('Executive Pay Breakdown'!O:O,$B348,'Executive Pay Breakdown'!Q:Q)</f>
        <v>0</v>
      </c>
      <c r="H348" s="69">
        <f>SUMIF('Executive Pay Breakdown'!S:S,$B348,'Executive Pay Breakdown'!U:U)</f>
        <v>3621511</v>
      </c>
      <c r="I348" s="69">
        <f>SUMIF('Executive Pay Breakdown'!W:W,$B348,'Executive Pay Breakdown'!Y:Y)</f>
        <v>3219671</v>
      </c>
      <c r="J348" s="69">
        <f>SUMIF('Executive Pay Breakdown'!AA:AA,$B348,'Executive Pay Breakdown'!AC:AC)</f>
        <v>2724347</v>
      </c>
      <c r="K348" s="90"/>
      <c r="L348" s="212"/>
      <c r="M348" s="87"/>
      <c r="N348" s="87"/>
      <c r="O348" s="120">
        <f>MATCH(C348,'Key Findings'!B:B,0)</f>
        <v>48</v>
      </c>
    </row>
    <row r="349">
      <c r="A349" s="81"/>
      <c r="B349" s="134" t="s">
        <v>384</v>
      </c>
      <c r="C349" s="87" t="s">
        <v>56</v>
      </c>
      <c r="D349" s="89">
        <f>SUMIF('Executive Pay Breakdown'!K:K,$B349,'Executive Pay Breakdown'!M:M)+SUMIF('Executive Pay Breakdown'!O:O,$B349,'Executive Pay Breakdown'!Q:Q)+SUMIF('Executive Pay Breakdown'!S:S,$B349,'Executive Pay Breakdown'!U:U)+SUMIF('Executive Pay Breakdown'!W:W,$B349,'Executive Pay Breakdown'!Y:Y)+SUMIF('Executive Pay Breakdown'!AA:AA,$B349,'Executive Pay Breakdown'!AC:AC)</f>
        <v>9464119</v>
      </c>
      <c r="E349" s="109"/>
      <c r="F349" s="69">
        <f>SUMIF('Executive Pay Breakdown'!K:K,$B349,'Executive Pay Breakdown'!M:M)</f>
        <v>0</v>
      </c>
      <c r="G349" s="69">
        <f>SUMIF('Executive Pay Breakdown'!O:O,$B349,'Executive Pay Breakdown'!Q:Q)</f>
        <v>0</v>
      </c>
      <c r="H349" s="69">
        <f>SUMIF('Executive Pay Breakdown'!S:S,$B349,'Executive Pay Breakdown'!U:U)</f>
        <v>0</v>
      </c>
      <c r="I349" s="69">
        <f>SUMIF('Executive Pay Breakdown'!W:W,$B349,'Executive Pay Breakdown'!Y:Y)</f>
        <v>0</v>
      </c>
      <c r="J349" s="69">
        <f>SUMIF('Executive Pay Breakdown'!AA:AA,$B349,'Executive Pay Breakdown'!AC:AC)</f>
        <v>9464119</v>
      </c>
      <c r="K349" s="90"/>
      <c r="L349" s="212"/>
      <c r="M349" s="87"/>
      <c r="N349" s="87"/>
      <c r="O349" s="120">
        <f>MATCH(C349,'Key Findings'!B:B,0)</f>
        <v>30</v>
      </c>
    </row>
    <row r="350">
      <c r="A350" s="81"/>
      <c r="B350" s="137" t="s">
        <v>321</v>
      </c>
      <c r="C350" s="87" t="str">
        <f t="array" ref="C350">INDEX('Executive Pay Breakdown'!B:B,MATCH(B350,'Executive Pay Breakdown'!K:K,0))</f>
        <v>Darden Restaurants</v>
      </c>
      <c r="D350" s="89">
        <f>SUMIF('Executive Pay Breakdown'!K:K,$B350,'Executive Pay Breakdown'!M:M)+SUMIF('Executive Pay Breakdown'!O:O,$B350,'Executive Pay Breakdown'!Q:Q)+SUMIF('Executive Pay Breakdown'!S:S,$B350,'Executive Pay Breakdown'!U:U)+SUMIF('Executive Pay Breakdown'!W:W,$B350,'Executive Pay Breakdown'!Y:Y)+SUMIF('Executive Pay Breakdown'!AA:AA,$B350,'Executive Pay Breakdown'!AC:AC)</f>
        <v>9449714</v>
      </c>
      <c r="E350" s="109"/>
      <c r="F350" s="69">
        <f>SUMIF('Executive Pay Breakdown'!K:K,$B350,'Executive Pay Breakdown'!M:M)</f>
        <v>3171076</v>
      </c>
      <c r="G350" s="69">
        <f>SUMIF('Executive Pay Breakdown'!O:O,$B350,'Executive Pay Breakdown'!Q:Q)</f>
        <v>3391306</v>
      </c>
      <c r="H350" s="69">
        <f>SUMIF('Executive Pay Breakdown'!S:S,$B350,'Executive Pay Breakdown'!U:U)</f>
        <v>2887332</v>
      </c>
      <c r="I350" s="69">
        <f>SUMIF('Executive Pay Breakdown'!W:W,$B350,'Executive Pay Breakdown'!Y:Y)</f>
        <v>0</v>
      </c>
      <c r="J350" s="69">
        <f>SUMIF('Executive Pay Breakdown'!AA:AA,$B350,'Executive Pay Breakdown'!AC:AC)</f>
        <v>0</v>
      </c>
      <c r="K350" s="90"/>
      <c r="L350" s="212"/>
      <c r="M350" s="87"/>
      <c r="N350" s="230"/>
      <c r="O350" s="120">
        <f>MATCH(C350,'Key Findings'!B:B,0)</f>
        <v>53</v>
      </c>
    </row>
    <row r="351">
      <c r="A351" s="62"/>
      <c r="B351" s="125" t="s">
        <v>521</v>
      </c>
      <c r="C351" s="87" t="s">
        <v>27</v>
      </c>
      <c r="D351" s="89">
        <f>SUMIF('Executive Pay Breakdown'!K:K,$B351,'Executive Pay Breakdown'!M:M)+SUMIF('Executive Pay Breakdown'!O:O,$B351,'Executive Pay Breakdown'!Q:Q)+SUMIF('Executive Pay Breakdown'!S:S,$B351,'Executive Pay Breakdown'!U:U)+SUMIF('Executive Pay Breakdown'!W:W,$B351,'Executive Pay Breakdown'!Y:Y)+SUMIF('Executive Pay Breakdown'!AA:AA,$B351,'Executive Pay Breakdown'!AC:AC)</f>
        <v>9437204</v>
      </c>
      <c r="E351" s="109"/>
      <c r="F351" s="69">
        <f>SUMIF('Executive Pay Breakdown'!K:K,$B351,'Executive Pay Breakdown'!M:M)</f>
        <v>3457813</v>
      </c>
      <c r="G351" s="69">
        <f>SUMIF('Executive Pay Breakdown'!O:O,$B351,'Executive Pay Breakdown'!Q:Q)</f>
        <v>4326215</v>
      </c>
      <c r="H351" s="69">
        <f>SUMIF('Executive Pay Breakdown'!S:S,$B351,'Executive Pay Breakdown'!U:U)</f>
        <v>1653176</v>
      </c>
      <c r="I351" s="69">
        <f>SUMIF('Executive Pay Breakdown'!W:W,$B351,'Executive Pay Breakdown'!Y:Y)</f>
        <v>0</v>
      </c>
      <c r="J351" s="69">
        <f>SUMIF('Executive Pay Breakdown'!AA:AA,$B351,'Executive Pay Breakdown'!AC:AC)</f>
        <v>0</v>
      </c>
      <c r="K351" s="90"/>
      <c r="L351" s="212"/>
      <c r="M351" s="87"/>
      <c r="N351" s="230"/>
      <c r="O351" s="120">
        <f>MATCH(C351,'Key Findings'!B:B,0)</f>
        <v>51</v>
      </c>
    </row>
    <row r="352">
      <c r="A352" s="62"/>
      <c r="B352" s="86" t="s">
        <v>455</v>
      </c>
      <c r="C352" s="87" t="s">
        <v>67</v>
      </c>
      <c r="D352" s="89">
        <f>SUMIF('Executive Pay Breakdown'!K:K,$B352,'Executive Pay Breakdown'!M:M)+SUMIF('Executive Pay Breakdown'!O:O,$B352,'Executive Pay Breakdown'!Q:Q)+SUMIF('Executive Pay Breakdown'!S:S,$B352,'Executive Pay Breakdown'!U:U)+SUMIF('Executive Pay Breakdown'!W:W,$B352,'Executive Pay Breakdown'!Y:Y)+SUMIF('Executive Pay Breakdown'!AA:AA,$B352,'Executive Pay Breakdown'!AC:AC)</f>
        <v>9346775</v>
      </c>
      <c r="E352" s="109"/>
      <c r="F352" s="69">
        <f>SUMIF('Executive Pay Breakdown'!K:K,$B352,'Executive Pay Breakdown'!M:M)</f>
        <v>0</v>
      </c>
      <c r="G352" s="69">
        <f>SUMIF('Executive Pay Breakdown'!O:O,$B352,'Executive Pay Breakdown'!Q:Q)</f>
        <v>1903093</v>
      </c>
      <c r="H352" s="69">
        <f>SUMIF('Executive Pay Breakdown'!S:S,$B352,'Executive Pay Breakdown'!U:U)</f>
        <v>2583731</v>
      </c>
      <c r="I352" s="69">
        <f>SUMIF('Executive Pay Breakdown'!W:W,$B352,'Executive Pay Breakdown'!Y:Y)</f>
        <v>3088192</v>
      </c>
      <c r="J352" s="69">
        <f>SUMIF('Executive Pay Breakdown'!AA:AA,$B352,'Executive Pay Breakdown'!AC:AC)</f>
        <v>1771759</v>
      </c>
      <c r="K352" s="90"/>
      <c r="L352" s="212"/>
      <c r="M352" s="87"/>
      <c r="N352" s="87"/>
      <c r="O352" s="120">
        <f>MATCH(C352,'Key Findings'!B:B,0)</f>
        <v>64</v>
      </c>
    </row>
    <row r="353">
      <c r="A353" s="62"/>
      <c r="B353" s="127" t="s">
        <v>425</v>
      </c>
      <c r="C353" s="87" t="s">
        <v>13</v>
      </c>
      <c r="D353" s="89">
        <f>SUMIF('Executive Pay Breakdown'!K:K,$B353,'Executive Pay Breakdown'!M:M)+SUMIF('Executive Pay Breakdown'!O:O,$B353,'Executive Pay Breakdown'!Q:Q)+SUMIF('Executive Pay Breakdown'!S:S,$B353,'Executive Pay Breakdown'!U:U)+SUMIF('Executive Pay Breakdown'!W:W,$B353,'Executive Pay Breakdown'!Y:Y)+SUMIF('Executive Pay Breakdown'!AA:AA,$B353,'Executive Pay Breakdown'!AC:AC)</f>
        <v>9290887</v>
      </c>
      <c r="E353" s="109"/>
      <c r="F353" s="69">
        <f>SUMIF('Executive Pay Breakdown'!K:K,$B353,'Executive Pay Breakdown'!M:M)</f>
        <v>9290887</v>
      </c>
      <c r="G353" s="69">
        <f>SUMIF('Executive Pay Breakdown'!O:O,$B353,'Executive Pay Breakdown'!Q:Q)</f>
        <v>0</v>
      </c>
      <c r="H353" s="69">
        <f>SUMIF('Executive Pay Breakdown'!S:S,$B353,'Executive Pay Breakdown'!U:U)</f>
        <v>0</v>
      </c>
      <c r="I353" s="69">
        <f>SUMIF('Executive Pay Breakdown'!W:W,$B353,'Executive Pay Breakdown'!Y:Y)</f>
        <v>0</v>
      </c>
      <c r="J353" s="69">
        <f>SUMIF('Executive Pay Breakdown'!AA:AA,$B353,'Executive Pay Breakdown'!AC:AC)</f>
        <v>0</v>
      </c>
      <c r="K353" s="90"/>
      <c r="L353" s="212"/>
      <c r="M353" s="87"/>
      <c r="N353" s="230"/>
      <c r="O353" s="120">
        <f>MATCH(C353,'Key Findings'!B:B,0)</f>
        <v>11</v>
      </c>
    </row>
    <row r="354">
      <c r="A354" s="62"/>
      <c r="B354" s="86" t="s">
        <v>414</v>
      </c>
      <c r="C354" s="233" t="s">
        <v>71</v>
      </c>
      <c r="D354" s="89">
        <f>SUMIF('Executive Pay Breakdown'!K:K,$B354,'Executive Pay Breakdown'!M:M)+SUMIF('Executive Pay Breakdown'!O:O,$B354,'Executive Pay Breakdown'!Q:Q)+SUMIF('Executive Pay Breakdown'!S:S,$B354,'Executive Pay Breakdown'!U:U)+SUMIF('Executive Pay Breakdown'!W:W,$B354,'Executive Pay Breakdown'!Y:Y)+SUMIF('Executive Pay Breakdown'!AA:AA,$B354,'Executive Pay Breakdown'!AC:AC)</f>
        <v>9235832</v>
      </c>
      <c r="E354" s="109"/>
      <c r="F354" s="69">
        <f>SUMIF('Executive Pay Breakdown'!K:K,$B354,'Executive Pay Breakdown'!M:M)</f>
        <v>2799861</v>
      </c>
      <c r="G354" s="69">
        <f>SUMIF('Executive Pay Breakdown'!O:O,$B354,'Executive Pay Breakdown'!Q:Q)</f>
        <v>2575973</v>
      </c>
      <c r="H354" s="69">
        <f>SUMIF('Executive Pay Breakdown'!S:S,$B354,'Executive Pay Breakdown'!U:U)</f>
        <v>2055217</v>
      </c>
      <c r="I354" s="69">
        <f>SUMIF('Executive Pay Breakdown'!W:W,$B354,'Executive Pay Breakdown'!Y:Y)</f>
        <v>1804781</v>
      </c>
      <c r="J354" s="69">
        <f>SUMIF('Executive Pay Breakdown'!AA:AA,$B354,'Executive Pay Breakdown'!AC:AC)</f>
        <v>0</v>
      </c>
      <c r="K354" s="90"/>
      <c r="L354" s="212"/>
      <c r="M354" s="87"/>
      <c r="N354" s="87"/>
      <c r="O354" s="120">
        <f>MATCH(C354,'Key Findings'!B:B,0)</f>
        <v>58</v>
      </c>
    </row>
    <row r="355">
      <c r="A355" s="62"/>
      <c r="B355" s="86" t="s">
        <v>442</v>
      </c>
      <c r="C355" s="87" t="s">
        <v>46</v>
      </c>
      <c r="D355" s="89">
        <f>SUMIF('Executive Pay Breakdown'!K:K,$B355,'Executive Pay Breakdown'!M:M)+SUMIF('Executive Pay Breakdown'!O:O,$B355,'Executive Pay Breakdown'!Q:Q)+SUMIF('Executive Pay Breakdown'!S:S,$B355,'Executive Pay Breakdown'!U:U)+SUMIF('Executive Pay Breakdown'!W:W,$B355,'Executive Pay Breakdown'!Y:Y)+SUMIF('Executive Pay Breakdown'!AA:AA,$B355,'Executive Pay Breakdown'!AC:AC)</f>
        <v>9092799</v>
      </c>
      <c r="E355" s="109"/>
      <c r="F355" s="69">
        <f>SUMIF('Executive Pay Breakdown'!K:K,$B355,'Executive Pay Breakdown'!M:M)</f>
        <v>3358852</v>
      </c>
      <c r="G355" s="69">
        <f>SUMIF('Executive Pay Breakdown'!O:O,$B355,'Executive Pay Breakdown'!Q:Q)</f>
        <v>3262887</v>
      </c>
      <c r="H355" s="69">
        <f>SUMIF('Executive Pay Breakdown'!S:S,$B355,'Executive Pay Breakdown'!U:U)</f>
        <v>2471060</v>
      </c>
      <c r="I355" s="69">
        <f>SUMIF('Executive Pay Breakdown'!W:W,$B355,'Executive Pay Breakdown'!Y:Y)</f>
        <v>0</v>
      </c>
      <c r="J355" s="69">
        <f>SUMIF('Executive Pay Breakdown'!AA:AA,$B355,'Executive Pay Breakdown'!AC:AC)</f>
        <v>0</v>
      </c>
      <c r="K355" s="90"/>
      <c r="L355" s="212"/>
      <c r="M355" s="87"/>
      <c r="N355" s="230"/>
      <c r="O355" s="120">
        <f>MATCH(C355,'Key Findings'!B:B,0)</f>
        <v>43</v>
      </c>
    </row>
    <row r="356">
      <c r="A356" s="81"/>
      <c r="B356" s="133" t="s">
        <v>464</v>
      </c>
      <c r="C356" s="87" t="s">
        <v>50</v>
      </c>
      <c r="D356" s="89">
        <f>SUMIF('Executive Pay Breakdown'!K:K,$B356,'Executive Pay Breakdown'!M:M)+SUMIF('Executive Pay Breakdown'!O:O,$B356,'Executive Pay Breakdown'!Q:Q)+SUMIF('Executive Pay Breakdown'!S:S,$B356,'Executive Pay Breakdown'!U:U)+SUMIF('Executive Pay Breakdown'!W:W,$B356,'Executive Pay Breakdown'!Y:Y)+SUMIF('Executive Pay Breakdown'!AA:AA,$B356,'Executive Pay Breakdown'!AC:AC)</f>
        <v>8971881</v>
      </c>
      <c r="E356" s="109"/>
      <c r="F356" s="69">
        <f>SUMIF('Executive Pay Breakdown'!K:K,$B356,'Executive Pay Breakdown'!M:M)</f>
        <v>0</v>
      </c>
      <c r="G356" s="69">
        <f>SUMIF('Executive Pay Breakdown'!O:O,$B356,'Executive Pay Breakdown'!Q:Q)</f>
        <v>0</v>
      </c>
      <c r="H356" s="69">
        <f>SUMIF('Executive Pay Breakdown'!S:S,$B356,'Executive Pay Breakdown'!U:U)</f>
        <v>0</v>
      </c>
      <c r="I356" s="69">
        <f>SUMIF('Executive Pay Breakdown'!W:W,$B356,'Executive Pay Breakdown'!Y:Y)</f>
        <v>0</v>
      </c>
      <c r="J356" s="69">
        <f>SUMIF('Executive Pay Breakdown'!AA:AA,$B356,'Executive Pay Breakdown'!AC:AC)</f>
        <v>8971881</v>
      </c>
      <c r="K356" s="90"/>
      <c r="L356" s="212"/>
      <c r="M356" s="87"/>
      <c r="N356" s="87"/>
      <c r="O356" s="120">
        <f>MATCH(C356,'Key Findings'!B:B,0)</f>
        <v>18</v>
      </c>
    </row>
    <row r="357">
      <c r="A357" s="62"/>
      <c r="B357" s="86" t="s">
        <v>470</v>
      </c>
      <c r="C357" s="87" t="s">
        <v>33</v>
      </c>
      <c r="D357" s="89">
        <f>SUMIF('Executive Pay Breakdown'!K:K,$B357,'Executive Pay Breakdown'!M:M)+SUMIF('Executive Pay Breakdown'!O:O,$B357,'Executive Pay Breakdown'!Q:Q)+SUMIF('Executive Pay Breakdown'!S:S,$B357,'Executive Pay Breakdown'!U:U)+SUMIF('Executive Pay Breakdown'!W:W,$B357,'Executive Pay Breakdown'!Y:Y)+SUMIF('Executive Pay Breakdown'!AA:AA,$B357,'Executive Pay Breakdown'!AC:AC)</f>
        <v>8971552</v>
      </c>
      <c r="E357" s="109"/>
      <c r="F357" s="69">
        <f>SUMIF('Executive Pay Breakdown'!K:K,$B357,'Executive Pay Breakdown'!M:M)</f>
        <v>0</v>
      </c>
      <c r="G357" s="69">
        <f>SUMIF('Executive Pay Breakdown'!O:O,$B357,'Executive Pay Breakdown'!Q:Q)</f>
        <v>0</v>
      </c>
      <c r="H357" s="69">
        <f>SUMIF('Executive Pay Breakdown'!S:S,$B357,'Executive Pay Breakdown'!U:U)</f>
        <v>0</v>
      </c>
      <c r="I357" s="69">
        <f>SUMIF('Executive Pay Breakdown'!W:W,$B357,'Executive Pay Breakdown'!Y:Y)</f>
        <v>4902353</v>
      </c>
      <c r="J357" s="69">
        <f>SUMIF('Executive Pay Breakdown'!AA:AA,$B357,'Executive Pay Breakdown'!AC:AC)</f>
        <v>4069199</v>
      </c>
      <c r="K357" s="90"/>
      <c r="L357" s="212"/>
      <c r="M357" s="87"/>
      <c r="N357" s="87"/>
      <c r="O357" s="120">
        <f>MATCH(C357,'Key Findings'!B:B,0)</f>
        <v>33</v>
      </c>
    </row>
    <row r="358">
      <c r="A358" s="62"/>
      <c r="B358" s="86" t="s">
        <v>526</v>
      </c>
      <c r="C358" s="87" t="s">
        <v>37</v>
      </c>
      <c r="D358" s="89">
        <f>SUMIF('Executive Pay Breakdown'!K:K,$B358,'Executive Pay Breakdown'!M:M)+SUMIF('Executive Pay Breakdown'!O:O,$B358,'Executive Pay Breakdown'!Q:Q)+SUMIF('Executive Pay Breakdown'!S:S,$B358,'Executive Pay Breakdown'!U:U)+SUMIF('Executive Pay Breakdown'!W:W,$B358,'Executive Pay Breakdown'!Y:Y)+SUMIF('Executive Pay Breakdown'!AA:AA,$B358,'Executive Pay Breakdown'!AC:AC)</f>
        <v>8967178</v>
      </c>
      <c r="E358" s="109"/>
      <c r="F358" s="69">
        <f>SUMIF('Executive Pay Breakdown'!K:K,$B358,'Executive Pay Breakdown'!M:M)</f>
        <v>0</v>
      </c>
      <c r="G358" s="69">
        <f>SUMIF('Executive Pay Breakdown'!O:O,$B358,'Executive Pay Breakdown'!Q:Q)</f>
        <v>0</v>
      </c>
      <c r="H358" s="69">
        <f>SUMIF('Executive Pay Breakdown'!S:S,$B358,'Executive Pay Breakdown'!U:U)</f>
        <v>0</v>
      </c>
      <c r="I358" s="69">
        <f>SUMIF('Executive Pay Breakdown'!W:W,$B358,'Executive Pay Breakdown'!Y:Y)</f>
        <v>0</v>
      </c>
      <c r="J358" s="69">
        <f>SUMIF('Executive Pay Breakdown'!AA:AA,$B358,'Executive Pay Breakdown'!AC:AC)</f>
        <v>8967178</v>
      </c>
      <c r="K358" s="90"/>
      <c r="L358" s="212"/>
      <c r="M358" s="87"/>
      <c r="N358" s="87"/>
      <c r="O358" s="120">
        <f>MATCH(C358,'Key Findings'!B:B,0)</f>
        <v>44</v>
      </c>
    </row>
    <row r="359">
      <c r="A359" s="62"/>
      <c r="B359" s="87" t="s">
        <v>465</v>
      </c>
      <c r="C359" s="87" t="s">
        <v>73</v>
      </c>
      <c r="D359" s="89">
        <f>SUMIF('Executive Pay Breakdown'!K:K,$B359,'Executive Pay Breakdown'!M:M)+SUMIF('Executive Pay Breakdown'!O:O,$B359,'Executive Pay Breakdown'!Q:Q)+SUMIF('Executive Pay Breakdown'!S:S,$B359,'Executive Pay Breakdown'!U:U)+SUMIF('Executive Pay Breakdown'!W:W,$B359,'Executive Pay Breakdown'!Y:Y)+SUMIF('Executive Pay Breakdown'!AA:AA,$B359,'Executive Pay Breakdown'!AC:AC)</f>
        <v>8936294</v>
      </c>
      <c r="E359" s="109"/>
      <c r="F359" s="69">
        <f>SUMIF('Executive Pay Breakdown'!K:K,$B359,'Executive Pay Breakdown'!M:M)</f>
        <v>0</v>
      </c>
      <c r="G359" s="69">
        <f>SUMIF('Executive Pay Breakdown'!O:O,$B359,'Executive Pay Breakdown'!Q:Q)</f>
        <v>0</v>
      </c>
      <c r="H359" s="69">
        <f>SUMIF('Executive Pay Breakdown'!S:S,$B359,'Executive Pay Breakdown'!U:U)</f>
        <v>3415435</v>
      </c>
      <c r="I359" s="69">
        <f>SUMIF('Executive Pay Breakdown'!W:W,$B359,'Executive Pay Breakdown'!Y:Y)</f>
        <v>2710487</v>
      </c>
      <c r="J359" s="69">
        <f>SUMIF('Executive Pay Breakdown'!AA:AA,$B359,'Executive Pay Breakdown'!AC:AC)</f>
        <v>2810372</v>
      </c>
      <c r="K359" s="90"/>
      <c r="L359" s="212"/>
      <c r="M359" s="87"/>
      <c r="N359" s="87"/>
      <c r="O359" s="120">
        <f>MATCH(C359,'Key Findings'!B:B,0)</f>
        <v>31</v>
      </c>
    </row>
    <row r="360">
      <c r="A360" s="62"/>
      <c r="B360" s="125" t="s">
        <v>502</v>
      </c>
      <c r="C360" s="87" t="s">
        <v>21</v>
      </c>
      <c r="D360" s="89">
        <f>SUMIF('Executive Pay Breakdown'!K:K,$B360,'Executive Pay Breakdown'!M:M)+SUMIF('Executive Pay Breakdown'!O:O,$B360,'Executive Pay Breakdown'!Q:Q)+SUMIF('Executive Pay Breakdown'!S:S,$B360,'Executive Pay Breakdown'!U:U)+SUMIF('Executive Pay Breakdown'!W:W,$B360,'Executive Pay Breakdown'!Y:Y)+SUMIF('Executive Pay Breakdown'!AA:AA,$B360,'Executive Pay Breakdown'!AC:AC)</f>
        <v>8920067</v>
      </c>
      <c r="E360" s="109"/>
      <c r="F360" s="69">
        <f>SUMIF('Executive Pay Breakdown'!K:K,$B360,'Executive Pay Breakdown'!M:M)</f>
        <v>3090518</v>
      </c>
      <c r="G360" s="69">
        <f>SUMIF('Executive Pay Breakdown'!O:O,$B360,'Executive Pay Breakdown'!Q:Q)</f>
        <v>2984497</v>
      </c>
      <c r="H360" s="69">
        <f>SUMIF('Executive Pay Breakdown'!S:S,$B360,'Executive Pay Breakdown'!U:U)</f>
        <v>2845052</v>
      </c>
      <c r="I360" s="69">
        <f>SUMIF('Executive Pay Breakdown'!W:W,$B360,'Executive Pay Breakdown'!Y:Y)</f>
        <v>0</v>
      </c>
      <c r="J360" s="69">
        <f>SUMIF('Executive Pay Breakdown'!AA:AA,$B360,'Executive Pay Breakdown'!AC:AC)</f>
        <v>0</v>
      </c>
      <c r="K360" s="90"/>
      <c r="L360" s="212"/>
      <c r="M360" s="87"/>
      <c r="N360" s="230"/>
      <c r="O360" s="120">
        <f>MATCH(C360,'Key Findings'!B:B,0)</f>
        <v>54</v>
      </c>
    </row>
    <row r="361">
      <c r="A361" s="62"/>
      <c r="B361" s="121" t="s">
        <v>262</v>
      </c>
      <c r="C361" s="87" t="s">
        <v>45</v>
      </c>
      <c r="D361" s="89">
        <f>SUMIF('Executive Pay Breakdown'!K:K,$B361,'Executive Pay Breakdown'!M:M)+SUMIF('Executive Pay Breakdown'!O:O,$B361,'Executive Pay Breakdown'!Q:Q)+SUMIF('Executive Pay Breakdown'!S:S,$B361,'Executive Pay Breakdown'!U:U)+SUMIF('Executive Pay Breakdown'!W:W,$B361,'Executive Pay Breakdown'!Y:Y)+SUMIF('Executive Pay Breakdown'!AA:AA,$B361,'Executive Pay Breakdown'!AC:AC)</f>
        <v>8825572</v>
      </c>
      <c r="E361" s="109"/>
      <c r="F361" s="69">
        <f>SUMIF('Executive Pay Breakdown'!K:K,$B361,'Executive Pay Breakdown'!M:M)</f>
        <v>1792380</v>
      </c>
      <c r="G361" s="69">
        <f>SUMIF('Executive Pay Breakdown'!O:O,$B361,'Executive Pay Breakdown'!Q:Q)</f>
        <v>1889278</v>
      </c>
      <c r="H361" s="69">
        <f>SUMIF('Executive Pay Breakdown'!S:S,$B361,'Executive Pay Breakdown'!U:U)</f>
        <v>1690856</v>
      </c>
      <c r="I361" s="69">
        <f>SUMIF('Executive Pay Breakdown'!W:W,$B361,'Executive Pay Breakdown'!Y:Y)</f>
        <v>1609101</v>
      </c>
      <c r="J361" s="69">
        <f>SUMIF('Executive Pay Breakdown'!AA:AA,$B361,'Executive Pay Breakdown'!AC:AC)</f>
        <v>1843957</v>
      </c>
      <c r="K361" s="90"/>
      <c r="L361" s="212"/>
      <c r="M361" s="87"/>
      <c r="N361" s="230">
        <f>F361/J361-1</f>
        <v>-0.02797082578</v>
      </c>
      <c r="O361" s="120">
        <f>MATCH(C361,'Key Findings'!B:B,0)</f>
        <v>60</v>
      </c>
    </row>
    <row r="362">
      <c r="A362" s="62"/>
      <c r="B362" s="237" t="s">
        <v>522</v>
      </c>
      <c r="C362" s="87" t="s">
        <v>20</v>
      </c>
      <c r="D362" s="89">
        <f>SUMIF('Executive Pay Breakdown'!K:K,$B362,'Executive Pay Breakdown'!M:M)+SUMIF('Executive Pay Breakdown'!O:O,$B362,'Executive Pay Breakdown'!Q:Q)+SUMIF('Executive Pay Breakdown'!S:S,$B362,'Executive Pay Breakdown'!U:U)+SUMIF('Executive Pay Breakdown'!W:W,$B362,'Executive Pay Breakdown'!Y:Y)+SUMIF('Executive Pay Breakdown'!AA:AA,$B362,'Executive Pay Breakdown'!AC:AC)</f>
        <v>8819074</v>
      </c>
      <c r="E362" s="109"/>
      <c r="F362" s="69">
        <f>SUMIF('Executive Pay Breakdown'!K:K,$B362,'Executive Pay Breakdown'!M:M)</f>
        <v>5815963</v>
      </c>
      <c r="G362" s="69">
        <f>SUMIF('Executive Pay Breakdown'!O:O,$B362,'Executive Pay Breakdown'!Q:Q)</f>
        <v>3003111</v>
      </c>
      <c r="H362" s="69">
        <f>SUMIF('Executive Pay Breakdown'!S:S,$B362,'Executive Pay Breakdown'!U:U)</f>
        <v>0</v>
      </c>
      <c r="I362" s="69">
        <f>SUMIF('Executive Pay Breakdown'!W:W,$B362,'Executive Pay Breakdown'!Y:Y)</f>
        <v>0</v>
      </c>
      <c r="J362" s="69">
        <f>SUMIF('Executive Pay Breakdown'!AA:AA,$B362,'Executive Pay Breakdown'!AC:AC)</f>
        <v>0</v>
      </c>
      <c r="K362" s="90"/>
      <c r="L362" s="212"/>
      <c r="M362" s="212"/>
      <c r="N362" s="230"/>
      <c r="O362" s="120">
        <f>MATCH(C362,'Key Findings'!B:B,0)</f>
        <v>38</v>
      </c>
    </row>
    <row r="363">
      <c r="A363" s="81"/>
      <c r="B363" s="238" t="s">
        <v>339</v>
      </c>
      <c r="C363" s="87" t="str">
        <f t="array" ref="C363">INDEX('Executive Pay Breakdown'!B:B,MATCH(B363,'Executive Pay Breakdown'!AA:AA,0))</f>
        <v>Whirlpool</v>
      </c>
      <c r="D363" s="89">
        <f>SUMIF('Executive Pay Breakdown'!K:K,$B363,'Executive Pay Breakdown'!M:M)+SUMIF('Executive Pay Breakdown'!O:O,$B363,'Executive Pay Breakdown'!Q:Q)+SUMIF('Executive Pay Breakdown'!S:S,$B363,'Executive Pay Breakdown'!U:U)+SUMIF('Executive Pay Breakdown'!W:W,$B363,'Executive Pay Breakdown'!Y:Y)+SUMIF('Executive Pay Breakdown'!AA:AA,$B363,'Executive Pay Breakdown'!AC:AC)</f>
        <v>8766632</v>
      </c>
      <c r="E363" s="109"/>
      <c r="F363" s="69">
        <f>SUMIF('Executive Pay Breakdown'!K:K,$B363,'Executive Pay Breakdown'!M:M)</f>
        <v>0</v>
      </c>
      <c r="G363" s="69">
        <f>SUMIF('Executive Pay Breakdown'!O:O,$B363,'Executive Pay Breakdown'!Q:Q)</f>
        <v>0</v>
      </c>
      <c r="H363" s="69">
        <f>SUMIF('Executive Pay Breakdown'!S:S,$B363,'Executive Pay Breakdown'!U:U)</f>
        <v>0</v>
      </c>
      <c r="I363" s="69">
        <f>SUMIF('Executive Pay Breakdown'!W:W,$B363,'Executive Pay Breakdown'!Y:Y)</f>
        <v>0</v>
      </c>
      <c r="J363" s="69">
        <f>SUMIF('Executive Pay Breakdown'!AA:AA,$B363,'Executive Pay Breakdown'!AC:AC)</f>
        <v>8766632</v>
      </c>
      <c r="K363" s="90"/>
      <c r="L363" s="212"/>
      <c r="M363" s="87"/>
      <c r="N363" s="230"/>
      <c r="O363" s="120">
        <f>MATCH(C363,'Key Findings'!B:B,0)</f>
        <v>37</v>
      </c>
    </row>
    <row r="364">
      <c r="A364" s="62"/>
      <c r="B364" s="121" t="s">
        <v>530</v>
      </c>
      <c r="C364" s="87" t="s">
        <v>31</v>
      </c>
      <c r="D364" s="89">
        <f>SUMIF('Executive Pay Breakdown'!K:K,$B364,'Executive Pay Breakdown'!M:M)+SUMIF('Executive Pay Breakdown'!O:O,$B364,'Executive Pay Breakdown'!Q:Q)+SUMIF('Executive Pay Breakdown'!S:S,$B364,'Executive Pay Breakdown'!U:U)+SUMIF('Executive Pay Breakdown'!W:W,$B364,'Executive Pay Breakdown'!Y:Y)+SUMIF('Executive Pay Breakdown'!AA:AA,$B364,'Executive Pay Breakdown'!AC:AC)</f>
        <v>8749500</v>
      </c>
      <c r="E364" s="109"/>
      <c r="F364" s="69">
        <f>SUMIF('Executive Pay Breakdown'!K:K,$B364,'Executive Pay Breakdown'!M:M)</f>
        <v>0</v>
      </c>
      <c r="G364" s="69">
        <f>SUMIF('Executive Pay Breakdown'!O:O,$B364,'Executive Pay Breakdown'!Q:Q)</f>
        <v>2249197</v>
      </c>
      <c r="H364" s="69">
        <f>SUMIF('Executive Pay Breakdown'!S:S,$B364,'Executive Pay Breakdown'!U:U)</f>
        <v>2289486</v>
      </c>
      <c r="I364" s="69">
        <f>SUMIF('Executive Pay Breakdown'!W:W,$B364,'Executive Pay Breakdown'!Y:Y)</f>
        <v>2303767</v>
      </c>
      <c r="J364" s="69">
        <f>SUMIF('Executive Pay Breakdown'!AA:AA,$B364,'Executive Pay Breakdown'!AC:AC)</f>
        <v>1907050</v>
      </c>
      <c r="K364" s="90"/>
      <c r="L364" s="212"/>
      <c r="M364" s="87"/>
      <c r="N364" s="87"/>
      <c r="O364" s="120">
        <f>MATCH(C364,'Key Findings'!B:B,0)</f>
        <v>52</v>
      </c>
    </row>
    <row r="365">
      <c r="A365" s="62"/>
      <c r="B365" s="235" t="s">
        <v>462</v>
      </c>
      <c r="C365" s="87" t="s">
        <v>18</v>
      </c>
      <c r="D365" s="89">
        <f>SUMIF('Executive Pay Breakdown'!K:K,$B365,'Executive Pay Breakdown'!M:M)+SUMIF('Executive Pay Breakdown'!O:O,$B365,'Executive Pay Breakdown'!Q:Q)+SUMIF('Executive Pay Breakdown'!S:S,$B365,'Executive Pay Breakdown'!U:U)+SUMIF('Executive Pay Breakdown'!W:W,$B365,'Executive Pay Breakdown'!Y:Y)+SUMIF('Executive Pay Breakdown'!AA:AA,$B365,'Executive Pay Breakdown'!AC:AC)</f>
        <v>8749157</v>
      </c>
      <c r="E365" s="109"/>
      <c r="F365" s="69">
        <f>SUMIF('Executive Pay Breakdown'!K:K,$B365,'Executive Pay Breakdown'!M:M)</f>
        <v>0</v>
      </c>
      <c r="G365" s="69">
        <f>SUMIF('Executive Pay Breakdown'!O:O,$B365,'Executive Pay Breakdown'!Q:Q)</f>
        <v>0</v>
      </c>
      <c r="H365" s="69">
        <f>SUMIF('Executive Pay Breakdown'!S:S,$B365,'Executive Pay Breakdown'!U:U)</f>
        <v>2844094</v>
      </c>
      <c r="I365" s="69">
        <f>SUMIF('Executive Pay Breakdown'!W:W,$B365,'Executive Pay Breakdown'!Y:Y)</f>
        <v>3046261</v>
      </c>
      <c r="J365" s="69">
        <f>SUMIF('Executive Pay Breakdown'!AA:AA,$B365,'Executive Pay Breakdown'!AC:AC)</f>
        <v>2858802</v>
      </c>
      <c r="K365" s="90"/>
      <c r="L365" s="212"/>
      <c r="M365" s="87"/>
      <c r="N365" s="87"/>
      <c r="O365" s="120">
        <f>MATCH(C365,'Key Findings'!B:B,0)</f>
        <v>8</v>
      </c>
    </row>
    <row r="366">
      <c r="A366" s="62"/>
      <c r="B366" s="86" t="s">
        <v>208</v>
      </c>
      <c r="C366" s="87" t="s">
        <v>75</v>
      </c>
      <c r="D366" s="89">
        <f>SUMIF('Executive Pay Breakdown'!K:K,$B366,'Executive Pay Breakdown'!M:M)+SUMIF('Executive Pay Breakdown'!O:O,$B366,'Executive Pay Breakdown'!Q:Q)+SUMIF('Executive Pay Breakdown'!S:S,$B366,'Executive Pay Breakdown'!U:U)+SUMIF('Executive Pay Breakdown'!W:W,$B366,'Executive Pay Breakdown'!Y:Y)+SUMIF('Executive Pay Breakdown'!AA:AA,$B366,'Executive Pay Breakdown'!AC:AC)</f>
        <v>8725031</v>
      </c>
      <c r="E366" s="109"/>
      <c r="F366" s="69">
        <f>SUMIF('Executive Pay Breakdown'!K:K,$B366,'Executive Pay Breakdown'!M:M)</f>
        <v>1737461</v>
      </c>
      <c r="G366" s="69">
        <f>SUMIF('Executive Pay Breakdown'!O:O,$B366,'Executive Pay Breakdown'!Q:Q)</f>
        <v>1802231</v>
      </c>
      <c r="H366" s="69">
        <f>SUMIF('Executive Pay Breakdown'!S:S,$B366,'Executive Pay Breakdown'!U:U)</f>
        <v>1906301</v>
      </c>
      <c r="I366" s="69">
        <f>SUMIF('Executive Pay Breakdown'!W:W,$B366,'Executive Pay Breakdown'!Y:Y)</f>
        <v>1972052</v>
      </c>
      <c r="J366" s="69">
        <f>SUMIF('Executive Pay Breakdown'!AA:AA,$B366,'Executive Pay Breakdown'!AC:AC)</f>
        <v>1306986</v>
      </c>
      <c r="K366" s="90"/>
      <c r="L366" s="212"/>
      <c r="M366" s="87"/>
      <c r="N366" s="230">
        <f>F366/J366-1</f>
        <v>0.3293646604</v>
      </c>
      <c r="O366" s="120">
        <f>MATCH(C366,'Key Findings'!B:B,0)</f>
        <v>67</v>
      </c>
    </row>
    <row r="367">
      <c r="A367" s="71"/>
      <c r="B367" s="124" t="s">
        <v>440</v>
      </c>
      <c r="C367" s="87" t="s">
        <v>55</v>
      </c>
      <c r="D367" s="89">
        <f>SUMIF('Executive Pay Breakdown'!K:K,$B367,'Executive Pay Breakdown'!M:M)+SUMIF('Executive Pay Breakdown'!O:O,$B367,'Executive Pay Breakdown'!Q:Q)+SUMIF('Executive Pay Breakdown'!S:S,$B367,'Executive Pay Breakdown'!U:U)+SUMIF('Executive Pay Breakdown'!W:W,$B367,'Executive Pay Breakdown'!Y:Y)+SUMIF('Executive Pay Breakdown'!AA:AA,$B367,'Executive Pay Breakdown'!AC:AC)</f>
        <v>8720238</v>
      </c>
      <c r="E367" s="109"/>
      <c r="F367" s="69">
        <f>SUMIF('Executive Pay Breakdown'!K:K,$B367,'Executive Pay Breakdown'!M:M)</f>
        <v>8720238</v>
      </c>
      <c r="G367" s="69">
        <f>SUMIF('Executive Pay Breakdown'!O:O,$B367,'Executive Pay Breakdown'!Q:Q)</f>
        <v>0</v>
      </c>
      <c r="H367" s="69">
        <f>SUMIF('Executive Pay Breakdown'!S:S,$B367,'Executive Pay Breakdown'!U:U)</f>
        <v>0</v>
      </c>
      <c r="I367" s="69">
        <f>SUMIF('Executive Pay Breakdown'!W:W,$B367,'Executive Pay Breakdown'!Y:Y)</f>
        <v>0</v>
      </c>
      <c r="J367" s="69">
        <f>SUMIF('Executive Pay Breakdown'!AA:AA,$B367,'Executive Pay Breakdown'!AC:AC)</f>
        <v>0</v>
      </c>
      <c r="K367" s="90"/>
      <c r="L367" s="212"/>
      <c r="M367" s="87"/>
      <c r="N367" s="230"/>
      <c r="O367" s="120">
        <f>MATCH(C367,'Key Findings'!B:B,0)</f>
        <v>20</v>
      </c>
    </row>
    <row r="368">
      <c r="A368" s="62"/>
      <c r="B368" s="86" t="s">
        <v>216</v>
      </c>
      <c r="C368" s="87" t="s">
        <v>38</v>
      </c>
      <c r="D368" s="89">
        <f>SUMIF('Executive Pay Breakdown'!K:K,$B368,'Executive Pay Breakdown'!M:M)+SUMIF('Executive Pay Breakdown'!O:O,$B368,'Executive Pay Breakdown'!Q:Q)+SUMIF('Executive Pay Breakdown'!S:S,$B368,'Executive Pay Breakdown'!U:U)+SUMIF('Executive Pay Breakdown'!W:W,$B368,'Executive Pay Breakdown'!Y:Y)+SUMIF('Executive Pay Breakdown'!AA:AA,$B368,'Executive Pay Breakdown'!AC:AC)</f>
        <v>8658495</v>
      </c>
      <c r="E368" s="109"/>
      <c r="F368" s="69">
        <f>SUMIF('Executive Pay Breakdown'!K:K,$B368,'Executive Pay Breakdown'!M:M)</f>
        <v>1916706</v>
      </c>
      <c r="G368" s="69">
        <f>SUMIF('Executive Pay Breakdown'!O:O,$B368,'Executive Pay Breakdown'!Q:Q)</f>
        <v>1701984</v>
      </c>
      <c r="H368" s="69">
        <f>SUMIF('Executive Pay Breakdown'!S:S,$B368,'Executive Pay Breakdown'!U:U)</f>
        <v>1910339</v>
      </c>
      <c r="I368" s="69">
        <f>SUMIF('Executive Pay Breakdown'!W:W,$B368,'Executive Pay Breakdown'!Y:Y)</f>
        <v>1639331</v>
      </c>
      <c r="J368" s="69">
        <f>SUMIF('Executive Pay Breakdown'!AA:AA,$B368,'Executive Pay Breakdown'!AC:AC)</f>
        <v>1490135</v>
      </c>
      <c r="K368" s="90"/>
      <c r="L368" s="212"/>
      <c r="M368" s="87"/>
      <c r="N368" s="230">
        <f>F368/J368-1</f>
        <v>0.2862633251</v>
      </c>
      <c r="O368" s="120">
        <f>MATCH(C368,'Key Findings'!B:B,0)</f>
        <v>62</v>
      </c>
    </row>
    <row r="369">
      <c r="A369" s="62"/>
      <c r="B369" s="127" t="s">
        <v>516</v>
      </c>
      <c r="C369" s="87" t="s">
        <v>26</v>
      </c>
      <c r="D369" s="89">
        <f>SUMIF('Executive Pay Breakdown'!K:K,$B369,'Executive Pay Breakdown'!M:M)+SUMIF('Executive Pay Breakdown'!O:O,$B369,'Executive Pay Breakdown'!Q:Q)+SUMIF('Executive Pay Breakdown'!S:S,$B369,'Executive Pay Breakdown'!U:U)+SUMIF('Executive Pay Breakdown'!W:W,$B369,'Executive Pay Breakdown'!Y:Y)+SUMIF('Executive Pay Breakdown'!AA:AA,$B369,'Executive Pay Breakdown'!AC:AC)</f>
        <v>8653849</v>
      </c>
      <c r="E369" s="109"/>
      <c r="F369" s="69">
        <f>SUMIF('Executive Pay Breakdown'!K:K,$B369,'Executive Pay Breakdown'!M:M)</f>
        <v>3210176</v>
      </c>
      <c r="G369" s="69">
        <f>SUMIF('Executive Pay Breakdown'!O:O,$B369,'Executive Pay Breakdown'!Q:Q)</f>
        <v>2928262</v>
      </c>
      <c r="H369" s="69">
        <f>SUMIF('Executive Pay Breakdown'!S:S,$B369,'Executive Pay Breakdown'!U:U)</f>
        <v>2515411</v>
      </c>
      <c r="I369" s="69">
        <f>SUMIF('Executive Pay Breakdown'!W:W,$B369,'Executive Pay Breakdown'!Y:Y)</f>
        <v>0</v>
      </c>
      <c r="J369" s="69">
        <f>SUMIF('Executive Pay Breakdown'!AA:AA,$B369,'Executive Pay Breakdown'!AC:AC)</f>
        <v>0</v>
      </c>
      <c r="K369" s="90"/>
      <c r="L369" s="212"/>
      <c r="M369" s="87"/>
      <c r="N369" s="230"/>
      <c r="O369" s="120">
        <f>MATCH(C369,'Key Findings'!B:B,0)</f>
        <v>48</v>
      </c>
    </row>
    <row r="370">
      <c r="A370" s="71"/>
      <c r="B370" s="124" t="s">
        <v>415</v>
      </c>
      <c r="C370" s="87" t="s">
        <v>54</v>
      </c>
      <c r="D370" s="89">
        <f>SUMIF('Executive Pay Breakdown'!K:K,$B370,'Executive Pay Breakdown'!M:M)+SUMIF('Executive Pay Breakdown'!O:O,$B370,'Executive Pay Breakdown'!Q:Q)+SUMIF('Executive Pay Breakdown'!S:S,$B370,'Executive Pay Breakdown'!U:U)+SUMIF('Executive Pay Breakdown'!W:W,$B370,'Executive Pay Breakdown'!Y:Y)+SUMIF('Executive Pay Breakdown'!AA:AA,$B370,'Executive Pay Breakdown'!AC:AC)</f>
        <v>8636321</v>
      </c>
      <c r="E370" s="109"/>
      <c r="F370" s="69">
        <f>SUMIF('Executive Pay Breakdown'!K:K,$B370,'Executive Pay Breakdown'!M:M)</f>
        <v>5032835</v>
      </c>
      <c r="G370" s="69">
        <f>SUMIF('Executive Pay Breakdown'!O:O,$B370,'Executive Pay Breakdown'!Q:Q)</f>
        <v>3603486</v>
      </c>
      <c r="H370" s="69">
        <f>SUMIF('Executive Pay Breakdown'!S:S,$B370,'Executive Pay Breakdown'!U:U)</f>
        <v>0</v>
      </c>
      <c r="I370" s="69">
        <f>SUMIF('Executive Pay Breakdown'!W:W,$B370,'Executive Pay Breakdown'!Y:Y)</f>
        <v>0</v>
      </c>
      <c r="J370" s="69">
        <f>SUMIF('Executive Pay Breakdown'!AA:AA,$B370,'Executive Pay Breakdown'!AC:AC)</f>
        <v>0</v>
      </c>
      <c r="K370" s="90"/>
      <c r="L370" s="212"/>
      <c r="M370" s="212"/>
      <c r="N370" s="230"/>
      <c r="O370" s="120">
        <f>MATCH(C370,'Key Findings'!B:B,0)</f>
        <v>19</v>
      </c>
    </row>
    <row r="371">
      <c r="A371" s="81"/>
      <c r="B371" s="137" t="s">
        <v>518</v>
      </c>
      <c r="C371" s="87" t="str">
        <f t="array" ref="C371">INDEX('Executive Pay Breakdown'!B:B,MATCH(B371,'Executive Pay Breakdown'!S:S,0))</f>
        <v>Reinsurance Group of America</v>
      </c>
      <c r="D371" s="89">
        <f>SUMIF('Executive Pay Breakdown'!K:K,$B371,'Executive Pay Breakdown'!M:M)+SUMIF('Executive Pay Breakdown'!O:O,$B371,'Executive Pay Breakdown'!Q:Q)+SUMIF('Executive Pay Breakdown'!S:S,$B371,'Executive Pay Breakdown'!U:U)+SUMIF('Executive Pay Breakdown'!W:W,$B371,'Executive Pay Breakdown'!Y:Y)+SUMIF('Executive Pay Breakdown'!AA:AA,$B371,'Executive Pay Breakdown'!AC:AC)</f>
        <v>8627713</v>
      </c>
      <c r="E371" s="109"/>
      <c r="F371" s="69">
        <f>SUMIF('Executive Pay Breakdown'!K:K,$B371,'Executive Pay Breakdown'!M:M)</f>
        <v>0</v>
      </c>
      <c r="G371" s="69">
        <f>SUMIF('Executive Pay Breakdown'!O:O,$B371,'Executive Pay Breakdown'!Q:Q)</f>
        <v>0</v>
      </c>
      <c r="H371" s="69">
        <f>SUMIF('Executive Pay Breakdown'!S:S,$B371,'Executive Pay Breakdown'!U:U)</f>
        <v>2223533</v>
      </c>
      <c r="I371" s="69">
        <f>SUMIF('Executive Pay Breakdown'!W:W,$B371,'Executive Pay Breakdown'!Y:Y)</f>
        <v>3834659</v>
      </c>
      <c r="J371" s="69">
        <f>SUMIF('Executive Pay Breakdown'!AA:AA,$B371,'Executive Pay Breakdown'!AC:AC)</f>
        <v>2569521</v>
      </c>
      <c r="K371" s="90"/>
      <c r="L371" s="212"/>
      <c r="M371" s="87"/>
      <c r="N371" s="230"/>
      <c r="O371" s="120">
        <f>MATCH(C371,'Key Findings'!B:B,0)</f>
        <v>9</v>
      </c>
    </row>
    <row r="372">
      <c r="A372" s="71"/>
      <c r="B372" s="124" t="s">
        <v>542</v>
      </c>
      <c r="C372" s="87" t="s">
        <v>58</v>
      </c>
      <c r="D372" s="89">
        <f>SUMIF('Executive Pay Breakdown'!K:K,$B372,'Executive Pay Breakdown'!M:M)+SUMIF('Executive Pay Breakdown'!O:O,$B372,'Executive Pay Breakdown'!Q:Q)+SUMIF('Executive Pay Breakdown'!S:S,$B372,'Executive Pay Breakdown'!U:U)+SUMIF('Executive Pay Breakdown'!W:W,$B372,'Executive Pay Breakdown'!Y:Y)+SUMIF('Executive Pay Breakdown'!AA:AA,$B372,'Executive Pay Breakdown'!AC:AC)</f>
        <v>8620282</v>
      </c>
      <c r="E372" s="109"/>
      <c r="F372" s="69">
        <f>SUMIF('Executive Pay Breakdown'!K:K,$B372,'Executive Pay Breakdown'!M:M)</f>
        <v>0</v>
      </c>
      <c r="G372" s="69">
        <f>SUMIF('Executive Pay Breakdown'!O:O,$B372,'Executive Pay Breakdown'!Q:Q)</f>
        <v>0</v>
      </c>
      <c r="H372" s="69">
        <f>SUMIF('Executive Pay Breakdown'!S:S,$B372,'Executive Pay Breakdown'!U:U)</f>
        <v>0</v>
      </c>
      <c r="I372" s="69">
        <f>SUMIF('Executive Pay Breakdown'!W:W,$B372,'Executive Pay Breakdown'!Y:Y)</f>
        <v>0</v>
      </c>
      <c r="J372" s="69">
        <f>SUMIF('Executive Pay Breakdown'!AA:AA,$B372,'Executive Pay Breakdown'!AC:AC)</f>
        <v>8620282</v>
      </c>
      <c r="K372" s="90"/>
      <c r="L372" s="212"/>
      <c r="M372" s="87"/>
      <c r="N372" s="87"/>
      <c r="O372" s="120">
        <f>MATCH(C372,'Key Findings'!B:B,0)</f>
        <v>27</v>
      </c>
    </row>
    <row r="373">
      <c r="A373" s="62"/>
      <c r="B373" s="130" t="s">
        <v>524</v>
      </c>
      <c r="C373" s="87" t="s">
        <v>22</v>
      </c>
      <c r="D373" s="89">
        <f>SUMIF('Executive Pay Breakdown'!K:K,$B373,'Executive Pay Breakdown'!M:M)+SUMIF('Executive Pay Breakdown'!O:O,$B373,'Executive Pay Breakdown'!Q:Q)+SUMIF('Executive Pay Breakdown'!S:S,$B373,'Executive Pay Breakdown'!U:U)+SUMIF('Executive Pay Breakdown'!W:W,$B373,'Executive Pay Breakdown'!Y:Y)+SUMIF('Executive Pay Breakdown'!AA:AA,$B373,'Executive Pay Breakdown'!AC:AC)</f>
        <v>8609375</v>
      </c>
      <c r="E373" s="109"/>
      <c r="F373" s="69">
        <f>SUMIF('Executive Pay Breakdown'!K:K,$B373,'Executive Pay Breakdown'!M:M)</f>
        <v>0</v>
      </c>
      <c r="G373" s="69">
        <f>SUMIF('Executive Pay Breakdown'!O:O,$B373,'Executive Pay Breakdown'!Q:Q)</f>
        <v>0</v>
      </c>
      <c r="H373" s="69">
        <f>SUMIF('Executive Pay Breakdown'!S:S,$B373,'Executive Pay Breakdown'!U:U)</f>
        <v>0</v>
      </c>
      <c r="I373" s="69">
        <f>SUMIF('Executive Pay Breakdown'!W:W,$B373,'Executive Pay Breakdown'!Y:Y)</f>
        <v>4958329</v>
      </c>
      <c r="J373" s="69">
        <f>SUMIF('Executive Pay Breakdown'!AA:AA,$B373,'Executive Pay Breakdown'!AC:AC)</f>
        <v>3651046</v>
      </c>
      <c r="K373" s="90"/>
      <c r="L373" s="212"/>
      <c r="M373" s="87"/>
      <c r="N373" s="87"/>
      <c r="O373" s="120">
        <f>MATCH(C373,'Key Findings'!B:B,0)</f>
        <v>39</v>
      </c>
    </row>
    <row r="374">
      <c r="A374" s="62"/>
      <c r="B374" s="131" t="s">
        <v>525</v>
      </c>
      <c r="C374" s="87" t="s">
        <v>22</v>
      </c>
      <c r="D374" s="89">
        <f>SUMIF('Executive Pay Breakdown'!K:K,$B374,'Executive Pay Breakdown'!M:M)+SUMIF('Executive Pay Breakdown'!O:O,$B374,'Executive Pay Breakdown'!Q:Q)+SUMIF('Executive Pay Breakdown'!S:S,$B374,'Executive Pay Breakdown'!U:U)+SUMIF('Executive Pay Breakdown'!W:W,$B374,'Executive Pay Breakdown'!Y:Y)+SUMIF('Executive Pay Breakdown'!AA:AA,$B374,'Executive Pay Breakdown'!AC:AC)</f>
        <v>8604518</v>
      </c>
      <c r="E374" s="109"/>
      <c r="F374" s="69">
        <f>SUMIF('Executive Pay Breakdown'!K:K,$B374,'Executive Pay Breakdown'!M:M)</f>
        <v>2459847</v>
      </c>
      <c r="G374" s="69">
        <f>SUMIF('Executive Pay Breakdown'!O:O,$B374,'Executive Pay Breakdown'!Q:Q)</f>
        <v>2881057</v>
      </c>
      <c r="H374" s="69">
        <f>SUMIF('Executive Pay Breakdown'!S:S,$B374,'Executive Pay Breakdown'!U:U)</f>
        <v>3263614</v>
      </c>
      <c r="I374" s="69">
        <f>SUMIF('Executive Pay Breakdown'!W:W,$B374,'Executive Pay Breakdown'!Y:Y)</f>
        <v>0</v>
      </c>
      <c r="J374" s="69">
        <f>SUMIF('Executive Pay Breakdown'!AA:AA,$B374,'Executive Pay Breakdown'!AC:AC)</f>
        <v>0</v>
      </c>
      <c r="K374" s="90"/>
      <c r="L374" s="212"/>
      <c r="M374" s="87"/>
      <c r="N374" s="230"/>
      <c r="O374" s="120">
        <f>MATCH(C374,'Key Findings'!B:B,0)</f>
        <v>39</v>
      </c>
    </row>
    <row r="375">
      <c r="A375" s="62"/>
      <c r="B375" s="86" t="s">
        <v>454</v>
      </c>
      <c r="C375" s="87" t="s">
        <v>44</v>
      </c>
      <c r="D375" s="89">
        <f>SUMIF('Executive Pay Breakdown'!K:K,$B375,'Executive Pay Breakdown'!M:M)+SUMIF('Executive Pay Breakdown'!O:O,$B375,'Executive Pay Breakdown'!Q:Q)+SUMIF('Executive Pay Breakdown'!S:S,$B375,'Executive Pay Breakdown'!U:U)+SUMIF('Executive Pay Breakdown'!W:W,$B375,'Executive Pay Breakdown'!Y:Y)+SUMIF('Executive Pay Breakdown'!AA:AA,$B375,'Executive Pay Breakdown'!AC:AC)</f>
        <v>8564812</v>
      </c>
      <c r="E375" s="109"/>
      <c r="F375" s="69">
        <f>SUMIF('Executive Pay Breakdown'!K:K,$B375,'Executive Pay Breakdown'!M:M)</f>
        <v>0</v>
      </c>
      <c r="G375" s="69">
        <f>SUMIF('Executive Pay Breakdown'!O:O,$B375,'Executive Pay Breakdown'!Q:Q)</f>
        <v>0</v>
      </c>
      <c r="H375" s="69">
        <f>SUMIF('Executive Pay Breakdown'!S:S,$B375,'Executive Pay Breakdown'!U:U)</f>
        <v>0</v>
      </c>
      <c r="I375" s="69">
        <f>SUMIF('Executive Pay Breakdown'!W:W,$B375,'Executive Pay Breakdown'!Y:Y)</f>
        <v>0</v>
      </c>
      <c r="J375" s="69">
        <f>SUMIF('Executive Pay Breakdown'!AA:AA,$B375,'Executive Pay Breakdown'!AC:AC)</f>
        <v>8564812</v>
      </c>
      <c r="K375" s="90"/>
      <c r="L375" s="212"/>
      <c r="M375" s="87"/>
      <c r="N375" s="87"/>
      <c r="O375" s="120">
        <f>MATCH(C375,'Key Findings'!B:B,0)</f>
        <v>25</v>
      </c>
    </row>
    <row r="376">
      <c r="A376" s="62"/>
      <c r="B376" s="127" t="s">
        <v>173</v>
      </c>
      <c r="C376" s="87" t="s">
        <v>17</v>
      </c>
      <c r="D376" s="89">
        <f>SUMIF('Executive Pay Breakdown'!K:K,$B376,'Executive Pay Breakdown'!M:M)+SUMIF('Executive Pay Breakdown'!O:O,$B376,'Executive Pay Breakdown'!Q:Q)+SUMIF('Executive Pay Breakdown'!S:S,$B376,'Executive Pay Breakdown'!U:U)+SUMIF('Executive Pay Breakdown'!W:W,$B376,'Executive Pay Breakdown'!Y:Y)+SUMIF('Executive Pay Breakdown'!AA:AA,$B376,'Executive Pay Breakdown'!AC:AC)</f>
        <v>8531318</v>
      </c>
      <c r="E376" s="109"/>
      <c r="F376" s="69">
        <f>SUMIF('Executive Pay Breakdown'!K:K,$B376,'Executive Pay Breakdown'!M:M)</f>
        <v>2695037</v>
      </c>
      <c r="G376" s="69">
        <f>SUMIF('Executive Pay Breakdown'!O:O,$B376,'Executive Pay Breakdown'!Q:Q)</f>
        <v>1550892</v>
      </c>
      <c r="H376" s="69">
        <f>SUMIF('Executive Pay Breakdown'!S:S,$B376,'Executive Pay Breakdown'!U:U)</f>
        <v>1121650</v>
      </c>
      <c r="I376" s="69">
        <f>SUMIF('Executive Pay Breakdown'!W:W,$B376,'Executive Pay Breakdown'!Y:Y)</f>
        <v>1649638</v>
      </c>
      <c r="J376" s="69">
        <f>SUMIF('Executive Pay Breakdown'!AA:AA,$B376,'Executive Pay Breakdown'!AC:AC)</f>
        <v>1514101</v>
      </c>
      <c r="K376" s="90"/>
      <c r="L376" s="212"/>
      <c r="M376" s="87"/>
      <c r="N376" s="230">
        <f>F376/J376-1</f>
        <v>0.7799585365</v>
      </c>
      <c r="O376" s="120">
        <f>MATCH(C376,'Key Findings'!B:B,0)</f>
        <v>36</v>
      </c>
    </row>
    <row r="377">
      <c r="A377" s="62"/>
      <c r="B377" s="127" t="s">
        <v>512</v>
      </c>
      <c r="C377" s="87" t="s">
        <v>30</v>
      </c>
      <c r="D377" s="89">
        <f>SUMIF('Executive Pay Breakdown'!K:K,$B377,'Executive Pay Breakdown'!M:M)+SUMIF('Executive Pay Breakdown'!O:O,$B377,'Executive Pay Breakdown'!Q:Q)+SUMIF('Executive Pay Breakdown'!S:S,$B377,'Executive Pay Breakdown'!U:U)+SUMIF('Executive Pay Breakdown'!W:W,$B377,'Executive Pay Breakdown'!Y:Y)+SUMIF('Executive Pay Breakdown'!AA:AA,$B377,'Executive Pay Breakdown'!AC:AC)</f>
        <v>8494515</v>
      </c>
      <c r="E377" s="109"/>
      <c r="F377" s="69">
        <f>SUMIF('Executive Pay Breakdown'!K:K,$B377,'Executive Pay Breakdown'!M:M)</f>
        <v>2811718</v>
      </c>
      <c r="G377" s="69">
        <f>SUMIF('Executive Pay Breakdown'!O:O,$B377,'Executive Pay Breakdown'!Q:Q)</f>
        <v>3245159</v>
      </c>
      <c r="H377" s="69">
        <f>SUMIF('Executive Pay Breakdown'!S:S,$B377,'Executive Pay Breakdown'!U:U)</f>
        <v>2437638</v>
      </c>
      <c r="I377" s="69">
        <f>SUMIF('Executive Pay Breakdown'!W:W,$B377,'Executive Pay Breakdown'!Y:Y)</f>
        <v>0</v>
      </c>
      <c r="J377" s="69">
        <f>SUMIF('Executive Pay Breakdown'!AA:AA,$B377,'Executive Pay Breakdown'!AC:AC)</f>
        <v>0</v>
      </c>
      <c r="K377" s="90"/>
      <c r="L377" s="212"/>
      <c r="M377" s="87"/>
      <c r="N377" s="230"/>
      <c r="O377" s="120">
        <f>MATCH(C377,'Key Findings'!B:B,0)</f>
        <v>49</v>
      </c>
    </row>
    <row r="378">
      <c r="A378" s="62"/>
      <c r="B378" s="86" t="s">
        <v>256</v>
      </c>
      <c r="C378" s="233" t="s">
        <v>68</v>
      </c>
      <c r="D378" s="89">
        <f>SUMIF('Executive Pay Breakdown'!K:K,$B378,'Executive Pay Breakdown'!M:M)+SUMIF('Executive Pay Breakdown'!O:O,$B378,'Executive Pay Breakdown'!Q:Q)+SUMIF('Executive Pay Breakdown'!S:S,$B378,'Executive Pay Breakdown'!U:U)+SUMIF('Executive Pay Breakdown'!W:W,$B378,'Executive Pay Breakdown'!Y:Y)+SUMIF('Executive Pay Breakdown'!AA:AA,$B378,'Executive Pay Breakdown'!AC:AC)</f>
        <v>8401477</v>
      </c>
      <c r="E378" s="109"/>
      <c r="F378" s="69">
        <f>SUMIF('Executive Pay Breakdown'!K:K,$B378,'Executive Pay Breakdown'!M:M)</f>
        <v>1841637</v>
      </c>
      <c r="G378" s="69">
        <f>SUMIF('Executive Pay Breakdown'!O:O,$B378,'Executive Pay Breakdown'!Q:Q)</f>
        <v>1767474</v>
      </c>
      <c r="H378" s="69">
        <f>SUMIF('Executive Pay Breakdown'!S:S,$B378,'Executive Pay Breakdown'!U:U)</f>
        <v>1513352</v>
      </c>
      <c r="I378" s="69">
        <f>SUMIF('Executive Pay Breakdown'!W:W,$B378,'Executive Pay Breakdown'!Y:Y)</f>
        <v>1479597</v>
      </c>
      <c r="J378" s="69">
        <f>SUMIF('Executive Pay Breakdown'!AA:AA,$B378,'Executive Pay Breakdown'!AC:AC)</f>
        <v>1799417</v>
      </c>
      <c r="K378" s="90"/>
      <c r="L378" s="212"/>
      <c r="M378" s="87"/>
      <c r="N378" s="230">
        <f>F378/J378-1</f>
        <v>0.02346315501</v>
      </c>
      <c r="O378" s="120">
        <f>MATCH(C378,'Key Findings'!B:B,0)</f>
        <v>66</v>
      </c>
    </row>
    <row r="379">
      <c r="A379" s="81"/>
      <c r="B379" s="137" t="s">
        <v>294</v>
      </c>
      <c r="C379" s="87" t="str">
        <f t="array" ref="C379">INDEX('Executive Pay Breakdown'!B:B,MATCH(B379,'Executive Pay Breakdown'!K:K,0))</f>
        <v>Pioneer Natural Resources</v>
      </c>
      <c r="D379" s="89">
        <f>SUMIF('Executive Pay Breakdown'!K:K,$B379,'Executive Pay Breakdown'!M:M)+SUMIF('Executive Pay Breakdown'!O:O,$B379,'Executive Pay Breakdown'!Q:Q)+SUMIF('Executive Pay Breakdown'!S:S,$B379,'Executive Pay Breakdown'!U:U)+SUMIF('Executive Pay Breakdown'!W:W,$B379,'Executive Pay Breakdown'!Y:Y)+SUMIF('Executive Pay Breakdown'!AA:AA,$B379,'Executive Pay Breakdown'!AC:AC)</f>
        <v>8386260</v>
      </c>
      <c r="E379" s="109"/>
      <c r="F379" s="69">
        <f>SUMIF('Executive Pay Breakdown'!K:K,$B379,'Executive Pay Breakdown'!M:M)</f>
        <v>5131346</v>
      </c>
      <c r="G379" s="69">
        <f>SUMIF('Executive Pay Breakdown'!O:O,$B379,'Executive Pay Breakdown'!Q:Q)</f>
        <v>3254914</v>
      </c>
      <c r="H379" s="69">
        <f>SUMIF('Executive Pay Breakdown'!S:S,$B379,'Executive Pay Breakdown'!U:U)</f>
        <v>0</v>
      </c>
      <c r="I379" s="69">
        <f>SUMIF('Executive Pay Breakdown'!W:W,$B379,'Executive Pay Breakdown'!Y:Y)</f>
        <v>0</v>
      </c>
      <c r="J379" s="69">
        <f>SUMIF('Executive Pay Breakdown'!AA:AA,$B379,'Executive Pay Breakdown'!AC:AC)</f>
        <v>0</v>
      </c>
      <c r="K379" s="90"/>
      <c r="L379" s="212"/>
      <c r="M379" s="87"/>
      <c r="N379" s="230"/>
      <c r="O379" s="120">
        <f>MATCH(C379,'Key Findings'!B:B,0)</f>
        <v>35</v>
      </c>
    </row>
    <row r="380">
      <c r="A380" s="71"/>
      <c r="B380" s="124" t="s">
        <v>444</v>
      </c>
      <c r="C380" s="87" t="s">
        <v>55</v>
      </c>
      <c r="D380" s="89">
        <f>SUMIF('Executive Pay Breakdown'!K:K,$B380,'Executive Pay Breakdown'!M:M)+SUMIF('Executive Pay Breakdown'!O:O,$B380,'Executive Pay Breakdown'!Q:Q)+SUMIF('Executive Pay Breakdown'!S:S,$B380,'Executive Pay Breakdown'!U:U)+SUMIF('Executive Pay Breakdown'!W:W,$B380,'Executive Pay Breakdown'!Y:Y)+SUMIF('Executive Pay Breakdown'!AA:AA,$B380,'Executive Pay Breakdown'!AC:AC)</f>
        <v>8380216</v>
      </c>
      <c r="E380" s="109"/>
      <c r="F380" s="69">
        <f>SUMIF('Executive Pay Breakdown'!K:K,$B380,'Executive Pay Breakdown'!M:M)</f>
        <v>8380216</v>
      </c>
      <c r="G380" s="69">
        <f>SUMIF('Executive Pay Breakdown'!O:O,$B380,'Executive Pay Breakdown'!Q:Q)</f>
        <v>0</v>
      </c>
      <c r="H380" s="69">
        <f>SUMIF('Executive Pay Breakdown'!S:S,$B380,'Executive Pay Breakdown'!U:U)</f>
        <v>0</v>
      </c>
      <c r="I380" s="69">
        <f>SUMIF('Executive Pay Breakdown'!W:W,$B380,'Executive Pay Breakdown'!Y:Y)</f>
        <v>0</v>
      </c>
      <c r="J380" s="69">
        <f>SUMIF('Executive Pay Breakdown'!AA:AA,$B380,'Executive Pay Breakdown'!AC:AC)</f>
        <v>0</v>
      </c>
      <c r="K380" s="90"/>
      <c r="L380" s="212"/>
      <c r="M380" s="87"/>
      <c r="N380" s="230"/>
      <c r="O380" s="120">
        <f>MATCH(C380,'Key Findings'!B:B,0)</f>
        <v>20</v>
      </c>
    </row>
    <row r="381">
      <c r="A381" s="62"/>
      <c r="B381" s="127" t="s">
        <v>471</v>
      </c>
      <c r="C381" s="87" t="s">
        <v>18</v>
      </c>
      <c r="D381" s="89">
        <f>SUMIF('Executive Pay Breakdown'!K:K,$B381,'Executive Pay Breakdown'!M:M)+SUMIF('Executive Pay Breakdown'!O:O,$B381,'Executive Pay Breakdown'!Q:Q)+SUMIF('Executive Pay Breakdown'!S:S,$B381,'Executive Pay Breakdown'!U:U)+SUMIF('Executive Pay Breakdown'!W:W,$B381,'Executive Pay Breakdown'!Y:Y)+SUMIF('Executive Pay Breakdown'!AA:AA,$B381,'Executive Pay Breakdown'!AC:AC)</f>
        <v>8168029</v>
      </c>
      <c r="E381" s="109"/>
      <c r="F381" s="69">
        <f>SUMIF('Executive Pay Breakdown'!K:K,$B381,'Executive Pay Breakdown'!M:M)</f>
        <v>0</v>
      </c>
      <c r="G381" s="69">
        <f>SUMIF('Executive Pay Breakdown'!O:O,$B381,'Executive Pay Breakdown'!Q:Q)</f>
        <v>0</v>
      </c>
      <c r="H381" s="69">
        <f>SUMIF('Executive Pay Breakdown'!S:S,$B381,'Executive Pay Breakdown'!U:U)</f>
        <v>0</v>
      </c>
      <c r="I381" s="69">
        <f>SUMIF('Executive Pay Breakdown'!W:W,$B381,'Executive Pay Breakdown'!Y:Y)</f>
        <v>0</v>
      </c>
      <c r="J381" s="69">
        <f>SUMIF('Executive Pay Breakdown'!AA:AA,$B381,'Executive Pay Breakdown'!AC:AC)</f>
        <v>8168029</v>
      </c>
      <c r="K381" s="90"/>
      <c r="L381" s="212"/>
      <c r="M381" s="87"/>
      <c r="N381" s="87"/>
      <c r="O381" s="120">
        <f>MATCH(C381,'Key Findings'!B:B,0)</f>
        <v>8</v>
      </c>
    </row>
    <row r="382">
      <c r="A382" s="62"/>
      <c r="B382" s="86" t="s">
        <v>273</v>
      </c>
      <c r="C382" s="87" t="s">
        <v>77</v>
      </c>
      <c r="D382" s="89">
        <f>SUMIF('Executive Pay Breakdown'!K:K,$B382,'Executive Pay Breakdown'!M:M)+SUMIF('Executive Pay Breakdown'!O:O,$B382,'Executive Pay Breakdown'!Q:Q)+SUMIF('Executive Pay Breakdown'!S:S,$B382,'Executive Pay Breakdown'!U:U)+SUMIF('Executive Pay Breakdown'!W:W,$B382,'Executive Pay Breakdown'!Y:Y)+SUMIF('Executive Pay Breakdown'!AA:AA,$B382,'Executive Pay Breakdown'!AC:AC)</f>
        <v>8155949</v>
      </c>
      <c r="E382" s="109"/>
      <c r="F382" s="69">
        <f>SUMIF('Executive Pay Breakdown'!K:K,$B382,'Executive Pay Breakdown'!M:M)</f>
        <v>3672852</v>
      </c>
      <c r="G382" s="69">
        <f>SUMIF('Executive Pay Breakdown'!O:O,$B382,'Executive Pay Breakdown'!Q:Q)</f>
        <v>0</v>
      </c>
      <c r="H382" s="69">
        <f>SUMIF('Executive Pay Breakdown'!S:S,$B382,'Executive Pay Breakdown'!U:U)</f>
        <v>0</v>
      </c>
      <c r="I382" s="69">
        <f>SUMIF('Executive Pay Breakdown'!W:W,$B382,'Executive Pay Breakdown'!Y:Y)</f>
        <v>0</v>
      </c>
      <c r="J382" s="69">
        <f>SUMIF('Executive Pay Breakdown'!AA:AA,$B382,'Executive Pay Breakdown'!AC:AC)</f>
        <v>4483097</v>
      </c>
      <c r="K382" s="90"/>
      <c r="L382" s="212"/>
      <c r="M382" s="87"/>
      <c r="N382" s="230">
        <f t="shared" ref="N382:N383" si="38">F382/J382-1</f>
        <v>-0.180733319</v>
      </c>
      <c r="O382" s="120">
        <f>MATCH(C382,'Key Findings'!B:B,0)</f>
        <v>40</v>
      </c>
    </row>
    <row r="383">
      <c r="A383" s="62"/>
      <c r="B383" s="86" t="s">
        <v>255</v>
      </c>
      <c r="C383" s="233" t="s">
        <v>68</v>
      </c>
      <c r="D383" s="89">
        <f>SUMIF('Executive Pay Breakdown'!K:K,$B383,'Executive Pay Breakdown'!M:M)+SUMIF('Executive Pay Breakdown'!O:O,$B383,'Executive Pay Breakdown'!Q:Q)+SUMIF('Executive Pay Breakdown'!S:S,$B383,'Executive Pay Breakdown'!U:U)+SUMIF('Executive Pay Breakdown'!W:W,$B383,'Executive Pay Breakdown'!Y:Y)+SUMIF('Executive Pay Breakdown'!AA:AA,$B383,'Executive Pay Breakdown'!AC:AC)</f>
        <v>8140662</v>
      </c>
      <c r="E383" s="109"/>
      <c r="F383" s="69">
        <f>SUMIF('Executive Pay Breakdown'!K:K,$B383,'Executive Pay Breakdown'!M:M)</f>
        <v>1789732</v>
      </c>
      <c r="G383" s="69">
        <f>SUMIF('Executive Pay Breakdown'!O:O,$B383,'Executive Pay Breakdown'!Q:Q)</f>
        <v>1710752</v>
      </c>
      <c r="H383" s="69">
        <f>SUMIF('Executive Pay Breakdown'!S:S,$B383,'Executive Pay Breakdown'!U:U)</f>
        <v>1468446</v>
      </c>
      <c r="I383" s="69">
        <f>SUMIF('Executive Pay Breakdown'!W:W,$B383,'Executive Pay Breakdown'!Y:Y)</f>
        <v>1424649</v>
      </c>
      <c r="J383" s="69">
        <f>SUMIF('Executive Pay Breakdown'!AA:AA,$B383,'Executive Pay Breakdown'!AC:AC)</f>
        <v>1747083</v>
      </c>
      <c r="K383" s="90"/>
      <c r="L383" s="212"/>
      <c r="M383" s="87"/>
      <c r="N383" s="230">
        <f t="shared" si="38"/>
        <v>0.02441154771</v>
      </c>
      <c r="O383" s="120">
        <f>MATCH(C383,'Key Findings'!B:B,0)</f>
        <v>66</v>
      </c>
    </row>
    <row r="384">
      <c r="A384" s="62"/>
      <c r="B384" s="125" t="s">
        <v>564</v>
      </c>
      <c r="C384" s="87" t="s">
        <v>51</v>
      </c>
      <c r="D384" s="89">
        <f>SUMIF('Executive Pay Breakdown'!K:K,$B384,'Executive Pay Breakdown'!M:M)+SUMIF('Executive Pay Breakdown'!O:O,$B384,'Executive Pay Breakdown'!Q:Q)+SUMIF('Executive Pay Breakdown'!S:S,$B384,'Executive Pay Breakdown'!U:U)+SUMIF('Executive Pay Breakdown'!W:W,$B384,'Executive Pay Breakdown'!Y:Y)+SUMIF('Executive Pay Breakdown'!AA:AA,$B384,'Executive Pay Breakdown'!AC:AC)</f>
        <v>8122400</v>
      </c>
      <c r="E384" s="109"/>
      <c r="F384" s="69">
        <f>SUMIF('Executive Pay Breakdown'!K:K,$B384,'Executive Pay Breakdown'!M:M)</f>
        <v>8122400</v>
      </c>
      <c r="G384" s="69">
        <f>SUMIF('Executive Pay Breakdown'!O:O,$B384,'Executive Pay Breakdown'!Q:Q)</f>
        <v>0</v>
      </c>
      <c r="H384" s="69">
        <f>SUMIF('Executive Pay Breakdown'!S:S,$B384,'Executive Pay Breakdown'!U:U)</f>
        <v>0</v>
      </c>
      <c r="I384" s="69">
        <f>SUMIF('Executive Pay Breakdown'!W:W,$B384,'Executive Pay Breakdown'!Y:Y)</f>
        <v>0</v>
      </c>
      <c r="J384" s="69">
        <f>SUMIF('Executive Pay Breakdown'!AA:AA,$B384,'Executive Pay Breakdown'!AC:AC)</f>
        <v>0</v>
      </c>
      <c r="K384" s="90"/>
      <c r="L384" s="212"/>
      <c r="M384" s="87"/>
      <c r="N384" s="230"/>
      <c r="O384" s="120">
        <f>MATCH(C384,'Key Findings'!B:B,0)</f>
        <v>16</v>
      </c>
    </row>
    <row r="385">
      <c r="A385" s="71"/>
      <c r="B385" s="124" t="s">
        <v>549</v>
      </c>
      <c r="C385" s="87" t="s">
        <v>58</v>
      </c>
      <c r="D385" s="89">
        <f>SUMIF('Executive Pay Breakdown'!K:K,$B385,'Executive Pay Breakdown'!M:M)+SUMIF('Executive Pay Breakdown'!O:O,$B385,'Executive Pay Breakdown'!Q:Q)+SUMIF('Executive Pay Breakdown'!S:S,$B385,'Executive Pay Breakdown'!U:U)+SUMIF('Executive Pay Breakdown'!W:W,$B385,'Executive Pay Breakdown'!Y:Y)+SUMIF('Executive Pay Breakdown'!AA:AA,$B385,'Executive Pay Breakdown'!AC:AC)</f>
        <v>8117916</v>
      </c>
      <c r="E385" s="109"/>
      <c r="F385" s="69">
        <f>SUMIF('Executive Pay Breakdown'!K:K,$B385,'Executive Pay Breakdown'!M:M)</f>
        <v>0</v>
      </c>
      <c r="G385" s="69">
        <f>SUMIF('Executive Pay Breakdown'!O:O,$B385,'Executive Pay Breakdown'!Q:Q)</f>
        <v>8117916</v>
      </c>
      <c r="H385" s="69">
        <f>SUMIF('Executive Pay Breakdown'!S:S,$B385,'Executive Pay Breakdown'!U:U)</f>
        <v>0</v>
      </c>
      <c r="I385" s="69">
        <f>SUMIF('Executive Pay Breakdown'!W:W,$B385,'Executive Pay Breakdown'!Y:Y)</f>
        <v>0</v>
      </c>
      <c r="J385" s="69">
        <f>SUMIF('Executive Pay Breakdown'!AA:AA,$B385,'Executive Pay Breakdown'!AC:AC)</f>
        <v>0</v>
      </c>
      <c r="K385" s="90"/>
      <c r="L385" s="212"/>
      <c r="M385" s="212"/>
      <c r="N385" s="87"/>
      <c r="O385" s="120">
        <f>MATCH(C385,'Key Findings'!B:B,0)</f>
        <v>27</v>
      </c>
    </row>
    <row r="386">
      <c r="A386" s="62"/>
      <c r="B386" s="86" t="s">
        <v>400</v>
      </c>
      <c r="C386" s="233" t="s">
        <v>68</v>
      </c>
      <c r="D386" s="89">
        <f>SUMIF('Executive Pay Breakdown'!K:K,$B386,'Executive Pay Breakdown'!M:M)+SUMIF('Executive Pay Breakdown'!O:O,$B386,'Executive Pay Breakdown'!Q:Q)+SUMIF('Executive Pay Breakdown'!S:S,$B386,'Executive Pay Breakdown'!U:U)+SUMIF('Executive Pay Breakdown'!W:W,$B386,'Executive Pay Breakdown'!Y:Y)+SUMIF('Executive Pay Breakdown'!AA:AA,$B386,'Executive Pay Breakdown'!AC:AC)</f>
        <v>8109782</v>
      </c>
      <c r="E386" s="109"/>
      <c r="F386" s="69">
        <f>SUMIF('Executive Pay Breakdown'!K:K,$B386,'Executive Pay Breakdown'!M:M)</f>
        <v>0</v>
      </c>
      <c r="G386" s="69">
        <f>SUMIF('Executive Pay Breakdown'!O:O,$B386,'Executive Pay Breakdown'!Q:Q)</f>
        <v>3345175</v>
      </c>
      <c r="H386" s="69">
        <f>SUMIF('Executive Pay Breakdown'!S:S,$B386,'Executive Pay Breakdown'!U:U)</f>
        <v>1507808</v>
      </c>
      <c r="I386" s="69">
        <f>SUMIF('Executive Pay Breakdown'!W:W,$B386,'Executive Pay Breakdown'!Y:Y)</f>
        <v>1467659</v>
      </c>
      <c r="J386" s="69">
        <f>SUMIF('Executive Pay Breakdown'!AA:AA,$B386,'Executive Pay Breakdown'!AC:AC)</f>
        <v>1789140</v>
      </c>
      <c r="K386" s="90"/>
      <c r="L386" s="212"/>
      <c r="M386" s="87"/>
      <c r="N386" s="87"/>
      <c r="O386" s="120">
        <f>MATCH(C386,'Key Findings'!B:B,0)</f>
        <v>66</v>
      </c>
    </row>
    <row r="387">
      <c r="A387" s="81"/>
      <c r="B387" s="137" t="s">
        <v>527</v>
      </c>
      <c r="C387" s="87" t="str">
        <f t="array" ref="C387">INDEX('Executive Pay Breakdown'!B:B,MATCH(B387,'Executive Pay Breakdown'!K:K,0))</f>
        <v>Reinsurance Group of America</v>
      </c>
      <c r="D387" s="89">
        <f>SUMIF('Executive Pay Breakdown'!K:K,$B387,'Executive Pay Breakdown'!M:M)+SUMIF('Executive Pay Breakdown'!O:O,$B387,'Executive Pay Breakdown'!Q:Q)+SUMIF('Executive Pay Breakdown'!S:S,$B387,'Executive Pay Breakdown'!U:U)+SUMIF('Executive Pay Breakdown'!W:W,$B387,'Executive Pay Breakdown'!Y:Y)+SUMIF('Executive Pay Breakdown'!AA:AA,$B387,'Executive Pay Breakdown'!AC:AC)</f>
        <v>8022454</v>
      </c>
      <c r="E387" s="109"/>
      <c r="F387" s="69">
        <f>SUMIF('Executive Pay Breakdown'!K:K,$B387,'Executive Pay Breakdown'!M:M)</f>
        <v>3197745</v>
      </c>
      <c r="G387" s="69">
        <f>SUMIF('Executive Pay Breakdown'!O:O,$B387,'Executive Pay Breakdown'!Q:Q)</f>
        <v>2701998</v>
      </c>
      <c r="H387" s="69">
        <f>SUMIF('Executive Pay Breakdown'!S:S,$B387,'Executive Pay Breakdown'!U:U)</f>
        <v>2122711</v>
      </c>
      <c r="I387" s="69">
        <f>SUMIF('Executive Pay Breakdown'!W:W,$B387,'Executive Pay Breakdown'!Y:Y)</f>
        <v>0</v>
      </c>
      <c r="J387" s="69">
        <f>SUMIF('Executive Pay Breakdown'!AA:AA,$B387,'Executive Pay Breakdown'!AC:AC)</f>
        <v>0</v>
      </c>
      <c r="K387" s="90"/>
      <c r="L387" s="212"/>
      <c r="M387" s="87"/>
      <c r="N387" s="230"/>
      <c r="O387" s="120">
        <f>MATCH(C387,'Key Findings'!B:B,0)</f>
        <v>9</v>
      </c>
    </row>
    <row r="388">
      <c r="A388" s="81"/>
      <c r="B388" s="134" t="s">
        <v>399</v>
      </c>
      <c r="C388" s="87" t="s">
        <v>56</v>
      </c>
      <c r="D388" s="89">
        <f>SUMIF('Executive Pay Breakdown'!K:K,$B388,'Executive Pay Breakdown'!M:M)+SUMIF('Executive Pay Breakdown'!O:O,$B388,'Executive Pay Breakdown'!Q:Q)+SUMIF('Executive Pay Breakdown'!S:S,$B388,'Executive Pay Breakdown'!U:U)+SUMIF('Executive Pay Breakdown'!W:W,$B388,'Executive Pay Breakdown'!Y:Y)+SUMIF('Executive Pay Breakdown'!AA:AA,$B388,'Executive Pay Breakdown'!AC:AC)</f>
        <v>8004521</v>
      </c>
      <c r="E388" s="109"/>
      <c r="F388" s="69">
        <f>SUMIF('Executive Pay Breakdown'!K:K,$B388,'Executive Pay Breakdown'!M:M)</f>
        <v>0</v>
      </c>
      <c r="G388" s="69">
        <f>SUMIF('Executive Pay Breakdown'!O:O,$B388,'Executive Pay Breakdown'!Q:Q)</f>
        <v>0</v>
      </c>
      <c r="H388" s="69">
        <f>SUMIF('Executive Pay Breakdown'!S:S,$B388,'Executive Pay Breakdown'!U:U)</f>
        <v>0</v>
      </c>
      <c r="I388" s="69">
        <f>SUMIF('Executive Pay Breakdown'!W:W,$B388,'Executive Pay Breakdown'!Y:Y)</f>
        <v>0</v>
      </c>
      <c r="J388" s="69">
        <f>SUMIF('Executive Pay Breakdown'!AA:AA,$B388,'Executive Pay Breakdown'!AC:AC)</f>
        <v>8004521</v>
      </c>
      <c r="K388" s="90"/>
      <c r="L388" s="212"/>
      <c r="M388" s="87"/>
      <c r="N388" s="87"/>
      <c r="O388" s="120">
        <f>MATCH(C388,'Key Findings'!B:B,0)</f>
        <v>30</v>
      </c>
    </row>
    <row r="389">
      <c r="A389" s="62"/>
      <c r="B389" s="86" t="s">
        <v>482</v>
      </c>
      <c r="C389" s="233" t="s">
        <v>63</v>
      </c>
      <c r="D389" s="89">
        <f>SUMIF('Executive Pay Breakdown'!K:K,$B389,'Executive Pay Breakdown'!M:M)+SUMIF('Executive Pay Breakdown'!O:O,$B389,'Executive Pay Breakdown'!Q:Q)+SUMIF('Executive Pay Breakdown'!S:S,$B389,'Executive Pay Breakdown'!U:U)+SUMIF('Executive Pay Breakdown'!W:W,$B389,'Executive Pay Breakdown'!Y:Y)+SUMIF('Executive Pay Breakdown'!AA:AA,$B389,'Executive Pay Breakdown'!AC:AC)</f>
        <v>7922593</v>
      </c>
      <c r="E389" s="109"/>
      <c r="F389" s="69">
        <f>SUMIF('Executive Pay Breakdown'!K:K,$B389,'Executive Pay Breakdown'!M:M)</f>
        <v>4773439</v>
      </c>
      <c r="G389" s="69">
        <f>SUMIF('Executive Pay Breakdown'!O:O,$B389,'Executive Pay Breakdown'!Q:Q)</f>
        <v>3149154</v>
      </c>
      <c r="H389" s="69">
        <f>SUMIF('Executive Pay Breakdown'!S:S,$B389,'Executive Pay Breakdown'!U:U)</f>
        <v>0</v>
      </c>
      <c r="I389" s="69">
        <f>SUMIF('Executive Pay Breakdown'!W:W,$B389,'Executive Pay Breakdown'!Y:Y)</f>
        <v>0</v>
      </c>
      <c r="J389" s="69">
        <f>SUMIF('Executive Pay Breakdown'!AA:AA,$B389,'Executive Pay Breakdown'!AC:AC)</f>
        <v>0</v>
      </c>
      <c r="K389" s="90"/>
      <c r="L389" s="212"/>
      <c r="M389" s="87"/>
      <c r="N389" s="87"/>
      <c r="O389" s="120">
        <f>MATCH(C389,'Key Findings'!B:B,0)</f>
        <v>29</v>
      </c>
    </row>
    <row r="390">
      <c r="A390" s="62"/>
      <c r="B390" s="125" t="s">
        <v>543</v>
      </c>
      <c r="C390" s="87" t="s">
        <v>27</v>
      </c>
      <c r="D390" s="89">
        <f>SUMIF('Executive Pay Breakdown'!K:K,$B390,'Executive Pay Breakdown'!M:M)+SUMIF('Executive Pay Breakdown'!O:O,$B390,'Executive Pay Breakdown'!Q:Q)+SUMIF('Executive Pay Breakdown'!S:S,$B390,'Executive Pay Breakdown'!U:U)+SUMIF('Executive Pay Breakdown'!W:W,$B390,'Executive Pay Breakdown'!Y:Y)+SUMIF('Executive Pay Breakdown'!AA:AA,$B390,'Executive Pay Breakdown'!AC:AC)</f>
        <v>7913567</v>
      </c>
      <c r="E390" s="109"/>
      <c r="F390" s="69">
        <f>SUMIF('Executive Pay Breakdown'!K:K,$B390,'Executive Pay Breakdown'!M:M)</f>
        <v>3539303</v>
      </c>
      <c r="G390" s="69">
        <f>SUMIF('Executive Pay Breakdown'!O:O,$B390,'Executive Pay Breakdown'!Q:Q)</f>
        <v>4374264</v>
      </c>
      <c r="H390" s="69">
        <f>SUMIF('Executive Pay Breakdown'!S:S,$B390,'Executive Pay Breakdown'!U:U)</f>
        <v>0</v>
      </c>
      <c r="I390" s="69">
        <f>SUMIF('Executive Pay Breakdown'!W:W,$B390,'Executive Pay Breakdown'!Y:Y)</f>
        <v>0</v>
      </c>
      <c r="J390" s="69">
        <f>SUMIF('Executive Pay Breakdown'!AA:AA,$B390,'Executive Pay Breakdown'!AC:AC)</f>
        <v>0</v>
      </c>
      <c r="K390" s="90"/>
      <c r="L390" s="212"/>
      <c r="M390" s="212"/>
      <c r="N390" s="230"/>
      <c r="O390" s="120">
        <f>MATCH(C390,'Key Findings'!B:B,0)</f>
        <v>51</v>
      </c>
    </row>
    <row r="391">
      <c r="A391" s="62"/>
      <c r="B391" s="130" t="s">
        <v>544</v>
      </c>
      <c r="C391" s="87" t="s">
        <v>27</v>
      </c>
      <c r="D391" s="89">
        <f>SUMIF('Executive Pay Breakdown'!K:K,$B391,'Executive Pay Breakdown'!M:M)+SUMIF('Executive Pay Breakdown'!O:O,$B391,'Executive Pay Breakdown'!Q:Q)+SUMIF('Executive Pay Breakdown'!S:S,$B391,'Executive Pay Breakdown'!U:U)+SUMIF('Executive Pay Breakdown'!W:W,$B391,'Executive Pay Breakdown'!Y:Y)+SUMIF('Executive Pay Breakdown'!AA:AA,$B391,'Executive Pay Breakdown'!AC:AC)</f>
        <v>7899503</v>
      </c>
      <c r="E391" s="109"/>
      <c r="F391" s="69">
        <f>SUMIF('Executive Pay Breakdown'!K:K,$B391,'Executive Pay Breakdown'!M:M)</f>
        <v>0</v>
      </c>
      <c r="G391" s="69">
        <f>SUMIF('Executive Pay Breakdown'!O:O,$B391,'Executive Pay Breakdown'!Q:Q)</f>
        <v>0</v>
      </c>
      <c r="H391" s="69">
        <f>SUMIF('Executive Pay Breakdown'!S:S,$B391,'Executive Pay Breakdown'!U:U)</f>
        <v>0</v>
      </c>
      <c r="I391" s="69">
        <f>SUMIF('Executive Pay Breakdown'!W:W,$B391,'Executive Pay Breakdown'!Y:Y)</f>
        <v>4058927</v>
      </c>
      <c r="J391" s="69">
        <f>SUMIF('Executive Pay Breakdown'!AA:AA,$B391,'Executive Pay Breakdown'!AC:AC)</f>
        <v>3840576</v>
      </c>
      <c r="K391" s="90"/>
      <c r="L391" s="212"/>
      <c r="M391" s="87"/>
      <c r="N391" s="87"/>
      <c r="O391" s="120">
        <f>MATCH(C391,'Key Findings'!B:B,0)</f>
        <v>51</v>
      </c>
    </row>
    <row r="392">
      <c r="A392" s="62"/>
      <c r="B392" s="130" t="s">
        <v>546</v>
      </c>
      <c r="C392" s="87" t="s">
        <v>27</v>
      </c>
      <c r="D392" s="89">
        <f>SUMIF('Executive Pay Breakdown'!K:K,$B392,'Executive Pay Breakdown'!M:M)+SUMIF('Executive Pay Breakdown'!O:O,$B392,'Executive Pay Breakdown'!Q:Q)+SUMIF('Executive Pay Breakdown'!S:S,$B392,'Executive Pay Breakdown'!U:U)+SUMIF('Executive Pay Breakdown'!W:W,$B392,'Executive Pay Breakdown'!Y:Y)+SUMIF('Executive Pay Breakdown'!AA:AA,$B392,'Executive Pay Breakdown'!AC:AC)</f>
        <v>7882168</v>
      </c>
      <c r="E392" s="109"/>
      <c r="F392" s="69">
        <f>SUMIF('Executive Pay Breakdown'!K:K,$B392,'Executive Pay Breakdown'!M:M)</f>
        <v>0</v>
      </c>
      <c r="G392" s="69">
        <f>SUMIF('Executive Pay Breakdown'!O:O,$B392,'Executive Pay Breakdown'!Q:Q)</f>
        <v>0</v>
      </c>
      <c r="H392" s="69">
        <f>SUMIF('Executive Pay Breakdown'!S:S,$B392,'Executive Pay Breakdown'!U:U)</f>
        <v>0</v>
      </c>
      <c r="I392" s="69">
        <f>SUMIF('Executive Pay Breakdown'!W:W,$B392,'Executive Pay Breakdown'!Y:Y)</f>
        <v>4080529</v>
      </c>
      <c r="J392" s="69">
        <f>SUMIF('Executive Pay Breakdown'!AA:AA,$B392,'Executive Pay Breakdown'!AC:AC)</f>
        <v>3801639</v>
      </c>
      <c r="K392" s="90"/>
      <c r="L392" s="212"/>
      <c r="M392" s="87"/>
      <c r="N392" s="87"/>
      <c r="O392" s="120">
        <f>MATCH(C392,'Key Findings'!B:B,0)</f>
        <v>51</v>
      </c>
    </row>
    <row r="393">
      <c r="A393" s="62"/>
      <c r="B393" s="86" t="s">
        <v>183</v>
      </c>
      <c r="C393" s="87" t="s">
        <v>75</v>
      </c>
      <c r="D393" s="89">
        <f>SUMIF('Executive Pay Breakdown'!K:K,$B393,'Executive Pay Breakdown'!M:M)+SUMIF('Executive Pay Breakdown'!O:O,$B393,'Executive Pay Breakdown'!Q:Q)+SUMIF('Executive Pay Breakdown'!S:S,$B393,'Executive Pay Breakdown'!U:U)+SUMIF('Executive Pay Breakdown'!W:W,$B393,'Executive Pay Breakdown'!Y:Y)+SUMIF('Executive Pay Breakdown'!AA:AA,$B393,'Executive Pay Breakdown'!AC:AC)</f>
        <v>7866768</v>
      </c>
      <c r="E393" s="109"/>
      <c r="F393" s="69">
        <f>SUMIF('Executive Pay Breakdown'!K:K,$B393,'Executive Pay Breakdown'!M:M)</f>
        <v>1766989</v>
      </c>
      <c r="G393" s="69">
        <f>SUMIF('Executive Pay Breakdown'!O:O,$B393,'Executive Pay Breakdown'!Q:Q)</f>
        <v>1664273</v>
      </c>
      <c r="H393" s="69">
        <f>SUMIF('Executive Pay Breakdown'!S:S,$B393,'Executive Pay Breakdown'!U:U)</f>
        <v>1707146</v>
      </c>
      <c r="I393" s="69">
        <f>SUMIF('Executive Pay Breakdown'!W:W,$B393,'Executive Pay Breakdown'!Y:Y)</f>
        <v>1589981</v>
      </c>
      <c r="J393" s="69">
        <f>SUMIF('Executive Pay Breakdown'!AA:AA,$B393,'Executive Pay Breakdown'!AC:AC)</f>
        <v>1138379</v>
      </c>
      <c r="K393" s="90"/>
      <c r="L393" s="212"/>
      <c r="M393" s="87"/>
      <c r="N393" s="230">
        <f>F393/J393-1</f>
        <v>0.5521974667</v>
      </c>
      <c r="O393" s="120">
        <f>MATCH(C393,'Key Findings'!B:B,0)</f>
        <v>67</v>
      </c>
    </row>
    <row r="394">
      <c r="A394" s="71"/>
      <c r="B394" s="124" t="s">
        <v>450</v>
      </c>
      <c r="C394" s="87" t="s">
        <v>55</v>
      </c>
      <c r="D394" s="89">
        <f>SUMIF('Executive Pay Breakdown'!K:K,$B394,'Executive Pay Breakdown'!M:M)+SUMIF('Executive Pay Breakdown'!O:O,$B394,'Executive Pay Breakdown'!Q:Q)+SUMIF('Executive Pay Breakdown'!S:S,$B394,'Executive Pay Breakdown'!U:U)+SUMIF('Executive Pay Breakdown'!W:W,$B394,'Executive Pay Breakdown'!Y:Y)+SUMIF('Executive Pay Breakdown'!AA:AA,$B394,'Executive Pay Breakdown'!AC:AC)</f>
        <v>7842687</v>
      </c>
      <c r="E394" s="109"/>
      <c r="F394" s="69">
        <f>SUMIF('Executive Pay Breakdown'!K:K,$B394,'Executive Pay Breakdown'!M:M)</f>
        <v>0</v>
      </c>
      <c r="G394" s="69">
        <f>SUMIF('Executive Pay Breakdown'!O:O,$B394,'Executive Pay Breakdown'!Q:Q)</f>
        <v>0</v>
      </c>
      <c r="H394" s="69">
        <f>SUMIF('Executive Pay Breakdown'!S:S,$B394,'Executive Pay Breakdown'!U:U)</f>
        <v>0</v>
      </c>
      <c r="I394" s="69">
        <f>SUMIF('Executive Pay Breakdown'!W:W,$B394,'Executive Pay Breakdown'!Y:Y)</f>
        <v>0</v>
      </c>
      <c r="J394" s="69">
        <f>SUMIF('Executive Pay Breakdown'!AA:AA,$B394,'Executive Pay Breakdown'!AC:AC)</f>
        <v>7842687</v>
      </c>
      <c r="K394" s="90"/>
      <c r="L394" s="212"/>
      <c r="M394" s="87"/>
      <c r="N394" s="87"/>
      <c r="O394" s="120">
        <f>MATCH(C394,'Key Findings'!B:B,0)</f>
        <v>20</v>
      </c>
    </row>
    <row r="395">
      <c r="A395" s="62"/>
      <c r="B395" s="86" t="s">
        <v>493</v>
      </c>
      <c r="C395" s="87" t="s">
        <v>33</v>
      </c>
      <c r="D395" s="89">
        <f>SUMIF('Executive Pay Breakdown'!K:K,$B395,'Executive Pay Breakdown'!M:M)+SUMIF('Executive Pay Breakdown'!O:O,$B395,'Executive Pay Breakdown'!Q:Q)+SUMIF('Executive Pay Breakdown'!S:S,$B395,'Executive Pay Breakdown'!U:U)+SUMIF('Executive Pay Breakdown'!W:W,$B395,'Executive Pay Breakdown'!Y:Y)+SUMIF('Executive Pay Breakdown'!AA:AA,$B395,'Executive Pay Breakdown'!AC:AC)</f>
        <v>7840870</v>
      </c>
      <c r="E395" s="109"/>
      <c r="F395" s="69">
        <f>SUMIF('Executive Pay Breakdown'!K:K,$B395,'Executive Pay Breakdown'!M:M)</f>
        <v>0</v>
      </c>
      <c r="G395" s="69">
        <f>SUMIF('Executive Pay Breakdown'!O:O,$B395,'Executive Pay Breakdown'!Q:Q)</f>
        <v>0</v>
      </c>
      <c r="H395" s="69">
        <f>SUMIF('Executive Pay Breakdown'!S:S,$B395,'Executive Pay Breakdown'!U:U)</f>
        <v>0</v>
      </c>
      <c r="I395" s="69">
        <f>SUMIF('Executive Pay Breakdown'!W:W,$B395,'Executive Pay Breakdown'!Y:Y)</f>
        <v>3746367</v>
      </c>
      <c r="J395" s="69">
        <f>SUMIF('Executive Pay Breakdown'!AA:AA,$B395,'Executive Pay Breakdown'!AC:AC)</f>
        <v>4094503</v>
      </c>
      <c r="K395" s="90"/>
      <c r="L395" s="212"/>
      <c r="M395" s="87"/>
      <c r="N395" s="87"/>
      <c r="O395" s="120">
        <f>MATCH(C395,'Key Findings'!B:B,0)</f>
        <v>33</v>
      </c>
    </row>
    <row r="396">
      <c r="A396" s="62"/>
      <c r="B396" s="125" t="s">
        <v>547</v>
      </c>
      <c r="C396" s="87" t="s">
        <v>27</v>
      </c>
      <c r="D396" s="89">
        <f>SUMIF('Executive Pay Breakdown'!K:K,$B396,'Executive Pay Breakdown'!M:M)+SUMIF('Executive Pay Breakdown'!O:O,$B396,'Executive Pay Breakdown'!Q:Q)+SUMIF('Executive Pay Breakdown'!S:S,$B396,'Executive Pay Breakdown'!U:U)+SUMIF('Executive Pay Breakdown'!W:W,$B396,'Executive Pay Breakdown'!Y:Y)+SUMIF('Executive Pay Breakdown'!AA:AA,$B396,'Executive Pay Breakdown'!AC:AC)</f>
        <v>7578906</v>
      </c>
      <c r="E396" s="109"/>
      <c r="F396" s="69">
        <f>SUMIF('Executive Pay Breakdown'!K:K,$B396,'Executive Pay Breakdown'!M:M)</f>
        <v>2883472</v>
      </c>
      <c r="G396" s="69">
        <f>SUMIF('Executive Pay Breakdown'!O:O,$B396,'Executive Pay Breakdown'!Q:Q)</f>
        <v>4695434</v>
      </c>
      <c r="H396" s="69">
        <f>SUMIF('Executive Pay Breakdown'!S:S,$B396,'Executive Pay Breakdown'!U:U)</f>
        <v>0</v>
      </c>
      <c r="I396" s="69">
        <f>SUMIF('Executive Pay Breakdown'!W:W,$B396,'Executive Pay Breakdown'!Y:Y)</f>
        <v>0</v>
      </c>
      <c r="J396" s="69">
        <f>SUMIF('Executive Pay Breakdown'!AA:AA,$B396,'Executive Pay Breakdown'!AC:AC)</f>
        <v>0</v>
      </c>
      <c r="K396" s="90"/>
      <c r="L396" s="212"/>
      <c r="M396" s="212"/>
      <c r="N396" s="230"/>
      <c r="O396" s="120">
        <f>MATCH(C396,'Key Findings'!B:B,0)</f>
        <v>51</v>
      </c>
    </row>
    <row r="397">
      <c r="A397" s="62"/>
      <c r="B397" s="140" t="s">
        <v>456</v>
      </c>
      <c r="C397" s="87" t="s">
        <v>14</v>
      </c>
      <c r="D397" s="89">
        <f>SUMIF('Executive Pay Breakdown'!K:K,$B397,'Executive Pay Breakdown'!M:M)+SUMIF('Executive Pay Breakdown'!O:O,$B397,'Executive Pay Breakdown'!Q:Q)+SUMIF('Executive Pay Breakdown'!S:S,$B397,'Executive Pay Breakdown'!U:U)+SUMIF('Executive Pay Breakdown'!W:W,$B397,'Executive Pay Breakdown'!Y:Y)+SUMIF('Executive Pay Breakdown'!AA:AA,$B397,'Executive Pay Breakdown'!AC:AC)</f>
        <v>7563617</v>
      </c>
      <c r="E397" s="109"/>
      <c r="F397" s="69">
        <f>SUMIF('Executive Pay Breakdown'!K:K,$B397,'Executive Pay Breakdown'!M:M)</f>
        <v>7563617</v>
      </c>
      <c r="G397" s="69">
        <f>SUMIF('Executive Pay Breakdown'!O:O,$B397,'Executive Pay Breakdown'!Q:Q)</f>
        <v>0</v>
      </c>
      <c r="H397" s="69">
        <f>SUMIF('Executive Pay Breakdown'!S:S,$B397,'Executive Pay Breakdown'!U:U)</f>
        <v>0</v>
      </c>
      <c r="I397" s="69">
        <f>SUMIF('Executive Pay Breakdown'!W:W,$B397,'Executive Pay Breakdown'!Y:Y)</f>
        <v>0</v>
      </c>
      <c r="J397" s="69">
        <f>SUMIF('Executive Pay Breakdown'!AA:AA,$B397,'Executive Pay Breakdown'!AC:AC)</f>
        <v>0</v>
      </c>
      <c r="K397" s="90"/>
      <c r="L397" s="212"/>
      <c r="M397" s="87"/>
      <c r="N397" s="230"/>
      <c r="O397" s="120">
        <f>MATCH(C397,'Key Findings'!B:B,0)</f>
        <v>5</v>
      </c>
    </row>
    <row r="398">
      <c r="A398" s="81"/>
      <c r="B398" s="137" t="s">
        <v>336</v>
      </c>
      <c r="C398" s="87" t="str">
        <f t="array" ref="C398">INDEX('Executive Pay Breakdown'!B:B,MATCH(B398,'Executive Pay Breakdown'!K:K,0))</f>
        <v>Darden Restaurants</v>
      </c>
      <c r="D398" s="89">
        <f>SUMIF('Executive Pay Breakdown'!K:K,$B398,'Executive Pay Breakdown'!M:M)+SUMIF('Executive Pay Breakdown'!O:O,$B398,'Executive Pay Breakdown'!Q:Q)+SUMIF('Executive Pay Breakdown'!S:S,$B398,'Executive Pay Breakdown'!U:U)+SUMIF('Executive Pay Breakdown'!W:W,$B398,'Executive Pay Breakdown'!Y:Y)+SUMIF('Executive Pay Breakdown'!AA:AA,$B398,'Executive Pay Breakdown'!AC:AC)</f>
        <v>7425137</v>
      </c>
      <c r="E398" s="109"/>
      <c r="F398" s="69">
        <f>SUMIF('Executive Pay Breakdown'!K:K,$B398,'Executive Pay Breakdown'!M:M)</f>
        <v>3355329</v>
      </c>
      <c r="G398" s="69">
        <f>SUMIF('Executive Pay Breakdown'!O:O,$B398,'Executive Pay Breakdown'!Q:Q)</f>
        <v>2865517</v>
      </c>
      <c r="H398" s="69">
        <f>SUMIF('Executive Pay Breakdown'!S:S,$B398,'Executive Pay Breakdown'!U:U)</f>
        <v>1204291</v>
      </c>
      <c r="I398" s="69">
        <f>SUMIF('Executive Pay Breakdown'!W:W,$B398,'Executive Pay Breakdown'!Y:Y)</f>
        <v>0</v>
      </c>
      <c r="J398" s="69">
        <f>SUMIF('Executive Pay Breakdown'!AA:AA,$B398,'Executive Pay Breakdown'!AC:AC)</f>
        <v>0</v>
      </c>
      <c r="K398" s="90"/>
      <c r="L398" s="212"/>
      <c r="M398" s="87"/>
      <c r="N398" s="230"/>
      <c r="O398" s="120">
        <f>MATCH(C398,'Key Findings'!B:B,0)</f>
        <v>53</v>
      </c>
    </row>
    <row r="399">
      <c r="A399" s="62"/>
      <c r="B399" s="127" t="s">
        <v>541</v>
      </c>
      <c r="C399" s="87" t="s">
        <v>15</v>
      </c>
      <c r="D399" s="89">
        <f>SUMIF('Executive Pay Breakdown'!K:K,$B399,'Executive Pay Breakdown'!M:M)+SUMIF('Executive Pay Breakdown'!O:O,$B399,'Executive Pay Breakdown'!Q:Q)+SUMIF('Executive Pay Breakdown'!S:S,$B399,'Executive Pay Breakdown'!U:U)+SUMIF('Executive Pay Breakdown'!W:W,$B399,'Executive Pay Breakdown'!Y:Y)+SUMIF('Executive Pay Breakdown'!AA:AA,$B399,'Executive Pay Breakdown'!AC:AC)</f>
        <v>7386273</v>
      </c>
      <c r="E399" s="109"/>
      <c r="F399" s="69">
        <f>SUMIF('Executive Pay Breakdown'!K:K,$B399,'Executive Pay Breakdown'!M:M)</f>
        <v>0</v>
      </c>
      <c r="G399" s="69">
        <f>SUMIF('Executive Pay Breakdown'!O:O,$B399,'Executive Pay Breakdown'!Q:Q)</f>
        <v>0</v>
      </c>
      <c r="H399" s="69">
        <f>SUMIF('Executive Pay Breakdown'!S:S,$B399,'Executive Pay Breakdown'!U:U)</f>
        <v>3780353</v>
      </c>
      <c r="I399" s="69">
        <f>SUMIF('Executive Pay Breakdown'!W:W,$B399,'Executive Pay Breakdown'!Y:Y)</f>
        <v>3605920</v>
      </c>
      <c r="J399" s="69">
        <f>SUMIF('Executive Pay Breakdown'!AA:AA,$B399,'Executive Pay Breakdown'!AC:AC)</f>
        <v>0</v>
      </c>
      <c r="K399" s="90"/>
      <c r="L399" s="212"/>
      <c r="M399" s="87"/>
      <c r="N399" s="87"/>
      <c r="O399" s="120">
        <f>MATCH(C399,'Key Findings'!B:B,0)</f>
        <v>32</v>
      </c>
    </row>
    <row r="400">
      <c r="A400" s="62"/>
      <c r="B400" s="127" t="s">
        <v>537</v>
      </c>
      <c r="C400" s="87" t="s">
        <v>40</v>
      </c>
      <c r="D400" s="89">
        <f>SUMIF('Executive Pay Breakdown'!K:K,$B400,'Executive Pay Breakdown'!M:M)+SUMIF('Executive Pay Breakdown'!O:O,$B400,'Executive Pay Breakdown'!Q:Q)+SUMIF('Executive Pay Breakdown'!S:S,$B400,'Executive Pay Breakdown'!U:U)+SUMIF('Executive Pay Breakdown'!W:W,$B400,'Executive Pay Breakdown'!Y:Y)+SUMIF('Executive Pay Breakdown'!AA:AA,$B400,'Executive Pay Breakdown'!AC:AC)</f>
        <v>7345686</v>
      </c>
      <c r="E400" s="109"/>
      <c r="F400" s="69">
        <f>SUMIF('Executive Pay Breakdown'!K:K,$B400,'Executive Pay Breakdown'!M:M)</f>
        <v>0</v>
      </c>
      <c r="G400" s="69">
        <f>SUMIF('Executive Pay Breakdown'!O:O,$B400,'Executive Pay Breakdown'!Q:Q)</f>
        <v>0</v>
      </c>
      <c r="H400" s="69">
        <f>SUMIF('Executive Pay Breakdown'!S:S,$B400,'Executive Pay Breakdown'!U:U)</f>
        <v>3273843</v>
      </c>
      <c r="I400" s="69">
        <f>SUMIF('Executive Pay Breakdown'!W:W,$B400,'Executive Pay Breakdown'!Y:Y)</f>
        <v>4071843</v>
      </c>
      <c r="J400" s="69">
        <f>SUMIF('Executive Pay Breakdown'!AA:AA,$B400,'Executive Pay Breakdown'!AC:AC)</f>
        <v>0</v>
      </c>
      <c r="K400" s="90"/>
      <c r="L400" s="212"/>
      <c r="M400" s="87"/>
      <c r="N400" s="87"/>
      <c r="O400" s="120">
        <f>MATCH(C400,'Key Findings'!B:B,0)</f>
        <v>7</v>
      </c>
    </row>
    <row r="401">
      <c r="A401" s="62"/>
      <c r="B401" s="86" t="s">
        <v>431</v>
      </c>
      <c r="C401" s="87" t="s">
        <v>77</v>
      </c>
      <c r="D401" s="89">
        <f>SUMIF('Executive Pay Breakdown'!K:K,$B401,'Executive Pay Breakdown'!M:M)+SUMIF('Executive Pay Breakdown'!O:O,$B401,'Executive Pay Breakdown'!Q:Q)+SUMIF('Executive Pay Breakdown'!S:S,$B401,'Executive Pay Breakdown'!U:U)+SUMIF('Executive Pay Breakdown'!W:W,$B401,'Executive Pay Breakdown'!Y:Y)+SUMIF('Executive Pay Breakdown'!AA:AA,$B401,'Executive Pay Breakdown'!AC:AC)</f>
        <v>7255002</v>
      </c>
      <c r="E401" s="109"/>
      <c r="F401" s="69">
        <f>SUMIF('Executive Pay Breakdown'!K:K,$B401,'Executive Pay Breakdown'!M:M)</f>
        <v>0</v>
      </c>
      <c r="G401" s="69">
        <f>SUMIF('Executive Pay Breakdown'!O:O,$B401,'Executive Pay Breakdown'!Q:Q)</f>
        <v>2636364</v>
      </c>
      <c r="H401" s="69">
        <f>SUMIF('Executive Pay Breakdown'!S:S,$B401,'Executive Pay Breakdown'!U:U)</f>
        <v>0</v>
      </c>
      <c r="I401" s="69">
        <f>SUMIF('Executive Pay Breakdown'!W:W,$B401,'Executive Pay Breakdown'!Y:Y)</f>
        <v>0</v>
      </c>
      <c r="J401" s="69">
        <f>SUMIF('Executive Pay Breakdown'!AA:AA,$B401,'Executive Pay Breakdown'!AC:AC)</f>
        <v>4618638</v>
      </c>
      <c r="K401" s="90"/>
      <c r="L401" s="212"/>
      <c r="M401" s="87"/>
      <c r="N401" s="87"/>
      <c r="O401" s="120">
        <f>MATCH(C401,'Key Findings'!B:B,0)</f>
        <v>40</v>
      </c>
    </row>
    <row r="402">
      <c r="A402" s="62"/>
      <c r="B402" s="87" t="s">
        <v>500</v>
      </c>
      <c r="C402" s="87" t="s">
        <v>73</v>
      </c>
      <c r="D402" s="89">
        <f>SUMIF('Executive Pay Breakdown'!K:K,$B402,'Executive Pay Breakdown'!M:M)+SUMIF('Executive Pay Breakdown'!O:O,$B402,'Executive Pay Breakdown'!Q:Q)+SUMIF('Executive Pay Breakdown'!S:S,$B402,'Executive Pay Breakdown'!U:U)+SUMIF('Executive Pay Breakdown'!W:W,$B402,'Executive Pay Breakdown'!Y:Y)+SUMIF('Executive Pay Breakdown'!AA:AA,$B402,'Executive Pay Breakdown'!AC:AC)</f>
        <v>7221173</v>
      </c>
      <c r="E402" s="109"/>
      <c r="F402" s="69">
        <f>SUMIF('Executive Pay Breakdown'!K:K,$B402,'Executive Pay Breakdown'!M:M)</f>
        <v>7221173</v>
      </c>
      <c r="G402" s="69">
        <f>SUMIF('Executive Pay Breakdown'!O:O,$B402,'Executive Pay Breakdown'!Q:Q)</f>
        <v>0</v>
      </c>
      <c r="H402" s="69">
        <f>SUMIF('Executive Pay Breakdown'!S:S,$B402,'Executive Pay Breakdown'!U:U)</f>
        <v>0</v>
      </c>
      <c r="I402" s="69">
        <f>SUMIF('Executive Pay Breakdown'!W:W,$B402,'Executive Pay Breakdown'!Y:Y)</f>
        <v>0</v>
      </c>
      <c r="J402" s="69">
        <f>SUMIF('Executive Pay Breakdown'!AA:AA,$B402,'Executive Pay Breakdown'!AC:AC)</f>
        <v>0</v>
      </c>
      <c r="K402" s="90"/>
      <c r="L402" s="212"/>
      <c r="M402" s="87"/>
      <c r="N402" s="230"/>
      <c r="O402" s="120">
        <f>MATCH(C402,'Key Findings'!B:B,0)</f>
        <v>31</v>
      </c>
    </row>
    <row r="403">
      <c r="A403" s="62"/>
      <c r="B403" s="127" t="s">
        <v>560</v>
      </c>
      <c r="C403" s="87" t="s">
        <v>53</v>
      </c>
      <c r="D403" s="89">
        <f>SUMIF('Executive Pay Breakdown'!K:K,$B403,'Executive Pay Breakdown'!M:M)+SUMIF('Executive Pay Breakdown'!O:O,$B403,'Executive Pay Breakdown'!Q:Q)+SUMIF('Executive Pay Breakdown'!S:S,$B403,'Executive Pay Breakdown'!U:U)+SUMIF('Executive Pay Breakdown'!W:W,$B403,'Executive Pay Breakdown'!Y:Y)+SUMIF('Executive Pay Breakdown'!AA:AA,$B403,'Executive Pay Breakdown'!AC:AC)</f>
        <v>7179418</v>
      </c>
      <c r="E403" s="109"/>
      <c r="F403" s="69">
        <f>SUMIF('Executive Pay Breakdown'!K:K,$B403,'Executive Pay Breakdown'!M:M)</f>
        <v>0</v>
      </c>
      <c r="G403" s="69">
        <f>SUMIF('Executive Pay Breakdown'!O:O,$B403,'Executive Pay Breakdown'!Q:Q)</f>
        <v>0</v>
      </c>
      <c r="H403" s="69">
        <f>SUMIF('Executive Pay Breakdown'!S:S,$B403,'Executive Pay Breakdown'!U:U)</f>
        <v>0</v>
      </c>
      <c r="I403" s="69">
        <f>SUMIF('Executive Pay Breakdown'!W:W,$B403,'Executive Pay Breakdown'!Y:Y)</f>
        <v>0</v>
      </c>
      <c r="J403" s="69">
        <f>SUMIF('Executive Pay Breakdown'!AA:AA,$B403,'Executive Pay Breakdown'!AC:AC)</f>
        <v>7179418</v>
      </c>
      <c r="K403" s="90"/>
      <c r="L403" s="212"/>
      <c r="M403" s="87"/>
      <c r="N403" s="87"/>
      <c r="O403" s="120">
        <f>MATCH(C403,'Key Findings'!B:B,0)</f>
        <v>23</v>
      </c>
    </row>
    <row r="404">
      <c r="A404" s="62"/>
      <c r="B404" s="86" t="s">
        <v>435</v>
      </c>
      <c r="C404" s="87" t="s">
        <v>77</v>
      </c>
      <c r="D404" s="89">
        <f>SUMIF('Executive Pay Breakdown'!K:K,$B404,'Executive Pay Breakdown'!M:M)+SUMIF('Executive Pay Breakdown'!O:O,$B404,'Executive Pay Breakdown'!Q:Q)+SUMIF('Executive Pay Breakdown'!S:S,$B404,'Executive Pay Breakdown'!U:U)+SUMIF('Executive Pay Breakdown'!W:W,$B404,'Executive Pay Breakdown'!Y:Y)+SUMIF('Executive Pay Breakdown'!AA:AA,$B404,'Executive Pay Breakdown'!AC:AC)</f>
        <v>7135997</v>
      </c>
      <c r="E404" s="109"/>
      <c r="F404" s="69">
        <f>SUMIF('Executive Pay Breakdown'!K:K,$B404,'Executive Pay Breakdown'!M:M)</f>
        <v>0</v>
      </c>
      <c r="G404" s="69">
        <f>SUMIF('Executive Pay Breakdown'!O:O,$B404,'Executive Pay Breakdown'!Q:Q)</f>
        <v>0</v>
      </c>
      <c r="H404" s="69">
        <f>SUMIF('Executive Pay Breakdown'!S:S,$B404,'Executive Pay Breakdown'!U:U)</f>
        <v>7135997</v>
      </c>
      <c r="I404" s="69">
        <f>SUMIF('Executive Pay Breakdown'!W:W,$B404,'Executive Pay Breakdown'!Y:Y)</f>
        <v>0</v>
      </c>
      <c r="J404" s="69">
        <f>SUMIF('Executive Pay Breakdown'!AA:AA,$B404,'Executive Pay Breakdown'!AC:AC)</f>
        <v>0</v>
      </c>
      <c r="K404" s="90"/>
      <c r="L404" s="212"/>
      <c r="M404" s="87"/>
      <c r="N404" s="87"/>
      <c r="O404" s="120">
        <f>MATCH(C404,'Key Findings'!B:B,0)</f>
        <v>40</v>
      </c>
    </row>
    <row r="405">
      <c r="A405" s="62"/>
      <c r="B405" s="125" t="s">
        <v>497</v>
      </c>
      <c r="C405" s="87" t="s">
        <v>18</v>
      </c>
      <c r="D405" s="89">
        <f>SUMIF('Executive Pay Breakdown'!K:K,$B405,'Executive Pay Breakdown'!M:M)+SUMIF('Executive Pay Breakdown'!O:O,$B405,'Executive Pay Breakdown'!Q:Q)+SUMIF('Executive Pay Breakdown'!S:S,$B405,'Executive Pay Breakdown'!U:U)+SUMIF('Executive Pay Breakdown'!W:W,$B405,'Executive Pay Breakdown'!Y:Y)+SUMIF('Executive Pay Breakdown'!AA:AA,$B405,'Executive Pay Breakdown'!AC:AC)</f>
        <v>7092124</v>
      </c>
      <c r="E405" s="109"/>
      <c r="F405" s="69">
        <f>SUMIF('Executive Pay Breakdown'!K:K,$B405,'Executive Pay Breakdown'!M:M)</f>
        <v>3503516</v>
      </c>
      <c r="G405" s="69">
        <f>SUMIF('Executive Pay Breakdown'!O:O,$B405,'Executive Pay Breakdown'!Q:Q)</f>
        <v>3588608</v>
      </c>
      <c r="H405" s="69">
        <f>SUMIF('Executive Pay Breakdown'!S:S,$B405,'Executive Pay Breakdown'!U:U)</f>
        <v>0</v>
      </c>
      <c r="I405" s="69">
        <f>SUMIF('Executive Pay Breakdown'!W:W,$B405,'Executive Pay Breakdown'!Y:Y)</f>
        <v>0</v>
      </c>
      <c r="J405" s="69">
        <f>SUMIF('Executive Pay Breakdown'!AA:AA,$B405,'Executive Pay Breakdown'!AC:AC)</f>
        <v>0</v>
      </c>
      <c r="K405" s="90"/>
      <c r="L405" s="212"/>
      <c r="M405" s="212"/>
      <c r="N405" s="230"/>
      <c r="O405" s="120">
        <f>MATCH(C405,'Key Findings'!B:B,0)</f>
        <v>8</v>
      </c>
    </row>
    <row r="406">
      <c r="A406" s="81"/>
      <c r="B406" s="133" t="s">
        <v>509</v>
      </c>
      <c r="C406" s="87" t="s">
        <v>50</v>
      </c>
      <c r="D406" s="89">
        <f>SUMIF('Executive Pay Breakdown'!K:K,$B406,'Executive Pay Breakdown'!M:M)+SUMIF('Executive Pay Breakdown'!O:O,$B406,'Executive Pay Breakdown'!Q:Q)+SUMIF('Executive Pay Breakdown'!S:S,$B406,'Executive Pay Breakdown'!U:U)+SUMIF('Executive Pay Breakdown'!W:W,$B406,'Executive Pay Breakdown'!Y:Y)+SUMIF('Executive Pay Breakdown'!AA:AA,$B406,'Executive Pay Breakdown'!AC:AC)</f>
        <v>6939180</v>
      </c>
      <c r="E406" s="109"/>
      <c r="F406" s="69">
        <f>SUMIF('Executive Pay Breakdown'!K:K,$B406,'Executive Pay Breakdown'!M:M)</f>
        <v>0</v>
      </c>
      <c r="G406" s="69">
        <f>SUMIF('Executive Pay Breakdown'!O:O,$B406,'Executive Pay Breakdown'!Q:Q)</f>
        <v>0</v>
      </c>
      <c r="H406" s="69">
        <f>SUMIF('Executive Pay Breakdown'!S:S,$B406,'Executive Pay Breakdown'!U:U)</f>
        <v>0</v>
      </c>
      <c r="I406" s="69">
        <f>SUMIF('Executive Pay Breakdown'!W:W,$B406,'Executive Pay Breakdown'!Y:Y)</f>
        <v>0</v>
      </c>
      <c r="J406" s="69">
        <f>SUMIF('Executive Pay Breakdown'!AA:AA,$B406,'Executive Pay Breakdown'!AC:AC)</f>
        <v>6939180</v>
      </c>
      <c r="K406" s="90"/>
      <c r="L406" s="212"/>
      <c r="M406" s="87"/>
      <c r="N406" s="87"/>
      <c r="O406" s="120">
        <f>MATCH(C406,'Key Findings'!B:B,0)</f>
        <v>18</v>
      </c>
    </row>
    <row r="407">
      <c r="A407" s="62"/>
      <c r="B407" s="86" t="s">
        <v>474</v>
      </c>
      <c r="C407" s="233" t="s">
        <v>62</v>
      </c>
      <c r="D407" s="89">
        <f>SUMIF('Executive Pay Breakdown'!K:K,$B407,'Executive Pay Breakdown'!M:M)+SUMIF('Executive Pay Breakdown'!O:O,$B407,'Executive Pay Breakdown'!Q:Q)+SUMIF('Executive Pay Breakdown'!S:S,$B407,'Executive Pay Breakdown'!U:U)+SUMIF('Executive Pay Breakdown'!W:W,$B407,'Executive Pay Breakdown'!Y:Y)+SUMIF('Executive Pay Breakdown'!AA:AA,$B407,'Executive Pay Breakdown'!AC:AC)</f>
        <v>6933478</v>
      </c>
      <c r="E407" s="109"/>
      <c r="F407" s="69">
        <f>SUMIF('Executive Pay Breakdown'!K:K,$B407,'Executive Pay Breakdown'!M:M)</f>
        <v>0</v>
      </c>
      <c r="G407" s="69">
        <f>SUMIF('Executive Pay Breakdown'!O:O,$B407,'Executive Pay Breakdown'!Q:Q)</f>
        <v>0</v>
      </c>
      <c r="H407" s="69">
        <f>SUMIF('Executive Pay Breakdown'!S:S,$B407,'Executive Pay Breakdown'!U:U)</f>
        <v>0</v>
      </c>
      <c r="I407" s="69">
        <f>SUMIF('Executive Pay Breakdown'!W:W,$B407,'Executive Pay Breakdown'!Y:Y)</f>
        <v>0</v>
      </c>
      <c r="J407" s="69">
        <f>SUMIF('Executive Pay Breakdown'!AA:AA,$B407,'Executive Pay Breakdown'!AC:AC)</f>
        <v>6933478</v>
      </c>
      <c r="K407" s="90"/>
      <c r="L407" s="212"/>
      <c r="M407" s="87"/>
      <c r="N407" s="87"/>
      <c r="O407" s="120">
        <f>MATCH(C407,'Key Findings'!B:B,0)</f>
        <v>28</v>
      </c>
    </row>
    <row r="408">
      <c r="A408" s="62"/>
      <c r="B408" s="127" t="s">
        <v>587</v>
      </c>
      <c r="C408" s="87" t="s">
        <v>64</v>
      </c>
      <c r="D408" s="89">
        <f>SUMIF('Executive Pay Breakdown'!K:K,$B408,'Executive Pay Breakdown'!M:M)+SUMIF('Executive Pay Breakdown'!O:O,$B408,'Executive Pay Breakdown'!Q:Q)+SUMIF('Executive Pay Breakdown'!S:S,$B408,'Executive Pay Breakdown'!U:U)+SUMIF('Executive Pay Breakdown'!W:W,$B408,'Executive Pay Breakdown'!Y:Y)+SUMIF('Executive Pay Breakdown'!AA:AA,$B408,'Executive Pay Breakdown'!AC:AC)</f>
        <v>6922710</v>
      </c>
      <c r="E408" s="109"/>
      <c r="F408" s="69">
        <f>SUMIF('Executive Pay Breakdown'!K:K,$B408,'Executive Pay Breakdown'!M:M)</f>
        <v>2709463</v>
      </c>
      <c r="G408" s="69">
        <f>SUMIF('Executive Pay Breakdown'!O:O,$B408,'Executive Pay Breakdown'!Q:Q)</f>
        <v>2240453</v>
      </c>
      <c r="H408" s="69">
        <f>SUMIF('Executive Pay Breakdown'!S:S,$B408,'Executive Pay Breakdown'!U:U)</f>
        <v>1972794</v>
      </c>
      <c r="I408" s="69">
        <f>SUMIF('Executive Pay Breakdown'!W:W,$B408,'Executive Pay Breakdown'!Y:Y)</f>
        <v>0</v>
      </c>
      <c r="J408" s="69">
        <f>SUMIF('Executive Pay Breakdown'!AA:AA,$B408,'Executive Pay Breakdown'!AC:AC)</f>
        <v>0</v>
      </c>
      <c r="K408" s="90"/>
      <c r="L408" s="212"/>
      <c r="M408" s="87"/>
      <c r="N408" s="230"/>
      <c r="O408" s="120">
        <f>MATCH(C408,'Key Findings'!B:B,0)</f>
        <v>59</v>
      </c>
    </row>
    <row r="409">
      <c r="A409" s="62"/>
      <c r="B409" s="87" t="s">
        <v>510</v>
      </c>
      <c r="C409" s="87" t="s">
        <v>73</v>
      </c>
      <c r="D409" s="89">
        <f>SUMIF('Executive Pay Breakdown'!K:K,$B409,'Executive Pay Breakdown'!M:M)+SUMIF('Executive Pay Breakdown'!O:O,$B409,'Executive Pay Breakdown'!Q:Q)+SUMIF('Executive Pay Breakdown'!S:S,$B409,'Executive Pay Breakdown'!U:U)+SUMIF('Executive Pay Breakdown'!W:W,$B409,'Executive Pay Breakdown'!Y:Y)+SUMIF('Executive Pay Breakdown'!AA:AA,$B409,'Executive Pay Breakdown'!AC:AC)</f>
        <v>6889342</v>
      </c>
      <c r="E409" s="109"/>
      <c r="F409" s="69">
        <f>SUMIF('Executive Pay Breakdown'!K:K,$B409,'Executive Pay Breakdown'!M:M)</f>
        <v>6889342</v>
      </c>
      <c r="G409" s="69">
        <f>SUMIF('Executive Pay Breakdown'!O:O,$B409,'Executive Pay Breakdown'!Q:Q)</f>
        <v>0</v>
      </c>
      <c r="H409" s="69">
        <f>SUMIF('Executive Pay Breakdown'!S:S,$B409,'Executive Pay Breakdown'!U:U)</f>
        <v>0</v>
      </c>
      <c r="I409" s="69">
        <f>SUMIF('Executive Pay Breakdown'!W:W,$B409,'Executive Pay Breakdown'!Y:Y)</f>
        <v>0</v>
      </c>
      <c r="J409" s="69">
        <f>SUMIF('Executive Pay Breakdown'!AA:AA,$B409,'Executive Pay Breakdown'!AC:AC)</f>
        <v>0</v>
      </c>
      <c r="K409" s="90"/>
      <c r="L409" s="212"/>
      <c r="M409" s="87"/>
      <c r="N409" s="230"/>
      <c r="O409" s="120">
        <f>MATCH(C409,'Key Findings'!B:B,0)</f>
        <v>31</v>
      </c>
    </row>
    <row r="410">
      <c r="A410" s="71"/>
      <c r="B410" s="124" t="s">
        <v>469</v>
      </c>
      <c r="C410" s="87" t="s">
        <v>55</v>
      </c>
      <c r="D410" s="89">
        <f>SUMIF('Executive Pay Breakdown'!K:K,$B410,'Executive Pay Breakdown'!M:M)+SUMIF('Executive Pay Breakdown'!O:O,$B410,'Executive Pay Breakdown'!Q:Q)+SUMIF('Executive Pay Breakdown'!S:S,$B410,'Executive Pay Breakdown'!U:U)+SUMIF('Executive Pay Breakdown'!W:W,$B410,'Executive Pay Breakdown'!Y:Y)+SUMIF('Executive Pay Breakdown'!AA:AA,$B410,'Executive Pay Breakdown'!AC:AC)</f>
        <v>6756876</v>
      </c>
      <c r="E410" s="109"/>
      <c r="F410" s="69">
        <f>SUMIF('Executive Pay Breakdown'!K:K,$B410,'Executive Pay Breakdown'!M:M)</f>
        <v>0</v>
      </c>
      <c r="G410" s="69">
        <f>SUMIF('Executive Pay Breakdown'!O:O,$B410,'Executive Pay Breakdown'!Q:Q)</f>
        <v>6756876</v>
      </c>
      <c r="H410" s="69">
        <f>SUMIF('Executive Pay Breakdown'!S:S,$B410,'Executive Pay Breakdown'!U:U)</f>
        <v>0</v>
      </c>
      <c r="I410" s="69">
        <f>SUMIF('Executive Pay Breakdown'!W:W,$B410,'Executive Pay Breakdown'!Y:Y)</f>
        <v>0</v>
      </c>
      <c r="J410" s="69">
        <f>SUMIF('Executive Pay Breakdown'!AA:AA,$B410,'Executive Pay Breakdown'!AC:AC)</f>
        <v>0</v>
      </c>
      <c r="K410" s="90"/>
      <c r="L410" s="212"/>
      <c r="M410" s="212"/>
      <c r="N410" s="87"/>
      <c r="O410" s="120">
        <f>MATCH(C410,'Key Findings'!B:B,0)</f>
        <v>20</v>
      </c>
    </row>
    <row r="411">
      <c r="A411" s="62"/>
      <c r="B411" s="127" t="s">
        <v>555</v>
      </c>
      <c r="C411" s="87" t="s">
        <v>22</v>
      </c>
      <c r="D411" s="89">
        <f>SUMIF('Executive Pay Breakdown'!K:K,$B411,'Executive Pay Breakdown'!M:M)+SUMIF('Executive Pay Breakdown'!O:O,$B411,'Executive Pay Breakdown'!Q:Q)+SUMIF('Executive Pay Breakdown'!S:S,$B411,'Executive Pay Breakdown'!U:U)+SUMIF('Executive Pay Breakdown'!W:W,$B411,'Executive Pay Breakdown'!Y:Y)+SUMIF('Executive Pay Breakdown'!AA:AA,$B411,'Executive Pay Breakdown'!AC:AC)</f>
        <v>6743925</v>
      </c>
      <c r="E411" s="109"/>
      <c r="F411" s="69">
        <f>SUMIF('Executive Pay Breakdown'!K:K,$B411,'Executive Pay Breakdown'!M:M)</f>
        <v>0</v>
      </c>
      <c r="G411" s="69">
        <f>SUMIF('Executive Pay Breakdown'!O:O,$B411,'Executive Pay Breakdown'!Q:Q)</f>
        <v>0</v>
      </c>
      <c r="H411" s="69">
        <f>SUMIF('Executive Pay Breakdown'!S:S,$B411,'Executive Pay Breakdown'!U:U)</f>
        <v>0</v>
      </c>
      <c r="I411" s="69">
        <f>SUMIF('Executive Pay Breakdown'!W:W,$B411,'Executive Pay Breakdown'!Y:Y)</f>
        <v>0</v>
      </c>
      <c r="J411" s="69">
        <f>SUMIF('Executive Pay Breakdown'!AA:AA,$B411,'Executive Pay Breakdown'!AC:AC)</f>
        <v>6743925</v>
      </c>
      <c r="K411" s="90"/>
      <c r="L411" s="212"/>
      <c r="M411" s="87"/>
      <c r="N411" s="87"/>
      <c r="O411" s="120">
        <f>MATCH(C411,'Key Findings'!B:B,0)</f>
        <v>39</v>
      </c>
    </row>
    <row r="412">
      <c r="A412" s="62"/>
      <c r="B412" s="127" t="s">
        <v>552</v>
      </c>
      <c r="C412" s="87" t="s">
        <v>15</v>
      </c>
      <c r="D412" s="89">
        <f>SUMIF('Executive Pay Breakdown'!K:K,$B412,'Executive Pay Breakdown'!M:M)+SUMIF('Executive Pay Breakdown'!O:O,$B412,'Executive Pay Breakdown'!Q:Q)+SUMIF('Executive Pay Breakdown'!S:S,$B412,'Executive Pay Breakdown'!U:U)+SUMIF('Executive Pay Breakdown'!W:W,$B412,'Executive Pay Breakdown'!Y:Y)+SUMIF('Executive Pay Breakdown'!AA:AA,$B412,'Executive Pay Breakdown'!AC:AC)</f>
        <v>6719288</v>
      </c>
      <c r="E412" s="109"/>
      <c r="F412" s="69">
        <f>SUMIF('Executive Pay Breakdown'!K:K,$B412,'Executive Pay Breakdown'!M:M)</f>
        <v>3439563</v>
      </c>
      <c r="G412" s="69">
        <f>SUMIF('Executive Pay Breakdown'!O:O,$B412,'Executive Pay Breakdown'!Q:Q)</f>
        <v>3279725</v>
      </c>
      <c r="H412" s="69">
        <f>SUMIF('Executive Pay Breakdown'!S:S,$B412,'Executive Pay Breakdown'!U:U)</f>
        <v>0</v>
      </c>
      <c r="I412" s="69">
        <f>SUMIF('Executive Pay Breakdown'!W:W,$B412,'Executive Pay Breakdown'!Y:Y)</f>
        <v>0</v>
      </c>
      <c r="J412" s="69">
        <f>SUMIF('Executive Pay Breakdown'!AA:AA,$B412,'Executive Pay Breakdown'!AC:AC)</f>
        <v>0</v>
      </c>
      <c r="K412" s="90"/>
      <c r="L412" s="212"/>
      <c r="M412" s="212"/>
      <c r="N412" s="230"/>
      <c r="O412" s="120">
        <f>MATCH(C412,'Key Findings'!B:B,0)</f>
        <v>32</v>
      </c>
    </row>
    <row r="413">
      <c r="A413" s="62"/>
      <c r="B413" s="86" t="s">
        <v>460</v>
      </c>
      <c r="C413" s="87" t="s">
        <v>45</v>
      </c>
      <c r="D413" s="89">
        <f>SUMIF('Executive Pay Breakdown'!K:K,$B413,'Executive Pay Breakdown'!M:M)+SUMIF('Executive Pay Breakdown'!O:O,$B413,'Executive Pay Breakdown'!Q:Q)+SUMIF('Executive Pay Breakdown'!S:S,$B413,'Executive Pay Breakdown'!U:U)+SUMIF('Executive Pay Breakdown'!W:W,$B413,'Executive Pay Breakdown'!Y:Y)+SUMIF('Executive Pay Breakdown'!AA:AA,$B413,'Executive Pay Breakdown'!AC:AC)</f>
        <v>6664040</v>
      </c>
      <c r="E413" s="109"/>
      <c r="F413" s="69">
        <f>SUMIF('Executive Pay Breakdown'!K:K,$B413,'Executive Pay Breakdown'!M:M)</f>
        <v>0</v>
      </c>
      <c r="G413" s="69">
        <f>SUMIF('Executive Pay Breakdown'!O:O,$B413,'Executive Pay Breakdown'!Q:Q)</f>
        <v>3426858</v>
      </c>
      <c r="H413" s="69">
        <f>SUMIF('Executive Pay Breakdown'!S:S,$B413,'Executive Pay Breakdown'!U:U)</f>
        <v>1644830</v>
      </c>
      <c r="I413" s="69">
        <f>SUMIF('Executive Pay Breakdown'!W:W,$B413,'Executive Pay Breakdown'!Y:Y)</f>
        <v>1592352</v>
      </c>
      <c r="J413" s="69">
        <f>SUMIF('Executive Pay Breakdown'!AA:AA,$B413,'Executive Pay Breakdown'!AC:AC)</f>
        <v>0</v>
      </c>
      <c r="K413" s="90"/>
      <c r="L413" s="212"/>
      <c r="M413" s="87"/>
      <c r="N413" s="87"/>
      <c r="O413" s="120">
        <f>MATCH(C413,'Key Findings'!B:B,0)</f>
        <v>60</v>
      </c>
    </row>
    <row r="414">
      <c r="A414" s="62"/>
      <c r="B414" s="129" t="s">
        <v>479</v>
      </c>
      <c r="C414" s="87" t="s">
        <v>14</v>
      </c>
      <c r="D414" s="89">
        <f>SUMIF('Executive Pay Breakdown'!K:K,$B414,'Executive Pay Breakdown'!M:M)+SUMIF('Executive Pay Breakdown'!O:O,$B414,'Executive Pay Breakdown'!Q:Q)+SUMIF('Executive Pay Breakdown'!S:S,$B414,'Executive Pay Breakdown'!U:U)+SUMIF('Executive Pay Breakdown'!W:W,$B414,'Executive Pay Breakdown'!Y:Y)+SUMIF('Executive Pay Breakdown'!AA:AA,$B414,'Executive Pay Breakdown'!AC:AC)</f>
        <v>6598362</v>
      </c>
      <c r="E414" s="109"/>
      <c r="F414" s="69">
        <f>SUMIF('Executive Pay Breakdown'!K:K,$B414,'Executive Pay Breakdown'!M:M)</f>
        <v>0</v>
      </c>
      <c r="G414" s="69">
        <f>SUMIF('Executive Pay Breakdown'!O:O,$B414,'Executive Pay Breakdown'!Q:Q)</f>
        <v>0</v>
      </c>
      <c r="H414" s="69">
        <f>SUMIF('Executive Pay Breakdown'!S:S,$B414,'Executive Pay Breakdown'!U:U)</f>
        <v>0</v>
      </c>
      <c r="I414" s="69">
        <f>SUMIF('Executive Pay Breakdown'!W:W,$B414,'Executive Pay Breakdown'!Y:Y)</f>
        <v>0</v>
      </c>
      <c r="J414" s="69">
        <f>SUMIF('Executive Pay Breakdown'!AA:AA,$B414,'Executive Pay Breakdown'!AC:AC)</f>
        <v>6598362</v>
      </c>
      <c r="K414" s="90"/>
      <c r="L414" s="212"/>
      <c r="M414" s="87"/>
      <c r="N414" s="87"/>
      <c r="O414" s="120">
        <f>MATCH(C414,'Key Findings'!B:B,0)</f>
        <v>5</v>
      </c>
    </row>
    <row r="415">
      <c r="A415" s="62"/>
      <c r="B415" s="86" t="s">
        <v>561</v>
      </c>
      <c r="C415" s="87" t="s">
        <v>38</v>
      </c>
      <c r="D415" s="89">
        <f>SUMIF('Executive Pay Breakdown'!K:K,$B415,'Executive Pay Breakdown'!M:M)+SUMIF('Executive Pay Breakdown'!O:O,$B415,'Executive Pay Breakdown'!Q:Q)+SUMIF('Executive Pay Breakdown'!S:S,$B415,'Executive Pay Breakdown'!U:U)+SUMIF('Executive Pay Breakdown'!W:W,$B415,'Executive Pay Breakdown'!Y:Y)+SUMIF('Executive Pay Breakdown'!AA:AA,$B415,'Executive Pay Breakdown'!AC:AC)</f>
        <v>6591226</v>
      </c>
      <c r="E415" s="109"/>
      <c r="F415" s="69">
        <f>SUMIF('Executive Pay Breakdown'!K:K,$B415,'Executive Pay Breakdown'!M:M)</f>
        <v>0</v>
      </c>
      <c r="G415" s="69">
        <f>SUMIF('Executive Pay Breakdown'!O:O,$B415,'Executive Pay Breakdown'!Q:Q)</f>
        <v>0</v>
      </c>
      <c r="H415" s="69">
        <f>SUMIF('Executive Pay Breakdown'!S:S,$B415,'Executive Pay Breakdown'!U:U)</f>
        <v>0</v>
      </c>
      <c r="I415" s="69">
        <f>SUMIF('Executive Pay Breakdown'!W:W,$B415,'Executive Pay Breakdown'!Y:Y)</f>
        <v>3521984</v>
      </c>
      <c r="J415" s="69">
        <f>SUMIF('Executive Pay Breakdown'!AA:AA,$B415,'Executive Pay Breakdown'!AC:AC)</f>
        <v>3069242</v>
      </c>
      <c r="K415" s="90"/>
      <c r="L415" s="212"/>
      <c r="M415" s="87"/>
      <c r="N415" s="87"/>
      <c r="O415" s="120">
        <f>MATCH(C415,'Key Findings'!B:B,0)</f>
        <v>62</v>
      </c>
    </row>
    <row r="416">
      <c r="A416" s="62"/>
      <c r="B416" s="86" t="s">
        <v>620</v>
      </c>
      <c r="C416" s="233" t="s">
        <v>61</v>
      </c>
      <c r="D416" s="89">
        <f>SUMIF('Executive Pay Breakdown'!K:K,$B416,'Executive Pay Breakdown'!M:M)+SUMIF('Executive Pay Breakdown'!O:O,$B416,'Executive Pay Breakdown'!Q:Q)+SUMIF('Executive Pay Breakdown'!S:S,$B416,'Executive Pay Breakdown'!U:U)+SUMIF('Executive Pay Breakdown'!W:W,$B416,'Executive Pay Breakdown'!Y:Y)+SUMIF('Executive Pay Breakdown'!AA:AA,$B416,'Executive Pay Breakdown'!AC:AC)</f>
        <v>6584028</v>
      </c>
      <c r="E416" s="109"/>
      <c r="F416" s="69">
        <f>SUMIF('Executive Pay Breakdown'!K:K,$B416,'Executive Pay Breakdown'!M:M)</f>
        <v>0</v>
      </c>
      <c r="G416" s="69">
        <f>SUMIF('Executive Pay Breakdown'!O:O,$B416,'Executive Pay Breakdown'!Q:Q)</f>
        <v>6584028</v>
      </c>
      <c r="H416" s="69">
        <f>SUMIF('Executive Pay Breakdown'!S:S,$B416,'Executive Pay Breakdown'!U:U)</f>
        <v>0</v>
      </c>
      <c r="I416" s="69">
        <f>SUMIF('Executive Pay Breakdown'!W:W,$B416,'Executive Pay Breakdown'!Y:Y)</f>
        <v>0</v>
      </c>
      <c r="J416" s="69">
        <f>SUMIF('Executive Pay Breakdown'!AA:AA,$B416,'Executive Pay Breakdown'!AC:AC)</f>
        <v>0</v>
      </c>
      <c r="K416" s="90"/>
      <c r="L416" s="212"/>
      <c r="M416" s="87"/>
      <c r="N416" s="87"/>
      <c r="O416" s="120">
        <f>MATCH(C416,'Key Findings'!B:B,0)</f>
        <v>22</v>
      </c>
    </row>
    <row r="417">
      <c r="A417" s="62"/>
      <c r="B417" s="127" t="s">
        <v>570</v>
      </c>
      <c r="C417" s="87" t="s">
        <v>53</v>
      </c>
      <c r="D417" s="89">
        <f>SUMIF('Executive Pay Breakdown'!K:K,$B417,'Executive Pay Breakdown'!M:M)+SUMIF('Executive Pay Breakdown'!O:O,$B417,'Executive Pay Breakdown'!Q:Q)+SUMIF('Executive Pay Breakdown'!S:S,$B417,'Executive Pay Breakdown'!U:U)+SUMIF('Executive Pay Breakdown'!W:W,$B417,'Executive Pay Breakdown'!Y:Y)+SUMIF('Executive Pay Breakdown'!AA:AA,$B417,'Executive Pay Breakdown'!AC:AC)</f>
        <v>6496341</v>
      </c>
      <c r="E417" s="109"/>
      <c r="F417" s="69">
        <f>SUMIF('Executive Pay Breakdown'!K:K,$B417,'Executive Pay Breakdown'!M:M)</f>
        <v>3819380</v>
      </c>
      <c r="G417" s="69">
        <f>SUMIF('Executive Pay Breakdown'!O:O,$B417,'Executive Pay Breakdown'!Q:Q)</f>
        <v>2676961</v>
      </c>
      <c r="H417" s="69">
        <f>SUMIF('Executive Pay Breakdown'!S:S,$B417,'Executive Pay Breakdown'!U:U)</f>
        <v>0</v>
      </c>
      <c r="I417" s="69">
        <f>SUMIF('Executive Pay Breakdown'!W:W,$B417,'Executive Pay Breakdown'!Y:Y)</f>
        <v>0</v>
      </c>
      <c r="J417" s="69">
        <f>SUMIF('Executive Pay Breakdown'!AA:AA,$B417,'Executive Pay Breakdown'!AC:AC)</f>
        <v>0</v>
      </c>
      <c r="K417" s="90"/>
      <c r="L417" s="212"/>
      <c r="M417" s="212"/>
      <c r="N417" s="230"/>
      <c r="O417" s="120">
        <f>MATCH(C417,'Key Findings'!B:B,0)</f>
        <v>23</v>
      </c>
    </row>
    <row r="418">
      <c r="A418" s="62"/>
      <c r="B418" s="86" t="s">
        <v>557</v>
      </c>
      <c r="C418" s="87" t="s">
        <v>28</v>
      </c>
      <c r="D418" s="89">
        <f>SUMIF('Executive Pay Breakdown'!K:K,$B418,'Executive Pay Breakdown'!M:M)+SUMIF('Executive Pay Breakdown'!O:O,$B418,'Executive Pay Breakdown'!Q:Q)+SUMIF('Executive Pay Breakdown'!S:S,$B418,'Executive Pay Breakdown'!U:U)+SUMIF('Executive Pay Breakdown'!W:W,$B418,'Executive Pay Breakdown'!Y:Y)+SUMIF('Executive Pay Breakdown'!AA:AA,$B418,'Executive Pay Breakdown'!AC:AC)</f>
        <v>6420044</v>
      </c>
      <c r="E418" s="109"/>
      <c r="F418" s="69">
        <f>SUMIF('Executive Pay Breakdown'!K:K,$B418,'Executive Pay Breakdown'!M:M)</f>
        <v>0</v>
      </c>
      <c r="G418" s="69">
        <f>SUMIF('Executive Pay Breakdown'!O:O,$B418,'Executive Pay Breakdown'!Q:Q)</f>
        <v>1868002</v>
      </c>
      <c r="H418" s="69">
        <f>SUMIF('Executive Pay Breakdown'!S:S,$B418,'Executive Pay Breakdown'!U:U)</f>
        <v>1627004</v>
      </c>
      <c r="I418" s="69">
        <f>SUMIF('Executive Pay Breakdown'!W:W,$B418,'Executive Pay Breakdown'!Y:Y)</f>
        <v>1440203</v>
      </c>
      <c r="J418" s="69">
        <f>SUMIF('Executive Pay Breakdown'!AA:AA,$B418,'Executive Pay Breakdown'!AC:AC)</f>
        <v>1484835</v>
      </c>
      <c r="K418" s="90"/>
      <c r="L418" s="212"/>
      <c r="M418" s="87"/>
      <c r="N418" s="87"/>
      <c r="O418" s="120">
        <f>MATCH(C418,'Key Findings'!B:B,0)</f>
        <v>56</v>
      </c>
    </row>
    <row r="419">
      <c r="A419" s="62"/>
      <c r="B419" s="127" t="s">
        <v>554</v>
      </c>
      <c r="C419" s="87" t="s">
        <v>26</v>
      </c>
      <c r="D419" s="89">
        <f>SUMIF('Executive Pay Breakdown'!K:K,$B419,'Executive Pay Breakdown'!M:M)+SUMIF('Executive Pay Breakdown'!O:O,$B419,'Executive Pay Breakdown'!Q:Q)+SUMIF('Executive Pay Breakdown'!S:S,$B419,'Executive Pay Breakdown'!U:U)+SUMIF('Executive Pay Breakdown'!W:W,$B419,'Executive Pay Breakdown'!Y:Y)+SUMIF('Executive Pay Breakdown'!AA:AA,$B419,'Executive Pay Breakdown'!AC:AC)</f>
        <v>6409220</v>
      </c>
      <c r="E419" s="109"/>
      <c r="F419" s="69">
        <f>SUMIF('Executive Pay Breakdown'!K:K,$B419,'Executive Pay Breakdown'!M:M)</f>
        <v>2503745</v>
      </c>
      <c r="G419" s="69">
        <f>SUMIF('Executive Pay Breakdown'!O:O,$B419,'Executive Pay Breakdown'!Q:Q)</f>
        <v>2104178</v>
      </c>
      <c r="H419" s="69">
        <f>SUMIF('Executive Pay Breakdown'!S:S,$B419,'Executive Pay Breakdown'!U:U)</f>
        <v>1801297</v>
      </c>
      <c r="I419" s="69">
        <f>SUMIF('Executive Pay Breakdown'!W:W,$B419,'Executive Pay Breakdown'!Y:Y)</f>
        <v>0</v>
      </c>
      <c r="J419" s="69">
        <f>SUMIF('Executive Pay Breakdown'!AA:AA,$B419,'Executive Pay Breakdown'!AC:AC)</f>
        <v>0</v>
      </c>
      <c r="K419" s="90"/>
      <c r="L419" s="212"/>
      <c r="M419" s="87"/>
      <c r="N419" s="230"/>
      <c r="O419" s="120">
        <f>MATCH(C419,'Key Findings'!B:B,0)</f>
        <v>48</v>
      </c>
    </row>
    <row r="420">
      <c r="A420" s="62"/>
      <c r="B420" s="86" t="s">
        <v>505</v>
      </c>
      <c r="C420" s="87" t="s">
        <v>42</v>
      </c>
      <c r="D420" s="89">
        <f>SUMIF('Executive Pay Breakdown'!K:K,$B420,'Executive Pay Breakdown'!M:M)+SUMIF('Executive Pay Breakdown'!O:O,$B420,'Executive Pay Breakdown'!Q:Q)+SUMIF('Executive Pay Breakdown'!S:S,$B420,'Executive Pay Breakdown'!U:U)+SUMIF('Executive Pay Breakdown'!W:W,$B420,'Executive Pay Breakdown'!Y:Y)+SUMIF('Executive Pay Breakdown'!AA:AA,$B420,'Executive Pay Breakdown'!AC:AC)</f>
        <v>6405961</v>
      </c>
      <c r="E420" s="109"/>
      <c r="F420" s="69">
        <f>SUMIF('Executive Pay Breakdown'!K:K,$B420,'Executive Pay Breakdown'!M:M)</f>
        <v>0</v>
      </c>
      <c r="G420" s="69">
        <f>SUMIF('Executive Pay Breakdown'!O:O,$B420,'Executive Pay Breakdown'!Q:Q)</f>
        <v>1688448</v>
      </c>
      <c r="H420" s="69">
        <f>SUMIF('Executive Pay Breakdown'!S:S,$B420,'Executive Pay Breakdown'!U:U)</f>
        <v>1520056</v>
      </c>
      <c r="I420" s="69">
        <f>SUMIF('Executive Pay Breakdown'!W:W,$B420,'Executive Pay Breakdown'!Y:Y)</f>
        <v>1670935</v>
      </c>
      <c r="J420" s="69">
        <f>SUMIF('Executive Pay Breakdown'!AA:AA,$B420,'Executive Pay Breakdown'!AC:AC)</f>
        <v>1526522</v>
      </c>
      <c r="K420" s="90"/>
      <c r="L420" s="212"/>
      <c r="M420" s="87"/>
      <c r="N420" s="87"/>
      <c r="O420" s="120">
        <f>MATCH(C420,'Key Findings'!B:B,0)</f>
        <v>61</v>
      </c>
    </row>
    <row r="421">
      <c r="A421" s="62"/>
      <c r="B421" s="138" t="s">
        <v>430</v>
      </c>
      <c r="C421" s="87" t="s">
        <v>35</v>
      </c>
      <c r="D421" s="89">
        <f>SUMIF('Executive Pay Breakdown'!K:K,$B421,'Executive Pay Breakdown'!M:M)+SUMIF('Executive Pay Breakdown'!O:O,$B421,'Executive Pay Breakdown'!Q:Q)+SUMIF('Executive Pay Breakdown'!S:S,$B421,'Executive Pay Breakdown'!U:U)+SUMIF('Executive Pay Breakdown'!W:W,$B421,'Executive Pay Breakdown'!Y:Y)+SUMIF('Executive Pay Breakdown'!AA:AA,$B421,'Executive Pay Breakdown'!AC:AC)</f>
        <v>6387223</v>
      </c>
      <c r="E421" s="109"/>
      <c r="F421" s="69">
        <f>SUMIF('Executive Pay Breakdown'!K:K,$B421,'Executive Pay Breakdown'!M:M)</f>
        <v>0</v>
      </c>
      <c r="G421" s="69">
        <f>SUMIF('Executive Pay Breakdown'!O:O,$B421,'Executive Pay Breakdown'!Q:Q)</f>
        <v>0</v>
      </c>
      <c r="H421" s="69">
        <f>SUMIF('Executive Pay Breakdown'!S:S,$B421,'Executive Pay Breakdown'!U:U)</f>
        <v>0</v>
      </c>
      <c r="I421" s="69">
        <f>SUMIF('Executive Pay Breakdown'!W:W,$B421,'Executive Pay Breakdown'!Y:Y)</f>
        <v>176870</v>
      </c>
      <c r="J421" s="69">
        <f>SUMIF('Executive Pay Breakdown'!AA:AA,$B421,'Executive Pay Breakdown'!AC:AC)</f>
        <v>6210353</v>
      </c>
      <c r="K421" s="90"/>
      <c r="L421" s="212"/>
      <c r="M421" s="87"/>
      <c r="N421" s="87"/>
      <c r="O421" s="120">
        <f>MATCH(C421,'Key Findings'!B:B,0)</f>
        <v>4</v>
      </c>
    </row>
    <row r="422">
      <c r="A422" s="62"/>
      <c r="B422" s="86" t="s">
        <v>506</v>
      </c>
      <c r="C422" s="87" t="s">
        <v>44</v>
      </c>
      <c r="D422" s="89">
        <f>SUMIF('Executive Pay Breakdown'!K:K,$B422,'Executive Pay Breakdown'!M:M)+SUMIF('Executive Pay Breakdown'!O:O,$B422,'Executive Pay Breakdown'!Q:Q)+SUMIF('Executive Pay Breakdown'!S:S,$B422,'Executive Pay Breakdown'!U:U)+SUMIF('Executive Pay Breakdown'!W:W,$B422,'Executive Pay Breakdown'!Y:Y)+SUMIF('Executive Pay Breakdown'!AA:AA,$B422,'Executive Pay Breakdown'!AC:AC)</f>
        <v>6315554</v>
      </c>
      <c r="E422" s="109"/>
      <c r="F422" s="69">
        <f>SUMIF('Executive Pay Breakdown'!K:K,$B422,'Executive Pay Breakdown'!M:M)</f>
        <v>0</v>
      </c>
      <c r="G422" s="69">
        <f>SUMIF('Executive Pay Breakdown'!O:O,$B422,'Executive Pay Breakdown'!Q:Q)</f>
        <v>0</v>
      </c>
      <c r="H422" s="69">
        <f>SUMIF('Executive Pay Breakdown'!S:S,$B422,'Executive Pay Breakdown'!U:U)</f>
        <v>0</v>
      </c>
      <c r="I422" s="69">
        <f>SUMIF('Executive Pay Breakdown'!W:W,$B422,'Executive Pay Breakdown'!Y:Y)</f>
        <v>0</v>
      </c>
      <c r="J422" s="69">
        <f>SUMIF('Executive Pay Breakdown'!AA:AA,$B422,'Executive Pay Breakdown'!AC:AC)</f>
        <v>6315554</v>
      </c>
      <c r="K422" s="90"/>
      <c r="L422" s="212"/>
      <c r="M422" s="87"/>
      <c r="N422" s="87"/>
      <c r="O422" s="120">
        <f>MATCH(C422,'Key Findings'!B:B,0)</f>
        <v>25</v>
      </c>
    </row>
    <row r="423">
      <c r="A423" s="71"/>
      <c r="B423" s="124" t="s">
        <v>483</v>
      </c>
      <c r="C423" s="87" t="s">
        <v>55</v>
      </c>
      <c r="D423" s="89">
        <f>SUMIF('Executive Pay Breakdown'!K:K,$B423,'Executive Pay Breakdown'!M:M)+SUMIF('Executive Pay Breakdown'!O:O,$B423,'Executive Pay Breakdown'!Q:Q)+SUMIF('Executive Pay Breakdown'!S:S,$B423,'Executive Pay Breakdown'!U:U)+SUMIF('Executive Pay Breakdown'!W:W,$B423,'Executive Pay Breakdown'!Y:Y)+SUMIF('Executive Pay Breakdown'!AA:AA,$B423,'Executive Pay Breakdown'!AC:AC)</f>
        <v>6203404</v>
      </c>
      <c r="E423" s="109"/>
      <c r="F423" s="69">
        <f>SUMIF('Executive Pay Breakdown'!K:K,$B423,'Executive Pay Breakdown'!M:M)</f>
        <v>0</v>
      </c>
      <c r="G423" s="69">
        <f>SUMIF('Executive Pay Breakdown'!O:O,$B423,'Executive Pay Breakdown'!Q:Q)</f>
        <v>0</v>
      </c>
      <c r="H423" s="69">
        <f>SUMIF('Executive Pay Breakdown'!S:S,$B423,'Executive Pay Breakdown'!U:U)</f>
        <v>0</v>
      </c>
      <c r="I423" s="69">
        <f>SUMIF('Executive Pay Breakdown'!W:W,$B423,'Executive Pay Breakdown'!Y:Y)</f>
        <v>0</v>
      </c>
      <c r="J423" s="69">
        <f>SUMIF('Executive Pay Breakdown'!AA:AA,$B423,'Executive Pay Breakdown'!AC:AC)</f>
        <v>6203404</v>
      </c>
      <c r="K423" s="90"/>
      <c r="L423" s="212"/>
      <c r="M423" s="87"/>
      <c r="N423" s="87"/>
      <c r="O423" s="120">
        <f>MATCH(C423,'Key Findings'!B:B,0)</f>
        <v>20</v>
      </c>
    </row>
    <row r="424">
      <c r="A424" s="81"/>
      <c r="B424" s="137" t="s">
        <v>410</v>
      </c>
      <c r="C424" s="87" t="str">
        <f t="array" ref="C424">INDEX('Executive Pay Breakdown'!B:B,MATCH(B424,'Executive Pay Breakdown'!K:K,0))</f>
        <v>PPG Industries</v>
      </c>
      <c r="D424" s="89">
        <f>SUMIF('Executive Pay Breakdown'!K:K,$B424,'Executive Pay Breakdown'!M:M)+SUMIF('Executive Pay Breakdown'!O:O,$B424,'Executive Pay Breakdown'!Q:Q)+SUMIF('Executive Pay Breakdown'!S:S,$B424,'Executive Pay Breakdown'!U:U)+SUMIF('Executive Pay Breakdown'!W:W,$B424,'Executive Pay Breakdown'!Y:Y)+SUMIF('Executive Pay Breakdown'!AA:AA,$B424,'Executive Pay Breakdown'!AC:AC)</f>
        <v>6177906</v>
      </c>
      <c r="E424" s="109"/>
      <c r="F424" s="69">
        <f>SUMIF('Executive Pay Breakdown'!K:K,$B424,'Executive Pay Breakdown'!M:M)</f>
        <v>1246533</v>
      </c>
      <c r="G424" s="69">
        <f>SUMIF('Executive Pay Breakdown'!O:O,$B424,'Executive Pay Breakdown'!Q:Q)</f>
        <v>2189053</v>
      </c>
      <c r="H424" s="69">
        <f>SUMIF('Executive Pay Breakdown'!S:S,$B424,'Executive Pay Breakdown'!U:U)</f>
        <v>2742320</v>
      </c>
      <c r="I424" s="69">
        <f>SUMIF('Executive Pay Breakdown'!W:W,$B424,'Executive Pay Breakdown'!Y:Y)</f>
        <v>0</v>
      </c>
      <c r="J424" s="69">
        <f>SUMIF('Executive Pay Breakdown'!AA:AA,$B424,'Executive Pay Breakdown'!AC:AC)</f>
        <v>0</v>
      </c>
      <c r="K424" s="90"/>
      <c r="L424" s="212"/>
      <c r="M424" s="87"/>
      <c r="N424" s="230"/>
      <c r="O424" s="120">
        <f>MATCH(C424,'Key Findings'!B:B,0)</f>
        <v>50</v>
      </c>
    </row>
    <row r="425">
      <c r="A425" s="71"/>
      <c r="B425" s="124" t="s">
        <v>485</v>
      </c>
      <c r="C425" s="87" t="s">
        <v>55</v>
      </c>
      <c r="D425" s="89">
        <f>SUMIF('Executive Pay Breakdown'!K:K,$B425,'Executive Pay Breakdown'!M:M)+SUMIF('Executive Pay Breakdown'!O:O,$B425,'Executive Pay Breakdown'!Q:Q)+SUMIF('Executive Pay Breakdown'!S:S,$B425,'Executive Pay Breakdown'!U:U)+SUMIF('Executive Pay Breakdown'!W:W,$B425,'Executive Pay Breakdown'!Y:Y)+SUMIF('Executive Pay Breakdown'!AA:AA,$B425,'Executive Pay Breakdown'!AC:AC)</f>
        <v>6160596</v>
      </c>
      <c r="E425" s="109"/>
      <c r="F425" s="69">
        <f>SUMIF('Executive Pay Breakdown'!K:K,$B425,'Executive Pay Breakdown'!M:M)</f>
        <v>0</v>
      </c>
      <c r="G425" s="69">
        <f>SUMIF('Executive Pay Breakdown'!O:O,$B425,'Executive Pay Breakdown'!Q:Q)</f>
        <v>6160596</v>
      </c>
      <c r="H425" s="69">
        <f>SUMIF('Executive Pay Breakdown'!S:S,$B425,'Executive Pay Breakdown'!U:U)</f>
        <v>0</v>
      </c>
      <c r="I425" s="69">
        <f>SUMIF('Executive Pay Breakdown'!W:W,$B425,'Executive Pay Breakdown'!Y:Y)</f>
        <v>0</v>
      </c>
      <c r="J425" s="69">
        <f>SUMIF('Executive Pay Breakdown'!AA:AA,$B425,'Executive Pay Breakdown'!AC:AC)</f>
        <v>0</v>
      </c>
      <c r="K425" s="90"/>
      <c r="L425" s="212"/>
      <c r="M425" s="212"/>
      <c r="N425" s="87"/>
      <c r="O425" s="120">
        <f>MATCH(C425,'Key Findings'!B:B,0)</f>
        <v>20</v>
      </c>
    </row>
    <row r="426">
      <c r="A426" s="62"/>
      <c r="B426" s="86" t="s">
        <v>625</v>
      </c>
      <c r="C426" s="233" t="s">
        <v>61</v>
      </c>
      <c r="D426" s="89">
        <f>SUMIF('Executive Pay Breakdown'!K:K,$B426,'Executive Pay Breakdown'!M:M)+SUMIF('Executive Pay Breakdown'!O:O,$B426,'Executive Pay Breakdown'!Q:Q)+SUMIF('Executive Pay Breakdown'!S:S,$B426,'Executive Pay Breakdown'!U:U)+SUMIF('Executive Pay Breakdown'!W:W,$B426,'Executive Pay Breakdown'!Y:Y)+SUMIF('Executive Pay Breakdown'!AA:AA,$B426,'Executive Pay Breakdown'!AC:AC)</f>
        <v>6077974</v>
      </c>
      <c r="E426" s="109"/>
      <c r="F426" s="69">
        <f>SUMIF('Executive Pay Breakdown'!K:K,$B426,'Executive Pay Breakdown'!M:M)</f>
        <v>0</v>
      </c>
      <c r="G426" s="69">
        <f>SUMIF('Executive Pay Breakdown'!O:O,$B426,'Executive Pay Breakdown'!Q:Q)</f>
        <v>0</v>
      </c>
      <c r="H426" s="69">
        <f>SUMIF('Executive Pay Breakdown'!S:S,$B426,'Executive Pay Breakdown'!U:U)</f>
        <v>0</v>
      </c>
      <c r="I426" s="69">
        <f>SUMIF('Executive Pay Breakdown'!W:W,$B426,'Executive Pay Breakdown'!Y:Y)</f>
        <v>1451840</v>
      </c>
      <c r="J426" s="69">
        <f>SUMIF('Executive Pay Breakdown'!AA:AA,$B426,'Executive Pay Breakdown'!AC:AC)</f>
        <v>4626134</v>
      </c>
      <c r="K426" s="90"/>
      <c r="L426" s="212"/>
      <c r="M426" s="87"/>
      <c r="N426" s="87"/>
      <c r="O426" s="120">
        <f>MATCH(C426,'Key Findings'!B:B,0)</f>
        <v>22</v>
      </c>
    </row>
    <row r="427">
      <c r="A427" s="62"/>
      <c r="B427" s="127" t="s">
        <v>598</v>
      </c>
      <c r="C427" s="87" t="s">
        <v>64</v>
      </c>
      <c r="D427" s="89">
        <f>SUMIF('Executive Pay Breakdown'!K:K,$B427,'Executive Pay Breakdown'!M:M)+SUMIF('Executive Pay Breakdown'!O:O,$B427,'Executive Pay Breakdown'!Q:Q)+SUMIF('Executive Pay Breakdown'!S:S,$B427,'Executive Pay Breakdown'!U:U)+SUMIF('Executive Pay Breakdown'!W:W,$B427,'Executive Pay Breakdown'!Y:Y)+SUMIF('Executive Pay Breakdown'!AA:AA,$B427,'Executive Pay Breakdown'!AC:AC)</f>
        <v>6038997</v>
      </c>
      <c r="E427" s="109"/>
      <c r="F427" s="69">
        <f>SUMIF('Executive Pay Breakdown'!K:K,$B427,'Executive Pay Breakdown'!M:M)</f>
        <v>3111099</v>
      </c>
      <c r="G427" s="69">
        <f>SUMIF('Executive Pay Breakdown'!O:O,$B427,'Executive Pay Breakdown'!Q:Q)</f>
        <v>2927898</v>
      </c>
      <c r="H427" s="69">
        <f>SUMIF('Executive Pay Breakdown'!S:S,$B427,'Executive Pay Breakdown'!U:U)</f>
        <v>0</v>
      </c>
      <c r="I427" s="69">
        <f>SUMIF('Executive Pay Breakdown'!W:W,$B427,'Executive Pay Breakdown'!Y:Y)</f>
        <v>0</v>
      </c>
      <c r="J427" s="69">
        <f>SUMIF('Executive Pay Breakdown'!AA:AA,$B427,'Executive Pay Breakdown'!AC:AC)</f>
        <v>0</v>
      </c>
      <c r="K427" s="90"/>
      <c r="L427" s="212"/>
      <c r="M427" s="212"/>
      <c r="N427" s="230"/>
      <c r="O427" s="120">
        <f>MATCH(C427,'Key Findings'!B:B,0)</f>
        <v>59</v>
      </c>
    </row>
    <row r="428">
      <c r="A428" s="62"/>
      <c r="B428" s="86" t="s">
        <v>538</v>
      </c>
      <c r="C428" s="87" t="s">
        <v>33</v>
      </c>
      <c r="D428" s="89">
        <f>SUMIF('Executive Pay Breakdown'!K:K,$B428,'Executive Pay Breakdown'!M:M)+SUMIF('Executive Pay Breakdown'!O:O,$B428,'Executive Pay Breakdown'!Q:Q)+SUMIF('Executive Pay Breakdown'!S:S,$B428,'Executive Pay Breakdown'!U:U)+SUMIF('Executive Pay Breakdown'!W:W,$B428,'Executive Pay Breakdown'!Y:Y)+SUMIF('Executive Pay Breakdown'!AA:AA,$B428,'Executive Pay Breakdown'!AC:AC)</f>
        <v>6012611</v>
      </c>
      <c r="E428" s="109"/>
      <c r="F428" s="69">
        <f>SUMIF('Executive Pay Breakdown'!K:K,$B428,'Executive Pay Breakdown'!M:M)</f>
        <v>0</v>
      </c>
      <c r="G428" s="69">
        <f>SUMIF('Executive Pay Breakdown'!O:O,$B428,'Executive Pay Breakdown'!Q:Q)</f>
        <v>6012611</v>
      </c>
      <c r="H428" s="69">
        <f>SUMIF('Executive Pay Breakdown'!S:S,$B428,'Executive Pay Breakdown'!U:U)</f>
        <v>0</v>
      </c>
      <c r="I428" s="69">
        <f>SUMIF('Executive Pay Breakdown'!W:W,$B428,'Executive Pay Breakdown'!Y:Y)</f>
        <v>0</v>
      </c>
      <c r="J428" s="69">
        <f>SUMIF('Executive Pay Breakdown'!AA:AA,$B428,'Executive Pay Breakdown'!AC:AC)</f>
        <v>0</v>
      </c>
      <c r="K428" s="90"/>
      <c r="L428" s="212"/>
      <c r="M428" s="212"/>
      <c r="N428" s="87"/>
      <c r="O428" s="120">
        <f>MATCH(C428,'Key Findings'!B:B,0)</f>
        <v>33</v>
      </c>
    </row>
    <row r="429">
      <c r="A429" s="62"/>
      <c r="B429" s="86" t="s">
        <v>515</v>
      </c>
      <c r="C429" s="87" t="s">
        <v>44</v>
      </c>
      <c r="D429" s="89">
        <f>SUMIF('Executive Pay Breakdown'!K:K,$B429,'Executive Pay Breakdown'!M:M)+SUMIF('Executive Pay Breakdown'!O:O,$B429,'Executive Pay Breakdown'!Q:Q)+SUMIF('Executive Pay Breakdown'!S:S,$B429,'Executive Pay Breakdown'!U:U)+SUMIF('Executive Pay Breakdown'!W:W,$B429,'Executive Pay Breakdown'!Y:Y)+SUMIF('Executive Pay Breakdown'!AA:AA,$B429,'Executive Pay Breakdown'!AC:AC)</f>
        <v>6002404</v>
      </c>
      <c r="E429" s="109"/>
      <c r="F429" s="69">
        <f>SUMIF('Executive Pay Breakdown'!K:K,$B429,'Executive Pay Breakdown'!M:M)</f>
        <v>0</v>
      </c>
      <c r="G429" s="69">
        <f>SUMIF('Executive Pay Breakdown'!O:O,$B429,'Executive Pay Breakdown'!Q:Q)</f>
        <v>0</v>
      </c>
      <c r="H429" s="69">
        <f>SUMIF('Executive Pay Breakdown'!S:S,$B429,'Executive Pay Breakdown'!U:U)</f>
        <v>132951</v>
      </c>
      <c r="I429" s="69">
        <f>SUMIF('Executive Pay Breakdown'!W:W,$B429,'Executive Pay Breakdown'!Y:Y)</f>
        <v>3361203</v>
      </c>
      <c r="J429" s="69">
        <f>SUMIF('Executive Pay Breakdown'!AA:AA,$B429,'Executive Pay Breakdown'!AC:AC)</f>
        <v>2508250</v>
      </c>
      <c r="K429" s="90"/>
      <c r="L429" s="212"/>
      <c r="M429" s="87"/>
      <c r="N429" s="87"/>
      <c r="O429" s="120">
        <f>MATCH(C429,'Key Findings'!B:B,0)</f>
        <v>25</v>
      </c>
    </row>
    <row r="430">
      <c r="A430" s="62"/>
      <c r="B430" s="125" t="s">
        <v>532</v>
      </c>
      <c r="C430" s="87" t="s">
        <v>18</v>
      </c>
      <c r="D430" s="89">
        <f>SUMIF('Executive Pay Breakdown'!K:K,$B430,'Executive Pay Breakdown'!M:M)+SUMIF('Executive Pay Breakdown'!O:O,$B430,'Executive Pay Breakdown'!Q:Q)+SUMIF('Executive Pay Breakdown'!S:S,$B430,'Executive Pay Breakdown'!U:U)+SUMIF('Executive Pay Breakdown'!W:W,$B430,'Executive Pay Breakdown'!Y:Y)+SUMIF('Executive Pay Breakdown'!AA:AA,$B430,'Executive Pay Breakdown'!AC:AC)</f>
        <v>5728833</v>
      </c>
      <c r="E430" s="109"/>
      <c r="F430" s="69">
        <f>SUMIF('Executive Pay Breakdown'!K:K,$B430,'Executive Pay Breakdown'!M:M)</f>
        <v>5728833</v>
      </c>
      <c r="G430" s="69">
        <f>SUMIF('Executive Pay Breakdown'!O:O,$B430,'Executive Pay Breakdown'!Q:Q)</f>
        <v>0</v>
      </c>
      <c r="H430" s="69">
        <f>SUMIF('Executive Pay Breakdown'!S:S,$B430,'Executive Pay Breakdown'!U:U)</f>
        <v>0</v>
      </c>
      <c r="I430" s="69">
        <f>SUMIF('Executive Pay Breakdown'!W:W,$B430,'Executive Pay Breakdown'!Y:Y)</f>
        <v>0</v>
      </c>
      <c r="J430" s="69">
        <f>SUMIF('Executive Pay Breakdown'!AA:AA,$B430,'Executive Pay Breakdown'!AC:AC)</f>
        <v>0</v>
      </c>
      <c r="K430" s="90"/>
      <c r="L430" s="212"/>
      <c r="M430" s="87"/>
      <c r="N430" s="230"/>
      <c r="O430" s="120">
        <f>MATCH(C430,'Key Findings'!B:B,0)</f>
        <v>8</v>
      </c>
    </row>
    <row r="431">
      <c r="A431" s="62"/>
      <c r="B431" s="86" t="s">
        <v>569</v>
      </c>
      <c r="C431" s="87" t="s">
        <v>28</v>
      </c>
      <c r="D431" s="89">
        <f>SUMIF('Executive Pay Breakdown'!K:K,$B431,'Executive Pay Breakdown'!M:M)+SUMIF('Executive Pay Breakdown'!O:O,$B431,'Executive Pay Breakdown'!Q:Q)+SUMIF('Executive Pay Breakdown'!S:S,$B431,'Executive Pay Breakdown'!U:U)+SUMIF('Executive Pay Breakdown'!W:W,$B431,'Executive Pay Breakdown'!Y:Y)+SUMIF('Executive Pay Breakdown'!AA:AA,$B431,'Executive Pay Breakdown'!AC:AC)</f>
        <v>5714913</v>
      </c>
      <c r="E431" s="109"/>
      <c r="F431" s="69">
        <f>SUMIF('Executive Pay Breakdown'!K:K,$B431,'Executive Pay Breakdown'!M:M)</f>
        <v>3470725</v>
      </c>
      <c r="G431" s="69">
        <f>SUMIF('Executive Pay Breakdown'!O:O,$B431,'Executive Pay Breakdown'!Q:Q)</f>
        <v>2244188</v>
      </c>
      <c r="H431" s="69">
        <f>SUMIF('Executive Pay Breakdown'!S:S,$B431,'Executive Pay Breakdown'!U:U)</f>
        <v>0</v>
      </c>
      <c r="I431" s="69">
        <f>SUMIF('Executive Pay Breakdown'!W:W,$B431,'Executive Pay Breakdown'!Y:Y)</f>
        <v>0</v>
      </c>
      <c r="J431" s="69">
        <f>SUMIF('Executive Pay Breakdown'!AA:AA,$B431,'Executive Pay Breakdown'!AC:AC)</f>
        <v>0</v>
      </c>
      <c r="K431" s="90"/>
      <c r="L431" s="212"/>
      <c r="M431" s="212"/>
      <c r="N431" s="230"/>
      <c r="O431" s="120">
        <f>MATCH(C431,'Key Findings'!B:B,0)</f>
        <v>56</v>
      </c>
    </row>
    <row r="432">
      <c r="A432" s="62"/>
      <c r="B432" s="86" t="s">
        <v>632</v>
      </c>
      <c r="C432" s="233" t="s">
        <v>61</v>
      </c>
      <c r="D432" s="89">
        <f>SUMIF('Executive Pay Breakdown'!K:K,$B432,'Executive Pay Breakdown'!M:M)+SUMIF('Executive Pay Breakdown'!O:O,$B432,'Executive Pay Breakdown'!Q:Q)+SUMIF('Executive Pay Breakdown'!S:S,$B432,'Executive Pay Breakdown'!U:U)+SUMIF('Executive Pay Breakdown'!W:W,$B432,'Executive Pay Breakdown'!Y:Y)+SUMIF('Executive Pay Breakdown'!AA:AA,$B432,'Executive Pay Breakdown'!AC:AC)</f>
        <v>5696996</v>
      </c>
      <c r="E432" s="109"/>
      <c r="F432" s="69">
        <f>SUMIF('Executive Pay Breakdown'!K:K,$B432,'Executive Pay Breakdown'!M:M)</f>
        <v>0</v>
      </c>
      <c r="G432" s="69">
        <f>SUMIF('Executive Pay Breakdown'!O:O,$B432,'Executive Pay Breakdown'!Q:Q)</f>
        <v>0</v>
      </c>
      <c r="H432" s="69">
        <f>SUMIF('Executive Pay Breakdown'!S:S,$B432,'Executive Pay Breakdown'!U:U)</f>
        <v>0</v>
      </c>
      <c r="I432" s="69">
        <f>SUMIF('Executive Pay Breakdown'!W:W,$B432,'Executive Pay Breakdown'!Y:Y)</f>
        <v>0</v>
      </c>
      <c r="J432" s="69">
        <f>SUMIF('Executive Pay Breakdown'!AA:AA,$B432,'Executive Pay Breakdown'!AC:AC)</f>
        <v>5696996</v>
      </c>
      <c r="K432" s="90"/>
      <c r="L432" s="212"/>
      <c r="M432" s="87"/>
      <c r="N432" s="87"/>
      <c r="O432" s="120">
        <f>MATCH(C432,'Key Findings'!B:B,0)</f>
        <v>22</v>
      </c>
    </row>
    <row r="433">
      <c r="A433" s="62"/>
      <c r="B433" s="86" t="s">
        <v>581</v>
      </c>
      <c r="C433" s="87" t="s">
        <v>37</v>
      </c>
      <c r="D433" s="89">
        <f>SUMIF('Executive Pay Breakdown'!K:K,$B433,'Executive Pay Breakdown'!M:M)+SUMIF('Executive Pay Breakdown'!O:O,$B433,'Executive Pay Breakdown'!Q:Q)+SUMIF('Executive Pay Breakdown'!S:S,$B433,'Executive Pay Breakdown'!U:U)+SUMIF('Executive Pay Breakdown'!W:W,$B433,'Executive Pay Breakdown'!Y:Y)+SUMIF('Executive Pay Breakdown'!AA:AA,$B433,'Executive Pay Breakdown'!AC:AC)</f>
        <v>5546128</v>
      </c>
      <c r="E433" s="109"/>
      <c r="F433" s="69">
        <f>SUMIF('Executive Pay Breakdown'!K:K,$B433,'Executive Pay Breakdown'!M:M)</f>
        <v>0</v>
      </c>
      <c r="G433" s="69">
        <f>SUMIF('Executive Pay Breakdown'!O:O,$B433,'Executive Pay Breakdown'!Q:Q)</f>
        <v>5546128</v>
      </c>
      <c r="H433" s="69">
        <f>SUMIF('Executive Pay Breakdown'!S:S,$B433,'Executive Pay Breakdown'!U:U)</f>
        <v>0</v>
      </c>
      <c r="I433" s="69">
        <f>SUMIF('Executive Pay Breakdown'!W:W,$B433,'Executive Pay Breakdown'!Y:Y)</f>
        <v>0</v>
      </c>
      <c r="J433" s="69">
        <f>SUMIF('Executive Pay Breakdown'!AA:AA,$B433,'Executive Pay Breakdown'!AC:AC)</f>
        <v>0</v>
      </c>
      <c r="K433" s="90"/>
      <c r="L433" s="212"/>
      <c r="M433" s="212"/>
      <c r="N433" s="87"/>
      <c r="O433" s="120">
        <f>MATCH(C433,'Key Findings'!B:B,0)</f>
        <v>44</v>
      </c>
    </row>
    <row r="434">
      <c r="A434" s="81"/>
      <c r="B434" s="137" t="s">
        <v>481</v>
      </c>
      <c r="C434" s="87" t="str">
        <f t="array" ref="C434">INDEX('Executive Pay Breakdown'!B:B,MATCH(B434,'Executive Pay Breakdown'!W:W,0))</f>
        <v>AmerisourceBergen</v>
      </c>
      <c r="D434" s="89">
        <f>SUMIF('Executive Pay Breakdown'!K:K,$B434,'Executive Pay Breakdown'!M:M)+SUMIF('Executive Pay Breakdown'!O:O,$B434,'Executive Pay Breakdown'!Q:Q)+SUMIF('Executive Pay Breakdown'!S:S,$B434,'Executive Pay Breakdown'!U:U)+SUMIF('Executive Pay Breakdown'!W:W,$B434,'Executive Pay Breakdown'!Y:Y)+SUMIF('Executive Pay Breakdown'!AA:AA,$B434,'Executive Pay Breakdown'!AC:AC)</f>
        <v>5453248</v>
      </c>
      <c r="E434" s="109"/>
      <c r="F434" s="69">
        <f>SUMIF('Executive Pay Breakdown'!K:K,$B434,'Executive Pay Breakdown'!M:M)</f>
        <v>0</v>
      </c>
      <c r="G434" s="69">
        <f>SUMIF('Executive Pay Breakdown'!O:O,$B434,'Executive Pay Breakdown'!Q:Q)</f>
        <v>0</v>
      </c>
      <c r="H434" s="69">
        <f>SUMIF('Executive Pay Breakdown'!S:S,$B434,'Executive Pay Breakdown'!U:U)</f>
        <v>0</v>
      </c>
      <c r="I434" s="69">
        <f>SUMIF('Executive Pay Breakdown'!W:W,$B434,'Executive Pay Breakdown'!Y:Y)</f>
        <v>1367549</v>
      </c>
      <c r="J434" s="69">
        <f>SUMIF('Executive Pay Breakdown'!AA:AA,$B434,'Executive Pay Breakdown'!AC:AC)</f>
        <v>4085699</v>
      </c>
      <c r="K434" s="90"/>
      <c r="L434" s="212"/>
      <c r="M434" s="87"/>
      <c r="N434" s="230"/>
      <c r="O434" s="120">
        <f>MATCH(C434,'Key Findings'!B:B,0)</f>
        <v>45</v>
      </c>
    </row>
    <row r="435">
      <c r="A435" s="62"/>
      <c r="B435" s="125" t="s">
        <v>596</v>
      </c>
      <c r="C435" s="87" t="s">
        <v>25</v>
      </c>
      <c r="D435" s="89">
        <f>SUMIF('Executive Pay Breakdown'!K:K,$B435,'Executive Pay Breakdown'!M:M)+SUMIF('Executive Pay Breakdown'!O:O,$B435,'Executive Pay Breakdown'!Q:Q)+SUMIF('Executive Pay Breakdown'!S:S,$B435,'Executive Pay Breakdown'!U:U)+SUMIF('Executive Pay Breakdown'!W:W,$B435,'Executive Pay Breakdown'!Y:Y)+SUMIF('Executive Pay Breakdown'!AA:AA,$B435,'Executive Pay Breakdown'!AC:AC)</f>
        <v>5436981</v>
      </c>
      <c r="E435" s="109"/>
      <c r="F435" s="69">
        <f>SUMIF('Executive Pay Breakdown'!K:K,$B435,'Executive Pay Breakdown'!M:M)</f>
        <v>0</v>
      </c>
      <c r="G435" s="69">
        <f>SUMIF('Executive Pay Breakdown'!O:O,$B435,'Executive Pay Breakdown'!Q:Q)</f>
        <v>2757368</v>
      </c>
      <c r="H435" s="69">
        <f>SUMIF('Executive Pay Breakdown'!S:S,$B435,'Executive Pay Breakdown'!U:U)</f>
        <v>2679613</v>
      </c>
      <c r="I435" s="69">
        <f>SUMIF('Executive Pay Breakdown'!W:W,$B435,'Executive Pay Breakdown'!Y:Y)</f>
        <v>0</v>
      </c>
      <c r="J435" s="69">
        <f>SUMIF('Executive Pay Breakdown'!AA:AA,$B435,'Executive Pay Breakdown'!AC:AC)</f>
        <v>0</v>
      </c>
      <c r="K435" s="90"/>
      <c r="L435" s="212"/>
      <c r="M435" s="87"/>
      <c r="N435" s="87"/>
      <c r="O435" s="120">
        <f>MATCH(C435,'Key Findings'!B:B,0)</f>
        <v>42</v>
      </c>
    </row>
    <row r="436">
      <c r="A436" s="71"/>
      <c r="B436" s="124" t="s">
        <v>511</v>
      </c>
      <c r="C436" s="87" t="s">
        <v>55</v>
      </c>
      <c r="D436" s="89">
        <f>SUMIF('Executive Pay Breakdown'!K:K,$B436,'Executive Pay Breakdown'!M:M)+SUMIF('Executive Pay Breakdown'!O:O,$B436,'Executive Pay Breakdown'!Q:Q)+SUMIF('Executive Pay Breakdown'!S:S,$B436,'Executive Pay Breakdown'!U:U)+SUMIF('Executive Pay Breakdown'!W:W,$B436,'Executive Pay Breakdown'!Y:Y)+SUMIF('Executive Pay Breakdown'!AA:AA,$B436,'Executive Pay Breakdown'!AC:AC)</f>
        <v>5361177</v>
      </c>
      <c r="E436" s="109"/>
      <c r="F436" s="69">
        <f>SUMIF('Executive Pay Breakdown'!K:K,$B436,'Executive Pay Breakdown'!M:M)</f>
        <v>0</v>
      </c>
      <c r="G436" s="69">
        <f>SUMIF('Executive Pay Breakdown'!O:O,$B436,'Executive Pay Breakdown'!Q:Q)</f>
        <v>0</v>
      </c>
      <c r="H436" s="69">
        <f>SUMIF('Executive Pay Breakdown'!S:S,$B436,'Executive Pay Breakdown'!U:U)</f>
        <v>5361177</v>
      </c>
      <c r="I436" s="69">
        <f>SUMIF('Executive Pay Breakdown'!W:W,$B436,'Executive Pay Breakdown'!Y:Y)</f>
        <v>0</v>
      </c>
      <c r="J436" s="69">
        <f>SUMIF('Executive Pay Breakdown'!AA:AA,$B436,'Executive Pay Breakdown'!AC:AC)</f>
        <v>0</v>
      </c>
      <c r="K436" s="90"/>
      <c r="L436" s="212"/>
      <c r="M436" s="87"/>
      <c r="N436" s="87"/>
      <c r="O436" s="120">
        <f>MATCH(C436,'Key Findings'!B:B,0)</f>
        <v>20</v>
      </c>
    </row>
    <row r="437">
      <c r="A437" s="62"/>
      <c r="B437" s="86" t="s">
        <v>520</v>
      </c>
      <c r="C437" s="233" t="s">
        <v>62</v>
      </c>
      <c r="D437" s="89">
        <f>SUMIF('Executive Pay Breakdown'!K:K,$B437,'Executive Pay Breakdown'!M:M)+SUMIF('Executive Pay Breakdown'!O:O,$B437,'Executive Pay Breakdown'!Q:Q)+SUMIF('Executive Pay Breakdown'!S:S,$B437,'Executive Pay Breakdown'!U:U)+SUMIF('Executive Pay Breakdown'!W:W,$B437,'Executive Pay Breakdown'!Y:Y)+SUMIF('Executive Pay Breakdown'!AA:AA,$B437,'Executive Pay Breakdown'!AC:AC)</f>
        <v>5290167</v>
      </c>
      <c r="E437" s="109"/>
      <c r="F437" s="69">
        <f>SUMIF('Executive Pay Breakdown'!K:K,$B437,'Executive Pay Breakdown'!M:M)</f>
        <v>0</v>
      </c>
      <c r="G437" s="69">
        <f>SUMIF('Executive Pay Breakdown'!O:O,$B437,'Executive Pay Breakdown'!Q:Q)</f>
        <v>0</v>
      </c>
      <c r="H437" s="69">
        <f>SUMIF('Executive Pay Breakdown'!S:S,$B437,'Executive Pay Breakdown'!U:U)</f>
        <v>0</v>
      </c>
      <c r="I437" s="69">
        <f>SUMIF('Executive Pay Breakdown'!W:W,$B437,'Executive Pay Breakdown'!Y:Y)</f>
        <v>0</v>
      </c>
      <c r="J437" s="69">
        <f>SUMIF('Executive Pay Breakdown'!AA:AA,$B437,'Executive Pay Breakdown'!AC:AC)</f>
        <v>5290167</v>
      </c>
      <c r="K437" s="90"/>
      <c r="L437" s="212"/>
      <c r="M437" s="87"/>
      <c r="N437" s="87"/>
      <c r="O437" s="120">
        <f>MATCH(C437,'Key Findings'!B:B,0)</f>
        <v>28</v>
      </c>
    </row>
    <row r="438">
      <c r="A438" s="62"/>
      <c r="B438" s="127" t="s">
        <v>582</v>
      </c>
      <c r="C438" s="87" t="s">
        <v>20</v>
      </c>
      <c r="D438" s="89">
        <f>SUMIF('Executive Pay Breakdown'!K:K,$B438,'Executive Pay Breakdown'!M:M)+SUMIF('Executive Pay Breakdown'!O:O,$B438,'Executive Pay Breakdown'!Q:Q)+SUMIF('Executive Pay Breakdown'!S:S,$B438,'Executive Pay Breakdown'!U:U)+SUMIF('Executive Pay Breakdown'!W:W,$B438,'Executive Pay Breakdown'!Y:Y)+SUMIF('Executive Pay Breakdown'!AA:AA,$B438,'Executive Pay Breakdown'!AC:AC)</f>
        <v>5225531</v>
      </c>
      <c r="E438" s="109"/>
      <c r="F438" s="69">
        <f>SUMIF('Executive Pay Breakdown'!K:K,$B438,'Executive Pay Breakdown'!M:M)</f>
        <v>2644918</v>
      </c>
      <c r="G438" s="69">
        <f>SUMIF('Executive Pay Breakdown'!O:O,$B438,'Executive Pay Breakdown'!Q:Q)</f>
        <v>2580613</v>
      </c>
      <c r="H438" s="69">
        <f>SUMIF('Executive Pay Breakdown'!S:S,$B438,'Executive Pay Breakdown'!U:U)</f>
        <v>0</v>
      </c>
      <c r="I438" s="69">
        <f>SUMIF('Executive Pay Breakdown'!W:W,$B438,'Executive Pay Breakdown'!Y:Y)</f>
        <v>0</v>
      </c>
      <c r="J438" s="69">
        <f>SUMIF('Executive Pay Breakdown'!AA:AA,$B438,'Executive Pay Breakdown'!AC:AC)</f>
        <v>0</v>
      </c>
      <c r="K438" s="90"/>
      <c r="L438" s="212"/>
      <c r="M438" s="212"/>
      <c r="N438" s="230"/>
      <c r="O438" s="120">
        <f>MATCH(C438,'Key Findings'!B:B,0)</f>
        <v>38</v>
      </c>
    </row>
    <row r="439">
      <c r="A439" s="62"/>
      <c r="B439" s="125" t="s">
        <v>583</v>
      </c>
      <c r="C439" s="87" t="s">
        <v>22</v>
      </c>
      <c r="D439" s="89">
        <f>SUMIF('Executive Pay Breakdown'!K:K,$B439,'Executive Pay Breakdown'!M:M)+SUMIF('Executive Pay Breakdown'!O:O,$B439,'Executive Pay Breakdown'!Q:Q)+SUMIF('Executive Pay Breakdown'!S:S,$B439,'Executive Pay Breakdown'!U:U)+SUMIF('Executive Pay Breakdown'!W:W,$B439,'Executive Pay Breakdown'!Y:Y)+SUMIF('Executive Pay Breakdown'!AA:AA,$B439,'Executive Pay Breakdown'!AC:AC)</f>
        <v>5206086</v>
      </c>
      <c r="E439" s="109"/>
      <c r="F439" s="69">
        <f>SUMIF('Executive Pay Breakdown'!K:K,$B439,'Executive Pay Breakdown'!M:M)</f>
        <v>1367312</v>
      </c>
      <c r="G439" s="69">
        <f>SUMIF('Executive Pay Breakdown'!O:O,$B439,'Executive Pay Breakdown'!Q:Q)</f>
        <v>1885073</v>
      </c>
      <c r="H439" s="69">
        <f>SUMIF('Executive Pay Breakdown'!S:S,$B439,'Executive Pay Breakdown'!U:U)</f>
        <v>1953701</v>
      </c>
      <c r="I439" s="69">
        <f>SUMIF('Executive Pay Breakdown'!W:W,$B439,'Executive Pay Breakdown'!Y:Y)</f>
        <v>0</v>
      </c>
      <c r="J439" s="69">
        <f>SUMIF('Executive Pay Breakdown'!AA:AA,$B439,'Executive Pay Breakdown'!AC:AC)</f>
        <v>0</v>
      </c>
      <c r="K439" s="90"/>
      <c r="L439" s="212"/>
      <c r="M439" s="87"/>
      <c r="N439" s="230"/>
      <c r="O439" s="120">
        <f>MATCH(C439,'Key Findings'!B:B,0)</f>
        <v>39</v>
      </c>
    </row>
    <row r="440">
      <c r="A440" s="62"/>
      <c r="B440" s="86" t="s">
        <v>490</v>
      </c>
      <c r="C440" s="233" t="s">
        <v>71</v>
      </c>
      <c r="D440" s="89">
        <f>SUMIF('Executive Pay Breakdown'!K:K,$B440,'Executive Pay Breakdown'!M:M)+SUMIF('Executive Pay Breakdown'!O:O,$B440,'Executive Pay Breakdown'!Q:Q)+SUMIF('Executive Pay Breakdown'!S:S,$B440,'Executive Pay Breakdown'!U:U)+SUMIF('Executive Pay Breakdown'!W:W,$B440,'Executive Pay Breakdown'!Y:Y)+SUMIF('Executive Pay Breakdown'!AA:AA,$B440,'Executive Pay Breakdown'!AC:AC)</f>
        <v>5163865</v>
      </c>
      <c r="E440" s="109"/>
      <c r="F440" s="69">
        <f>SUMIF('Executive Pay Breakdown'!K:K,$B440,'Executive Pay Breakdown'!M:M)</f>
        <v>0</v>
      </c>
      <c r="G440" s="69">
        <f>SUMIF('Executive Pay Breakdown'!O:O,$B440,'Executive Pay Breakdown'!Q:Q)</f>
        <v>0</v>
      </c>
      <c r="H440" s="69">
        <f>SUMIF('Executive Pay Breakdown'!S:S,$B440,'Executive Pay Breakdown'!U:U)</f>
        <v>0</v>
      </c>
      <c r="I440" s="69">
        <f>SUMIF('Executive Pay Breakdown'!W:W,$B440,'Executive Pay Breakdown'!Y:Y)</f>
        <v>2170527</v>
      </c>
      <c r="J440" s="69">
        <f>SUMIF('Executive Pay Breakdown'!AA:AA,$B440,'Executive Pay Breakdown'!AC:AC)</f>
        <v>2993338</v>
      </c>
      <c r="K440" s="90"/>
      <c r="L440" s="212"/>
      <c r="M440" s="87"/>
      <c r="N440" s="87"/>
      <c r="O440" s="120">
        <f>MATCH(C440,'Key Findings'!B:B,0)</f>
        <v>58</v>
      </c>
    </row>
    <row r="441">
      <c r="A441" s="62"/>
      <c r="B441" s="86" t="s">
        <v>586</v>
      </c>
      <c r="C441" s="87" t="s">
        <v>38</v>
      </c>
      <c r="D441" s="89">
        <f>SUMIF('Executive Pay Breakdown'!K:K,$B441,'Executive Pay Breakdown'!M:M)+SUMIF('Executive Pay Breakdown'!O:O,$B441,'Executive Pay Breakdown'!Q:Q)+SUMIF('Executive Pay Breakdown'!S:S,$B441,'Executive Pay Breakdown'!U:U)+SUMIF('Executive Pay Breakdown'!W:W,$B441,'Executive Pay Breakdown'!Y:Y)+SUMIF('Executive Pay Breakdown'!AA:AA,$B441,'Executive Pay Breakdown'!AC:AC)</f>
        <v>5138958</v>
      </c>
      <c r="E441" s="109"/>
      <c r="F441" s="69">
        <f>SUMIF('Executive Pay Breakdown'!K:K,$B441,'Executive Pay Breakdown'!M:M)</f>
        <v>0</v>
      </c>
      <c r="G441" s="69">
        <f>SUMIF('Executive Pay Breakdown'!O:O,$B441,'Executive Pay Breakdown'!Q:Q)</f>
        <v>1656800</v>
      </c>
      <c r="H441" s="69">
        <f>SUMIF('Executive Pay Breakdown'!S:S,$B441,'Executive Pay Breakdown'!U:U)</f>
        <v>1868330</v>
      </c>
      <c r="I441" s="69">
        <f>SUMIF('Executive Pay Breakdown'!W:W,$B441,'Executive Pay Breakdown'!Y:Y)</f>
        <v>1613828</v>
      </c>
      <c r="J441" s="69">
        <f>SUMIF('Executive Pay Breakdown'!AA:AA,$B441,'Executive Pay Breakdown'!AC:AC)</f>
        <v>0</v>
      </c>
      <c r="K441" s="90"/>
      <c r="L441" s="212"/>
      <c r="M441" s="87"/>
      <c r="N441" s="87"/>
      <c r="O441" s="120">
        <f>MATCH(C441,'Key Findings'!B:B,0)</f>
        <v>62</v>
      </c>
    </row>
    <row r="442">
      <c r="A442" s="62"/>
      <c r="B442" s="86" t="s">
        <v>556</v>
      </c>
      <c r="C442" s="87" t="s">
        <v>33</v>
      </c>
      <c r="D442" s="89">
        <f>SUMIF('Executive Pay Breakdown'!K:K,$B442,'Executive Pay Breakdown'!M:M)+SUMIF('Executive Pay Breakdown'!O:O,$B442,'Executive Pay Breakdown'!Q:Q)+SUMIF('Executive Pay Breakdown'!S:S,$B442,'Executive Pay Breakdown'!U:U)+SUMIF('Executive Pay Breakdown'!W:W,$B442,'Executive Pay Breakdown'!Y:Y)+SUMIF('Executive Pay Breakdown'!AA:AA,$B442,'Executive Pay Breakdown'!AC:AC)</f>
        <v>5124585</v>
      </c>
      <c r="E442" s="109"/>
      <c r="F442" s="69">
        <f>SUMIF('Executive Pay Breakdown'!K:K,$B442,'Executive Pay Breakdown'!M:M)</f>
        <v>5124585</v>
      </c>
      <c r="G442" s="69">
        <f>SUMIF('Executive Pay Breakdown'!O:O,$B442,'Executive Pay Breakdown'!Q:Q)</f>
        <v>0</v>
      </c>
      <c r="H442" s="69">
        <f>SUMIF('Executive Pay Breakdown'!S:S,$B442,'Executive Pay Breakdown'!U:U)</f>
        <v>0</v>
      </c>
      <c r="I442" s="69">
        <f>SUMIF('Executive Pay Breakdown'!W:W,$B442,'Executive Pay Breakdown'!Y:Y)</f>
        <v>0</v>
      </c>
      <c r="J442" s="69">
        <f>SUMIF('Executive Pay Breakdown'!AA:AA,$B442,'Executive Pay Breakdown'!AC:AC)</f>
        <v>0</v>
      </c>
      <c r="K442" s="90"/>
      <c r="L442" s="212"/>
      <c r="M442" s="87"/>
      <c r="N442" s="230"/>
      <c r="O442" s="120">
        <f>MATCH(C442,'Key Findings'!B:B,0)</f>
        <v>33</v>
      </c>
    </row>
    <row r="443">
      <c r="A443" s="62"/>
      <c r="B443" s="142" t="s">
        <v>584</v>
      </c>
      <c r="C443" s="87" t="s">
        <v>20</v>
      </c>
      <c r="D443" s="89">
        <f>SUMIF('Executive Pay Breakdown'!K:K,$B443,'Executive Pay Breakdown'!M:M)+SUMIF('Executive Pay Breakdown'!O:O,$B443,'Executive Pay Breakdown'!Q:Q)+SUMIF('Executive Pay Breakdown'!S:S,$B443,'Executive Pay Breakdown'!U:U)+SUMIF('Executive Pay Breakdown'!W:W,$B443,'Executive Pay Breakdown'!Y:Y)+SUMIF('Executive Pay Breakdown'!AA:AA,$B443,'Executive Pay Breakdown'!AC:AC)</f>
        <v>5122458</v>
      </c>
      <c r="E443" s="109"/>
      <c r="F443" s="69">
        <f>SUMIF('Executive Pay Breakdown'!K:K,$B443,'Executive Pay Breakdown'!M:M)</f>
        <v>0</v>
      </c>
      <c r="G443" s="69">
        <f>SUMIF('Executive Pay Breakdown'!O:O,$B443,'Executive Pay Breakdown'!Q:Q)</f>
        <v>0</v>
      </c>
      <c r="H443" s="69">
        <f>SUMIF('Executive Pay Breakdown'!S:S,$B443,'Executive Pay Breakdown'!U:U)</f>
        <v>0</v>
      </c>
      <c r="I443" s="69">
        <f>SUMIF('Executive Pay Breakdown'!W:W,$B443,'Executive Pay Breakdown'!Y:Y)</f>
        <v>2847059</v>
      </c>
      <c r="J443" s="69">
        <f>SUMIF('Executive Pay Breakdown'!AA:AA,$B443,'Executive Pay Breakdown'!AC:AC)</f>
        <v>2275399</v>
      </c>
      <c r="K443" s="90"/>
      <c r="L443" s="212"/>
      <c r="M443" s="87"/>
      <c r="N443" s="87"/>
      <c r="O443" s="120">
        <f>MATCH(C443,'Key Findings'!B:B,0)</f>
        <v>38</v>
      </c>
    </row>
    <row r="444">
      <c r="A444" s="62"/>
      <c r="B444" s="127" t="s">
        <v>575</v>
      </c>
      <c r="C444" s="87" t="s">
        <v>30</v>
      </c>
      <c r="D444" s="89">
        <f>SUMIF('Executive Pay Breakdown'!K:K,$B444,'Executive Pay Breakdown'!M:M)+SUMIF('Executive Pay Breakdown'!O:O,$B444,'Executive Pay Breakdown'!Q:Q)+SUMIF('Executive Pay Breakdown'!S:S,$B444,'Executive Pay Breakdown'!U:U)+SUMIF('Executive Pay Breakdown'!W:W,$B444,'Executive Pay Breakdown'!Y:Y)+SUMIF('Executive Pay Breakdown'!AA:AA,$B444,'Executive Pay Breakdown'!AC:AC)</f>
        <v>5111743</v>
      </c>
      <c r="E444" s="109"/>
      <c r="F444" s="69">
        <f>SUMIF('Executive Pay Breakdown'!K:K,$B444,'Executive Pay Breakdown'!M:M)</f>
        <v>2581551</v>
      </c>
      <c r="G444" s="69">
        <f>SUMIF('Executive Pay Breakdown'!O:O,$B444,'Executive Pay Breakdown'!Q:Q)</f>
        <v>2530192</v>
      </c>
      <c r="H444" s="69">
        <f>SUMIF('Executive Pay Breakdown'!S:S,$B444,'Executive Pay Breakdown'!U:U)</f>
        <v>0</v>
      </c>
      <c r="I444" s="69">
        <f>SUMIF('Executive Pay Breakdown'!W:W,$B444,'Executive Pay Breakdown'!Y:Y)</f>
        <v>0</v>
      </c>
      <c r="J444" s="69">
        <f>SUMIF('Executive Pay Breakdown'!AA:AA,$B444,'Executive Pay Breakdown'!AC:AC)</f>
        <v>0</v>
      </c>
      <c r="K444" s="90"/>
      <c r="L444" s="212"/>
      <c r="M444" s="212"/>
      <c r="N444" s="230"/>
      <c r="O444" s="120">
        <f>MATCH(C444,'Key Findings'!B:B,0)</f>
        <v>49</v>
      </c>
    </row>
    <row r="445">
      <c r="A445" s="62"/>
      <c r="B445" s="127" t="s">
        <v>593</v>
      </c>
      <c r="C445" s="87" t="s">
        <v>53</v>
      </c>
      <c r="D445" s="89">
        <f>SUMIF('Executive Pay Breakdown'!K:K,$B445,'Executive Pay Breakdown'!M:M)+SUMIF('Executive Pay Breakdown'!O:O,$B445,'Executive Pay Breakdown'!Q:Q)+SUMIF('Executive Pay Breakdown'!S:S,$B445,'Executive Pay Breakdown'!U:U)+SUMIF('Executive Pay Breakdown'!W:W,$B445,'Executive Pay Breakdown'!Y:Y)+SUMIF('Executive Pay Breakdown'!AA:AA,$B445,'Executive Pay Breakdown'!AC:AC)</f>
        <v>5093982</v>
      </c>
      <c r="E445" s="109"/>
      <c r="F445" s="69">
        <f>SUMIF('Executive Pay Breakdown'!K:K,$B445,'Executive Pay Breakdown'!M:M)</f>
        <v>0</v>
      </c>
      <c r="G445" s="69">
        <f>SUMIF('Executive Pay Breakdown'!O:O,$B445,'Executive Pay Breakdown'!Q:Q)</f>
        <v>0</v>
      </c>
      <c r="H445" s="69">
        <f>SUMIF('Executive Pay Breakdown'!S:S,$B445,'Executive Pay Breakdown'!U:U)</f>
        <v>0</v>
      </c>
      <c r="I445" s="69">
        <f>SUMIF('Executive Pay Breakdown'!W:W,$B445,'Executive Pay Breakdown'!Y:Y)</f>
        <v>5093982</v>
      </c>
      <c r="J445" s="69">
        <f>SUMIF('Executive Pay Breakdown'!AA:AA,$B445,'Executive Pay Breakdown'!AC:AC)</f>
        <v>0</v>
      </c>
      <c r="K445" s="90"/>
      <c r="L445" s="212"/>
      <c r="M445" s="87"/>
      <c r="N445" s="87"/>
      <c r="O445" s="120">
        <f>MATCH(C445,'Key Findings'!B:B,0)</f>
        <v>23</v>
      </c>
    </row>
    <row r="446">
      <c r="A446" s="62"/>
      <c r="B446" s="86" t="s">
        <v>477</v>
      </c>
      <c r="C446" s="87" t="s">
        <v>77</v>
      </c>
      <c r="D446" s="89">
        <f>SUMIF('Executive Pay Breakdown'!K:K,$B446,'Executive Pay Breakdown'!M:M)+SUMIF('Executive Pay Breakdown'!O:O,$B446,'Executive Pay Breakdown'!Q:Q)+SUMIF('Executive Pay Breakdown'!S:S,$B446,'Executive Pay Breakdown'!U:U)+SUMIF('Executive Pay Breakdown'!W:W,$B446,'Executive Pay Breakdown'!Y:Y)+SUMIF('Executive Pay Breakdown'!AA:AA,$B446,'Executive Pay Breakdown'!AC:AC)</f>
        <v>4951762</v>
      </c>
      <c r="E446" s="109"/>
      <c r="F446" s="69">
        <f>SUMIF('Executive Pay Breakdown'!K:K,$B446,'Executive Pay Breakdown'!M:M)</f>
        <v>4951762</v>
      </c>
      <c r="G446" s="69">
        <f>SUMIF('Executive Pay Breakdown'!O:O,$B446,'Executive Pay Breakdown'!Q:Q)</f>
        <v>0</v>
      </c>
      <c r="H446" s="69">
        <f>SUMIF('Executive Pay Breakdown'!S:S,$B446,'Executive Pay Breakdown'!U:U)</f>
        <v>0</v>
      </c>
      <c r="I446" s="69">
        <f>SUMIF('Executive Pay Breakdown'!W:W,$B446,'Executive Pay Breakdown'!Y:Y)</f>
        <v>0</v>
      </c>
      <c r="J446" s="69">
        <f>SUMIF('Executive Pay Breakdown'!AA:AA,$B446,'Executive Pay Breakdown'!AC:AC)</f>
        <v>0</v>
      </c>
      <c r="K446" s="90"/>
      <c r="L446" s="212"/>
      <c r="M446" s="87"/>
      <c r="N446" s="230"/>
      <c r="O446" s="120">
        <f>MATCH(C446,'Key Findings'!B:B,0)</f>
        <v>40</v>
      </c>
    </row>
    <row r="447">
      <c r="A447" s="62"/>
      <c r="B447" s="86" t="s">
        <v>553</v>
      </c>
      <c r="C447" s="87" t="s">
        <v>67</v>
      </c>
      <c r="D447" s="89">
        <f>SUMIF('Executive Pay Breakdown'!K:K,$B447,'Executive Pay Breakdown'!M:M)+SUMIF('Executive Pay Breakdown'!O:O,$B447,'Executive Pay Breakdown'!Q:Q)+SUMIF('Executive Pay Breakdown'!S:S,$B447,'Executive Pay Breakdown'!U:U)+SUMIF('Executive Pay Breakdown'!W:W,$B447,'Executive Pay Breakdown'!Y:Y)+SUMIF('Executive Pay Breakdown'!AA:AA,$B447,'Executive Pay Breakdown'!AC:AC)</f>
        <v>4891480</v>
      </c>
      <c r="E447" s="109"/>
      <c r="F447" s="69">
        <f>SUMIF('Executive Pay Breakdown'!K:K,$B447,'Executive Pay Breakdown'!M:M)</f>
        <v>2309419</v>
      </c>
      <c r="G447" s="69">
        <f>SUMIF('Executive Pay Breakdown'!O:O,$B447,'Executive Pay Breakdown'!Q:Q)</f>
        <v>2582061</v>
      </c>
      <c r="H447" s="69">
        <f>SUMIF('Executive Pay Breakdown'!S:S,$B447,'Executive Pay Breakdown'!U:U)</f>
        <v>0</v>
      </c>
      <c r="I447" s="69">
        <f>SUMIF('Executive Pay Breakdown'!W:W,$B447,'Executive Pay Breakdown'!Y:Y)</f>
        <v>0</v>
      </c>
      <c r="J447" s="69">
        <f>SUMIF('Executive Pay Breakdown'!AA:AA,$B447,'Executive Pay Breakdown'!AC:AC)</f>
        <v>0</v>
      </c>
      <c r="K447" s="90"/>
      <c r="L447" s="212"/>
      <c r="M447" s="212"/>
      <c r="N447" s="230"/>
      <c r="O447" s="120">
        <f>MATCH(C447,'Key Findings'!B:B,0)</f>
        <v>64</v>
      </c>
    </row>
    <row r="448">
      <c r="A448" s="62"/>
      <c r="B448" s="86" t="s">
        <v>597</v>
      </c>
      <c r="C448" s="87" t="s">
        <v>32</v>
      </c>
      <c r="D448" s="89">
        <f>SUMIF('Executive Pay Breakdown'!K:K,$B448,'Executive Pay Breakdown'!M:M)+SUMIF('Executive Pay Breakdown'!O:O,$B448,'Executive Pay Breakdown'!Q:Q)+SUMIF('Executive Pay Breakdown'!S:S,$B448,'Executive Pay Breakdown'!U:U)+SUMIF('Executive Pay Breakdown'!W:W,$B448,'Executive Pay Breakdown'!Y:Y)+SUMIF('Executive Pay Breakdown'!AA:AA,$B448,'Executive Pay Breakdown'!AC:AC)</f>
        <v>4872853</v>
      </c>
      <c r="E448" s="109"/>
      <c r="F448" s="69">
        <f>SUMIF('Executive Pay Breakdown'!K:K,$B448,'Executive Pay Breakdown'!M:M)</f>
        <v>1608819</v>
      </c>
      <c r="G448" s="69">
        <f>SUMIF('Executive Pay Breakdown'!O:O,$B448,'Executive Pay Breakdown'!Q:Q)</f>
        <v>2013250</v>
      </c>
      <c r="H448" s="69">
        <f>SUMIF('Executive Pay Breakdown'!S:S,$B448,'Executive Pay Breakdown'!U:U)</f>
        <v>1250784</v>
      </c>
      <c r="I448" s="69">
        <f>SUMIF('Executive Pay Breakdown'!W:W,$B448,'Executive Pay Breakdown'!Y:Y)</f>
        <v>0</v>
      </c>
      <c r="J448" s="69">
        <f>SUMIF('Executive Pay Breakdown'!AA:AA,$B448,'Executive Pay Breakdown'!AC:AC)</f>
        <v>0</v>
      </c>
      <c r="K448" s="90"/>
      <c r="L448" s="212"/>
      <c r="M448" s="87"/>
      <c r="N448" s="230"/>
      <c r="O448" s="120">
        <f>MATCH(C448,'Key Findings'!B:B,0)</f>
        <v>26</v>
      </c>
    </row>
    <row r="449">
      <c r="A449" s="62"/>
      <c r="B449" s="87" t="s">
        <v>533</v>
      </c>
      <c r="C449" s="87" t="s">
        <v>19</v>
      </c>
      <c r="D449" s="89">
        <f>SUMIF('Executive Pay Breakdown'!K:K,$B449,'Executive Pay Breakdown'!M:M)+SUMIF('Executive Pay Breakdown'!O:O,$B449,'Executive Pay Breakdown'!Q:Q)+SUMIF('Executive Pay Breakdown'!S:S,$B449,'Executive Pay Breakdown'!U:U)+SUMIF('Executive Pay Breakdown'!W:W,$B449,'Executive Pay Breakdown'!Y:Y)+SUMIF('Executive Pay Breakdown'!AA:AA,$B449,'Executive Pay Breakdown'!AC:AC)</f>
        <v>4823990</v>
      </c>
      <c r="E449" s="109"/>
      <c r="F449" s="69">
        <f>SUMIF('Executive Pay Breakdown'!K:K,$B449,'Executive Pay Breakdown'!M:M)</f>
        <v>0</v>
      </c>
      <c r="G449" s="69">
        <f>SUMIF('Executive Pay Breakdown'!O:O,$B449,'Executive Pay Breakdown'!Q:Q)</f>
        <v>0</v>
      </c>
      <c r="H449" s="69">
        <f>SUMIF('Executive Pay Breakdown'!S:S,$B449,'Executive Pay Breakdown'!U:U)</f>
        <v>0</v>
      </c>
      <c r="I449" s="69">
        <f>SUMIF('Executive Pay Breakdown'!W:W,$B449,'Executive Pay Breakdown'!Y:Y)</f>
        <v>0</v>
      </c>
      <c r="J449" s="69">
        <f>SUMIF('Executive Pay Breakdown'!AA:AA,$B449,'Executive Pay Breakdown'!AC:AC)</f>
        <v>4823990</v>
      </c>
      <c r="K449" s="90"/>
      <c r="L449" s="212"/>
      <c r="M449" s="87"/>
      <c r="N449" s="87"/>
      <c r="O449" s="120">
        <f>MATCH(C449,'Key Findings'!B:B,0)</f>
        <v>6</v>
      </c>
    </row>
    <row r="450">
      <c r="A450" s="62"/>
      <c r="B450" s="86" t="s">
        <v>536</v>
      </c>
      <c r="C450" s="87" t="s">
        <v>46</v>
      </c>
      <c r="D450" s="89">
        <f>SUMIF('Executive Pay Breakdown'!K:K,$B450,'Executive Pay Breakdown'!M:M)+SUMIF('Executive Pay Breakdown'!O:O,$B450,'Executive Pay Breakdown'!Q:Q)+SUMIF('Executive Pay Breakdown'!S:S,$B450,'Executive Pay Breakdown'!U:U)+SUMIF('Executive Pay Breakdown'!W:W,$B450,'Executive Pay Breakdown'!Y:Y)+SUMIF('Executive Pay Breakdown'!AA:AA,$B450,'Executive Pay Breakdown'!AC:AC)</f>
        <v>4783059</v>
      </c>
      <c r="E450" s="109"/>
      <c r="F450" s="69">
        <f>SUMIF('Executive Pay Breakdown'!K:K,$B450,'Executive Pay Breakdown'!M:M)</f>
        <v>0</v>
      </c>
      <c r="G450" s="69">
        <f>SUMIF('Executive Pay Breakdown'!O:O,$B450,'Executive Pay Breakdown'!Q:Q)</f>
        <v>0</v>
      </c>
      <c r="H450" s="69">
        <f>SUMIF('Executive Pay Breakdown'!S:S,$B450,'Executive Pay Breakdown'!U:U)</f>
        <v>2439705</v>
      </c>
      <c r="I450" s="69">
        <f>SUMIF('Executive Pay Breakdown'!W:W,$B450,'Executive Pay Breakdown'!Y:Y)</f>
        <v>2343354</v>
      </c>
      <c r="J450" s="69">
        <f>SUMIF('Executive Pay Breakdown'!AA:AA,$B450,'Executive Pay Breakdown'!AC:AC)</f>
        <v>0</v>
      </c>
      <c r="K450" s="90"/>
      <c r="L450" s="212"/>
      <c r="M450" s="87"/>
      <c r="N450" s="87"/>
      <c r="O450" s="120">
        <f>MATCH(C450,'Key Findings'!B:B,0)</f>
        <v>43</v>
      </c>
    </row>
    <row r="451">
      <c r="A451" s="62"/>
      <c r="B451" s="86" t="s">
        <v>535</v>
      </c>
      <c r="C451" s="233" t="s">
        <v>62</v>
      </c>
      <c r="D451" s="89">
        <f>SUMIF('Executive Pay Breakdown'!K:K,$B451,'Executive Pay Breakdown'!M:M)+SUMIF('Executive Pay Breakdown'!O:O,$B451,'Executive Pay Breakdown'!Q:Q)+SUMIF('Executive Pay Breakdown'!S:S,$B451,'Executive Pay Breakdown'!U:U)+SUMIF('Executive Pay Breakdown'!W:W,$B451,'Executive Pay Breakdown'!Y:Y)+SUMIF('Executive Pay Breakdown'!AA:AA,$B451,'Executive Pay Breakdown'!AC:AC)</f>
        <v>4778130</v>
      </c>
      <c r="E451" s="109"/>
      <c r="F451" s="69">
        <f>SUMIF('Executive Pay Breakdown'!K:K,$B451,'Executive Pay Breakdown'!M:M)</f>
        <v>4778130</v>
      </c>
      <c r="G451" s="69">
        <f>SUMIF('Executive Pay Breakdown'!O:O,$B451,'Executive Pay Breakdown'!Q:Q)</f>
        <v>0</v>
      </c>
      <c r="H451" s="69">
        <f>SUMIF('Executive Pay Breakdown'!S:S,$B451,'Executive Pay Breakdown'!U:U)</f>
        <v>0</v>
      </c>
      <c r="I451" s="69">
        <f>SUMIF('Executive Pay Breakdown'!W:W,$B451,'Executive Pay Breakdown'!Y:Y)</f>
        <v>0</v>
      </c>
      <c r="J451" s="69">
        <f>SUMIF('Executive Pay Breakdown'!AA:AA,$B451,'Executive Pay Breakdown'!AC:AC)</f>
        <v>0</v>
      </c>
      <c r="K451" s="90"/>
      <c r="L451" s="212"/>
      <c r="M451" s="87"/>
      <c r="N451" s="87"/>
      <c r="O451" s="120">
        <f>MATCH(C451,'Key Findings'!B:B,0)</f>
        <v>28</v>
      </c>
    </row>
    <row r="452">
      <c r="A452" s="81"/>
      <c r="B452" s="134" t="s">
        <v>463</v>
      </c>
      <c r="C452" s="87" t="s">
        <v>56</v>
      </c>
      <c r="D452" s="89">
        <f>SUMIF('Executive Pay Breakdown'!K:K,$B452,'Executive Pay Breakdown'!M:M)+SUMIF('Executive Pay Breakdown'!O:O,$B452,'Executive Pay Breakdown'!Q:Q)+SUMIF('Executive Pay Breakdown'!S:S,$B452,'Executive Pay Breakdown'!U:U)+SUMIF('Executive Pay Breakdown'!W:W,$B452,'Executive Pay Breakdown'!Y:Y)+SUMIF('Executive Pay Breakdown'!AA:AA,$B452,'Executive Pay Breakdown'!AC:AC)</f>
        <v>4721581</v>
      </c>
      <c r="E452" s="109"/>
      <c r="F452" s="69">
        <f>SUMIF('Executive Pay Breakdown'!K:K,$B452,'Executive Pay Breakdown'!M:M)</f>
        <v>0</v>
      </c>
      <c r="G452" s="69">
        <f>SUMIF('Executive Pay Breakdown'!O:O,$B452,'Executive Pay Breakdown'!Q:Q)</f>
        <v>0</v>
      </c>
      <c r="H452" s="69">
        <f>SUMIF('Executive Pay Breakdown'!S:S,$B452,'Executive Pay Breakdown'!U:U)</f>
        <v>0</v>
      </c>
      <c r="I452" s="69">
        <f>SUMIF('Executive Pay Breakdown'!W:W,$B452,'Executive Pay Breakdown'!Y:Y)</f>
        <v>0</v>
      </c>
      <c r="J452" s="69">
        <f>SUMIF('Executive Pay Breakdown'!AA:AA,$B452,'Executive Pay Breakdown'!AC:AC)</f>
        <v>4721581</v>
      </c>
      <c r="K452" s="90"/>
      <c r="L452" s="212"/>
      <c r="M452" s="87"/>
      <c r="N452" s="87"/>
      <c r="O452" s="120">
        <f>MATCH(C452,'Key Findings'!B:B,0)</f>
        <v>30</v>
      </c>
    </row>
    <row r="453">
      <c r="A453" s="62"/>
      <c r="B453" s="127" t="s">
        <v>589</v>
      </c>
      <c r="C453" s="87" t="s">
        <v>26</v>
      </c>
      <c r="D453" s="89">
        <f>SUMIF('Executive Pay Breakdown'!K:K,$B453,'Executive Pay Breakdown'!M:M)+SUMIF('Executive Pay Breakdown'!O:O,$B453,'Executive Pay Breakdown'!Q:Q)+SUMIF('Executive Pay Breakdown'!S:S,$B453,'Executive Pay Breakdown'!U:U)+SUMIF('Executive Pay Breakdown'!W:W,$B453,'Executive Pay Breakdown'!Y:Y)+SUMIF('Executive Pay Breakdown'!AA:AA,$B453,'Executive Pay Breakdown'!AC:AC)</f>
        <v>4671269</v>
      </c>
      <c r="E453" s="109"/>
      <c r="F453" s="69">
        <f>SUMIF('Executive Pay Breakdown'!K:K,$B453,'Executive Pay Breakdown'!M:M)</f>
        <v>0</v>
      </c>
      <c r="G453" s="69">
        <f>SUMIF('Executive Pay Breakdown'!O:O,$B453,'Executive Pay Breakdown'!Q:Q)</f>
        <v>0</v>
      </c>
      <c r="H453" s="69">
        <f>SUMIF('Executive Pay Breakdown'!S:S,$B453,'Executive Pay Breakdown'!U:U)</f>
        <v>0</v>
      </c>
      <c r="I453" s="69">
        <f>SUMIF('Executive Pay Breakdown'!W:W,$B453,'Executive Pay Breakdown'!Y:Y)</f>
        <v>2429083</v>
      </c>
      <c r="J453" s="69">
        <f>SUMIF('Executive Pay Breakdown'!AA:AA,$B453,'Executive Pay Breakdown'!AC:AC)</f>
        <v>2242186</v>
      </c>
      <c r="K453" s="90"/>
      <c r="L453" s="212"/>
      <c r="M453" s="87"/>
      <c r="N453" s="87"/>
      <c r="O453" s="120">
        <f>MATCH(C453,'Key Findings'!B:B,0)</f>
        <v>48</v>
      </c>
    </row>
    <row r="454">
      <c r="A454" s="81"/>
      <c r="B454" s="137" t="s">
        <v>590</v>
      </c>
      <c r="C454" s="87" t="str">
        <f t="array" ref="C454">INDEX('Executive Pay Breakdown'!B:B,MATCH(B454,'Executive Pay Breakdown'!K:K,0))</f>
        <v>Reinsurance Group of America</v>
      </c>
      <c r="D454" s="89">
        <f>SUMIF('Executive Pay Breakdown'!K:K,$B454,'Executive Pay Breakdown'!M:M)+SUMIF('Executive Pay Breakdown'!O:O,$B454,'Executive Pay Breakdown'!Q:Q)+SUMIF('Executive Pay Breakdown'!S:S,$B454,'Executive Pay Breakdown'!U:U)+SUMIF('Executive Pay Breakdown'!W:W,$B454,'Executive Pay Breakdown'!Y:Y)+SUMIF('Executive Pay Breakdown'!AA:AA,$B454,'Executive Pay Breakdown'!AC:AC)</f>
        <v>4626583</v>
      </c>
      <c r="E454" s="109"/>
      <c r="F454" s="69">
        <f>SUMIF('Executive Pay Breakdown'!K:K,$B454,'Executive Pay Breakdown'!M:M)</f>
        <v>2577353</v>
      </c>
      <c r="G454" s="69">
        <f>SUMIF('Executive Pay Breakdown'!O:O,$B454,'Executive Pay Breakdown'!Q:Q)</f>
        <v>2049230</v>
      </c>
      <c r="H454" s="69">
        <f>SUMIF('Executive Pay Breakdown'!S:S,$B454,'Executive Pay Breakdown'!U:U)</f>
        <v>0</v>
      </c>
      <c r="I454" s="69">
        <f>SUMIF('Executive Pay Breakdown'!W:W,$B454,'Executive Pay Breakdown'!Y:Y)</f>
        <v>0</v>
      </c>
      <c r="J454" s="69">
        <f>SUMIF('Executive Pay Breakdown'!AA:AA,$B454,'Executive Pay Breakdown'!AC:AC)</f>
        <v>0</v>
      </c>
      <c r="K454" s="90"/>
      <c r="L454" s="212"/>
      <c r="M454" s="87"/>
      <c r="N454" s="230"/>
      <c r="O454" s="120">
        <f>MATCH(C454,'Key Findings'!B:B,0)</f>
        <v>9</v>
      </c>
    </row>
    <row r="455">
      <c r="A455" s="62"/>
      <c r="B455" s="86" t="s">
        <v>550</v>
      </c>
      <c r="C455" s="87" t="s">
        <v>42</v>
      </c>
      <c r="D455" s="89">
        <f>SUMIF('Executive Pay Breakdown'!K:K,$B455,'Executive Pay Breakdown'!M:M)+SUMIF('Executive Pay Breakdown'!O:O,$B455,'Executive Pay Breakdown'!Q:Q)+SUMIF('Executive Pay Breakdown'!S:S,$B455,'Executive Pay Breakdown'!U:U)+SUMIF('Executive Pay Breakdown'!W:W,$B455,'Executive Pay Breakdown'!Y:Y)+SUMIF('Executive Pay Breakdown'!AA:AA,$B455,'Executive Pay Breakdown'!AC:AC)</f>
        <v>4614014</v>
      </c>
      <c r="E455" s="109"/>
      <c r="F455" s="69">
        <f>SUMIF('Executive Pay Breakdown'!K:K,$B455,'Executive Pay Breakdown'!M:M)</f>
        <v>1629865</v>
      </c>
      <c r="G455" s="69">
        <f>SUMIF('Executive Pay Breakdown'!O:O,$B455,'Executive Pay Breakdown'!Q:Q)</f>
        <v>1582793</v>
      </c>
      <c r="H455" s="69">
        <f>SUMIF('Executive Pay Breakdown'!S:S,$B455,'Executive Pay Breakdown'!U:U)</f>
        <v>1401356</v>
      </c>
      <c r="I455" s="69">
        <f>SUMIF('Executive Pay Breakdown'!W:W,$B455,'Executive Pay Breakdown'!Y:Y)</f>
        <v>0</v>
      </c>
      <c r="J455" s="69">
        <f>SUMIF('Executive Pay Breakdown'!AA:AA,$B455,'Executive Pay Breakdown'!AC:AC)</f>
        <v>0</v>
      </c>
      <c r="K455" s="90"/>
      <c r="L455" s="212"/>
      <c r="M455" s="87"/>
      <c r="N455" s="230"/>
      <c r="O455" s="120">
        <f>MATCH(C455,'Key Findings'!B:B,0)</f>
        <v>61</v>
      </c>
    </row>
    <row r="456">
      <c r="A456" s="62"/>
      <c r="B456" s="86" t="s">
        <v>599</v>
      </c>
      <c r="C456" s="87" t="s">
        <v>37</v>
      </c>
      <c r="D456" s="89">
        <f>SUMIF('Executive Pay Breakdown'!K:K,$B456,'Executive Pay Breakdown'!M:M)+SUMIF('Executive Pay Breakdown'!O:O,$B456,'Executive Pay Breakdown'!Q:Q)+SUMIF('Executive Pay Breakdown'!S:S,$B456,'Executive Pay Breakdown'!U:U)+SUMIF('Executive Pay Breakdown'!W:W,$B456,'Executive Pay Breakdown'!Y:Y)+SUMIF('Executive Pay Breakdown'!AA:AA,$B456,'Executive Pay Breakdown'!AC:AC)</f>
        <v>4581122</v>
      </c>
      <c r="E456" s="109"/>
      <c r="F456" s="69">
        <f>SUMIF('Executive Pay Breakdown'!K:K,$B456,'Executive Pay Breakdown'!M:M)</f>
        <v>2420720</v>
      </c>
      <c r="G456" s="69">
        <f>SUMIF('Executive Pay Breakdown'!O:O,$B456,'Executive Pay Breakdown'!Q:Q)</f>
        <v>2160402</v>
      </c>
      <c r="H456" s="69">
        <f>SUMIF('Executive Pay Breakdown'!S:S,$B456,'Executive Pay Breakdown'!U:U)</f>
        <v>0</v>
      </c>
      <c r="I456" s="69">
        <f>SUMIF('Executive Pay Breakdown'!W:W,$B456,'Executive Pay Breakdown'!Y:Y)</f>
        <v>0</v>
      </c>
      <c r="J456" s="69">
        <f>SUMIF('Executive Pay Breakdown'!AA:AA,$B456,'Executive Pay Breakdown'!AC:AC)</f>
        <v>0</v>
      </c>
      <c r="K456" s="90"/>
      <c r="L456" s="212"/>
      <c r="M456" s="212"/>
      <c r="N456" s="230"/>
      <c r="O456" s="120">
        <f>MATCH(C456,'Key Findings'!B:B,0)</f>
        <v>44</v>
      </c>
    </row>
    <row r="457">
      <c r="A457" s="62"/>
      <c r="B457" s="86" t="s">
        <v>491</v>
      </c>
      <c r="C457" s="87" t="s">
        <v>77</v>
      </c>
      <c r="D457" s="89">
        <f>SUMIF('Executive Pay Breakdown'!K:K,$B457,'Executive Pay Breakdown'!M:M)+SUMIF('Executive Pay Breakdown'!O:O,$B457,'Executive Pay Breakdown'!Q:Q)+SUMIF('Executive Pay Breakdown'!S:S,$B457,'Executive Pay Breakdown'!U:U)+SUMIF('Executive Pay Breakdown'!W:W,$B457,'Executive Pay Breakdown'!Y:Y)+SUMIF('Executive Pay Breakdown'!AA:AA,$B457,'Executive Pay Breakdown'!AC:AC)</f>
        <v>4574747</v>
      </c>
      <c r="E457" s="109"/>
      <c r="F457" s="69">
        <f>SUMIF('Executive Pay Breakdown'!K:K,$B457,'Executive Pay Breakdown'!M:M)</f>
        <v>0</v>
      </c>
      <c r="G457" s="69">
        <f>SUMIF('Executive Pay Breakdown'!O:O,$B457,'Executive Pay Breakdown'!Q:Q)</f>
        <v>0</v>
      </c>
      <c r="H457" s="69">
        <f>SUMIF('Executive Pay Breakdown'!S:S,$B457,'Executive Pay Breakdown'!U:U)</f>
        <v>0</v>
      </c>
      <c r="I457" s="69">
        <f>SUMIF('Executive Pay Breakdown'!W:W,$B457,'Executive Pay Breakdown'!Y:Y)</f>
        <v>4574747</v>
      </c>
      <c r="J457" s="69">
        <f>SUMIF('Executive Pay Breakdown'!AA:AA,$B457,'Executive Pay Breakdown'!AC:AC)</f>
        <v>0</v>
      </c>
      <c r="K457" s="90"/>
      <c r="L457" s="212"/>
      <c r="M457" s="87"/>
      <c r="N457" s="87"/>
      <c r="O457" s="120">
        <f>MATCH(C457,'Key Findings'!B:B,0)</f>
        <v>40</v>
      </c>
    </row>
    <row r="458">
      <c r="A458" s="71"/>
      <c r="B458" s="124" t="s">
        <v>503</v>
      </c>
      <c r="C458" s="87" t="s">
        <v>54</v>
      </c>
      <c r="D458" s="89">
        <f>SUMIF('Executive Pay Breakdown'!K:K,$B458,'Executive Pay Breakdown'!M:M)+SUMIF('Executive Pay Breakdown'!O:O,$B458,'Executive Pay Breakdown'!Q:Q)+SUMIF('Executive Pay Breakdown'!S:S,$B458,'Executive Pay Breakdown'!U:U)+SUMIF('Executive Pay Breakdown'!W:W,$B458,'Executive Pay Breakdown'!Y:Y)+SUMIF('Executive Pay Breakdown'!AA:AA,$B458,'Executive Pay Breakdown'!AC:AC)</f>
        <v>4484508</v>
      </c>
      <c r="E458" s="109"/>
      <c r="F458" s="69">
        <f>SUMIF('Executive Pay Breakdown'!K:K,$B458,'Executive Pay Breakdown'!M:M)</f>
        <v>4484508</v>
      </c>
      <c r="G458" s="69">
        <f>SUMIF('Executive Pay Breakdown'!O:O,$B458,'Executive Pay Breakdown'!Q:Q)</f>
        <v>0</v>
      </c>
      <c r="H458" s="69">
        <f>SUMIF('Executive Pay Breakdown'!S:S,$B458,'Executive Pay Breakdown'!U:U)</f>
        <v>0</v>
      </c>
      <c r="I458" s="69">
        <f>SUMIF('Executive Pay Breakdown'!W:W,$B458,'Executive Pay Breakdown'!Y:Y)</f>
        <v>0</v>
      </c>
      <c r="J458" s="69">
        <f>SUMIF('Executive Pay Breakdown'!AA:AA,$B458,'Executive Pay Breakdown'!AC:AC)</f>
        <v>0</v>
      </c>
      <c r="K458" s="90"/>
      <c r="L458" s="212"/>
      <c r="M458" s="87"/>
      <c r="N458" s="230"/>
      <c r="O458" s="120">
        <f>MATCH(C458,'Key Findings'!B:B,0)</f>
        <v>19</v>
      </c>
    </row>
    <row r="459">
      <c r="A459" s="62"/>
      <c r="B459" s="86" t="s">
        <v>473</v>
      </c>
      <c r="C459" s="233" t="s">
        <v>68</v>
      </c>
      <c r="D459" s="89">
        <f>SUMIF('Executive Pay Breakdown'!K:K,$B459,'Executive Pay Breakdown'!M:M)+SUMIF('Executive Pay Breakdown'!O:O,$B459,'Executive Pay Breakdown'!Q:Q)+SUMIF('Executive Pay Breakdown'!S:S,$B459,'Executive Pay Breakdown'!U:U)+SUMIF('Executive Pay Breakdown'!W:W,$B459,'Executive Pay Breakdown'!Y:Y)+SUMIF('Executive Pay Breakdown'!AA:AA,$B459,'Executive Pay Breakdown'!AC:AC)</f>
        <v>4481809</v>
      </c>
      <c r="E459" s="109"/>
      <c r="F459" s="69">
        <f>SUMIF('Executive Pay Breakdown'!K:K,$B459,'Executive Pay Breakdown'!M:M)</f>
        <v>2287447</v>
      </c>
      <c r="G459" s="69">
        <f>SUMIF('Executive Pay Breakdown'!O:O,$B459,'Executive Pay Breakdown'!Q:Q)</f>
        <v>2194362</v>
      </c>
      <c r="H459" s="69">
        <f>SUMIF('Executive Pay Breakdown'!S:S,$B459,'Executive Pay Breakdown'!U:U)</f>
        <v>0</v>
      </c>
      <c r="I459" s="69">
        <f>SUMIF('Executive Pay Breakdown'!W:W,$B459,'Executive Pay Breakdown'!Y:Y)</f>
        <v>0</v>
      </c>
      <c r="J459" s="69">
        <f>SUMIF('Executive Pay Breakdown'!AA:AA,$B459,'Executive Pay Breakdown'!AC:AC)</f>
        <v>0</v>
      </c>
      <c r="K459" s="90"/>
      <c r="L459" s="212"/>
      <c r="M459" s="87"/>
      <c r="N459" s="87"/>
      <c r="O459" s="120">
        <f>MATCH(C459,'Key Findings'!B:B,0)</f>
        <v>66</v>
      </c>
    </row>
    <row r="460">
      <c r="A460" s="81"/>
      <c r="B460" s="137" t="s">
        <v>393</v>
      </c>
      <c r="C460" s="87" t="str">
        <f t="array" ref="C460">INDEX('Executive Pay Breakdown'!B:B,MATCH(B460,'Executive Pay Breakdown'!S:S,0))</f>
        <v>Whirlpool</v>
      </c>
      <c r="D460" s="89">
        <f>SUMIF('Executive Pay Breakdown'!K:K,$B460,'Executive Pay Breakdown'!M:M)+SUMIF('Executive Pay Breakdown'!O:O,$B460,'Executive Pay Breakdown'!Q:Q)+SUMIF('Executive Pay Breakdown'!S:S,$B460,'Executive Pay Breakdown'!U:U)+SUMIF('Executive Pay Breakdown'!W:W,$B460,'Executive Pay Breakdown'!Y:Y)+SUMIF('Executive Pay Breakdown'!AA:AA,$B460,'Executive Pay Breakdown'!AC:AC)</f>
        <v>4469774</v>
      </c>
      <c r="E460" s="109"/>
      <c r="F460" s="69">
        <f>SUMIF('Executive Pay Breakdown'!K:K,$B460,'Executive Pay Breakdown'!M:M)</f>
        <v>0</v>
      </c>
      <c r="G460" s="69">
        <f>SUMIF('Executive Pay Breakdown'!O:O,$B460,'Executive Pay Breakdown'!Q:Q)</f>
        <v>0</v>
      </c>
      <c r="H460" s="69">
        <f>SUMIF('Executive Pay Breakdown'!S:S,$B460,'Executive Pay Breakdown'!U:U)</f>
        <v>4469774</v>
      </c>
      <c r="I460" s="69">
        <f>SUMIF('Executive Pay Breakdown'!W:W,$B460,'Executive Pay Breakdown'!Y:Y)</f>
        <v>0</v>
      </c>
      <c r="J460" s="69">
        <f>SUMIF('Executive Pay Breakdown'!AA:AA,$B460,'Executive Pay Breakdown'!AC:AC)</f>
        <v>0</v>
      </c>
      <c r="K460" s="90"/>
      <c r="L460" s="212"/>
      <c r="M460" s="87"/>
      <c r="N460" s="230"/>
      <c r="O460" s="120">
        <f>MATCH(C460,'Key Findings'!B:B,0)</f>
        <v>37</v>
      </c>
    </row>
    <row r="461">
      <c r="A461" s="62"/>
      <c r="B461" s="86" t="s">
        <v>545</v>
      </c>
      <c r="C461" s="87" t="s">
        <v>46</v>
      </c>
      <c r="D461" s="89">
        <f>SUMIF('Executive Pay Breakdown'!K:K,$B461,'Executive Pay Breakdown'!M:M)+SUMIF('Executive Pay Breakdown'!O:O,$B461,'Executive Pay Breakdown'!Q:Q)+SUMIF('Executive Pay Breakdown'!S:S,$B461,'Executive Pay Breakdown'!U:U)+SUMIF('Executive Pay Breakdown'!W:W,$B461,'Executive Pay Breakdown'!Y:Y)+SUMIF('Executive Pay Breakdown'!AA:AA,$B461,'Executive Pay Breakdown'!AC:AC)</f>
        <v>4456079</v>
      </c>
      <c r="E461" s="109"/>
      <c r="F461" s="69">
        <f>SUMIF('Executive Pay Breakdown'!K:K,$B461,'Executive Pay Breakdown'!M:M)</f>
        <v>4456079</v>
      </c>
      <c r="G461" s="69">
        <f>SUMIF('Executive Pay Breakdown'!O:O,$B461,'Executive Pay Breakdown'!Q:Q)</f>
        <v>0</v>
      </c>
      <c r="H461" s="69">
        <f>SUMIF('Executive Pay Breakdown'!S:S,$B461,'Executive Pay Breakdown'!U:U)</f>
        <v>0</v>
      </c>
      <c r="I461" s="69">
        <f>SUMIF('Executive Pay Breakdown'!W:W,$B461,'Executive Pay Breakdown'!Y:Y)</f>
        <v>0</v>
      </c>
      <c r="J461" s="69">
        <f>SUMIF('Executive Pay Breakdown'!AA:AA,$B461,'Executive Pay Breakdown'!AC:AC)</f>
        <v>0</v>
      </c>
      <c r="K461" s="90"/>
      <c r="L461" s="212"/>
      <c r="M461" s="87"/>
      <c r="N461" s="230"/>
      <c r="O461" s="120">
        <f>MATCH(C461,'Key Findings'!B:B,0)</f>
        <v>43</v>
      </c>
    </row>
    <row r="462">
      <c r="A462" s="81"/>
      <c r="B462" s="134" t="s">
        <v>528</v>
      </c>
      <c r="C462" s="87" t="s">
        <v>65</v>
      </c>
      <c r="D462" s="89">
        <f>SUMIF('Executive Pay Breakdown'!K:K,$B462,'Executive Pay Breakdown'!M:M)+SUMIF('Executive Pay Breakdown'!O:O,$B462,'Executive Pay Breakdown'!Q:Q)+SUMIF('Executive Pay Breakdown'!S:S,$B462,'Executive Pay Breakdown'!U:U)+SUMIF('Executive Pay Breakdown'!W:W,$B462,'Executive Pay Breakdown'!Y:Y)+SUMIF('Executive Pay Breakdown'!AA:AA,$B462,'Executive Pay Breakdown'!AC:AC)</f>
        <v>4438428</v>
      </c>
      <c r="E462" s="109"/>
      <c r="F462" s="69">
        <f>SUMIF('Executive Pay Breakdown'!K:K,$B462,'Executive Pay Breakdown'!M:M)</f>
        <v>4438428</v>
      </c>
      <c r="G462" s="69">
        <f>SUMIF('Executive Pay Breakdown'!O:O,$B462,'Executive Pay Breakdown'!Q:Q)</f>
        <v>0</v>
      </c>
      <c r="H462" s="69">
        <f>SUMIF('Executive Pay Breakdown'!S:S,$B462,'Executive Pay Breakdown'!U:U)</f>
        <v>0</v>
      </c>
      <c r="I462" s="69">
        <f>SUMIF('Executive Pay Breakdown'!W:W,$B462,'Executive Pay Breakdown'!Y:Y)</f>
        <v>0</v>
      </c>
      <c r="J462" s="69">
        <f>SUMIF('Executive Pay Breakdown'!AA:AA,$B462,'Executive Pay Breakdown'!AC:AC)</f>
        <v>0</v>
      </c>
      <c r="K462" s="90"/>
      <c r="L462" s="212"/>
      <c r="M462" s="87"/>
      <c r="N462" s="230"/>
      <c r="O462" s="120">
        <f>MATCH(C462,'Key Findings'!B:B,0)</f>
        <v>24</v>
      </c>
    </row>
    <row r="463">
      <c r="A463" s="62"/>
      <c r="B463" s="142" t="s">
        <v>566</v>
      </c>
      <c r="C463" s="87" t="s">
        <v>18</v>
      </c>
      <c r="D463" s="89">
        <f>SUMIF('Executive Pay Breakdown'!K:K,$B463,'Executive Pay Breakdown'!M:M)+SUMIF('Executive Pay Breakdown'!O:O,$B463,'Executive Pay Breakdown'!Q:Q)+SUMIF('Executive Pay Breakdown'!S:S,$B463,'Executive Pay Breakdown'!U:U)+SUMIF('Executive Pay Breakdown'!W:W,$B463,'Executive Pay Breakdown'!Y:Y)+SUMIF('Executive Pay Breakdown'!AA:AA,$B463,'Executive Pay Breakdown'!AC:AC)</f>
        <v>4398012</v>
      </c>
      <c r="E463" s="109"/>
      <c r="F463" s="69">
        <f>SUMIF('Executive Pay Breakdown'!K:K,$B463,'Executive Pay Breakdown'!M:M)</f>
        <v>0</v>
      </c>
      <c r="G463" s="69">
        <f>SUMIF('Executive Pay Breakdown'!O:O,$B463,'Executive Pay Breakdown'!Q:Q)</f>
        <v>4398012</v>
      </c>
      <c r="H463" s="69">
        <f>SUMIF('Executive Pay Breakdown'!S:S,$B463,'Executive Pay Breakdown'!U:U)</f>
        <v>0</v>
      </c>
      <c r="I463" s="69">
        <f>SUMIF('Executive Pay Breakdown'!W:W,$B463,'Executive Pay Breakdown'!Y:Y)</f>
        <v>0</v>
      </c>
      <c r="J463" s="69">
        <f>SUMIF('Executive Pay Breakdown'!AA:AA,$B463,'Executive Pay Breakdown'!AC:AC)</f>
        <v>0</v>
      </c>
      <c r="K463" s="90"/>
      <c r="L463" s="212"/>
      <c r="M463" s="212"/>
      <c r="N463" s="87"/>
      <c r="O463" s="120">
        <f>MATCH(C463,'Key Findings'!B:B,0)</f>
        <v>8</v>
      </c>
    </row>
    <row r="464">
      <c r="A464" s="62"/>
      <c r="B464" s="127" t="s">
        <v>592</v>
      </c>
      <c r="C464" s="87" t="s">
        <v>40</v>
      </c>
      <c r="D464" s="89">
        <f>SUMIF('Executive Pay Breakdown'!K:K,$B464,'Executive Pay Breakdown'!M:M)+SUMIF('Executive Pay Breakdown'!O:O,$B464,'Executive Pay Breakdown'!Q:Q)+SUMIF('Executive Pay Breakdown'!S:S,$B464,'Executive Pay Breakdown'!U:U)+SUMIF('Executive Pay Breakdown'!W:W,$B464,'Executive Pay Breakdown'!Y:Y)+SUMIF('Executive Pay Breakdown'!AA:AA,$B464,'Executive Pay Breakdown'!AC:AC)</f>
        <v>4356558</v>
      </c>
      <c r="E464" s="109"/>
      <c r="F464" s="69">
        <f>SUMIF('Executive Pay Breakdown'!K:K,$B464,'Executive Pay Breakdown'!M:M)</f>
        <v>0</v>
      </c>
      <c r="G464" s="69">
        <f>SUMIF('Executive Pay Breakdown'!O:O,$B464,'Executive Pay Breakdown'!Q:Q)</f>
        <v>0</v>
      </c>
      <c r="H464" s="69">
        <f>SUMIF('Executive Pay Breakdown'!S:S,$B464,'Executive Pay Breakdown'!U:U)</f>
        <v>0</v>
      </c>
      <c r="I464" s="69">
        <f>SUMIF('Executive Pay Breakdown'!W:W,$B464,'Executive Pay Breakdown'!Y:Y)</f>
        <v>0</v>
      </c>
      <c r="J464" s="69">
        <f>SUMIF('Executive Pay Breakdown'!AA:AA,$B464,'Executive Pay Breakdown'!AC:AC)</f>
        <v>4356558</v>
      </c>
      <c r="K464" s="90"/>
      <c r="L464" s="212"/>
      <c r="M464" s="87"/>
      <c r="N464" s="87"/>
      <c r="O464" s="120">
        <f>MATCH(C464,'Key Findings'!B:B,0)</f>
        <v>7</v>
      </c>
    </row>
    <row r="465">
      <c r="A465" s="81"/>
      <c r="B465" s="133" t="s">
        <v>572</v>
      </c>
      <c r="C465" s="87" t="s">
        <v>50</v>
      </c>
      <c r="D465" s="89">
        <f>SUMIF('Executive Pay Breakdown'!K:K,$B465,'Executive Pay Breakdown'!M:M)+SUMIF('Executive Pay Breakdown'!O:O,$B465,'Executive Pay Breakdown'!Q:Q)+SUMIF('Executive Pay Breakdown'!S:S,$B465,'Executive Pay Breakdown'!U:U)+SUMIF('Executive Pay Breakdown'!W:W,$B465,'Executive Pay Breakdown'!Y:Y)+SUMIF('Executive Pay Breakdown'!AA:AA,$B465,'Executive Pay Breakdown'!AC:AC)</f>
        <v>4282832</v>
      </c>
      <c r="E465" s="109"/>
      <c r="F465" s="69">
        <f>SUMIF('Executive Pay Breakdown'!K:K,$B465,'Executive Pay Breakdown'!M:M)</f>
        <v>0</v>
      </c>
      <c r="G465" s="69">
        <f>SUMIF('Executive Pay Breakdown'!O:O,$B465,'Executive Pay Breakdown'!Q:Q)</f>
        <v>0</v>
      </c>
      <c r="H465" s="69">
        <f>SUMIF('Executive Pay Breakdown'!S:S,$B465,'Executive Pay Breakdown'!U:U)</f>
        <v>0</v>
      </c>
      <c r="I465" s="69">
        <f>SUMIF('Executive Pay Breakdown'!W:W,$B465,'Executive Pay Breakdown'!Y:Y)</f>
        <v>4282832</v>
      </c>
      <c r="J465" s="69">
        <f>SUMIF('Executive Pay Breakdown'!AA:AA,$B465,'Executive Pay Breakdown'!AC:AC)</f>
        <v>0</v>
      </c>
      <c r="K465" s="90"/>
      <c r="L465" s="212"/>
      <c r="M465" s="87"/>
      <c r="N465" s="87"/>
      <c r="O465" s="120">
        <f>MATCH(C465,'Key Findings'!B:B,0)</f>
        <v>18</v>
      </c>
    </row>
    <row r="466">
      <c r="A466" s="71"/>
      <c r="B466" s="124" t="s">
        <v>616</v>
      </c>
      <c r="C466" s="87" t="s">
        <v>58</v>
      </c>
      <c r="D466" s="89">
        <f>SUMIF('Executive Pay Breakdown'!K:K,$B466,'Executive Pay Breakdown'!M:M)+SUMIF('Executive Pay Breakdown'!O:O,$B466,'Executive Pay Breakdown'!Q:Q)+SUMIF('Executive Pay Breakdown'!S:S,$B466,'Executive Pay Breakdown'!U:U)+SUMIF('Executive Pay Breakdown'!W:W,$B466,'Executive Pay Breakdown'!Y:Y)+SUMIF('Executive Pay Breakdown'!AA:AA,$B466,'Executive Pay Breakdown'!AC:AC)</f>
        <v>4216158</v>
      </c>
      <c r="E466" s="109"/>
      <c r="F466" s="69">
        <f>SUMIF('Executive Pay Breakdown'!K:K,$B466,'Executive Pay Breakdown'!M:M)</f>
        <v>0</v>
      </c>
      <c r="G466" s="69">
        <f>SUMIF('Executive Pay Breakdown'!O:O,$B466,'Executive Pay Breakdown'!Q:Q)</f>
        <v>4216158</v>
      </c>
      <c r="H466" s="69">
        <f>SUMIF('Executive Pay Breakdown'!S:S,$B466,'Executive Pay Breakdown'!U:U)</f>
        <v>0</v>
      </c>
      <c r="I466" s="69">
        <f>SUMIF('Executive Pay Breakdown'!W:W,$B466,'Executive Pay Breakdown'!Y:Y)</f>
        <v>0</v>
      </c>
      <c r="J466" s="69">
        <f>SUMIF('Executive Pay Breakdown'!AA:AA,$B466,'Executive Pay Breakdown'!AC:AC)</f>
        <v>0</v>
      </c>
      <c r="K466" s="90"/>
      <c r="L466" s="212"/>
      <c r="M466" s="212"/>
      <c r="N466" s="87"/>
      <c r="O466" s="120">
        <f>MATCH(C466,'Key Findings'!B:B,0)</f>
        <v>27</v>
      </c>
    </row>
    <row r="467">
      <c r="A467" s="62"/>
      <c r="B467" s="86" t="s">
        <v>610</v>
      </c>
      <c r="C467" s="87" t="s">
        <v>32</v>
      </c>
      <c r="D467" s="89">
        <f>SUMIF('Executive Pay Breakdown'!K:K,$B467,'Executive Pay Breakdown'!M:M)+SUMIF('Executive Pay Breakdown'!O:O,$B467,'Executive Pay Breakdown'!Q:Q)+SUMIF('Executive Pay Breakdown'!S:S,$B467,'Executive Pay Breakdown'!U:U)+SUMIF('Executive Pay Breakdown'!W:W,$B467,'Executive Pay Breakdown'!Y:Y)+SUMIF('Executive Pay Breakdown'!AA:AA,$B467,'Executive Pay Breakdown'!AC:AC)</f>
        <v>4209025</v>
      </c>
      <c r="E467" s="109"/>
      <c r="F467" s="69">
        <f>SUMIF('Executive Pay Breakdown'!K:K,$B467,'Executive Pay Breakdown'!M:M)</f>
        <v>0</v>
      </c>
      <c r="G467" s="69">
        <f>SUMIF('Executive Pay Breakdown'!O:O,$B467,'Executive Pay Breakdown'!Q:Q)</f>
        <v>0</v>
      </c>
      <c r="H467" s="69">
        <f>SUMIF('Executive Pay Breakdown'!S:S,$B467,'Executive Pay Breakdown'!U:U)</f>
        <v>0</v>
      </c>
      <c r="I467" s="69">
        <f>SUMIF('Executive Pay Breakdown'!W:W,$B467,'Executive Pay Breakdown'!Y:Y)</f>
        <v>0</v>
      </c>
      <c r="J467" s="69">
        <f>SUMIF('Executive Pay Breakdown'!AA:AA,$B467,'Executive Pay Breakdown'!AC:AC)</f>
        <v>4209025</v>
      </c>
      <c r="K467" s="90"/>
      <c r="L467" s="212"/>
      <c r="M467" s="87"/>
      <c r="N467" s="87"/>
      <c r="O467" s="120">
        <f>MATCH(C467,'Key Findings'!B:B,0)</f>
        <v>26</v>
      </c>
    </row>
    <row r="468">
      <c r="A468" s="62"/>
      <c r="B468" s="86" t="s">
        <v>603</v>
      </c>
      <c r="C468" s="87" t="s">
        <v>43</v>
      </c>
      <c r="D468" s="89">
        <f>SUMIF('Executive Pay Breakdown'!K:K,$B468,'Executive Pay Breakdown'!M:M)+SUMIF('Executive Pay Breakdown'!O:O,$B468,'Executive Pay Breakdown'!Q:Q)+SUMIF('Executive Pay Breakdown'!S:S,$B468,'Executive Pay Breakdown'!U:U)+SUMIF('Executive Pay Breakdown'!W:W,$B468,'Executive Pay Breakdown'!Y:Y)+SUMIF('Executive Pay Breakdown'!AA:AA,$B468,'Executive Pay Breakdown'!AC:AC)</f>
        <v>4197509</v>
      </c>
      <c r="E468" s="109"/>
      <c r="F468" s="69">
        <f>SUMIF('Executive Pay Breakdown'!K:K,$B468,'Executive Pay Breakdown'!M:M)</f>
        <v>1226813</v>
      </c>
      <c r="G468" s="69">
        <f>SUMIF('Executive Pay Breakdown'!O:O,$B468,'Executive Pay Breakdown'!Q:Q)</f>
        <v>1031300</v>
      </c>
      <c r="H468" s="69">
        <f>SUMIF('Executive Pay Breakdown'!S:S,$B468,'Executive Pay Breakdown'!U:U)</f>
        <v>1092249</v>
      </c>
      <c r="I468" s="69">
        <f>SUMIF('Executive Pay Breakdown'!W:W,$B468,'Executive Pay Breakdown'!Y:Y)</f>
        <v>847147</v>
      </c>
      <c r="J468" s="69">
        <f>SUMIF('Executive Pay Breakdown'!AA:AA,$B468,'Executive Pay Breakdown'!AC:AC)</f>
        <v>0</v>
      </c>
      <c r="K468" s="90"/>
      <c r="L468" s="212"/>
      <c r="M468" s="87"/>
      <c r="N468" s="230"/>
      <c r="O468" s="120">
        <f>MATCH(C468,'Key Findings'!B:B,0)</f>
        <v>63</v>
      </c>
    </row>
    <row r="469">
      <c r="A469" s="62"/>
      <c r="B469" s="86" t="s">
        <v>551</v>
      </c>
      <c r="C469" s="87" t="s">
        <v>46</v>
      </c>
      <c r="D469" s="89">
        <f>SUMIF('Executive Pay Breakdown'!K:K,$B469,'Executive Pay Breakdown'!M:M)+SUMIF('Executive Pay Breakdown'!O:O,$B469,'Executive Pay Breakdown'!Q:Q)+SUMIF('Executive Pay Breakdown'!S:S,$B469,'Executive Pay Breakdown'!U:U)+SUMIF('Executive Pay Breakdown'!W:W,$B469,'Executive Pay Breakdown'!Y:Y)+SUMIF('Executive Pay Breakdown'!AA:AA,$B469,'Executive Pay Breakdown'!AC:AC)</f>
        <v>4172419</v>
      </c>
      <c r="E469" s="109"/>
      <c r="F469" s="69">
        <f>SUMIF('Executive Pay Breakdown'!K:K,$B469,'Executive Pay Breakdown'!M:M)</f>
        <v>0</v>
      </c>
      <c r="G469" s="69">
        <f>SUMIF('Executive Pay Breakdown'!O:O,$B469,'Executive Pay Breakdown'!Q:Q)</f>
        <v>0</v>
      </c>
      <c r="H469" s="69">
        <f>SUMIF('Executive Pay Breakdown'!S:S,$B469,'Executive Pay Breakdown'!U:U)</f>
        <v>0</v>
      </c>
      <c r="I469" s="69">
        <f>SUMIF('Executive Pay Breakdown'!W:W,$B469,'Executive Pay Breakdown'!Y:Y)</f>
        <v>0</v>
      </c>
      <c r="J469" s="69">
        <f>SUMIF('Executive Pay Breakdown'!AA:AA,$B469,'Executive Pay Breakdown'!AC:AC)</f>
        <v>4172419</v>
      </c>
      <c r="K469" s="90"/>
      <c r="L469" s="212"/>
      <c r="M469" s="87"/>
      <c r="N469" s="87"/>
      <c r="O469" s="120">
        <f>MATCH(C469,'Key Findings'!B:B,0)</f>
        <v>43</v>
      </c>
    </row>
    <row r="470">
      <c r="A470" s="62"/>
      <c r="B470" s="127" t="s">
        <v>600</v>
      </c>
      <c r="C470" s="87" t="s">
        <v>15</v>
      </c>
      <c r="D470" s="89">
        <f>SUMIF('Executive Pay Breakdown'!K:K,$B470,'Executive Pay Breakdown'!M:M)+SUMIF('Executive Pay Breakdown'!O:O,$B470,'Executive Pay Breakdown'!Q:Q)+SUMIF('Executive Pay Breakdown'!S:S,$B470,'Executive Pay Breakdown'!U:U)+SUMIF('Executive Pay Breakdown'!W:W,$B470,'Executive Pay Breakdown'!Y:Y)+SUMIF('Executive Pay Breakdown'!AA:AA,$B470,'Executive Pay Breakdown'!AC:AC)</f>
        <v>4150120</v>
      </c>
      <c r="E470" s="109"/>
      <c r="F470" s="69">
        <f>SUMIF('Executive Pay Breakdown'!K:K,$B470,'Executive Pay Breakdown'!M:M)</f>
        <v>0</v>
      </c>
      <c r="G470" s="69">
        <f>SUMIF('Executive Pay Breakdown'!O:O,$B470,'Executive Pay Breakdown'!Q:Q)</f>
        <v>0</v>
      </c>
      <c r="H470" s="69">
        <f>SUMIF('Executive Pay Breakdown'!S:S,$B470,'Executive Pay Breakdown'!U:U)</f>
        <v>0</v>
      </c>
      <c r="I470" s="69">
        <f>SUMIF('Executive Pay Breakdown'!W:W,$B470,'Executive Pay Breakdown'!Y:Y)</f>
        <v>4150120</v>
      </c>
      <c r="J470" s="69">
        <f>SUMIF('Executive Pay Breakdown'!AA:AA,$B470,'Executive Pay Breakdown'!AC:AC)</f>
        <v>0</v>
      </c>
      <c r="K470" s="90"/>
      <c r="L470" s="212"/>
      <c r="M470" s="87"/>
      <c r="N470" s="87"/>
      <c r="O470" s="120">
        <f>MATCH(C470,'Key Findings'!B:B,0)</f>
        <v>32</v>
      </c>
    </row>
    <row r="471">
      <c r="A471" s="62"/>
      <c r="B471" s="86" t="s">
        <v>604</v>
      </c>
      <c r="C471" s="87" t="s">
        <v>43</v>
      </c>
      <c r="D471" s="89">
        <f>SUMIF('Executive Pay Breakdown'!K:K,$B471,'Executive Pay Breakdown'!M:M)+SUMIF('Executive Pay Breakdown'!O:O,$B471,'Executive Pay Breakdown'!Q:Q)+SUMIF('Executive Pay Breakdown'!S:S,$B471,'Executive Pay Breakdown'!U:U)+SUMIF('Executive Pay Breakdown'!W:W,$B471,'Executive Pay Breakdown'!Y:Y)+SUMIF('Executive Pay Breakdown'!AA:AA,$B471,'Executive Pay Breakdown'!AC:AC)</f>
        <v>4144122</v>
      </c>
      <c r="E471" s="109"/>
      <c r="F471" s="69">
        <f>SUMIF('Executive Pay Breakdown'!K:K,$B471,'Executive Pay Breakdown'!M:M)</f>
        <v>1226831</v>
      </c>
      <c r="G471" s="69">
        <f>SUMIF('Executive Pay Breakdown'!O:O,$B471,'Executive Pay Breakdown'!Q:Q)</f>
        <v>1029610</v>
      </c>
      <c r="H471" s="69">
        <f>SUMIF('Executive Pay Breakdown'!S:S,$B471,'Executive Pay Breakdown'!U:U)</f>
        <v>1069798</v>
      </c>
      <c r="I471" s="69">
        <f>SUMIF('Executive Pay Breakdown'!W:W,$B471,'Executive Pay Breakdown'!Y:Y)</f>
        <v>817883</v>
      </c>
      <c r="J471" s="69">
        <f>SUMIF('Executive Pay Breakdown'!AA:AA,$B471,'Executive Pay Breakdown'!AC:AC)</f>
        <v>0</v>
      </c>
      <c r="K471" s="90"/>
      <c r="L471" s="212"/>
      <c r="M471" s="87"/>
      <c r="N471" s="230"/>
      <c r="O471" s="120">
        <f>MATCH(C471,'Key Findings'!B:B,0)</f>
        <v>63</v>
      </c>
    </row>
    <row r="472">
      <c r="A472" s="62"/>
      <c r="B472" s="86" t="s">
        <v>606</v>
      </c>
      <c r="C472" s="87" t="s">
        <v>31</v>
      </c>
      <c r="D472" s="89">
        <f>SUMIF('Executive Pay Breakdown'!K:K,$B472,'Executive Pay Breakdown'!M:M)+SUMIF('Executive Pay Breakdown'!O:O,$B472,'Executive Pay Breakdown'!Q:Q)+SUMIF('Executive Pay Breakdown'!S:S,$B472,'Executive Pay Breakdown'!U:U)+SUMIF('Executive Pay Breakdown'!W:W,$B472,'Executive Pay Breakdown'!Y:Y)+SUMIF('Executive Pay Breakdown'!AA:AA,$B472,'Executive Pay Breakdown'!AC:AC)</f>
        <v>4120777</v>
      </c>
      <c r="E472" s="109"/>
      <c r="F472" s="69">
        <f>SUMIF('Executive Pay Breakdown'!K:K,$B472,'Executive Pay Breakdown'!M:M)</f>
        <v>0</v>
      </c>
      <c r="G472" s="69">
        <f>SUMIF('Executive Pay Breakdown'!O:O,$B472,'Executive Pay Breakdown'!Q:Q)</f>
        <v>0</v>
      </c>
      <c r="H472" s="69">
        <f>SUMIF('Executive Pay Breakdown'!S:S,$B472,'Executive Pay Breakdown'!U:U)</f>
        <v>0</v>
      </c>
      <c r="I472" s="69">
        <f>SUMIF('Executive Pay Breakdown'!W:W,$B472,'Executive Pay Breakdown'!Y:Y)</f>
        <v>2064255</v>
      </c>
      <c r="J472" s="69">
        <f>SUMIF('Executive Pay Breakdown'!AA:AA,$B472,'Executive Pay Breakdown'!AC:AC)</f>
        <v>2056522</v>
      </c>
      <c r="K472" s="90"/>
      <c r="L472" s="212"/>
      <c r="M472" s="87"/>
      <c r="N472" s="87"/>
      <c r="O472" s="120">
        <f>MATCH(C472,'Key Findings'!B:B,0)</f>
        <v>52</v>
      </c>
    </row>
    <row r="473">
      <c r="A473" s="62"/>
      <c r="B473" s="125" t="s">
        <v>608</v>
      </c>
      <c r="C473" s="87" t="s">
        <v>27</v>
      </c>
      <c r="D473" s="89">
        <f>SUMIF('Executive Pay Breakdown'!K:K,$B473,'Executive Pay Breakdown'!M:M)+SUMIF('Executive Pay Breakdown'!O:O,$B473,'Executive Pay Breakdown'!Q:Q)+SUMIF('Executive Pay Breakdown'!S:S,$B473,'Executive Pay Breakdown'!U:U)+SUMIF('Executive Pay Breakdown'!W:W,$B473,'Executive Pay Breakdown'!Y:Y)+SUMIF('Executive Pay Breakdown'!AA:AA,$B473,'Executive Pay Breakdown'!AC:AC)</f>
        <v>4099785</v>
      </c>
      <c r="E473" s="109"/>
      <c r="F473" s="69">
        <f>SUMIF('Executive Pay Breakdown'!K:K,$B473,'Executive Pay Breakdown'!M:M)</f>
        <v>1401725</v>
      </c>
      <c r="G473" s="69">
        <f>SUMIF('Executive Pay Breakdown'!O:O,$B473,'Executive Pay Breakdown'!Q:Q)</f>
        <v>1512367</v>
      </c>
      <c r="H473" s="69">
        <f>SUMIF('Executive Pay Breakdown'!S:S,$B473,'Executive Pay Breakdown'!U:U)</f>
        <v>1185693</v>
      </c>
      <c r="I473" s="69">
        <f>SUMIF('Executive Pay Breakdown'!W:W,$B473,'Executive Pay Breakdown'!Y:Y)</f>
        <v>0</v>
      </c>
      <c r="J473" s="69">
        <f>SUMIF('Executive Pay Breakdown'!AA:AA,$B473,'Executive Pay Breakdown'!AC:AC)</f>
        <v>0</v>
      </c>
      <c r="K473" s="90"/>
      <c r="L473" s="212"/>
      <c r="M473" s="87"/>
      <c r="N473" s="230"/>
      <c r="O473" s="120">
        <f>MATCH(C473,'Key Findings'!B:B,0)</f>
        <v>51</v>
      </c>
    </row>
    <row r="474">
      <c r="A474" s="62"/>
      <c r="B474" s="86" t="s">
        <v>612</v>
      </c>
      <c r="C474" s="87" t="s">
        <v>39</v>
      </c>
      <c r="D474" s="89">
        <f>SUMIF('Executive Pay Breakdown'!K:K,$B474,'Executive Pay Breakdown'!M:M)+SUMIF('Executive Pay Breakdown'!O:O,$B474,'Executive Pay Breakdown'!Q:Q)+SUMIF('Executive Pay Breakdown'!S:S,$B474,'Executive Pay Breakdown'!U:U)+SUMIF('Executive Pay Breakdown'!W:W,$B474,'Executive Pay Breakdown'!Y:Y)+SUMIF('Executive Pay Breakdown'!AA:AA,$B474,'Executive Pay Breakdown'!AC:AC)</f>
        <v>4038141</v>
      </c>
      <c r="E474" s="109"/>
      <c r="F474" s="69">
        <f>SUMIF('Executive Pay Breakdown'!K:K,$B474,'Executive Pay Breakdown'!M:M)</f>
        <v>1698257</v>
      </c>
      <c r="G474" s="69">
        <f>SUMIF('Executive Pay Breakdown'!O:O,$B474,'Executive Pay Breakdown'!Q:Q)</f>
        <v>2339884</v>
      </c>
      <c r="H474" s="69">
        <f>SUMIF('Executive Pay Breakdown'!S:S,$B474,'Executive Pay Breakdown'!U:U)</f>
        <v>0</v>
      </c>
      <c r="I474" s="69">
        <f>SUMIF('Executive Pay Breakdown'!W:W,$B474,'Executive Pay Breakdown'!Y:Y)</f>
        <v>0</v>
      </c>
      <c r="J474" s="69">
        <f>SUMIF('Executive Pay Breakdown'!AA:AA,$B474,'Executive Pay Breakdown'!AC:AC)</f>
        <v>0</v>
      </c>
      <c r="K474" s="90"/>
      <c r="L474" s="212"/>
      <c r="M474" s="212"/>
      <c r="N474" s="230"/>
      <c r="O474" s="120">
        <f>MATCH(C474,'Key Findings'!B:B,0)</f>
        <v>57</v>
      </c>
    </row>
    <row r="475">
      <c r="A475" s="62"/>
      <c r="B475" s="86" t="s">
        <v>576</v>
      </c>
      <c r="C475" s="87" t="s">
        <v>67</v>
      </c>
      <c r="D475" s="89">
        <f>SUMIF('Executive Pay Breakdown'!K:K,$B475,'Executive Pay Breakdown'!M:M)+SUMIF('Executive Pay Breakdown'!O:O,$B475,'Executive Pay Breakdown'!Q:Q)+SUMIF('Executive Pay Breakdown'!S:S,$B475,'Executive Pay Breakdown'!U:U)+SUMIF('Executive Pay Breakdown'!W:W,$B475,'Executive Pay Breakdown'!Y:Y)+SUMIF('Executive Pay Breakdown'!AA:AA,$B475,'Executive Pay Breakdown'!AC:AC)</f>
        <v>4011837</v>
      </c>
      <c r="E475" s="109"/>
      <c r="F475" s="69">
        <f>SUMIF('Executive Pay Breakdown'!K:K,$B475,'Executive Pay Breakdown'!M:M)</f>
        <v>4011837</v>
      </c>
      <c r="G475" s="69">
        <f>SUMIF('Executive Pay Breakdown'!O:O,$B475,'Executive Pay Breakdown'!Q:Q)</f>
        <v>0</v>
      </c>
      <c r="H475" s="69">
        <f>SUMIF('Executive Pay Breakdown'!S:S,$B475,'Executive Pay Breakdown'!U:U)</f>
        <v>0</v>
      </c>
      <c r="I475" s="69">
        <f>SUMIF('Executive Pay Breakdown'!W:W,$B475,'Executive Pay Breakdown'!Y:Y)</f>
        <v>0</v>
      </c>
      <c r="J475" s="69">
        <f>SUMIF('Executive Pay Breakdown'!AA:AA,$B475,'Executive Pay Breakdown'!AC:AC)</f>
        <v>0</v>
      </c>
      <c r="K475" s="90"/>
      <c r="L475" s="212"/>
      <c r="M475" s="87"/>
      <c r="N475" s="230"/>
      <c r="O475" s="120">
        <f>MATCH(C475,'Key Findings'!B:B,0)</f>
        <v>64</v>
      </c>
    </row>
    <row r="476">
      <c r="A476" s="62"/>
      <c r="B476" s="86" t="s">
        <v>568</v>
      </c>
      <c r="C476" s="87" t="s">
        <v>44</v>
      </c>
      <c r="D476" s="89">
        <f>SUMIF('Executive Pay Breakdown'!K:K,$B476,'Executive Pay Breakdown'!M:M)+SUMIF('Executive Pay Breakdown'!O:O,$B476,'Executive Pay Breakdown'!Q:Q)+SUMIF('Executive Pay Breakdown'!S:S,$B476,'Executive Pay Breakdown'!U:U)+SUMIF('Executive Pay Breakdown'!W:W,$B476,'Executive Pay Breakdown'!Y:Y)+SUMIF('Executive Pay Breakdown'!AA:AA,$B476,'Executive Pay Breakdown'!AC:AC)</f>
        <v>4003245</v>
      </c>
      <c r="E476" s="109"/>
      <c r="F476" s="69">
        <f>SUMIF('Executive Pay Breakdown'!K:K,$B476,'Executive Pay Breakdown'!M:M)</f>
        <v>0</v>
      </c>
      <c r="G476" s="69">
        <f>SUMIF('Executive Pay Breakdown'!O:O,$B476,'Executive Pay Breakdown'!Q:Q)</f>
        <v>0</v>
      </c>
      <c r="H476" s="69">
        <f>SUMIF('Executive Pay Breakdown'!S:S,$B476,'Executive Pay Breakdown'!U:U)</f>
        <v>0</v>
      </c>
      <c r="I476" s="69">
        <f>SUMIF('Executive Pay Breakdown'!W:W,$B476,'Executive Pay Breakdown'!Y:Y)</f>
        <v>0</v>
      </c>
      <c r="J476" s="69">
        <f>SUMIF('Executive Pay Breakdown'!AA:AA,$B476,'Executive Pay Breakdown'!AC:AC)</f>
        <v>4003245</v>
      </c>
      <c r="K476" s="90"/>
      <c r="L476" s="212"/>
      <c r="M476" s="87"/>
      <c r="N476" s="87"/>
      <c r="O476" s="120">
        <f>MATCH(C476,'Key Findings'!B:B,0)</f>
        <v>25</v>
      </c>
    </row>
    <row r="477">
      <c r="A477" s="62"/>
      <c r="B477" s="86" t="s">
        <v>514</v>
      </c>
      <c r="C477" s="87" t="s">
        <v>77</v>
      </c>
      <c r="D477" s="89">
        <f>SUMIF('Executive Pay Breakdown'!K:K,$B477,'Executive Pay Breakdown'!M:M)+SUMIF('Executive Pay Breakdown'!O:O,$B477,'Executive Pay Breakdown'!Q:Q)+SUMIF('Executive Pay Breakdown'!S:S,$B477,'Executive Pay Breakdown'!U:U)+SUMIF('Executive Pay Breakdown'!W:W,$B477,'Executive Pay Breakdown'!Y:Y)+SUMIF('Executive Pay Breakdown'!AA:AA,$B477,'Executive Pay Breakdown'!AC:AC)</f>
        <v>3964448</v>
      </c>
      <c r="E477" s="109"/>
      <c r="F477" s="69">
        <f>SUMIF('Executive Pay Breakdown'!K:K,$B477,'Executive Pay Breakdown'!M:M)</f>
        <v>3964448</v>
      </c>
      <c r="G477" s="69">
        <f>SUMIF('Executive Pay Breakdown'!O:O,$B477,'Executive Pay Breakdown'!Q:Q)</f>
        <v>0</v>
      </c>
      <c r="H477" s="69">
        <f>SUMIF('Executive Pay Breakdown'!S:S,$B477,'Executive Pay Breakdown'!U:U)</f>
        <v>0</v>
      </c>
      <c r="I477" s="69">
        <f>SUMIF('Executive Pay Breakdown'!W:W,$B477,'Executive Pay Breakdown'!Y:Y)</f>
        <v>0</v>
      </c>
      <c r="J477" s="69">
        <f>SUMIF('Executive Pay Breakdown'!AA:AA,$B477,'Executive Pay Breakdown'!AC:AC)</f>
        <v>0</v>
      </c>
      <c r="K477" s="90"/>
      <c r="L477" s="212"/>
      <c r="M477" s="87"/>
      <c r="N477" s="230"/>
      <c r="O477" s="120">
        <f>MATCH(C477,'Key Findings'!B:B,0)</f>
        <v>40</v>
      </c>
    </row>
    <row r="478">
      <c r="A478" s="62"/>
      <c r="B478" s="129" t="s">
        <v>580</v>
      </c>
      <c r="C478" s="87" t="s">
        <v>73</v>
      </c>
      <c r="D478" s="89">
        <f>SUMIF('Executive Pay Breakdown'!K:K,$B478,'Executive Pay Breakdown'!M:M)+SUMIF('Executive Pay Breakdown'!O:O,$B478,'Executive Pay Breakdown'!Q:Q)+SUMIF('Executive Pay Breakdown'!S:S,$B478,'Executive Pay Breakdown'!U:U)+SUMIF('Executive Pay Breakdown'!W:W,$B478,'Executive Pay Breakdown'!Y:Y)+SUMIF('Executive Pay Breakdown'!AA:AA,$B478,'Executive Pay Breakdown'!AC:AC)</f>
        <v>3920942</v>
      </c>
      <c r="E478" s="109"/>
      <c r="F478" s="69">
        <f>SUMIF('Executive Pay Breakdown'!K:K,$B478,'Executive Pay Breakdown'!M:M)</f>
        <v>0</v>
      </c>
      <c r="G478" s="69">
        <f>SUMIF('Executive Pay Breakdown'!O:O,$B478,'Executive Pay Breakdown'!Q:Q)</f>
        <v>3920942</v>
      </c>
      <c r="H478" s="69">
        <f>SUMIF('Executive Pay Breakdown'!S:S,$B478,'Executive Pay Breakdown'!U:U)</f>
        <v>0</v>
      </c>
      <c r="I478" s="69">
        <f>SUMIF('Executive Pay Breakdown'!W:W,$B478,'Executive Pay Breakdown'!Y:Y)</f>
        <v>0</v>
      </c>
      <c r="J478" s="69">
        <f>SUMIF('Executive Pay Breakdown'!AA:AA,$B478,'Executive Pay Breakdown'!AC:AC)</f>
        <v>0</v>
      </c>
      <c r="K478" s="90"/>
      <c r="L478" s="212"/>
      <c r="M478" s="212"/>
      <c r="N478" s="87"/>
      <c r="O478" s="120">
        <f>MATCH(C478,'Key Findings'!B:B,0)</f>
        <v>31</v>
      </c>
    </row>
    <row r="479">
      <c r="A479" s="62"/>
      <c r="B479" s="86" t="s">
        <v>578</v>
      </c>
      <c r="C479" s="87" t="s">
        <v>67</v>
      </c>
      <c r="D479" s="89">
        <f>SUMIF('Executive Pay Breakdown'!K:K,$B479,'Executive Pay Breakdown'!M:M)+SUMIF('Executive Pay Breakdown'!O:O,$B479,'Executive Pay Breakdown'!Q:Q)+SUMIF('Executive Pay Breakdown'!S:S,$B479,'Executive Pay Breakdown'!U:U)+SUMIF('Executive Pay Breakdown'!W:W,$B479,'Executive Pay Breakdown'!Y:Y)+SUMIF('Executive Pay Breakdown'!AA:AA,$B479,'Executive Pay Breakdown'!AC:AC)</f>
        <v>3865813</v>
      </c>
      <c r="E479" s="109"/>
      <c r="F479" s="69">
        <f>SUMIF('Executive Pay Breakdown'!K:K,$B479,'Executive Pay Breakdown'!M:M)</f>
        <v>0</v>
      </c>
      <c r="G479" s="69">
        <f>SUMIF('Executive Pay Breakdown'!O:O,$B479,'Executive Pay Breakdown'!Q:Q)</f>
        <v>0</v>
      </c>
      <c r="H479" s="69">
        <f>SUMIF('Executive Pay Breakdown'!S:S,$B479,'Executive Pay Breakdown'!U:U)</f>
        <v>1426106</v>
      </c>
      <c r="I479" s="69">
        <f>SUMIF('Executive Pay Breakdown'!W:W,$B479,'Executive Pay Breakdown'!Y:Y)</f>
        <v>1273716</v>
      </c>
      <c r="J479" s="69">
        <f>SUMIF('Executive Pay Breakdown'!AA:AA,$B479,'Executive Pay Breakdown'!AC:AC)</f>
        <v>1165991</v>
      </c>
      <c r="K479" s="90"/>
      <c r="L479" s="212"/>
      <c r="M479" s="87"/>
      <c r="N479" s="87"/>
      <c r="O479" s="120">
        <f>MATCH(C479,'Key Findings'!B:B,0)</f>
        <v>64</v>
      </c>
    </row>
    <row r="480">
      <c r="A480" s="62"/>
      <c r="B480" s="125" t="s">
        <v>629</v>
      </c>
      <c r="C480" s="87" t="s">
        <v>25</v>
      </c>
      <c r="D480" s="89">
        <f>SUMIF('Executive Pay Breakdown'!K:K,$B480,'Executive Pay Breakdown'!M:M)+SUMIF('Executive Pay Breakdown'!O:O,$B480,'Executive Pay Breakdown'!Q:Q)+SUMIF('Executive Pay Breakdown'!S:S,$B480,'Executive Pay Breakdown'!U:U)+SUMIF('Executive Pay Breakdown'!W:W,$B480,'Executive Pay Breakdown'!Y:Y)+SUMIF('Executive Pay Breakdown'!AA:AA,$B480,'Executive Pay Breakdown'!AC:AC)</f>
        <v>3839695</v>
      </c>
      <c r="E480" s="109"/>
      <c r="F480" s="69">
        <f>SUMIF('Executive Pay Breakdown'!K:K,$B480,'Executive Pay Breakdown'!M:M)</f>
        <v>3839695</v>
      </c>
      <c r="G480" s="69">
        <f>SUMIF('Executive Pay Breakdown'!O:O,$B480,'Executive Pay Breakdown'!Q:Q)</f>
        <v>0</v>
      </c>
      <c r="H480" s="69">
        <f>SUMIF('Executive Pay Breakdown'!S:S,$B480,'Executive Pay Breakdown'!U:U)</f>
        <v>0</v>
      </c>
      <c r="I480" s="69">
        <f>SUMIF('Executive Pay Breakdown'!W:W,$B480,'Executive Pay Breakdown'!Y:Y)</f>
        <v>0</v>
      </c>
      <c r="J480" s="69">
        <f>SUMIF('Executive Pay Breakdown'!AA:AA,$B480,'Executive Pay Breakdown'!AC:AC)</f>
        <v>0</v>
      </c>
      <c r="K480" s="90"/>
      <c r="L480" s="212"/>
      <c r="M480" s="87"/>
      <c r="N480" s="230"/>
      <c r="O480" s="120">
        <f>MATCH(C480,'Key Findings'!B:B,0)</f>
        <v>42</v>
      </c>
    </row>
    <row r="481">
      <c r="A481" s="62"/>
      <c r="B481" s="86" t="s">
        <v>523</v>
      </c>
      <c r="C481" s="87" t="s">
        <v>77</v>
      </c>
      <c r="D481" s="89">
        <f>SUMIF('Executive Pay Breakdown'!K:K,$B481,'Executive Pay Breakdown'!M:M)+SUMIF('Executive Pay Breakdown'!O:O,$B481,'Executive Pay Breakdown'!Q:Q)+SUMIF('Executive Pay Breakdown'!S:S,$B481,'Executive Pay Breakdown'!U:U)+SUMIF('Executive Pay Breakdown'!W:W,$B481,'Executive Pay Breakdown'!Y:Y)+SUMIF('Executive Pay Breakdown'!AA:AA,$B481,'Executive Pay Breakdown'!AC:AC)</f>
        <v>3804506</v>
      </c>
      <c r="E481" s="109"/>
      <c r="F481" s="69">
        <f>SUMIF('Executive Pay Breakdown'!K:K,$B481,'Executive Pay Breakdown'!M:M)</f>
        <v>0</v>
      </c>
      <c r="G481" s="69">
        <f>SUMIF('Executive Pay Breakdown'!O:O,$B481,'Executive Pay Breakdown'!Q:Q)</f>
        <v>0</v>
      </c>
      <c r="H481" s="69">
        <f>SUMIF('Executive Pay Breakdown'!S:S,$B481,'Executive Pay Breakdown'!U:U)</f>
        <v>0</v>
      </c>
      <c r="I481" s="69">
        <f>SUMIF('Executive Pay Breakdown'!W:W,$B481,'Executive Pay Breakdown'!Y:Y)</f>
        <v>0</v>
      </c>
      <c r="J481" s="69">
        <f>SUMIF('Executive Pay Breakdown'!AA:AA,$B481,'Executive Pay Breakdown'!AC:AC)</f>
        <v>3804506</v>
      </c>
      <c r="K481" s="90"/>
      <c r="L481" s="212"/>
      <c r="M481" s="87"/>
      <c r="N481" s="87"/>
      <c r="O481" s="120">
        <f>MATCH(C481,'Key Findings'!B:B,0)</f>
        <v>40</v>
      </c>
    </row>
    <row r="482">
      <c r="A482" s="62"/>
      <c r="B482" s="127" t="s">
        <v>641</v>
      </c>
      <c r="C482" s="87" t="s">
        <v>64</v>
      </c>
      <c r="D482" s="89">
        <f>SUMIF('Executive Pay Breakdown'!K:K,$B482,'Executive Pay Breakdown'!M:M)+SUMIF('Executive Pay Breakdown'!O:O,$B482,'Executive Pay Breakdown'!Q:Q)+SUMIF('Executive Pay Breakdown'!S:S,$B482,'Executive Pay Breakdown'!U:U)+SUMIF('Executive Pay Breakdown'!W:W,$B482,'Executive Pay Breakdown'!Y:Y)+SUMIF('Executive Pay Breakdown'!AA:AA,$B482,'Executive Pay Breakdown'!AC:AC)</f>
        <v>3779387</v>
      </c>
      <c r="E482" s="109"/>
      <c r="F482" s="69">
        <f>SUMIF('Executive Pay Breakdown'!K:K,$B482,'Executive Pay Breakdown'!M:M)</f>
        <v>0</v>
      </c>
      <c r="G482" s="69">
        <f>SUMIF('Executive Pay Breakdown'!O:O,$B482,'Executive Pay Breakdown'!Q:Q)</f>
        <v>0</v>
      </c>
      <c r="H482" s="69">
        <f>SUMIF('Executive Pay Breakdown'!S:S,$B482,'Executive Pay Breakdown'!U:U)</f>
        <v>0</v>
      </c>
      <c r="I482" s="69">
        <f>SUMIF('Executive Pay Breakdown'!W:W,$B482,'Executive Pay Breakdown'!Y:Y)</f>
        <v>1963695</v>
      </c>
      <c r="J482" s="69">
        <f>SUMIF('Executive Pay Breakdown'!AA:AA,$B482,'Executive Pay Breakdown'!AC:AC)</f>
        <v>1815692</v>
      </c>
      <c r="K482" s="90"/>
      <c r="L482" s="212"/>
      <c r="M482" s="87"/>
      <c r="N482" s="87"/>
      <c r="O482" s="120">
        <f>MATCH(C482,'Key Findings'!B:B,0)</f>
        <v>59</v>
      </c>
    </row>
    <row r="483">
      <c r="A483" s="62"/>
      <c r="B483" s="143" t="s">
        <v>585</v>
      </c>
      <c r="C483" s="87" t="s">
        <v>50</v>
      </c>
      <c r="D483" s="89">
        <f>SUMIF('Executive Pay Breakdown'!K:K,$B483,'Executive Pay Breakdown'!M:M)+SUMIF('Executive Pay Breakdown'!O:O,$B483,'Executive Pay Breakdown'!Q:Q)+SUMIF('Executive Pay Breakdown'!S:S,$B483,'Executive Pay Breakdown'!U:U)+SUMIF('Executive Pay Breakdown'!W:W,$B483,'Executive Pay Breakdown'!Y:Y)+SUMIF('Executive Pay Breakdown'!AA:AA,$B483,'Executive Pay Breakdown'!AC:AC)</f>
        <v>3746801</v>
      </c>
      <c r="E483" s="109"/>
      <c r="F483" s="69">
        <f>SUMIF('Executive Pay Breakdown'!K:K,$B483,'Executive Pay Breakdown'!M:M)</f>
        <v>0</v>
      </c>
      <c r="G483" s="69">
        <f>SUMIF('Executive Pay Breakdown'!O:O,$B483,'Executive Pay Breakdown'!Q:Q)</f>
        <v>0</v>
      </c>
      <c r="H483" s="69">
        <f>SUMIF('Executive Pay Breakdown'!S:S,$B483,'Executive Pay Breakdown'!U:U)</f>
        <v>3746801</v>
      </c>
      <c r="I483" s="69">
        <f>SUMIF('Executive Pay Breakdown'!W:W,$B483,'Executive Pay Breakdown'!Y:Y)</f>
        <v>0</v>
      </c>
      <c r="J483" s="69">
        <f>SUMIF('Executive Pay Breakdown'!AA:AA,$B483,'Executive Pay Breakdown'!AC:AC)</f>
        <v>0</v>
      </c>
      <c r="K483" s="90"/>
      <c r="L483" s="212"/>
      <c r="M483" s="87"/>
      <c r="N483" s="87"/>
      <c r="O483" s="120">
        <f>MATCH(C483,'Key Findings'!B:B,0)</f>
        <v>18</v>
      </c>
    </row>
    <row r="484">
      <c r="A484" s="71"/>
      <c r="B484" s="124" t="s">
        <v>627</v>
      </c>
      <c r="C484" s="87" t="s">
        <v>58</v>
      </c>
      <c r="D484" s="89">
        <f>SUMIF('Executive Pay Breakdown'!K:K,$B484,'Executive Pay Breakdown'!M:M)+SUMIF('Executive Pay Breakdown'!O:O,$B484,'Executive Pay Breakdown'!Q:Q)+SUMIF('Executive Pay Breakdown'!S:S,$B484,'Executive Pay Breakdown'!U:U)+SUMIF('Executive Pay Breakdown'!W:W,$B484,'Executive Pay Breakdown'!Y:Y)+SUMIF('Executive Pay Breakdown'!AA:AA,$B484,'Executive Pay Breakdown'!AC:AC)</f>
        <v>3722444</v>
      </c>
      <c r="E484" s="109"/>
      <c r="F484" s="69">
        <f>SUMIF('Executive Pay Breakdown'!K:K,$B484,'Executive Pay Breakdown'!M:M)</f>
        <v>0</v>
      </c>
      <c r="G484" s="69">
        <f>SUMIF('Executive Pay Breakdown'!O:O,$B484,'Executive Pay Breakdown'!Q:Q)</f>
        <v>3722444</v>
      </c>
      <c r="H484" s="69">
        <f>SUMIF('Executive Pay Breakdown'!S:S,$B484,'Executive Pay Breakdown'!U:U)</f>
        <v>0</v>
      </c>
      <c r="I484" s="69">
        <f>SUMIF('Executive Pay Breakdown'!W:W,$B484,'Executive Pay Breakdown'!Y:Y)</f>
        <v>0</v>
      </c>
      <c r="J484" s="69">
        <f>SUMIF('Executive Pay Breakdown'!AA:AA,$B484,'Executive Pay Breakdown'!AC:AC)</f>
        <v>0</v>
      </c>
      <c r="K484" s="90"/>
      <c r="L484" s="212"/>
      <c r="M484" s="212"/>
      <c r="N484" s="87"/>
      <c r="O484" s="120">
        <f>MATCH(C484,'Key Findings'!B:B,0)</f>
        <v>27</v>
      </c>
    </row>
    <row r="485">
      <c r="A485" s="62"/>
      <c r="B485" s="131" t="s">
        <v>622</v>
      </c>
      <c r="C485" s="87" t="s">
        <v>27</v>
      </c>
      <c r="D485" s="89">
        <f>SUMIF('Executive Pay Breakdown'!K:K,$B485,'Executive Pay Breakdown'!M:M)+SUMIF('Executive Pay Breakdown'!O:O,$B485,'Executive Pay Breakdown'!Q:Q)+SUMIF('Executive Pay Breakdown'!S:S,$B485,'Executive Pay Breakdown'!U:U)+SUMIF('Executive Pay Breakdown'!W:W,$B485,'Executive Pay Breakdown'!Y:Y)+SUMIF('Executive Pay Breakdown'!AA:AA,$B485,'Executive Pay Breakdown'!AC:AC)</f>
        <v>3676515</v>
      </c>
      <c r="E485" s="109"/>
      <c r="F485" s="69">
        <f>SUMIF('Executive Pay Breakdown'!K:K,$B485,'Executive Pay Breakdown'!M:M)</f>
        <v>0</v>
      </c>
      <c r="G485" s="69">
        <f>SUMIF('Executive Pay Breakdown'!O:O,$B485,'Executive Pay Breakdown'!Q:Q)</f>
        <v>0</v>
      </c>
      <c r="H485" s="69">
        <f>SUMIF('Executive Pay Breakdown'!S:S,$B485,'Executive Pay Breakdown'!U:U)</f>
        <v>1687667</v>
      </c>
      <c r="I485" s="69">
        <f>SUMIF('Executive Pay Breakdown'!W:W,$B485,'Executive Pay Breakdown'!Y:Y)</f>
        <v>1988848</v>
      </c>
      <c r="J485" s="69">
        <f>SUMIF('Executive Pay Breakdown'!AA:AA,$B485,'Executive Pay Breakdown'!AC:AC)</f>
        <v>0</v>
      </c>
      <c r="K485" s="90"/>
      <c r="L485" s="212"/>
      <c r="M485" s="87"/>
      <c r="N485" s="87"/>
      <c r="O485" s="120">
        <f>MATCH(C485,'Key Findings'!B:B,0)</f>
        <v>51</v>
      </c>
    </row>
    <row r="486">
      <c r="A486" s="71"/>
      <c r="B486" s="124" t="s">
        <v>630</v>
      </c>
      <c r="C486" s="87" t="s">
        <v>58</v>
      </c>
      <c r="D486" s="89">
        <f>SUMIF('Executive Pay Breakdown'!K:K,$B486,'Executive Pay Breakdown'!M:M)+SUMIF('Executive Pay Breakdown'!O:O,$B486,'Executive Pay Breakdown'!Q:Q)+SUMIF('Executive Pay Breakdown'!S:S,$B486,'Executive Pay Breakdown'!U:U)+SUMIF('Executive Pay Breakdown'!W:W,$B486,'Executive Pay Breakdown'!Y:Y)+SUMIF('Executive Pay Breakdown'!AA:AA,$B486,'Executive Pay Breakdown'!AC:AC)</f>
        <v>3632029</v>
      </c>
      <c r="E486" s="109"/>
      <c r="F486" s="69">
        <f>SUMIF('Executive Pay Breakdown'!K:K,$B486,'Executive Pay Breakdown'!M:M)</f>
        <v>3632029</v>
      </c>
      <c r="G486" s="69">
        <f>SUMIF('Executive Pay Breakdown'!O:O,$B486,'Executive Pay Breakdown'!Q:Q)</f>
        <v>0</v>
      </c>
      <c r="H486" s="69">
        <f>SUMIF('Executive Pay Breakdown'!S:S,$B486,'Executive Pay Breakdown'!U:U)</f>
        <v>0</v>
      </c>
      <c r="I486" s="69">
        <f>SUMIF('Executive Pay Breakdown'!W:W,$B486,'Executive Pay Breakdown'!Y:Y)</f>
        <v>0</v>
      </c>
      <c r="J486" s="69">
        <f>SUMIF('Executive Pay Breakdown'!AA:AA,$B486,'Executive Pay Breakdown'!AC:AC)</f>
        <v>0</v>
      </c>
      <c r="K486" s="90"/>
      <c r="L486" s="212"/>
      <c r="M486" s="87"/>
      <c r="N486" s="230"/>
      <c r="O486" s="120">
        <f>MATCH(C486,'Key Findings'!B:B,0)</f>
        <v>27</v>
      </c>
    </row>
    <row r="487">
      <c r="A487" s="62"/>
      <c r="B487" s="127" t="s">
        <v>624</v>
      </c>
      <c r="C487" s="87" t="s">
        <v>12</v>
      </c>
      <c r="D487" s="89">
        <f>SUMIF('Executive Pay Breakdown'!K:K,$B487,'Executive Pay Breakdown'!M:M)+SUMIF('Executive Pay Breakdown'!O:O,$B487,'Executive Pay Breakdown'!Q:Q)+SUMIF('Executive Pay Breakdown'!S:S,$B487,'Executive Pay Breakdown'!U:U)+SUMIF('Executive Pay Breakdown'!W:W,$B487,'Executive Pay Breakdown'!Y:Y)+SUMIF('Executive Pay Breakdown'!AA:AA,$B487,'Executive Pay Breakdown'!AC:AC)</f>
        <v>3626837</v>
      </c>
      <c r="E487" s="109"/>
      <c r="F487" s="69">
        <f>SUMIF('Executive Pay Breakdown'!K:K,$B487,'Executive Pay Breakdown'!M:M)</f>
        <v>3626837</v>
      </c>
      <c r="G487" s="69">
        <f>SUMIF('Executive Pay Breakdown'!O:O,$B487,'Executive Pay Breakdown'!Q:Q)</f>
        <v>0</v>
      </c>
      <c r="H487" s="69">
        <f>SUMIF('Executive Pay Breakdown'!S:S,$B487,'Executive Pay Breakdown'!U:U)</f>
        <v>0</v>
      </c>
      <c r="I487" s="69">
        <f>SUMIF('Executive Pay Breakdown'!W:W,$B487,'Executive Pay Breakdown'!Y:Y)</f>
        <v>0</v>
      </c>
      <c r="J487" s="69">
        <f>SUMIF('Executive Pay Breakdown'!AA:AA,$B487,'Executive Pay Breakdown'!AC:AC)</f>
        <v>0</v>
      </c>
      <c r="K487" s="90"/>
      <c r="L487" s="212"/>
      <c r="M487" s="87"/>
      <c r="N487" s="230"/>
      <c r="O487" s="120">
        <f>MATCH(C487,'Key Findings'!B:B,0)</f>
        <v>17</v>
      </c>
    </row>
    <row r="488">
      <c r="A488" s="62"/>
      <c r="B488" s="86" t="s">
        <v>529</v>
      </c>
      <c r="C488" s="87" t="s">
        <v>77</v>
      </c>
      <c r="D488" s="89">
        <f>SUMIF('Executive Pay Breakdown'!K:K,$B488,'Executive Pay Breakdown'!M:M)+SUMIF('Executive Pay Breakdown'!O:O,$B488,'Executive Pay Breakdown'!Q:Q)+SUMIF('Executive Pay Breakdown'!S:S,$B488,'Executive Pay Breakdown'!U:U)+SUMIF('Executive Pay Breakdown'!W:W,$B488,'Executive Pay Breakdown'!Y:Y)+SUMIF('Executive Pay Breakdown'!AA:AA,$B488,'Executive Pay Breakdown'!AC:AC)</f>
        <v>3588887</v>
      </c>
      <c r="E488" s="109"/>
      <c r="F488" s="69">
        <f>SUMIF('Executive Pay Breakdown'!K:K,$B488,'Executive Pay Breakdown'!M:M)</f>
        <v>3588887</v>
      </c>
      <c r="G488" s="69">
        <f>SUMIF('Executive Pay Breakdown'!O:O,$B488,'Executive Pay Breakdown'!Q:Q)</f>
        <v>0</v>
      </c>
      <c r="H488" s="69">
        <f>SUMIF('Executive Pay Breakdown'!S:S,$B488,'Executive Pay Breakdown'!U:U)</f>
        <v>0</v>
      </c>
      <c r="I488" s="69">
        <f>SUMIF('Executive Pay Breakdown'!W:W,$B488,'Executive Pay Breakdown'!Y:Y)</f>
        <v>0</v>
      </c>
      <c r="J488" s="69">
        <f>SUMIF('Executive Pay Breakdown'!AA:AA,$B488,'Executive Pay Breakdown'!AC:AC)</f>
        <v>0</v>
      </c>
      <c r="K488" s="90"/>
      <c r="L488" s="212"/>
      <c r="M488" s="87"/>
      <c r="N488" s="230"/>
      <c r="O488" s="120">
        <f>MATCH(C488,'Key Findings'!B:B,0)</f>
        <v>40</v>
      </c>
    </row>
    <row r="489">
      <c r="A489" s="62"/>
      <c r="B489" s="86" t="s">
        <v>621</v>
      </c>
      <c r="C489" s="87" t="s">
        <v>38</v>
      </c>
      <c r="D489" s="89">
        <f>SUMIF('Executive Pay Breakdown'!K:K,$B489,'Executive Pay Breakdown'!M:M)+SUMIF('Executive Pay Breakdown'!O:O,$B489,'Executive Pay Breakdown'!Q:Q)+SUMIF('Executive Pay Breakdown'!S:S,$B489,'Executive Pay Breakdown'!U:U)+SUMIF('Executive Pay Breakdown'!W:W,$B489,'Executive Pay Breakdown'!Y:Y)+SUMIF('Executive Pay Breakdown'!AA:AA,$B489,'Executive Pay Breakdown'!AC:AC)</f>
        <v>3577471</v>
      </c>
      <c r="E489" s="109"/>
      <c r="F489" s="69">
        <f>SUMIF('Executive Pay Breakdown'!K:K,$B489,'Executive Pay Breakdown'!M:M)</f>
        <v>2051110</v>
      </c>
      <c r="G489" s="69">
        <f>SUMIF('Executive Pay Breakdown'!O:O,$B489,'Executive Pay Breakdown'!Q:Q)</f>
        <v>1526361</v>
      </c>
      <c r="H489" s="69">
        <f>SUMIF('Executive Pay Breakdown'!S:S,$B489,'Executive Pay Breakdown'!U:U)</f>
        <v>0</v>
      </c>
      <c r="I489" s="69">
        <f>SUMIF('Executive Pay Breakdown'!W:W,$B489,'Executive Pay Breakdown'!Y:Y)</f>
        <v>0</v>
      </c>
      <c r="J489" s="69">
        <f>SUMIF('Executive Pay Breakdown'!AA:AA,$B489,'Executive Pay Breakdown'!AC:AC)</f>
        <v>0</v>
      </c>
      <c r="K489" s="90"/>
      <c r="L489" s="212"/>
      <c r="M489" s="212"/>
      <c r="N489" s="230"/>
      <c r="O489" s="120">
        <f>MATCH(C489,'Key Findings'!B:B,0)</f>
        <v>62</v>
      </c>
    </row>
    <row r="490">
      <c r="A490" s="62"/>
      <c r="B490" s="86" t="s">
        <v>531</v>
      </c>
      <c r="C490" s="87" t="s">
        <v>77</v>
      </c>
      <c r="D490" s="89">
        <f>SUMIF('Executive Pay Breakdown'!K:K,$B490,'Executive Pay Breakdown'!M:M)+SUMIF('Executive Pay Breakdown'!O:O,$B490,'Executive Pay Breakdown'!Q:Q)+SUMIF('Executive Pay Breakdown'!S:S,$B490,'Executive Pay Breakdown'!U:U)+SUMIF('Executive Pay Breakdown'!W:W,$B490,'Executive Pay Breakdown'!Y:Y)+SUMIF('Executive Pay Breakdown'!AA:AA,$B490,'Executive Pay Breakdown'!AC:AC)</f>
        <v>3576212</v>
      </c>
      <c r="E490" s="109"/>
      <c r="F490" s="69">
        <f>SUMIF('Executive Pay Breakdown'!K:K,$B490,'Executive Pay Breakdown'!M:M)</f>
        <v>0</v>
      </c>
      <c r="G490" s="69">
        <f>SUMIF('Executive Pay Breakdown'!O:O,$B490,'Executive Pay Breakdown'!Q:Q)</f>
        <v>3576212</v>
      </c>
      <c r="H490" s="69">
        <f>SUMIF('Executive Pay Breakdown'!S:S,$B490,'Executive Pay Breakdown'!U:U)</f>
        <v>0</v>
      </c>
      <c r="I490" s="69">
        <f>SUMIF('Executive Pay Breakdown'!W:W,$B490,'Executive Pay Breakdown'!Y:Y)</f>
        <v>0</v>
      </c>
      <c r="J490" s="69">
        <f>SUMIF('Executive Pay Breakdown'!AA:AA,$B490,'Executive Pay Breakdown'!AC:AC)</f>
        <v>0</v>
      </c>
      <c r="K490" s="90"/>
      <c r="L490" s="212"/>
      <c r="M490" s="212"/>
      <c r="N490" s="87"/>
      <c r="O490" s="120">
        <f>MATCH(C490,'Key Findings'!B:B,0)</f>
        <v>40</v>
      </c>
    </row>
    <row r="491">
      <c r="A491" s="81"/>
      <c r="B491" s="133" t="s">
        <v>646</v>
      </c>
      <c r="C491" s="87" t="s">
        <v>52</v>
      </c>
      <c r="D491" s="89">
        <f>SUMIF('Executive Pay Breakdown'!K:K,$B491,'Executive Pay Breakdown'!M:M)+SUMIF('Executive Pay Breakdown'!O:O,$B491,'Executive Pay Breakdown'!Q:Q)+SUMIF('Executive Pay Breakdown'!S:S,$B491,'Executive Pay Breakdown'!U:U)+SUMIF('Executive Pay Breakdown'!W:W,$B491,'Executive Pay Breakdown'!Y:Y)+SUMIF('Executive Pay Breakdown'!AA:AA,$B491,'Executive Pay Breakdown'!AC:AC)</f>
        <v>3574278</v>
      </c>
      <c r="E491" s="109"/>
      <c r="F491" s="69">
        <f>SUMIF('Executive Pay Breakdown'!K:K,$B491,'Executive Pay Breakdown'!M:M)</f>
        <v>0</v>
      </c>
      <c r="G491" s="69">
        <f>SUMIF('Executive Pay Breakdown'!O:O,$B491,'Executive Pay Breakdown'!Q:Q)</f>
        <v>3574278</v>
      </c>
      <c r="H491" s="69">
        <f>SUMIF('Executive Pay Breakdown'!S:S,$B491,'Executive Pay Breakdown'!U:U)</f>
        <v>0</v>
      </c>
      <c r="I491" s="69">
        <f>SUMIF('Executive Pay Breakdown'!W:W,$B491,'Executive Pay Breakdown'!Y:Y)</f>
        <v>0</v>
      </c>
      <c r="J491" s="69">
        <f>SUMIF('Executive Pay Breakdown'!AA:AA,$B491,'Executive Pay Breakdown'!AC:AC)</f>
        <v>0</v>
      </c>
      <c r="K491" s="90"/>
      <c r="L491" s="212"/>
      <c r="M491" s="212"/>
      <c r="N491" s="87"/>
      <c r="O491" s="120">
        <f>MATCH(C491,'Key Findings'!B:B,0)</f>
        <v>21</v>
      </c>
    </row>
    <row r="492">
      <c r="A492" s="62"/>
      <c r="B492" s="127" t="s">
        <v>618</v>
      </c>
      <c r="C492" s="87" t="s">
        <v>15</v>
      </c>
      <c r="D492" s="89">
        <f>SUMIF('Executive Pay Breakdown'!K:K,$B492,'Executive Pay Breakdown'!M:M)+SUMIF('Executive Pay Breakdown'!O:O,$B492,'Executive Pay Breakdown'!Q:Q)+SUMIF('Executive Pay Breakdown'!S:S,$B492,'Executive Pay Breakdown'!U:U)+SUMIF('Executive Pay Breakdown'!W:W,$B492,'Executive Pay Breakdown'!Y:Y)+SUMIF('Executive Pay Breakdown'!AA:AA,$B492,'Executive Pay Breakdown'!AC:AC)</f>
        <v>3545689</v>
      </c>
      <c r="E492" s="109"/>
      <c r="F492" s="69">
        <f>SUMIF('Executive Pay Breakdown'!K:K,$B492,'Executive Pay Breakdown'!M:M)</f>
        <v>0</v>
      </c>
      <c r="G492" s="69">
        <f>SUMIF('Executive Pay Breakdown'!O:O,$B492,'Executive Pay Breakdown'!Q:Q)</f>
        <v>0</v>
      </c>
      <c r="H492" s="69">
        <f>SUMIF('Executive Pay Breakdown'!S:S,$B492,'Executive Pay Breakdown'!U:U)</f>
        <v>3545689</v>
      </c>
      <c r="I492" s="69">
        <f>SUMIF('Executive Pay Breakdown'!W:W,$B492,'Executive Pay Breakdown'!Y:Y)</f>
        <v>0</v>
      </c>
      <c r="J492" s="69">
        <f>SUMIF('Executive Pay Breakdown'!AA:AA,$B492,'Executive Pay Breakdown'!AC:AC)</f>
        <v>0</v>
      </c>
      <c r="K492" s="90"/>
      <c r="L492" s="212"/>
      <c r="M492" s="87"/>
      <c r="N492" s="87"/>
      <c r="O492" s="120">
        <f>MATCH(C492,'Key Findings'!B:B,0)</f>
        <v>32</v>
      </c>
    </row>
    <row r="493">
      <c r="A493" s="71"/>
      <c r="B493" s="139" t="s">
        <v>539</v>
      </c>
      <c r="C493" s="87" t="s">
        <v>54</v>
      </c>
      <c r="D493" s="89">
        <f>SUMIF('Executive Pay Breakdown'!K:K,$B493,'Executive Pay Breakdown'!M:M)+SUMIF('Executive Pay Breakdown'!O:O,$B493,'Executive Pay Breakdown'!Q:Q)+SUMIF('Executive Pay Breakdown'!S:S,$B493,'Executive Pay Breakdown'!U:U)+SUMIF('Executive Pay Breakdown'!W:W,$B493,'Executive Pay Breakdown'!Y:Y)+SUMIF('Executive Pay Breakdown'!AA:AA,$B493,'Executive Pay Breakdown'!AC:AC)</f>
        <v>3525897</v>
      </c>
      <c r="E493" s="109"/>
      <c r="F493" s="69">
        <f>SUMIF('Executive Pay Breakdown'!K:K,$B493,'Executive Pay Breakdown'!M:M)</f>
        <v>0</v>
      </c>
      <c r="G493" s="69">
        <f>SUMIF('Executive Pay Breakdown'!O:O,$B493,'Executive Pay Breakdown'!Q:Q)</f>
        <v>0</v>
      </c>
      <c r="H493" s="69">
        <f>SUMIF('Executive Pay Breakdown'!S:S,$B493,'Executive Pay Breakdown'!U:U)</f>
        <v>0</v>
      </c>
      <c r="I493" s="69">
        <f>SUMIF('Executive Pay Breakdown'!W:W,$B493,'Executive Pay Breakdown'!Y:Y)</f>
        <v>1957720</v>
      </c>
      <c r="J493" s="69">
        <f>SUMIF('Executive Pay Breakdown'!AA:AA,$B493,'Executive Pay Breakdown'!AC:AC)</f>
        <v>1568177</v>
      </c>
      <c r="K493" s="90"/>
      <c r="L493" s="212"/>
      <c r="M493" s="87"/>
      <c r="N493" s="87"/>
      <c r="O493" s="120">
        <f>MATCH(C493,'Key Findings'!B:B,0)</f>
        <v>19</v>
      </c>
    </row>
    <row r="494">
      <c r="A494" s="81"/>
      <c r="B494" s="87" t="s">
        <v>648</v>
      </c>
      <c r="C494" s="87" t="s">
        <v>52</v>
      </c>
      <c r="D494" s="89">
        <f>SUMIF('Executive Pay Breakdown'!K:K,$B494,'Executive Pay Breakdown'!M:M)+SUMIF('Executive Pay Breakdown'!O:O,$B494,'Executive Pay Breakdown'!Q:Q)+SUMIF('Executive Pay Breakdown'!S:S,$B494,'Executive Pay Breakdown'!U:U)+SUMIF('Executive Pay Breakdown'!W:W,$B494,'Executive Pay Breakdown'!Y:Y)+SUMIF('Executive Pay Breakdown'!AA:AA,$B494,'Executive Pay Breakdown'!AC:AC)</f>
        <v>3522341</v>
      </c>
      <c r="E494" s="109"/>
      <c r="F494" s="69">
        <f>SUMIF('Executive Pay Breakdown'!K:K,$B494,'Executive Pay Breakdown'!M:M)</f>
        <v>3522341</v>
      </c>
      <c r="G494" s="69">
        <f>SUMIF('Executive Pay Breakdown'!O:O,$B494,'Executive Pay Breakdown'!Q:Q)</f>
        <v>0</v>
      </c>
      <c r="H494" s="69">
        <f>SUMIF('Executive Pay Breakdown'!S:S,$B494,'Executive Pay Breakdown'!U:U)</f>
        <v>0</v>
      </c>
      <c r="I494" s="69">
        <f>SUMIF('Executive Pay Breakdown'!W:W,$B494,'Executive Pay Breakdown'!Y:Y)</f>
        <v>0</v>
      </c>
      <c r="J494" s="69">
        <f>SUMIF('Executive Pay Breakdown'!AA:AA,$B494,'Executive Pay Breakdown'!AC:AC)</f>
        <v>0</v>
      </c>
      <c r="K494" s="90"/>
      <c r="L494" s="212"/>
      <c r="M494" s="87"/>
      <c r="N494" s="230"/>
      <c r="O494" s="120">
        <f>MATCH(C494,'Key Findings'!B:B,0)</f>
        <v>21</v>
      </c>
    </row>
    <row r="495">
      <c r="A495" s="62"/>
      <c r="B495" s="86" t="s">
        <v>534</v>
      </c>
      <c r="C495" s="87" t="s">
        <v>77</v>
      </c>
      <c r="D495" s="89">
        <f>SUMIF('Executive Pay Breakdown'!K:K,$B495,'Executive Pay Breakdown'!M:M)+SUMIF('Executive Pay Breakdown'!O:O,$B495,'Executive Pay Breakdown'!Q:Q)+SUMIF('Executive Pay Breakdown'!S:S,$B495,'Executive Pay Breakdown'!U:U)+SUMIF('Executive Pay Breakdown'!W:W,$B495,'Executive Pay Breakdown'!Y:Y)+SUMIF('Executive Pay Breakdown'!AA:AA,$B495,'Executive Pay Breakdown'!AC:AC)</f>
        <v>3511089</v>
      </c>
      <c r="E495" s="109"/>
      <c r="F495" s="69">
        <f>SUMIF('Executive Pay Breakdown'!K:K,$B495,'Executive Pay Breakdown'!M:M)</f>
        <v>0</v>
      </c>
      <c r="G495" s="69">
        <f>SUMIF('Executive Pay Breakdown'!O:O,$B495,'Executive Pay Breakdown'!Q:Q)</f>
        <v>0</v>
      </c>
      <c r="H495" s="69">
        <f>SUMIF('Executive Pay Breakdown'!S:S,$B495,'Executive Pay Breakdown'!U:U)</f>
        <v>0</v>
      </c>
      <c r="I495" s="69">
        <f>SUMIF('Executive Pay Breakdown'!W:W,$B495,'Executive Pay Breakdown'!Y:Y)</f>
        <v>3511089</v>
      </c>
      <c r="J495" s="69">
        <f>SUMIF('Executive Pay Breakdown'!AA:AA,$B495,'Executive Pay Breakdown'!AC:AC)</f>
        <v>0</v>
      </c>
      <c r="K495" s="90"/>
      <c r="L495" s="212"/>
      <c r="M495" s="87"/>
      <c r="N495" s="87"/>
      <c r="O495" s="120">
        <f>MATCH(C495,'Key Findings'!B:B,0)</f>
        <v>40</v>
      </c>
    </row>
    <row r="496">
      <c r="A496" s="62"/>
      <c r="B496" s="86" t="s">
        <v>617</v>
      </c>
      <c r="C496" s="87" t="s">
        <v>28</v>
      </c>
      <c r="D496" s="89">
        <f>SUMIF('Executive Pay Breakdown'!K:K,$B496,'Executive Pay Breakdown'!M:M)+SUMIF('Executive Pay Breakdown'!O:O,$B496,'Executive Pay Breakdown'!Q:Q)+SUMIF('Executive Pay Breakdown'!S:S,$B496,'Executive Pay Breakdown'!U:U)+SUMIF('Executive Pay Breakdown'!W:W,$B496,'Executive Pay Breakdown'!Y:Y)+SUMIF('Executive Pay Breakdown'!AA:AA,$B496,'Executive Pay Breakdown'!AC:AC)</f>
        <v>3495456</v>
      </c>
      <c r="E496" s="109"/>
      <c r="F496" s="69">
        <f>SUMIF('Executive Pay Breakdown'!K:K,$B496,'Executive Pay Breakdown'!M:M)</f>
        <v>2027696</v>
      </c>
      <c r="G496" s="69">
        <f>SUMIF('Executive Pay Breakdown'!O:O,$B496,'Executive Pay Breakdown'!Q:Q)</f>
        <v>0</v>
      </c>
      <c r="H496" s="69">
        <f>SUMIF('Executive Pay Breakdown'!S:S,$B496,'Executive Pay Breakdown'!U:U)</f>
        <v>0</v>
      </c>
      <c r="I496" s="69">
        <f>SUMIF('Executive Pay Breakdown'!W:W,$B496,'Executive Pay Breakdown'!Y:Y)</f>
        <v>1467760</v>
      </c>
      <c r="J496" s="69">
        <f>SUMIF('Executive Pay Breakdown'!AA:AA,$B496,'Executive Pay Breakdown'!AC:AC)</f>
        <v>0</v>
      </c>
      <c r="K496" s="90"/>
      <c r="L496" s="212"/>
      <c r="M496" s="87"/>
      <c r="N496" s="230"/>
      <c r="O496" s="120">
        <f>MATCH(C496,'Key Findings'!B:B,0)</f>
        <v>56</v>
      </c>
    </row>
    <row r="497">
      <c r="A497" s="62"/>
      <c r="B497" s="127" t="s">
        <v>611</v>
      </c>
      <c r="C497" s="87" t="s">
        <v>40</v>
      </c>
      <c r="D497" s="89">
        <f>SUMIF('Executive Pay Breakdown'!K:K,$B497,'Executive Pay Breakdown'!M:M)+SUMIF('Executive Pay Breakdown'!O:O,$B497,'Executive Pay Breakdown'!Q:Q)+SUMIF('Executive Pay Breakdown'!S:S,$B497,'Executive Pay Breakdown'!U:U)+SUMIF('Executive Pay Breakdown'!W:W,$B497,'Executive Pay Breakdown'!Y:Y)+SUMIF('Executive Pay Breakdown'!AA:AA,$B497,'Executive Pay Breakdown'!AC:AC)</f>
        <v>3482956</v>
      </c>
      <c r="E497" s="109"/>
      <c r="F497" s="69">
        <f>SUMIF('Executive Pay Breakdown'!K:K,$B497,'Executive Pay Breakdown'!M:M)</f>
        <v>0</v>
      </c>
      <c r="G497" s="69">
        <f>SUMIF('Executive Pay Breakdown'!O:O,$B497,'Executive Pay Breakdown'!Q:Q)</f>
        <v>0</v>
      </c>
      <c r="H497" s="69">
        <f>SUMIF('Executive Pay Breakdown'!S:S,$B497,'Executive Pay Breakdown'!U:U)</f>
        <v>0</v>
      </c>
      <c r="I497" s="69">
        <f>SUMIF('Executive Pay Breakdown'!W:W,$B497,'Executive Pay Breakdown'!Y:Y)</f>
        <v>0</v>
      </c>
      <c r="J497" s="69">
        <f>SUMIF('Executive Pay Breakdown'!AA:AA,$B497,'Executive Pay Breakdown'!AC:AC)</f>
        <v>3482956</v>
      </c>
      <c r="K497" s="90"/>
      <c r="L497" s="212"/>
      <c r="M497" s="87"/>
      <c r="N497" s="87"/>
      <c r="O497" s="120">
        <f>MATCH(C497,'Key Findings'!B:B,0)</f>
        <v>7</v>
      </c>
    </row>
    <row r="498">
      <c r="A498" s="81"/>
      <c r="B498" s="86" t="s">
        <v>548</v>
      </c>
      <c r="C498" s="87" t="str">
        <f t="array" ref="C498">INDEX('Executive Pay Breakdown'!B:B,MATCH(B498,'Executive Pay Breakdown'!K:K,0))</f>
        <v>AmerisourceBergen</v>
      </c>
      <c r="D498" s="89">
        <f>SUMIF('Executive Pay Breakdown'!K:K,$B498,'Executive Pay Breakdown'!M:M)+SUMIF('Executive Pay Breakdown'!O:O,$B498,'Executive Pay Breakdown'!Q:Q)+SUMIF('Executive Pay Breakdown'!S:S,$B498,'Executive Pay Breakdown'!U:U)+SUMIF('Executive Pay Breakdown'!W:W,$B498,'Executive Pay Breakdown'!Y:Y)+SUMIF('Executive Pay Breakdown'!AA:AA,$B498,'Executive Pay Breakdown'!AC:AC)</f>
        <v>3479756</v>
      </c>
      <c r="E498" s="109"/>
      <c r="F498" s="69">
        <f>SUMIF('Executive Pay Breakdown'!K:K,$B498,'Executive Pay Breakdown'!M:M)</f>
        <v>3479756</v>
      </c>
      <c r="G498" s="69">
        <f>SUMIF('Executive Pay Breakdown'!O:O,$B498,'Executive Pay Breakdown'!Q:Q)</f>
        <v>0</v>
      </c>
      <c r="H498" s="69">
        <f>SUMIF('Executive Pay Breakdown'!S:S,$B498,'Executive Pay Breakdown'!U:U)</f>
        <v>0</v>
      </c>
      <c r="I498" s="69">
        <f>SUMIF('Executive Pay Breakdown'!W:W,$B498,'Executive Pay Breakdown'!Y:Y)</f>
        <v>0</v>
      </c>
      <c r="J498" s="69">
        <f>SUMIF('Executive Pay Breakdown'!AA:AA,$B498,'Executive Pay Breakdown'!AC:AC)</f>
        <v>0</v>
      </c>
      <c r="K498" s="90"/>
      <c r="L498" s="212"/>
      <c r="M498" s="87"/>
      <c r="N498" s="230"/>
      <c r="O498" s="120">
        <f>MATCH(C498,'Key Findings'!B:B,0)</f>
        <v>45</v>
      </c>
    </row>
    <row r="499">
      <c r="A499" s="62"/>
      <c r="B499" s="86" t="s">
        <v>591</v>
      </c>
      <c r="C499" s="233" t="s">
        <v>63</v>
      </c>
      <c r="D499" s="89">
        <f>SUMIF('Executive Pay Breakdown'!K:K,$B499,'Executive Pay Breakdown'!M:M)+SUMIF('Executive Pay Breakdown'!O:O,$B499,'Executive Pay Breakdown'!Q:Q)+SUMIF('Executive Pay Breakdown'!S:S,$B499,'Executive Pay Breakdown'!U:U)+SUMIF('Executive Pay Breakdown'!W:W,$B499,'Executive Pay Breakdown'!Y:Y)+SUMIF('Executive Pay Breakdown'!AA:AA,$B499,'Executive Pay Breakdown'!AC:AC)</f>
        <v>3458747</v>
      </c>
      <c r="E499" s="109"/>
      <c r="F499" s="69">
        <f>SUMIF('Executive Pay Breakdown'!K:K,$B499,'Executive Pay Breakdown'!M:M)</f>
        <v>3458747</v>
      </c>
      <c r="G499" s="69">
        <f>SUMIF('Executive Pay Breakdown'!O:O,$B499,'Executive Pay Breakdown'!Q:Q)</f>
        <v>0</v>
      </c>
      <c r="H499" s="69">
        <f>SUMIF('Executive Pay Breakdown'!S:S,$B499,'Executive Pay Breakdown'!U:U)</f>
        <v>0</v>
      </c>
      <c r="I499" s="69">
        <f>SUMIF('Executive Pay Breakdown'!W:W,$B499,'Executive Pay Breakdown'!Y:Y)</f>
        <v>0</v>
      </c>
      <c r="J499" s="69">
        <f>SUMIF('Executive Pay Breakdown'!AA:AA,$B499,'Executive Pay Breakdown'!AC:AC)</f>
        <v>0</v>
      </c>
      <c r="K499" s="90"/>
      <c r="L499" s="212"/>
      <c r="M499" s="87"/>
      <c r="N499" s="87"/>
      <c r="O499" s="120">
        <f>MATCH(C499,'Key Findings'!B:B,0)</f>
        <v>29</v>
      </c>
    </row>
    <row r="500">
      <c r="A500" s="62"/>
      <c r="B500" s="130" t="s">
        <v>635</v>
      </c>
      <c r="C500" s="87" t="s">
        <v>25</v>
      </c>
      <c r="D500" s="89">
        <f>SUMIF('Executive Pay Breakdown'!K:K,$B500,'Executive Pay Breakdown'!M:M)+SUMIF('Executive Pay Breakdown'!O:O,$B500,'Executive Pay Breakdown'!Q:Q)+SUMIF('Executive Pay Breakdown'!S:S,$B500,'Executive Pay Breakdown'!U:U)+SUMIF('Executive Pay Breakdown'!W:W,$B500,'Executive Pay Breakdown'!Y:Y)+SUMIF('Executive Pay Breakdown'!AA:AA,$B500,'Executive Pay Breakdown'!AC:AC)</f>
        <v>3455849</v>
      </c>
      <c r="E500" s="109"/>
      <c r="F500" s="69">
        <f>SUMIF('Executive Pay Breakdown'!K:K,$B500,'Executive Pay Breakdown'!M:M)</f>
        <v>0</v>
      </c>
      <c r="G500" s="69">
        <f>SUMIF('Executive Pay Breakdown'!O:O,$B500,'Executive Pay Breakdown'!Q:Q)</f>
        <v>0</v>
      </c>
      <c r="H500" s="69">
        <f>SUMIF('Executive Pay Breakdown'!S:S,$B500,'Executive Pay Breakdown'!U:U)</f>
        <v>0</v>
      </c>
      <c r="I500" s="69">
        <f>SUMIF('Executive Pay Breakdown'!W:W,$B500,'Executive Pay Breakdown'!Y:Y)</f>
        <v>3455849</v>
      </c>
      <c r="J500" s="69">
        <f>SUMIF('Executive Pay Breakdown'!AA:AA,$B500,'Executive Pay Breakdown'!AC:AC)</f>
        <v>0</v>
      </c>
      <c r="K500" s="90"/>
      <c r="L500" s="212"/>
      <c r="M500" s="87"/>
      <c r="N500" s="87"/>
      <c r="O500" s="120">
        <f>MATCH(C500,'Key Findings'!B:B,0)</f>
        <v>42</v>
      </c>
    </row>
    <row r="501">
      <c r="A501" s="62"/>
      <c r="B501" s="86" t="s">
        <v>559</v>
      </c>
      <c r="C501" s="87" t="s">
        <v>45</v>
      </c>
      <c r="D501" s="89">
        <f>SUMIF('Executive Pay Breakdown'!K:K,$B501,'Executive Pay Breakdown'!M:M)+SUMIF('Executive Pay Breakdown'!O:O,$B501,'Executive Pay Breakdown'!Q:Q)+SUMIF('Executive Pay Breakdown'!S:S,$B501,'Executive Pay Breakdown'!U:U)+SUMIF('Executive Pay Breakdown'!W:W,$B501,'Executive Pay Breakdown'!Y:Y)+SUMIF('Executive Pay Breakdown'!AA:AA,$B501,'Executive Pay Breakdown'!AC:AC)</f>
        <v>3428962</v>
      </c>
      <c r="E501" s="109"/>
      <c r="F501" s="69">
        <f>SUMIF('Executive Pay Breakdown'!K:K,$B501,'Executive Pay Breakdown'!M:M)</f>
        <v>1651988</v>
      </c>
      <c r="G501" s="69">
        <f>SUMIF('Executive Pay Breakdown'!O:O,$B501,'Executive Pay Breakdown'!Q:Q)</f>
        <v>1776974</v>
      </c>
      <c r="H501" s="69">
        <f>SUMIF('Executive Pay Breakdown'!S:S,$B501,'Executive Pay Breakdown'!U:U)</f>
        <v>0</v>
      </c>
      <c r="I501" s="69">
        <f>SUMIF('Executive Pay Breakdown'!W:W,$B501,'Executive Pay Breakdown'!Y:Y)</f>
        <v>0</v>
      </c>
      <c r="J501" s="69">
        <f>SUMIF('Executive Pay Breakdown'!AA:AA,$B501,'Executive Pay Breakdown'!AC:AC)</f>
        <v>0</v>
      </c>
      <c r="K501" s="90"/>
      <c r="L501" s="212"/>
      <c r="M501" s="212"/>
      <c r="N501" s="230"/>
      <c r="O501" s="120">
        <f>MATCH(C501,'Key Findings'!B:B,0)</f>
        <v>60</v>
      </c>
    </row>
    <row r="502">
      <c r="A502" s="62"/>
      <c r="B502" s="127" t="s">
        <v>623</v>
      </c>
      <c r="C502" s="87" t="s">
        <v>15</v>
      </c>
      <c r="D502" s="89">
        <f>SUMIF('Executive Pay Breakdown'!K:K,$B502,'Executive Pay Breakdown'!M:M)+SUMIF('Executive Pay Breakdown'!O:O,$B502,'Executive Pay Breakdown'!Q:Q)+SUMIF('Executive Pay Breakdown'!S:S,$B502,'Executive Pay Breakdown'!U:U)+SUMIF('Executive Pay Breakdown'!W:W,$B502,'Executive Pay Breakdown'!Y:Y)+SUMIF('Executive Pay Breakdown'!AA:AA,$B502,'Executive Pay Breakdown'!AC:AC)</f>
        <v>3340682</v>
      </c>
      <c r="E502" s="109"/>
      <c r="F502" s="69">
        <f>SUMIF('Executive Pay Breakdown'!K:K,$B502,'Executive Pay Breakdown'!M:M)</f>
        <v>3340682</v>
      </c>
      <c r="G502" s="69">
        <f>SUMIF('Executive Pay Breakdown'!O:O,$B502,'Executive Pay Breakdown'!Q:Q)</f>
        <v>0</v>
      </c>
      <c r="H502" s="69">
        <f>SUMIF('Executive Pay Breakdown'!S:S,$B502,'Executive Pay Breakdown'!U:U)</f>
        <v>0</v>
      </c>
      <c r="I502" s="69">
        <f>SUMIF('Executive Pay Breakdown'!W:W,$B502,'Executive Pay Breakdown'!Y:Y)</f>
        <v>0</v>
      </c>
      <c r="J502" s="69">
        <f>SUMIF('Executive Pay Breakdown'!AA:AA,$B502,'Executive Pay Breakdown'!AC:AC)</f>
        <v>0</v>
      </c>
      <c r="K502" s="90"/>
      <c r="L502" s="212"/>
      <c r="M502" s="87"/>
      <c r="N502" s="230"/>
      <c r="O502" s="120">
        <f>MATCH(C502,'Key Findings'!B:B,0)</f>
        <v>32</v>
      </c>
    </row>
    <row r="503">
      <c r="A503" s="62"/>
      <c r="B503" s="127" t="s">
        <v>631</v>
      </c>
      <c r="C503" s="87" t="s">
        <v>12</v>
      </c>
      <c r="D503" s="89">
        <f>SUMIF('Executive Pay Breakdown'!K:K,$B503,'Executive Pay Breakdown'!M:M)+SUMIF('Executive Pay Breakdown'!O:O,$B503,'Executive Pay Breakdown'!Q:Q)+SUMIF('Executive Pay Breakdown'!S:S,$B503,'Executive Pay Breakdown'!U:U)+SUMIF('Executive Pay Breakdown'!W:W,$B503,'Executive Pay Breakdown'!Y:Y)+SUMIF('Executive Pay Breakdown'!AA:AA,$B503,'Executive Pay Breakdown'!AC:AC)</f>
        <v>3296195</v>
      </c>
      <c r="E503" s="109"/>
      <c r="F503" s="69">
        <f>SUMIF('Executive Pay Breakdown'!K:K,$B503,'Executive Pay Breakdown'!M:M)</f>
        <v>3296195</v>
      </c>
      <c r="G503" s="69">
        <f>SUMIF('Executive Pay Breakdown'!O:O,$B503,'Executive Pay Breakdown'!Q:Q)</f>
        <v>0</v>
      </c>
      <c r="H503" s="69">
        <f>SUMIF('Executive Pay Breakdown'!S:S,$B503,'Executive Pay Breakdown'!U:U)</f>
        <v>0</v>
      </c>
      <c r="I503" s="69">
        <f>SUMIF('Executive Pay Breakdown'!W:W,$B503,'Executive Pay Breakdown'!Y:Y)</f>
        <v>0</v>
      </c>
      <c r="J503" s="69">
        <f>SUMIF('Executive Pay Breakdown'!AA:AA,$B503,'Executive Pay Breakdown'!AC:AC)</f>
        <v>0</v>
      </c>
      <c r="K503" s="90"/>
      <c r="L503" s="212"/>
      <c r="M503" s="87"/>
      <c r="N503" s="230"/>
      <c r="O503" s="120">
        <f>MATCH(C503,'Key Findings'!B:B,0)</f>
        <v>17</v>
      </c>
    </row>
    <row r="504">
      <c r="A504" s="62"/>
      <c r="B504" s="86" t="s">
        <v>577</v>
      </c>
      <c r="C504" s="87" t="s">
        <v>46</v>
      </c>
      <c r="D504" s="89">
        <f>SUMIF('Executive Pay Breakdown'!K:K,$B504,'Executive Pay Breakdown'!M:M)+SUMIF('Executive Pay Breakdown'!O:O,$B504,'Executive Pay Breakdown'!Q:Q)+SUMIF('Executive Pay Breakdown'!S:S,$B504,'Executive Pay Breakdown'!U:U)+SUMIF('Executive Pay Breakdown'!W:W,$B504,'Executive Pay Breakdown'!Y:Y)+SUMIF('Executive Pay Breakdown'!AA:AA,$B504,'Executive Pay Breakdown'!AC:AC)</f>
        <v>3243927</v>
      </c>
      <c r="E504" s="109"/>
      <c r="F504" s="69">
        <f>SUMIF('Executive Pay Breakdown'!K:K,$B504,'Executive Pay Breakdown'!M:M)</f>
        <v>0</v>
      </c>
      <c r="G504" s="69">
        <f>SUMIF('Executive Pay Breakdown'!O:O,$B504,'Executive Pay Breakdown'!Q:Q)</f>
        <v>3243927</v>
      </c>
      <c r="H504" s="69">
        <f>SUMIF('Executive Pay Breakdown'!S:S,$B504,'Executive Pay Breakdown'!U:U)</f>
        <v>0</v>
      </c>
      <c r="I504" s="69">
        <f>SUMIF('Executive Pay Breakdown'!W:W,$B504,'Executive Pay Breakdown'!Y:Y)</f>
        <v>0</v>
      </c>
      <c r="J504" s="69">
        <f>SUMIF('Executive Pay Breakdown'!AA:AA,$B504,'Executive Pay Breakdown'!AC:AC)</f>
        <v>0</v>
      </c>
      <c r="K504" s="90"/>
      <c r="L504" s="212"/>
      <c r="M504" s="212"/>
      <c r="N504" s="87"/>
      <c r="O504" s="120">
        <f>MATCH(C504,'Key Findings'!B:B,0)</f>
        <v>43</v>
      </c>
    </row>
    <row r="505">
      <c r="A505" s="62"/>
      <c r="B505" s="86" t="s">
        <v>634</v>
      </c>
      <c r="C505" s="87" t="s">
        <v>32</v>
      </c>
      <c r="D505" s="89">
        <f>SUMIF('Executive Pay Breakdown'!K:K,$B505,'Executive Pay Breakdown'!M:M)+SUMIF('Executive Pay Breakdown'!O:O,$B505,'Executive Pay Breakdown'!Q:Q)+SUMIF('Executive Pay Breakdown'!S:S,$B505,'Executive Pay Breakdown'!U:U)+SUMIF('Executive Pay Breakdown'!W:W,$B505,'Executive Pay Breakdown'!Y:Y)+SUMIF('Executive Pay Breakdown'!AA:AA,$B505,'Executive Pay Breakdown'!AC:AC)</f>
        <v>3217287</v>
      </c>
      <c r="E505" s="109"/>
      <c r="F505" s="69">
        <f>SUMIF('Executive Pay Breakdown'!K:K,$B505,'Executive Pay Breakdown'!M:M)</f>
        <v>1840035</v>
      </c>
      <c r="G505" s="69">
        <f>SUMIF('Executive Pay Breakdown'!O:O,$B505,'Executive Pay Breakdown'!Q:Q)</f>
        <v>1377252</v>
      </c>
      <c r="H505" s="69">
        <f>SUMIF('Executive Pay Breakdown'!S:S,$B505,'Executive Pay Breakdown'!U:U)</f>
        <v>0</v>
      </c>
      <c r="I505" s="69">
        <f>SUMIF('Executive Pay Breakdown'!W:W,$B505,'Executive Pay Breakdown'!Y:Y)</f>
        <v>0</v>
      </c>
      <c r="J505" s="69">
        <f>SUMIF('Executive Pay Breakdown'!AA:AA,$B505,'Executive Pay Breakdown'!AC:AC)</f>
        <v>0</v>
      </c>
      <c r="K505" s="90"/>
      <c r="L505" s="212"/>
      <c r="M505" s="212"/>
      <c r="N505" s="230"/>
      <c r="O505" s="120">
        <f>MATCH(C505,'Key Findings'!B:B,0)</f>
        <v>26</v>
      </c>
    </row>
    <row r="506">
      <c r="A506" s="62"/>
      <c r="B506" s="86" t="s">
        <v>663</v>
      </c>
      <c r="C506" s="233" t="s">
        <v>61</v>
      </c>
      <c r="D506" s="89">
        <f>SUMIF('Executive Pay Breakdown'!K:K,$B506,'Executive Pay Breakdown'!M:M)+SUMIF('Executive Pay Breakdown'!O:O,$B506,'Executive Pay Breakdown'!Q:Q)+SUMIF('Executive Pay Breakdown'!S:S,$B506,'Executive Pay Breakdown'!U:U)+SUMIF('Executive Pay Breakdown'!W:W,$B506,'Executive Pay Breakdown'!Y:Y)+SUMIF('Executive Pay Breakdown'!AA:AA,$B506,'Executive Pay Breakdown'!AC:AC)</f>
        <v>3197857</v>
      </c>
      <c r="E506" s="109"/>
      <c r="F506" s="69">
        <f>SUMIF('Executive Pay Breakdown'!K:K,$B506,'Executive Pay Breakdown'!M:M)</f>
        <v>0</v>
      </c>
      <c r="G506" s="69">
        <f>SUMIF('Executive Pay Breakdown'!O:O,$B506,'Executive Pay Breakdown'!Q:Q)</f>
        <v>0</v>
      </c>
      <c r="H506" s="69">
        <f>SUMIF('Executive Pay Breakdown'!S:S,$B506,'Executive Pay Breakdown'!U:U)</f>
        <v>0</v>
      </c>
      <c r="I506" s="69">
        <f>SUMIF('Executive Pay Breakdown'!W:W,$B506,'Executive Pay Breakdown'!Y:Y)</f>
        <v>3197857</v>
      </c>
      <c r="J506" s="69">
        <f>SUMIF('Executive Pay Breakdown'!AA:AA,$B506,'Executive Pay Breakdown'!AC:AC)</f>
        <v>0</v>
      </c>
      <c r="K506" s="90"/>
      <c r="L506" s="212"/>
      <c r="M506" s="87"/>
      <c r="N506" s="87"/>
      <c r="O506" s="120">
        <f>MATCH(C506,'Key Findings'!B:B,0)</f>
        <v>22</v>
      </c>
    </row>
    <row r="507">
      <c r="A507" s="62"/>
      <c r="B507" s="86" t="s">
        <v>636</v>
      </c>
      <c r="C507" s="87" t="s">
        <v>31</v>
      </c>
      <c r="D507" s="89">
        <f>SUMIF('Executive Pay Breakdown'!K:K,$B507,'Executive Pay Breakdown'!M:M)+SUMIF('Executive Pay Breakdown'!O:O,$B507,'Executive Pay Breakdown'!Q:Q)+SUMIF('Executive Pay Breakdown'!S:S,$B507,'Executive Pay Breakdown'!U:U)+SUMIF('Executive Pay Breakdown'!W:W,$B507,'Executive Pay Breakdown'!Y:Y)+SUMIF('Executive Pay Breakdown'!AA:AA,$B507,'Executive Pay Breakdown'!AC:AC)</f>
        <v>3044009</v>
      </c>
      <c r="E507" s="109"/>
      <c r="F507" s="69">
        <f>SUMIF('Executive Pay Breakdown'!K:K,$B507,'Executive Pay Breakdown'!M:M)</f>
        <v>0</v>
      </c>
      <c r="G507" s="69">
        <f>SUMIF('Executive Pay Breakdown'!O:O,$B507,'Executive Pay Breakdown'!Q:Q)</f>
        <v>0</v>
      </c>
      <c r="H507" s="69">
        <f>SUMIF('Executive Pay Breakdown'!S:S,$B507,'Executive Pay Breakdown'!U:U)</f>
        <v>0</v>
      </c>
      <c r="I507" s="69">
        <f>SUMIF('Executive Pay Breakdown'!W:W,$B507,'Executive Pay Breakdown'!Y:Y)</f>
        <v>1473245</v>
      </c>
      <c r="J507" s="69">
        <f>SUMIF('Executive Pay Breakdown'!AA:AA,$B507,'Executive Pay Breakdown'!AC:AC)</f>
        <v>1570764</v>
      </c>
      <c r="K507" s="90"/>
      <c r="L507" s="212"/>
      <c r="M507" s="87"/>
      <c r="N507" s="87"/>
      <c r="O507" s="120">
        <f>MATCH(C507,'Key Findings'!B:B,0)</f>
        <v>52</v>
      </c>
    </row>
    <row r="508">
      <c r="A508" s="62"/>
      <c r="B508" s="86" t="s">
        <v>594</v>
      </c>
      <c r="C508" s="87" t="s">
        <v>44</v>
      </c>
      <c r="D508" s="89">
        <f>SUMIF('Executive Pay Breakdown'!K:K,$B508,'Executive Pay Breakdown'!M:M)+SUMIF('Executive Pay Breakdown'!O:O,$B508,'Executive Pay Breakdown'!Q:Q)+SUMIF('Executive Pay Breakdown'!S:S,$B508,'Executive Pay Breakdown'!U:U)+SUMIF('Executive Pay Breakdown'!W:W,$B508,'Executive Pay Breakdown'!Y:Y)+SUMIF('Executive Pay Breakdown'!AA:AA,$B508,'Executive Pay Breakdown'!AC:AC)</f>
        <v>3039170</v>
      </c>
      <c r="E508" s="109"/>
      <c r="F508" s="69">
        <f>SUMIF('Executive Pay Breakdown'!K:K,$B508,'Executive Pay Breakdown'!M:M)</f>
        <v>1292868</v>
      </c>
      <c r="G508" s="69">
        <f>SUMIF('Executive Pay Breakdown'!O:O,$B508,'Executive Pay Breakdown'!Q:Q)</f>
        <v>895721</v>
      </c>
      <c r="H508" s="69">
        <f>SUMIF('Executive Pay Breakdown'!S:S,$B508,'Executive Pay Breakdown'!U:U)</f>
        <v>850581</v>
      </c>
      <c r="I508" s="69">
        <f>SUMIF('Executive Pay Breakdown'!W:W,$B508,'Executive Pay Breakdown'!Y:Y)</f>
        <v>0</v>
      </c>
      <c r="J508" s="69">
        <f>SUMIF('Executive Pay Breakdown'!AA:AA,$B508,'Executive Pay Breakdown'!AC:AC)</f>
        <v>0</v>
      </c>
      <c r="K508" s="90"/>
      <c r="L508" s="212"/>
      <c r="M508" s="87"/>
      <c r="N508" s="230"/>
      <c r="O508" s="120">
        <f>MATCH(C508,'Key Findings'!B:B,0)</f>
        <v>25</v>
      </c>
    </row>
    <row r="509">
      <c r="A509" s="62"/>
      <c r="B509" s="86" t="s">
        <v>601</v>
      </c>
      <c r="C509" s="87" t="s">
        <v>67</v>
      </c>
      <c r="D509" s="89">
        <f>SUMIF('Executive Pay Breakdown'!K:K,$B509,'Executive Pay Breakdown'!M:M)+SUMIF('Executive Pay Breakdown'!O:O,$B509,'Executive Pay Breakdown'!Q:Q)+SUMIF('Executive Pay Breakdown'!S:S,$B509,'Executive Pay Breakdown'!U:U)+SUMIF('Executive Pay Breakdown'!W:W,$B509,'Executive Pay Breakdown'!Y:Y)+SUMIF('Executive Pay Breakdown'!AA:AA,$B509,'Executive Pay Breakdown'!AC:AC)</f>
        <v>3009235</v>
      </c>
      <c r="E509" s="109"/>
      <c r="F509" s="69">
        <f>SUMIF('Executive Pay Breakdown'!K:K,$B509,'Executive Pay Breakdown'!M:M)</f>
        <v>0</v>
      </c>
      <c r="G509" s="69">
        <f>SUMIF('Executive Pay Breakdown'!O:O,$B509,'Executive Pay Breakdown'!Q:Q)</f>
        <v>0</v>
      </c>
      <c r="H509" s="69">
        <f>SUMIF('Executive Pay Breakdown'!S:S,$B509,'Executive Pay Breakdown'!U:U)</f>
        <v>0</v>
      </c>
      <c r="I509" s="69">
        <f>SUMIF('Executive Pay Breakdown'!W:W,$B509,'Executive Pay Breakdown'!Y:Y)</f>
        <v>1298370</v>
      </c>
      <c r="J509" s="69">
        <f>SUMIF('Executive Pay Breakdown'!AA:AA,$B509,'Executive Pay Breakdown'!AC:AC)</f>
        <v>1710865</v>
      </c>
      <c r="K509" s="90"/>
      <c r="L509" s="212"/>
      <c r="M509" s="87"/>
      <c r="N509" s="87"/>
      <c r="O509" s="120">
        <f>MATCH(C509,'Key Findings'!B:B,0)</f>
        <v>64</v>
      </c>
    </row>
    <row r="510">
      <c r="A510" s="62"/>
      <c r="B510" s="86" t="s">
        <v>619</v>
      </c>
      <c r="C510" s="233" t="s">
        <v>59</v>
      </c>
      <c r="D510" s="89">
        <f>SUMIF('Executive Pay Breakdown'!K:K,$B510,'Executive Pay Breakdown'!M:M)+SUMIF('Executive Pay Breakdown'!O:O,$B510,'Executive Pay Breakdown'!Q:Q)+SUMIF('Executive Pay Breakdown'!S:S,$B510,'Executive Pay Breakdown'!U:U)+SUMIF('Executive Pay Breakdown'!W:W,$B510,'Executive Pay Breakdown'!Y:Y)+SUMIF('Executive Pay Breakdown'!AA:AA,$B510,'Executive Pay Breakdown'!AC:AC)</f>
        <v>3000588</v>
      </c>
      <c r="E510" s="109"/>
      <c r="F510" s="69">
        <f>SUMIF('Executive Pay Breakdown'!K:K,$B510,'Executive Pay Breakdown'!M:M)</f>
        <v>3000588</v>
      </c>
      <c r="G510" s="69">
        <f>SUMIF('Executive Pay Breakdown'!O:O,$B510,'Executive Pay Breakdown'!Q:Q)</f>
        <v>0</v>
      </c>
      <c r="H510" s="69">
        <f>SUMIF('Executive Pay Breakdown'!S:S,$B510,'Executive Pay Breakdown'!U:U)</f>
        <v>0</v>
      </c>
      <c r="I510" s="69">
        <f>SUMIF('Executive Pay Breakdown'!W:W,$B510,'Executive Pay Breakdown'!Y:Y)</f>
        <v>0</v>
      </c>
      <c r="J510" s="69">
        <f>SUMIF('Executive Pay Breakdown'!AA:AA,$B510,'Executive Pay Breakdown'!AC:AC)</f>
        <v>0</v>
      </c>
      <c r="K510" s="90"/>
      <c r="L510" s="212"/>
      <c r="M510" s="87"/>
      <c r="N510" s="87"/>
      <c r="O510" s="120">
        <f>MATCH(C510,'Key Findings'!B:B,0)</f>
        <v>10</v>
      </c>
    </row>
    <row r="511">
      <c r="A511" s="62"/>
      <c r="B511" s="130" t="s">
        <v>639</v>
      </c>
      <c r="C511" s="87" t="s">
        <v>27</v>
      </c>
      <c r="D511" s="89">
        <f>SUMIF('Executive Pay Breakdown'!K:K,$B511,'Executive Pay Breakdown'!M:M)+SUMIF('Executive Pay Breakdown'!O:O,$B511,'Executive Pay Breakdown'!Q:Q)+SUMIF('Executive Pay Breakdown'!S:S,$B511,'Executive Pay Breakdown'!U:U)+SUMIF('Executive Pay Breakdown'!W:W,$B511,'Executive Pay Breakdown'!Y:Y)+SUMIF('Executive Pay Breakdown'!AA:AA,$B511,'Executive Pay Breakdown'!AC:AC)</f>
        <v>2942609</v>
      </c>
      <c r="E511" s="109"/>
      <c r="F511" s="69">
        <f>SUMIF('Executive Pay Breakdown'!K:K,$B511,'Executive Pay Breakdown'!M:M)</f>
        <v>0</v>
      </c>
      <c r="G511" s="69">
        <f>SUMIF('Executive Pay Breakdown'!O:O,$B511,'Executive Pay Breakdown'!Q:Q)</f>
        <v>0</v>
      </c>
      <c r="H511" s="69">
        <f>SUMIF('Executive Pay Breakdown'!S:S,$B511,'Executive Pay Breakdown'!U:U)</f>
        <v>0</v>
      </c>
      <c r="I511" s="69">
        <f>SUMIF('Executive Pay Breakdown'!W:W,$B511,'Executive Pay Breakdown'!Y:Y)</f>
        <v>0</v>
      </c>
      <c r="J511" s="69">
        <f>SUMIF('Executive Pay Breakdown'!AA:AA,$B511,'Executive Pay Breakdown'!AC:AC)</f>
        <v>2942609</v>
      </c>
      <c r="K511" s="90"/>
      <c r="L511" s="212"/>
      <c r="M511" s="87"/>
      <c r="N511" s="87"/>
      <c r="O511" s="120">
        <f>MATCH(C511,'Key Findings'!B:B,0)</f>
        <v>51</v>
      </c>
    </row>
    <row r="512">
      <c r="A512" s="81"/>
      <c r="B512" s="133" t="s">
        <v>654</v>
      </c>
      <c r="C512" s="87" t="s">
        <v>52</v>
      </c>
      <c r="D512" s="89">
        <f>SUMIF('Executive Pay Breakdown'!K:K,$B512,'Executive Pay Breakdown'!M:M)+SUMIF('Executive Pay Breakdown'!O:O,$B512,'Executive Pay Breakdown'!Q:Q)+SUMIF('Executive Pay Breakdown'!S:S,$B512,'Executive Pay Breakdown'!U:U)+SUMIF('Executive Pay Breakdown'!W:W,$B512,'Executive Pay Breakdown'!Y:Y)+SUMIF('Executive Pay Breakdown'!AA:AA,$B512,'Executive Pay Breakdown'!AC:AC)</f>
        <v>2939082</v>
      </c>
      <c r="E512" s="109"/>
      <c r="F512" s="69">
        <f>SUMIF('Executive Pay Breakdown'!K:K,$B512,'Executive Pay Breakdown'!M:M)</f>
        <v>2939082</v>
      </c>
      <c r="G512" s="69">
        <f>SUMIF('Executive Pay Breakdown'!O:O,$B512,'Executive Pay Breakdown'!Q:Q)</f>
        <v>0</v>
      </c>
      <c r="H512" s="69">
        <f>SUMIF('Executive Pay Breakdown'!S:S,$B512,'Executive Pay Breakdown'!U:U)</f>
        <v>0</v>
      </c>
      <c r="I512" s="69">
        <f>SUMIF('Executive Pay Breakdown'!W:W,$B512,'Executive Pay Breakdown'!Y:Y)</f>
        <v>0</v>
      </c>
      <c r="J512" s="69">
        <f>SUMIF('Executive Pay Breakdown'!AA:AA,$B512,'Executive Pay Breakdown'!AC:AC)</f>
        <v>0</v>
      </c>
      <c r="K512" s="90"/>
      <c r="L512" s="212"/>
      <c r="M512" s="87"/>
      <c r="N512" s="230"/>
      <c r="O512" s="120">
        <f>MATCH(C512,'Key Findings'!B:B,0)</f>
        <v>21</v>
      </c>
    </row>
    <row r="513">
      <c r="A513" s="62"/>
      <c r="B513" s="86" t="s">
        <v>666</v>
      </c>
      <c r="C513" s="233" t="s">
        <v>61</v>
      </c>
      <c r="D513" s="89">
        <f>SUMIF('Executive Pay Breakdown'!K:K,$B513,'Executive Pay Breakdown'!M:M)+SUMIF('Executive Pay Breakdown'!O:O,$B513,'Executive Pay Breakdown'!Q:Q)+SUMIF('Executive Pay Breakdown'!S:S,$B513,'Executive Pay Breakdown'!U:U)+SUMIF('Executive Pay Breakdown'!W:W,$B513,'Executive Pay Breakdown'!Y:Y)+SUMIF('Executive Pay Breakdown'!AA:AA,$B513,'Executive Pay Breakdown'!AC:AC)</f>
        <v>2937685</v>
      </c>
      <c r="E513" s="109"/>
      <c r="F513" s="69">
        <f>SUMIF('Executive Pay Breakdown'!K:K,$B513,'Executive Pay Breakdown'!M:M)</f>
        <v>0</v>
      </c>
      <c r="G513" s="69">
        <f>SUMIF('Executive Pay Breakdown'!O:O,$B513,'Executive Pay Breakdown'!Q:Q)</f>
        <v>0</v>
      </c>
      <c r="H513" s="69">
        <f>SUMIF('Executive Pay Breakdown'!S:S,$B513,'Executive Pay Breakdown'!U:U)</f>
        <v>0</v>
      </c>
      <c r="I513" s="69">
        <f>SUMIF('Executive Pay Breakdown'!W:W,$B513,'Executive Pay Breakdown'!Y:Y)</f>
        <v>0</v>
      </c>
      <c r="J513" s="69">
        <f>SUMIF('Executive Pay Breakdown'!AA:AA,$B513,'Executive Pay Breakdown'!AC:AC)</f>
        <v>2937685</v>
      </c>
      <c r="K513" s="90"/>
      <c r="L513" s="212"/>
      <c r="M513" s="87"/>
      <c r="N513" s="87"/>
      <c r="O513" s="120">
        <f>MATCH(C513,'Key Findings'!B:B,0)</f>
        <v>22</v>
      </c>
    </row>
    <row r="514">
      <c r="A514" s="62"/>
      <c r="B514" s="130" t="s">
        <v>649</v>
      </c>
      <c r="C514" s="87" t="s">
        <v>25</v>
      </c>
      <c r="D514" s="89">
        <f>SUMIF('Executive Pay Breakdown'!K:K,$B514,'Executive Pay Breakdown'!M:M)+SUMIF('Executive Pay Breakdown'!O:O,$B514,'Executive Pay Breakdown'!Q:Q)+SUMIF('Executive Pay Breakdown'!S:S,$B514,'Executive Pay Breakdown'!U:U)+SUMIF('Executive Pay Breakdown'!W:W,$B514,'Executive Pay Breakdown'!Y:Y)+SUMIF('Executive Pay Breakdown'!AA:AA,$B514,'Executive Pay Breakdown'!AC:AC)</f>
        <v>2927616</v>
      </c>
      <c r="E514" s="109"/>
      <c r="F514" s="69">
        <f>SUMIF('Executive Pay Breakdown'!K:K,$B514,'Executive Pay Breakdown'!M:M)</f>
        <v>2927616</v>
      </c>
      <c r="G514" s="69">
        <f>SUMIF('Executive Pay Breakdown'!O:O,$B514,'Executive Pay Breakdown'!Q:Q)</f>
        <v>0</v>
      </c>
      <c r="H514" s="69">
        <f>SUMIF('Executive Pay Breakdown'!S:S,$B514,'Executive Pay Breakdown'!U:U)</f>
        <v>0</v>
      </c>
      <c r="I514" s="69">
        <f>SUMIF('Executive Pay Breakdown'!W:W,$B514,'Executive Pay Breakdown'!Y:Y)</f>
        <v>0</v>
      </c>
      <c r="J514" s="69">
        <f>SUMIF('Executive Pay Breakdown'!AA:AA,$B514,'Executive Pay Breakdown'!AC:AC)</f>
        <v>0</v>
      </c>
      <c r="K514" s="90"/>
      <c r="L514" s="212"/>
      <c r="M514" s="87"/>
      <c r="N514" s="230"/>
      <c r="O514" s="120">
        <f>MATCH(C514,'Key Findings'!B:B,0)</f>
        <v>42</v>
      </c>
    </row>
    <row r="515">
      <c r="A515" s="62"/>
      <c r="B515" s="87" t="s">
        <v>571</v>
      </c>
      <c r="C515" s="233" t="s">
        <v>71</v>
      </c>
      <c r="D515" s="89">
        <f>SUMIF('Executive Pay Breakdown'!K:K,$B515,'Executive Pay Breakdown'!M:M)+SUMIF('Executive Pay Breakdown'!O:O,$B515,'Executive Pay Breakdown'!Q:Q)+SUMIF('Executive Pay Breakdown'!S:S,$B515,'Executive Pay Breakdown'!U:U)+SUMIF('Executive Pay Breakdown'!W:W,$B515,'Executive Pay Breakdown'!Y:Y)+SUMIF('Executive Pay Breakdown'!AA:AA,$B515,'Executive Pay Breakdown'!AC:AC)</f>
        <v>2879931</v>
      </c>
      <c r="E515" s="109"/>
      <c r="F515" s="69">
        <f>SUMIF('Executive Pay Breakdown'!K:K,$B515,'Executive Pay Breakdown'!M:M)</f>
        <v>0</v>
      </c>
      <c r="G515" s="69">
        <f>SUMIF('Executive Pay Breakdown'!O:O,$B515,'Executive Pay Breakdown'!Q:Q)</f>
        <v>0</v>
      </c>
      <c r="H515" s="69">
        <f>SUMIF('Executive Pay Breakdown'!S:S,$B515,'Executive Pay Breakdown'!U:U)</f>
        <v>0</v>
      </c>
      <c r="I515" s="69">
        <f>SUMIF('Executive Pay Breakdown'!W:W,$B515,'Executive Pay Breakdown'!Y:Y)</f>
        <v>0</v>
      </c>
      <c r="J515" s="69">
        <f>SUMIF('Executive Pay Breakdown'!AA:AA,$B515,'Executive Pay Breakdown'!AC:AC)</f>
        <v>2879931</v>
      </c>
      <c r="K515" s="90"/>
      <c r="L515" s="212"/>
      <c r="M515" s="87"/>
      <c r="N515" s="87"/>
      <c r="O515" s="120">
        <f>MATCH(C515,'Key Findings'!B:B,0)</f>
        <v>58</v>
      </c>
    </row>
    <row r="516">
      <c r="A516" s="62"/>
      <c r="B516" s="145" t="s">
        <v>644</v>
      </c>
      <c r="C516" s="87" t="s">
        <v>31</v>
      </c>
      <c r="D516" s="89">
        <f>SUMIF('Executive Pay Breakdown'!K:K,$B516,'Executive Pay Breakdown'!M:M)+SUMIF('Executive Pay Breakdown'!O:O,$B516,'Executive Pay Breakdown'!Q:Q)+SUMIF('Executive Pay Breakdown'!S:S,$B516,'Executive Pay Breakdown'!U:U)+SUMIF('Executive Pay Breakdown'!W:W,$B516,'Executive Pay Breakdown'!Y:Y)+SUMIF('Executive Pay Breakdown'!AA:AA,$B516,'Executive Pay Breakdown'!AC:AC)</f>
        <v>2878175</v>
      </c>
      <c r="E516" s="109"/>
      <c r="F516" s="69">
        <f>SUMIF('Executive Pay Breakdown'!K:K,$B516,'Executive Pay Breakdown'!M:M)</f>
        <v>2878175</v>
      </c>
      <c r="G516" s="69">
        <f>SUMIF('Executive Pay Breakdown'!O:O,$B516,'Executive Pay Breakdown'!Q:Q)</f>
        <v>0</v>
      </c>
      <c r="H516" s="69">
        <f>SUMIF('Executive Pay Breakdown'!S:S,$B516,'Executive Pay Breakdown'!U:U)</f>
        <v>0</v>
      </c>
      <c r="I516" s="69">
        <f>SUMIF('Executive Pay Breakdown'!W:W,$B516,'Executive Pay Breakdown'!Y:Y)</f>
        <v>0</v>
      </c>
      <c r="J516" s="69">
        <f>SUMIF('Executive Pay Breakdown'!AA:AA,$B516,'Executive Pay Breakdown'!AC:AC)</f>
        <v>0</v>
      </c>
      <c r="K516" s="90"/>
      <c r="L516" s="212"/>
      <c r="M516" s="87"/>
      <c r="N516" s="230"/>
      <c r="O516" s="120">
        <f>MATCH(C516,'Key Findings'!B:B,0)</f>
        <v>52</v>
      </c>
    </row>
    <row r="517">
      <c r="A517" s="62"/>
      <c r="B517" s="86" t="s">
        <v>573</v>
      </c>
      <c r="C517" s="233" t="s">
        <v>71</v>
      </c>
      <c r="D517" s="89">
        <f>SUMIF('Executive Pay Breakdown'!K:K,$B517,'Executive Pay Breakdown'!M:M)+SUMIF('Executive Pay Breakdown'!O:O,$B517,'Executive Pay Breakdown'!Q:Q)+SUMIF('Executive Pay Breakdown'!S:S,$B517,'Executive Pay Breakdown'!U:U)+SUMIF('Executive Pay Breakdown'!W:W,$B517,'Executive Pay Breakdown'!Y:Y)+SUMIF('Executive Pay Breakdown'!AA:AA,$B517,'Executive Pay Breakdown'!AC:AC)</f>
        <v>2807678</v>
      </c>
      <c r="E517" s="109"/>
      <c r="F517" s="69">
        <f>SUMIF('Executive Pay Breakdown'!K:K,$B517,'Executive Pay Breakdown'!M:M)</f>
        <v>0</v>
      </c>
      <c r="G517" s="69">
        <f>SUMIF('Executive Pay Breakdown'!O:O,$B517,'Executive Pay Breakdown'!Q:Q)</f>
        <v>2807678</v>
      </c>
      <c r="H517" s="69">
        <f>SUMIF('Executive Pay Breakdown'!S:S,$B517,'Executive Pay Breakdown'!U:U)</f>
        <v>0</v>
      </c>
      <c r="I517" s="69">
        <f>SUMIF('Executive Pay Breakdown'!W:W,$B517,'Executive Pay Breakdown'!Y:Y)</f>
        <v>0</v>
      </c>
      <c r="J517" s="69">
        <f>SUMIF('Executive Pay Breakdown'!AA:AA,$B517,'Executive Pay Breakdown'!AC:AC)</f>
        <v>0</v>
      </c>
      <c r="K517" s="90"/>
      <c r="L517" s="212"/>
      <c r="M517" s="87"/>
      <c r="N517" s="87"/>
      <c r="O517" s="120">
        <f>MATCH(C517,'Key Findings'!B:B,0)</f>
        <v>58</v>
      </c>
    </row>
    <row r="518">
      <c r="A518" s="71"/>
      <c r="B518" s="124" t="s">
        <v>650</v>
      </c>
      <c r="C518" s="87" t="s">
        <v>58</v>
      </c>
      <c r="D518" s="89">
        <f>SUMIF('Executive Pay Breakdown'!K:K,$B518,'Executive Pay Breakdown'!M:M)+SUMIF('Executive Pay Breakdown'!O:O,$B518,'Executive Pay Breakdown'!Q:Q)+SUMIF('Executive Pay Breakdown'!S:S,$B518,'Executive Pay Breakdown'!U:U)+SUMIF('Executive Pay Breakdown'!W:W,$B518,'Executive Pay Breakdown'!Y:Y)+SUMIF('Executive Pay Breakdown'!AA:AA,$B518,'Executive Pay Breakdown'!AC:AC)</f>
        <v>2790224</v>
      </c>
      <c r="E518" s="109"/>
      <c r="F518" s="69">
        <f>SUMIF('Executive Pay Breakdown'!K:K,$B518,'Executive Pay Breakdown'!M:M)</f>
        <v>2790224</v>
      </c>
      <c r="G518" s="69">
        <f>SUMIF('Executive Pay Breakdown'!O:O,$B518,'Executive Pay Breakdown'!Q:Q)</f>
        <v>0</v>
      </c>
      <c r="H518" s="69">
        <f>SUMIF('Executive Pay Breakdown'!S:S,$B518,'Executive Pay Breakdown'!U:U)</f>
        <v>0</v>
      </c>
      <c r="I518" s="69">
        <f>SUMIF('Executive Pay Breakdown'!W:W,$B518,'Executive Pay Breakdown'!Y:Y)</f>
        <v>0</v>
      </c>
      <c r="J518" s="69">
        <f>SUMIF('Executive Pay Breakdown'!AA:AA,$B518,'Executive Pay Breakdown'!AC:AC)</f>
        <v>0</v>
      </c>
      <c r="K518" s="90"/>
      <c r="L518" s="212"/>
      <c r="M518" s="87"/>
      <c r="N518" s="230"/>
      <c r="O518" s="120">
        <f>MATCH(C518,'Key Findings'!B:B,0)</f>
        <v>27</v>
      </c>
    </row>
    <row r="519">
      <c r="A519" s="62"/>
      <c r="B519" s="86" t="s">
        <v>602</v>
      </c>
      <c r="C519" s="87" t="s">
        <v>42</v>
      </c>
      <c r="D519" s="89">
        <f>SUMIF('Executive Pay Breakdown'!K:K,$B519,'Executive Pay Breakdown'!M:M)+SUMIF('Executive Pay Breakdown'!O:O,$B519,'Executive Pay Breakdown'!Q:Q)+SUMIF('Executive Pay Breakdown'!S:S,$B519,'Executive Pay Breakdown'!U:U)+SUMIF('Executive Pay Breakdown'!W:W,$B519,'Executive Pay Breakdown'!Y:Y)+SUMIF('Executive Pay Breakdown'!AA:AA,$B519,'Executive Pay Breakdown'!AC:AC)</f>
        <v>2757182</v>
      </c>
      <c r="E519" s="109"/>
      <c r="F519" s="69">
        <f>SUMIF('Executive Pay Breakdown'!K:K,$B519,'Executive Pay Breakdown'!M:M)</f>
        <v>1384907</v>
      </c>
      <c r="G519" s="69">
        <f>SUMIF('Executive Pay Breakdown'!O:O,$B519,'Executive Pay Breakdown'!Q:Q)</f>
        <v>1372275</v>
      </c>
      <c r="H519" s="69">
        <f>SUMIF('Executive Pay Breakdown'!S:S,$B519,'Executive Pay Breakdown'!U:U)</f>
        <v>0</v>
      </c>
      <c r="I519" s="69">
        <f>SUMIF('Executive Pay Breakdown'!W:W,$B519,'Executive Pay Breakdown'!Y:Y)</f>
        <v>0</v>
      </c>
      <c r="J519" s="69">
        <f>SUMIF('Executive Pay Breakdown'!AA:AA,$B519,'Executive Pay Breakdown'!AC:AC)</f>
        <v>0</v>
      </c>
      <c r="K519" s="90"/>
      <c r="L519" s="212"/>
      <c r="M519" s="212"/>
      <c r="N519" s="230"/>
      <c r="O519" s="120">
        <f>MATCH(C519,'Key Findings'!B:B,0)</f>
        <v>61</v>
      </c>
    </row>
    <row r="520">
      <c r="A520" s="62"/>
      <c r="B520" s="86" t="s">
        <v>626</v>
      </c>
      <c r="C520" s="233" t="s">
        <v>59</v>
      </c>
      <c r="D520" s="89">
        <f>SUMIF('Executive Pay Breakdown'!K:K,$B520,'Executive Pay Breakdown'!M:M)+SUMIF('Executive Pay Breakdown'!O:O,$B520,'Executive Pay Breakdown'!Q:Q)+SUMIF('Executive Pay Breakdown'!S:S,$B520,'Executive Pay Breakdown'!U:U)+SUMIF('Executive Pay Breakdown'!W:W,$B520,'Executive Pay Breakdown'!Y:Y)+SUMIF('Executive Pay Breakdown'!AA:AA,$B520,'Executive Pay Breakdown'!AC:AC)</f>
        <v>2730895</v>
      </c>
      <c r="E520" s="109"/>
      <c r="F520" s="69">
        <f>SUMIF('Executive Pay Breakdown'!K:K,$B520,'Executive Pay Breakdown'!M:M)</f>
        <v>0</v>
      </c>
      <c r="G520" s="69">
        <f>SUMIF('Executive Pay Breakdown'!O:O,$B520,'Executive Pay Breakdown'!Q:Q)</f>
        <v>2730895</v>
      </c>
      <c r="H520" s="69">
        <f>SUMIF('Executive Pay Breakdown'!S:S,$B520,'Executive Pay Breakdown'!U:U)</f>
        <v>0</v>
      </c>
      <c r="I520" s="69">
        <f>SUMIF('Executive Pay Breakdown'!W:W,$B520,'Executive Pay Breakdown'!Y:Y)</f>
        <v>0</v>
      </c>
      <c r="J520" s="69">
        <f>SUMIF('Executive Pay Breakdown'!AA:AA,$B520,'Executive Pay Breakdown'!AC:AC)</f>
        <v>0</v>
      </c>
      <c r="K520" s="90"/>
      <c r="L520" s="212"/>
      <c r="M520" s="87"/>
      <c r="N520" s="87"/>
      <c r="O520" s="120">
        <f>MATCH(C520,'Key Findings'!B:B,0)</f>
        <v>10</v>
      </c>
    </row>
    <row r="521">
      <c r="A521" s="71"/>
      <c r="B521" s="124" t="s">
        <v>651</v>
      </c>
      <c r="C521" s="87" t="s">
        <v>58</v>
      </c>
      <c r="D521" s="89">
        <f>SUMIF('Executive Pay Breakdown'!K:K,$B521,'Executive Pay Breakdown'!M:M)+SUMIF('Executive Pay Breakdown'!O:O,$B521,'Executive Pay Breakdown'!Q:Q)+SUMIF('Executive Pay Breakdown'!S:S,$B521,'Executive Pay Breakdown'!U:U)+SUMIF('Executive Pay Breakdown'!W:W,$B521,'Executive Pay Breakdown'!Y:Y)+SUMIF('Executive Pay Breakdown'!AA:AA,$B521,'Executive Pay Breakdown'!AC:AC)</f>
        <v>2714397</v>
      </c>
      <c r="E521" s="109"/>
      <c r="F521" s="69">
        <f>SUMIF('Executive Pay Breakdown'!K:K,$B521,'Executive Pay Breakdown'!M:M)</f>
        <v>2714397</v>
      </c>
      <c r="G521" s="69">
        <f>SUMIF('Executive Pay Breakdown'!O:O,$B521,'Executive Pay Breakdown'!Q:Q)</f>
        <v>0</v>
      </c>
      <c r="H521" s="69">
        <f>SUMIF('Executive Pay Breakdown'!S:S,$B521,'Executive Pay Breakdown'!U:U)</f>
        <v>0</v>
      </c>
      <c r="I521" s="69">
        <f>SUMIF('Executive Pay Breakdown'!W:W,$B521,'Executive Pay Breakdown'!Y:Y)</f>
        <v>0</v>
      </c>
      <c r="J521" s="69">
        <f>SUMIF('Executive Pay Breakdown'!AA:AA,$B521,'Executive Pay Breakdown'!AC:AC)</f>
        <v>0</v>
      </c>
      <c r="K521" s="90"/>
      <c r="L521" s="212"/>
      <c r="M521" s="87"/>
      <c r="N521" s="230"/>
      <c r="O521" s="120">
        <f>MATCH(C521,'Key Findings'!B:B,0)</f>
        <v>27</v>
      </c>
    </row>
    <row r="522">
      <c r="A522" s="62"/>
      <c r="B522" s="86" t="s">
        <v>628</v>
      </c>
      <c r="C522" s="233" t="s">
        <v>70</v>
      </c>
      <c r="D522" s="89">
        <f>SUMIF('Executive Pay Breakdown'!K:K,$B522,'Executive Pay Breakdown'!M:M)+SUMIF('Executive Pay Breakdown'!O:O,$B522,'Executive Pay Breakdown'!Q:Q)+SUMIF('Executive Pay Breakdown'!S:S,$B522,'Executive Pay Breakdown'!U:U)+SUMIF('Executive Pay Breakdown'!W:W,$B522,'Executive Pay Breakdown'!Y:Y)+SUMIF('Executive Pay Breakdown'!AA:AA,$B522,'Executive Pay Breakdown'!AC:AC)</f>
        <v>2684266</v>
      </c>
      <c r="E522" s="109"/>
      <c r="F522" s="69">
        <f>SUMIF('Executive Pay Breakdown'!K:K,$B522,'Executive Pay Breakdown'!M:M)</f>
        <v>2684266</v>
      </c>
      <c r="G522" s="69">
        <f>SUMIF('Executive Pay Breakdown'!O:O,$B522,'Executive Pay Breakdown'!Q:Q)</f>
        <v>0</v>
      </c>
      <c r="H522" s="69">
        <f>SUMIF('Executive Pay Breakdown'!S:S,$B522,'Executive Pay Breakdown'!U:U)</f>
        <v>0</v>
      </c>
      <c r="I522" s="69">
        <f>SUMIF('Executive Pay Breakdown'!W:W,$B522,'Executive Pay Breakdown'!Y:Y)</f>
        <v>0</v>
      </c>
      <c r="J522" s="69">
        <f>SUMIF('Executive Pay Breakdown'!AA:AA,$B522,'Executive Pay Breakdown'!AC:AC)</f>
        <v>0</v>
      </c>
      <c r="K522" s="90"/>
      <c r="L522" s="212"/>
      <c r="M522" s="87"/>
      <c r="N522" s="87"/>
      <c r="O522" s="120">
        <f>MATCH(C522,'Key Findings'!B:B,0)</f>
        <v>65</v>
      </c>
    </row>
    <row r="523">
      <c r="A523" s="62"/>
      <c r="B523" s="86" t="s">
        <v>637</v>
      </c>
      <c r="C523" s="87" t="s">
        <v>28</v>
      </c>
      <c r="D523" s="89">
        <f>SUMIF('Executive Pay Breakdown'!K:K,$B523,'Executive Pay Breakdown'!M:M)+SUMIF('Executive Pay Breakdown'!O:O,$B523,'Executive Pay Breakdown'!Q:Q)+SUMIF('Executive Pay Breakdown'!S:S,$B523,'Executive Pay Breakdown'!U:U)+SUMIF('Executive Pay Breakdown'!W:W,$B523,'Executive Pay Breakdown'!Y:Y)+SUMIF('Executive Pay Breakdown'!AA:AA,$B523,'Executive Pay Breakdown'!AC:AC)</f>
        <v>2682896</v>
      </c>
      <c r="E523" s="109"/>
      <c r="F523" s="69">
        <f>SUMIF('Executive Pay Breakdown'!K:K,$B523,'Executive Pay Breakdown'!M:M)</f>
        <v>0</v>
      </c>
      <c r="G523" s="69">
        <f>SUMIF('Executive Pay Breakdown'!O:O,$B523,'Executive Pay Breakdown'!Q:Q)</f>
        <v>0</v>
      </c>
      <c r="H523" s="69">
        <f>SUMIF('Executive Pay Breakdown'!S:S,$B523,'Executive Pay Breakdown'!U:U)</f>
        <v>0</v>
      </c>
      <c r="I523" s="69">
        <f>SUMIF('Executive Pay Breakdown'!W:W,$B523,'Executive Pay Breakdown'!Y:Y)</f>
        <v>0</v>
      </c>
      <c r="J523" s="69">
        <f>SUMIF('Executive Pay Breakdown'!AA:AA,$B523,'Executive Pay Breakdown'!AC:AC)</f>
        <v>2682896</v>
      </c>
      <c r="K523" s="90"/>
      <c r="L523" s="212"/>
      <c r="M523" s="87"/>
      <c r="N523" s="87"/>
      <c r="O523" s="120">
        <f>MATCH(C523,'Key Findings'!B:B,0)</f>
        <v>56</v>
      </c>
    </row>
    <row r="524">
      <c r="A524" s="62"/>
      <c r="B524" s="86" t="s">
        <v>613</v>
      </c>
      <c r="C524" s="87" t="s">
        <v>67</v>
      </c>
      <c r="D524" s="89">
        <f>SUMIF('Executive Pay Breakdown'!K:K,$B524,'Executive Pay Breakdown'!M:M)+SUMIF('Executive Pay Breakdown'!O:O,$B524,'Executive Pay Breakdown'!Q:Q)+SUMIF('Executive Pay Breakdown'!S:S,$B524,'Executive Pay Breakdown'!U:U)+SUMIF('Executive Pay Breakdown'!W:W,$B524,'Executive Pay Breakdown'!Y:Y)+SUMIF('Executive Pay Breakdown'!AA:AA,$B524,'Executive Pay Breakdown'!AC:AC)</f>
        <v>2646130</v>
      </c>
      <c r="E524" s="109"/>
      <c r="F524" s="69">
        <f>SUMIF('Executive Pay Breakdown'!K:K,$B524,'Executive Pay Breakdown'!M:M)</f>
        <v>1417024</v>
      </c>
      <c r="G524" s="69">
        <f>SUMIF('Executive Pay Breakdown'!O:O,$B524,'Executive Pay Breakdown'!Q:Q)</f>
        <v>1229106</v>
      </c>
      <c r="H524" s="69">
        <f>SUMIF('Executive Pay Breakdown'!S:S,$B524,'Executive Pay Breakdown'!U:U)</f>
        <v>0</v>
      </c>
      <c r="I524" s="69">
        <f>SUMIF('Executive Pay Breakdown'!W:W,$B524,'Executive Pay Breakdown'!Y:Y)</f>
        <v>0</v>
      </c>
      <c r="J524" s="69">
        <f>SUMIF('Executive Pay Breakdown'!AA:AA,$B524,'Executive Pay Breakdown'!AC:AC)</f>
        <v>0</v>
      </c>
      <c r="K524" s="90"/>
      <c r="L524" s="212"/>
      <c r="M524" s="212"/>
      <c r="N524" s="230"/>
      <c r="O524" s="120">
        <f>MATCH(C524,'Key Findings'!B:B,0)</f>
        <v>64</v>
      </c>
    </row>
    <row r="525">
      <c r="A525" s="62"/>
      <c r="B525" s="86" t="s">
        <v>640</v>
      </c>
      <c r="C525" s="87" t="s">
        <v>28</v>
      </c>
      <c r="D525" s="89">
        <f>SUMIF('Executive Pay Breakdown'!K:K,$B525,'Executive Pay Breakdown'!M:M)+SUMIF('Executive Pay Breakdown'!O:O,$B525,'Executive Pay Breakdown'!Q:Q)+SUMIF('Executive Pay Breakdown'!S:S,$B525,'Executive Pay Breakdown'!U:U)+SUMIF('Executive Pay Breakdown'!W:W,$B525,'Executive Pay Breakdown'!Y:Y)+SUMIF('Executive Pay Breakdown'!AA:AA,$B525,'Executive Pay Breakdown'!AC:AC)</f>
        <v>2641328</v>
      </c>
      <c r="E525" s="109"/>
      <c r="F525" s="69">
        <f>SUMIF('Executive Pay Breakdown'!K:K,$B525,'Executive Pay Breakdown'!M:M)</f>
        <v>0</v>
      </c>
      <c r="G525" s="69">
        <f>SUMIF('Executive Pay Breakdown'!O:O,$B525,'Executive Pay Breakdown'!Q:Q)</f>
        <v>0</v>
      </c>
      <c r="H525" s="69">
        <f>SUMIF('Executive Pay Breakdown'!S:S,$B525,'Executive Pay Breakdown'!U:U)</f>
        <v>0</v>
      </c>
      <c r="I525" s="69">
        <f>SUMIF('Executive Pay Breakdown'!W:W,$B525,'Executive Pay Breakdown'!Y:Y)</f>
        <v>0</v>
      </c>
      <c r="J525" s="69">
        <f>SUMIF('Executive Pay Breakdown'!AA:AA,$B525,'Executive Pay Breakdown'!AC:AC)</f>
        <v>2641328</v>
      </c>
      <c r="K525" s="90"/>
      <c r="L525" s="212"/>
      <c r="M525" s="87"/>
      <c r="N525" s="87"/>
      <c r="O525" s="120">
        <f>MATCH(C525,'Key Findings'!B:B,0)</f>
        <v>56</v>
      </c>
    </row>
    <row r="526">
      <c r="A526" s="62"/>
      <c r="B526" s="86" t="s">
        <v>579</v>
      </c>
      <c r="C526" s="233" t="s">
        <v>71</v>
      </c>
      <c r="D526" s="89">
        <f>SUMIF('Executive Pay Breakdown'!K:K,$B526,'Executive Pay Breakdown'!M:M)+SUMIF('Executive Pay Breakdown'!O:O,$B526,'Executive Pay Breakdown'!Q:Q)+SUMIF('Executive Pay Breakdown'!S:S,$B526,'Executive Pay Breakdown'!U:U)+SUMIF('Executive Pay Breakdown'!W:W,$B526,'Executive Pay Breakdown'!Y:Y)+SUMIF('Executive Pay Breakdown'!AA:AA,$B526,'Executive Pay Breakdown'!AC:AC)</f>
        <v>2627957</v>
      </c>
      <c r="E526" s="109"/>
      <c r="F526" s="69">
        <f>SUMIF('Executive Pay Breakdown'!K:K,$B526,'Executive Pay Breakdown'!M:M)</f>
        <v>2627957</v>
      </c>
      <c r="G526" s="69">
        <f>SUMIF('Executive Pay Breakdown'!O:O,$B526,'Executive Pay Breakdown'!Q:Q)</f>
        <v>0</v>
      </c>
      <c r="H526" s="69">
        <f>SUMIF('Executive Pay Breakdown'!S:S,$B526,'Executive Pay Breakdown'!U:U)</f>
        <v>0</v>
      </c>
      <c r="I526" s="69">
        <f>SUMIF('Executive Pay Breakdown'!W:W,$B526,'Executive Pay Breakdown'!Y:Y)</f>
        <v>0</v>
      </c>
      <c r="J526" s="69">
        <f>SUMIF('Executive Pay Breakdown'!AA:AA,$B526,'Executive Pay Breakdown'!AC:AC)</f>
        <v>0</v>
      </c>
      <c r="K526" s="90"/>
      <c r="L526" s="212"/>
      <c r="M526" s="87"/>
      <c r="N526" s="87"/>
      <c r="O526" s="120">
        <f>MATCH(C526,'Key Findings'!B:B,0)</f>
        <v>58</v>
      </c>
    </row>
    <row r="527">
      <c r="A527" s="62"/>
      <c r="B527" s="127" t="s">
        <v>633</v>
      </c>
      <c r="C527" s="87" t="s">
        <v>60</v>
      </c>
      <c r="D527" s="89">
        <f>SUMIF('Executive Pay Breakdown'!K:K,$B527,'Executive Pay Breakdown'!M:M)+SUMIF('Executive Pay Breakdown'!O:O,$B527,'Executive Pay Breakdown'!Q:Q)+SUMIF('Executive Pay Breakdown'!S:S,$B527,'Executive Pay Breakdown'!U:U)+SUMIF('Executive Pay Breakdown'!W:W,$B527,'Executive Pay Breakdown'!Y:Y)+SUMIF('Executive Pay Breakdown'!AA:AA,$B527,'Executive Pay Breakdown'!AC:AC)</f>
        <v>2600806</v>
      </c>
      <c r="E527" s="109"/>
      <c r="F527" s="69">
        <f>SUMIF('Executive Pay Breakdown'!K:K,$B527,'Executive Pay Breakdown'!M:M)</f>
        <v>0</v>
      </c>
      <c r="G527" s="69">
        <f>SUMIF('Executive Pay Breakdown'!O:O,$B527,'Executive Pay Breakdown'!Q:Q)</f>
        <v>0</v>
      </c>
      <c r="H527" s="69">
        <f>SUMIF('Executive Pay Breakdown'!S:S,$B527,'Executive Pay Breakdown'!U:U)</f>
        <v>0</v>
      </c>
      <c r="I527" s="69">
        <f>SUMIF('Executive Pay Breakdown'!W:W,$B527,'Executive Pay Breakdown'!Y:Y)</f>
        <v>0</v>
      </c>
      <c r="J527" s="69">
        <f>SUMIF('Executive Pay Breakdown'!AA:AA,$B527,'Executive Pay Breakdown'!AC:AC)</f>
        <v>2600806</v>
      </c>
      <c r="K527" s="90"/>
      <c r="L527" s="212"/>
      <c r="M527" s="87"/>
      <c r="N527" s="87"/>
      <c r="O527" s="120">
        <f>MATCH(C527,'Key Findings'!B:B,0)</f>
        <v>47</v>
      </c>
    </row>
    <row r="528">
      <c r="A528" s="62"/>
      <c r="B528" s="86" t="s">
        <v>605</v>
      </c>
      <c r="C528" s="87" t="s">
        <v>44</v>
      </c>
      <c r="D528" s="89">
        <f>SUMIF('Executive Pay Breakdown'!K:K,$B528,'Executive Pay Breakdown'!M:M)+SUMIF('Executive Pay Breakdown'!O:O,$B528,'Executive Pay Breakdown'!Q:Q)+SUMIF('Executive Pay Breakdown'!S:S,$B528,'Executive Pay Breakdown'!U:U)+SUMIF('Executive Pay Breakdown'!W:W,$B528,'Executive Pay Breakdown'!Y:Y)+SUMIF('Executive Pay Breakdown'!AA:AA,$B528,'Executive Pay Breakdown'!AC:AC)</f>
        <v>2558250</v>
      </c>
      <c r="E528" s="109"/>
      <c r="F528" s="69">
        <f>SUMIF('Executive Pay Breakdown'!K:K,$B528,'Executive Pay Breakdown'!M:M)</f>
        <v>0</v>
      </c>
      <c r="G528" s="69">
        <f>SUMIF('Executive Pay Breakdown'!O:O,$B528,'Executive Pay Breakdown'!Q:Q)</f>
        <v>0</v>
      </c>
      <c r="H528" s="69">
        <f>SUMIF('Executive Pay Breakdown'!S:S,$B528,'Executive Pay Breakdown'!U:U)</f>
        <v>0</v>
      </c>
      <c r="I528" s="69">
        <f>SUMIF('Executive Pay Breakdown'!W:W,$B528,'Executive Pay Breakdown'!Y:Y)</f>
        <v>0</v>
      </c>
      <c r="J528" s="69">
        <f>SUMIF('Executive Pay Breakdown'!AA:AA,$B528,'Executive Pay Breakdown'!AC:AC)</f>
        <v>2558250</v>
      </c>
      <c r="K528" s="90"/>
      <c r="L528" s="212"/>
      <c r="M528" s="87"/>
      <c r="N528" s="87"/>
      <c r="O528" s="120">
        <f>MATCH(C528,'Key Findings'!B:B,0)</f>
        <v>25</v>
      </c>
    </row>
    <row r="529">
      <c r="A529" s="62"/>
      <c r="B529" s="130" t="s">
        <v>655</v>
      </c>
      <c r="C529" s="87" t="s">
        <v>25</v>
      </c>
      <c r="D529" s="89">
        <f>SUMIF('Executive Pay Breakdown'!K:K,$B529,'Executive Pay Breakdown'!M:M)+SUMIF('Executive Pay Breakdown'!O:O,$B529,'Executive Pay Breakdown'!Q:Q)+SUMIF('Executive Pay Breakdown'!S:S,$B529,'Executive Pay Breakdown'!U:U)+SUMIF('Executive Pay Breakdown'!W:W,$B529,'Executive Pay Breakdown'!Y:Y)+SUMIF('Executive Pay Breakdown'!AA:AA,$B529,'Executive Pay Breakdown'!AC:AC)</f>
        <v>2557327</v>
      </c>
      <c r="E529" s="109"/>
      <c r="F529" s="69">
        <f>SUMIF('Executive Pay Breakdown'!K:K,$B529,'Executive Pay Breakdown'!M:M)</f>
        <v>0</v>
      </c>
      <c r="G529" s="69">
        <f>SUMIF('Executive Pay Breakdown'!O:O,$B529,'Executive Pay Breakdown'!Q:Q)</f>
        <v>0</v>
      </c>
      <c r="H529" s="69">
        <f>SUMIF('Executive Pay Breakdown'!S:S,$B529,'Executive Pay Breakdown'!U:U)</f>
        <v>0</v>
      </c>
      <c r="I529" s="69">
        <f>SUMIF('Executive Pay Breakdown'!W:W,$B529,'Executive Pay Breakdown'!Y:Y)</f>
        <v>0</v>
      </c>
      <c r="J529" s="69">
        <f>SUMIF('Executive Pay Breakdown'!AA:AA,$B529,'Executive Pay Breakdown'!AC:AC)</f>
        <v>2557327</v>
      </c>
      <c r="K529" s="90"/>
      <c r="L529" s="212"/>
      <c r="M529" s="87"/>
      <c r="N529" s="87"/>
      <c r="O529" s="120">
        <f>MATCH(C529,'Key Findings'!B:B,0)</f>
        <v>42</v>
      </c>
    </row>
    <row r="530">
      <c r="A530" s="62"/>
      <c r="B530" s="86" t="s">
        <v>609</v>
      </c>
      <c r="C530" s="87" t="s">
        <v>44</v>
      </c>
      <c r="D530" s="89">
        <f>SUMIF('Executive Pay Breakdown'!K:K,$B530,'Executive Pay Breakdown'!M:M)+SUMIF('Executive Pay Breakdown'!O:O,$B530,'Executive Pay Breakdown'!Q:Q)+SUMIF('Executive Pay Breakdown'!S:S,$B530,'Executive Pay Breakdown'!U:U)+SUMIF('Executive Pay Breakdown'!W:W,$B530,'Executive Pay Breakdown'!Y:Y)+SUMIF('Executive Pay Breakdown'!AA:AA,$B530,'Executive Pay Breakdown'!AC:AC)</f>
        <v>2508250</v>
      </c>
      <c r="E530" s="109"/>
      <c r="F530" s="69">
        <f>SUMIF('Executive Pay Breakdown'!K:K,$B530,'Executive Pay Breakdown'!M:M)</f>
        <v>0</v>
      </c>
      <c r="G530" s="69">
        <f>SUMIF('Executive Pay Breakdown'!O:O,$B530,'Executive Pay Breakdown'!Q:Q)</f>
        <v>0</v>
      </c>
      <c r="H530" s="69">
        <f>SUMIF('Executive Pay Breakdown'!S:S,$B530,'Executive Pay Breakdown'!U:U)</f>
        <v>0</v>
      </c>
      <c r="I530" s="69">
        <f>SUMIF('Executive Pay Breakdown'!W:W,$B530,'Executive Pay Breakdown'!Y:Y)</f>
        <v>0</v>
      </c>
      <c r="J530" s="69">
        <f>SUMIF('Executive Pay Breakdown'!AA:AA,$B530,'Executive Pay Breakdown'!AC:AC)</f>
        <v>2508250</v>
      </c>
      <c r="K530" s="90"/>
      <c r="L530" s="212"/>
      <c r="M530" s="87"/>
      <c r="N530" s="87"/>
      <c r="O530" s="120">
        <f>MATCH(C530,'Key Findings'!B:B,0)</f>
        <v>25</v>
      </c>
    </row>
    <row r="531">
      <c r="A531" s="62"/>
      <c r="B531" s="127" t="s">
        <v>643</v>
      </c>
      <c r="C531" s="87" t="s">
        <v>30</v>
      </c>
      <c r="D531" s="89">
        <f>SUMIF('Executive Pay Breakdown'!K:K,$B531,'Executive Pay Breakdown'!M:M)+SUMIF('Executive Pay Breakdown'!O:O,$B531,'Executive Pay Breakdown'!Q:Q)+SUMIF('Executive Pay Breakdown'!S:S,$B531,'Executive Pay Breakdown'!U:U)+SUMIF('Executive Pay Breakdown'!W:W,$B531,'Executive Pay Breakdown'!Y:Y)+SUMIF('Executive Pay Breakdown'!AA:AA,$B531,'Executive Pay Breakdown'!AC:AC)</f>
        <v>2487192</v>
      </c>
      <c r="E531" s="109"/>
      <c r="F531" s="69">
        <f>SUMIF('Executive Pay Breakdown'!K:K,$B531,'Executive Pay Breakdown'!M:M)</f>
        <v>2487192</v>
      </c>
      <c r="G531" s="69">
        <f>SUMIF('Executive Pay Breakdown'!O:O,$B531,'Executive Pay Breakdown'!Q:Q)</f>
        <v>0</v>
      </c>
      <c r="H531" s="69">
        <f>SUMIF('Executive Pay Breakdown'!S:S,$B531,'Executive Pay Breakdown'!U:U)</f>
        <v>0</v>
      </c>
      <c r="I531" s="69">
        <f>SUMIF('Executive Pay Breakdown'!W:W,$B531,'Executive Pay Breakdown'!Y:Y)</f>
        <v>0</v>
      </c>
      <c r="J531" s="69">
        <f>SUMIF('Executive Pay Breakdown'!AA:AA,$B531,'Executive Pay Breakdown'!AC:AC)</f>
        <v>0</v>
      </c>
      <c r="K531" s="90"/>
      <c r="L531" s="212"/>
      <c r="M531" s="87"/>
      <c r="N531" s="230"/>
      <c r="O531" s="120">
        <f>MATCH(C531,'Key Findings'!B:B,0)</f>
        <v>49</v>
      </c>
    </row>
    <row r="532">
      <c r="A532" s="62"/>
      <c r="B532" s="86" t="s">
        <v>574</v>
      </c>
      <c r="C532" s="87" t="s">
        <v>77</v>
      </c>
      <c r="D532" s="89">
        <f>SUMIF('Executive Pay Breakdown'!K:K,$B532,'Executive Pay Breakdown'!M:M)+SUMIF('Executive Pay Breakdown'!O:O,$B532,'Executive Pay Breakdown'!Q:Q)+SUMIF('Executive Pay Breakdown'!S:S,$B532,'Executive Pay Breakdown'!U:U)+SUMIF('Executive Pay Breakdown'!W:W,$B532,'Executive Pay Breakdown'!Y:Y)+SUMIF('Executive Pay Breakdown'!AA:AA,$B532,'Executive Pay Breakdown'!AC:AC)</f>
        <v>2473966</v>
      </c>
      <c r="E532" s="109"/>
      <c r="F532" s="69">
        <f>SUMIF('Executive Pay Breakdown'!K:K,$B532,'Executive Pay Breakdown'!M:M)</f>
        <v>0</v>
      </c>
      <c r="G532" s="69">
        <f>SUMIF('Executive Pay Breakdown'!O:O,$B532,'Executive Pay Breakdown'!Q:Q)</f>
        <v>0</v>
      </c>
      <c r="H532" s="69">
        <f>SUMIF('Executive Pay Breakdown'!S:S,$B532,'Executive Pay Breakdown'!U:U)</f>
        <v>2473966</v>
      </c>
      <c r="I532" s="69">
        <f>SUMIF('Executive Pay Breakdown'!W:W,$B532,'Executive Pay Breakdown'!Y:Y)</f>
        <v>0</v>
      </c>
      <c r="J532" s="69">
        <f>SUMIF('Executive Pay Breakdown'!AA:AA,$B532,'Executive Pay Breakdown'!AC:AC)</f>
        <v>0</v>
      </c>
      <c r="K532" s="90"/>
      <c r="L532" s="212"/>
      <c r="M532" s="87"/>
      <c r="N532" s="87"/>
      <c r="O532" s="120">
        <f>MATCH(C532,'Key Findings'!B:B,0)</f>
        <v>40</v>
      </c>
    </row>
    <row r="533">
      <c r="A533" s="62"/>
      <c r="B533" s="127" t="s">
        <v>645</v>
      </c>
      <c r="C533" s="87" t="s">
        <v>30</v>
      </c>
      <c r="D533" s="89">
        <f>SUMIF('Executive Pay Breakdown'!K:K,$B533,'Executive Pay Breakdown'!M:M)+SUMIF('Executive Pay Breakdown'!O:O,$B533,'Executive Pay Breakdown'!Q:Q)+SUMIF('Executive Pay Breakdown'!S:S,$B533,'Executive Pay Breakdown'!U:U)+SUMIF('Executive Pay Breakdown'!W:W,$B533,'Executive Pay Breakdown'!Y:Y)+SUMIF('Executive Pay Breakdown'!AA:AA,$B533,'Executive Pay Breakdown'!AC:AC)</f>
        <v>2466611</v>
      </c>
      <c r="E533" s="109"/>
      <c r="F533" s="69">
        <f>SUMIF('Executive Pay Breakdown'!K:K,$B533,'Executive Pay Breakdown'!M:M)</f>
        <v>0</v>
      </c>
      <c r="G533" s="69">
        <f>SUMIF('Executive Pay Breakdown'!O:O,$B533,'Executive Pay Breakdown'!Q:Q)</f>
        <v>0</v>
      </c>
      <c r="H533" s="69">
        <f>SUMIF('Executive Pay Breakdown'!S:S,$B533,'Executive Pay Breakdown'!U:U)</f>
        <v>0</v>
      </c>
      <c r="I533" s="69">
        <f>SUMIF('Executive Pay Breakdown'!W:W,$B533,'Executive Pay Breakdown'!Y:Y)</f>
        <v>2466611</v>
      </c>
      <c r="J533" s="69">
        <f>SUMIF('Executive Pay Breakdown'!AA:AA,$B533,'Executive Pay Breakdown'!AC:AC)</f>
        <v>0</v>
      </c>
      <c r="K533" s="90"/>
      <c r="L533" s="212"/>
      <c r="M533" s="87"/>
      <c r="N533" s="87"/>
      <c r="O533" s="120">
        <f>MATCH(C533,'Key Findings'!B:B,0)</f>
        <v>49</v>
      </c>
    </row>
    <row r="534">
      <c r="A534" s="62"/>
      <c r="B534" s="127" t="s">
        <v>642</v>
      </c>
      <c r="C534" s="87" t="s">
        <v>60</v>
      </c>
      <c r="D534" s="89">
        <f>SUMIF('Executive Pay Breakdown'!K:K,$B534,'Executive Pay Breakdown'!M:M)+SUMIF('Executive Pay Breakdown'!O:O,$B534,'Executive Pay Breakdown'!Q:Q)+SUMIF('Executive Pay Breakdown'!S:S,$B534,'Executive Pay Breakdown'!U:U)+SUMIF('Executive Pay Breakdown'!W:W,$B534,'Executive Pay Breakdown'!Y:Y)+SUMIF('Executive Pay Breakdown'!AA:AA,$B534,'Executive Pay Breakdown'!AC:AC)</f>
        <v>2420581</v>
      </c>
      <c r="E534" s="109"/>
      <c r="F534" s="69">
        <f>SUMIF('Executive Pay Breakdown'!K:K,$B534,'Executive Pay Breakdown'!M:M)</f>
        <v>2420581</v>
      </c>
      <c r="G534" s="69">
        <f>SUMIF('Executive Pay Breakdown'!O:O,$B534,'Executive Pay Breakdown'!Q:Q)</f>
        <v>0</v>
      </c>
      <c r="H534" s="69">
        <f>SUMIF('Executive Pay Breakdown'!S:S,$B534,'Executive Pay Breakdown'!U:U)</f>
        <v>0</v>
      </c>
      <c r="I534" s="69">
        <f>SUMIF('Executive Pay Breakdown'!W:W,$B534,'Executive Pay Breakdown'!Y:Y)</f>
        <v>0</v>
      </c>
      <c r="J534" s="69">
        <f>SUMIF('Executive Pay Breakdown'!AA:AA,$B534,'Executive Pay Breakdown'!AC:AC)</f>
        <v>0</v>
      </c>
      <c r="K534" s="90"/>
      <c r="L534" s="212"/>
      <c r="M534" s="87"/>
      <c r="N534" s="230"/>
      <c r="O534" s="120">
        <f>MATCH(C534,'Key Findings'!B:B,0)</f>
        <v>47</v>
      </c>
    </row>
    <row r="535">
      <c r="A535" s="62"/>
      <c r="B535" s="86" t="s">
        <v>588</v>
      </c>
      <c r="C535" s="233" t="s">
        <v>71</v>
      </c>
      <c r="D535" s="89">
        <f>SUMIF('Executive Pay Breakdown'!K:K,$B535,'Executive Pay Breakdown'!M:M)+SUMIF('Executive Pay Breakdown'!O:O,$B535,'Executive Pay Breakdown'!Q:Q)+SUMIF('Executive Pay Breakdown'!S:S,$B535,'Executive Pay Breakdown'!U:U)+SUMIF('Executive Pay Breakdown'!W:W,$B535,'Executive Pay Breakdown'!Y:Y)+SUMIF('Executive Pay Breakdown'!AA:AA,$B535,'Executive Pay Breakdown'!AC:AC)</f>
        <v>2416193</v>
      </c>
      <c r="E535" s="109"/>
      <c r="F535" s="69">
        <f>SUMIF('Executive Pay Breakdown'!K:K,$B535,'Executive Pay Breakdown'!M:M)</f>
        <v>0</v>
      </c>
      <c r="G535" s="69">
        <f>SUMIF('Executive Pay Breakdown'!O:O,$B535,'Executive Pay Breakdown'!Q:Q)</f>
        <v>0</v>
      </c>
      <c r="H535" s="69">
        <f>SUMIF('Executive Pay Breakdown'!S:S,$B535,'Executive Pay Breakdown'!U:U)</f>
        <v>1352857</v>
      </c>
      <c r="I535" s="69">
        <f>SUMIF('Executive Pay Breakdown'!W:W,$B535,'Executive Pay Breakdown'!Y:Y)</f>
        <v>1063336</v>
      </c>
      <c r="J535" s="69">
        <f>SUMIF('Executive Pay Breakdown'!AA:AA,$B535,'Executive Pay Breakdown'!AC:AC)</f>
        <v>0</v>
      </c>
      <c r="K535" s="90"/>
      <c r="L535" s="212"/>
      <c r="M535" s="87"/>
      <c r="N535" s="87"/>
      <c r="O535" s="120">
        <f>MATCH(C535,'Key Findings'!B:B,0)</f>
        <v>58</v>
      </c>
    </row>
    <row r="536">
      <c r="A536" s="62"/>
      <c r="B536" s="86" t="s">
        <v>595</v>
      </c>
      <c r="C536" s="87" t="s">
        <v>45</v>
      </c>
      <c r="D536" s="89">
        <f>SUMIF('Executive Pay Breakdown'!K:K,$B536,'Executive Pay Breakdown'!M:M)+SUMIF('Executive Pay Breakdown'!O:O,$B536,'Executive Pay Breakdown'!Q:Q)+SUMIF('Executive Pay Breakdown'!S:S,$B536,'Executive Pay Breakdown'!U:U)+SUMIF('Executive Pay Breakdown'!W:W,$B536,'Executive Pay Breakdown'!Y:Y)+SUMIF('Executive Pay Breakdown'!AA:AA,$B536,'Executive Pay Breakdown'!AC:AC)</f>
        <v>2399888</v>
      </c>
      <c r="E536" s="109"/>
      <c r="F536" s="69">
        <f>SUMIF('Executive Pay Breakdown'!K:K,$B536,'Executive Pay Breakdown'!M:M)</f>
        <v>0</v>
      </c>
      <c r="G536" s="69">
        <f>SUMIF('Executive Pay Breakdown'!O:O,$B536,'Executive Pay Breakdown'!Q:Q)</f>
        <v>0</v>
      </c>
      <c r="H536" s="69">
        <f>SUMIF('Executive Pay Breakdown'!S:S,$B536,'Executive Pay Breakdown'!U:U)</f>
        <v>0</v>
      </c>
      <c r="I536" s="69">
        <f>SUMIF('Executive Pay Breakdown'!W:W,$B536,'Executive Pay Breakdown'!Y:Y)</f>
        <v>0</v>
      </c>
      <c r="J536" s="69">
        <f>SUMIF('Executive Pay Breakdown'!AA:AA,$B536,'Executive Pay Breakdown'!AC:AC)</f>
        <v>2399888</v>
      </c>
      <c r="K536" s="90"/>
      <c r="L536" s="212"/>
      <c r="M536" s="87"/>
      <c r="N536" s="87"/>
      <c r="O536" s="120">
        <f>MATCH(C536,'Key Findings'!B:B,0)</f>
        <v>60</v>
      </c>
    </row>
    <row r="537">
      <c r="A537" s="62"/>
      <c r="B537" s="145" t="s">
        <v>653</v>
      </c>
      <c r="C537" s="87" t="s">
        <v>31</v>
      </c>
      <c r="D537" s="89">
        <f>SUMIF('Executive Pay Breakdown'!K:K,$B537,'Executive Pay Breakdown'!M:M)+SUMIF('Executive Pay Breakdown'!O:O,$B537,'Executive Pay Breakdown'!Q:Q)+SUMIF('Executive Pay Breakdown'!S:S,$B537,'Executive Pay Breakdown'!U:U)+SUMIF('Executive Pay Breakdown'!W:W,$B537,'Executive Pay Breakdown'!Y:Y)+SUMIF('Executive Pay Breakdown'!AA:AA,$B537,'Executive Pay Breakdown'!AC:AC)</f>
        <v>2376562</v>
      </c>
      <c r="E537" s="109"/>
      <c r="F537" s="69">
        <f>SUMIF('Executive Pay Breakdown'!K:K,$B537,'Executive Pay Breakdown'!M:M)</f>
        <v>2376562</v>
      </c>
      <c r="G537" s="69">
        <f>SUMIF('Executive Pay Breakdown'!O:O,$B537,'Executive Pay Breakdown'!Q:Q)</f>
        <v>0</v>
      </c>
      <c r="H537" s="69">
        <f>SUMIF('Executive Pay Breakdown'!S:S,$B537,'Executive Pay Breakdown'!U:U)</f>
        <v>0</v>
      </c>
      <c r="I537" s="69">
        <f>SUMIF('Executive Pay Breakdown'!W:W,$B537,'Executive Pay Breakdown'!Y:Y)</f>
        <v>0</v>
      </c>
      <c r="J537" s="69">
        <f>SUMIF('Executive Pay Breakdown'!AA:AA,$B537,'Executive Pay Breakdown'!AC:AC)</f>
        <v>0</v>
      </c>
      <c r="K537" s="90"/>
      <c r="L537" s="212"/>
      <c r="M537" s="87"/>
      <c r="N537" s="230"/>
      <c r="O537" s="120">
        <f>MATCH(C537,'Key Findings'!B:B,0)</f>
        <v>52</v>
      </c>
    </row>
    <row r="538">
      <c r="A538" s="62"/>
      <c r="B538" s="127" t="s">
        <v>647</v>
      </c>
      <c r="C538" s="87" t="s">
        <v>60</v>
      </c>
      <c r="D538" s="89">
        <f>SUMIF('Executive Pay Breakdown'!K:K,$B538,'Executive Pay Breakdown'!M:M)+SUMIF('Executive Pay Breakdown'!O:O,$B538,'Executive Pay Breakdown'!Q:Q)+SUMIF('Executive Pay Breakdown'!S:S,$B538,'Executive Pay Breakdown'!U:U)+SUMIF('Executive Pay Breakdown'!W:W,$B538,'Executive Pay Breakdown'!Y:Y)+SUMIF('Executive Pay Breakdown'!AA:AA,$B538,'Executive Pay Breakdown'!AC:AC)</f>
        <v>2321400</v>
      </c>
      <c r="E538" s="109"/>
      <c r="F538" s="69">
        <f>SUMIF('Executive Pay Breakdown'!K:K,$B538,'Executive Pay Breakdown'!M:M)</f>
        <v>0</v>
      </c>
      <c r="G538" s="69">
        <f>SUMIF('Executive Pay Breakdown'!O:O,$B538,'Executive Pay Breakdown'!Q:Q)</f>
        <v>0</v>
      </c>
      <c r="H538" s="69">
        <f>SUMIF('Executive Pay Breakdown'!S:S,$B538,'Executive Pay Breakdown'!U:U)</f>
        <v>0</v>
      </c>
      <c r="I538" s="69">
        <f>SUMIF('Executive Pay Breakdown'!W:W,$B538,'Executive Pay Breakdown'!Y:Y)</f>
        <v>0</v>
      </c>
      <c r="J538" s="69">
        <f>SUMIF('Executive Pay Breakdown'!AA:AA,$B538,'Executive Pay Breakdown'!AC:AC)</f>
        <v>2321400</v>
      </c>
      <c r="K538" s="90"/>
      <c r="L538" s="212"/>
      <c r="M538" s="87"/>
      <c r="N538" s="87"/>
      <c r="O538" s="120">
        <f>MATCH(C538,'Key Findings'!B:B,0)</f>
        <v>47</v>
      </c>
    </row>
    <row r="539">
      <c r="A539" s="62"/>
      <c r="B539" s="86" t="s">
        <v>614</v>
      </c>
      <c r="C539" s="87" t="s">
        <v>46</v>
      </c>
      <c r="D539" s="89">
        <f>SUMIF('Executive Pay Breakdown'!K:K,$B539,'Executive Pay Breakdown'!M:M)+SUMIF('Executive Pay Breakdown'!O:O,$B539,'Executive Pay Breakdown'!Q:Q)+SUMIF('Executive Pay Breakdown'!S:S,$B539,'Executive Pay Breakdown'!U:U)+SUMIF('Executive Pay Breakdown'!W:W,$B539,'Executive Pay Breakdown'!Y:Y)+SUMIF('Executive Pay Breakdown'!AA:AA,$B539,'Executive Pay Breakdown'!AC:AC)</f>
        <v>2212764</v>
      </c>
      <c r="E539" s="109"/>
      <c r="F539" s="69">
        <f>SUMIF('Executive Pay Breakdown'!K:K,$B539,'Executive Pay Breakdown'!M:M)</f>
        <v>0</v>
      </c>
      <c r="G539" s="69">
        <f>SUMIF('Executive Pay Breakdown'!O:O,$B539,'Executive Pay Breakdown'!Q:Q)</f>
        <v>0</v>
      </c>
      <c r="H539" s="69">
        <f>SUMIF('Executive Pay Breakdown'!S:S,$B539,'Executive Pay Breakdown'!U:U)</f>
        <v>0</v>
      </c>
      <c r="I539" s="69">
        <f>SUMIF('Executive Pay Breakdown'!W:W,$B539,'Executive Pay Breakdown'!Y:Y)</f>
        <v>0</v>
      </c>
      <c r="J539" s="69">
        <f>SUMIF('Executive Pay Breakdown'!AA:AA,$B539,'Executive Pay Breakdown'!AC:AC)</f>
        <v>2212764</v>
      </c>
      <c r="K539" s="90"/>
      <c r="L539" s="212"/>
      <c r="M539" s="87"/>
      <c r="N539" s="87"/>
      <c r="O539" s="120">
        <f>MATCH(C539,'Key Findings'!B:B,0)</f>
        <v>43</v>
      </c>
    </row>
    <row r="540">
      <c r="A540" s="81"/>
      <c r="B540" s="137" t="s">
        <v>558</v>
      </c>
      <c r="C540" s="87" t="str">
        <f t="array" ref="C540">INDEX('Executive Pay Breakdown'!B:B,MATCH(B540,'Executive Pay Breakdown'!K:K,0))</f>
        <v>PPG Industries</v>
      </c>
      <c r="D540" s="89">
        <f>SUMIF('Executive Pay Breakdown'!K:K,$B540,'Executive Pay Breakdown'!M:M)+SUMIF('Executive Pay Breakdown'!O:O,$B540,'Executive Pay Breakdown'!Q:Q)+SUMIF('Executive Pay Breakdown'!S:S,$B540,'Executive Pay Breakdown'!U:U)+SUMIF('Executive Pay Breakdown'!W:W,$B540,'Executive Pay Breakdown'!Y:Y)+SUMIF('Executive Pay Breakdown'!AA:AA,$B540,'Executive Pay Breakdown'!AC:AC)</f>
        <v>2082997</v>
      </c>
      <c r="E540" s="109"/>
      <c r="F540" s="69">
        <f>SUMIF('Executive Pay Breakdown'!K:K,$B540,'Executive Pay Breakdown'!M:M)</f>
        <v>2082997</v>
      </c>
      <c r="G540" s="69">
        <f>SUMIF('Executive Pay Breakdown'!O:O,$B540,'Executive Pay Breakdown'!Q:Q)</f>
        <v>0</v>
      </c>
      <c r="H540" s="69">
        <f>SUMIF('Executive Pay Breakdown'!S:S,$B540,'Executive Pay Breakdown'!U:U)</f>
        <v>0</v>
      </c>
      <c r="I540" s="69">
        <f>SUMIF('Executive Pay Breakdown'!W:W,$B540,'Executive Pay Breakdown'!Y:Y)</f>
        <v>0</v>
      </c>
      <c r="J540" s="69">
        <f>SUMIF('Executive Pay Breakdown'!AA:AA,$B540,'Executive Pay Breakdown'!AC:AC)</f>
        <v>0</v>
      </c>
      <c r="K540" s="90"/>
      <c r="L540" s="212"/>
      <c r="M540" s="87"/>
      <c r="N540" s="230"/>
      <c r="O540" s="120">
        <f>MATCH(C540,'Key Findings'!B:B,0)</f>
        <v>50</v>
      </c>
    </row>
    <row r="541">
      <c r="A541" s="81"/>
      <c r="B541" s="137" t="s">
        <v>562</v>
      </c>
      <c r="C541" s="87" t="str">
        <f t="array" ref="C541">INDEX('Executive Pay Breakdown'!B:B,MATCH(B541,'Executive Pay Breakdown'!AA:AA,0))</f>
        <v>PPG Industries</v>
      </c>
      <c r="D541" s="89">
        <f>SUMIF('Executive Pay Breakdown'!K:K,$B541,'Executive Pay Breakdown'!M:M)+SUMIF('Executive Pay Breakdown'!O:O,$B541,'Executive Pay Breakdown'!Q:Q)+SUMIF('Executive Pay Breakdown'!S:S,$B541,'Executive Pay Breakdown'!U:U)+SUMIF('Executive Pay Breakdown'!W:W,$B541,'Executive Pay Breakdown'!Y:Y)+SUMIF('Executive Pay Breakdown'!AA:AA,$B541,'Executive Pay Breakdown'!AC:AC)</f>
        <v>2071953</v>
      </c>
      <c r="E541" s="109"/>
      <c r="F541" s="69">
        <f>SUMIF('Executive Pay Breakdown'!K:K,$B541,'Executive Pay Breakdown'!M:M)</f>
        <v>0</v>
      </c>
      <c r="G541" s="69">
        <f>SUMIF('Executive Pay Breakdown'!O:O,$B541,'Executive Pay Breakdown'!Q:Q)</f>
        <v>0</v>
      </c>
      <c r="H541" s="69">
        <f>SUMIF('Executive Pay Breakdown'!S:S,$B541,'Executive Pay Breakdown'!U:U)</f>
        <v>0</v>
      </c>
      <c r="I541" s="69">
        <f>SUMIF('Executive Pay Breakdown'!W:W,$B541,'Executive Pay Breakdown'!Y:Y)</f>
        <v>0</v>
      </c>
      <c r="J541" s="69">
        <f>SUMIF('Executive Pay Breakdown'!AA:AA,$B541,'Executive Pay Breakdown'!AC:AC)</f>
        <v>2071953</v>
      </c>
      <c r="K541" s="90"/>
      <c r="L541" s="212"/>
      <c r="M541" s="87"/>
      <c r="N541" s="230"/>
      <c r="O541" s="120">
        <f>MATCH(C541,'Key Findings'!B:B,0)</f>
        <v>50</v>
      </c>
    </row>
    <row r="542">
      <c r="A542" s="81"/>
      <c r="B542" s="137" t="s">
        <v>567</v>
      </c>
      <c r="C542" s="87" t="str">
        <f t="array" ref="C542">INDEX('Executive Pay Breakdown'!B:B,MATCH(B542,'Executive Pay Breakdown'!W:W,0))</f>
        <v>PPG Industries</v>
      </c>
      <c r="D542" s="89">
        <f>SUMIF('Executive Pay Breakdown'!K:K,$B542,'Executive Pay Breakdown'!M:M)+SUMIF('Executive Pay Breakdown'!O:O,$B542,'Executive Pay Breakdown'!Q:Q)+SUMIF('Executive Pay Breakdown'!S:S,$B542,'Executive Pay Breakdown'!U:U)+SUMIF('Executive Pay Breakdown'!W:W,$B542,'Executive Pay Breakdown'!Y:Y)+SUMIF('Executive Pay Breakdown'!AA:AA,$B542,'Executive Pay Breakdown'!AC:AC)</f>
        <v>1945311</v>
      </c>
      <c r="E542" s="109"/>
      <c r="F542" s="69">
        <f>SUMIF('Executive Pay Breakdown'!K:K,$B542,'Executive Pay Breakdown'!M:M)</f>
        <v>0</v>
      </c>
      <c r="G542" s="69">
        <f>SUMIF('Executive Pay Breakdown'!O:O,$B542,'Executive Pay Breakdown'!Q:Q)</f>
        <v>0</v>
      </c>
      <c r="H542" s="69">
        <f>SUMIF('Executive Pay Breakdown'!S:S,$B542,'Executive Pay Breakdown'!U:U)</f>
        <v>0</v>
      </c>
      <c r="I542" s="69">
        <f>SUMIF('Executive Pay Breakdown'!W:W,$B542,'Executive Pay Breakdown'!Y:Y)</f>
        <v>1945311</v>
      </c>
      <c r="J542" s="69">
        <f>SUMIF('Executive Pay Breakdown'!AA:AA,$B542,'Executive Pay Breakdown'!AC:AC)</f>
        <v>0</v>
      </c>
      <c r="K542" s="90"/>
      <c r="L542" s="212"/>
      <c r="M542" s="87"/>
      <c r="N542" s="230"/>
      <c r="O542" s="120">
        <f>MATCH(C542,'Key Findings'!B:B,0)</f>
        <v>50</v>
      </c>
    </row>
    <row r="543">
      <c r="A543" s="62"/>
      <c r="B543" s="86" t="s">
        <v>657</v>
      </c>
      <c r="C543" s="87" t="s">
        <v>38</v>
      </c>
      <c r="D543" s="89">
        <f>SUMIF('Executive Pay Breakdown'!K:K,$B543,'Executive Pay Breakdown'!M:M)+SUMIF('Executive Pay Breakdown'!O:O,$B543,'Executive Pay Breakdown'!Q:Q)+SUMIF('Executive Pay Breakdown'!S:S,$B543,'Executive Pay Breakdown'!U:U)+SUMIF('Executive Pay Breakdown'!W:W,$B543,'Executive Pay Breakdown'!Y:Y)+SUMIF('Executive Pay Breakdown'!AA:AA,$B543,'Executive Pay Breakdown'!AC:AC)</f>
        <v>1940679</v>
      </c>
      <c r="E543" s="109"/>
      <c r="F543" s="69">
        <f>SUMIF('Executive Pay Breakdown'!K:K,$B543,'Executive Pay Breakdown'!M:M)</f>
        <v>1940679</v>
      </c>
      <c r="G543" s="69">
        <f>SUMIF('Executive Pay Breakdown'!O:O,$B543,'Executive Pay Breakdown'!Q:Q)</f>
        <v>0</v>
      </c>
      <c r="H543" s="69">
        <f>SUMIF('Executive Pay Breakdown'!S:S,$B543,'Executive Pay Breakdown'!U:U)</f>
        <v>0</v>
      </c>
      <c r="I543" s="69">
        <f>SUMIF('Executive Pay Breakdown'!W:W,$B543,'Executive Pay Breakdown'!Y:Y)</f>
        <v>0</v>
      </c>
      <c r="J543" s="69">
        <f>SUMIF('Executive Pay Breakdown'!AA:AA,$B543,'Executive Pay Breakdown'!AC:AC)</f>
        <v>0</v>
      </c>
      <c r="K543" s="90"/>
      <c r="L543" s="212"/>
      <c r="M543" s="87"/>
      <c r="N543" s="230"/>
      <c r="O543" s="120">
        <f>MATCH(C543,'Key Findings'!B:B,0)</f>
        <v>62</v>
      </c>
    </row>
    <row r="544">
      <c r="A544" s="62"/>
      <c r="B544" s="127" t="s">
        <v>661</v>
      </c>
      <c r="C544" s="87" t="s">
        <v>34</v>
      </c>
      <c r="D544" s="89">
        <f>SUMIF('Executive Pay Breakdown'!K:K,$B544,'Executive Pay Breakdown'!M:M)+SUMIF('Executive Pay Breakdown'!O:O,$B544,'Executive Pay Breakdown'!Q:Q)+SUMIF('Executive Pay Breakdown'!S:S,$B544,'Executive Pay Breakdown'!U:U)+SUMIF('Executive Pay Breakdown'!W:W,$B544,'Executive Pay Breakdown'!Y:Y)+SUMIF('Executive Pay Breakdown'!AA:AA,$B544,'Executive Pay Breakdown'!AC:AC)</f>
        <v>1929029</v>
      </c>
      <c r="E544" s="109"/>
      <c r="F544" s="69">
        <f>SUMIF('Executive Pay Breakdown'!K:K,$B544,'Executive Pay Breakdown'!M:M)</f>
        <v>1929029</v>
      </c>
      <c r="G544" s="69">
        <f>SUMIF('Executive Pay Breakdown'!O:O,$B544,'Executive Pay Breakdown'!Q:Q)</f>
        <v>0</v>
      </c>
      <c r="H544" s="69">
        <f>SUMIF('Executive Pay Breakdown'!S:S,$B544,'Executive Pay Breakdown'!U:U)</f>
        <v>0</v>
      </c>
      <c r="I544" s="69">
        <f>SUMIF('Executive Pay Breakdown'!W:W,$B544,'Executive Pay Breakdown'!Y:Y)</f>
        <v>0</v>
      </c>
      <c r="J544" s="69">
        <f>SUMIF('Executive Pay Breakdown'!AA:AA,$B544,'Executive Pay Breakdown'!AC:AC)</f>
        <v>0</v>
      </c>
      <c r="K544" s="90"/>
      <c r="L544" s="212"/>
      <c r="M544" s="87"/>
      <c r="N544" s="230"/>
      <c r="O544" s="120">
        <f>MATCH(C544,'Key Findings'!B:B,0)</f>
        <v>34</v>
      </c>
    </row>
    <row r="545">
      <c r="A545" s="62"/>
      <c r="B545" s="86" t="s">
        <v>607</v>
      </c>
      <c r="C545" s="233" t="s">
        <v>71</v>
      </c>
      <c r="D545" s="89">
        <f>SUMIF('Executive Pay Breakdown'!K:K,$B545,'Executive Pay Breakdown'!M:M)+SUMIF('Executive Pay Breakdown'!O:O,$B545,'Executive Pay Breakdown'!Q:Q)+SUMIF('Executive Pay Breakdown'!S:S,$B545,'Executive Pay Breakdown'!U:U)+SUMIF('Executive Pay Breakdown'!W:W,$B545,'Executive Pay Breakdown'!Y:Y)+SUMIF('Executive Pay Breakdown'!AA:AA,$B545,'Executive Pay Breakdown'!AC:AC)</f>
        <v>1885127</v>
      </c>
      <c r="E545" s="109"/>
      <c r="F545" s="69">
        <f>SUMIF('Executive Pay Breakdown'!K:K,$B545,'Executive Pay Breakdown'!M:M)</f>
        <v>0</v>
      </c>
      <c r="G545" s="69">
        <f>SUMIF('Executive Pay Breakdown'!O:O,$B545,'Executive Pay Breakdown'!Q:Q)</f>
        <v>0</v>
      </c>
      <c r="H545" s="69">
        <f>SUMIF('Executive Pay Breakdown'!S:S,$B545,'Executive Pay Breakdown'!U:U)</f>
        <v>1885127</v>
      </c>
      <c r="I545" s="69">
        <f>SUMIF('Executive Pay Breakdown'!W:W,$B545,'Executive Pay Breakdown'!Y:Y)</f>
        <v>0</v>
      </c>
      <c r="J545" s="69">
        <f>SUMIF('Executive Pay Breakdown'!AA:AA,$B545,'Executive Pay Breakdown'!AC:AC)</f>
        <v>0</v>
      </c>
      <c r="K545" s="90"/>
      <c r="L545" s="212"/>
      <c r="M545" s="87"/>
      <c r="N545" s="87"/>
      <c r="O545" s="120">
        <f>MATCH(C545,'Key Findings'!B:B,0)</f>
        <v>58</v>
      </c>
    </row>
    <row r="546">
      <c r="A546" s="62"/>
      <c r="B546" s="130" t="s">
        <v>658</v>
      </c>
      <c r="C546" s="87" t="s">
        <v>22</v>
      </c>
      <c r="D546" s="89">
        <f>SUMIF('Executive Pay Breakdown'!K:K,$B546,'Executive Pay Breakdown'!M:M)+SUMIF('Executive Pay Breakdown'!O:O,$B546,'Executive Pay Breakdown'!Q:Q)+SUMIF('Executive Pay Breakdown'!S:S,$B546,'Executive Pay Breakdown'!U:U)+SUMIF('Executive Pay Breakdown'!W:W,$B546,'Executive Pay Breakdown'!Y:Y)+SUMIF('Executive Pay Breakdown'!AA:AA,$B546,'Executive Pay Breakdown'!AC:AC)</f>
        <v>1871448</v>
      </c>
      <c r="E546" s="109"/>
      <c r="F546" s="69">
        <f>SUMIF('Executive Pay Breakdown'!K:K,$B546,'Executive Pay Breakdown'!M:M)</f>
        <v>1871448</v>
      </c>
      <c r="G546" s="69">
        <f>SUMIF('Executive Pay Breakdown'!O:O,$B546,'Executive Pay Breakdown'!Q:Q)</f>
        <v>0</v>
      </c>
      <c r="H546" s="69">
        <f>SUMIF('Executive Pay Breakdown'!S:S,$B546,'Executive Pay Breakdown'!U:U)</f>
        <v>0</v>
      </c>
      <c r="I546" s="69">
        <f>SUMIF('Executive Pay Breakdown'!W:W,$B546,'Executive Pay Breakdown'!Y:Y)</f>
        <v>0</v>
      </c>
      <c r="J546" s="69">
        <f>SUMIF('Executive Pay Breakdown'!AA:AA,$B546,'Executive Pay Breakdown'!AC:AC)</f>
        <v>0</v>
      </c>
      <c r="K546" s="90"/>
      <c r="L546" s="212"/>
      <c r="M546" s="87"/>
      <c r="N546" s="230"/>
      <c r="O546" s="120">
        <f>MATCH(C546,'Key Findings'!B:B,0)</f>
        <v>39</v>
      </c>
    </row>
    <row r="547">
      <c r="A547" s="62"/>
      <c r="B547" s="86" t="s">
        <v>660</v>
      </c>
      <c r="C547" s="87" t="s">
        <v>38</v>
      </c>
      <c r="D547" s="89">
        <f>SUMIF('Executive Pay Breakdown'!K:K,$B547,'Executive Pay Breakdown'!M:M)+SUMIF('Executive Pay Breakdown'!O:O,$B547,'Executive Pay Breakdown'!Q:Q)+SUMIF('Executive Pay Breakdown'!S:S,$B547,'Executive Pay Breakdown'!U:U)+SUMIF('Executive Pay Breakdown'!W:W,$B547,'Executive Pay Breakdown'!Y:Y)+SUMIF('Executive Pay Breakdown'!AA:AA,$B547,'Executive Pay Breakdown'!AC:AC)</f>
        <v>1824975</v>
      </c>
      <c r="E547" s="109"/>
      <c r="F547" s="69">
        <f>SUMIF('Executive Pay Breakdown'!K:K,$B547,'Executive Pay Breakdown'!M:M)</f>
        <v>0</v>
      </c>
      <c r="G547" s="69">
        <f>SUMIF('Executive Pay Breakdown'!O:O,$B547,'Executive Pay Breakdown'!Q:Q)</f>
        <v>0</v>
      </c>
      <c r="H547" s="69">
        <f>SUMIF('Executive Pay Breakdown'!S:S,$B547,'Executive Pay Breakdown'!U:U)</f>
        <v>1824975</v>
      </c>
      <c r="I547" s="69">
        <f>SUMIF('Executive Pay Breakdown'!W:W,$B547,'Executive Pay Breakdown'!Y:Y)</f>
        <v>0</v>
      </c>
      <c r="J547" s="69">
        <f>SUMIF('Executive Pay Breakdown'!AA:AA,$B547,'Executive Pay Breakdown'!AC:AC)</f>
        <v>0</v>
      </c>
      <c r="K547" s="90"/>
      <c r="L547" s="212"/>
      <c r="M547" s="87"/>
      <c r="N547" s="87"/>
      <c r="O547" s="120">
        <f>MATCH(C547,'Key Findings'!B:B,0)</f>
        <v>62</v>
      </c>
    </row>
    <row r="548">
      <c r="A548" s="62"/>
      <c r="B548" s="127" t="s">
        <v>672</v>
      </c>
      <c r="C548" s="87" t="s">
        <v>64</v>
      </c>
      <c r="D548" s="89">
        <f>SUMIF('Executive Pay Breakdown'!K:K,$B548,'Executive Pay Breakdown'!M:M)+SUMIF('Executive Pay Breakdown'!O:O,$B548,'Executive Pay Breakdown'!Q:Q)+SUMIF('Executive Pay Breakdown'!S:S,$B548,'Executive Pay Breakdown'!U:U)+SUMIF('Executive Pay Breakdown'!W:W,$B548,'Executive Pay Breakdown'!Y:Y)+SUMIF('Executive Pay Breakdown'!AA:AA,$B548,'Executive Pay Breakdown'!AC:AC)</f>
        <v>1798290</v>
      </c>
      <c r="E548" s="109"/>
      <c r="F548" s="69">
        <f>SUMIF('Executive Pay Breakdown'!K:K,$B548,'Executive Pay Breakdown'!M:M)</f>
        <v>0</v>
      </c>
      <c r="G548" s="69">
        <f>SUMIF('Executive Pay Breakdown'!O:O,$B548,'Executive Pay Breakdown'!Q:Q)</f>
        <v>0</v>
      </c>
      <c r="H548" s="69">
        <f>SUMIF('Executive Pay Breakdown'!S:S,$B548,'Executive Pay Breakdown'!U:U)</f>
        <v>1798290</v>
      </c>
      <c r="I548" s="69">
        <f>SUMIF('Executive Pay Breakdown'!W:W,$B548,'Executive Pay Breakdown'!Y:Y)</f>
        <v>0</v>
      </c>
      <c r="J548" s="69">
        <f>SUMIF('Executive Pay Breakdown'!AA:AA,$B548,'Executive Pay Breakdown'!AC:AC)</f>
        <v>0</v>
      </c>
      <c r="K548" s="90"/>
      <c r="L548" s="212"/>
      <c r="M548" s="87"/>
      <c r="N548" s="87"/>
      <c r="O548" s="120">
        <f>MATCH(C548,'Key Findings'!B:B,0)</f>
        <v>59</v>
      </c>
    </row>
    <row r="549">
      <c r="A549" s="62"/>
      <c r="B549" s="144" t="s">
        <v>615</v>
      </c>
      <c r="C549" s="233" t="s">
        <v>71</v>
      </c>
      <c r="D549" s="89">
        <f>SUMIF('Executive Pay Breakdown'!K:K,$B549,'Executive Pay Breakdown'!M:M)+SUMIF('Executive Pay Breakdown'!O:O,$B549,'Executive Pay Breakdown'!Q:Q)+SUMIF('Executive Pay Breakdown'!S:S,$B549,'Executive Pay Breakdown'!U:U)+SUMIF('Executive Pay Breakdown'!W:W,$B549,'Executive Pay Breakdown'!Y:Y)+SUMIF('Executive Pay Breakdown'!AA:AA,$B549,'Executive Pay Breakdown'!AC:AC)</f>
        <v>1796076</v>
      </c>
      <c r="E549" s="109"/>
      <c r="F549" s="69">
        <f>SUMIF('Executive Pay Breakdown'!K:K,$B549,'Executive Pay Breakdown'!M:M)</f>
        <v>0</v>
      </c>
      <c r="G549" s="69">
        <f>SUMIF('Executive Pay Breakdown'!O:O,$B549,'Executive Pay Breakdown'!Q:Q)</f>
        <v>0</v>
      </c>
      <c r="H549" s="69">
        <f>SUMIF('Executive Pay Breakdown'!S:S,$B549,'Executive Pay Breakdown'!U:U)</f>
        <v>0</v>
      </c>
      <c r="I549" s="69">
        <f>SUMIF('Executive Pay Breakdown'!W:W,$B549,'Executive Pay Breakdown'!Y:Y)</f>
        <v>1796076</v>
      </c>
      <c r="J549" s="69">
        <f>SUMIF('Executive Pay Breakdown'!AA:AA,$B549,'Executive Pay Breakdown'!AC:AC)</f>
        <v>0</v>
      </c>
      <c r="K549" s="90"/>
      <c r="L549" s="212"/>
      <c r="M549" s="87"/>
      <c r="N549" s="87"/>
      <c r="O549" s="120">
        <f>MATCH(C549,'Key Findings'!B:B,0)</f>
        <v>58</v>
      </c>
    </row>
    <row r="550">
      <c r="A550" s="62"/>
      <c r="B550" s="86" t="s">
        <v>665</v>
      </c>
      <c r="C550" s="87" t="s">
        <v>37</v>
      </c>
      <c r="D550" s="89">
        <f>SUMIF('Executive Pay Breakdown'!K:K,$B550,'Executive Pay Breakdown'!M:M)+SUMIF('Executive Pay Breakdown'!O:O,$B550,'Executive Pay Breakdown'!Q:Q)+SUMIF('Executive Pay Breakdown'!S:S,$B550,'Executive Pay Breakdown'!U:U)+SUMIF('Executive Pay Breakdown'!W:W,$B550,'Executive Pay Breakdown'!Y:Y)+SUMIF('Executive Pay Breakdown'!AA:AA,$B550,'Executive Pay Breakdown'!AC:AC)</f>
        <v>1752243</v>
      </c>
      <c r="E550" s="109"/>
      <c r="F550" s="69">
        <f>SUMIF('Executive Pay Breakdown'!K:K,$B550,'Executive Pay Breakdown'!M:M)</f>
        <v>1752243</v>
      </c>
      <c r="G550" s="69">
        <f>SUMIF('Executive Pay Breakdown'!O:O,$B550,'Executive Pay Breakdown'!Q:Q)</f>
        <v>0</v>
      </c>
      <c r="H550" s="69">
        <f>SUMIF('Executive Pay Breakdown'!S:S,$B550,'Executive Pay Breakdown'!U:U)</f>
        <v>0</v>
      </c>
      <c r="I550" s="69">
        <f>SUMIF('Executive Pay Breakdown'!W:W,$B550,'Executive Pay Breakdown'!Y:Y)</f>
        <v>0</v>
      </c>
      <c r="J550" s="69">
        <f>SUMIF('Executive Pay Breakdown'!AA:AA,$B550,'Executive Pay Breakdown'!AC:AC)</f>
        <v>0</v>
      </c>
      <c r="K550" s="90"/>
      <c r="L550" s="212"/>
      <c r="M550" s="87"/>
      <c r="N550" s="230"/>
      <c r="O550" s="120">
        <f>MATCH(C550,'Key Findings'!B:B,0)</f>
        <v>44</v>
      </c>
    </row>
    <row r="551">
      <c r="A551" s="81"/>
      <c r="B551" s="137" t="s">
        <v>659</v>
      </c>
      <c r="C551" s="87" t="str">
        <f t="array" ref="C551">INDEX('Executive Pay Breakdown'!B:B,MATCH(B551,'Executive Pay Breakdown'!AA:AA,0))</f>
        <v>Reinsurance Group of America</v>
      </c>
      <c r="D551" s="89">
        <f>SUMIF('Executive Pay Breakdown'!K:K,$B551,'Executive Pay Breakdown'!M:M)+SUMIF('Executive Pay Breakdown'!O:O,$B551,'Executive Pay Breakdown'!Q:Q)+SUMIF('Executive Pay Breakdown'!S:S,$B551,'Executive Pay Breakdown'!U:U)+SUMIF('Executive Pay Breakdown'!W:W,$B551,'Executive Pay Breakdown'!Y:Y)+SUMIF('Executive Pay Breakdown'!AA:AA,$B551,'Executive Pay Breakdown'!AC:AC)</f>
        <v>1740674</v>
      </c>
      <c r="E551" s="109"/>
      <c r="F551" s="69">
        <f>SUMIF('Executive Pay Breakdown'!K:K,$B551,'Executive Pay Breakdown'!M:M)</f>
        <v>0</v>
      </c>
      <c r="G551" s="69">
        <f>SUMIF('Executive Pay Breakdown'!O:O,$B551,'Executive Pay Breakdown'!Q:Q)</f>
        <v>0</v>
      </c>
      <c r="H551" s="69">
        <f>SUMIF('Executive Pay Breakdown'!S:S,$B551,'Executive Pay Breakdown'!U:U)</f>
        <v>0</v>
      </c>
      <c r="I551" s="69">
        <f>SUMIF('Executive Pay Breakdown'!W:W,$B551,'Executive Pay Breakdown'!Y:Y)</f>
        <v>0</v>
      </c>
      <c r="J551" s="69">
        <f>SUMIF('Executive Pay Breakdown'!AA:AA,$B551,'Executive Pay Breakdown'!AC:AC)</f>
        <v>1740674</v>
      </c>
      <c r="K551" s="90"/>
      <c r="L551" s="212"/>
      <c r="M551" s="87"/>
      <c r="N551" s="230"/>
      <c r="O551" s="120">
        <f>MATCH(C551,'Key Findings'!B:B,0)</f>
        <v>9</v>
      </c>
    </row>
    <row r="552">
      <c r="A552" s="71"/>
      <c r="B552" s="124" t="s">
        <v>669</v>
      </c>
      <c r="C552" s="87" t="s">
        <v>58</v>
      </c>
      <c r="D552" s="89">
        <f>SUMIF('Executive Pay Breakdown'!K:K,$B552,'Executive Pay Breakdown'!M:M)+SUMIF('Executive Pay Breakdown'!O:O,$B552,'Executive Pay Breakdown'!Q:Q)+SUMIF('Executive Pay Breakdown'!S:S,$B552,'Executive Pay Breakdown'!U:U)+SUMIF('Executive Pay Breakdown'!W:W,$B552,'Executive Pay Breakdown'!Y:Y)+SUMIF('Executive Pay Breakdown'!AA:AA,$B552,'Executive Pay Breakdown'!AC:AC)</f>
        <v>1610608</v>
      </c>
      <c r="E552" s="109"/>
      <c r="F552" s="69">
        <f>SUMIF('Executive Pay Breakdown'!K:K,$B552,'Executive Pay Breakdown'!M:M)</f>
        <v>1610608</v>
      </c>
      <c r="G552" s="69">
        <f>SUMIF('Executive Pay Breakdown'!O:O,$B552,'Executive Pay Breakdown'!Q:Q)</f>
        <v>0</v>
      </c>
      <c r="H552" s="69">
        <f>SUMIF('Executive Pay Breakdown'!S:S,$B552,'Executive Pay Breakdown'!U:U)</f>
        <v>0</v>
      </c>
      <c r="I552" s="69">
        <f>SUMIF('Executive Pay Breakdown'!W:W,$B552,'Executive Pay Breakdown'!Y:Y)</f>
        <v>0</v>
      </c>
      <c r="J552" s="69">
        <f>SUMIF('Executive Pay Breakdown'!AA:AA,$B552,'Executive Pay Breakdown'!AC:AC)</f>
        <v>0</v>
      </c>
      <c r="K552" s="90"/>
      <c r="L552" s="212"/>
      <c r="M552" s="87"/>
      <c r="N552" s="230"/>
      <c r="O552" s="120">
        <f>MATCH(C552,'Key Findings'!B:B,0)</f>
        <v>27</v>
      </c>
    </row>
    <row r="553">
      <c r="A553" s="62"/>
      <c r="B553" s="86" t="s">
        <v>652</v>
      </c>
      <c r="C553" s="87" t="s">
        <v>42</v>
      </c>
      <c r="D553" s="89">
        <f>SUMIF('Executive Pay Breakdown'!K:K,$B553,'Executive Pay Breakdown'!M:M)+SUMIF('Executive Pay Breakdown'!O:O,$B553,'Executive Pay Breakdown'!Q:Q)+SUMIF('Executive Pay Breakdown'!S:S,$B553,'Executive Pay Breakdown'!U:U)+SUMIF('Executive Pay Breakdown'!W:W,$B553,'Executive Pay Breakdown'!Y:Y)+SUMIF('Executive Pay Breakdown'!AA:AA,$B553,'Executive Pay Breakdown'!AC:AC)</f>
        <v>1539374</v>
      </c>
      <c r="E553" s="109"/>
      <c r="F553" s="69">
        <f>SUMIF('Executive Pay Breakdown'!K:K,$B553,'Executive Pay Breakdown'!M:M)</f>
        <v>1539374</v>
      </c>
      <c r="G553" s="69">
        <f>SUMIF('Executive Pay Breakdown'!O:O,$B553,'Executive Pay Breakdown'!Q:Q)</f>
        <v>0</v>
      </c>
      <c r="H553" s="69">
        <f>SUMIF('Executive Pay Breakdown'!S:S,$B553,'Executive Pay Breakdown'!U:U)</f>
        <v>0</v>
      </c>
      <c r="I553" s="69">
        <f>SUMIF('Executive Pay Breakdown'!W:W,$B553,'Executive Pay Breakdown'!Y:Y)</f>
        <v>0</v>
      </c>
      <c r="J553" s="69">
        <f>SUMIF('Executive Pay Breakdown'!AA:AA,$B553,'Executive Pay Breakdown'!AC:AC)</f>
        <v>0</v>
      </c>
      <c r="K553" s="90"/>
      <c r="L553" s="212"/>
      <c r="M553" s="87"/>
      <c r="N553" s="230"/>
      <c r="O553" s="120">
        <f>MATCH(C553,'Key Findings'!B:B,0)</f>
        <v>61</v>
      </c>
    </row>
    <row r="554">
      <c r="A554" s="62"/>
      <c r="B554" s="86" t="s">
        <v>638</v>
      </c>
      <c r="C554" s="87" t="s">
        <v>45</v>
      </c>
      <c r="D554" s="89">
        <f>SUMIF('Executive Pay Breakdown'!K:K,$B554,'Executive Pay Breakdown'!M:M)+SUMIF('Executive Pay Breakdown'!O:O,$B554,'Executive Pay Breakdown'!Q:Q)+SUMIF('Executive Pay Breakdown'!S:S,$B554,'Executive Pay Breakdown'!U:U)+SUMIF('Executive Pay Breakdown'!W:W,$B554,'Executive Pay Breakdown'!Y:Y)+SUMIF('Executive Pay Breakdown'!AA:AA,$B554,'Executive Pay Breakdown'!AC:AC)</f>
        <v>1455053</v>
      </c>
      <c r="E554" s="109"/>
      <c r="F554" s="69">
        <f>SUMIF('Executive Pay Breakdown'!K:K,$B554,'Executive Pay Breakdown'!M:M)</f>
        <v>0</v>
      </c>
      <c r="G554" s="69">
        <f>SUMIF('Executive Pay Breakdown'!O:O,$B554,'Executive Pay Breakdown'!Q:Q)</f>
        <v>0</v>
      </c>
      <c r="H554" s="69">
        <f>SUMIF('Executive Pay Breakdown'!S:S,$B554,'Executive Pay Breakdown'!U:U)</f>
        <v>0</v>
      </c>
      <c r="I554" s="69">
        <f>SUMIF('Executive Pay Breakdown'!W:W,$B554,'Executive Pay Breakdown'!Y:Y)</f>
        <v>0</v>
      </c>
      <c r="J554" s="69">
        <f>SUMIF('Executive Pay Breakdown'!AA:AA,$B554,'Executive Pay Breakdown'!AC:AC)</f>
        <v>1455053</v>
      </c>
      <c r="K554" s="90"/>
      <c r="L554" s="212"/>
      <c r="M554" s="87"/>
      <c r="N554" s="87"/>
      <c r="O554" s="120">
        <f>MATCH(C554,'Key Findings'!B:B,0)</f>
        <v>60</v>
      </c>
    </row>
    <row r="555">
      <c r="A555" s="62"/>
      <c r="B555" s="130" t="s">
        <v>670</v>
      </c>
      <c r="C555" s="87" t="s">
        <v>27</v>
      </c>
      <c r="D555" s="89">
        <f>SUMIF('Executive Pay Breakdown'!K:K,$B555,'Executive Pay Breakdown'!M:M)+SUMIF('Executive Pay Breakdown'!O:O,$B555,'Executive Pay Breakdown'!Q:Q)+SUMIF('Executive Pay Breakdown'!S:S,$B555,'Executive Pay Breakdown'!U:U)+SUMIF('Executive Pay Breakdown'!W:W,$B555,'Executive Pay Breakdown'!Y:Y)+SUMIF('Executive Pay Breakdown'!AA:AA,$B555,'Executive Pay Breakdown'!AC:AC)</f>
        <v>1442149</v>
      </c>
      <c r="E555" s="109"/>
      <c r="F555" s="69">
        <f>SUMIF('Executive Pay Breakdown'!K:K,$B555,'Executive Pay Breakdown'!M:M)</f>
        <v>0</v>
      </c>
      <c r="G555" s="69">
        <f>SUMIF('Executive Pay Breakdown'!O:O,$B555,'Executive Pay Breakdown'!Q:Q)</f>
        <v>0</v>
      </c>
      <c r="H555" s="69">
        <f>SUMIF('Executive Pay Breakdown'!S:S,$B555,'Executive Pay Breakdown'!U:U)</f>
        <v>0</v>
      </c>
      <c r="I555" s="69">
        <f>SUMIF('Executive Pay Breakdown'!W:W,$B555,'Executive Pay Breakdown'!Y:Y)</f>
        <v>0</v>
      </c>
      <c r="J555" s="69">
        <f>SUMIF('Executive Pay Breakdown'!AA:AA,$B555,'Executive Pay Breakdown'!AC:AC)</f>
        <v>1442149</v>
      </c>
      <c r="K555" s="90"/>
      <c r="L555" s="212"/>
      <c r="M555" s="87"/>
      <c r="N555" s="87"/>
      <c r="O555" s="120">
        <f>MATCH(C555,'Key Findings'!B:B,0)</f>
        <v>51</v>
      </c>
    </row>
    <row r="556">
      <c r="A556" s="62"/>
      <c r="B556" s="86" t="s">
        <v>671</v>
      </c>
      <c r="C556" s="87" t="s">
        <v>43</v>
      </c>
      <c r="D556" s="89">
        <f>SUMIF('Executive Pay Breakdown'!K:K,$B556,'Executive Pay Breakdown'!M:M)+SUMIF('Executive Pay Breakdown'!O:O,$B556,'Executive Pay Breakdown'!Q:Q)+SUMIF('Executive Pay Breakdown'!S:S,$B556,'Executive Pay Breakdown'!U:U)+SUMIF('Executive Pay Breakdown'!W:W,$B556,'Executive Pay Breakdown'!Y:Y)+SUMIF('Executive Pay Breakdown'!AA:AA,$B556,'Executive Pay Breakdown'!AC:AC)</f>
        <v>1407835</v>
      </c>
      <c r="E556" s="109"/>
      <c r="F556" s="69">
        <f>SUMIF('Executive Pay Breakdown'!K:K,$B556,'Executive Pay Breakdown'!M:M)</f>
        <v>1407835</v>
      </c>
      <c r="G556" s="69">
        <f>SUMIF('Executive Pay Breakdown'!O:O,$B556,'Executive Pay Breakdown'!Q:Q)</f>
        <v>0</v>
      </c>
      <c r="H556" s="69">
        <f>SUMIF('Executive Pay Breakdown'!S:S,$B556,'Executive Pay Breakdown'!U:U)</f>
        <v>0</v>
      </c>
      <c r="I556" s="69">
        <f>SUMIF('Executive Pay Breakdown'!W:W,$B556,'Executive Pay Breakdown'!Y:Y)</f>
        <v>0</v>
      </c>
      <c r="J556" s="69">
        <f>SUMIF('Executive Pay Breakdown'!AA:AA,$B556,'Executive Pay Breakdown'!AC:AC)</f>
        <v>0</v>
      </c>
      <c r="K556" s="90"/>
      <c r="L556" s="212"/>
      <c r="M556" s="87"/>
      <c r="N556" s="230"/>
      <c r="O556" s="120">
        <f>MATCH(C556,'Key Findings'!B:B,0)</f>
        <v>63</v>
      </c>
    </row>
    <row r="557">
      <c r="A557" s="62"/>
      <c r="B557" s="86" t="s">
        <v>668</v>
      </c>
      <c r="C557" s="87" t="s">
        <v>28</v>
      </c>
      <c r="D557" s="89">
        <f>SUMIF('Executive Pay Breakdown'!K:K,$B557,'Executive Pay Breakdown'!M:M)+SUMIF('Executive Pay Breakdown'!O:O,$B557,'Executive Pay Breakdown'!Q:Q)+SUMIF('Executive Pay Breakdown'!S:S,$B557,'Executive Pay Breakdown'!U:U)+SUMIF('Executive Pay Breakdown'!W:W,$B557,'Executive Pay Breakdown'!Y:Y)+SUMIF('Executive Pay Breakdown'!AA:AA,$B557,'Executive Pay Breakdown'!AC:AC)</f>
        <v>1397825</v>
      </c>
      <c r="E557" s="109"/>
      <c r="F557" s="69">
        <f>SUMIF('Executive Pay Breakdown'!K:K,$B557,'Executive Pay Breakdown'!M:M)</f>
        <v>0</v>
      </c>
      <c r="G557" s="69">
        <f>SUMIF('Executive Pay Breakdown'!O:O,$B557,'Executive Pay Breakdown'!Q:Q)</f>
        <v>1397825</v>
      </c>
      <c r="H557" s="69">
        <f>SUMIF('Executive Pay Breakdown'!S:S,$B557,'Executive Pay Breakdown'!U:U)</f>
        <v>0</v>
      </c>
      <c r="I557" s="69">
        <f>SUMIF('Executive Pay Breakdown'!W:W,$B557,'Executive Pay Breakdown'!Y:Y)</f>
        <v>0</v>
      </c>
      <c r="J557" s="69">
        <f>SUMIF('Executive Pay Breakdown'!AA:AA,$B557,'Executive Pay Breakdown'!AC:AC)</f>
        <v>0</v>
      </c>
      <c r="K557" s="90"/>
      <c r="L557" s="212"/>
      <c r="M557" s="212"/>
      <c r="N557" s="87"/>
      <c r="O557" s="120">
        <f>MATCH(C557,'Key Findings'!B:B,0)</f>
        <v>56</v>
      </c>
    </row>
    <row r="558">
      <c r="A558" s="62"/>
      <c r="B558" s="125" t="s">
        <v>673</v>
      </c>
      <c r="C558" s="87" t="s">
        <v>27</v>
      </c>
      <c r="D558" s="89">
        <f>SUMIF('Executive Pay Breakdown'!K:K,$B558,'Executive Pay Breakdown'!M:M)+SUMIF('Executive Pay Breakdown'!O:O,$B558,'Executive Pay Breakdown'!Q:Q)+SUMIF('Executive Pay Breakdown'!S:S,$B558,'Executive Pay Breakdown'!U:U)+SUMIF('Executive Pay Breakdown'!W:W,$B558,'Executive Pay Breakdown'!Y:Y)+SUMIF('Executive Pay Breakdown'!AA:AA,$B558,'Executive Pay Breakdown'!AC:AC)</f>
        <v>1387915</v>
      </c>
      <c r="E558" s="109"/>
      <c r="F558" s="69">
        <f>SUMIF('Executive Pay Breakdown'!K:K,$B558,'Executive Pay Breakdown'!M:M)</f>
        <v>0</v>
      </c>
      <c r="G558" s="69">
        <f>SUMIF('Executive Pay Breakdown'!O:O,$B558,'Executive Pay Breakdown'!Q:Q)</f>
        <v>0</v>
      </c>
      <c r="H558" s="69">
        <f>SUMIF('Executive Pay Breakdown'!S:S,$B558,'Executive Pay Breakdown'!U:U)</f>
        <v>1387915</v>
      </c>
      <c r="I558" s="69">
        <f>SUMIF('Executive Pay Breakdown'!W:W,$B558,'Executive Pay Breakdown'!Y:Y)</f>
        <v>0</v>
      </c>
      <c r="J558" s="69">
        <f>SUMIF('Executive Pay Breakdown'!AA:AA,$B558,'Executive Pay Breakdown'!AC:AC)</f>
        <v>0</v>
      </c>
      <c r="K558" s="90"/>
      <c r="L558" s="212"/>
      <c r="M558" s="87"/>
      <c r="N558" s="87"/>
      <c r="O558" s="120">
        <f>MATCH(C558,'Key Findings'!B:B,0)</f>
        <v>51</v>
      </c>
    </row>
    <row r="559">
      <c r="A559" s="62"/>
      <c r="B559" s="86" t="s">
        <v>674</v>
      </c>
      <c r="C559" s="87" t="s">
        <v>43</v>
      </c>
      <c r="D559" s="89">
        <f>SUMIF('Executive Pay Breakdown'!K:K,$B559,'Executive Pay Breakdown'!M:M)+SUMIF('Executive Pay Breakdown'!O:O,$B559,'Executive Pay Breakdown'!Q:Q)+SUMIF('Executive Pay Breakdown'!S:S,$B559,'Executive Pay Breakdown'!U:U)+SUMIF('Executive Pay Breakdown'!W:W,$B559,'Executive Pay Breakdown'!Y:Y)+SUMIF('Executive Pay Breakdown'!AA:AA,$B559,'Executive Pay Breakdown'!AC:AC)</f>
        <v>1327938</v>
      </c>
      <c r="E559" s="109"/>
      <c r="F559" s="69">
        <f>SUMIF('Executive Pay Breakdown'!K:K,$B559,'Executive Pay Breakdown'!M:M)</f>
        <v>0</v>
      </c>
      <c r="G559" s="69">
        <f>SUMIF('Executive Pay Breakdown'!O:O,$B559,'Executive Pay Breakdown'!Q:Q)</f>
        <v>0</v>
      </c>
      <c r="H559" s="69">
        <f>SUMIF('Executive Pay Breakdown'!S:S,$B559,'Executive Pay Breakdown'!U:U)</f>
        <v>0</v>
      </c>
      <c r="I559" s="69">
        <f>SUMIF('Executive Pay Breakdown'!W:W,$B559,'Executive Pay Breakdown'!Y:Y)</f>
        <v>0</v>
      </c>
      <c r="J559" s="69">
        <f>SUMIF('Executive Pay Breakdown'!AA:AA,$B559,'Executive Pay Breakdown'!AC:AC)</f>
        <v>1327938</v>
      </c>
      <c r="K559" s="90"/>
      <c r="L559" s="212"/>
      <c r="M559" s="87"/>
      <c r="N559" s="87"/>
      <c r="O559" s="120">
        <f>MATCH(C559,'Key Findings'!B:B,0)</f>
        <v>63</v>
      </c>
    </row>
    <row r="560">
      <c r="A560" s="62"/>
      <c r="B560" s="86" t="s">
        <v>662</v>
      </c>
      <c r="C560" s="87" t="s">
        <v>67</v>
      </c>
      <c r="D560" s="89">
        <f>SUMIF('Executive Pay Breakdown'!K:K,$B560,'Executive Pay Breakdown'!M:M)+SUMIF('Executive Pay Breakdown'!O:O,$B560,'Executive Pay Breakdown'!Q:Q)+SUMIF('Executive Pay Breakdown'!S:S,$B560,'Executive Pay Breakdown'!U:U)+SUMIF('Executive Pay Breakdown'!W:W,$B560,'Executive Pay Breakdown'!Y:Y)+SUMIF('Executive Pay Breakdown'!AA:AA,$B560,'Executive Pay Breakdown'!AC:AC)</f>
        <v>1261668</v>
      </c>
      <c r="E560" s="109"/>
      <c r="F560" s="69">
        <f>SUMIF('Executive Pay Breakdown'!K:K,$B560,'Executive Pay Breakdown'!M:M)</f>
        <v>0</v>
      </c>
      <c r="G560" s="69">
        <f>SUMIF('Executive Pay Breakdown'!O:O,$B560,'Executive Pay Breakdown'!Q:Q)</f>
        <v>0</v>
      </c>
      <c r="H560" s="69">
        <f>SUMIF('Executive Pay Breakdown'!S:S,$B560,'Executive Pay Breakdown'!U:U)</f>
        <v>1261668</v>
      </c>
      <c r="I560" s="69">
        <f>SUMIF('Executive Pay Breakdown'!W:W,$B560,'Executive Pay Breakdown'!Y:Y)</f>
        <v>0</v>
      </c>
      <c r="J560" s="69">
        <f>SUMIF('Executive Pay Breakdown'!AA:AA,$B560,'Executive Pay Breakdown'!AC:AC)</f>
        <v>0</v>
      </c>
      <c r="K560" s="90"/>
      <c r="L560" s="212"/>
      <c r="M560" s="87"/>
      <c r="N560" s="87"/>
      <c r="O560" s="120">
        <f>MATCH(C560,'Key Findings'!B:B,0)</f>
        <v>64</v>
      </c>
    </row>
    <row r="561">
      <c r="A561" s="62"/>
      <c r="B561" s="116" t="s">
        <v>675</v>
      </c>
      <c r="C561" s="87" t="s">
        <v>51</v>
      </c>
      <c r="D561" s="89">
        <f>SUMIF('Executive Pay Breakdown'!K:K,$B561,'Executive Pay Breakdown'!M:M)+SUMIF('Executive Pay Breakdown'!O:O,$B561,'Executive Pay Breakdown'!Q:Q)+SUMIF('Executive Pay Breakdown'!S:S,$B561,'Executive Pay Breakdown'!U:U)+SUMIF('Executive Pay Breakdown'!W:W,$B561,'Executive Pay Breakdown'!Y:Y)+SUMIF('Executive Pay Breakdown'!AA:AA,$B561,'Executive Pay Breakdown'!AC:AC)</f>
        <v>1241499</v>
      </c>
      <c r="E561" s="109"/>
      <c r="F561" s="69">
        <f>SUMIF('Executive Pay Breakdown'!K:K,$B561,'Executive Pay Breakdown'!M:M)</f>
        <v>0</v>
      </c>
      <c r="G561" s="69">
        <f>SUMIF('Executive Pay Breakdown'!O:O,$B561,'Executive Pay Breakdown'!Q:Q)</f>
        <v>0</v>
      </c>
      <c r="H561" s="69">
        <f>SUMIF('Executive Pay Breakdown'!S:S,$B561,'Executive Pay Breakdown'!U:U)</f>
        <v>0</v>
      </c>
      <c r="I561" s="69">
        <f>SUMIF('Executive Pay Breakdown'!W:W,$B561,'Executive Pay Breakdown'!Y:Y)</f>
        <v>0</v>
      </c>
      <c r="J561" s="69">
        <f>SUMIF('Executive Pay Breakdown'!AA:AA,$B561,'Executive Pay Breakdown'!AC:AC)</f>
        <v>1241499</v>
      </c>
      <c r="K561" s="90"/>
      <c r="L561" s="212"/>
      <c r="M561" s="87"/>
      <c r="N561" s="87"/>
      <c r="O561" s="120">
        <f>MATCH(C561,'Key Findings'!B:B,0)</f>
        <v>16</v>
      </c>
    </row>
    <row r="562">
      <c r="A562" s="62"/>
      <c r="B562" s="86" t="s">
        <v>664</v>
      </c>
      <c r="C562" s="87" t="s">
        <v>67</v>
      </c>
      <c r="D562" s="89">
        <f>SUMIF('Executive Pay Breakdown'!K:K,$B562,'Executive Pay Breakdown'!M:M)+SUMIF('Executive Pay Breakdown'!O:O,$B562,'Executive Pay Breakdown'!Q:Q)+SUMIF('Executive Pay Breakdown'!S:S,$B562,'Executive Pay Breakdown'!U:U)+SUMIF('Executive Pay Breakdown'!W:W,$B562,'Executive Pay Breakdown'!Y:Y)+SUMIF('Executive Pay Breakdown'!AA:AA,$B562,'Executive Pay Breakdown'!AC:AC)</f>
        <v>1209299</v>
      </c>
      <c r="E562" s="109"/>
      <c r="F562" s="69">
        <f>SUMIF('Executive Pay Breakdown'!K:K,$B562,'Executive Pay Breakdown'!M:M)</f>
        <v>0</v>
      </c>
      <c r="G562" s="69">
        <f>SUMIF('Executive Pay Breakdown'!O:O,$B562,'Executive Pay Breakdown'!Q:Q)</f>
        <v>0</v>
      </c>
      <c r="H562" s="69">
        <f>SUMIF('Executive Pay Breakdown'!S:S,$B562,'Executive Pay Breakdown'!U:U)</f>
        <v>1209299</v>
      </c>
      <c r="I562" s="69">
        <f>SUMIF('Executive Pay Breakdown'!W:W,$B562,'Executive Pay Breakdown'!Y:Y)</f>
        <v>0</v>
      </c>
      <c r="J562" s="69">
        <f>SUMIF('Executive Pay Breakdown'!AA:AA,$B562,'Executive Pay Breakdown'!AC:AC)</f>
        <v>0</v>
      </c>
      <c r="K562" s="90"/>
      <c r="L562" s="212"/>
      <c r="M562" s="87"/>
      <c r="N562" s="87"/>
      <c r="O562" s="120">
        <f>MATCH(C562,'Key Findings'!B:B,0)</f>
        <v>64</v>
      </c>
    </row>
    <row r="563">
      <c r="A563" s="62"/>
      <c r="B563" s="86" t="s">
        <v>667</v>
      </c>
      <c r="C563" s="87" t="s">
        <v>67</v>
      </c>
      <c r="D563" s="89">
        <f>SUMIF('Executive Pay Breakdown'!K:K,$B563,'Executive Pay Breakdown'!M:M)+SUMIF('Executive Pay Breakdown'!O:O,$B563,'Executive Pay Breakdown'!Q:Q)+SUMIF('Executive Pay Breakdown'!S:S,$B563,'Executive Pay Breakdown'!U:U)+SUMIF('Executive Pay Breakdown'!W:W,$B563,'Executive Pay Breakdown'!Y:Y)+SUMIF('Executive Pay Breakdown'!AA:AA,$B563,'Executive Pay Breakdown'!AC:AC)</f>
        <v>1075467</v>
      </c>
      <c r="E563" s="109"/>
      <c r="F563" s="69">
        <f>SUMIF('Executive Pay Breakdown'!K:K,$B563,'Executive Pay Breakdown'!M:M)</f>
        <v>0</v>
      </c>
      <c r="G563" s="69">
        <f>SUMIF('Executive Pay Breakdown'!O:O,$B563,'Executive Pay Breakdown'!Q:Q)</f>
        <v>1075467</v>
      </c>
      <c r="H563" s="69">
        <f>SUMIF('Executive Pay Breakdown'!S:S,$B563,'Executive Pay Breakdown'!U:U)</f>
        <v>0</v>
      </c>
      <c r="I563" s="69">
        <f>SUMIF('Executive Pay Breakdown'!W:W,$B563,'Executive Pay Breakdown'!Y:Y)</f>
        <v>0</v>
      </c>
      <c r="J563" s="69">
        <f>SUMIF('Executive Pay Breakdown'!AA:AA,$B563,'Executive Pay Breakdown'!AC:AC)</f>
        <v>0</v>
      </c>
      <c r="K563" s="90"/>
      <c r="L563" s="212"/>
      <c r="M563" s="212"/>
      <c r="N563" s="87"/>
      <c r="O563" s="120">
        <f>MATCH(C563,'Key Findings'!B:B,0)</f>
        <v>64</v>
      </c>
    </row>
    <row r="564">
      <c r="A564" s="62"/>
      <c r="B564" s="127" t="s">
        <v>656</v>
      </c>
      <c r="C564" s="87" t="s">
        <v>17</v>
      </c>
      <c r="D564" s="89">
        <f>SUMIF('Executive Pay Breakdown'!K:K,$B564,'Executive Pay Breakdown'!M:M)+SUMIF('Executive Pay Breakdown'!O:O,$B564,'Executive Pay Breakdown'!Q:Q)+SUMIF('Executive Pay Breakdown'!S:S,$B564,'Executive Pay Breakdown'!U:U)+SUMIF('Executive Pay Breakdown'!W:W,$B564,'Executive Pay Breakdown'!Y:Y)+SUMIF('Executive Pay Breakdown'!AA:AA,$B564,'Executive Pay Breakdown'!AC:AC)</f>
        <v>1018673</v>
      </c>
      <c r="E564" s="109"/>
      <c r="F564" s="69">
        <f>SUMIF('Executive Pay Breakdown'!K:K,$B564,'Executive Pay Breakdown'!M:M)</f>
        <v>0</v>
      </c>
      <c r="G564" s="69">
        <f>SUMIF('Executive Pay Breakdown'!O:O,$B564,'Executive Pay Breakdown'!Q:Q)</f>
        <v>0</v>
      </c>
      <c r="H564" s="69">
        <f>SUMIF('Executive Pay Breakdown'!S:S,$B564,'Executive Pay Breakdown'!U:U)</f>
        <v>0</v>
      </c>
      <c r="I564" s="69">
        <f>SUMIF('Executive Pay Breakdown'!W:W,$B564,'Executive Pay Breakdown'!Y:Y)</f>
        <v>1018673</v>
      </c>
      <c r="J564" s="69">
        <f>SUMIF('Executive Pay Breakdown'!AA:AA,$B564,'Executive Pay Breakdown'!AC:AC)</f>
        <v>0</v>
      </c>
      <c r="K564" s="90"/>
      <c r="L564" s="212"/>
      <c r="M564" s="87"/>
      <c r="N564" s="87"/>
      <c r="O564" s="120">
        <f>MATCH(C564,'Key Findings'!B:B,0)</f>
        <v>36</v>
      </c>
    </row>
    <row r="565">
      <c r="A565" s="62"/>
      <c r="B565" s="127" t="s">
        <v>677</v>
      </c>
      <c r="C565" s="87" t="s">
        <v>20</v>
      </c>
      <c r="D565" s="89">
        <f>SUMIF('Executive Pay Breakdown'!K:K,$B565,'Executive Pay Breakdown'!M:M)+SUMIF('Executive Pay Breakdown'!O:O,$B565,'Executive Pay Breakdown'!Q:Q)+SUMIF('Executive Pay Breakdown'!S:S,$B565,'Executive Pay Breakdown'!U:U)+SUMIF('Executive Pay Breakdown'!W:W,$B565,'Executive Pay Breakdown'!Y:Y)+SUMIF('Executive Pay Breakdown'!AA:AA,$B565,'Executive Pay Breakdown'!AC:AC)</f>
        <v>520768</v>
      </c>
      <c r="E565" s="109"/>
      <c r="F565" s="69">
        <f>SUMIF('Executive Pay Breakdown'!K:K,$B565,'Executive Pay Breakdown'!M:M)</f>
        <v>520768</v>
      </c>
      <c r="G565" s="69">
        <f>SUMIF('Executive Pay Breakdown'!O:O,$B565,'Executive Pay Breakdown'!Q:Q)</f>
        <v>0</v>
      </c>
      <c r="H565" s="69">
        <f>SUMIF('Executive Pay Breakdown'!S:S,$B565,'Executive Pay Breakdown'!U:U)</f>
        <v>0</v>
      </c>
      <c r="I565" s="69">
        <f>SUMIF('Executive Pay Breakdown'!W:W,$B565,'Executive Pay Breakdown'!Y:Y)</f>
        <v>0</v>
      </c>
      <c r="J565" s="69">
        <f>SUMIF('Executive Pay Breakdown'!AA:AA,$B565,'Executive Pay Breakdown'!AC:AC)</f>
        <v>0</v>
      </c>
      <c r="K565" s="90"/>
      <c r="L565" s="212"/>
      <c r="M565" s="87"/>
      <c r="N565" s="230"/>
      <c r="O565" s="120">
        <f>MATCH(C565,'Key Findings'!B:B,0)</f>
        <v>38</v>
      </c>
    </row>
    <row r="566">
      <c r="A566" s="62"/>
      <c r="B566" s="127" t="s">
        <v>676</v>
      </c>
      <c r="C566" s="87" t="s">
        <v>17</v>
      </c>
      <c r="D566" s="89">
        <f>SUMIF('Executive Pay Breakdown'!K:K,$B566,'Executive Pay Breakdown'!M:M)+SUMIF('Executive Pay Breakdown'!O:O,$B566,'Executive Pay Breakdown'!Q:Q)+SUMIF('Executive Pay Breakdown'!S:S,$B566,'Executive Pay Breakdown'!U:U)+SUMIF('Executive Pay Breakdown'!W:W,$B566,'Executive Pay Breakdown'!Y:Y)+SUMIF('Executive Pay Breakdown'!AA:AA,$B566,'Executive Pay Breakdown'!AC:AC)</f>
        <v>358704</v>
      </c>
      <c r="E566" s="109"/>
      <c r="F566" s="69">
        <f>SUMIF('Executive Pay Breakdown'!K:K,$B566,'Executive Pay Breakdown'!M:M)</f>
        <v>0</v>
      </c>
      <c r="G566" s="69">
        <f>SUMIF('Executive Pay Breakdown'!O:O,$B566,'Executive Pay Breakdown'!Q:Q)</f>
        <v>0</v>
      </c>
      <c r="H566" s="69">
        <f>SUMIF('Executive Pay Breakdown'!S:S,$B566,'Executive Pay Breakdown'!U:U)</f>
        <v>0</v>
      </c>
      <c r="I566" s="69">
        <f>SUMIF('Executive Pay Breakdown'!W:W,$B566,'Executive Pay Breakdown'!Y:Y)</f>
        <v>0</v>
      </c>
      <c r="J566" s="69">
        <f>SUMIF('Executive Pay Breakdown'!AA:AA,$B566,'Executive Pay Breakdown'!AC:AC)</f>
        <v>358704</v>
      </c>
      <c r="K566" s="90"/>
      <c r="L566" s="212"/>
      <c r="M566" s="87"/>
      <c r="N566" s="87"/>
      <c r="O566" s="120">
        <f>MATCH(C566,'Key Findings'!B:B,0)</f>
        <v>36</v>
      </c>
    </row>
    <row r="567" hidden="1">
      <c r="A567" s="62"/>
      <c r="B567" s="86" t="s">
        <v>726</v>
      </c>
      <c r="C567" s="87" t="s">
        <v>727</v>
      </c>
      <c r="D567" s="89">
        <f>SUMIF('Executive Pay Breakdown'!K:K,$B567,'Executive Pay Breakdown'!M:M)+SUMIF('Executive Pay Breakdown'!O:O,$B567,'Executive Pay Breakdown'!Q:Q)+SUMIF('Executive Pay Breakdown'!S:S,$B567,'Executive Pay Breakdown'!U:U)+SUMIF('Executive Pay Breakdown'!W:W,$B567,'Executive Pay Breakdown'!Y:Y)+SUMIF('Executive Pay Breakdown'!AA:AA,$B567,'Executive Pay Breakdown'!AC:AC)</f>
        <v>44726318</v>
      </c>
      <c r="E567" s="109"/>
      <c r="F567" s="69">
        <f>SUMIF('Executive Pay Breakdown'!K:K,$B567,'Executive Pay Breakdown'!M:M)</f>
        <v>10207641</v>
      </c>
      <c r="G567" s="69">
        <f>SUMIF('Executive Pay Breakdown'!O:O,$B567,'Executive Pay Breakdown'!Q:Q)</f>
        <v>9054252</v>
      </c>
      <c r="H567" s="69">
        <f>SUMIF('Executive Pay Breakdown'!S:S,$B567,'Executive Pay Breakdown'!U:U)</f>
        <v>9038341</v>
      </c>
      <c r="I567" s="69">
        <f>SUMIF('Executive Pay Breakdown'!W:W,$B567,'Executive Pay Breakdown'!Y:Y)</f>
        <v>7648588</v>
      </c>
      <c r="J567" s="69">
        <f>SUMIF('Executive Pay Breakdown'!AA:AA,$B567,'Executive Pay Breakdown'!AC:AC)</f>
        <v>8777496</v>
      </c>
      <c r="K567" s="90"/>
      <c r="L567" s="212"/>
      <c r="M567" s="87"/>
      <c r="N567" s="230">
        <f t="shared" ref="N567:N569" si="39">F567/J567-1</f>
        <v>0.1629331418</v>
      </c>
      <c r="O567" s="120" t="str">
        <f>MATCH(C567,'Key Findings'!B:B,0)</f>
        <v>#N/A</v>
      </c>
    </row>
    <row r="568" hidden="1">
      <c r="A568" s="62"/>
      <c r="B568" s="86" t="s">
        <v>728</v>
      </c>
      <c r="C568" s="87" t="s">
        <v>727</v>
      </c>
      <c r="D568" s="89">
        <f>SUMIF('Executive Pay Breakdown'!K:K,$B568,'Executive Pay Breakdown'!M:M)+SUMIF('Executive Pay Breakdown'!O:O,$B568,'Executive Pay Breakdown'!Q:Q)+SUMIF('Executive Pay Breakdown'!S:S,$B568,'Executive Pay Breakdown'!U:U)+SUMIF('Executive Pay Breakdown'!W:W,$B568,'Executive Pay Breakdown'!Y:Y)+SUMIF('Executive Pay Breakdown'!AA:AA,$B568,'Executive Pay Breakdown'!AC:AC)</f>
        <v>20444687</v>
      </c>
      <c r="E568" s="109"/>
      <c r="F568" s="69">
        <f>SUMIF('Executive Pay Breakdown'!K:K,$B568,'Executive Pay Breakdown'!M:M)</f>
        <v>4472099</v>
      </c>
      <c r="G568" s="69">
        <f>SUMIF('Executive Pay Breakdown'!O:O,$B568,'Executive Pay Breakdown'!Q:Q)</f>
        <v>4256000</v>
      </c>
      <c r="H568" s="69">
        <f>SUMIF('Executive Pay Breakdown'!S:S,$B568,'Executive Pay Breakdown'!U:U)</f>
        <v>4245342</v>
      </c>
      <c r="I568" s="69">
        <f>SUMIF('Executive Pay Breakdown'!W:W,$B568,'Executive Pay Breakdown'!Y:Y)</f>
        <v>3696100</v>
      </c>
      <c r="J568" s="69">
        <f>SUMIF('Executive Pay Breakdown'!AA:AA,$B568,'Executive Pay Breakdown'!AC:AC)</f>
        <v>3775146</v>
      </c>
      <c r="K568" s="90"/>
      <c r="L568" s="212"/>
      <c r="M568" s="87"/>
      <c r="N568" s="230">
        <f t="shared" si="39"/>
        <v>0.1846161711</v>
      </c>
      <c r="O568" s="120" t="str">
        <f>MATCH(C568,'Key Findings'!B:B,0)</f>
        <v>#N/A</v>
      </c>
    </row>
    <row r="569" hidden="1">
      <c r="A569" s="62"/>
      <c r="B569" s="86" t="s">
        <v>729</v>
      </c>
      <c r="C569" s="87" t="s">
        <v>727</v>
      </c>
      <c r="D569" s="89">
        <f>SUMIF('Executive Pay Breakdown'!K:K,$B569,'Executive Pay Breakdown'!M:M)+SUMIF('Executive Pay Breakdown'!O:O,$B569,'Executive Pay Breakdown'!Q:Q)+SUMIF('Executive Pay Breakdown'!S:S,$B569,'Executive Pay Breakdown'!U:U)+SUMIF('Executive Pay Breakdown'!W:W,$B569,'Executive Pay Breakdown'!Y:Y)+SUMIF('Executive Pay Breakdown'!AA:AA,$B569,'Executive Pay Breakdown'!AC:AC)</f>
        <v>9863138</v>
      </c>
      <c r="E569" s="109"/>
      <c r="F569" s="69">
        <f>SUMIF('Executive Pay Breakdown'!K:K,$B569,'Executive Pay Breakdown'!M:M)</f>
        <v>2704548</v>
      </c>
      <c r="G569" s="69">
        <f>SUMIF('Executive Pay Breakdown'!O:O,$B569,'Executive Pay Breakdown'!Q:Q)</f>
        <v>2523040</v>
      </c>
      <c r="H569" s="69">
        <f>SUMIF('Executive Pay Breakdown'!S:S,$B569,'Executive Pay Breakdown'!U:U)</f>
        <v>2296691</v>
      </c>
      <c r="I569" s="69">
        <f>SUMIF('Executive Pay Breakdown'!W:W,$B569,'Executive Pay Breakdown'!Y:Y)</f>
        <v>1326744</v>
      </c>
      <c r="J569" s="69">
        <f>SUMIF('Executive Pay Breakdown'!AA:AA,$B569,'Executive Pay Breakdown'!AC:AC)</f>
        <v>1012115</v>
      </c>
      <c r="K569" s="90"/>
      <c r="L569" s="212"/>
      <c r="M569" s="87"/>
      <c r="N569" s="230">
        <f t="shared" si="39"/>
        <v>1.672174605</v>
      </c>
      <c r="O569" s="120" t="str">
        <f>MATCH(C569,'Key Findings'!B:B,0)</f>
        <v>#N/A</v>
      </c>
    </row>
    <row r="570" hidden="1">
      <c r="A570" s="62"/>
      <c r="B570" s="86" t="s">
        <v>730</v>
      </c>
      <c r="C570" s="87" t="s">
        <v>727</v>
      </c>
      <c r="D570" s="89">
        <f>SUMIF('Executive Pay Breakdown'!K:K,$B570,'Executive Pay Breakdown'!M:M)+SUMIF('Executive Pay Breakdown'!O:O,$B570,'Executive Pay Breakdown'!Q:Q)+SUMIF('Executive Pay Breakdown'!S:S,$B570,'Executive Pay Breakdown'!U:U)+SUMIF('Executive Pay Breakdown'!W:W,$B570,'Executive Pay Breakdown'!Y:Y)+SUMIF('Executive Pay Breakdown'!AA:AA,$B570,'Executive Pay Breakdown'!AC:AC)</f>
        <v>5928980</v>
      </c>
      <c r="E570" s="109"/>
      <c r="F570" s="69">
        <f>SUMIF('Executive Pay Breakdown'!K:K,$B570,'Executive Pay Breakdown'!M:M)</f>
        <v>0</v>
      </c>
      <c r="G570" s="69">
        <f>SUMIF('Executive Pay Breakdown'!O:O,$B570,'Executive Pay Breakdown'!Q:Q)</f>
        <v>0</v>
      </c>
      <c r="H570" s="69">
        <f>SUMIF('Executive Pay Breakdown'!S:S,$B570,'Executive Pay Breakdown'!U:U)</f>
        <v>0</v>
      </c>
      <c r="I570" s="69">
        <f>SUMIF('Executive Pay Breakdown'!W:W,$B570,'Executive Pay Breakdown'!Y:Y)</f>
        <v>2715791</v>
      </c>
      <c r="J570" s="69">
        <f>SUMIF('Executive Pay Breakdown'!AA:AA,$B570,'Executive Pay Breakdown'!AC:AC)</f>
        <v>3213189</v>
      </c>
      <c r="K570" s="90"/>
      <c r="L570" s="212"/>
      <c r="M570" s="87"/>
      <c r="N570" s="87"/>
      <c r="O570" s="120" t="str">
        <f>MATCH(C570,'Key Findings'!B:B,0)</f>
        <v>#N/A</v>
      </c>
    </row>
    <row r="571" hidden="1">
      <c r="A571" s="62"/>
      <c r="B571" s="86" t="s">
        <v>731</v>
      </c>
      <c r="C571" s="87" t="s">
        <v>727</v>
      </c>
      <c r="D571" s="89">
        <f>SUMIF('Executive Pay Breakdown'!K:K,$B571,'Executive Pay Breakdown'!M:M)+SUMIF('Executive Pay Breakdown'!O:O,$B571,'Executive Pay Breakdown'!Q:Q)+SUMIF('Executive Pay Breakdown'!S:S,$B571,'Executive Pay Breakdown'!U:U)+SUMIF('Executive Pay Breakdown'!W:W,$B571,'Executive Pay Breakdown'!Y:Y)+SUMIF('Executive Pay Breakdown'!AA:AA,$B571,'Executive Pay Breakdown'!AC:AC)</f>
        <v>5357409</v>
      </c>
      <c r="E571" s="109"/>
      <c r="F571" s="69">
        <f>SUMIF('Executive Pay Breakdown'!K:K,$B571,'Executive Pay Breakdown'!M:M)</f>
        <v>0</v>
      </c>
      <c r="G571" s="69">
        <f>SUMIF('Executive Pay Breakdown'!O:O,$B571,'Executive Pay Breakdown'!Q:Q)</f>
        <v>0</v>
      </c>
      <c r="H571" s="69">
        <f>SUMIF('Executive Pay Breakdown'!S:S,$B571,'Executive Pay Breakdown'!U:U)</f>
        <v>1552213</v>
      </c>
      <c r="I571" s="69">
        <f>SUMIF('Executive Pay Breakdown'!W:W,$B571,'Executive Pay Breakdown'!Y:Y)</f>
        <v>1848515</v>
      </c>
      <c r="J571" s="69">
        <f>SUMIF('Executive Pay Breakdown'!AA:AA,$B571,'Executive Pay Breakdown'!AC:AC)</f>
        <v>1956681</v>
      </c>
      <c r="K571" s="90"/>
      <c r="L571" s="212"/>
      <c r="M571" s="87"/>
      <c r="N571" s="87"/>
      <c r="O571" s="120" t="str">
        <f>MATCH(C571,'Key Findings'!B:B,0)</f>
        <v>#N/A</v>
      </c>
    </row>
    <row r="572" hidden="1">
      <c r="A572" s="62"/>
      <c r="B572" s="86" t="s">
        <v>732</v>
      </c>
      <c r="C572" s="87" t="s">
        <v>727</v>
      </c>
      <c r="D572" s="89">
        <f>SUMIF('Executive Pay Breakdown'!K:K,$B572,'Executive Pay Breakdown'!M:M)+SUMIF('Executive Pay Breakdown'!O:O,$B572,'Executive Pay Breakdown'!Q:Q)+SUMIF('Executive Pay Breakdown'!S:S,$B572,'Executive Pay Breakdown'!U:U)+SUMIF('Executive Pay Breakdown'!W:W,$B572,'Executive Pay Breakdown'!Y:Y)+SUMIF('Executive Pay Breakdown'!AA:AA,$B572,'Executive Pay Breakdown'!AC:AC)</f>
        <v>3883609</v>
      </c>
      <c r="E572" s="109"/>
      <c r="F572" s="69">
        <f>SUMIF('Executive Pay Breakdown'!K:K,$B572,'Executive Pay Breakdown'!M:M)</f>
        <v>1909344</v>
      </c>
      <c r="G572" s="69">
        <f>SUMIF('Executive Pay Breakdown'!O:O,$B572,'Executive Pay Breakdown'!Q:Q)</f>
        <v>1329306</v>
      </c>
      <c r="H572" s="69">
        <f>SUMIF('Executive Pay Breakdown'!S:S,$B572,'Executive Pay Breakdown'!U:U)</f>
        <v>644959</v>
      </c>
      <c r="I572" s="69">
        <f>SUMIF('Executive Pay Breakdown'!W:W,$B572,'Executive Pay Breakdown'!Y:Y)</f>
        <v>0</v>
      </c>
      <c r="J572" s="69">
        <f>SUMIF('Executive Pay Breakdown'!AA:AA,$B572,'Executive Pay Breakdown'!AC:AC)</f>
        <v>0</v>
      </c>
      <c r="K572" s="90"/>
      <c r="L572" s="212"/>
      <c r="M572" s="87"/>
      <c r="N572" s="230"/>
      <c r="O572" s="120" t="str">
        <f>MATCH(C572,'Key Findings'!B:B,0)</f>
        <v>#N/A</v>
      </c>
    </row>
    <row r="573" hidden="1">
      <c r="A573" s="62"/>
      <c r="B573" s="86" t="s">
        <v>733</v>
      </c>
      <c r="C573" s="87" t="s">
        <v>727</v>
      </c>
      <c r="D573" s="89">
        <f>SUMIF('Executive Pay Breakdown'!K:K,$B573,'Executive Pay Breakdown'!M:M)+SUMIF('Executive Pay Breakdown'!O:O,$B573,'Executive Pay Breakdown'!Q:Q)+SUMIF('Executive Pay Breakdown'!S:S,$B573,'Executive Pay Breakdown'!U:U)+SUMIF('Executive Pay Breakdown'!W:W,$B573,'Executive Pay Breakdown'!Y:Y)+SUMIF('Executive Pay Breakdown'!AA:AA,$B573,'Executive Pay Breakdown'!AC:AC)</f>
        <v>3848814</v>
      </c>
      <c r="E573" s="109"/>
      <c r="F573" s="69">
        <f>SUMIF('Executive Pay Breakdown'!K:K,$B573,'Executive Pay Breakdown'!M:M)</f>
        <v>1909459</v>
      </c>
      <c r="G573" s="69">
        <f>SUMIF('Executive Pay Breakdown'!O:O,$B573,'Executive Pay Breakdown'!Q:Q)</f>
        <v>1319674</v>
      </c>
      <c r="H573" s="69">
        <f>SUMIF('Executive Pay Breakdown'!S:S,$B573,'Executive Pay Breakdown'!U:U)</f>
        <v>619681</v>
      </c>
      <c r="I573" s="69">
        <f>SUMIF('Executive Pay Breakdown'!W:W,$B573,'Executive Pay Breakdown'!Y:Y)</f>
        <v>0</v>
      </c>
      <c r="J573" s="69">
        <f>SUMIF('Executive Pay Breakdown'!AA:AA,$B573,'Executive Pay Breakdown'!AC:AC)</f>
        <v>0</v>
      </c>
      <c r="K573" s="90"/>
      <c r="L573" s="212"/>
      <c r="M573" s="87"/>
      <c r="N573" s="230"/>
      <c r="O573" s="120" t="str">
        <f>MATCH(C573,'Key Findings'!B:B,0)</f>
        <v>#N/A</v>
      </c>
    </row>
    <row r="574" hidden="1">
      <c r="A574" s="62"/>
      <c r="B574" s="86" t="s">
        <v>734</v>
      </c>
      <c r="C574" s="87" t="s">
        <v>727</v>
      </c>
      <c r="D574" s="89">
        <f>SUMIF('Executive Pay Breakdown'!K:K,$B574,'Executive Pay Breakdown'!M:M)+SUMIF('Executive Pay Breakdown'!O:O,$B574,'Executive Pay Breakdown'!Q:Q)+SUMIF('Executive Pay Breakdown'!S:S,$B574,'Executive Pay Breakdown'!U:U)+SUMIF('Executive Pay Breakdown'!W:W,$B574,'Executive Pay Breakdown'!Y:Y)+SUMIF('Executive Pay Breakdown'!AA:AA,$B574,'Executive Pay Breakdown'!AC:AC)</f>
        <v>2845236</v>
      </c>
      <c r="E574" s="109"/>
      <c r="F574" s="69">
        <f>SUMIF('Executive Pay Breakdown'!K:K,$B574,'Executive Pay Breakdown'!M:M)</f>
        <v>2845236</v>
      </c>
      <c r="G574" s="69">
        <f>SUMIF('Executive Pay Breakdown'!O:O,$B574,'Executive Pay Breakdown'!Q:Q)</f>
        <v>0</v>
      </c>
      <c r="H574" s="69">
        <f>SUMIF('Executive Pay Breakdown'!S:S,$B574,'Executive Pay Breakdown'!U:U)</f>
        <v>0</v>
      </c>
      <c r="I574" s="69">
        <f>SUMIF('Executive Pay Breakdown'!W:W,$B574,'Executive Pay Breakdown'!Y:Y)</f>
        <v>0</v>
      </c>
      <c r="J574" s="69">
        <f>SUMIF('Executive Pay Breakdown'!AA:AA,$B574,'Executive Pay Breakdown'!AC:AC)</f>
        <v>0</v>
      </c>
      <c r="K574" s="90"/>
      <c r="L574" s="212"/>
      <c r="M574" s="87"/>
      <c r="N574" s="230"/>
      <c r="O574" s="120" t="str">
        <f>MATCH(C574,'Key Findings'!B:B,0)</f>
        <v>#N/A</v>
      </c>
    </row>
    <row r="575" hidden="1">
      <c r="A575" s="62"/>
      <c r="B575" s="127" t="s">
        <v>735</v>
      </c>
      <c r="C575" s="87" t="s">
        <v>736</v>
      </c>
      <c r="D575" s="89">
        <f>SUMIF('Executive Pay Breakdown'!K:K,$B575,'Executive Pay Breakdown'!M:M)+SUMIF('Executive Pay Breakdown'!O:O,$B575,'Executive Pay Breakdown'!Q:Q)+SUMIF('Executive Pay Breakdown'!S:S,$B575,'Executive Pay Breakdown'!U:U)+SUMIF('Executive Pay Breakdown'!W:W,$B575,'Executive Pay Breakdown'!Y:Y)+SUMIF('Executive Pay Breakdown'!AA:AA,$B575,'Executive Pay Breakdown'!AC:AC)</f>
        <v>63880793</v>
      </c>
      <c r="E575" s="109"/>
      <c r="F575" s="69">
        <f>SUMIF('Executive Pay Breakdown'!K:K,$B575,'Executive Pay Breakdown'!M:M)</f>
        <v>12191229</v>
      </c>
      <c r="G575" s="69">
        <f>SUMIF('Executive Pay Breakdown'!O:O,$B575,'Executive Pay Breakdown'!Q:Q)</f>
        <v>14364340</v>
      </c>
      <c r="H575" s="69">
        <f>SUMIF('Executive Pay Breakdown'!S:S,$B575,'Executive Pay Breakdown'!U:U)</f>
        <v>15785999</v>
      </c>
      <c r="I575" s="69">
        <f>SUMIF('Executive Pay Breakdown'!W:W,$B575,'Executive Pay Breakdown'!Y:Y)</f>
        <v>11761702</v>
      </c>
      <c r="J575" s="69">
        <f>SUMIF('Executive Pay Breakdown'!AA:AA,$B575,'Executive Pay Breakdown'!AC:AC)</f>
        <v>9777523</v>
      </c>
      <c r="K575" s="90"/>
      <c r="L575" s="212"/>
      <c r="M575" s="87"/>
      <c r="N575" s="230">
        <f t="shared" ref="N575:N576" si="40">F575/J575-1</f>
        <v>0.2468627279</v>
      </c>
      <c r="O575" s="120" t="str">
        <f>MATCH(C575,'Key Findings'!B:B,0)</f>
        <v>#N/A</v>
      </c>
    </row>
    <row r="576" hidden="1">
      <c r="A576" s="62"/>
      <c r="B576" s="127" t="s">
        <v>737</v>
      </c>
      <c r="C576" s="87" t="s">
        <v>736</v>
      </c>
      <c r="D576" s="89">
        <f>SUMIF('Executive Pay Breakdown'!K:K,$B576,'Executive Pay Breakdown'!M:M)+SUMIF('Executive Pay Breakdown'!O:O,$B576,'Executive Pay Breakdown'!Q:Q)+SUMIF('Executive Pay Breakdown'!S:S,$B576,'Executive Pay Breakdown'!U:U)+SUMIF('Executive Pay Breakdown'!W:W,$B576,'Executive Pay Breakdown'!Y:Y)+SUMIF('Executive Pay Breakdown'!AA:AA,$B576,'Executive Pay Breakdown'!AC:AC)</f>
        <v>19463491</v>
      </c>
      <c r="E576" s="109"/>
      <c r="F576" s="69">
        <f>SUMIF('Executive Pay Breakdown'!K:K,$B576,'Executive Pay Breakdown'!M:M)</f>
        <v>3445552</v>
      </c>
      <c r="G576" s="69">
        <f>SUMIF('Executive Pay Breakdown'!O:O,$B576,'Executive Pay Breakdown'!Q:Q)</f>
        <v>4591411</v>
      </c>
      <c r="H576" s="69">
        <f>SUMIF('Executive Pay Breakdown'!S:S,$B576,'Executive Pay Breakdown'!U:U)</f>
        <v>4702231</v>
      </c>
      <c r="I576" s="69">
        <f>SUMIF('Executive Pay Breakdown'!W:W,$B576,'Executive Pay Breakdown'!Y:Y)</f>
        <v>3755630</v>
      </c>
      <c r="J576" s="69">
        <f>SUMIF('Executive Pay Breakdown'!AA:AA,$B576,'Executive Pay Breakdown'!AC:AC)</f>
        <v>2968667</v>
      </c>
      <c r="K576" s="90"/>
      <c r="L576" s="212"/>
      <c r="M576" s="87"/>
      <c r="N576" s="230">
        <f t="shared" si="40"/>
        <v>0.1606394385</v>
      </c>
      <c r="O576" s="120" t="str">
        <f>MATCH(C576,'Key Findings'!B:B,0)</f>
        <v>#N/A</v>
      </c>
    </row>
    <row r="577" hidden="1">
      <c r="A577" s="62"/>
      <c r="B577" s="127" t="s">
        <v>738</v>
      </c>
      <c r="C577" s="87" t="s">
        <v>736</v>
      </c>
      <c r="D577" s="89">
        <f>SUMIF('Executive Pay Breakdown'!K:K,$B577,'Executive Pay Breakdown'!M:M)+SUMIF('Executive Pay Breakdown'!O:O,$B577,'Executive Pay Breakdown'!Q:Q)+SUMIF('Executive Pay Breakdown'!S:S,$B577,'Executive Pay Breakdown'!U:U)+SUMIF('Executive Pay Breakdown'!W:W,$B577,'Executive Pay Breakdown'!Y:Y)+SUMIF('Executive Pay Breakdown'!AA:AA,$B577,'Executive Pay Breakdown'!AC:AC)</f>
        <v>15489916</v>
      </c>
      <c r="E577" s="109"/>
      <c r="F577" s="69">
        <f>SUMIF('Executive Pay Breakdown'!K:K,$B577,'Executive Pay Breakdown'!M:M)</f>
        <v>0</v>
      </c>
      <c r="G577" s="69">
        <f>SUMIF('Executive Pay Breakdown'!O:O,$B577,'Executive Pay Breakdown'!Q:Q)</f>
        <v>4017457</v>
      </c>
      <c r="H577" s="69">
        <f>SUMIF('Executive Pay Breakdown'!S:S,$B577,'Executive Pay Breakdown'!U:U)</f>
        <v>4751027</v>
      </c>
      <c r="I577" s="69">
        <f>SUMIF('Executive Pay Breakdown'!W:W,$B577,'Executive Pay Breakdown'!Y:Y)</f>
        <v>3633324</v>
      </c>
      <c r="J577" s="69">
        <f>SUMIF('Executive Pay Breakdown'!AA:AA,$B577,'Executive Pay Breakdown'!AC:AC)</f>
        <v>3088108</v>
      </c>
      <c r="K577" s="90"/>
      <c r="L577" s="212"/>
      <c r="M577" s="87"/>
      <c r="N577" s="87"/>
      <c r="O577" s="120" t="str">
        <f>MATCH(C577,'Key Findings'!B:B,0)</f>
        <v>#N/A</v>
      </c>
    </row>
    <row r="578" hidden="1">
      <c r="A578" s="62"/>
      <c r="B578" s="127" t="s">
        <v>739</v>
      </c>
      <c r="C578" s="87" t="s">
        <v>736</v>
      </c>
      <c r="D578" s="89">
        <f>SUMIF('Executive Pay Breakdown'!K:K,$B578,'Executive Pay Breakdown'!M:M)+SUMIF('Executive Pay Breakdown'!O:O,$B578,'Executive Pay Breakdown'!Q:Q)+SUMIF('Executive Pay Breakdown'!S:S,$B578,'Executive Pay Breakdown'!U:U)+SUMIF('Executive Pay Breakdown'!W:W,$B578,'Executive Pay Breakdown'!Y:Y)+SUMIF('Executive Pay Breakdown'!AA:AA,$B578,'Executive Pay Breakdown'!AC:AC)</f>
        <v>13183105</v>
      </c>
      <c r="E578" s="109"/>
      <c r="F578" s="69">
        <f>SUMIF('Executive Pay Breakdown'!K:K,$B578,'Executive Pay Breakdown'!M:M)</f>
        <v>2856454</v>
      </c>
      <c r="G578" s="69">
        <f>SUMIF('Executive Pay Breakdown'!O:O,$B578,'Executive Pay Breakdown'!Q:Q)</f>
        <v>2939449</v>
      </c>
      <c r="H578" s="69">
        <f>SUMIF('Executive Pay Breakdown'!S:S,$B578,'Executive Pay Breakdown'!U:U)</f>
        <v>2775419</v>
      </c>
      <c r="I578" s="69">
        <f>SUMIF('Executive Pay Breakdown'!W:W,$B578,'Executive Pay Breakdown'!Y:Y)</f>
        <v>2609613</v>
      </c>
      <c r="J578" s="69">
        <f>SUMIF('Executive Pay Breakdown'!AA:AA,$B578,'Executive Pay Breakdown'!AC:AC)</f>
        <v>2002170</v>
      </c>
      <c r="K578" s="90"/>
      <c r="L578" s="212"/>
      <c r="M578" s="87"/>
      <c r="N578" s="230">
        <f>F578/J578-1</f>
        <v>0.4266790532</v>
      </c>
      <c r="O578" s="120" t="str">
        <f>MATCH(C578,'Key Findings'!B:B,0)</f>
        <v>#N/A</v>
      </c>
    </row>
    <row r="579" hidden="1">
      <c r="A579" s="62"/>
      <c r="B579" s="127" t="s">
        <v>740</v>
      </c>
      <c r="C579" s="87" t="s">
        <v>736</v>
      </c>
      <c r="D579" s="89">
        <f>SUMIF('Executive Pay Breakdown'!K:K,$B579,'Executive Pay Breakdown'!M:M)+SUMIF('Executive Pay Breakdown'!O:O,$B579,'Executive Pay Breakdown'!Q:Q)+SUMIF('Executive Pay Breakdown'!S:S,$B579,'Executive Pay Breakdown'!U:U)+SUMIF('Executive Pay Breakdown'!W:W,$B579,'Executive Pay Breakdown'!Y:Y)+SUMIF('Executive Pay Breakdown'!AA:AA,$B579,'Executive Pay Breakdown'!AC:AC)</f>
        <v>7329027</v>
      </c>
      <c r="E579" s="109"/>
      <c r="F579" s="69">
        <f>SUMIF('Executive Pay Breakdown'!K:K,$B579,'Executive Pay Breakdown'!M:M)</f>
        <v>0</v>
      </c>
      <c r="G579" s="69">
        <f>SUMIF('Executive Pay Breakdown'!O:O,$B579,'Executive Pay Breakdown'!Q:Q)</f>
        <v>1888247</v>
      </c>
      <c r="H579" s="69">
        <f>SUMIF('Executive Pay Breakdown'!S:S,$B579,'Executive Pay Breakdown'!U:U)</f>
        <v>1848096</v>
      </c>
      <c r="I579" s="69">
        <f>SUMIF('Executive Pay Breakdown'!W:W,$B579,'Executive Pay Breakdown'!Y:Y)</f>
        <v>1939857</v>
      </c>
      <c r="J579" s="69">
        <f>SUMIF('Executive Pay Breakdown'!AA:AA,$B579,'Executive Pay Breakdown'!AC:AC)</f>
        <v>1652827</v>
      </c>
      <c r="K579" s="90"/>
      <c r="L579" s="212"/>
      <c r="M579" s="87"/>
      <c r="N579" s="87"/>
      <c r="O579" s="120" t="str">
        <f>MATCH(C579,'Key Findings'!B:B,0)</f>
        <v>#N/A</v>
      </c>
    </row>
    <row r="580" hidden="1">
      <c r="A580" s="62"/>
      <c r="B580" s="127" t="s">
        <v>741</v>
      </c>
      <c r="C580" s="87" t="s">
        <v>736</v>
      </c>
      <c r="D580" s="89">
        <f>SUMIF('Executive Pay Breakdown'!K:K,$B580,'Executive Pay Breakdown'!M:M)+SUMIF('Executive Pay Breakdown'!O:O,$B580,'Executive Pay Breakdown'!Q:Q)+SUMIF('Executive Pay Breakdown'!S:S,$B580,'Executive Pay Breakdown'!U:U)+SUMIF('Executive Pay Breakdown'!W:W,$B580,'Executive Pay Breakdown'!Y:Y)+SUMIF('Executive Pay Breakdown'!AA:AA,$B580,'Executive Pay Breakdown'!AC:AC)</f>
        <v>5115328</v>
      </c>
      <c r="E580" s="109"/>
      <c r="F580" s="69">
        <f>SUMIF('Executive Pay Breakdown'!K:K,$B580,'Executive Pay Breakdown'!M:M)</f>
        <v>2799719</v>
      </c>
      <c r="G580" s="69">
        <f>SUMIF('Executive Pay Breakdown'!O:O,$B580,'Executive Pay Breakdown'!Q:Q)</f>
        <v>2315609</v>
      </c>
      <c r="H580" s="69">
        <f>SUMIF('Executive Pay Breakdown'!S:S,$B580,'Executive Pay Breakdown'!U:U)</f>
        <v>0</v>
      </c>
      <c r="I580" s="69">
        <f>SUMIF('Executive Pay Breakdown'!W:W,$B580,'Executive Pay Breakdown'!Y:Y)</f>
        <v>0</v>
      </c>
      <c r="J580" s="69">
        <f>SUMIF('Executive Pay Breakdown'!AA:AA,$B580,'Executive Pay Breakdown'!AC:AC)</f>
        <v>0</v>
      </c>
      <c r="K580" s="90"/>
      <c r="L580" s="212"/>
      <c r="M580" s="212"/>
      <c r="N580" s="230"/>
      <c r="O580" s="120" t="str">
        <f>MATCH(C580,'Key Findings'!B:B,0)</f>
        <v>#N/A</v>
      </c>
    </row>
    <row r="581" hidden="1">
      <c r="A581" s="62"/>
      <c r="B581" s="127" t="s">
        <v>742</v>
      </c>
      <c r="C581" s="87" t="s">
        <v>736</v>
      </c>
      <c r="D581" s="89">
        <f>SUMIF('Executive Pay Breakdown'!K:K,$B581,'Executive Pay Breakdown'!M:M)+SUMIF('Executive Pay Breakdown'!O:O,$B581,'Executive Pay Breakdown'!Q:Q)+SUMIF('Executive Pay Breakdown'!S:S,$B581,'Executive Pay Breakdown'!U:U)+SUMIF('Executive Pay Breakdown'!W:W,$B581,'Executive Pay Breakdown'!Y:Y)+SUMIF('Executive Pay Breakdown'!AA:AA,$B581,'Executive Pay Breakdown'!AC:AC)</f>
        <v>1628183</v>
      </c>
      <c r="E581" s="109"/>
      <c r="F581" s="69">
        <f>SUMIF('Executive Pay Breakdown'!K:K,$B581,'Executive Pay Breakdown'!M:M)</f>
        <v>1628183</v>
      </c>
      <c r="G581" s="69">
        <f>SUMIF('Executive Pay Breakdown'!O:O,$B581,'Executive Pay Breakdown'!Q:Q)</f>
        <v>0</v>
      </c>
      <c r="H581" s="69">
        <f>SUMIF('Executive Pay Breakdown'!S:S,$B581,'Executive Pay Breakdown'!U:U)</f>
        <v>0</v>
      </c>
      <c r="I581" s="69">
        <f>SUMIF('Executive Pay Breakdown'!W:W,$B581,'Executive Pay Breakdown'!Y:Y)</f>
        <v>0</v>
      </c>
      <c r="J581" s="69">
        <f>SUMIF('Executive Pay Breakdown'!AA:AA,$B581,'Executive Pay Breakdown'!AC:AC)</f>
        <v>0</v>
      </c>
      <c r="K581" s="90"/>
      <c r="L581" s="212"/>
      <c r="M581" s="87"/>
      <c r="N581" s="230"/>
      <c r="O581" s="120" t="str">
        <f>MATCH(C581,'Key Findings'!B:B,0)</f>
        <v>#N/A</v>
      </c>
    </row>
    <row r="582" hidden="1">
      <c r="A582" s="62"/>
      <c r="B582" s="86" t="s">
        <v>743</v>
      </c>
      <c r="C582" s="87" t="s">
        <v>744</v>
      </c>
      <c r="D582" s="89">
        <f>SUMIF('Executive Pay Breakdown'!K:K,$B582,'Executive Pay Breakdown'!M:M)+SUMIF('Executive Pay Breakdown'!O:O,$B582,'Executive Pay Breakdown'!Q:Q)+SUMIF('Executive Pay Breakdown'!S:S,$B582,'Executive Pay Breakdown'!U:U)+SUMIF('Executive Pay Breakdown'!W:W,$B582,'Executive Pay Breakdown'!Y:Y)+SUMIF('Executive Pay Breakdown'!AA:AA,$B582,'Executive Pay Breakdown'!AC:AC)</f>
        <v>73376599</v>
      </c>
      <c r="E582" s="109"/>
      <c r="F582" s="69">
        <f>SUMIF('Executive Pay Breakdown'!K:K,$B582,'Executive Pay Breakdown'!M:M)</f>
        <v>14615521</v>
      </c>
      <c r="G582" s="69">
        <f>SUMIF('Executive Pay Breakdown'!O:O,$B582,'Executive Pay Breakdown'!Q:Q)</f>
        <v>16275230</v>
      </c>
      <c r="H582" s="69">
        <f>SUMIF('Executive Pay Breakdown'!S:S,$B582,'Executive Pay Breakdown'!U:U)</f>
        <v>14814906</v>
      </c>
      <c r="I582" s="69">
        <f>SUMIF('Executive Pay Breakdown'!W:W,$B582,'Executive Pay Breakdown'!Y:Y)</f>
        <v>14627254</v>
      </c>
      <c r="J582" s="69">
        <f>SUMIF('Executive Pay Breakdown'!AA:AA,$B582,'Executive Pay Breakdown'!AC:AC)</f>
        <v>13043688</v>
      </c>
      <c r="K582" s="90"/>
      <c r="L582" s="212"/>
      <c r="M582" s="87"/>
      <c r="N582" s="230">
        <f t="shared" ref="N582:N584" si="41">F582/J582-1</f>
        <v>0.1205052589</v>
      </c>
      <c r="O582" s="120" t="str">
        <f>MATCH(C582,'Key Findings'!B:B,0)</f>
        <v>#N/A</v>
      </c>
    </row>
    <row r="583" hidden="1">
      <c r="A583" s="62"/>
      <c r="B583" s="86" t="s">
        <v>745</v>
      </c>
      <c r="C583" s="87" t="s">
        <v>744</v>
      </c>
      <c r="D583" s="89">
        <f>SUMIF('Executive Pay Breakdown'!K:K,$B583,'Executive Pay Breakdown'!M:M)+SUMIF('Executive Pay Breakdown'!O:O,$B583,'Executive Pay Breakdown'!Q:Q)+SUMIF('Executive Pay Breakdown'!S:S,$B583,'Executive Pay Breakdown'!U:U)+SUMIF('Executive Pay Breakdown'!W:W,$B583,'Executive Pay Breakdown'!Y:Y)+SUMIF('Executive Pay Breakdown'!AA:AA,$B583,'Executive Pay Breakdown'!AC:AC)</f>
        <v>28956648</v>
      </c>
      <c r="E583" s="109"/>
      <c r="F583" s="69">
        <f>SUMIF('Executive Pay Breakdown'!K:K,$B583,'Executive Pay Breakdown'!M:M)</f>
        <v>6492702</v>
      </c>
      <c r="G583" s="69">
        <f>SUMIF('Executive Pay Breakdown'!O:O,$B583,'Executive Pay Breakdown'!Q:Q)</f>
        <v>9746073</v>
      </c>
      <c r="H583" s="69">
        <f>SUMIF('Executive Pay Breakdown'!S:S,$B583,'Executive Pay Breakdown'!U:U)</f>
        <v>4900168</v>
      </c>
      <c r="I583" s="69">
        <f>SUMIF('Executive Pay Breakdown'!W:W,$B583,'Executive Pay Breakdown'!Y:Y)</f>
        <v>4077970</v>
      </c>
      <c r="J583" s="69">
        <f>SUMIF('Executive Pay Breakdown'!AA:AA,$B583,'Executive Pay Breakdown'!AC:AC)</f>
        <v>3739735</v>
      </c>
      <c r="K583" s="90"/>
      <c r="L583" s="212"/>
      <c r="M583" s="87"/>
      <c r="N583" s="230">
        <f t="shared" si="41"/>
        <v>0.7361395928</v>
      </c>
      <c r="O583" s="120" t="str">
        <f>MATCH(C583,'Key Findings'!B:B,0)</f>
        <v>#N/A</v>
      </c>
    </row>
    <row r="584" hidden="1">
      <c r="A584" s="62"/>
      <c r="B584" s="86" t="s">
        <v>746</v>
      </c>
      <c r="C584" s="87" t="s">
        <v>744</v>
      </c>
      <c r="D584" s="89">
        <f>SUMIF('Executive Pay Breakdown'!K:K,$B584,'Executive Pay Breakdown'!M:M)+SUMIF('Executive Pay Breakdown'!O:O,$B584,'Executive Pay Breakdown'!Q:Q)+SUMIF('Executive Pay Breakdown'!S:S,$B584,'Executive Pay Breakdown'!U:U)+SUMIF('Executive Pay Breakdown'!W:W,$B584,'Executive Pay Breakdown'!Y:Y)+SUMIF('Executive Pay Breakdown'!AA:AA,$B584,'Executive Pay Breakdown'!AC:AC)</f>
        <v>26380723</v>
      </c>
      <c r="E584" s="109"/>
      <c r="F584" s="69">
        <f>SUMIF('Executive Pay Breakdown'!K:K,$B584,'Executive Pay Breakdown'!M:M)</f>
        <v>4555206</v>
      </c>
      <c r="G584" s="69">
        <f>SUMIF('Executive Pay Breakdown'!O:O,$B584,'Executive Pay Breakdown'!Q:Q)</f>
        <v>9251345</v>
      </c>
      <c r="H584" s="69">
        <f>SUMIF('Executive Pay Breakdown'!S:S,$B584,'Executive Pay Breakdown'!U:U)</f>
        <v>4565604</v>
      </c>
      <c r="I584" s="69">
        <f>SUMIF('Executive Pay Breakdown'!W:W,$B584,'Executive Pay Breakdown'!Y:Y)</f>
        <v>4179054</v>
      </c>
      <c r="J584" s="69">
        <f>SUMIF('Executive Pay Breakdown'!AA:AA,$B584,'Executive Pay Breakdown'!AC:AC)</f>
        <v>3829514</v>
      </c>
      <c r="K584" s="90"/>
      <c r="L584" s="212"/>
      <c r="M584" s="87"/>
      <c r="N584" s="230">
        <f t="shared" si="41"/>
        <v>0.1894997642</v>
      </c>
      <c r="O584" s="120" t="str">
        <f>MATCH(C584,'Key Findings'!B:B,0)</f>
        <v>#N/A</v>
      </c>
    </row>
    <row r="585" hidden="1">
      <c r="A585" s="62"/>
      <c r="B585" s="86" t="s">
        <v>747</v>
      </c>
      <c r="C585" s="87" t="s">
        <v>744</v>
      </c>
      <c r="D585" s="89">
        <f>SUMIF('Executive Pay Breakdown'!K:K,$B585,'Executive Pay Breakdown'!M:M)+SUMIF('Executive Pay Breakdown'!O:O,$B585,'Executive Pay Breakdown'!Q:Q)+SUMIF('Executive Pay Breakdown'!S:S,$B585,'Executive Pay Breakdown'!U:U)+SUMIF('Executive Pay Breakdown'!W:W,$B585,'Executive Pay Breakdown'!Y:Y)+SUMIF('Executive Pay Breakdown'!AA:AA,$B585,'Executive Pay Breakdown'!AC:AC)</f>
        <v>12863762</v>
      </c>
      <c r="E585" s="109"/>
      <c r="F585" s="69">
        <f>SUMIF('Executive Pay Breakdown'!K:K,$B585,'Executive Pay Breakdown'!M:M)</f>
        <v>5234548</v>
      </c>
      <c r="G585" s="69">
        <f>SUMIF('Executive Pay Breakdown'!O:O,$B585,'Executive Pay Breakdown'!Q:Q)</f>
        <v>4128905</v>
      </c>
      <c r="H585" s="69">
        <f>SUMIF('Executive Pay Breakdown'!S:S,$B585,'Executive Pay Breakdown'!U:U)</f>
        <v>3500309</v>
      </c>
      <c r="I585" s="69">
        <f>SUMIF('Executive Pay Breakdown'!W:W,$B585,'Executive Pay Breakdown'!Y:Y)</f>
        <v>0</v>
      </c>
      <c r="J585" s="69">
        <f>SUMIF('Executive Pay Breakdown'!AA:AA,$B585,'Executive Pay Breakdown'!AC:AC)</f>
        <v>0</v>
      </c>
      <c r="K585" s="90"/>
      <c r="L585" s="212"/>
      <c r="M585" s="87"/>
      <c r="N585" s="230"/>
      <c r="O585" s="120" t="str">
        <f>MATCH(C585,'Key Findings'!B:B,0)</f>
        <v>#N/A</v>
      </c>
    </row>
    <row r="586" hidden="1">
      <c r="A586" s="62"/>
      <c r="B586" s="86" t="s">
        <v>748</v>
      </c>
      <c r="C586" s="87" t="s">
        <v>744</v>
      </c>
      <c r="D586" s="89">
        <f>SUMIF('Executive Pay Breakdown'!K:K,$B586,'Executive Pay Breakdown'!M:M)+SUMIF('Executive Pay Breakdown'!O:O,$B586,'Executive Pay Breakdown'!Q:Q)+SUMIF('Executive Pay Breakdown'!S:S,$B586,'Executive Pay Breakdown'!U:U)+SUMIF('Executive Pay Breakdown'!W:W,$B586,'Executive Pay Breakdown'!Y:Y)+SUMIF('Executive Pay Breakdown'!AA:AA,$B586,'Executive Pay Breakdown'!AC:AC)</f>
        <v>10907150</v>
      </c>
      <c r="E586" s="109"/>
      <c r="F586" s="69">
        <f>SUMIF('Executive Pay Breakdown'!K:K,$B586,'Executive Pay Breakdown'!M:M)</f>
        <v>2659301</v>
      </c>
      <c r="G586" s="69">
        <f>SUMIF('Executive Pay Breakdown'!O:O,$B586,'Executive Pay Breakdown'!Q:Q)</f>
        <v>3104199</v>
      </c>
      <c r="H586" s="69">
        <f>SUMIF('Executive Pay Breakdown'!S:S,$B586,'Executive Pay Breakdown'!U:U)</f>
        <v>2529577</v>
      </c>
      <c r="I586" s="69">
        <f>SUMIF('Executive Pay Breakdown'!W:W,$B586,'Executive Pay Breakdown'!Y:Y)</f>
        <v>2614073</v>
      </c>
      <c r="J586" s="69">
        <f>SUMIF('Executive Pay Breakdown'!AA:AA,$B586,'Executive Pay Breakdown'!AC:AC)</f>
        <v>0</v>
      </c>
      <c r="K586" s="90"/>
      <c r="L586" s="212"/>
      <c r="M586" s="87"/>
      <c r="N586" s="230"/>
      <c r="O586" s="120" t="str">
        <f>MATCH(C586,'Key Findings'!B:B,0)</f>
        <v>#N/A</v>
      </c>
    </row>
    <row r="587" hidden="1">
      <c r="A587" s="62"/>
      <c r="B587" s="86" t="s">
        <v>749</v>
      </c>
      <c r="C587" s="87" t="s">
        <v>744</v>
      </c>
      <c r="D587" s="89">
        <f>SUMIF('Executive Pay Breakdown'!K:K,$B587,'Executive Pay Breakdown'!M:M)+SUMIF('Executive Pay Breakdown'!O:O,$B587,'Executive Pay Breakdown'!Q:Q)+SUMIF('Executive Pay Breakdown'!S:S,$B587,'Executive Pay Breakdown'!U:U)+SUMIF('Executive Pay Breakdown'!W:W,$B587,'Executive Pay Breakdown'!Y:Y)+SUMIF('Executive Pay Breakdown'!AA:AA,$B587,'Executive Pay Breakdown'!AC:AC)</f>
        <v>7318485</v>
      </c>
      <c r="E587" s="109"/>
      <c r="F587" s="69">
        <f>SUMIF('Executive Pay Breakdown'!K:K,$B587,'Executive Pay Breakdown'!M:M)</f>
        <v>0</v>
      </c>
      <c r="G587" s="69">
        <f>SUMIF('Executive Pay Breakdown'!O:O,$B587,'Executive Pay Breakdown'!Q:Q)</f>
        <v>0</v>
      </c>
      <c r="H587" s="69">
        <f>SUMIF('Executive Pay Breakdown'!S:S,$B587,'Executive Pay Breakdown'!U:U)</f>
        <v>0</v>
      </c>
      <c r="I587" s="69">
        <f>SUMIF('Executive Pay Breakdown'!W:W,$B587,'Executive Pay Breakdown'!Y:Y)</f>
        <v>3936736</v>
      </c>
      <c r="J587" s="69">
        <f>SUMIF('Executive Pay Breakdown'!AA:AA,$B587,'Executive Pay Breakdown'!AC:AC)</f>
        <v>3381749</v>
      </c>
      <c r="K587" s="90"/>
      <c r="L587" s="212"/>
      <c r="M587" s="87"/>
      <c r="N587" s="87"/>
      <c r="O587" s="120" t="str">
        <f>MATCH(C587,'Key Findings'!B:B,0)</f>
        <v>#N/A</v>
      </c>
    </row>
    <row r="588" hidden="1">
      <c r="A588" s="62"/>
      <c r="B588" s="86" t="s">
        <v>750</v>
      </c>
      <c r="C588" s="87" t="s">
        <v>744</v>
      </c>
      <c r="D588" s="89">
        <f>SUMIF('Executive Pay Breakdown'!K:K,$B588,'Executive Pay Breakdown'!M:M)+SUMIF('Executive Pay Breakdown'!O:O,$B588,'Executive Pay Breakdown'!Q:Q)+SUMIF('Executive Pay Breakdown'!S:S,$B588,'Executive Pay Breakdown'!U:U)+SUMIF('Executive Pay Breakdown'!W:W,$B588,'Executive Pay Breakdown'!Y:Y)+SUMIF('Executive Pay Breakdown'!AA:AA,$B588,'Executive Pay Breakdown'!AC:AC)</f>
        <v>5659035</v>
      </c>
      <c r="E588" s="109"/>
      <c r="F588" s="69">
        <f>SUMIF('Executive Pay Breakdown'!K:K,$B588,'Executive Pay Breakdown'!M:M)</f>
        <v>0</v>
      </c>
      <c r="G588" s="69">
        <f>SUMIF('Executive Pay Breakdown'!O:O,$B588,'Executive Pay Breakdown'!Q:Q)</f>
        <v>0</v>
      </c>
      <c r="H588" s="69">
        <f>SUMIF('Executive Pay Breakdown'!S:S,$B588,'Executive Pay Breakdown'!U:U)</f>
        <v>0</v>
      </c>
      <c r="I588" s="69">
        <f>SUMIF('Executive Pay Breakdown'!W:W,$B588,'Executive Pay Breakdown'!Y:Y)</f>
        <v>0</v>
      </c>
      <c r="J588" s="69">
        <f>SUMIF('Executive Pay Breakdown'!AA:AA,$B588,'Executive Pay Breakdown'!AC:AC)</f>
        <v>5659035</v>
      </c>
      <c r="K588" s="90"/>
      <c r="L588" s="212"/>
      <c r="M588" s="87"/>
      <c r="N588" s="87"/>
      <c r="O588" s="120" t="str">
        <f>MATCH(C588,'Key Findings'!B:B,0)</f>
        <v>#N/A</v>
      </c>
    </row>
    <row r="589" hidden="1">
      <c r="A589" s="62"/>
      <c r="B589" s="86" t="s">
        <v>751</v>
      </c>
      <c r="C589" s="87" t="s">
        <v>744</v>
      </c>
      <c r="D589" s="89">
        <f>SUMIF('Executive Pay Breakdown'!K:K,$B589,'Executive Pay Breakdown'!M:M)+SUMIF('Executive Pay Breakdown'!O:O,$B589,'Executive Pay Breakdown'!Q:Q)+SUMIF('Executive Pay Breakdown'!S:S,$B589,'Executive Pay Breakdown'!U:U)+SUMIF('Executive Pay Breakdown'!W:W,$B589,'Executive Pay Breakdown'!Y:Y)+SUMIF('Executive Pay Breakdown'!AA:AA,$B589,'Executive Pay Breakdown'!AC:AC)</f>
        <v>2268804</v>
      </c>
      <c r="E589" s="109"/>
      <c r="F589" s="69">
        <f>SUMIF('Executive Pay Breakdown'!K:K,$B589,'Executive Pay Breakdown'!M:M)</f>
        <v>2268804</v>
      </c>
      <c r="G589" s="69">
        <f>SUMIF('Executive Pay Breakdown'!O:O,$B589,'Executive Pay Breakdown'!Q:Q)</f>
        <v>0</v>
      </c>
      <c r="H589" s="69">
        <f>SUMIF('Executive Pay Breakdown'!S:S,$B589,'Executive Pay Breakdown'!U:U)</f>
        <v>0</v>
      </c>
      <c r="I589" s="69">
        <f>SUMIF('Executive Pay Breakdown'!W:W,$B589,'Executive Pay Breakdown'!Y:Y)</f>
        <v>0</v>
      </c>
      <c r="J589" s="69">
        <f>SUMIF('Executive Pay Breakdown'!AA:AA,$B589,'Executive Pay Breakdown'!AC:AC)</f>
        <v>0</v>
      </c>
      <c r="K589" s="90"/>
      <c r="L589" s="212"/>
      <c r="M589" s="87"/>
      <c r="N589" s="230"/>
      <c r="O589" s="120" t="str">
        <f>MATCH(C589,'Key Findings'!B:B,0)</f>
        <v>#N/A</v>
      </c>
    </row>
    <row r="590" hidden="1">
      <c r="A590" s="62"/>
      <c r="B590" s="86" t="s">
        <v>752</v>
      </c>
      <c r="C590" s="87" t="s">
        <v>744</v>
      </c>
      <c r="D590" s="89">
        <f>SUMIF('Executive Pay Breakdown'!K:K,$B590,'Executive Pay Breakdown'!M:M)+SUMIF('Executive Pay Breakdown'!O:O,$B590,'Executive Pay Breakdown'!Q:Q)+SUMIF('Executive Pay Breakdown'!S:S,$B590,'Executive Pay Breakdown'!U:U)+SUMIF('Executive Pay Breakdown'!W:W,$B590,'Executive Pay Breakdown'!Y:Y)+SUMIF('Executive Pay Breakdown'!AA:AA,$B590,'Executive Pay Breakdown'!AC:AC)</f>
        <v>2098458</v>
      </c>
      <c r="E590" s="109"/>
      <c r="F590" s="69">
        <f>SUMIF('Executive Pay Breakdown'!K:K,$B590,'Executive Pay Breakdown'!M:M)</f>
        <v>0</v>
      </c>
      <c r="G590" s="69">
        <f>SUMIF('Executive Pay Breakdown'!O:O,$B590,'Executive Pay Breakdown'!Q:Q)</f>
        <v>0</v>
      </c>
      <c r="H590" s="69">
        <f>SUMIF('Executive Pay Breakdown'!S:S,$B590,'Executive Pay Breakdown'!U:U)</f>
        <v>0</v>
      </c>
      <c r="I590" s="69">
        <f>SUMIF('Executive Pay Breakdown'!W:W,$B590,'Executive Pay Breakdown'!Y:Y)</f>
        <v>2098458</v>
      </c>
      <c r="J590" s="69">
        <f>SUMIF('Executive Pay Breakdown'!AA:AA,$B590,'Executive Pay Breakdown'!AC:AC)</f>
        <v>0</v>
      </c>
      <c r="K590" s="90"/>
      <c r="L590" s="212"/>
      <c r="M590" s="87"/>
      <c r="N590" s="87"/>
      <c r="O590" s="120" t="str">
        <f>MATCH(C590,'Key Findings'!B:B,0)</f>
        <v>#N/A</v>
      </c>
    </row>
    <row r="591" hidden="1">
      <c r="A591" s="81"/>
      <c r="B591" s="138" t="s">
        <v>753</v>
      </c>
      <c r="C591" s="236" t="s">
        <v>754</v>
      </c>
      <c r="D591" s="89">
        <f>SUMIF('Executive Pay Breakdown'!K:K,$B591,'Executive Pay Breakdown'!M:M)+SUMIF('Executive Pay Breakdown'!O:O,$B591,'Executive Pay Breakdown'!Q:Q)+SUMIF('Executive Pay Breakdown'!S:S,$B591,'Executive Pay Breakdown'!U:U)+SUMIF('Executive Pay Breakdown'!W:W,$B591,'Executive Pay Breakdown'!Y:Y)+SUMIF('Executive Pay Breakdown'!AA:AA,$B591,'Executive Pay Breakdown'!AC:AC)</f>
        <v>62037708</v>
      </c>
      <c r="E591" s="109"/>
      <c r="F591" s="69">
        <f>SUMIF('Executive Pay Breakdown'!K:K,$B591,'Executive Pay Breakdown'!M:M)</f>
        <v>28998060</v>
      </c>
      <c r="G591" s="69">
        <f>SUMIF('Executive Pay Breakdown'!O:O,$B591,'Executive Pay Breakdown'!Q:Q)</f>
        <v>7779201</v>
      </c>
      <c r="H591" s="69">
        <f>SUMIF('Executive Pay Breakdown'!S:S,$B591,'Executive Pay Breakdown'!U:U)</f>
        <v>10812068</v>
      </c>
      <c r="I591" s="69">
        <f>SUMIF('Executive Pay Breakdown'!W:W,$B591,'Executive Pay Breakdown'!Y:Y)</f>
        <v>5777182</v>
      </c>
      <c r="J591" s="126">
        <f>SUMIF('Executive Pay Breakdown'!AA:AA,$B591,'Executive Pay Breakdown'!AC:AC)</f>
        <v>8671197</v>
      </c>
      <c r="K591" s="118"/>
      <c r="L591" s="212"/>
      <c r="M591" s="87"/>
      <c r="N591" s="230"/>
      <c r="O591" s="120" t="str">
        <f>MATCH(C591,'Key Findings'!B:B,0)</f>
        <v>#N/A</v>
      </c>
    </row>
    <row r="592" hidden="1">
      <c r="A592" s="62"/>
      <c r="B592" s="86" t="s">
        <v>755</v>
      </c>
      <c r="C592" s="233" t="s">
        <v>756</v>
      </c>
      <c r="D592" s="89">
        <f>SUMIF('Executive Pay Breakdown'!K:K,$B592,'Executive Pay Breakdown'!M:M)+SUMIF('Executive Pay Breakdown'!O:O,$B592,'Executive Pay Breakdown'!Q:Q)+SUMIF('Executive Pay Breakdown'!S:S,$B592,'Executive Pay Breakdown'!U:U)+SUMIF('Executive Pay Breakdown'!W:W,$B592,'Executive Pay Breakdown'!Y:Y)+SUMIF('Executive Pay Breakdown'!AA:AA,$B592,'Executive Pay Breakdown'!AC:AC)</f>
        <v>83021913</v>
      </c>
      <c r="E592" s="109"/>
      <c r="F592" s="69">
        <f>SUMIF('Executive Pay Breakdown'!K:K,$B592,'Executive Pay Breakdown'!M:M)</f>
        <v>16671654</v>
      </c>
      <c r="G592" s="69">
        <f>SUMIF('Executive Pay Breakdown'!O:O,$B592,'Executive Pay Breakdown'!Q:Q)</f>
        <v>27578659</v>
      </c>
      <c r="H592" s="69">
        <f>SUMIF('Executive Pay Breakdown'!S:S,$B592,'Executive Pay Breakdown'!U:U)</f>
        <v>14631451</v>
      </c>
      <c r="I592" s="69">
        <f>SUMIF('Executive Pay Breakdown'!W:W,$B592,'Executive Pay Breakdown'!Y:Y)</f>
        <v>17143152</v>
      </c>
      <c r="J592" s="69">
        <f>SUMIF('Executive Pay Breakdown'!AA:AA,$B592,'Executive Pay Breakdown'!AC:AC)</f>
        <v>6996997</v>
      </c>
      <c r="K592" s="118"/>
      <c r="L592" s="212"/>
      <c r="M592" s="87"/>
      <c r="N592" s="87"/>
      <c r="O592" s="120" t="str">
        <f>MATCH(C592,'Key Findings'!B:B,0)</f>
        <v>#N/A</v>
      </c>
    </row>
    <row r="593" hidden="1">
      <c r="A593" s="62"/>
      <c r="B593" s="86" t="s">
        <v>757</v>
      </c>
      <c r="C593" s="233" t="s">
        <v>756</v>
      </c>
      <c r="D593" s="89">
        <f>SUMIF('Executive Pay Breakdown'!K:K,$B593,'Executive Pay Breakdown'!M:M)+SUMIF('Executive Pay Breakdown'!O:O,$B593,'Executive Pay Breakdown'!Q:Q)+SUMIF('Executive Pay Breakdown'!S:S,$B593,'Executive Pay Breakdown'!U:U)+SUMIF('Executive Pay Breakdown'!W:W,$B593,'Executive Pay Breakdown'!Y:Y)+SUMIF('Executive Pay Breakdown'!AA:AA,$B593,'Executive Pay Breakdown'!AC:AC)</f>
        <v>29806895</v>
      </c>
      <c r="E593" s="109"/>
      <c r="F593" s="69">
        <f>SUMIF('Executive Pay Breakdown'!K:K,$B593,'Executive Pay Breakdown'!M:M)</f>
        <v>5028926</v>
      </c>
      <c r="G593" s="69">
        <f>SUMIF('Executive Pay Breakdown'!O:O,$B593,'Executive Pay Breakdown'!Q:Q)</f>
        <v>9497735</v>
      </c>
      <c r="H593" s="69">
        <f>SUMIF('Executive Pay Breakdown'!S:S,$B593,'Executive Pay Breakdown'!U:U)</f>
        <v>5772976</v>
      </c>
      <c r="I593" s="69">
        <f>SUMIF('Executive Pay Breakdown'!W:W,$B593,'Executive Pay Breakdown'!Y:Y)</f>
        <v>5434549</v>
      </c>
      <c r="J593" s="69">
        <f>SUMIF('Executive Pay Breakdown'!AA:AA,$B593,'Executive Pay Breakdown'!AC:AC)</f>
        <v>4072709</v>
      </c>
      <c r="K593" s="118"/>
      <c r="L593" s="212"/>
      <c r="M593" s="87"/>
      <c r="N593" s="87"/>
      <c r="O593" s="120" t="str">
        <f>MATCH(C593,'Key Findings'!B:B,0)</f>
        <v>#N/A</v>
      </c>
    </row>
    <row r="594" hidden="1">
      <c r="A594" s="62"/>
      <c r="B594" s="86" t="s">
        <v>758</v>
      </c>
      <c r="C594" s="233" t="s">
        <v>756</v>
      </c>
      <c r="D594" s="89">
        <f>SUMIF('Executive Pay Breakdown'!K:K,$B594,'Executive Pay Breakdown'!M:M)+SUMIF('Executive Pay Breakdown'!O:O,$B594,'Executive Pay Breakdown'!Q:Q)+SUMIF('Executive Pay Breakdown'!S:S,$B594,'Executive Pay Breakdown'!U:U)+SUMIF('Executive Pay Breakdown'!W:W,$B594,'Executive Pay Breakdown'!Y:Y)+SUMIF('Executive Pay Breakdown'!AA:AA,$B594,'Executive Pay Breakdown'!AC:AC)</f>
        <v>21478990</v>
      </c>
      <c r="E594" s="109"/>
      <c r="F594" s="69">
        <f>SUMIF('Executive Pay Breakdown'!K:K,$B594,'Executive Pay Breakdown'!M:M)</f>
        <v>5366959</v>
      </c>
      <c r="G594" s="69">
        <f>SUMIF('Executive Pay Breakdown'!O:O,$B594,'Executive Pay Breakdown'!Q:Q)</f>
        <v>8098071</v>
      </c>
      <c r="H594" s="69">
        <f>SUMIF('Executive Pay Breakdown'!S:S,$B594,'Executive Pay Breakdown'!U:U)</f>
        <v>4019350</v>
      </c>
      <c r="I594" s="69">
        <f>SUMIF('Executive Pay Breakdown'!W:W,$B594,'Executive Pay Breakdown'!Y:Y)</f>
        <v>3994610</v>
      </c>
      <c r="J594" s="69">
        <f>SUMIF('Executive Pay Breakdown'!AA:AA,$B594,'Executive Pay Breakdown'!AC:AC)</f>
        <v>0</v>
      </c>
      <c r="K594" s="118"/>
      <c r="L594" s="212"/>
      <c r="M594" s="87"/>
      <c r="N594" s="87"/>
      <c r="O594" s="120" t="str">
        <f>MATCH(C594,'Key Findings'!B:B,0)</f>
        <v>#N/A</v>
      </c>
    </row>
    <row r="595" hidden="1">
      <c r="A595" s="62"/>
      <c r="B595" s="86" t="s">
        <v>759</v>
      </c>
      <c r="C595" s="233" t="s">
        <v>756</v>
      </c>
      <c r="D595" s="89">
        <f>SUMIF('Executive Pay Breakdown'!K:K,$B595,'Executive Pay Breakdown'!M:M)+SUMIF('Executive Pay Breakdown'!O:O,$B595,'Executive Pay Breakdown'!Q:Q)+SUMIF('Executive Pay Breakdown'!S:S,$B595,'Executive Pay Breakdown'!U:U)+SUMIF('Executive Pay Breakdown'!W:W,$B595,'Executive Pay Breakdown'!Y:Y)+SUMIF('Executive Pay Breakdown'!AA:AA,$B595,'Executive Pay Breakdown'!AC:AC)</f>
        <v>19681866</v>
      </c>
      <c r="E595" s="109"/>
      <c r="F595" s="69">
        <f>SUMIF('Executive Pay Breakdown'!K:K,$B595,'Executive Pay Breakdown'!M:M)</f>
        <v>4835941</v>
      </c>
      <c r="G595" s="69">
        <f>SUMIF('Executive Pay Breakdown'!O:O,$B595,'Executive Pay Breakdown'!Q:Q)</f>
        <v>8238857</v>
      </c>
      <c r="H595" s="69">
        <f>SUMIF('Executive Pay Breakdown'!S:S,$B595,'Executive Pay Breakdown'!U:U)</f>
        <v>3805902</v>
      </c>
      <c r="I595" s="69">
        <f>SUMIF('Executive Pay Breakdown'!W:W,$B595,'Executive Pay Breakdown'!Y:Y)</f>
        <v>2801166</v>
      </c>
      <c r="J595" s="69">
        <f>SUMIF('Executive Pay Breakdown'!AA:AA,$B595,'Executive Pay Breakdown'!AC:AC)</f>
        <v>0</v>
      </c>
      <c r="K595" s="118"/>
      <c r="L595" s="212"/>
      <c r="M595" s="87"/>
      <c r="N595" s="87"/>
      <c r="O595" s="120" t="str">
        <f>MATCH(C595,'Key Findings'!B:B,0)</f>
        <v>#N/A</v>
      </c>
    </row>
    <row r="596" hidden="1">
      <c r="A596" s="62"/>
      <c r="B596" s="86" t="s">
        <v>760</v>
      </c>
      <c r="C596" s="233" t="s">
        <v>756</v>
      </c>
      <c r="D596" s="89">
        <f>SUMIF('Executive Pay Breakdown'!K:K,$B596,'Executive Pay Breakdown'!M:M)+SUMIF('Executive Pay Breakdown'!O:O,$B596,'Executive Pay Breakdown'!Q:Q)+SUMIF('Executive Pay Breakdown'!S:S,$B596,'Executive Pay Breakdown'!U:U)+SUMIF('Executive Pay Breakdown'!W:W,$B596,'Executive Pay Breakdown'!Y:Y)+SUMIF('Executive Pay Breakdown'!AA:AA,$B596,'Executive Pay Breakdown'!AC:AC)</f>
        <v>4704483</v>
      </c>
      <c r="E596" s="109"/>
      <c r="F596" s="69">
        <f>SUMIF('Executive Pay Breakdown'!K:K,$B596,'Executive Pay Breakdown'!M:M)</f>
        <v>4704483</v>
      </c>
      <c r="G596" s="69">
        <f>SUMIF('Executive Pay Breakdown'!O:O,$B596,'Executive Pay Breakdown'!Q:Q)</f>
        <v>0</v>
      </c>
      <c r="H596" s="69">
        <f>SUMIF('Executive Pay Breakdown'!S:S,$B596,'Executive Pay Breakdown'!U:U)</f>
        <v>0</v>
      </c>
      <c r="I596" s="69">
        <f>SUMIF('Executive Pay Breakdown'!W:W,$B596,'Executive Pay Breakdown'!Y:Y)</f>
        <v>0</v>
      </c>
      <c r="J596" s="69">
        <f>SUMIF('Executive Pay Breakdown'!AA:AA,$B596,'Executive Pay Breakdown'!AC:AC)</f>
        <v>0</v>
      </c>
      <c r="K596" s="118"/>
      <c r="L596" s="212"/>
      <c r="M596" s="87"/>
      <c r="N596" s="87"/>
      <c r="O596" s="120" t="str">
        <f>MATCH(C596,'Key Findings'!B:B,0)</f>
        <v>#N/A</v>
      </c>
    </row>
    <row r="597" hidden="1">
      <c r="A597" s="62"/>
      <c r="B597" s="86" t="s">
        <v>761</v>
      </c>
      <c r="C597" s="233" t="s">
        <v>756</v>
      </c>
      <c r="D597" s="89">
        <f>SUMIF('Executive Pay Breakdown'!K:K,$B597,'Executive Pay Breakdown'!M:M)+SUMIF('Executive Pay Breakdown'!O:O,$B597,'Executive Pay Breakdown'!Q:Q)+SUMIF('Executive Pay Breakdown'!S:S,$B597,'Executive Pay Breakdown'!U:U)+SUMIF('Executive Pay Breakdown'!W:W,$B597,'Executive Pay Breakdown'!Y:Y)+SUMIF('Executive Pay Breakdown'!AA:AA,$B597,'Executive Pay Breakdown'!AC:AC)</f>
        <v>15964080</v>
      </c>
      <c r="E597" s="109"/>
      <c r="F597" s="69">
        <f>SUMIF('Executive Pay Breakdown'!K:K,$B597,'Executive Pay Breakdown'!M:M)</f>
        <v>0</v>
      </c>
      <c r="G597" s="69">
        <f>SUMIF('Executive Pay Breakdown'!O:O,$B597,'Executive Pay Breakdown'!Q:Q)</f>
        <v>7389011</v>
      </c>
      <c r="H597" s="69">
        <f>SUMIF('Executive Pay Breakdown'!S:S,$B597,'Executive Pay Breakdown'!U:U)</f>
        <v>3579591</v>
      </c>
      <c r="I597" s="69">
        <f>SUMIF('Executive Pay Breakdown'!W:W,$B597,'Executive Pay Breakdown'!Y:Y)</f>
        <v>4995478</v>
      </c>
      <c r="J597" s="69">
        <f>SUMIF('Executive Pay Breakdown'!AA:AA,$B597,'Executive Pay Breakdown'!AC:AC)</f>
        <v>0</v>
      </c>
      <c r="K597" s="118"/>
      <c r="L597" s="212"/>
      <c r="M597" s="87"/>
      <c r="N597" s="87"/>
      <c r="O597" s="120" t="str">
        <f>MATCH(C597,'Key Findings'!B:B,0)</f>
        <v>#N/A</v>
      </c>
    </row>
    <row r="598" hidden="1">
      <c r="A598" s="62"/>
      <c r="B598" s="86" t="s">
        <v>762</v>
      </c>
      <c r="C598" s="233" t="s">
        <v>756</v>
      </c>
      <c r="D598" s="89">
        <f>SUMIF('Executive Pay Breakdown'!K:K,$B598,'Executive Pay Breakdown'!M:M)+SUMIF('Executive Pay Breakdown'!O:O,$B598,'Executive Pay Breakdown'!Q:Q)+SUMIF('Executive Pay Breakdown'!S:S,$B598,'Executive Pay Breakdown'!U:U)+SUMIF('Executive Pay Breakdown'!W:W,$B598,'Executive Pay Breakdown'!Y:Y)+SUMIF('Executive Pay Breakdown'!AA:AA,$B598,'Executive Pay Breakdown'!AC:AC)</f>
        <v>24140149</v>
      </c>
      <c r="E598" s="109"/>
      <c r="F598" s="69">
        <f>SUMIF('Executive Pay Breakdown'!K:K,$B598,'Executive Pay Breakdown'!M:M)</f>
        <v>0</v>
      </c>
      <c r="G598" s="69">
        <f>SUMIF('Executive Pay Breakdown'!O:O,$B598,'Executive Pay Breakdown'!Q:Q)</f>
        <v>0</v>
      </c>
      <c r="H598" s="69">
        <f>SUMIF('Executive Pay Breakdown'!S:S,$B598,'Executive Pay Breakdown'!U:U)</f>
        <v>0</v>
      </c>
      <c r="I598" s="69">
        <f>SUMIF('Executive Pay Breakdown'!W:W,$B598,'Executive Pay Breakdown'!Y:Y)</f>
        <v>17143152</v>
      </c>
      <c r="J598" s="69">
        <f>SUMIF('Executive Pay Breakdown'!AA:AA,$B598,'Executive Pay Breakdown'!AC:AC)</f>
        <v>6996997</v>
      </c>
      <c r="K598" s="118"/>
      <c r="L598" s="212"/>
      <c r="M598" s="87"/>
      <c r="N598" s="87"/>
      <c r="O598" s="120" t="str">
        <f>MATCH(C598,'Key Findings'!B:B,0)</f>
        <v>#N/A</v>
      </c>
    </row>
    <row r="599" hidden="1">
      <c r="A599" s="62"/>
      <c r="B599" s="86" t="s">
        <v>763</v>
      </c>
      <c r="C599" s="233" t="s">
        <v>756</v>
      </c>
      <c r="D599" s="89">
        <f>SUMIF('Executive Pay Breakdown'!K:K,$B599,'Executive Pay Breakdown'!M:M)+SUMIF('Executive Pay Breakdown'!O:O,$B599,'Executive Pay Breakdown'!Q:Q)+SUMIF('Executive Pay Breakdown'!S:S,$B599,'Executive Pay Breakdown'!U:U)+SUMIF('Executive Pay Breakdown'!W:W,$B599,'Executive Pay Breakdown'!Y:Y)+SUMIF('Executive Pay Breakdown'!AA:AA,$B599,'Executive Pay Breakdown'!AC:AC)</f>
        <v>4525465</v>
      </c>
      <c r="E599" s="109"/>
      <c r="F599" s="69">
        <f>SUMIF('Executive Pay Breakdown'!K:K,$B599,'Executive Pay Breakdown'!M:M)</f>
        <v>0</v>
      </c>
      <c r="G599" s="69">
        <f>SUMIF('Executive Pay Breakdown'!O:O,$B599,'Executive Pay Breakdown'!Q:Q)</f>
        <v>0</v>
      </c>
      <c r="H599" s="69">
        <f>SUMIF('Executive Pay Breakdown'!S:S,$B599,'Executive Pay Breakdown'!U:U)</f>
        <v>0</v>
      </c>
      <c r="I599" s="69">
        <f>SUMIF('Executive Pay Breakdown'!W:W,$B599,'Executive Pay Breakdown'!Y:Y)</f>
        <v>0</v>
      </c>
      <c r="J599" s="69">
        <f>SUMIF('Executive Pay Breakdown'!AA:AA,$B599,'Executive Pay Breakdown'!AC:AC)</f>
        <v>4525465</v>
      </c>
      <c r="K599" s="118"/>
      <c r="L599" s="212"/>
      <c r="M599" s="87"/>
      <c r="N599" s="87"/>
      <c r="O599" s="120" t="str">
        <f>MATCH(C599,'Key Findings'!B:B,0)</f>
        <v>#N/A</v>
      </c>
    </row>
    <row r="600" hidden="1">
      <c r="A600" s="62"/>
      <c r="B600" s="86" t="s">
        <v>764</v>
      </c>
      <c r="C600" s="233" t="s">
        <v>756</v>
      </c>
      <c r="D600" s="89">
        <f>SUMIF('Executive Pay Breakdown'!K:K,$B600,'Executive Pay Breakdown'!M:M)+SUMIF('Executive Pay Breakdown'!O:O,$B600,'Executive Pay Breakdown'!Q:Q)+SUMIF('Executive Pay Breakdown'!S:S,$B600,'Executive Pay Breakdown'!U:U)+SUMIF('Executive Pay Breakdown'!W:W,$B600,'Executive Pay Breakdown'!Y:Y)+SUMIF('Executive Pay Breakdown'!AA:AA,$B600,'Executive Pay Breakdown'!AC:AC)</f>
        <v>2930088</v>
      </c>
      <c r="E600" s="109"/>
      <c r="F600" s="69">
        <f>SUMIF('Executive Pay Breakdown'!K:K,$B600,'Executive Pay Breakdown'!M:M)</f>
        <v>0</v>
      </c>
      <c r="G600" s="69">
        <f>SUMIF('Executive Pay Breakdown'!O:O,$B600,'Executive Pay Breakdown'!Q:Q)</f>
        <v>0</v>
      </c>
      <c r="H600" s="69">
        <f>SUMIF('Executive Pay Breakdown'!S:S,$B600,'Executive Pay Breakdown'!U:U)</f>
        <v>0</v>
      </c>
      <c r="I600" s="69">
        <f>SUMIF('Executive Pay Breakdown'!W:W,$B600,'Executive Pay Breakdown'!Y:Y)</f>
        <v>0</v>
      </c>
      <c r="J600" s="69">
        <f>SUMIF('Executive Pay Breakdown'!AA:AA,$B600,'Executive Pay Breakdown'!AC:AC)</f>
        <v>2930088</v>
      </c>
      <c r="K600" s="118"/>
      <c r="L600" s="212"/>
      <c r="M600" s="87"/>
      <c r="N600" s="87"/>
      <c r="O600" s="120" t="str">
        <f>MATCH(C600,'Key Findings'!B:B,0)</f>
        <v>#N/A</v>
      </c>
    </row>
    <row r="601" hidden="1">
      <c r="A601" s="62"/>
      <c r="B601" s="86" t="s">
        <v>765</v>
      </c>
      <c r="C601" s="233" t="s">
        <v>756</v>
      </c>
      <c r="D601" s="89">
        <f>SUMIF('Executive Pay Breakdown'!K:K,$B601,'Executive Pay Breakdown'!M:M)+SUMIF('Executive Pay Breakdown'!O:O,$B601,'Executive Pay Breakdown'!Q:Q)+SUMIF('Executive Pay Breakdown'!S:S,$B601,'Executive Pay Breakdown'!U:U)+SUMIF('Executive Pay Breakdown'!W:W,$B601,'Executive Pay Breakdown'!Y:Y)+SUMIF('Executive Pay Breakdown'!AA:AA,$B601,'Executive Pay Breakdown'!AC:AC)</f>
        <v>1701714</v>
      </c>
      <c r="E601" s="109"/>
      <c r="F601" s="69">
        <f>SUMIF('Executive Pay Breakdown'!K:K,$B601,'Executive Pay Breakdown'!M:M)</f>
        <v>0</v>
      </c>
      <c r="G601" s="69">
        <f>SUMIF('Executive Pay Breakdown'!O:O,$B601,'Executive Pay Breakdown'!Q:Q)</f>
        <v>0</v>
      </c>
      <c r="H601" s="69">
        <f>SUMIF('Executive Pay Breakdown'!S:S,$B601,'Executive Pay Breakdown'!U:U)</f>
        <v>0</v>
      </c>
      <c r="I601" s="69">
        <f>SUMIF('Executive Pay Breakdown'!W:W,$B601,'Executive Pay Breakdown'!Y:Y)</f>
        <v>0</v>
      </c>
      <c r="J601" s="69">
        <f>SUMIF('Executive Pay Breakdown'!AA:AA,$B601,'Executive Pay Breakdown'!AC:AC)</f>
        <v>1701714</v>
      </c>
      <c r="K601" s="118"/>
      <c r="L601" s="212"/>
      <c r="M601" s="87"/>
      <c r="N601" s="87"/>
      <c r="O601" s="120" t="str">
        <f>MATCH(C601,'Key Findings'!B:B,0)</f>
        <v>#N/A</v>
      </c>
    </row>
    <row r="602" hidden="1">
      <c r="A602" s="81"/>
      <c r="B602" s="87" t="s">
        <v>766</v>
      </c>
      <c r="C602" s="87" t="s">
        <v>767</v>
      </c>
      <c r="D602" s="89">
        <f>SUMIF('Executive Pay Breakdown'!K:K,$B602,'Executive Pay Breakdown'!M:M)+SUMIF('Executive Pay Breakdown'!O:O,$B602,'Executive Pay Breakdown'!Q:Q)+SUMIF('Executive Pay Breakdown'!S:S,$B602,'Executive Pay Breakdown'!U:U)+SUMIF('Executive Pay Breakdown'!W:W,$B602,'Executive Pay Breakdown'!Y:Y)+SUMIF('Executive Pay Breakdown'!AA:AA,$B602,'Executive Pay Breakdown'!AC:AC)</f>
        <v>100672052</v>
      </c>
      <c r="E602" s="109"/>
      <c r="F602" s="69">
        <f>SUMIF('Executive Pay Breakdown'!K:K,$B602,'Executive Pay Breakdown'!M:M)</f>
        <v>24642526</v>
      </c>
      <c r="G602" s="69">
        <f>SUMIF('Executive Pay Breakdown'!O:O,$B602,'Executive Pay Breakdown'!Q:Q)</f>
        <v>21350906</v>
      </c>
      <c r="H602" s="69">
        <f>SUMIF('Executive Pay Breakdown'!S:S,$B602,'Executive Pay Breakdown'!U:U)</f>
        <v>20392046</v>
      </c>
      <c r="I602" s="69">
        <f>SUMIF('Executive Pay Breakdown'!W:W,$B602,'Executive Pay Breakdown'!Y:Y)</f>
        <v>34286574</v>
      </c>
      <c r="J602" s="69">
        <f>SUMIF('Executive Pay Breakdown'!AA:AA,$B602,'Executive Pay Breakdown'!AC:AC)</f>
        <v>0</v>
      </c>
      <c r="K602" s="118"/>
      <c r="L602" s="212"/>
      <c r="M602" s="87"/>
      <c r="N602" s="87"/>
      <c r="O602" s="120" t="str">
        <f>MATCH(C602,'Key Findings'!B:B,0)</f>
        <v>#N/A</v>
      </c>
    </row>
    <row r="603" hidden="1">
      <c r="A603" s="81"/>
      <c r="B603" s="134" t="s">
        <v>768</v>
      </c>
      <c r="C603" s="87" t="s">
        <v>767</v>
      </c>
      <c r="D603" s="89">
        <f>SUMIF('Executive Pay Breakdown'!K:K,$B603,'Executive Pay Breakdown'!M:M)+SUMIF('Executive Pay Breakdown'!O:O,$B603,'Executive Pay Breakdown'!Q:Q)+SUMIF('Executive Pay Breakdown'!S:S,$B603,'Executive Pay Breakdown'!U:U)+SUMIF('Executive Pay Breakdown'!W:W,$B603,'Executive Pay Breakdown'!Y:Y)+SUMIF('Executive Pay Breakdown'!AA:AA,$B603,'Executive Pay Breakdown'!AC:AC)</f>
        <v>47436985</v>
      </c>
      <c r="E603" s="109"/>
      <c r="F603" s="69">
        <f>SUMIF('Executive Pay Breakdown'!K:K,$B603,'Executive Pay Breakdown'!M:M)</f>
        <v>11772312</v>
      </c>
      <c r="G603" s="69">
        <f>SUMIF('Executive Pay Breakdown'!O:O,$B603,'Executive Pay Breakdown'!Q:Q)</f>
        <v>7995693</v>
      </c>
      <c r="H603" s="69">
        <f>SUMIF('Executive Pay Breakdown'!S:S,$B603,'Executive Pay Breakdown'!U:U)</f>
        <v>8537861</v>
      </c>
      <c r="I603" s="69">
        <f>SUMIF('Executive Pay Breakdown'!W:W,$B603,'Executive Pay Breakdown'!Y:Y)</f>
        <v>10530626</v>
      </c>
      <c r="J603" s="69">
        <f>SUMIF('Executive Pay Breakdown'!AA:AA,$B603,'Executive Pay Breakdown'!AC:AC)</f>
        <v>8600493</v>
      </c>
      <c r="K603" s="118"/>
      <c r="L603" s="212"/>
      <c r="M603" s="87"/>
      <c r="N603" s="230"/>
      <c r="O603" s="120" t="str">
        <f>MATCH(C603,'Key Findings'!B:B,0)</f>
        <v>#N/A</v>
      </c>
    </row>
    <row r="604" hidden="1">
      <c r="A604" s="81"/>
      <c r="B604" s="134" t="s">
        <v>769</v>
      </c>
      <c r="C604" s="87" t="s">
        <v>767</v>
      </c>
      <c r="D604" s="89">
        <f>SUMIF('Executive Pay Breakdown'!K:K,$B604,'Executive Pay Breakdown'!M:M)+SUMIF('Executive Pay Breakdown'!O:O,$B604,'Executive Pay Breakdown'!Q:Q)+SUMIF('Executive Pay Breakdown'!S:S,$B604,'Executive Pay Breakdown'!U:U)+SUMIF('Executive Pay Breakdown'!W:W,$B604,'Executive Pay Breakdown'!Y:Y)+SUMIF('Executive Pay Breakdown'!AA:AA,$B604,'Executive Pay Breakdown'!AC:AC)</f>
        <v>35124420</v>
      </c>
      <c r="E604" s="109"/>
      <c r="F604" s="69">
        <f>SUMIF('Executive Pay Breakdown'!K:K,$B604,'Executive Pay Breakdown'!M:M)</f>
        <v>0</v>
      </c>
      <c r="G604" s="69">
        <f>SUMIF('Executive Pay Breakdown'!O:O,$B604,'Executive Pay Breakdown'!Q:Q)</f>
        <v>0</v>
      </c>
      <c r="H604" s="69">
        <f>SUMIF('Executive Pay Breakdown'!S:S,$B604,'Executive Pay Breakdown'!U:U)</f>
        <v>0</v>
      </c>
      <c r="I604" s="69">
        <f>SUMIF('Executive Pay Breakdown'!W:W,$B604,'Executive Pay Breakdown'!Y:Y)</f>
        <v>16697686</v>
      </c>
      <c r="J604" s="69">
        <f>SUMIF('Executive Pay Breakdown'!AA:AA,$B604,'Executive Pay Breakdown'!AC:AC)</f>
        <v>18426734</v>
      </c>
      <c r="K604" s="118"/>
      <c r="L604" s="212"/>
      <c r="M604" s="87"/>
      <c r="N604" s="87"/>
      <c r="O604" s="120" t="str">
        <f>MATCH(C604,'Key Findings'!B:B,0)</f>
        <v>#N/A</v>
      </c>
    </row>
    <row r="605" hidden="1">
      <c r="A605" s="81"/>
      <c r="B605" s="134" t="s">
        <v>770</v>
      </c>
      <c r="C605" s="87" t="s">
        <v>767</v>
      </c>
      <c r="D605" s="89">
        <f>SUMIF('Executive Pay Breakdown'!K:K,$B605,'Executive Pay Breakdown'!M:M)+SUMIF('Executive Pay Breakdown'!O:O,$B605,'Executive Pay Breakdown'!Q:Q)+SUMIF('Executive Pay Breakdown'!S:S,$B605,'Executive Pay Breakdown'!U:U)+SUMIF('Executive Pay Breakdown'!W:W,$B605,'Executive Pay Breakdown'!Y:Y)+SUMIF('Executive Pay Breakdown'!AA:AA,$B605,'Executive Pay Breakdown'!AC:AC)</f>
        <v>34373057</v>
      </c>
      <c r="E605" s="109"/>
      <c r="F605" s="69">
        <f>SUMIF('Executive Pay Breakdown'!K:K,$B605,'Executive Pay Breakdown'!M:M)</f>
        <v>10445661</v>
      </c>
      <c r="G605" s="69">
        <f>SUMIF('Executive Pay Breakdown'!O:O,$B605,'Executive Pay Breakdown'!Q:Q)</f>
        <v>9304908</v>
      </c>
      <c r="H605" s="69">
        <f>SUMIF('Executive Pay Breakdown'!S:S,$B605,'Executive Pay Breakdown'!U:U)</f>
        <v>14622488</v>
      </c>
      <c r="I605" s="69">
        <f>SUMIF('Executive Pay Breakdown'!W:W,$B605,'Executive Pay Breakdown'!Y:Y)</f>
        <v>0</v>
      </c>
      <c r="J605" s="69">
        <f>SUMIF('Executive Pay Breakdown'!AA:AA,$B605,'Executive Pay Breakdown'!AC:AC)</f>
        <v>0</v>
      </c>
      <c r="K605" s="118"/>
      <c r="L605" s="212"/>
      <c r="M605" s="87"/>
      <c r="N605" s="230"/>
      <c r="O605" s="120" t="str">
        <f>MATCH(C605,'Key Findings'!B:B,0)</f>
        <v>#N/A</v>
      </c>
    </row>
    <row r="606" hidden="1">
      <c r="A606" s="81"/>
      <c r="B606" s="134" t="s">
        <v>771</v>
      </c>
      <c r="C606" s="87" t="s">
        <v>767</v>
      </c>
      <c r="D606" s="89">
        <f>SUMIF('Executive Pay Breakdown'!K:K,$B606,'Executive Pay Breakdown'!M:M)+SUMIF('Executive Pay Breakdown'!O:O,$B606,'Executive Pay Breakdown'!Q:Q)+SUMIF('Executive Pay Breakdown'!S:S,$B606,'Executive Pay Breakdown'!U:U)+SUMIF('Executive Pay Breakdown'!W:W,$B606,'Executive Pay Breakdown'!Y:Y)+SUMIF('Executive Pay Breakdown'!AA:AA,$B606,'Executive Pay Breakdown'!AC:AC)</f>
        <v>32923753</v>
      </c>
      <c r="E606" s="109"/>
      <c r="F606" s="69">
        <f>SUMIF('Executive Pay Breakdown'!K:K,$B606,'Executive Pay Breakdown'!M:M)</f>
        <v>0</v>
      </c>
      <c r="G606" s="69">
        <f>SUMIF('Executive Pay Breakdown'!O:O,$B606,'Executive Pay Breakdown'!Q:Q)</f>
        <v>0</v>
      </c>
      <c r="H606" s="69">
        <f>SUMIF('Executive Pay Breakdown'!S:S,$B606,'Executive Pay Breakdown'!U:U)</f>
        <v>7958347</v>
      </c>
      <c r="I606" s="69">
        <f>SUMIF('Executive Pay Breakdown'!W:W,$B606,'Executive Pay Breakdown'!Y:Y)</f>
        <v>12436548</v>
      </c>
      <c r="J606" s="69">
        <f>SUMIF('Executive Pay Breakdown'!AA:AA,$B606,'Executive Pay Breakdown'!AC:AC)</f>
        <v>12528858</v>
      </c>
      <c r="K606" s="118"/>
      <c r="L606" s="212"/>
      <c r="M606" s="87"/>
      <c r="N606" s="87"/>
      <c r="O606" s="120" t="str">
        <f>MATCH(C606,'Key Findings'!B:B,0)</f>
        <v>#N/A</v>
      </c>
    </row>
    <row r="607" hidden="1">
      <c r="A607" s="81"/>
      <c r="B607" s="134" t="s">
        <v>772</v>
      </c>
      <c r="C607" s="87" t="s">
        <v>767</v>
      </c>
      <c r="D607" s="89">
        <f>SUMIF('Executive Pay Breakdown'!K:K,$B607,'Executive Pay Breakdown'!M:M)+SUMIF('Executive Pay Breakdown'!O:O,$B607,'Executive Pay Breakdown'!Q:Q)+SUMIF('Executive Pay Breakdown'!S:S,$B607,'Executive Pay Breakdown'!U:U)+SUMIF('Executive Pay Breakdown'!W:W,$B607,'Executive Pay Breakdown'!Y:Y)+SUMIF('Executive Pay Breakdown'!AA:AA,$B607,'Executive Pay Breakdown'!AC:AC)</f>
        <v>32903385</v>
      </c>
      <c r="E607" s="109"/>
      <c r="F607" s="69">
        <f>SUMIF('Executive Pay Breakdown'!K:K,$B607,'Executive Pay Breakdown'!M:M)</f>
        <v>12808167</v>
      </c>
      <c r="G607" s="69">
        <f>SUMIF('Executive Pay Breakdown'!O:O,$B607,'Executive Pay Breakdown'!Q:Q)</f>
        <v>11987508</v>
      </c>
      <c r="H607" s="69">
        <f>SUMIF('Executive Pay Breakdown'!S:S,$B607,'Executive Pay Breakdown'!U:U)</f>
        <v>8107710</v>
      </c>
      <c r="I607" s="69">
        <f>SUMIF('Executive Pay Breakdown'!W:W,$B607,'Executive Pay Breakdown'!Y:Y)</f>
        <v>0</v>
      </c>
      <c r="J607" s="69">
        <f>SUMIF('Executive Pay Breakdown'!AA:AA,$B607,'Executive Pay Breakdown'!AC:AC)</f>
        <v>0</v>
      </c>
      <c r="K607" s="118"/>
      <c r="L607" s="212"/>
      <c r="M607" s="87"/>
      <c r="N607" s="230"/>
      <c r="O607" s="120" t="str">
        <f>MATCH(C607,'Key Findings'!B:B,0)</f>
        <v>#N/A</v>
      </c>
    </row>
    <row r="608" hidden="1">
      <c r="A608" s="81"/>
      <c r="B608" s="134" t="s">
        <v>773</v>
      </c>
      <c r="C608" s="87" t="s">
        <v>767</v>
      </c>
      <c r="D608" s="89">
        <f>SUMIF('Executive Pay Breakdown'!K:K,$B608,'Executive Pay Breakdown'!M:M)+SUMIF('Executive Pay Breakdown'!O:O,$B608,'Executive Pay Breakdown'!Q:Q)+SUMIF('Executive Pay Breakdown'!S:S,$B608,'Executive Pay Breakdown'!U:U)+SUMIF('Executive Pay Breakdown'!W:W,$B608,'Executive Pay Breakdown'!Y:Y)+SUMIF('Executive Pay Breakdown'!AA:AA,$B608,'Executive Pay Breakdown'!AC:AC)</f>
        <v>22859877</v>
      </c>
      <c r="E608" s="109"/>
      <c r="F608" s="69">
        <f>SUMIF('Executive Pay Breakdown'!K:K,$B608,'Executive Pay Breakdown'!M:M)</f>
        <v>13844049</v>
      </c>
      <c r="G608" s="69">
        <f>SUMIF('Executive Pay Breakdown'!O:O,$B608,'Executive Pay Breakdown'!Q:Q)</f>
        <v>9015828</v>
      </c>
      <c r="H608" s="69">
        <f>SUMIF('Executive Pay Breakdown'!S:S,$B608,'Executive Pay Breakdown'!U:U)</f>
        <v>0</v>
      </c>
      <c r="I608" s="69">
        <f>SUMIF('Executive Pay Breakdown'!W:W,$B608,'Executive Pay Breakdown'!Y:Y)</f>
        <v>0</v>
      </c>
      <c r="J608" s="69">
        <f>SUMIF('Executive Pay Breakdown'!AA:AA,$B608,'Executive Pay Breakdown'!AC:AC)</f>
        <v>0</v>
      </c>
      <c r="K608" s="118"/>
      <c r="L608" s="212"/>
      <c r="M608" s="212"/>
      <c r="N608" s="230"/>
      <c r="O608" s="120" t="str">
        <f>MATCH(C608,'Key Findings'!B:B,0)</f>
        <v>#N/A</v>
      </c>
    </row>
    <row r="609" hidden="1">
      <c r="A609" s="81"/>
      <c r="B609" s="134" t="s">
        <v>774</v>
      </c>
      <c r="C609" s="87" t="s">
        <v>767</v>
      </c>
      <c r="D609" s="89">
        <f>SUMIF('Executive Pay Breakdown'!K:K,$B609,'Executive Pay Breakdown'!M:M)+SUMIF('Executive Pay Breakdown'!O:O,$B609,'Executive Pay Breakdown'!Q:Q)+SUMIF('Executive Pay Breakdown'!S:S,$B609,'Executive Pay Breakdown'!U:U)+SUMIF('Executive Pay Breakdown'!W:W,$B609,'Executive Pay Breakdown'!Y:Y)+SUMIF('Executive Pay Breakdown'!AA:AA,$B609,'Executive Pay Breakdown'!AC:AC)</f>
        <v>19437332</v>
      </c>
      <c r="E609" s="109"/>
      <c r="F609" s="69">
        <f>SUMIF('Executive Pay Breakdown'!K:K,$B609,'Executive Pay Breakdown'!M:M)</f>
        <v>0</v>
      </c>
      <c r="G609" s="69">
        <f>SUMIF('Executive Pay Breakdown'!O:O,$B609,'Executive Pay Breakdown'!Q:Q)</f>
        <v>0</v>
      </c>
      <c r="H609" s="69">
        <f>SUMIF('Executive Pay Breakdown'!S:S,$B609,'Executive Pay Breakdown'!U:U)</f>
        <v>0</v>
      </c>
      <c r="I609" s="69">
        <f>SUMIF('Executive Pay Breakdown'!W:W,$B609,'Executive Pay Breakdown'!Y:Y)</f>
        <v>10450624</v>
      </c>
      <c r="J609" s="69">
        <f>SUMIF('Executive Pay Breakdown'!AA:AA,$B609,'Executive Pay Breakdown'!AC:AC)</f>
        <v>8986708</v>
      </c>
      <c r="K609" s="118"/>
      <c r="L609" s="212"/>
      <c r="M609" s="87"/>
      <c r="N609" s="87"/>
      <c r="O609" s="120" t="str">
        <f>MATCH(C609,'Key Findings'!B:B,0)</f>
        <v>#N/A</v>
      </c>
    </row>
    <row r="610" hidden="1">
      <c r="A610" s="81"/>
      <c r="B610" s="134" t="s">
        <v>775</v>
      </c>
      <c r="C610" s="87" t="s">
        <v>767</v>
      </c>
      <c r="D610" s="89">
        <f>SUMIF('Executive Pay Breakdown'!K:K,$B610,'Executive Pay Breakdown'!M:M)+SUMIF('Executive Pay Breakdown'!O:O,$B610,'Executive Pay Breakdown'!Q:Q)+SUMIF('Executive Pay Breakdown'!S:S,$B610,'Executive Pay Breakdown'!U:U)+SUMIF('Executive Pay Breakdown'!W:W,$B610,'Executive Pay Breakdown'!Y:Y)+SUMIF('Executive Pay Breakdown'!AA:AA,$B610,'Executive Pay Breakdown'!AC:AC)</f>
        <v>13639888</v>
      </c>
      <c r="E610" s="109"/>
      <c r="F610" s="69">
        <f>SUMIF('Executive Pay Breakdown'!K:K,$B610,'Executive Pay Breakdown'!M:M)</f>
        <v>0</v>
      </c>
      <c r="G610" s="69">
        <f>SUMIF('Executive Pay Breakdown'!O:O,$B610,'Executive Pay Breakdown'!Q:Q)</f>
        <v>0</v>
      </c>
      <c r="H610" s="69">
        <f>SUMIF('Executive Pay Breakdown'!S:S,$B610,'Executive Pay Breakdown'!U:U)</f>
        <v>13639888</v>
      </c>
      <c r="I610" s="69">
        <f>SUMIF('Executive Pay Breakdown'!W:W,$B610,'Executive Pay Breakdown'!Y:Y)</f>
        <v>0</v>
      </c>
      <c r="J610" s="69">
        <f>SUMIF('Executive Pay Breakdown'!AA:AA,$B610,'Executive Pay Breakdown'!AC:AC)</f>
        <v>0</v>
      </c>
      <c r="K610" s="118"/>
      <c r="L610" s="212"/>
      <c r="M610" s="87"/>
      <c r="N610" s="87"/>
      <c r="O610" s="120" t="str">
        <f>MATCH(C610,'Key Findings'!B:B,0)</f>
        <v>#N/A</v>
      </c>
    </row>
    <row r="611" hidden="1">
      <c r="A611" s="81"/>
      <c r="B611" s="134" t="s">
        <v>776</v>
      </c>
      <c r="C611" s="87" t="s">
        <v>767</v>
      </c>
      <c r="D611" s="89">
        <f>SUMIF('Executive Pay Breakdown'!K:K,$B611,'Executive Pay Breakdown'!M:M)+SUMIF('Executive Pay Breakdown'!O:O,$B611,'Executive Pay Breakdown'!Q:Q)+SUMIF('Executive Pay Breakdown'!S:S,$B611,'Executive Pay Breakdown'!U:U)+SUMIF('Executive Pay Breakdown'!W:W,$B611,'Executive Pay Breakdown'!Y:Y)+SUMIF('Executive Pay Breakdown'!AA:AA,$B611,'Executive Pay Breakdown'!AC:AC)</f>
        <v>10387246</v>
      </c>
      <c r="E611" s="109"/>
      <c r="F611" s="69">
        <f>SUMIF('Executive Pay Breakdown'!K:K,$B611,'Executive Pay Breakdown'!M:M)</f>
        <v>0</v>
      </c>
      <c r="G611" s="69">
        <f>SUMIF('Executive Pay Breakdown'!O:O,$B611,'Executive Pay Breakdown'!Q:Q)</f>
        <v>0</v>
      </c>
      <c r="H611" s="69">
        <f>SUMIF('Executive Pay Breakdown'!S:S,$B611,'Executive Pay Breakdown'!U:U)</f>
        <v>0</v>
      </c>
      <c r="I611" s="69">
        <f>SUMIF('Executive Pay Breakdown'!W:W,$B611,'Executive Pay Breakdown'!Y:Y)</f>
        <v>0</v>
      </c>
      <c r="J611" s="69">
        <f>SUMIF('Executive Pay Breakdown'!AA:AA,$B611,'Executive Pay Breakdown'!AC:AC)</f>
        <v>10387246</v>
      </c>
      <c r="K611" s="118"/>
      <c r="L611" s="212"/>
      <c r="M611" s="87"/>
      <c r="N611" s="87"/>
      <c r="O611" s="120" t="str">
        <f>MATCH(C611,'Key Findings'!B:B,0)</f>
        <v>#N/A</v>
      </c>
    </row>
    <row r="612" hidden="1">
      <c r="A612" s="81"/>
      <c r="B612" s="134" t="s">
        <v>777</v>
      </c>
      <c r="C612" s="87" t="s">
        <v>767</v>
      </c>
      <c r="D612" s="89">
        <f>SUMIF('Executive Pay Breakdown'!K:K,$B612,'Executive Pay Breakdown'!M:M)+SUMIF('Executive Pay Breakdown'!O:O,$B612,'Executive Pay Breakdown'!Q:Q)+SUMIF('Executive Pay Breakdown'!S:S,$B612,'Executive Pay Breakdown'!U:U)+SUMIF('Executive Pay Breakdown'!W:W,$B612,'Executive Pay Breakdown'!Y:Y)+SUMIF('Executive Pay Breakdown'!AA:AA,$B612,'Executive Pay Breakdown'!AC:AC)</f>
        <v>10369876</v>
      </c>
      <c r="E612" s="109"/>
      <c r="F612" s="69">
        <f>SUMIF('Executive Pay Breakdown'!K:K,$B612,'Executive Pay Breakdown'!M:M)</f>
        <v>0</v>
      </c>
      <c r="G612" s="69">
        <f>SUMIF('Executive Pay Breakdown'!O:O,$B612,'Executive Pay Breakdown'!Q:Q)</f>
        <v>0</v>
      </c>
      <c r="H612" s="69">
        <f>SUMIF('Executive Pay Breakdown'!S:S,$B612,'Executive Pay Breakdown'!U:U)</f>
        <v>0</v>
      </c>
      <c r="I612" s="69">
        <f>SUMIF('Executive Pay Breakdown'!W:W,$B612,'Executive Pay Breakdown'!Y:Y)</f>
        <v>10369876</v>
      </c>
      <c r="J612" s="69">
        <f>SUMIF('Executive Pay Breakdown'!AA:AA,$B612,'Executive Pay Breakdown'!AC:AC)</f>
        <v>0</v>
      </c>
      <c r="K612" s="118"/>
      <c r="L612" s="212"/>
      <c r="M612" s="87"/>
      <c r="N612" s="87"/>
      <c r="O612" s="120" t="str">
        <f>MATCH(C612,'Key Findings'!B:B,0)</f>
        <v>#N/A</v>
      </c>
    </row>
    <row r="613" hidden="1">
      <c r="A613" s="81"/>
      <c r="B613" s="134" t="s">
        <v>778</v>
      </c>
      <c r="C613" s="87" t="s">
        <v>767</v>
      </c>
      <c r="D613" s="89">
        <f>SUMIF('Executive Pay Breakdown'!K:K,$B613,'Executive Pay Breakdown'!M:M)+SUMIF('Executive Pay Breakdown'!O:O,$B613,'Executive Pay Breakdown'!Q:Q)+SUMIF('Executive Pay Breakdown'!S:S,$B613,'Executive Pay Breakdown'!U:U)+SUMIF('Executive Pay Breakdown'!W:W,$B613,'Executive Pay Breakdown'!Y:Y)+SUMIF('Executive Pay Breakdown'!AA:AA,$B613,'Executive Pay Breakdown'!AC:AC)</f>
        <v>9600292</v>
      </c>
      <c r="E613" s="109"/>
      <c r="F613" s="69">
        <f>SUMIF('Executive Pay Breakdown'!K:K,$B613,'Executive Pay Breakdown'!M:M)</f>
        <v>0</v>
      </c>
      <c r="G613" s="69">
        <f>SUMIF('Executive Pay Breakdown'!O:O,$B613,'Executive Pay Breakdown'!Q:Q)</f>
        <v>0</v>
      </c>
      <c r="H613" s="69">
        <f>SUMIF('Executive Pay Breakdown'!S:S,$B613,'Executive Pay Breakdown'!U:U)</f>
        <v>0</v>
      </c>
      <c r="I613" s="69">
        <f>SUMIF('Executive Pay Breakdown'!W:W,$B613,'Executive Pay Breakdown'!Y:Y)</f>
        <v>9600292</v>
      </c>
      <c r="J613" s="69">
        <f>SUMIF('Executive Pay Breakdown'!AA:AA,$B613,'Executive Pay Breakdown'!AC:AC)</f>
        <v>0</v>
      </c>
      <c r="K613" s="118"/>
      <c r="L613" s="212"/>
      <c r="M613" s="87"/>
      <c r="N613" s="87"/>
      <c r="O613" s="120" t="str">
        <f>MATCH(C613,'Key Findings'!B:B,0)</f>
        <v>#N/A</v>
      </c>
    </row>
    <row r="614" hidden="1">
      <c r="A614" s="81"/>
      <c r="B614" s="134" t="s">
        <v>779</v>
      </c>
      <c r="C614" s="87" t="s">
        <v>767</v>
      </c>
      <c r="D614" s="89">
        <f>SUMIF('Executive Pay Breakdown'!K:K,$B614,'Executive Pay Breakdown'!M:M)+SUMIF('Executive Pay Breakdown'!O:O,$B614,'Executive Pay Breakdown'!Q:Q)+SUMIF('Executive Pay Breakdown'!S:S,$B614,'Executive Pay Breakdown'!U:U)+SUMIF('Executive Pay Breakdown'!W:W,$B614,'Executive Pay Breakdown'!Y:Y)+SUMIF('Executive Pay Breakdown'!AA:AA,$B614,'Executive Pay Breakdown'!AC:AC)</f>
        <v>9100008</v>
      </c>
      <c r="E614" s="109"/>
      <c r="F614" s="69">
        <f>SUMIF('Executive Pay Breakdown'!K:K,$B614,'Executive Pay Breakdown'!M:M)</f>
        <v>0</v>
      </c>
      <c r="G614" s="69">
        <f>SUMIF('Executive Pay Breakdown'!O:O,$B614,'Executive Pay Breakdown'!Q:Q)</f>
        <v>9100008</v>
      </c>
      <c r="H614" s="69">
        <f>SUMIF('Executive Pay Breakdown'!S:S,$B614,'Executive Pay Breakdown'!U:U)</f>
        <v>0</v>
      </c>
      <c r="I614" s="69">
        <f>SUMIF('Executive Pay Breakdown'!W:W,$B614,'Executive Pay Breakdown'!Y:Y)</f>
        <v>0</v>
      </c>
      <c r="J614" s="69">
        <f>SUMIF('Executive Pay Breakdown'!AA:AA,$B614,'Executive Pay Breakdown'!AC:AC)</f>
        <v>0</v>
      </c>
      <c r="K614" s="118"/>
      <c r="L614" s="212"/>
      <c r="M614" s="212"/>
      <c r="N614" s="87"/>
      <c r="O614" s="120" t="str">
        <f>MATCH(C614,'Key Findings'!B:B,0)</f>
        <v>#N/A</v>
      </c>
    </row>
    <row r="615" hidden="1">
      <c r="A615" s="81"/>
      <c r="B615" s="134" t="s">
        <v>780</v>
      </c>
      <c r="C615" s="87" t="s">
        <v>781</v>
      </c>
      <c r="D615" s="89">
        <f>SUMIF('Executive Pay Breakdown'!K:K,$B615,'Executive Pay Breakdown'!M:M)+SUMIF('Executive Pay Breakdown'!O:O,$B615,'Executive Pay Breakdown'!Q:Q)+SUMIF('Executive Pay Breakdown'!S:S,$B615,'Executive Pay Breakdown'!U:U)+SUMIF('Executive Pay Breakdown'!W:W,$B615,'Executive Pay Breakdown'!Y:Y)+SUMIF('Executive Pay Breakdown'!AA:AA,$B615,'Executive Pay Breakdown'!AC:AC)</f>
        <v>195092460</v>
      </c>
      <c r="E615" s="109"/>
      <c r="F615" s="69">
        <f>SUMIF('Executive Pay Breakdown'!K:K,$B615,'Executive Pay Breakdown'!M:M)</f>
        <v>14998299</v>
      </c>
      <c r="G615" s="69">
        <f>SUMIF('Executive Pay Breakdown'!O:O,$B615,'Executive Pay Breakdown'!Q:Q)</f>
        <v>45899796</v>
      </c>
      <c r="H615" s="69">
        <f>SUMIF('Executive Pay Breakdown'!S:S,$B615,'Executive Pay Breakdown'!U:U)</f>
        <v>21031389</v>
      </c>
      <c r="I615" s="69">
        <f>SUMIF('Executive Pay Breakdown'!W:W,$B615,'Executive Pay Breakdown'!Y:Y)</f>
        <v>47517762</v>
      </c>
      <c r="J615" s="69">
        <f>SUMIF('Executive Pay Breakdown'!AA:AA,$B615,'Executive Pay Breakdown'!AC:AC)</f>
        <v>65645214</v>
      </c>
      <c r="K615" s="118"/>
      <c r="L615" s="212"/>
      <c r="M615" s="87"/>
      <c r="N615" s="230"/>
      <c r="O615" s="120" t="str">
        <f>MATCH(C615,'Key Findings'!B:B,0)</f>
        <v>#N/A</v>
      </c>
    </row>
    <row r="616" hidden="1">
      <c r="A616" s="81"/>
      <c r="B616" s="134" t="s">
        <v>782</v>
      </c>
      <c r="C616" s="87" t="s">
        <v>781</v>
      </c>
      <c r="D616" s="89">
        <f>SUMIF('Executive Pay Breakdown'!K:K,$B616,'Executive Pay Breakdown'!M:M)+SUMIF('Executive Pay Breakdown'!O:O,$B616,'Executive Pay Breakdown'!Q:Q)+SUMIF('Executive Pay Breakdown'!S:S,$B616,'Executive Pay Breakdown'!U:U)+SUMIF('Executive Pay Breakdown'!W:W,$B616,'Executive Pay Breakdown'!Y:Y)+SUMIF('Executive Pay Breakdown'!AA:AA,$B616,'Executive Pay Breakdown'!AC:AC)</f>
        <v>79775794</v>
      </c>
      <c r="E616" s="109"/>
      <c r="F616" s="69">
        <f>SUMIF('Executive Pay Breakdown'!K:K,$B616,'Executive Pay Breakdown'!M:M)</f>
        <v>20235669</v>
      </c>
      <c r="G616" s="69">
        <f>SUMIF('Executive Pay Breakdown'!O:O,$B616,'Executive Pay Breakdown'!Q:Q)</f>
        <v>21729215</v>
      </c>
      <c r="H616" s="69">
        <f>SUMIF('Executive Pay Breakdown'!S:S,$B616,'Executive Pay Breakdown'!U:U)</f>
        <v>10997005</v>
      </c>
      <c r="I616" s="69">
        <f>SUMIF('Executive Pay Breakdown'!W:W,$B616,'Executive Pay Breakdown'!Y:Y)</f>
        <v>14974155</v>
      </c>
      <c r="J616" s="69">
        <f>SUMIF('Executive Pay Breakdown'!AA:AA,$B616,'Executive Pay Breakdown'!AC:AC)</f>
        <v>11839750</v>
      </c>
      <c r="K616" s="118"/>
      <c r="L616" s="212"/>
      <c r="M616" s="87"/>
      <c r="N616" s="230"/>
      <c r="O616" s="120" t="str">
        <f>MATCH(C616,'Key Findings'!B:B,0)</f>
        <v>#N/A</v>
      </c>
    </row>
    <row r="617" hidden="1">
      <c r="A617" s="81"/>
      <c r="B617" s="134" t="s">
        <v>783</v>
      </c>
      <c r="C617" s="87" t="s">
        <v>781</v>
      </c>
      <c r="D617" s="89">
        <f>SUMIF('Executive Pay Breakdown'!K:K,$B617,'Executive Pay Breakdown'!M:M)+SUMIF('Executive Pay Breakdown'!O:O,$B617,'Executive Pay Breakdown'!Q:Q)+SUMIF('Executive Pay Breakdown'!S:S,$B617,'Executive Pay Breakdown'!U:U)+SUMIF('Executive Pay Breakdown'!W:W,$B617,'Executive Pay Breakdown'!Y:Y)+SUMIF('Executive Pay Breakdown'!AA:AA,$B617,'Executive Pay Breakdown'!AC:AC)</f>
        <v>70811232</v>
      </c>
      <c r="E617" s="109"/>
      <c r="F617" s="69">
        <f>SUMIF('Executive Pay Breakdown'!K:K,$B617,'Executive Pay Breakdown'!M:M)</f>
        <v>24183003</v>
      </c>
      <c r="G617" s="69">
        <f>SUMIF('Executive Pay Breakdown'!O:O,$B617,'Executive Pay Breakdown'!Q:Q)</f>
        <v>32464293</v>
      </c>
      <c r="H617" s="69">
        <f>SUMIF('Executive Pay Breakdown'!S:S,$B617,'Executive Pay Breakdown'!U:U)</f>
        <v>14163936</v>
      </c>
      <c r="I617" s="69">
        <f>SUMIF('Executive Pay Breakdown'!W:W,$B617,'Executive Pay Breakdown'!Y:Y)</f>
        <v>0</v>
      </c>
      <c r="J617" s="69">
        <f>SUMIF('Executive Pay Breakdown'!AA:AA,$B617,'Executive Pay Breakdown'!AC:AC)</f>
        <v>0</v>
      </c>
      <c r="K617" s="118"/>
      <c r="L617" s="212"/>
      <c r="M617" s="87"/>
      <c r="N617" s="87"/>
      <c r="O617" s="120" t="str">
        <f>MATCH(C617,'Key Findings'!B:B,0)</f>
        <v>#N/A</v>
      </c>
    </row>
    <row r="618" hidden="1">
      <c r="A618" s="81"/>
      <c r="B618" s="134" t="s">
        <v>784</v>
      </c>
      <c r="C618" s="87" t="s">
        <v>781</v>
      </c>
      <c r="D618" s="89">
        <f>SUMIF('Executive Pay Breakdown'!K:K,$B618,'Executive Pay Breakdown'!M:M)+SUMIF('Executive Pay Breakdown'!O:O,$B618,'Executive Pay Breakdown'!Q:Q)+SUMIF('Executive Pay Breakdown'!S:S,$B618,'Executive Pay Breakdown'!U:U)+SUMIF('Executive Pay Breakdown'!W:W,$B618,'Executive Pay Breakdown'!Y:Y)+SUMIF('Executive Pay Breakdown'!AA:AA,$B618,'Executive Pay Breakdown'!AC:AC)</f>
        <v>49916010</v>
      </c>
      <c r="E618" s="109"/>
      <c r="F618" s="69">
        <f>SUMIF('Executive Pay Breakdown'!K:K,$B618,'Executive Pay Breakdown'!M:M)</f>
        <v>0</v>
      </c>
      <c r="G618" s="69">
        <f>SUMIF('Executive Pay Breakdown'!O:O,$B618,'Executive Pay Breakdown'!Q:Q)</f>
        <v>16660864</v>
      </c>
      <c r="H618" s="69">
        <f>SUMIF('Executive Pay Breakdown'!S:S,$B618,'Executive Pay Breakdown'!U:U)</f>
        <v>9115736</v>
      </c>
      <c r="I618" s="69">
        <f>SUMIF('Executive Pay Breakdown'!W:W,$B618,'Executive Pay Breakdown'!Y:Y)</f>
        <v>13719880</v>
      </c>
      <c r="J618" s="69">
        <f>SUMIF('Executive Pay Breakdown'!AA:AA,$B618,'Executive Pay Breakdown'!AC:AC)</f>
        <v>10419530</v>
      </c>
      <c r="K618" s="118"/>
      <c r="L618" s="212"/>
      <c r="M618" s="87"/>
      <c r="N618" s="87"/>
      <c r="O618" s="120" t="str">
        <f>MATCH(C618,'Key Findings'!B:B,0)</f>
        <v>#N/A</v>
      </c>
    </row>
    <row r="619" hidden="1">
      <c r="A619" s="81"/>
      <c r="B619" s="134" t="s">
        <v>785</v>
      </c>
      <c r="C619" s="87" t="s">
        <v>781</v>
      </c>
      <c r="D619" s="89">
        <f>SUMIF('Executive Pay Breakdown'!K:K,$B619,'Executive Pay Breakdown'!M:M)+SUMIF('Executive Pay Breakdown'!O:O,$B619,'Executive Pay Breakdown'!Q:Q)+SUMIF('Executive Pay Breakdown'!S:S,$B619,'Executive Pay Breakdown'!U:U)+SUMIF('Executive Pay Breakdown'!W:W,$B619,'Executive Pay Breakdown'!Y:Y)+SUMIF('Executive Pay Breakdown'!AA:AA,$B619,'Executive Pay Breakdown'!AC:AC)</f>
        <v>31847389</v>
      </c>
      <c r="E619" s="109"/>
      <c r="F619" s="69">
        <f>SUMIF('Executive Pay Breakdown'!K:K,$B619,'Executive Pay Breakdown'!M:M)</f>
        <v>0</v>
      </c>
      <c r="G619" s="69">
        <f>SUMIF('Executive Pay Breakdown'!O:O,$B619,'Executive Pay Breakdown'!Q:Q)</f>
        <v>8726568</v>
      </c>
      <c r="H619" s="69">
        <f>SUMIF('Executive Pay Breakdown'!S:S,$B619,'Executive Pay Breakdown'!U:U)</f>
        <v>7291914</v>
      </c>
      <c r="I619" s="69">
        <f>SUMIF('Executive Pay Breakdown'!W:W,$B619,'Executive Pay Breakdown'!Y:Y)</f>
        <v>9020862</v>
      </c>
      <c r="J619" s="69">
        <f>SUMIF('Executive Pay Breakdown'!AA:AA,$B619,'Executive Pay Breakdown'!AC:AC)</f>
        <v>6808045</v>
      </c>
      <c r="K619" s="118"/>
      <c r="L619" s="212"/>
      <c r="M619" s="87"/>
      <c r="N619" s="87"/>
      <c r="O619" s="120" t="str">
        <f>MATCH(C619,'Key Findings'!B:B,0)</f>
        <v>#N/A</v>
      </c>
    </row>
    <row r="620" hidden="1">
      <c r="A620" s="81"/>
      <c r="B620" s="134" t="s">
        <v>786</v>
      </c>
      <c r="C620" s="87" t="s">
        <v>781</v>
      </c>
      <c r="D620" s="89">
        <f>SUMIF('Executive Pay Breakdown'!K:K,$B620,'Executive Pay Breakdown'!M:M)+SUMIF('Executive Pay Breakdown'!O:O,$B620,'Executive Pay Breakdown'!Q:Q)+SUMIF('Executive Pay Breakdown'!S:S,$B620,'Executive Pay Breakdown'!U:U)+SUMIF('Executive Pay Breakdown'!W:W,$B620,'Executive Pay Breakdown'!Y:Y)+SUMIF('Executive Pay Breakdown'!AA:AA,$B620,'Executive Pay Breakdown'!AC:AC)</f>
        <v>24757831</v>
      </c>
      <c r="E620" s="109"/>
      <c r="F620" s="69">
        <f>SUMIF('Executive Pay Breakdown'!K:K,$B620,'Executive Pay Breakdown'!M:M)</f>
        <v>0</v>
      </c>
      <c r="G620" s="69">
        <f>SUMIF('Executive Pay Breakdown'!O:O,$B620,'Executive Pay Breakdown'!Q:Q)</f>
        <v>7148410</v>
      </c>
      <c r="H620" s="69">
        <f>SUMIF('Executive Pay Breakdown'!S:S,$B620,'Executive Pay Breakdown'!U:U)</f>
        <v>4945851</v>
      </c>
      <c r="I620" s="69">
        <f>SUMIF('Executive Pay Breakdown'!W:W,$B620,'Executive Pay Breakdown'!Y:Y)</f>
        <v>7562791</v>
      </c>
      <c r="J620" s="69">
        <f>SUMIF('Executive Pay Breakdown'!AA:AA,$B620,'Executive Pay Breakdown'!AC:AC)</f>
        <v>5100779</v>
      </c>
      <c r="K620" s="118"/>
      <c r="L620" s="212"/>
      <c r="M620" s="87"/>
      <c r="N620" s="87"/>
      <c r="O620" s="120" t="str">
        <f>MATCH(C620,'Key Findings'!B:B,0)</f>
        <v>#N/A</v>
      </c>
    </row>
    <row r="621" hidden="1">
      <c r="A621" s="81"/>
      <c r="B621" s="134" t="s">
        <v>787</v>
      </c>
      <c r="C621" s="87" t="s">
        <v>781</v>
      </c>
      <c r="D621" s="89">
        <f>SUMIF('Executive Pay Breakdown'!K:K,$B621,'Executive Pay Breakdown'!M:M)+SUMIF('Executive Pay Breakdown'!O:O,$B621,'Executive Pay Breakdown'!Q:Q)+SUMIF('Executive Pay Breakdown'!S:S,$B621,'Executive Pay Breakdown'!U:U)+SUMIF('Executive Pay Breakdown'!W:W,$B621,'Executive Pay Breakdown'!Y:Y)+SUMIF('Executive Pay Breakdown'!AA:AA,$B621,'Executive Pay Breakdown'!AC:AC)</f>
        <v>15198008</v>
      </c>
      <c r="E621" s="109"/>
      <c r="F621" s="69">
        <f>SUMIF('Executive Pay Breakdown'!K:K,$B621,'Executive Pay Breakdown'!M:M)</f>
        <v>15198008</v>
      </c>
      <c r="G621" s="69">
        <f>SUMIF('Executive Pay Breakdown'!O:O,$B621,'Executive Pay Breakdown'!Q:Q)</f>
        <v>0</v>
      </c>
      <c r="H621" s="69">
        <f>SUMIF('Executive Pay Breakdown'!S:S,$B621,'Executive Pay Breakdown'!U:U)</f>
        <v>0</v>
      </c>
      <c r="I621" s="69">
        <f>SUMIF('Executive Pay Breakdown'!W:W,$B621,'Executive Pay Breakdown'!Y:Y)</f>
        <v>0</v>
      </c>
      <c r="J621" s="69">
        <f>SUMIF('Executive Pay Breakdown'!AA:AA,$B621,'Executive Pay Breakdown'!AC:AC)</f>
        <v>0</v>
      </c>
      <c r="K621" s="118"/>
      <c r="L621" s="212"/>
      <c r="M621" s="87"/>
      <c r="N621" s="230"/>
      <c r="O621" s="120" t="str">
        <f>MATCH(C621,'Key Findings'!B:B,0)</f>
        <v>#N/A</v>
      </c>
    </row>
    <row r="622" hidden="1">
      <c r="A622" s="81"/>
      <c r="B622" s="236" t="s">
        <v>788</v>
      </c>
      <c r="C622" s="87" t="s">
        <v>781</v>
      </c>
      <c r="D622" s="89">
        <f>SUMIF('Executive Pay Breakdown'!K:K,$B622,'Executive Pay Breakdown'!M:M)+SUMIF('Executive Pay Breakdown'!O:O,$B622,'Executive Pay Breakdown'!Q:Q)+SUMIF('Executive Pay Breakdown'!S:S,$B622,'Executive Pay Breakdown'!U:U)+SUMIF('Executive Pay Breakdown'!W:W,$B622,'Executive Pay Breakdown'!Y:Y)+SUMIF('Executive Pay Breakdown'!AA:AA,$B622,'Executive Pay Breakdown'!AC:AC)</f>
        <v>11620376</v>
      </c>
      <c r="E622" s="109"/>
      <c r="F622" s="69">
        <f>SUMIF('Executive Pay Breakdown'!K:K,$B622,'Executive Pay Breakdown'!M:M)</f>
        <v>0</v>
      </c>
      <c r="G622" s="69">
        <f>SUMIF('Executive Pay Breakdown'!O:O,$B622,'Executive Pay Breakdown'!Q:Q)</f>
        <v>0</v>
      </c>
      <c r="H622" s="69">
        <f>SUMIF('Executive Pay Breakdown'!S:S,$B622,'Executive Pay Breakdown'!U:U)</f>
        <v>0</v>
      </c>
      <c r="I622" s="69">
        <f>SUMIF('Executive Pay Breakdown'!W:W,$B622,'Executive Pay Breakdown'!Y:Y)</f>
        <v>0</v>
      </c>
      <c r="J622" s="69">
        <f>SUMIF('Executive Pay Breakdown'!AA:AA,$B622,'Executive Pay Breakdown'!AC:AC)</f>
        <v>11620376</v>
      </c>
      <c r="K622" s="118"/>
      <c r="L622" s="212"/>
      <c r="M622" s="87"/>
      <c r="N622" s="87"/>
      <c r="O622" s="120" t="str">
        <f>MATCH(C622,'Key Findings'!B:B,0)</f>
        <v>#N/A</v>
      </c>
    </row>
    <row r="623" hidden="1">
      <c r="A623" s="81"/>
      <c r="B623" s="134" t="s">
        <v>789</v>
      </c>
      <c r="C623" s="87" t="s">
        <v>781</v>
      </c>
      <c r="D623" s="89">
        <f>SUMIF('Executive Pay Breakdown'!K:K,$B623,'Executive Pay Breakdown'!M:M)+SUMIF('Executive Pay Breakdown'!O:O,$B623,'Executive Pay Breakdown'!Q:Q)+SUMIF('Executive Pay Breakdown'!S:S,$B623,'Executive Pay Breakdown'!U:U)+SUMIF('Executive Pay Breakdown'!W:W,$B623,'Executive Pay Breakdown'!Y:Y)+SUMIF('Executive Pay Breakdown'!AA:AA,$B623,'Executive Pay Breakdown'!AC:AC)</f>
        <v>8365403</v>
      </c>
      <c r="E623" s="109"/>
      <c r="F623" s="69">
        <f>SUMIF('Executive Pay Breakdown'!K:K,$B623,'Executive Pay Breakdown'!M:M)</f>
        <v>8365403</v>
      </c>
      <c r="G623" s="69">
        <f>SUMIF('Executive Pay Breakdown'!O:O,$B623,'Executive Pay Breakdown'!Q:Q)</f>
        <v>0</v>
      </c>
      <c r="H623" s="69">
        <f>SUMIF('Executive Pay Breakdown'!S:S,$B623,'Executive Pay Breakdown'!U:U)</f>
        <v>0</v>
      </c>
      <c r="I623" s="69">
        <f>SUMIF('Executive Pay Breakdown'!W:W,$B623,'Executive Pay Breakdown'!Y:Y)</f>
        <v>0</v>
      </c>
      <c r="J623" s="69">
        <f>SUMIF('Executive Pay Breakdown'!AA:AA,$B623,'Executive Pay Breakdown'!AC:AC)</f>
        <v>0</v>
      </c>
      <c r="K623" s="118"/>
      <c r="L623" s="212"/>
      <c r="M623" s="87"/>
      <c r="N623" s="230"/>
      <c r="O623" s="120" t="str">
        <f>MATCH(C623,'Key Findings'!B:B,0)</f>
        <v>#N/A</v>
      </c>
    </row>
    <row r="624" hidden="1">
      <c r="A624" s="81"/>
      <c r="B624" s="134" t="s">
        <v>790</v>
      </c>
      <c r="C624" s="87" t="s">
        <v>781</v>
      </c>
      <c r="D624" s="89">
        <f>SUMIF('Executive Pay Breakdown'!K:K,$B624,'Executive Pay Breakdown'!M:M)+SUMIF('Executive Pay Breakdown'!O:O,$B624,'Executive Pay Breakdown'!Q:Q)+SUMIF('Executive Pay Breakdown'!S:S,$B624,'Executive Pay Breakdown'!U:U)+SUMIF('Executive Pay Breakdown'!W:W,$B624,'Executive Pay Breakdown'!Y:Y)+SUMIF('Executive Pay Breakdown'!AA:AA,$B624,'Executive Pay Breakdown'!AC:AC)</f>
        <v>6232347</v>
      </c>
      <c r="E624" s="109"/>
      <c r="F624" s="69">
        <f>SUMIF('Executive Pay Breakdown'!K:K,$B624,'Executive Pay Breakdown'!M:M)</f>
        <v>6232347</v>
      </c>
      <c r="G624" s="69">
        <f>SUMIF('Executive Pay Breakdown'!O:O,$B624,'Executive Pay Breakdown'!Q:Q)</f>
        <v>0</v>
      </c>
      <c r="H624" s="69">
        <f>SUMIF('Executive Pay Breakdown'!S:S,$B624,'Executive Pay Breakdown'!U:U)</f>
        <v>0</v>
      </c>
      <c r="I624" s="69">
        <f>SUMIF('Executive Pay Breakdown'!W:W,$B624,'Executive Pay Breakdown'!Y:Y)</f>
        <v>0</v>
      </c>
      <c r="J624" s="69">
        <f>SUMIF('Executive Pay Breakdown'!AA:AA,$B624,'Executive Pay Breakdown'!AC:AC)</f>
        <v>0</v>
      </c>
      <c r="K624" s="118"/>
      <c r="L624" s="212"/>
      <c r="M624" s="87"/>
      <c r="N624" s="230"/>
      <c r="O624" s="120" t="str">
        <f>MATCH(C624,'Key Findings'!B:B,0)</f>
        <v>#N/A</v>
      </c>
    </row>
    <row r="625" hidden="1">
      <c r="A625" s="81"/>
      <c r="B625" s="134" t="s">
        <v>791</v>
      </c>
      <c r="C625" s="87" t="s">
        <v>781</v>
      </c>
      <c r="D625" s="89">
        <f>SUMIF('Executive Pay Breakdown'!K:K,$B625,'Executive Pay Breakdown'!M:M)+SUMIF('Executive Pay Breakdown'!O:O,$B625,'Executive Pay Breakdown'!Q:Q)+SUMIF('Executive Pay Breakdown'!S:S,$B625,'Executive Pay Breakdown'!U:U)+SUMIF('Executive Pay Breakdown'!W:W,$B625,'Executive Pay Breakdown'!Y:Y)+SUMIF('Executive Pay Breakdown'!AA:AA,$B625,'Executive Pay Breakdown'!AC:AC)</f>
        <v>5505489</v>
      </c>
      <c r="E625" s="109"/>
      <c r="F625" s="69">
        <f>SUMIF('Executive Pay Breakdown'!K:K,$B625,'Executive Pay Breakdown'!M:M)</f>
        <v>5505489</v>
      </c>
      <c r="G625" s="69">
        <f>SUMIF('Executive Pay Breakdown'!O:O,$B625,'Executive Pay Breakdown'!Q:Q)</f>
        <v>0</v>
      </c>
      <c r="H625" s="69">
        <f>SUMIF('Executive Pay Breakdown'!S:S,$B625,'Executive Pay Breakdown'!U:U)</f>
        <v>0</v>
      </c>
      <c r="I625" s="69">
        <f>SUMIF('Executive Pay Breakdown'!W:W,$B625,'Executive Pay Breakdown'!Y:Y)</f>
        <v>0</v>
      </c>
      <c r="J625" s="69">
        <f>SUMIF('Executive Pay Breakdown'!AA:AA,$B625,'Executive Pay Breakdown'!AC:AC)</f>
        <v>0</v>
      </c>
      <c r="K625" s="118"/>
      <c r="L625" s="212"/>
      <c r="M625" s="87"/>
      <c r="N625" s="230"/>
      <c r="O625" s="120" t="str">
        <f>MATCH(C625,'Key Findings'!B:B,0)</f>
        <v>#N/A</v>
      </c>
    </row>
    <row r="626" hidden="1">
      <c r="A626" s="81"/>
      <c r="B626" s="131" t="s">
        <v>792</v>
      </c>
      <c r="C626" s="87" t="s">
        <v>793</v>
      </c>
      <c r="D626" s="89">
        <f>SUMIF('Executive Pay Breakdown'!K:K,$B626,'Executive Pay Breakdown'!M:M)+SUMIF('Executive Pay Breakdown'!O:O,$B626,'Executive Pay Breakdown'!Q:Q)+SUMIF('Executive Pay Breakdown'!S:S,$B626,'Executive Pay Breakdown'!U:U)+SUMIF('Executive Pay Breakdown'!W:W,$B626,'Executive Pay Breakdown'!Y:Y)+SUMIF('Executive Pay Breakdown'!AA:AA,$B626,'Executive Pay Breakdown'!AC:AC)</f>
        <v>119275328</v>
      </c>
      <c r="E626" s="109"/>
      <c r="F626" s="69">
        <f>SUMIF('Executive Pay Breakdown'!K:K,$B626,'Executive Pay Breakdown'!M:M)</f>
        <v>25306714</v>
      </c>
      <c r="G626" s="69">
        <f>SUMIF('Executive Pay Breakdown'!O:O,$B626,'Executive Pay Breakdown'!Q:Q)</f>
        <v>25670673</v>
      </c>
      <c r="H626" s="69">
        <f>SUMIF('Executive Pay Breakdown'!S:S,$B626,'Executive Pay Breakdown'!U:U)</f>
        <v>22574358</v>
      </c>
      <c r="I626" s="69">
        <f>SUMIF('Executive Pay Breakdown'!W:W,$B626,'Executive Pay Breakdown'!Y:Y)</f>
        <v>22105350</v>
      </c>
      <c r="J626" s="69">
        <f>SUMIF('Executive Pay Breakdown'!AA:AA,$B626,'Executive Pay Breakdown'!AC:AC)</f>
        <v>23618233</v>
      </c>
      <c r="K626" s="118"/>
      <c r="L626" s="212"/>
      <c r="M626" s="87"/>
      <c r="N626" s="87"/>
      <c r="O626" s="120" t="str">
        <f>MATCH(C626,'Key Findings'!B:B,0)</f>
        <v>#N/A</v>
      </c>
    </row>
    <row r="627" hidden="1">
      <c r="A627" s="81"/>
      <c r="B627" s="125" t="s">
        <v>794</v>
      </c>
      <c r="C627" s="87" t="s">
        <v>793</v>
      </c>
      <c r="D627" s="89">
        <f>SUMIF('Executive Pay Breakdown'!K:K,$B627,'Executive Pay Breakdown'!M:M)+SUMIF('Executive Pay Breakdown'!O:O,$B627,'Executive Pay Breakdown'!Q:Q)+SUMIF('Executive Pay Breakdown'!S:S,$B627,'Executive Pay Breakdown'!U:U)+SUMIF('Executive Pay Breakdown'!W:W,$B627,'Executive Pay Breakdown'!Y:Y)+SUMIF('Executive Pay Breakdown'!AA:AA,$B627,'Executive Pay Breakdown'!AC:AC)</f>
        <v>90460700</v>
      </c>
      <c r="E627" s="109"/>
      <c r="F627" s="69">
        <f>SUMIF('Executive Pay Breakdown'!K:K,$B627,'Executive Pay Breakdown'!M:M)</f>
        <v>16118709</v>
      </c>
      <c r="G627" s="69">
        <f>SUMIF('Executive Pay Breakdown'!O:O,$B627,'Executive Pay Breakdown'!Q:Q)</f>
        <v>16706359</v>
      </c>
      <c r="H627" s="69">
        <f>SUMIF('Executive Pay Breakdown'!S:S,$B627,'Executive Pay Breakdown'!U:U)</f>
        <v>11736981</v>
      </c>
      <c r="I627" s="69">
        <f>SUMIF('Executive Pay Breakdown'!W:W,$B627,'Executive Pay Breakdown'!Y:Y)</f>
        <v>45898651</v>
      </c>
      <c r="J627" s="69">
        <f>SUMIF('Executive Pay Breakdown'!AA:AA,$B627,'Executive Pay Breakdown'!AC:AC)</f>
        <v>0</v>
      </c>
      <c r="K627" s="118"/>
      <c r="L627" s="212"/>
      <c r="M627" s="87"/>
      <c r="N627" s="230"/>
      <c r="O627" s="120" t="str">
        <f>MATCH(C627,'Key Findings'!B:B,0)</f>
        <v>#N/A</v>
      </c>
    </row>
    <row r="628" hidden="1">
      <c r="A628" s="81"/>
      <c r="B628" s="131" t="s">
        <v>795</v>
      </c>
      <c r="C628" s="87" t="s">
        <v>793</v>
      </c>
      <c r="D628" s="89">
        <f>SUMIF('Executive Pay Breakdown'!K:K,$B628,'Executive Pay Breakdown'!M:M)+SUMIF('Executive Pay Breakdown'!O:O,$B628,'Executive Pay Breakdown'!Q:Q)+SUMIF('Executive Pay Breakdown'!S:S,$B628,'Executive Pay Breakdown'!U:U)+SUMIF('Executive Pay Breakdown'!W:W,$B628,'Executive Pay Breakdown'!Y:Y)+SUMIF('Executive Pay Breakdown'!AA:AA,$B628,'Executive Pay Breakdown'!AC:AC)</f>
        <v>64915807</v>
      </c>
      <c r="E628" s="109"/>
      <c r="F628" s="69">
        <f>SUMIF('Executive Pay Breakdown'!K:K,$B628,'Executive Pay Breakdown'!M:M)</f>
        <v>13873842</v>
      </c>
      <c r="G628" s="69">
        <f>SUMIF('Executive Pay Breakdown'!O:O,$B628,'Executive Pay Breakdown'!Q:Q)</f>
        <v>13900433</v>
      </c>
      <c r="H628" s="69">
        <f>SUMIF('Executive Pay Breakdown'!S:S,$B628,'Executive Pay Breakdown'!U:U)</f>
        <v>12012919</v>
      </c>
      <c r="I628" s="69">
        <f>SUMIF('Executive Pay Breakdown'!W:W,$B628,'Executive Pay Breakdown'!Y:Y)</f>
        <v>12206289</v>
      </c>
      <c r="J628" s="69">
        <f>SUMIF('Executive Pay Breakdown'!AA:AA,$B628,'Executive Pay Breakdown'!AC:AC)</f>
        <v>12922324</v>
      </c>
      <c r="K628" s="118"/>
      <c r="L628" s="212"/>
      <c r="M628" s="87"/>
      <c r="N628" s="230"/>
      <c r="O628" s="120" t="str">
        <f>MATCH(C628,'Key Findings'!B:B,0)</f>
        <v>#N/A</v>
      </c>
    </row>
    <row r="629" hidden="1">
      <c r="A629" s="81"/>
      <c r="B629" s="131" t="s">
        <v>796</v>
      </c>
      <c r="C629" s="87" t="s">
        <v>793</v>
      </c>
      <c r="D629" s="89">
        <f>SUMIF('Executive Pay Breakdown'!K:K,$B629,'Executive Pay Breakdown'!M:M)+SUMIF('Executive Pay Breakdown'!O:O,$B629,'Executive Pay Breakdown'!Q:Q)+SUMIF('Executive Pay Breakdown'!S:S,$B629,'Executive Pay Breakdown'!U:U)+SUMIF('Executive Pay Breakdown'!W:W,$B629,'Executive Pay Breakdown'!Y:Y)+SUMIF('Executive Pay Breakdown'!AA:AA,$B629,'Executive Pay Breakdown'!AC:AC)</f>
        <v>59304521</v>
      </c>
      <c r="E629" s="109"/>
      <c r="F629" s="69">
        <f>SUMIF('Executive Pay Breakdown'!K:K,$B629,'Executive Pay Breakdown'!M:M)</f>
        <v>14115663</v>
      </c>
      <c r="G629" s="69">
        <f>SUMIF('Executive Pay Breakdown'!O:O,$B629,'Executive Pay Breakdown'!Q:Q)</f>
        <v>14695375</v>
      </c>
      <c r="H629" s="69">
        <f>SUMIF('Executive Pay Breakdown'!S:S,$B629,'Executive Pay Breakdown'!U:U)</f>
        <v>11331882</v>
      </c>
      <c r="I629" s="69">
        <f>SUMIF('Executive Pay Breakdown'!W:W,$B629,'Executive Pay Breakdown'!Y:Y)</f>
        <v>9874824</v>
      </c>
      <c r="J629" s="69">
        <f>SUMIF('Executive Pay Breakdown'!AA:AA,$B629,'Executive Pay Breakdown'!AC:AC)</f>
        <v>9286777</v>
      </c>
      <c r="K629" s="118"/>
      <c r="L629" s="212"/>
      <c r="M629" s="87"/>
      <c r="N629" s="230"/>
      <c r="O629" s="120" t="str">
        <f>MATCH(C629,'Key Findings'!B:B,0)</f>
        <v>#N/A</v>
      </c>
    </row>
    <row r="630" hidden="1">
      <c r="A630" s="81"/>
      <c r="B630" s="125" t="s">
        <v>797</v>
      </c>
      <c r="C630" s="87" t="s">
        <v>793</v>
      </c>
      <c r="D630" s="89">
        <f>SUMIF('Executive Pay Breakdown'!K:K,$B630,'Executive Pay Breakdown'!M:M)+SUMIF('Executive Pay Breakdown'!O:O,$B630,'Executive Pay Breakdown'!Q:Q)+SUMIF('Executive Pay Breakdown'!S:S,$B630,'Executive Pay Breakdown'!U:U)+SUMIF('Executive Pay Breakdown'!W:W,$B630,'Executive Pay Breakdown'!Y:Y)+SUMIF('Executive Pay Breakdown'!AA:AA,$B630,'Executive Pay Breakdown'!AC:AC)</f>
        <v>49942482</v>
      </c>
      <c r="E630" s="109"/>
      <c r="F630" s="69">
        <f>SUMIF('Executive Pay Breakdown'!K:K,$B630,'Executive Pay Breakdown'!M:M)</f>
        <v>11945883</v>
      </c>
      <c r="G630" s="69">
        <f>SUMIF('Executive Pay Breakdown'!O:O,$B630,'Executive Pay Breakdown'!Q:Q)</f>
        <v>11530221</v>
      </c>
      <c r="H630" s="69">
        <f>SUMIF('Executive Pay Breakdown'!S:S,$B630,'Executive Pay Breakdown'!U:U)</f>
        <v>12957671</v>
      </c>
      <c r="I630" s="69">
        <f>SUMIF('Executive Pay Breakdown'!W:W,$B630,'Executive Pay Breakdown'!Y:Y)</f>
        <v>13508707</v>
      </c>
      <c r="J630" s="69">
        <f>SUMIF('Executive Pay Breakdown'!AA:AA,$B630,'Executive Pay Breakdown'!AC:AC)</f>
        <v>0</v>
      </c>
      <c r="K630" s="118"/>
      <c r="L630" s="212"/>
      <c r="M630" s="87"/>
      <c r="N630" s="230"/>
      <c r="O630" s="120" t="str">
        <f>MATCH(C630,'Key Findings'!B:B,0)</f>
        <v>#N/A</v>
      </c>
    </row>
    <row r="631" hidden="1">
      <c r="A631" s="81"/>
      <c r="B631" s="125" t="s">
        <v>798</v>
      </c>
      <c r="C631" s="87" t="s">
        <v>793</v>
      </c>
      <c r="D631" s="89">
        <f>SUMIF('Executive Pay Breakdown'!K:K,$B631,'Executive Pay Breakdown'!M:M)+SUMIF('Executive Pay Breakdown'!O:O,$B631,'Executive Pay Breakdown'!Q:Q)+SUMIF('Executive Pay Breakdown'!S:S,$B631,'Executive Pay Breakdown'!U:U)+SUMIF('Executive Pay Breakdown'!W:W,$B631,'Executive Pay Breakdown'!Y:Y)+SUMIF('Executive Pay Breakdown'!AA:AA,$B631,'Executive Pay Breakdown'!AC:AC)</f>
        <v>39725601</v>
      </c>
      <c r="E631" s="109"/>
      <c r="F631" s="69">
        <f>SUMIF('Executive Pay Breakdown'!K:K,$B631,'Executive Pay Breakdown'!M:M)</f>
        <v>39725601</v>
      </c>
      <c r="G631" s="69">
        <f>SUMIF('Executive Pay Breakdown'!O:O,$B631,'Executive Pay Breakdown'!Q:Q)</f>
        <v>0</v>
      </c>
      <c r="H631" s="69">
        <f>SUMIF('Executive Pay Breakdown'!S:S,$B631,'Executive Pay Breakdown'!U:U)</f>
        <v>0</v>
      </c>
      <c r="I631" s="69">
        <f>SUMIF('Executive Pay Breakdown'!W:W,$B631,'Executive Pay Breakdown'!Y:Y)</f>
        <v>0</v>
      </c>
      <c r="J631" s="69">
        <f>SUMIF('Executive Pay Breakdown'!AA:AA,$B631,'Executive Pay Breakdown'!AC:AC)</f>
        <v>0</v>
      </c>
      <c r="K631" s="118"/>
      <c r="L631" s="212"/>
      <c r="M631" s="87"/>
      <c r="N631" s="87"/>
      <c r="O631" s="120" t="str">
        <f>MATCH(C631,'Key Findings'!B:B,0)</f>
        <v>#N/A</v>
      </c>
    </row>
    <row r="632" hidden="1">
      <c r="A632" s="81"/>
      <c r="B632" s="131" t="s">
        <v>799</v>
      </c>
      <c r="C632" s="87" t="s">
        <v>793</v>
      </c>
      <c r="D632" s="89">
        <f>SUMIF('Executive Pay Breakdown'!K:K,$B632,'Executive Pay Breakdown'!M:M)+SUMIF('Executive Pay Breakdown'!O:O,$B632,'Executive Pay Breakdown'!Q:Q)+SUMIF('Executive Pay Breakdown'!S:S,$B632,'Executive Pay Breakdown'!U:U)+SUMIF('Executive Pay Breakdown'!W:W,$B632,'Executive Pay Breakdown'!Y:Y)+SUMIF('Executive Pay Breakdown'!AA:AA,$B632,'Executive Pay Breakdown'!AC:AC)</f>
        <v>32850622</v>
      </c>
      <c r="E632" s="109"/>
      <c r="F632" s="69">
        <f>SUMIF('Executive Pay Breakdown'!K:K,$B632,'Executive Pay Breakdown'!M:M)</f>
        <v>2029988</v>
      </c>
      <c r="G632" s="69">
        <f>SUMIF('Executive Pay Breakdown'!O:O,$B632,'Executive Pay Breakdown'!Q:Q)</f>
        <v>3478626</v>
      </c>
      <c r="H632" s="69">
        <f>SUMIF('Executive Pay Breakdown'!S:S,$B632,'Executive Pay Breakdown'!U:U)</f>
        <v>9123103</v>
      </c>
      <c r="I632" s="69">
        <f>SUMIF('Executive Pay Breakdown'!W:W,$B632,'Executive Pay Breakdown'!Y:Y)</f>
        <v>8798491</v>
      </c>
      <c r="J632" s="69">
        <f>SUMIF('Executive Pay Breakdown'!AA:AA,$B632,'Executive Pay Breakdown'!AC:AC)</f>
        <v>9420414</v>
      </c>
      <c r="K632" s="118"/>
      <c r="L632" s="212"/>
      <c r="M632" s="87"/>
      <c r="N632" s="230"/>
      <c r="O632" s="120" t="str">
        <f>MATCH(C632,'Key Findings'!B:B,0)</f>
        <v>#N/A</v>
      </c>
    </row>
    <row r="633" hidden="1">
      <c r="A633" s="81"/>
      <c r="B633" s="131" t="s">
        <v>800</v>
      </c>
      <c r="C633" s="87" t="s">
        <v>793</v>
      </c>
      <c r="D633" s="89">
        <f>SUMIF('Executive Pay Breakdown'!K:K,$B633,'Executive Pay Breakdown'!M:M)+SUMIF('Executive Pay Breakdown'!O:O,$B633,'Executive Pay Breakdown'!Q:Q)+SUMIF('Executive Pay Breakdown'!S:S,$B633,'Executive Pay Breakdown'!U:U)+SUMIF('Executive Pay Breakdown'!W:W,$B633,'Executive Pay Breakdown'!Y:Y)+SUMIF('Executive Pay Breakdown'!AA:AA,$B633,'Executive Pay Breakdown'!AC:AC)</f>
        <v>13466127</v>
      </c>
      <c r="E633" s="109"/>
      <c r="F633" s="69">
        <f>SUMIF('Executive Pay Breakdown'!K:K,$B633,'Executive Pay Breakdown'!M:M)</f>
        <v>0</v>
      </c>
      <c r="G633" s="69">
        <f>SUMIF('Executive Pay Breakdown'!O:O,$B633,'Executive Pay Breakdown'!Q:Q)</f>
        <v>0</v>
      </c>
      <c r="H633" s="69">
        <f>SUMIF('Executive Pay Breakdown'!S:S,$B633,'Executive Pay Breakdown'!U:U)</f>
        <v>0</v>
      </c>
      <c r="I633" s="69">
        <f>SUMIF('Executive Pay Breakdown'!W:W,$B633,'Executive Pay Breakdown'!Y:Y)</f>
        <v>0</v>
      </c>
      <c r="J633" s="69">
        <f>SUMIF('Executive Pay Breakdown'!AA:AA,$B633,'Executive Pay Breakdown'!AC:AC)</f>
        <v>13466127</v>
      </c>
      <c r="K633" s="118"/>
      <c r="L633" s="212"/>
      <c r="M633" s="87"/>
      <c r="N633" s="87"/>
      <c r="O633" s="120" t="str">
        <f>MATCH(C633,'Key Findings'!B:B,0)</f>
        <v>#N/A</v>
      </c>
    </row>
    <row r="634" hidden="1">
      <c r="A634" s="62"/>
      <c r="B634" s="127" t="s">
        <v>801</v>
      </c>
      <c r="C634" s="87" t="s">
        <v>802</v>
      </c>
      <c r="D634" s="89">
        <f>SUMIF('Executive Pay Breakdown'!K:K,$B634,'Executive Pay Breakdown'!M:M)+SUMIF('Executive Pay Breakdown'!O:O,$B634,'Executive Pay Breakdown'!Q:Q)+SUMIF('Executive Pay Breakdown'!S:S,$B634,'Executive Pay Breakdown'!U:U)+SUMIF('Executive Pay Breakdown'!W:W,$B634,'Executive Pay Breakdown'!Y:Y)+SUMIF('Executive Pay Breakdown'!AA:AA,$B634,'Executive Pay Breakdown'!AC:AC)</f>
        <v>129173085</v>
      </c>
      <c r="E634" s="109"/>
      <c r="F634" s="69">
        <f>SUMIF('Executive Pay Breakdown'!K:K,$B634,'Executive Pay Breakdown'!M:M)</f>
        <v>28103602</v>
      </c>
      <c r="G634" s="69">
        <f>SUMIF('Executive Pay Breakdown'!O:O,$B634,'Executive Pay Breakdown'!Q:Q)</f>
        <v>30944838</v>
      </c>
      <c r="H634" s="69">
        <f>SUMIF('Executive Pay Breakdown'!S:S,$B634,'Executive Pay Breakdown'!U:U)</f>
        <v>26364928</v>
      </c>
      <c r="I634" s="69">
        <f>SUMIF('Executive Pay Breakdown'!W:W,$B634,'Executive Pay Breakdown'!Y:Y)</f>
        <v>24265771</v>
      </c>
      <c r="J634" s="69">
        <f>SUMIF('Executive Pay Breakdown'!AA:AA,$B634,'Executive Pay Breakdown'!AC:AC)</f>
        <v>19493946</v>
      </c>
      <c r="K634" s="118"/>
      <c r="L634" s="212"/>
      <c r="M634" s="87"/>
      <c r="N634" s="87"/>
      <c r="O634" s="120" t="str">
        <f>MATCH(C634,'Key Findings'!B:B,0)</f>
        <v>#N/A</v>
      </c>
    </row>
    <row r="635" hidden="1">
      <c r="A635" s="62"/>
      <c r="B635" s="127" t="s">
        <v>803</v>
      </c>
      <c r="C635" s="87" t="s">
        <v>802</v>
      </c>
      <c r="D635" s="89">
        <f>SUMIF('Executive Pay Breakdown'!K:K,$B635,'Executive Pay Breakdown'!M:M)+SUMIF('Executive Pay Breakdown'!O:O,$B635,'Executive Pay Breakdown'!Q:Q)+SUMIF('Executive Pay Breakdown'!S:S,$B635,'Executive Pay Breakdown'!U:U)+SUMIF('Executive Pay Breakdown'!W:W,$B635,'Executive Pay Breakdown'!Y:Y)+SUMIF('Executive Pay Breakdown'!AA:AA,$B635,'Executive Pay Breakdown'!AC:AC)</f>
        <v>74845886</v>
      </c>
      <c r="E635" s="109"/>
      <c r="F635" s="69">
        <f>SUMIF('Executive Pay Breakdown'!K:K,$B635,'Executive Pay Breakdown'!M:M)</f>
        <v>17107835</v>
      </c>
      <c r="G635" s="69">
        <f>SUMIF('Executive Pay Breakdown'!O:O,$B635,'Executive Pay Breakdown'!Q:Q)</f>
        <v>17817692</v>
      </c>
      <c r="H635" s="69">
        <f>SUMIF('Executive Pay Breakdown'!S:S,$B635,'Executive Pay Breakdown'!U:U)</f>
        <v>14955272</v>
      </c>
      <c r="I635" s="69">
        <f>SUMIF('Executive Pay Breakdown'!W:W,$B635,'Executive Pay Breakdown'!Y:Y)</f>
        <v>11810570</v>
      </c>
      <c r="J635" s="69">
        <f>SUMIF('Executive Pay Breakdown'!AA:AA,$B635,'Executive Pay Breakdown'!AC:AC)</f>
        <v>13154517</v>
      </c>
      <c r="K635" s="118"/>
      <c r="L635" s="212"/>
      <c r="M635" s="87"/>
      <c r="N635" s="230"/>
      <c r="O635" s="120" t="str">
        <f>MATCH(C635,'Key Findings'!B:B,0)</f>
        <v>#N/A</v>
      </c>
    </row>
    <row r="636" hidden="1">
      <c r="A636" s="62"/>
      <c r="B636" s="127" t="s">
        <v>804</v>
      </c>
      <c r="C636" s="87" t="s">
        <v>802</v>
      </c>
      <c r="D636" s="89">
        <f>SUMIF('Executive Pay Breakdown'!K:K,$B636,'Executive Pay Breakdown'!M:M)+SUMIF('Executive Pay Breakdown'!O:O,$B636,'Executive Pay Breakdown'!Q:Q)+SUMIF('Executive Pay Breakdown'!S:S,$B636,'Executive Pay Breakdown'!U:U)+SUMIF('Executive Pay Breakdown'!W:W,$B636,'Executive Pay Breakdown'!Y:Y)+SUMIF('Executive Pay Breakdown'!AA:AA,$B636,'Executive Pay Breakdown'!AC:AC)</f>
        <v>73184923</v>
      </c>
      <c r="E636" s="109"/>
      <c r="F636" s="69">
        <f>SUMIF('Executive Pay Breakdown'!K:K,$B636,'Executive Pay Breakdown'!M:M)</f>
        <v>16356415</v>
      </c>
      <c r="G636" s="69">
        <f>SUMIF('Executive Pay Breakdown'!O:O,$B636,'Executive Pay Breakdown'!Q:Q)</f>
        <v>17131764</v>
      </c>
      <c r="H636" s="69">
        <f>SUMIF('Executive Pay Breakdown'!S:S,$B636,'Executive Pay Breakdown'!U:U)</f>
        <v>14322301</v>
      </c>
      <c r="I636" s="69">
        <f>SUMIF('Executive Pay Breakdown'!W:W,$B636,'Executive Pay Breakdown'!Y:Y)</f>
        <v>12088417</v>
      </c>
      <c r="J636" s="69">
        <f>SUMIF('Executive Pay Breakdown'!AA:AA,$B636,'Executive Pay Breakdown'!AC:AC)</f>
        <v>13286026</v>
      </c>
      <c r="K636" s="118"/>
      <c r="L636" s="212"/>
      <c r="M636" s="87"/>
      <c r="N636" s="230"/>
      <c r="O636" s="120" t="str">
        <f>MATCH(C636,'Key Findings'!B:B,0)</f>
        <v>#N/A</v>
      </c>
    </row>
    <row r="637" hidden="1">
      <c r="A637" s="62"/>
      <c r="B637" s="127" t="s">
        <v>805</v>
      </c>
      <c r="C637" s="87" t="s">
        <v>802</v>
      </c>
      <c r="D637" s="89">
        <f>SUMIF('Executive Pay Breakdown'!K:K,$B637,'Executive Pay Breakdown'!M:M)+SUMIF('Executive Pay Breakdown'!O:O,$B637,'Executive Pay Breakdown'!Q:Q)+SUMIF('Executive Pay Breakdown'!S:S,$B637,'Executive Pay Breakdown'!U:U)+SUMIF('Executive Pay Breakdown'!W:W,$B637,'Executive Pay Breakdown'!Y:Y)+SUMIF('Executive Pay Breakdown'!AA:AA,$B637,'Executive Pay Breakdown'!AC:AC)</f>
        <v>67318190</v>
      </c>
      <c r="E637" s="109"/>
      <c r="F637" s="69">
        <f>SUMIF('Executive Pay Breakdown'!K:K,$B637,'Executive Pay Breakdown'!M:M)</f>
        <v>14537263</v>
      </c>
      <c r="G637" s="69">
        <f>SUMIF('Executive Pay Breakdown'!O:O,$B637,'Executive Pay Breakdown'!Q:Q)</f>
        <v>15574416</v>
      </c>
      <c r="H637" s="69">
        <f>SUMIF('Executive Pay Breakdown'!S:S,$B637,'Executive Pay Breakdown'!U:U)</f>
        <v>13049853</v>
      </c>
      <c r="I637" s="69">
        <f>SUMIF('Executive Pay Breakdown'!W:W,$B637,'Executive Pay Breakdown'!Y:Y)</f>
        <v>11586718</v>
      </c>
      <c r="J637" s="69">
        <f>SUMIF('Executive Pay Breakdown'!AA:AA,$B637,'Executive Pay Breakdown'!AC:AC)</f>
        <v>12569940</v>
      </c>
      <c r="K637" s="118"/>
      <c r="L637" s="212"/>
      <c r="M637" s="87"/>
      <c r="N637" s="230"/>
      <c r="O637" s="120" t="str">
        <f>MATCH(C637,'Key Findings'!B:B,0)</f>
        <v>#N/A</v>
      </c>
    </row>
    <row r="638" hidden="1">
      <c r="A638" s="62"/>
      <c r="B638" s="127" t="s">
        <v>806</v>
      </c>
      <c r="C638" s="87" t="s">
        <v>802</v>
      </c>
      <c r="D638" s="89">
        <f>SUMIF('Executive Pay Breakdown'!K:K,$B638,'Executive Pay Breakdown'!M:M)+SUMIF('Executive Pay Breakdown'!O:O,$B638,'Executive Pay Breakdown'!Q:Q)+SUMIF('Executive Pay Breakdown'!S:S,$B638,'Executive Pay Breakdown'!U:U)+SUMIF('Executive Pay Breakdown'!W:W,$B638,'Executive Pay Breakdown'!Y:Y)+SUMIF('Executive Pay Breakdown'!AA:AA,$B638,'Executive Pay Breakdown'!AC:AC)</f>
        <v>37015672</v>
      </c>
      <c r="E638" s="109"/>
      <c r="F638" s="69">
        <f>SUMIF('Executive Pay Breakdown'!K:K,$B638,'Executive Pay Breakdown'!M:M)</f>
        <v>9343213</v>
      </c>
      <c r="G638" s="69">
        <f>SUMIF('Executive Pay Breakdown'!O:O,$B638,'Executive Pay Breakdown'!Q:Q)</f>
        <v>8181312</v>
      </c>
      <c r="H638" s="69">
        <f>SUMIF('Executive Pay Breakdown'!S:S,$B638,'Executive Pay Breakdown'!U:U)</f>
        <v>6725466</v>
      </c>
      <c r="I638" s="69">
        <f>SUMIF('Executive Pay Breakdown'!W:W,$B638,'Executive Pay Breakdown'!Y:Y)</f>
        <v>6343064</v>
      </c>
      <c r="J638" s="69">
        <f>SUMIF('Executive Pay Breakdown'!AA:AA,$B638,'Executive Pay Breakdown'!AC:AC)</f>
        <v>6422617</v>
      </c>
      <c r="K638" s="118"/>
      <c r="L638" s="212"/>
      <c r="M638" s="87"/>
      <c r="N638" s="230"/>
      <c r="O638" s="120" t="str">
        <f>MATCH(C638,'Key Findings'!B:B,0)</f>
        <v>#N/A</v>
      </c>
    </row>
    <row r="639" hidden="1">
      <c r="A639" s="62"/>
      <c r="B639" s="127" t="s">
        <v>807</v>
      </c>
      <c r="C639" s="87" t="s">
        <v>802</v>
      </c>
      <c r="D639" s="89">
        <f>SUMIF('Executive Pay Breakdown'!K:K,$B639,'Executive Pay Breakdown'!M:M)+SUMIF('Executive Pay Breakdown'!O:O,$B639,'Executive Pay Breakdown'!Q:Q)+SUMIF('Executive Pay Breakdown'!S:S,$B639,'Executive Pay Breakdown'!U:U)+SUMIF('Executive Pay Breakdown'!W:W,$B639,'Executive Pay Breakdown'!Y:Y)+SUMIF('Executive Pay Breakdown'!AA:AA,$B639,'Executive Pay Breakdown'!AC:AC)</f>
        <v>23059878</v>
      </c>
      <c r="E639" s="109"/>
      <c r="F639" s="69">
        <f>SUMIF('Executive Pay Breakdown'!K:K,$B639,'Executive Pay Breakdown'!M:M)</f>
        <v>0</v>
      </c>
      <c r="G639" s="69">
        <f>SUMIF('Executive Pay Breakdown'!O:O,$B639,'Executive Pay Breakdown'!Q:Q)</f>
        <v>0</v>
      </c>
      <c r="H639" s="69">
        <f>SUMIF('Executive Pay Breakdown'!S:S,$B639,'Executive Pay Breakdown'!U:U)</f>
        <v>23059878</v>
      </c>
      <c r="I639" s="69">
        <f>SUMIF('Executive Pay Breakdown'!W:W,$B639,'Executive Pay Breakdown'!Y:Y)</f>
        <v>0</v>
      </c>
      <c r="J639" s="69">
        <f>SUMIF('Executive Pay Breakdown'!AA:AA,$B639,'Executive Pay Breakdown'!AC:AC)</f>
        <v>0</v>
      </c>
      <c r="K639" s="118"/>
      <c r="L639" s="212"/>
      <c r="M639" s="87"/>
      <c r="N639" s="87"/>
      <c r="O639" s="120" t="str">
        <f>MATCH(C639,'Key Findings'!B:B,0)</f>
        <v>#N/A</v>
      </c>
    </row>
    <row r="640" hidden="1">
      <c r="A640" s="81"/>
      <c r="B640" s="87" t="s">
        <v>808</v>
      </c>
      <c r="C640" s="87" t="s">
        <v>809</v>
      </c>
      <c r="D640" s="89">
        <f>SUMIF('Executive Pay Breakdown'!K:K,$B640,'Executive Pay Breakdown'!M:M)+SUMIF('Executive Pay Breakdown'!O:O,$B640,'Executive Pay Breakdown'!Q:Q)+SUMIF('Executive Pay Breakdown'!S:S,$B640,'Executive Pay Breakdown'!U:U)+SUMIF('Executive Pay Breakdown'!W:W,$B640,'Executive Pay Breakdown'!Y:Y)+SUMIF('Executive Pay Breakdown'!AA:AA,$B640,'Executive Pay Breakdown'!AC:AC)</f>
        <v>99574644</v>
      </c>
      <c r="E640" s="109"/>
      <c r="F640" s="69">
        <f>SUMIF('Executive Pay Breakdown'!K:K,$B640,'Executive Pay Breakdown'!M:M)</f>
        <v>19832750</v>
      </c>
      <c r="G640" s="69">
        <f>SUMIF('Executive Pay Breakdown'!O:O,$B640,'Executive Pay Breakdown'!Q:Q)</f>
        <v>20342871</v>
      </c>
      <c r="H640" s="69">
        <f>SUMIF('Executive Pay Breakdown'!S:S,$B640,'Executive Pay Breakdown'!U:U)</f>
        <v>19097582</v>
      </c>
      <c r="I640" s="69">
        <f>SUMIF('Executive Pay Breakdown'!W:W,$B640,'Executive Pay Breakdown'!Y:Y)</f>
        <v>18095355</v>
      </c>
      <c r="J640" s="69">
        <f>SUMIF('Executive Pay Breakdown'!AA:AA,$B640,'Executive Pay Breakdown'!AC:AC)</f>
        <v>22206086</v>
      </c>
      <c r="K640" s="118"/>
      <c r="L640" s="212"/>
      <c r="M640" s="87"/>
      <c r="N640" s="230"/>
      <c r="O640" s="120" t="str">
        <f>MATCH(C640,'Key Findings'!B:B,0)</f>
        <v>#N/A</v>
      </c>
    </row>
    <row r="641" hidden="1">
      <c r="A641" s="81"/>
      <c r="B641" s="87" t="s">
        <v>810</v>
      </c>
      <c r="C641" s="87" t="s">
        <v>809</v>
      </c>
      <c r="D641" s="89">
        <f>SUMIF('Executive Pay Breakdown'!K:K,$B641,'Executive Pay Breakdown'!M:M)+SUMIF('Executive Pay Breakdown'!O:O,$B641,'Executive Pay Breakdown'!Q:Q)+SUMIF('Executive Pay Breakdown'!S:S,$B641,'Executive Pay Breakdown'!U:U)+SUMIF('Executive Pay Breakdown'!W:W,$B641,'Executive Pay Breakdown'!Y:Y)+SUMIF('Executive Pay Breakdown'!AA:AA,$B641,'Executive Pay Breakdown'!AC:AC)</f>
        <v>42827053</v>
      </c>
      <c r="E641" s="109"/>
      <c r="F641" s="69">
        <f>SUMIF('Executive Pay Breakdown'!K:K,$B641,'Executive Pay Breakdown'!M:M)</f>
        <v>9379303</v>
      </c>
      <c r="G641" s="69">
        <f>SUMIF('Executive Pay Breakdown'!O:O,$B641,'Executive Pay Breakdown'!Q:Q)</f>
        <v>9111889</v>
      </c>
      <c r="H641" s="69">
        <f>SUMIF('Executive Pay Breakdown'!S:S,$B641,'Executive Pay Breakdown'!U:U)</f>
        <v>8826268</v>
      </c>
      <c r="I641" s="69">
        <f>SUMIF('Executive Pay Breakdown'!W:W,$B641,'Executive Pay Breakdown'!Y:Y)</f>
        <v>8448917</v>
      </c>
      <c r="J641" s="69">
        <f>SUMIF('Executive Pay Breakdown'!AA:AA,$B641,'Executive Pay Breakdown'!AC:AC)</f>
        <v>7060676</v>
      </c>
      <c r="K641" s="118"/>
      <c r="L641" s="212"/>
      <c r="M641" s="87"/>
      <c r="N641" s="230"/>
      <c r="O641" s="120" t="str">
        <f>MATCH(C641,'Key Findings'!B:B,0)</f>
        <v>#N/A</v>
      </c>
    </row>
    <row r="642" hidden="1">
      <c r="A642" s="81"/>
      <c r="B642" s="133" t="s">
        <v>811</v>
      </c>
      <c r="C642" s="87" t="s">
        <v>809</v>
      </c>
      <c r="D642" s="89">
        <f>SUMIF('Executive Pay Breakdown'!K:K,$B642,'Executive Pay Breakdown'!M:M)+SUMIF('Executive Pay Breakdown'!O:O,$B642,'Executive Pay Breakdown'!Q:Q)+SUMIF('Executive Pay Breakdown'!S:S,$B642,'Executive Pay Breakdown'!U:U)+SUMIF('Executive Pay Breakdown'!W:W,$B642,'Executive Pay Breakdown'!Y:Y)+SUMIF('Executive Pay Breakdown'!AA:AA,$B642,'Executive Pay Breakdown'!AC:AC)</f>
        <v>38717769</v>
      </c>
      <c r="E642" s="109"/>
      <c r="F642" s="69">
        <f>SUMIF('Executive Pay Breakdown'!K:K,$B642,'Executive Pay Breakdown'!M:M)</f>
        <v>13870203</v>
      </c>
      <c r="G642" s="69">
        <f>SUMIF('Executive Pay Breakdown'!O:O,$B642,'Executive Pay Breakdown'!Q:Q)</f>
        <v>8868479</v>
      </c>
      <c r="H642" s="69">
        <f>SUMIF('Executive Pay Breakdown'!S:S,$B642,'Executive Pay Breakdown'!U:U)</f>
        <v>8267794</v>
      </c>
      <c r="I642" s="69">
        <f>SUMIF('Executive Pay Breakdown'!W:W,$B642,'Executive Pay Breakdown'!Y:Y)</f>
        <v>7711293</v>
      </c>
      <c r="J642" s="69">
        <f>SUMIF('Executive Pay Breakdown'!AA:AA,$B642,'Executive Pay Breakdown'!AC:AC)</f>
        <v>0</v>
      </c>
      <c r="K642" s="118"/>
      <c r="L642" s="212"/>
      <c r="M642" s="87"/>
      <c r="N642" s="230"/>
      <c r="O642" s="120" t="str">
        <f>MATCH(C642,'Key Findings'!B:B,0)</f>
        <v>#N/A</v>
      </c>
    </row>
    <row r="643" hidden="1">
      <c r="A643" s="81"/>
      <c r="B643" s="133" t="s">
        <v>812</v>
      </c>
      <c r="C643" s="87" t="s">
        <v>809</v>
      </c>
      <c r="D643" s="89">
        <f>SUMIF('Executive Pay Breakdown'!K:K,$B643,'Executive Pay Breakdown'!M:M)+SUMIF('Executive Pay Breakdown'!O:O,$B643,'Executive Pay Breakdown'!Q:Q)+SUMIF('Executive Pay Breakdown'!S:S,$B643,'Executive Pay Breakdown'!U:U)+SUMIF('Executive Pay Breakdown'!W:W,$B643,'Executive Pay Breakdown'!Y:Y)+SUMIF('Executive Pay Breakdown'!AA:AA,$B643,'Executive Pay Breakdown'!AC:AC)</f>
        <v>38446193</v>
      </c>
      <c r="E643" s="109"/>
      <c r="F643" s="69">
        <f>SUMIF('Executive Pay Breakdown'!K:K,$B643,'Executive Pay Breakdown'!M:M)</f>
        <v>0</v>
      </c>
      <c r="G643" s="69">
        <f>SUMIF('Executive Pay Breakdown'!O:O,$B643,'Executive Pay Breakdown'!Q:Q)</f>
        <v>9964442</v>
      </c>
      <c r="H643" s="69">
        <f>SUMIF('Executive Pay Breakdown'!S:S,$B643,'Executive Pay Breakdown'!U:U)</f>
        <v>7842875</v>
      </c>
      <c r="I643" s="69">
        <f>SUMIF('Executive Pay Breakdown'!W:W,$B643,'Executive Pay Breakdown'!Y:Y)</f>
        <v>7885938</v>
      </c>
      <c r="J643" s="69">
        <f>SUMIF('Executive Pay Breakdown'!AA:AA,$B643,'Executive Pay Breakdown'!AC:AC)</f>
        <v>12752938</v>
      </c>
      <c r="K643" s="118"/>
      <c r="L643" s="212"/>
      <c r="M643" s="87"/>
      <c r="N643" s="87"/>
      <c r="O643" s="120" t="str">
        <f>MATCH(C643,'Key Findings'!B:B,0)</f>
        <v>#N/A</v>
      </c>
    </row>
    <row r="644" hidden="1">
      <c r="A644" s="81"/>
      <c r="B644" s="133" t="s">
        <v>813</v>
      </c>
      <c r="C644" s="87" t="s">
        <v>809</v>
      </c>
      <c r="D644" s="89">
        <f>SUMIF('Executive Pay Breakdown'!K:K,$B644,'Executive Pay Breakdown'!M:M)+SUMIF('Executive Pay Breakdown'!O:O,$B644,'Executive Pay Breakdown'!Q:Q)+SUMIF('Executive Pay Breakdown'!S:S,$B644,'Executive Pay Breakdown'!U:U)+SUMIF('Executive Pay Breakdown'!W:W,$B644,'Executive Pay Breakdown'!Y:Y)+SUMIF('Executive Pay Breakdown'!AA:AA,$B644,'Executive Pay Breakdown'!AC:AC)</f>
        <v>35707528</v>
      </c>
      <c r="E644" s="109"/>
      <c r="F644" s="69">
        <f>SUMIF('Executive Pay Breakdown'!K:K,$B644,'Executive Pay Breakdown'!M:M)</f>
        <v>0</v>
      </c>
      <c r="G644" s="69">
        <f>SUMIF('Executive Pay Breakdown'!O:O,$B644,'Executive Pay Breakdown'!Q:Q)</f>
        <v>10792050</v>
      </c>
      <c r="H644" s="69">
        <f>SUMIF('Executive Pay Breakdown'!S:S,$B644,'Executive Pay Breakdown'!U:U)</f>
        <v>9247881</v>
      </c>
      <c r="I644" s="69">
        <f>SUMIF('Executive Pay Breakdown'!W:W,$B644,'Executive Pay Breakdown'!Y:Y)</f>
        <v>8953471</v>
      </c>
      <c r="J644" s="69">
        <f>SUMIF('Executive Pay Breakdown'!AA:AA,$B644,'Executive Pay Breakdown'!AC:AC)</f>
        <v>6714126</v>
      </c>
      <c r="K644" s="118"/>
      <c r="L644" s="212"/>
      <c r="M644" s="87"/>
      <c r="N644" s="87"/>
      <c r="O644" s="120" t="str">
        <f>MATCH(C644,'Key Findings'!B:B,0)</f>
        <v>#N/A</v>
      </c>
    </row>
    <row r="645" hidden="1">
      <c r="A645" s="81"/>
      <c r="B645" s="133" t="s">
        <v>814</v>
      </c>
      <c r="C645" s="87" t="s">
        <v>809</v>
      </c>
      <c r="D645" s="89">
        <f>SUMIF('Executive Pay Breakdown'!K:K,$B645,'Executive Pay Breakdown'!M:M)+SUMIF('Executive Pay Breakdown'!O:O,$B645,'Executive Pay Breakdown'!Q:Q)+SUMIF('Executive Pay Breakdown'!S:S,$B645,'Executive Pay Breakdown'!U:U)+SUMIF('Executive Pay Breakdown'!W:W,$B645,'Executive Pay Breakdown'!Y:Y)+SUMIF('Executive Pay Breakdown'!AA:AA,$B645,'Executive Pay Breakdown'!AC:AC)</f>
        <v>18637867</v>
      </c>
      <c r="E645" s="109"/>
      <c r="F645" s="69">
        <f>SUMIF('Executive Pay Breakdown'!K:K,$B645,'Executive Pay Breakdown'!M:M)</f>
        <v>0</v>
      </c>
      <c r="G645" s="69">
        <f>SUMIF('Executive Pay Breakdown'!O:O,$B645,'Executive Pay Breakdown'!Q:Q)</f>
        <v>0</v>
      </c>
      <c r="H645" s="69">
        <f>SUMIF('Executive Pay Breakdown'!S:S,$B645,'Executive Pay Breakdown'!U:U)</f>
        <v>0</v>
      </c>
      <c r="I645" s="69">
        <f>SUMIF('Executive Pay Breakdown'!W:W,$B645,'Executive Pay Breakdown'!Y:Y)</f>
        <v>0</v>
      </c>
      <c r="J645" s="69">
        <f>SUMIF('Executive Pay Breakdown'!AA:AA,$B645,'Executive Pay Breakdown'!AC:AC)</f>
        <v>18637867</v>
      </c>
      <c r="K645" s="118"/>
      <c r="L645" s="212"/>
      <c r="M645" s="87"/>
      <c r="N645" s="87"/>
      <c r="O645" s="120" t="str">
        <f>MATCH(C645,'Key Findings'!B:B,0)</f>
        <v>#N/A</v>
      </c>
    </row>
    <row r="646" hidden="1">
      <c r="A646" s="81"/>
      <c r="B646" s="87" t="s">
        <v>815</v>
      </c>
      <c r="C646" s="87" t="s">
        <v>809</v>
      </c>
      <c r="D646" s="89">
        <f>SUMIF('Executive Pay Breakdown'!K:K,$B646,'Executive Pay Breakdown'!M:M)+SUMIF('Executive Pay Breakdown'!O:O,$B646,'Executive Pay Breakdown'!Q:Q)+SUMIF('Executive Pay Breakdown'!S:S,$B646,'Executive Pay Breakdown'!U:U)+SUMIF('Executive Pay Breakdown'!W:W,$B646,'Executive Pay Breakdown'!Y:Y)+SUMIF('Executive Pay Breakdown'!AA:AA,$B646,'Executive Pay Breakdown'!AC:AC)</f>
        <v>16445818</v>
      </c>
      <c r="E646" s="109"/>
      <c r="F646" s="69">
        <f>SUMIF('Executive Pay Breakdown'!K:K,$B646,'Executive Pay Breakdown'!M:M)</f>
        <v>8771116</v>
      </c>
      <c r="G646" s="69">
        <f>SUMIF('Executive Pay Breakdown'!O:O,$B646,'Executive Pay Breakdown'!Q:Q)</f>
        <v>7674702</v>
      </c>
      <c r="H646" s="69">
        <f>SUMIF('Executive Pay Breakdown'!S:S,$B646,'Executive Pay Breakdown'!U:U)</f>
        <v>0</v>
      </c>
      <c r="I646" s="69">
        <f>SUMIF('Executive Pay Breakdown'!W:W,$B646,'Executive Pay Breakdown'!Y:Y)</f>
        <v>0</v>
      </c>
      <c r="J646" s="69">
        <f>SUMIF('Executive Pay Breakdown'!AA:AA,$B646,'Executive Pay Breakdown'!AC:AC)</f>
        <v>0</v>
      </c>
      <c r="K646" s="118"/>
      <c r="L646" s="212"/>
      <c r="M646" s="212"/>
      <c r="N646" s="230"/>
      <c r="O646" s="120" t="str">
        <f>MATCH(C646,'Key Findings'!B:B,0)</f>
        <v>#N/A</v>
      </c>
    </row>
    <row r="647" hidden="1">
      <c r="A647" s="81"/>
      <c r="B647" s="239" t="s">
        <v>816</v>
      </c>
      <c r="C647" s="87" t="s">
        <v>809</v>
      </c>
      <c r="D647" s="89">
        <f>SUMIF('Executive Pay Breakdown'!K:K,$B647,'Executive Pay Breakdown'!M:M)+SUMIF('Executive Pay Breakdown'!O:O,$B647,'Executive Pay Breakdown'!Q:Q)+SUMIF('Executive Pay Breakdown'!S:S,$B647,'Executive Pay Breakdown'!U:U)+SUMIF('Executive Pay Breakdown'!W:W,$B647,'Executive Pay Breakdown'!Y:Y)+SUMIF('Executive Pay Breakdown'!AA:AA,$B647,'Executive Pay Breakdown'!AC:AC)</f>
        <v>15646852</v>
      </c>
      <c r="E647" s="109"/>
      <c r="F647" s="69">
        <f>SUMIF('Executive Pay Breakdown'!K:K,$B647,'Executive Pay Breakdown'!M:M)</f>
        <v>0</v>
      </c>
      <c r="G647" s="69">
        <f>SUMIF('Executive Pay Breakdown'!O:O,$B647,'Executive Pay Breakdown'!Q:Q)</f>
        <v>0</v>
      </c>
      <c r="H647" s="69">
        <f>SUMIF('Executive Pay Breakdown'!S:S,$B647,'Executive Pay Breakdown'!U:U)</f>
        <v>0</v>
      </c>
      <c r="I647" s="69">
        <f>SUMIF('Executive Pay Breakdown'!W:W,$B647,'Executive Pay Breakdown'!Y:Y)</f>
        <v>0</v>
      </c>
      <c r="J647" s="69">
        <f>SUMIF('Executive Pay Breakdown'!AA:AA,$B647,'Executive Pay Breakdown'!AC:AC)</f>
        <v>15646852</v>
      </c>
      <c r="K647" s="118"/>
      <c r="L647" s="212"/>
      <c r="M647" s="87"/>
      <c r="N647" s="87"/>
      <c r="O647" s="120" t="str">
        <f>MATCH(C647,'Key Findings'!B:B,0)</f>
        <v>#N/A</v>
      </c>
    </row>
    <row r="648" hidden="1">
      <c r="A648" s="81"/>
      <c r="B648" s="133" t="s">
        <v>817</v>
      </c>
      <c r="C648" s="87" t="s">
        <v>809</v>
      </c>
      <c r="D648" s="89">
        <f>SUMIF('Executive Pay Breakdown'!K:K,$B648,'Executive Pay Breakdown'!M:M)+SUMIF('Executive Pay Breakdown'!O:O,$B648,'Executive Pay Breakdown'!Q:Q)+SUMIF('Executive Pay Breakdown'!S:S,$B648,'Executive Pay Breakdown'!U:U)+SUMIF('Executive Pay Breakdown'!W:W,$B648,'Executive Pay Breakdown'!Y:Y)+SUMIF('Executive Pay Breakdown'!AA:AA,$B648,'Executive Pay Breakdown'!AC:AC)</f>
        <v>12488942</v>
      </c>
      <c r="E648" s="109"/>
      <c r="F648" s="69">
        <f>SUMIF('Executive Pay Breakdown'!K:K,$B648,'Executive Pay Breakdown'!M:M)</f>
        <v>0</v>
      </c>
      <c r="G648" s="69">
        <f>SUMIF('Executive Pay Breakdown'!O:O,$B648,'Executive Pay Breakdown'!Q:Q)</f>
        <v>0</v>
      </c>
      <c r="H648" s="69">
        <f>SUMIF('Executive Pay Breakdown'!S:S,$B648,'Executive Pay Breakdown'!U:U)</f>
        <v>0</v>
      </c>
      <c r="I648" s="69">
        <f>SUMIF('Executive Pay Breakdown'!W:W,$B648,'Executive Pay Breakdown'!Y:Y)</f>
        <v>0</v>
      </c>
      <c r="J648" s="69">
        <f>SUMIF('Executive Pay Breakdown'!AA:AA,$B648,'Executive Pay Breakdown'!AC:AC)</f>
        <v>12488942</v>
      </c>
      <c r="K648" s="118"/>
      <c r="L648" s="212"/>
      <c r="M648" s="87"/>
      <c r="N648" s="87"/>
      <c r="O648" s="120" t="str">
        <f>MATCH(C648,'Key Findings'!B:B,0)</f>
        <v>#N/A</v>
      </c>
    </row>
    <row r="649" hidden="1">
      <c r="A649" s="81"/>
      <c r="B649" s="133" t="s">
        <v>818</v>
      </c>
      <c r="C649" s="87" t="s">
        <v>809</v>
      </c>
      <c r="D649" s="89">
        <f>SUMIF('Executive Pay Breakdown'!K:K,$B649,'Executive Pay Breakdown'!M:M)+SUMIF('Executive Pay Breakdown'!O:O,$B649,'Executive Pay Breakdown'!Q:Q)+SUMIF('Executive Pay Breakdown'!S:S,$B649,'Executive Pay Breakdown'!U:U)+SUMIF('Executive Pay Breakdown'!W:W,$B649,'Executive Pay Breakdown'!Y:Y)+SUMIF('Executive Pay Breakdown'!AA:AA,$B649,'Executive Pay Breakdown'!AC:AC)</f>
        <v>9283602</v>
      </c>
      <c r="E649" s="109"/>
      <c r="F649" s="69">
        <f>SUMIF('Executive Pay Breakdown'!K:K,$B649,'Executive Pay Breakdown'!M:M)</f>
        <v>9283602</v>
      </c>
      <c r="G649" s="69">
        <f>SUMIF('Executive Pay Breakdown'!O:O,$B649,'Executive Pay Breakdown'!Q:Q)</f>
        <v>0</v>
      </c>
      <c r="H649" s="69">
        <f>SUMIF('Executive Pay Breakdown'!S:S,$B649,'Executive Pay Breakdown'!U:U)</f>
        <v>0</v>
      </c>
      <c r="I649" s="69">
        <f>SUMIF('Executive Pay Breakdown'!W:W,$B649,'Executive Pay Breakdown'!Y:Y)</f>
        <v>0</v>
      </c>
      <c r="J649" s="69">
        <f>SUMIF('Executive Pay Breakdown'!AA:AA,$B649,'Executive Pay Breakdown'!AC:AC)</f>
        <v>0</v>
      </c>
      <c r="K649" s="118"/>
      <c r="L649" s="212"/>
      <c r="M649" s="87"/>
      <c r="N649" s="230"/>
      <c r="O649" s="120" t="str">
        <f>MATCH(C649,'Key Findings'!B:B,0)</f>
        <v>#N/A</v>
      </c>
    </row>
    <row r="650" hidden="1">
      <c r="A650" s="81"/>
      <c r="B650" s="87" t="s">
        <v>819</v>
      </c>
      <c r="C650" s="87" t="s">
        <v>809</v>
      </c>
      <c r="D650" s="89">
        <f>SUMIF('Executive Pay Breakdown'!K:K,$B650,'Executive Pay Breakdown'!M:M)+SUMIF('Executive Pay Breakdown'!O:O,$B650,'Executive Pay Breakdown'!Q:Q)+SUMIF('Executive Pay Breakdown'!S:S,$B650,'Executive Pay Breakdown'!U:U)+SUMIF('Executive Pay Breakdown'!W:W,$B650,'Executive Pay Breakdown'!Y:Y)+SUMIF('Executive Pay Breakdown'!AA:AA,$B650,'Executive Pay Breakdown'!AC:AC)</f>
        <v>8754126</v>
      </c>
      <c r="E650" s="109"/>
      <c r="F650" s="69">
        <f>SUMIF('Executive Pay Breakdown'!K:K,$B650,'Executive Pay Breakdown'!M:M)</f>
        <v>8754126</v>
      </c>
      <c r="G650" s="69">
        <f>SUMIF('Executive Pay Breakdown'!O:O,$B650,'Executive Pay Breakdown'!Q:Q)</f>
        <v>0</v>
      </c>
      <c r="H650" s="69">
        <f>SUMIF('Executive Pay Breakdown'!S:S,$B650,'Executive Pay Breakdown'!U:U)</f>
        <v>0</v>
      </c>
      <c r="I650" s="69">
        <f>SUMIF('Executive Pay Breakdown'!W:W,$B650,'Executive Pay Breakdown'!Y:Y)</f>
        <v>0</v>
      </c>
      <c r="J650" s="69">
        <f>SUMIF('Executive Pay Breakdown'!AA:AA,$B650,'Executive Pay Breakdown'!AC:AC)</f>
        <v>0</v>
      </c>
      <c r="K650" s="118"/>
      <c r="L650" s="212"/>
      <c r="M650" s="87"/>
      <c r="N650" s="230"/>
      <c r="O650" s="120" t="str">
        <f>MATCH(C650,'Key Findings'!B:B,0)</f>
        <v>#N/A</v>
      </c>
    </row>
    <row r="651" hidden="1">
      <c r="A651" s="81"/>
      <c r="B651" s="87" t="s">
        <v>820</v>
      </c>
      <c r="C651" s="87" t="s">
        <v>809</v>
      </c>
      <c r="D651" s="89">
        <f>SUMIF('Executive Pay Breakdown'!K:K,$B651,'Executive Pay Breakdown'!M:M)+SUMIF('Executive Pay Breakdown'!O:O,$B651,'Executive Pay Breakdown'!Q:Q)+SUMIF('Executive Pay Breakdown'!S:S,$B651,'Executive Pay Breakdown'!U:U)+SUMIF('Executive Pay Breakdown'!W:W,$B651,'Executive Pay Breakdown'!Y:Y)+SUMIF('Executive Pay Breakdown'!AA:AA,$B651,'Executive Pay Breakdown'!AC:AC)</f>
        <v>8634497</v>
      </c>
      <c r="E651" s="109"/>
      <c r="F651" s="69">
        <f>SUMIF('Executive Pay Breakdown'!K:K,$B651,'Executive Pay Breakdown'!M:M)</f>
        <v>8634497</v>
      </c>
      <c r="G651" s="69">
        <f>SUMIF('Executive Pay Breakdown'!O:O,$B651,'Executive Pay Breakdown'!Q:Q)</f>
        <v>0</v>
      </c>
      <c r="H651" s="69">
        <f>SUMIF('Executive Pay Breakdown'!S:S,$B651,'Executive Pay Breakdown'!U:U)</f>
        <v>0</v>
      </c>
      <c r="I651" s="69">
        <f>SUMIF('Executive Pay Breakdown'!W:W,$B651,'Executive Pay Breakdown'!Y:Y)</f>
        <v>0</v>
      </c>
      <c r="J651" s="69">
        <f>SUMIF('Executive Pay Breakdown'!AA:AA,$B651,'Executive Pay Breakdown'!AC:AC)</f>
        <v>0</v>
      </c>
      <c r="K651" s="118"/>
      <c r="L651" s="212"/>
      <c r="M651" s="87"/>
      <c r="N651" s="230"/>
      <c r="O651" s="120" t="str">
        <f>MATCH(C651,'Key Findings'!B:B,0)</f>
        <v>#N/A</v>
      </c>
    </row>
    <row r="652" hidden="1">
      <c r="A652" s="81"/>
      <c r="B652" s="133" t="s">
        <v>821</v>
      </c>
      <c r="C652" s="87" t="s">
        <v>809</v>
      </c>
      <c r="D652" s="89">
        <f>SUMIF('Executive Pay Breakdown'!K:K,$B652,'Executive Pay Breakdown'!M:M)+SUMIF('Executive Pay Breakdown'!O:O,$B652,'Executive Pay Breakdown'!Q:Q)+SUMIF('Executive Pay Breakdown'!S:S,$B652,'Executive Pay Breakdown'!U:U)+SUMIF('Executive Pay Breakdown'!W:W,$B652,'Executive Pay Breakdown'!Y:Y)+SUMIF('Executive Pay Breakdown'!AA:AA,$B652,'Executive Pay Breakdown'!AC:AC)</f>
        <v>7352470</v>
      </c>
      <c r="E652" s="109"/>
      <c r="F652" s="69">
        <f>SUMIF('Executive Pay Breakdown'!K:K,$B652,'Executive Pay Breakdown'!M:M)</f>
        <v>0</v>
      </c>
      <c r="G652" s="69">
        <f>SUMIF('Executive Pay Breakdown'!O:O,$B652,'Executive Pay Breakdown'!Q:Q)</f>
        <v>0</v>
      </c>
      <c r="H652" s="69">
        <f>SUMIF('Executive Pay Breakdown'!S:S,$B652,'Executive Pay Breakdown'!U:U)</f>
        <v>0</v>
      </c>
      <c r="I652" s="69">
        <f>SUMIF('Executive Pay Breakdown'!W:W,$B652,'Executive Pay Breakdown'!Y:Y)</f>
        <v>0</v>
      </c>
      <c r="J652" s="69">
        <f>SUMIF('Executive Pay Breakdown'!AA:AA,$B652,'Executive Pay Breakdown'!AC:AC)</f>
        <v>7352470</v>
      </c>
      <c r="K652" s="118"/>
      <c r="L652" s="212"/>
      <c r="M652" s="87"/>
      <c r="N652" s="87"/>
      <c r="O652" s="120" t="str">
        <f>MATCH(C652,'Key Findings'!B:B,0)</f>
        <v>#N/A</v>
      </c>
    </row>
    <row r="653" hidden="1">
      <c r="A653" s="81"/>
      <c r="B653" s="134" t="s">
        <v>822</v>
      </c>
      <c r="C653" s="87" t="s">
        <v>823</v>
      </c>
      <c r="D653" s="89">
        <f>SUMIF('Executive Pay Breakdown'!K:K,$B653,'Executive Pay Breakdown'!M:M)+SUMIF('Executive Pay Breakdown'!O:O,$B653,'Executive Pay Breakdown'!Q:Q)+SUMIF('Executive Pay Breakdown'!S:S,$B653,'Executive Pay Breakdown'!U:U)+SUMIF('Executive Pay Breakdown'!W:W,$B653,'Executive Pay Breakdown'!Y:Y)+SUMIF('Executive Pay Breakdown'!AA:AA,$B653,'Executive Pay Breakdown'!AC:AC)</f>
        <v>38933931</v>
      </c>
      <c r="E653" s="109"/>
      <c r="F653" s="69">
        <f>SUMIF('Executive Pay Breakdown'!K:K,$B653,'Executive Pay Breakdown'!M:M)</f>
        <v>0</v>
      </c>
      <c r="G653" s="69">
        <f>SUMIF('Executive Pay Breakdown'!O:O,$B653,'Executive Pay Breakdown'!Q:Q)</f>
        <v>0</v>
      </c>
      <c r="H653" s="69">
        <f>SUMIF('Executive Pay Breakdown'!S:S,$B653,'Executive Pay Breakdown'!U:U)</f>
        <v>5842130</v>
      </c>
      <c r="I653" s="69">
        <f>SUMIF('Executive Pay Breakdown'!W:W,$B653,'Executive Pay Breakdown'!Y:Y)</f>
        <v>18030925</v>
      </c>
      <c r="J653" s="69">
        <f>SUMIF('Executive Pay Breakdown'!AA:AA,$B653,'Executive Pay Breakdown'!AC:AC)</f>
        <v>15060876</v>
      </c>
      <c r="K653" s="118"/>
      <c r="L653" s="212"/>
      <c r="M653" s="87"/>
      <c r="N653" s="87"/>
      <c r="O653" s="120" t="str">
        <f>MATCH(C653,'Key Findings'!B:B,0)</f>
        <v>#N/A</v>
      </c>
    </row>
    <row r="654" hidden="1">
      <c r="A654" s="81"/>
      <c r="B654" s="134" t="s">
        <v>824</v>
      </c>
      <c r="C654" s="87" t="s">
        <v>823</v>
      </c>
      <c r="D654" s="89">
        <f>SUMIF('Executive Pay Breakdown'!K:K,$B654,'Executive Pay Breakdown'!M:M)+SUMIF('Executive Pay Breakdown'!O:O,$B654,'Executive Pay Breakdown'!Q:Q)+SUMIF('Executive Pay Breakdown'!S:S,$B654,'Executive Pay Breakdown'!U:U)+SUMIF('Executive Pay Breakdown'!W:W,$B654,'Executive Pay Breakdown'!Y:Y)+SUMIF('Executive Pay Breakdown'!AA:AA,$B654,'Executive Pay Breakdown'!AC:AC)</f>
        <v>33530684</v>
      </c>
      <c r="E654" s="109"/>
      <c r="F654" s="69">
        <f>SUMIF('Executive Pay Breakdown'!K:K,$B654,'Executive Pay Breakdown'!M:M)</f>
        <v>7189241</v>
      </c>
      <c r="G654" s="69">
        <f>SUMIF('Executive Pay Breakdown'!O:O,$B654,'Executive Pay Breakdown'!Q:Q)</f>
        <v>15253878</v>
      </c>
      <c r="H654" s="69">
        <f>SUMIF('Executive Pay Breakdown'!S:S,$B654,'Executive Pay Breakdown'!U:U)</f>
        <v>5347444</v>
      </c>
      <c r="I654" s="69">
        <f>SUMIF('Executive Pay Breakdown'!W:W,$B654,'Executive Pay Breakdown'!Y:Y)</f>
        <v>5740121</v>
      </c>
      <c r="J654" s="69">
        <f>SUMIF('Executive Pay Breakdown'!AA:AA,$B654,'Executive Pay Breakdown'!AC:AC)</f>
        <v>0</v>
      </c>
      <c r="K654" s="118"/>
      <c r="L654" s="212"/>
      <c r="M654" s="87"/>
      <c r="N654" s="230"/>
      <c r="O654" s="120" t="str">
        <f>MATCH(C654,'Key Findings'!B:B,0)</f>
        <v>#N/A</v>
      </c>
    </row>
    <row r="655" hidden="1">
      <c r="A655" s="81"/>
      <c r="B655" s="134" t="s">
        <v>825</v>
      </c>
      <c r="C655" s="87" t="s">
        <v>823</v>
      </c>
      <c r="D655" s="89">
        <f>SUMIF('Executive Pay Breakdown'!K:K,$B655,'Executive Pay Breakdown'!M:M)+SUMIF('Executive Pay Breakdown'!O:O,$B655,'Executive Pay Breakdown'!Q:Q)+SUMIF('Executive Pay Breakdown'!S:S,$B655,'Executive Pay Breakdown'!U:U)+SUMIF('Executive Pay Breakdown'!W:W,$B655,'Executive Pay Breakdown'!Y:Y)+SUMIF('Executive Pay Breakdown'!AA:AA,$B655,'Executive Pay Breakdown'!AC:AC)</f>
        <v>29404178</v>
      </c>
      <c r="E655" s="109"/>
      <c r="F655" s="69">
        <f>SUMIF('Executive Pay Breakdown'!K:K,$B655,'Executive Pay Breakdown'!M:M)</f>
        <v>0</v>
      </c>
      <c r="G655" s="69">
        <f>SUMIF('Executive Pay Breakdown'!O:O,$B655,'Executive Pay Breakdown'!Q:Q)</f>
        <v>9537807</v>
      </c>
      <c r="H655" s="69">
        <f>SUMIF('Executive Pay Breakdown'!S:S,$B655,'Executive Pay Breakdown'!U:U)</f>
        <v>4252068</v>
      </c>
      <c r="I655" s="69">
        <f>SUMIF('Executive Pay Breakdown'!W:W,$B655,'Executive Pay Breakdown'!Y:Y)</f>
        <v>7133906</v>
      </c>
      <c r="J655" s="69">
        <f>SUMIF('Executive Pay Breakdown'!AA:AA,$B655,'Executive Pay Breakdown'!AC:AC)</f>
        <v>8480397</v>
      </c>
      <c r="K655" s="118"/>
      <c r="L655" s="212"/>
      <c r="M655" s="87"/>
      <c r="N655" s="87"/>
      <c r="O655" s="120" t="str">
        <f>MATCH(C655,'Key Findings'!B:B,0)</f>
        <v>#N/A</v>
      </c>
    </row>
    <row r="656" hidden="1">
      <c r="A656" s="81"/>
      <c r="B656" s="134" t="s">
        <v>826</v>
      </c>
      <c r="C656" s="87" t="s">
        <v>823</v>
      </c>
      <c r="D656" s="89">
        <f>SUMIF('Executive Pay Breakdown'!K:K,$B656,'Executive Pay Breakdown'!M:M)+SUMIF('Executive Pay Breakdown'!O:O,$B656,'Executive Pay Breakdown'!Q:Q)+SUMIF('Executive Pay Breakdown'!S:S,$B656,'Executive Pay Breakdown'!U:U)+SUMIF('Executive Pay Breakdown'!W:W,$B656,'Executive Pay Breakdown'!Y:Y)+SUMIF('Executive Pay Breakdown'!AA:AA,$B656,'Executive Pay Breakdown'!AC:AC)</f>
        <v>20019467</v>
      </c>
      <c r="E656" s="109"/>
      <c r="F656" s="69">
        <f>SUMIF('Executive Pay Breakdown'!K:K,$B656,'Executive Pay Breakdown'!M:M)</f>
        <v>5940142</v>
      </c>
      <c r="G656" s="69">
        <f>SUMIF('Executive Pay Breakdown'!O:O,$B656,'Executive Pay Breakdown'!Q:Q)</f>
        <v>8837642</v>
      </c>
      <c r="H656" s="69">
        <f>SUMIF('Executive Pay Breakdown'!S:S,$B656,'Executive Pay Breakdown'!U:U)</f>
        <v>5241683</v>
      </c>
      <c r="I656" s="69">
        <f>SUMIF('Executive Pay Breakdown'!W:W,$B656,'Executive Pay Breakdown'!Y:Y)</f>
        <v>0</v>
      </c>
      <c r="J656" s="69">
        <f>SUMIF('Executive Pay Breakdown'!AA:AA,$B656,'Executive Pay Breakdown'!AC:AC)</f>
        <v>0</v>
      </c>
      <c r="K656" s="118"/>
      <c r="L656" s="212"/>
      <c r="M656" s="87"/>
      <c r="N656" s="230"/>
      <c r="O656" s="120" t="str">
        <f>MATCH(C656,'Key Findings'!B:B,0)</f>
        <v>#N/A</v>
      </c>
    </row>
    <row r="657" hidden="1">
      <c r="A657" s="81"/>
      <c r="B657" s="134" t="s">
        <v>827</v>
      </c>
      <c r="C657" s="87" t="s">
        <v>823</v>
      </c>
      <c r="D657" s="89">
        <f>SUMIF('Executive Pay Breakdown'!K:K,$B657,'Executive Pay Breakdown'!M:M)+SUMIF('Executive Pay Breakdown'!O:O,$B657,'Executive Pay Breakdown'!Q:Q)+SUMIF('Executive Pay Breakdown'!S:S,$B657,'Executive Pay Breakdown'!U:U)+SUMIF('Executive Pay Breakdown'!W:W,$B657,'Executive Pay Breakdown'!Y:Y)+SUMIF('Executive Pay Breakdown'!AA:AA,$B657,'Executive Pay Breakdown'!AC:AC)</f>
        <v>19506993</v>
      </c>
      <c r="E657" s="109"/>
      <c r="F657" s="69">
        <f>SUMIF('Executive Pay Breakdown'!K:K,$B657,'Executive Pay Breakdown'!M:M)</f>
        <v>6218021</v>
      </c>
      <c r="G657" s="69">
        <f>SUMIF('Executive Pay Breakdown'!O:O,$B657,'Executive Pay Breakdown'!Q:Q)</f>
        <v>8327151</v>
      </c>
      <c r="H657" s="69">
        <f>SUMIF('Executive Pay Breakdown'!S:S,$B657,'Executive Pay Breakdown'!U:U)</f>
        <v>4961821</v>
      </c>
      <c r="I657" s="69">
        <f>SUMIF('Executive Pay Breakdown'!W:W,$B657,'Executive Pay Breakdown'!Y:Y)</f>
        <v>0</v>
      </c>
      <c r="J657" s="69">
        <f>SUMIF('Executive Pay Breakdown'!AA:AA,$B657,'Executive Pay Breakdown'!AC:AC)</f>
        <v>0</v>
      </c>
      <c r="K657" s="118"/>
      <c r="L657" s="212"/>
      <c r="M657" s="87"/>
      <c r="N657" s="230"/>
      <c r="O657" s="120" t="str">
        <f>MATCH(C657,'Key Findings'!B:B,0)</f>
        <v>#N/A</v>
      </c>
    </row>
    <row r="658" hidden="1">
      <c r="A658" s="81"/>
      <c r="B658" s="134" t="s">
        <v>828</v>
      </c>
      <c r="C658" s="87" t="s">
        <v>823</v>
      </c>
      <c r="D658" s="89">
        <f>SUMIF('Executive Pay Breakdown'!K:K,$B658,'Executive Pay Breakdown'!M:M)+SUMIF('Executive Pay Breakdown'!O:O,$B658,'Executive Pay Breakdown'!Q:Q)+SUMIF('Executive Pay Breakdown'!S:S,$B658,'Executive Pay Breakdown'!U:U)+SUMIF('Executive Pay Breakdown'!W:W,$B658,'Executive Pay Breakdown'!Y:Y)+SUMIF('Executive Pay Breakdown'!AA:AA,$B658,'Executive Pay Breakdown'!AC:AC)</f>
        <v>15603785</v>
      </c>
      <c r="E658" s="109"/>
      <c r="F658" s="69">
        <f>SUMIF('Executive Pay Breakdown'!K:K,$B658,'Executive Pay Breakdown'!M:M)</f>
        <v>0</v>
      </c>
      <c r="G658" s="69">
        <f>SUMIF('Executive Pay Breakdown'!O:O,$B658,'Executive Pay Breakdown'!Q:Q)</f>
        <v>0</v>
      </c>
      <c r="H658" s="69">
        <f>SUMIF('Executive Pay Breakdown'!S:S,$B658,'Executive Pay Breakdown'!U:U)</f>
        <v>0</v>
      </c>
      <c r="I658" s="69">
        <f>SUMIF('Executive Pay Breakdown'!W:W,$B658,'Executive Pay Breakdown'!Y:Y)</f>
        <v>8558281</v>
      </c>
      <c r="J658" s="69">
        <f>SUMIF('Executive Pay Breakdown'!AA:AA,$B658,'Executive Pay Breakdown'!AC:AC)</f>
        <v>7045504</v>
      </c>
      <c r="K658" s="118"/>
      <c r="L658" s="212"/>
      <c r="M658" s="87"/>
      <c r="N658" s="87"/>
      <c r="O658" s="120" t="str">
        <f>MATCH(C658,'Key Findings'!B:B,0)</f>
        <v>#N/A</v>
      </c>
    </row>
    <row r="659" hidden="1">
      <c r="A659" s="81"/>
      <c r="B659" s="134" t="s">
        <v>829</v>
      </c>
      <c r="C659" s="87" t="s">
        <v>823</v>
      </c>
      <c r="D659" s="89">
        <f>SUMIF('Executive Pay Breakdown'!K:K,$B659,'Executive Pay Breakdown'!M:M)+SUMIF('Executive Pay Breakdown'!O:O,$B659,'Executive Pay Breakdown'!Q:Q)+SUMIF('Executive Pay Breakdown'!S:S,$B659,'Executive Pay Breakdown'!U:U)+SUMIF('Executive Pay Breakdown'!W:W,$B659,'Executive Pay Breakdown'!Y:Y)+SUMIF('Executive Pay Breakdown'!AA:AA,$B659,'Executive Pay Breakdown'!AC:AC)</f>
        <v>10527950</v>
      </c>
      <c r="E659" s="109"/>
      <c r="F659" s="69">
        <f>SUMIF('Executive Pay Breakdown'!K:K,$B659,'Executive Pay Breakdown'!M:M)</f>
        <v>0</v>
      </c>
      <c r="G659" s="69">
        <f>SUMIF('Executive Pay Breakdown'!O:O,$B659,'Executive Pay Breakdown'!Q:Q)</f>
        <v>0</v>
      </c>
      <c r="H659" s="69">
        <f>SUMIF('Executive Pay Breakdown'!S:S,$B659,'Executive Pay Breakdown'!U:U)</f>
        <v>0</v>
      </c>
      <c r="I659" s="69">
        <f>SUMIF('Executive Pay Breakdown'!W:W,$B659,'Executive Pay Breakdown'!Y:Y)</f>
        <v>5892708</v>
      </c>
      <c r="J659" s="69">
        <f>SUMIF('Executive Pay Breakdown'!AA:AA,$B659,'Executive Pay Breakdown'!AC:AC)</f>
        <v>4635242</v>
      </c>
      <c r="K659" s="118"/>
      <c r="L659" s="212"/>
      <c r="M659" s="87"/>
      <c r="N659" s="87"/>
      <c r="O659" s="120" t="str">
        <f>MATCH(C659,'Key Findings'!B:B,0)</f>
        <v>#N/A</v>
      </c>
    </row>
    <row r="660" hidden="1">
      <c r="A660" s="81"/>
      <c r="B660" s="134" t="s">
        <v>830</v>
      </c>
      <c r="C660" s="87" t="s">
        <v>823</v>
      </c>
      <c r="D660" s="89">
        <f>SUMIF('Executive Pay Breakdown'!K:K,$B660,'Executive Pay Breakdown'!M:M)+SUMIF('Executive Pay Breakdown'!O:O,$B660,'Executive Pay Breakdown'!Q:Q)+SUMIF('Executive Pay Breakdown'!S:S,$B660,'Executive Pay Breakdown'!U:U)+SUMIF('Executive Pay Breakdown'!W:W,$B660,'Executive Pay Breakdown'!Y:Y)+SUMIF('Executive Pay Breakdown'!AA:AA,$B660,'Executive Pay Breakdown'!AC:AC)</f>
        <v>9002593</v>
      </c>
      <c r="E660" s="109"/>
      <c r="F660" s="69">
        <f>SUMIF('Executive Pay Breakdown'!K:K,$B660,'Executive Pay Breakdown'!M:M)</f>
        <v>0</v>
      </c>
      <c r="G660" s="69">
        <f>SUMIF('Executive Pay Breakdown'!O:O,$B660,'Executive Pay Breakdown'!Q:Q)</f>
        <v>0</v>
      </c>
      <c r="H660" s="69">
        <f>SUMIF('Executive Pay Breakdown'!S:S,$B660,'Executive Pay Breakdown'!U:U)</f>
        <v>0</v>
      </c>
      <c r="I660" s="69">
        <f>SUMIF('Executive Pay Breakdown'!W:W,$B660,'Executive Pay Breakdown'!Y:Y)</f>
        <v>4577950</v>
      </c>
      <c r="J660" s="69">
        <f>SUMIF('Executive Pay Breakdown'!AA:AA,$B660,'Executive Pay Breakdown'!AC:AC)</f>
        <v>4424643</v>
      </c>
      <c r="K660" s="118"/>
      <c r="L660" s="212"/>
      <c r="M660" s="87"/>
      <c r="N660" s="87"/>
      <c r="O660" s="120" t="str">
        <f>MATCH(C660,'Key Findings'!B:B,0)</f>
        <v>#N/A</v>
      </c>
    </row>
    <row r="661" hidden="1">
      <c r="A661" s="81"/>
      <c r="B661" s="134" t="s">
        <v>831</v>
      </c>
      <c r="C661" s="87" t="s">
        <v>823</v>
      </c>
      <c r="D661" s="89">
        <f>SUMIF('Executive Pay Breakdown'!K:K,$B661,'Executive Pay Breakdown'!M:M)+SUMIF('Executive Pay Breakdown'!O:O,$B661,'Executive Pay Breakdown'!Q:Q)+SUMIF('Executive Pay Breakdown'!S:S,$B661,'Executive Pay Breakdown'!U:U)+SUMIF('Executive Pay Breakdown'!W:W,$B661,'Executive Pay Breakdown'!Y:Y)+SUMIF('Executive Pay Breakdown'!AA:AA,$B661,'Executive Pay Breakdown'!AC:AC)</f>
        <v>7510177</v>
      </c>
      <c r="E661" s="109"/>
      <c r="F661" s="69">
        <f>SUMIF('Executive Pay Breakdown'!K:K,$B661,'Executive Pay Breakdown'!M:M)</f>
        <v>7510177</v>
      </c>
      <c r="G661" s="69">
        <f>SUMIF('Executive Pay Breakdown'!O:O,$B661,'Executive Pay Breakdown'!Q:Q)</f>
        <v>0</v>
      </c>
      <c r="H661" s="69">
        <f>SUMIF('Executive Pay Breakdown'!S:S,$B661,'Executive Pay Breakdown'!U:U)</f>
        <v>0</v>
      </c>
      <c r="I661" s="69">
        <f>SUMIF('Executive Pay Breakdown'!W:W,$B661,'Executive Pay Breakdown'!Y:Y)</f>
        <v>0</v>
      </c>
      <c r="J661" s="69">
        <f>SUMIF('Executive Pay Breakdown'!AA:AA,$B661,'Executive Pay Breakdown'!AC:AC)</f>
        <v>0</v>
      </c>
      <c r="K661" s="118"/>
      <c r="L661" s="212"/>
      <c r="M661" s="87"/>
      <c r="N661" s="230"/>
      <c r="O661" s="120" t="str">
        <f>MATCH(C661,'Key Findings'!B:B,0)</f>
        <v>#N/A</v>
      </c>
    </row>
    <row r="662" hidden="1">
      <c r="A662" s="81"/>
      <c r="B662" s="134" t="s">
        <v>832</v>
      </c>
      <c r="C662" s="87" t="s">
        <v>823</v>
      </c>
      <c r="D662" s="89">
        <f>SUMIF('Executive Pay Breakdown'!K:K,$B662,'Executive Pay Breakdown'!M:M)+SUMIF('Executive Pay Breakdown'!O:O,$B662,'Executive Pay Breakdown'!Q:Q)+SUMIF('Executive Pay Breakdown'!S:S,$B662,'Executive Pay Breakdown'!U:U)+SUMIF('Executive Pay Breakdown'!W:W,$B662,'Executive Pay Breakdown'!Y:Y)+SUMIF('Executive Pay Breakdown'!AA:AA,$B662,'Executive Pay Breakdown'!AC:AC)</f>
        <v>6513508</v>
      </c>
      <c r="E662" s="109"/>
      <c r="F662" s="69">
        <f>SUMIF('Executive Pay Breakdown'!K:K,$B662,'Executive Pay Breakdown'!M:M)</f>
        <v>0</v>
      </c>
      <c r="G662" s="69">
        <f>SUMIF('Executive Pay Breakdown'!O:O,$B662,'Executive Pay Breakdown'!Q:Q)</f>
        <v>0</v>
      </c>
      <c r="H662" s="69">
        <f>SUMIF('Executive Pay Breakdown'!S:S,$B662,'Executive Pay Breakdown'!U:U)</f>
        <v>6513508</v>
      </c>
      <c r="I662" s="69">
        <f>SUMIF('Executive Pay Breakdown'!W:W,$B662,'Executive Pay Breakdown'!Y:Y)</f>
        <v>0</v>
      </c>
      <c r="J662" s="69">
        <f>SUMIF('Executive Pay Breakdown'!AA:AA,$B662,'Executive Pay Breakdown'!AC:AC)</f>
        <v>0</v>
      </c>
      <c r="K662" s="118"/>
      <c r="L662" s="212"/>
      <c r="M662" s="87"/>
      <c r="N662" s="87"/>
      <c r="O662" s="120" t="str">
        <f>MATCH(C662,'Key Findings'!B:B,0)</f>
        <v>#N/A</v>
      </c>
    </row>
    <row r="663" hidden="1">
      <c r="A663" s="81"/>
      <c r="B663" s="134" t="s">
        <v>833</v>
      </c>
      <c r="C663" s="87" t="s">
        <v>823</v>
      </c>
      <c r="D663" s="89">
        <f>SUMIF('Executive Pay Breakdown'!K:K,$B663,'Executive Pay Breakdown'!M:M)+SUMIF('Executive Pay Breakdown'!O:O,$B663,'Executive Pay Breakdown'!Q:Q)+SUMIF('Executive Pay Breakdown'!S:S,$B663,'Executive Pay Breakdown'!U:U)+SUMIF('Executive Pay Breakdown'!W:W,$B663,'Executive Pay Breakdown'!Y:Y)+SUMIF('Executive Pay Breakdown'!AA:AA,$B663,'Executive Pay Breakdown'!AC:AC)</f>
        <v>5206506</v>
      </c>
      <c r="E663" s="109"/>
      <c r="F663" s="69">
        <f>SUMIF('Executive Pay Breakdown'!K:K,$B663,'Executive Pay Breakdown'!M:M)</f>
        <v>0</v>
      </c>
      <c r="G663" s="69">
        <f>SUMIF('Executive Pay Breakdown'!O:O,$B663,'Executive Pay Breakdown'!Q:Q)</f>
        <v>0</v>
      </c>
      <c r="H663" s="69">
        <f>SUMIF('Executive Pay Breakdown'!S:S,$B663,'Executive Pay Breakdown'!U:U)</f>
        <v>5206506</v>
      </c>
      <c r="I663" s="69">
        <f>SUMIF('Executive Pay Breakdown'!W:W,$B663,'Executive Pay Breakdown'!Y:Y)</f>
        <v>0</v>
      </c>
      <c r="J663" s="69">
        <f>SUMIF('Executive Pay Breakdown'!AA:AA,$B663,'Executive Pay Breakdown'!AC:AC)</f>
        <v>0</v>
      </c>
      <c r="K663" s="118"/>
      <c r="L663" s="212"/>
      <c r="M663" s="87"/>
      <c r="N663" s="87"/>
      <c r="O663" s="120" t="str">
        <f>MATCH(C663,'Key Findings'!B:B,0)</f>
        <v>#N/A</v>
      </c>
    </row>
    <row r="664" hidden="1">
      <c r="A664" s="62"/>
      <c r="B664" s="125" t="s">
        <v>834</v>
      </c>
      <c r="C664" s="87" t="s">
        <v>835</v>
      </c>
      <c r="D664" s="89">
        <f>SUMIF('Executive Pay Breakdown'!K:K,$B664,'Executive Pay Breakdown'!M:M)+SUMIF('Executive Pay Breakdown'!O:O,$B664,'Executive Pay Breakdown'!Q:Q)+SUMIF('Executive Pay Breakdown'!S:S,$B664,'Executive Pay Breakdown'!U:U)+SUMIF('Executive Pay Breakdown'!W:W,$B664,'Executive Pay Breakdown'!Y:Y)+SUMIF('Executive Pay Breakdown'!AA:AA,$B664,'Executive Pay Breakdown'!AC:AC)</f>
        <v>74387343</v>
      </c>
      <c r="E664" s="109"/>
      <c r="F664" s="69">
        <f>SUMIF('Executive Pay Breakdown'!K:K,$B664,'Executive Pay Breakdown'!M:M)</f>
        <v>14326072</v>
      </c>
      <c r="G664" s="69">
        <f>SUMIF('Executive Pay Breakdown'!O:O,$B664,'Executive Pay Breakdown'!Q:Q)</f>
        <v>14523819</v>
      </c>
      <c r="H664" s="69">
        <f>SUMIF('Executive Pay Breakdown'!S:S,$B664,'Executive Pay Breakdown'!U:U)</f>
        <v>16632099</v>
      </c>
      <c r="I664" s="69">
        <f>SUMIF('Executive Pay Breakdown'!W:W,$B664,'Executive Pay Breakdown'!Y:Y)</f>
        <v>15018400</v>
      </c>
      <c r="J664" s="69">
        <f>SUMIF('Executive Pay Breakdown'!AA:AA,$B664,'Executive Pay Breakdown'!AC:AC)</f>
        <v>13886953</v>
      </c>
      <c r="K664" s="118"/>
      <c r="L664" s="212"/>
      <c r="M664" s="87"/>
      <c r="N664" s="230"/>
      <c r="O664" s="120" t="str">
        <f>MATCH(C664,'Key Findings'!B:B,0)</f>
        <v>#N/A</v>
      </c>
    </row>
    <row r="665" hidden="1">
      <c r="A665" s="62"/>
      <c r="B665" s="131" t="s">
        <v>836</v>
      </c>
      <c r="C665" s="87" t="s">
        <v>835</v>
      </c>
      <c r="D665" s="89">
        <f>SUMIF('Executive Pay Breakdown'!K:K,$B665,'Executive Pay Breakdown'!M:M)+SUMIF('Executive Pay Breakdown'!O:O,$B665,'Executive Pay Breakdown'!Q:Q)+SUMIF('Executive Pay Breakdown'!S:S,$B665,'Executive Pay Breakdown'!U:U)+SUMIF('Executive Pay Breakdown'!W:W,$B665,'Executive Pay Breakdown'!Y:Y)+SUMIF('Executive Pay Breakdown'!AA:AA,$B665,'Executive Pay Breakdown'!AC:AC)</f>
        <v>18237857</v>
      </c>
      <c r="E665" s="109"/>
      <c r="F665" s="69">
        <f>SUMIF('Executive Pay Breakdown'!K:K,$B665,'Executive Pay Breakdown'!M:M)</f>
        <v>2656680</v>
      </c>
      <c r="G665" s="69">
        <f>SUMIF('Executive Pay Breakdown'!O:O,$B665,'Executive Pay Breakdown'!Q:Q)</f>
        <v>4357586</v>
      </c>
      <c r="H665" s="69">
        <f>SUMIF('Executive Pay Breakdown'!S:S,$B665,'Executive Pay Breakdown'!U:U)</f>
        <v>3721805</v>
      </c>
      <c r="I665" s="69">
        <f>SUMIF('Executive Pay Breakdown'!W:W,$B665,'Executive Pay Breakdown'!Y:Y)</f>
        <v>4282251</v>
      </c>
      <c r="J665" s="69">
        <f>SUMIF('Executive Pay Breakdown'!AA:AA,$B665,'Executive Pay Breakdown'!AC:AC)</f>
        <v>3219535</v>
      </c>
      <c r="K665" s="118"/>
      <c r="L665" s="212"/>
      <c r="M665" s="87"/>
      <c r="N665" s="230"/>
      <c r="O665" s="120" t="str">
        <f>MATCH(C665,'Key Findings'!B:B,0)</f>
        <v>#N/A</v>
      </c>
    </row>
    <row r="666" hidden="1">
      <c r="A666" s="62"/>
      <c r="B666" s="131" t="s">
        <v>837</v>
      </c>
      <c r="C666" s="87" t="s">
        <v>835</v>
      </c>
      <c r="D666" s="89">
        <f>SUMIF('Executive Pay Breakdown'!K:K,$B666,'Executive Pay Breakdown'!M:M)+SUMIF('Executive Pay Breakdown'!O:O,$B666,'Executive Pay Breakdown'!Q:Q)+SUMIF('Executive Pay Breakdown'!S:S,$B666,'Executive Pay Breakdown'!U:U)+SUMIF('Executive Pay Breakdown'!W:W,$B666,'Executive Pay Breakdown'!Y:Y)+SUMIF('Executive Pay Breakdown'!AA:AA,$B666,'Executive Pay Breakdown'!AC:AC)</f>
        <v>13991703</v>
      </c>
      <c r="E666" s="109"/>
      <c r="F666" s="69">
        <f>SUMIF('Executive Pay Breakdown'!K:K,$B666,'Executive Pay Breakdown'!M:M)</f>
        <v>2333875</v>
      </c>
      <c r="G666" s="69">
        <f>SUMIF('Executive Pay Breakdown'!O:O,$B666,'Executive Pay Breakdown'!Q:Q)</f>
        <v>2911929</v>
      </c>
      <c r="H666" s="69">
        <f>SUMIF('Executive Pay Breakdown'!S:S,$B666,'Executive Pay Breakdown'!U:U)</f>
        <v>4628168</v>
      </c>
      <c r="I666" s="69">
        <f>SUMIF('Executive Pay Breakdown'!W:W,$B666,'Executive Pay Breakdown'!Y:Y)</f>
        <v>2644862</v>
      </c>
      <c r="J666" s="69">
        <f>SUMIF('Executive Pay Breakdown'!AA:AA,$B666,'Executive Pay Breakdown'!AC:AC)</f>
        <v>1472869</v>
      </c>
      <c r="K666" s="118"/>
      <c r="L666" s="212"/>
      <c r="M666" s="87"/>
      <c r="N666" s="230"/>
      <c r="O666" s="120" t="str">
        <f>MATCH(C666,'Key Findings'!B:B,0)</f>
        <v>#N/A</v>
      </c>
    </row>
    <row r="667" hidden="1">
      <c r="A667" s="62"/>
      <c r="B667" s="127" t="s">
        <v>838</v>
      </c>
      <c r="C667" s="87" t="s">
        <v>835</v>
      </c>
      <c r="D667" s="89">
        <f>SUMIF('Executive Pay Breakdown'!K:K,$B667,'Executive Pay Breakdown'!M:M)+SUMIF('Executive Pay Breakdown'!O:O,$B667,'Executive Pay Breakdown'!Q:Q)+SUMIF('Executive Pay Breakdown'!S:S,$B667,'Executive Pay Breakdown'!U:U)+SUMIF('Executive Pay Breakdown'!W:W,$B667,'Executive Pay Breakdown'!Y:Y)+SUMIF('Executive Pay Breakdown'!AA:AA,$B667,'Executive Pay Breakdown'!AC:AC)</f>
        <v>12689097</v>
      </c>
      <c r="E667" s="109"/>
      <c r="F667" s="69">
        <f>SUMIF('Executive Pay Breakdown'!K:K,$B667,'Executive Pay Breakdown'!M:M)</f>
        <v>0</v>
      </c>
      <c r="G667" s="69">
        <f>SUMIF('Executive Pay Breakdown'!O:O,$B667,'Executive Pay Breakdown'!Q:Q)</f>
        <v>0</v>
      </c>
      <c r="H667" s="69">
        <f>SUMIF('Executive Pay Breakdown'!S:S,$B667,'Executive Pay Breakdown'!U:U)</f>
        <v>0</v>
      </c>
      <c r="I667" s="69">
        <f>SUMIF('Executive Pay Breakdown'!W:W,$B667,'Executive Pay Breakdown'!Y:Y)</f>
        <v>7618687</v>
      </c>
      <c r="J667" s="69">
        <f>SUMIF('Executive Pay Breakdown'!AA:AA,$B667,'Executive Pay Breakdown'!AC:AC)</f>
        <v>5070410</v>
      </c>
      <c r="K667" s="118"/>
      <c r="L667" s="212"/>
      <c r="M667" s="87"/>
      <c r="N667" s="87"/>
      <c r="O667" s="120" t="str">
        <f>MATCH(C667,'Key Findings'!B:B,0)</f>
        <v>#N/A</v>
      </c>
    </row>
    <row r="668" hidden="1">
      <c r="A668" s="62"/>
      <c r="B668" s="131" t="s">
        <v>839</v>
      </c>
      <c r="C668" s="87" t="s">
        <v>835</v>
      </c>
      <c r="D668" s="89">
        <f>SUMIF('Executive Pay Breakdown'!K:K,$B668,'Executive Pay Breakdown'!M:M)+SUMIF('Executive Pay Breakdown'!O:O,$B668,'Executive Pay Breakdown'!Q:Q)+SUMIF('Executive Pay Breakdown'!S:S,$B668,'Executive Pay Breakdown'!U:U)+SUMIF('Executive Pay Breakdown'!W:W,$B668,'Executive Pay Breakdown'!Y:Y)+SUMIF('Executive Pay Breakdown'!AA:AA,$B668,'Executive Pay Breakdown'!AC:AC)</f>
        <v>12357766</v>
      </c>
      <c r="E668" s="109"/>
      <c r="F668" s="69">
        <f>SUMIF('Executive Pay Breakdown'!K:K,$B668,'Executive Pay Breakdown'!M:M)</f>
        <v>3457787</v>
      </c>
      <c r="G668" s="69">
        <f>SUMIF('Executive Pay Breakdown'!O:O,$B668,'Executive Pay Breakdown'!Q:Q)</f>
        <v>3040276</v>
      </c>
      <c r="H668" s="69">
        <f>SUMIF('Executive Pay Breakdown'!S:S,$B668,'Executive Pay Breakdown'!U:U)</f>
        <v>3226639</v>
      </c>
      <c r="I668" s="69">
        <f>SUMIF('Executive Pay Breakdown'!W:W,$B668,'Executive Pay Breakdown'!Y:Y)</f>
        <v>1672409</v>
      </c>
      <c r="J668" s="69">
        <f>SUMIF('Executive Pay Breakdown'!AA:AA,$B668,'Executive Pay Breakdown'!AC:AC)</f>
        <v>960655</v>
      </c>
      <c r="K668" s="118"/>
      <c r="L668" s="212"/>
      <c r="M668" s="87"/>
      <c r="N668" s="230"/>
      <c r="O668" s="120" t="str">
        <f>MATCH(C668,'Key Findings'!B:B,0)</f>
        <v>#N/A</v>
      </c>
    </row>
    <row r="669" hidden="1">
      <c r="A669" s="62"/>
      <c r="B669" s="127" t="s">
        <v>840</v>
      </c>
      <c r="C669" s="87" t="s">
        <v>835</v>
      </c>
      <c r="D669" s="89">
        <f>SUMIF('Executive Pay Breakdown'!K:K,$B669,'Executive Pay Breakdown'!M:M)+SUMIF('Executive Pay Breakdown'!O:O,$B669,'Executive Pay Breakdown'!Q:Q)+SUMIF('Executive Pay Breakdown'!S:S,$B669,'Executive Pay Breakdown'!U:U)+SUMIF('Executive Pay Breakdown'!W:W,$B669,'Executive Pay Breakdown'!Y:Y)+SUMIF('Executive Pay Breakdown'!AA:AA,$B669,'Executive Pay Breakdown'!AC:AC)</f>
        <v>11415303</v>
      </c>
      <c r="E669" s="109"/>
      <c r="F669" s="69">
        <f>SUMIF('Executive Pay Breakdown'!K:K,$B669,'Executive Pay Breakdown'!M:M)</f>
        <v>0</v>
      </c>
      <c r="G669" s="69">
        <f>SUMIF('Executive Pay Breakdown'!O:O,$B669,'Executive Pay Breakdown'!Q:Q)</f>
        <v>0</v>
      </c>
      <c r="H669" s="69">
        <f>SUMIF('Executive Pay Breakdown'!S:S,$B669,'Executive Pay Breakdown'!U:U)</f>
        <v>5614276</v>
      </c>
      <c r="I669" s="69">
        <f>SUMIF('Executive Pay Breakdown'!W:W,$B669,'Executive Pay Breakdown'!Y:Y)</f>
        <v>5801027</v>
      </c>
      <c r="J669" s="69">
        <f>SUMIF('Executive Pay Breakdown'!AA:AA,$B669,'Executive Pay Breakdown'!AC:AC)</f>
        <v>0</v>
      </c>
      <c r="K669" s="118"/>
      <c r="L669" s="212"/>
      <c r="M669" s="87"/>
      <c r="N669" s="87"/>
      <c r="O669" s="120" t="str">
        <f>MATCH(C669,'Key Findings'!B:B,0)</f>
        <v>#N/A</v>
      </c>
    </row>
    <row r="670" hidden="1">
      <c r="A670" s="62"/>
      <c r="B670" s="131" t="s">
        <v>841</v>
      </c>
      <c r="C670" s="87" t="s">
        <v>835</v>
      </c>
      <c r="D670" s="89">
        <f>SUMIF('Executive Pay Breakdown'!K:K,$B670,'Executive Pay Breakdown'!M:M)+SUMIF('Executive Pay Breakdown'!O:O,$B670,'Executive Pay Breakdown'!Q:Q)+SUMIF('Executive Pay Breakdown'!S:S,$B670,'Executive Pay Breakdown'!U:U)+SUMIF('Executive Pay Breakdown'!W:W,$B670,'Executive Pay Breakdown'!Y:Y)+SUMIF('Executive Pay Breakdown'!AA:AA,$B670,'Executive Pay Breakdown'!AC:AC)</f>
        <v>6270236</v>
      </c>
      <c r="E670" s="109"/>
      <c r="F670" s="69">
        <f>SUMIF('Executive Pay Breakdown'!K:K,$B670,'Executive Pay Breakdown'!M:M)</f>
        <v>2315201</v>
      </c>
      <c r="G670" s="69">
        <f>SUMIF('Executive Pay Breakdown'!O:O,$B670,'Executive Pay Breakdown'!Q:Q)</f>
        <v>2442610</v>
      </c>
      <c r="H670" s="69">
        <f>SUMIF('Executive Pay Breakdown'!S:S,$B670,'Executive Pay Breakdown'!U:U)</f>
        <v>1512425</v>
      </c>
      <c r="I670" s="69">
        <f>SUMIF('Executive Pay Breakdown'!W:W,$B670,'Executive Pay Breakdown'!Y:Y)</f>
        <v>0</v>
      </c>
      <c r="J670" s="69">
        <f>SUMIF('Executive Pay Breakdown'!AA:AA,$B670,'Executive Pay Breakdown'!AC:AC)</f>
        <v>0</v>
      </c>
      <c r="K670" s="118"/>
      <c r="L670" s="212"/>
      <c r="M670" s="87"/>
      <c r="N670" s="230"/>
      <c r="O670" s="120" t="str">
        <f>MATCH(C670,'Key Findings'!B:B,0)</f>
        <v>#N/A</v>
      </c>
    </row>
    <row r="671" hidden="1">
      <c r="A671" s="62"/>
      <c r="B671" s="127" t="s">
        <v>842</v>
      </c>
      <c r="C671" s="87" t="s">
        <v>835</v>
      </c>
      <c r="D671" s="89">
        <f>SUMIF('Executive Pay Breakdown'!K:K,$B671,'Executive Pay Breakdown'!M:M)+SUMIF('Executive Pay Breakdown'!O:O,$B671,'Executive Pay Breakdown'!Q:Q)+SUMIF('Executive Pay Breakdown'!S:S,$B671,'Executive Pay Breakdown'!U:U)+SUMIF('Executive Pay Breakdown'!W:W,$B671,'Executive Pay Breakdown'!Y:Y)+SUMIF('Executive Pay Breakdown'!AA:AA,$B671,'Executive Pay Breakdown'!AC:AC)</f>
        <v>4933178</v>
      </c>
      <c r="E671" s="109"/>
      <c r="F671" s="69">
        <f>SUMIF('Executive Pay Breakdown'!K:K,$B671,'Executive Pay Breakdown'!M:M)</f>
        <v>0</v>
      </c>
      <c r="G671" s="69">
        <f>SUMIF('Executive Pay Breakdown'!O:O,$B671,'Executive Pay Breakdown'!Q:Q)</f>
        <v>0</v>
      </c>
      <c r="H671" s="69">
        <f>SUMIF('Executive Pay Breakdown'!S:S,$B671,'Executive Pay Breakdown'!U:U)</f>
        <v>0</v>
      </c>
      <c r="I671" s="69">
        <f>SUMIF('Executive Pay Breakdown'!W:W,$B671,'Executive Pay Breakdown'!Y:Y)</f>
        <v>2315257</v>
      </c>
      <c r="J671" s="69">
        <f>SUMIF('Executive Pay Breakdown'!AA:AA,$B671,'Executive Pay Breakdown'!AC:AC)</f>
        <v>2617921</v>
      </c>
      <c r="K671" s="118"/>
      <c r="L671" s="212"/>
      <c r="M671" s="87"/>
      <c r="N671" s="87"/>
      <c r="O671" s="120" t="str">
        <f>MATCH(C671,'Key Findings'!B:B,0)</f>
        <v>#N/A</v>
      </c>
    </row>
    <row r="672" hidden="1">
      <c r="A672" s="62"/>
      <c r="B672" s="127" t="s">
        <v>843</v>
      </c>
      <c r="C672" s="87" t="s">
        <v>835</v>
      </c>
      <c r="D672" s="89">
        <f>SUMIF('Executive Pay Breakdown'!K:K,$B672,'Executive Pay Breakdown'!M:M)+SUMIF('Executive Pay Breakdown'!O:O,$B672,'Executive Pay Breakdown'!Q:Q)+SUMIF('Executive Pay Breakdown'!S:S,$B672,'Executive Pay Breakdown'!U:U)+SUMIF('Executive Pay Breakdown'!W:W,$B672,'Executive Pay Breakdown'!Y:Y)+SUMIF('Executive Pay Breakdown'!AA:AA,$B672,'Executive Pay Breakdown'!AC:AC)</f>
        <v>3084613</v>
      </c>
      <c r="E672" s="109"/>
      <c r="F672" s="69">
        <f>SUMIF('Executive Pay Breakdown'!K:K,$B672,'Executive Pay Breakdown'!M:M)</f>
        <v>0</v>
      </c>
      <c r="G672" s="69">
        <f>SUMIF('Executive Pay Breakdown'!O:O,$B672,'Executive Pay Breakdown'!Q:Q)</f>
        <v>0</v>
      </c>
      <c r="H672" s="69">
        <f>SUMIF('Executive Pay Breakdown'!S:S,$B672,'Executive Pay Breakdown'!U:U)</f>
        <v>0</v>
      </c>
      <c r="I672" s="69">
        <f>SUMIF('Executive Pay Breakdown'!W:W,$B672,'Executive Pay Breakdown'!Y:Y)</f>
        <v>0</v>
      </c>
      <c r="J672" s="69">
        <f>SUMIF('Executive Pay Breakdown'!AA:AA,$B672,'Executive Pay Breakdown'!AC:AC)</f>
        <v>3084613</v>
      </c>
      <c r="K672" s="118"/>
      <c r="L672" s="212"/>
      <c r="M672" s="87"/>
      <c r="N672" s="87"/>
      <c r="O672" s="120" t="str">
        <f>MATCH(C672,'Key Findings'!B:B,0)</f>
        <v>#N/A</v>
      </c>
    </row>
    <row r="673" hidden="1">
      <c r="A673" s="62"/>
      <c r="B673" s="127" t="s">
        <v>844</v>
      </c>
      <c r="C673" s="87" t="s">
        <v>835</v>
      </c>
      <c r="D673" s="89">
        <f>SUMIF('Executive Pay Breakdown'!K:K,$B673,'Executive Pay Breakdown'!M:M)+SUMIF('Executive Pay Breakdown'!O:O,$B673,'Executive Pay Breakdown'!Q:Q)+SUMIF('Executive Pay Breakdown'!S:S,$B673,'Executive Pay Breakdown'!U:U)+SUMIF('Executive Pay Breakdown'!W:W,$B673,'Executive Pay Breakdown'!Y:Y)+SUMIF('Executive Pay Breakdown'!AA:AA,$B673,'Executive Pay Breakdown'!AC:AC)</f>
        <v>2193282</v>
      </c>
      <c r="E673" s="109"/>
      <c r="F673" s="69">
        <f>SUMIF('Executive Pay Breakdown'!K:K,$B673,'Executive Pay Breakdown'!M:M)</f>
        <v>0</v>
      </c>
      <c r="G673" s="69">
        <f>SUMIF('Executive Pay Breakdown'!O:O,$B673,'Executive Pay Breakdown'!Q:Q)</f>
        <v>0</v>
      </c>
      <c r="H673" s="69">
        <f>SUMIF('Executive Pay Breakdown'!S:S,$B673,'Executive Pay Breakdown'!U:U)</f>
        <v>0</v>
      </c>
      <c r="I673" s="69">
        <f>SUMIF('Executive Pay Breakdown'!W:W,$B673,'Executive Pay Breakdown'!Y:Y)</f>
        <v>0</v>
      </c>
      <c r="J673" s="69">
        <f>SUMIF('Executive Pay Breakdown'!AA:AA,$B673,'Executive Pay Breakdown'!AC:AC)</f>
        <v>2193282</v>
      </c>
      <c r="K673" s="118"/>
      <c r="L673" s="212"/>
      <c r="M673" s="87"/>
      <c r="N673" s="87"/>
      <c r="O673" s="120" t="str">
        <f>MATCH(C673,'Key Findings'!B:B,0)</f>
        <v>#N/A</v>
      </c>
    </row>
    <row r="674" hidden="1">
      <c r="A674" s="62"/>
      <c r="B674" s="131" t="s">
        <v>845</v>
      </c>
      <c r="C674" s="87" t="s">
        <v>846</v>
      </c>
      <c r="D674" s="89">
        <f>SUMIF('Executive Pay Breakdown'!K:K,$B674,'Executive Pay Breakdown'!M:M)+SUMIF('Executive Pay Breakdown'!O:O,$B674,'Executive Pay Breakdown'!Q:Q)+SUMIF('Executive Pay Breakdown'!S:S,$B674,'Executive Pay Breakdown'!U:U)+SUMIF('Executive Pay Breakdown'!W:W,$B674,'Executive Pay Breakdown'!Y:Y)+SUMIF('Executive Pay Breakdown'!AA:AA,$B674,'Executive Pay Breakdown'!AC:AC)</f>
        <v>84298697</v>
      </c>
      <c r="E674" s="109"/>
      <c r="F674" s="69">
        <f>SUMIF('Executive Pay Breakdown'!K:K,$B674,'Executive Pay Breakdown'!M:M)</f>
        <v>16157514</v>
      </c>
      <c r="G674" s="69">
        <f>SUMIF('Executive Pay Breakdown'!O:O,$B674,'Executive Pay Breakdown'!Q:Q)</f>
        <v>19166276</v>
      </c>
      <c r="H674" s="69">
        <f>SUMIF('Executive Pay Breakdown'!S:S,$B674,'Executive Pay Breakdown'!U:U)</f>
        <v>16752753</v>
      </c>
      <c r="I674" s="69">
        <f>SUMIF('Executive Pay Breakdown'!W:W,$B674,'Executive Pay Breakdown'!Y:Y)</f>
        <v>18785026</v>
      </c>
      <c r="J674" s="69">
        <f>SUMIF('Executive Pay Breakdown'!AA:AA,$B674,'Executive Pay Breakdown'!AC:AC)</f>
        <v>13437128</v>
      </c>
      <c r="K674" s="118"/>
      <c r="L674" s="212"/>
      <c r="M674" s="87"/>
      <c r="N674" s="230"/>
      <c r="O674" s="120" t="str">
        <f>MATCH(C674,'Key Findings'!B:B,0)</f>
        <v>#N/A</v>
      </c>
    </row>
    <row r="675" hidden="1">
      <c r="A675" s="62"/>
      <c r="B675" s="131" t="s">
        <v>847</v>
      </c>
      <c r="C675" s="87" t="s">
        <v>846</v>
      </c>
      <c r="D675" s="89">
        <f>SUMIF('Executive Pay Breakdown'!K:K,$B675,'Executive Pay Breakdown'!M:M)+SUMIF('Executive Pay Breakdown'!O:O,$B675,'Executive Pay Breakdown'!Q:Q)+SUMIF('Executive Pay Breakdown'!S:S,$B675,'Executive Pay Breakdown'!U:U)+SUMIF('Executive Pay Breakdown'!W:W,$B675,'Executive Pay Breakdown'!Y:Y)+SUMIF('Executive Pay Breakdown'!AA:AA,$B675,'Executive Pay Breakdown'!AC:AC)</f>
        <v>32222763</v>
      </c>
      <c r="E675" s="109"/>
      <c r="F675" s="69">
        <f>SUMIF('Executive Pay Breakdown'!K:K,$B675,'Executive Pay Breakdown'!M:M)</f>
        <v>6828538</v>
      </c>
      <c r="G675" s="69">
        <f>SUMIF('Executive Pay Breakdown'!O:O,$B675,'Executive Pay Breakdown'!Q:Q)</f>
        <v>7159658</v>
      </c>
      <c r="H675" s="69">
        <f>SUMIF('Executive Pay Breakdown'!S:S,$B675,'Executive Pay Breakdown'!U:U)</f>
        <v>6586328</v>
      </c>
      <c r="I675" s="69">
        <f>SUMIF('Executive Pay Breakdown'!W:W,$B675,'Executive Pay Breakdown'!Y:Y)</f>
        <v>6511517</v>
      </c>
      <c r="J675" s="69">
        <f>SUMIF('Executive Pay Breakdown'!AA:AA,$B675,'Executive Pay Breakdown'!AC:AC)</f>
        <v>5136722</v>
      </c>
      <c r="K675" s="118"/>
      <c r="L675" s="212"/>
      <c r="M675" s="87"/>
      <c r="N675" s="230"/>
      <c r="O675" s="120" t="str">
        <f>MATCH(C675,'Key Findings'!B:B,0)</f>
        <v>#N/A</v>
      </c>
    </row>
    <row r="676" hidden="1">
      <c r="A676" s="62"/>
      <c r="B676" s="131" t="s">
        <v>848</v>
      </c>
      <c r="C676" s="87" t="s">
        <v>846</v>
      </c>
      <c r="D676" s="89">
        <f>SUMIF('Executive Pay Breakdown'!K:K,$B676,'Executive Pay Breakdown'!M:M)+SUMIF('Executive Pay Breakdown'!O:O,$B676,'Executive Pay Breakdown'!Q:Q)+SUMIF('Executive Pay Breakdown'!S:S,$B676,'Executive Pay Breakdown'!U:U)+SUMIF('Executive Pay Breakdown'!W:W,$B676,'Executive Pay Breakdown'!Y:Y)+SUMIF('Executive Pay Breakdown'!AA:AA,$B676,'Executive Pay Breakdown'!AC:AC)</f>
        <v>23435554</v>
      </c>
      <c r="E676" s="109"/>
      <c r="F676" s="69">
        <f>SUMIF('Executive Pay Breakdown'!K:K,$B676,'Executive Pay Breakdown'!M:M)</f>
        <v>5526512</v>
      </c>
      <c r="G676" s="69">
        <f>SUMIF('Executive Pay Breakdown'!O:O,$B676,'Executive Pay Breakdown'!Q:Q)</f>
        <v>5328895</v>
      </c>
      <c r="H676" s="69">
        <f>SUMIF('Executive Pay Breakdown'!S:S,$B676,'Executive Pay Breakdown'!U:U)</f>
        <v>4444704</v>
      </c>
      <c r="I676" s="69">
        <f>SUMIF('Executive Pay Breakdown'!W:W,$B676,'Executive Pay Breakdown'!Y:Y)</f>
        <v>4356227</v>
      </c>
      <c r="J676" s="69">
        <f>SUMIF('Executive Pay Breakdown'!AA:AA,$B676,'Executive Pay Breakdown'!AC:AC)</f>
        <v>3779216</v>
      </c>
      <c r="K676" s="118"/>
      <c r="L676" s="212"/>
      <c r="M676" s="87"/>
      <c r="N676" s="230"/>
      <c r="O676" s="120" t="str">
        <f>MATCH(C676,'Key Findings'!B:B,0)</f>
        <v>#N/A</v>
      </c>
    </row>
    <row r="677" hidden="1">
      <c r="A677" s="62"/>
      <c r="B677" s="131" t="s">
        <v>849</v>
      </c>
      <c r="C677" s="87" t="s">
        <v>846</v>
      </c>
      <c r="D677" s="89">
        <f>SUMIF('Executive Pay Breakdown'!K:K,$B677,'Executive Pay Breakdown'!M:M)+SUMIF('Executive Pay Breakdown'!O:O,$B677,'Executive Pay Breakdown'!Q:Q)+SUMIF('Executive Pay Breakdown'!S:S,$B677,'Executive Pay Breakdown'!U:U)+SUMIF('Executive Pay Breakdown'!W:W,$B677,'Executive Pay Breakdown'!Y:Y)+SUMIF('Executive Pay Breakdown'!AA:AA,$B677,'Executive Pay Breakdown'!AC:AC)</f>
        <v>22024626</v>
      </c>
      <c r="E677" s="109"/>
      <c r="F677" s="69">
        <f>SUMIF('Executive Pay Breakdown'!K:K,$B677,'Executive Pay Breakdown'!M:M)</f>
        <v>5593632</v>
      </c>
      <c r="G677" s="69">
        <f>SUMIF('Executive Pay Breakdown'!O:O,$B677,'Executive Pay Breakdown'!Q:Q)</f>
        <v>5385388</v>
      </c>
      <c r="H677" s="69">
        <f>SUMIF('Executive Pay Breakdown'!S:S,$B677,'Executive Pay Breakdown'!U:U)</f>
        <v>3953959</v>
      </c>
      <c r="I677" s="69">
        <f>SUMIF('Executive Pay Breakdown'!W:W,$B677,'Executive Pay Breakdown'!Y:Y)</f>
        <v>3566755</v>
      </c>
      <c r="J677" s="69">
        <f>SUMIF('Executive Pay Breakdown'!AA:AA,$B677,'Executive Pay Breakdown'!AC:AC)</f>
        <v>3524892</v>
      </c>
      <c r="K677" s="118"/>
      <c r="L677" s="212"/>
      <c r="M677" s="87"/>
      <c r="N677" s="230"/>
      <c r="O677" s="120" t="str">
        <f>MATCH(C677,'Key Findings'!B:B,0)</f>
        <v>#N/A</v>
      </c>
    </row>
    <row r="678" hidden="1">
      <c r="A678" s="62"/>
      <c r="B678" s="131" t="s">
        <v>850</v>
      </c>
      <c r="C678" s="87" t="s">
        <v>846</v>
      </c>
      <c r="D678" s="89">
        <f>SUMIF('Executive Pay Breakdown'!K:K,$B678,'Executive Pay Breakdown'!M:M)+SUMIF('Executive Pay Breakdown'!O:O,$B678,'Executive Pay Breakdown'!Q:Q)+SUMIF('Executive Pay Breakdown'!S:S,$B678,'Executive Pay Breakdown'!U:U)+SUMIF('Executive Pay Breakdown'!W:W,$B678,'Executive Pay Breakdown'!Y:Y)+SUMIF('Executive Pay Breakdown'!AA:AA,$B678,'Executive Pay Breakdown'!AC:AC)</f>
        <v>18051045</v>
      </c>
      <c r="E678" s="109"/>
      <c r="F678" s="69">
        <f>SUMIF('Executive Pay Breakdown'!K:K,$B678,'Executive Pay Breakdown'!M:M)</f>
        <v>5489843</v>
      </c>
      <c r="G678" s="69">
        <f>SUMIF('Executive Pay Breakdown'!O:O,$B678,'Executive Pay Breakdown'!Q:Q)</f>
        <v>4980515</v>
      </c>
      <c r="H678" s="69">
        <f>SUMIF('Executive Pay Breakdown'!S:S,$B678,'Executive Pay Breakdown'!U:U)</f>
        <v>4006885</v>
      </c>
      <c r="I678" s="69">
        <f>SUMIF('Executive Pay Breakdown'!W:W,$B678,'Executive Pay Breakdown'!Y:Y)</f>
        <v>3573802</v>
      </c>
      <c r="J678" s="69">
        <f>SUMIF('Executive Pay Breakdown'!AA:AA,$B678,'Executive Pay Breakdown'!AC:AC)</f>
        <v>0</v>
      </c>
      <c r="K678" s="118"/>
      <c r="L678" s="212"/>
      <c r="M678" s="87"/>
      <c r="N678" s="230"/>
      <c r="O678" s="120" t="str">
        <f>MATCH(C678,'Key Findings'!B:B,0)</f>
        <v>#N/A</v>
      </c>
    </row>
    <row r="679" hidden="1">
      <c r="A679" s="62"/>
      <c r="B679" s="127" t="s">
        <v>851</v>
      </c>
      <c r="C679" s="87" t="s">
        <v>846</v>
      </c>
      <c r="D679" s="89">
        <f>SUMIF('Executive Pay Breakdown'!K:K,$B679,'Executive Pay Breakdown'!M:M)+SUMIF('Executive Pay Breakdown'!O:O,$B679,'Executive Pay Breakdown'!Q:Q)+SUMIF('Executive Pay Breakdown'!S:S,$B679,'Executive Pay Breakdown'!U:U)+SUMIF('Executive Pay Breakdown'!W:W,$B679,'Executive Pay Breakdown'!Y:Y)+SUMIF('Executive Pay Breakdown'!AA:AA,$B679,'Executive Pay Breakdown'!AC:AC)</f>
        <v>16204006</v>
      </c>
      <c r="E679" s="109"/>
      <c r="F679" s="69">
        <f>SUMIF('Executive Pay Breakdown'!K:K,$B679,'Executive Pay Breakdown'!M:M)</f>
        <v>0</v>
      </c>
      <c r="G679" s="69">
        <f>SUMIF('Executive Pay Breakdown'!O:O,$B679,'Executive Pay Breakdown'!Q:Q)</f>
        <v>5367494</v>
      </c>
      <c r="H679" s="69">
        <f>SUMIF('Executive Pay Breakdown'!S:S,$B679,'Executive Pay Breakdown'!U:U)</f>
        <v>3731832</v>
      </c>
      <c r="I679" s="69">
        <f>SUMIF('Executive Pay Breakdown'!W:W,$B679,'Executive Pay Breakdown'!Y:Y)</f>
        <v>3633329</v>
      </c>
      <c r="J679" s="69">
        <f>SUMIF('Executive Pay Breakdown'!AA:AA,$B679,'Executive Pay Breakdown'!AC:AC)</f>
        <v>3471351</v>
      </c>
      <c r="K679" s="118"/>
      <c r="L679" s="212"/>
      <c r="M679" s="87"/>
      <c r="N679" s="87"/>
      <c r="O679" s="120" t="str">
        <f>MATCH(C679,'Key Findings'!B:B,0)</f>
        <v>#N/A</v>
      </c>
    </row>
    <row r="680" hidden="1">
      <c r="A680" s="62"/>
      <c r="B680" s="127" t="s">
        <v>852</v>
      </c>
      <c r="C680" s="87" t="s">
        <v>846</v>
      </c>
      <c r="D680" s="89">
        <f>SUMIF('Executive Pay Breakdown'!K:K,$B680,'Executive Pay Breakdown'!M:M)+SUMIF('Executive Pay Breakdown'!O:O,$B680,'Executive Pay Breakdown'!Q:Q)+SUMIF('Executive Pay Breakdown'!S:S,$B680,'Executive Pay Breakdown'!U:U)+SUMIF('Executive Pay Breakdown'!W:W,$B680,'Executive Pay Breakdown'!Y:Y)+SUMIF('Executive Pay Breakdown'!AA:AA,$B680,'Executive Pay Breakdown'!AC:AC)</f>
        <v>4089639</v>
      </c>
      <c r="E680" s="109"/>
      <c r="F680" s="69">
        <f>SUMIF('Executive Pay Breakdown'!K:K,$B680,'Executive Pay Breakdown'!M:M)</f>
        <v>0</v>
      </c>
      <c r="G680" s="69">
        <f>SUMIF('Executive Pay Breakdown'!O:O,$B680,'Executive Pay Breakdown'!Q:Q)</f>
        <v>0</v>
      </c>
      <c r="H680" s="69">
        <f>SUMIF('Executive Pay Breakdown'!S:S,$B680,'Executive Pay Breakdown'!U:U)</f>
        <v>0</v>
      </c>
      <c r="I680" s="69">
        <f>SUMIF('Executive Pay Breakdown'!W:W,$B680,'Executive Pay Breakdown'!Y:Y)</f>
        <v>0</v>
      </c>
      <c r="J680" s="69">
        <f>SUMIF('Executive Pay Breakdown'!AA:AA,$B680,'Executive Pay Breakdown'!AC:AC)</f>
        <v>4089639</v>
      </c>
      <c r="K680" s="118"/>
      <c r="L680" s="212"/>
      <c r="M680" s="87"/>
      <c r="N680" s="87"/>
      <c r="O680" s="120" t="str">
        <f>MATCH(C680,'Key Findings'!B:B,0)</f>
        <v>#N/A</v>
      </c>
    </row>
    <row r="681" hidden="1">
      <c r="A681" s="71"/>
      <c r="B681" s="124" t="s">
        <v>853</v>
      </c>
      <c r="C681" s="87" t="s">
        <v>854</v>
      </c>
      <c r="D681" s="89">
        <f>SUMIF('Executive Pay Breakdown'!K:K,$B681,'Executive Pay Breakdown'!M:M)+SUMIF('Executive Pay Breakdown'!O:O,$B681,'Executive Pay Breakdown'!Q:Q)+SUMIF('Executive Pay Breakdown'!S:S,$B681,'Executive Pay Breakdown'!U:U)+SUMIF('Executive Pay Breakdown'!W:W,$B681,'Executive Pay Breakdown'!Y:Y)+SUMIF('Executive Pay Breakdown'!AA:AA,$B681,'Executive Pay Breakdown'!AC:AC)</f>
        <v>91343386</v>
      </c>
      <c r="E681" s="109"/>
      <c r="F681" s="69">
        <f>SUMIF('Executive Pay Breakdown'!K:K,$B681,'Executive Pay Breakdown'!M:M)</f>
        <v>21072397</v>
      </c>
      <c r="G681" s="69">
        <f>SUMIF('Executive Pay Breakdown'!O:O,$B681,'Executive Pay Breakdown'!Q:Q)</f>
        <v>19853697</v>
      </c>
      <c r="H681" s="69">
        <f>SUMIF('Executive Pay Breakdown'!S:S,$B681,'Executive Pay Breakdown'!U:U)</f>
        <v>18990270</v>
      </c>
      <c r="I681" s="69">
        <f>SUMIF('Executive Pay Breakdown'!W:W,$B681,'Executive Pay Breakdown'!Y:Y)</f>
        <v>16778809</v>
      </c>
      <c r="J681" s="69">
        <f>SUMIF('Executive Pay Breakdown'!AA:AA,$B681,'Executive Pay Breakdown'!AC:AC)</f>
        <v>14648213</v>
      </c>
      <c r="K681" s="118"/>
      <c r="L681" s="212"/>
      <c r="M681" s="87"/>
      <c r="N681" s="87"/>
      <c r="O681" s="120" t="str">
        <f>MATCH(C681,'Key Findings'!B:B,0)</f>
        <v>#N/A</v>
      </c>
    </row>
    <row r="682" hidden="1">
      <c r="A682" s="71"/>
      <c r="B682" s="124" t="s">
        <v>855</v>
      </c>
      <c r="C682" s="87" t="s">
        <v>854</v>
      </c>
      <c r="D682" s="89">
        <f>SUMIF('Executive Pay Breakdown'!K:K,$B682,'Executive Pay Breakdown'!M:M)+SUMIF('Executive Pay Breakdown'!O:O,$B682,'Executive Pay Breakdown'!Q:Q)+SUMIF('Executive Pay Breakdown'!S:S,$B682,'Executive Pay Breakdown'!U:U)+SUMIF('Executive Pay Breakdown'!W:W,$B682,'Executive Pay Breakdown'!Y:Y)+SUMIF('Executive Pay Breakdown'!AA:AA,$B682,'Executive Pay Breakdown'!AC:AC)</f>
        <v>32472281</v>
      </c>
      <c r="E682" s="109"/>
      <c r="F682" s="69">
        <f>SUMIF('Executive Pay Breakdown'!K:K,$B682,'Executive Pay Breakdown'!M:M)</f>
        <v>6818623</v>
      </c>
      <c r="G682" s="69">
        <f>SUMIF('Executive Pay Breakdown'!O:O,$B682,'Executive Pay Breakdown'!Q:Q)</f>
        <v>6764176</v>
      </c>
      <c r="H682" s="69">
        <f>SUMIF('Executive Pay Breakdown'!S:S,$B682,'Executive Pay Breakdown'!U:U)</f>
        <v>6576439</v>
      </c>
      <c r="I682" s="69">
        <f>SUMIF('Executive Pay Breakdown'!W:W,$B682,'Executive Pay Breakdown'!Y:Y)</f>
        <v>6303440</v>
      </c>
      <c r="J682" s="69">
        <f>SUMIF('Executive Pay Breakdown'!AA:AA,$B682,'Executive Pay Breakdown'!AC:AC)</f>
        <v>6009603</v>
      </c>
      <c r="K682" s="118"/>
      <c r="L682" s="212"/>
      <c r="M682" s="87"/>
      <c r="N682" s="230"/>
      <c r="O682" s="120" t="str">
        <f>MATCH(C682,'Key Findings'!B:B,0)</f>
        <v>#N/A</v>
      </c>
    </row>
    <row r="683" hidden="1">
      <c r="A683" s="71"/>
      <c r="B683" s="124" t="s">
        <v>856</v>
      </c>
      <c r="C683" s="87" t="s">
        <v>854</v>
      </c>
      <c r="D683" s="89">
        <f>SUMIF('Executive Pay Breakdown'!K:K,$B683,'Executive Pay Breakdown'!M:M)+SUMIF('Executive Pay Breakdown'!O:O,$B683,'Executive Pay Breakdown'!Q:Q)+SUMIF('Executive Pay Breakdown'!S:S,$B683,'Executive Pay Breakdown'!U:U)+SUMIF('Executive Pay Breakdown'!W:W,$B683,'Executive Pay Breakdown'!Y:Y)+SUMIF('Executive Pay Breakdown'!AA:AA,$B683,'Executive Pay Breakdown'!AC:AC)</f>
        <v>28252008</v>
      </c>
      <c r="E683" s="109"/>
      <c r="F683" s="69">
        <f>SUMIF('Executive Pay Breakdown'!K:K,$B683,'Executive Pay Breakdown'!M:M)</f>
        <v>6767092</v>
      </c>
      <c r="G683" s="69">
        <f>SUMIF('Executive Pay Breakdown'!O:O,$B683,'Executive Pay Breakdown'!Q:Q)</f>
        <v>5925653</v>
      </c>
      <c r="H683" s="69">
        <f>SUMIF('Executive Pay Breakdown'!S:S,$B683,'Executive Pay Breakdown'!U:U)</f>
        <v>5446367</v>
      </c>
      <c r="I683" s="69">
        <f>SUMIF('Executive Pay Breakdown'!W:W,$B683,'Executive Pay Breakdown'!Y:Y)</f>
        <v>5257621</v>
      </c>
      <c r="J683" s="69">
        <f>SUMIF('Executive Pay Breakdown'!AA:AA,$B683,'Executive Pay Breakdown'!AC:AC)</f>
        <v>4855275</v>
      </c>
      <c r="K683" s="118"/>
      <c r="L683" s="212"/>
      <c r="M683" s="87"/>
      <c r="N683" s="230"/>
      <c r="O683" s="120" t="str">
        <f>MATCH(C683,'Key Findings'!B:B,0)</f>
        <v>#N/A</v>
      </c>
    </row>
    <row r="684" hidden="1">
      <c r="A684" s="71"/>
      <c r="B684" s="124" t="s">
        <v>857</v>
      </c>
      <c r="C684" s="87" t="s">
        <v>854</v>
      </c>
      <c r="D684" s="89">
        <f>SUMIF('Executive Pay Breakdown'!K:K,$B684,'Executive Pay Breakdown'!M:M)+SUMIF('Executive Pay Breakdown'!O:O,$B684,'Executive Pay Breakdown'!Q:Q)+SUMIF('Executive Pay Breakdown'!S:S,$B684,'Executive Pay Breakdown'!U:U)+SUMIF('Executive Pay Breakdown'!W:W,$B684,'Executive Pay Breakdown'!Y:Y)+SUMIF('Executive Pay Breakdown'!AA:AA,$B684,'Executive Pay Breakdown'!AC:AC)</f>
        <v>22009904</v>
      </c>
      <c r="E684" s="109"/>
      <c r="F684" s="69">
        <f>SUMIF('Executive Pay Breakdown'!K:K,$B684,'Executive Pay Breakdown'!M:M)</f>
        <v>5521735</v>
      </c>
      <c r="G684" s="69">
        <f>SUMIF('Executive Pay Breakdown'!O:O,$B684,'Executive Pay Breakdown'!Q:Q)</f>
        <v>5328252</v>
      </c>
      <c r="H684" s="69">
        <f>SUMIF('Executive Pay Breakdown'!S:S,$B684,'Executive Pay Breakdown'!U:U)</f>
        <v>5122446</v>
      </c>
      <c r="I684" s="69">
        <f>SUMIF('Executive Pay Breakdown'!W:W,$B684,'Executive Pay Breakdown'!Y:Y)</f>
        <v>4230571</v>
      </c>
      <c r="J684" s="69">
        <f>SUMIF('Executive Pay Breakdown'!AA:AA,$B684,'Executive Pay Breakdown'!AC:AC)</f>
        <v>1806900</v>
      </c>
      <c r="K684" s="118"/>
      <c r="L684" s="212"/>
      <c r="M684" s="87"/>
      <c r="N684" s="230"/>
      <c r="O684" s="120" t="str">
        <f>MATCH(C684,'Key Findings'!B:B,0)</f>
        <v>#N/A</v>
      </c>
    </row>
    <row r="685" hidden="1">
      <c r="A685" s="71"/>
      <c r="B685" s="124" t="s">
        <v>858</v>
      </c>
      <c r="C685" s="87" t="s">
        <v>854</v>
      </c>
      <c r="D685" s="89">
        <f>SUMIF('Executive Pay Breakdown'!K:K,$B685,'Executive Pay Breakdown'!M:M)+SUMIF('Executive Pay Breakdown'!O:O,$B685,'Executive Pay Breakdown'!Q:Q)+SUMIF('Executive Pay Breakdown'!S:S,$B685,'Executive Pay Breakdown'!U:U)+SUMIF('Executive Pay Breakdown'!W:W,$B685,'Executive Pay Breakdown'!Y:Y)+SUMIF('Executive Pay Breakdown'!AA:AA,$B685,'Executive Pay Breakdown'!AC:AC)</f>
        <v>16831363</v>
      </c>
      <c r="E685" s="109"/>
      <c r="F685" s="69">
        <f>SUMIF('Executive Pay Breakdown'!K:K,$B685,'Executive Pay Breakdown'!M:M)</f>
        <v>6208386</v>
      </c>
      <c r="G685" s="69">
        <f>SUMIF('Executive Pay Breakdown'!O:O,$B685,'Executive Pay Breakdown'!Q:Q)</f>
        <v>5486379</v>
      </c>
      <c r="H685" s="69">
        <f>SUMIF('Executive Pay Breakdown'!S:S,$B685,'Executive Pay Breakdown'!U:U)</f>
        <v>5136598</v>
      </c>
      <c r="I685" s="69">
        <f>SUMIF('Executive Pay Breakdown'!W:W,$B685,'Executive Pay Breakdown'!Y:Y)</f>
        <v>0</v>
      </c>
      <c r="J685" s="69">
        <f>SUMIF('Executive Pay Breakdown'!AA:AA,$B685,'Executive Pay Breakdown'!AC:AC)</f>
        <v>0</v>
      </c>
      <c r="K685" s="118"/>
      <c r="L685" s="212"/>
      <c r="M685" s="87"/>
      <c r="N685" s="230"/>
      <c r="O685" s="120" t="str">
        <f>MATCH(C685,'Key Findings'!B:B,0)</f>
        <v>#N/A</v>
      </c>
    </row>
    <row r="686" hidden="1">
      <c r="A686" s="71"/>
      <c r="B686" s="124" t="s">
        <v>859</v>
      </c>
      <c r="C686" s="87" t="s">
        <v>854</v>
      </c>
      <c r="D686" s="89">
        <f>SUMIF('Executive Pay Breakdown'!K:K,$B686,'Executive Pay Breakdown'!M:M)+SUMIF('Executive Pay Breakdown'!O:O,$B686,'Executive Pay Breakdown'!Q:Q)+SUMIF('Executive Pay Breakdown'!S:S,$B686,'Executive Pay Breakdown'!U:U)+SUMIF('Executive Pay Breakdown'!W:W,$B686,'Executive Pay Breakdown'!Y:Y)+SUMIF('Executive Pay Breakdown'!AA:AA,$B686,'Executive Pay Breakdown'!AC:AC)</f>
        <v>12744705</v>
      </c>
      <c r="E686" s="109"/>
      <c r="F686" s="69">
        <f>SUMIF('Executive Pay Breakdown'!K:K,$B686,'Executive Pay Breakdown'!M:M)</f>
        <v>0</v>
      </c>
      <c r="G686" s="69">
        <f>SUMIF('Executive Pay Breakdown'!O:O,$B686,'Executive Pay Breakdown'!Q:Q)</f>
        <v>0</v>
      </c>
      <c r="H686" s="69">
        <f>SUMIF('Executive Pay Breakdown'!S:S,$B686,'Executive Pay Breakdown'!U:U)</f>
        <v>0</v>
      </c>
      <c r="I686" s="69">
        <f>SUMIF('Executive Pay Breakdown'!W:W,$B686,'Executive Pay Breakdown'!Y:Y)</f>
        <v>6123164</v>
      </c>
      <c r="J686" s="69">
        <f>SUMIF('Executive Pay Breakdown'!AA:AA,$B686,'Executive Pay Breakdown'!AC:AC)</f>
        <v>6621541</v>
      </c>
      <c r="K686" s="118"/>
      <c r="L686" s="212"/>
      <c r="M686" s="87"/>
      <c r="N686" s="87"/>
      <c r="O686" s="120" t="str">
        <f>MATCH(C686,'Key Findings'!B:B,0)</f>
        <v>#N/A</v>
      </c>
    </row>
    <row r="687" hidden="1">
      <c r="A687" s="71"/>
      <c r="B687" s="124" t="s">
        <v>860</v>
      </c>
      <c r="C687" s="87" t="s">
        <v>854</v>
      </c>
      <c r="D687" s="89">
        <f>SUMIF('Executive Pay Breakdown'!K:K,$B687,'Executive Pay Breakdown'!M:M)+SUMIF('Executive Pay Breakdown'!O:O,$B687,'Executive Pay Breakdown'!Q:Q)+SUMIF('Executive Pay Breakdown'!S:S,$B687,'Executive Pay Breakdown'!U:U)+SUMIF('Executive Pay Breakdown'!W:W,$B687,'Executive Pay Breakdown'!Y:Y)+SUMIF('Executive Pay Breakdown'!AA:AA,$B687,'Executive Pay Breakdown'!AC:AC)</f>
        <v>5896441</v>
      </c>
      <c r="E687" s="109"/>
      <c r="F687" s="69">
        <f>SUMIF('Executive Pay Breakdown'!K:K,$B687,'Executive Pay Breakdown'!M:M)</f>
        <v>0</v>
      </c>
      <c r="G687" s="69">
        <f>SUMIF('Executive Pay Breakdown'!O:O,$B687,'Executive Pay Breakdown'!Q:Q)</f>
        <v>0</v>
      </c>
      <c r="H687" s="69">
        <f>SUMIF('Executive Pay Breakdown'!S:S,$B687,'Executive Pay Breakdown'!U:U)</f>
        <v>0</v>
      </c>
      <c r="I687" s="69">
        <f>SUMIF('Executive Pay Breakdown'!W:W,$B687,'Executive Pay Breakdown'!Y:Y)</f>
        <v>0</v>
      </c>
      <c r="J687" s="69">
        <f>SUMIF('Executive Pay Breakdown'!AA:AA,$B687,'Executive Pay Breakdown'!AC:AC)</f>
        <v>5896441</v>
      </c>
      <c r="K687" s="118"/>
      <c r="L687" s="212"/>
      <c r="M687" s="87"/>
      <c r="N687" s="87"/>
      <c r="O687" s="120" t="str">
        <f>MATCH(C687,'Key Findings'!B:B,0)</f>
        <v>#N/A</v>
      </c>
    </row>
    <row r="688" hidden="1">
      <c r="A688" s="71"/>
      <c r="B688" s="124" t="s">
        <v>861</v>
      </c>
      <c r="C688" s="87" t="s">
        <v>862</v>
      </c>
      <c r="D688" s="89">
        <f>SUMIF('Executive Pay Breakdown'!K:K,$B688,'Executive Pay Breakdown'!M:M)+SUMIF('Executive Pay Breakdown'!O:O,$B688,'Executive Pay Breakdown'!Q:Q)+SUMIF('Executive Pay Breakdown'!S:S,$B688,'Executive Pay Breakdown'!U:U)+SUMIF('Executive Pay Breakdown'!W:W,$B688,'Executive Pay Breakdown'!Y:Y)+SUMIF('Executive Pay Breakdown'!AA:AA,$B688,'Executive Pay Breakdown'!AC:AC)</f>
        <v>104775551</v>
      </c>
      <c r="E688" s="109"/>
      <c r="F688" s="69">
        <f>SUMIF('Executive Pay Breakdown'!K:K,$B688,'Executive Pay Breakdown'!M:M)</f>
        <v>20525368</v>
      </c>
      <c r="G688" s="69">
        <f>SUMIF('Executive Pay Breakdown'!O:O,$B688,'Executive Pay Breakdown'!Q:Q)</f>
        <v>31802000</v>
      </c>
      <c r="H688" s="69">
        <f>SUMIF('Executive Pay Breakdown'!S:S,$B688,'Executive Pay Breakdown'!U:U)</f>
        <v>14541737</v>
      </c>
      <c r="I688" s="69">
        <f>SUMIF('Executive Pay Breakdown'!W:W,$B688,'Executive Pay Breakdown'!Y:Y)</f>
        <v>19083676</v>
      </c>
      <c r="J688" s="69">
        <f>SUMIF('Executive Pay Breakdown'!AA:AA,$B688,'Executive Pay Breakdown'!AC:AC)</f>
        <v>18822770</v>
      </c>
      <c r="K688" s="118"/>
      <c r="L688" s="212"/>
      <c r="M688" s="87"/>
      <c r="N688" s="230"/>
      <c r="O688" s="120" t="str">
        <f>MATCH(C688,'Key Findings'!B:B,0)</f>
        <v>#N/A</v>
      </c>
    </row>
    <row r="689" hidden="1">
      <c r="A689" s="71"/>
      <c r="B689" s="139" t="s">
        <v>863</v>
      </c>
      <c r="C689" s="87" t="s">
        <v>862</v>
      </c>
      <c r="D689" s="89">
        <f>SUMIF('Executive Pay Breakdown'!K:K,$B689,'Executive Pay Breakdown'!M:M)+SUMIF('Executive Pay Breakdown'!O:O,$B689,'Executive Pay Breakdown'!Q:Q)+SUMIF('Executive Pay Breakdown'!S:S,$B689,'Executive Pay Breakdown'!U:U)+SUMIF('Executive Pay Breakdown'!W:W,$B689,'Executive Pay Breakdown'!Y:Y)+SUMIF('Executive Pay Breakdown'!AA:AA,$B689,'Executive Pay Breakdown'!AC:AC)</f>
        <v>56610506</v>
      </c>
      <c r="E689" s="109"/>
      <c r="F689" s="69">
        <f>SUMIF('Executive Pay Breakdown'!K:K,$B689,'Executive Pay Breakdown'!M:M)</f>
        <v>10331992</v>
      </c>
      <c r="G689" s="69">
        <f>SUMIF('Executive Pay Breakdown'!O:O,$B689,'Executive Pay Breakdown'!Q:Q)</f>
        <v>16538421</v>
      </c>
      <c r="H689" s="69">
        <f>SUMIF('Executive Pay Breakdown'!S:S,$B689,'Executive Pay Breakdown'!U:U)</f>
        <v>7983510</v>
      </c>
      <c r="I689" s="69">
        <f>SUMIF('Executive Pay Breakdown'!W:W,$B689,'Executive Pay Breakdown'!Y:Y)</f>
        <v>10495506</v>
      </c>
      <c r="J689" s="69">
        <f>SUMIF('Executive Pay Breakdown'!AA:AA,$B689,'Executive Pay Breakdown'!AC:AC)</f>
        <v>11261077</v>
      </c>
      <c r="K689" s="118"/>
      <c r="L689" s="212"/>
      <c r="M689" s="87"/>
      <c r="N689" s="230"/>
      <c r="O689" s="120" t="str">
        <f>MATCH(C689,'Key Findings'!B:B,0)</f>
        <v>#N/A</v>
      </c>
    </row>
    <row r="690" hidden="1">
      <c r="A690" s="71"/>
      <c r="B690" s="139" t="s">
        <v>864</v>
      </c>
      <c r="C690" s="87" t="s">
        <v>862</v>
      </c>
      <c r="D690" s="89">
        <f>SUMIF('Executive Pay Breakdown'!K:K,$B690,'Executive Pay Breakdown'!M:M)+SUMIF('Executive Pay Breakdown'!O:O,$B690,'Executive Pay Breakdown'!Q:Q)+SUMIF('Executive Pay Breakdown'!S:S,$B690,'Executive Pay Breakdown'!U:U)+SUMIF('Executive Pay Breakdown'!W:W,$B690,'Executive Pay Breakdown'!Y:Y)+SUMIF('Executive Pay Breakdown'!AA:AA,$B690,'Executive Pay Breakdown'!AC:AC)</f>
        <v>40123953</v>
      </c>
      <c r="E690" s="109"/>
      <c r="F690" s="69">
        <f>SUMIF('Executive Pay Breakdown'!K:K,$B690,'Executive Pay Breakdown'!M:M)</f>
        <v>7333136</v>
      </c>
      <c r="G690" s="69">
        <f>SUMIF('Executive Pay Breakdown'!O:O,$B690,'Executive Pay Breakdown'!Q:Q)</f>
        <v>12383585</v>
      </c>
      <c r="H690" s="69">
        <f>SUMIF('Executive Pay Breakdown'!S:S,$B690,'Executive Pay Breakdown'!U:U)</f>
        <v>6065893</v>
      </c>
      <c r="I690" s="69">
        <f>SUMIF('Executive Pay Breakdown'!W:W,$B690,'Executive Pay Breakdown'!Y:Y)</f>
        <v>7596299</v>
      </c>
      <c r="J690" s="69">
        <f>SUMIF('Executive Pay Breakdown'!AA:AA,$B690,'Executive Pay Breakdown'!AC:AC)</f>
        <v>6745040</v>
      </c>
      <c r="K690" s="118"/>
      <c r="L690" s="212"/>
      <c r="M690" s="87"/>
      <c r="N690" s="230"/>
      <c r="O690" s="120" t="str">
        <f>MATCH(C690,'Key Findings'!B:B,0)</f>
        <v>#N/A</v>
      </c>
    </row>
    <row r="691" hidden="1">
      <c r="A691" s="71"/>
      <c r="B691" s="139" t="s">
        <v>865</v>
      </c>
      <c r="C691" s="87" t="s">
        <v>862</v>
      </c>
      <c r="D691" s="89">
        <f>SUMIF('Executive Pay Breakdown'!K:K,$B691,'Executive Pay Breakdown'!M:M)+SUMIF('Executive Pay Breakdown'!O:O,$B691,'Executive Pay Breakdown'!Q:Q)+SUMIF('Executive Pay Breakdown'!S:S,$B691,'Executive Pay Breakdown'!U:U)+SUMIF('Executive Pay Breakdown'!W:W,$B691,'Executive Pay Breakdown'!Y:Y)+SUMIF('Executive Pay Breakdown'!AA:AA,$B691,'Executive Pay Breakdown'!AC:AC)</f>
        <v>37361603</v>
      </c>
      <c r="E691" s="109"/>
      <c r="F691" s="69">
        <f>SUMIF('Executive Pay Breakdown'!K:K,$B691,'Executive Pay Breakdown'!M:M)</f>
        <v>7615564</v>
      </c>
      <c r="G691" s="69">
        <f>SUMIF('Executive Pay Breakdown'!O:O,$B691,'Executive Pay Breakdown'!Q:Q)</f>
        <v>11512086</v>
      </c>
      <c r="H691" s="69">
        <f>SUMIF('Executive Pay Breakdown'!S:S,$B691,'Executive Pay Breakdown'!U:U)</f>
        <v>5131558</v>
      </c>
      <c r="I691" s="69">
        <f>SUMIF('Executive Pay Breakdown'!W:W,$B691,'Executive Pay Breakdown'!Y:Y)</f>
        <v>6672443</v>
      </c>
      <c r="J691" s="69">
        <f>SUMIF('Executive Pay Breakdown'!AA:AA,$B691,'Executive Pay Breakdown'!AC:AC)</f>
        <v>6429952</v>
      </c>
      <c r="K691" s="118"/>
      <c r="L691" s="212"/>
      <c r="M691" s="87"/>
      <c r="N691" s="230"/>
      <c r="O691" s="120" t="str">
        <f>MATCH(C691,'Key Findings'!B:B,0)</f>
        <v>#N/A</v>
      </c>
    </row>
    <row r="692" hidden="1">
      <c r="A692" s="71"/>
      <c r="B692" s="139" t="s">
        <v>866</v>
      </c>
      <c r="C692" s="87" t="s">
        <v>862</v>
      </c>
      <c r="D692" s="89">
        <f>SUMIF('Executive Pay Breakdown'!K:K,$B692,'Executive Pay Breakdown'!M:M)+SUMIF('Executive Pay Breakdown'!O:O,$B692,'Executive Pay Breakdown'!Q:Q)+SUMIF('Executive Pay Breakdown'!S:S,$B692,'Executive Pay Breakdown'!U:U)+SUMIF('Executive Pay Breakdown'!W:W,$B692,'Executive Pay Breakdown'!Y:Y)+SUMIF('Executive Pay Breakdown'!AA:AA,$B692,'Executive Pay Breakdown'!AC:AC)</f>
        <v>30399595</v>
      </c>
      <c r="E692" s="109"/>
      <c r="F692" s="69">
        <f>SUMIF('Executive Pay Breakdown'!K:K,$B692,'Executive Pay Breakdown'!M:M)</f>
        <v>6003773</v>
      </c>
      <c r="G692" s="69">
        <f>SUMIF('Executive Pay Breakdown'!O:O,$B692,'Executive Pay Breakdown'!Q:Q)</f>
        <v>9279713</v>
      </c>
      <c r="H692" s="69">
        <f>SUMIF('Executive Pay Breakdown'!S:S,$B692,'Executive Pay Breakdown'!U:U)</f>
        <v>4368722</v>
      </c>
      <c r="I692" s="69">
        <f>SUMIF('Executive Pay Breakdown'!W:W,$B692,'Executive Pay Breakdown'!Y:Y)</f>
        <v>5603298</v>
      </c>
      <c r="J692" s="69">
        <f>SUMIF('Executive Pay Breakdown'!AA:AA,$B692,'Executive Pay Breakdown'!AC:AC)</f>
        <v>5144089</v>
      </c>
      <c r="K692" s="118"/>
      <c r="L692" s="212"/>
      <c r="M692" s="87"/>
      <c r="N692" s="230"/>
      <c r="O692" s="120" t="str">
        <f>MATCH(C692,'Key Findings'!B:B,0)</f>
        <v>#N/A</v>
      </c>
    </row>
    <row r="693" hidden="1">
      <c r="A693" s="71"/>
      <c r="B693" s="124" t="s">
        <v>867</v>
      </c>
      <c r="C693" s="87" t="s">
        <v>868</v>
      </c>
      <c r="D693" s="89">
        <f>SUMIF('Executive Pay Breakdown'!K:K,$B693,'Executive Pay Breakdown'!M:M)+SUMIF('Executive Pay Breakdown'!O:O,$B693,'Executive Pay Breakdown'!Q:Q)+SUMIF('Executive Pay Breakdown'!S:S,$B693,'Executive Pay Breakdown'!U:U)+SUMIF('Executive Pay Breakdown'!W:W,$B693,'Executive Pay Breakdown'!Y:Y)+SUMIF('Executive Pay Breakdown'!AA:AA,$B693,'Executive Pay Breakdown'!AC:AC)</f>
        <v>113463588</v>
      </c>
      <c r="E693" s="109"/>
      <c r="F693" s="69">
        <f>SUMIF('Executive Pay Breakdown'!K:K,$B693,'Executive Pay Breakdown'!M:M)</f>
        <v>28208909</v>
      </c>
      <c r="G693" s="69">
        <f>SUMIF('Executive Pay Breakdown'!O:O,$B693,'Executive Pay Breakdown'!Q:Q)</f>
        <v>21234358</v>
      </c>
      <c r="H693" s="69">
        <f>SUMIF('Executive Pay Breakdown'!S:S,$B693,'Executive Pay Breakdown'!U:U)</f>
        <v>26390073</v>
      </c>
      <c r="I693" s="69">
        <f>SUMIF('Executive Pay Breakdown'!W:W,$B693,'Executive Pay Breakdown'!Y:Y)</f>
        <v>19023145</v>
      </c>
      <c r="J693" s="69">
        <f>SUMIF('Executive Pay Breakdown'!AA:AA,$B693,'Executive Pay Breakdown'!AC:AC)</f>
        <v>18607103</v>
      </c>
      <c r="K693" s="118"/>
      <c r="L693" s="212"/>
      <c r="M693" s="87"/>
      <c r="N693" s="87"/>
      <c r="O693" s="120" t="str">
        <f>MATCH(C693,'Key Findings'!B:B,0)</f>
        <v>#N/A</v>
      </c>
    </row>
    <row r="694" hidden="1">
      <c r="A694" s="71"/>
      <c r="B694" s="124" t="s">
        <v>869</v>
      </c>
      <c r="C694" s="87" t="s">
        <v>868</v>
      </c>
      <c r="D694" s="89">
        <f>SUMIF('Executive Pay Breakdown'!K:K,$B694,'Executive Pay Breakdown'!M:M)+SUMIF('Executive Pay Breakdown'!O:O,$B694,'Executive Pay Breakdown'!Q:Q)+SUMIF('Executive Pay Breakdown'!S:S,$B694,'Executive Pay Breakdown'!U:U)+SUMIF('Executive Pay Breakdown'!W:W,$B694,'Executive Pay Breakdown'!Y:Y)+SUMIF('Executive Pay Breakdown'!AA:AA,$B694,'Executive Pay Breakdown'!AC:AC)</f>
        <v>39763595</v>
      </c>
      <c r="E694" s="109"/>
      <c r="F694" s="69">
        <f>SUMIF('Executive Pay Breakdown'!K:K,$B694,'Executive Pay Breakdown'!M:M)</f>
        <v>0</v>
      </c>
      <c r="G694" s="69">
        <f>SUMIF('Executive Pay Breakdown'!O:O,$B694,'Executive Pay Breakdown'!Q:Q)</f>
        <v>9399356</v>
      </c>
      <c r="H694" s="69">
        <f>SUMIF('Executive Pay Breakdown'!S:S,$B694,'Executive Pay Breakdown'!U:U)</f>
        <v>12528306</v>
      </c>
      <c r="I694" s="69">
        <f>SUMIF('Executive Pay Breakdown'!W:W,$B694,'Executive Pay Breakdown'!Y:Y)</f>
        <v>9409356</v>
      </c>
      <c r="J694" s="69">
        <f>SUMIF('Executive Pay Breakdown'!AA:AA,$B694,'Executive Pay Breakdown'!AC:AC)</f>
        <v>8426577</v>
      </c>
      <c r="K694" s="118"/>
      <c r="L694" s="212"/>
      <c r="M694" s="87"/>
      <c r="N694" s="87"/>
      <c r="O694" s="120" t="str">
        <f>MATCH(C694,'Key Findings'!B:B,0)</f>
        <v>#N/A</v>
      </c>
    </row>
    <row r="695" hidden="1">
      <c r="A695" s="71"/>
      <c r="B695" s="124" t="s">
        <v>870</v>
      </c>
      <c r="C695" s="87" t="s">
        <v>868</v>
      </c>
      <c r="D695" s="89">
        <f>SUMIF('Executive Pay Breakdown'!K:K,$B695,'Executive Pay Breakdown'!M:M)+SUMIF('Executive Pay Breakdown'!O:O,$B695,'Executive Pay Breakdown'!Q:Q)+SUMIF('Executive Pay Breakdown'!S:S,$B695,'Executive Pay Breakdown'!U:U)+SUMIF('Executive Pay Breakdown'!W:W,$B695,'Executive Pay Breakdown'!Y:Y)+SUMIF('Executive Pay Breakdown'!AA:AA,$B695,'Executive Pay Breakdown'!AC:AC)</f>
        <v>33480541</v>
      </c>
      <c r="E695" s="109"/>
      <c r="F695" s="69">
        <f>SUMIF('Executive Pay Breakdown'!K:K,$B695,'Executive Pay Breakdown'!M:M)</f>
        <v>8063523</v>
      </c>
      <c r="G695" s="69">
        <f>SUMIF('Executive Pay Breakdown'!O:O,$B695,'Executive Pay Breakdown'!Q:Q)</f>
        <v>9983906</v>
      </c>
      <c r="H695" s="69">
        <f>SUMIF('Executive Pay Breakdown'!S:S,$B695,'Executive Pay Breakdown'!U:U)</f>
        <v>9427251</v>
      </c>
      <c r="I695" s="69">
        <f>SUMIF('Executive Pay Breakdown'!W:W,$B695,'Executive Pay Breakdown'!Y:Y)</f>
        <v>6005861</v>
      </c>
      <c r="J695" s="69">
        <f>SUMIF('Executive Pay Breakdown'!AA:AA,$B695,'Executive Pay Breakdown'!AC:AC)</f>
        <v>0</v>
      </c>
      <c r="K695" s="118"/>
      <c r="L695" s="212"/>
      <c r="M695" s="87"/>
      <c r="N695" s="230"/>
      <c r="O695" s="120" t="str">
        <f>MATCH(C695,'Key Findings'!B:B,0)</f>
        <v>#N/A</v>
      </c>
    </row>
    <row r="696" hidden="1">
      <c r="A696" s="71"/>
      <c r="B696" s="124" t="s">
        <v>871</v>
      </c>
      <c r="C696" s="87" t="s">
        <v>868</v>
      </c>
      <c r="D696" s="89">
        <f>SUMIF('Executive Pay Breakdown'!K:K,$B696,'Executive Pay Breakdown'!M:M)+SUMIF('Executive Pay Breakdown'!O:O,$B696,'Executive Pay Breakdown'!Q:Q)+SUMIF('Executive Pay Breakdown'!S:S,$B696,'Executive Pay Breakdown'!U:U)+SUMIF('Executive Pay Breakdown'!W:W,$B696,'Executive Pay Breakdown'!Y:Y)+SUMIF('Executive Pay Breakdown'!AA:AA,$B696,'Executive Pay Breakdown'!AC:AC)</f>
        <v>32854110</v>
      </c>
      <c r="E696" s="109"/>
      <c r="F696" s="69">
        <f>SUMIF('Executive Pay Breakdown'!K:K,$B696,'Executive Pay Breakdown'!M:M)</f>
        <v>6853073</v>
      </c>
      <c r="G696" s="69">
        <f>SUMIF('Executive Pay Breakdown'!O:O,$B696,'Executive Pay Breakdown'!Q:Q)</f>
        <v>6952326</v>
      </c>
      <c r="H696" s="69">
        <f>SUMIF('Executive Pay Breakdown'!S:S,$B696,'Executive Pay Breakdown'!U:U)</f>
        <v>9056406</v>
      </c>
      <c r="I696" s="69">
        <f>SUMIF('Executive Pay Breakdown'!W:W,$B696,'Executive Pay Breakdown'!Y:Y)</f>
        <v>5196145</v>
      </c>
      <c r="J696" s="69">
        <f>SUMIF('Executive Pay Breakdown'!AA:AA,$B696,'Executive Pay Breakdown'!AC:AC)</f>
        <v>4796160</v>
      </c>
      <c r="K696" s="118"/>
      <c r="L696" s="212"/>
      <c r="M696" s="87"/>
      <c r="N696" s="230"/>
      <c r="O696" s="120" t="str">
        <f>MATCH(C696,'Key Findings'!B:B,0)</f>
        <v>#N/A</v>
      </c>
    </row>
    <row r="697" hidden="1">
      <c r="A697" s="71"/>
      <c r="B697" s="124" t="s">
        <v>872</v>
      </c>
      <c r="C697" s="87" t="s">
        <v>868</v>
      </c>
      <c r="D697" s="89">
        <f>SUMIF('Executive Pay Breakdown'!K:K,$B697,'Executive Pay Breakdown'!M:M)+SUMIF('Executive Pay Breakdown'!O:O,$B697,'Executive Pay Breakdown'!Q:Q)+SUMIF('Executive Pay Breakdown'!S:S,$B697,'Executive Pay Breakdown'!U:U)+SUMIF('Executive Pay Breakdown'!W:W,$B697,'Executive Pay Breakdown'!Y:Y)+SUMIF('Executive Pay Breakdown'!AA:AA,$B697,'Executive Pay Breakdown'!AC:AC)</f>
        <v>12346591</v>
      </c>
      <c r="E697" s="109"/>
      <c r="F697" s="69">
        <f>SUMIF('Executive Pay Breakdown'!K:K,$B697,'Executive Pay Breakdown'!M:M)</f>
        <v>5740707</v>
      </c>
      <c r="G697" s="69">
        <f>SUMIF('Executive Pay Breakdown'!O:O,$B697,'Executive Pay Breakdown'!Q:Q)</f>
        <v>6605884</v>
      </c>
      <c r="H697" s="69">
        <f>SUMIF('Executive Pay Breakdown'!S:S,$B697,'Executive Pay Breakdown'!U:U)</f>
        <v>0</v>
      </c>
      <c r="I697" s="69">
        <f>SUMIF('Executive Pay Breakdown'!W:W,$B697,'Executive Pay Breakdown'!Y:Y)</f>
        <v>0</v>
      </c>
      <c r="J697" s="69">
        <f>SUMIF('Executive Pay Breakdown'!AA:AA,$B697,'Executive Pay Breakdown'!AC:AC)</f>
        <v>0</v>
      </c>
      <c r="K697" s="118"/>
      <c r="L697" s="212"/>
      <c r="M697" s="212"/>
      <c r="N697" s="230"/>
      <c r="O697" s="120" t="str">
        <f>MATCH(C697,'Key Findings'!B:B,0)</f>
        <v>#N/A</v>
      </c>
    </row>
    <row r="698" hidden="1">
      <c r="A698" s="71"/>
      <c r="B698" s="124" t="s">
        <v>873</v>
      </c>
      <c r="C698" s="87" t="s">
        <v>868</v>
      </c>
      <c r="D698" s="89">
        <f>SUMIF('Executive Pay Breakdown'!K:K,$B698,'Executive Pay Breakdown'!M:M)+SUMIF('Executive Pay Breakdown'!O:O,$B698,'Executive Pay Breakdown'!Q:Q)+SUMIF('Executive Pay Breakdown'!S:S,$B698,'Executive Pay Breakdown'!U:U)+SUMIF('Executive Pay Breakdown'!W:W,$B698,'Executive Pay Breakdown'!Y:Y)+SUMIF('Executive Pay Breakdown'!AA:AA,$B698,'Executive Pay Breakdown'!AC:AC)</f>
        <v>9007708</v>
      </c>
      <c r="E698" s="109"/>
      <c r="F698" s="69">
        <f>SUMIF('Executive Pay Breakdown'!K:K,$B698,'Executive Pay Breakdown'!M:M)</f>
        <v>0</v>
      </c>
      <c r="G698" s="69">
        <f>SUMIF('Executive Pay Breakdown'!O:O,$B698,'Executive Pay Breakdown'!Q:Q)</f>
        <v>0</v>
      </c>
      <c r="H698" s="69">
        <f>SUMIF('Executive Pay Breakdown'!S:S,$B698,'Executive Pay Breakdown'!U:U)</f>
        <v>0</v>
      </c>
      <c r="I698" s="69">
        <f>SUMIF('Executive Pay Breakdown'!W:W,$B698,'Executive Pay Breakdown'!Y:Y)</f>
        <v>5081207</v>
      </c>
      <c r="J698" s="69">
        <f>SUMIF('Executive Pay Breakdown'!AA:AA,$B698,'Executive Pay Breakdown'!AC:AC)</f>
        <v>3926501</v>
      </c>
      <c r="K698" s="118"/>
      <c r="L698" s="212"/>
      <c r="M698" s="87"/>
      <c r="N698" s="87"/>
      <c r="O698" s="120" t="str">
        <f>MATCH(C698,'Key Findings'!B:B,0)</f>
        <v>#N/A</v>
      </c>
    </row>
    <row r="699" hidden="1">
      <c r="A699" s="71"/>
      <c r="B699" s="124" t="s">
        <v>874</v>
      </c>
      <c r="C699" s="87" t="s">
        <v>868</v>
      </c>
      <c r="D699" s="89">
        <f>SUMIF('Executive Pay Breakdown'!K:K,$B699,'Executive Pay Breakdown'!M:M)+SUMIF('Executive Pay Breakdown'!O:O,$B699,'Executive Pay Breakdown'!Q:Q)+SUMIF('Executive Pay Breakdown'!S:S,$B699,'Executive Pay Breakdown'!U:U)+SUMIF('Executive Pay Breakdown'!W:W,$B699,'Executive Pay Breakdown'!Y:Y)+SUMIF('Executive Pay Breakdown'!AA:AA,$B699,'Executive Pay Breakdown'!AC:AC)</f>
        <v>8885759</v>
      </c>
      <c r="E699" s="109"/>
      <c r="F699" s="69">
        <f>SUMIF('Executive Pay Breakdown'!K:K,$B699,'Executive Pay Breakdown'!M:M)</f>
        <v>0</v>
      </c>
      <c r="G699" s="69">
        <f>SUMIF('Executive Pay Breakdown'!O:O,$B699,'Executive Pay Breakdown'!Q:Q)</f>
        <v>0</v>
      </c>
      <c r="H699" s="69">
        <f>SUMIF('Executive Pay Breakdown'!S:S,$B699,'Executive Pay Breakdown'!U:U)</f>
        <v>4912825</v>
      </c>
      <c r="I699" s="69">
        <f>SUMIF('Executive Pay Breakdown'!W:W,$B699,'Executive Pay Breakdown'!Y:Y)</f>
        <v>3972934</v>
      </c>
      <c r="J699" s="69">
        <f>SUMIF('Executive Pay Breakdown'!AA:AA,$B699,'Executive Pay Breakdown'!AC:AC)</f>
        <v>0</v>
      </c>
      <c r="K699" s="118"/>
      <c r="L699" s="212"/>
      <c r="M699" s="87"/>
      <c r="N699" s="87"/>
      <c r="O699" s="120" t="str">
        <f>MATCH(C699,'Key Findings'!B:B,0)</f>
        <v>#N/A</v>
      </c>
    </row>
    <row r="700" hidden="1">
      <c r="A700" s="71"/>
      <c r="B700" s="124" t="s">
        <v>875</v>
      </c>
      <c r="C700" s="87" t="s">
        <v>868</v>
      </c>
      <c r="D700" s="89">
        <f>SUMIF('Executive Pay Breakdown'!K:K,$B700,'Executive Pay Breakdown'!M:M)+SUMIF('Executive Pay Breakdown'!O:O,$B700,'Executive Pay Breakdown'!Q:Q)+SUMIF('Executive Pay Breakdown'!S:S,$B700,'Executive Pay Breakdown'!U:U)+SUMIF('Executive Pay Breakdown'!W:W,$B700,'Executive Pay Breakdown'!Y:Y)+SUMIF('Executive Pay Breakdown'!AA:AA,$B700,'Executive Pay Breakdown'!AC:AC)</f>
        <v>8633892</v>
      </c>
      <c r="E700" s="109"/>
      <c r="F700" s="69">
        <f>SUMIF('Executive Pay Breakdown'!K:K,$B700,'Executive Pay Breakdown'!M:M)</f>
        <v>0</v>
      </c>
      <c r="G700" s="69">
        <f>SUMIF('Executive Pay Breakdown'!O:O,$B700,'Executive Pay Breakdown'!Q:Q)</f>
        <v>0</v>
      </c>
      <c r="H700" s="69">
        <f>SUMIF('Executive Pay Breakdown'!S:S,$B700,'Executive Pay Breakdown'!U:U)</f>
        <v>0</v>
      </c>
      <c r="I700" s="69">
        <f>SUMIF('Executive Pay Breakdown'!W:W,$B700,'Executive Pay Breakdown'!Y:Y)</f>
        <v>4332407</v>
      </c>
      <c r="J700" s="69">
        <f>SUMIF('Executive Pay Breakdown'!AA:AA,$B700,'Executive Pay Breakdown'!AC:AC)</f>
        <v>4301485</v>
      </c>
      <c r="K700" s="118"/>
      <c r="L700" s="212"/>
      <c r="M700" s="87"/>
      <c r="N700" s="87"/>
      <c r="O700" s="120" t="str">
        <f>MATCH(C700,'Key Findings'!B:B,0)</f>
        <v>#N/A</v>
      </c>
    </row>
    <row r="701" hidden="1">
      <c r="A701" s="71"/>
      <c r="B701" s="124" t="s">
        <v>876</v>
      </c>
      <c r="C701" s="87" t="s">
        <v>868</v>
      </c>
      <c r="D701" s="89">
        <f>SUMIF('Executive Pay Breakdown'!K:K,$B701,'Executive Pay Breakdown'!M:M)+SUMIF('Executive Pay Breakdown'!O:O,$B701,'Executive Pay Breakdown'!Q:Q)+SUMIF('Executive Pay Breakdown'!S:S,$B701,'Executive Pay Breakdown'!U:U)+SUMIF('Executive Pay Breakdown'!W:W,$B701,'Executive Pay Breakdown'!Y:Y)+SUMIF('Executive Pay Breakdown'!AA:AA,$B701,'Executive Pay Breakdown'!AC:AC)</f>
        <v>3118848</v>
      </c>
      <c r="E701" s="109"/>
      <c r="F701" s="69">
        <f>SUMIF('Executive Pay Breakdown'!K:K,$B701,'Executive Pay Breakdown'!M:M)</f>
        <v>3118848</v>
      </c>
      <c r="G701" s="69">
        <f>SUMIF('Executive Pay Breakdown'!O:O,$B701,'Executive Pay Breakdown'!Q:Q)</f>
        <v>0</v>
      </c>
      <c r="H701" s="69">
        <f>SUMIF('Executive Pay Breakdown'!S:S,$B701,'Executive Pay Breakdown'!U:U)</f>
        <v>0</v>
      </c>
      <c r="I701" s="69">
        <f>SUMIF('Executive Pay Breakdown'!W:W,$B701,'Executive Pay Breakdown'!Y:Y)</f>
        <v>0</v>
      </c>
      <c r="J701" s="69">
        <f>SUMIF('Executive Pay Breakdown'!AA:AA,$B701,'Executive Pay Breakdown'!AC:AC)</f>
        <v>0</v>
      </c>
      <c r="K701" s="118"/>
      <c r="L701" s="212"/>
      <c r="M701" s="87"/>
      <c r="N701" s="230"/>
      <c r="O701" s="120" t="str">
        <f>MATCH(C701,'Key Findings'!B:B,0)</f>
        <v>#N/A</v>
      </c>
    </row>
    <row r="702" hidden="1">
      <c r="A702" s="62"/>
      <c r="B702" s="125" t="s">
        <v>877</v>
      </c>
      <c r="C702" s="87" t="s">
        <v>878</v>
      </c>
      <c r="D702" s="89">
        <f>SUMIF('Executive Pay Breakdown'!K:K,$B702,'Executive Pay Breakdown'!M:M)+SUMIF('Executive Pay Breakdown'!O:O,$B702,'Executive Pay Breakdown'!Q:Q)+SUMIF('Executive Pay Breakdown'!S:S,$B702,'Executive Pay Breakdown'!U:U)+SUMIF('Executive Pay Breakdown'!W:W,$B702,'Executive Pay Breakdown'!Y:Y)+SUMIF('Executive Pay Breakdown'!AA:AA,$B702,'Executive Pay Breakdown'!AC:AC)</f>
        <v>96091680</v>
      </c>
      <c r="E702" s="109"/>
      <c r="F702" s="69">
        <f>SUMIF('Executive Pay Breakdown'!K:K,$B702,'Executive Pay Breakdown'!M:M)</f>
        <v>21629586</v>
      </c>
      <c r="G702" s="69">
        <f>SUMIF('Executive Pay Breakdown'!O:O,$B702,'Executive Pay Breakdown'!Q:Q)</f>
        <v>19195411</v>
      </c>
      <c r="H702" s="69">
        <f>SUMIF('Executive Pay Breakdown'!S:S,$B702,'Executive Pay Breakdown'!U:U)</f>
        <v>19056652</v>
      </c>
      <c r="I702" s="69">
        <f>SUMIF('Executive Pay Breakdown'!W:W,$B702,'Executive Pay Breakdown'!Y:Y)</f>
        <v>18633807</v>
      </c>
      <c r="J702" s="69">
        <f>SUMIF('Executive Pay Breakdown'!AA:AA,$B702,'Executive Pay Breakdown'!AC:AC)</f>
        <v>17576224</v>
      </c>
      <c r="K702" s="118"/>
      <c r="L702" s="212"/>
      <c r="M702" s="87"/>
      <c r="N702" s="87"/>
      <c r="O702" s="120" t="str">
        <f>MATCH(C702,'Key Findings'!B:B,0)</f>
        <v>#N/A</v>
      </c>
    </row>
    <row r="703" hidden="1">
      <c r="A703" s="62"/>
      <c r="B703" s="127" t="s">
        <v>879</v>
      </c>
      <c r="C703" s="87" t="s">
        <v>878</v>
      </c>
      <c r="D703" s="89">
        <f>SUMIF('Executive Pay Breakdown'!K:K,$B703,'Executive Pay Breakdown'!M:M)+SUMIF('Executive Pay Breakdown'!O:O,$B703,'Executive Pay Breakdown'!Q:Q)+SUMIF('Executive Pay Breakdown'!S:S,$B703,'Executive Pay Breakdown'!U:U)+SUMIF('Executive Pay Breakdown'!W:W,$B703,'Executive Pay Breakdown'!Y:Y)+SUMIF('Executive Pay Breakdown'!AA:AA,$B703,'Executive Pay Breakdown'!AC:AC)</f>
        <v>41259446</v>
      </c>
      <c r="E703" s="109"/>
      <c r="F703" s="69">
        <f>SUMIF('Executive Pay Breakdown'!K:K,$B703,'Executive Pay Breakdown'!M:M)</f>
        <v>12291996</v>
      </c>
      <c r="G703" s="69">
        <f>SUMIF('Executive Pay Breakdown'!O:O,$B703,'Executive Pay Breakdown'!Q:Q)</f>
        <v>10028318</v>
      </c>
      <c r="H703" s="69">
        <f>SUMIF('Executive Pay Breakdown'!S:S,$B703,'Executive Pay Breakdown'!U:U)</f>
        <v>7222501</v>
      </c>
      <c r="I703" s="69">
        <f>SUMIF('Executive Pay Breakdown'!W:W,$B703,'Executive Pay Breakdown'!Y:Y)</f>
        <v>5862215</v>
      </c>
      <c r="J703" s="69">
        <f>SUMIF('Executive Pay Breakdown'!AA:AA,$B703,'Executive Pay Breakdown'!AC:AC)</f>
        <v>5854416</v>
      </c>
      <c r="K703" s="118"/>
      <c r="L703" s="212"/>
      <c r="M703" s="87"/>
      <c r="N703" s="230"/>
      <c r="O703" s="120" t="str">
        <f>MATCH(C703,'Key Findings'!B:B,0)</f>
        <v>#N/A</v>
      </c>
    </row>
    <row r="704" hidden="1">
      <c r="A704" s="62"/>
      <c r="B704" s="125" t="s">
        <v>880</v>
      </c>
      <c r="C704" s="87" t="s">
        <v>878</v>
      </c>
      <c r="D704" s="89">
        <f>SUMIF('Executive Pay Breakdown'!K:K,$B704,'Executive Pay Breakdown'!M:M)+SUMIF('Executive Pay Breakdown'!O:O,$B704,'Executive Pay Breakdown'!Q:Q)+SUMIF('Executive Pay Breakdown'!S:S,$B704,'Executive Pay Breakdown'!U:U)+SUMIF('Executive Pay Breakdown'!W:W,$B704,'Executive Pay Breakdown'!Y:Y)+SUMIF('Executive Pay Breakdown'!AA:AA,$B704,'Executive Pay Breakdown'!AC:AC)</f>
        <v>25754212</v>
      </c>
      <c r="E704" s="109"/>
      <c r="F704" s="69">
        <f>SUMIF('Executive Pay Breakdown'!K:K,$B704,'Executive Pay Breakdown'!M:M)</f>
        <v>6055305</v>
      </c>
      <c r="G704" s="69">
        <f>SUMIF('Executive Pay Breakdown'!O:O,$B704,'Executive Pay Breakdown'!Q:Q)</f>
        <v>5396970</v>
      </c>
      <c r="H704" s="69">
        <f>SUMIF('Executive Pay Breakdown'!S:S,$B704,'Executive Pay Breakdown'!U:U)</f>
        <v>5253033</v>
      </c>
      <c r="I704" s="69">
        <f>SUMIF('Executive Pay Breakdown'!W:W,$B704,'Executive Pay Breakdown'!Y:Y)</f>
        <v>4861735</v>
      </c>
      <c r="J704" s="69">
        <f>SUMIF('Executive Pay Breakdown'!AA:AA,$B704,'Executive Pay Breakdown'!AC:AC)</f>
        <v>4187169</v>
      </c>
      <c r="K704" s="118"/>
      <c r="L704" s="212"/>
      <c r="M704" s="87"/>
      <c r="N704" s="230"/>
      <c r="O704" s="120" t="str">
        <f>MATCH(C704,'Key Findings'!B:B,0)</f>
        <v>#N/A</v>
      </c>
    </row>
    <row r="705" hidden="1">
      <c r="A705" s="62"/>
      <c r="B705" s="127" t="s">
        <v>881</v>
      </c>
      <c r="C705" s="87" t="s">
        <v>878</v>
      </c>
      <c r="D705" s="89">
        <f>SUMIF('Executive Pay Breakdown'!K:K,$B705,'Executive Pay Breakdown'!M:M)+SUMIF('Executive Pay Breakdown'!O:O,$B705,'Executive Pay Breakdown'!Q:Q)+SUMIF('Executive Pay Breakdown'!S:S,$B705,'Executive Pay Breakdown'!U:U)+SUMIF('Executive Pay Breakdown'!W:W,$B705,'Executive Pay Breakdown'!Y:Y)+SUMIF('Executive Pay Breakdown'!AA:AA,$B705,'Executive Pay Breakdown'!AC:AC)</f>
        <v>18340738</v>
      </c>
      <c r="E705" s="109"/>
      <c r="F705" s="69">
        <f>SUMIF('Executive Pay Breakdown'!K:K,$B705,'Executive Pay Breakdown'!M:M)</f>
        <v>6672375</v>
      </c>
      <c r="G705" s="69">
        <f>SUMIF('Executive Pay Breakdown'!O:O,$B705,'Executive Pay Breakdown'!Q:Q)</f>
        <v>5970023</v>
      </c>
      <c r="H705" s="69">
        <f>SUMIF('Executive Pay Breakdown'!S:S,$B705,'Executive Pay Breakdown'!U:U)</f>
        <v>5698340</v>
      </c>
      <c r="I705" s="69">
        <f>SUMIF('Executive Pay Breakdown'!W:W,$B705,'Executive Pay Breakdown'!Y:Y)</f>
        <v>0</v>
      </c>
      <c r="J705" s="69">
        <f>SUMIF('Executive Pay Breakdown'!AA:AA,$B705,'Executive Pay Breakdown'!AC:AC)</f>
        <v>0</v>
      </c>
      <c r="K705" s="118"/>
      <c r="L705" s="212"/>
      <c r="M705" s="87"/>
      <c r="N705" s="230"/>
      <c r="O705" s="120" t="str">
        <f>MATCH(C705,'Key Findings'!B:B,0)</f>
        <v>#N/A</v>
      </c>
    </row>
    <row r="706" hidden="1">
      <c r="A706" s="62"/>
      <c r="B706" s="127" t="s">
        <v>882</v>
      </c>
      <c r="C706" s="87" t="s">
        <v>878</v>
      </c>
      <c r="D706" s="89">
        <f>SUMIF('Executive Pay Breakdown'!K:K,$B706,'Executive Pay Breakdown'!M:M)+SUMIF('Executive Pay Breakdown'!O:O,$B706,'Executive Pay Breakdown'!Q:Q)+SUMIF('Executive Pay Breakdown'!S:S,$B706,'Executive Pay Breakdown'!U:U)+SUMIF('Executive Pay Breakdown'!W:W,$B706,'Executive Pay Breakdown'!Y:Y)+SUMIF('Executive Pay Breakdown'!AA:AA,$B706,'Executive Pay Breakdown'!AC:AC)</f>
        <v>17995654</v>
      </c>
      <c r="E706" s="109"/>
      <c r="F706" s="69">
        <f>SUMIF('Executive Pay Breakdown'!K:K,$B706,'Executive Pay Breakdown'!M:M)</f>
        <v>6817226</v>
      </c>
      <c r="G706" s="69">
        <f>SUMIF('Executive Pay Breakdown'!O:O,$B706,'Executive Pay Breakdown'!Q:Q)</f>
        <v>6217934</v>
      </c>
      <c r="H706" s="69">
        <f>SUMIF('Executive Pay Breakdown'!S:S,$B706,'Executive Pay Breakdown'!U:U)</f>
        <v>4960494</v>
      </c>
      <c r="I706" s="69">
        <f>SUMIF('Executive Pay Breakdown'!W:W,$B706,'Executive Pay Breakdown'!Y:Y)</f>
        <v>0</v>
      </c>
      <c r="J706" s="69">
        <f>SUMIF('Executive Pay Breakdown'!AA:AA,$B706,'Executive Pay Breakdown'!AC:AC)</f>
        <v>0</v>
      </c>
      <c r="K706" s="118"/>
      <c r="L706" s="212"/>
      <c r="M706" s="87"/>
      <c r="N706" s="230"/>
      <c r="O706" s="120" t="str">
        <f>MATCH(C706,'Key Findings'!B:B,0)</f>
        <v>#N/A</v>
      </c>
    </row>
    <row r="707" hidden="1">
      <c r="A707" s="62"/>
      <c r="B707" s="127" t="s">
        <v>883</v>
      </c>
      <c r="C707" s="87" t="s">
        <v>878</v>
      </c>
      <c r="D707" s="89">
        <f>SUMIF('Executive Pay Breakdown'!K:K,$B707,'Executive Pay Breakdown'!M:M)+SUMIF('Executive Pay Breakdown'!O:O,$B707,'Executive Pay Breakdown'!Q:Q)+SUMIF('Executive Pay Breakdown'!S:S,$B707,'Executive Pay Breakdown'!U:U)+SUMIF('Executive Pay Breakdown'!W:W,$B707,'Executive Pay Breakdown'!Y:Y)+SUMIF('Executive Pay Breakdown'!AA:AA,$B707,'Executive Pay Breakdown'!AC:AC)</f>
        <v>17794729</v>
      </c>
      <c r="E707" s="109"/>
      <c r="F707" s="69">
        <f>SUMIF('Executive Pay Breakdown'!K:K,$B707,'Executive Pay Breakdown'!M:M)</f>
        <v>0</v>
      </c>
      <c r="G707" s="69">
        <f>SUMIF('Executive Pay Breakdown'!O:O,$B707,'Executive Pay Breakdown'!Q:Q)</f>
        <v>0</v>
      </c>
      <c r="H707" s="69">
        <f>SUMIF('Executive Pay Breakdown'!S:S,$B707,'Executive Pay Breakdown'!U:U)</f>
        <v>6004708</v>
      </c>
      <c r="I707" s="69">
        <f>SUMIF('Executive Pay Breakdown'!W:W,$B707,'Executive Pay Breakdown'!Y:Y)</f>
        <v>5897960</v>
      </c>
      <c r="J707" s="69">
        <f>SUMIF('Executive Pay Breakdown'!AA:AA,$B707,'Executive Pay Breakdown'!AC:AC)</f>
        <v>5892061</v>
      </c>
      <c r="K707" s="118"/>
      <c r="L707" s="212"/>
      <c r="M707" s="87"/>
      <c r="N707" s="87"/>
      <c r="O707" s="120" t="str">
        <f>MATCH(C707,'Key Findings'!B:B,0)</f>
        <v>#N/A</v>
      </c>
    </row>
    <row r="708" hidden="1">
      <c r="A708" s="62"/>
      <c r="B708" s="127" t="s">
        <v>884</v>
      </c>
      <c r="C708" s="87" t="s">
        <v>878</v>
      </c>
      <c r="D708" s="89">
        <f>SUMIF('Executive Pay Breakdown'!K:K,$B708,'Executive Pay Breakdown'!M:M)+SUMIF('Executive Pay Breakdown'!O:O,$B708,'Executive Pay Breakdown'!Q:Q)+SUMIF('Executive Pay Breakdown'!S:S,$B708,'Executive Pay Breakdown'!U:U)+SUMIF('Executive Pay Breakdown'!W:W,$B708,'Executive Pay Breakdown'!Y:Y)+SUMIF('Executive Pay Breakdown'!AA:AA,$B708,'Executive Pay Breakdown'!AC:AC)</f>
        <v>13028607</v>
      </c>
      <c r="E708" s="109"/>
      <c r="F708" s="69">
        <f>SUMIF('Executive Pay Breakdown'!K:K,$B708,'Executive Pay Breakdown'!M:M)</f>
        <v>0</v>
      </c>
      <c r="G708" s="69">
        <f>SUMIF('Executive Pay Breakdown'!O:O,$B708,'Executive Pay Breakdown'!Q:Q)</f>
        <v>0</v>
      </c>
      <c r="H708" s="69">
        <f>SUMIF('Executive Pay Breakdown'!S:S,$B708,'Executive Pay Breakdown'!U:U)</f>
        <v>0</v>
      </c>
      <c r="I708" s="69">
        <f>SUMIF('Executive Pay Breakdown'!W:W,$B708,'Executive Pay Breakdown'!Y:Y)</f>
        <v>7414651</v>
      </c>
      <c r="J708" s="69">
        <f>SUMIF('Executive Pay Breakdown'!AA:AA,$B708,'Executive Pay Breakdown'!AC:AC)</f>
        <v>5613956</v>
      </c>
      <c r="K708" s="118"/>
      <c r="L708" s="212"/>
      <c r="M708" s="87"/>
      <c r="N708" s="87"/>
      <c r="O708" s="120" t="str">
        <f>MATCH(C708,'Key Findings'!B:B,0)</f>
        <v>#N/A</v>
      </c>
    </row>
    <row r="709" hidden="1">
      <c r="A709" s="62"/>
      <c r="B709" s="127" t="s">
        <v>885</v>
      </c>
      <c r="C709" s="87" t="s">
        <v>878</v>
      </c>
      <c r="D709" s="89">
        <f>SUMIF('Executive Pay Breakdown'!K:K,$B709,'Executive Pay Breakdown'!M:M)+SUMIF('Executive Pay Breakdown'!O:O,$B709,'Executive Pay Breakdown'!Q:Q)+SUMIF('Executive Pay Breakdown'!S:S,$B709,'Executive Pay Breakdown'!U:U)+SUMIF('Executive Pay Breakdown'!W:W,$B709,'Executive Pay Breakdown'!Y:Y)+SUMIF('Executive Pay Breakdown'!AA:AA,$B709,'Executive Pay Breakdown'!AC:AC)</f>
        <v>10726599</v>
      </c>
      <c r="E709" s="109"/>
      <c r="F709" s="69">
        <f>SUMIF('Executive Pay Breakdown'!K:K,$B709,'Executive Pay Breakdown'!M:M)</f>
        <v>0</v>
      </c>
      <c r="G709" s="69">
        <f>SUMIF('Executive Pay Breakdown'!O:O,$B709,'Executive Pay Breakdown'!Q:Q)</f>
        <v>0</v>
      </c>
      <c r="H709" s="69">
        <f>SUMIF('Executive Pay Breakdown'!S:S,$B709,'Executive Pay Breakdown'!U:U)</f>
        <v>0</v>
      </c>
      <c r="I709" s="69">
        <f>SUMIF('Executive Pay Breakdown'!W:W,$B709,'Executive Pay Breakdown'!Y:Y)</f>
        <v>0</v>
      </c>
      <c r="J709" s="69">
        <f>SUMIF('Executive Pay Breakdown'!AA:AA,$B709,'Executive Pay Breakdown'!AC:AC)</f>
        <v>10726599</v>
      </c>
      <c r="K709" s="118"/>
      <c r="L709" s="212"/>
      <c r="M709" s="87"/>
      <c r="N709" s="87"/>
      <c r="O709" s="120" t="str">
        <f>MATCH(C709,'Key Findings'!B:B,0)</f>
        <v>#N/A</v>
      </c>
    </row>
    <row r="710" hidden="1">
      <c r="A710" s="71"/>
      <c r="B710" s="124" t="s">
        <v>886</v>
      </c>
      <c r="C710" s="87" t="s">
        <v>887</v>
      </c>
      <c r="D710" s="89">
        <f>SUMIF('Executive Pay Breakdown'!K:K,$B710,'Executive Pay Breakdown'!M:M)+SUMIF('Executive Pay Breakdown'!O:O,$B710,'Executive Pay Breakdown'!Q:Q)+SUMIF('Executive Pay Breakdown'!S:S,$B710,'Executive Pay Breakdown'!U:U)+SUMIF('Executive Pay Breakdown'!W:W,$B710,'Executive Pay Breakdown'!Y:Y)+SUMIF('Executive Pay Breakdown'!AA:AA,$B710,'Executive Pay Breakdown'!AC:AC)</f>
        <v>37203509</v>
      </c>
      <c r="E710" s="109"/>
      <c r="F710" s="69">
        <f>SUMIF('Executive Pay Breakdown'!K:K,$B710,'Executive Pay Breakdown'!M:M)</f>
        <v>4198051</v>
      </c>
      <c r="G710" s="69">
        <f>SUMIF('Executive Pay Breakdown'!O:O,$B710,'Executive Pay Breakdown'!Q:Q)</f>
        <v>16704037</v>
      </c>
      <c r="H710" s="69">
        <f>SUMIF('Executive Pay Breakdown'!S:S,$B710,'Executive Pay Breakdown'!U:U)</f>
        <v>2924129</v>
      </c>
      <c r="I710" s="69">
        <f>SUMIF('Executive Pay Breakdown'!W:W,$B710,'Executive Pay Breakdown'!Y:Y)</f>
        <v>6202995</v>
      </c>
      <c r="J710" s="69">
        <f>SUMIF('Executive Pay Breakdown'!AA:AA,$B710,'Executive Pay Breakdown'!AC:AC)</f>
        <v>7174297</v>
      </c>
      <c r="K710" s="118"/>
      <c r="L710" s="212"/>
      <c r="M710" s="87"/>
      <c r="N710" s="230"/>
      <c r="O710" s="120" t="str">
        <f>MATCH(C710,'Key Findings'!B:B,0)</f>
        <v>#N/A</v>
      </c>
    </row>
    <row r="711" hidden="1">
      <c r="A711" s="71"/>
      <c r="B711" s="124" t="s">
        <v>888</v>
      </c>
      <c r="C711" s="87" t="s">
        <v>887</v>
      </c>
      <c r="D711" s="89">
        <f>SUMIF('Executive Pay Breakdown'!K:K,$B711,'Executive Pay Breakdown'!M:M)+SUMIF('Executive Pay Breakdown'!O:O,$B711,'Executive Pay Breakdown'!Q:Q)+SUMIF('Executive Pay Breakdown'!S:S,$B711,'Executive Pay Breakdown'!U:U)+SUMIF('Executive Pay Breakdown'!W:W,$B711,'Executive Pay Breakdown'!Y:Y)+SUMIF('Executive Pay Breakdown'!AA:AA,$B711,'Executive Pay Breakdown'!AC:AC)</f>
        <v>17027557</v>
      </c>
      <c r="E711" s="109"/>
      <c r="F711" s="69">
        <f>SUMIF('Executive Pay Breakdown'!K:K,$B711,'Executive Pay Breakdown'!M:M)</f>
        <v>7498195</v>
      </c>
      <c r="G711" s="69">
        <f>SUMIF('Executive Pay Breakdown'!O:O,$B711,'Executive Pay Breakdown'!Q:Q)</f>
        <v>9529362</v>
      </c>
      <c r="H711" s="69">
        <f>SUMIF('Executive Pay Breakdown'!S:S,$B711,'Executive Pay Breakdown'!U:U)</f>
        <v>0</v>
      </c>
      <c r="I711" s="69">
        <f>SUMIF('Executive Pay Breakdown'!W:W,$B711,'Executive Pay Breakdown'!Y:Y)</f>
        <v>0</v>
      </c>
      <c r="J711" s="69">
        <f>SUMIF('Executive Pay Breakdown'!AA:AA,$B711,'Executive Pay Breakdown'!AC:AC)</f>
        <v>0</v>
      </c>
      <c r="K711" s="118"/>
      <c r="L711" s="212"/>
      <c r="M711" s="212"/>
      <c r="N711" s="230"/>
      <c r="O711" s="120" t="str">
        <f>MATCH(C711,'Key Findings'!B:B,0)</f>
        <v>#N/A</v>
      </c>
    </row>
    <row r="712" hidden="1">
      <c r="A712" s="71"/>
      <c r="B712" s="124" t="s">
        <v>889</v>
      </c>
      <c r="C712" s="87" t="s">
        <v>887</v>
      </c>
      <c r="D712" s="89">
        <f>SUMIF('Executive Pay Breakdown'!K:K,$B712,'Executive Pay Breakdown'!M:M)+SUMIF('Executive Pay Breakdown'!O:O,$B712,'Executive Pay Breakdown'!Q:Q)+SUMIF('Executive Pay Breakdown'!S:S,$B712,'Executive Pay Breakdown'!U:U)+SUMIF('Executive Pay Breakdown'!W:W,$B712,'Executive Pay Breakdown'!Y:Y)+SUMIF('Executive Pay Breakdown'!AA:AA,$B712,'Executive Pay Breakdown'!AC:AC)</f>
        <v>15126004</v>
      </c>
      <c r="E712" s="109"/>
      <c r="F712" s="69">
        <f>SUMIF('Executive Pay Breakdown'!K:K,$B712,'Executive Pay Breakdown'!M:M)</f>
        <v>0</v>
      </c>
      <c r="G712" s="69">
        <f>SUMIF('Executive Pay Breakdown'!O:O,$B712,'Executive Pay Breakdown'!Q:Q)</f>
        <v>7100881</v>
      </c>
      <c r="H712" s="69">
        <f>SUMIF('Executive Pay Breakdown'!S:S,$B712,'Executive Pay Breakdown'!U:U)</f>
        <v>1897161</v>
      </c>
      <c r="I712" s="69">
        <f>SUMIF('Executive Pay Breakdown'!W:W,$B712,'Executive Pay Breakdown'!Y:Y)</f>
        <v>3441358</v>
      </c>
      <c r="J712" s="69">
        <f>SUMIF('Executive Pay Breakdown'!AA:AA,$B712,'Executive Pay Breakdown'!AC:AC)</f>
        <v>2686604</v>
      </c>
      <c r="K712" s="118"/>
      <c r="L712" s="212"/>
      <c r="M712" s="87"/>
      <c r="N712" s="87"/>
      <c r="O712" s="120" t="str">
        <f>MATCH(C712,'Key Findings'!B:B,0)</f>
        <v>#N/A</v>
      </c>
    </row>
    <row r="713" hidden="1">
      <c r="A713" s="71"/>
      <c r="B713" s="124" t="s">
        <v>890</v>
      </c>
      <c r="C713" s="87" t="s">
        <v>887</v>
      </c>
      <c r="D713" s="89">
        <f>SUMIF('Executive Pay Breakdown'!K:K,$B713,'Executive Pay Breakdown'!M:M)+SUMIF('Executive Pay Breakdown'!O:O,$B713,'Executive Pay Breakdown'!Q:Q)+SUMIF('Executive Pay Breakdown'!S:S,$B713,'Executive Pay Breakdown'!U:U)+SUMIF('Executive Pay Breakdown'!W:W,$B713,'Executive Pay Breakdown'!Y:Y)+SUMIF('Executive Pay Breakdown'!AA:AA,$B713,'Executive Pay Breakdown'!AC:AC)</f>
        <v>14486456</v>
      </c>
      <c r="E713" s="109"/>
      <c r="F713" s="69">
        <f>SUMIF('Executive Pay Breakdown'!K:K,$B713,'Executive Pay Breakdown'!M:M)</f>
        <v>3142749</v>
      </c>
      <c r="G713" s="69">
        <f>SUMIF('Executive Pay Breakdown'!O:O,$B713,'Executive Pay Breakdown'!Q:Q)</f>
        <v>5382639</v>
      </c>
      <c r="H713" s="69">
        <f>SUMIF('Executive Pay Breakdown'!S:S,$B713,'Executive Pay Breakdown'!U:U)</f>
        <v>1932694</v>
      </c>
      <c r="I713" s="69">
        <f>SUMIF('Executive Pay Breakdown'!W:W,$B713,'Executive Pay Breakdown'!Y:Y)</f>
        <v>4028374</v>
      </c>
      <c r="J713" s="69">
        <f>SUMIF('Executive Pay Breakdown'!AA:AA,$B713,'Executive Pay Breakdown'!AC:AC)</f>
        <v>0</v>
      </c>
      <c r="K713" s="118"/>
      <c r="L713" s="212"/>
      <c r="M713" s="87"/>
      <c r="N713" s="230"/>
      <c r="O713" s="120" t="str">
        <f>MATCH(C713,'Key Findings'!B:B,0)</f>
        <v>#N/A</v>
      </c>
    </row>
    <row r="714" hidden="1">
      <c r="A714" s="71"/>
      <c r="B714" s="124" t="s">
        <v>891</v>
      </c>
      <c r="C714" s="87" t="s">
        <v>887</v>
      </c>
      <c r="D714" s="89">
        <f>SUMIF('Executive Pay Breakdown'!K:K,$B714,'Executive Pay Breakdown'!M:M)+SUMIF('Executive Pay Breakdown'!O:O,$B714,'Executive Pay Breakdown'!Q:Q)+SUMIF('Executive Pay Breakdown'!S:S,$B714,'Executive Pay Breakdown'!U:U)+SUMIF('Executive Pay Breakdown'!W:W,$B714,'Executive Pay Breakdown'!Y:Y)+SUMIF('Executive Pay Breakdown'!AA:AA,$B714,'Executive Pay Breakdown'!AC:AC)</f>
        <v>12133584</v>
      </c>
      <c r="E714" s="109"/>
      <c r="F714" s="69">
        <f>SUMIF('Executive Pay Breakdown'!K:K,$B714,'Executive Pay Breakdown'!M:M)</f>
        <v>2347476</v>
      </c>
      <c r="G714" s="69">
        <f>SUMIF('Executive Pay Breakdown'!O:O,$B714,'Executive Pay Breakdown'!Q:Q)</f>
        <v>4965272</v>
      </c>
      <c r="H714" s="69">
        <f>SUMIF('Executive Pay Breakdown'!S:S,$B714,'Executive Pay Breakdown'!U:U)</f>
        <v>1115782</v>
      </c>
      <c r="I714" s="69">
        <f>SUMIF('Executive Pay Breakdown'!W:W,$B714,'Executive Pay Breakdown'!Y:Y)</f>
        <v>1936174</v>
      </c>
      <c r="J714" s="69">
        <f>SUMIF('Executive Pay Breakdown'!AA:AA,$B714,'Executive Pay Breakdown'!AC:AC)</f>
        <v>1768880</v>
      </c>
      <c r="K714" s="118"/>
      <c r="L714" s="212"/>
      <c r="M714" s="87"/>
      <c r="N714" s="230"/>
      <c r="O714" s="120" t="str">
        <f>MATCH(C714,'Key Findings'!B:B,0)</f>
        <v>#N/A</v>
      </c>
    </row>
    <row r="715" hidden="1">
      <c r="A715" s="71"/>
      <c r="B715" s="124" t="s">
        <v>892</v>
      </c>
      <c r="C715" s="87" t="s">
        <v>887</v>
      </c>
      <c r="D715" s="89">
        <f>SUMIF('Executive Pay Breakdown'!K:K,$B715,'Executive Pay Breakdown'!M:M)+SUMIF('Executive Pay Breakdown'!O:O,$B715,'Executive Pay Breakdown'!Q:Q)+SUMIF('Executive Pay Breakdown'!S:S,$B715,'Executive Pay Breakdown'!U:U)+SUMIF('Executive Pay Breakdown'!W:W,$B715,'Executive Pay Breakdown'!Y:Y)+SUMIF('Executive Pay Breakdown'!AA:AA,$B715,'Executive Pay Breakdown'!AC:AC)</f>
        <v>11311917</v>
      </c>
      <c r="E715" s="109"/>
      <c r="F715" s="69">
        <f>SUMIF('Executive Pay Breakdown'!K:K,$B715,'Executive Pay Breakdown'!M:M)</f>
        <v>0</v>
      </c>
      <c r="G715" s="69">
        <f>SUMIF('Executive Pay Breakdown'!O:O,$B715,'Executive Pay Breakdown'!Q:Q)</f>
        <v>0</v>
      </c>
      <c r="H715" s="69">
        <f>SUMIF('Executive Pay Breakdown'!S:S,$B715,'Executive Pay Breakdown'!U:U)</f>
        <v>581997</v>
      </c>
      <c r="I715" s="69">
        <f>SUMIF('Executive Pay Breakdown'!W:W,$B715,'Executive Pay Breakdown'!Y:Y)</f>
        <v>6944483</v>
      </c>
      <c r="J715" s="69">
        <f>SUMIF('Executive Pay Breakdown'!AA:AA,$B715,'Executive Pay Breakdown'!AC:AC)</f>
        <v>3785437</v>
      </c>
      <c r="K715" s="118"/>
      <c r="L715" s="212"/>
      <c r="M715" s="87"/>
      <c r="N715" s="87"/>
      <c r="O715" s="120" t="str">
        <f>MATCH(C715,'Key Findings'!B:B,0)</f>
        <v>#N/A</v>
      </c>
    </row>
    <row r="716" hidden="1">
      <c r="A716" s="71"/>
      <c r="B716" s="124" t="s">
        <v>893</v>
      </c>
      <c r="C716" s="87" t="s">
        <v>887</v>
      </c>
      <c r="D716" s="89">
        <f>SUMIF('Executive Pay Breakdown'!K:K,$B716,'Executive Pay Breakdown'!M:M)+SUMIF('Executive Pay Breakdown'!O:O,$B716,'Executive Pay Breakdown'!Q:Q)+SUMIF('Executive Pay Breakdown'!S:S,$B716,'Executive Pay Breakdown'!U:U)+SUMIF('Executive Pay Breakdown'!W:W,$B716,'Executive Pay Breakdown'!Y:Y)+SUMIF('Executive Pay Breakdown'!AA:AA,$B716,'Executive Pay Breakdown'!AC:AC)</f>
        <v>6824077</v>
      </c>
      <c r="E716" s="109"/>
      <c r="F716" s="69">
        <f>SUMIF('Executive Pay Breakdown'!K:K,$B716,'Executive Pay Breakdown'!M:M)</f>
        <v>0</v>
      </c>
      <c r="G716" s="69">
        <f>SUMIF('Executive Pay Breakdown'!O:O,$B716,'Executive Pay Breakdown'!Q:Q)</f>
        <v>3743853</v>
      </c>
      <c r="H716" s="69">
        <f>SUMIF('Executive Pay Breakdown'!S:S,$B716,'Executive Pay Breakdown'!U:U)</f>
        <v>724454</v>
      </c>
      <c r="I716" s="69">
        <f>SUMIF('Executive Pay Breakdown'!W:W,$B716,'Executive Pay Breakdown'!Y:Y)</f>
        <v>1263204</v>
      </c>
      <c r="J716" s="69">
        <f>SUMIF('Executive Pay Breakdown'!AA:AA,$B716,'Executive Pay Breakdown'!AC:AC)</f>
        <v>1092566</v>
      </c>
      <c r="K716" s="118"/>
      <c r="L716" s="212"/>
      <c r="M716" s="87"/>
      <c r="N716" s="87"/>
      <c r="O716" s="120" t="str">
        <f>MATCH(C716,'Key Findings'!B:B,0)</f>
        <v>#N/A</v>
      </c>
    </row>
    <row r="717" hidden="1">
      <c r="A717" s="71"/>
      <c r="B717" s="124" t="s">
        <v>894</v>
      </c>
      <c r="C717" s="87" t="s">
        <v>887</v>
      </c>
      <c r="D717" s="89">
        <f>SUMIF('Executive Pay Breakdown'!K:K,$B717,'Executive Pay Breakdown'!M:M)+SUMIF('Executive Pay Breakdown'!O:O,$B717,'Executive Pay Breakdown'!Q:Q)+SUMIF('Executive Pay Breakdown'!S:S,$B717,'Executive Pay Breakdown'!U:U)+SUMIF('Executive Pay Breakdown'!W:W,$B717,'Executive Pay Breakdown'!Y:Y)+SUMIF('Executive Pay Breakdown'!AA:AA,$B717,'Executive Pay Breakdown'!AC:AC)</f>
        <v>5150427</v>
      </c>
      <c r="E717" s="109"/>
      <c r="F717" s="69">
        <f>SUMIF('Executive Pay Breakdown'!K:K,$B717,'Executive Pay Breakdown'!M:M)</f>
        <v>2798042</v>
      </c>
      <c r="G717" s="69">
        <f>SUMIF('Executive Pay Breakdown'!O:O,$B717,'Executive Pay Breakdown'!Q:Q)</f>
        <v>2352385</v>
      </c>
      <c r="H717" s="69">
        <f>SUMIF('Executive Pay Breakdown'!S:S,$B717,'Executive Pay Breakdown'!U:U)</f>
        <v>0</v>
      </c>
      <c r="I717" s="69">
        <f>SUMIF('Executive Pay Breakdown'!W:W,$B717,'Executive Pay Breakdown'!Y:Y)</f>
        <v>0</v>
      </c>
      <c r="J717" s="69">
        <f>SUMIF('Executive Pay Breakdown'!AA:AA,$B717,'Executive Pay Breakdown'!AC:AC)</f>
        <v>0</v>
      </c>
      <c r="K717" s="118"/>
      <c r="L717" s="212"/>
      <c r="M717" s="212"/>
      <c r="N717" s="230"/>
      <c r="O717" s="120" t="str">
        <f>MATCH(C717,'Key Findings'!B:B,0)</f>
        <v>#N/A</v>
      </c>
    </row>
    <row r="718" hidden="1">
      <c r="A718" s="71"/>
      <c r="B718" s="124" t="s">
        <v>895</v>
      </c>
      <c r="C718" s="87" t="s">
        <v>887</v>
      </c>
      <c r="D718" s="89">
        <f>SUMIF('Executive Pay Breakdown'!K:K,$B718,'Executive Pay Breakdown'!M:M)+SUMIF('Executive Pay Breakdown'!O:O,$B718,'Executive Pay Breakdown'!Q:Q)+SUMIF('Executive Pay Breakdown'!S:S,$B718,'Executive Pay Breakdown'!U:U)+SUMIF('Executive Pay Breakdown'!W:W,$B718,'Executive Pay Breakdown'!Y:Y)+SUMIF('Executive Pay Breakdown'!AA:AA,$B718,'Executive Pay Breakdown'!AC:AC)</f>
        <v>490949</v>
      </c>
      <c r="E718" s="109"/>
      <c r="F718" s="69">
        <f>SUMIF('Executive Pay Breakdown'!K:K,$B718,'Executive Pay Breakdown'!M:M)</f>
        <v>0</v>
      </c>
      <c r="G718" s="69">
        <f>SUMIF('Executive Pay Breakdown'!O:O,$B718,'Executive Pay Breakdown'!Q:Q)</f>
        <v>0</v>
      </c>
      <c r="H718" s="69">
        <f>SUMIF('Executive Pay Breakdown'!S:S,$B718,'Executive Pay Breakdown'!U:U)</f>
        <v>0</v>
      </c>
      <c r="I718" s="69">
        <f>SUMIF('Executive Pay Breakdown'!W:W,$B718,'Executive Pay Breakdown'!Y:Y)</f>
        <v>0</v>
      </c>
      <c r="J718" s="69">
        <f>SUMIF('Executive Pay Breakdown'!AA:AA,$B718,'Executive Pay Breakdown'!AC:AC)</f>
        <v>490949</v>
      </c>
      <c r="K718" s="118"/>
      <c r="L718" s="212"/>
      <c r="M718" s="87"/>
      <c r="N718" s="87"/>
      <c r="O718" s="120" t="str">
        <f>MATCH(C718,'Key Findings'!B:B,0)</f>
        <v>#N/A</v>
      </c>
    </row>
    <row r="719" hidden="1">
      <c r="A719" s="81"/>
      <c r="B719" s="134" t="s">
        <v>896</v>
      </c>
      <c r="C719" s="87" t="s">
        <v>897</v>
      </c>
      <c r="D719" s="89">
        <f>SUMIF('Executive Pay Breakdown'!K:K,$B719,'Executive Pay Breakdown'!M:M)+SUMIF('Executive Pay Breakdown'!O:O,$B719,'Executive Pay Breakdown'!Q:Q)+SUMIF('Executive Pay Breakdown'!S:S,$B719,'Executive Pay Breakdown'!U:U)+SUMIF('Executive Pay Breakdown'!W:W,$B719,'Executive Pay Breakdown'!Y:Y)+SUMIF('Executive Pay Breakdown'!AA:AA,$B719,'Executive Pay Breakdown'!AC:AC)</f>
        <v>93321282</v>
      </c>
      <c r="E719" s="109"/>
      <c r="F719" s="69">
        <f>SUMIF('Executive Pay Breakdown'!K:K,$B719,'Executive Pay Breakdown'!M:M)</f>
        <v>17664896</v>
      </c>
      <c r="G719" s="69">
        <f>SUMIF('Executive Pay Breakdown'!O:O,$B719,'Executive Pay Breakdown'!Q:Q)</f>
        <v>19758766</v>
      </c>
      <c r="H719" s="69">
        <f>SUMIF('Executive Pay Breakdown'!S:S,$B719,'Executive Pay Breakdown'!U:U)</f>
        <v>19755188</v>
      </c>
      <c r="I719" s="69">
        <f>SUMIF('Executive Pay Breakdown'!W:W,$B719,'Executive Pay Breakdown'!Y:Y)</f>
        <v>18938363</v>
      </c>
      <c r="J719" s="69">
        <f>SUMIF('Executive Pay Breakdown'!AA:AA,$B719,'Executive Pay Breakdown'!AC:AC)</f>
        <v>17204069</v>
      </c>
      <c r="K719" s="118"/>
      <c r="L719" s="212"/>
      <c r="M719" s="87"/>
      <c r="N719" s="230"/>
      <c r="O719" s="120" t="str">
        <f>MATCH(C719,'Key Findings'!B:B,0)</f>
        <v>#N/A</v>
      </c>
    </row>
    <row r="720" hidden="1">
      <c r="A720" s="81"/>
      <c r="B720" s="134" t="s">
        <v>898</v>
      </c>
      <c r="C720" s="87" t="s">
        <v>897</v>
      </c>
      <c r="D720" s="89">
        <f>SUMIF('Executive Pay Breakdown'!K:K,$B720,'Executive Pay Breakdown'!M:M)+SUMIF('Executive Pay Breakdown'!O:O,$B720,'Executive Pay Breakdown'!Q:Q)+SUMIF('Executive Pay Breakdown'!S:S,$B720,'Executive Pay Breakdown'!U:U)+SUMIF('Executive Pay Breakdown'!W:W,$B720,'Executive Pay Breakdown'!Y:Y)+SUMIF('Executive Pay Breakdown'!AA:AA,$B720,'Executive Pay Breakdown'!AC:AC)</f>
        <v>46967774</v>
      </c>
      <c r="E720" s="109"/>
      <c r="F720" s="69">
        <f>SUMIF('Executive Pay Breakdown'!K:K,$B720,'Executive Pay Breakdown'!M:M)</f>
        <v>7319173</v>
      </c>
      <c r="G720" s="69">
        <f>SUMIF('Executive Pay Breakdown'!O:O,$B720,'Executive Pay Breakdown'!Q:Q)</f>
        <v>9224603</v>
      </c>
      <c r="H720" s="69">
        <f>SUMIF('Executive Pay Breakdown'!S:S,$B720,'Executive Pay Breakdown'!U:U)</f>
        <v>11356711</v>
      </c>
      <c r="I720" s="69">
        <f>SUMIF('Executive Pay Breakdown'!W:W,$B720,'Executive Pay Breakdown'!Y:Y)</f>
        <v>10491554</v>
      </c>
      <c r="J720" s="69">
        <f>SUMIF('Executive Pay Breakdown'!AA:AA,$B720,'Executive Pay Breakdown'!AC:AC)</f>
        <v>8575733</v>
      </c>
      <c r="K720" s="118"/>
      <c r="L720" s="212"/>
      <c r="M720" s="87"/>
      <c r="N720" s="230"/>
      <c r="O720" s="120" t="str">
        <f>MATCH(C720,'Key Findings'!B:B,0)</f>
        <v>#N/A</v>
      </c>
    </row>
    <row r="721" hidden="1">
      <c r="A721" s="81"/>
      <c r="B721" s="134" t="s">
        <v>899</v>
      </c>
      <c r="C721" s="87" t="s">
        <v>897</v>
      </c>
      <c r="D721" s="89">
        <f>SUMIF('Executive Pay Breakdown'!K:K,$B721,'Executive Pay Breakdown'!M:M)+SUMIF('Executive Pay Breakdown'!O:O,$B721,'Executive Pay Breakdown'!Q:Q)+SUMIF('Executive Pay Breakdown'!S:S,$B721,'Executive Pay Breakdown'!U:U)+SUMIF('Executive Pay Breakdown'!W:W,$B721,'Executive Pay Breakdown'!Y:Y)+SUMIF('Executive Pay Breakdown'!AA:AA,$B721,'Executive Pay Breakdown'!AC:AC)</f>
        <v>23112262</v>
      </c>
      <c r="E721" s="109"/>
      <c r="F721" s="69">
        <f>SUMIF('Executive Pay Breakdown'!K:K,$B721,'Executive Pay Breakdown'!M:M)</f>
        <v>0</v>
      </c>
      <c r="G721" s="69">
        <f>SUMIF('Executive Pay Breakdown'!O:O,$B721,'Executive Pay Breakdown'!Q:Q)</f>
        <v>5374118</v>
      </c>
      <c r="H721" s="69">
        <f>SUMIF('Executive Pay Breakdown'!S:S,$B721,'Executive Pay Breakdown'!U:U)</f>
        <v>5788962</v>
      </c>
      <c r="I721" s="69">
        <f>SUMIF('Executive Pay Breakdown'!W:W,$B721,'Executive Pay Breakdown'!Y:Y)</f>
        <v>6593014</v>
      </c>
      <c r="J721" s="69">
        <f>SUMIF('Executive Pay Breakdown'!AA:AA,$B721,'Executive Pay Breakdown'!AC:AC)</f>
        <v>5356168</v>
      </c>
      <c r="K721" s="118"/>
      <c r="L721" s="212"/>
      <c r="M721" s="87"/>
      <c r="N721" s="87"/>
      <c r="O721" s="120" t="str">
        <f>MATCH(C721,'Key Findings'!B:B,0)</f>
        <v>#N/A</v>
      </c>
    </row>
    <row r="722" hidden="1">
      <c r="A722" s="81"/>
      <c r="B722" s="134" t="s">
        <v>900</v>
      </c>
      <c r="C722" s="87" t="s">
        <v>897</v>
      </c>
      <c r="D722" s="89">
        <f>SUMIF('Executive Pay Breakdown'!K:K,$B722,'Executive Pay Breakdown'!M:M)+SUMIF('Executive Pay Breakdown'!O:O,$B722,'Executive Pay Breakdown'!Q:Q)+SUMIF('Executive Pay Breakdown'!S:S,$B722,'Executive Pay Breakdown'!U:U)+SUMIF('Executive Pay Breakdown'!W:W,$B722,'Executive Pay Breakdown'!Y:Y)+SUMIF('Executive Pay Breakdown'!AA:AA,$B722,'Executive Pay Breakdown'!AC:AC)</f>
        <v>22351882</v>
      </c>
      <c r="E722" s="109"/>
      <c r="F722" s="69">
        <f>SUMIF('Executive Pay Breakdown'!K:K,$B722,'Executive Pay Breakdown'!M:M)</f>
        <v>3831167</v>
      </c>
      <c r="G722" s="69">
        <f>SUMIF('Executive Pay Breakdown'!O:O,$B722,'Executive Pay Breakdown'!Q:Q)</f>
        <v>4307295</v>
      </c>
      <c r="H722" s="69">
        <f>SUMIF('Executive Pay Breakdown'!S:S,$B722,'Executive Pay Breakdown'!U:U)</f>
        <v>4681423</v>
      </c>
      <c r="I722" s="69">
        <f>SUMIF('Executive Pay Breakdown'!W:W,$B722,'Executive Pay Breakdown'!Y:Y)</f>
        <v>5200633</v>
      </c>
      <c r="J722" s="69">
        <f>SUMIF('Executive Pay Breakdown'!AA:AA,$B722,'Executive Pay Breakdown'!AC:AC)</f>
        <v>4331364</v>
      </c>
      <c r="K722" s="118"/>
      <c r="L722" s="212"/>
      <c r="M722" s="87"/>
      <c r="N722" s="230"/>
      <c r="O722" s="120" t="str">
        <f>MATCH(C722,'Key Findings'!B:B,0)</f>
        <v>#N/A</v>
      </c>
    </row>
    <row r="723" hidden="1">
      <c r="A723" s="81"/>
      <c r="B723" s="134" t="s">
        <v>901</v>
      </c>
      <c r="C723" s="87" t="s">
        <v>897</v>
      </c>
      <c r="D723" s="89">
        <f>SUMIF('Executive Pay Breakdown'!K:K,$B723,'Executive Pay Breakdown'!M:M)+SUMIF('Executive Pay Breakdown'!O:O,$B723,'Executive Pay Breakdown'!Q:Q)+SUMIF('Executive Pay Breakdown'!S:S,$B723,'Executive Pay Breakdown'!U:U)+SUMIF('Executive Pay Breakdown'!W:W,$B723,'Executive Pay Breakdown'!Y:Y)+SUMIF('Executive Pay Breakdown'!AA:AA,$B723,'Executive Pay Breakdown'!AC:AC)</f>
        <v>15577098</v>
      </c>
      <c r="E723" s="109"/>
      <c r="F723" s="69">
        <f>SUMIF('Executive Pay Breakdown'!K:K,$B723,'Executive Pay Breakdown'!M:M)</f>
        <v>4330602</v>
      </c>
      <c r="G723" s="69">
        <f>SUMIF('Executive Pay Breakdown'!O:O,$B723,'Executive Pay Breakdown'!Q:Q)</f>
        <v>4226734</v>
      </c>
      <c r="H723" s="69">
        <f>SUMIF('Executive Pay Breakdown'!S:S,$B723,'Executive Pay Breakdown'!U:U)</f>
        <v>3705282</v>
      </c>
      <c r="I723" s="69">
        <f>SUMIF('Executive Pay Breakdown'!W:W,$B723,'Executive Pay Breakdown'!Y:Y)</f>
        <v>3314480</v>
      </c>
      <c r="J723" s="69">
        <f>SUMIF('Executive Pay Breakdown'!AA:AA,$B723,'Executive Pay Breakdown'!AC:AC)</f>
        <v>0</v>
      </c>
      <c r="K723" s="118"/>
      <c r="L723" s="212"/>
      <c r="M723" s="87"/>
      <c r="N723" s="230"/>
      <c r="O723" s="120" t="str">
        <f>MATCH(C723,'Key Findings'!B:B,0)</f>
        <v>#N/A</v>
      </c>
    </row>
    <row r="724" hidden="1">
      <c r="A724" s="81"/>
      <c r="B724" s="134" t="s">
        <v>902</v>
      </c>
      <c r="C724" s="87" t="s">
        <v>897</v>
      </c>
      <c r="D724" s="89">
        <f>SUMIF('Executive Pay Breakdown'!K:K,$B724,'Executive Pay Breakdown'!M:M)+SUMIF('Executive Pay Breakdown'!O:O,$B724,'Executive Pay Breakdown'!Q:Q)+SUMIF('Executive Pay Breakdown'!S:S,$B724,'Executive Pay Breakdown'!U:U)+SUMIF('Executive Pay Breakdown'!W:W,$B724,'Executive Pay Breakdown'!Y:Y)+SUMIF('Executive Pay Breakdown'!AA:AA,$B724,'Executive Pay Breakdown'!AC:AC)</f>
        <v>7530801</v>
      </c>
      <c r="E724" s="109"/>
      <c r="F724" s="69">
        <f>SUMIF('Executive Pay Breakdown'!K:K,$B724,'Executive Pay Breakdown'!M:M)</f>
        <v>0</v>
      </c>
      <c r="G724" s="69">
        <f>SUMIF('Executive Pay Breakdown'!O:O,$B724,'Executive Pay Breakdown'!Q:Q)</f>
        <v>0</v>
      </c>
      <c r="H724" s="69">
        <f>SUMIF('Executive Pay Breakdown'!S:S,$B724,'Executive Pay Breakdown'!U:U)</f>
        <v>0</v>
      </c>
      <c r="I724" s="69">
        <f>SUMIF('Executive Pay Breakdown'!W:W,$B724,'Executive Pay Breakdown'!Y:Y)</f>
        <v>1950106</v>
      </c>
      <c r="J724" s="69">
        <f>SUMIF('Executive Pay Breakdown'!AA:AA,$B724,'Executive Pay Breakdown'!AC:AC)</f>
        <v>5580695</v>
      </c>
      <c r="K724" s="118"/>
      <c r="L724" s="212"/>
      <c r="M724" s="87"/>
      <c r="N724" s="87"/>
      <c r="O724" s="120" t="str">
        <f>MATCH(C724,'Key Findings'!B:B,0)</f>
        <v>#N/A</v>
      </c>
    </row>
    <row r="725" hidden="1">
      <c r="A725" s="81"/>
      <c r="B725" s="134" t="s">
        <v>903</v>
      </c>
      <c r="C725" s="87" t="s">
        <v>897</v>
      </c>
      <c r="D725" s="89">
        <f>SUMIF('Executive Pay Breakdown'!K:K,$B725,'Executive Pay Breakdown'!M:M)+SUMIF('Executive Pay Breakdown'!O:O,$B725,'Executive Pay Breakdown'!Q:Q)+SUMIF('Executive Pay Breakdown'!S:S,$B725,'Executive Pay Breakdown'!U:U)+SUMIF('Executive Pay Breakdown'!W:W,$B725,'Executive Pay Breakdown'!Y:Y)+SUMIF('Executive Pay Breakdown'!AA:AA,$B725,'Executive Pay Breakdown'!AC:AC)</f>
        <v>3756681</v>
      </c>
      <c r="E725" s="109"/>
      <c r="F725" s="69">
        <f>SUMIF('Executive Pay Breakdown'!K:K,$B725,'Executive Pay Breakdown'!M:M)</f>
        <v>3756681</v>
      </c>
      <c r="G725" s="69">
        <f>SUMIF('Executive Pay Breakdown'!O:O,$B725,'Executive Pay Breakdown'!Q:Q)</f>
        <v>0</v>
      </c>
      <c r="H725" s="69">
        <f>SUMIF('Executive Pay Breakdown'!S:S,$B725,'Executive Pay Breakdown'!U:U)</f>
        <v>0</v>
      </c>
      <c r="I725" s="69">
        <f>SUMIF('Executive Pay Breakdown'!W:W,$B725,'Executive Pay Breakdown'!Y:Y)</f>
        <v>0</v>
      </c>
      <c r="J725" s="69">
        <f>SUMIF('Executive Pay Breakdown'!AA:AA,$B725,'Executive Pay Breakdown'!AC:AC)</f>
        <v>0</v>
      </c>
      <c r="K725" s="118"/>
      <c r="L725" s="212"/>
      <c r="M725" s="87"/>
      <c r="N725" s="230"/>
      <c r="O725" s="120" t="str">
        <f>MATCH(C725,'Key Findings'!B:B,0)</f>
        <v>#N/A</v>
      </c>
    </row>
    <row r="726" hidden="1">
      <c r="A726" s="62"/>
      <c r="B726" s="127" t="s">
        <v>904</v>
      </c>
      <c r="C726" s="87" t="s">
        <v>905</v>
      </c>
      <c r="D726" s="89">
        <f>SUMIF('Executive Pay Breakdown'!K:K,$B726,'Executive Pay Breakdown'!M:M)+SUMIF('Executive Pay Breakdown'!O:O,$B726,'Executive Pay Breakdown'!Q:Q)+SUMIF('Executive Pay Breakdown'!S:S,$B726,'Executive Pay Breakdown'!U:U)+SUMIF('Executive Pay Breakdown'!W:W,$B726,'Executive Pay Breakdown'!Y:Y)+SUMIF('Executive Pay Breakdown'!AA:AA,$B726,'Executive Pay Breakdown'!AC:AC)</f>
        <v>62011296</v>
      </c>
      <c r="E726" s="109"/>
      <c r="F726" s="69">
        <f>SUMIF('Executive Pay Breakdown'!K:K,$B726,'Executive Pay Breakdown'!M:M)</f>
        <v>10951356</v>
      </c>
      <c r="G726" s="69">
        <f>SUMIF('Executive Pay Breakdown'!O:O,$B726,'Executive Pay Breakdown'!Q:Q)</f>
        <v>13500981</v>
      </c>
      <c r="H726" s="69">
        <f>SUMIF('Executive Pay Breakdown'!S:S,$B726,'Executive Pay Breakdown'!U:U)</f>
        <v>12940513</v>
      </c>
      <c r="I726" s="69">
        <f>SUMIF('Executive Pay Breakdown'!W:W,$B726,'Executive Pay Breakdown'!Y:Y)</f>
        <v>12169308</v>
      </c>
      <c r="J726" s="69">
        <f>SUMIF('Executive Pay Breakdown'!AA:AA,$B726,'Executive Pay Breakdown'!AC:AC)</f>
        <v>12449138</v>
      </c>
      <c r="K726" s="118"/>
      <c r="L726" s="212"/>
      <c r="M726" s="87"/>
      <c r="N726" s="230"/>
      <c r="O726" s="120" t="str">
        <f>MATCH(C726,'Key Findings'!B:B,0)</f>
        <v>#N/A</v>
      </c>
    </row>
    <row r="727" hidden="1">
      <c r="A727" s="62"/>
      <c r="B727" s="127" t="s">
        <v>906</v>
      </c>
      <c r="C727" s="87" t="s">
        <v>905</v>
      </c>
      <c r="D727" s="89">
        <f>SUMIF('Executive Pay Breakdown'!K:K,$B727,'Executive Pay Breakdown'!M:M)+SUMIF('Executive Pay Breakdown'!O:O,$B727,'Executive Pay Breakdown'!Q:Q)+SUMIF('Executive Pay Breakdown'!S:S,$B727,'Executive Pay Breakdown'!U:U)+SUMIF('Executive Pay Breakdown'!W:W,$B727,'Executive Pay Breakdown'!Y:Y)+SUMIF('Executive Pay Breakdown'!AA:AA,$B727,'Executive Pay Breakdown'!AC:AC)</f>
        <v>36249018</v>
      </c>
      <c r="E727" s="109"/>
      <c r="F727" s="69">
        <f>SUMIF('Executive Pay Breakdown'!K:K,$B727,'Executive Pay Breakdown'!M:M)</f>
        <v>13701941</v>
      </c>
      <c r="G727" s="69">
        <f>SUMIF('Executive Pay Breakdown'!O:O,$B727,'Executive Pay Breakdown'!Q:Q)</f>
        <v>8880347</v>
      </c>
      <c r="H727" s="69">
        <f>SUMIF('Executive Pay Breakdown'!S:S,$B727,'Executive Pay Breakdown'!U:U)</f>
        <v>5181711</v>
      </c>
      <c r="I727" s="69">
        <f>SUMIF('Executive Pay Breakdown'!W:W,$B727,'Executive Pay Breakdown'!Y:Y)</f>
        <v>4616381</v>
      </c>
      <c r="J727" s="69">
        <f>SUMIF('Executive Pay Breakdown'!AA:AA,$B727,'Executive Pay Breakdown'!AC:AC)</f>
        <v>3868638</v>
      </c>
      <c r="K727" s="118"/>
      <c r="L727" s="212"/>
      <c r="M727" s="87"/>
      <c r="N727" s="230"/>
      <c r="O727" s="120" t="str">
        <f>MATCH(C727,'Key Findings'!B:B,0)</f>
        <v>#N/A</v>
      </c>
    </row>
    <row r="728" hidden="1">
      <c r="A728" s="62"/>
      <c r="B728" s="127" t="s">
        <v>907</v>
      </c>
      <c r="C728" s="87" t="s">
        <v>905</v>
      </c>
      <c r="D728" s="89">
        <f>SUMIF('Executive Pay Breakdown'!K:K,$B728,'Executive Pay Breakdown'!M:M)+SUMIF('Executive Pay Breakdown'!O:O,$B728,'Executive Pay Breakdown'!Q:Q)+SUMIF('Executive Pay Breakdown'!S:S,$B728,'Executive Pay Breakdown'!U:U)+SUMIF('Executive Pay Breakdown'!W:W,$B728,'Executive Pay Breakdown'!Y:Y)+SUMIF('Executive Pay Breakdown'!AA:AA,$B728,'Executive Pay Breakdown'!AC:AC)</f>
        <v>20932433</v>
      </c>
      <c r="E728" s="109"/>
      <c r="F728" s="69">
        <f>SUMIF('Executive Pay Breakdown'!K:K,$B728,'Executive Pay Breakdown'!M:M)</f>
        <v>5206378</v>
      </c>
      <c r="G728" s="69">
        <f>SUMIF('Executive Pay Breakdown'!O:O,$B728,'Executive Pay Breakdown'!Q:Q)</f>
        <v>4609666</v>
      </c>
      <c r="H728" s="69">
        <f>SUMIF('Executive Pay Breakdown'!S:S,$B728,'Executive Pay Breakdown'!U:U)</f>
        <v>4244519</v>
      </c>
      <c r="I728" s="69">
        <f>SUMIF('Executive Pay Breakdown'!W:W,$B728,'Executive Pay Breakdown'!Y:Y)</f>
        <v>3400744</v>
      </c>
      <c r="J728" s="69">
        <f>SUMIF('Executive Pay Breakdown'!AA:AA,$B728,'Executive Pay Breakdown'!AC:AC)</f>
        <v>3471126</v>
      </c>
      <c r="K728" s="118"/>
      <c r="L728" s="212"/>
      <c r="M728" s="87"/>
      <c r="N728" s="230"/>
      <c r="O728" s="120" t="str">
        <f>MATCH(C728,'Key Findings'!B:B,0)</f>
        <v>#N/A</v>
      </c>
    </row>
    <row r="729" hidden="1">
      <c r="A729" s="62"/>
      <c r="B729" s="127" t="s">
        <v>908</v>
      </c>
      <c r="C729" s="87" t="s">
        <v>905</v>
      </c>
      <c r="D729" s="89">
        <f>SUMIF('Executive Pay Breakdown'!K:K,$B729,'Executive Pay Breakdown'!M:M)+SUMIF('Executive Pay Breakdown'!O:O,$B729,'Executive Pay Breakdown'!Q:Q)+SUMIF('Executive Pay Breakdown'!S:S,$B729,'Executive Pay Breakdown'!U:U)+SUMIF('Executive Pay Breakdown'!W:W,$B729,'Executive Pay Breakdown'!Y:Y)+SUMIF('Executive Pay Breakdown'!AA:AA,$B729,'Executive Pay Breakdown'!AC:AC)</f>
        <v>15446278</v>
      </c>
      <c r="E729" s="109"/>
      <c r="F729" s="69">
        <f>SUMIF('Executive Pay Breakdown'!K:K,$B729,'Executive Pay Breakdown'!M:M)</f>
        <v>5160727</v>
      </c>
      <c r="G729" s="69">
        <f>SUMIF('Executive Pay Breakdown'!O:O,$B729,'Executive Pay Breakdown'!Q:Q)</f>
        <v>4430151</v>
      </c>
      <c r="H729" s="69">
        <f>SUMIF('Executive Pay Breakdown'!S:S,$B729,'Executive Pay Breakdown'!U:U)</f>
        <v>3264378</v>
      </c>
      <c r="I729" s="69">
        <f>SUMIF('Executive Pay Breakdown'!W:W,$B729,'Executive Pay Breakdown'!Y:Y)</f>
        <v>2591022</v>
      </c>
      <c r="J729" s="69">
        <f>SUMIF('Executive Pay Breakdown'!AA:AA,$B729,'Executive Pay Breakdown'!AC:AC)</f>
        <v>0</v>
      </c>
      <c r="K729" s="118"/>
      <c r="L729" s="212"/>
      <c r="M729" s="87"/>
      <c r="N729" s="230"/>
      <c r="O729" s="120" t="str">
        <f>MATCH(C729,'Key Findings'!B:B,0)</f>
        <v>#N/A</v>
      </c>
    </row>
    <row r="730" hidden="1">
      <c r="A730" s="62"/>
      <c r="B730" s="127" t="s">
        <v>909</v>
      </c>
      <c r="C730" s="87" t="s">
        <v>905</v>
      </c>
      <c r="D730" s="89">
        <f>SUMIF('Executive Pay Breakdown'!K:K,$B730,'Executive Pay Breakdown'!M:M)+SUMIF('Executive Pay Breakdown'!O:O,$B730,'Executive Pay Breakdown'!Q:Q)+SUMIF('Executive Pay Breakdown'!S:S,$B730,'Executive Pay Breakdown'!U:U)+SUMIF('Executive Pay Breakdown'!W:W,$B730,'Executive Pay Breakdown'!Y:Y)+SUMIF('Executive Pay Breakdown'!AA:AA,$B730,'Executive Pay Breakdown'!AC:AC)</f>
        <v>10471155</v>
      </c>
      <c r="E730" s="109"/>
      <c r="F730" s="69">
        <f>SUMIF('Executive Pay Breakdown'!K:K,$B730,'Executive Pay Breakdown'!M:M)</f>
        <v>0</v>
      </c>
      <c r="G730" s="69">
        <f>SUMIF('Executive Pay Breakdown'!O:O,$B730,'Executive Pay Breakdown'!Q:Q)</f>
        <v>0</v>
      </c>
      <c r="H730" s="69">
        <f>SUMIF('Executive Pay Breakdown'!S:S,$B730,'Executive Pay Breakdown'!U:U)</f>
        <v>3837066</v>
      </c>
      <c r="I730" s="69">
        <f>SUMIF('Executive Pay Breakdown'!W:W,$B730,'Executive Pay Breakdown'!Y:Y)</f>
        <v>3295237</v>
      </c>
      <c r="J730" s="69">
        <f>SUMIF('Executive Pay Breakdown'!AA:AA,$B730,'Executive Pay Breakdown'!AC:AC)</f>
        <v>3338852</v>
      </c>
      <c r="K730" s="118"/>
      <c r="L730" s="212"/>
      <c r="M730" s="87"/>
      <c r="N730" s="87"/>
      <c r="O730" s="120" t="str">
        <f>MATCH(C730,'Key Findings'!B:B,0)</f>
        <v>#N/A</v>
      </c>
    </row>
    <row r="731" hidden="1">
      <c r="A731" s="62"/>
      <c r="B731" s="127" t="s">
        <v>910</v>
      </c>
      <c r="C731" s="87" t="s">
        <v>905</v>
      </c>
      <c r="D731" s="89">
        <f>SUMIF('Executive Pay Breakdown'!K:K,$B731,'Executive Pay Breakdown'!M:M)+SUMIF('Executive Pay Breakdown'!O:O,$B731,'Executive Pay Breakdown'!Q:Q)+SUMIF('Executive Pay Breakdown'!S:S,$B731,'Executive Pay Breakdown'!U:U)+SUMIF('Executive Pay Breakdown'!W:W,$B731,'Executive Pay Breakdown'!Y:Y)+SUMIF('Executive Pay Breakdown'!AA:AA,$B731,'Executive Pay Breakdown'!AC:AC)</f>
        <v>8456702</v>
      </c>
      <c r="E731" s="109"/>
      <c r="F731" s="69">
        <f>SUMIF('Executive Pay Breakdown'!K:K,$B731,'Executive Pay Breakdown'!M:M)</f>
        <v>4746347</v>
      </c>
      <c r="G731" s="69">
        <f>SUMIF('Executive Pay Breakdown'!O:O,$B731,'Executive Pay Breakdown'!Q:Q)</f>
        <v>3710355</v>
      </c>
      <c r="H731" s="69">
        <f>SUMIF('Executive Pay Breakdown'!S:S,$B731,'Executive Pay Breakdown'!U:U)</f>
        <v>0</v>
      </c>
      <c r="I731" s="69">
        <f>SUMIF('Executive Pay Breakdown'!W:W,$B731,'Executive Pay Breakdown'!Y:Y)</f>
        <v>0</v>
      </c>
      <c r="J731" s="69">
        <f>SUMIF('Executive Pay Breakdown'!AA:AA,$B731,'Executive Pay Breakdown'!AC:AC)</f>
        <v>0</v>
      </c>
      <c r="K731" s="118"/>
      <c r="L731" s="212"/>
      <c r="M731" s="212"/>
      <c r="N731" s="230"/>
      <c r="O731" s="120" t="str">
        <f>MATCH(C731,'Key Findings'!B:B,0)</f>
        <v>#N/A</v>
      </c>
    </row>
    <row r="732" hidden="1">
      <c r="A732" s="62"/>
      <c r="B732" s="127" t="s">
        <v>911</v>
      </c>
      <c r="C732" s="87" t="s">
        <v>905</v>
      </c>
      <c r="D732" s="89">
        <f>SUMIF('Executive Pay Breakdown'!K:K,$B732,'Executive Pay Breakdown'!M:M)+SUMIF('Executive Pay Breakdown'!O:O,$B732,'Executive Pay Breakdown'!Q:Q)+SUMIF('Executive Pay Breakdown'!S:S,$B732,'Executive Pay Breakdown'!U:U)+SUMIF('Executive Pay Breakdown'!W:W,$B732,'Executive Pay Breakdown'!Y:Y)+SUMIF('Executive Pay Breakdown'!AA:AA,$B732,'Executive Pay Breakdown'!AC:AC)</f>
        <v>5533467</v>
      </c>
      <c r="E732" s="109"/>
      <c r="F732" s="69">
        <f>SUMIF('Executive Pay Breakdown'!K:K,$B732,'Executive Pay Breakdown'!M:M)</f>
        <v>0</v>
      </c>
      <c r="G732" s="69">
        <f>SUMIF('Executive Pay Breakdown'!O:O,$B732,'Executive Pay Breakdown'!Q:Q)</f>
        <v>0</v>
      </c>
      <c r="H732" s="69">
        <f>SUMIF('Executive Pay Breakdown'!S:S,$B732,'Executive Pay Breakdown'!U:U)</f>
        <v>0</v>
      </c>
      <c r="I732" s="69">
        <f>SUMIF('Executive Pay Breakdown'!W:W,$B732,'Executive Pay Breakdown'!Y:Y)</f>
        <v>2772226</v>
      </c>
      <c r="J732" s="69">
        <f>SUMIF('Executive Pay Breakdown'!AA:AA,$B732,'Executive Pay Breakdown'!AC:AC)</f>
        <v>2761241</v>
      </c>
      <c r="K732" s="118"/>
      <c r="L732" s="212"/>
      <c r="M732" s="87"/>
      <c r="N732" s="87"/>
      <c r="O732" s="120" t="str">
        <f>MATCH(C732,'Key Findings'!B:B,0)</f>
        <v>#N/A</v>
      </c>
    </row>
    <row r="733" hidden="1">
      <c r="A733" s="62"/>
      <c r="B733" s="142" t="s">
        <v>912</v>
      </c>
      <c r="C733" s="87" t="s">
        <v>905</v>
      </c>
      <c r="D733" s="89">
        <f>SUMIF('Executive Pay Breakdown'!K:K,$B733,'Executive Pay Breakdown'!M:M)+SUMIF('Executive Pay Breakdown'!O:O,$B733,'Executive Pay Breakdown'!Q:Q)+SUMIF('Executive Pay Breakdown'!S:S,$B733,'Executive Pay Breakdown'!U:U)+SUMIF('Executive Pay Breakdown'!W:W,$B733,'Executive Pay Breakdown'!Y:Y)+SUMIF('Executive Pay Breakdown'!AA:AA,$B733,'Executive Pay Breakdown'!AC:AC)</f>
        <v>3749018</v>
      </c>
      <c r="E733" s="109"/>
      <c r="F733" s="69">
        <f>SUMIF('Executive Pay Breakdown'!K:K,$B733,'Executive Pay Breakdown'!M:M)</f>
        <v>0</v>
      </c>
      <c r="G733" s="69">
        <f>SUMIF('Executive Pay Breakdown'!O:O,$B733,'Executive Pay Breakdown'!Q:Q)</f>
        <v>3749018</v>
      </c>
      <c r="H733" s="69">
        <f>SUMIF('Executive Pay Breakdown'!S:S,$B733,'Executive Pay Breakdown'!U:U)</f>
        <v>0</v>
      </c>
      <c r="I733" s="69">
        <f>SUMIF('Executive Pay Breakdown'!W:W,$B733,'Executive Pay Breakdown'!Y:Y)</f>
        <v>0</v>
      </c>
      <c r="J733" s="69">
        <f>SUMIF('Executive Pay Breakdown'!AA:AA,$B733,'Executive Pay Breakdown'!AC:AC)</f>
        <v>0</v>
      </c>
      <c r="K733" s="118"/>
      <c r="L733" s="212"/>
      <c r="M733" s="212"/>
      <c r="N733" s="87"/>
      <c r="O733" s="120" t="str">
        <f>MATCH(C733,'Key Findings'!B:B,0)</f>
        <v>#N/A</v>
      </c>
    </row>
    <row r="734" hidden="1">
      <c r="A734" s="71"/>
      <c r="B734" s="124" t="s">
        <v>913</v>
      </c>
      <c r="C734" s="87" t="s">
        <v>914</v>
      </c>
      <c r="D734" s="89">
        <f>SUMIF('Executive Pay Breakdown'!K:K,$B734,'Executive Pay Breakdown'!M:M)+SUMIF('Executive Pay Breakdown'!O:O,$B734,'Executive Pay Breakdown'!Q:Q)+SUMIF('Executive Pay Breakdown'!S:S,$B734,'Executive Pay Breakdown'!U:U)+SUMIF('Executive Pay Breakdown'!W:W,$B734,'Executive Pay Breakdown'!Y:Y)+SUMIF('Executive Pay Breakdown'!AA:AA,$B734,'Executive Pay Breakdown'!AC:AC)</f>
        <v>84433321</v>
      </c>
      <c r="E734" s="109"/>
      <c r="F734" s="69">
        <f>SUMIF('Executive Pay Breakdown'!K:K,$B734,'Executive Pay Breakdown'!M:M)</f>
        <v>16718154</v>
      </c>
      <c r="G734" s="69">
        <f>SUMIF('Executive Pay Breakdown'!O:O,$B734,'Executive Pay Breakdown'!Q:Q)</f>
        <v>20425162</v>
      </c>
      <c r="H734" s="69">
        <f>SUMIF('Executive Pay Breakdown'!S:S,$B734,'Executive Pay Breakdown'!U:U)</f>
        <v>14665575</v>
      </c>
      <c r="I734" s="69">
        <f>SUMIF('Executive Pay Breakdown'!W:W,$B734,'Executive Pay Breakdown'!Y:Y)</f>
        <v>19241950</v>
      </c>
      <c r="J734" s="69">
        <f>SUMIF('Executive Pay Breakdown'!AA:AA,$B734,'Executive Pay Breakdown'!AC:AC)</f>
        <v>13382480</v>
      </c>
      <c r="K734" s="118"/>
      <c r="L734" s="212"/>
      <c r="M734" s="87"/>
      <c r="N734" s="230"/>
      <c r="O734" s="120" t="str">
        <f>MATCH(C734,'Key Findings'!B:B,0)</f>
        <v>#N/A</v>
      </c>
    </row>
    <row r="735" hidden="1">
      <c r="A735" s="71"/>
      <c r="B735" s="240" t="s">
        <v>915</v>
      </c>
      <c r="C735" s="87" t="s">
        <v>914</v>
      </c>
      <c r="D735" s="89">
        <f>SUMIF('Executive Pay Breakdown'!K:K,$B735,'Executive Pay Breakdown'!M:M)+SUMIF('Executive Pay Breakdown'!O:O,$B735,'Executive Pay Breakdown'!Q:Q)+SUMIF('Executive Pay Breakdown'!S:S,$B735,'Executive Pay Breakdown'!U:U)+SUMIF('Executive Pay Breakdown'!W:W,$B735,'Executive Pay Breakdown'!Y:Y)+SUMIF('Executive Pay Breakdown'!AA:AA,$B735,'Executive Pay Breakdown'!AC:AC)</f>
        <v>35556995</v>
      </c>
      <c r="E735" s="109"/>
      <c r="F735" s="69">
        <f>SUMIF('Executive Pay Breakdown'!K:K,$B735,'Executive Pay Breakdown'!M:M)</f>
        <v>7071589</v>
      </c>
      <c r="G735" s="69">
        <f>SUMIF('Executive Pay Breakdown'!O:O,$B735,'Executive Pay Breakdown'!Q:Q)</f>
        <v>9367441</v>
      </c>
      <c r="H735" s="69">
        <f>SUMIF('Executive Pay Breakdown'!S:S,$B735,'Executive Pay Breakdown'!U:U)</f>
        <v>6466455</v>
      </c>
      <c r="I735" s="69">
        <f>SUMIF('Executive Pay Breakdown'!W:W,$B735,'Executive Pay Breakdown'!Y:Y)</f>
        <v>6744324</v>
      </c>
      <c r="J735" s="69">
        <f>SUMIF('Executive Pay Breakdown'!AA:AA,$B735,'Executive Pay Breakdown'!AC:AC)</f>
        <v>5907186</v>
      </c>
      <c r="K735" s="118"/>
      <c r="L735" s="212"/>
      <c r="M735" s="87"/>
      <c r="N735" s="230"/>
      <c r="O735" s="120" t="str">
        <f>MATCH(C735,'Key Findings'!B:B,0)</f>
        <v>#N/A</v>
      </c>
    </row>
    <row r="736" hidden="1">
      <c r="A736" s="71" t="s">
        <v>86</v>
      </c>
      <c r="B736" s="124" t="s">
        <v>916</v>
      </c>
      <c r="C736" s="87" t="s">
        <v>914</v>
      </c>
      <c r="D736" s="89">
        <f>SUMIF('Executive Pay Breakdown'!K:K,$B736,'Executive Pay Breakdown'!M:M)+SUMIF('Executive Pay Breakdown'!O:O,$B736,'Executive Pay Breakdown'!Q:Q)+SUMIF('Executive Pay Breakdown'!S:S,$B736,'Executive Pay Breakdown'!U:U)+SUMIF('Executive Pay Breakdown'!W:W,$B736,'Executive Pay Breakdown'!Y:Y)+SUMIF('Executive Pay Breakdown'!AA:AA,$B736,'Executive Pay Breakdown'!AC:AC)</f>
        <v>30556168</v>
      </c>
      <c r="E736" s="109"/>
      <c r="F736" s="69">
        <f>SUMIF('Executive Pay Breakdown'!K:K,$B736,'Executive Pay Breakdown'!M:M)</f>
        <v>374558</v>
      </c>
      <c r="G736" s="69">
        <f>SUMIF('Executive Pay Breakdown'!O:O,$B736,'Executive Pay Breakdown'!Q:Q)</f>
        <v>0</v>
      </c>
      <c r="H736" s="69">
        <f>SUMIF('Executive Pay Breakdown'!S:S,$B736,'Executive Pay Breakdown'!U:U)</f>
        <v>0</v>
      </c>
      <c r="I736" s="69">
        <f>SUMIF('Executive Pay Breakdown'!W:W,$B736,'Executive Pay Breakdown'!Y:Y)</f>
        <v>0</v>
      </c>
      <c r="J736" s="69">
        <f>SUMIF('Executive Pay Breakdown'!AA:AA,$B736,'Executive Pay Breakdown'!AC:AC)</f>
        <v>30181610</v>
      </c>
      <c r="K736" s="118"/>
      <c r="L736" s="212"/>
      <c r="M736" s="87"/>
      <c r="N736" s="230"/>
      <c r="O736" s="120" t="str">
        <f>MATCH(C736,'Key Findings'!B:B,0)</f>
        <v>#N/A</v>
      </c>
    </row>
    <row r="737" hidden="1">
      <c r="A737" s="81"/>
      <c r="B737" s="87" t="s">
        <v>917</v>
      </c>
      <c r="C737" s="87" t="s">
        <v>914</v>
      </c>
      <c r="D737" s="89">
        <f>SUMIF('Executive Pay Breakdown'!K:K,$B737,'Executive Pay Breakdown'!M:M)+SUMIF('Executive Pay Breakdown'!O:O,$B737,'Executive Pay Breakdown'!Q:Q)+SUMIF('Executive Pay Breakdown'!S:S,$B737,'Executive Pay Breakdown'!U:U)+SUMIF('Executive Pay Breakdown'!W:W,$B737,'Executive Pay Breakdown'!Y:Y)+SUMIF('Executive Pay Breakdown'!AA:AA,$B737,'Executive Pay Breakdown'!AC:AC)</f>
        <v>75989698</v>
      </c>
      <c r="E737" s="109"/>
      <c r="F737" s="69">
        <f>SUMIF('Executive Pay Breakdown'!K:K,$B737,'Executive Pay Breakdown'!M:M)</f>
        <v>17287489</v>
      </c>
      <c r="G737" s="69">
        <f>SUMIF('Executive Pay Breakdown'!O:O,$B737,'Executive Pay Breakdown'!Q:Q)</f>
        <v>34325697</v>
      </c>
      <c r="H737" s="69">
        <f>SUMIF('Executive Pay Breakdown'!S:S,$B737,'Executive Pay Breakdown'!U:U)</f>
        <v>7207934</v>
      </c>
      <c r="I737" s="69">
        <f>SUMIF('Executive Pay Breakdown'!W:W,$B737,'Executive Pay Breakdown'!Y:Y)</f>
        <v>8016496</v>
      </c>
      <c r="J737" s="69">
        <f>SUMIF('Executive Pay Breakdown'!AA:AA,$B737,'Executive Pay Breakdown'!AC:AC)</f>
        <v>9152082</v>
      </c>
      <c r="K737" s="118"/>
      <c r="L737" s="212"/>
      <c r="M737" s="87"/>
      <c r="N737" s="87"/>
      <c r="O737" s="120" t="str">
        <f>MATCH(C737,'Key Findings'!B:B,0)</f>
        <v>#N/A</v>
      </c>
    </row>
    <row r="738" hidden="1">
      <c r="A738" s="71"/>
      <c r="B738" s="124" t="s">
        <v>918</v>
      </c>
      <c r="C738" s="87" t="s">
        <v>914</v>
      </c>
      <c r="D738" s="89">
        <f>SUMIF('Executive Pay Breakdown'!K:K,$B738,'Executive Pay Breakdown'!M:M)+SUMIF('Executive Pay Breakdown'!O:O,$B738,'Executive Pay Breakdown'!Q:Q)+SUMIF('Executive Pay Breakdown'!S:S,$B738,'Executive Pay Breakdown'!U:U)+SUMIF('Executive Pay Breakdown'!W:W,$B738,'Executive Pay Breakdown'!Y:Y)+SUMIF('Executive Pay Breakdown'!AA:AA,$B738,'Executive Pay Breakdown'!AC:AC)</f>
        <v>20434105</v>
      </c>
      <c r="E738" s="109"/>
      <c r="F738" s="69">
        <f>SUMIF('Executive Pay Breakdown'!K:K,$B738,'Executive Pay Breakdown'!M:M)</f>
        <v>0</v>
      </c>
      <c r="G738" s="69">
        <f>SUMIF('Executive Pay Breakdown'!O:O,$B738,'Executive Pay Breakdown'!Q:Q)</f>
        <v>4940454</v>
      </c>
      <c r="H738" s="69">
        <f>SUMIF('Executive Pay Breakdown'!S:S,$B738,'Executive Pay Breakdown'!U:U)</f>
        <v>4284900</v>
      </c>
      <c r="I738" s="69">
        <f>SUMIF('Executive Pay Breakdown'!W:W,$B738,'Executive Pay Breakdown'!Y:Y)</f>
        <v>11208751</v>
      </c>
      <c r="J738" s="69">
        <f>SUMIF('Executive Pay Breakdown'!AA:AA,$B738,'Executive Pay Breakdown'!AC:AC)</f>
        <v>0</v>
      </c>
      <c r="K738" s="118"/>
      <c r="L738" s="212"/>
      <c r="M738" s="87"/>
      <c r="N738" s="87"/>
      <c r="O738" s="120" t="str">
        <f>MATCH(C738,'Key Findings'!B:B,0)</f>
        <v>#N/A</v>
      </c>
    </row>
    <row r="739" hidden="1">
      <c r="A739" s="71"/>
      <c r="B739" s="240" t="s">
        <v>919</v>
      </c>
      <c r="C739" s="87" t="s">
        <v>914</v>
      </c>
      <c r="D739" s="89">
        <f>SUMIF('Executive Pay Breakdown'!K:K,$B739,'Executive Pay Breakdown'!M:M)+SUMIF('Executive Pay Breakdown'!O:O,$B739,'Executive Pay Breakdown'!Q:Q)+SUMIF('Executive Pay Breakdown'!S:S,$B739,'Executive Pay Breakdown'!U:U)+SUMIF('Executive Pay Breakdown'!W:W,$B739,'Executive Pay Breakdown'!Y:Y)+SUMIF('Executive Pay Breakdown'!AA:AA,$B739,'Executive Pay Breakdown'!AC:AC)</f>
        <v>17004001</v>
      </c>
      <c r="E739" s="109"/>
      <c r="F739" s="69">
        <f>SUMIF('Executive Pay Breakdown'!K:K,$B739,'Executive Pay Breakdown'!M:M)</f>
        <v>11680097</v>
      </c>
      <c r="G739" s="69">
        <f>SUMIF('Executive Pay Breakdown'!O:O,$B739,'Executive Pay Breakdown'!Q:Q)</f>
        <v>5323904</v>
      </c>
      <c r="H739" s="69">
        <f>SUMIF('Executive Pay Breakdown'!S:S,$B739,'Executive Pay Breakdown'!U:U)</f>
        <v>0</v>
      </c>
      <c r="I739" s="69">
        <f>SUMIF('Executive Pay Breakdown'!W:W,$B739,'Executive Pay Breakdown'!Y:Y)</f>
        <v>0</v>
      </c>
      <c r="J739" s="69">
        <f>SUMIF('Executive Pay Breakdown'!AA:AA,$B739,'Executive Pay Breakdown'!AC:AC)</f>
        <v>0</v>
      </c>
      <c r="K739" s="118"/>
      <c r="L739" s="212"/>
      <c r="M739" s="212"/>
      <c r="N739" s="230"/>
      <c r="O739" s="120" t="str">
        <f>MATCH(C739,'Key Findings'!B:B,0)</f>
        <v>#N/A</v>
      </c>
    </row>
    <row r="740" hidden="1">
      <c r="A740" s="71"/>
      <c r="B740" s="124" t="s">
        <v>920</v>
      </c>
      <c r="C740" s="87" t="s">
        <v>914</v>
      </c>
      <c r="D740" s="89">
        <f>SUMIF('Executive Pay Breakdown'!K:K,$B740,'Executive Pay Breakdown'!M:M)+SUMIF('Executive Pay Breakdown'!O:O,$B740,'Executive Pay Breakdown'!Q:Q)+SUMIF('Executive Pay Breakdown'!S:S,$B740,'Executive Pay Breakdown'!U:U)+SUMIF('Executive Pay Breakdown'!W:W,$B740,'Executive Pay Breakdown'!Y:Y)+SUMIF('Executive Pay Breakdown'!AA:AA,$B740,'Executive Pay Breakdown'!AC:AC)</f>
        <v>12418480</v>
      </c>
      <c r="E740" s="109"/>
      <c r="F740" s="69">
        <f>SUMIF('Executive Pay Breakdown'!K:K,$B740,'Executive Pay Breakdown'!M:M)</f>
        <v>5961593</v>
      </c>
      <c r="G740" s="69">
        <f>SUMIF('Executive Pay Breakdown'!O:O,$B740,'Executive Pay Breakdown'!Q:Q)</f>
        <v>6456887</v>
      </c>
      <c r="H740" s="69">
        <f>SUMIF('Executive Pay Breakdown'!S:S,$B740,'Executive Pay Breakdown'!U:U)</f>
        <v>0</v>
      </c>
      <c r="I740" s="69">
        <f>SUMIF('Executive Pay Breakdown'!W:W,$B740,'Executive Pay Breakdown'!Y:Y)</f>
        <v>0</v>
      </c>
      <c r="J740" s="69">
        <f>SUMIF('Executive Pay Breakdown'!AA:AA,$B740,'Executive Pay Breakdown'!AC:AC)</f>
        <v>0</v>
      </c>
      <c r="K740" s="118"/>
      <c r="L740" s="212"/>
      <c r="M740" s="212"/>
      <c r="N740" s="230"/>
      <c r="O740" s="120" t="str">
        <f>MATCH(C740,'Key Findings'!B:B,0)</f>
        <v>#N/A</v>
      </c>
    </row>
    <row r="741" hidden="1">
      <c r="A741" s="71"/>
      <c r="B741" s="240" t="s">
        <v>921</v>
      </c>
      <c r="C741" s="87" t="s">
        <v>914</v>
      </c>
      <c r="D741" s="89">
        <f>SUMIF('Executive Pay Breakdown'!K:K,$B741,'Executive Pay Breakdown'!M:M)+SUMIF('Executive Pay Breakdown'!O:O,$B741,'Executive Pay Breakdown'!Q:Q)+SUMIF('Executive Pay Breakdown'!S:S,$B741,'Executive Pay Breakdown'!U:U)+SUMIF('Executive Pay Breakdown'!W:W,$B741,'Executive Pay Breakdown'!Y:Y)+SUMIF('Executive Pay Breakdown'!AA:AA,$B741,'Executive Pay Breakdown'!AC:AC)</f>
        <v>12016159</v>
      </c>
      <c r="E741" s="109"/>
      <c r="F741" s="69">
        <f>SUMIF('Executive Pay Breakdown'!K:K,$B741,'Executive Pay Breakdown'!M:M)</f>
        <v>0</v>
      </c>
      <c r="G741" s="69">
        <f>SUMIF('Executive Pay Breakdown'!O:O,$B741,'Executive Pay Breakdown'!Q:Q)</f>
        <v>0</v>
      </c>
      <c r="H741" s="69">
        <f>SUMIF('Executive Pay Breakdown'!S:S,$B741,'Executive Pay Breakdown'!U:U)</f>
        <v>4421693</v>
      </c>
      <c r="I741" s="69">
        <f>SUMIF('Executive Pay Breakdown'!W:W,$B741,'Executive Pay Breakdown'!Y:Y)</f>
        <v>4206515</v>
      </c>
      <c r="J741" s="69">
        <f>SUMIF('Executive Pay Breakdown'!AA:AA,$B741,'Executive Pay Breakdown'!AC:AC)</f>
        <v>3387951</v>
      </c>
      <c r="K741" s="118"/>
      <c r="L741" s="212"/>
      <c r="M741" s="87"/>
      <c r="N741" s="87"/>
      <c r="O741" s="120" t="str">
        <f>MATCH(C741,'Key Findings'!B:B,0)</f>
        <v>#N/A</v>
      </c>
    </row>
    <row r="742" hidden="1">
      <c r="A742" s="71"/>
      <c r="B742" s="240" t="s">
        <v>922</v>
      </c>
      <c r="C742" s="87" t="s">
        <v>914</v>
      </c>
      <c r="D742" s="89">
        <f>SUMIF('Executive Pay Breakdown'!K:K,$B742,'Executive Pay Breakdown'!M:M)+SUMIF('Executive Pay Breakdown'!O:O,$B742,'Executive Pay Breakdown'!Q:Q)+SUMIF('Executive Pay Breakdown'!S:S,$B742,'Executive Pay Breakdown'!U:U)+SUMIF('Executive Pay Breakdown'!W:W,$B742,'Executive Pay Breakdown'!Y:Y)+SUMIF('Executive Pay Breakdown'!AA:AA,$B742,'Executive Pay Breakdown'!AC:AC)</f>
        <v>7551112</v>
      </c>
      <c r="E742" s="109"/>
      <c r="F742" s="69">
        <f>SUMIF('Executive Pay Breakdown'!K:K,$B742,'Executive Pay Breakdown'!M:M)</f>
        <v>0</v>
      </c>
      <c r="G742" s="69">
        <f>SUMIF('Executive Pay Breakdown'!O:O,$B742,'Executive Pay Breakdown'!Q:Q)</f>
        <v>0</v>
      </c>
      <c r="H742" s="69">
        <f>SUMIF('Executive Pay Breakdown'!S:S,$B742,'Executive Pay Breakdown'!U:U)</f>
        <v>0</v>
      </c>
      <c r="I742" s="69">
        <f>SUMIF('Executive Pay Breakdown'!W:W,$B742,'Executive Pay Breakdown'!Y:Y)</f>
        <v>1570343</v>
      </c>
      <c r="J742" s="69">
        <f>SUMIF('Executive Pay Breakdown'!AA:AA,$B742,'Executive Pay Breakdown'!AC:AC)</f>
        <v>5980769</v>
      </c>
      <c r="K742" s="118"/>
      <c r="L742" s="212"/>
      <c r="M742" s="87"/>
      <c r="N742" s="87"/>
      <c r="O742" s="120" t="str">
        <f>MATCH(C742,'Key Findings'!B:B,0)</f>
        <v>#N/A</v>
      </c>
    </row>
    <row r="743" hidden="1">
      <c r="A743" s="71"/>
      <c r="B743" s="124" t="s">
        <v>923</v>
      </c>
      <c r="C743" s="87" t="s">
        <v>914</v>
      </c>
      <c r="D743" s="89">
        <f>SUMIF('Executive Pay Breakdown'!K:K,$B743,'Executive Pay Breakdown'!M:M)+SUMIF('Executive Pay Breakdown'!O:O,$B743,'Executive Pay Breakdown'!Q:Q)+SUMIF('Executive Pay Breakdown'!S:S,$B743,'Executive Pay Breakdown'!U:U)+SUMIF('Executive Pay Breakdown'!W:W,$B743,'Executive Pay Breakdown'!Y:Y)+SUMIF('Executive Pay Breakdown'!AA:AA,$B743,'Executive Pay Breakdown'!AC:AC)</f>
        <v>7125836</v>
      </c>
      <c r="E743" s="109"/>
      <c r="F743" s="69">
        <f>SUMIF('Executive Pay Breakdown'!K:K,$B743,'Executive Pay Breakdown'!M:M)</f>
        <v>3796396</v>
      </c>
      <c r="G743" s="69">
        <f>SUMIF('Executive Pay Breakdown'!O:O,$B743,'Executive Pay Breakdown'!Q:Q)</f>
        <v>3329440</v>
      </c>
      <c r="H743" s="69">
        <f>SUMIF('Executive Pay Breakdown'!S:S,$B743,'Executive Pay Breakdown'!U:U)</f>
        <v>0</v>
      </c>
      <c r="I743" s="69">
        <f>SUMIF('Executive Pay Breakdown'!W:W,$B743,'Executive Pay Breakdown'!Y:Y)</f>
        <v>0</v>
      </c>
      <c r="J743" s="69">
        <f>SUMIF('Executive Pay Breakdown'!AA:AA,$B743,'Executive Pay Breakdown'!AC:AC)</f>
        <v>0</v>
      </c>
      <c r="K743" s="118"/>
      <c r="L743" s="212"/>
      <c r="M743" s="212"/>
      <c r="N743" s="230"/>
      <c r="O743" s="120" t="str">
        <f>MATCH(C743,'Key Findings'!B:B,0)</f>
        <v>#N/A</v>
      </c>
    </row>
    <row r="744" hidden="1">
      <c r="A744" s="81"/>
      <c r="B744" s="134" t="s">
        <v>924</v>
      </c>
      <c r="C744" s="87" t="s">
        <v>925</v>
      </c>
      <c r="D744" s="89">
        <f>SUMIF('Executive Pay Breakdown'!K:K,$B744,'Executive Pay Breakdown'!M:M)+SUMIF('Executive Pay Breakdown'!O:O,$B744,'Executive Pay Breakdown'!Q:Q)+SUMIF('Executive Pay Breakdown'!S:S,$B744,'Executive Pay Breakdown'!U:U)+SUMIF('Executive Pay Breakdown'!W:W,$B744,'Executive Pay Breakdown'!Y:Y)+SUMIF('Executive Pay Breakdown'!AA:AA,$B744,'Executive Pay Breakdown'!AC:AC)</f>
        <v>70646507</v>
      </c>
      <c r="E744" s="109"/>
      <c r="F744" s="69">
        <f>SUMIF('Executive Pay Breakdown'!K:K,$B744,'Executive Pay Breakdown'!M:M)</f>
        <v>12748826</v>
      </c>
      <c r="G744" s="69">
        <f>SUMIF('Executive Pay Breakdown'!O:O,$B744,'Executive Pay Breakdown'!Q:Q)</f>
        <v>14462961</v>
      </c>
      <c r="H744" s="69">
        <f>SUMIF('Executive Pay Breakdown'!S:S,$B744,'Executive Pay Breakdown'!U:U)</f>
        <v>15220523</v>
      </c>
      <c r="I744" s="69">
        <f>SUMIF('Executive Pay Breakdown'!W:W,$B744,'Executive Pay Breakdown'!Y:Y)</f>
        <v>14041272</v>
      </c>
      <c r="J744" s="69">
        <f>SUMIF('Executive Pay Breakdown'!AA:AA,$B744,'Executive Pay Breakdown'!AC:AC)</f>
        <v>14172925</v>
      </c>
      <c r="K744" s="118"/>
      <c r="L744" s="212"/>
      <c r="M744" s="87"/>
      <c r="N744" s="230"/>
      <c r="O744" s="120" t="str">
        <f>MATCH(C744,'Key Findings'!B:B,0)</f>
        <v>#N/A</v>
      </c>
    </row>
    <row r="745" hidden="1">
      <c r="A745" s="71"/>
      <c r="B745" s="124" t="s">
        <v>926</v>
      </c>
      <c r="C745" s="87" t="s">
        <v>925</v>
      </c>
      <c r="D745" s="89">
        <f>SUMIF('Executive Pay Breakdown'!K:K,$B745,'Executive Pay Breakdown'!M:M)+SUMIF('Executive Pay Breakdown'!O:O,$B745,'Executive Pay Breakdown'!Q:Q)+SUMIF('Executive Pay Breakdown'!S:S,$B745,'Executive Pay Breakdown'!U:U)+SUMIF('Executive Pay Breakdown'!W:W,$B745,'Executive Pay Breakdown'!Y:Y)+SUMIF('Executive Pay Breakdown'!AA:AA,$B745,'Executive Pay Breakdown'!AC:AC)</f>
        <v>25360697</v>
      </c>
      <c r="E745" s="109"/>
      <c r="F745" s="69">
        <f>SUMIF('Executive Pay Breakdown'!K:K,$B745,'Executive Pay Breakdown'!M:M)</f>
        <v>4082590</v>
      </c>
      <c r="G745" s="69">
        <f>SUMIF('Executive Pay Breakdown'!O:O,$B745,'Executive Pay Breakdown'!Q:Q)</f>
        <v>4679143</v>
      </c>
      <c r="H745" s="69">
        <f>SUMIF('Executive Pay Breakdown'!S:S,$B745,'Executive Pay Breakdown'!U:U)</f>
        <v>4895694</v>
      </c>
      <c r="I745" s="69">
        <f>SUMIF('Executive Pay Breakdown'!W:W,$B745,'Executive Pay Breakdown'!Y:Y)</f>
        <v>4568450</v>
      </c>
      <c r="J745" s="69">
        <f>SUMIF('Executive Pay Breakdown'!AA:AA,$B745,'Executive Pay Breakdown'!AC:AC)</f>
        <v>7134820</v>
      </c>
      <c r="K745" s="118"/>
      <c r="L745" s="212"/>
      <c r="M745" s="87"/>
      <c r="N745" s="230"/>
      <c r="O745" s="120" t="str">
        <f>MATCH(C745,'Key Findings'!B:B,0)</f>
        <v>#N/A</v>
      </c>
    </row>
    <row r="746" hidden="1">
      <c r="A746" s="71"/>
      <c r="B746" s="124" t="s">
        <v>927</v>
      </c>
      <c r="C746" s="87" t="s">
        <v>925</v>
      </c>
      <c r="D746" s="89">
        <f>SUMIF('Executive Pay Breakdown'!K:K,$B746,'Executive Pay Breakdown'!M:M)+SUMIF('Executive Pay Breakdown'!O:O,$B746,'Executive Pay Breakdown'!Q:Q)+SUMIF('Executive Pay Breakdown'!S:S,$B746,'Executive Pay Breakdown'!U:U)+SUMIF('Executive Pay Breakdown'!W:W,$B746,'Executive Pay Breakdown'!Y:Y)+SUMIF('Executive Pay Breakdown'!AA:AA,$B746,'Executive Pay Breakdown'!AC:AC)</f>
        <v>17182249</v>
      </c>
      <c r="E746" s="109"/>
      <c r="F746" s="69">
        <f>SUMIF('Executive Pay Breakdown'!K:K,$B746,'Executive Pay Breakdown'!M:M)</f>
        <v>3780982</v>
      </c>
      <c r="G746" s="69">
        <f>SUMIF('Executive Pay Breakdown'!O:O,$B746,'Executive Pay Breakdown'!Q:Q)</f>
        <v>4150307</v>
      </c>
      <c r="H746" s="69">
        <f>SUMIF('Executive Pay Breakdown'!S:S,$B746,'Executive Pay Breakdown'!U:U)</f>
        <v>3855814</v>
      </c>
      <c r="I746" s="69">
        <f>SUMIF('Executive Pay Breakdown'!W:W,$B746,'Executive Pay Breakdown'!Y:Y)</f>
        <v>3229832</v>
      </c>
      <c r="J746" s="69">
        <f>SUMIF('Executive Pay Breakdown'!AA:AA,$B746,'Executive Pay Breakdown'!AC:AC)</f>
        <v>2165314</v>
      </c>
      <c r="K746" s="118"/>
      <c r="L746" s="212"/>
      <c r="M746" s="87"/>
      <c r="N746" s="230"/>
      <c r="O746" s="120" t="str">
        <f>MATCH(C746,'Key Findings'!B:B,0)</f>
        <v>#N/A</v>
      </c>
    </row>
    <row r="747" hidden="1">
      <c r="A747" s="71"/>
      <c r="B747" s="124" t="s">
        <v>928</v>
      </c>
      <c r="C747" s="87" t="s">
        <v>925</v>
      </c>
      <c r="D747" s="89">
        <f>SUMIF('Executive Pay Breakdown'!K:K,$B747,'Executive Pay Breakdown'!M:M)+SUMIF('Executive Pay Breakdown'!O:O,$B747,'Executive Pay Breakdown'!Q:Q)+SUMIF('Executive Pay Breakdown'!S:S,$B747,'Executive Pay Breakdown'!U:U)+SUMIF('Executive Pay Breakdown'!W:W,$B747,'Executive Pay Breakdown'!Y:Y)+SUMIF('Executive Pay Breakdown'!AA:AA,$B747,'Executive Pay Breakdown'!AC:AC)</f>
        <v>10333140</v>
      </c>
      <c r="E747" s="109"/>
      <c r="F747" s="69">
        <f>SUMIF('Executive Pay Breakdown'!K:K,$B747,'Executive Pay Breakdown'!M:M)</f>
        <v>0</v>
      </c>
      <c r="G747" s="69">
        <f>SUMIF('Executive Pay Breakdown'!O:O,$B747,'Executive Pay Breakdown'!Q:Q)</f>
        <v>2832171</v>
      </c>
      <c r="H747" s="69">
        <f>SUMIF('Executive Pay Breakdown'!S:S,$B747,'Executive Pay Breakdown'!U:U)</f>
        <v>2770575</v>
      </c>
      <c r="I747" s="69">
        <f>SUMIF('Executive Pay Breakdown'!W:W,$B747,'Executive Pay Breakdown'!Y:Y)</f>
        <v>2565080</v>
      </c>
      <c r="J747" s="69">
        <f>SUMIF('Executive Pay Breakdown'!AA:AA,$B747,'Executive Pay Breakdown'!AC:AC)</f>
        <v>2165314</v>
      </c>
      <c r="K747" s="118"/>
      <c r="L747" s="212"/>
      <c r="M747" s="87"/>
      <c r="N747" s="87"/>
      <c r="O747" s="120" t="str">
        <f>MATCH(C747,'Key Findings'!B:B,0)</f>
        <v>#N/A</v>
      </c>
    </row>
    <row r="748" hidden="1">
      <c r="A748" s="71"/>
      <c r="B748" s="124" t="s">
        <v>929</v>
      </c>
      <c r="C748" s="87" t="s">
        <v>925</v>
      </c>
      <c r="D748" s="89">
        <f>SUMIF('Executive Pay Breakdown'!K:K,$B748,'Executive Pay Breakdown'!M:M)+SUMIF('Executive Pay Breakdown'!O:O,$B748,'Executive Pay Breakdown'!Q:Q)+SUMIF('Executive Pay Breakdown'!S:S,$B748,'Executive Pay Breakdown'!U:U)+SUMIF('Executive Pay Breakdown'!W:W,$B748,'Executive Pay Breakdown'!Y:Y)+SUMIF('Executive Pay Breakdown'!AA:AA,$B748,'Executive Pay Breakdown'!AC:AC)</f>
        <v>7930413</v>
      </c>
      <c r="E748" s="109"/>
      <c r="F748" s="69">
        <f>SUMIF('Executive Pay Breakdown'!K:K,$B748,'Executive Pay Breakdown'!M:M)</f>
        <v>0</v>
      </c>
      <c r="G748" s="69">
        <f>SUMIF('Executive Pay Breakdown'!O:O,$B748,'Executive Pay Breakdown'!Q:Q)</f>
        <v>0</v>
      </c>
      <c r="H748" s="69">
        <f>SUMIF('Executive Pay Breakdown'!S:S,$B748,'Executive Pay Breakdown'!U:U)</f>
        <v>2806630</v>
      </c>
      <c r="I748" s="69">
        <f>SUMIF('Executive Pay Breakdown'!W:W,$B748,'Executive Pay Breakdown'!Y:Y)</f>
        <v>2612838</v>
      </c>
      <c r="J748" s="69">
        <f>SUMIF('Executive Pay Breakdown'!AA:AA,$B748,'Executive Pay Breakdown'!AC:AC)</f>
        <v>2510945</v>
      </c>
      <c r="K748" s="118"/>
      <c r="L748" s="212"/>
      <c r="M748" s="87"/>
      <c r="N748" s="87"/>
      <c r="O748" s="120" t="str">
        <f>MATCH(C748,'Key Findings'!B:B,0)</f>
        <v>#N/A</v>
      </c>
    </row>
    <row r="749" hidden="1">
      <c r="A749" s="71"/>
      <c r="B749" s="124" t="s">
        <v>930</v>
      </c>
      <c r="C749" s="87" t="s">
        <v>925</v>
      </c>
      <c r="D749" s="89">
        <f>SUMIF('Executive Pay Breakdown'!K:K,$B749,'Executive Pay Breakdown'!M:M)+SUMIF('Executive Pay Breakdown'!O:O,$B749,'Executive Pay Breakdown'!Q:Q)+SUMIF('Executive Pay Breakdown'!S:S,$B749,'Executive Pay Breakdown'!U:U)+SUMIF('Executive Pay Breakdown'!W:W,$B749,'Executive Pay Breakdown'!Y:Y)+SUMIF('Executive Pay Breakdown'!AA:AA,$B749,'Executive Pay Breakdown'!AC:AC)</f>
        <v>7220090</v>
      </c>
      <c r="E749" s="109"/>
      <c r="F749" s="69">
        <f>SUMIF('Executive Pay Breakdown'!K:K,$B749,'Executive Pay Breakdown'!M:M)</f>
        <v>2410774</v>
      </c>
      <c r="G749" s="69">
        <f>SUMIF('Executive Pay Breakdown'!O:O,$B749,'Executive Pay Breakdown'!Q:Q)</f>
        <v>2437051</v>
      </c>
      <c r="H749" s="69">
        <f>SUMIF('Executive Pay Breakdown'!S:S,$B749,'Executive Pay Breakdown'!U:U)</f>
        <v>2372265</v>
      </c>
      <c r="I749" s="69">
        <f>SUMIF('Executive Pay Breakdown'!W:W,$B749,'Executive Pay Breakdown'!Y:Y)</f>
        <v>0</v>
      </c>
      <c r="J749" s="69">
        <f>SUMIF('Executive Pay Breakdown'!AA:AA,$B749,'Executive Pay Breakdown'!AC:AC)</f>
        <v>0</v>
      </c>
      <c r="K749" s="118"/>
      <c r="L749" s="212"/>
      <c r="M749" s="87"/>
      <c r="N749" s="230"/>
      <c r="O749" s="120" t="str">
        <f>MATCH(C749,'Key Findings'!B:B,0)</f>
        <v>#N/A</v>
      </c>
    </row>
    <row r="750" hidden="1">
      <c r="A750" s="71"/>
      <c r="B750" s="124" t="s">
        <v>931</v>
      </c>
      <c r="C750" s="87" t="s">
        <v>925</v>
      </c>
      <c r="D750" s="89">
        <f>SUMIF('Executive Pay Breakdown'!K:K,$B750,'Executive Pay Breakdown'!M:M)+SUMIF('Executive Pay Breakdown'!O:O,$B750,'Executive Pay Breakdown'!Q:Q)+SUMIF('Executive Pay Breakdown'!S:S,$B750,'Executive Pay Breakdown'!U:U)+SUMIF('Executive Pay Breakdown'!W:W,$B750,'Executive Pay Breakdown'!Y:Y)+SUMIF('Executive Pay Breakdown'!AA:AA,$B750,'Executive Pay Breakdown'!AC:AC)</f>
        <v>6073483</v>
      </c>
      <c r="E750" s="109"/>
      <c r="F750" s="69">
        <f>SUMIF('Executive Pay Breakdown'!K:K,$B750,'Executive Pay Breakdown'!M:M)</f>
        <v>2410024</v>
      </c>
      <c r="G750" s="69">
        <f>SUMIF('Executive Pay Breakdown'!O:O,$B750,'Executive Pay Breakdown'!Q:Q)</f>
        <v>1960157</v>
      </c>
      <c r="H750" s="69">
        <f>SUMIF('Executive Pay Breakdown'!S:S,$B750,'Executive Pay Breakdown'!U:U)</f>
        <v>1703302</v>
      </c>
      <c r="I750" s="69">
        <f>SUMIF('Executive Pay Breakdown'!W:W,$B750,'Executive Pay Breakdown'!Y:Y)</f>
        <v>0</v>
      </c>
      <c r="J750" s="69">
        <f>SUMIF('Executive Pay Breakdown'!AA:AA,$B750,'Executive Pay Breakdown'!AC:AC)</f>
        <v>0</v>
      </c>
      <c r="K750" s="118"/>
      <c r="L750" s="212"/>
      <c r="M750" s="87"/>
      <c r="N750" s="230"/>
      <c r="O750" s="120" t="str">
        <f>MATCH(C750,'Key Findings'!B:B,0)</f>
        <v>#N/A</v>
      </c>
    </row>
    <row r="751" hidden="1">
      <c r="A751" s="71"/>
      <c r="B751" s="124" t="s">
        <v>932</v>
      </c>
      <c r="C751" s="87" t="s">
        <v>925</v>
      </c>
      <c r="D751" s="89">
        <f>SUMIF('Executive Pay Breakdown'!K:K,$B751,'Executive Pay Breakdown'!M:M)+SUMIF('Executive Pay Breakdown'!O:O,$B751,'Executive Pay Breakdown'!Q:Q)+SUMIF('Executive Pay Breakdown'!S:S,$B751,'Executive Pay Breakdown'!U:U)+SUMIF('Executive Pay Breakdown'!W:W,$B751,'Executive Pay Breakdown'!Y:Y)+SUMIF('Executive Pay Breakdown'!AA:AA,$B751,'Executive Pay Breakdown'!AC:AC)</f>
        <v>5522357</v>
      </c>
      <c r="E751" s="109"/>
      <c r="F751" s="69">
        <f>SUMIF('Executive Pay Breakdown'!K:K,$B751,'Executive Pay Breakdown'!M:M)</f>
        <v>0</v>
      </c>
      <c r="G751" s="69">
        <f>SUMIF('Executive Pay Breakdown'!O:O,$B751,'Executive Pay Breakdown'!Q:Q)</f>
        <v>0</v>
      </c>
      <c r="H751" s="69">
        <f>SUMIF('Executive Pay Breakdown'!S:S,$B751,'Executive Pay Breakdown'!U:U)</f>
        <v>0</v>
      </c>
      <c r="I751" s="69">
        <f>SUMIF('Executive Pay Breakdown'!W:W,$B751,'Executive Pay Breakdown'!Y:Y)</f>
        <v>2718803</v>
      </c>
      <c r="J751" s="69">
        <f>SUMIF('Executive Pay Breakdown'!AA:AA,$B751,'Executive Pay Breakdown'!AC:AC)</f>
        <v>2803554</v>
      </c>
      <c r="K751" s="118"/>
      <c r="L751" s="212"/>
      <c r="M751" s="87"/>
      <c r="N751" s="87"/>
      <c r="O751" s="120" t="str">
        <f>MATCH(C751,'Key Findings'!B:B,0)</f>
        <v>#N/A</v>
      </c>
    </row>
    <row r="752" hidden="1">
      <c r="A752" s="71"/>
      <c r="B752" s="241" t="s">
        <v>933</v>
      </c>
      <c r="C752" s="87" t="s">
        <v>925</v>
      </c>
      <c r="D752" s="89">
        <f>SUMIF('Executive Pay Breakdown'!K:K,$B752,'Executive Pay Breakdown'!M:M)+SUMIF('Executive Pay Breakdown'!O:O,$B752,'Executive Pay Breakdown'!Q:Q)+SUMIF('Executive Pay Breakdown'!S:S,$B752,'Executive Pay Breakdown'!U:U)+SUMIF('Executive Pay Breakdown'!W:W,$B752,'Executive Pay Breakdown'!Y:Y)+SUMIF('Executive Pay Breakdown'!AA:AA,$B752,'Executive Pay Breakdown'!AC:AC)</f>
        <v>3012772</v>
      </c>
      <c r="E752" s="109"/>
      <c r="F752" s="69">
        <f>SUMIF('Executive Pay Breakdown'!K:K,$B752,'Executive Pay Breakdown'!M:M)</f>
        <v>0</v>
      </c>
      <c r="G752" s="69">
        <f>SUMIF('Executive Pay Breakdown'!O:O,$B752,'Executive Pay Breakdown'!Q:Q)</f>
        <v>3012772</v>
      </c>
      <c r="H752" s="69">
        <f>SUMIF('Executive Pay Breakdown'!S:S,$B752,'Executive Pay Breakdown'!U:U)</f>
        <v>0</v>
      </c>
      <c r="I752" s="69">
        <f>SUMIF('Executive Pay Breakdown'!W:W,$B752,'Executive Pay Breakdown'!Y:Y)</f>
        <v>0</v>
      </c>
      <c r="J752" s="69">
        <f>SUMIF('Executive Pay Breakdown'!AA:AA,$B752,'Executive Pay Breakdown'!AC:AC)</f>
        <v>0</v>
      </c>
      <c r="K752" s="118"/>
      <c r="L752" s="212"/>
      <c r="M752" s="212"/>
      <c r="N752" s="87"/>
      <c r="O752" s="120" t="str">
        <f>MATCH(C752,'Key Findings'!B:B,0)</f>
        <v>#N/A</v>
      </c>
    </row>
    <row r="753" hidden="1">
      <c r="A753" s="71"/>
      <c r="B753" s="124" t="s">
        <v>934</v>
      </c>
      <c r="C753" s="87" t="s">
        <v>925</v>
      </c>
      <c r="D753" s="89">
        <f>SUMIF('Executive Pay Breakdown'!K:K,$B753,'Executive Pay Breakdown'!M:M)+SUMIF('Executive Pay Breakdown'!O:O,$B753,'Executive Pay Breakdown'!Q:Q)+SUMIF('Executive Pay Breakdown'!S:S,$B753,'Executive Pay Breakdown'!U:U)+SUMIF('Executive Pay Breakdown'!W:W,$B753,'Executive Pay Breakdown'!Y:Y)+SUMIF('Executive Pay Breakdown'!AA:AA,$B753,'Executive Pay Breakdown'!AC:AC)</f>
        <v>2413751</v>
      </c>
      <c r="E753" s="109"/>
      <c r="F753" s="69">
        <f>SUMIF('Executive Pay Breakdown'!K:K,$B753,'Executive Pay Breakdown'!M:M)</f>
        <v>0</v>
      </c>
      <c r="G753" s="69">
        <f>SUMIF('Executive Pay Breakdown'!O:O,$B753,'Executive Pay Breakdown'!Q:Q)</f>
        <v>0</v>
      </c>
      <c r="H753" s="69">
        <f>SUMIF('Executive Pay Breakdown'!S:S,$B753,'Executive Pay Breakdown'!U:U)</f>
        <v>0</v>
      </c>
      <c r="I753" s="69">
        <f>SUMIF('Executive Pay Breakdown'!W:W,$B753,'Executive Pay Breakdown'!Y:Y)</f>
        <v>0</v>
      </c>
      <c r="J753" s="69">
        <f>SUMIF('Executive Pay Breakdown'!AA:AA,$B753,'Executive Pay Breakdown'!AC:AC)</f>
        <v>2413751</v>
      </c>
      <c r="K753" s="118"/>
      <c r="L753" s="212"/>
      <c r="M753" s="87"/>
      <c r="N753" s="87"/>
      <c r="O753" s="120" t="str">
        <f>MATCH(C753,'Key Findings'!B:B,0)</f>
        <v>#N/A</v>
      </c>
    </row>
    <row r="754" hidden="1">
      <c r="A754" s="81"/>
      <c r="B754" s="134" t="s">
        <v>935</v>
      </c>
      <c r="C754" s="87" t="s">
        <v>936</v>
      </c>
      <c r="D754" s="89">
        <f>SUMIF('Executive Pay Breakdown'!K:K,$B754,'Executive Pay Breakdown'!M:M)+SUMIF('Executive Pay Breakdown'!O:O,$B754,'Executive Pay Breakdown'!Q:Q)+SUMIF('Executive Pay Breakdown'!S:S,$B754,'Executive Pay Breakdown'!U:U)+SUMIF('Executive Pay Breakdown'!W:W,$B754,'Executive Pay Breakdown'!Y:Y)+SUMIF('Executive Pay Breakdown'!AA:AA,$B754,'Executive Pay Breakdown'!AC:AC)</f>
        <v>103253959</v>
      </c>
      <c r="E754" s="109"/>
      <c r="F754" s="69">
        <f>SUMIF('Executive Pay Breakdown'!K:K,$B754,'Executive Pay Breakdown'!M:M)</f>
        <v>18595382</v>
      </c>
      <c r="G754" s="69">
        <f>SUMIF('Executive Pay Breakdown'!O:O,$B754,'Executive Pay Breakdown'!Q:Q)</f>
        <v>23900381</v>
      </c>
      <c r="H754" s="69">
        <f>SUMIF('Executive Pay Breakdown'!S:S,$B754,'Executive Pay Breakdown'!U:U)</f>
        <v>22905128</v>
      </c>
      <c r="I754" s="69">
        <f>SUMIF('Executive Pay Breakdown'!W:W,$B754,'Executive Pay Breakdown'!Y:Y)</f>
        <v>20498812</v>
      </c>
      <c r="J754" s="69">
        <f>SUMIF('Executive Pay Breakdown'!AA:AA,$B754,'Executive Pay Breakdown'!AC:AC)</f>
        <v>17354256</v>
      </c>
      <c r="K754" s="118"/>
      <c r="L754" s="212"/>
      <c r="M754" s="87"/>
      <c r="N754" s="230"/>
      <c r="O754" s="120" t="str">
        <f>MATCH(C754,'Key Findings'!B:B,0)</f>
        <v>#N/A</v>
      </c>
    </row>
    <row r="755" hidden="1">
      <c r="A755" s="81"/>
      <c r="B755" s="234" t="s">
        <v>937</v>
      </c>
      <c r="C755" s="87" t="s">
        <v>936</v>
      </c>
      <c r="D755" s="89">
        <f>SUMIF('Executive Pay Breakdown'!K:K,$B755,'Executive Pay Breakdown'!M:M)+SUMIF('Executive Pay Breakdown'!O:O,$B755,'Executive Pay Breakdown'!Q:Q)+SUMIF('Executive Pay Breakdown'!S:S,$B755,'Executive Pay Breakdown'!U:U)+SUMIF('Executive Pay Breakdown'!W:W,$B755,'Executive Pay Breakdown'!Y:Y)+SUMIF('Executive Pay Breakdown'!AA:AA,$B755,'Executive Pay Breakdown'!AC:AC)</f>
        <v>59021897</v>
      </c>
      <c r="E755" s="109"/>
      <c r="F755" s="69">
        <f>SUMIF('Executive Pay Breakdown'!K:K,$B755,'Executive Pay Breakdown'!M:M)</f>
        <v>17716015</v>
      </c>
      <c r="G755" s="69">
        <f>SUMIF('Executive Pay Breakdown'!O:O,$B755,'Executive Pay Breakdown'!Q:Q)</f>
        <v>12263176</v>
      </c>
      <c r="H755" s="69">
        <f>SUMIF('Executive Pay Breakdown'!S:S,$B755,'Executive Pay Breakdown'!U:U)</f>
        <v>11606022</v>
      </c>
      <c r="I755" s="69">
        <f>SUMIF('Executive Pay Breakdown'!W:W,$B755,'Executive Pay Breakdown'!Y:Y)</f>
        <v>9477328</v>
      </c>
      <c r="J755" s="69">
        <f>SUMIF('Executive Pay Breakdown'!AA:AA,$B755,'Executive Pay Breakdown'!AC:AC)</f>
        <v>7959356</v>
      </c>
      <c r="K755" s="118"/>
      <c r="L755" s="212"/>
      <c r="M755" s="87"/>
      <c r="N755" s="230"/>
      <c r="O755" s="120" t="str">
        <f>MATCH(C755,'Key Findings'!B:B,0)</f>
        <v>#N/A</v>
      </c>
    </row>
    <row r="756" hidden="1">
      <c r="A756" s="81"/>
      <c r="B756" s="134" t="s">
        <v>938</v>
      </c>
      <c r="C756" s="87" t="s">
        <v>936</v>
      </c>
      <c r="D756" s="89">
        <f>SUMIF('Executive Pay Breakdown'!K:K,$B756,'Executive Pay Breakdown'!M:M)+SUMIF('Executive Pay Breakdown'!O:O,$B756,'Executive Pay Breakdown'!Q:Q)+SUMIF('Executive Pay Breakdown'!S:S,$B756,'Executive Pay Breakdown'!U:U)+SUMIF('Executive Pay Breakdown'!W:W,$B756,'Executive Pay Breakdown'!Y:Y)+SUMIF('Executive Pay Breakdown'!AA:AA,$B756,'Executive Pay Breakdown'!AC:AC)</f>
        <v>24868644</v>
      </c>
      <c r="E756" s="109"/>
      <c r="F756" s="69">
        <f>SUMIF('Executive Pay Breakdown'!K:K,$B756,'Executive Pay Breakdown'!M:M)</f>
        <v>6310868</v>
      </c>
      <c r="G756" s="69">
        <f>SUMIF('Executive Pay Breakdown'!O:O,$B756,'Executive Pay Breakdown'!Q:Q)</f>
        <v>5718164</v>
      </c>
      <c r="H756" s="69">
        <f>SUMIF('Executive Pay Breakdown'!S:S,$B756,'Executive Pay Breakdown'!U:U)</f>
        <v>6851057</v>
      </c>
      <c r="I756" s="69">
        <f>SUMIF('Executive Pay Breakdown'!W:W,$B756,'Executive Pay Breakdown'!Y:Y)</f>
        <v>5988555</v>
      </c>
      <c r="J756" s="69">
        <f>SUMIF('Executive Pay Breakdown'!AA:AA,$B756,'Executive Pay Breakdown'!AC:AC)</f>
        <v>0</v>
      </c>
      <c r="K756" s="118"/>
      <c r="L756" s="212"/>
      <c r="M756" s="87"/>
      <c r="N756" s="230"/>
      <c r="O756" s="120" t="str">
        <f>MATCH(C756,'Key Findings'!B:B,0)</f>
        <v>#N/A</v>
      </c>
    </row>
    <row r="757" hidden="1">
      <c r="A757" s="81"/>
      <c r="B757" s="234" t="s">
        <v>939</v>
      </c>
      <c r="C757" s="87" t="s">
        <v>936</v>
      </c>
      <c r="D757" s="89">
        <f>SUMIF('Executive Pay Breakdown'!K:K,$B757,'Executive Pay Breakdown'!M:M)+SUMIF('Executive Pay Breakdown'!O:O,$B757,'Executive Pay Breakdown'!Q:Q)+SUMIF('Executive Pay Breakdown'!S:S,$B757,'Executive Pay Breakdown'!U:U)+SUMIF('Executive Pay Breakdown'!W:W,$B757,'Executive Pay Breakdown'!Y:Y)+SUMIF('Executive Pay Breakdown'!AA:AA,$B757,'Executive Pay Breakdown'!AC:AC)</f>
        <v>23276453</v>
      </c>
      <c r="E757" s="109"/>
      <c r="F757" s="69">
        <f>SUMIF('Executive Pay Breakdown'!K:K,$B757,'Executive Pay Breakdown'!M:M)</f>
        <v>0</v>
      </c>
      <c r="G757" s="69">
        <f>SUMIF('Executive Pay Breakdown'!O:O,$B757,'Executive Pay Breakdown'!Q:Q)</f>
        <v>6194247</v>
      </c>
      <c r="H757" s="69">
        <f>SUMIF('Executive Pay Breakdown'!S:S,$B757,'Executive Pay Breakdown'!U:U)</f>
        <v>6407459</v>
      </c>
      <c r="I757" s="69">
        <f>SUMIF('Executive Pay Breakdown'!W:W,$B757,'Executive Pay Breakdown'!Y:Y)</f>
        <v>5697091</v>
      </c>
      <c r="J757" s="69">
        <f>SUMIF('Executive Pay Breakdown'!AA:AA,$B757,'Executive Pay Breakdown'!AC:AC)</f>
        <v>4977656</v>
      </c>
      <c r="K757" s="118"/>
      <c r="L757" s="212"/>
      <c r="M757" s="87"/>
      <c r="N757" s="87"/>
      <c r="O757" s="120" t="str">
        <f>MATCH(C757,'Key Findings'!B:B,0)</f>
        <v>#N/A</v>
      </c>
    </row>
    <row r="758" hidden="1">
      <c r="A758" s="81"/>
      <c r="B758" s="134" t="s">
        <v>940</v>
      </c>
      <c r="C758" s="87" t="s">
        <v>936</v>
      </c>
      <c r="D758" s="89">
        <f>SUMIF('Executive Pay Breakdown'!K:K,$B758,'Executive Pay Breakdown'!M:M)+SUMIF('Executive Pay Breakdown'!O:O,$B758,'Executive Pay Breakdown'!Q:Q)+SUMIF('Executive Pay Breakdown'!S:S,$B758,'Executive Pay Breakdown'!U:U)+SUMIF('Executive Pay Breakdown'!W:W,$B758,'Executive Pay Breakdown'!Y:Y)+SUMIF('Executive Pay Breakdown'!AA:AA,$B758,'Executive Pay Breakdown'!AC:AC)</f>
        <v>17484766</v>
      </c>
      <c r="E758" s="109"/>
      <c r="F758" s="69">
        <f>SUMIF('Executive Pay Breakdown'!K:K,$B758,'Executive Pay Breakdown'!M:M)</f>
        <v>0</v>
      </c>
      <c r="G758" s="69">
        <f>SUMIF('Executive Pay Breakdown'!O:O,$B758,'Executive Pay Breakdown'!Q:Q)</f>
        <v>6440866</v>
      </c>
      <c r="H758" s="69">
        <f>SUMIF('Executive Pay Breakdown'!S:S,$B758,'Executive Pay Breakdown'!U:U)</f>
        <v>6248679</v>
      </c>
      <c r="I758" s="69">
        <f>SUMIF('Executive Pay Breakdown'!W:W,$B758,'Executive Pay Breakdown'!Y:Y)</f>
        <v>0</v>
      </c>
      <c r="J758" s="69">
        <f>SUMIF('Executive Pay Breakdown'!AA:AA,$B758,'Executive Pay Breakdown'!AC:AC)</f>
        <v>4795221</v>
      </c>
      <c r="K758" s="118"/>
      <c r="L758" s="212"/>
      <c r="M758" s="87"/>
      <c r="N758" s="87"/>
      <c r="O758" s="120" t="str">
        <f>MATCH(C758,'Key Findings'!B:B,0)</f>
        <v>#N/A</v>
      </c>
    </row>
    <row r="759" hidden="1">
      <c r="A759" s="81"/>
      <c r="B759" s="134" t="s">
        <v>941</v>
      </c>
      <c r="C759" s="87" t="s">
        <v>936</v>
      </c>
      <c r="D759" s="89">
        <f>SUMIF('Executive Pay Breakdown'!K:K,$B759,'Executive Pay Breakdown'!M:M)+SUMIF('Executive Pay Breakdown'!O:O,$B759,'Executive Pay Breakdown'!Q:Q)+SUMIF('Executive Pay Breakdown'!S:S,$B759,'Executive Pay Breakdown'!U:U)+SUMIF('Executive Pay Breakdown'!W:W,$B759,'Executive Pay Breakdown'!Y:Y)+SUMIF('Executive Pay Breakdown'!AA:AA,$B759,'Executive Pay Breakdown'!AC:AC)</f>
        <v>13261746</v>
      </c>
      <c r="E759" s="109"/>
      <c r="F759" s="69">
        <f>SUMIF('Executive Pay Breakdown'!K:K,$B759,'Executive Pay Breakdown'!M:M)</f>
        <v>7038273</v>
      </c>
      <c r="G759" s="69">
        <f>SUMIF('Executive Pay Breakdown'!O:O,$B759,'Executive Pay Breakdown'!Q:Q)</f>
        <v>6223473</v>
      </c>
      <c r="H759" s="69">
        <f>SUMIF('Executive Pay Breakdown'!S:S,$B759,'Executive Pay Breakdown'!U:U)</f>
        <v>0</v>
      </c>
      <c r="I759" s="69">
        <f>SUMIF('Executive Pay Breakdown'!W:W,$B759,'Executive Pay Breakdown'!Y:Y)</f>
        <v>0</v>
      </c>
      <c r="J759" s="69">
        <f>SUMIF('Executive Pay Breakdown'!AA:AA,$B759,'Executive Pay Breakdown'!AC:AC)</f>
        <v>0</v>
      </c>
      <c r="K759" s="118"/>
      <c r="L759" s="212"/>
      <c r="M759" s="212"/>
      <c r="N759" s="230"/>
      <c r="O759" s="120" t="str">
        <f>MATCH(C759,'Key Findings'!B:B,0)</f>
        <v>#N/A</v>
      </c>
    </row>
    <row r="760" hidden="1">
      <c r="A760" s="81"/>
      <c r="B760" s="134" t="s">
        <v>942</v>
      </c>
      <c r="C760" s="87" t="s">
        <v>936</v>
      </c>
      <c r="D760" s="89">
        <f>SUMIF('Executive Pay Breakdown'!K:K,$B760,'Executive Pay Breakdown'!M:M)+SUMIF('Executive Pay Breakdown'!O:O,$B760,'Executive Pay Breakdown'!Q:Q)+SUMIF('Executive Pay Breakdown'!S:S,$B760,'Executive Pay Breakdown'!U:U)+SUMIF('Executive Pay Breakdown'!W:W,$B760,'Executive Pay Breakdown'!Y:Y)+SUMIF('Executive Pay Breakdown'!AA:AA,$B760,'Executive Pay Breakdown'!AC:AC)</f>
        <v>8362296</v>
      </c>
      <c r="E760" s="109"/>
      <c r="F760" s="69">
        <f>SUMIF('Executive Pay Breakdown'!K:K,$B760,'Executive Pay Breakdown'!M:M)</f>
        <v>6064181</v>
      </c>
      <c r="G760" s="69">
        <f>SUMIF('Executive Pay Breakdown'!O:O,$B760,'Executive Pay Breakdown'!Q:Q)</f>
        <v>2298115</v>
      </c>
      <c r="H760" s="69">
        <f>SUMIF('Executive Pay Breakdown'!S:S,$B760,'Executive Pay Breakdown'!U:U)</f>
        <v>0</v>
      </c>
      <c r="I760" s="69">
        <f>SUMIF('Executive Pay Breakdown'!W:W,$B760,'Executive Pay Breakdown'!Y:Y)</f>
        <v>0</v>
      </c>
      <c r="J760" s="69">
        <f>SUMIF('Executive Pay Breakdown'!AA:AA,$B760,'Executive Pay Breakdown'!AC:AC)</f>
        <v>0</v>
      </c>
      <c r="K760" s="118"/>
      <c r="L760" s="212"/>
      <c r="M760" s="212"/>
      <c r="N760" s="230"/>
      <c r="O760" s="120" t="str">
        <f>MATCH(C760,'Key Findings'!B:B,0)</f>
        <v>#N/A</v>
      </c>
    </row>
    <row r="761" hidden="1">
      <c r="A761" s="81"/>
      <c r="B761" s="134" t="s">
        <v>943</v>
      </c>
      <c r="C761" s="87" t="s">
        <v>936</v>
      </c>
      <c r="D761" s="89">
        <f>SUMIF('Executive Pay Breakdown'!K:K,$B761,'Executive Pay Breakdown'!M:M)+SUMIF('Executive Pay Breakdown'!O:O,$B761,'Executive Pay Breakdown'!Q:Q)+SUMIF('Executive Pay Breakdown'!S:S,$B761,'Executive Pay Breakdown'!U:U)+SUMIF('Executive Pay Breakdown'!W:W,$B761,'Executive Pay Breakdown'!Y:Y)+SUMIF('Executive Pay Breakdown'!AA:AA,$B761,'Executive Pay Breakdown'!AC:AC)</f>
        <v>8348748</v>
      </c>
      <c r="E761" s="109"/>
      <c r="F761" s="69">
        <f>SUMIF('Executive Pay Breakdown'!K:K,$B761,'Executive Pay Breakdown'!M:M)</f>
        <v>8348748</v>
      </c>
      <c r="G761" s="69">
        <f>SUMIF('Executive Pay Breakdown'!O:O,$B761,'Executive Pay Breakdown'!Q:Q)</f>
        <v>0</v>
      </c>
      <c r="H761" s="69">
        <f>SUMIF('Executive Pay Breakdown'!S:S,$B761,'Executive Pay Breakdown'!U:U)</f>
        <v>0</v>
      </c>
      <c r="I761" s="69">
        <f>SUMIF('Executive Pay Breakdown'!W:W,$B761,'Executive Pay Breakdown'!Y:Y)</f>
        <v>0</v>
      </c>
      <c r="J761" s="69">
        <f>SUMIF('Executive Pay Breakdown'!AA:AA,$B761,'Executive Pay Breakdown'!AC:AC)</f>
        <v>0</v>
      </c>
      <c r="K761" s="118"/>
      <c r="L761" s="212"/>
      <c r="M761" s="87"/>
      <c r="N761" s="230"/>
      <c r="O761" s="120" t="str">
        <f>MATCH(C761,'Key Findings'!B:B,0)</f>
        <v>#N/A</v>
      </c>
    </row>
    <row r="762" hidden="1">
      <c r="A762" s="81"/>
      <c r="B762" s="134" t="s">
        <v>944</v>
      </c>
      <c r="C762" s="87" t="s">
        <v>936</v>
      </c>
      <c r="D762" s="89">
        <f>SUMIF('Executive Pay Breakdown'!K:K,$B762,'Executive Pay Breakdown'!M:M)+SUMIF('Executive Pay Breakdown'!O:O,$B762,'Executive Pay Breakdown'!Q:Q)+SUMIF('Executive Pay Breakdown'!S:S,$B762,'Executive Pay Breakdown'!U:U)+SUMIF('Executive Pay Breakdown'!W:W,$B762,'Executive Pay Breakdown'!Y:Y)+SUMIF('Executive Pay Breakdown'!AA:AA,$B762,'Executive Pay Breakdown'!AC:AC)</f>
        <v>6156645</v>
      </c>
      <c r="E762" s="109"/>
      <c r="F762" s="69">
        <f>SUMIF('Executive Pay Breakdown'!K:K,$B762,'Executive Pay Breakdown'!M:M)</f>
        <v>6156645</v>
      </c>
      <c r="G762" s="69">
        <f>SUMIF('Executive Pay Breakdown'!O:O,$B762,'Executive Pay Breakdown'!Q:Q)</f>
        <v>0</v>
      </c>
      <c r="H762" s="69">
        <f>SUMIF('Executive Pay Breakdown'!S:S,$B762,'Executive Pay Breakdown'!U:U)</f>
        <v>0</v>
      </c>
      <c r="I762" s="69">
        <f>SUMIF('Executive Pay Breakdown'!W:W,$B762,'Executive Pay Breakdown'!Y:Y)</f>
        <v>0</v>
      </c>
      <c r="J762" s="69">
        <f>SUMIF('Executive Pay Breakdown'!AA:AA,$B762,'Executive Pay Breakdown'!AC:AC)</f>
        <v>0</v>
      </c>
      <c r="K762" s="118"/>
      <c r="L762" s="212"/>
      <c r="M762" s="87"/>
      <c r="N762" s="230"/>
      <c r="O762" s="120" t="str">
        <f>MATCH(C762,'Key Findings'!B:B,0)</f>
        <v>#N/A</v>
      </c>
    </row>
    <row r="763" hidden="1">
      <c r="A763" s="62"/>
      <c r="B763" s="143" t="s">
        <v>945</v>
      </c>
      <c r="C763" s="87" t="s">
        <v>936</v>
      </c>
      <c r="D763" s="89">
        <f>SUMIF('Executive Pay Breakdown'!K:K,$B763,'Executive Pay Breakdown'!M:M)+SUMIF('Executive Pay Breakdown'!O:O,$B763,'Executive Pay Breakdown'!Q:Q)+SUMIF('Executive Pay Breakdown'!S:S,$B763,'Executive Pay Breakdown'!U:U)+SUMIF('Executive Pay Breakdown'!W:W,$B763,'Executive Pay Breakdown'!Y:Y)+SUMIF('Executive Pay Breakdown'!AA:AA,$B763,'Executive Pay Breakdown'!AC:AC)</f>
        <v>6001459</v>
      </c>
      <c r="E763" s="109"/>
      <c r="F763" s="69">
        <f>SUMIF('Executive Pay Breakdown'!K:K,$B763,'Executive Pay Breakdown'!M:M)</f>
        <v>0</v>
      </c>
      <c r="G763" s="69">
        <f>SUMIF('Executive Pay Breakdown'!O:O,$B763,'Executive Pay Breakdown'!Q:Q)</f>
        <v>0</v>
      </c>
      <c r="H763" s="69">
        <f>SUMIF('Executive Pay Breakdown'!S:S,$B763,'Executive Pay Breakdown'!U:U)</f>
        <v>0</v>
      </c>
      <c r="I763" s="69">
        <f>SUMIF('Executive Pay Breakdown'!W:W,$B763,'Executive Pay Breakdown'!Y:Y)</f>
        <v>0</v>
      </c>
      <c r="J763" s="69">
        <f>SUMIF('Executive Pay Breakdown'!AA:AA,$B763,'Executive Pay Breakdown'!AC:AC)</f>
        <v>6001459</v>
      </c>
      <c r="K763" s="118"/>
      <c r="L763" s="212"/>
      <c r="M763" s="87"/>
      <c r="N763" s="87"/>
      <c r="O763" s="120" t="str">
        <f>MATCH(C763,'Key Findings'!B:B,0)</f>
        <v>#N/A</v>
      </c>
    </row>
    <row r="764" hidden="1">
      <c r="A764" s="81"/>
      <c r="B764" s="134" t="s">
        <v>946</v>
      </c>
      <c r="C764" s="87" t="s">
        <v>936</v>
      </c>
      <c r="D764" s="89">
        <f>SUMIF('Executive Pay Breakdown'!K:K,$B764,'Executive Pay Breakdown'!M:M)+SUMIF('Executive Pay Breakdown'!O:O,$B764,'Executive Pay Breakdown'!Q:Q)+SUMIF('Executive Pay Breakdown'!S:S,$B764,'Executive Pay Breakdown'!U:U)+SUMIF('Executive Pay Breakdown'!W:W,$B764,'Executive Pay Breakdown'!Y:Y)+SUMIF('Executive Pay Breakdown'!AA:AA,$B764,'Executive Pay Breakdown'!AC:AC)</f>
        <v>5428022</v>
      </c>
      <c r="E764" s="109"/>
      <c r="F764" s="69">
        <f>SUMIF('Executive Pay Breakdown'!K:K,$B764,'Executive Pay Breakdown'!M:M)</f>
        <v>0</v>
      </c>
      <c r="G764" s="69">
        <f>SUMIF('Executive Pay Breakdown'!O:O,$B764,'Executive Pay Breakdown'!Q:Q)</f>
        <v>0</v>
      </c>
      <c r="H764" s="69">
        <f>SUMIF('Executive Pay Breakdown'!S:S,$B764,'Executive Pay Breakdown'!U:U)</f>
        <v>0</v>
      </c>
      <c r="I764" s="69">
        <f>SUMIF('Executive Pay Breakdown'!W:W,$B764,'Executive Pay Breakdown'!Y:Y)</f>
        <v>5428022</v>
      </c>
      <c r="J764" s="69">
        <f>SUMIF('Executive Pay Breakdown'!AA:AA,$B764,'Executive Pay Breakdown'!AC:AC)</f>
        <v>0</v>
      </c>
      <c r="K764" s="118"/>
      <c r="L764" s="212"/>
      <c r="M764" s="87"/>
      <c r="N764" s="87"/>
      <c r="O764" s="120" t="str">
        <f>MATCH(C764,'Key Findings'!B:B,0)</f>
        <v>#N/A</v>
      </c>
    </row>
    <row r="765" hidden="1">
      <c r="A765" s="62"/>
      <c r="B765" s="127" t="s">
        <v>947</v>
      </c>
      <c r="C765" s="87" t="s">
        <v>948</v>
      </c>
      <c r="D765" s="89">
        <f>SUMIF('Executive Pay Breakdown'!K:K,$B765,'Executive Pay Breakdown'!M:M)+SUMIF('Executive Pay Breakdown'!O:O,$B765,'Executive Pay Breakdown'!Q:Q)+SUMIF('Executive Pay Breakdown'!S:S,$B765,'Executive Pay Breakdown'!U:U)+SUMIF('Executive Pay Breakdown'!W:W,$B765,'Executive Pay Breakdown'!Y:Y)+SUMIF('Executive Pay Breakdown'!AA:AA,$B765,'Executive Pay Breakdown'!AC:AC)</f>
        <v>85070917</v>
      </c>
      <c r="E765" s="109"/>
      <c r="F765" s="69">
        <f>SUMIF('Executive Pay Breakdown'!K:K,$B765,'Executive Pay Breakdown'!M:M)</f>
        <v>19473490</v>
      </c>
      <c r="G765" s="69">
        <f>SUMIF('Executive Pay Breakdown'!O:O,$B765,'Executive Pay Breakdown'!Q:Q)</f>
        <v>17506270</v>
      </c>
      <c r="H765" s="69">
        <f>SUMIF('Executive Pay Breakdown'!S:S,$B765,'Executive Pay Breakdown'!U:U)</f>
        <v>15879053</v>
      </c>
      <c r="I765" s="69">
        <f>SUMIF('Executive Pay Breakdown'!W:W,$B765,'Executive Pay Breakdown'!Y:Y)</f>
        <v>16535810</v>
      </c>
      <c r="J765" s="69">
        <f>SUMIF('Executive Pay Breakdown'!AA:AA,$B765,'Executive Pay Breakdown'!AC:AC)</f>
        <v>15676294</v>
      </c>
      <c r="K765" s="118"/>
      <c r="L765" s="212"/>
      <c r="M765" s="87"/>
      <c r="N765" s="230"/>
      <c r="O765" s="120" t="str">
        <f>MATCH(C765,'Key Findings'!B:B,0)</f>
        <v>#N/A</v>
      </c>
    </row>
    <row r="766" hidden="1">
      <c r="A766" s="62"/>
      <c r="B766" s="127" t="s">
        <v>949</v>
      </c>
      <c r="C766" s="87" t="s">
        <v>948</v>
      </c>
      <c r="D766" s="89">
        <f>SUMIF('Executive Pay Breakdown'!K:K,$B766,'Executive Pay Breakdown'!M:M)+SUMIF('Executive Pay Breakdown'!O:O,$B766,'Executive Pay Breakdown'!Q:Q)+SUMIF('Executive Pay Breakdown'!S:S,$B766,'Executive Pay Breakdown'!U:U)+SUMIF('Executive Pay Breakdown'!W:W,$B766,'Executive Pay Breakdown'!Y:Y)+SUMIF('Executive Pay Breakdown'!AA:AA,$B766,'Executive Pay Breakdown'!AC:AC)</f>
        <v>57165336</v>
      </c>
      <c r="E766" s="109"/>
      <c r="F766" s="69">
        <f>SUMIF('Executive Pay Breakdown'!K:K,$B766,'Executive Pay Breakdown'!M:M)</f>
        <v>21225369</v>
      </c>
      <c r="G766" s="69">
        <f>SUMIF('Executive Pay Breakdown'!O:O,$B766,'Executive Pay Breakdown'!Q:Q)</f>
        <v>9972905</v>
      </c>
      <c r="H766" s="69">
        <f>SUMIF('Executive Pay Breakdown'!S:S,$B766,'Executive Pay Breakdown'!U:U)</f>
        <v>8427581</v>
      </c>
      <c r="I766" s="69">
        <f>SUMIF('Executive Pay Breakdown'!W:W,$B766,'Executive Pay Breakdown'!Y:Y)</f>
        <v>8893740</v>
      </c>
      <c r="J766" s="69">
        <f>SUMIF('Executive Pay Breakdown'!AA:AA,$B766,'Executive Pay Breakdown'!AC:AC)</f>
        <v>8645741</v>
      </c>
      <c r="K766" s="118"/>
      <c r="L766" s="212"/>
      <c r="M766" s="87"/>
      <c r="N766" s="87"/>
      <c r="O766" s="120" t="str">
        <f>MATCH(C766,'Key Findings'!B:B,0)</f>
        <v>#N/A</v>
      </c>
    </row>
    <row r="767" hidden="1">
      <c r="A767" s="62"/>
      <c r="B767" s="127" t="s">
        <v>950</v>
      </c>
      <c r="C767" s="87" t="s">
        <v>948</v>
      </c>
      <c r="D767" s="89">
        <f>SUMIF('Executive Pay Breakdown'!K:K,$B767,'Executive Pay Breakdown'!M:M)+SUMIF('Executive Pay Breakdown'!O:O,$B767,'Executive Pay Breakdown'!Q:Q)+SUMIF('Executive Pay Breakdown'!S:S,$B767,'Executive Pay Breakdown'!U:U)+SUMIF('Executive Pay Breakdown'!W:W,$B767,'Executive Pay Breakdown'!Y:Y)+SUMIF('Executive Pay Breakdown'!AA:AA,$B767,'Executive Pay Breakdown'!AC:AC)</f>
        <v>56929519</v>
      </c>
      <c r="E767" s="109"/>
      <c r="F767" s="69">
        <f>SUMIF('Executive Pay Breakdown'!K:K,$B767,'Executive Pay Breakdown'!M:M)</f>
        <v>20053911</v>
      </c>
      <c r="G767" s="69">
        <f>SUMIF('Executive Pay Breakdown'!O:O,$B767,'Executive Pay Breakdown'!Q:Q)</f>
        <v>9813729</v>
      </c>
      <c r="H767" s="69">
        <f>SUMIF('Executive Pay Breakdown'!S:S,$B767,'Executive Pay Breakdown'!U:U)</f>
        <v>8643245</v>
      </c>
      <c r="I767" s="69">
        <f>SUMIF('Executive Pay Breakdown'!W:W,$B767,'Executive Pay Breakdown'!Y:Y)</f>
        <v>9142075</v>
      </c>
      <c r="J767" s="69">
        <f>SUMIF('Executive Pay Breakdown'!AA:AA,$B767,'Executive Pay Breakdown'!AC:AC)</f>
        <v>9276559</v>
      </c>
      <c r="K767" s="118"/>
      <c r="L767" s="212"/>
      <c r="M767" s="87"/>
      <c r="N767" s="230"/>
      <c r="O767" s="120" t="str">
        <f>MATCH(C767,'Key Findings'!B:B,0)</f>
        <v>#N/A</v>
      </c>
    </row>
    <row r="768" hidden="1">
      <c r="A768" s="62"/>
      <c r="B768" s="127" t="s">
        <v>951</v>
      </c>
      <c r="C768" s="87" t="s">
        <v>948</v>
      </c>
      <c r="D768" s="89">
        <f>SUMIF('Executive Pay Breakdown'!K:K,$B768,'Executive Pay Breakdown'!M:M)+SUMIF('Executive Pay Breakdown'!O:O,$B768,'Executive Pay Breakdown'!Q:Q)+SUMIF('Executive Pay Breakdown'!S:S,$B768,'Executive Pay Breakdown'!U:U)+SUMIF('Executive Pay Breakdown'!W:W,$B768,'Executive Pay Breakdown'!Y:Y)+SUMIF('Executive Pay Breakdown'!AA:AA,$B768,'Executive Pay Breakdown'!AC:AC)</f>
        <v>33801564</v>
      </c>
      <c r="E768" s="109"/>
      <c r="F768" s="69">
        <f>SUMIF('Executive Pay Breakdown'!K:K,$B768,'Executive Pay Breakdown'!M:M)</f>
        <v>11615100</v>
      </c>
      <c r="G768" s="69">
        <f>SUMIF('Executive Pay Breakdown'!O:O,$B768,'Executive Pay Breakdown'!Q:Q)</f>
        <v>6290878</v>
      </c>
      <c r="H768" s="69">
        <f>SUMIF('Executive Pay Breakdown'!S:S,$B768,'Executive Pay Breakdown'!U:U)</f>
        <v>5480048</v>
      </c>
      <c r="I768" s="69">
        <f>SUMIF('Executive Pay Breakdown'!W:W,$B768,'Executive Pay Breakdown'!Y:Y)</f>
        <v>5508119</v>
      </c>
      <c r="J768" s="69">
        <f>SUMIF('Executive Pay Breakdown'!AA:AA,$B768,'Executive Pay Breakdown'!AC:AC)</f>
        <v>4907419</v>
      </c>
      <c r="K768" s="118"/>
      <c r="L768" s="212"/>
      <c r="M768" s="87"/>
      <c r="N768" s="230"/>
      <c r="O768" s="120" t="str">
        <f>MATCH(C768,'Key Findings'!B:B,0)</f>
        <v>#N/A</v>
      </c>
    </row>
    <row r="769" hidden="1">
      <c r="A769" s="62"/>
      <c r="B769" s="127" t="s">
        <v>952</v>
      </c>
      <c r="C769" s="87" t="s">
        <v>948</v>
      </c>
      <c r="D769" s="89">
        <f>SUMIF('Executive Pay Breakdown'!K:K,$B769,'Executive Pay Breakdown'!M:M)+SUMIF('Executive Pay Breakdown'!O:O,$B769,'Executive Pay Breakdown'!Q:Q)+SUMIF('Executive Pay Breakdown'!S:S,$B769,'Executive Pay Breakdown'!U:U)+SUMIF('Executive Pay Breakdown'!W:W,$B769,'Executive Pay Breakdown'!Y:Y)+SUMIF('Executive Pay Breakdown'!AA:AA,$B769,'Executive Pay Breakdown'!AC:AC)</f>
        <v>19943876</v>
      </c>
      <c r="E769" s="109"/>
      <c r="F769" s="69">
        <f>SUMIF('Executive Pay Breakdown'!K:K,$B769,'Executive Pay Breakdown'!M:M)</f>
        <v>4494608</v>
      </c>
      <c r="G769" s="69">
        <f>SUMIF('Executive Pay Breakdown'!O:O,$B769,'Executive Pay Breakdown'!Q:Q)</f>
        <v>5683803</v>
      </c>
      <c r="H769" s="69">
        <f>SUMIF('Executive Pay Breakdown'!S:S,$B769,'Executive Pay Breakdown'!U:U)</f>
        <v>5009693</v>
      </c>
      <c r="I769" s="69">
        <f>SUMIF('Executive Pay Breakdown'!W:W,$B769,'Executive Pay Breakdown'!Y:Y)</f>
        <v>4755772</v>
      </c>
      <c r="J769" s="69">
        <f>SUMIF('Executive Pay Breakdown'!AA:AA,$B769,'Executive Pay Breakdown'!AC:AC)</f>
        <v>0</v>
      </c>
      <c r="K769" s="118"/>
      <c r="L769" s="212"/>
      <c r="M769" s="87"/>
      <c r="N769" s="230"/>
      <c r="O769" s="120" t="str">
        <f>MATCH(C769,'Key Findings'!B:B,0)</f>
        <v>#N/A</v>
      </c>
    </row>
    <row r="770" hidden="1">
      <c r="A770" s="62"/>
      <c r="B770" s="127" t="s">
        <v>953</v>
      </c>
      <c r="C770" s="87" t="s">
        <v>948</v>
      </c>
      <c r="D770" s="89">
        <f>SUMIF('Executive Pay Breakdown'!K:K,$B770,'Executive Pay Breakdown'!M:M)+SUMIF('Executive Pay Breakdown'!O:O,$B770,'Executive Pay Breakdown'!Q:Q)+SUMIF('Executive Pay Breakdown'!S:S,$B770,'Executive Pay Breakdown'!U:U)+SUMIF('Executive Pay Breakdown'!W:W,$B770,'Executive Pay Breakdown'!Y:Y)+SUMIF('Executive Pay Breakdown'!AA:AA,$B770,'Executive Pay Breakdown'!AC:AC)</f>
        <v>4287374</v>
      </c>
      <c r="E770" s="109"/>
      <c r="F770" s="69">
        <f>SUMIF('Executive Pay Breakdown'!K:K,$B770,'Executive Pay Breakdown'!M:M)</f>
        <v>0</v>
      </c>
      <c r="G770" s="69">
        <f>SUMIF('Executive Pay Breakdown'!O:O,$B770,'Executive Pay Breakdown'!Q:Q)</f>
        <v>0</v>
      </c>
      <c r="H770" s="69">
        <f>SUMIF('Executive Pay Breakdown'!S:S,$B770,'Executive Pay Breakdown'!U:U)</f>
        <v>0</v>
      </c>
      <c r="I770" s="69">
        <f>SUMIF('Executive Pay Breakdown'!W:W,$B770,'Executive Pay Breakdown'!Y:Y)</f>
        <v>0</v>
      </c>
      <c r="J770" s="69">
        <f>SUMIF('Executive Pay Breakdown'!AA:AA,$B770,'Executive Pay Breakdown'!AC:AC)</f>
        <v>4287374</v>
      </c>
      <c r="K770" s="118"/>
      <c r="L770" s="212"/>
      <c r="M770" s="87"/>
      <c r="N770" s="87"/>
      <c r="O770" s="120" t="str">
        <f>MATCH(C770,'Key Findings'!B:B,0)</f>
        <v>#N/A</v>
      </c>
    </row>
    <row r="771" hidden="1">
      <c r="A771" s="62"/>
      <c r="B771" s="127" t="s">
        <v>954</v>
      </c>
      <c r="C771" s="87" t="s">
        <v>948</v>
      </c>
      <c r="D771" s="89">
        <f>SUMIF('Executive Pay Breakdown'!K:K,$B771,'Executive Pay Breakdown'!M:M)+SUMIF('Executive Pay Breakdown'!O:O,$B771,'Executive Pay Breakdown'!Q:Q)+SUMIF('Executive Pay Breakdown'!S:S,$B771,'Executive Pay Breakdown'!U:U)+SUMIF('Executive Pay Breakdown'!W:W,$B771,'Executive Pay Breakdown'!Y:Y)+SUMIF('Executive Pay Breakdown'!AA:AA,$B771,'Executive Pay Breakdown'!AC:AC)</f>
        <v>4160831</v>
      </c>
      <c r="E771" s="109"/>
      <c r="F771" s="69">
        <f>SUMIF('Executive Pay Breakdown'!K:K,$B771,'Executive Pay Breakdown'!M:M)</f>
        <v>4160831</v>
      </c>
      <c r="G771" s="69">
        <f>SUMIF('Executive Pay Breakdown'!O:O,$B771,'Executive Pay Breakdown'!Q:Q)</f>
        <v>0</v>
      </c>
      <c r="H771" s="69">
        <f>SUMIF('Executive Pay Breakdown'!S:S,$B771,'Executive Pay Breakdown'!U:U)</f>
        <v>0</v>
      </c>
      <c r="I771" s="69">
        <f>SUMIF('Executive Pay Breakdown'!W:W,$B771,'Executive Pay Breakdown'!Y:Y)</f>
        <v>0</v>
      </c>
      <c r="J771" s="69">
        <f>SUMIF('Executive Pay Breakdown'!AA:AA,$B771,'Executive Pay Breakdown'!AC:AC)</f>
        <v>0</v>
      </c>
      <c r="K771" s="118"/>
      <c r="L771" s="212"/>
      <c r="M771" s="87"/>
      <c r="N771" s="230"/>
      <c r="O771" s="120" t="str">
        <f>MATCH(C771,'Key Findings'!B:B,0)</f>
        <v>#N/A</v>
      </c>
    </row>
    <row r="772" hidden="1">
      <c r="A772" s="81"/>
      <c r="B772" s="134" t="s">
        <v>955</v>
      </c>
      <c r="C772" s="87" t="s">
        <v>956</v>
      </c>
      <c r="D772" s="89">
        <f>SUMIF('Executive Pay Breakdown'!K:K,$B772,'Executive Pay Breakdown'!M:M)+SUMIF('Executive Pay Breakdown'!O:O,$B772,'Executive Pay Breakdown'!Q:Q)+SUMIF('Executive Pay Breakdown'!S:S,$B772,'Executive Pay Breakdown'!U:U)+SUMIF('Executive Pay Breakdown'!W:W,$B772,'Executive Pay Breakdown'!Y:Y)+SUMIF('Executive Pay Breakdown'!AA:AA,$B772,'Executive Pay Breakdown'!AC:AC)</f>
        <v>103080030</v>
      </c>
      <c r="E772" s="109"/>
      <c r="F772" s="69">
        <f>SUMIF('Executive Pay Breakdown'!K:K,$B772,'Executive Pay Breakdown'!M:M)</f>
        <v>28388228</v>
      </c>
      <c r="G772" s="69">
        <f>SUMIF('Executive Pay Breakdown'!O:O,$B772,'Executive Pay Breakdown'!Q:Q)</f>
        <v>25506607</v>
      </c>
      <c r="H772" s="69">
        <f>SUMIF('Executive Pay Breakdown'!S:S,$B772,'Executive Pay Breakdown'!U:U)</f>
        <v>21486982</v>
      </c>
      <c r="I772" s="69">
        <f>SUMIF('Executive Pay Breakdown'!W:W,$B772,'Executive Pay Breakdown'!Y:Y)</f>
        <v>16870817</v>
      </c>
      <c r="J772" s="69">
        <f>SUMIF('Executive Pay Breakdown'!AA:AA,$B772,'Executive Pay Breakdown'!AC:AC)</f>
        <v>10827396</v>
      </c>
      <c r="K772" s="118"/>
      <c r="L772" s="212"/>
      <c r="M772" s="87"/>
      <c r="N772" s="87"/>
      <c r="O772" s="120" t="str">
        <f>MATCH(C772,'Key Findings'!B:B,0)</f>
        <v>#N/A</v>
      </c>
    </row>
    <row r="773" hidden="1">
      <c r="A773" s="81"/>
      <c r="B773" s="87" t="s">
        <v>957</v>
      </c>
      <c r="C773" s="87" t="s">
        <v>956</v>
      </c>
      <c r="D773" s="89">
        <f>SUMIF('Executive Pay Breakdown'!K:K,$B773,'Executive Pay Breakdown'!M:M)+SUMIF('Executive Pay Breakdown'!O:O,$B773,'Executive Pay Breakdown'!Q:Q)+SUMIF('Executive Pay Breakdown'!S:S,$B773,'Executive Pay Breakdown'!U:U)+SUMIF('Executive Pay Breakdown'!W:W,$B773,'Executive Pay Breakdown'!Y:Y)+SUMIF('Executive Pay Breakdown'!AA:AA,$B773,'Executive Pay Breakdown'!AC:AC)</f>
        <v>59413840</v>
      </c>
      <c r="E773" s="109"/>
      <c r="F773" s="69">
        <f>SUMIF('Executive Pay Breakdown'!K:K,$B773,'Executive Pay Breakdown'!M:M)</f>
        <v>13395304</v>
      </c>
      <c r="G773" s="69">
        <f>SUMIF('Executive Pay Breakdown'!O:O,$B773,'Executive Pay Breakdown'!Q:Q)</f>
        <v>13204365</v>
      </c>
      <c r="H773" s="69">
        <f>SUMIF('Executive Pay Breakdown'!S:S,$B773,'Executive Pay Breakdown'!U:U)</f>
        <v>12380088</v>
      </c>
      <c r="I773" s="69">
        <f>SUMIF('Executive Pay Breakdown'!W:W,$B773,'Executive Pay Breakdown'!Y:Y)</f>
        <v>11292017</v>
      </c>
      <c r="J773" s="69">
        <f>SUMIF('Executive Pay Breakdown'!AA:AA,$B773,'Executive Pay Breakdown'!AC:AC)</f>
        <v>9142066</v>
      </c>
      <c r="K773" s="118"/>
      <c r="L773" s="212"/>
      <c r="M773" s="87"/>
      <c r="N773" s="230"/>
      <c r="O773" s="120" t="str">
        <f>MATCH(C773,'Key Findings'!B:B,0)</f>
        <v>#N/A</v>
      </c>
    </row>
    <row r="774" hidden="1">
      <c r="A774" s="81"/>
      <c r="B774" s="134" t="s">
        <v>958</v>
      </c>
      <c r="C774" s="87" t="s">
        <v>956</v>
      </c>
      <c r="D774" s="89">
        <f>SUMIF('Executive Pay Breakdown'!K:K,$B774,'Executive Pay Breakdown'!M:M)+SUMIF('Executive Pay Breakdown'!O:O,$B774,'Executive Pay Breakdown'!Q:Q)+SUMIF('Executive Pay Breakdown'!S:S,$B774,'Executive Pay Breakdown'!U:U)+SUMIF('Executive Pay Breakdown'!W:W,$B774,'Executive Pay Breakdown'!Y:Y)+SUMIF('Executive Pay Breakdown'!AA:AA,$B774,'Executive Pay Breakdown'!AC:AC)</f>
        <v>38192490</v>
      </c>
      <c r="E774" s="109"/>
      <c r="F774" s="69">
        <f>SUMIF('Executive Pay Breakdown'!K:K,$B774,'Executive Pay Breakdown'!M:M)</f>
        <v>9384058</v>
      </c>
      <c r="G774" s="69">
        <f>SUMIF('Executive Pay Breakdown'!O:O,$B774,'Executive Pay Breakdown'!Q:Q)</f>
        <v>8475770</v>
      </c>
      <c r="H774" s="69">
        <f>SUMIF('Executive Pay Breakdown'!S:S,$B774,'Executive Pay Breakdown'!U:U)</f>
        <v>8049614</v>
      </c>
      <c r="I774" s="69">
        <f>SUMIF('Executive Pay Breakdown'!W:W,$B774,'Executive Pay Breakdown'!Y:Y)</f>
        <v>6132014</v>
      </c>
      <c r="J774" s="69">
        <f>SUMIF('Executive Pay Breakdown'!AA:AA,$B774,'Executive Pay Breakdown'!AC:AC)</f>
        <v>6151034</v>
      </c>
      <c r="K774" s="118"/>
      <c r="L774" s="212"/>
      <c r="M774" s="87"/>
      <c r="N774" s="230"/>
      <c r="O774" s="120" t="str">
        <f>MATCH(C774,'Key Findings'!B:B,0)</f>
        <v>#N/A</v>
      </c>
    </row>
    <row r="775" hidden="1">
      <c r="A775" s="81"/>
      <c r="B775" s="134" t="s">
        <v>959</v>
      </c>
      <c r="C775" s="87" t="s">
        <v>956</v>
      </c>
      <c r="D775" s="89">
        <f>SUMIF('Executive Pay Breakdown'!K:K,$B775,'Executive Pay Breakdown'!M:M)+SUMIF('Executive Pay Breakdown'!O:O,$B775,'Executive Pay Breakdown'!Q:Q)+SUMIF('Executive Pay Breakdown'!S:S,$B775,'Executive Pay Breakdown'!U:U)+SUMIF('Executive Pay Breakdown'!W:W,$B775,'Executive Pay Breakdown'!Y:Y)+SUMIF('Executive Pay Breakdown'!AA:AA,$B775,'Executive Pay Breakdown'!AC:AC)</f>
        <v>30668827</v>
      </c>
      <c r="E775" s="109"/>
      <c r="F775" s="69">
        <f>SUMIF('Executive Pay Breakdown'!K:K,$B775,'Executive Pay Breakdown'!M:M)</f>
        <v>6748506</v>
      </c>
      <c r="G775" s="69">
        <f>SUMIF('Executive Pay Breakdown'!O:O,$B775,'Executive Pay Breakdown'!Q:Q)</f>
        <v>8390706</v>
      </c>
      <c r="H775" s="69">
        <f>SUMIF('Executive Pay Breakdown'!S:S,$B775,'Executive Pay Breakdown'!U:U)</f>
        <v>8692878</v>
      </c>
      <c r="I775" s="69">
        <f>SUMIF('Executive Pay Breakdown'!W:W,$B775,'Executive Pay Breakdown'!Y:Y)</f>
        <v>6836737</v>
      </c>
      <c r="J775" s="69">
        <f>SUMIF('Executive Pay Breakdown'!AA:AA,$B775,'Executive Pay Breakdown'!AC:AC)</f>
        <v>0</v>
      </c>
      <c r="K775" s="118"/>
      <c r="L775" s="212"/>
      <c r="M775" s="87"/>
      <c r="N775" s="230"/>
      <c r="O775" s="120" t="str">
        <f>MATCH(C775,'Key Findings'!B:B,0)</f>
        <v>#N/A</v>
      </c>
    </row>
    <row r="776" hidden="1">
      <c r="A776" s="81"/>
      <c r="B776" s="87" t="s">
        <v>960</v>
      </c>
      <c r="C776" s="87" t="s">
        <v>956</v>
      </c>
      <c r="D776" s="89">
        <f>SUMIF('Executive Pay Breakdown'!K:K,$B776,'Executive Pay Breakdown'!M:M)+SUMIF('Executive Pay Breakdown'!O:O,$B776,'Executive Pay Breakdown'!Q:Q)+SUMIF('Executive Pay Breakdown'!S:S,$B776,'Executive Pay Breakdown'!U:U)+SUMIF('Executive Pay Breakdown'!W:W,$B776,'Executive Pay Breakdown'!Y:Y)+SUMIF('Executive Pay Breakdown'!AA:AA,$B776,'Executive Pay Breakdown'!AC:AC)</f>
        <v>24491117</v>
      </c>
      <c r="E776" s="109"/>
      <c r="F776" s="69">
        <f>SUMIF('Executive Pay Breakdown'!K:K,$B776,'Executive Pay Breakdown'!M:M)</f>
        <v>0</v>
      </c>
      <c r="G776" s="69">
        <f>SUMIF('Executive Pay Breakdown'!O:O,$B776,'Executive Pay Breakdown'!Q:Q)</f>
        <v>0</v>
      </c>
      <c r="H776" s="69">
        <f>SUMIF('Executive Pay Breakdown'!S:S,$B776,'Executive Pay Breakdown'!U:U)</f>
        <v>0</v>
      </c>
      <c r="I776" s="69">
        <f>SUMIF('Executive Pay Breakdown'!W:W,$B776,'Executive Pay Breakdown'!Y:Y)</f>
        <v>0</v>
      </c>
      <c r="J776" s="69">
        <f>SUMIF('Executive Pay Breakdown'!AA:AA,$B776,'Executive Pay Breakdown'!AC:AC)</f>
        <v>24491117</v>
      </c>
      <c r="K776" s="118"/>
      <c r="L776" s="212"/>
      <c r="M776" s="87"/>
      <c r="N776" s="230"/>
      <c r="O776" s="120" t="str">
        <f>MATCH(C776,'Key Findings'!B:B,0)</f>
        <v>#N/A</v>
      </c>
    </row>
    <row r="777" hidden="1">
      <c r="A777" s="81"/>
      <c r="B777" s="87" t="s">
        <v>961</v>
      </c>
      <c r="C777" s="87" t="s">
        <v>956</v>
      </c>
      <c r="D777" s="89">
        <f>SUMIF('Executive Pay Breakdown'!K:K,$B777,'Executive Pay Breakdown'!M:M)+SUMIF('Executive Pay Breakdown'!O:O,$B777,'Executive Pay Breakdown'!Q:Q)+SUMIF('Executive Pay Breakdown'!S:S,$B777,'Executive Pay Breakdown'!U:U)+SUMIF('Executive Pay Breakdown'!W:W,$B777,'Executive Pay Breakdown'!Y:Y)+SUMIF('Executive Pay Breakdown'!AA:AA,$B777,'Executive Pay Breakdown'!AC:AC)</f>
        <v>15803815</v>
      </c>
      <c r="E777" s="109"/>
      <c r="F777" s="69">
        <f>SUMIF('Executive Pay Breakdown'!K:K,$B777,'Executive Pay Breakdown'!M:M)</f>
        <v>8793825</v>
      </c>
      <c r="G777" s="69">
        <f>SUMIF('Executive Pay Breakdown'!O:O,$B777,'Executive Pay Breakdown'!Q:Q)</f>
        <v>0</v>
      </c>
      <c r="H777" s="69">
        <f>SUMIF('Executive Pay Breakdown'!S:S,$B777,'Executive Pay Breakdown'!U:U)</f>
        <v>0</v>
      </c>
      <c r="I777" s="69">
        <f>SUMIF('Executive Pay Breakdown'!W:W,$B777,'Executive Pay Breakdown'!Y:Y)</f>
        <v>0</v>
      </c>
      <c r="J777" s="69">
        <f>SUMIF('Executive Pay Breakdown'!AA:AA,$B777,'Executive Pay Breakdown'!AC:AC)</f>
        <v>7009990</v>
      </c>
      <c r="K777" s="118"/>
      <c r="L777" s="212"/>
      <c r="M777" s="87"/>
      <c r="N777" s="230"/>
      <c r="O777" s="120" t="str">
        <f>MATCH(C777,'Key Findings'!B:B,0)</f>
        <v>#N/A</v>
      </c>
    </row>
    <row r="778" hidden="1">
      <c r="A778" s="81"/>
      <c r="B778" s="134" t="s">
        <v>962</v>
      </c>
      <c r="C778" s="87" t="s">
        <v>956</v>
      </c>
      <c r="D778" s="89">
        <f>SUMIF('Executive Pay Breakdown'!K:K,$B778,'Executive Pay Breakdown'!M:M)+SUMIF('Executive Pay Breakdown'!O:O,$B778,'Executive Pay Breakdown'!Q:Q)+SUMIF('Executive Pay Breakdown'!S:S,$B778,'Executive Pay Breakdown'!U:U)+SUMIF('Executive Pay Breakdown'!W:W,$B778,'Executive Pay Breakdown'!Y:Y)+SUMIF('Executive Pay Breakdown'!AA:AA,$B778,'Executive Pay Breakdown'!AC:AC)</f>
        <v>14427111</v>
      </c>
      <c r="E778" s="109"/>
      <c r="F778" s="69">
        <f>SUMIF('Executive Pay Breakdown'!K:K,$B778,'Executive Pay Breakdown'!M:M)</f>
        <v>8112490</v>
      </c>
      <c r="G778" s="69">
        <f>SUMIF('Executive Pay Breakdown'!O:O,$B778,'Executive Pay Breakdown'!Q:Q)</f>
        <v>6314621</v>
      </c>
      <c r="H778" s="69">
        <f>SUMIF('Executive Pay Breakdown'!S:S,$B778,'Executive Pay Breakdown'!U:U)</f>
        <v>0</v>
      </c>
      <c r="I778" s="69">
        <f>SUMIF('Executive Pay Breakdown'!W:W,$B778,'Executive Pay Breakdown'!Y:Y)</f>
        <v>0</v>
      </c>
      <c r="J778" s="69">
        <f>SUMIF('Executive Pay Breakdown'!AA:AA,$B778,'Executive Pay Breakdown'!AC:AC)</f>
        <v>0</v>
      </c>
      <c r="K778" s="118"/>
      <c r="L778" s="212"/>
      <c r="M778" s="212"/>
      <c r="N778" s="230"/>
      <c r="O778" s="120" t="str">
        <f>MATCH(C778,'Key Findings'!B:B,0)</f>
        <v>#N/A</v>
      </c>
    </row>
    <row r="779" hidden="1">
      <c r="A779" s="81"/>
      <c r="B779" s="87" t="s">
        <v>963</v>
      </c>
      <c r="C779" s="87" t="s">
        <v>956</v>
      </c>
      <c r="D779" s="89">
        <f>SUMIF('Executive Pay Breakdown'!K:K,$B779,'Executive Pay Breakdown'!M:M)+SUMIF('Executive Pay Breakdown'!O:O,$B779,'Executive Pay Breakdown'!Q:Q)+SUMIF('Executive Pay Breakdown'!S:S,$B779,'Executive Pay Breakdown'!U:U)+SUMIF('Executive Pay Breakdown'!W:W,$B779,'Executive Pay Breakdown'!Y:Y)+SUMIF('Executive Pay Breakdown'!AA:AA,$B779,'Executive Pay Breakdown'!AC:AC)</f>
        <v>7868118</v>
      </c>
      <c r="E779" s="109"/>
      <c r="F779" s="69">
        <f>SUMIF('Executive Pay Breakdown'!K:K,$B779,'Executive Pay Breakdown'!M:M)</f>
        <v>0</v>
      </c>
      <c r="G779" s="69">
        <f>SUMIF('Executive Pay Breakdown'!O:O,$B779,'Executive Pay Breakdown'!Q:Q)</f>
        <v>0</v>
      </c>
      <c r="H779" s="69">
        <f>SUMIF('Executive Pay Breakdown'!S:S,$B779,'Executive Pay Breakdown'!U:U)</f>
        <v>0</v>
      </c>
      <c r="I779" s="69">
        <f>SUMIF('Executive Pay Breakdown'!W:W,$B779,'Executive Pay Breakdown'!Y:Y)</f>
        <v>0</v>
      </c>
      <c r="J779" s="69">
        <f>SUMIF('Executive Pay Breakdown'!AA:AA,$B779,'Executive Pay Breakdown'!AC:AC)</f>
        <v>7868118</v>
      </c>
      <c r="K779" s="118"/>
      <c r="L779" s="212"/>
      <c r="M779" s="87"/>
      <c r="N779" s="87"/>
      <c r="O779" s="120" t="str">
        <f>MATCH(C779,'Key Findings'!B:B,0)</f>
        <v>#N/A</v>
      </c>
    </row>
    <row r="780" hidden="1">
      <c r="A780" s="81"/>
      <c r="B780" s="134" t="s">
        <v>964</v>
      </c>
      <c r="C780" s="87" t="s">
        <v>956</v>
      </c>
      <c r="D780" s="89">
        <f>SUMIF('Executive Pay Breakdown'!K:K,$B780,'Executive Pay Breakdown'!M:M)+SUMIF('Executive Pay Breakdown'!O:O,$B780,'Executive Pay Breakdown'!Q:Q)+SUMIF('Executive Pay Breakdown'!S:S,$B780,'Executive Pay Breakdown'!U:U)+SUMIF('Executive Pay Breakdown'!W:W,$B780,'Executive Pay Breakdown'!Y:Y)+SUMIF('Executive Pay Breakdown'!AA:AA,$B780,'Executive Pay Breakdown'!AC:AC)</f>
        <v>5763361</v>
      </c>
      <c r="E780" s="109"/>
      <c r="F780" s="69">
        <f>SUMIF('Executive Pay Breakdown'!K:K,$B780,'Executive Pay Breakdown'!M:M)</f>
        <v>0</v>
      </c>
      <c r="G780" s="69">
        <f>SUMIF('Executive Pay Breakdown'!O:O,$B780,'Executive Pay Breakdown'!Q:Q)</f>
        <v>0</v>
      </c>
      <c r="H780" s="69">
        <f>SUMIF('Executive Pay Breakdown'!S:S,$B780,'Executive Pay Breakdown'!U:U)</f>
        <v>0</v>
      </c>
      <c r="I780" s="69">
        <f>SUMIF('Executive Pay Breakdown'!W:W,$B780,'Executive Pay Breakdown'!Y:Y)</f>
        <v>5763361</v>
      </c>
      <c r="J780" s="69">
        <f>SUMIF('Executive Pay Breakdown'!AA:AA,$B780,'Executive Pay Breakdown'!AC:AC)</f>
        <v>0</v>
      </c>
      <c r="K780" s="118"/>
      <c r="L780" s="212"/>
      <c r="M780" s="87"/>
      <c r="N780" s="87"/>
      <c r="O780" s="120" t="str">
        <f>MATCH(C780,'Key Findings'!B:B,0)</f>
        <v>#N/A</v>
      </c>
    </row>
    <row r="781" hidden="1">
      <c r="A781" s="81"/>
      <c r="B781" s="134" t="s">
        <v>965</v>
      </c>
      <c r="C781" s="87" t="s">
        <v>956</v>
      </c>
      <c r="D781" s="89">
        <f>SUMIF('Executive Pay Breakdown'!K:K,$B781,'Executive Pay Breakdown'!M:M)+SUMIF('Executive Pay Breakdown'!O:O,$B781,'Executive Pay Breakdown'!Q:Q)+SUMIF('Executive Pay Breakdown'!S:S,$B781,'Executive Pay Breakdown'!U:U)+SUMIF('Executive Pay Breakdown'!W:W,$B781,'Executive Pay Breakdown'!Y:Y)+SUMIF('Executive Pay Breakdown'!AA:AA,$B781,'Executive Pay Breakdown'!AC:AC)</f>
        <v>4714703</v>
      </c>
      <c r="E781" s="109"/>
      <c r="F781" s="69">
        <f>SUMIF('Executive Pay Breakdown'!K:K,$B781,'Executive Pay Breakdown'!M:M)</f>
        <v>0</v>
      </c>
      <c r="G781" s="69">
        <f>SUMIF('Executive Pay Breakdown'!O:O,$B781,'Executive Pay Breakdown'!Q:Q)</f>
        <v>0</v>
      </c>
      <c r="H781" s="69">
        <f>SUMIF('Executive Pay Breakdown'!S:S,$B781,'Executive Pay Breakdown'!U:U)</f>
        <v>4714703</v>
      </c>
      <c r="I781" s="69">
        <f>SUMIF('Executive Pay Breakdown'!W:W,$B781,'Executive Pay Breakdown'!Y:Y)</f>
        <v>0</v>
      </c>
      <c r="J781" s="69">
        <f>SUMIF('Executive Pay Breakdown'!AA:AA,$B781,'Executive Pay Breakdown'!AC:AC)</f>
        <v>0</v>
      </c>
      <c r="K781" s="118"/>
      <c r="L781" s="212"/>
      <c r="M781" s="87"/>
      <c r="N781" s="87"/>
      <c r="O781" s="120" t="str">
        <f>MATCH(C781,'Key Findings'!B:B,0)</f>
        <v>#N/A</v>
      </c>
    </row>
    <row r="782" hidden="1">
      <c r="A782" s="62"/>
      <c r="B782" s="127" t="s">
        <v>966</v>
      </c>
      <c r="C782" s="87" t="s">
        <v>967</v>
      </c>
      <c r="D782" s="89">
        <f>SUMIF('Executive Pay Breakdown'!K:K,$B782,'Executive Pay Breakdown'!M:M)+SUMIF('Executive Pay Breakdown'!O:O,$B782,'Executive Pay Breakdown'!Q:Q)+SUMIF('Executive Pay Breakdown'!S:S,$B782,'Executive Pay Breakdown'!U:U)+SUMIF('Executive Pay Breakdown'!W:W,$B782,'Executive Pay Breakdown'!Y:Y)+SUMIF('Executive Pay Breakdown'!AA:AA,$B782,'Executive Pay Breakdown'!AC:AC)</f>
        <v>89546104</v>
      </c>
      <c r="E782" s="109"/>
      <c r="F782" s="69">
        <f>SUMIF('Executive Pay Breakdown'!K:K,$B782,'Executive Pay Breakdown'!M:M)</f>
        <v>21356924</v>
      </c>
      <c r="G782" s="69">
        <f>SUMIF('Executive Pay Breakdown'!O:O,$B782,'Executive Pay Breakdown'!Q:Q)</f>
        <v>23737661</v>
      </c>
      <c r="H782" s="69">
        <f>SUMIF('Executive Pay Breakdown'!S:S,$B782,'Executive Pay Breakdown'!U:U)</f>
        <v>19316401</v>
      </c>
      <c r="I782" s="69">
        <f>SUMIF('Executive Pay Breakdown'!W:W,$B782,'Executive Pay Breakdown'!Y:Y)</f>
        <v>11492280</v>
      </c>
      <c r="J782" s="69">
        <f>SUMIF('Executive Pay Breakdown'!AA:AA,$B782,'Executive Pay Breakdown'!AC:AC)</f>
        <v>13642838</v>
      </c>
      <c r="K782" s="118"/>
      <c r="L782" s="212"/>
      <c r="M782" s="87"/>
      <c r="N782" s="87"/>
      <c r="O782" s="120" t="str">
        <f>MATCH(C782,'Key Findings'!B:B,0)</f>
        <v>#N/A</v>
      </c>
    </row>
    <row r="783" hidden="1">
      <c r="A783" s="62"/>
      <c r="B783" s="127" t="s">
        <v>968</v>
      </c>
      <c r="C783" s="87" t="s">
        <v>967</v>
      </c>
      <c r="D783" s="89">
        <f>SUMIF('Executive Pay Breakdown'!K:K,$B783,'Executive Pay Breakdown'!M:M)+SUMIF('Executive Pay Breakdown'!O:O,$B783,'Executive Pay Breakdown'!Q:Q)+SUMIF('Executive Pay Breakdown'!S:S,$B783,'Executive Pay Breakdown'!U:U)+SUMIF('Executive Pay Breakdown'!W:W,$B783,'Executive Pay Breakdown'!Y:Y)+SUMIF('Executive Pay Breakdown'!AA:AA,$B783,'Executive Pay Breakdown'!AC:AC)</f>
        <v>39629614</v>
      </c>
      <c r="E783" s="109"/>
      <c r="F783" s="69">
        <f>SUMIF('Executive Pay Breakdown'!K:K,$B783,'Executive Pay Breakdown'!M:M)</f>
        <v>10627698</v>
      </c>
      <c r="G783" s="69">
        <f>SUMIF('Executive Pay Breakdown'!O:O,$B783,'Executive Pay Breakdown'!Q:Q)</f>
        <v>10172718</v>
      </c>
      <c r="H783" s="69">
        <f>SUMIF('Executive Pay Breakdown'!S:S,$B783,'Executive Pay Breakdown'!U:U)</f>
        <v>8507927</v>
      </c>
      <c r="I783" s="69">
        <f>SUMIF('Executive Pay Breakdown'!W:W,$B783,'Executive Pay Breakdown'!Y:Y)</f>
        <v>4856705</v>
      </c>
      <c r="J783" s="69">
        <f>SUMIF('Executive Pay Breakdown'!AA:AA,$B783,'Executive Pay Breakdown'!AC:AC)</f>
        <v>5464566</v>
      </c>
      <c r="K783" s="118"/>
      <c r="L783" s="212"/>
      <c r="M783" s="87"/>
      <c r="N783" s="230"/>
      <c r="O783" s="120" t="str">
        <f>MATCH(C783,'Key Findings'!B:B,0)</f>
        <v>#N/A</v>
      </c>
    </row>
    <row r="784" hidden="1">
      <c r="A784" s="62"/>
      <c r="B784" s="127" t="s">
        <v>969</v>
      </c>
      <c r="C784" s="87" t="s">
        <v>967</v>
      </c>
      <c r="D784" s="89">
        <f>SUMIF('Executive Pay Breakdown'!K:K,$B784,'Executive Pay Breakdown'!M:M)+SUMIF('Executive Pay Breakdown'!O:O,$B784,'Executive Pay Breakdown'!Q:Q)+SUMIF('Executive Pay Breakdown'!S:S,$B784,'Executive Pay Breakdown'!U:U)+SUMIF('Executive Pay Breakdown'!W:W,$B784,'Executive Pay Breakdown'!Y:Y)+SUMIF('Executive Pay Breakdown'!AA:AA,$B784,'Executive Pay Breakdown'!AC:AC)</f>
        <v>38222425</v>
      </c>
      <c r="E784" s="109"/>
      <c r="F784" s="69">
        <f>SUMIF('Executive Pay Breakdown'!K:K,$B784,'Executive Pay Breakdown'!M:M)</f>
        <v>10917228</v>
      </c>
      <c r="G784" s="69">
        <f>SUMIF('Executive Pay Breakdown'!O:O,$B784,'Executive Pay Breakdown'!Q:Q)</f>
        <v>9775927</v>
      </c>
      <c r="H784" s="69">
        <f>SUMIF('Executive Pay Breakdown'!S:S,$B784,'Executive Pay Breakdown'!U:U)</f>
        <v>8121042</v>
      </c>
      <c r="I784" s="69">
        <f>SUMIF('Executive Pay Breakdown'!W:W,$B784,'Executive Pay Breakdown'!Y:Y)</f>
        <v>4432840</v>
      </c>
      <c r="J784" s="69">
        <f>SUMIF('Executive Pay Breakdown'!AA:AA,$B784,'Executive Pay Breakdown'!AC:AC)</f>
        <v>4975388</v>
      </c>
      <c r="K784" s="118"/>
      <c r="L784" s="212"/>
      <c r="M784" s="87"/>
      <c r="N784" s="230"/>
      <c r="O784" s="120" t="str">
        <f>MATCH(C784,'Key Findings'!B:B,0)</f>
        <v>#N/A</v>
      </c>
    </row>
    <row r="785" hidden="1">
      <c r="A785" s="62"/>
      <c r="B785" s="127" t="s">
        <v>970</v>
      </c>
      <c r="C785" s="87" t="s">
        <v>967</v>
      </c>
      <c r="D785" s="89">
        <f>SUMIF('Executive Pay Breakdown'!K:K,$B785,'Executive Pay Breakdown'!M:M)+SUMIF('Executive Pay Breakdown'!O:O,$B785,'Executive Pay Breakdown'!Q:Q)+SUMIF('Executive Pay Breakdown'!S:S,$B785,'Executive Pay Breakdown'!U:U)+SUMIF('Executive Pay Breakdown'!W:W,$B785,'Executive Pay Breakdown'!Y:Y)+SUMIF('Executive Pay Breakdown'!AA:AA,$B785,'Executive Pay Breakdown'!AC:AC)</f>
        <v>31403948</v>
      </c>
      <c r="E785" s="109"/>
      <c r="F785" s="69">
        <f>SUMIF('Executive Pay Breakdown'!K:K,$B785,'Executive Pay Breakdown'!M:M)</f>
        <v>9115250</v>
      </c>
      <c r="G785" s="69">
        <f>SUMIF('Executive Pay Breakdown'!O:O,$B785,'Executive Pay Breakdown'!Q:Q)</f>
        <v>7851819</v>
      </c>
      <c r="H785" s="69">
        <f>SUMIF('Executive Pay Breakdown'!S:S,$B785,'Executive Pay Breakdown'!U:U)</f>
        <v>7109237</v>
      </c>
      <c r="I785" s="69">
        <f>SUMIF('Executive Pay Breakdown'!W:W,$B785,'Executive Pay Breakdown'!Y:Y)</f>
        <v>3457771</v>
      </c>
      <c r="J785" s="69">
        <f>SUMIF('Executive Pay Breakdown'!AA:AA,$B785,'Executive Pay Breakdown'!AC:AC)</f>
        <v>3869871</v>
      </c>
      <c r="K785" s="118"/>
      <c r="L785" s="212"/>
      <c r="M785" s="87"/>
      <c r="N785" s="230"/>
      <c r="O785" s="120" t="str">
        <f>MATCH(C785,'Key Findings'!B:B,0)</f>
        <v>#N/A</v>
      </c>
    </row>
    <row r="786" hidden="1">
      <c r="A786" s="62"/>
      <c r="B786" s="127" t="s">
        <v>971</v>
      </c>
      <c r="C786" s="87" t="s">
        <v>967</v>
      </c>
      <c r="D786" s="89">
        <f>SUMIF('Executive Pay Breakdown'!K:K,$B786,'Executive Pay Breakdown'!M:M)+SUMIF('Executive Pay Breakdown'!O:O,$B786,'Executive Pay Breakdown'!Q:Q)+SUMIF('Executive Pay Breakdown'!S:S,$B786,'Executive Pay Breakdown'!U:U)+SUMIF('Executive Pay Breakdown'!W:W,$B786,'Executive Pay Breakdown'!Y:Y)+SUMIF('Executive Pay Breakdown'!AA:AA,$B786,'Executive Pay Breakdown'!AC:AC)</f>
        <v>28831193</v>
      </c>
      <c r="E786" s="109"/>
      <c r="F786" s="69">
        <f>SUMIF('Executive Pay Breakdown'!K:K,$B786,'Executive Pay Breakdown'!M:M)</f>
        <v>9107174</v>
      </c>
      <c r="G786" s="69">
        <f>SUMIF('Executive Pay Breakdown'!O:O,$B786,'Executive Pay Breakdown'!Q:Q)</f>
        <v>7842743</v>
      </c>
      <c r="H786" s="69">
        <f>SUMIF('Executive Pay Breakdown'!S:S,$B786,'Executive Pay Breakdown'!U:U)</f>
        <v>5157864</v>
      </c>
      <c r="I786" s="69">
        <f>SUMIF('Executive Pay Breakdown'!W:W,$B786,'Executive Pay Breakdown'!Y:Y)</f>
        <v>2957388</v>
      </c>
      <c r="J786" s="69">
        <f>SUMIF('Executive Pay Breakdown'!AA:AA,$B786,'Executive Pay Breakdown'!AC:AC)</f>
        <v>3766024</v>
      </c>
      <c r="K786" s="118"/>
      <c r="L786" s="212"/>
      <c r="M786" s="87"/>
      <c r="N786" s="230"/>
      <c r="O786" s="120" t="str">
        <f>MATCH(C786,'Key Findings'!B:B,0)</f>
        <v>#N/A</v>
      </c>
    </row>
    <row r="787" hidden="1">
      <c r="A787" s="62"/>
      <c r="B787" s="127" t="s">
        <v>972</v>
      </c>
      <c r="C787" s="87" t="s">
        <v>973</v>
      </c>
      <c r="D787" s="89">
        <f>SUMIF('Executive Pay Breakdown'!K:K,$B787,'Executive Pay Breakdown'!M:M)+SUMIF('Executive Pay Breakdown'!O:O,$B787,'Executive Pay Breakdown'!Q:Q)+SUMIF('Executive Pay Breakdown'!S:S,$B787,'Executive Pay Breakdown'!U:U)+SUMIF('Executive Pay Breakdown'!W:W,$B787,'Executive Pay Breakdown'!Y:Y)+SUMIF('Executive Pay Breakdown'!AA:AA,$B787,'Executive Pay Breakdown'!AC:AC)</f>
        <v>51444691</v>
      </c>
      <c r="E787" s="109"/>
      <c r="F787" s="69">
        <f>SUMIF('Executive Pay Breakdown'!K:K,$B787,'Executive Pay Breakdown'!M:M)</f>
        <v>23073171</v>
      </c>
      <c r="G787" s="69">
        <f>SUMIF('Executive Pay Breakdown'!O:O,$B787,'Executive Pay Breakdown'!Q:Q)</f>
        <v>11618019</v>
      </c>
      <c r="H787" s="69">
        <f>SUMIF('Executive Pay Breakdown'!S:S,$B787,'Executive Pay Breakdown'!U:U)</f>
        <v>11265538</v>
      </c>
      <c r="I787" s="69">
        <f>SUMIF('Executive Pay Breakdown'!W:W,$B787,'Executive Pay Breakdown'!Y:Y)</f>
        <v>5487963</v>
      </c>
      <c r="J787" s="69">
        <f>SUMIF('Executive Pay Breakdown'!AA:AA,$B787,'Executive Pay Breakdown'!AC:AC)</f>
        <v>0</v>
      </c>
      <c r="K787" s="118"/>
      <c r="L787" s="212"/>
      <c r="M787" s="87"/>
      <c r="N787" s="87"/>
      <c r="O787" s="120" t="str">
        <f>MATCH(C787,'Key Findings'!B:B,0)</f>
        <v>#N/A</v>
      </c>
    </row>
    <row r="788" hidden="1">
      <c r="A788" s="62"/>
      <c r="B788" s="127" t="s">
        <v>974</v>
      </c>
      <c r="C788" s="87" t="s">
        <v>973</v>
      </c>
      <c r="D788" s="89">
        <f>SUMIF('Executive Pay Breakdown'!K:K,$B788,'Executive Pay Breakdown'!M:M)+SUMIF('Executive Pay Breakdown'!O:O,$B788,'Executive Pay Breakdown'!Q:Q)+SUMIF('Executive Pay Breakdown'!S:S,$B788,'Executive Pay Breakdown'!U:U)+SUMIF('Executive Pay Breakdown'!W:W,$B788,'Executive Pay Breakdown'!Y:Y)+SUMIF('Executive Pay Breakdown'!AA:AA,$B788,'Executive Pay Breakdown'!AC:AC)</f>
        <v>34659051</v>
      </c>
      <c r="E788" s="109"/>
      <c r="F788" s="69">
        <f>SUMIF('Executive Pay Breakdown'!K:K,$B788,'Executive Pay Breakdown'!M:M)</f>
        <v>0</v>
      </c>
      <c r="G788" s="69">
        <f>SUMIF('Executive Pay Breakdown'!O:O,$B788,'Executive Pay Breakdown'!Q:Q)</f>
        <v>0</v>
      </c>
      <c r="H788" s="69">
        <f>SUMIF('Executive Pay Breakdown'!S:S,$B788,'Executive Pay Breakdown'!U:U)</f>
        <v>0</v>
      </c>
      <c r="I788" s="69">
        <f>SUMIF('Executive Pay Breakdown'!W:W,$B788,'Executive Pay Breakdown'!Y:Y)</f>
        <v>19099582</v>
      </c>
      <c r="J788" s="69">
        <f>SUMIF('Executive Pay Breakdown'!AA:AA,$B788,'Executive Pay Breakdown'!AC:AC)</f>
        <v>15559469</v>
      </c>
      <c r="K788" s="118"/>
      <c r="L788" s="212"/>
      <c r="M788" s="87"/>
      <c r="N788" s="87"/>
      <c r="O788" s="120" t="str">
        <f>MATCH(C788,'Key Findings'!B:B,0)</f>
        <v>#N/A</v>
      </c>
    </row>
    <row r="789" hidden="1">
      <c r="A789" s="62"/>
      <c r="B789" s="127" t="s">
        <v>975</v>
      </c>
      <c r="C789" s="87" t="s">
        <v>973</v>
      </c>
      <c r="D789" s="89">
        <f>SUMIF('Executive Pay Breakdown'!K:K,$B789,'Executive Pay Breakdown'!M:M)+SUMIF('Executive Pay Breakdown'!O:O,$B789,'Executive Pay Breakdown'!Q:Q)+SUMIF('Executive Pay Breakdown'!S:S,$B789,'Executive Pay Breakdown'!U:U)+SUMIF('Executive Pay Breakdown'!W:W,$B789,'Executive Pay Breakdown'!Y:Y)+SUMIF('Executive Pay Breakdown'!AA:AA,$B789,'Executive Pay Breakdown'!AC:AC)</f>
        <v>31081003</v>
      </c>
      <c r="E789" s="109"/>
      <c r="F789" s="69">
        <f>SUMIF('Executive Pay Breakdown'!K:K,$B789,'Executive Pay Breakdown'!M:M)</f>
        <v>6267708</v>
      </c>
      <c r="G789" s="69">
        <f>SUMIF('Executive Pay Breakdown'!O:O,$B789,'Executive Pay Breakdown'!Q:Q)</f>
        <v>4972161</v>
      </c>
      <c r="H789" s="69">
        <f>SUMIF('Executive Pay Breakdown'!S:S,$B789,'Executive Pay Breakdown'!U:U)</f>
        <v>8263420</v>
      </c>
      <c r="I789" s="69">
        <f>SUMIF('Executive Pay Breakdown'!W:W,$B789,'Executive Pay Breakdown'!Y:Y)</f>
        <v>6145811</v>
      </c>
      <c r="J789" s="69">
        <f>SUMIF('Executive Pay Breakdown'!AA:AA,$B789,'Executive Pay Breakdown'!AC:AC)</f>
        <v>5431903</v>
      </c>
      <c r="K789" s="118"/>
      <c r="L789" s="212"/>
      <c r="M789" s="87"/>
      <c r="N789" s="230"/>
      <c r="O789" s="120" t="str">
        <f>MATCH(C789,'Key Findings'!B:B,0)</f>
        <v>#N/A</v>
      </c>
    </row>
    <row r="790" hidden="1">
      <c r="A790" s="62"/>
      <c r="B790" s="127" t="s">
        <v>976</v>
      </c>
      <c r="C790" s="87" t="s">
        <v>973</v>
      </c>
      <c r="D790" s="89">
        <f>SUMIF('Executive Pay Breakdown'!K:K,$B790,'Executive Pay Breakdown'!M:M)+SUMIF('Executive Pay Breakdown'!O:O,$B790,'Executive Pay Breakdown'!Q:Q)+SUMIF('Executive Pay Breakdown'!S:S,$B790,'Executive Pay Breakdown'!U:U)+SUMIF('Executive Pay Breakdown'!W:W,$B790,'Executive Pay Breakdown'!Y:Y)+SUMIF('Executive Pay Breakdown'!AA:AA,$B790,'Executive Pay Breakdown'!AC:AC)</f>
        <v>23973123</v>
      </c>
      <c r="E790" s="109"/>
      <c r="F790" s="69">
        <f>SUMIF('Executive Pay Breakdown'!K:K,$B790,'Executive Pay Breakdown'!M:M)</f>
        <v>7123625</v>
      </c>
      <c r="G790" s="69">
        <f>SUMIF('Executive Pay Breakdown'!O:O,$B790,'Executive Pay Breakdown'!Q:Q)</f>
        <v>4420154</v>
      </c>
      <c r="H790" s="69">
        <f>SUMIF('Executive Pay Breakdown'!S:S,$B790,'Executive Pay Breakdown'!U:U)</f>
        <v>6896298</v>
      </c>
      <c r="I790" s="69">
        <f>SUMIF('Executive Pay Breakdown'!W:W,$B790,'Executive Pay Breakdown'!Y:Y)</f>
        <v>5533046</v>
      </c>
      <c r="J790" s="69">
        <f>SUMIF('Executive Pay Breakdown'!AA:AA,$B790,'Executive Pay Breakdown'!AC:AC)</f>
        <v>0</v>
      </c>
      <c r="K790" s="118"/>
      <c r="L790" s="212"/>
      <c r="M790" s="87"/>
      <c r="N790" s="230"/>
      <c r="O790" s="120" t="str">
        <f>MATCH(C790,'Key Findings'!B:B,0)</f>
        <v>#N/A</v>
      </c>
    </row>
    <row r="791" hidden="1">
      <c r="A791" s="62"/>
      <c r="B791" s="127" t="s">
        <v>977</v>
      </c>
      <c r="C791" s="87" t="s">
        <v>973</v>
      </c>
      <c r="D791" s="89">
        <f>SUMIF('Executive Pay Breakdown'!K:K,$B791,'Executive Pay Breakdown'!M:M)+SUMIF('Executive Pay Breakdown'!O:O,$B791,'Executive Pay Breakdown'!Q:Q)+SUMIF('Executive Pay Breakdown'!S:S,$B791,'Executive Pay Breakdown'!U:U)+SUMIF('Executive Pay Breakdown'!W:W,$B791,'Executive Pay Breakdown'!Y:Y)+SUMIF('Executive Pay Breakdown'!AA:AA,$B791,'Executive Pay Breakdown'!AC:AC)</f>
        <v>18058860</v>
      </c>
      <c r="E791" s="109"/>
      <c r="F791" s="69">
        <f>SUMIF('Executive Pay Breakdown'!K:K,$B791,'Executive Pay Breakdown'!M:M)</f>
        <v>0</v>
      </c>
      <c r="G791" s="69">
        <f>SUMIF('Executive Pay Breakdown'!O:O,$B791,'Executive Pay Breakdown'!Q:Q)</f>
        <v>0</v>
      </c>
      <c r="H791" s="69">
        <f>SUMIF('Executive Pay Breakdown'!S:S,$B791,'Executive Pay Breakdown'!U:U)</f>
        <v>7385442</v>
      </c>
      <c r="I791" s="69">
        <f>SUMIF('Executive Pay Breakdown'!W:W,$B791,'Executive Pay Breakdown'!Y:Y)</f>
        <v>5812703</v>
      </c>
      <c r="J791" s="69">
        <f>SUMIF('Executive Pay Breakdown'!AA:AA,$B791,'Executive Pay Breakdown'!AC:AC)</f>
        <v>4860715</v>
      </c>
      <c r="K791" s="118"/>
      <c r="L791" s="212"/>
      <c r="M791" s="87"/>
      <c r="N791" s="87"/>
      <c r="O791" s="120" t="str">
        <f>MATCH(C791,'Key Findings'!B:B,0)</f>
        <v>#N/A</v>
      </c>
    </row>
    <row r="792" hidden="1">
      <c r="A792" s="62"/>
      <c r="B792" s="127" t="s">
        <v>978</v>
      </c>
      <c r="C792" s="87" t="s">
        <v>973</v>
      </c>
      <c r="D792" s="89">
        <f>SUMIF('Executive Pay Breakdown'!K:K,$B792,'Executive Pay Breakdown'!M:M)+SUMIF('Executive Pay Breakdown'!O:O,$B792,'Executive Pay Breakdown'!Q:Q)+SUMIF('Executive Pay Breakdown'!S:S,$B792,'Executive Pay Breakdown'!U:U)+SUMIF('Executive Pay Breakdown'!W:W,$B792,'Executive Pay Breakdown'!Y:Y)+SUMIF('Executive Pay Breakdown'!AA:AA,$B792,'Executive Pay Breakdown'!AC:AC)</f>
        <v>17430601</v>
      </c>
      <c r="E792" s="109"/>
      <c r="F792" s="69">
        <f>SUMIF('Executive Pay Breakdown'!K:K,$B792,'Executive Pay Breakdown'!M:M)</f>
        <v>0</v>
      </c>
      <c r="G792" s="69">
        <f>SUMIF('Executive Pay Breakdown'!O:O,$B792,'Executive Pay Breakdown'!Q:Q)</f>
        <v>5159629</v>
      </c>
      <c r="H792" s="69">
        <f>SUMIF('Executive Pay Breakdown'!S:S,$B792,'Executive Pay Breakdown'!U:U)</f>
        <v>6737926</v>
      </c>
      <c r="I792" s="69">
        <f>SUMIF('Executive Pay Breakdown'!W:W,$B792,'Executive Pay Breakdown'!Y:Y)</f>
        <v>5533046</v>
      </c>
      <c r="J792" s="69">
        <f>SUMIF('Executive Pay Breakdown'!AA:AA,$B792,'Executive Pay Breakdown'!AC:AC)</f>
        <v>0</v>
      </c>
      <c r="K792" s="118"/>
      <c r="L792" s="212"/>
      <c r="M792" s="87"/>
      <c r="N792" s="87"/>
      <c r="O792" s="120" t="str">
        <f>MATCH(C792,'Key Findings'!B:B,0)</f>
        <v>#N/A</v>
      </c>
    </row>
    <row r="793" hidden="1">
      <c r="A793" s="62"/>
      <c r="B793" s="127" t="s">
        <v>979</v>
      </c>
      <c r="C793" s="87" t="s">
        <v>973</v>
      </c>
      <c r="D793" s="89">
        <f>SUMIF('Executive Pay Breakdown'!K:K,$B793,'Executive Pay Breakdown'!M:M)+SUMIF('Executive Pay Breakdown'!O:O,$B793,'Executive Pay Breakdown'!Q:Q)+SUMIF('Executive Pay Breakdown'!S:S,$B793,'Executive Pay Breakdown'!U:U)+SUMIF('Executive Pay Breakdown'!W:W,$B793,'Executive Pay Breakdown'!Y:Y)+SUMIF('Executive Pay Breakdown'!AA:AA,$B793,'Executive Pay Breakdown'!AC:AC)</f>
        <v>17339075</v>
      </c>
      <c r="E793" s="109"/>
      <c r="F793" s="69">
        <f>SUMIF('Executive Pay Breakdown'!K:K,$B793,'Executive Pay Breakdown'!M:M)</f>
        <v>0</v>
      </c>
      <c r="G793" s="69">
        <f>SUMIF('Executive Pay Breakdown'!O:O,$B793,'Executive Pay Breakdown'!Q:Q)</f>
        <v>0</v>
      </c>
      <c r="H793" s="69">
        <f>SUMIF('Executive Pay Breakdown'!S:S,$B793,'Executive Pay Breakdown'!U:U)</f>
        <v>7198548</v>
      </c>
      <c r="I793" s="69">
        <f>SUMIF('Executive Pay Breakdown'!W:W,$B793,'Executive Pay Breakdown'!Y:Y)</f>
        <v>5566412</v>
      </c>
      <c r="J793" s="69">
        <f>SUMIF('Executive Pay Breakdown'!AA:AA,$B793,'Executive Pay Breakdown'!AC:AC)</f>
        <v>4574115</v>
      </c>
      <c r="K793" s="118"/>
      <c r="L793" s="212"/>
      <c r="M793" s="87"/>
      <c r="N793" s="87"/>
      <c r="O793" s="120" t="str">
        <f>MATCH(C793,'Key Findings'!B:B,0)</f>
        <v>#N/A</v>
      </c>
    </row>
    <row r="794" hidden="1">
      <c r="A794" s="62"/>
      <c r="B794" s="142" t="s">
        <v>980</v>
      </c>
      <c r="C794" s="87" t="s">
        <v>973</v>
      </c>
      <c r="D794" s="89">
        <f>SUMIF('Executive Pay Breakdown'!K:K,$B794,'Executive Pay Breakdown'!M:M)+SUMIF('Executive Pay Breakdown'!O:O,$B794,'Executive Pay Breakdown'!Q:Q)+SUMIF('Executive Pay Breakdown'!S:S,$B794,'Executive Pay Breakdown'!U:U)+SUMIF('Executive Pay Breakdown'!W:W,$B794,'Executive Pay Breakdown'!Y:Y)+SUMIF('Executive Pay Breakdown'!AA:AA,$B794,'Executive Pay Breakdown'!AC:AC)</f>
        <v>12506066</v>
      </c>
      <c r="E794" s="109"/>
      <c r="F794" s="69">
        <f>SUMIF('Executive Pay Breakdown'!K:K,$B794,'Executive Pay Breakdown'!M:M)</f>
        <v>0</v>
      </c>
      <c r="G794" s="69">
        <f>SUMIF('Executive Pay Breakdown'!O:O,$B794,'Executive Pay Breakdown'!Q:Q)</f>
        <v>0</v>
      </c>
      <c r="H794" s="69">
        <f>SUMIF('Executive Pay Breakdown'!S:S,$B794,'Executive Pay Breakdown'!U:U)</f>
        <v>0</v>
      </c>
      <c r="I794" s="69">
        <f>SUMIF('Executive Pay Breakdown'!W:W,$B794,'Executive Pay Breakdown'!Y:Y)</f>
        <v>7493158</v>
      </c>
      <c r="J794" s="69">
        <f>SUMIF('Executive Pay Breakdown'!AA:AA,$B794,'Executive Pay Breakdown'!AC:AC)</f>
        <v>5012908</v>
      </c>
      <c r="K794" s="118"/>
      <c r="L794" s="212"/>
      <c r="M794" s="87"/>
      <c r="N794" s="87"/>
      <c r="O794" s="120" t="str">
        <f>MATCH(C794,'Key Findings'!B:B,0)</f>
        <v>#N/A</v>
      </c>
    </row>
    <row r="795" hidden="1">
      <c r="A795" s="62"/>
      <c r="B795" s="127" t="s">
        <v>981</v>
      </c>
      <c r="C795" s="87" t="s">
        <v>973</v>
      </c>
      <c r="D795" s="89">
        <f>SUMIF('Executive Pay Breakdown'!K:K,$B795,'Executive Pay Breakdown'!M:M)+SUMIF('Executive Pay Breakdown'!O:O,$B795,'Executive Pay Breakdown'!Q:Q)+SUMIF('Executive Pay Breakdown'!S:S,$B795,'Executive Pay Breakdown'!U:U)+SUMIF('Executive Pay Breakdown'!W:W,$B795,'Executive Pay Breakdown'!Y:Y)+SUMIF('Executive Pay Breakdown'!AA:AA,$B795,'Executive Pay Breakdown'!AC:AC)</f>
        <v>7734204</v>
      </c>
      <c r="E795" s="109"/>
      <c r="F795" s="69">
        <f>SUMIF('Executive Pay Breakdown'!K:K,$B795,'Executive Pay Breakdown'!M:M)</f>
        <v>7734204</v>
      </c>
      <c r="G795" s="69">
        <f>SUMIF('Executive Pay Breakdown'!O:O,$B795,'Executive Pay Breakdown'!Q:Q)</f>
        <v>0</v>
      </c>
      <c r="H795" s="69">
        <f>SUMIF('Executive Pay Breakdown'!S:S,$B795,'Executive Pay Breakdown'!U:U)</f>
        <v>0</v>
      </c>
      <c r="I795" s="69">
        <f>SUMIF('Executive Pay Breakdown'!W:W,$B795,'Executive Pay Breakdown'!Y:Y)</f>
        <v>0</v>
      </c>
      <c r="J795" s="69">
        <f>SUMIF('Executive Pay Breakdown'!AA:AA,$B795,'Executive Pay Breakdown'!AC:AC)</f>
        <v>0</v>
      </c>
      <c r="K795" s="118"/>
      <c r="L795" s="212"/>
      <c r="M795" s="87"/>
      <c r="N795" s="230"/>
      <c r="O795" s="120" t="str">
        <f>MATCH(C795,'Key Findings'!B:B,0)</f>
        <v>#N/A</v>
      </c>
    </row>
    <row r="796" hidden="1">
      <c r="A796" s="62"/>
      <c r="B796" s="127" t="s">
        <v>982</v>
      </c>
      <c r="C796" s="87" t="s">
        <v>973</v>
      </c>
      <c r="D796" s="89">
        <f>SUMIF('Executive Pay Breakdown'!K:K,$B796,'Executive Pay Breakdown'!M:M)+SUMIF('Executive Pay Breakdown'!O:O,$B796,'Executive Pay Breakdown'!Q:Q)+SUMIF('Executive Pay Breakdown'!S:S,$B796,'Executive Pay Breakdown'!U:U)+SUMIF('Executive Pay Breakdown'!W:W,$B796,'Executive Pay Breakdown'!Y:Y)+SUMIF('Executive Pay Breakdown'!AA:AA,$B796,'Executive Pay Breakdown'!AC:AC)</f>
        <v>7191915</v>
      </c>
      <c r="E796" s="109"/>
      <c r="F796" s="69">
        <f>SUMIF('Executive Pay Breakdown'!K:K,$B796,'Executive Pay Breakdown'!M:M)</f>
        <v>7191915</v>
      </c>
      <c r="G796" s="69">
        <f>SUMIF('Executive Pay Breakdown'!O:O,$B796,'Executive Pay Breakdown'!Q:Q)</f>
        <v>0</v>
      </c>
      <c r="H796" s="69">
        <f>SUMIF('Executive Pay Breakdown'!S:S,$B796,'Executive Pay Breakdown'!U:U)</f>
        <v>0</v>
      </c>
      <c r="I796" s="69">
        <f>SUMIF('Executive Pay Breakdown'!W:W,$B796,'Executive Pay Breakdown'!Y:Y)</f>
        <v>0</v>
      </c>
      <c r="J796" s="69">
        <f>SUMIF('Executive Pay Breakdown'!AA:AA,$B796,'Executive Pay Breakdown'!AC:AC)</f>
        <v>0</v>
      </c>
      <c r="K796" s="118"/>
      <c r="L796" s="212"/>
      <c r="M796" s="87"/>
      <c r="N796" s="230"/>
      <c r="O796" s="120" t="str">
        <f>MATCH(C796,'Key Findings'!B:B,0)</f>
        <v>#N/A</v>
      </c>
    </row>
    <row r="797" hidden="1">
      <c r="A797" s="62"/>
      <c r="B797" s="127" t="s">
        <v>983</v>
      </c>
      <c r="C797" s="87" t="s">
        <v>973</v>
      </c>
      <c r="D797" s="89">
        <f>SUMIF('Executive Pay Breakdown'!K:K,$B797,'Executive Pay Breakdown'!M:M)+SUMIF('Executive Pay Breakdown'!O:O,$B797,'Executive Pay Breakdown'!Q:Q)+SUMIF('Executive Pay Breakdown'!S:S,$B797,'Executive Pay Breakdown'!U:U)+SUMIF('Executive Pay Breakdown'!W:W,$B797,'Executive Pay Breakdown'!Y:Y)+SUMIF('Executive Pay Breakdown'!AA:AA,$B797,'Executive Pay Breakdown'!AC:AC)</f>
        <v>7131890</v>
      </c>
      <c r="E797" s="109"/>
      <c r="F797" s="69">
        <f>SUMIF('Executive Pay Breakdown'!K:K,$B797,'Executive Pay Breakdown'!M:M)</f>
        <v>7131890</v>
      </c>
      <c r="G797" s="69">
        <f>SUMIF('Executive Pay Breakdown'!O:O,$B797,'Executive Pay Breakdown'!Q:Q)</f>
        <v>0</v>
      </c>
      <c r="H797" s="69">
        <f>SUMIF('Executive Pay Breakdown'!S:S,$B797,'Executive Pay Breakdown'!U:U)</f>
        <v>0</v>
      </c>
      <c r="I797" s="69">
        <f>SUMIF('Executive Pay Breakdown'!W:W,$B797,'Executive Pay Breakdown'!Y:Y)</f>
        <v>0</v>
      </c>
      <c r="J797" s="69">
        <f>SUMIF('Executive Pay Breakdown'!AA:AA,$B797,'Executive Pay Breakdown'!AC:AC)</f>
        <v>0</v>
      </c>
      <c r="K797" s="118"/>
      <c r="L797" s="212"/>
      <c r="M797" s="87"/>
      <c r="N797" s="230"/>
      <c r="O797" s="120" t="str">
        <f>MATCH(C797,'Key Findings'!B:B,0)</f>
        <v>#N/A</v>
      </c>
    </row>
    <row r="798" hidden="1">
      <c r="A798" s="62"/>
      <c r="B798" s="142" t="s">
        <v>984</v>
      </c>
      <c r="C798" s="87" t="s">
        <v>973</v>
      </c>
      <c r="D798" s="89">
        <f>SUMIF('Executive Pay Breakdown'!K:K,$B798,'Executive Pay Breakdown'!M:M)+SUMIF('Executive Pay Breakdown'!O:O,$B798,'Executive Pay Breakdown'!Q:Q)+SUMIF('Executive Pay Breakdown'!S:S,$B798,'Executive Pay Breakdown'!U:U)+SUMIF('Executive Pay Breakdown'!W:W,$B798,'Executive Pay Breakdown'!Y:Y)+SUMIF('Executive Pay Breakdown'!AA:AA,$B798,'Executive Pay Breakdown'!AC:AC)</f>
        <v>6435825</v>
      </c>
      <c r="E798" s="109"/>
      <c r="F798" s="69">
        <f>SUMIF('Executive Pay Breakdown'!K:K,$B798,'Executive Pay Breakdown'!M:M)</f>
        <v>0</v>
      </c>
      <c r="G798" s="69">
        <f>SUMIF('Executive Pay Breakdown'!O:O,$B798,'Executive Pay Breakdown'!Q:Q)</f>
        <v>6435825</v>
      </c>
      <c r="H798" s="69">
        <f>SUMIF('Executive Pay Breakdown'!S:S,$B798,'Executive Pay Breakdown'!U:U)</f>
        <v>0</v>
      </c>
      <c r="I798" s="69">
        <f>SUMIF('Executive Pay Breakdown'!W:W,$B798,'Executive Pay Breakdown'!Y:Y)</f>
        <v>0</v>
      </c>
      <c r="J798" s="69">
        <f>SUMIF('Executive Pay Breakdown'!AA:AA,$B798,'Executive Pay Breakdown'!AC:AC)</f>
        <v>0</v>
      </c>
      <c r="K798" s="118"/>
      <c r="L798" s="212"/>
      <c r="M798" s="212"/>
      <c r="N798" s="87"/>
      <c r="O798" s="120" t="str">
        <f>MATCH(C798,'Key Findings'!B:B,0)</f>
        <v>#N/A</v>
      </c>
    </row>
    <row r="799" hidden="1">
      <c r="A799" s="62"/>
      <c r="B799" s="127" t="s">
        <v>985</v>
      </c>
      <c r="C799" s="87" t="s">
        <v>973</v>
      </c>
      <c r="D799" s="89">
        <f>SUMIF('Executive Pay Breakdown'!K:K,$B799,'Executive Pay Breakdown'!M:M)+SUMIF('Executive Pay Breakdown'!O:O,$B799,'Executive Pay Breakdown'!Q:Q)+SUMIF('Executive Pay Breakdown'!S:S,$B799,'Executive Pay Breakdown'!U:U)+SUMIF('Executive Pay Breakdown'!W:W,$B799,'Executive Pay Breakdown'!Y:Y)+SUMIF('Executive Pay Breakdown'!AA:AA,$B799,'Executive Pay Breakdown'!AC:AC)</f>
        <v>6408100</v>
      </c>
      <c r="E799" s="109"/>
      <c r="F799" s="69">
        <f>SUMIF('Executive Pay Breakdown'!K:K,$B799,'Executive Pay Breakdown'!M:M)</f>
        <v>0</v>
      </c>
      <c r="G799" s="69">
        <f>SUMIF('Executive Pay Breakdown'!O:O,$B799,'Executive Pay Breakdown'!Q:Q)</f>
        <v>0</v>
      </c>
      <c r="H799" s="69">
        <f>SUMIF('Executive Pay Breakdown'!S:S,$B799,'Executive Pay Breakdown'!U:U)</f>
        <v>0</v>
      </c>
      <c r="I799" s="69">
        <f>SUMIF('Executive Pay Breakdown'!W:W,$B799,'Executive Pay Breakdown'!Y:Y)</f>
        <v>0</v>
      </c>
      <c r="J799" s="69">
        <f>SUMIF('Executive Pay Breakdown'!AA:AA,$B799,'Executive Pay Breakdown'!AC:AC)</f>
        <v>6408100</v>
      </c>
      <c r="K799" s="118"/>
      <c r="L799" s="212"/>
      <c r="M799" s="87"/>
      <c r="N799" s="87"/>
      <c r="O799" s="120" t="str">
        <f>MATCH(C799,'Key Findings'!B:B,0)</f>
        <v>#N/A</v>
      </c>
    </row>
    <row r="800" hidden="1">
      <c r="A800" s="62"/>
      <c r="B800" s="127" t="s">
        <v>986</v>
      </c>
      <c r="C800" s="87" t="s">
        <v>973</v>
      </c>
      <c r="D800" s="89">
        <f>SUMIF('Executive Pay Breakdown'!K:K,$B800,'Executive Pay Breakdown'!M:M)+SUMIF('Executive Pay Breakdown'!O:O,$B800,'Executive Pay Breakdown'!Q:Q)+SUMIF('Executive Pay Breakdown'!S:S,$B800,'Executive Pay Breakdown'!U:U)+SUMIF('Executive Pay Breakdown'!W:W,$B800,'Executive Pay Breakdown'!Y:Y)+SUMIF('Executive Pay Breakdown'!AA:AA,$B800,'Executive Pay Breakdown'!AC:AC)</f>
        <v>3544940</v>
      </c>
      <c r="E800" s="109"/>
      <c r="F800" s="69">
        <f>SUMIF('Executive Pay Breakdown'!K:K,$B800,'Executive Pay Breakdown'!M:M)</f>
        <v>3544940</v>
      </c>
      <c r="G800" s="69">
        <f>SUMIF('Executive Pay Breakdown'!O:O,$B800,'Executive Pay Breakdown'!Q:Q)</f>
        <v>0</v>
      </c>
      <c r="H800" s="69">
        <f>SUMIF('Executive Pay Breakdown'!S:S,$B800,'Executive Pay Breakdown'!U:U)</f>
        <v>0</v>
      </c>
      <c r="I800" s="69">
        <f>SUMIF('Executive Pay Breakdown'!W:W,$B800,'Executive Pay Breakdown'!Y:Y)</f>
        <v>0</v>
      </c>
      <c r="J800" s="69">
        <f>SUMIF('Executive Pay Breakdown'!AA:AA,$B800,'Executive Pay Breakdown'!AC:AC)</f>
        <v>0</v>
      </c>
      <c r="K800" s="118"/>
      <c r="L800" s="212"/>
      <c r="M800" s="87"/>
      <c r="N800" s="230"/>
      <c r="O800" s="120" t="str">
        <f>MATCH(C800,'Key Findings'!B:B,0)</f>
        <v>#N/A</v>
      </c>
    </row>
    <row r="801" hidden="1">
      <c r="A801" s="71"/>
      <c r="B801" s="124" t="s">
        <v>987</v>
      </c>
      <c r="C801" s="87" t="s">
        <v>988</v>
      </c>
      <c r="D801" s="89">
        <f>SUMIF('Executive Pay Breakdown'!K:K,$B801,'Executive Pay Breakdown'!M:M)+SUMIF('Executive Pay Breakdown'!O:O,$B801,'Executive Pay Breakdown'!Q:Q)+SUMIF('Executive Pay Breakdown'!S:S,$B801,'Executive Pay Breakdown'!U:U)+SUMIF('Executive Pay Breakdown'!W:W,$B801,'Executive Pay Breakdown'!Y:Y)+SUMIF('Executive Pay Breakdown'!AA:AA,$B801,'Executive Pay Breakdown'!AC:AC)</f>
        <v>95007010</v>
      </c>
      <c r="E801" s="109"/>
      <c r="F801" s="69">
        <f>SUMIF('Executive Pay Breakdown'!K:K,$B801,'Executive Pay Breakdown'!M:M)</f>
        <v>20672072</v>
      </c>
      <c r="G801" s="69">
        <f>SUMIF('Executive Pay Breakdown'!O:O,$B801,'Executive Pay Breakdown'!Q:Q)</f>
        <v>19876767</v>
      </c>
      <c r="H801" s="69">
        <f>SUMIF('Executive Pay Breakdown'!S:S,$B801,'Executive Pay Breakdown'!U:U)</f>
        <v>20807144</v>
      </c>
      <c r="I801" s="69">
        <f>SUMIF('Executive Pay Breakdown'!W:W,$B801,'Executive Pay Breakdown'!Y:Y)</f>
        <v>20308720</v>
      </c>
      <c r="J801" s="69">
        <f>SUMIF('Executive Pay Breakdown'!AA:AA,$B801,'Executive Pay Breakdown'!AC:AC)</f>
        <v>13342307</v>
      </c>
      <c r="K801" s="118"/>
      <c r="L801" s="212"/>
      <c r="M801" s="87"/>
      <c r="N801" s="230"/>
      <c r="O801" s="120" t="str">
        <f>MATCH(C801,'Key Findings'!B:B,0)</f>
        <v>#N/A</v>
      </c>
    </row>
    <row r="802" hidden="1">
      <c r="A802" s="71"/>
      <c r="B802" s="124" t="s">
        <v>989</v>
      </c>
      <c r="C802" s="87" t="s">
        <v>988</v>
      </c>
      <c r="D802" s="89">
        <f>SUMIF('Executive Pay Breakdown'!K:K,$B802,'Executive Pay Breakdown'!M:M)+SUMIF('Executive Pay Breakdown'!O:O,$B802,'Executive Pay Breakdown'!Q:Q)+SUMIF('Executive Pay Breakdown'!S:S,$B802,'Executive Pay Breakdown'!U:U)+SUMIF('Executive Pay Breakdown'!W:W,$B802,'Executive Pay Breakdown'!Y:Y)+SUMIF('Executive Pay Breakdown'!AA:AA,$B802,'Executive Pay Breakdown'!AC:AC)</f>
        <v>29474509</v>
      </c>
      <c r="E802" s="109"/>
      <c r="F802" s="69">
        <f>SUMIF('Executive Pay Breakdown'!K:K,$B802,'Executive Pay Breakdown'!M:M)</f>
        <v>5129172</v>
      </c>
      <c r="G802" s="69">
        <f>SUMIF('Executive Pay Breakdown'!O:O,$B802,'Executive Pay Breakdown'!Q:Q)</f>
        <v>5311558</v>
      </c>
      <c r="H802" s="69">
        <f>SUMIF('Executive Pay Breakdown'!S:S,$B802,'Executive Pay Breakdown'!U:U)</f>
        <v>6093745</v>
      </c>
      <c r="I802" s="69">
        <f>SUMIF('Executive Pay Breakdown'!W:W,$B802,'Executive Pay Breakdown'!Y:Y)</f>
        <v>6794344</v>
      </c>
      <c r="J802" s="69">
        <f>SUMIF('Executive Pay Breakdown'!AA:AA,$B802,'Executive Pay Breakdown'!AC:AC)</f>
        <v>6145690</v>
      </c>
      <c r="K802" s="118"/>
      <c r="L802" s="212"/>
      <c r="M802" s="87"/>
      <c r="N802" s="230"/>
      <c r="O802" s="120" t="str">
        <f>MATCH(C802,'Key Findings'!B:B,0)</f>
        <v>#N/A</v>
      </c>
    </row>
    <row r="803" hidden="1">
      <c r="A803" s="71"/>
      <c r="B803" s="124" t="s">
        <v>990</v>
      </c>
      <c r="C803" s="87" t="s">
        <v>988</v>
      </c>
      <c r="D803" s="89">
        <f>SUMIF('Executive Pay Breakdown'!K:K,$B803,'Executive Pay Breakdown'!M:M)+SUMIF('Executive Pay Breakdown'!O:O,$B803,'Executive Pay Breakdown'!Q:Q)+SUMIF('Executive Pay Breakdown'!S:S,$B803,'Executive Pay Breakdown'!U:U)+SUMIF('Executive Pay Breakdown'!W:W,$B803,'Executive Pay Breakdown'!Y:Y)+SUMIF('Executive Pay Breakdown'!AA:AA,$B803,'Executive Pay Breakdown'!AC:AC)</f>
        <v>25476943</v>
      </c>
      <c r="E803" s="109"/>
      <c r="F803" s="69">
        <f>SUMIF('Executive Pay Breakdown'!K:K,$B803,'Executive Pay Breakdown'!M:M)</f>
        <v>0</v>
      </c>
      <c r="G803" s="69">
        <f>SUMIF('Executive Pay Breakdown'!O:O,$B803,'Executive Pay Breakdown'!Q:Q)</f>
        <v>5773833</v>
      </c>
      <c r="H803" s="69">
        <f>SUMIF('Executive Pay Breakdown'!S:S,$B803,'Executive Pay Breakdown'!U:U)</f>
        <v>6006814</v>
      </c>
      <c r="I803" s="69">
        <f>SUMIF('Executive Pay Breakdown'!W:W,$B803,'Executive Pay Breakdown'!Y:Y)</f>
        <v>5602143</v>
      </c>
      <c r="J803" s="69">
        <f>SUMIF('Executive Pay Breakdown'!AA:AA,$B803,'Executive Pay Breakdown'!AC:AC)</f>
        <v>8094153</v>
      </c>
      <c r="K803" s="118"/>
      <c r="L803" s="212"/>
      <c r="M803" s="87"/>
      <c r="N803" s="87"/>
      <c r="O803" s="120" t="str">
        <f>MATCH(C803,'Key Findings'!B:B,0)</f>
        <v>#N/A</v>
      </c>
    </row>
    <row r="804" hidden="1">
      <c r="A804" s="81"/>
      <c r="B804" s="87" t="s">
        <v>991</v>
      </c>
      <c r="C804" s="87" t="s">
        <v>988</v>
      </c>
      <c r="D804" s="89">
        <f>SUMIF('Executive Pay Breakdown'!K:K,$B804,'Executive Pay Breakdown'!M:M)+SUMIF('Executive Pay Breakdown'!O:O,$B804,'Executive Pay Breakdown'!Q:Q)+SUMIF('Executive Pay Breakdown'!S:S,$B804,'Executive Pay Breakdown'!U:U)+SUMIF('Executive Pay Breakdown'!W:W,$B804,'Executive Pay Breakdown'!Y:Y)+SUMIF('Executive Pay Breakdown'!AA:AA,$B804,'Executive Pay Breakdown'!AC:AC)</f>
        <v>24185259</v>
      </c>
      <c r="E804" s="109"/>
      <c r="F804" s="69">
        <f>SUMIF('Executive Pay Breakdown'!K:K,$B804,'Executive Pay Breakdown'!M:M)</f>
        <v>0</v>
      </c>
      <c r="G804" s="69">
        <f>SUMIF('Executive Pay Breakdown'!O:O,$B804,'Executive Pay Breakdown'!Q:Q)</f>
        <v>0</v>
      </c>
      <c r="H804" s="69">
        <f>SUMIF('Executive Pay Breakdown'!S:S,$B804,'Executive Pay Breakdown'!U:U)</f>
        <v>0</v>
      </c>
      <c r="I804" s="69">
        <f>SUMIF('Executive Pay Breakdown'!W:W,$B804,'Executive Pay Breakdown'!Y:Y)</f>
        <v>0</v>
      </c>
      <c r="J804" s="69">
        <f>SUMIF('Executive Pay Breakdown'!AA:AA,$B804,'Executive Pay Breakdown'!AC:AC)</f>
        <v>24185259</v>
      </c>
      <c r="K804" s="118"/>
      <c r="L804" s="212"/>
      <c r="M804" s="87"/>
      <c r="N804" s="230"/>
      <c r="O804" s="120" t="str">
        <f>MATCH(C804,'Key Findings'!B:B,0)</f>
        <v>#N/A</v>
      </c>
    </row>
    <row r="805" hidden="1">
      <c r="A805" s="71"/>
      <c r="B805" s="124" t="s">
        <v>992</v>
      </c>
      <c r="C805" s="87" t="s">
        <v>988</v>
      </c>
      <c r="D805" s="89">
        <f>SUMIF('Executive Pay Breakdown'!K:K,$B805,'Executive Pay Breakdown'!M:M)+SUMIF('Executive Pay Breakdown'!O:O,$B805,'Executive Pay Breakdown'!Q:Q)+SUMIF('Executive Pay Breakdown'!S:S,$B805,'Executive Pay Breakdown'!U:U)+SUMIF('Executive Pay Breakdown'!W:W,$B805,'Executive Pay Breakdown'!Y:Y)+SUMIF('Executive Pay Breakdown'!AA:AA,$B805,'Executive Pay Breakdown'!AC:AC)</f>
        <v>19797013</v>
      </c>
      <c r="E805" s="109"/>
      <c r="F805" s="69">
        <f>SUMIF('Executive Pay Breakdown'!K:K,$B805,'Executive Pay Breakdown'!M:M)</f>
        <v>0</v>
      </c>
      <c r="G805" s="69">
        <f>SUMIF('Executive Pay Breakdown'!O:O,$B805,'Executive Pay Breakdown'!Q:Q)</f>
        <v>0</v>
      </c>
      <c r="H805" s="69">
        <f>SUMIF('Executive Pay Breakdown'!S:S,$B805,'Executive Pay Breakdown'!U:U)</f>
        <v>6679277</v>
      </c>
      <c r="I805" s="69">
        <f>SUMIF('Executive Pay Breakdown'!W:W,$B805,'Executive Pay Breakdown'!Y:Y)</f>
        <v>7222256</v>
      </c>
      <c r="J805" s="69">
        <f>SUMIF('Executive Pay Breakdown'!AA:AA,$B805,'Executive Pay Breakdown'!AC:AC)</f>
        <v>5895480</v>
      </c>
      <c r="K805" s="118"/>
      <c r="L805" s="212"/>
      <c r="M805" s="87"/>
      <c r="N805" s="87"/>
      <c r="O805" s="120" t="str">
        <f>MATCH(C805,'Key Findings'!B:B,0)</f>
        <v>#N/A</v>
      </c>
    </row>
    <row r="806" hidden="1">
      <c r="A806" s="71"/>
      <c r="B806" s="124" t="s">
        <v>993</v>
      </c>
      <c r="C806" s="87" t="s">
        <v>988</v>
      </c>
      <c r="D806" s="89">
        <f>SUMIF('Executive Pay Breakdown'!K:K,$B806,'Executive Pay Breakdown'!M:M)+SUMIF('Executive Pay Breakdown'!O:O,$B806,'Executive Pay Breakdown'!Q:Q)+SUMIF('Executive Pay Breakdown'!S:S,$B806,'Executive Pay Breakdown'!U:U)+SUMIF('Executive Pay Breakdown'!W:W,$B806,'Executive Pay Breakdown'!Y:Y)+SUMIF('Executive Pay Breakdown'!AA:AA,$B806,'Executive Pay Breakdown'!AC:AC)</f>
        <v>15994913</v>
      </c>
      <c r="E806" s="109"/>
      <c r="F806" s="69">
        <f>SUMIF('Executive Pay Breakdown'!K:K,$B806,'Executive Pay Breakdown'!M:M)</f>
        <v>5334936</v>
      </c>
      <c r="G806" s="69">
        <f>SUMIF('Executive Pay Breakdown'!O:O,$B806,'Executive Pay Breakdown'!Q:Q)</f>
        <v>5025765</v>
      </c>
      <c r="H806" s="69">
        <f>SUMIF('Executive Pay Breakdown'!S:S,$B806,'Executive Pay Breakdown'!U:U)</f>
        <v>5634212</v>
      </c>
      <c r="I806" s="69">
        <f>SUMIF('Executive Pay Breakdown'!W:W,$B806,'Executive Pay Breakdown'!Y:Y)</f>
        <v>0</v>
      </c>
      <c r="J806" s="69">
        <f>SUMIF('Executive Pay Breakdown'!AA:AA,$B806,'Executive Pay Breakdown'!AC:AC)</f>
        <v>0</v>
      </c>
      <c r="K806" s="118"/>
      <c r="L806" s="212"/>
      <c r="M806" s="87"/>
      <c r="N806" s="230"/>
      <c r="O806" s="120" t="str">
        <f>MATCH(C806,'Key Findings'!B:B,0)</f>
        <v>#N/A</v>
      </c>
    </row>
    <row r="807" hidden="1">
      <c r="A807" s="71"/>
      <c r="B807" s="124" t="s">
        <v>994</v>
      </c>
      <c r="C807" s="87" t="s">
        <v>988</v>
      </c>
      <c r="D807" s="89">
        <f>SUMIF('Executive Pay Breakdown'!K:K,$B807,'Executive Pay Breakdown'!M:M)+SUMIF('Executive Pay Breakdown'!O:O,$B807,'Executive Pay Breakdown'!Q:Q)+SUMIF('Executive Pay Breakdown'!S:S,$B807,'Executive Pay Breakdown'!U:U)+SUMIF('Executive Pay Breakdown'!W:W,$B807,'Executive Pay Breakdown'!Y:Y)+SUMIF('Executive Pay Breakdown'!AA:AA,$B807,'Executive Pay Breakdown'!AC:AC)</f>
        <v>15167451</v>
      </c>
      <c r="E807" s="109"/>
      <c r="F807" s="69">
        <f>SUMIF('Executive Pay Breakdown'!K:K,$B807,'Executive Pay Breakdown'!M:M)</f>
        <v>0</v>
      </c>
      <c r="G807" s="69">
        <f>SUMIF('Executive Pay Breakdown'!O:O,$B807,'Executive Pay Breakdown'!Q:Q)</f>
        <v>0</v>
      </c>
      <c r="H807" s="69">
        <f>SUMIF('Executive Pay Breakdown'!S:S,$B807,'Executive Pay Breakdown'!U:U)</f>
        <v>3218101</v>
      </c>
      <c r="I807" s="69">
        <f>SUMIF('Executive Pay Breakdown'!W:W,$B807,'Executive Pay Breakdown'!Y:Y)</f>
        <v>6031920</v>
      </c>
      <c r="J807" s="69">
        <f>SUMIF('Executive Pay Breakdown'!AA:AA,$B807,'Executive Pay Breakdown'!AC:AC)</f>
        <v>5917430</v>
      </c>
      <c r="K807" s="118"/>
      <c r="L807" s="212"/>
      <c r="M807" s="87"/>
      <c r="N807" s="87"/>
      <c r="O807" s="120" t="str">
        <f>MATCH(C807,'Key Findings'!B:B,0)</f>
        <v>#N/A</v>
      </c>
    </row>
    <row r="808" hidden="1">
      <c r="A808" s="71"/>
      <c r="B808" s="124" t="s">
        <v>995</v>
      </c>
      <c r="C808" s="87" t="s">
        <v>988</v>
      </c>
      <c r="D808" s="89">
        <f>SUMIF('Executive Pay Breakdown'!K:K,$B808,'Executive Pay Breakdown'!M:M)+SUMIF('Executive Pay Breakdown'!O:O,$B808,'Executive Pay Breakdown'!Q:Q)+SUMIF('Executive Pay Breakdown'!S:S,$B808,'Executive Pay Breakdown'!U:U)+SUMIF('Executive Pay Breakdown'!W:W,$B808,'Executive Pay Breakdown'!Y:Y)+SUMIF('Executive Pay Breakdown'!AA:AA,$B808,'Executive Pay Breakdown'!AC:AC)</f>
        <v>6028032</v>
      </c>
      <c r="E808" s="109"/>
      <c r="F808" s="69">
        <f>SUMIF('Executive Pay Breakdown'!K:K,$B808,'Executive Pay Breakdown'!M:M)</f>
        <v>0</v>
      </c>
      <c r="G808" s="69">
        <f>SUMIF('Executive Pay Breakdown'!O:O,$B808,'Executive Pay Breakdown'!Q:Q)</f>
        <v>0</v>
      </c>
      <c r="H808" s="69">
        <f>SUMIF('Executive Pay Breakdown'!S:S,$B808,'Executive Pay Breakdown'!U:U)</f>
        <v>0</v>
      </c>
      <c r="I808" s="69">
        <f>SUMIF('Executive Pay Breakdown'!W:W,$B808,'Executive Pay Breakdown'!Y:Y)</f>
        <v>6028032</v>
      </c>
      <c r="J808" s="69">
        <f>SUMIF('Executive Pay Breakdown'!AA:AA,$B808,'Executive Pay Breakdown'!AC:AC)</f>
        <v>0</v>
      </c>
      <c r="K808" s="118"/>
      <c r="L808" s="212"/>
      <c r="M808" s="87"/>
      <c r="N808" s="87"/>
      <c r="O808" s="120" t="str">
        <f>MATCH(C808,'Key Findings'!B:B,0)</f>
        <v>#N/A</v>
      </c>
    </row>
    <row r="809" hidden="1">
      <c r="A809" s="71"/>
      <c r="B809" s="124" t="s">
        <v>996</v>
      </c>
      <c r="C809" s="87" t="s">
        <v>988</v>
      </c>
      <c r="D809" s="89">
        <f>SUMIF('Executive Pay Breakdown'!K:K,$B809,'Executive Pay Breakdown'!M:M)+SUMIF('Executive Pay Breakdown'!O:O,$B809,'Executive Pay Breakdown'!Q:Q)+SUMIF('Executive Pay Breakdown'!S:S,$B809,'Executive Pay Breakdown'!U:U)+SUMIF('Executive Pay Breakdown'!W:W,$B809,'Executive Pay Breakdown'!Y:Y)+SUMIF('Executive Pay Breakdown'!AA:AA,$B809,'Executive Pay Breakdown'!AC:AC)</f>
        <v>6022337</v>
      </c>
      <c r="E809" s="109"/>
      <c r="F809" s="69">
        <f>SUMIF('Executive Pay Breakdown'!K:K,$B809,'Executive Pay Breakdown'!M:M)</f>
        <v>6022337</v>
      </c>
      <c r="G809" s="69">
        <f>SUMIF('Executive Pay Breakdown'!O:O,$B809,'Executive Pay Breakdown'!Q:Q)</f>
        <v>0</v>
      </c>
      <c r="H809" s="69">
        <f>SUMIF('Executive Pay Breakdown'!S:S,$B809,'Executive Pay Breakdown'!U:U)</f>
        <v>0</v>
      </c>
      <c r="I809" s="69">
        <f>SUMIF('Executive Pay Breakdown'!W:W,$B809,'Executive Pay Breakdown'!Y:Y)</f>
        <v>0</v>
      </c>
      <c r="J809" s="69">
        <f>SUMIF('Executive Pay Breakdown'!AA:AA,$B809,'Executive Pay Breakdown'!AC:AC)</f>
        <v>0</v>
      </c>
      <c r="K809" s="118"/>
      <c r="L809" s="212"/>
      <c r="M809" s="87"/>
      <c r="N809" s="230"/>
      <c r="O809" s="120" t="str">
        <f>MATCH(C809,'Key Findings'!B:B,0)</f>
        <v>#N/A</v>
      </c>
    </row>
    <row r="810" hidden="1">
      <c r="A810" s="71"/>
      <c r="B810" s="124" t="s">
        <v>997</v>
      </c>
      <c r="C810" s="87" t="s">
        <v>988</v>
      </c>
      <c r="D810" s="89">
        <f>SUMIF('Executive Pay Breakdown'!K:K,$B810,'Executive Pay Breakdown'!M:M)+SUMIF('Executive Pay Breakdown'!O:O,$B810,'Executive Pay Breakdown'!Q:Q)+SUMIF('Executive Pay Breakdown'!S:S,$B810,'Executive Pay Breakdown'!U:U)+SUMIF('Executive Pay Breakdown'!W:W,$B810,'Executive Pay Breakdown'!Y:Y)+SUMIF('Executive Pay Breakdown'!AA:AA,$B810,'Executive Pay Breakdown'!AC:AC)</f>
        <v>5069230</v>
      </c>
      <c r="E810" s="109"/>
      <c r="F810" s="69">
        <f>SUMIF('Executive Pay Breakdown'!K:K,$B810,'Executive Pay Breakdown'!M:M)</f>
        <v>5069230</v>
      </c>
      <c r="G810" s="69">
        <f>SUMIF('Executive Pay Breakdown'!O:O,$B810,'Executive Pay Breakdown'!Q:Q)</f>
        <v>0</v>
      </c>
      <c r="H810" s="69">
        <f>SUMIF('Executive Pay Breakdown'!S:S,$B810,'Executive Pay Breakdown'!U:U)</f>
        <v>0</v>
      </c>
      <c r="I810" s="69">
        <f>SUMIF('Executive Pay Breakdown'!W:W,$B810,'Executive Pay Breakdown'!Y:Y)</f>
        <v>0</v>
      </c>
      <c r="J810" s="69">
        <f>SUMIF('Executive Pay Breakdown'!AA:AA,$B810,'Executive Pay Breakdown'!AC:AC)</f>
        <v>0</v>
      </c>
      <c r="K810" s="118"/>
      <c r="L810" s="212"/>
      <c r="M810" s="87"/>
      <c r="N810" s="230"/>
      <c r="O810" s="120" t="str">
        <f>MATCH(C810,'Key Findings'!B:B,0)</f>
        <v>#N/A</v>
      </c>
    </row>
    <row r="811" hidden="1">
      <c r="A811" s="71"/>
      <c r="B811" s="124" t="s">
        <v>998</v>
      </c>
      <c r="C811" s="87" t="s">
        <v>988</v>
      </c>
      <c r="D811" s="89">
        <f>SUMIF('Executive Pay Breakdown'!K:K,$B811,'Executive Pay Breakdown'!M:M)+SUMIF('Executive Pay Breakdown'!O:O,$B811,'Executive Pay Breakdown'!Q:Q)+SUMIF('Executive Pay Breakdown'!S:S,$B811,'Executive Pay Breakdown'!U:U)+SUMIF('Executive Pay Breakdown'!W:W,$B811,'Executive Pay Breakdown'!Y:Y)+SUMIF('Executive Pay Breakdown'!AA:AA,$B811,'Executive Pay Breakdown'!AC:AC)</f>
        <v>4988734</v>
      </c>
      <c r="E811" s="109"/>
      <c r="F811" s="69">
        <f>SUMIF('Executive Pay Breakdown'!K:K,$B811,'Executive Pay Breakdown'!M:M)</f>
        <v>0</v>
      </c>
      <c r="G811" s="69">
        <f>SUMIF('Executive Pay Breakdown'!O:O,$B811,'Executive Pay Breakdown'!Q:Q)</f>
        <v>4988734</v>
      </c>
      <c r="H811" s="69">
        <f>SUMIF('Executive Pay Breakdown'!S:S,$B811,'Executive Pay Breakdown'!U:U)</f>
        <v>0</v>
      </c>
      <c r="I811" s="69">
        <f>SUMIF('Executive Pay Breakdown'!W:W,$B811,'Executive Pay Breakdown'!Y:Y)</f>
        <v>0</v>
      </c>
      <c r="J811" s="69">
        <f>SUMIF('Executive Pay Breakdown'!AA:AA,$B811,'Executive Pay Breakdown'!AC:AC)</f>
        <v>0</v>
      </c>
      <c r="K811" s="118"/>
      <c r="L811" s="212"/>
      <c r="M811" s="212"/>
      <c r="N811" s="87"/>
      <c r="O811" s="120" t="str">
        <f>MATCH(C811,'Key Findings'!B:B,0)</f>
        <v>#N/A</v>
      </c>
    </row>
    <row r="812" hidden="1">
      <c r="A812" s="62"/>
      <c r="B812" s="131" t="s">
        <v>999</v>
      </c>
      <c r="C812" s="87" t="s">
        <v>1000</v>
      </c>
      <c r="D812" s="89">
        <f>SUMIF('Executive Pay Breakdown'!K:K,$B812,'Executive Pay Breakdown'!M:M)+SUMIF('Executive Pay Breakdown'!O:O,$B812,'Executive Pay Breakdown'!Q:Q)+SUMIF('Executive Pay Breakdown'!S:S,$B812,'Executive Pay Breakdown'!U:U)+SUMIF('Executive Pay Breakdown'!W:W,$B812,'Executive Pay Breakdown'!Y:Y)+SUMIF('Executive Pay Breakdown'!AA:AA,$B812,'Executive Pay Breakdown'!AC:AC)</f>
        <v>68666336</v>
      </c>
      <c r="E812" s="109"/>
      <c r="F812" s="69">
        <f>SUMIF('Executive Pay Breakdown'!K:K,$B812,'Executive Pay Breakdown'!M:M)</f>
        <v>9615456</v>
      </c>
      <c r="G812" s="69">
        <f>SUMIF('Executive Pay Breakdown'!O:O,$B812,'Executive Pay Breakdown'!Q:Q)</f>
        <v>14016942</v>
      </c>
      <c r="H812" s="69">
        <f>SUMIF('Executive Pay Breakdown'!S:S,$B812,'Executive Pay Breakdown'!U:U)</f>
        <v>14125279</v>
      </c>
      <c r="I812" s="69">
        <f>SUMIF('Executive Pay Breakdown'!W:W,$B812,'Executive Pay Breakdown'!Y:Y)</f>
        <v>16636674</v>
      </c>
      <c r="J812" s="69">
        <f>SUMIF('Executive Pay Breakdown'!AA:AA,$B812,'Executive Pay Breakdown'!AC:AC)</f>
        <v>14271985</v>
      </c>
      <c r="K812" s="118"/>
      <c r="L812" s="212"/>
      <c r="M812" s="87"/>
      <c r="N812" s="230"/>
      <c r="O812" s="120" t="str">
        <f>MATCH(C812,'Key Findings'!B:B,0)</f>
        <v>#N/A</v>
      </c>
    </row>
    <row r="813" hidden="1">
      <c r="A813" s="62"/>
      <c r="B813" s="131" t="s">
        <v>1001</v>
      </c>
      <c r="C813" s="87" t="s">
        <v>1000</v>
      </c>
      <c r="D813" s="89">
        <f>SUMIF('Executive Pay Breakdown'!K:K,$B813,'Executive Pay Breakdown'!M:M)+SUMIF('Executive Pay Breakdown'!O:O,$B813,'Executive Pay Breakdown'!Q:Q)+SUMIF('Executive Pay Breakdown'!S:S,$B813,'Executive Pay Breakdown'!U:U)+SUMIF('Executive Pay Breakdown'!W:W,$B813,'Executive Pay Breakdown'!Y:Y)+SUMIF('Executive Pay Breakdown'!AA:AA,$B813,'Executive Pay Breakdown'!AC:AC)</f>
        <v>27146356</v>
      </c>
      <c r="E813" s="109"/>
      <c r="F813" s="69">
        <f>SUMIF('Executive Pay Breakdown'!K:K,$B813,'Executive Pay Breakdown'!M:M)</f>
        <v>9770910</v>
      </c>
      <c r="G813" s="69">
        <f>SUMIF('Executive Pay Breakdown'!O:O,$B813,'Executive Pay Breakdown'!Q:Q)</f>
        <v>4362800</v>
      </c>
      <c r="H813" s="69">
        <f>SUMIF('Executive Pay Breakdown'!S:S,$B813,'Executive Pay Breakdown'!U:U)</f>
        <v>4341785</v>
      </c>
      <c r="I813" s="69">
        <f>SUMIF('Executive Pay Breakdown'!W:W,$B813,'Executive Pay Breakdown'!Y:Y)</f>
        <v>4744678</v>
      </c>
      <c r="J813" s="69">
        <f>SUMIF('Executive Pay Breakdown'!AA:AA,$B813,'Executive Pay Breakdown'!AC:AC)</f>
        <v>3926183</v>
      </c>
      <c r="K813" s="118"/>
      <c r="L813" s="212"/>
      <c r="M813" s="87"/>
      <c r="N813" s="230"/>
      <c r="O813" s="120" t="str">
        <f>MATCH(C813,'Key Findings'!B:B,0)</f>
        <v>#N/A</v>
      </c>
    </row>
    <row r="814" hidden="1">
      <c r="A814" s="62"/>
      <c r="B814" s="131" t="s">
        <v>1002</v>
      </c>
      <c r="C814" s="87" t="s">
        <v>1000</v>
      </c>
      <c r="D814" s="89">
        <f>SUMIF('Executive Pay Breakdown'!K:K,$B814,'Executive Pay Breakdown'!M:M)+SUMIF('Executive Pay Breakdown'!O:O,$B814,'Executive Pay Breakdown'!Q:Q)+SUMIF('Executive Pay Breakdown'!S:S,$B814,'Executive Pay Breakdown'!U:U)+SUMIF('Executive Pay Breakdown'!W:W,$B814,'Executive Pay Breakdown'!Y:Y)+SUMIF('Executive Pay Breakdown'!AA:AA,$B814,'Executive Pay Breakdown'!AC:AC)</f>
        <v>21418514</v>
      </c>
      <c r="E814" s="109"/>
      <c r="F814" s="69">
        <f>SUMIF('Executive Pay Breakdown'!K:K,$B814,'Executive Pay Breakdown'!M:M)</f>
        <v>3750740</v>
      </c>
      <c r="G814" s="69">
        <f>SUMIF('Executive Pay Breakdown'!O:O,$B814,'Executive Pay Breakdown'!Q:Q)</f>
        <v>4061989</v>
      </c>
      <c r="H814" s="69">
        <f>SUMIF('Executive Pay Breakdown'!S:S,$B814,'Executive Pay Breakdown'!U:U)</f>
        <v>2889628</v>
      </c>
      <c r="I814" s="69">
        <f>SUMIF('Executive Pay Breakdown'!W:W,$B814,'Executive Pay Breakdown'!Y:Y)</f>
        <v>6208629</v>
      </c>
      <c r="J814" s="69">
        <f>SUMIF('Executive Pay Breakdown'!AA:AA,$B814,'Executive Pay Breakdown'!AC:AC)</f>
        <v>4507528</v>
      </c>
      <c r="K814" s="118"/>
      <c r="L814" s="212"/>
      <c r="M814" s="87"/>
      <c r="N814" s="230"/>
      <c r="O814" s="120" t="str">
        <f>MATCH(C814,'Key Findings'!B:B,0)</f>
        <v>#N/A</v>
      </c>
    </row>
    <row r="815" hidden="1">
      <c r="A815" s="62"/>
      <c r="B815" s="125" t="s">
        <v>1003</v>
      </c>
      <c r="C815" s="87" t="s">
        <v>1000</v>
      </c>
      <c r="D815" s="89">
        <f>SUMIF('Executive Pay Breakdown'!K:K,$B815,'Executive Pay Breakdown'!M:M)+SUMIF('Executive Pay Breakdown'!O:O,$B815,'Executive Pay Breakdown'!Q:Q)+SUMIF('Executive Pay Breakdown'!S:S,$B815,'Executive Pay Breakdown'!U:U)+SUMIF('Executive Pay Breakdown'!W:W,$B815,'Executive Pay Breakdown'!Y:Y)+SUMIF('Executive Pay Breakdown'!AA:AA,$B815,'Executive Pay Breakdown'!AC:AC)</f>
        <v>16217628</v>
      </c>
      <c r="E815" s="109"/>
      <c r="F815" s="69">
        <f>SUMIF('Executive Pay Breakdown'!K:K,$B815,'Executive Pay Breakdown'!M:M)</f>
        <v>0</v>
      </c>
      <c r="G815" s="69">
        <f>SUMIF('Executive Pay Breakdown'!O:O,$B815,'Executive Pay Breakdown'!Q:Q)</f>
        <v>0</v>
      </c>
      <c r="H815" s="69">
        <f>SUMIF('Executive Pay Breakdown'!S:S,$B815,'Executive Pay Breakdown'!U:U)</f>
        <v>5262835</v>
      </c>
      <c r="I815" s="69">
        <f>SUMIF('Executive Pay Breakdown'!W:W,$B815,'Executive Pay Breakdown'!Y:Y)</f>
        <v>6098627</v>
      </c>
      <c r="J815" s="69">
        <f>SUMIF('Executive Pay Breakdown'!AA:AA,$B815,'Executive Pay Breakdown'!AC:AC)</f>
        <v>4856166</v>
      </c>
      <c r="K815" s="118"/>
      <c r="L815" s="212"/>
      <c r="M815" s="87"/>
      <c r="N815" s="87"/>
      <c r="O815" s="120" t="str">
        <f>MATCH(C815,'Key Findings'!B:B,0)</f>
        <v>#N/A</v>
      </c>
    </row>
    <row r="816" hidden="1">
      <c r="A816" s="62"/>
      <c r="B816" s="131" t="s">
        <v>1004</v>
      </c>
      <c r="C816" s="87" t="s">
        <v>1000</v>
      </c>
      <c r="D816" s="89">
        <f>SUMIF('Executive Pay Breakdown'!K:K,$B816,'Executive Pay Breakdown'!M:M)+SUMIF('Executive Pay Breakdown'!O:O,$B816,'Executive Pay Breakdown'!Q:Q)+SUMIF('Executive Pay Breakdown'!S:S,$B816,'Executive Pay Breakdown'!U:U)+SUMIF('Executive Pay Breakdown'!W:W,$B816,'Executive Pay Breakdown'!Y:Y)+SUMIF('Executive Pay Breakdown'!AA:AA,$B816,'Executive Pay Breakdown'!AC:AC)</f>
        <v>12999326</v>
      </c>
      <c r="E816" s="109"/>
      <c r="F816" s="69">
        <f>SUMIF('Executive Pay Breakdown'!K:K,$B816,'Executive Pay Breakdown'!M:M)</f>
        <v>4902491</v>
      </c>
      <c r="G816" s="69">
        <f>SUMIF('Executive Pay Breakdown'!O:O,$B816,'Executive Pay Breakdown'!Q:Q)</f>
        <v>3774977</v>
      </c>
      <c r="H816" s="69">
        <f>SUMIF('Executive Pay Breakdown'!S:S,$B816,'Executive Pay Breakdown'!U:U)</f>
        <v>2737397</v>
      </c>
      <c r="I816" s="69">
        <f>SUMIF('Executive Pay Breakdown'!W:W,$B816,'Executive Pay Breakdown'!Y:Y)</f>
        <v>1584461</v>
      </c>
      <c r="J816" s="69">
        <f>SUMIF('Executive Pay Breakdown'!AA:AA,$B816,'Executive Pay Breakdown'!AC:AC)</f>
        <v>0</v>
      </c>
      <c r="K816" s="118"/>
      <c r="L816" s="212"/>
      <c r="M816" s="87"/>
      <c r="N816" s="230"/>
      <c r="O816" s="120" t="str">
        <f>MATCH(C816,'Key Findings'!B:B,0)</f>
        <v>#N/A</v>
      </c>
    </row>
    <row r="817" hidden="1">
      <c r="A817" s="62"/>
      <c r="B817" s="131" t="s">
        <v>1005</v>
      </c>
      <c r="C817" s="87" t="s">
        <v>1000</v>
      </c>
      <c r="D817" s="89">
        <f>SUMIF('Executive Pay Breakdown'!K:K,$B817,'Executive Pay Breakdown'!M:M)+SUMIF('Executive Pay Breakdown'!O:O,$B817,'Executive Pay Breakdown'!Q:Q)+SUMIF('Executive Pay Breakdown'!S:S,$B817,'Executive Pay Breakdown'!U:U)+SUMIF('Executive Pay Breakdown'!W:W,$B817,'Executive Pay Breakdown'!Y:Y)+SUMIF('Executive Pay Breakdown'!AA:AA,$B817,'Executive Pay Breakdown'!AC:AC)</f>
        <v>11675108</v>
      </c>
      <c r="E817" s="109"/>
      <c r="F817" s="69">
        <f>SUMIF('Executive Pay Breakdown'!K:K,$B817,'Executive Pay Breakdown'!M:M)</f>
        <v>4723491</v>
      </c>
      <c r="G817" s="69">
        <f>SUMIF('Executive Pay Breakdown'!O:O,$B817,'Executive Pay Breakdown'!Q:Q)</f>
        <v>4061989</v>
      </c>
      <c r="H817" s="69">
        <f>SUMIF('Executive Pay Breakdown'!S:S,$B817,'Executive Pay Breakdown'!U:U)</f>
        <v>2889628</v>
      </c>
      <c r="I817" s="69">
        <f>SUMIF('Executive Pay Breakdown'!W:W,$B817,'Executive Pay Breakdown'!Y:Y)</f>
        <v>0</v>
      </c>
      <c r="J817" s="69">
        <f>SUMIF('Executive Pay Breakdown'!AA:AA,$B817,'Executive Pay Breakdown'!AC:AC)</f>
        <v>0</v>
      </c>
      <c r="K817" s="118"/>
      <c r="L817" s="212"/>
      <c r="M817" s="87"/>
      <c r="N817" s="230"/>
      <c r="O817" s="120" t="str">
        <f>MATCH(C817,'Key Findings'!B:B,0)</f>
        <v>#N/A</v>
      </c>
    </row>
    <row r="818" hidden="1">
      <c r="A818" s="62"/>
      <c r="B818" s="131" t="s">
        <v>1006</v>
      </c>
      <c r="C818" s="87" t="s">
        <v>1000</v>
      </c>
      <c r="D818" s="89">
        <f>SUMIF('Executive Pay Breakdown'!K:K,$B818,'Executive Pay Breakdown'!M:M)+SUMIF('Executive Pay Breakdown'!O:O,$B818,'Executive Pay Breakdown'!Q:Q)+SUMIF('Executive Pay Breakdown'!S:S,$B818,'Executive Pay Breakdown'!U:U)+SUMIF('Executive Pay Breakdown'!W:W,$B818,'Executive Pay Breakdown'!Y:Y)+SUMIF('Executive Pay Breakdown'!AA:AA,$B818,'Executive Pay Breakdown'!AC:AC)</f>
        <v>11303520</v>
      </c>
      <c r="E818" s="109"/>
      <c r="F818" s="69">
        <f>SUMIF('Executive Pay Breakdown'!K:K,$B818,'Executive Pay Breakdown'!M:M)</f>
        <v>0</v>
      </c>
      <c r="G818" s="69">
        <f>SUMIF('Executive Pay Breakdown'!O:O,$B818,'Executive Pay Breakdown'!Q:Q)</f>
        <v>0</v>
      </c>
      <c r="H818" s="69">
        <f>SUMIF('Executive Pay Breakdown'!S:S,$B818,'Executive Pay Breakdown'!U:U)</f>
        <v>5285197</v>
      </c>
      <c r="I818" s="69">
        <f>SUMIF('Executive Pay Breakdown'!W:W,$B818,'Executive Pay Breakdown'!Y:Y)</f>
        <v>3360071</v>
      </c>
      <c r="J818" s="69">
        <f>SUMIF('Executive Pay Breakdown'!AA:AA,$B818,'Executive Pay Breakdown'!AC:AC)</f>
        <v>2658252</v>
      </c>
      <c r="K818" s="118"/>
      <c r="L818" s="212"/>
      <c r="M818" s="87"/>
      <c r="N818" s="87"/>
      <c r="O818" s="120" t="str">
        <f>MATCH(C818,'Key Findings'!B:B,0)</f>
        <v>#N/A</v>
      </c>
    </row>
    <row r="819" hidden="1">
      <c r="A819" s="62"/>
      <c r="B819" s="131" t="s">
        <v>1007</v>
      </c>
      <c r="C819" s="87" t="s">
        <v>1000</v>
      </c>
      <c r="D819" s="89">
        <f>SUMIF('Executive Pay Breakdown'!K:K,$B819,'Executive Pay Breakdown'!M:M)+SUMIF('Executive Pay Breakdown'!O:O,$B819,'Executive Pay Breakdown'!Q:Q)+SUMIF('Executive Pay Breakdown'!S:S,$B819,'Executive Pay Breakdown'!U:U)+SUMIF('Executive Pay Breakdown'!W:W,$B819,'Executive Pay Breakdown'!Y:Y)+SUMIF('Executive Pay Breakdown'!AA:AA,$B819,'Executive Pay Breakdown'!AC:AC)</f>
        <v>10961832</v>
      </c>
      <c r="E819" s="109"/>
      <c r="F819" s="69">
        <f>SUMIF('Executive Pay Breakdown'!K:K,$B819,'Executive Pay Breakdown'!M:M)</f>
        <v>3580486</v>
      </c>
      <c r="G819" s="69">
        <f>SUMIF('Executive Pay Breakdown'!O:O,$B819,'Executive Pay Breakdown'!Q:Q)</f>
        <v>4039148</v>
      </c>
      <c r="H819" s="69">
        <f>SUMIF('Executive Pay Breakdown'!S:S,$B819,'Executive Pay Breakdown'!U:U)</f>
        <v>3342198</v>
      </c>
      <c r="I819" s="69">
        <f>SUMIF('Executive Pay Breakdown'!W:W,$B819,'Executive Pay Breakdown'!Y:Y)</f>
        <v>0</v>
      </c>
      <c r="J819" s="69">
        <f>SUMIF('Executive Pay Breakdown'!AA:AA,$B819,'Executive Pay Breakdown'!AC:AC)</f>
        <v>0</v>
      </c>
      <c r="K819" s="118"/>
      <c r="L819" s="212"/>
      <c r="M819" s="87"/>
      <c r="N819" s="230"/>
      <c r="O819" s="120" t="str">
        <f>MATCH(C819,'Key Findings'!B:B,0)</f>
        <v>#N/A</v>
      </c>
    </row>
    <row r="820" hidden="1">
      <c r="A820" s="71"/>
      <c r="B820" s="124" t="s">
        <v>1008</v>
      </c>
      <c r="C820" s="87" t="s">
        <v>1009</v>
      </c>
      <c r="D820" s="89">
        <f>SUMIF('Executive Pay Breakdown'!K:K,$B820,'Executive Pay Breakdown'!M:M)+SUMIF('Executive Pay Breakdown'!O:O,$B820,'Executive Pay Breakdown'!Q:Q)+SUMIF('Executive Pay Breakdown'!S:S,$B820,'Executive Pay Breakdown'!U:U)+SUMIF('Executive Pay Breakdown'!W:W,$B820,'Executive Pay Breakdown'!Y:Y)+SUMIF('Executive Pay Breakdown'!AA:AA,$B820,'Executive Pay Breakdown'!AC:AC)</f>
        <v>148048633</v>
      </c>
      <c r="E820" s="109"/>
      <c r="F820" s="69">
        <f>SUMIF('Executive Pay Breakdown'!K:K,$B820,'Executive Pay Breakdown'!M:M)</f>
        <v>32789885</v>
      </c>
      <c r="G820" s="69">
        <f>SUMIF('Executive Pay Breakdown'!O:O,$B820,'Executive Pay Breakdown'!Q:Q)</f>
        <v>28838060</v>
      </c>
      <c r="H820" s="69">
        <f>SUMIF('Executive Pay Breakdown'!S:S,$B820,'Executive Pay Breakdown'!U:U)</f>
        <v>32920708</v>
      </c>
      <c r="I820" s="69">
        <f>SUMIF('Executive Pay Breakdown'!W:W,$B820,'Executive Pay Breakdown'!Y:Y)</f>
        <v>53499980</v>
      </c>
      <c r="J820" s="69">
        <f>SUMIF('Executive Pay Breakdown'!AA:AA,$B820,'Executive Pay Breakdown'!AC:AC)</f>
        <v>0</v>
      </c>
      <c r="K820" s="118"/>
      <c r="L820" s="212"/>
      <c r="M820" s="87"/>
      <c r="N820" s="87"/>
      <c r="O820" s="120" t="str">
        <f>MATCH(C820,'Key Findings'!B:B,0)</f>
        <v>#N/A</v>
      </c>
    </row>
    <row r="821" hidden="1">
      <c r="A821" s="81"/>
      <c r="B821" s="134" t="s">
        <v>1010</v>
      </c>
      <c r="C821" s="87" t="s">
        <v>1009</v>
      </c>
      <c r="D821" s="89">
        <f>SUMIF('Executive Pay Breakdown'!K:K,$B821,'Executive Pay Breakdown'!M:M)+SUMIF('Executive Pay Breakdown'!O:O,$B821,'Executive Pay Breakdown'!Q:Q)+SUMIF('Executive Pay Breakdown'!S:S,$B821,'Executive Pay Breakdown'!U:U)+SUMIF('Executive Pay Breakdown'!W:W,$B821,'Executive Pay Breakdown'!Y:Y)+SUMIF('Executive Pay Breakdown'!AA:AA,$B821,'Executive Pay Breakdown'!AC:AC)</f>
        <v>78415457</v>
      </c>
      <c r="E821" s="109"/>
      <c r="F821" s="69">
        <f>SUMIF('Executive Pay Breakdown'!K:K,$B821,'Executive Pay Breakdown'!M:M)</f>
        <v>9938812</v>
      </c>
      <c r="G821" s="69">
        <f>SUMIF('Executive Pay Breakdown'!O:O,$B821,'Executive Pay Breakdown'!Q:Q)</f>
        <v>11834368</v>
      </c>
      <c r="H821" s="69">
        <f>SUMIF('Executive Pay Breakdown'!S:S,$B821,'Executive Pay Breakdown'!U:U)</f>
        <v>24477982</v>
      </c>
      <c r="I821" s="69">
        <f>SUMIF('Executive Pay Breakdown'!W:W,$B821,'Executive Pay Breakdown'!Y:Y)</f>
        <v>18196273</v>
      </c>
      <c r="J821" s="69">
        <f>SUMIF('Executive Pay Breakdown'!AA:AA,$B821,'Executive Pay Breakdown'!AC:AC)</f>
        <v>13968022</v>
      </c>
      <c r="K821" s="118"/>
      <c r="L821" s="212"/>
      <c r="M821" s="87"/>
      <c r="N821" s="230"/>
      <c r="O821" s="120" t="str">
        <f>MATCH(C821,'Key Findings'!B:B,0)</f>
        <v>#N/A</v>
      </c>
    </row>
    <row r="822" hidden="1">
      <c r="A822" s="71"/>
      <c r="B822" s="124" t="s">
        <v>1011</v>
      </c>
      <c r="C822" s="87" t="s">
        <v>1009</v>
      </c>
      <c r="D822" s="89">
        <f>SUMIF('Executive Pay Breakdown'!K:K,$B822,'Executive Pay Breakdown'!M:M)+SUMIF('Executive Pay Breakdown'!O:O,$B822,'Executive Pay Breakdown'!Q:Q)+SUMIF('Executive Pay Breakdown'!S:S,$B822,'Executive Pay Breakdown'!U:U)+SUMIF('Executive Pay Breakdown'!W:W,$B822,'Executive Pay Breakdown'!Y:Y)+SUMIF('Executive Pay Breakdown'!AA:AA,$B822,'Executive Pay Breakdown'!AC:AC)</f>
        <v>46085117</v>
      </c>
      <c r="E822" s="109"/>
      <c r="F822" s="69">
        <f>SUMIF('Executive Pay Breakdown'!K:K,$B822,'Executive Pay Breakdown'!M:M)</f>
        <v>10186085</v>
      </c>
      <c r="G822" s="69">
        <f>SUMIF('Executive Pay Breakdown'!O:O,$B822,'Executive Pay Breakdown'!Q:Q)</f>
        <v>8577745</v>
      </c>
      <c r="H822" s="69">
        <f>SUMIF('Executive Pay Breakdown'!S:S,$B822,'Executive Pay Breakdown'!U:U)</f>
        <v>16500102</v>
      </c>
      <c r="I822" s="69">
        <f>SUMIF('Executive Pay Breakdown'!W:W,$B822,'Executive Pay Breakdown'!Y:Y)</f>
        <v>5938477</v>
      </c>
      <c r="J822" s="69">
        <f>SUMIF('Executive Pay Breakdown'!AA:AA,$B822,'Executive Pay Breakdown'!AC:AC)</f>
        <v>4882708</v>
      </c>
      <c r="K822" s="118"/>
      <c r="L822" s="212"/>
      <c r="M822" s="87"/>
      <c r="N822" s="230"/>
      <c r="O822" s="120" t="str">
        <f>MATCH(C822,'Key Findings'!B:B,0)</f>
        <v>#N/A</v>
      </c>
    </row>
    <row r="823" hidden="1">
      <c r="A823" s="71"/>
      <c r="B823" s="124" t="s">
        <v>1012</v>
      </c>
      <c r="C823" s="87" t="s">
        <v>1009</v>
      </c>
      <c r="D823" s="89">
        <f>SUMIF('Executive Pay Breakdown'!K:K,$B823,'Executive Pay Breakdown'!M:M)+SUMIF('Executive Pay Breakdown'!O:O,$B823,'Executive Pay Breakdown'!Q:Q)+SUMIF('Executive Pay Breakdown'!S:S,$B823,'Executive Pay Breakdown'!U:U)+SUMIF('Executive Pay Breakdown'!W:W,$B823,'Executive Pay Breakdown'!Y:Y)+SUMIF('Executive Pay Breakdown'!AA:AA,$B823,'Executive Pay Breakdown'!AC:AC)</f>
        <v>33159106</v>
      </c>
      <c r="E823" s="109"/>
      <c r="F823" s="69">
        <f>SUMIF('Executive Pay Breakdown'!K:K,$B823,'Executive Pay Breakdown'!M:M)</f>
        <v>10157239</v>
      </c>
      <c r="G823" s="69">
        <f>SUMIF('Executive Pay Breakdown'!O:O,$B823,'Executive Pay Breakdown'!Q:Q)</f>
        <v>7739210</v>
      </c>
      <c r="H823" s="69">
        <f>SUMIF('Executive Pay Breakdown'!S:S,$B823,'Executive Pay Breakdown'!U:U)</f>
        <v>11951087</v>
      </c>
      <c r="I823" s="69">
        <f>SUMIF('Executive Pay Breakdown'!W:W,$B823,'Executive Pay Breakdown'!Y:Y)</f>
        <v>3311570</v>
      </c>
      <c r="J823" s="69">
        <f>SUMIF('Executive Pay Breakdown'!AA:AA,$B823,'Executive Pay Breakdown'!AC:AC)</f>
        <v>0</v>
      </c>
      <c r="K823" s="118"/>
      <c r="L823" s="212"/>
      <c r="M823" s="87"/>
      <c r="N823" s="230"/>
      <c r="O823" s="120" t="str">
        <f>MATCH(C823,'Key Findings'!B:B,0)</f>
        <v>#N/A</v>
      </c>
    </row>
    <row r="824" hidden="1">
      <c r="A824" s="71"/>
      <c r="B824" s="124" t="s">
        <v>1013</v>
      </c>
      <c r="C824" s="87" t="s">
        <v>1009</v>
      </c>
      <c r="D824" s="89">
        <f>SUMIF('Executive Pay Breakdown'!K:K,$B824,'Executive Pay Breakdown'!M:M)+SUMIF('Executive Pay Breakdown'!O:O,$B824,'Executive Pay Breakdown'!Q:Q)+SUMIF('Executive Pay Breakdown'!S:S,$B824,'Executive Pay Breakdown'!U:U)+SUMIF('Executive Pay Breakdown'!W:W,$B824,'Executive Pay Breakdown'!Y:Y)+SUMIF('Executive Pay Breakdown'!AA:AA,$B824,'Executive Pay Breakdown'!AC:AC)</f>
        <v>31275294</v>
      </c>
      <c r="E824" s="109"/>
      <c r="F824" s="69">
        <f>SUMIF('Executive Pay Breakdown'!K:K,$B824,'Executive Pay Breakdown'!M:M)</f>
        <v>10186085</v>
      </c>
      <c r="G824" s="69">
        <f>SUMIF('Executive Pay Breakdown'!O:O,$B824,'Executive Pay Breakdown'!Q:Q)</f>
        <v>8589122</v>
      </c>
      <c r="H824" s="69">
        <f>SUMIF('Executive Pay Breakdown'!S:S,$B824,'Executive Pay Breakdown'!U:U)</f>
        <v>12500087</v>
      </c>
      <c r="I824" s="69">
        <f>SUMIF('Executive Pay Breakdown'!W:W,$B824,'Executive Pay Breakdown'!Y:Y)</f>
        <v>0</v>
      </c>
      <c r="J824" s="69">
        <f>SUMIF('Executive Pay Breakdown'!AA:AA,$B824,'Executive Pay Breakdown'!AC:AC)</f>
        <v>0</v>
      </c>
      <c r="K824" s="118"/>
      <c r="L824" s="212"/>
      <c r="M824" s="87"/>
      <c r="N824" s="230"/>
      <c r="O824" s="120" t="str">
        <f>MATCH(C824,'Key Findings'!B:B,0)</f>
        <v>#N/A</v>
      </c>
    </row>
    <row r="825" hidden="1">
      <c r="A825" s="71"/>
      <c r="B825" s="124" t="s">
        <v>1014</v>
      </c>
      <c r="C825" s="87" t="s">
        <v>1009</v>
      </c>
      <c r="D825" s="89">
        <f>SUMIF('Executive Pay Breakdown'!K:K,$B825,'Executive Pay Breakdown'!M:M)+SUMIF('Executive Pay Breakdown'!O:O,$B825,'Executive Pay Breakdown'!Q:Q)+SUMIF('Executive Pay Breakdown'!S:S,$B825,'Executive Pay Breakdown'!U:U)+SUMIF('Executive Pay Breakdown'!W:W,$B825,'Executive Pay Breakdown'!Y:Y)+SUMIF('Executive Pay Breakdown'!AA:AA,$B825,'Executive Pay Breakdown'!AC:AC)</f>
        <v>11891991</v>
      </c>
      <c r="E825" s="109"/>
      <c r="F825" s="69">
        <f>SUMIF('Executive Pay Breakdown'!K:K,$B825,'Executive Pay Breakdown'!M:M)</f>
        <v>0</v>
      </c>
      <c r="G825" s="69">
        <f>SUMIF('Executive Pay Breakdown'!O:O,$B825,'Executive Pay Breakdown'!Q:Q)</f>
        <v>0</v>
      </c>
      <c r="H825" s="69">
        <f>SUMIF('Executive Pay Breakdown'!S:S,$B825,'Executive Pay Breakdown'!U:U)</f>
        <v>0</v>
      </c>
      <c r="I825" s="69">
        <f>SUMIF('Executive Pay Breakdown'!W:W,$B825,'Executive Pay Breakdown'!Y:Y)</f>
        <v>6516578</v>
      </c>
      <c r="J825" s="69">
        <f>SUMIF('Executive Pay Breakdown'!AA:AA,$B825,'Executive Pay Breakdown'!AC:AC)</f>
        <v>5375413</v>
      </c>
      <c r="K825" s="118"/>
      <c r="L825" s="212"/>
      <c r="M825" s="87"/>
      <c r="N825" s="87"/>
      <c r="O825" s="120" t="str">
        <f>MATCH(C825,'Key Findings'!B:B,0)</f>
        <v>#N/A</v>
      </c>
    </row>
    <row r="826" hidden="1">
      <c r="A826" s="71"/>
      <c r="B826" s="124" t="s">
        <v>1015</v>
      </c>
      <c r="C826" s="87" t="s">
        <v>1009</v>
      </c>
      <c r="D826" s="89">
        <f>SUMIF('Executive Pay Breakdown'!K:K,$B826,'Executive Pay Breakdown'!M:M)+SUMIF('Executive Pay Breakdown'!O:O,$B826,'Executive Pay Breakdown'!Q:Q)+SUMIF('Executive Pay Breakdown'!S:S,$B826,'Executive Pay Breakdown'!U:U)+SUMIF('Executive Pay Breakdown'!W:W,$B826,'Executive Pay Breakdown'!Y:Y)+SUMIF('Executive Pay Breakdown'!AA:AA,$B826,'Executive Pay Breakdown'!AC:AC)</f>
        <v>11886501</v>
      </c>
      <c r="E826" s="109"/>
      <c r="F826" s="69">
        <f>SUMIF('Executive Pay Breakdown'!K:K,$B826,'Executive Pay Breakdown'!M:M)</f>
        <v>0</v>
      </c>
      <c r="G826" s="69">
        <f>SUMIF('Executive Pay Breakdown'!O:O,$B826,'Executive Pay Breakdown'!Q:Q)</f>
        <v>0</v>
      </c>
      <c r="H826" s="69">
        <f>SUMIF('Executive Pay Breakdown'!S:S,$B826,'Executive Pay Breakdown'!U:U)</f>
        <v>0</v>
      </c>
      <c r="I826" s="69">
        <f>SUMIF('Executive Pay Breakdown'!W:W,$B826,'Executive Pay Breakdown'!Y:Y)</f>
        <v>6497072</v>
      </c>
      <c r="J826" s="69">
        <f>SUMIF('Executive Pay Breakdown'!AA:AA,$B826,'Executive Pay Breakdown'!AC:AC)</f>
        <v>5389429</v>
      </c>
      <c r="K826" s="118"/>
      <c r="L826" s="212"/>
      <c r="M826" s="87"/>
      <c r="N826" s="87"/>
      <c r="O826" s="120" t="str">
        <f>MATCH(C826,'Key Findings'!B:B,0)</f>
        <v>#N/A</v>
      </c>
    </row>
    <row r="827" hidden="1">
      <c r="A827" s="71"/>
      <c r="B827" s="124" t="s">
        <v>1016</v>
      </c>
      <c r="C827" s="87" t="s">
        <v>1009</v>
      </c>
      <c r="D827" s="89">
        <f>SUMIF('Executive Pay Breakdown'!K:K,$B827,'Executive Pay Breakdown'!M:M)+SUMIF('Executive Pay Breakdown'!O:O,$B827,'Executive Pay Breakdown'!Q:Q)+SUMIF('Executive Pay Breakdown'!S:S,$B827,'Executive Pay Breakdown'!U:U)+SUMIF('Executive Pay Breakdown'!W:W,$B827,'Executive Pay Breakdown'!Y:Y)+SUMIF('Executive Pay Breakdown'!AA:AA,$B827,'Executive Pay Breakdown'!AC:AC)</f>
        <v>10799994</v>
      </c>
      <c r="E827" s="109"/>
      <c r="F827" s="69">
        <f>SUMIF('Executive Pay Breakdown'!K:K,$B827,'Executive Pay Breakdown'!M:M)</f>
        <v>0</v>
      </c>
      <c r="G827" s="69">
        <f>SUMIF('Executive Pay Breakdown'!O:O,$B827,'Executive Pay Breakdown'!Q:Q)</f>
        <v>0</v>
      </c>
      <c r="H827" s="69">
        <f>SUMIF('Executive Pay Breakdown'!S:S,$B827,'Executive Pay Breakdown'!U:U)</f>
        <v>0</v>
      </c>
      <c r="I827" s="69">
        <f>SUMIF('Executive Pay Breakdown'!W:W,$B827,'Executive Pay Breakdown'!Y:Y)</f>
        <v>5943102</v>
      </c>
      <c r="J827" s="69">
        <f>SUMIF('Executive Pay Breakdown'!AA:AA,$B827,'Executive Pay Breakdown'!AC:AC)</f>
        <v>4856892</v>
      </c>
      <c r="K827" s="118"/>
      <c r="L827" s="212"/>
      <c r="M827" s="87"/>
      <c r="N827" s="87"/>
      <c r="O827" s="120" t="str">
        <f>MATCH(C827,'Key Findings'!B:B,0)</f>
        <v>#N/A</v>
      </c>
    </row>
    <row r="828" hidden="1">
      <c r="A828" s="71"/>
      <c r="B828" s="124" t="s">
        <v>1017</v>
      </c>
      <c r="C828" s="87" t="s">
        <v>1009</v>
      </c>
      <c r="D828" s="89">
        <f>SUMIF('Executive Pay Breakdown'!K:K,$B828,'Executive Pay Breakdown'!M:M)+SUMIF('Executive Pay Breakdown'!O:O,$B828,'Executive Pay Breakdown'!Q:Q)+SUMIF('Executive Pay Breakdown'!S:S,$B828,'Executive Pay Breakdown'!U:U)+SUMIF('Executive Pay Breakdown'!W:W,$B828,'Executive Pay Breakdown'!Y:Y)+SUMIF('Executive Pay Breakdown'!AA:AA,$B828,'Executive Pay Breakdown'!AC:AC)</f>
        <v>10160768</v>
      </c>
      <c r="E828" s="109"/>
      <c r="F828" s="69">
        <f>SUMIF('Executive Pay Breakdown'!K:K,$B828,'Executive Pay Breakdown'!M:M)</f>
        <v>0</v>
      </c>
      <c r="G828" s="69">
        <f>SUMIF('Executive Pay Breakdown'!O:O,$B828,'Executive Pay Breakdown'!Q:Q)</f>
        <v>0</v>
      </c>
      <c r="H828" s="69">
        <f>SUMIF('Executive Pay Breakdown'!S:S,$B828,'Executive Pay Breakdown'!U:U)</f>
        <v>0</v>
      </c>
      <c r="I828" s="69">
        <f>SUMIF('Executive Pay Breakdown'!W:W,$B828,'Executive Pay Breakdown'!Y:Y)</f>
        <v>5923871</v>
      </c>
      <c r="J828" s="69">
        <f>SUMIF('Executive Pay Breakdown'!AA:AA,$B828,'Executive Pay Breakdown'!AC:AC)</f>
        <v>4236897</v>
      </c>
      <c r="K828" s="118"/>
      <c r="L828" s="212"/>
      <c r="M828" s="87"/>
      <c r="N828" s="87"/>
      <c r="O828" s="120" t="str">
        <f>MATCH(C828,'Key Findings'!B:B,0)</f>
        <v>#N/A</v>
      </c>
    </row>
    <row r="829" hidden="1">
      <c r="A829" s="71"/>
      <c r="B829" s="124" t="s">
        <v>1018</v>
      </c>
      <c r="C829" s="87" t="s">
        <v>1009</v>
      </c>
      <c r="D829" s="89">
        <f>SUMIF('Executive Pay Breakdown'!K:K,$B829,'Executive Pay Breakdown'!M:M)+SUMIF('Executive Pay Breakdown'!O:O,$B829,'Executive Pay Breakdown'!Q:Q)+SUMIF('Executive Pay Breakdown'!S:S,$B829,'Executive Pay Breakdown'!U:U)+SUMIF('Executive Pay Breakdown'!W:W,$B829,'Executive Pay Breakdown'!Y:Y)+SUMIF('Executive Pay Breakdown'!AA:AA,$B829,'Executive Pay Breakdown'!AC:AC)</f>
        <v>5923871</v>
      </c>
      <c r="E829" s="109"/>
      <c r="F829" s="69">
        <f>SUMIF('Executive Pay Breakdown'!K:K,$B829,'Executive Pay Breakdown'!M:M)</f>
        <v>0</v>
      </c>
      <c r="G829" s="69">
        <f>SUMIF('Executive Pay Breakdown'!O:O,$B829,'Executive Pay Breakdown'!Q:Q)</f>
        <v>0</v>
      </c>
      <c r="H829" s="69">
        <f>SUMIF('Executive Pay Breakdown'!S:S,$B829,'Executive Pay Breakdown'!U:U)</f>
        <v>0</v>
      </c>
      <c r="I829" s="69">
        <f>SUMIF('Executive Pay Breakdown'!W:W,$B829,'Executive Pay Breakdown'!Y:Y)</f>
        <v>5923871</v>
      </c>
      <c r="J829" s="69">
        <f>SUMIF('Executive Pay Breakdown'!AA:AA,$B829,'Executive Pay Breakdown'!AC:AC)</f>
        <v>0</v>
      </c>
      <c r="K829" s="118"/>
      <c r="L829" s="212"/>
      <c r="M829" s="87"/>
      <c r="N829" s="87"/>
      <c r="O829" s="120" t="str">
        <f>MATCH(C829,'Key Findings'!B:B,0)</f>
        <v>#N/A</v>
      </c>
    </row>
    <row r="830" hidden="1">
      <c r="A830" s="62"/>
      <c r="B830" s="143" t="s">
        <v>1019</v>
      </c>
      <c r="C830" s="87" t="s">
        <v>1020</v>
      </c>
      <c r="D830" s="89">
        <f>SUMIF('Executive Pay Breakdown'!K:K,$B830,'Executive Pay Breakdown'!M:M)+SUMIF('Executive Pay Breakdown'!O:O,$B830,'Executive Pay Breakdown'!Q:Q)+SUMIF('Executive Pay Breakdown'!S:S,$B830,'Executive Pay Breakdown'!U:U)+SUMIF('Executive Pay Breakdown'!W:W,$B830,'Executive Pay Breakdown'!Y:Y)+SUMIF('Executive Pay Breakdown'!AA:AA,$B830,'Executive Pay Breakdown'!AC:AC)</f>
        <v>163710098</v>
      </c>
      <c r="E830" s="109"/>
      <c r="F830" s="69">
        <f>SUMIF('Executive Pay Breakdown'!K:K,$B830,'Executive Pay Breakdown'!M:M)</f>
        <v>39398905</v>
      </c>
      <c r="G830" s="69">
        <f>SUMIF('Executive Pay Breakdown'!O:O,$B830,'Executive Pay Breakdown'!Q:Q)</f>
        <v>34941635</v>
      </c>
      <c r="H830" s="69">
        <f>SUMIF('Executive Pay Breakdown'!S:S,$B830,'Executive Pay Breakdown'!U:U)</f>
        <v>29558524</v>
      </c>
      <c r="I830" s="69">
        <f>SUMIF('Executive Pay Breakdown'!W:W,$B830,'Executive Pay Breakdown'!Y:Y)</f>
        <v>31642395</v>
      </c>
      <c r="J830" s="69">
        <f>SUMIF('Executive Pay Breakdown'!AA:AA,$B830,'Executive Pay Breakdown'!AC:AC)</f>
        <v>28168639</v>
      </c>
      <c r="K830" s="118"/>
      <c r="L830" s="212"/>
      <c r="M830" s="87"/>
      <c r="N830" s="87"/>
      <c r="O830" s="120" t="str">
        <f>MATCH(C830,'Key Findings'!B:B,0)</f>
        <v>#N/A</v>
      </c>
    </row>
    <row r="831" hidden="1">
      <c r="A831" s="62"/>
      <c r="B831" s="143" t="s">
        <v>1021</v>
      </c>
      <c r="C831" s="87" t="s">
        <v>1020</v>
      </c>
      <c r="D831" s="89">
        <f>SUMIF('Executive Pay Breakdown'!K:K,$B831,'Executive Pay Breakdown'!M:M)+SUMIF('Executive Pay Breakdown'!O:O,$B831,'Executive Pay Breakdown'!Q:Q)+SUMIF('Executive Pay Breakdown'!S:S,$B831,'Executive Pay Breakdown'!U:U)+SUMIF('Executive Pay Breakdown'!W:W,$B831,'Executive Pay Breakdown'!Y:Y)+SUMIF('Executive Pay Breakdown'!AA:AA,$B831,'Executive Pay Breakdown'!AC:AC)</f>
        <v>82642242</v>
      </c>
      <c r="E831" s="109"/>
      <c r="F831" s="69">
        <f>SUMIF('Executive Pay Breakdown'!K:K,$B831,'Executive Pay Breakdown'!M:M)</f>
        <v>20548324</v>
      </c>
      <c r="G831" s="69">
        <f>SUMIF('Executive Pay Breakdown'!O:O,$B831,'Executive Pay Breakdown'!Q:Q)</f>
        <v>18765946</v>
      </c>
      <c r="H831" s="69">
        <f>SUMIF('Executive Pay Breakdown'!S:S,$B831,'Executive Pay Breakdown'!U:U)</f>
        <v>13597924</v>
      </c>
      <c r="I831" s="69">
        <f>SUMIF('Executive Pay Breakdown'!W:W,$B831,'Executive Pay Breakdown'!Y:Y)</f>
        <v>14457481</v>
      </c>
      <c r="J831" s="69">
        <f>SUMIF('Executive Pay Breakdown'!AA:AA,$B831,'Executive Pay Breakdown'!AC:AC)</f>
        <v>15272567</v>
      </c>
      <c r="K831" s="118"/>
      <c r="L831" s="212"/>
      <c r="M831" s="87"/>
      <c r="N831" s="230"/>
      <c r="O831" s="120" t="str">
        <f>MATCH(C831,'Key Findings'!B:B,0)</f>
        <v>#N/A</v>
      </c>
    </row>
    <row r="832" hidden="1">
      <c r="A832" s="62"/>
      <c r="B832" s="143" t="s">
        <v>1022</v>
      </c>
      <c r="C832" s="87" t="s">
        <v>1020</v>
      </c>
      <c r="D832" s="89">
        <f>SUMIF('Executive Pay Breakdown'!K:K,$B832,'Executive Pay Breakdown'!M:M)+SUMIF('Executive Pay Breakdown'!O:O,$B832,'Executive Pay Breakdown'!Q:Q)+SUMIF('Executive Pay Breakdown'!S:S,$B832,'Executive Pay Breakdown'!U:U)+SUMIF('Executive Pay Breakdown'!W:W,$B832,'Executive Pay Breakdown'!Y:Y)+SUMIF('Executive Pay Breakdown'!AA:AA,$B832,'Executive Pay Breakdown'!AC:AC)</f>
        <v>75540368</v>
      </c>
      <c r="E832" s="109"/>
      <c r="F832" s="69">
        <f>SUMIF('Executive Pay Breakdown'!K:K,$B832,'Executive Pay Breakdown'!M:M)</f>
        <v>28192424</v>
      </c>
      <c r="G832" s="69">
        <f>SUMIF('Executive Pay Breakdown'!O:O,$B832,'Executive Pay Breakdown'!Q:Q)</f>
        <v>27639626</v>
      </c>
      <c r="H832" s="69">
        <f>SUMIF('Executive Pay Breakdown'!S:S,$B832,'Executive Pay Breakdown'!U:U)</f>
        <v>19708318</v>
      </c>
      <c r="I832" s="69">
        <f>SUMIF('Executive Pay Breakdown'!W:W,$B832,'Executive Pay Breakdown'!Y:Y)</f>
        <v>0</v>
      </c>
      <c r="J832" s="69">
        <f>SUMIF('Executive Pay Breakdown'!AA:AA,$B832,'Executive Pay Breakdown'!AC:AC)</f>
        <v>0</v>
      </c>
      <c r="K832" s="118"/>
      <c r="L832" s="212"/>
      <c r="M832" s="87"/>
      <c r="N832" s="87"/>
      <c r="O832" s="120" t="str">
        <f>MATCH(C832,'Key Findings'!B:B,0)</f>
        <v>#N/A</v>
      </c>
    </row>
    <row r="833" hidden="1">
      <c r="A833" s="62"/>
      <c r="B833" s="143" t="s">
        <v>1023</v>
      </c>
      <c r="C833" s="87" t="s">
        <v>1020</v>
      </c>
      <c r="D833" s="89">
        <f>SUMIF('Executive Pay Breakdown'!K:K,$B833,'Executive Pay Breakdown'!M:M)+SUMIF('Executive Pay Breakdown'!O:O,$B833,'Executive Pay Breakdown'!Q:Q)+SUMIF('Executive Pay Breakdown'!S:S,$B833,'Executive Pay Breakdown'!U:U)+SUMIF('Executive Pay Breakdown'!W:W,$B833,'Executive Pay Breakdown'!Y:Y)+SUMIF('Executive Pay Breakdown'!AA:AA,$B833,'Executive Pay Breakdown'!AC:AC)</f>
        <v>57160233</v>
      </c>
      <c r="E833" s="109"/>
      <c r="F833" s="69">
        <f>SUMIF('Executive Pay Breakdown'!K:K,$B833,'Executive Pay Breakdown'!M:M)</f>
        <v>0</v>
      </c>
      <c r="G833" s="69">
        <f>SUMIF('Executive Pay Breakdown'!O:O,$B833,'Executive Pay Breakdown'!Q:Q)</f>
        <v>17049994</v>
      </c>
      <c r="H833" s="69">
        <f>SUMIF('Executive Pay Breakdown'!S:S,$B833,'Executive Pay Breakdown'!U:U)</f>
        <v>12096401</v>
      </c>
      <c r="I833" s="69">
        <f>SUMIF('Executive Pay Breakdown'!W:W,$B833,'Executive Pay Breakdown'!Y:Y)</f>
        <v>13301403</v>
      </c>
      <c r="J833" s="69">
        <f>SUMIF('Executive Pay Breakdown'!AA:AA,$B833,'Executive Pay Breakdown'!AC:AC)</f>
        <v>14712435</v>
      </c>
      <c r="K833" s="118"/>
      <c r="L833" s="212"/>
      <c r="M833" s="87"/>
      <c r="N833" s="87"/>
      <c r="O833" s="120" t="str">
        <f>MATCH(C833,'Key Findings'!B:B,0)</f>
        <v>#N/A</v>
      </c>
    </row>
    <row r="834" hidden="1">
      <c r="A834" s="62"/>
      <c r="B834" s="143" t="s">
        <v>1024</v>
      </c>
      <c r="C834" s="87" t="s">
        <v>1020</v>
      </c>
      <c r="D834" s="89">
        <f>SUMIF('Executive Pay Breakdown'!K:K,$B834,'Executive Pay Breakdown'!M:M)+SUMIF('Executive Pay Breakdown'!O:O,$B834,'Executive Pay Breakdown'!Q:Q)+SUMIF('Executive Pay Breakdown'!S:S,$B834,'Executive Pay Breakdown'!U:U)+SUMIF('Executive Pay Breakdown'!W:W,$B834,'Executive Pay Breakdown'!Y:Y)+SUMIF('Executive Pay Breakdown'!AA:AA,$B834,'Executive Pay Breakdown'!AC:AC)</f>
        <v>55187065</v>
      </c>
      <c r="E834" s="109"/>
      <c r="F834" s="69">
        <f>SUMIF('Executive Pay Breakdown'!K:K,$B834,'Executive Pay Breakdown'!M:M)</f>
        <v>22711116</v>
      </c>
      <c r="G834" s="69">
        <f>SUMIF('Executive Pay Breakdown'!O:O,$B834,'Executive Pay Breakdown'!Q:Q)</f>
        <v>19217923</v>
      </c>
      <c r="H834" s="69">
        <f>SUMIF('Executive Pay Breakdown'!S:S,$B834,'Executive Pay Breakdown'!U:U)</f>
        <v>13258026</v>
      </c>
      <c r="I834" s="69">
        <f>SUMIF('Executive Pay Breakdown'!W:W,$B834,'Executive Pay Breakdown'!Y:Y)</f>
        <v>0</v>
      </c>
      <c r="J834" s="69">
        <f>SUMIF('Executive Pay Breakdown'!AA:AA,$B834,'Executive Pay Breakdown'!AC:AC)</f>
        <v>0</v>
      </c>
      <c r="K834" s="118"/>
      <c r="L834" s="212"/>
      <c r="M834" s="87"/>
      <c r="N834" s="87"/>
      <c r="O834" s="120" t="str">
        <f>MATCH(C834,'Key Findings'!B:B,0)</f>
        <v>#N/A</v>
      </c>
    </row>
    <row r="835" hidden="1">
      <c r="A835" s="62"/>
      <c r="B835" s="143" t="s">
        <v>1025</v>
      </c>
      <c r="C835" s="87" t="s">
        <v>1020</v>
      </c>
      <c r="D835" s="89">
        <f>SUMIF('Executive Pay Breakdown'!K:K,$B835,'Executive Pay Breakdown'!M:M)+SUMIF('Executive Pay Breakdown'!O:O,$B835,'Executive Pay Breakdown'!Q:Q)+SUMIF('Executive Pay Breakdown'!S:S,$B835,'Executive Pay Breakdown'!U:U)+SUMIF('Executive Pay Breakdown'!W:W,$B835,'Executive Pay Breakdown'!Y:Y)+SUMIF('Executive Pay Breakdown'!AA:AA,$B835,'Executive Pay Breakdown'!AC:AC)</f>
        <v>43821555</v>
      </c>
      <c r="E835" s="109"/>
      <c r="F835" s="69">
        <f>SUMIF('Executive Pay Breakdown'!K:K,$B835,'Executive Pay Breakdown'!M:M)</f>
        <v>0</v>
      </c>
      <c r="G835" s="69">
        <f>SUMIF('Executive Pay Breakdown'!O:O,$B835,'Executive Pay Breakdown'!Q:Q)</f>
        <v>0</v>
      </c>
      <c r="H835" s="69">
        <f>SUMIF('Executive Pay Breakdown'!S:S,$B835,'Executive Pay Breakdown'!U:U)</f>
        <v>0</v>
      </c>
      <c r="I835" s="69">
        <f>SUMIF('Executive Pay Breakdown'!W:W,$B835,'Executive Pay Breakdown'!Y:Y)</f>
        <v>19703187</v>
      </c>
      <c r="J835" s="69">
        <f>SUMIF('Executive Pay Breakdown'!AA:AA,$B835,'Executive Pay Breakdown'!AC:AC)</f>
        <v>24118368</v>
      </c>
      <c r="K835" s="118"/>
      <c r="L835" s="212"/>
      <c r="M835" s="87"/>
      <c r="N835" s="230"/>
      <c r="O835" s="120" t="str">
        <f>MATCH(C835,'Key Findings'!B:B,0)</f>
        <v>#N/A</v>
      </c>
    </row>
    <row r="836" hidden="1">
      <c r="A836" s="62"/>
      <c r="B836" s="143" t="s">
        <v>1026</v>
      </c>
      <c r="C836" s="87" t="s">
        <v>1020</v>
      </c>
      <c r="D836" s="89">
        <f>SUMIF('Executive Pay Breakdown'!K:K,$B836,'Executive Pay Breakdown'!M:M)+SUMIF('Executive Pay Breakdown'!O:O,$B836,'Executive Pay Breakdown'!Q:Q)+SUMIF('Executive Pay Breakdown'!S:S,$B836,'Executive Pay Breakdown'!U:U)+SUMIF('Executive Pay Breakdown'!W:W,$B836,'Executive Pay Breakdown'!Y:Y)+SUMIF('Executive Pay Breakdown'!AA:AA,$B836,'Executive Pay Breakdown'!AC:AC)</f>
        <v>23639826</v>
      </c>
      <c r="E836" s="109"/>
      <c r="F836" s="69">
        <f>SUMIF('Executive Pay Breakdown'!K:K,$B836,'Executive Pay Breakdown'!M:M)</f>
        <v>0</v>
      </c>
      <c r="G836" s="69">
        <f>SUMIF('Executive Pay Breakdown'!O:O,$B836,'Executive Pay Breakdown'!Q:Q)</f>
        <v>0</v>
      </c>
      <c r="H836" s="69">
        <f>SUMIF('Executive Pay Breakdown'!S:S,$B836,'Executive Pay Breakdown'!U:U)</f>
        <v>0</v>
      </c>
      <c r="I836" s="69">
        <f>SUMIF('Executive Pay Breakdown'!W:W,$B836,'Executive Pay Breakdown'!Y:Y)</f>
        <v>10943395</v>
      </c>
      <c r="J836" s="69">
        <f>SUMIF('Executive Pay Breakdown'!AA:AA,$B836,'Executive Pay Breakdown'!AC:AC)</f>
        <v>12696431</v>
      </c>
      <c r="K836" s="118"/>
      <c r="L836" s="212"/>
      <c r="M836" s="87"/>
      <c r="N836" s="87"/>
      <c r="O836" s="120" t="str">
        <f>MATCH(C836,'Key Findings'!B:B,0)</f>
        <v>#N/A</v>
      </c>
    </row>
    <row r="837" hidden="1">
      <c r="A837" s="62"/>
      <c r="B837" s="143" t="s">
        <v>1027</v>
      </c>
      <c r="C837" s="87" t="s">
        <v>1020</v>
      </c>
      <c r="D837" s="89">
        <f>SUMIF('Executive Pay Breakdown'!K:K,$B837,'Executive Pay Breakdown'!M:M)+SUMIF('Executive Pay Breakdown'!O:O,$B837,'Executive Pay Breakdown'!Q:Q)+SUMIF('Executive Pay Breakdown'!S:S,$B837,'Executive Pay Breakdown'!U:U)+SUMIF('Executive Pay Breakdown'!W:W,$B837,'Executive Pay Breakdown'!Y:Y)+SUMIF('Executive Pay Breakdown'!AA:AA,$B837,'Executive Pay Breakdown'!AC:AC)</f>
        <v>15293941</v>
      </c>
      <c r="E837" s="109"/>
      <c r="F837" s="69">
        <f>SUMIF('Executive Pay Breakdown'!K:K,$B837,'Executive Pay Breakdown'!M:M)</f>
        <v>10014902</v>
      </c>
      <c r="G837" s="69">
        <f>SUMIF('Executive Pay Breakdown'!O:O,$B837,'Executive Pay Breakdown'!Q:Q)</f>
        <v>5279039</v>
      </c>
      <c r="H837" s="69">
        <f>SUMIF('Executive Pay Breakdown'!S:S,$B837,'Executive Pay Breakdown'!U:U)</f>
        <v>0</v>
      </c>
      <c r="I837" s="69">
        <f>SUMIF('Executive Pay Breakdown'!W:W,$B837,'Executive Pay Breakdown'!Y:Y)</f>
        <v>0</v>
      </c>
      <c r="J837" s="69">
        <f>SUMIF('Executive Pay Breakdown'!AA:AA,$B837,'Executive Pay Breakdown'!AC:AC)</f>
        <v>0</v>
      </c>
      <c r="K837" s="118"/>
      <c r="L837" s="212"/>
      <c r="M837" s="212"/>
      <c r="N837" s="230"/>
      <c r="O837" s="120" t="str">
        <f>MATCH(C837,'Key Findings'!B:B,0)</f>
        <v>#N/A</v>
      </c>
    </row>
    <row r="838" hidden="1">
      <c r="A838" s="62"/>
      <c r="B838" s="143" t="s">
        <v>1028</v>
      </c>
      <c r="C838" s="87" t="s">
        <v>1020</v>
      </c>
      <c r="D838" s="89">
        <f>SUMIF('Executive Pay Breakdown'!K:K,$B838,'Executive Pay Breakdown'!M:M)+SUMIF('Executive Pay Breakdown'!O:O,$B838,'Executive Pay Breakdown'!Q:Q)+SUMIF('Executive Pay Breakdown'!S:S,$B838,'Executive Pay Breakdown'!U:U)+SUMIF('Executive Pay Breakdown'!W:W,$B838,'Executive Pay Breakdown'!Y:Y)+SUMIF('Executive Pay Breakdown'!AA:AA,$B838,'Executive Pay Breakdown'!AC:AC)</f>
        <v>9723963</v>
      </c>
      <c r="E838" s="109"/>
      <c r="F838" s="69">
        <f>SUMIF('Executive Pay Breakdown'!K:K,$B838,'Executive Pay Breakdown'!M:M)</f>
        <v>0</v>
      </c>
      <c r="G838" s="69">
        <f>SUMIF('Executive Pay Breakdown'!O:O,$B838,'Executive Pay Breakdown'!Q:Q)</f>
        <v>0</v>
      </c>
      <c r="H838" s="69">
        <f>SUMIF('Executive Pay Breakdown'!S:S,$B838,'Executive Pay Breakdown'!U:U)</f>
        <v>0</v>
      </c>
      <c r="I838" s="69">
        <f>SUMIF('Executive Pay Breakdown'!W:W,$B838,'Executive Pay Breakdown'!Y:Y)</f>
        <v>9723963</v>
      </c>
      <c r="J838" s="69">
        <f>SUMIF('Executive Pay Breakdown'!AA:AA,$B838,'Executive Pay Breakdown'!AC:AC)</f>
        <v>0</v>
      </c>
      <c r="K838" s="118"/>
      <c r="L838" s="212"/>
      <c r="M838" s="87"/>
      <c r="N838" s="87"/>
      <c r="O838" s="120" t="str">
        <f>MATCH(C838,'Key Findings'!B:B,0)</f>
        <v>#N/A</v>
      </c>
    </row>
    <row r="839" hidden="1">
      <c r="A839" s="81"/>
      <c r="B839" s="125" t="s">
        <v>1029</v>
      </c>
      <c r="C839" s="87" t="s">
        <v>1030</v>
      </c>
      <c r="D839" s="89">
        <f>SUMIF('Executive Pay Breakdown'!K:K,$B839,'Executive Pay Breakdown'!M:M)+SUMIF('Executive Pay Breakdown'!O:O,$B839,'Executive Pay Breakdown'!Q:Q)+SUMIF('Executive Pay Breakdown'!S:S,$B839,'Executive Pay Breakdown'!U:U)+SUMIF('Executive Pay Breakdown'!W:W,$B839,'Executive Pay Breakdown'!Y:Y)+SUMIF('Executive Pay Breakdown'!AA:AA,$B839,'Executive Pay Breakdown'!AC:AC)</f>
        <v>217879856</v>
      </c>
      <c r="E839" s="109"/>
      <c r="F839" s="69">
        <f>SUMIF('Executive Pay Breakdown'!K:K,$B839,'Executive Pay Breakdown'!M:M)</f>
        <v>54946310</v>
      </c>
      <c r="G839" s="69">
        <f>SUMIF('Executive Pay Breakdown'!O:O,$B839,'Executive Pay Breakdown'!Q:Q)</f>
        <v>49858280</v>
      </c>
      <c r="H839" s="69">
        <f>SUMIF('Executive Pay Breakdown'!S:S,$B839,'Executive Pay Breakdown'!U:U)</f>
        <v>44321788</v>
      </c>
      <c r="I839" s="69">
        <f>SUMIF('Executive Pay Breakdown'!W:W,$B839,'Executive Pay Breakdown'!Y:Y)</f>
        <v>42910215</v>
      </c>
      <c r="J839" s="69">
        <f>SUMIF('Executive Pay Breakdown'!AA:AA,$B839,'Executive Pay Breakdown'!AC:AC)</f>
        <v>25843263</v>
      </c>
      <c r="K839" s="118"/>
      <c r="L839" s="212"/>
      <c r="M839" s="87"/>
      <c r="N839" s="87"/>
      <c r="O839" s="120" t="str">
        <f>MATCH(C839,'Key Findings'!B:B,0)</f>
        <v>#N/A</v>
      </c>
    </row>
    <row r="840" hidden="1">
      <c r="A840" s="81"/>
      <c r="B840" s="125" t="s">
        <v>1031</v>
      </c>
      <c r="C840" s="87" t="s">
        <v>1030</v>
      </c>
      <c r="D840" s="89">
        <f>SUMIF('Executive Pay Breakdown'!K:K,$B840,'Executive Pay Breakdown'!M:M)+SUMIF('Executive Pay Breakdown'!O:O,$B840,'Executive Pay Breakdown'!Q:Q)+SUMIF('Executive Pay Breakdown'!S:S,$B840,'Executive Pay Breakdown'!U:U)+SUMIF('Executive Pay Breakdown'!W:W,$B840,'Executive Pay Breakdown'!Y:Y)+SUMIF('Executive Pay Breakdown'!AA:AA,$B840,'Executive Pay Breakdown'!AC:AC)</f>
        <v>104564047</v>
      </c>
      <c r="E840" s="109"/>
      <c r="F840" s="69">
        <f>SUMIF('Executive Pay Breakdown'!K:K,$B840,'Executive Pay Breakdown'!M:M)</f>
        <v>26319581</v>
      </c>
      <c r="G840" s="69">
        <f>SUMIF('Executive Pay Breakdown'!O:O,$B840,'Executive Pay Breakdown'!Q:Q)</f>
        <v>23466141</v>
      </c>
      <c r="H840" s="69">
        <f>SUMIF('Executive Pay Breakdown'!S:S,$B840,'Executive Pay Breakdown'!U:U)</f>
        <v>19626234</v>
      </c>
      <c r="I840" s="69">
        <f>SUMIF('Executive Pay Breakdown'!W:W,$B840,'Executive Pay Breakdown'!Y:Y)</f>
        <v>20227634</v>
      </c>
      <c r="J840" s="69">
        <f>SUMIF('Executive Pay Breakdown'!AA:AA,$B840,'Executive Pay Breakdown'!AC:AC)</f>
        <v>14924457</v>
      </c>
      <c r="K840" s="118"/>
      <c r="L840" s="212"/>
      <c r="M840" s="87"/>
      <c r="N840" s="87"/>
      <c r="O840" s="120" t="str">
        <f>MATCH(C840,'Key Findings'!B:B,0)</f>
        <v>#N/A</v>
      </c>
    </row>
    <row r="841" hidden="1">
      <c r="A841" s="81"/>
      <c r="B841" s="125" t="s">
        <v>1032</v>
      </c>
      <c r="C841" s="87" t="s">
        <v>1030</v>
      </c>
      <c r="D841" s="89">
        <f>SUMIF('Executive Pay Breakdown'!K:K,$B841,'Executive Pay Breakdown'!M:M)+SUMIF('Executive Pay Breakdown'!O:O,$B841,'Executive Pay Breakdown'!Q:Q)+SUMIF('Executive Pay Breakdown'!S:S,$B841,'Executive Pay Breakdown'!U:U)+SUMIF('Executive Pay Breakdown'!W:W,$B841,'Executive Pay Breakdown'!Y:Y)+SUMIF('Executive Pay Breakdown'!AA:AA,$B841,'Executive Pay Breakdown'!AC:AC)</f>
        <v>91416968</v>
      </c>
      <c r="E841" s="109"/>
      <c r="F841" s="69">
        <f>SUMIF('Executive Pay Breakdown'!K:K,$B841,'Executive Pay Breakdown'!M:M)</f>
        <v>23408739</v>
      </c>
      <c r="G841" s="69">
        <f>SUMIF('Executive Pay Breakdown'!O:O,$B841,'Executive Pay Breakdown'!Q:Q)</f>
        <v>20455896</v>
      </c>
      <c r="H841" s="69">
        <f>SUMIF('Executive Pay Breakdown'!S:S,$B841,'Executive Pay Breakdown'!U:U)</f>
        <v>16667713</v>
      </c>
      <c r="I841" s="69">
        <f>SUMIF('Executive Pay Breakdown'!W:W,$B841,'Executive Pay Breakdown'!Y:Y)</f>
        <v>17372997</v>
      </c>
      <c r="J841" s="69">
        <f>SUMIF('Executive Pay Breakdown'!AA:AA,$B841,'Executive Pay Breakdown'!AC:AC)</f>
        <v>13511623</v>
      </c>
      <c r="K841" s="118"/>
      <c r="L841" s="212"/>
      <c r="M841" s="87"/>
      <c r="N841" s="87"/>
      <c r="O841" s="120" t="str">
        <f>MATCH(C841,'Key Findings'!B:B,0)</f>
        <v>#N/A</v>
      </c>
    </row>
    <row r="842" hidden="1">
      <c r="A842" s="81"/>
      <c r="B842" s="125" t="s">
        <v>1033</v>
      </c>
      <c r="C842" s="87" t="s">
        <v>1030</v>
      </c>
      <c r="D842" s="89">
        <f>SUMIF('Executive Pay Breakdown'!K:K,$B842,'Executive Pay Breakdown'!M:M)+SUMIF('Executive Pay Breakdown'!O:O,$B842,'Executive Pay Breakdown'!Q:Q)+SUMIF('Executive Pay Breakdown'!S:S,$B842,'Executive Pay Breakdown'!U:U)+SUMIF('Executive Pay Breakdown'!W:W,$B842,'Executive Pay Breakdown'!Y:Y)+SUMIF('Executive Pay Breakdown'!AA:AA,$B842,'Executive Pay Breakdown'!AC:AC)</f>
        <v>56970172</v>
      </c>
      <c r="E842" s="109"/>
      <c r="F842" s="69">
        <f>SUMIF('Executive Pay Breakdown'!K:K,$B842,'Executive Pay Breakdown'!M:M)</f>
        <v>0</v>
      </c>
      <c r="G842" s="69">
        <f>SUMIF('Executive Pay Breakdown'!O:O,$B842,'Executive Pay Breakdown'!Q:Q)</f>
        <v>16809865</v>
      </c>
      <c r="H842" s="69">
        <f>SUMIF('Executive Pay Breakdown'!S:S,$B842,'Executive Pay Breakdown'!U:U)</f>
        <v>13949304</v>
      </c>
      <c r="I842" s="69">
        <f>SUMIF('Executive Pay Breakdown'!W:W,$B842,'Executive Pay Breakdown'!Y:Y)</f>
        <v>15084754</v>
      </c>
      <c r="J842" s="69">
        <f>SUMIF('Executive Pay Breakdown'!AA:AA,$B842,'Executive Pay Breakdown'!AC:AC)</f>
        <v>11126249</v>
      </c>
      <c r="K842" s="118"/>
      <c r="L842" s="212"/>
      <c r="M842" s="87"/>
      <c r="N842" s="87"/>
      <c r="O842" s="120" t="str">
        <f>MATCH(C842,'Key Findings'!B:B,0)</f>
        <v>#N/A</v>
      </c>
    </row>
    <row r="843" hidden="1">
      <c r="A843" s="81"/>
      <c r="B843" s="125" t="s">
        <v>1034</v>
      </c>
      <c r="C843" s="87" t="s">
        <v>1030</v>
      </c>
      <c r="D843" s="89">
        <f>SUMIF('Executive Pay Breakdown'!K:K,$B843,'Executive Pay Breakdown'!M:M)+SUMIF('Executive Pay Breakdown'!O:O,$B843,'Executive Pay Breakdown'!Q:Q)+SUMIF('Executive Pay Breakdown'!S:S,$B843,'Executive Pay Breakdown'!U:U)+SUMIF('Executive Pay Breakdown'!W:W,$B843,'Executive Pay Breakdown'!Y:Y)+SUMIF('Executive Pay Breakdown'!AA:AA,$B843,'Executive Pay Breakdown'!AC:AC)</f>
        <v>40215541</v>
      </c>
      <c r="E843" s="109"/>
      <c r="F843" s="69">
        <f>SUMIF('Executive Pay Breakdown'!K:K,$B843,'Executive Pay Breakdown'!M:M)</f>
        <v>11720458</v>
      </c>
      <c r="G843" s="69">
        <f>SUMIF('Executive Pay Breakdown'!O:O,$B843,'Executive Pay Breakdown'!Q:Q)</f>
        <v>28495083</v>
      </c>
      <c r="H843" s="69">
        <f>SUMIF('Executive Pay Breakdown'!S:S,$B843,'Executive Pay Breakdown'!U:U)</f>
        <v>0</v>
      </c>
      <c r="I843" s="69">
        <f>SUMIF('Executive Pay Breakdown'!W:W,$B843,'Executive Pay Breakdown'!Y:Y)</f>
        <v>0</v>
      </c>
      <c r="J843" s="69">
        <f>SUMIF('Executive Pay Breakdown'!AA:AA,$B843,'Executive Pay Breakdown'!AC:AC)</f>
        <v>0</v>
      </c>
      <c r="K843" s="118"/>
      <c r="L843" s="212"/>
      <c r="M843" s="212"/>
      <c r="N843" s="230"/>
      <c r="O843" s="120" t="str">
        <f>MATCH(C843,'Key Findings'!B:B,0)</f>
        <v>#N/A</v>
      </c>
    </row>
    <row r="844" hidden="1">
      <c r="A844" s="81"/>
      <c r="B844" s="125" t="s">
        <v>1035</v>
      </c>
      <c r="C844" s="87" t="s">
        <v>1030</v>
      </c>
      <c r="D844" s="89">
        <f>SUMIF('Executive Pay Breakdown'!K:K,$B844,'Executive Pay Breakdown'!M:M)+SUMIF('Executive Pay Breakdown'!O:O,$B844,'Executive Pay Breakdown'!Q:Q)+SUMIF('Executive Pay Breakdown'!S:S,$B844,'Executive Pay Breakdown'!U:U)+SUMIF('Executive Pay Breakdown'!W:W,$B844,'Executive Pay Breakdown'!Y:Y)+SUMIF('Executive Pay Breakdown'!AA:AA,$B844,'Executive Pay Breakdown'!AC:AC)</f>
        <v>28766146</v>
      </c>
      <c r="E844" s="109"/>
      <c r="F844" s="69">
        <f>SUMIF('Executive Pay Breakdown'!K:K,$B844,'Executive Pay Breakdown'!M:M)</f>
        <v>0</v>
      </c>
      <c r="G844" s="69">
        <f>SUMIF('Executive Pay Breakdown'!O:O,$B844,'Executive Pay Breakdown'!Q:Q)</f>
        <v>0</v>
      </c>
      <c r="H844" s="69">
        <f>SUMIF('Executive Pay Breakdown'!S:S,$B844,'Executive Pay Breakdown'!U:U)</f>
        <v>9575482</v>
      </c>
      <c r="I844" s="69">
        <f>SUMIF('Executive Pay Breakdown'!W:W,$B844,'Executive Pay Breakdown'!Y:Y)</f>
        <v>10432649</v>
      </c>
      <c r="J844" s="69">
        <f>SUMIF('Executive Pay Breakdown'!AA:AA,$B844,'Executive Pay Breakdown'!AC:AC)</f>
        <v>8758015</v>
      </c>
      <c r="K844" s="118"/>
      <c r="L844" s="212"/>
      <c r="M844" s="87"/>
      <c r="N844" s="87"/>
      <c r="O844" s="120" t="str">
        <f>MATCH(C844,'Key Findings'!B:B,0)</f>
        <v>#N/A</v>
      </c>
    </row>
    <row r="845" hidden="1">
      <c r="A845" s="81"/>
      <c r="B845" s="125" t="s">
        <v>1036</v>
      </c>
      <c r="C845" s="87" t="s">
        <v>1030</v>
      </c>
      <c r="D845" s="89">
        <f>SUMIF('Executive Pay Breakdown'!K:K,$B845,'Executive Pay Breakdown'!M:M)+SUMIF('Executive Pay Breakdown'!O:O,$B845,'Executive Pay Breakdown'!Q:Q)+SUMIF('Executive Pay Breakdown'!S:S,$B845,'Executive Pay Breakdown'!U:U)+SUMIF('Executive Pay Breakdown'!W:W,$B845,'Executive Pay Breakdown'!Y:Y)+SUMIF('Executive Pay Breakdown'!AA:AA,$B845,'Executive Pay Breakdown'!AC:AC)</f>
        <v>18848998</v>
      </c>
      <c r="E845" s="109"/>
      <c r="F845" s="69">
        <f>SUMIF('Executive Pay Breakdown'!K:K,$B845,'Executive Pay Breakdown'!M:M)</f>
        <v>18848998</v>
      </c>
      <c r="G845" s="69">
        <f>SUMIF('Executive Pay Breakdown'!O:O,$B845,'Executive Pay Breakdown'!Q:Q)</f>
        <v>0</v>
      </c>
      <c r="H845" s="69">
        <f>SUMIF('Executive Pay Breakdown'!S:S,$B845,'Executive Pay Breakdown'!U:U)</f>
        <v>0</v>
      </c>
      <c r="I845" s="69">
        <f>SUMIF('Executive Pay Breakdown'!W:W,$B845,'Executive Pay Breakdown'!Y:Y)</f>
        <v>0</v>
      </c>
      <c r="J845" s="69">
        <f>SUMIF('Executive Pay Breakdown'!AA:AA,$B845,'Executive Pay Breakdown'!AC:AC)</f>
        <v>0</v>
      </c>
      <c r="K845" s="118"/>
      <c r="L845" s="212"/>
      <c r="M845" s="87"/>
      <c r="N845" s="230"/>
      <c r="O845" s="120" t="str">
        <f>MATCH(C845,'Key Findings'!B:B,0)</f>
        <v>#N/A</v>
      </c>
    </row>
    <row r="846" hidden="1">
      <c r="A846" s="81" t="s">
        <v>86</v>
      </c>
      <c r="B846" s="134" t="s">
        <v>1037</v>
      </c>
      <c r="C846" s="87" t="s">
        <v>1038</v>
      </c>
      <c r="D846" s="89">
        <f>SUMIF('Executive Pay Breakdown'!K:K,$B846,'Executive Pay Breakdown'!M:M)+SUMIF('Executive Pay Breakdown'!O:O,$B846,'Executive Pay Breakdown'!Q:Q)+SUMIF('Executive Pay Breakdown'!S:S,$B846,'Executive Pay Breakdown'!U:U)+SUMIF('Executive Pay Breakdown'!W:W,$B846,'Executive Pay Breakdown'!Y:Y)+SUMIF('Executive Pay Breakdown'!AA:AA,$B846,'Executive Pay Breakdown'!AC:AC)</f>
        <v>144275234</v>
      </c>
      <c r="E846" s="109"/>
      <c r="F846" s="69">
        <f>SUMIF('Executive Pay Breakdown'!K:K,$B846,'Executive Pay Breakdown'!M:M)</f>
        <v>33399764</v>
      </c>
      <c r="G846" s="69">
        <f>SUMIF('Executive Pay Breakdown'!O:O,$B846,'Executive Pay Breakdown'!Q:Q)</f>
        <v>35248901</v>
      </c>
      <c r="H846" s="69">
        <f>SUMIF('Executive Pay Breakdown'!S:S,$B846,'Executive Pay Breakdown'!U:U)</f>
        <v>24754004</v>
      </c>
      <c r="I846" s="69">
        <f>SUMIF('Executive Pay Breakdown'!W:W,$B846,'Executive Pay Breakdown'!Y:Y)</f>
        <v>27144147</v>
      </c>
      <c r="J846" s="69">
        <f>SUMIF('Executive Pay Breakdown'!AA:AA,$B846,'Executive Pay Breakdown'!AC:AC)</f>
        <v>23728418</v>
      </c>
      <c r="K846" s="118"/>
      <c r="L846" s="212"/>
      <c r="M846" s="87"/>
      <c r="N846" s="87"/>
      <c r="O846" s="120" t="str">
        <f>MATCH(C846,'Key Findings'!B:B,0)</f>
        <v>#N/A</v>
      </c>
    </row>
    <row r="847" hidden="1">
      <c r="A847" s="81"/>
      <c r="B847" s="134" t="s">
        <v>1039</v>
      </c>
      <c r="C847" s="87" t="s">
        <v>1038</v>
      </c>
      <c r="D847" s="89">
        <f>SUMIF('Executive Pay Breakdown'!K:K,$B847,'Executive Pay Breakdown'!M:M)+SUMIF('Executive Pay Breakdown'!O:O,$B847,'Executive Pay Breakdown'!Q:Q)+SUMIF('Executive Pay Breakdown'!S:S,$B847,'Executive Pay Breakdown'!U:U)+SUMIF('Executive Pay Breakdown'!W:W,$B847,'Executive Pay Breakdown'!Y:Y)+SUMIF('Executive Pay Breakdown'!AA:AA,$B847,'Executive Pay Breakdown'!AC:AC)</f>
        <v>141455246</v>
      </c>
      <c r="E847" s="109"/>
      <c r="F847" s="69">
        <f>SUMIF('Executive Pay Breakdown'!K:K,$B847,'Executive Pay Breakdown'!M:M)</f>
        <v>22591304</v>
      </c>
      <c r="G847" s="69">
        <f>SUMIF('Executive Pay Breakdown'!O:O,$B847,'Executive Pay Breakdown'!Q:Q)</f>
        <v>29076694</v>
      </c>
      <c r="H847" s="69">
        <f>SUMIF('Executive Pay Breakdown'!S:S,$B847,'Executive Pay Breakdown'!U:U)</f>
        <v>69682654</v>
      </c>
      <c r="I847" s="69">
        <f>SUMIF('Executive Pay Breakdown'!W:W,$B847,'Executive Pay Breakdown'!Y:Y)</f>
        <v>418481</v>
      </c>
      <c r="J847" s="69">
        <f>SUMIF('Executive Pay Breakdown'!AA:AA,$B847,'Executive Pay Breakdown'!AC:AC)</f>
        <v>19686113</v>
      </c>
      <c r="K847" s="118"/>
      <c r="L847" s="212"/>
      <c r="M847" s="87"/>
      <c r="N847" s="87"/>
      <c r="O847" s="120" t="str">
        <f>MATCH(C847,'Key Findings'!B:B,0)</f>
        <v>#N/A</v>
      </c>
    </row>
    <row r="848" hidden="1">
      <c r="A848" s="81" t="s">
        <v>86</v>
      </c>
      <c r="B848" s="134" t="s">
        <v>1040</v>
      </c>
      <c r="C848" s="87" t="s">
        <v>1038</v>
      </c>
      <c r="D848" s="89">
        <f>SUMIF('Executive Pay Breakdown'!K:K,$B848,'Executive Pay Breakdown'!M:M)+SUMIF('Executive Pay Breakdown'!O:O,$B848,'Executive Pay Breakdown'!Q:Q)+SUMIF('Executive Pay Breakdown'!S:S,$B848,'Executive Pay Breakdown'!U:U)+SUMIF('Executive Pay Breakdown'!W:W,$B848,'Executive Pay Breakdown'!Y:Y)+SUMIF('Executive Pay Breakdown'!AA:AA,$B848,'Executive Pay Breakdown'!AC:AC)</f>
        <v>125192260</v>
      </c>
      <c r="E848" s="109"/>
      <c r="F848" s="69">
        <f>SUMIF('Executive Pay Breakdown'!K:K,$B848,'Executive Pay Breakdown'!M:M)</f>
        <v>27110418</v>
      </c>
      <c r="G848" s="69">
        <f>SUMIF('Executive Pay Breakdown'!O:O,$B848,'Executive Pay Breakdown'!Q:Q)</f>
        <v>26823061</v>
      </c>
      <c r="H848" s="69">
        <f>SUMIF('Executive Pay Breakdown'!S:S,$B848,'Executive Pay Breakdown'!U:U)</f>
        <v>25288265</v>
      </c>
      <c r="I848" s="69">
        <f>SUMIF('Executive Pay Breakdown'!W:W,$B848,'Executive Pay Breakdown'!Y:Y)</f>
        <v>23415973</v>
      </c>
      <c r="J848" s="69">
        <f>SUMIF('Executive Pay Breakdown'!AA:AA,$B848,'Executive Pay Breakdown'!AC:AC)</f>
        <v>22554543</v>
      </c>
      <c r="K848" s="118"/>
      <c r="L848" s="212"/>
      <c r="M848" s="87"/>
      <c r="N848" s="87"/>
      <c r="O848" s="120" t="str">
        <f>MATCH(C848,'Key Findings'!B:B,0)</f>
        <v>#N/A</v>
      </c>
    </row>
    <row r="849" hidden="1">
      <c r="A849" s="81"/>
      <c r="B849" s="134" t="s">
        <v>1041</v>
      </c>
      <c r="C849" s="87" t="s">
        <v>1038</v>
      </c>
      <c r="D849" s="89">
        <f>SUMIF('Executive Pay Breakdown'!K:K,$B849,'Executive Pay Breakdown'!M:M)+SUMIF('Executive Pay Breakdown'!O:O,$B849,'Executive Pay Breakdown'!Q:Q)+SUMIF('Executive Pay Breakdown'!S:S,$B849,'Executive Pay Breakdown'!U:U)+SUMIF('Executive Pay Breakdown'!W:W,$B849,'Executive Pay Breakdown'!Y:Y)+SUMIF('Executive Pay Breakdown'!AA:AA,$B849,'Executive Pay Breakdown'!AC:AC)</f>
        <v>101643969</v>
      </c>
      <c r="E849" s="109"/>
      <c r="F849" s="69">
        <f>SUMIF('Executive Pay Breakdown'!K:K,$B849,'Executive Pay Breakdown'!M:M)</f>
        <v>20130081</v>
      </c>
      <c r="G849" s="69">
        <f>SUMIF('Executive Pay Breakdown'!O:O,$B849,'Executive Pay Breakdown'!Q:Q)</f>
        <v>24352502</v>
      </c>
      <c r="H849" s="69">
        <f>SUMIF('Executive Pay Breakdown'!S:S,$B849,'Executive Pay Breakdown'!U:U)</f>
        <v>16141237</v>
      </c>
      <c r="I849" s="69">
        <f>SUMIF('Executive Pay Breakdown'!W:W,$B849,'Executive Pay Breakdown'!Y:Y)</f>
        <v>21334036</v>
      </c>
      <c r="J849" s="69">
        <f>SUMIF('Executive Pay Breakdown'!AA:AA,$B849,'Executive Pay Breakdown'!AC:AC)</f>
        <v>19686113</v>
      </c>
      <c r="K849" s="118"/>
      <c r="L849" s="212"/>
      <c r="M849" s="87"/>
      <c r="N849" s="230"/>
      <c r="O849" s="120" t="str">
        <f>MATCH(C849,'Key Findings'!B:B,0)</f>
        <v>#N/A</v>
      </c>
    </row>
    <row r="850" hidden="1">
      <c r="A850" s="81"/>
      <c r="B850" s="134" t="s">
        <v>1042</v>
      </c>
      <c r="C850" s="87" t="s">
        <v>1038</v>
      </c>
      <c r="D850" s="89">
        <f>SUMIF('Executive Pay Breakdown'!K:K,$B850,'Executive Pay Breakdown'!M:M)+SUMIF('Executive Pay Breakdown'!O:O,$B850,'Executive Pay Breakdown'!Q:Q)+SUMIF('Executive Pay Breakdown'!S:S,$B850,'Executive Pay Breakdown'!U:U)+SUMIF('Executive Pay Breakdown'!W:W,$B850,'Executive Pay Breakdown'!Y:Y)+SUMIF('Executive Pay Breakdown'!AA:AA,$B850,'Executive Pay Breakdown'!AC:AC)</f>
        <v>57623715</v>
      </c>
      <c r="E850" s="109"/>
      <c r="F850" s="69">
        <f>SUMIF('Executive Pay Breakdown'!K:K,$B850,'Executive Pay Breakdown'!M:M)</f>
        <v>0</v>
      </c>
      <c r="G850" s="69">
        <f>SUMIF('Executive Pay Breakdown'!O:O,$B850,'Executive Pay Breakdown'!Q:Q)</f>
        <v>0</v>
      </c>
      <c r="H850" s="69">
        <f>SUMIF('Executive Pay Breakdown'!S:S,$B850,'Executive Pay Breakdown'!U:U)</f>
        <v>16053375</v>
      </c>
      <c r="I850" s="69">
        <f>SUMIF('Executive Pay Breakdown'!W:W,$B850,'Executive Pay Breakdown'!Y:Y)</f>
        <v>21812977</v>
      </c>
      <c r="J850" s="69">
        <f>SUMIF('Executive Pay Breakdown'!AA:AA,$B850,'Executive Pay Breakdown'!AC:AC)</f>
        <v>19757363</v>
      </c>
      <c r="K850" s="118"/>
      <c r="L850" s="212"/>
      <c r="M850" s="87"/>
      <c r="N850" s="87"/>
      <c r="O850" s="120" t="str">
        <f>MATCH(C850,'Key Findings'!B:B,0)</f>
        <v>#N/A</v>
      </c>
    </row>
    <row r="851" hidden="1">
      <c r="A851" s="81"/>
      <c r="B851" s="134" t="s">
        <v>1043</v>
      </c>
      <c r="C851" s="87" t="s">
        <v>1038</v>
      </c>
      <c r="D851" s="89">
        <f>SUMIF('Executive Pay Breakdown'!K:K,$B851,'Executive Pay Breakdown'!M:M)+SUMIF('Executive Pay Breakdown'!O:O,$B851,'Executive Pay Breakdown'!Q:Q)+SUMIF('Executive Pay Breakdown'!S:S,$B851,'Executive Pay Breakdown'!U:U)+SUMIF('Executive Pay Breakdown'!W:W,$B851,'Executive Pay Breakdown'!Y:Y)+SUMIF('Executive Pay Breakdown'!AA:AA,$B851,'Executive Pay Breakdown'!AC:AC)</f>
        <v>26390568</v>
      </c>
      <c r="E851" s="109"/>
      <c r="F851" s="69">
        <f>SUMIF('Executive Pay Breakdown'!K:K,$B851,'Executive Pay Breakdown'!M:M)</f>
        <v>0</v>
      </c>
      <c r="G851" s="69">
        <f>SUMIF('Executive Pay Breakdown'!O:O,$B851,'Executive Pay Breakdown'!Q:Q)</f>
        <v>26390568</v>
      </c>
      <c r="H851" s="69">
        <f>SUMIF('Executive Pay Breakdown'!S:S,$B851,'Executive Pay Breakdown'!U:U)</f>
        <v>0</v>
      </c>
      <c r="I851" s="69">
        <f>SUMIF('Executive Pay Breakdown'!W:W,$B851,'Executive Pay Breakdown'!Y:Y)</f>
        <v>0</v>
      </c>
      <c r="J851" s="69">
        <f>SUMIF('Executive Pay Breakdown'!AA:AA,$B851,'Executive Pay Breakdown'!AC:AC)</f>
        <v>0</v>
      </c>
      <c r="K851" s="118"/>
      <c r="L851" s="212"/>
      <c r="M851" s="212"/>
      <c r="N851" s="87"/>
      <c r="O851" s="120" t="str">
        <f>MATCH(C851,'Key Findings'!B:B,0)</f>
        <v>#N/A</v>
      </c>
    </row>
    <row r="852" hidden="1">
      <c r="A852" s="81"/>
      <c r="B852" s="134" t="s">
        <v>1044</v>
      </c>
      <c r="C852" s="87" t="s">
        <v>1038</v>
      </c>
      <c r="D852" s="89">
        <f>SUMIF('Executive Pay Breakdown'!K:K,$B852,'Executive Pay Breakdown'!M:M)+SUMIF('Executive Pay Breakdown'!O:O,$B852,'Executive Pay Breakdown'!Q:Q)+SUMIF('Executive Pay Breakdown'!S:S,$B852,'Executive Pay Breakdown'!U:U)+SUMIF('Executive Pay Breakdown'!W:W,$B852,'Executive Pay Breakdown'!Y:Y)+SUMIF('Executive Pay Breakdown'!AA:AA,$B852,'Executive Pay Breakdown'!AC:AC)</f>
        <v>21267164</v>
      </c>
      <c r="E852" s="109"/>
      <c r="F852" s="69">
        <f>SUMIF('Executive Pay Breakdown'!K:K,$B852,'Executive Pay Breakdown'!M:M)</f>
        <v>21267164</v>
      </c>
      <c r="G852" s="69">
        <f>SUMIF('Executive Pay Breakdown'!O:O,$B852,'Executive Pay Breakdown'!Q:Q)</f>
        <v>0</v>
      </c>
      <c r="H852" s="69">
        <f>SUMIF('Executive Pay Breakdown'!S:S,$B852,'Executive Pay Breakdown'!U:U)</f>
        <v>0</v>
      </c>
      <c r="I852" s="69">
        <f>SUMIF('Executive Pay Breakdown'!W:W,$B852,'Executive Pay Breakdown'!Y:Y)</f>
        <v>0</v>
      </c>
      <c r="J852" s="69">
        <f>SUMIF('Executive Pay Breakdown'!AA:AA,$B852,'Executive Pay Breakdown'!AC:AC)</f>
        <v>0</v>
      </c>
      <c r="K852" s="118"/>
      <c r="L852" s="212"/>
      <c r="M852" s="87"/>
      <c r="N852" s="87"/>
      <c r="O852" s="120" t="str">
        <f>MATCH(C852,'Key Findings'!B:B,0)</f>
        <v>#N/A</v>
      </c>
    </row>
    <row r="853" hidden="1">
      <c r="A853" s="81"/>
      <c r="B853" s="134" t="s">
        <v>1045</v>
      </c>
      <c r="C853" s="87" t="s">
        <v>1038</v>
      </c>
      <c r="D853" s="89">
        <f>SUMIF('Executive Pay Breakdown'!K:K,$B853,'Executive Pay Breakdown'!M:M)+SUMIF('Executive Pay Breakdown'!O:O,$B853,'Executive Pay Breakdown'!Q:Q)+SUMIF('Executive Pay Breakdown'!S:S,$B853,'Executive Pay Breakdown'!U:U)+SUMIF('Executive Pay Breakdown'!W:W,$B853,'Executive Pay Breakdown'!Y:Y)+SUMIF('Executive Pay Breakdown'!AA:AA,$B853,'Executive Pay Breakdown'!AC:AC)</f>
        <v>20261878</v>
      </c>
      <c r="E853" s="109"/>
      <c r="F853" s="69">
        <f>SUMIF('Executive Pay Breakdown'!K:K,$B853,'Executive Pay Breakdown'!M:M)</f>
        <v>20261878</v>
      </c>
      <c r="G853" s="69">
        <f>SUMIF('Executive Pay Breakdown'!O:O,$B853,'Executive Pay Breakdown'!Q:Q)</f>
        <v>0</v>
      </c>
      <c r="H853" s="69">
        <f>SUMIF('Executive Pay Breakdown'!S:S,$B853,'Executive Pay Breakdown'!U:U)</f>
        <v>0</v>
      </c>
      <c r="I853" s="69">
        <f>SUMIF('Executive Pay Breakdown'!W:W,$B853,'Executive Pay Breakdown'!Y:Y)</f>
        <v>0</v>
      </c>
      <c r="J853" s="69">
        <f>SUMIF('Executive Pay Breakdown'!AA:AA,$B853,'Executive Pay Breakdown'!AC:AC)</f>
        <v>0</v>
      </c>
      <c r="K853" s="118"/>
      <c r="L853" s="212"/>
      <c r="M853" s="87"/>
      <c r="N853" s="230"/>
      <c r="O853" s="120" t="str">
        <f>MATCH(C853,'Key Findings'!B:B,0)</f>
        <v>#N/A</v>
      </c>
    </row>
    <row r="854" hidden="1">
      <c r="A854" s="81"/>
      <c r="B854" s="134" t="s">
        <v>1046</v>
      </c>
      <c r="C854" s="87" t="s">
        <v>1038</v>
      </c>
      <c r="D854" s="89">
        <f>SUMIF('Executive Pay Breakdown'!K:K,$B854,'Executive Pay Breakdown'!M:M)+SUMIF('Executive Pay Breakdown'!O:O,$B854,'Executive Pay Breakdown'!Q:Q)+SUMIF('Executive Pay Breakdown'!S:S,$B854,'Executive Pay Breakdown'!U:U)+SUMIF('Executive Pay Breakdown'!W:W,$B854,'Executive Pay Breakdown'!Y:Y)+SUMIF('Executive Pay Breakdown'!AA:AA,$B854,'Executive Pay Breakdown'!AC:AC)</f>
        <v>19136745</v>
      </c>
      <c r="E854" s="109"/>
      <c r="F854" s="69">
        <f>SUMIF('Executive Pay Breakdown'!K:K,$B854,'Executive Pay Breakdown'!M:M)</f>
        <v>0</v>
      </c>
      <c r="G854" s="69">
        <f>SUMIF('Executive Pay Breakdown'!O:O,$B854,'Executive Pay Breakdown'!Q:Q)</f>
        <v>0</v>
      </c>
      <c r="H854" s="69">
        <f>SUMIF('Executive Pay Breakdown'!S:S,$B854,'Executive Pay Breakdown'!U:U)</f>
        <v>0</v>
      </c>
      <c r="I854" s="69">
        <f>SUMIF('Executive Pay Breakdown'!W:W,$B854,'Executive Pay Breakdown'!Y:Y)</f>
        <v>19136745</v>
      </c>
      <c r="J854" s="69">
        <f>SUMIF('Executive Pay Breakdown'!AA:AA,$B854,'Executive Pay Breakdown'!AC:AC)</f>
        <v>0</v>
      </c>
      <c r="K854" s="118"/>
      <c r="L854" s="212"/>
      <c r="M854" s="87"/>
      <c r="N854" s="87"/>
      <c r="O854" s="120" t="str">
        <f>MATCH(C854,'Key Findings'!B:B,0)</f>
        <v>#N/A</v>
      </c>
    </row>
    <row r="855" hidden="1">
      <c r="A855" s="81"/>
      <c r="B855" s="134" t="s">
        <v>1047</v>
      </c>
      <c r="C855" s="87" t="s">
        <v>1038</v>
      </c>
      <c r="D855" s="89">
        <f>SUMIF('Executive Pay Breakdown'!K:K,$B855,'Executive Pay Breakdown'!M:M)+SUMIF('Executive Pay Breakdown'!O:O,$B855,'Executive Pay Breakdown'!Q:Q)+SUMIF('Executive Pay Breakdown'!S:S,$B855,'Executive Pay Breakdown'!U:U)+SUMIF('Executive Pay Breakdown'!W:W,$B855,'Executive Pay Breakdown'!Y:Y)+SUMIF('Executive Pay Breakdown'!AA:AA,$B855,'Executive Pay Breakdown'!AC:AC)</f>
        <v>15209487</v>
      </c>
      <c r="E855" s="109"/>
      <c r="F855" s="69">
        <f>SUMIF('Executive Pay Breakdown'!K:K,$B855,'Executive Pay Breakdown'!M:M)</f>
        <v>15209487</v>
      </c>
      <c r="G855" s="69">
        <f>SUMIF('Executive Pay Breakdown'!O:O,$B855,'Executive Pay Breakdown'!Q:Q)</f>
        <v>0</v>
      </c>
      <c r="H855" s="69">
        <f>SUMIF('Executive Pay Breakdown'!S:S,$B855,'Executive Pay Breakdown'!U:U)</f>
        <v>0</v>
      </c>
      <c r="I855" s="69">
        <f>SUMIF('Executive Pay Breakdown'!W:W,$B855,'Executive Pay Breakdown'!Y:Y)</f>
        <v>0</v>
      </c>
      <c r="J855" s="69">
        <f>SUMIF('Executive Pay Breakdown'!AA:AA,$B855,'Executive Pay Breakdown'!AC:AC)</f>
        <v>0</v>
      </c>
      <c r="K855" s="118"/>
      <c r="L855" s="212"/>
      <c r="M855" s="87"/>
      <c r="N855" s="230"/>
      <c r="O855" s="120" t="str">
        <f>MATCH(C855,'Key Findings'!B:B,0)</f>
        <v>#N/A</v>
      </c>
    </row>
    <row r="856" hidden="1">
      <c r="A856" s="62"/>
      <c r="B856" s="127" t="s">
        <v>1048</v>
      </c>
      <c r="C856" s="87" t="s">
        <v>1049</v>
      </c>
      <c r="D856" s="89">
        <f>SUMIF('Executive Pay Breakdown'!K:K,$B856,'Executive Pay Breakdown'!M:M)+SUMIF('Executive Pay Breakdown'!O:O,$B856,'Executive Pay Breakdown'!Q:Q)+SUMIF('Executive Pay Breakdown'!S:S,$B856,'Executive Pay Breakdown'!U:U)+SUMIF('Executive Pay Breakdown'!W:W,$B856,'Executive Pay Breakdown'!Y:Y)+SUMIF('Executive Pay Breakdown'!AA:AA,$B856,'Executive Pay Breakdown'!AC:AC)</f>
        <v>58553173</v>
      </c>
      <c r="E856" s="109"/>
      <c r="F856" s="69">
        <f>SUMIF('Executive Pay Breakdown'!K:K,$B856,'Executive Pay Breakdown'!M:M)</f>
        <v>17770514</v>
      </c>
      <c r="G856" s="69">
        <f>SUMIF('Executive Pay Breakdown'!O:O,$B856,'Executive Pay Breakdown'!Q:Q)</f>
        <v>20028132</v>
      </c>
      <c r="H856" s="69">
        <f>SUMIF('Executive Pay Breakdown'!S:S,$B856,'Executive Pay Breakdown'!U:U)</f>
        <v>10847032</v>
      </c>
      <c r="I856" s="69">
        <f>SUMIF('Executive Pay Breakdown'!W:W,$B856,'Executive Pay Breakdown'!Y:Y)</f>
        <v>5229155</v>
      </c>
      <c r="J856" s="69">
        <f>SUMIF('Executive Pay Breakdown'!AA:AA,$B856,'Executive Pay Breakdown'!AC:AC)</f>
        <v>4678340</v>
      </c>
      <c r="K856" s="118"/>
      <c r="L856" s="212"/>
      <c r="M856" s="87"/>
      <c r="N856" s="230"/>
      <c r="O856" s="120" t="str">
        <f>MATCH(C856,'Key Findings'!B:B,0)</f>
        <v>#N/A</v>
      </c>
    </row>
    <row r="857" hidden="1">
      <c r="A857" s="62"/>
      <c r="B857" s="127" t="s">
        <v>1050</v>
      </c>
      <c r="C857" s="87" t="s">
        <v>1049</v>
      </c>
      <c r="D857" s="89">
        <f>SUMIF('Executive Pay Breakdown'!K:K,$B857,'Executive Pay Breakdown'!M:M)+SUMIF('Executive Pay Breakdown'!O:O,$B857,'Executive Pay Breakdown'!Q:Q)+SUMIF('Executive Pay Breakdown'!S:S,$B857,'Executive Pay Breakdown'!U:U)+SUMIF('Executive Pay Breakdown'!W:W,$B857,'Executive Pay Breakdown'!Y:Y)+SUMIF('Executive Pay Breakdown'!AA:AA,$B857,'Executive Pay Breakdown'!AC:AC)</f>
        <v>33308522</v>
      </c>
      <c r="E857" s="109"/>
      <c r="F857" s="69">
        <f>SUMIF('Executive Pay Breakdown'!K:K,$B857,'Executive Pay Breakdown'!M:M)</f>
        <v>0</v>
      </c>
      <c r="G857" s="69">
        <f>SUMIF('Executive Pay Breakdown'!O:O,$B857,'Executive Pay Breakdown'!Q:Q)</f>
        <v>0</v>
      </c>
      <c r="H857" s="69">
        <f>SUMIF('Executive Pay Breakdown'!S:S,$B857,'Executive Pay Breakdown'!U:U)</f>
        <v>0</v>
      </c>
      <c r="I857" s="69">
        <f>SUMIF('Executive Pay Breakdown'!W:W,$B857,'Executive Pay Breakdown'!Y:Y)</f>
        <v>17432406</v>
      </c>
      <c r="J857" s="69">
        <f>SUMIF('Executive Pay Breakdown'!AA:AA,$B857,'Executive Pay Breakdown'!AC:AC)</f>
        <v>15876116</v>
      </c>
      <c r="K857" s="118"/>
      <c r="L857" s="212"/>
      <c r="M857" s="87"/>
      <c r="N857" s="87"/>
      <c r="O857" s="120" t="str">
        <f>MATCH(C857,'Key Findings'!B:B,0)</f>
        <v>#N/A</v>
      </c>
    </row>
    <row r="858" hidden="1">
      <c r="A858" s="62"/>
      <c r="B858" s="127" t="s">
        <v>1051</v>
      </c>
      <c r="C858" s="87" t="s">
        <v>1049</v>
      </c>
      <c r="D858" s="89">
        <f>SUMIF('Executive Pay Breakdown'!K:K,$B858,'Executive Pay Breakdown'!M:M)+SUMIF('Executive Pay Breakdown'!O:O,$B858,'Executive Pay Breakdown'!Q:Q)+SUMIF('Executive Pay Breakdown'!S:S,$B858,'Executive Pay Breakdown'!U:U)+SUMIF('Executive Pay Breakdown'!W:W,$B858,'Executive Pay Breakdown'!Y:Y)+SUMIF('Executive Pay Breakdown'!AA:AA,$B858,'Executive Pay Breakdown'!AC:AC)</f>
        <v>31822811</v>
      </c>
      <c r="E858" s="109"/>
      <c r="F858" s="69">
        <f>SUMIF('Executive Pay Breakdown'!K:K,$B858,'Executive Pay Breakdown'!M:M)</f>
        <v>7176627</v>
      </c>
      <c r="G858" s="69">
        <f>SUMIF('Executive Pay Breakdown'!O:O,$B858,'Executive Pay Breakdown'!Q:Q)</f>
        <v>10008133</v>
      </c>
      <c r="H858" s="69">
        <f>SUMIF('Executive Pay Breakdown'!S:S,$B858,'Executive Pay Breakdown'!U:U)</f>
        <v>4531221</v>
      </c>
      <c r="I858" s="69">
        <f>SUMIF('Executive Pay Breakdown'!W:W,$B858,'Executive Pay Breakdown'!Y:Y)</f>
        <v>5456578</v>
      </c>
      <c r="J858" s="69">
        <f>SUMIF('Executive Pay Breakdown'!AA:AA,$B858,'Executive Pay Breakdown'!AC:AC)</f>
        <v>4650252</v>
      </c>
      <c r="K858" s="118"/>
      <c r="L858" s="212"/>
      <c r="M858" s="87"/>
      <c r="N858" s="230"/>
      <c r="O858" s="120" t="str">
        <f>MATCH(C858,'Key Findings'!B:B,0)</f>
        <v>#N/A</v>
      </c>
    </row>
    <row r="859" hidden="1">
      <c r="A859" s="62"/>
      <c r="B859" s="127" t="s">
        <v>1052</v>
      </c>
      <c r="C859" s="87" t="s">
        <v>1049</v>
      </c>
      <c r="D859" s="89">
        <f>SUMIF('Executive Pay Breakdown'!K:K,$B859,'Executive Pay Breakdown'!M:M)+SUMIF('Executive Pay Breakdown'!O:O,$B859,'Executive Pay Breakdown'!Q:Q)+SUMIF('Executive Pay Breakdown'!S:S,$B859,'Executive Pay Breakdown'!U:U)+SUMIF('Executive Pay Breakdown'!W:W,$B859,'Executive Pay Breakdown'!Y:Y)+SUMIF('Executive Pay Breakdown'!AA:AA,$B859,'Executive Pay Breakdown'!AC:AC)</f>
        <v>26762984</v>
      </c>
      <c r="E859" s="109"/>
      <c r="F859" s="69">
        <f>SUMIF('Executive Pay Breakdown'!K:K,$B859,'Executive Pay Breakdown'!M:M)</f>
        <v>5918022</v>
      </c>
      <c r="G859" s="69">
        <f>SUMIF('Executive Pay Breakdown'!O:O,$B859,'Executive Pay Breakdown'!Q:Q)</f>
        <v>7445404</v>
      </c>
      <c r="H859" s="69">
        <f>SUMIF('Executive Pay Breakdown'!S:S,$B859,'Executive Pay Breakdown'!U:U)</f>
        <v>4663516</v>
      </c>
      <c r="I859" s="69">
        <f>SUMIF('Executive Pay Breakdown'!W:W,$B859,'Executive Pay Breakdown'!Y:Y)</f>
        <v>4778306</v>
      </c>
      <c r="J859" s="69">
        <f>SUMIF('Executive Pay Breakdown'!AA:AA,$B859,'Executive Pay Breakdown'!AC:AC)</f>
        <v>3957736</v>
      </c>
      <c r="K859" s="118"/>
      <c r="L859" s="212"/>
      <c r="M859" s="87"/>
      <c r="N859" s="230"/>
      <c r="O859" s="120" t="str">
        <f>MATCH(C859,'Key Findings'!B:B,0)</f>
        <v>#N/A</v>
      </c>
    </row>
    <row r="860" hidden="1">
      <c r="A860" s="62"/>
      <c r="B860" s="127" t="s">
        <v>1053</v>
      </c>
      <c r="C860" s="87" t="s">
        <v>1049</v>
      </c>
      <c r="D860" s="89">
        <f>SUMIF('Executive Pay Breakdown'!K:K,$B860,'Executive Pay Breakdown'!M:M)+SUMIF('Executive Pay Breakdown'!O:O,$B860,'Executive Pay Breakdown'!Q:Q)+SUMIF('Executive Pay Breakdown'!S:S,$B860,'Executive Pay Breakdown'!U:U)+SUMIF('Executive Pay Breakdown'!W:W,$B860,'Executive Pay Breakdown'!Y:Y)+SUMIF('Executive Pay Breakdown'!AA:AA,$B860,'Executive Pay Breakdown'!AC:AC)</f>
        <v>24230037</v>
      </c>
      <c r="E860" s="109"/>
      <c r="F860" s="69">
        <f>SUMIF('Executive Pay Breakdown'!K:K,$B860,'Executive Pay Breakdown'!M:M)</f>
        <v>7923087</v>
      </c>
      <c r="G860" s="69">
        <f>SUMIF('Executive Pay Breakdown'!O:O,$B860,'Executive Pay Breakdown'!Q:Q)</f>
        <v>8275790</v>
      </c>
      <c r="H860" s="69">
        <f>SUMIF('Executive Pay Breakdown'!S:S,$B860,'Executive Pay Breakdown'!U:U)</f>
        <v>4784263</v>
      </c>
      <c r="I860" s="69">
        <f>SUMIF('Executive Pay Breakdown'!W:W,$B860,'Executive Pay Breakdown'!Y:Y)</f>
        <v>3246897</v>
      </c>
      <c r="J860" s="69">
        <f>SUMIF('Executive Pay Breakdown'!AA:AA,$B860,'Executive Pay Breakdown'!AC:AC)</f>
        <v>0</v>
      </c>
      <c r="K860" s="118"/>
      <c r="L860" s="212"/>
      <c r="M860" s="87"/>
      <c r="N860" s="230"/>
      <c r="O860" s="120" t="str">
        <f>MATCH(C860,'Key Findings'!B:B,0)</f>
        <v>#N/A</v>
      </c>
    </row>
    <row r="861" hidden="1">
      <c r="A861" s="62"/>
      <c r="B861" s="127" t="s">
        <v>1054</v>
      </c>
      <c r="C861" s="87" t="s">
        <v>1049</v>
      </c>
      <c r="D861" s="89">
        <f>SUMIF('Executive Pay Breakdown'!K:K,$B861,'Executive Pay Breakdown'!M:M)+SUMIF('Executive Pay Breakdown'!O:O,$B861,'Executive Pay Breakdown'!Q:Q)+SUMIF('Executive Pay Breakdown'!S:S,$B861,'Executive Pay Breakdown'!U:U)+SUMIF('Executive Pay Breakdown'!W:W,$B861,'Executive Pay Breakdown'!Y:Y)+SUMIF('Executive Pay Breakdown'!AA:AA,$B861,'Executive Pay Breakdown'!AC:AC)</f>
        <v>11165749</v>
      </c>
      <c r="E861" s="109"/>
      <c r="F861" s="69">
        <f>SUMIF('Executive Pay Breakdown'!K:K,$B861,'Executive Pay Breakdown'!M:M)</f>
        <v>4775747</v>
      </c>
      <c r="G861" s="69">
        <f>SUMIF('Executive Pay Breakdown'!O:O,$B861,'Executive Pay Breakdown'!Q:Q)</f>
        <v>6390002</v>
      </c>
      <c r="H861" s="69">
        <f>SUMIF('Executive Pay Breakdown'!S:S,$B861,'Executive Pay Breakdown'!U:U)</f>
        <v>0</v>
      </c>
      <c r="I861" s="69">
        <f>SUMIF('Executive Pay Breakdown'!W:W,$B861,'Executive Pay Breakdown'!Y:Y)</f>
        <v>0</v>
      </c>
      <c r="J861" s="69">
        <f>SUMIF('Executive Pay Breakdown'!AA:AA,$B861,'Executive Pay Breakdown'!AC:AC)</f>
        <v>0</v>
      </c>
      <c r="K861" s="118"/>
      <c r="L861" s="212"/>
      <c r="M861" s="212"/>
      <c r="N861" s="230"/>
      <c r="O861" s="120" t="str">
        <f>MATCH(C861,'Key Findings'!B:B,0)</f>
        <v>#N/A</v>
      </c>
    </row>
    <row r="862" hidden="1">
      <c r="A862" s="62"/>
      <c r="B862" s="127" t="s">
        <v>1055</v>
      </c>
      <c r="C862" s="87" t="s">
        <v>1049</v>
      </c>
      <c r="D862" s="89">
        <f>SUMIF('Executive Pay Breakdown'!K:K,$B862,'Executive Pay Breakdown'!M:M)+SUMIF('Executive Pay Breakdown'!O:O,$B862,'Executive Pay Breakdown'!Q:Q)+SUMIF('Executive Pay Breakdown'!S:S,$B862,'Executive Pay Breakdown'!U:U)+SUMIF('Executive Pay Breakdown'!W:W,$B862,'Executive Pay Breakdown'!Y:Y)+SUMIF('Executive Pay Breakdown'!AA:AA,$B862,'Executive Pay Breakdown'!AC:AC)</f>
        <v>8939920</v>
      </c>
      <c r="E862" s="109"/>
      <c r="F862" s="69">
        <f>SUMIF('Executive Pay Breakdown'!K:K,$B862,'Executive Pay Breakdown'!M:M)</f>
        <v>0</v>
      </c>
      <c r="G862" s="69">
        <f>SUMIF('Executive Pay Breakdown'!O:O,$B862,'Executive Pay Breakdown'!Q:Q)</f>
        <v>0</v>
      </c>
      <c r="H862" s="69">
        <f>SUMIF('Executive Pay Breakdown'!S:S,$B862,'Executive Pay Breakdown'!U:U)</f>
        <v>8939920</v>
      </c>
      <c r="I862" s="69">
        <f>SUMIF('Executive Pay Breakdown'!W:W,$B862,'Executive Pay Breakdown'!Y:Y)</f>
        <v>0</v>
      </c>
      <c r="J862" s="69">
        <f>SUMIF('Executive Pay Breakdown'!AA:AA,$B862,'Executive Pay Breakdown'!AC:AC)</f>
        <v>0</v>
      </c>
      <c r="K862" s="118"/>
      <c r="L862" s="212"/>
      <c r="M862" s="87"/>
      <c r="N862" s="87"/>
      <c r="O862" s="120" t="str">
        <f>MATCH(C862,'Key Findings'!B:B,0)</f>
        <v>#N/A</v>
      </c>
    </row>
    <row r="863" hidden="1">
      <c r="A863" s="62"/>
      <c r="B863" s="127" t="s">
        <v>1056</v>
      </c>
      <c r="C863" s="87" t="s">
        <v>1049</v>
      </c>
      <c r="D863" s="89">
        <f>SUMIF('Executive Pay Breakdown'!K:K,$B863,'Executive Pay Breakdown'!M:M)+SUMIF('Executive Pay Breakdown'!O:O,$B863,'Executive Pay Breakdown'!Q:Q)+SUMIF('Executive Pay Breakdown'!S:S,$B863,'Executive Pay Breakdown'!U:U)+SUMIF('Executive Pay Breakdown'!W:W,$B863,'Executive Pay Breakdown'!Y:Y)+SUMIF('Executive Pay Breakdown'!AA:AA,$B863,'Executive Pay Breakdown'!AC:AC)</f>
        <v>5966852</v>
      </c>
      <c r="E863" s="109"/>
      <c r="F863" s="69">
        <f>SUMIF('Executive Pay Breakdown'!K:K,$B863,'Executive Pay Breakdown'!M:M)</f>
        <v>0</v>
      </c>
      <c r="G863" s="69">
        <f>SUMIF('Executive Pay Breakdown'!O:O,$B863,'Executive Pay Breakdown'!Q:Q)</f>
        <v>0</v>
      </c>
      <c r="H863" s="69">
        <f>SUMIF('Executive Pay Breakdown'!S:S,$B863,'Executive Pay Breakdown'!U:U)</f>
        <v>2715431</v>
      </c>
      <c r="I863" s="69">
        <f>SUMIF('Executive Pay Breakdown'!W:W,$B863,'Executive Pay Breakdown'!Y:Y)</f>
        <v>3251421</v>
      </c>
      <c r="J863" s="69">
        <f>SUMIF('Executive Pay Breakdown'!AA:AA,$B863,'Executive Pay Breakdown'!AC:AC)</f>
        <v>0</v>
      </c>
      <c r="K863" s="118"/>
      <c r="L863" s="212"/>
      <c r="M863" s="87"/>
      <c r="N863" s="87"/>
      <c r="O863" s="120" t="str">
        <f>MATCH(C863,'Key Findings'!B:B,0)</f>
        <v>#N/A</v>
      </c>
    </row>
    <row r="864" hidden="1">
      <c r="A864" s="62"/>
      <c r="B864" s="127" t="s">
        <v>1057</v>
      </c>
      <c r="C864" s="87" t="s">
        <v>1049</v>
      </c>
      <c r="D864" s="89">
        <f>SUMIF('Executive Pay Breakdown'!K:K,$B864,'Executive Pay Breakdown'!M:M)+SUMIF('Executive Pay Breakdown'!O:O,$B864,'Executive Pay Breakdown'!Q:Q)+SUMIF('Executive Pay Breakdown'!S:S,$B864,'Executive Pay Breakdown'!U:U)+SUMIF('Executive Pay Breakdown'!W:W,$B864,'Executive Pay Breakdown'!Y:Y)+SUMIF('Executive Pay Breakdown'!AA:AA,$B864,'Executive Pay Breakdown'!AC:AC)</f>
        <v>5919540</v>
      </c>
      <c r="E864" s="109"/>
      <c r="F864" s="69">
        <f>SUMIF('Executive Pay Breakdown'!K:K,$B864,'Executive Pay Breakdown'!M:M)</f>
        <v>0</v>
      </c>
      <c r="G864" s="69">
        <f>SUMIF('Executive Pay Breakdown'!O:O,$B864,'Executive Pay Breakdown'!Q:Q)</f>
        <v>0</v>
      </c>
      <c r="H864" s="69">
        <f>SUMIF('Executive Pay Breakdown'!S:S,$B864,'Executive Pay Breakdown'!U:U)</f>
        <v>0</v>
      </c>
      <c r="I864" s="69">
        <f>SUMIF('Executive Pay Breakdown'!W:W,$B864,'Executive Pay Breakdown'!Y:Y)</f>
        <v>3064566</v>
      </c>
      <c r="J864" s="69">
        <f>SUMIF('Executive Pay Breakdown'!AA:AA,$B864,'Executive Pay Breakdown'!AC:AC)</f>
        <v>2854974</v>
      </c>
      <c r="K864" s="118"/>
      <c r="L864" s="212"/>
      <c r="M864" s="87"/>
      <c r="N864" s="87"/>
      <c r="O864" s="120" t="str">
        <f>MATCH(C864,'Key Findings'!B:B,0)</f>
        <v>#N/A</v>
      </c>
    </row>
    <row r="865" hidden="1">
      <c r="A865" s="62"/>
      <c r="B865" s="127" t="s">
        <v>1058</v>
      </c>
      <c r="C865" s="87" t="s">
        <v>1049</v>
      </c>
      <c r="D865" s="89">
        <f>SUMIF('Executive Pay Breakdown'!K:K,$B865,'Executive Pay Breakdown'!M:M)+SUMIF('Executive Pay Breakdown'!O:O,$B865,'Executive Pay Breakdown'!Q:Q)+SUMIF('Executive Pay Breakdown'!S:S,$B865,'Executive Pay Breakdown'!U:U)+SUMIF('Executive Pay Breakdown'!W:W,$B865,'Executive Pay Breakdown'!Y:Y)+SUMIF('Executive Pay Breakdown'!AA:AA,$B865,'Executive Pay Breakdown'!AC:AC)</f>
        <v>4584647</v>
      </c>
      <c r="E865" s="109"/>
      <c r="F865" s="69">
        <f>SUMIF('Executive Pay Breakdown'!K:K,$B865,'Executive Pay Breakdown'!M:M)</f>
        <v>4584647</v>
      </c>
      <c r="G865" s="69">
        <f>SUMIF('Executive Pay Breakdown'!O:O,$B865,'Executive Pay Breakdown'!Q:Q)</f>
        <v>0</v>
      </c>
      <c r="H865" s="69">
        <f>SUMIF('Executive Pay Breakdown'!S:S,$B865,'Executive Pay Breakdown'!U:U)</f>
        <v>0</v>
      </c>
      <c r="I865" s="69">
        <f>SUMIF('Executive Pay Breakdown'!W:W,$B865,'Executive Pay Breakdown'!Y:Y)</f>
        <v>0</v>
      </c>
      <c r="J865" s="69">
        <f>SUMIF('Executive Pay Breakdown'!AA:AA,$B865,'Executive Pay Breakdown'!AC:AC)</f>
        <v>0</v>
      </c>
      <c r="K865" s="118"/>
      <c r="L865" s="212"/>
      <c r="M865" s="87"/>
      <c r="N865" s="230"/>
      <c r="O865" s="120" t="str">
        <f>MATCH(C865,'Key Findings'!B:B,0)</f>
        <v>#N/A</v>
      </c>
    </row>
    <row r="866" hidden="1">
      <c r="A866" s="62"/>
      <c r="B866" s="127" t="s">
        <v>1059</v>
      </c>
      <c r="C866" s="87" t="s">
        <v>1049</v>
      </c>
      <c r="D866" s="89">
        <f>SUMIF('Executive Pay Breakdown'!K:K,$B866,'Executive Pay Breakdown'!M:M)+SUMIF('Executive Pay Breakdown'!O:O,$B866,'Executive Pay Breakdown'!Q:Q)+SUMIF('Executive Pay Breakdown'!S:S,$B866,'Executive Pay Breakdown'!U:U)+SUMIF('Executive Pay Breakdown'!W:W,$B866,'Executive Pay Breakdown'!Y:Y)+SUMIF('Executive Pay Breakdown'!AA:AA,$B866,'Executive Pay Breakdown'!AC:AC)</f>
        <v>4358753</v>
      </c>
      <c r="E866" s="109"/>
      <c r="F866" s="69">
        <f>SUMIF('Executive Pay Breakdown'!K:K,$B866,'Executive Pay Breakdown'!M:M)</f>
        <v>0</v>
      </c>
      <c r="G866" s="69">
        <f>SUMIF('Executive Pay Breakdown'!O:O,$B866,'Executive Pay Breakdown'!Q:Q)</f>
        <v>0</v>
      </c>
      <c r="H866" s="69">
        <f>SUMIF('Executive Pay Breakdown'!S:S,$B866,'Executive Pay Breakdown'!U:U)</f>
        <v>0</v>
      </c>
      <c r="I866" s="69">
        <f>SUMIF('Executive Pay Breakdown'!W:W,$B866,'Executive Pay Breakdown'!Y:Y)</f>
        <v>0</v>
      </c>
      <c r="J866" s="69">
        <f>SUMIF('Executive Pay Breakdown'!AA:AA,$B866,'Executive Pay Breakdown'!AC:AC)</f>
        <v>4358753</v>
      </c>
      <c r="K866" s="118"/>
      <c r="L866" s="212"/>
      <c r="M866" s="87"/>
      <c r="N866" s="87"/>
      <c r="O866" s="120" t="str">
        <f>MATCH(C866,'Key Findings'!B:B,0)</f>
        <v>#N/A</v>
      </c>
    </row>
    <row r="867" hidden="1">
      <c r="A867" s="62"/>
      <c r="B867" s="127" t="s">
        <v>1060</v>
      </c>
      <c r="C867" s="87" t="s">
        <v>1061</v>
      </c>
      <c r="D867" s="89">
        <f>SUMIF('Executive Pay Breakdown'!K:K,$B867,'Executive Pay Breakdown'!M:M)+SUMIF('Executive Pay Breakdown'!O:O,$B867,'Executive Pay Breakdown'!Q:Q)+SUMIF('Executive Pay Breakdown'!S:S,$B867,'Executive Pay Breakdown'!U:U)+SUMIF('Executive Pay Breakdown'!W:W,$B867,'Executive Pay Breakdown'!Y:Y)+SUMIF('Executive Pay Breakdown'!AA:AA,$B867,'Executive Pay Breakdown'!AC:AC)</f>
        <v>88773648</v>
      </c>
      <c r="E867" s="109"/>
      <c r="F867" s="69">
        <f>SUMIF('Executive Pay Breakdown'!K:K,$B867,'Executive Pay Breakdown'!M:M)</f>
        <v>0</v>
      </c>
      <c r="G867" s="69">
        <f>SUMIF('Executive Pay Breakdown'!O:O,$B867,'Executive Pay Breakdown'!Q:Q)</f>
        <v>17369870</v>
      </c>
      <c r="H867" s="69">
        <f>SUMIF('Executive Pay Breakdown'!S:S,$B867,'Executive Pay Breakdown'!U:U)</f>
        <v>27774448</v>
      </c>
      <c r="I867" s="69">
        <f>SUMIF('Executive Pay Breakdown'!W:W,$B867,'Executive Pay Breakdown'!Y:Y)</f>
        <v>23249977</v>
      </c>
      <c r="J867" s="69">
        <f>SUMIF('Executive Pay Breakdown'!AA:AA,$B867,'Executive Pay Breakdown'!AC:AC)</f>
        <v>20379353</v>
      </c>
      <c r="K867" s="118"/>
      <c r="L867" s="212"/>
      <c r="M867" s="87"/>
      <c r="N867" s="87"/>
      <c r="O867" s="120" t="str">
        <f>MATCH(C867,'Key Findings'!B:B,0)</f>
        <v>#N/A</v>
      </c>
    </row>
    <row r="868" hidden="1">
      <c r="A868" s="62"/>
      <c r="B868" s="127" t="s">
        <v>1062</v>
      </c>
      <c r="C868" s="87" t="s">
        <v>1061</v>
      </c>
      <c r="D868" s="89">
        <f>SUMIF('Executive Pay Breakdown'!K:K,$B868,'Executive Pay Breakdown'!M:M)+SUMIF('Executive Pay Breakdown'!O:O,$B868,'Executive Pay Breakdown'!Q:Q)+SUMIF('Executive Pay Breakdown'!S:S,$B868,'Executive Pay Breakdown'!U:U)+SUMIF('Executive Pay Breakdown'!W:W,$B868,'Executive Pay Breakdown'!Y:Y)+SUMIF('Executive Pay Breakdown'!AA:AA,$B868,'Executive Pay Breakdown'!AC:AC)</f>
        <v>51969269</v>
      </c>
      <c r="E868" s="109"/>
      <c r="F868" s="69">
        <f>SUMIF('Executive Pay Breakdown'!K:K,$B868,'Executive Pay Breakdown'!M:M)</f>
        <v>21058543</v>
      </c>
      <c r="G868" s="69">
        <f>SUMIF('Executive Pay Breakdown'!O:O,$B868,'Executive Pay Breakdown'!Q:Q)</f>
        <v>16120055</v>
      </c>
      <c r="H868" s="69">
        <f>SUMIF('Executive Pay Breakdown'!S:S,$B868,'Executive Pay Breakdown'!U:U)</f>
        <v>9220476</v>
      </c>
      <c r="I868" s="69">
        <f>SUMIF('Executive Pay Breakdown'!W:W,$B868,'Executive Pay Breakdown'!Y:Y)</f>
        <v>5570195</v>
      </c>
      <c r="J868" s="69">
        <f>SUMIF('Executive Pay Breakdown'!AA:AA,$B868,'Executive Pay Breakdown'!AC:AC)</f>
        <v>0</v>
      </c>
      <c r="K868" s="118"/>
      <c r="L868" s="212"/>
      <c r="M868" s="87"/>
      <c r="N868" s="87"/>
      <c r="O868" s="120" t="str">
        <f>MATCH(C868,'Key Findings'!B:B,0)</f>
        <v>#N/A</v>
      </c>
    </row>
    <row r="869" hidden="1">
      <c r="A869" s="62"/>
      <c r="B869" s="127" t="s">
        <v>1063</v>
      </c>
      <c r="C869" s="87" t="s">
        <v>1061</v>
      </c>
      <c r="D869" s="89">
        <f>SUMIF('Executive Pay Breakdown'!K:K,$B869,'Executive Pay Breakdown'!M:M)+SUMIF('Executive Pay Breakdown'!O:O,$B869,'Executive Pay Breakdown'!Q:Q)+SUMIF('Executive Pay Breakdown'!S:S,$B869,'Executive Pay Breakdown'!U:U)+SUMIF('Executive Pay Breakdown'!W:W,$B869,'Executive Pay Breakdown'!Y:Y)+SUMIF('Executive Pay Breakdown'!AA:AA,$B869,'Executive Pay Breakdown'!AC:AC)</f>
        <v>31582502</v>
      </c>
      <c r="E869" s="109"/>
      <c r="F869" s="69">
        <f>SUMIF('Executive Pay Breakdown'!K:K,$B869,'Executive Pay Breakdown'!M:M)</f>
        <v>7412239</v>
      </c>
      <c r="G869" s="69">
        <f>SUMIF('Executive Pay Breakdown'!O:O,$B869,'Executive Pay Breakdown'!Q:Q)</f>
        <v>6395226</v>
      </c>
      <c r="H869" s="69">
        <f>SUMIF('Executive Pay Breakdown'!S:S,$B869,'Executive Pay Breakdown'!U:U)</f>
        <v>7893062</v>
      </c>
      <c r="I869" s="69">
        <f>SUMIF('Executive Pay Breakdown'!W:W,$B869,'Executive Pay Breakdown'!Y:Y)</f>
        <v>5162810</v>
      </c>
      <c r="J869" s="69">
        <f>SUMIF('Executive Pay Breakdown'!AA:AA,$B869,'Executive Pay Breakdown'!AC:AC)</f>
        <v>4719165</v>
      </c>
      <c r="K869" s="118"/>
      <c r="L869" s="212"/>
      <c r="M869" s="87"/>
      <c r="N869" s="230"/>
      <c r="O869" s="120" t="str">
        <f>MATCH(C869,'Key Findings'!B:B,0)</f>
        <v>#N/A</v>
      </c>
    </row>
    <row r="870" hidden="1">
      <c r="A870" s="62"/>
      <c r="B870" s="127" t="s">
        <v>1064</v>
      </c>
      <c r="C870" s="87" t="s">
        <v>1061</v>
      </c>
      <c r="D870" s="89">
        <f>SUMIF('Executive Pay Breakdown'!K:K,$B870,'Executive Pay Breakdown'!M:M)+SUMIF('Executive Pay Breakdown'!O:O,$B870,'Executive Pay Breakdown'!Q:Q)+SUMIF('Executive Pay Breakdown'!S:S,$B870,'Executive Pay Breakdown'!U:U)+SUMIF('Executive Pay Breakdown'!W:W,$B870,'Executive Pay Breakdown'!Y:Y)+SUMIF('Executive Pay Breakdown'!AA:AA,$B870,'Executive Pay Breakdown'!AC:AC)</f>
        <v>29482532</v>
      </c>
      <c r="E870" s="109"/>
      <c r="F870" s="69">
        <f>SUMIF('Executive Pay Breakdown'!K:K,$B870,'Executive Pay Breakdown'!M:M)</f>
        <v>6977598</v>
      </c>
      <c r="G870" s="69">
        <f>SUMIF('Executive Pay Breakdown'!O:O,$B870,'Executive Pay Breakdown'!Q:Q)</f>
        <v>5553768</v>
      </c>
      <c r="H870" s="69">
        <f>SUMIF('Executive Pay Breakdown'!S:S,$B870,'Executive Pay Breakdown'!U:U)</f>
        <v>7603704</v>
      </c>
      <c r="I870" s="69">
        <f>SUMIF('Executive Pay Breakdown'!W:W,$B870,'Executive Pay Breakdown'!Y:Y)</f>
        <v>4875981</v>
      </c>
      <c r="J870" s="69">
        <f>SUMIF('Executive Pay Breakdown'!AA:AA,$B870,'Executive Pay Breakdown'!AC:AC)</f>
        <v>4471481</v>
      </c>
      <c r="K870" s="118"/>
      <c r="L870" s="212"/>
      <c r="M870" s="87"/>
      <c r="N870" s="230"/>
      <c r="O870" s="120" t="str">
        <f>MATCH(C870,'Key Findings'!B:B,0)</f>
        <v>#N/A</v>
      </c>
    </row>
    <row r="871" hidden="1">
      <c r="A871" s="62"/>
      <c r="B871" s="127" t="s">
        <v>1065</v>
      </c>
      <c r="C871" s="87" t="s">
        <v>1061</v>
      </c>
      <c r="D871" s="89">
        <f>SUMIF('Executive Pay Breakdown'!K:K,$B871,'Executive Pay Breakdown'!M:M)+SUMIF('Executive Pay Breakdown'!O:O,$B871,'Executive Pay Breakdown'!Q:Q)+SUMIF('Executive Pay Breakdown'!S:S,$B871,'Executive Pay Breakdown'!U:U)+SUMIF('Executive Pay Breakdown'!W:W,$B871,'Executive Pay Breakdown'!Y:Y)+SUMIF('Executive Pay Breakdown'!AA:AA,$B871,'Executive Pay Breakdown'!AC:AC)</f>
        <v>25404308</v>
      </c>
      <c r="E871" s="109"/>
      <c r="F871" s="69">
        <f>SUMIF('Executive Pay Breakdown'!K:K,$B871,'Executive Pay Breakdown'!M:M)</f>
        <v>9508959</v>
      </c>
      <c r="G871" s="69">
        <f>SUMIF('Executive Pay Breakdown'!O:O,$B871,'Executive Pay Breakdown'!Q:Q)</f>
        <v>6807582</v>
      </c>
      <c r="H871" s="69">
        <f>SUMIF('Executive Pay Breakdown'!S:S,$B871,'Executive Pay Breakdown'!U:U)</f>
        <v>5061394</v>
      </c>
      <c r="I871" s="69">
        <f>SUMIF('Executive Pay Breakdown'!W:W,$B871,'Executive Pay Breakdown'!Y:Y)</f>
        <v>4026373</v>
      </c>
      <c r="J871" s="69">
        <f>SUMIF('Executive Pay Breakdown'!AA:AA,$B871,'Executive Pay Breakdown'!AC:AC)</f>
        <v>0</v>
      </c>
      <c r="K871" s="118"/>
      <c r="L871" s="212"/>
      <c r="M871" s="87"/>
      <c r="N871" s="230"/>
      <c r="O871" s="120" t="str">
        <f>MATCH(C871,'Key Findings'!B:B,0)</f>
        <v>#N/A</v>
      </c>
    </row>
    <row r="872" hidden="1">
      <c r="A872" s="62"/>
      <c r="B872" s="127" t="s">
        <v>1066</v>
      </c>
      <c r="C872" s="87" t="s">
        <v>1061</v>
      </c>
      <c r="D872" s="89">
        <f>SUMIF('Executive Pay Breakdown'!K:K,$B872,'Executive Pay Breakdown'!M:M)+SUMIF('Executive Pay Breakdown'!O:O,$B872,'Executive Pay Breakdown'!Q:Q)+SUMIF('Executive Pay Breakdown'!S:S,$B872,'Executive Pay Breakdown'!U:U)+SUMIF('Executive Pay Breakdown'!W:W,$B872,'Executive Pay Breakdown'!Y:Y)+SUMIF('Executive Pay Breakdown'!AA:AA,$B872,'Executive Pay Breakdown'!AC:AC)</f>
        <v>24908841</v>
      </c>
      <c r="E872" s="109"/>
      <c r="F872" s="69">
        <f>SUMIF('Executive Pay Breakdown'!K:K,$B872,'Executive Pay Breakdown'!M:M)</f>
        <v>6857804</v>
      </c>
      <c r="G872" s="69">
        <f>SUMIF('Executive Pay Breakdown'!O:O,$B872,'Executive Pay Breakdown'!Q:Q)</f>
        <v>5667000</v>
      </c>
      <c r="H872" s="69">
        <f>SUMIF('Executive Pay Breakdown'!S:S,$B872,'Executive Pay Breakdown'!U:U)</f>
        <v>6811913</v>
      </c>
      <c r="I872" s="69">
        <f>SUMIF('Executive Pay Breakdown'!W:W,$B872,'Executive Pay Breakdown'!Y:Y)</f>
        <v>5572124</v>
      </c>
      <c r="J872" s="69">
        <f>SUMIF('Executive Pay Breakdown'!AA:AA,$B872,'Executive Pay Breakdown'!AC:AC)</f>
        <v>0</v>
      </c>
      <c r="K872" s="118"/>
      <c r="L872" s="212"/>
      <c r="M872" s="87"/>
      <c r="N872" s="230"/>
      <c r="O872" s="120" t="str">
        <f>MATCH(C872,'Key Findings'!B:B,0)</f>
        <v>#N/A</v>
      </c>
    </row>
    <row r="873" hidden="1">
      <c r="A873" s="62"/>
      <c r="B873" s="127" t="s">
        <v>1067</v>
      </c>
      <c r="C873" s="87" t="s">
        <v>1061</v>
      </c>
      <c r="D873" s="89">
        <f>SUMIF('Executive Pay Breakdown'!K:K,$B873,'Executive Pay Breakdown'!M:M)+SUMIF('Executive Pay Breakdown'!O:O,$B873,'Executive Pay Breakdown'!Q:Q)+SUMIF('Executive Pay Breakdown'!S:S,$B873,'Executive Pay Breakdown'!U:U)+SUMIF('Executive Pay Breakdown'!W:W,$B873,'Executive Pay Breakdown'!Y:Y)+SUMIF('Executive Pay Breakdown'!AA:AA,$B873,'Executive Pay Breakdown'!AC:AC)</f>
        <v>14152807</v>
      </c>
      <c r="E873" s="109"/>
      <c r="F873" s="69">
        <f>SUMIF('Executive Pay Breakdown'!K:K,$B873,'Executive Pay Breakdown'!M:M)</f>
        <v>0</v>
      </c>
      <c r="G873" s="69">
        <f>SUMIF('Executive Pay Breakdown'!O:O,$B873,'Executive Pay Breakdown'!Q:Q)</f>
        <v>0</v>
      </c>
      <c r="H873" s="69">
        <f>SUMIF('Executive Pay Breakdown'!S:S,$B873,'Executive Pay Breakdown'!U:U)</f>
        <v>0</v>
      </c>
      <c r="I873" s="69">
        <f>SUMIF('Executive Pay Breakdown'!W:W,$B873,'Executive Pay Breakdown'!Y:Y)</f>
        <v>6658222</v>
      </c>
      <c r="J873" s="69">
        <f>SUMIF('Executive Pay Breakdown'!AA:AA,$B873,'Executive Pay Breakdown'!AC:AC)</f>
        <v>7494585</v>
      </c>
      <c r="K873" s="118"/>
      <c r="L873" s="212"/>
      <c r="M873" s="87"/>
      <c r="N873" s="87"/>
      <c r="O873" s="120" t="str">
        <f>MATCH(C873,'Key Findings'!B:B,0)</f>
        <v>#N/A</v>
      </c>
    </row>
    <row r="874" hidden="1">
      <c r="A874" s="62"/>
      <c r="B874" s="127" t="s">
        <v>1068</v>
      </c>
      <c r="C874" s="87" t="s">
        <v>1061</v>
      </c>
      <c r="D874" s="89">
        <f>SUMIF('Executive Pay Breakdown'!K:K,$B874,'Executive Pay Breakdown'!M:M)+SUMIF('Executive Pay Breakdown'!O:O,$B874,'Executive Pay Breakdown'!Q:Q)+SUMIF('Executive Pay Breakdown'!S:S,$B874,'Executive Pay Breakdown'!U:U)+SUMIF('Executive Pay Breakdown'!W:W,$B874,'Executive Pay Breakdown'!Y:Y)+SUMIF('Executive Pay Breakdown'!AA:AA,$B874,'Executive Pay Breakdown'!AC:AC)</f>
        <v>4502727</v>
      </c>
      <c r="E874" s="109"/>
      <c r="F874" s="69">
        <f>SUMIF('Executive Pay Breakdown'!K:K,$B874,'Executive Pay Breakdown'!M:M)</f>
        <v>0</v>
      </c>
      <c r="G874" s="69">
        <f>SUMIF('Executive Pay Breakdown'!O:O,$B874,'Executive Pay Breakdown'!Q:Q)</f>
        <v>0</v>
      </c>
      <c r="H874" s="69">
        <f>SUMIF('Executive Pay Breakdown'!S:S,$B874,'Executive Pay Breakdown'!U:U)</f>
        <v>0</v>
      </c>
      <c r="I874" s="69">
        <f>SUMIF('Executive Pay Breakdown'!W:W,$B874,'Executive Pay Breakdown'!Y:Y)</f>
        <v>0</v>
      </c>
      <c r="J874" s="69">
        <f>SUMIF('Executive Pay Breakdown'!AA:AA,$B874,'Executive Pay Breakdown'!AC:AC)</f>
        <v>4502727</v>
      </c>
      <c r="K874" s="118"/>
      <c r="L874" s="212"/>
      <c r="M874" s="87"/>
      <c r="N874" s="87"/>
      <c r="O874" s="120" t="str">
        <f>MATCH(C874,'Key Findings'!B:B,0)</f>
        <v>#N/A</v>
      </c>
    </row>
    <row r="875" hidden="1">
      <c r="A875" s="62"/>
      <c r="B875" s="127" t="s">
        <v>1069</v>
      </c>
      <c r="C875" s="87" t="s">
        <v>1061</v>
      </c>
      <c r="D875" s="89">
        <f>SUMIF('Executive Pay Breakdown'!K:K,$B875,'Executive Pay Breakdown'!M:M)+SUMIF('Executive Pay Breakdown'!O:O,$B875,'Executive Pay Breakdown'!Q:Q)+SUMIF('Executive Pay Breakdown'!S:S,$B875,'Executive Pay Breakdown'!U:U)+SUMIF('Executive Pay Breakdown'!W:W,$B875,'Executive Pay Breakdown'!Y:Y)+SUMIF('Executive Pay Breakdown'!AA:AA,$B875,'Executive Pay Breakdown'!AC:AC)</f>
        <v>3852273</v>
      </c>
      <c r="E875" s="109"/>
      <c r="F875" s="69">
        <f>SUMIF('Executive Pay Breakdown'!K:K,$B875,'Executive Pay Breakdown'!M:M)</f>
        <v>0</v>
      </c>
      <c r="G875" s="69">
        <f>SUMIF('Executive Pay Breakdown'!O:O,$B875,'Executive Pay Breakdown'!Q:Q)</f>
        <v>0</v>
      </c>
      <c r="H875" s="69">
        <f>SUMIF('Executive Pay Breakdown'!S:S,$B875,'Executive Pay Breakdown'!U:U)</f>
        <v>0</v>
      </c>
      <c r="I875" s="69">
        <f>SUMIF('Executive Pay Breakdown'!W:W,$B875,'Executive Pay Breakdown'!Y:Y)</f>
        <v>0</v>
      </c>
      <c r="J875" s="69">
        <f>SUMIF('Executive Pay Breakdown'!AA:AA,$B875,'Executive Pay Breakdown'!AC:AC)</f>
        <v>3852273</v>
      </c>
      <c r="K875" s="118"/>
      <c r="L875" s="212"/>
      <c r="M875" s="87"/>
      <c r="N875" s="87"/>
      <c r="O875" s="120" t="str">
        <f>MATCH(C875,'Key Findings'!B:B,0)</f>
        <v>#N/A</v>
      </c>
    </row>
    <row r="876" hidden="1">
      <c r="A876" s="81"/>
      <c r="B876" s="134" t="s">
        <v>1070</v>
      </c>
      <c r="C876" s="87" t="s">
        <v>1071</v>
      </c>
      <c r="D876" s="89">
        <f>SUMIF('Executive Pay Breakdown'!K:K,$B876,'Executive Pay Breakdown'!M:M)+SUMIF('Executive Pay Breakdown'!O:O,$B876,'Executive Pay Breakdown'!Q:Q)+SUMIF('Executive Pay Breakdown'!S:S,$B876,'Executive Pay Breakdown'!U:U)+SUMIF('Executive Pay Breakdown'!W:W,$B876,'Executive Pay Breakdown'!Y:Y)+SUMIF('Executive Pay Breakdown'!AA:AA,$B876,'Executive Pay Breakdown'!AC:AC)</f>
        <v>84343761</v>
      </c>
      <c r="E876" s="109"/>
      <c r="F876" s="69">
        <f>SUMIF('Executive Pay Breakdown'!K:K,$B876,'Executive Pay Breakdown'!M:M)</f>
        <v>17472005</v>
      </c>
      <c r="G876" s="69">
        <f>SUMIF('Executive Pay Breakdown'!O:O,$B876,'Executive Pay Breakdown'!Q:Q)</f>
        <v>17871715</v>
      </c>
      <c r="H876" s="69">
        <f>SUMIF('Executive Pay Breakdown'!S:S,$B876,'Executive Pay Breakdown'!U:U)</f>
        <v>23075881</v>
      </c>
      <c r="I876" s="69">
        <f>SUMIF('Executive Pay Breakdown'!W:W,$B876,'Executive Pay Breakdown'!Y:Y)</f>
        <v>11621369</v>
      </c>
      <c r="J876" s="69">
        <f>SUMIF('Executive Pay Breakdown'!AA:AA,$B876,'Executive Pay Breakdown'!AC:AC)</f>
        <v>14302791</v>
      </c>
      <c r="K876" s="118"/>
      <c r="L876" s="212"/>
      <c r="M876" s="87"/>
      <c r="N876" s="230"/>
      <c r="O876" s="120" t="str">
        <f>MATCH(C876,'Key Findings'!B:B,0)</f>
        <v>#N/A</v>
      </c>
    </row>
    <row r="877" hidden="1">
      <c r="A877" s="81"/>
      <c r="B877" s="134" t="s">
        <v>1072</v>
      </c>
      <c r="C877" s="87" t="s">
        <v>1071</v>
      </c>
      <c r="D877" s="89">
        <f>SUMIF('Executive Pay Breakdown'!K:K,$B877,'Executive Pay Breakdown'!M:M)+SUMIF('Executive Pay Breakdown'!O:O,$B877,'Executive Pay Breakdown'!Q:Q)+SUMIF('Executive Pay Breakdown'!S:S,$B877,'Executive Pay Breakdown'!U:U)+SUMIF('Executive Pay Breakdown'!W:W,$B877,'Executive Pay Breakdown'!Y:Y)+SUMIF('Executive Pay Breakdown'!AA:AA,$B877,'Executive Pay Breakdown'!AC:AC)</f>
        <v>27353068</v>
      </c>
      <c r="E877" s="109"/>
      <c r="F877" s="69">
        <f>SUMIF('Executive Pay Breakdown'!K:K,$B877,'Executive Pay Breakdown'!M:M)</f>
        <v>5674301</v>
      </c>
      <c r="G877" s="69">
        <f>SUMIF('Executive Pay Breakdown'!O:O,$B877,'Executive Pay Breakdown'!Q:Q)</f>
        <v>5737485</v>
      </c>
      <c r="H877" s="69">
        <f>SUMIF('Executive Pay Breakdown'!S:S,$B877,'Executive Pay Breakdown'!U:U)</f>
        <v>7846359</v>
      </c>
      <c r="I877" s="69">
        <f>SUMIF('Executive Pay Breakdown'!W:W,$B877,'Executive Pay Breakdown'!Y:Y)</f>
        <v>4359171</v>
      </c>
      <c r="J877" s="69">
        <f>SUMIF('Executive Pay Breakdown'!AA:AA,$B877,'Executive Pay Breakdown'!AC:AC)</f>
        <v>3735752</v>
      </c>
      <c r="K877" s="118"/>
      <c r="L877" s="212"/>
      <c r="M877" s="87"/>
      <c r="N877" s="230"/>
      <c r="O877" s="120" t="str">
        <f>MATCH(C877,'Key Findings'!B:B,0)</f>
        <v>#N/A</v>
      </c>
    </row>
    <row r="878" hidden="1">
      <c r="A878" s="81"/>
      <c r="B878" s="134" t="s">
        <v>1073</v>
      </c>
      <c r="C878" s="87" t="s">
        <v>1071</v>
      </c>
      <c r="D878" s="89">
        <f>SUMIF('Executive Pay Breakdown'!K:K,$B878,'Executive Pay Breakdown'!M:M)+SUMIF('Executive Pay Breakdown'!O:O,$B878,'Executive Pay Breakdown'!Q:Q)+SUMIF('Executive Pay Breakdown'!S:S,$B878,'Executive Pay Breakdown'!U:U)+SUMIF('Executive Pay Breakdown'!W:W,$B878,'Executive Pay Breakdown'!Y:Y)+SUMIF('Executive Pay Breakdown'!AA:AA,$B878,'Executive Pay Breakdown'!AC:AC)</f>
        <v>22749261</v>
      </c>
      <c r="E878" s="109"/>
      <c r="F878" s="69">
        <f>SUMIF('Executive Pay Breakdown'!K:K,$B878,'Executive Pay Breakdown'!M:M)</f>
        <v>5573501</v>
      </c>
      <c r="G878" s="69">
        <f>SUMIF('Executive Pay Breakdown'!O:O,$B878,'Executive Pay Breakdown'!Q:Q)</f>
        <v>5593431</v>
      </c>
      <c r="H878" s="69">
        <f>SUMIF('Executive Pay Breakdown'!S:S,$B878,'Executive Pay Breakdown'!U:U)</f>
        <v>7553558</v>
      </c>
      <c r="I878" s="69">
        <f>SUMIF('Executive Pay Breakdown'!W:W,$B878,'Executive Pay Breakdown'!Y:Y)</f>
        <v>4028771</v>
      </c>
      <c r="J878" s="69">
        <f>SUMIF('Executive Pay Breakdown'!AA:AA,$B878,'Executive Pay Breakdown'!AC:AC)</f>
        <v>0</v>
      </c>
      <c r="K878" s="118"/>
      <c r="L878" s="212"/>
      <c r="M878" s="87"/>
      <c r="N878" s="230"/>
      <c r="O878" s="120" t="str">
        <f>MATCH(C878,'Key Findings'!B:B,0)</f>
        <v>#N/A</v>
      </c>
    </row>
    <row r="879" hidden="1">
      <c r="A879" s="81"/>
      <c r="B879" s="134" t="s">
        <v>1074</v>
      </c>
      <c r="C879" s="87" t="s">
        <v>1071</v>
      </c>
      <c r="D879" s="89">
        <f>SUMIF('Executive Pay Breakdown'!K:K,$B879,'Executive Pay Breakdown'!M:M)+SUMIF('Executive Pay Breakdown'!O:O,$B879,'Executive Pay Breakdown'!Q:Q)+SUMIF('Executive Pay Breakdown'!S:S,$B879,'Executive Pay Breakdown'!U:U)+SUMIF('Executive Pay Breakdown'!W:W,$B879,'Executive Pay Breakdown'!Y:Y)+SUMIF('Executive Pay Breakdown'!AA:AA,$B879,'Executive Pay Breakdown'!AC:AC)</f>
        <v>19591418</v>
      </c>
      <c r="E879" s="109"/>
      <c r="F879" s="69">
        <f>SUMIF('Executive Pay Breakdown'!K:K,$B879,'Executive Pay Breakdown'!M:M)</f>
        <v>5166033</v>
      </c>
      <c r="G879" s="69">
        <f>SUMIF('Executive Pay Breakdown'!O:O,$B879,'Executive Pay Breakdown'!Q:Q)</f>
        <v>4708975</v>
      </c>
      <c r="H879" s="69">
        <f>SUMIF('Executive Pay Breakdown'!S:S,$B879,'Executive Pay Breakdown'!U:U)</f>
        <v>5703288</v>
      </c>
      <c r="I879" s="69">
        <f>SUMIF('Executive Pay Breakdown'!W:W,$B879,'Executive Pay Breakdown'!Y:Y)</f>
        <v>4013122</v>
      </c>
      <c r="J879" s="69">
        <f>SUMIF('Executive Pay Breakdown'!AA:AA,$B879,'Executive Pay Breakdown'!AC:AC)</f>
        <v>0</v>
      </c>
      <c r="K879" s="118"/>
      <c r="L879" s="212"/>
      <c r="M879" s="87"/>
      <c r="N879" s="230"/>
      <c r="O879" s="120" t="str">
        <f>MATCH(C879,'Key Findings'!B:B,0)</f>
        <v>#N/A</v>
      </c>
    </row>
    <row r="880" hidden="1">
      <c r="A880" s="81"/>
      <c r="B880" s="134" t="s">
        <v>1075</v>
      </c>
      <c r="C880" s="87" t="s">
        <v>1071</v>
      </c>
      <c r="D880" s="89">
        <f>SUMIF('Executive Pay Breakdown'!K:K,$B880,'Executive Pay Breakdown'!M:M)+SUMIF('Executive Pay Breakdown'!O:O,$B880,'Executive Pay Breakdown'!Q:Q)+SUMIF('Executive Pay Breakdown'!S:S,$B880,'Executive Pay Breakdown'!U:U)+SUMIF('Executive Pay Breakdown'!W:W,$B880,'Executive Pay Breakdown'!Y:Y)+SUMIF('Executive Pay Breakdown'!AA:AA,$B880,'Executive Pay Breakdown'!AC:AC)</f>
        <v>10538492</v>
      </c>
      <c r="E880" s="109"/>
      <c r="F880" s="69">
        <f>SUMIF('Executive Pay Breakdown'!K:K,$B880,'Executive Pay Breakdown'!M:M)</f>
        <v>0</v>
      </c>
      <c r="G880" s="69">
        <f>SUMIF('Executive Pay Breakdown'!O:O,$B880,'Executive Pay Breakdown'!Q:Q)</f>
        <v>0</v>
      </c>
      <c r="H880" s="69">
        <f>SUMIF('Executive Pay Breakdown'!S:S,$B880,'Executive Pay Breakdown'!U:U)</f>
        <v>0</v>
      </c>
      <c r="I880" s="69">
        <f>SUMIF('Executive Pay Breakdown'!W:W,$B880,'Executive Pay Breakdown'!Y:Y)</f>
        <v>0</v>
      </c>
      <c r="J880" s="69">
        <f>SUMIF('Executive Pay Breakdown'!AA:AA,$B880,'Executive Pay Breakdown'!AC:AC)</f>
        <v>10538492</v>
      </c>
      <c r="K880" s="118"/>
      <c r="L880" s="212"/>
      <c r="M880" s="87"/>
      <c r="N880" s="87"/>
      <c r="O880" s="120" t="str">
        <f>MATCH(C880,'Key Findings'!B:B,0)</f>
        <v>#N/A</v>
      </c>
    </row>
    <row r="881" hidden="1">
      <c r="A881" s="81"/>
      <c r="B881" s="134" t="s">
        <v>1076</v>
      </c>
      <c r="C881" s="87" t="s">
        <v>1071</v>
      </c>
      <c r="D881" s="89">
        <f>SUMIF('Executive Pay Breakdown'!K:K,$B881,'Executive Pay Breakdown'!M:M)+SUMIF('Executive Pay Breakdown'!O:O,$B881,'Executive Pay Breakdown'!Q:Q)+SUMIF('Executive Pay Breakdown'!S:S,$B881,'Executive Pay Breakdown'!U:U)+SUMIF('Executive Pay Breakdown'!W:W,$B881,'Executive Pay Breakdown'!Y:Y)+SUMIF('Executive Pay Breakdown'!AA:AA,$B881,'Executive Pay Breakdown'!AC:AC)</f>
        <v>6574302</v>
      </c>
      <c r="E881" s="109"/>
      <c r="F881" s="69">
        <f>SUMIF('Executive Pay Breakdown'!K:K,$B881,'Executive Pay Breakdown'!M:M)</f>
        <v>0</v>
      </c>
      <c r="G881" s="69">
        <f>SUMIF('Executive Pay Breakdown'!O:O,$B881,'Executive Pay Breakdown'!Q:Q)</f>
        <v>0</v>
      </c>
      <c r="H881" s="69">
        <f>SUMIF('Executive Pay Breakdown'!S:S,$B881,'Executive Pay Breakdown'!U:U)</f>
        <v>6574302</v>
      </c>
      <c r="I881" s="69">
        <f>SUMIF('Executive Pay Breakdown'!W:W,$B881,'Executive Pay Breakdown'!Y:Y)</f>
        <v>0</v>
      </c>
      <c r="J881" s="69">
        <f>SUMIF('Executive Pay Breakdown'!AA:AA,$B881,'Executive Pay Breakdown'!AC:AC)</f>
        <v>0</v>
      </c>
      <c r="K881" s="118"/>
      <c r="L881" s="212"/>
      <c r="M881" s="87"/>
      <c r="N881" s="87"/>
      <c r="O881" s="120" t="str">
        <f>MATCH(C881,'Key Findings'!B:B,0)</f>
        <v>#N/A</v>
      </c>
    </row>
    <row r="882" hidden="1">
      <c r="A882" s="81"/>
      <c r="B882" s="134" t="s">
        <v>1077</v>
      </c>
      <c r="C882" s="87" t="s">
        <v>1071</v>
      </c>
      <c r="D882" s="89">
        <f>SUMIF('Executive Pay Breakdown'!K:K,$B882,'Executive Pay Breakdown'!M:M)+SUMIF('Executive Pay Breakdown'!O:O,$B882,'Executive Pay Breakdown'!Q:Q)+SUMIF('Executive Pay Breakdown'!S:S,$B882,'Executive Pay Breakdown'!U:U)+SUMIF('Executive Pay Breakdown'!W:W,$B882,'Executive Pay Breakdown'!Y:Y)+SUMIF('Executive Pay Breakdown'!AA:AA,$B882,'Executive Pay Breakdown'!AC:AC)</f>
        <v>4168995</v>
      </c>
      <c r="E882" s="109"/>
      <c r="F882" s="69">
        <f>SUMIF('Executive Pay Breakdown'!K:K,$B882,'Executive Pay Breakdown'!M:M)</f>
        <v>0</v>
      </c>
      <c r="G882" s="69">
        <f>SUMIF('Executive Pay Breakdown'!O:O,$B882,'Executive Pay Breakdown'!Q:Q)</f>
        <v>0</v>
      </c>
      <c r="H882" s="69">
        <f>SUMIF('Executive Pay Breakdown'!S:S,$B882,'Executive Pay Breakdown'!U:U)</f>
        <v>0</v>
      </c>
      <c r="I882" s="69">
        <f>SUMIF('Executive Pay Breakdown'!W:W,$B882,'Executive Pay Breakdown'!Y:Y)</f>
        <v>0</v>
      </c>
      <c r="J882" s="69">
        <f>SUMIF('Executive Pay Breakdown'!AA:AA,$B882,'Executive Pay Breakdown'!AC:AC)</f>
        <v>4168995</v>
      </c>
      <c r="K882" s="118"/>
      <c r="L882" s="212"/>
      <c r="M882" s="87"/>
      <c r="N882" s="87"/>
      <c r="O882" s="120" t="str">
        <f>MATCH(C882,'Key Findings'!B:B,0)</f>
        <v>#N/A</v>
      </c>
    </row>
    <row r="883" hidden="1">
      <c r="A883" s="81"/>
      <c r="B883" s="134" t="s">
        <v>1078</v>
      </c>
      <c r="C883" s="87" t="s">
        <v>1071</v>
      </c>
      <c r="D883" s="89">
        <f>SUMIF('Executive Pay Breakdown'!K:K,$B883,'Executive Pay Breakdown'!M:M)+SUMIF('Executive Pay Breakdown'!O:O,$B883,'Executive Pay Breakdown'!Q:Q)+SUMIF('Executive Pay Breakdown'!S:S,$B883,'Executive Pay Breakdown'!U:U)+SUMIF('Executive Pay Breakdown'!W:W,$B883,'Executive Pay Breakdown'!Y:Y)+SUMIF('Executive Pay Breakdown'!AA:AA,$B883,'Executive Pay Breakdown'!AC:AC)</f>
        <v>4006724</v>
      </c>
      <c r="E883" s="109"/>
      <c r="F883" s="69">
        <f>SUMIF('Executive Pay Breakdown'!K:K,$B883,'Executive Pay Breakdown'!M:M)</f>
        <v>0</v>
      </c>
      <c r="G883" s="69">
        <f>SUMIF('Executive Pay Breakdown'!O:O,$B883,'Executive Pay Breakdown'!Q:Q)</f>
        <v>0</v>
      </c>
      <c r="H883" s="69">
        <f>SUMIF('Executive Pay Breakdown'!S:S,$B883,'Executive Pay Breakdown'!U:U)</f>
        <v>0</v>
      </c>
      <c r="I883" s="69">
        <f>SUMIF('Executive Pay Breakdown'!W:W,$B883,'Executive Pay Breakdown'!Y:Y)</f>
        <v>0</v>
      </c>
      <c r="J883" s="69">
        <f>SUMIF('Executive Pay Breakdown'!AA:AA,$B883,'Executive Pay Breakdown'!AC:AC)</f>
        <v>4006724</v>
      </c>
      <c r="K883" s="118"/>
      <c r="L883" s="212"/>
      <c r="M883" s="87"/>
      <c r="N883" s="87"/>
      <c r="O883" s="120" t="str">
        <f>MATCH(C883,'Key Findings'!B:B,0)</f>
        <v>#N/A</v>
      </c>
    </row>
    <row r="884" hidden="1">
      <c r="A884" s="81"/>
      <c r="B884" s="134" t="s">
        <v>1079</v>
      </c>
      <c r="C884" s="87" t="s">
        <v>1071</v>
      </c>
      <c r="D884" s="89">
        <f>SUMIF('Executive Pay Breakdown'!K:K,$B884,'Executive Pay Breakdown'!M:M)+SUMIF('Executive Pay Breakdown'!O:O,$B884,'Executive Pay Breakdown'!Q:Q)+SUMIF('Executive Pay Breakdown'!S:S,$B884,'Executive Pay Breakdown'!U:U)+SUMIF('Executive Pay Breakdown'!W:W,$B884,'Executive Pay Breakdown'!Y:Y)+SUMIF('Executive Pay Breakdown'!AA:AA,$B884,'Executive Pay Breakdown'!AC:AC)</f>
        <v>3909832</v>
      </c>
      <c r="E884" s="109"/>
      <c r="F884" s="69">
        <f>SUMIF('Executive Pay Breakdown'!K:K,$B884,'Executive Pay Breakdown'!M:M)</f>
        <v>3909832</v>
      </c>
      <c r="G884" s="69">
        <f>SUMIF('Executive Pay Breakdown'!O:O,$B884,'Executive Pay Breakdown'!Q:Q)</f>
        <v>0</v>
      </c>
      <c r="H884" s="69">
        <f>SUMIF('Executive Pay Breakdown'!S:S,$B884,'Executive Pay Breakdown'!U:U)</f>
        <v>0</v>
      </c>
      <c r="I884" s="69">
        <f>SUMIF('Executive Pay Breakdown'!W:W,$B884,'Executive Pay Breakdown'!Y:Y)</f>
        <v>0</v>
      </c>
      <c r="J884" s="69">
        <f>SUMIF('Executive Pay Breakdown'!AA:AA,$B884,'Executive Pay Breakdown'!AC:AC)</f>
        <v>0</v>
      </c>
      <c r="K884" s="118"/>
      <c r="L884" s="212"/>
      <c r="M884" s="87"/>
      <c r="N884" s="230"/>
      <c r="O884" s="120" t="str">
        <f>MATCH(C884,'Key Findings'!B:B,0)</f>
        <v>#N/A</v>
      </c>
    </row>
    <row r="885" hidden="1">
      <c r="A885" s="81"/>
      <c r="B885" s="134" t="s">
        <v>1080</v>
      </c>
      <c r="C885" s="87" t="s">
        <v>1071</v>
      </c>
      <c r="D885" s="89">
        <f>SUMIF('Executive Pay Breakdown'!K:K,$B885,'Executive Pay Breakdown'!M:M)+SUMIF('Executive Pay Breakdown'!O:O,$B885,'Executive Pay Breakdown'!Q:Q)+SUMIF('Executive Pay Breakdown'!S:S,$B885,'Executive Pay Breakdown'!U:U)+SUMIF('Executive Pay Breakdown'!W:W,$B885,'Executive Pay Breakdown'!Y:Y)+SUMIF('Executive Pay Breakdown'!AA:AA,$B885,'Executive Pay Breakdown'!AC:AC)</f>
        <v>2844379</v>
      </c>
      <c r="E885" s="109"/>
      <c r="F885" s="69">
        <f>SUMIF('Executive Pay Breakdown'!K:K,$B885,'Executive Pay Breakdown'!M:M)</f>
        <v>0</v>
      </c>
      <c r="G885" s="69">
        <f>SUMIF('Executive Pay Breakdown'!O:O,$B885,'Executive Pay Breakdown'!Q:Q)</f>
        <v>0</v>
      </c>
      <c r="H885" s="69">
        <f>SUMIF('Executive Pay Breakdown'!S:S,$B885,'Executive Pay Breakdown'!U:U)</f>
        <v>0</v>
      </c>
      <c r="I885" s="69">
        <f>SUMIF('Executive Pay Breakdown'!W:W,$B885,'Executive Pay Breakdown'!Y:Y)</f>
        <v>0</v>
      </c>
      <c r="J885" s="69">
        <f>SUMIF('Executive Pay Breakdown'!AA:AA,$B885,'Executive Pay Breakdown'!AC:AC)</f>
        <v>2844379</v>
      </c>
      <c r="K885" s="118"/>
      <c r="L885" s="212"/>
      <c r="M885" s="87"/>
      <c r="N885" s="87"/>
      <c r="O885" s="120" t="str">
        <f>MATCH(C885,'Key Findings'!B:B,0)</f>
        <v>#N/A</v>
      </c>
    </row>
    <row r="886" hidden="1">
      <c r="A886" s="81"/>
      <c r="B886" s="134" t="s">
        <v>1081</v>
      </c>
      <c r="C886" s="87" t="s">
        <v>1071</v>
      </c>
      <c r="D886" s="89">
        <f>SUMIF('Executive Pay Breakdown'!K:K,$B886,'Executive Pay Breakdown'!M:M)+SUMIF('Executive Pay Breakdown'!O:O,$B886,'Executive Pay Breakdown'!Q:Q)+SUMIF('Executive Pay Breakdown'!S:S,$B886,'Executive Pay Breakdown'!U:U)+SUMIF('Executive Pay Breakdown'!W:W,$B886,'Executive Pay Breakdown'!Y:Y)+SUMIF('Executive Pay Breakdown'!AA:AA,$B886,'Executive Pay Breakdown'!AC:AC)</f>
        <v>2830814</v>
      </c>
      <c r="E886" s="109"/>
      <c r="F886" s="69">
        <f>SUMIF('Executive Pay Breakdown'!K:K,$B886,'Executive Pay Breakdown'!M:M)</f>
        <v>0</v>
      </c>
      <c r="G886" s="69">
        <f>SUMIF('Executive Pay Breakdown'!O:O,$B886,'Executive Pay Breakdown'!Q:Q)</f>
        <v>0</v>
      </c>
      <c r="H886" s="69">
        <f>SUMIF('Executive Pay Breakdown'!S:S,$B886,'Executive Pay Breakdown'!U:U)</f>
        <v>0</v>
      </c>
      <c r="I886" s="69">
        <f>SUMIF('Executive Pay Breakdown'!W:W,$B886,'Executive Pay Breakdown'!Y:Y)</f>
        <v>0</v>
      </c>
      <c r="J886" s="69">
        <f>SUMIF('Executive Pay Breakdown'!AA:AA,$B886,'Executive Pay Breakdown'!AC:AC)</f>
        <v>2830814</v>
      </c>
      <c r="K886" s="118"/>
      <c r="L886" s="212"/>
      <c r="M886" s="87"/>
      <c r="N886" s="87"/>
      <c r="O886" s="120" t="str">
        <f>MATCH(C886,'Key Findings'!B:B,0)</f>
        <v>#N/A</v>
      </c>
    </row>
    <row r="887" hidden="1">
      <c r="A887" s="81"/>
      <c r="B887" s="134" t="s">
        <v>1082</v>
      </c>
      <c r="C887" s="87" t="s">
        <v>1071</v>
      </c>
      <c r="D887" s="89">
        <f>SUMIF('Executive Pay Breakdown'!K:K,$B887,'Executive Pay Breakdown'!M:M)+SUMIF('Executive Pay Breakdown'!O:O,$B887,'Executive Pay Breakdown'!Q:Q)+SUMIF('Executive Pay Breakdown'!S:S,$B887,'Executive Pay Breakdown'!U:U)+SUMIF('Executive Pay Breakdown'!W:W,$B887,'Executive Pay Breakdown'!Y:Y)+SUMIF('Executive Pay Breakdown'!AA:AA,$B887,'Executive Pay Breakdown'!AC:AC)</f>
        <v>2783841</v>
      </c>
      <c r="E887" s="109"/>
      <c r="F887" s="69">
        <f>SUMIF('Executive Pay Breakdown'!K:K,$B887,'Executive Pay Breakdown'!M:M)</f>
        <v>0</v>
      </c>
      <c r="G887" s="69">
        <f>SUMIF('Executive Pay Breakdown'!O:O,$B887,'Executive Pay Breakdown'!Q:Q)</f>
        <v>0</v>
      </c>
      <c r="H887" s="69">
        <f>SUMIF('Executive Pay Breakdown'!S:S,$B887,'Executive Pay Breakdown'!U:U)</f>
        <v>0</v>
      </c>
      <c r="I887" s="69">
        <f>SUMIF('Executive Pay Breakdown'!W:W,$B887,'Executive Pay Breakdown'!Y:Y)</f>
        <v>0</v>
      </c>
      <c r="J887" s="69">
        <f>SUMIF('Executive Pay Breakdown'!AA:AA,$B887,'Executive Pay Breakdown'!AC:AC)</f>
        <v>2783841</v>
      </c>
      <c r="K887" s="118"/>
      <c r="L887" s="212"/>
      <c r="M887" s="87"/>
      <c r="N887" s="87"/>
      <c r="O887" s="120" t="str">
        <f>MATCH(C887,'Key Findings'!B:B,0)</f>
        <v>#N/A</v>
      </c>
    </row>
    <row r="888" hidden="1">
      <c r="A888" s="81"/>
      <c r="B888" s="134" t="s">
        <v>1083</v>
      </c>
      <c r="C888" s="87" t="s">
        <v>1071</v>
      </c>
      <c r="D888" s="89">
        <f>SUMIF('Executive Pay Breakdown'!K:K,$B888,'Executive Pay Breakdown'!M:M)+SUMIF('Executive Pay Breakdown'!O:O,$B888,'Executive Pay Breakdown'!Q:Q)+SUMIF('Executive Pay Breakdown'!S:S,$B888,'Executive Pay Breakdown'!U:U)+SUMIF('Executive Pay Breakdown'!W:W,$B888,'Executive Pay Breakdown'!Y:Y)+SUMIF('Executive Pay Breakdown'!AA:AA,$B888,'Executive Pay Breakdown'!AC:AC)</f>
        <v>858531</v>
      </c>
      <c r="E888" s="109"/>
      <c r="F888" s="69">
        <f>SUMIF('Executive Pay Breakdown'!K:K,$B888,'Executive Pay Breakdown'!M:M)</f>
        <v>0</v>
      </c>
      <c r="G888" s="69">
        <f>SUMIF('Executive Pay Breakdown'!O:O,$B888,'Executive Pay Breakdown'!Q:Q)</f>
        <v>0</v>
      </c>
      <c r="H888" s="69">
        <f>SUMIF('Executive Pay Breakdown'!S:S,$B888,'Executive Pay Breakdown'!U:U)</f>
        <v>0</v>
      </c>
      <c r="I888" s="69">
        <f>SUMIF('Executive Pay Breakdown'!W:W,$B888,'Executive Pay Breakdown'!Y:Y)</f>
        <v>0</v>
      </c>
      <c r="J888" s="69">
        <f>SUMIF('Executive Pay Breakdown'!AA:AA,$B888,'Executive Pay Breakdown'!AC:AC)</f>
        <v>858531</v>
      </c>
      <c r="K888" s="118"/>
      <c r="L888" s="212"/>
      <c r="M888" s="87"/>
      <c r="N888" s="87"/>
      <c r="O888" s="120" t="str">
        <f>MATCH(C888,'Key Findings'!B:B,0)</f>
        <v>#N/A</v>
      </c>
    </row>
    <row r="889" hidden="1">
      <c r="A889" s="81"/>
      <c r="B889" s="87" t="s">
        <v>1084</v>
      </c>
      <c r="C889" s="87" t="s">
        <v>1085</v>
      </c>
      <c r="D889" s="89">
        <f>SUMIF('Executive Pay Breakdown'!K:K,$B889,'Executive Pay Breakdown'!M:M)+SUMIF('Executive Pay Breakdown'!O:O,$B889,'Executive Pay Breakdown'!Q:Q)+SUMIF('Executive Pay Breakdown'!S:S,$B889,'Executive Pay Breakdown'!U:U)+SUMIF('Executive Pay Breakdown'!W:W,$B889,'Executive Pay Breakdown'!Y:Y)+SUMIF('Executive Pay Breakdown'!AA:AA,$B889,'Executive Pay Breakdown'!AC:AC)</f>
        <v>87376611</v>
      </c>
      <c r="E889" s="109"/>
      <c r="F889" s="69">
        <f>SUMIF('Executive Pay Breakdown'!K:K,$B889,'Executive Pay Breakdown'!M:M)</f>
        <v>0</v>
      </c>
      <c r="G889" s="69">
        <f>SUMIF('Executive Pay Breakdown'!O:O,$B889,'Executive Pay Breakdown'!Q:Q)</f>
        <v>6446191</v>
      </c>
      <c r="H889" s="69">
        <f>SUMIF('Executive Pay Breakdown'!S:S,$B889,'Executive Pay Breakdown'!U:U)</f>
        <v>28499825</v>
      </c>
      <c r="I889" s="69">
        <f>SUMIF('Executive Pay Breakdown'!W:W,$B889,'Executive Pay Breakdown'!Y:Y)</f>
        <v>30913982</v>
      </c>
      <c r="J889" s="69">
        <f>SUMIF('Executive Pay Breakdown'!AA:AA,$B889,'Executive Pay Breakdown'!AC:AC)</f>
        <v>21516613</v>
      </c>
      <c r="K889" s="118"/>
      <c r="L889" s="212"/>
      <c r="M889" s="87"/>
      <c r="N889" s="230"/>
      <c r="O889" s="120" t="str">
        <f>MATCH(C889,'Key Findings'!B:B,0)</f>
        <v>#N/A</v>
      </c>
    </row>
    <row r="890" hidden="1">
      <c r="A890" s="242"/>
      <c r="B890" s="243" t="s">
        <v>1086</v>
      </c>
      <c r="C890" s="87" t="s">
        <v>1085</v>
      </c>
      <c r="D890" s="89">
        <f>SUMIF('Executive Pay Breakdown'!K:K,$B890,'Executive Pay Breakdown'!M:M)+SUMIF('Executive Pay Breakdown'!O:O,$B890,'Executive Pay Breakdown'!Q:Q)+SUMIF('Executive Pay Breakdown'!S:S,$B890,'Executive Pay Breakdown'!U:U)+SUMIF('Executive Pay Breakdown'!W:W,$B890,'Executive Pay Breakdown'!Y:Y)+SUMIF('Executive Pay Breakdown'!AA:AA,$B890,'Executive Pay Breakdown'!AC:AC)</f>
        <v>66282125</v>
      </c>
      <c r="E890" s="109"/>
      <c r="F890" s="69">
        <f>SUMIF('Executive Pay Breakdown'!K:K,$B890,'Executive Pay Breakdown'!M:M)</f>
        <v>24810545</v>
      </c>
      <c r="G890" s="69">
        <f>SUMIF('Executive Pay Breakdown'!O:O,$B890,'Executive Pay Breakdown'!Q:Q)</f>
        <v>18111211</v>
      </c>
      <c r="H890" s="69">
        <f>SUMIF('Executive Pay Breakdown'!S:S,$B890,'Executive Pay Breakdown'!U:U)</f>
        <v>23360369</v>
      </c>
      <c r="I890" s="69">
        <f>SUMIF('Executive Pay Breakdown'!W:W,$B890,'Executive Pay Breakdown'!Y:Y)</f>
        <v>0</v>
      </c>
      <c r="J890" s="69">
        <f>SUMIF('Executive Pay Breakdown'!AA:AA,$B890,'Executive Pay Breakdown'!AC:AC)</f>
        <v>0</v>
      </c>
      <c r="K890" s="118"/>
      <c r="L890" s="212"/>
      <c r="M890" s="87"/>
      <c r="N890" s="87"/>
      <c r="O890" s="120" t="str">
        <f>MATCH(C890,'Key Findings'!B:B,0)</f>
        <v>#N/A</v>
      </c>
    </row>
    <row r="891" hidden="1">
      <c r="A891" s="62"/>
      <c r="B891" s="143" t="s">
        <v>1087</v>
      </c>
      <c r="C891" s="87" t="s">
        <v>1085</v>
      </c>
      <c r="D891" s="89">
        <f>SUMIF('Executive Pay Breakdown'!K:K,$B891,'Executive Pay Breakdown'!M:M)+SUMIF('Executive Pay Breakdown'!O:O,$B891,'Executive Pay Breakdown'!Q:Q)+SUMIF('Executive Pay Breakdown'!S:S,$B891,'Executive Pay Breakdown'!U:U)+SUMIF('Executive Pay Breakdown'!W:W,$B891,'Executive Pay Breakdown'!Y:Y)+SUMIF('Executive Pay Breakdown'!AA:AA,$B891,'Executive Pay Breakdown'!AC:AC)</f>
        <v>42811879</v>
      </c>
      <c r="E891" s="109"/>
      <c r="F891" s="69">
        <f>SUMIF('Executive Pay Breakdown'!K:K,$B891,'Executive Pay Breakdown'!M:M)</f>
        <v>10072343</v>
      </c>
      <c r="G891" s="69">
        <f>SUMIF('Executive Pay Breakdown'!O:O,$B891,'Executive Pay Breakdown'!Q:Q)</f>
        <v>8634964</v>
      </c>
      <c r="H891" s="69">
        <f>SUMIF('Executive Pay Breakdown'!S:S,$B891,'Executive Pay Breakdown'!U:U)</f>
        <v>9519105</v>
      </c>
      <c r="I891" s="69">
        <f>SUMIF('Executive Pay Breakdown'!W:W,$B891,'Executive Pay Breakdown'!Y:Y)</f>
        <v>8519819</v>
      </c>
      <c r="J891" s="69">
        <f>SUMIF('Executive Pay Breakdown'!AA:AA,$B891,'Executive Pay Breakdown'!AC:AC)</f>
        <v>6065648</v>
      </c>
      <c r="K891" s="118"/>
      <c r="L891" s="212"/>
      <c r="M891" s="87"/>
      <c r="N891" s="230"/>
      <c r="O891" s="120" t="str">
        <f>MATCH(C891,'Key Findings'!B:B,0)</f>
        <v>#N/A</v>
      </c>
    </row>
    <row r="892" hidden="1">
      <c r="A892" s="62"/>
      <c r="B892" s="143" t="s">
        <v>1088</v>
      </c>
      <c r="C892" s="87" t="s">
        <v>1085</v>
      </c>
      <c r="D892" s="89">
        <f>SUMIF('Executive Pay Breakdown'!K:K,$B892,'Executive Pay Breakdown'!M:M)+SUMIF('Executive Pay Breakdown'!O:O,$B892,'Executive Pay Breakdown'!Q:Q)+SUMIF('Executive Pay Breakdown'!S:S,$B892,'Executive Pay Breakdown'!U:U)+SUMIF('Executive Pay Breakdown'!W:W,$B892,'Executive Pay Breakdown'!Y:Y)+SUMIF('Executive Pay Breakdown'!AA:AA,$B892,'Executive Pay Breakdown'!AC:AC)</f>
        <v>29977020</v>
      </c>
      <c r="E892" s="109"/>
      <c r="F892" s="69">
        <f>SUMIF('Executive Pay Breakdown'!K:K,$B892,'Executive Pay Breakdown'!M:M)</f>
        <v>0</v>
      </c>
      <c r="G892" s="69">
        <f>SUMIF('Executive Pay Breakdown'!O:O,$B892,'Executive Pay Breakdown'!Q:Q)</f>
        <v>6846698</v>
      </c>
      <c r="H892" s="69">
        <f>SUMIF('Executive Pay Breakdown'!S:S,$B892,'Executive Pay Breakdown'!U:U)</f>
        <v>8253314</v>
      </c>
      <c r="I892" s="69">
        <f>SUMIF('Executive Pay Breakdown'!W:W,$B892,'Executive Pay Breakdown'!Y:Y)</f>
        <v>8583507</v>
      </c>
      <c r="J892" s="69">
        <f>SUMIF('Executive Pay Breakdown'!AA:AA,$B892,'Executive Pay Breakdown'!AC:AC)</f>
        <v>6293501</v>
      </c>
      <c r="K892" s="118"/>
      <c r="L892" s="212"/>
      <c r="M892" s="87"/>
      <c r="N892" s="87"/>
      <c r="O892" s="120" t="str">
        <f>MATCH(C892,'Key Findings'!B:B,0)</f>
        <v>#N/A</v>
      </c>
    </row>
    <row r="893" hidden="1">
      <c r="A893" s="62"/>
      <c r="B893" s="143" t="s">
        <v>1089</v>
      </c>
      <c r="C893" s="87" t="s">
        <v>1085</v>
      </c>
      <c r="D893" s="89">
        <f>SUMIF('Executive Pay Breakdown'!K:K,$B893,'Executive Pay Breakdown'!M:M)+SUMIF('Executive Pay Breakdown'!O:O,$B893,'Executive Pay Breakdown'!Q:Q)+SUMIF('Executive Pay Breakdown'!S:S,$B893,'Executive Pay Breakdown'!U:U)+SUMIF('Executive Pay Breakdown'!W:W,$B893,'Executive Pay Breakdown'!Y:Y)+SUMIF('Executive Pay Breakdown'!AA:AA,$B893,'Executive Pay Breakdown'!AC:AC)</f>
        <v>24616245</v>
      </c>
      <c r="E893" s="109"/>
      <c r="F893" s="69">
        <f>SUMIF('Executive Pay Breakdown'!K:K,$B893,'Executive Pay Breakdown'!M:M)</f>
        <v>0</v>
      </c>
      <c r="G893" s="69">
        <f>SUMIF('Executive Pay Breakdown'!O:O,$B893,'Executive Pay Breakdown'!Q:Q)</f>
        <v>7347292</v>
      </c>
      <c r="H893" s="69">
        <f>SUMIF('Executive Pay Breakdown'!S:S,$B893,'Executive Pay Breakdown'!U:U)</f>
        <v>8006723</v>
      </c>
      <c r="I893" s="69">
        <f>SUMIF('Executive Pay Breakdown'!W:W,$B893,'Executive Pay Breakdown'!Y:Y)</f>
        <v>9262230</v>
      </c>
      <c r="J893" s="69">
        <f>SUMIF('Executive Pay Breakdown'!AA:AA,$B893,'Executive Pay Breakdown'!AC:AC)</f>
        <v>0</v>
      </c>
      <c r="K893" s="118"/>
      <c r="L893" s="212"/>
      <c r="M893" s="87"/>
      <c r="N893" s="87"/>
      <c r="O893" s="120" t="str">
        <f>MATCH(C893,'Key Findings'!B:B,0)</f>
        <v>#N/A</v>
      </c>
    </row>
    <row r="894" hidden="1">
      <c r="A894" s="62"/>
      <c r="B894" s="143" t="s">
        <v>1090</v>
      </c>
      <c r="C894" s="87" t="s">
        <v>1085</v>
      </c>
      <c r="D894" s="89">
        <f>SUMIF('Executive Pay Breakdown'!K:K,$B894,'Executive Pay Breakdown'!M:M)+SUMIF('Executive Pay Breakdown'!O:O,$B894,'Executive Pay Breakdown'!Q:Q)+SUMIF('Executive Pay Breakdown'!S:S,$B894,'Executive Pay Breakdown'!U:U)+SUMIF('Executive Pay Breakdown'!W:W,$B894,'Executive Pay Breakdown'!Y:Y)+SUMIF('Executive Pay Breakdown'!AA:AA,$B894,'Executive Pay Breakdown'!AC:AC)</f>
        <v>18534435</v>
      </c>
      <c r="E894" s="109"/>
      <c r="F894" s="69">
        <f>SUMIF('Executive Pay Breakdown'!K:K,$B894,'Executive Pay Breakdown'!M:M)</f>
        <v>0</v>
      </c>
      <c r="G894" s="69">
        <f>SUMIF('Executive Pay Breakdown'!O:O,$B894,'Executive Pay Breakdown'!Q:Q)</f>
        <v>0</v>
      </c>
      <c r="H894" s="69">
        <f>SUMIF('Executive Pay Breakdown'!S:S,$B894,'Executive Pay Breakdown'!U:U)</f>
        <v>0</v>
      </c>
      <c r="I894" s="69">
        <f>SUMIF('Executive Pay Breakdown'!W:W,$B894,'Executive Pay Breakdown'!Y:Y)</f>
        <v>10508643</v>
      </c>
      <c r="J894" s="69">
        <f>SUMIF('Executive Pay Breakdown'!AA:AA,$B894,'Executive Pay Breakdown'!AC:AC)</f>
        <v>8025792</v>
      </c>
      <c r="K894" s="118"/>
      <c r="L894" s="212"/>
      <c r="M894" s="87"/>
      <c r="N894" s="87"/>
      <c r="O894" s="120" t="str">
        <f>MATCH(C894,'Key Findings'!B:B,0)</f>
        <v>#N/A</v>
      </c>
    </row>
    <row r="895" hidden="1">
      <c r="A895" s="62"/>
      <c r="B895" s="143" t="s">
        <v>1091</v>
      </c>
      <c r="C895" s="87" t="s">
        <v>1085</v>
      </c>
      <c r="D895" s="89">
        <f>SUMIF('Executive Pay Breakdown'!K:K,$B895,'Executive Pay Breakdown'!M:M)+SUMIF('Executive Pay Breakdown'!O:O,$B895,'Executive Pay Breakdown'!Q:Q)+SUMIF('Executive Pay Breakdown'!S:S,$B895,'Executive Pay Breakdown'!U:U)+SUMIF('Executive Pay Breakdown'!W:W,$B895,'Executive Pay Breakdown'!Y:Y)+SUMIF('Executive Pay Breakdown'!AA:AA,$B895,'Executive Pay Breakdown'!AC:AC)</f>
        <v>16353999</v>
      </c>
      <c r="E895" s="109"/>
      <c r="F895" s="69">
        <f>SUMIF('Executive Pay Breakdown'!K:K,$B895,'Executive Pay Breakdown'!M:M)</f>
        <v>0</v>
      </c>
      <c r="G895" s="69">
        <f>SUMIF('Executive Pay Breakdown'!O:O,$B895,'Executive Pay Breakdown'!Q:Q)</f>
        <v>0</v>
      </c>
      <c r="H895" s="69">
        <f>SUMIF('Executive Pay Breakdown'!S:S,$B895,'Executive Pay Breakdown'!U:U)</f>
        <v>0</v>
      </c>
      <c r="I895" s="69">
        <f>SUMIF('Executive Pay Breakdown'!W:W,$B895,'Executive Pay Breakdown'!Y:Y)</f>
        <v>9667544</v>
      </c>
      <c r="J895" s="69">
        <f>SUMIF('Executive Pay Breakdown'!AA:AA,$B895,'Executive Pay Breakdown'!AC:AC)</f>
        <v>6686455</v>
      </c>
      <c r="K895" s="118"/>
      <c r="L895" s="212"/>
      <c r="M895" s="87"/>
      <c r="N895" s="87"/>
      <c r="O895" s="120" t="str">
        <f>MATCH(C895,'Key Findings'!B:B,0)</f>
        <v>#N/A</v>
      </c>
    </row>
    <row r="896" hidden="1">
      <c r="A896" s="62"/>
      <c r="B896" s="143" t="s">
        <v>1092</v>
      </c>
      <c r="C896" s="87" t="s">
        <v>1085</v>
      </c>
      <c r="D896" s="89">
        <f>SUMIF('Executive Pay Breakdown'!K:K,$B896,'Executive Pay Breakdown'!M:M)+SUMIF('Executive Pay Breakdown'!O:O,$B896,'Executive Pay Breakdown'!Q:Q)+SUMIF('Executive Pay Breakdown'!S:S,$B896,'Executive Pay Breakdown'!U:U)+SUMIF('Executive Pay Breakdown'!W:W,$B896,'Executive Pay Breakdown'!Y:Y)+SUMIF('Executive Pay Breakdown'!AA:AA,$B896,'Executive Pay Breakdown'!AC:AC)</f>
        <v>16254918</v>
      </c>
      <c r="E896" s="109"/>
      <c r="F896" s="69">
        <f>SUMIF('Executive Pay Breakdown'!K:K,$B896,'Executive Pay Breakdown'!M:M)</f>
        <v>0</v>
      </c>
      <c r="G896" s="69">
        <f>SUMIF('Executive Pay Breakdown'!O:O,$B896,'Executive Pay Breakdown'!Q:Q)</f>
        <v>0</v>
      </c>
      <c r="H896" s="69">
        <f>SUMIF('Executive Pay Breakdown'!S:S,$B896,'Executive Pay Breakdown'!U:U)</f>
        <v>8368103</v>
      </c>
      <c r="I896" s="69">
        <f>SUMIF('Executive Pay Breakdown'!W:W,$B896,'Executive Pay Breakdown'!Y:Y)</f>
        <v>7886815</v>
      </c>
      <c r="J896" s="69">
        <f>SUMIF('Executive Pay Breakdown'!AA:AA,$B896,'Executive Pay Breakdown'!AC:AC)</f>
        <v>0</v>
      </c>
      <c r="K896" s="118"/>
      <c r="L896" s="212"/>
      <c r="M896" s="87"/>
      <c r="N896" s="87"/>
      <c r="O896" s="120" t="str">
        <f>MATCH(C896,'Key Findings'!B:B,0)</f>
        <v>#N/A</v>
      </c>
    </row>
    <row r="897" hidden="1">
      <c r="A897" s="62"/>
      <c r="B897" s="143" t="s">
        <v>1093</v>
      </c>
      <c r="C897" s="87" t="s">
        <v>1085</v>
      </c>
      <c r="D897" s="89">
        <f>SUMIF('Executive Pay Breakdown'!K:K,$B897,'Executive Pay Breakdown'!M:M)+SUMIF('Executive Pay Breakdown'!O:O,$B897,'Executive Pay Breakdown'!Q:Q)+SUMIF('Executive Pay Breakdown'!S:S,$B897,'Executive Pay Breakdown'!U:U)+SUMIF('Executive Pay Breakdown'!W:W,$B897,'Executive Pay Breakdown'!Y:Y)+SUMIF('Executive Pay Breakdown'!AA:AA,$B897,'Executive Pay Breakdown'!AC:AC)</f>
        <v>14564251</v>
      </c>
      <c r="E897" s="109"/>
      <c r="F897" s="69">
        <f>SUMIF('Executive Pay Breakdown'!K:K,$B897,'Executive Pay Breakdown'!M:M)</f>
        <v>14564251</v>
      </c>
      <c r="G897" s="69">
        <f>SUMIF('Executive Pay Breakdown'!O:O,$B897,'Executive Pay Breakdown'!Q:Q)</f>
        <v>0</v>
      </c>
      <c r="H897" s="69">
        <f>SUMIF('Executive Pay Breakdown'!S:S,$B897,'Executive Pay Breakdown'!U:U)</f>
        <v>0</v>
      </c>
      <c r="I897" s="69">
        <f>SUMIF('Executive Pay Breakdown'!W:W,$B897,'Executive Pay Breakdown'!Y:Y)</f>
        <v>0</v>
      </c>
      <c r="J897" s="69">
        <f>SUMIF('Executive Pay Breakdown'!AA:AA,$B897,'Executive Pay Breakdown'!AC:AC)</f>
        <v>0</v>
      </c>
      <c r="K897" s="118"/>
      <c r="L897" s="212"/>
      <c r="M897" s="87"/>
      <c r="N897" s="230"/>
      <c r="O897" s="120" t="str">
        <f>MATCH(C897,'Key Findings'!B:B,0)</f>
        <v>#N/A</v>
      </c>
    </row>
    <row r="898" hidden="1">
      <c r="A898" s="62"/>
      <c r="B898" s="143" t="s">
        <v>1094</v>
      </c>
      <c r="C898" s="87" t="s">
        <v>1085</v>
      </c>
      <c r="D898" s="89">
        <f>SUMIF('Executive Pay Breakdown'!K:K,$B898,'Executive Pay Breakdown'!M:M)+SUMIF('Executive Pay Breakdown'!O:O,$B898,'Executive Pay Breakdown'!Q:Q)+SUMIF('Executive Pay Breakdown'!S:S,$B898,'Executive Pay Breakdown'!U:U)+SUMIF('Executive Pay Breakdown'!W:W,$B898,'Executive Pay Breakdown'!Y:Y)+SUMIF('Executive Pay Breakdown'!AA:AA,$B898,'Executive Pay Breakdown'!AC:AC)</f>
        <v>7270105</v>
      </c>
      <c r="E898" s="109"/>
      <c r="F898" s="69">
        <f>SUMIF('Executive Pay Breakdown'!K:K,$B898,'Executive Pay Breakdown'!M:M)</f>
        <v>7270105</v>
      </c>
      <c r="G898" s="69">
        <f>SUMIF('Executive Pay Breakdown'!O:O,$B898,'Executive Pay Breakdown'!Q:Q)</f>
        <v>0</v>
      </c>
      <c r="H898" s="69">
        <f>SUMIF('Executive Pay Breakdown'!S:S,$B898,'Executive Pay Breakdown'!U:U)</f>
        <v>0</v>
      </c>
      <c r="I898" s="69">
        <f>SUMIF('Executive Pay Breakdown'!W:W,$B898,'Executive Pay Breakdown'!Y:Y)</f>
        <v>0</v>
      </c>
      <c r="J898" s="69">
        <f>SUMIF('Executive Pay Breakdown'!AA:AA,$B898,'Executive Pay Breakdown'!AC:AC)</f>
        <v>0</v>
      </c>
      <c r="K898" s="118"/>
      <c r="L898" s="212"/>
      <c r="M898" s="87"/>
      <c r="N898" s="230"/>
      <c r="O898" s="120" t="str">
        <f>MATCH(C898,'Key Findings'!B:B,0)</f>
        <v>#N/A</v>
      </c>
    </row>
    <row r="899" hidden="1">
      <c r="A899" s="62"/>
      <c r="B899" s="143" t="s">
        <v>1095</v>
      </c>
      <c r="C899" s="87" t="s">
        <v>1085</v>
      </c>
      <c r="D899" s="89">
        <f>SUMIF('Executive Pay Breakdown'!K:K,$B899,'Executive Pay Breakdown'!M:M)+SUMIF('Executive Pay Breakdown'!O:O,$B899,'Executive Pay Breakdown'!Q:Q)+SUMIF('Executive Pay Breakdown'!S:S,$B899,'Executive Pay Breakdown'!U:U)+SUMIF('Executive Pay Breakdown'!W:W,$B899,'Executive Pay Breakdown'!Y:Y)+SUMIF('Executive Pay Breakdown'!AA:AA,$B899,'Executive Pay Breakdown'!AC:AC)</f>
        <v>6555483</v>
      </c>
      <c r="E899" s="109"/>
      <c r="F899" s="69">
        <f>SUMIF('Executive Pay Breakdown'!K:K,$B899,'Executive Pay Breakdown'!M:M)</f>
        <v>6555483</v>
      </c>
      <c r="G899" s="69">
        <f>SUMIF('Executive Pay Breakdown'!O:O,$B899,'Executive Pay Breakdown'!Q:Q)</f>
        <v>0</v>
      </c>
      <c r="H899" s="69">
        <f>SUMIF('Executive Pay Breakdown'!S:S,$B899,'Executive Pay Breakdown'!U:U)</f>
        <v>0</v>
      </c>
      <c r="I899" s="69">
        <f>SUMIF('Executive Pay Breakdown'!W:W,$B899,'Executive Pay Breakdown'!Y:Y)</f>
        <v>0</v>
      </c>
      <c r="J899" s="69">
        <f>SUMIF('Executive Pay Breakdown'!AA:AA,$B899,'Executive Pay Breakdown'!AC:AC)</f>
        <v>0</v>
      </c>
      <c r="K899" s="118"/>
      <c r="L899" s="212"/>
      <c r="M899" s="87"/>
      <c r="N899" s="230"/>
      <c r="O899" s="120" t="str">
        <f>MATCH(C899,'Key Findings'!B:B,0)</f>
        <v>#N/A</v>
      </c>
    </row>
    <row r="900" hidden="1">
      <c r="A900" s="242"/>
      <c r="B900" s="243" t="s">
        <v>1096</v>
      </c>
      <c r="C900" s="87" t="s">
        <v>1085</v>
      </c>
      <c r="D900" s="89">
        <f>SUMIF('Executive Pay Breakdown'!K:K,$B900,'Executive Pay Breakdown'!M:M)+SUMIF('Executive Pay Breakdown'!O:O,$B900,'Executive Pay Breakdown'!Q:Q)+SUMIF('Executive Pay Breakdown'!S:S,$B900,'Executive Pay Breakdown'!U:U)+SUMIF('Executive Pay Breakdown'!W:W,$B900,'Executive Pay Breakdown'!Y:Y)+SUMIF('Executive Pay Breakdown'!AA:AA,$B900,'Executive Pay Breakdown'!AC:AC)</f>
        <v>6433289</v>
      </c>
      <c r="E900" s="109"/>
      <c r="F900" s="69">
        <f>SUMIF('Executive Pay Breakdown'!K:K,$B900,'Executive Pay Breakdown'!M:M)</f>
        <v>6433289</v>
      </c>
      <c r="G900" s="69">
        <f>SUMIF('Executive Pay Breakdown'!O:O,$B900,'Executive Pay Breakdown'!Q:Q)</f>
        <v>0</v>
      </c>
      <c r="H900" s="69">
        <f>SUMIF('Executive Pay Breakdown'!S:S,$B900,'Executive Pay Breakdown'!U:U)</f>
        <v>0</v>
      </c>
      <c r="I900" s="69">
        <f>SUMIF('Executive Pay Breakdown'!W:W,$B900,'Executive Pay Breakdown'!Y:Y)</f>
        <v>0</v>
      </c>
      <c r="J900" s="69">
        <f>SUMIF('Executive Pay Breakdown'!AA:AA,$B900,'Executive Pay Breakdown'!AC:AC)</f>
        <v>0</v>
      </c>
      <c r="K900" s="118"/>
      <c r="L900" s="212"/>
      <c r="M900" s="87"/>
      <c r="N900" s="230"/>
      <c r="O900" s="120" t="str">
        <f>MATCH(C900,'Key Findings'!B:B,0)</f>
        <v>#N/A</v>
      </c>
    </row>
    <row r="901" hidden="1">
      <c r="A901" s="62"/>
      <c r="B901" s="143" t="s">
        <v>1097</v>
      </c>
      <c r="C901" s="87" t="s">
        <v>1085</v>
      </c>
      <c r="D901" s="89">
        <f>SUMIF('Executive Pay Breakdown'!K:K,$B901,'Executive Pay Breakdown'!M:M)+SUMIF('Executive Pay Breakdown'!O:O,$B901,'Executive Pay Breakdown'!Q:Q)+SUMIF('Executive Pay Breakdown'!S:S,$B901,'Executive Pay Breakdown'!U:U)+SUMIF('Executive Pay Breakdown'!W:W,$B901,'Executive Pay Breakdown'!Y:Y)+SUMIF('Executive Pay Breakdown'!AA:AA,$B901,'Executive Pay Breakdown'!AC:AC)</f>
        <v>6426126</v>
      </c>
      <c r="E901" s="109"/>
      <c r="F901" s="69">
        <f>SUMIF('Executive Pay Breakdown'!K:K,$B901,'Executive Pay Breakdown'!M:M)</f>
        <v>0</v>
      </c>
      <c r="G901" s="69">
        <f>SUMIF('Executive Pay Breakdown'!O:O,$B901,'Executive Pay Breakdown'!Q:Q)</f>
        <v>0</v>
      </c>
      <c r="H901" s="69">
        <f>SUMIF('Executive Pay Breakdown'!S:S,$B901,'Executive Pay Breakdown'!U:U)</f>
        <v>0</v>
      </c>
      <c r="I901" s="69">
        <f>SUMIF('Executive Pay Breakdown'!W:W,$B901,'Executive Pay Breakdown'!Y:Y)</f>
        <v>0</v>
      </c>
      <c r="J901" s="69">
        <f>SUMIF('Executive Pay Breakdown'!AA:AA,$B901,'Executive Pay Breakdown'!AC:AC)</f>
        <v>6426126</v>
      </c>
      <c r="K901" s="118"/>
      <c r="L901" s="212"/>
      <c r="M901" s="87"/>
      <c r="N901" s="87"/>
      <c r="O901" s="120" t="str">
        <f>MATCH(C901,'Key Findings'!B:B,0)</f>
        <v>#N/A</v>
      </c>
    </row>
    <row r="902" hidden="1">
      <c r="A902" s="62"/>
      <c r="B902" s="143" t="s">
        <v>1098</v>
      </c>
      <c r="C902" s="87" t="s">
        <v>1085</v>
      </c>
      <c r="D902" s="89">
        <f>SUMIF('Executive Pay Breakdown'!K:K,$B902,'Executive Pay Breakdown'!M:M)+SUMIF('Executive Pay Breakdown'!O:O,$B902,'Executive Pay Breakdown'!Q:Q)+SUMIF('Executive Pay Breakdown'!S:S,$B902,'Executive Pay Breakdown'!U:U)+SUMIF('Executive Pay Breakdown'!W:W,$B902,'Executive Pay Breakdown'!Y:Y)+SUMIF('Executive Pay Breakdown'!AA:AA,$B902,'Executive Pay Breakdown'!AC:AC)</f>
        <v>6400147</v>
      </c>
      <c r="E902" s="109"/>
      <c r="F902" s="69">
        <f>SUMIF('Executive Pay Breakdown'!K:K,$B902,'Executive Pay Breakdown'!M:M)</f>
        <v>0</v>
      </c>
      <c r="G902" s="69">
        <f>SUMIF('Executive Pay Breakdown'!O:O,$B902,'Executive Pay Breakdown'!Q:Q)</f>
        <v>0</v>
      </c>
      <c r="H902" s="69">
        <f>SUMIF('Executive Pay Breakdown'!S:S,$B902,'Executive Pay Breakdown'!U:U)</f>
        <v>0</v>
      </c>
      <c r="I902" s="69">
        <f>SUMIF('Executive Pay Breakdown'!W:W,$B902,'Executive Pay Breakdown'!Y:Y)</f>
        <v>0</v>
      </c>
      <c r="J902" s="69">
        <f>SUMIF('Executive Pay Breakdown'!AA:AA,$B902,'Executive Pay Breakdown'!AC:AC)</f>
        <v>6400147</v>
      </c>
      <c r="K902" s="118"/>
      <c r="L902" s="212"/>
      <c r="M902" s="87"/>
      <c r="N902" s="87"/>
      <c r="O902" s="120" t="str">
        <f>MATCH(C902,'Key Findings'!B:B,0)</f>
        <v>#N/A</v>
      </c>
    </row>
    <row r="903" hidden="1">
      <c r="A903" s="62"/>
      <c r="B903" s="143" t="s">
        <v>1099</v>
      </c>
      <c r="C903" s="87" t="s">
        <v>1085</v>
      </c>
      <c r="D903" s="89">
        <f>SUMIF('Executive Pay Breakdown'!K:K,$B903,'Executive Pay Breakdown'!M:M)+SUMIF('Executive Pay Breakdown'!O:O,$B903,'Executive Pay Breakdown'!Q:Q)+SUMIF('Executive Pay Breakdown'!S:S,$B903,'Executive Pay Breakdown'!U:U)+SUMIF('Executive Pay Breakdown'!W:W,$B903,'Executive Pay Breakdown'!Y:Y)+SUMIF('Executive Pay Breakdown'!AA:AA,$B903,'Executive Pay Breakdown'!AC:AC)</f>
        <v>6204240</v>
      </c>
      <c r="E903" s="109"/>
      <c r="F903" s="69">
        <f>SUMIF('Executive Pay Breakdown'!K:K,$B903,'Executive Pay Breakdown'!M:M)</f>
        <v>0</v>
      </c>
      <c r="G903" s="69">
        <f>SUMIF('Executive Pay Breakdown'!O:O,$B903,'Executive Pay Breakdown'!Q:Q)</f>
        <v>6204240</v>
      </c>
      <c r="H903" s="69">
        <f>SUMIF('Executive Pay Breakdown'!S:S,$B903,'Executive Pay Breakdown'!U:U)</f>
        <v>0</v>
      </c>
      <c r="I903" s="69">
        <f>SUMIF('Executive Pay Breakdown'!W:W,$B903,'Executive Pay Breakdown'!Y:Y)</f>
        <v>0</v>
      </c>
      <c r="J903" s="69">
        <f>SUMIF('Executive Pay Breakdown'!AA:AA,$B903,'Executive Pay Breakdown'!AC:AC)</f>
        <v>0</v>
      </c>
      <c r="K903" s="118"/>
      <c r="L903" s="212"/>
      <c r="M903" s="212"/>
      <c r="N903" s="87"/>
      <c r="O903" s="120" t="str">
        <f>MATCH(C903,'Key Findings'!B:B,0)</f>
        <v>#N/A</v>
      </c>
    </row>
    <row r="904" hidden="1">
      <c r="A904" s="62"/>
      <c r="B904" s="143" t="s">
        <v>1100</v>
      </c>
      <c r="C904" s="87" t="s">
        <v>1085</v>
      </c>
      <c r="D904" s="89">
        <f>SUMIF('Executive Pay Breakdown'!K:K,$B904,'Executive Pay Breakdown'!M:M)+SUMIF('Executive Pay Breakdown'!O:O,$B904,'Executive Pay Breakdown'!Q:Q)+SUMIF('Executive Pay Breakdown'!S:S,$B904,'Executive Pay Breakdown'!U:U)+SUMIF('Executive Pay Breakdown'!W:W,$B904,'Executive Pay Breakdown'!Y:Y)+SUMIF('Executive Pay Breakdown'!AA:AA,$B904,'Executive Pay Breakdown'!AC:AC)</f>
        <v>4886312</v>
      </c>
      <c r="E904" s="109"/>
      <c r="F904" s="69">
        <f>SUMIF('Executive Pay Breakdown'!K:K,$B904,'Executive Pay Breakdown'!M:M)</f>
        <v>2457429</v>
      </c>
      <c r="G904" s="69">
        <f>SUMIF('Executive Pay Breakdown'!O:O,$B904,'Executive Pay Breakdown'!Q:Q)</f>
        <v>2428883</v>
      </c>
      <c r="H904" s="69">
        <f>SUMIF('Executive Pay Breakdown'!S:S,$B904,'Executive Pay Breakdown'!U:U)</f>
        <v>0</v>
      </c>
      <c r="I904" s="69">
        <f>SUMIF('Executive Pay Breakdown'!W:W,$B904,'Executive Pay Breakdown'!Y:Y)</f>
        <v>0</v>
      </c>
      <c r="J904" s="69">
        <f>SUMIF('Executive Pay Breakdown'!AA:AA,$B904,'Executive Pay Breakdown'!AC:AC)</f>
        <v>0</v>
      </c>
      <c r="K904" s="118"/>
      <c r="L904" s="212"/>
      <c r="M904" s="212"/>
      <c r="N904" s="230"/>
      <c r="O904" s="120" t="str">
        <f>MATCH(C904,'Key Findings'!B:B,0)</f>
        <v>#N/A</v>
      </c>
    </row>
    <row r="905" hidden="1">
      <c r="A905" s="62"/>
      <c r="B905" s="127" t="s">
        <v>1101</v>
      </c>
      <c r="C905" s="87" t="s">
        <v>1102</v>
      </c>
      <c r="D905" s="89">
        <f>SUMIF('Executive Pay Breakdown'!K:K,$B905,'Executive Pay Breakdown'!M:M)+SUMIF('Executive Pay Breakdown'!O:O,$B905,'Executive Pay Breakdown'!Q:Q)+SUMIF('Executive Pay Breakdown'!S:S,$B905,'Executive Pay Breakdown'!U:U)+SUMIF('Executive Pay Breakdown'!W:W,$B905,'Executive Pay Breakdown'!Y:Y)+SUMIF('Executive Pay Breakdown'!AA:AA,$B905,'Executive Pay Breakdown'!AC:AC)</f>
        <v>139898795</v>
      </c>
      <c r="E905" s="109"/>
      <c r="F905" s="69">
        <f>SUMIF('Executive Pay Breakdown'!K:K,$B905,'Executive Pay Breakdown'!M:M)</f>
        <v>34927094</v>
      </c>
      <c r="G905" s="69">
        <f>SUMIF('Executive Pay Breakdown'!O:O,$B905,'Executive Pay Breakdown'!Q:Q)</f>
        <v>38852076</v>
      </c>
      <c r="H905" s="69">
        <f>SUMIF('Executive Pay Breakdown'!S:S,$B905,'Executive Pay Breakdown'!U:U)</f>
        <v>25169936</v>
      </c>
      <c r="I905" s="69">
        <f>SUMIF('Executive Pay Breakdown'!W:W,$B905,'Executive Pay Breakdown'!Y:Y)</f>
        <v>20878518</v>
      </c>
      <c r="J905" s="69">
        <f>SUMIF('Executive Pay Breakdown'!AA:AA,$B905,'Executive Pay Breakdown'!AC:AC)</f>
        <v>20071171</v>
      </c>
      <c r="K905" s="118"/>
      <c r="L905" s="212"/>
      <c r="M905" s="87"/>
      <c r="N905" s="87"/>
      <c r="O905" s="120" t="str">
        <f>MATCH(C905,'Key Findings'!B:B,0)</f>
        <v>#N/A</v>
      </c>
    </row>
    <row r="906" hidden="1">
      <c r="A906" s="62"/>
      <c r="B906" s="127" t="s">
        <v>1103</v>
      </c>
      <c r="C906" s="87" t="s">
        <v>1102</v>
      </c>
      <c r="D906" s="89">
        <f>SUMIF('Executive Pay Breakdown'!K:K,$B906,'Executive Pay Breakdown'!M:M)+SUMIF('Executive Pay Breakdown'!O:O,$B906,'Executive Pay Breakdown'!Q:Q)+SUMIF('Executive Pay Breakdown'!S:S,$B906,'Executive Pay Breakdown'!U:U)+SUMIF('Executive Pay Breakdown'!W:W,$B906,'Executive Pay Breakdown'!Y:Y)+SUMIF('Executive Pay Breakdown'!AA:AA,$B906,'Executive Pay Breakdown'!AC:AC)</f>
        <v>122338430</v>
      </c>
      <c r="E906" s="109"/>
      <c r="F906" s="69">
        <f>SUMIF('Executive Pay Breakdown'!K:K,$B906,'Executive Pay Breakdown'!M:M)</f>
        <v>30447048</v>
      </c>
      <c r="G906" s="69">
        <f>SUMIF('Executive Pay Breakdown'!O:O,$B906,'Executive Pay Breakdown'!Q:Q)</f>
        <v>34045217</v>
      </c>
      <c r="H906" s="69">
        <f>SUMIF('Executive Pay Breakdown'!S:S,$B906,'Executive Pay Breakdown'!U:U)</f>
        <v>21983118</v>
      </c>
      <c r="I906" s="69">
        <f>SUMIF('Executive Pay Breakdown'!W:W,$B906,'Executive Pay Breakdown'!Y:Y)</f>
        <v>18279581</v>
      </c>
      <c r="J906" s="69">
        <f>SUMIF('Executive Pay Breakdown'!AA:AA,$B906,'Executive Pay Breakdown'!AC:AC)</f>
        <v>17583466</v>
      </c>
      <c r="K906" s="118"/>
      <c r="L906" s="212"/>
      <c r="M906" s="87"/>
      <c r="N906" s="87"/>
      <c r="O906" s="120" t="str">
        <f>MATCH(C906,'Key Findings'!B:B,0)</f>
        <v>#N/A</v>
      </c>
    </row>
    <row r="907" hidden="1">
      <c r="A907" s="62"/>
      <c r="B907" s="127" t="s">
        <v>1104</v>
      </c>
      <c r="C907" s="87" t="s">
        <v>1102</v>
      </c>
      <c r="D907" s="89">
        <f>SUMIF('Executive Pay Breakdown'!K:K,$B907,'Executive Pay Breakdown'!M:M)+SUMIF('Executive Pay Breakdown'!O:O,$B907,'Executive Pay Breakdown'!Q:Q)+SUMIF('Executive Pay Breakdown'!S:S,$B907,'Executive Pay Breakdown'!U:U)+SUMIF('Executive Pay Breakdown'!W:W,$B907,'Executive Pay Breakdown'!Y:Y)+SUMIF('Executive Pay Breakdown'!AA:AA,$B907,'Executive Pay Breakdown'!AC:AC)</f>
        <v>115060175</v>
      </c>
      <c r="E907" s="109"/>
      <c r="F907" s="69">
        <f>SUMIF('Executive Pay Breakdown'!K:K,$B907,'Executive Pay Breakdown'!M:M)</f>
        <v>30032983</v>
      </c>
      <c r="G907" s="69">
        <f>SUMIF('Executive Pay Breakdown'!O:O,$B907,'Executive Pay Breakdown'!Q:Q)</f>
        <v>34045217</v>
      </c>
      <c r="H907" s="69">
        <f>SUMIF('Executive Pay Breakdown'!S:S,$B907,'Executive Pay Breakdown'!U:U)</f>
        <v>19352016</v>
      </c>
      <c r="I907" s="69">
        <f>SUMIF('Executive Pay Breakdown'!W:W,$B907,'Executive Pay Breakdown'!Y:Y)</f>
        <v>16118722</v>
      </c>
      <c r="J907" s="69">
        <f>SUMIF('Executive Pay Breakdown'!AA:AA,$B907,'Executive Pay Breakdown'!AC:AC)</f>
        <v>15511237</v>
      </c>
      <c r="K907" s="118"/>
      <c r="L907" s="212"/>
      <c r="M907" s="87"/>
      <c r="N907" s="87"/>
      <c r="O907" s="120" t="str">
        <f>MATCH(C907,'Key Findings'!B:B,0)</f>
        <v>#N/A</v>
      </c>
    </row>
    <row r="908" hidden="1">
      <c r="A908" s="62"/>
      <c r="B908" s="127" t="s">
        <v>1105</v>
      </c>
      <c r="C908" s="87" t="s">
        <v>1102</v>
      </c>
      <c r="D908" s="89">
        <f>SUMIF('Executive Pay Breakdown'!K:K,$B908,'Executive Pay Breakdown'!M:M)+SUMIF('Executive Pay Breakdown'!O:O,$B908,'Executive Pay Breakdown'!Q:Q)+SUMIF('Executive Pay Breakdown'!S:S,$B908,'Executive Pay Breakdown'!U:U)+SUMIF('Executive Pay Breakdown'!W:W,$B908,'Executive Pay Breakdown'!Y:Y)+SUMIF('Executive Pay Breakdown'!AA:AA,$B908,'Executive Pay Breakdown'!AC:AC)</f>
        <v>23263471</v>
      </c>
      <c r="E908" s="109"/>
      <c r="F908" s="69">
        <f>SUMIF('Executive Pay Breakdown'!K:K,$B908,'Executive Pay Breakdown'!M:M)</f>
        <v>5138897</v>
      </c>
      <c r="G908" s="69">
        <f>SUMIF('Executive Pay Breakdown'!O:O,$B908,'Executive Pay Breakdown'!Q:Q)</f>
        <v>4884704</v>
      </c>
      <c r="H908" s="69">
        <f>SUMIF('Executive Pay Breakdown'!S:S,$B908,'Executive Pay Breakdown'!U:U)</f>
        <v>4259317</v>
      </c>
      <c r="I908" s="69">
        <f>SUMIF('Executive Pay Breakdown'!W:W,$B908,'Executive Pay Breakdown'!Y:Y)</f>
        <v>3509211</v>
      </c>
      <c r="J908" s="69">
        <f>SUMIF('Executive Pay Breakdown'!AA:AA,$B908,'Executive Pay Breakdown'!AC:AC)</f>
        <v>5471342</v>
      </c>
      <c r="K908" s="118"/>
      <c r="L908" s="212"/>
      <c r="M908" s="87"/>
      <c r="N908" s="230"/>
      <c r="O908" s="120" t="str">
        <f>MATCH(C908,'Key Findings'!B:B,0)</f>
        <v>#N/A</v>
      </c>
    </row>
    <row r="909" hidden="1">
      <c r="A909" s="62"/>
      <c r="B909" s="127" t="s">
        <v>1106</v>
      </c>
      <c r="C909" s="87" t="s">
        <v>1102</v>
      </c>
      <c r="D909" s="89">
        <f>SUMIF('Executive Pay Breakdown'!K:K,$B909,'Executive Pay Breakdown'!M:M)+SUMIF('Executive Pay Breakdown'!O:O,$B909,'Executive Pay Breakdown'!Q:Q)+SUMIF('Executive Pay Breakdown'!S:S,$B909,'Executive Pay Breakdown'!U:U)+SUMIF('Executive Pay Breakdown'!W:W,$B909,'Executive Pay Breakdown'!Y:Y)+SUMIF('Executive Pay Breakdown'!AA:AA,$B909,'Executive Pay Breakdown'!AC:AC)</f>
        <v>22862600</v>
      </c>
      <c r="E909" s="109"/>
      <c r="F909" s="69">
        <f>SUMIF('Executive Pay Breakdown'!K:K,$B909,'Executive Pay Breakdown'!M:M)</f>
        <v>6020830</v>
      </c>
      <c r="G909" s="69">
        <f>SUMIF('Executive Pay Breakdown'!O:O,$B909,'Executive Pay Breakdown'!Q:Q)</f>
        <v>5542142</v>
      </c>
      <c r="H909" s="69">
        <f>SUMIF('Executive Pay Breakdown'!S:S,$B909,'Executive Pay Breakdown'!U:U)</f>
        <v>4516566</v>
      </c>
      <c r="I909" s="69">
        <f>SUMIF('Executive Pay Breakdown'!W:W,$B909,'Executive Pay Breakdown'!Y:Y)</f>
        <v>3766432</v>
      </c>
      <c r="J909" s="69">
        <f>SUMIF('Executive Pay Breakdown'!AA:AA,$B909,'Executive Pay Breakdown'!AC:AC)</f>
        <v>3016630</v>
      </c>
      <c r="K909" s="118"/>
      <c r="L909" s="212"/>
      <c r="M909" s="87"/>
      <c r="N909" s="230"/>
      <c r="O909" s="120" t="str">
        <f>MATCH(C909,'Key Findings'!B:B,0)</f>
        <v>#N/A</v>
      </c>
    </row>
    <row r="910" hidden="1">
      <c r="A910" s="62"/>
      <c r="B910" s="127" t="s">
        <v>1107</v>
      </c>
      <c r="C910" s="87" t="s">
        <v>1102</v>
      </c>
      <c r="D910" s="89">
        <f>SUMIF('Executive Pay Breakdown'!K:K,$B910,'Executive Pay Breakdown'!M:M)+SUMIF('Executive Pay Breakdown'!O:O,$B910,'Executive Pay Breakdown'!Q:Q)+SUMIF('Executive Pay Breakdown'!S:S,$B910,'Executive Pay Breakdown'!U:U)+SUMIF('Executive Pay Breakdown'!W:W,$B910,'Executive Pay Breakdown'!Y:Y)+SUMIF('Executive Pay Breakdown'!AA:AA,$B910,'Executive Pay Breakdown'!AC:AC)</f>
        <v>13500349</v>
      </c>
      <c r="E910" s="109"/>
      <c r="F910" s="69">
        <f>SUMIF('Executive Pay Breakdown'!K:K,$B910,'Executive Pay Breakdown'!M:M)</f>
        <v>3063482</v>
      </c>
      <c r="G910" s="69">
        <f>SUMIF('Executive Pay Breakdown'!O:O,$B910,'Executive Pay Breakdown'!Q:Q)</f>
        <v>2837740</v>
      </c>
      <c r="H910" s="69">
        <f>SUMIF('Executive Pay Breakdown'!S:S,$B910,'Executive Pay Breakdown'!U:U)</f>
        <v>2571076</v>
      </c>
      <c r="I910" s="69">
        <f>SUMIF('Executive Pay Breakdown'!W:W,$B910,'Executive Pay Breakdown'!Y:Y)</f>
        <v>2564225</v>
      </c>
      <c r="J910" s="69">
        <f>SUMIF('Executive Pay Breakdown'!AA:AA,$B910,'Executive Pay Breakdown'!AC:AC)</f>
        <v>2463826</v>
      </c>
      <c r="K910" s="118"/>
      <c r="L910" s="212"/>
      <c r="M910" s="87"/>
      <c r="N910" s="230"/>
      <c r="O910" s="120" t="str">
        <f>MATCH(C910,'Key Findings'!B:B,0)</f>
        <v>#N/A</v>
      </c>
    </row>
    <row r="911" hidden="1">
      <c r="A911" s="62"/>
      <c r="B911" s="127" t="s">
        <v>1108</v>
      </c>
      <c r="C911" s="87" t="s">
        <v>1102</v>
      </c>
      <c r="D911" s="89">
        <f>SUMIF('Executive Pay Breakdown'!K:K,$B911,'Executive Pay Breakdown'!M:M)+SUMIF('Executive Pay Breakdown'!O:O,$B911,'Executive Pay Breakdown'!Q:Q)+SUMIF('Executive Pay Breakdown'!S:S,$B911,'Executive Pay Breakdown'!U:U)+SUMIF('Executive Pay Breakdown'!W:W,$B911,'Executive Pay Breakdown'!Y:Y)+SUMIF('Executive Pay Breakdown'!AA:AA,$B911,'Executive Pay Breakdown'!AC:AC)</f>
        <v>4517876</v>
      </c>
      <c r="E911" s="109"/>
      <c r="F911" s="69">
        <f>SUMIF('Executive Pay Breakdown'!K:K,$B911,'Executive Pay Breakdown'!M:M)</f>
        <v>0</v>
      </c>
      <c r="G911" s="69">
        <f>SUMIF('Executive Pay Breakdown'!O:O,$B911,'Executive Pay Breakdown'!Q:Q)</f>
        <v>0</v>
      </c>
      <c r="H911" s="69">
        <f>SUMIF('Executive Pay Breakdown'!S:S,$B911,'Executive Pay Breakdown'!U:U)</f>
        <v>0</v>
      </c>
      <c r="I911" s="69">
        <f>SUMIF('Executive Pay Breakdown'!W:W,$B911,'Executive Pay Breakdown'!Y:Y)</f>
        <v>0</v>
      </c>
      <c r="J911" s="69">
        <f>SUMIF('Executive Pay Breakdown'!AA:AA,$B911,'Executive Pay Breakdown'!AC:AC)</f>
        <v>4517876</v>
      </c>
      <c r="K911" s="118"/>
      <c r="L911" s="212"/>
      <c r="M911" s="87"/>
      <c r="N911" s="87"/>
      <c r="O911" s="120" t="str">
        <f>MATCH(C911,'Key Findings'!B:B,0)</f>
        <v>#N/A</v>
      </c>
    </row>
    <row r="912" hidden="1">
      <c r="A912" s="81"/>
      <c r="B912" s="87" t="s">
        <v>1109</v>
      </c>
      <c r="C912" s="87" t="s">
        <v>1110</v>
      </c>
      <c r="D912" s="89">
        <f>SUMIF('Executive Pay Breakdown'!K:K,$B912,'Executive Pay Breakdown'!M:M)+SUMIF('Executive Pay Breakdown'!O:O,$B912,'Executive Pay Breakdown'!Q:Q)+SUMIF('Executive Pay Breakdown'!S:S,$B912,'Executive Pay Breakdown'!U:U)+SUMIF('Executive Pay Breakdown'!W:W,$B912,'Executive Pay Breakdown'!Y:Y)+SUMIF('Executive Pay Breakdown'!AA:AA,$B912,'Executive Pay Breakdown'!AC:AC)</f>
        <v>85957182</v>
      </c>
      <c r="E912" s="109"/>
      <c r="F912" s="69">
        <f>SUMIF('Executive Pay Breakdown'!K:K,$B912,'Executive Pay Breakdown'!M:M)</f>
        <v>19209843</v>
      </c>
      <c r="G912" s="69">
        <f>SUMIF('Executive Pay Breakdown'!O:O,$B912,'Executive Pay Breakdown'!Q:Q)</f>
        <v>18168730</v>
      </c>
      <c r="H912" s="69">
        <f>SUMIF('Executive Pay Breakdown'!S:S,$B912,'Executive Pay Breakdown'!U:U)</f>
        <v>22373574</v>
      </c>
      <c r="I912" s="69">
        <f>SUMIF('Executive Pay Breakdown'!W:W,$B912,'Executive Pay Breakdown'!Y:Y)</f>
        <v>14167163</v>
      </c>
      <c r="J912" s="69">
        <f>SUMIF('Executive Pay Breakdown'!AA:AA,$B912,'Executive Pay Breakdown'!AC:AC)</f>
        <v>12037872</v>
      </c>
      <c r="K912" s="118"/>
      <c r="L912" s="212"/>
      <c r="M912" s="87"/>
      <c r="N912" s="230"/>
      <c r="O912" s="120" t="str">
        <f>MATCH(C912,'Key Findings'!B:B,0)</f>
        <v>#N/A</v>
      </c>
    </row>
    <row r="913" hidden="1">
      <c r="A913" s="81"/>
      <c r="B913" s="133" t="s">
        <v>1111</v>
      </c>
      <c r="C913" s="87" t="s">
        <v>1110</v>
      </c>
      <c r="D913" s="89">
        <f>SUMIF('Executive Pay Breakdown'!K:K,$B913,'Executive Pay Breakdown'!M:M)+SUMIF('Executive Pay Breakdown'!O:O,$B913,'Executive Pay Breakdown'!Q:Q)+SUMIF('Executive Pay Breakdown'!S:S,$B913,'Executive Pay Breakdown'!U:U)+SUMIF('Executive Pay Breakdown'!W:W,$B913,'Executive Pay Breakdown'!Y:Y)+SUMIF('Executive Pay Breakdown'!AA:AA,$B913,'Executive Pay Breakdown'!AC:AC)</f>
        <v>26798917</v>
      </c>
      <c r="E913" s="109"/>
      <c r="F913" s="69">
        <f>SUMIF('Executive Pay Breakdown'!K:K,$B913,'Executive Pay Breakdown'!M:M)</f>
        <v>6559274</v>
      </c>
      <c r="G913" s="69">
        <f>SUMIF('Executive Pay Breakdown'!O:O,$B913,'Executive Pay Breakdown'!Q:Q)</f>
        <v>6205371</v>
      </c>
      <c r="H913" s="69">
        <f>SUMIF('Executive Pay Breakdown'!S:S,$B913,'Executive Pay Breakdown'!U:U)</f>
        <v>6487271</v>
      </c>
      <c r="I913" s="69">
        <f>SUMIF('Executive Pay Breakdown'!W:W,$B913,'Executive Pay Breakdown'!Y:Y)</f>
        <v>4612783</v>
      </c>
      <c r="J913" s="69">
        <f>SUMIF('Executive Pay Breakdown'!AA:AA,$B913,'Executive Pay Breakdown'!AC:AC)</f>
        <v>2934218</v>
      </c>
      <c r="K913" s="118"/>
      <c r="L913" s="212"/>
      <c r="M913" s="87"/>
      <c r="N913" s="230"/>
      <c r="O913" s="120" t="str">
        <f>MATCH(C913,'Key Findings'!B:B,0)</f>
        <v>#N/A</v>
      </c>
    </row>
    <row r="914" hidden="1">
      <c r="A914" s="81"/>
      <c r="B914" s="133" t="s">
        <v>1112</v>
      </c>
      <c r="C914" s="87" t="s">
        <v>1110</v>
      </c>
      <c r="D914" s="89">
        <f>SUMIF('Executive Pay Breakdown'!K:K,$B914,'Executive Pay Breakdown'!M:M)+SUMIF('Executive Pay Breakdown'!O:O,$B914,'Executive Pay Breakdown'!Q:Q)+SUMIF('Executive Pay Breakdown'!S:S,$B914,'Executive Pay Breakdown'!U:U)+SUMIF('Executive Pay Breakdown'!W:W,$B914,'Executive Pay Breakdown'!Y:Y)+SUMIF('Executive Pay Breakdown'!AA:AA,$B914,'Executive Pay Breakdown'!AC:AC)</f>
        <v>26117484</v>
      </c>
      <c r="E914" s="109"/>
      <c r="F914" s="69">
        <f>SUMIF('Executive Pay Breakdown'!K:K,$B914,'Executive Pay Breakdown'!M:M)</f>
        <v>0</v>
      </c>
      <c r="G914" s="69">
        <f>SUMIF('Executive Pay Breakdown'!O:O,$B914,'Executive Pay Breakdown'!Q:Q)</f>
        <v>0</v>
      </c>
      <c r="H914" s="69">
        <f>SUMIF('Executive Pay Breakdown'!S:S,$B914,'Executive Pay Breakdown'!U:U)</f>
        <v>10094507</v>
      </c>
      <c r="I914" s="69">
        <f>SUMIF('Executive Pay Breakdown'!W:W,$B914,'Executive Pay Breakdown'!Y:Y)</f>
        <v>10329684</v>
      </c>
      <c r="J914" s="69">
        <f>SUMIF('Executive Pay Breakdown'!AA:AA,$B914,'Executive Pay Breakdown'!AC:AC)</f>
        <v>5693293</v>
      </c>
      <c r="K914" s="118"/>
      <c r="L914" s="212"/>
      <c r="M914" s="87"/>
      <c r="N914" s="87"/>
      <c r="O914" s="120" t="str">
        <f>MATCH(C914,'Key Findings'!B:B,0)</f>
        <v>#N/A</v>
      </c>
    </row>
    <row r="915" hidden="1">
      <c r="A915" s="81"/>
      <c r="B915" s="133" t="s">
        <v>1113</v>
      </c>
      <c r="C915" s="87" t="s">
        <v>1110</v>
      </c>
      <c r="D915" s="89">
        <f>SUMIF('Executive Pay Breakdown'!K:K,$B915,'Executive Pay Breakdown'!M:M)+SUMIF('Executive Pay Breakdown'!O:O,$B915,'Executive Pay Breakdown'!Q:Q)+SUMIF('Executive Pay Breakdown'!S:S,$B915,'Executive Pay Breakdown'!U:U)+SUMIF('Executive Pay Breakdown'!W:W,$B915,'Executive Pay Breakdown'!Y:Y)+SUMIF('Executive Pay Breakdown'!AA:AA,$B915,'Executive Pay Breakdown'!AC:AC)</f>
        <v>22104213</v>
      </c>
      <c r="E915" s="109"/>
      <c r="F915" s="69">
        <f>SUMIF('Executive Pay Breakdown'!K:K,$B915,'Executive Pay Breakdown'!M:M)</f>
        <v>6455329</v>
      </c>
      <c r="G915" s="69">
        <f>SUMIF('Executive Pay Breakdown'!O:O,$B915,'Executive Pay Breakdown'!Q:Q)</f>
        <v>6002790</v>
      </c>
      <c r="H915" s="69">
        <f>SUMIF('Executive Pay Breakdown'!S:S,$B915,'Executive Pay Breakdown'!U:U)</f>
        <v>6000282</v>
      </c>
      <c r="I915" s="69">
        <f>SUMIF('Executive Pay Breakdown'!W:W,$B915,'Executive Pay Breakdown'!Y:Y)</f>
        <v>3645812</v>
      </c>
      <c r="J915" s="69">
        <f>SUMIF('Executive Pay Breakdown'!AA:AA,$B915,'Executive Pay Breakdown'!AC:AC)</f>
        <v>0</v>
      </c>
      <c r="K915" s="118"/>
      <c r="L915" s="212"/>
      <c r="M915" s="87"/>
      <c r="N915" s="230"/>
      <c r="O915" s="120" t="str">
        <f>MATCH(C915,'Key Findings'!B:B,0)</f>
        <v>#N/A</v>
      </c>
    </row>
    <row r="916" hidden="1">
      <c r="A916" s="81"/>
      <c r="B916" s="87" t="s">
        <v>1114</v>
      </c>
      <c r="C916" s="87" t="s">
        <v>1110</v>
      </c>
      <c r="D916" s="89">
        <f>SUMIF('Executive Pay Breakdown'!K:K,$B916,'Executive Pay Breakdown'!M:M)+SUMIF('Executive Pay Breakdown'!O:O,$B916,'Executive Pay Breakdown'!Q:Q)+SUMIF('Executive Pay Breakdown'!S:S,$B916,'Executive Pay Breakdown'!U:U)+SUMIF('Executive Pay Breakdown'!W:W,$B916,'Executive Pay Breakdown'!Y:Y)+SUMIF('Executive Pay Breakdown'!AA:AA,$B916,'Executive Pay Breakdown'!AC:AC)</f>
        <v>21749512</v>
      </c>
      <c r="E916" s="109"/>
      <c r="F916" s="69">
        <f>SUMIF('Executive Pay Breakdown'!K:K,$B916,'Executive Pay Breakdown'!M:M)</f>
        <v>6453123</v>
      </c>
      <c r="G916" s="69">
        <f>SUMIF('Executive Pay Breakdown'!O:O,$B916,'Executive Pay Breakdown'!Q:Q)</f>
        <v>5986420</v>
      </c>
      <c r="H916" s="69">
        <f>SUMIF('Executive Pay Breakdown'!S:S,$B916,'Executive Pay Breakdown'!U:U)</f>
        <v>5167689</v>
      </c>
      <c r="I916" s="69">
        <f>SUMIF('Executive Pay Breakdown'!W:W,$B916,'Executive Pay Breakdown'!Y:Y)</f>
        <v>4142280</v>
      </c>
      <c r="J916" s="69">
        <f>SUMIF('Executive Pay Breakdown'!AA:AA,$B916,'Executive Pay Breakdown'!AC:AC)</f>
        <v>0</v>
      </c>
      <c r="K916" s="118"/>
      <c r="L916" s="212"/>
      <c r="M916" s="87"/>
      <c r="N916" s="230"/>
      <c r="O916" s="120" t="str">
        <f>MATCH(C916,'Key Findings'!B:B,0)</f>
        <v>#N/A</v>
      </c>
    </row>
    <row r="917" hidden="1">
      <c r="A917" s="81"/>
      <c r="B917" s="133" t="s">
        <v>1115</v>
      </c>
      <c r="C917" s="87" t="s">
        <v>1110</v>
      </c>
      <c r="D917" s="89">
        <f>SUMIF('Executive Pay Breakdown'!K:K,$B917,'Executive Pay Breakdown'!M:M)+SUMIF('Executive Pay Breakdown'!O:O,$B917,'Executive Pay Breakdown'!Q:Q)+SUMIF('Executive Pay Breakdown'!S:S,$B917,'Executive Pay Breakdown'!U:U)+SUMIF('Executive Pay Breakdown'!W:W,$B917,'Executive Pay Breakdown'!Y:Y)+SUMIF('Executive Pay Breakdown'!AA:AA,$B917,'Executive Pay Breakdown'!AC:AC)</f>
        <v>14239545</v>
      </c>
      <c r="E917" s="109"/>
      <c r="F917" s="69">
        <f>SUMIF('Executive Pay Breakdown'!K:K,$B917,'Executive Pay Breakdown'!M:M)</f>
        <v>0</v>
      </c>
      <c r="G917" s="69">
        <f>SUMIF('Executive Pay Breakdown'!O:O,$B917,'Executive Pay Breakdown'!Q:Q)</f>
        <v>0</v>
      </c>
      <c r="H917" s="69">
        <f>SUMIF('Executive Pay Breakdown'!S:S,$B917,'Executive Pay Breakdown'!U:U)</f>
        <v>0</v>
      </c>
      <c r="I917" s="69">
        <f>SUMIF('Executive Pay Breakdown'!W:W,$B917,'Executive Pay Breakdown'!Y:Y)</f>
        <v>8467423</v>
      </c>
      <c r="J917" s="69">
        <f>SUMIF('Executive Pay Breakdown'!AA:AA,$B917,'Executive Pay Breakdown'!AC:AC)</f>
        <v>5772122</v>
      </c>
      <c r="K917" s="118"/>
      <c r="L917" s="212"/>
      <c r="M917" s="87"/>
      <c r="N917" s="87"/>
      <c r="O917" s="120" t="str">
        <f>MATCH(C917,'Key Findings'!B:B,0)</f>
        <v>#N/A</v>
      </c>
    </row>
    <row r="918" hidden="1">
      <c r="A918" s="81"/>
      <c r="B918" s="133" t="s">
        <v>1116</v>
      </c>
      <c r="C918" s="87" t="s">
        <v>1110</v>
      </c>
      <c r="D918" s="89">
        <f>SUMIF('Executive Pay Breakdown'!K:K,$B918,'Executive Pay Breakdown'!M:M)+SUMIF('Executive Pay Breakdown'!O:O,$B918,'Executive Pay Breakdown'!Q:Q)+SUMIF('Executive Pay Breakdown'!S:S,$B918,'Executive Pay Breakdown'!U:U)+SUMIF('Executive Pay Breakdown'!W:W,$B918,'Executive Pay Breakdown'!Y:Y)+SUMIF('Executive Pay Breakdown'!AA:AA,$B918,'Executive Pay Breakdown'!AC:AC)</f>
        <v>9387211</v>
      </c>
      <c r="E918" s="109"/>
      <c r="F918" s="69">
        <f>SUMIF('Executive Pay Breakdown'!K:K,$B918,'Executive Pay Breakdown'!M:M)</f>
        <v>5001964</v>
      </c>
      <c r="G918" s="69">
        <f>SUMIF('Executive Pay Breakdown'!O:O,$B918,'Executive Pay Breakdown'!Q:Q)</f>
        <v>4385247</v>
      </c>
      <c r="H918" s="69">
        <f>SUMIF('Executive Pay Breakdown'!S:S,$B918,'Executive Pay Breakdown'!U:U)</f>
        <v>0</v>
      </c>
      <c r="I918" s="69">
        <f>SUMIF('Executive Pay Breakdown'!W:W,$B918,'Executive Pay Breakdown'!Y:Y)</f>
        <v>0</v>
      </c>
      <c r="J918" s="69">
        <f>SUMIF('Executive Pay Breakdown'!AA:AA,$B918,'Executive Pay Breakdown'!AC:AC)</f>
        <v>0</v>
      </c>
      <c r="K918" s="118"/>
      <c r="L918" s="212"/>
      <c r="M918" s="212"/>
      <c r="N918" s="230"/>
      <c r="O918" s="120" t="str">
        <f>MATCH(C918,'Key Findings'!B:B,0)</f>
        <v>#N/A</v>
      </c>
    </row>
    <row r="919" hidden="1">
      <c r="A919" s="81"/>
      <c r="B919" s="133" t="s">
        <v>1117</v>
      </c>
      <c r="C919" s="87" t="s">
        <v>1110</v>
      </c>
      <c r="D919" s="89">
        <f>SUMIF('Executive Pay Breakdown'!K:K,$B919,'Executive Pay Breakdown'!M:M)+SUMIF('Executive Pay Breakdown'!O:O,$B919,'Executive Pay Breakdown'!Q:Q)+SUMIF('Executive Pay Breakdown'!S:S,$B919,'Executive Pay Breakdown'!U:U)+SUMIF('Executive Pay Breakdown'!W:W,$B919,'Executive Pay Breakdown'!Y:Y)+SUMIF('Executive Pay Breakdown'!AA:AA,$B919,'Executive Pay Breakdown'!AC:AC)</f>
        <v>4767315</v>
      </c>
      <c r="E919" s="109"/>
      <c r="F919" s="69">
        <f>SUMIF('Executive Pay Breakdown'!K:K,$B919,'Executive Pay Breakdown'!M:M)</f>
        <v>0</v>
      </c>
      <c r="G919" s="69">
        <f>SUMIF('Executive Pay Breakdown'!O:O,$B919,'Executive Pay Breakdown'!Q:Q)</f>
        <v>0</v>
      </c>
      <c r="H919" s="69">
        <f>SUMIF('Executive Pay Breakdown'!S:S,$B919,'Executive Pay Breakdown'!U:U)</f>
        <v>0</v>
      </c>
      <c r="I919" s="69">
        <f>SUMIF('Executive Pay Breakdown'!W:W,$B919,'Executive Pay Breakdown'!Y:Y)</f>
        <v>0</v>
      </c>
      <c r="J919" s="69">
        <f>SUMIF('Executive Pay Breakdown'!AA:AA,$B919,'Executive Pay Breakdown'!AC:AC)</f>
        <v>4767315</v>
      </c>
      <c r="K919" s="118"/>
      <c r="L919" s="212"/>
      <c r="M919" s="87"/>
      <c r="N919" s="87"/>
      <c r="O919" s="120" t="str">
        <f>MATCH(C919,'Key Findings'!B:B,0)</f>
        <v>#N/A</v>
      </c>
    </row>
    <row r="920" hidden="1">
      <c r="A920" s="81"/>
      <c r="B920" s="133" t="s">
        <v>1118</v>
      </c>
      <c r="C920" s="87" t="s">
        <v>1110</v>
      </c>
      <c r="D920" s="89">
        <f>SUMIF('Executive Pay Breakdown'!K:K,$B920,'Executive Pay Breakdown'!M:M)+SUMIF('Executive Pay Breakdown'!O:O,$B920,'Executive Pay Breakdown'!Q:Q)+SUMIF('Executive Pay Breakdown'!S:S,$B920,'Executive Pay Breakdown'!U:U)+SUMIF('Executive Pay Breakdown'!W:W,$B920,'Executive Pay Breakdown'!Y:Y)+SUMIF('Executive Pay Breakdown'!AA:AA,$B920,'Executive Pay Breakdown'!AC:AC)</f>
        <v>4516275</v>
      </c>
      <c r="E920" s="109"/>
      <c r="F920" s="69">
        <f>SUMIF('Executive Pay Breakdown'!K:K,$B920,'Executive Pay Breakdown'!M:M)</f>
        <v>0</v>
      </c>
      <c r="G920" s="69">
        <f>SUMIF('Executive Pay Breakdown'!O:O,$B920,'Executive Pay Breakdown'!Q:Q)</f>
        <v>0</v>
      </c>
      <c r="H920" s="69">
        <f>SUMIF('Executive Pay Breakdown'!S:S,$B920,'Executive Pay Breakdown'!U:U)</f>
        <v>0</v>
      </c>
      <c r="I920" s="69">
        <f>SUMIF('Executive Pay Breakdown'!W:W,$B920,'Executive Pay Breakdown'!Y:Y)</f>
        <v>0</v>
      </c>
      <c r="J920" s="69">
        <f>SUMIF('Executive Pay Breakdown'!AA:AA,$B920,'Executive Pay Breakdown'!AC:AC)</f>
        <v>4516275</v>
      </c>
      <c r="K920" s="118"/>
      <c r="L920" s="212"/>
      <c r="M920" s="87"/>
      <c r="N920" s="87"/>
      <c r="O920" s="120" t="str">
        <f>MATCH(C920,'Key Findings'!B:B,0)</f>
        <v>#N/A</v>
      </c>
    </row>
    <row r="921" hidden="1">
      <c r="A921" s="81" t="s">
        <v>86</v>
      </c>
      <c r="B921" s="125" t="s">
        <v>1119</v>
      </c>
      <c r="C921" s="87" t="s">
        <v>1120</v>
      </c>
      <c r="D921" s="89">
        <f>SUMIF('Executive Pay Breakdown'!K:K,$B921,'Executive Pay Breakdown'!M:M)+SUMIF('Executive Pay Breakdown'!O:O,$B921,'Executive Pay Breakdown'!Q:Q)+SUMIF('Executive Pay Breakdown'!S:S,$B921,'Executive Pay Breakdown'!U:U)+SUMIF('Executive Pay Breakdown'!W:W,$B921,'Executive Pay Breakdown'!Y:Y)+SUMIF('Executive Pay Breakdown'!AA:AA,$B921,'Executive Pay Breakdown'!AC:AC)</f>
        <v>212587666</v>
      </c>
      <c r="E921" s="109"/>
      <c r="F921" s="69">
        <f>SUMIF('Executive Pay Breakdown'!K:K,$B921,'Executive Pay Breakdown'!M:M)</f>
        <v>34848606</v>
      </c>
      <c r="G921" s="69">
        <f>SUMIF('Executive Pay Breakdown'!O:O,$B921,'Executive Pay Breakdown'!Q:Q)</f>
        <v>84428145</v>
      </c>
      <c r="H921" s="69">
        <f>SUMIF('Executive Pay Breakdown'!S:S,$B921,'Executive Pay Breakdown'!U:U)</f>
        <v>31664554</v>
      </c>
      <c r="I921" s="69">
        <f>SUMIF('Executive Pay Breakdown'!W:W,$B921,'Executive Pay Breakdown'!Y:Y)</f>
        <v>31612616</v>
      </c>
      <c r="J921" s="69">
        <f>SUMIF('Executive Pay Breakdown'!AA:AA,$B921,'Executive Pay Breakdown'!AC:AC)</f>
        <v>30033745</v>
      </c>
      <c r="K921" s="118"/>
      <c r="L921" s="212"/>
      <c r="M921" s="87"/>
      <c r="N921" s="87"/>
      <c r="O921" s="120" t="str">
        <f>MATCH(C921,'Key Findings'!B:B,0)</f>
        <v>#N/A</v>
      </c>
    </row>
    <row r="922" hidden="1">
      <c r="A922" s="81"/>
      <c r="B922" s="125" t="s">
        <v>1121</v>
      </c>
      <c r="C922" s="87" t="s">
        <v>1120</v>
      </c>
      <c r="D922" s="89">
        <f>SUMIF('Executive Pay Breakdown'!K:K,$B922,'Executive Pay Breakdown'!M:M)+SUMIF('Executive Pay Breakdown'!O:O,$B922,'Executive Pay Breakdown'!Q:Q)+SUMIF('Executive Pay Breakdown'!S:S,$B922,'Executive Pay Breakdown'!U:U)+SUMIF('Executive Pay Breakdown'!W:W,$B922,'Executive Pay Breakdown'!Y:Y)+SUMIF('Executive Pay Breakdown'!AA:AA,$B922,'Executive Pay Breakdown'!AC:AC)</f>
        <v>145624274</v>
      </c>
      <c r="E922" s="109"/>
      <c r="F922" s="69">
        <f>SUMIF('Executive Pay Breakdown'!K:K,$B922,'Executive Pay Breakdown'!M:M)</f>
        <v>26606453</v>
      </c>
      <c r="G922" s="69">
        <f>SUMIF('Executive Pay Breakdown'!O:O,$B922,'Executive Pay Breakdown'!Q:Q)</f>
        <v>53329247</v>
      </c>
      <c r="H922" s="69">
        <f>SUMIF('Executive Pay Breakdown'!S:S,$B922,'Executive Pay Breakdown'!U:U)</f>
        <v>22547186</v>
      </c>
      <c r="I922" s="69">
        <f>SUMIF('Executive Pay Breakdown'!W:W,$B922,'Executive Pay Breakdown'!Y:Y)</f>
        <v>22035442</v>
      </c>
      <c r="J922" s="69">
        <f>SUMIF('Executive Pay Breakdown'!AA:AA,$B922,'Executive Pay Breakdown'!AC:AC)</f>
        <v>21105946</v>
      </c>
      <c r="K922" s="118"/>
      <c r="L922" s="212"/>
      <c r="M922" s="87"/>
      <c r="N922" s="87"/>
      <c r="O922" s="120" t="str">
        <f>MATCH(C922,'Key Findings'!B:B,0)</f>
        <v>#N/A</v>
      </c>
    </row>
    <row r="923" hidden="1">
      <c r="A923" s="81"/>
      <c r="B923" s="125" t="s">
        <v>1122</v>
      </c>
      <c r="C923" s="87" t="s">
        <v>1120</v>
      </c>
      <c r="D923" s="89">
        <f>SUMIF('Executive Pay Breakdown'!K:K,$B923,'Executive Pay Breakdown'!M:M)+SUMIF('Executive Pay Breakdown'!O:O,$B923,'Executive Pay Breakdown'!Q:Q)+SUMIF('Executive Pay Breakdown'!S:S,$B923,'Executive Pay Breakdown'!U:U)+SUMIF('Executive Pay Breakdown'!W:W,$B923,'Executive Pay Breakdown'!Y:Y)+SUMIF('Executive Pay Breakdown'!AA:AA,$B923,'Executive Pay Breakdown'!AC:AC)</f>
        <v>105021902</v>
      </c>
      <c r="E923" s="109"/>
      <c r="F923" s="69">
        <f>SUMIF('Executive Pay Breakdown'!K:K,$B923,'Executive Pay Breakdown'!M:M)</f>
        <v>22505000</v>
      </c>
      <c r="G923" s="69">
        <f>SUMIF('Executive Pay Breakdown'!O:O,$B923,'Executive Pay Breakdown'!Q:Q)</f>
        <v>20805000</v>
      </c>
      <c r="H923" s="69">
        <f>SUMIF('Executive Pay Breakdown'!S:S,$B923,'Executive Pay Breakdown'!U:U)</f>
        <v>21057633</v>
      </c>
      <c r="I923" s="69">
        <f>SUMIF('Executive Pay Breakdown'!W:W,$B923,'Executive Pay Breakdown'!Y:Y)</f>
        <v>20754269</v>
      </c>
      <c r="J923" s="69">
        <f>SUMIF('Executive Pay Breakdown'!AA:AA,$B923,'Executive Pay Breakdown'!AC:AC)</f>
        <v>19900000</v>
      </c>
      <c r="K923" s="118"/>
      <c r="L923" s="212"/>
      <c r="M923" s="87"/>
      <c r="N923" s="87"/>
      <c r="O923" s="120" t="str">
        <f>MATCH(C923,'Key Findings'!B:B,0)</f>
        <v>#N/A</v>
      </c>
    </row>
    <row r="924" hidden="1">
      <c r="A924" s="81"/>
      <c r="B924" s="125" t="s">
        <v>1123</v>
      </c>
      <c r="C924" s="87" t="s">
        <v>1120</v>
      </c>
      <c r="D924" s="89">
        <f>SUMIF('Executive Pay Breakdown'!K:K,$B924,'Executive Pay Breakdown'!M:M)+SUMIF('Executive Pay Breakdown'!O:O,$B924,'Executive Pay Breakdown'!Q:Q)+SUMIF('Executive Pay Breakdown'!S:S,$B924,'Executive Pay Breakdown'!U:U)+SUMIF('Executive Pay Breakdown'!W:W,$B924,'Executive Pay Breakdown'!Y:Y)+SUMIF('Executive Pay Breakdown'!AA:AA,$B924,'Executive Pay Breakdown'!AC:AC)</f>
        <v>88071801</v>
      </c>
      <c r="E924" s="109"/>
      <c r="F924" s="69">
        <f>SUMIF('Executive Pay Breakdown'!K:K,$B924,'Executive Pay Breakdown'!M:M)</f>
        <v>0</v>
      </c>
      <c r="G924" s="69">
        <f>SUMIF('Executive Pay Breakdown'!O:O,$B924,'Executive Pay Breakdown'!Q:Q)</f>
        <v>22550506</v>
      </c>
      <c r="H924" s="69">
        <f>SUMIF('Executive Pay Breakdown'!S:S,$B924,'Executive Pay Breakdown'!U:U)</f>
        <v>22508135</v>
      </c>
      <c r="I924" s="69">
        <f>SUMIF('Executive Pay Breakdown'!W:W,$B924,'Executive Pay Breakdown'!Y:Y)</f>
        <v>22209071</v>
      </c>
      <c r="J924" s="69">
        <f>SUMIF('Executive Pay Breakdown'!AA:AA,$B924,'Executive Pay Breakdown'!AC:AC)</f>
        <v>20804089</v>
      </c>
      <c r="K924" s="118"/>
      <c r="L924" s="212"/>
      <c r="M924" s="87"/>
      <c r="N924" s="230"/>
      <c r="O924" s="120" t="str">
        <f>MATCH(C924,'Key Findings'!B:B,0)</f>
        <v>#N/A</v>
      </c>
    </row>
    <row r="925" hidden="1">
      <c r="A925" s="81"/>
      <c r="B925" s="125" t="s">
        <v>1124</v>
      </c>
      <c r="C925" s="87" t="s">
        <v>1120</v>
      </c>
      <c r="D925" s="89">
        <f>SUMIF('Executive Pay Breakdown'!K:K,$B925,'Executive Pay Breakdown'!M:M)+SUMIF('Executive Pay Breakdown'!O:O,$B925,'Executive Pay Breakdown'!Q:Q)+SUMIF('Executive Pay Breakdown'!S:S,$B925,'Executive Pay Breakdown'!U:U)+SUMIF('Executive Pay Breakdown'!W:W,$B925,'Executive Pay Breakdown'!Y:Y)+SUMIF('Executive Pay Breakdown'!AA:AA,$B925,'Executive Pay Breakdown'!AC:AC)</f>
        <v>49357378</v>
      </c>
      <c r="E925" s="109"/>
      <c r="F925" s="69">
        <f>SUMIF('Executive Pay Breakdown'!K:K,$B925,'Executive Pay Breakdown'!M:M)</f>
        <v>16905000</v>
      </c>
      <c r="G925" s="69">
        <f>SUMIF('Executive Pay Breakdown'!O:O,$B925,'Executive Pay Breakdown'!Q:Q)</f>
        <v>13805000</v>
      </c>
      <c r="H925" s="69">
        <f>SUMIF('Executive Pay Breakdown'!S:S,$B925,'Executive Pay Breakdown'!U:U)</f>
        <v>10900851</v>
      </c>
      <c r="I925" s="69">
        <f>SUMIF('Executive Pay Breakdown'!W:W,$B925,'Executive Pay Breakdown'!Y:Y)</f>
        <v>7746527</v>
      </c>
      <c r="J925" s="69">
        <f>SUMIF('Executive Pay Breakdown'!AA:AA,$B925,'Executive Pay Breakdown'!AC:AC)</f>
        <v>0</v>
      </c>
      <c r="K925" s="118"/>
      <c r="L925" s="212"/>
      <c r="M925" s="87"/>
      <c r="N925" s="230"/>
      <c r="O925" s="120" t="str">
        <f>MATCH(C925,'Key Findings'!B:B,0)</f>
        <v>#N/A</v>
      </c>
    </row>
    <row r="926" hidden="1">
      <c r="A926" s="81"/>
      <c r="B926" s="125" t="s">
        <v>1125</v>
      </c>
      <c r="C926" s="87" t="s">
        <v>1120</v>
      </c>
      <c r="D926" s="89">
        <f>SUMIF('Executive Pay Breakdown'!K:K,$B926,'Executive Pay Breakdown'!M:M)+SUMIF('Executive Pay Breakdown'!O:O,$B926,'Executive Pay Breakdown'!Q:Q)+SUMIF('Executive Pay Breakdown'!S:S,$B926,'Executive Pay Breakdown'!U:U)+SUMIF('Executive Pay Breakdown'!W:W,$B926,'Executive Pay Breakdown'!Y:Y)+SUMIF('Executive Pay Breakdown'!AA:AA,$B926,'Executive Pay Breakdown'!AC:AC)</f>
        <v>46329354</v>
      </c>
      <c r="E926" s="109"/>
      <c r="F926" s="69">
        <f>SUMIF('Executive Pay Breakdown'!K:K,$B926,'Executive Pay Breakdown'!M:M)</f>
        <v>16970688</v>
      </c>
      <c r="G926" s="69">
        <f>SUMIF('Executive Pay Breakdown'!O:O,$B926,'Executive Pay Breakdown'!Q:Q)</f>
        <v>0</v>
      </c>
      <c r="H926" s="69">
        <f>SUMIF('Executive Pay Breakdown'!S:S,$B926,'Executive Pay Breakdown'!U:U)</f>
        <v>0</v>
      </c>
      <c r="I926" s="69">
        <f>SUMIF('Executive Pay Breakdown'!W:W,$B926,'Executive Pay Breakdown'!Y:Y)</f>
        <v>15198165</v>
      </c>
      <c r="J926" s="69">
        <f>SUMIF('Executive Pay Breakdown'!AA:AA,$B926,'Executive Pay Breakdown'!AC:AC)</f>
        <v>14160501</v>
      </c>
      <c r="K926" s="118"/>
      <c r="L926" s="212"/>
      <c r="M926" s="87"/>
      <c r="N926" s="230"/>
      <c r="O926" s="120" t="str">
        <f>MATCH(C926,'Key Findings'!B:B,0)</f>
        <v>#N/A</v>
      </c>
    </row>
    <row r="927" hidden="1">
      <c r="A927" s="81"/>
      <c r="B927" s="125" t="s">
        <v>1126</v>
      </c>
      <c r="C927" s="87" t="s">
        <v>1120</v>
      </c>
      <c r="D927" s="89">
        <f>SUMIF('Executive Pay Breakdown'!K:K,$B927,'Executive Pay Breakdown'!M:M)+SUMIF('Executive Pay Breakdown'!O:O,$B927,'Executive Pay Breakdown'!Q:Q)+SUMIF('Executive Pay Breakdown'!S:S,$B927,'Executive Pay Breakdown'!U:U)+SUMIF('Executive Pay Breakdown'!W:W,$B927,'Executive Pay Breakdown'!Y:Y)+SUMIF('Executive Pay Breakdown'!AA:AA,$B927,'Executive Pay Breakdown'!AC:AC)</f>
        <v>17710000</v>
      </c>
      <c r="E927" s="109"/>
      <c r="F927" s="69">
        <f>SUMIF('Executive Pay Breakdown'!K:K,$B927,'Executive Pay Breakdown'!M:M)</f>
        <v>10838750</v>
      </c>
      <c r="G927" s="69">
        <f>SUMIF('Executive Pay Breakdown'!O:O,$B927,'Executive Pay Breakdown'!Q:Q)</f>
        <v>6871250</v>
      </c>
      <c r="H927" s="69">
        <f>SUMIF('Executive Pay Breakdown'!S:S,$B927,'Executive Pay Breakdown'!U:U)</f>
        <v>0</v>
      </c>
      <c r="I927" s="69">
        <f>SUMIF('Executive Pay Breakdown'!W:W,$B927,'Executive Pay Breakdown'!Y:Y)</f>
        <v>0</v>
      </c>
      <c r="J927" s="69">
        <f>SUMIF('Executive Pay Breakdown'!AA:AA,$B927,'Executive Pay Breakdown'!AC:AC)</f>
        <v>0</v>
      </c>
      <c r="K927" s="118"/>
      <c r="L927" s="212"/>
      <c r="M927" s="212"/>
      <c r="N927" s="230"/>
      <c r="O927" s="120" t="str">
        <f>MATCH(C927,'Key Findings'!B:B,0)</f>
        <v>#N/A</v>
      </c>
    </row>
    <row r="928" hidden="1">
      <c r="A928" s="62"/>
      <c r="B928" s="125" t="s">
        <v>1127</v>
      </c>
      <c r="C928" s="87" t="s">
        <v>1128</v>
      </c>
      <c r="D928" s="89">
        <f>SUMIF('Executive Pay Breakdown'!K:K,$B928,'Executive Pay Breakdown'!M:M)+SUMIF('Executive Pay Breakdown'!O:O,$B928,'Executive Pay Breakdown'!Q:Q)+SUMIF('Executive Pay Breakdown'!S:S,$B928,'Executive Pay Breakdown'!U:U)+SUMIF('Executive Pay Breakdown'!W:W,$B928,'Executive Pay Breakdown'!Y:Y)+SUMIF('Executive Pay Breakdown'!AA:AA,$B928,'Executive Pay Breakdown'!AC:AC)</f>
        <v>99328345</v>
      </c>
      <c r="E928" s="109"/>
      <c r="F928" s="69">
        <f>SUMIF('Executive Pay Breakdown'!K:K,$B928,'Executive Pay Breakdown'!M:M)</f>
        <v>27174857</v>
      </c>
      <c r="G928" s="69">
        <f>SUMIF('Executive Pay Breakdown'!O:O,$B928,'Executive Pay Breakdown'!Q:Q)</f>
        <v>24929237</v>
      </c>
      <c r="H928" s="69">
        <f>SUMIF('Executive Pay Breakdown'!S:S,$B928,'Executive Pay Breakdown'!U:U)</f>
        <v>20324211</v>
      </c>
      <c r="I928" s="69">
        <f>SUMIF('Executive Pay Breakdown'!W:W,$B928,'Executive Pay Breakdown'!Y:Y)</f>
        <v>17506677</v>
      </c>
      <c r="J928" s="69">
        <f>SUMIF('Executive Pay Breakdown'!AA:AA,$B928,'Executive Pay Breakdown'!AC:AC)</f>
        <v>9393363</v>
      </c>
      <c r="K928" s="118"/>
      <c r="L928" s="212"/>
      <c r="M928" s="87"/>
      <c r="N928" s="87"/>
      <c r="O928" s="120" t="str">
        <f>MATCH(C928,'Key Findings'!B:B,0)</f>
        <v>#N/A</v>
      </c>
    </row>
    <row r="929" hidden="1">
      <c r="A929" s="62"/>
      <c r="B929" s="127" t="s">
        <v>1129</v>
      </c>
      <c r="C929" s="87" t="s">
        <v>1128</v>
      </c>
      <c r="D929" s="89">
        <f>SUMIF('Executive Pay Breakdown'!K:K,$B929,'Executive Pay Breakdown'!M:M)+SUMIF('Executive Pay Breakdown'!O:O,$B929,'Executive Pay Breakdown'!Q:Q)+SUMIF('Executive Pay Breakdown'!S:S,$B929,'Executive Pay Breakdown'!U:U)+SUMIF('Executive Pay Breakdown'!W:W,$B929,'Executive Pay Breakdown'!Y:Y)+SUMIF('Executive Pay Breakdown'!AA:AA,$B929,'Executive Pay Breakdown'!AC:AC)</f>
        <v>55046094</v>
      </c>
      <c r="E929" s="109"/>
      <c r="F929" s="69">
        <f>SUMIF('Executive Pay Breakdown'!K:K,$B929,'Executive Pay Breakdown'!M:M)</f>
        <v>14044113</v>
      </c>
      <c r="G929" s="69">
        <f>SUMIF('Executive Pay Breakdown'!O:O,$B929,'Executive Pay Breakdown'!Q:Q)</f>
        <v>12692208</v>
      </c>
      <c r="H929" s="69">
        <f>SUMIF('Executive Pay Breakdown'!S:S,$B929,'Executive Pay Breakdown'!U:U)</f>
        <v>8521606</v>
      </c>
      <c r="I929" s="69">
        <f>SUMIF('Executive Pay Breakdown'!W:W,$B929,'Executive Pay Breakdown'!Y:Y)</f>
        <v>12307971</v>
      </c>
      <c r="J929" s="69">
        <f>SUMIF('Executive Pay Breakdown'!AA:AA,$B929,'Executive Pay Breakdown'!AC:AC)</f>
        <v>7480196</v>
      </c>
      <c r="K929" s="118"/>
      <c r="L929" s="212"/>
      <c r="M929" s="87"/>
      <c r="N929" s="230"/>
      <c r="O929" s="120" t="str">
        <f>MATCH(C929,'Key Findings'!B:B,0)</f>
        <v>#N/A</v>
      </c>
    </row>
    <row r="930" hidden="1">
      <c r="A930" s="62"/>
      <c r="B930" s="125" t="s">
        <v>1130</v>
      </c>
      <c r="C930" s="87" t="s">
        <v>1128</v>
      </c>
      <c r="D930" s="89">
        <f>SUMIF('Executive Pay Breakdown'!K:K,$B930,'Executive Pay Breakdown'!M:M)+SUMIF('Executive Pay Breakdown'!O:O,$B930,'Executive Pay Breakdown'!Q:Q)+SUMIF('Executive Pay Breakdown'!S:S,$B930,'Executive Pay Breakdown'!U:U)+SUMIF('Executive Pay Breakdown'!W:W,$B930,'Executive Pay Breakdown'!Y:Y)+SUMIF('Executive Pay Breakdown'!AA:AA,$B930,'Executive Pay Breakdown'!AC:AC)</f>
        <v>50349723</v>
      </c>
      <c r="E930" s="109"/>
      <c r="F930" s="69">
        <f>SUMIF('Executive Pay Breakdown'!K:K,$B930,'Executive Pay Breakdown'!M:M)</f>
        <v>11542166</v>
      </c>
      <c r="G930" s="69">
        <f>SUMIF('Executive Pay Breakdown'!O:O,$B930,'Executive Pay Breakdown'!Q:Q)</f>
        <v>11191463</v>
      </c>
      <c r="H930" s="69">
        <f>SUMIF('Executive Pay Breakdown'!S:S,$B930,'Executive Pay Breakdown'!U:U)</f>
        <v>9563421</v>
      </c>
      <c r="I930" s="69">
        <f>SUMIF('Executive Pay Breakdown'!W:W,$B930,'Executive Pay Breakdown'!Y:Y)</f>
        <v>8725773</v>
      </c>
      <c r="J930" s="69">
        <f>SUMIF('Executive Pay Breakdown'!AA:AA,$B930,'Executive Pay Breakdown'!AC:AC)</f>
        <v>9326900</v>
      </c>
      <c r="K930" s="118"/>
      <c r="L930" s="212"/>
      <c r="M930" s="87"/>
      <c r="N930" s="230"/>
      <c r="O930" s="120" t="str">
        <f>MATCH(C930,'Key Findings'!B:B,0)</f>
        <v>#N/A</v>
      </c>
    </row>
    <row r="931" hidden="1">
      <c r="A931" s="62"/>
      <c r="B931" s="125" t="s">
        <v>1131</v>
      </c>
      <c r="C931" s="87" t="s">
        <v>1128</v>
      </c>
      <c r="D931" s="89">
        <f>SUMIF('Executive Pay Breakdown'!K:K,$B931,'Executive Pay Breakdown'!M:M)+SUMIF('Executive Pay Breakdown'!O:O,$B931,'Executive Pay Breakdown'!Q:Q)+SUMIF('Executive Pay Breakdown'!S:S,$B931,'Executive Pay Breakdown'!U:U)+SUMIF('Executive Pay Breakdown'!W:W,$B931,'Executive Pay Breakdown'!Y:Y)+SUMIF('Executive Pay Breakdown'!AA:AA,$B931,'Executive Pay Breakdown'!AC:AC)</f>
        <v>41822025</v>
      </c>
      <c r="E931" s="109"/>
      <c r="F931" s="69">
        <f>SUMIF('Executive Pay Breakdown'!K:K,$B931,'Executive Pay Breakdown'!M:M)</f>
        <v>14041980</v>
      </c>
      <c r="G931" s="69">
        <f>SUMIF('Executive Pay Breakdown'!O:O,$B931,'Executive Pay Breakdown'!Q:Q)</f>
        <v>10190474</v>
      </c>
      <c r="H931" s="69">
        <f>SUMIF('Executive Pay Breakdown'!S:S,$B931,'Executive Pay Breakdown'!U:U)</f>
        <v>9045900</v>
      </c>
      <c r="I931" s="69">
        <f>SUMIF('Executive Pay Breakdown'!W:W,$B931,'Executive Pay Breakdown'!Y:Y)</f>
        <v>8543671</v>
      </c>
      <c r="J931" s="69">
        <f>SUMIF('Executive Pay Breakdown'!AA:AA,$B931,'Executive Pay Breakdown'!AC:AC)</f>
        <v>0</v>
      </c>
      <c r="K931" s="118"/>
      <c r="L931" s="212"/>
      <c r="M931" s="87"/>
      <c r="N931" s="230"/>
      <c r="O931" s="120" t="str">
        <f>MATCH(C931,'Key Findings'!B:B,0)</f>
        <v>#N/A</v>
      </c>
    </row>
    <row r="932" hidden="1">
      <c r="A932" s="62"/>
      <c r="B932" s="127" t="s">
        <v>1132</v>
      </c>
      <c r="C932" s="87" t="s">
        <v>1128</v>
      </c>
      <c r="D932" s="89">
        <f>SUMIF('Executive Pay Breakdown'!K:K,$B932,'Executive Pay Breakdown'!M:M)+SUMIF('Executive Pay Breakdown'!O:O,$B932,'Executive Pay Breakdown'!Q:Q)+SUMIF('Executive Pay Breakdown'!S:S,$B932,'Executive Pay Breakdown'!U:U)+SUMIF('Executive Pay Breakdown'!W:W,$B932,'Executive Pay Breakdown'!Y:Y)+SUMIF('Executive Pay Breakdown'!AA:AA,$B932,'Executive Pay Breakdown'!AC:AC)</f>
        <v>37622437</v>
      </c>
      <c r="E932" s="109"/>
      <c r="F932" s="69">
        <f>SUMIF('Executive Pay Breakdown'!K:K,$B932,'Executive Pay Breakdown'!M:M)</f>
        <v>13913730</v>
      </c>
      <c r="G932" s="69">
        <f>SUMIF('Executive Pay Breakdown'!O:O,$B932,'Executive Pay Breakdown'!Q:Q)</f>
        <v>12692385</v>
      </c>
      <c r="H932" s="69">
        <f>SUMIF('Executive Pay Breakdown'!S:S,$B932,'Executive Pay Breakdown'!U:U)</f>
        <v>11016322</v>
      </c>
      <c r="I932" s="69">
        <f>SUMIF('Executive Pay Breakdown'!W:W,$B932,'Executive Pay Breakdown'!Y:Y)</f>
        <v>0</v>
      </c>
      <c r="J932" s="69">
        <f>SUMIF('Executive Pay Breakdown'!AA:AA,$B932,'Executive Pay Breakdown'!AC:AC)</f>
        <v>0</v>
      </c>
      <c r="K932" s="118"/>
      <c r="L932" s="212"/>
      <c r="M932" s="87"/>
      <c r="N932" s="230"/>
      <c r="O932" s="120" t="str">
        <f>MATCH(C932,'Key Findings'!B:B,0)</f>
        <v>#N/A</v>
      </c>
    </row>
    <row r="933" hidden="1">
      <c r="A933" s="62"/>
      <c r="B933" s="138" t="s">
        <v>1133</v>
      </c>
      <c r="C933" s="87" t="s">
        <v>1128</v>
      </c>
      <c r="D933" s="89">
        <f>SUMIF('Executive Pay Breakdown'!K:K,$B933,'Executive Pay Breakdown'!M:M)+SUMIF('Executive Pay Breakdown'!O:O,$B933,'Executive Pay Breakdown'!Q:Q)+SUMIF('Executive Pay Breakdown'!S:S,$B933,'Executive Pay Breakdown'!U:U)+SUMIF('Executive Pay Breakdown'!W:W,$B933,'Executive Pay Breakdown'!Y:Y)+SUMIF('Executive Pay Breakdown'!AA:AA,$B933,'Executive Pay Breakdown'!AC:AC)</f>
        <v>34767556</v>
      </c>
      <c r="E933" s="109"/>
      <c r="F933" s="69">
        <f>SUMIF('Executive Pay Breakdown'!K:K,$B933,'Executive Pay Breakdown'!M:M)</f>
        <v>0</v>
      </c>
      <c r="G933" s="69">
        <f>SUMIF('Executive Pay Breakdown'!O:O,$B933,'Executive Pay Breakdown'!Q:Q)</f>
        <v>0</v>
      </c>
      <c r="H933" s="69">
        <f>SUMIF('Executive Pay Breakdown'!S:S,$B933,'Executive Pay Breakdown'!U:U)</f>
        <v>0</v>
      </c>
      <c r="I933" s="69">
        <f>SUMIF('Executive Pay Breakdown'!W:W,$B933,'Executive Pay Breakdown'!Y:Y)</f>
        <v>13695818</v>
      </c>
      <c r="J933" s="69">
        <f>SUMIF('Executive Pay Breakdown'!AA:AA,$B933,'Executive Pay Breakdown'!AC:AC)</f>
        <v>21071738</v>
      </c>
      <c r="K933" s="118"/>
      <c r="L933" s="212"/>
      <c r="M933" s="87"/>
      <c r="N933" s="230"/>
      <c r="O933" s="120" t="str">
        <f>MATCH(C933,'Key Findings'!B:B,0)</f>
        <v>#N/A</v>
      </c>
    </row>
    <row r="934" hidden="1">
      <c r="A934" s="62"/>
      <c r="B934" s="127" t="s">
        <v>1134</v>
      </c>
      <c r="C934" s="87" t="s">
        <v>1128</v>
      </c>
      <c r="D934" s="89">
        <f>SUMIF('Executive Pay Breakdown'!K:K,$B934,'Executive Pay Breakdown'!M:M)+SUMIF('Executive Pay Breakdown'!O:O,$B934,'Executive Pay Breakdown'!Q:Q)+SUMIF('Executive Pay Breakdown'!S:S,$B934,'Executive Pay Breakdown'!U:U)+SUMIF('Executive Pay Breakdown'!W:W,$B934,'Executive Pay Breakdown'!Y:Y)+SUMIF('Executive Pay Breakdown'!AA:AA,$B934,'Executive Pay Breakdown'!AC:AC)</f>
        <v>33824010</v>
      </c>
      <c r="E934" s="109"/>
      <c r="F934" s="69">
        <f>SUMIF('Executive Pay Breakdown'!K:K,$B934,'Executive Pay Breakdown'!M:M)</f>
        <v>0</v>
      </c>
      <c r="G934" s="69">
        <f>SUMIF('Executive Pay Breakdown'!O:O,$B934,'Executive Pay Breakdown'!Q:Q)</f>
        <v>12585917</v>
      </c>
      <c r="H934" s="69">
        <f>SUMIF('Executive Pay Breakdown'!S:S,$B934,'Executive Pay Breakdown'!U:U)</f>
        <v>10937299</v>
      </c>
      <c r="I934" s="69">
        <f>SUMIF('Executive Pay Breakdown'!W:W,$B934,'Executive Pay Breakdown'!Y:Y)</f>
        <v>10300794</v>
      </c>
      <c r="J934" s="69">
        <f>SUMIF('Executive Pay Breakdown'!AA:AA,$B934,'Executive Pay Breakdown'!AC:AC)</f>
        <v>0</v>
      </c>
      <c r="K934" s="118"/>
      <c r="L934" s="212"/>
      <c r="M934" s="87"/>
      <c r="N934" s="87"/>
      <c r="O934" s="120" t="str">
        <f>MATCH(C934,'Key Findings'!B:B,0)</f>
        <v>#N/A</v>
      </c>
    </row>
    <row r="935" hidden="1">
      <c r="A935" s="62"/>
      <c r="B935" s="127" t="s">
        <v>1135</v>
      </c>
      <c r="C935" s="87" t="s">
        <v>1128</v>
      </c>
      <c r="D935" s="89">
        <f>SUMIF('Executive Pay Breakdown'!K:K,$B935,'Executive Pay Breakdown'!M:M)+SUMIF('Executive Pay Breakdown'!O:O,$B935,'Executive Pay Breakdown'!Q:Q)+SUMIF('Executive Pay Breakdown'!S:S,$B935,'Executive Pay Breakdown'!U:U)+SUMIF('Executive Pay Breakdown'!W:W,$B935,'Executive Pay Breakdown'!Y:Y)+SUMIF('Executive Pay Breakdown'!AA:AA,$B935,'Executive Pay Breakdown'!AC:AC)</f>
        <v>7487526</v>
      </c>
      <c r="E935" s="109"/>
      <c r="F935" s="69">
        <f>SUMIF('Executive Pay Breakdown'!K:K,$B935,'Executive Pay Breakdown'!M:M)</f>
        <v>0</v>
      </c>
      <c r="G935" s="69">
        <f>SUMIF('Executive Pay Breakdown'!O:O,$B935,'Executive Pay Breakdown'!Q:Q)</f>
        <v>0</v>
      </c>
      <c r="H935" s="69">
        <f>SUMIF('Executive Pay Breakdown'!S:S,$B935,'Executive Pay Breakdown'!U:U)</f>
        <v>0</v>
      </c>
      <c r="I935" s="69">
        <f>SUMIF('Executive Pay Breakdown'!W:W,$B935,'Executive Pay Breakdown'!Y:Y)</f>
        <v>0</v>
      </c>
      <c r="J935" s="69">
        <f>SUMIF('Executive Pay Breakdown'!AA:AA,$B935,'Executive Pay Breakdown'!AC:AC)</f>
        <v>7487526</v>
      </c>
      <c r="K935" s="118"/>
      <c r="L935" s="212"/>
      <c r="M935" s="87"/>
      <c r="N935" s="87"/>
      <c r="O935" s="120" t="str">
        <f>MATCH(C935,'Key Findings'!B:B,0)</f>
        <v>#N/A</v>
      </c>
    </row>
    <row r="936" hidden="1">
      <c r="A936" s="62"/>
      <c r="B936" s="127" t="s">
        <v>1136</v>
      </c>
      <c r="C936" s="87" t="s">
        <v>1128</v>
      </c>
      <c r="D936" s="89">
        <f>SUMIF('Executive Pay Breakdown'!K:K,$B936,'Executive Pay Breakdown'!M:M)+SUMIF('Executive Pay Breakdown'!O:O,$B936,'Executive Pay Breakdown'!Q:Q)+SUMIF('Executive Pay Breakdown'!S:S,$B936,'Executive Pay Breakdown'!U:U)+SUMIF('Executive Pay Breakdown'!W:W,$B936,'Executive Pay Breakdown'!Y:Y)+SUMIF('Executive Pay Breakdown'!AA:AA,$B936,'Executive Pay Breakdown'!AC:AC)</f>
        <v>462692</v>
      </c>
      <c r="E936" s="109"/>
      <c r="F936" s="69">
        <f>SUMIF('Executive Pay Breakdown'!K:K,$B936,'Executive Pay Breakdown'!M:M)</f>
        <v>0</v>
      </c>
      <c r="G936" s="69">
        <f>SUMIF('Executive Pay Breakdown'!O:O,$B936,'Executive Pay Breakdown'!Q:Q)</f>
        <v>0</v>
      </c>
      <c r="H936" s="69">
        <f>SUMIF('Executive Pay Breakdown'!S:S,$B936,'Executive Pay Breakdown'!U:U)</f>
        <v>0</v>
      </c>
      <c r="I936" s="69">
        <f>SUMIF('Executive Pay Breakdown'!W:W,$B936,'Executive Pay Breakdown'!Y:Y)</f>
        <v>0</v>
      </c>
      <c r="J936" s="69">
        <f>SUMIF('Executive Pay Breakdown'!AA:AA,$B936,'Executive Pay Breakdown'!AC:AC)</f>
        <v>462692</v>
      </c>
      <c r="K936" s="118"/>
      <c r="L936" s="212"/>
      <c r="M936" s="87"/>
      <c r="N936" s="87"/>
      <c r="O936" s="120" t="str">
        <f>MATCH(C936,'Key Findings'!B:B,0)</f>
        <v>#N/A</v>
      </c>
    </row>
    <row r="937" hidden="1">
      <c r="A937" s="81"/>
      <c r="B937" s="134" t="s">
        <v>1137</v>
      </c>
      <c r="C937" s="244" t="s">
        <v>1138</v>
      </c>
      <c r="D937" s="89">
        <f>SUMIF('Executive Pay Breakdown'!K:K,$B937,'Executive Pay Breakdown'!M:M)+SUMIF('Executive Pay Breakdown'!O:O,$B937,'Executive Pay Breakdown'!Q:Q)+SUMIF('Executive Pay Breakdown'!S:S,$B937,'Executive Pay Breakdown'!U:U)+SUMIF('Executive Pay Breakdown'!W:W,$B937,'Executive Pay Breakdown'!Y:Y)+SUMIF('Executive Pay Breakdown'!AA:AA,$B937,'Executive Pay Breakdown'!AC:AC)</f>
        <v>190205100</v>
      </c>
      <c r="E937" s="109"/>
      <c r="F937" s="69">
        <f>SUMIF('Executive Pay Breakdown'!K:K,$B937,'Executive Pay Breakdown'!M:M)</f>
        <v>11614700</v>
      </c>
      <c r="G937" s="69">
        <f>SUMIF('Executive Pay Breakdown'!O:O,$B937,'Executive Pay Breakdown'!Q:Q)</f>
        <v>178590400</v>
      </c>
      <c r="H937" s="69">
        <f>SUMIF('Executive Pay Breakdown'!S:S,$B937,'Executive Pay Breakdown'!U:U)</f>
        <v>0</v>
      </c>
      <c r="I937" s="69">
        <f>SUMIF('Executive Pay Breakdown'!W:W,$B937,'Executive Pay Breakdown'!Y:Y)</f>
        <v>0</v>
      </c>
      <c r="J937" s="69">
        <f>SUMIF('Executive Pay Breakdown'!AA:AA,$B937,'Executive Pay Breakdown'!AC:AC)</f>
        <v>0</v>
      </c>
      <c r="K937" s="118"/>
      <c r="L937" s="212"/>
      <c r="M937" s="87"/>
      <c r="N937" s="230"/>
      <c r="O937" s="120" t="str">
        <f>MATCH(C937,'Key Findings'!B:B,0)</f>
        <v>#N/A</v>
      </c>
    </row>
    <row r="938" hidden="1">
      <c r="A938" s="81"/>
      <c r="B938" s="134" t="s">
        <v>1139</v>
      </c>
      <c r="C938" s="87" t="s">
        <v>1138</v>
      </c>
      <c r="D938" s="89">
        <f>SUMIF('Executive Pay Breakdown'!K:K,$B938,'Executive Pay Breakdown'!M:M)+SUMIF('Executive Pay Breakdown'!O:O,$B938,'Executive Pay Breakdown'!Q:Q)+SUMIF('Executive Pay Breakdown'!S:S,$B938,'Executive Pay Breakdown'!U:U)+SUMIF('Executive Pay Breakdown'!W:W,$B938,'Executive Pay Breakdown'!Y:Y)+SUMIF('Executive Pay Breakdown'!AA:AA,$B938,'Executive Pay Breakdown'!AC:AC)</f>
        <v>106636600</v>
      </c>
      <c r="E938" s="109"/>
      <c r="F938" s="69">
        <f>SUMIF('Executive Pay Breakdown'!K:K,$B938,'Executive Pay Breakdown'!M:M)</f>
        <v>0</v>
      </c>
      <c r="G938" s="69">
        <f>SUMIF('Executive Pay Breakdown'!O:O,$B938,'Executive Pay Breakdown'!Q:Q)</f>
        <v>605300</v>
      </c>
      <c r="H938" s="69">
        <f>SUMIF('Executive Pay Breakdown'!S:S,$B938,'Executive Pay Breakdown'!U:U)</f>
        <v>22389500</v>
      </c>
      <c r="I938" s="69">
        <f>SUMIF('Executive Pay Breakdown'!W:W,$B938,'Executive Pay Breakdown'!Y:Y)</f>
        <v>66935100</v>
      </c>
      <c r="J938" s="69">
        <f>SUMIF('Executive Pay Breakdown'!AA:AA,$B938,'Executive Pay Breakdown'!AC:AC)</f>
        <v>16706700</v>
      </c>
      <c r="K938" s="118"/>
      <c r="L938" s="212"/>
      <c r="M938" s="87"/>
      <c r="N938" s="87"/>
      <c r="O938" s="120" t="str">
        <f>MATCH(C938,'Key Findings'!B:B,0)</f>
        <v>#N/A</v>
      </c>
    </row>
    <row r="939" hidden="1">
      <c r="A939" s="81"/>
      <c r="B939" s="134" t="s">
        <v>1140</v>
      </c>
      <c r="C939" s="87" t="s">
        <v>1138</v>
      </c>
      <c r="D939" s="89">
        <f>SUMIF('Executive Pay Breakdown'!K:K,$B939,'Executive Pay Breakdown'!M:M)+SUMIF('Executive Pay Breakdown'!O:O,$B939,'Executive Pay Breakdown'!Q:Q)+SUMIF('Executive Pay Breakdown'!S:S,$B939,'Executive Pay Breakdown'!U:U)+SUMIF('Executive Pay Breakdown'!W:W,$B939,'Executive Pay Breakdown'!Y:Y)+SUMIF('Executive Pay Breakdown'!AA:AA,$B939,'Executive Pay Breakdown'!AC:AC)</f>
        <v>57756200</v>
      </c>
      <c r="E939" s="109"/>
      <c r="F939" s="69">
        <f>SUMIF('Executive Pay Breakdown'!K:K,$B939,'Executive Pay Breakdown'!M:M)</f>
        <v>0</v>
      </c>
      <c r="G939" s="69">
        <f>SUMIF('Executive Pay Breakdown'!O:O,$B939,'Executive Pay Breakdown'!Q:Q)</f>
        <v>11095800</v>
      </c>
      <c r="H939" s="69">
        <f>SUMIF('Executive Pay Breakdown'!S:S,$B939,'Executive Pay Breakdown'!U:U)</f>
        <v>11514000</v>
      </c>
      <c r="I939" s="69">
        <f>SUMIF('Executive Pay Breakdown'!W:W,$B939,'Executive Pay Breakdown'!Y:Y)</f>
        <v>24781100</v>
      </c>
      <c r="J939" s="69">
        <f>SUMIF('Executive Pay Breakdown'!AA:AA,$B939,'Executive Pay Breakdown'!AC:AC)</f>
        <v>10365300</v>
      </c>
      <c r="K939" s="118"/>
      <c r="L939" s="212"/>
      <c r="M939" s="87"/>
      <c r="N939" s="87"/>
      <c r="O939" s="120" t="str">
        <f>MATCH(C939,'Key Findings'!B:B,0)</f>
        <v>#N/A</v>
      </c>
    </row>
    <row r="940" hidden="1">
      <c r="A940" s="81"/>
      <c r="B940" s="134" t="s">
        <v>1141</v>
      </c>
      <c r="C940" s="87" t="s">
        <v>1138</v>
      </c>
      <c r="D940" s="89">
        <f>SUMIF('Executive Pay Breakdown'!K:K,$B940,'Executive Pay Breakdown'!M:M)+SUMIF('Executive Pay Breakdown'!O:O,$B940,'Executive Pay Breakdown'!Q:Q)+SUMIF('Executive Pay Breakdown'!S:S,$B940,'Executive Pay Breakdown'!U:U)+SUMIF('Executive Pay Breakdown'!W:W,$B940,'Executive Pay Breakdown'!Y:Y)+SUMIF('Executive Pay Breakdown'!AA:AA,$B940,'Executive Pay Breakdown'!AC:AC)</f>
        <v>52095500</v>
      </c>
      <c r="E940" s="109"/>
      <c r="F940" s="69">
        <f>SUMIF('Executive Pay Breakdown'!K:K,$B940,'Executive Pay Breakdown'!M:M)</f>
        <v>0</v>
      </c>
      <c r="G940" s="69">
        <f>SUMIF('Executive Pay Breakdown'!O:O,$B940,'Executive Pay Breakdown'!Q:Q)</f>
        <v>0</v>
      </c>
      <c r="H940" s="69">
        <f>SUMIF('Executive Pay Breakdown'!S:S,$B940,'Executive Pay Breakdown'!U:U)</f>
        <v>12077900</v>
      </c>
      <c r="I940" s="69">
        <f>SUMIF('Executive Pay Breakdown'!W:W,$B940,'Executive Pay Breakdown'!Y:Y)</f>
        <v>26885400</v>
      </c>
      <c r="J940" s="69">
        <f>SUMIF('Executive Pay Breakdown'!AA:AA,$B940,'Executive Pay Breakdown'!AC:AC)</f>
        <v>13132200</v>
      </c>
      <c r="K940" s="118"/>
      <c r="L940" s="212"/>
      <c r="M940" s="87"/>
      <c r="N940" s="87"/>
      <c r="O940" s="120" t="str">
        <f>MATCH(C940,'Key Findings'!B:B,0)</f>
        <v>#N/A</v>
      </c>
    </row>
    <row r="941" hidden="1">
      <c r="A941" s="81"/>
      <c r="B941" s="134" t="s">
        <v>1142</v>
      </c>
      <c r="C941" s="87" t="s">
        <v>1138</v>
      </c>
      <c r="D941" s="89">
        <f>SUMIF('Executive Pay Breakdown'!K:K,$B941,'Executive Pay Breakdown'!M:M)+SUMIF('Executive Pay Breakdown'!O:O,$B941,'Executive Pay Breakdown'!Q:Q)+SUMIF('Executive Pay Breakdown'!S:S,$B941,'Executive Pay Breakdown'!U:U)+SUMIF('Executive Pay Breakdown'!W:W,$B941,'Executive Pay Breakdown'!Y:Y)+SUMIF('Executive Pay Breakdown'!AA:AA,$B941,'Executive Pay Breakdown'!AC:AC)</f>
        <v>59739174</v>
      </c>
      <c r="E941" s="109"/>
      <c r="F941" s="69">
        <f>SUMIF('Executive Pay Breakdown'!K:K,$B941,'Executive Pay Breakdown'!M:M)</f>
        <v>762500</v>
      </c>
      <c r="G941" s="69">
        <f>SUMIF('Executive Pay Breakdown'!O:O,$B941,'Executive Pay Breakdown'!Q:Q)</f>
        <v>10925000</v>
      </c>
      <c r="H941" s="69">
        <f>SUMIF('Executive Pay Breakdown'!S:S,$B941,'Executive Pay Breakdown'!U:U)</f>
        <v>10778000</v>
      </c>
      <c r="I941" s="69">
        <f>SUMIF('Executive Pay Breakdown'!W:W,$B941,'Executive Pay Breakdown'!Y:Y)</f>
        <v>29711468</v>
      </c>
      <c r="J941" s="69">
        <f>SUMIF('Executive Pay Breakdown'!AA:AA,$B941,'Executive Pay Breakdown'!AC:AC)</f>
        <v>7562206</v>
      </c>
      <c r="K941" s="118"/>
      <c r="L941" s="212"/>
      <c r="M941" s="87"/>
      <c r="N941" s="230"/>
      <c r="O941" s="120" t="str">
        <f>MATCH(C941,'Key Findings'!B:B,0)</f>
        <v>#N/A</v>
      </c>
    </row>
    <row r="942" hidden="1">
      <c r="A942" s="81"/>
      <c r="B942" s="134" t="s">
        <v>1143</v>
      </c>
      <c r="C942" s="87" t="s">
        <v>1138</v>
      </c>
      <c r="D942" s="89">
        <f>SUMIF('Executive Pay Breakdown'!K:K,$B942,'Executive Pay Breakdown'!M:M)+SUMIF('Executive Pay Breakdown'!O:O,$B942,'Executive Pay Breakdown'!Q:Q)+SUMIF('Executive Pay Breakdown'!S:S,$B942,'Executive Pay Breakdown'!U:U)+SUMIF('Executive Pay Breakdown'!W:W,$B942,'Executive Pay Breakdown'!Y:Y)+SUMIF('Executive Pay Breakdown'!AA:AA,$B942,'Executive Pay Breakdown'!AC:AC)</f>
        <v>46803300</v>
      </c>
      <c r="E942" s="109"/>
      <c r="F942" s="69">
        <f>SUMIF('Executive Pay Breakdown'!K:K,$B942,'Executive Pay Breakdown'!M:M)</f>
        <v>0</v>
      </c>
      <c r="G942" s="69">
        <f>SUMIF('Executive Pay Breakdown'!O:O,$B942,'Executive Pay Breakdown'!Q:Q)</f>
        <v>10442600</v>
      </c>
      <c r="H942" s="69">
        <f>SUMIF('Executive Pay Breakdown'!S:S,$B942,'Executive Pay Breakdown'!U:U)</f>
        <v>10360200</v>
      </c>
      <c r="I942" s="69">
        <f>SUMIF('Executive Pay Breakdown'!W:W,$B942,'Executive Pay Breakdown'!Y:Y)</f>
        <v>9788600</v>
      </c>
      <c r="J942" s="69">
        <f>SUMIF('Executive Pay Breakdown'!AA:AA,$B942,'Executive Pay Breakdown'!AC:AC)</f>
        <v>16211900</v>
      </c>
      <c r="K942" s="118"/>
      <c r="L942" s="212"/>
      <c r="M942" s="87"/>
      <c r="N942" s="87"/>
      <c r="O942" s="120" t="str">
        <f>MATCH(C942,'Key Findings'!B:B,0)</f>
        <v>#N/A</v>
      </c>
    </row>
    <row r="943" hidden="1">
      <c r="A943" s="81"/>
      <c r="B943" s="134" t="s">
        <v>1144</v>
      </c>
      <c r="C943" s="87" t="s">
        <v>1138</v>
      </c>
      <c r="D943" s="89">
        <f>SUMIF('Executive Pay Breakdown'!K:K,$B943,'Executive Pay Breakdown'!M:M)+SUMIF('Executive Pay Breakdown'!O:O,$B943,'Executive Pay Breakdown'!Q:Q)+SUMIF('Executive Pay Breakdown'!S:S,$B943,'Executive Pay Breakdown'!U:U)+SUMIF('Executive Pay Breakdown'!W:W,$B943,'Executive Pay Breakdown'!Y:Y)+SUMIF('Executive Pay Breakdown'!AA:AA,$B943,'Executive Pay Breakdown'!AC:AC)</f>
        <v>33954700</v>
      </c>
      <c r="E943" s="109"/>
      <c r="F943" s="69">
        <f>SUMIF('Executive Pay Breakdown'!K:K,$B943,'Executive Pay Breakdown'!M:M)</f>
        <v>0</v>
      </c>
      <c r="G943" s="69">
        <f>SUMIF('Executive Pay Breakdown'!O:O,$B943,'Executive Pay Breakdown'!Q:Q)</f>
        <v>10432500</v>
      </c>
      <c r="H943" s="69">
        <f>SUMIF('Executive Pay Breakdown'!S:S,$B943,'Executive Pay Breakdown'!U:U)</f>
        <v>9750600</v>
      </c>
      <c r="I943" s="69">
        <f>SUMIF('Executive Pay Breakdown'!W:W,$B943,'Executive Pay Breakdown'!Y:Y)</f>
        <v>13771600</v>
      </c>
      <c r="J943" s="69">
        <f>SUMIF('Executive Pay Breakdown'!AA:AA,$B943,'Executive Pay Breakdown'!AC:AC)</f>
        <v>0</v>
      </c>
      <c r="K943" s="118"/>
      <c r="L943" s="212"/>
      <c r="M943" s="87"/>
      <c r="N943" s="87"/>
      <c r="O943" s="120" t="str">
        <f>MATCH(C943,'Key Findings'!B:B,0)</f>
        <v>#N/A</v>
      </c>
    </row>
    <row r="944" hidden="1">
      <c r="A944" s="81"/>
      <c r="B944" s="134" t="s">
        <v>1145</v>
      </c>
      <c r="C944" s="87" t="s">
        <v>1138</v>
      </c>
      <c r="D944" s="89">
        <f>SUMIF('Executive Pay Breakdown'!K:K,$B944,'Executive Pay Breakdown'!M:M)+SUMIF('Executive Pay Breakdown'!O:O,$B944,'Executive Pay Breakdown'!Q:Q)+SUMIF('Executive Pay Breakdown'!S:S,$B944,'Executive Pay Breakdown'!U:U)+SUMIF('Executive Pay Breakdown'!W:W,$B944,'Executive Pay Breakdown'!Y:Y)+SUMIF('Executive Pay Breakdown'!AA:AA,$B944,'Executive Pay Breakdown'!AC:AC)</f>
        <v>53521795</v>
      </c>
      <c r="E944" s="109"/>
      <c r="F944" s="69">
        <f>SUMIF('Executive Pay Breakdown'!K:K,$B944,'Executive Pay Breakdown'!M:M)</f>
        <v>36748380</v>
      </c>
      <c r="G944" s="69">
        <f>SUMIF('Executive Pay Breakdown'!O:O,$B944,'Executive Pay Breakdown'!Q:Q)</f>
        <v>10257969</v>
      </c>
      <c r="H944" s="69">
        <f>SUMIF('Executive Pay Breakdown'!S:S,$B944,'Executive Pay Breakdown'!U:U)</f>
        <v>6515446</v>
      </c>
      <c r="I944" s="69">
        <f>SUMIF('Executive Pay Breakdown'!W:W,$B944,'Executive Pay Breakdown'!Y:Y)</f>
        <v>0</v>
      </c>
      <c r="J944" s="69">
        <f>SUMIF('Executive Pay Breakdown'!AA:AA,$B944,'Executive Pay Breakdown'!AC:AC)</f>
        <v>0</v>
      </c>
      <c r="K944" s="118"/>
      <c r="L944" s="212"/>
      <c r="M944" s="87"/>
      <c r="N944" s="87"/>
      <c r="O944" s="120" t="str">
        <f>MATCH(C944,'Key Findings'!B:B,0)</f>
        <v>#N/A</v>
      </c>
    </row>
    <row r="945" hidden="1">
      <c r="A945" s="81"/>
      <c r="B945" s="134" t="s">
        <v>1146</v>
      </c>
      <c r="C945" s="87" t="s">
        <v>1138</v>
      </c>
      <c r="D945" s="89">
        <f>SUMIF('Executive Pay Breakdown'!K:K,$B945,'Executive Pay Breakdown'!M:M)+SUMIF('Executive Pay Breakdown'!O:O,$B945,'Executive Pay Breakdown'!Q:Q)+SUMIF('Executive Pay Breakdown'!S:S,$B945,'Executive Pay Breakdown'!U:U)+SUMIF('Executive Pay Breakdown'!W:W,$B945,'Executive Pay Breakdown'!Y:Y)+SUMIF('Executive Pay Breakdown'!AA:AA,$B945,'Executive Pay Breakdown'!AC:AC)</f>
        <v>20326600</v>
      </c>
      <c r="E945" s="109"/>
      <c r="F945" s="69">
        <f>SUMIF('Executive Pay Breakdown'!K:K,$B945,'Executive Pay Breakdown'!M:M)</f>
        <v>20326600</v>
      </c>
      <c r="G945" s="69">
        <f>SUMIF('Executive Pay Breakdown'!O:O,$B945,'Executive Pay Breakdown'!Q:Q)</f>
        <v>0</v>
      </c>
      <c r="H945" s="69">
        <f>SUMIF('Executive Pay Breakdown'!S:S,$B945,'Executive Pay Breakdown'!U:U)</f>
        <v>0</v>
      </c>
      <c r="I945" s="69">
        <f>SUMIF('Executive Pay Breakdown'!W:W,$B945,'Executive Pay Breakdown'!Y:Y)</f>
        <v>0</v>
      </c>
      <c r="J945" s="69">
        <f>SUMIF('Executive Pay Breakdown'!AA:AA,$B945,'Executive Pay Breakdown'!AC:AC)</f>
        <v>0</v>
      </c>
      <c r="K945" s="118"/>
      <c r="L945" s="212"/>
      <c r="M945" s="87"/>
      <c r="N945" s="230"/>
      <c r="O945" s="120" t="str">
        <f>MATCH(C945,'Key Findings'!B:B,0)</f>
        <v>#N/A</v>
      </c>
    </row>
    <row r="946" hidden="1">
      <c r="A946" s="81"/>
      <c r="B946" s="134" t="s">
        <v>1147</v>
      </c>
      <c r="C946" s="87" t="s">
        <v>1138</v>
      </c>
      <c r="D946" s="89">
        <f>SUMIF('Executive Pay Breakdown'!K:K,$B946,'Executive Pay Breakdown'!M:M)+SUMIF('Executive Pay Breakdown'!O:O,$B946,'Executive Pay Breakdown'!Q:Q)+SUMIF('Executive Pay Breakdown'!S:S,$B946,'Executive Pay Breakdown'!U:U)+SUMIF('Executive Pay Breakdown'!W:W,$B946,'Executive Pay Breakdown'!Y:Y)+SUMIF('Executive Pay Breakdown'!AA:AA,$B946,'Executive Pay Breakdown'!AC:AC)</f>
        <v>18050300</v>
      </c>
      <c r="E946" s="109"/>
      <c r="F946" s="69">
        <f>SUMIF('Executive Pay Breakdown'!K:K,$B946,'Executive Pay Breakdown'!M:M)</f>
        <v>0</v>
      </c>
      <c r="G946" s="69">
        <f>SUMIF('Executive Pay Breakdown'!O:O,$B946,'Executive Pay Breakdown'!Q:Q)</f>
        <v>0</v>
      </c>
      <c r="H946" s="69">
        <f>SUMIF('Executive Pay Breakdown'!S:S,$B946,'Executive Pay Breakdown'!U:U)</f>
        <v>0</v>
      </c>
      <c r="I946" s="69">
        <f>SUMIF('Executive Pay Breakdown'!W:W,$B946,'Executive Pay Breakdown'!Y:Y)</f>
        <v>0</v>
      </c>
      <c r="J946" s="69">
        <f>SUMIF('Executive Pay Breakdown'!AA:AA,$B946,'Executive Pay Breakdown'!AC:AC)</f>
        <v>18050300</v>
      </c>
      <c r="K946" s="118"/>
      <c r="L946" s="212"/>
      <c r="M946" s="87"/>
      <c r="N946" s="87"/>
      <c r="O946" s="120" t="str">
        <f>MATCH(C946,'Key Findings'!B:B,0)</f>
        <v>#N/A</v>
      </c>
    </row>
    <row r="947" hidden="1">
      <c r="A947" s="81"/>
      <c r="B947" s="134" t="s">
        <v>1148</v>
      </c>
      <c r="C947" s="87" t="s">
        <v>1138</v>
      </c>
      <c r="D947" s="89">
        <f>SUMIF('Executive Pay Breakdown'!K:K,$B947,'Executive Pay Breakdown'!M:M)+SUMIF('Executive Pay Breakdown'!O:O,$B947,'Executive Pay Breakdown'!Q:Q)+SUMIF('Executive Pay Breakdown'!S:S,$B947,'Executive Pay Breakdown'!U:U)+SUMIF('Executive Pay Breakdown'!W:W,$B947,'Executive Pay Breakdown'!Y:Y)+SUMIF('Executive Pay Breakdown'!AA:AA,$B947,'Executive Pay Breakdown'!AC:AC)</f>
        <v>17458200</v>
      </c>
      <c r="E947" s="109"/>
      <c r="F947" s="69">
        <f>SUMIF('Executive Pay Breakdown'!K:K,$B947,'Executive Pay Breakdown'!M:M)</f>
        <v>7660100</v>
      </c>
      <c r="G947" s="69">
        <f>SUMIF('Executive Pay Breakdown'!O:O,$B947,'Executive Pay Breakdown'!Q:Q)</f>
        <v>9798100</v>
      </c>
      <c r="H947" s="69">
        <f>SUMIF('Executive Pay Breakdown'!S:S,$B947,'Executive Pay Breakdown'!U:U)</f>
        <v>0</v>
      </c>
      <c r="I947" s="69">
        <f>SUMIF('Executive Pay Breakdown'!W:W,$B947,'Executive Pay Breakdown'!Y:Y)</f>
        <v>0</v>
      </c>
      <c r="J947" s="69">
        <f>SUMIF('Executive Pay Breakdown'!AA:AA,$B947,'Executive Pay Breakdown'!AC:AC)</f>
        <v>0</v>
      </c>
      <c r="K947" s="118"/>
      <c r="L947" s="212"/>
      <c r="M947" s="212"/>
      <c r="N947" s="230"/>
      <c r="O947" s="120" t="str">
        <f>MATCH(C947,'Key Findings'!B:B,0)</f>
        <v>#N/A</v>
      </c>
    </row>
    <row r="948" hidden="1">
      <c r="A948" s="81"/>
      <c r="B948" s="134" t="s">
        <v>1149</v>
      </c>
      <c r="C948" s="87" t="s">
        <v>1138</v>
      </c>
      <c r="D948" s="89">
        <f>SUMIF('Executive Pay Breakdown'!K:K,$B948,'Executive Pay Breakdown'!M:M)+SUMIF('Executive Pay Breakdown'!O:O,$B948,'Executive Pay Breakdown'!Q:Q)+SUMIF('Executive Pay Breakdown'!S:S,$B948,'Executive Pay Breakdown'!U:U)+SUMIF('Executive Pay Breakdown'!W:W,$B948,'Executive Pay Breakdown'!Y:Y)+SUMIF('Executive Pay Breakdown'!AA:AA,$B948,'Executive Pay Breakdown'!AC:AC)</f>
        <v>7633900</v>
      </c>
      <c r="E948" s="109"/>
      <c r="F948" s="69">
        <f>SUMIF('Executive Pay Breakdown'!K:K,$B948,'Executive Pay Breakdown'!M:M)</f>
        <v>7633900</v>
      </c>
      <c r="G948" s="69">
        <f>SUMIF('Executive Pay Breakdown'!O:O,$B948,'Executive Pay Breakdown'!Q:Q)</f>
        <v>0</v>
      </c>
      <c r="H948" s="69">
        <f>SUMIF('Executive Pay Breakdown'!S:S,$B948,'Executive Pay Breakdown'!U:U)</f>
        <v>0</v>
      </c>
      <c r="I948" s="69">
        <f>SUMIF('Executive Pay Breakdown'!W:W,$B948,'Executive Pay Breakdown'!Y:Y)</f>
        <v>0</v>
      </c>
      <c r="J948" s="69">
        <f>SUMIF('Executive Pay Breakdown'!AA:AA,$B948,'Executive Pay Breakdown'!AC:AC)</f>
        <v>0</v>
      </c>
      <c r="K948" s="118"/>
      <c r="L948" s="212"/>
      <c r="M948" s="87"/>
      <c r="N948" s="230"/>
      <c r="O948" s="120" t="str">
        <f>MATCH(C948,'Key Findings'!B:B,0)</f>
        <v>#N/A</v>
      </c>
    </row>
    <row r="949" hidden="1">
      <c r="A949" s="81"/>
      <c r="B949" s="134" t="s">
        <v>1150</v>
      </c>
      <c r="C949" s="87" t="s">
        <v>1138</v>
      </c>
      <c r="D949" s="89">
        <f>SUMIF('Executive Pay Breakdown'!K:K,$B949,'Executive Pay Breakdown'!M:M)+SUMIF('Executive Pay Breakdown'!O:O,$B949,'Executive Pay Breakdown'!Q:Q)+SUMIF('Executive Pay Breakdown'!S:S,$B949,'Executive Pay Breakdown'!U:U)+SUMIF('Executive Pay Breakdown'!W:W,$B949,'Executive Pay Breakdown'!Y:Y)+SUMIF('Executive Pay Breakdown'!AA:AA,$B949,'Executive Pay Breakdown'!AC:AC)</f>
        <v>6428100</v>
      </c>
      <c r="E949" s="109"/>
      <c r="F949" s="69">
        <f>SUMIF('Executive Pay Breakdown'!K:K,$B949,'Executive Pay Breakdown'!M:M)</f>
        <v>0</v>
      </c>
      <c r="G949" s="69">
        <f>SUMIF('Executive Pay Breakdown'!O:O,$B949,'Executive Pay Breakdown'!Q:Q)</f>
        <v>0</v>
      </c>
      <c r="H949" s="69">
        <f>SUMIF('Executive Pay Breakdown'!S:S,$B949,'Executive Pay Breakdown'!U:U)</f>
        <v>0</v>
      </c>
      <c r="I949" s="69">
        <f>SUMIF('Executive Pay Breakdown'!W:W,$B949,'Executive Pay Breakdown'!Y:Y)</f>
        <v>6428100</v>
      </c>
      <c r="J949" s="69">
        <f>SUMIF('Executive Pay Breakdown'!AA:AA,$B949,'Executive Pay Breakdown'!AC:AC)</f>
        <v>0</v>
      </c>
      <c r="K949" s="118"/>
      <c r="L949" s="212"/>
      <c r="M949" s="87"/>
      <c r="N949" s="87"/>
      <c r="O949" s="120" t="str">
        <f>MATCH(C949,'Key Findings'!B:B,0)</f>
        <v>#N/A</v>
      </c>
    </row>
    <row r="950" hidden="1">
      <c r="A950" s="81"/>
      <c r="B950" s="134" t="s">
        <v>1151</v>
      </c>
      <c r="C950" s="87" t="s">
        <v>1152</v>
      </c>
      <c r="D950" s="89">
        <f>SUMIF('Executive Pay Breakdown'!K:K,$B950,'Executive Pay Breakdown'!M:M)+SUMIF('Executive Pay Breakdown'!O:O,$B950,'Executive Pay Breakdown'!Q:Q)+SUMIF('Executive Pay Breakdown'!S:S,$B950,'Executive Pay Breakdown'!U:U)+SUMIF('Executive Pay Breakdown'!W:W,$B950,'Executive Pay Breakdown'!Y:Y)+SUMIF('Executive Pay Breakdown'!AA:AA,$B950,'Executive Pay Breakdown'!AC:AC)</f>
        <v>83255491</v>
      </c>
      <c r="E950" s="109"/>
      <c r="F950" s="69">
        <f>SUMIF('Executive Pay Breakdown'!K:K,$B950,'Executive Pay Breakdown'!M:M)</f>
        <v>17198844</v>
      </c>
      <c r="G950" s="69">
        <f>SUMIF('Executive Pay Breakdown'!O:O,$B950,'Executive Pay Breakdown'!Q:Q)</f>
        <v>16528036</v>
      </c>
      <c r="H950" s="69">
        <f>SUMIF('Executive Pay Breakdown'!S:S,$B950,'Executive Pay Breakdown'!U:U)</f>
        <v>16489639</v>
      </c>
      <c r="I950" s="69">
        <f>SUMIF('Executive Pay Breakdown'!W:W,$B950,'Executive Pay Breakdown'!Y:Y)</f>
        <v>16726455</v>
      </c>
      <c r="J950" s="69">
        <f>SUMIF('Executive Pay Breakdown'!AA:AA,$B950,'Executive Pay Breakdown'!AC:AC)</f>
        <v>16312517</v>
      </c>
      <c r="K950" s="118"/>
      <c r="L950" s="212"/>
      <c r="M950" s="87"/>
      <c r="N950" s="230"/>
      <c r="O950" s="120" t="str">
        <f>MATCH(C950,'Key Findings'!B:B,0)</f>
        <v>#N/A</v>
      </c>
    </row>
    <row r="951" hidden="1">
      <c r="A951" s="81"/>
      <c r="B951" s="134" t="s">
        <v>1153</v>
      </c>
      <c r="C951" s="87" t="s">
        <v>1152</v>
      </c>
      <c r="D951" s="89">
        <f>SUMIF('Executive Pay Breakdown'!K:K,$B951,'Executive Pay Breakdown'!M:M)+SUMIF('Executive Pay Breakdown'!O:O,$B951,'Executive Pay Breakdown'!Q:Q)+SUMIF('Executive Pay Breakdown'!S:S,$B951,'Executive Pay Breakdown'!U:U)+SUMIF('Executive Pay Breakdown'!W:W,$B951,'Executive Pay Breakdown'!Y:Y)+SUMIF('Executive Pay Breakdown'!AA:AA,$B951,'Executive Pay Breakdown'!AC:AC)</f>
        <v>21491879</v>
      </c>
      <c r="E951" s="109"/>
      <c r="F951" s="69">
        <f>SUMIF('Executive Pay Breakdown'!K:K,$B951,'Executive Pay Breakdown'!M:M)</f>
        <v>0</v>
      </c>
      <c r="G951" s="69">
        <f>SUMIF('Executive Pay Breakdown'!O:O,$B951,'Executive Pay Breakdown'!Q:Q)</f>
        <v>5562172</v>
      </c>
      <c r="H951" s="69">
        <f>SUMIF('Executive Pay Breakdown'!S:S,$B951,'Executive Pay Breakdown'!U:U)</f>
        <v>5543558</v>
      </c>
      <c r="I951" s="69">
        <f>SUMIF('Executive Pay Breakdown'!W:W,$B951,'Executive Pay Breakdown'!Y:Y)</f>
        <v>5381124</v>
      </c>
      <c r="J951" s="69">
        <f>SUMIF('Executive Pay Breakdown'!AA:AA,$B951,'Executive Pay Breakdown'!AC:AC)</f>
        <v>5005025</v>
      </c>
      <c r="K951" s="118"/>
      <c r="L951" s="212"/>
      <c r="M951" s="87"/>
      <c r="N951" s="87"/>
      <c r="O951" s="120" t="str">
        <f>MATCH(C951,'Key Findings'!B:B,0)</f>
        <v>#N/A</v>
      </c>
    </row>
    <row r="952" hidden="1">
      <c r="A952" s="81"/>
      <c r="B952" s="134" t="s">
        <v>1154</v>
      </c>
      <c r="C952" s="87" t="s">
        <v>1152</v>
      </c>
      <c r="D952" s="89">
        <f>SUMIF('Executive Pay Breakdown'!K:K,$B952,'Executive Pay Breakdown'!M:M)+SUMIF('Executive Pay Breakdown'!O:O,$B952,'Executive Pay Breakdown'!Q:Q)+SUMIF('Executive Pay Breakdown'!S:S,$B952,'Executive Pay Breakdown'!U:U)+SUMIF('Executive Pay Breakdown'!W:W,$B952,'Executive Pay Breakdown'!Y:Y)+SUMIF('Executive Pay Breakdown'!AA:AA,$B952,'Executive Pay Breakdown'!AC:AC)</f>
        <v>16616157</v>
      </c>
      <c r="E952" s="109"/>
      <c r="F952" s="69">
        <f>SUMIF('Executive Pay Breakdown'!K:K,$B952,'Executive Pay Breakdown'!M:M)</f>
        <v>4472138</v>
      </c>
      <c r="G952" s="69">
        <f>SUMIF('Executive Pay Breakdown'!O:O,$B952,'Executive Pay Breakdown'!Q:Q)</f>
        <v>4222224</v>
      </c>
      <c r="H952" s="69">
        <f>SUMIF('Executive Pay Breakdown'!S:S,$B952,'Executive Pay Breakdown'!U:U)</f>
        <v>4080206</v>
      </c>
      <c r="I952" s="69">
        <f>SUMIF('Executive Pay Breakdown'!W:W,$B952,'Executive Pay Breakdown'!Y:Y)</f>
        <v>3841589</v>
      </c>
      <c r="J952" s="69">
        <f>SUMIF('Executive Pay Breakdown'!AA:AA,$B952,'Executive Pay Breakdown'!AC:AC)</f>
        <v>0</v>
      </c>
      <c r="K952" s="118"/>
      <c r="L952" s="212"/>
      <c r="M952" s="87"/>
      <c r="N952" s="230"/>
      <c r="O952" s="120" t="str">
        <f>MATCH(C952,'Key Findings'!B:B,0)</f>
        <v>#N/A</v>
      </c>
    </row>
    <row r="953" hidden="1">
      <c r="A953" s="81"/>
      <c r="B953" s="134" t="s">
        <v>1155</v>
      </c>
      <c r="C953" s="87" t="s">
        <v>1152</v>
      </c>
      <c r="D953" s="89">
        <f>SUMIF('Executive Pay Breakdown'!K:K,$B953,'Executive Pay Breakdown'!M:M)+SUMIF('Executive Pay Breakdown'!O:O,$B953,'Executive Pay Breakdown'!Q:Q)+SUMIF('Executive Pay Breakdown'!S:S,$B953,'Executive Pay Breakdown'!U:U)+SUMIF('Executive Pay Breakdown'!W:W,$B953,'Executive Pay Breakdown'!Y:Y)+SUMIF('Executive Pay Breakdown'!AA:AA,$B953,'Executive Pay Breakdown'!AC:AC)</f>
        <v>13798019</v>
      </c>
      <c r="E953" s="109"/>
      <c r="F953" s="69">
        <f>SUMIF('Executive Pay Breakdown'!K:K,$B953,'Executive Pay Breakdown'!M:M)</f>
        <v>0</v>
      </c>
      <c r="G953" s="69">
        <f>SUMIF('Executive Pay Breakdown'!O:O,$B953,'Executive Pay Breakdown'!Q:Q)</f>
        <v>3502023</v>
      </c>
      <c r="H953" s="69">
        <f>SUMIF('Executive Pay Breakdown'!S:S,$B953,'Executive Pay Breakdown'!U:U)</f>
        <v>3472435</v>
      </c>
      <c r="I953" s="69">
        <f>SUMIF('Executive Pay Breakdown'!W:W,$B953,'Executive Pay Breakdown'!Y:Y)</f>
        <v>3510125</v>
      </c>
      <c r="J953" s="69">
        <f>SUMIF('Executive Pay Breakdown'!AA:AA,$B953,'Executive Pay Breakdown'!AC:AC)</f>
        <v>3313436</v>
      </c>
      <c r="K953" s="118"/>
      <c r="L953" s="212"/>
      <c r="M953" s="87"/>
      <c r="N953" s="87"/>
      <c r="O953" s="120" t="str">
        <f>MATCH(C953,'Key Findings'!B:B,0)</f>
        <v>#N/A</v>
      </c>
    </row>
    <row r="954" hidden="1">
      <c r="A954" s="81"/>
      <c r="B954" s="134" t="s">
        <v>1156</v>
      </c>
      <c r="C954" s="87" t="s">
        <v>1152</v>
      </c>
      <c r="D954" s="89">
        <f>SUMIF('Executive Pay Breakdown'!K:K,$B954,'Executive Pay Breakdown'!M:M)+SUMIF('Executive Pay Breakdown'!O:O,$B954,'Executive Pay Breakdown'!Q:Q)+SUMIF('Executive Pay Breakdown'!S:S,$B954,'Executive Pay Breakdown'!U:U)+SUMIF('Executive Pay Breakdown'!W:W,$B954,'Executive Pay Breakdown'!Y:Y)+SUMIF('Executive Pay Breakdown'!AA:AA,$B954,'Executive Pay Breakdown'!AC:AC)</f>
        <v>13174098</v>
      </c>
      <c r="E954" s="109"/>
      <c r="F954" s="69">
        <f>SUMIF('Executive Pay Breakdown'!K:K,$B954,'Executive Pay Breakdown'!M:M)</f>
        <v>0</v>
      </c>
      <c r="G954" s="69">
        <f>SUMIF('Executive Pay Breakdown'!O:O,$B954,'Executive Pay Breakdown'!Q:Q)</f>
        <v>3207357</v>
      </c>
      <c r="H954" s="69">
        <f>SUMIF('Executive Pay Breakdown'!S:S,$B954,'Executive Pay Breakdown'!U:U)</f>
        <v>3314065</v>
      </c>
      <c r="I954" s="69">
        <f>SUMIF('Executive Pay Breakdown'!W:W,$B954,'Executive Pay Breakdown'!Y:Y)</f>
        <v>3495998</v>
      </c>
      <c r="J954" s="69">
        <f>SUMIF('Executive Pay Breakdown'!AA:AA,$B954,'Executive Pay Breakdown'!AC:AC)</f>
        <v>3156678</v>
      </c>
      <c r="K954" s="118"/>
      <c r="L954" s="212"/>
      <c r="M954" s="87"/>
      <c r="N954" s="87"/>
      <c r="O954" s="120" t="str">
        <f>MATCH(C954,'Key Findings'!B:B,0)</f>
        <v>#N/A</v>
      </c>
    </row>
    <row r="955" hidden="1">
      <c r="A955" s="81"/>
      <c r="B955" s="134" t="s">
        <v>1157</v>
      </c>
      <c r="C955" s="87" t="s">
        <v>1152</v>
      </c>
      <c r="D955" s="89">
        <f>SUMIF('Executive Pay Breakdown'!K:K,$B955,'Executive Pay Breakdown'!M:M)+SUMIF('Executive Pay Breakdown'!O:O,$B955,'Executive Pay Breakdown'!Q:Q)+SUMIF('Executive Pay Breakdown'!S:S,$B955,'Executive Pay Breakdown'!U:U)+SUMIF('Executive Pay Breakdown'!W:W,$B955,'Executive Pay Breakdown'!Y:Y)+SUMIF('Executive Pay Breakdown'!AA:AA,$B955,'Executive Pay Breakdown'!AC:AC)</f>
        <v>8872479</v>
      </c>
      <c r="E955" s="109"/>
      <c r="F955" s="69">
        <f>SUMIF('Executive Pay Breakdown'!K:K,$B955,'Executive Pay Breakdown'!M:M)</f>
        <v>4810998</v>
      </c>
      <c r="G955" s="69">
        <f>SUMIF('Executive Pay Breakdown'!O:O,$B955,'Executive Pay Breakdown'!Q:Q)</f>
        <v>4061481</v>
      </c>
      <c r="H955" s="69">
        <f>SUMIF('Executive Pay Breakdown'!S:S,$B955,'Executive Pay Breakdown'!U:U)</f>
        <v>0</v>
      </c>
      <c r="I955" s="69">
        <f>SUMIF('Executive Pay Breakdown'!W:W,$B955,'Executive Pay Breakdown'!Y:Y)</f>
        <v>0</v>
      </c>
      <c r="J955" s="69">
        <f>SUMIF('Executive Pay Breakdown'!AA:AA,$B955,'Executive Pay Breakdown'!AC:AC)</f>
        <v>0</v>
      </c>
      <c r="K955" s="118"/>
      <c r="L955" s="212"/>
      <c r="M955" s="212"/>
      <c r="N955" s="230"/>
      <c r="O955" s="120" t="str">
        <f>MATCH(C955,'Key Findings'!B:B,0)</f>
        <v>#N/A</v>
      </c>
    </row>
    <row r="956" hidden="1">
      <c r="A956" s="81"/>
      <c r="B956" s="134" t="s">
        <v>1158</v>
      </c>
      <c r="C956" s="87" t="s">
        <v>1152</v>
      </c>
      <c r="D956" s="89">
        <f>SUMIF('Executive Pay Breakdown'!K:K,$B956,'Executive Pay Breakdown'!M:M)+SUMIF('Executive Pay Breakdown'!O:O,$B956,'Executive Pay Breakdown'!Q:Q)+SUMIF('Executive Pay Breakdown'!S:S,$B956,'Executive Pay Breakdown'!U:U)+SUMIF('Executive Pay Breakdown'!W:W,$B956,'Executive Pay Breakdown'!Y:Y)+SUMIF('Executive Pay Breakdown'!AA:AA,$B956,'Executive Pay Breakdown'!AC:AC)</f>
        <v>3734570</v>
      </c>
      <c r="E956" s="109"/>
      <c r="F956" s="69">
        <f>SUMIF('Executive Pay Breakdown'!K:K,$B956,'Executive Pay Breakdown'!M:M)</f>
        <v>3734570</v>
      </c>
      <c r="G956" s="69">
        <f>SUMIF('Executive Pay Breakdown'!O:O,$B956,'Executive Pay Breakdown'!Q:Q)</f>
        <v>0</v>
      </c>
      <c r="H956" s="69">
        <f>SUMIF('Executive Pay Breakdown'!S:S,$B956,'Executive Pay Breakdown'!U:U)</f>
        <v>0</v>
      </c>
      <c r="I956" s="69">
        <f>SUMIF('Executive Pay Breakdown'!W:W,$B956,'Executive Pay Breakdown'!Y:Y)</f>
        <v>0</v>
      </c>
      <c r="J956" s="69">
        <f>SUMIF('Executive Pay Breakdown'!AA:AA,$B956,'Executive Pay Breakdown'!AC:AC)</f>
        <v>0</v>
      </c>
      <c r="K956" s="118"/>
      <c r="L956" s="212"/>
      <c r="M956" s="87"/>
      <c r="N956" s="230"/>
      <c r="O956" s="120" t="str">
        <f>MATCH(C956,'Key Findings'!B:B,0)</f>
        <v>#N/A</v>
      </c>
    </row>
    <row r="957" hidden="1">
      <c r="A957" s="81"/>
      <c r="B957" s="134" t="s">
        <v>1159</v>
      </c>
      <c r="C957" s="87" t="s">
        <v>1152</v>
      </c>
      <c r="D957" s="89">
        <f>SUMIF('Executive Pay Breakdown'!K:K,$B957,'Executive Pay Breakdown'!M:M)+SUMIF('Executive Pay Breakdown'!O:O,$B957,'Executive Pay Breakdown'!Q:Q)+SUMIF('Executive Pay Breakdown'!S:S,$B957,'Executive Pay Breakdown'!U:U)+SUMIF('Executive Pay Breakdown'!W:W,$B957,'Executive Pay Breakdown'!Y:Y)+SUMIF('Executive Pay Breakdown'!AA:AA,$B957,'Executive Pay Breakdown'!AC:AC)</f>
        <v>3598797</v>
      </c>
      <c r="E957" s="109"/>
      <c r="F957" s="69">
        <f>SUMIF('Executive Pay Breakdown'!K:K,$B957,'Executive Pay Breakdown'!M:M)</f>
        <v>3598797</v>
      </c>
      <c r="G957" s="69">
        <f>SUMIF('Executive Pay Breakdown'!O:O,$B957,'Executive Pay Breakdown'!Q:Q)</f>
        <v>0</v>
      </c>
      <c r="H957" s="69">
        <f>SUMIF('Executive Pay Breakdown'!S:S,$B957,'Executive Pay Breakdown'!U:U)</f>
        <v>0</v>
      </c>
      <c r="I957" s="69">
        <f>SUMIF('Executive Pay Breakdown'!W:W,$B957,'Executive Pay Breakdown'!Y:Y)</f>
        <v>0</v>
      </c>
      <c r="J957" s="69">
        <f>SUMIF('Executive Pay Breakdown'!AA:AA,$B957,'Executive Pay Breakdown'!AC:AC)</f>
        <v>0</v>
      </c>
      <c r="K957" s="118"/>
      <c r="L957" s="212"/>
      <c r="M957" s="87"/>
      <c r="N957" s="230"/>
      <c r="O957" s="120" t="str">
        <f>MATCH(C957,'Key Findings'!B:B,0)</f>
        <v>#N/A</v>
      </c>
    </row>
    <row r="958" hidden="1">
      <c r="A958" s="81"/>
      <c r="B958" s="134" t="s">
        <v>1160</v>
      </c>
      <c r="C958" s="87" t="s">
        <v>1152</v>
      </c>
      <c r="D958" s="89">
        <f>SUMIF('Executive Pay Breakdown'!K:K,$B958,'Executive Pay Breakdown'!M:M)+SUMIF('Executive Pay Breakdown'!O:O,$B958,'Executive Pay Breakdown'!Q:Q)+SUMIF('Executive Pay Breakdown'!S:S,$B958,'Executive Pay Breakdown'!U:U)+SUMIF('Executive Pay Breakdown'!W:W,$B958,'Executive Pay Breakdown'!Y:Y)+SUMIF('Executive Pay Breakdown'!AA:AA,$B958,'Executive Pay Breakdown'!AC:AC)</f>
        <v>3204946</v>
      </c>
      <c r="E958" s="109"/>
      <c r="F958" s="69">
        <f>SUMIF('Executive Pay Breakdown'!K:K,$B958,'Executive Pay Breakdown'!M:M)</f>
        <v>0</v>
      </c>
      <c r="G958" s="69">
        <f>SUMIF('Executive Pay Breakdown'!O:O,$B958,'Executive Pay Breakdown'!Q:Q)</f>
        <v>0</v>
      </c>
      <c r="H958" s="69">
        <f>SUMIF('Executive Pay Breakdown'!S:S,$B958,'Executive Pay Breakdown'!U:U)</f>
        <v>0</v>
      </c>
      <c r="I958" s="69">
        <f>SUMIF('Executive Pay Breakdown'!W:W,$B958,'Executive Pay Breakdown'!Y:Y)</f>
        <v>0</v>
      </c>
      <c r="J958" s="69">
        <f>SUMIF('Executive Pay Breakdown'!AA:AA,$B958,'Executive Pay Breakdown'!AC:AC)</f>
        <v>3204946</v>
      </c>
      <c r="K958" s="118"/>
      <c r="L958" s="212"/>
      <c r="M958" s="87"/>
      <c r="N958" s="87"/>
      <c r="O958" s="120" t="str">
        <f>MATCH(C958,'Key Findings'!B:B,0)</f>
        <v>#N/A</v>
      </c>
    </row>
    <row r="959" hidden="1">
      <c r="A959" s="81"/>
      <c r="B959" s="133" t="s">
        <v>1161</v>
      </c>
      <c r="C959" s="87" t="s">
        <v>1162</v>
      </c>
      <c r="D959" s="89">
        <f>SUMIF('Executive Pay Breakdown'!K:K,$B959,'Executive Pay Breakdown'!M:M)+SUMIF('Executive Pay Breakdown'!O:O,$B959,'Executive Pay Breakdown'!Q:Q)+SUMIF('Executive Pay Breakdown'!S:S,$B959,'Executive Pay Breakdown'!U:U)+SUMIF('Executive Pay Breakdown'!W:W,$B959,'Executive Pay Breakdown'!Y:Y)+SUMIF('Executive Pay Breakdown'!AA:AA,$B959,'Executive Pay Breakdown'!AC:AC)</f>
        <v>62139269</v>
      </c>
      <c r="E959" s="109"/>
      <c r="F959" s="69">
        <f>SUMIF('Executive Pay Breakdown'!K:K,$B959,'Executive Pay Breakdown'!M:M)</f>
        <v>18965201</v>
      </c>
      <c r="G959" s="69">
        <f>SUMIF('Executive Pay Breakdown'!O:O,$B959,'Executive Pay Breakdown'!Q:Q)</f>
        <v>27620893</v>
      </c>
      <c r="H959" s="69">
        <f>SUMIF('Executive Pay Breakdown'!S:S,$B959,'Executive Pay Breakdown'!U:U)</f>
        <v>3772910</v>
      </c>
      <c r="I959" s="69">
        <f>SUMIF('Executive Pay Breakdown'!W:W,$B959,'Executive Pay Breakdown'!Y:Y)</f>
        <v>5226840</v>
      </c>
      <c r="J959" s="69">
        <f>SUMIF('Executive Pay Breakdown'!AA:AA,$B959,'Executive Pay Breakdown'!AC:AC)</f>
        <v>6553425</v>
      </c>
      <c r="K959" s="118"/>
      <c r="L959" s="212"/>
      <c r="M959" s="87"/>
      <c r="N959" s="230"/>
      <c r="O959" s="120" t="str">
        <f>MATCH(C959,'Key Findings'!B:B,0)</f>
        <v>#N/A</v>
      </c>
    </row>
    <row r="960" hidden="1">
      <c r="A960" s="81"/>
      <c r="B960" s="87" t="s">
        <v>1163</v>
      </c>
      <c r="C960" s="87" t="s">
        <v>1162</v>
      </c>
      <c r="D960" s="89">
        <f>SUMIF('Executive Pay Breakdown'!K:K,$B960,'Executive Pay Breakdown'!M:M)+SUMIF('Executive Pay Breakdown'!O:O,$B960,'Executive Pay Breakdown'!Q:Q)+SUMIF('Executive Pay Breakdown'!S:S,$B960,'Executive Pay Breakdown'!U:U)+SUMIF('Executive Pay Breakdown'!W:W,$B960,'Executive Pay Breakdown'!Y:Y)+SUMIF('Executive Pay Breakdown'!AA:AA,$B960,'Executive Pay Breakdown'!AC:AC)</f>
        <v>58332200</v>
      </c>
      <c r="E960" s="109"/>
      <c r="F960" s="69">
        <f>SUMIF('Executive Pay Breakdown'!K:K,$B960,'Executive Pay Breakdown'!M:M)</f>
        <v>9020862</v>
      </c>
      <c r="G960" s="69">
        <f>SUMIF('Executive Pay Breakdown'!O:O,$B960,'Executive Pay Breakdown'!Q:Q)</f>
        <v>13059751</v>
      </c>
      <c r="H960" s="69">
        <f>SUMIF('Executive Pay Breakdown'!S:S,$B960,'Executive Pay Breakdown'!U:U)</f>
        <v>13995092</v>
      </c>
      <c r="I960" s="69">
        <f>SUMIF('Executive Pay Breakdown'!W:W,$B960,'Executive Pay Breakdown'!Y:Y)</f>
        <v>10889833</v>
      </c>
      <c r="J960" s="69">
        <f>SUMIF('Executive Pay Breakdown'!AA:AA,$B960,'Executive Pay Breakdown'!AC:AC)</f>
        <v>11366662</v>
      </c>
      <c r="K960" s="118"/>
      <c r="L960" s="212"/>
      <c r="M960" s="87"/>
      <c r="N960" s="230"/>
      <c r="O960" s="120" t="str">
        <f>MATCH(C960,'Key Findings'!B:B,0)</f>
        <v>#N/A</v>
      </c>
    </row>
    <row r="961" hidden="1">
      <c r="A961" s="81"/>
      <c r="B961" s="133" t="s">
        <v>1164</v>
      </c>
      <c r="C961" s="87" t="s">
        <v>1162</v>
      </c>
      <c r="D961" s="89">
        <f>SUMIF('Executive Pay Breakdown'!K:K,$B961,'Executive Pay Breakdown'!M:M)+SUMIF('Executive Pay Breakdown'!O:O,$B961,'Executive Pay Breakdown'!Q:Q)+SUMIF('Executive Pay Breakdown'!S:S,$B961,'Executive Pay Breakdown'!U:U)+SUMIF('Executive Pay Breakdown'!W:W,$B961,'Executive Pay Breakdown'!Y:Y)+SUMIF('Executive Pay Breakdown'!AA:AA,$B961,'Executive Pay Breakdown'!AC:AC)</f>
        <v>36468687</v>
      </c>
      <c r="E961" s="109"/>
      <c r="F961" s="69">
        <f>SUMIF('Executive Pay Breakdown'!K:K,$B961,'Executive Pay Breakdown'!M:M)</f>
        <v>14619789</v>
      </c>
      <c r="G961" s="69">
        <f>SUMIF('Executive Pay Breakdown'!O:O,$B961,'Executive Pay Breakdown'!Q:Q)</f>
        <v>8154153</v>
      </c>
      <c r="H961" s="69">
        <f>SUMIF('Executive Pay Breakdown'!S:S,$B961,'Executive Pay Breakdown'!U:U)</f>
        <v>5929279</v>
      </c>
      <c r="I961" s="69">
        <f>SUMIF('Executive Pay Breakdown'!W:W,$B961,'Executive Pay Breakdown'!Y:Y)</f>
        <v>3778167</v>
      </c>
      <c r="J961" s="69">
        <f>SUMIF('Executive Pay Breakdown'!AA:AA,$B961,'Executive Pay Breakdown'!AC:AC)</f>
        <v>3987299</v>
      </c>
      <c r="K961" s="118"/>
      <c r="L961" s="212"/>
      <c r="M961" s="87"/>
      <c r="N961" s="230"/>
      <c r="O961" s="120" t="str">
        <f>MATCH(C961,'Key Findings'!B:B,0)</f>
        <v>#N/A</v>
      </c>
    </row>
    <row r="962" hidden="1">
      <c r="A962" s="81"/>
      <c r="B962" s="87" t="s">
        <v>1165</v>
      </c>
      <c r="C962" s="87" t="s">
        <v>1162</v>
      </c>
      <c r="D962" s="89">
        <f>SUMIF('Executive Pay Breakdown'!K:K,$B962,'Executive Pay Breakdown'!M:M)+SUMIF('Executive Pay Breakdown'!O:O,$B962,'Executive Pay Breakdown'!Q:Q)+SUMIF('Executive Pay Breakdown'!S:S,$B962,'Executive Pay Breakdown'!U:U)+SUMIF('Executive Pay Breakdown'!W:W,$B962,'Executive Pay Breakdown'!Y:Y)+SUMIF('Executive Pay Breakdown'!AA:AA,$B962,'Executive Pay Breakdown'!AC:AC)</f>
        <v>21202097</v>
      </c>
      <c r="E962" s="109"/>
      <c r="F962" s="69">
        <f>SUMIF('Executive Pay Breakdown'!K:K,$B962,'Executive Pay Breakdown'!M:M)</f>
        <v>4435634</v>
      </c>
      <c r="G962" s="69">
        <f>SUMIF('Executive Pay Breakdown'!O:O,$B962,'Executive Pay Breakdown'!Q:Q)</f>
        <v>4472091</v>
      </c>
      <c r="H962" s="69">
        <f>SUMIF('Executive Pay Breakdown'!S:S,$B962,'Executive Pay Breakdown'!U:U)</f>
        <v>4714660</v>
      </c>
      <c r="I962" s="69">
        <f>SUMIF('Executive Pay Breakdown'!W:W,$B962,'Executive Pay Breakdown'!Y:Y)</f>
        <v>3695542</v>
      </c>
      <c r="J962" s="69">
        <f>SUMIF('Executive Pay Breakdown'!AA:AA,$B962,'Executive Pay Breakdown'!AC:AC)</f>
        <v>3884170</v>
      </c>
      <c r="K962" s="118"/>
      <c r="L962" s="212"/>
      <c r="M962" s="87"/>
      <c r="N962" s="230"/>
      <c r="O962" s="120" t="str">
        <f>MATCH(C962,'Key Findings'!B:B,0)</f>
        <v>#N/A</v>
      </c>
    </row>
    <row r="963" hidden="1">
      <c r="A963" s="81"/>
      <c r="B963" s="133" t="s">
        <v>1166</v>
      </c>
      <c r="C963" s="87" t="s">
        <v>1162</v>
      </c>
      <c r="D963" s="89">
        <f>SUMIF('Executive Pay Breakdown'!K:K,$B963,'Executive Pay Breakdown'!M:M)+SUMIF('Executive Pay Breakdown'!O:O,$B963,'Executive Pay Breakdown'!Q:Q)+SUMIF('Executive Pay Breakdown'!S:S,$B963,'Executive Pay Breakdown'!U:U)+SUMIF('Executive Pay Breakdown'!W:W,$B963,'Executive Pay Breakdown'!Y:Y)+SUMIF('Executive Pay Breakdown'!AA:AA,$B963,'Executive Pay Breakdown'!AC:AC)</f>
        <v>18864665</v>
      </c>
      <c r="E963" s="109"/>
      <c r="F963" s="69">
        <f>SUMIF('Executive Pay Breakdown'!K:K,$B963,'Executive Pay Breakdown'!M:M)</f>
        <v>4751692</v>
      </c>
      <c r="G963" s="69">
        <f>SUMIF('Executive Pay Breakdown'!O:O,$B963,'Executive Pay Breakdown'!Q:Q)</f>
        <v>5106812</v>
      </c>
      <c r="H963" s="69">
        <f>SUMIF('Executive Pay Breakdown'!S:S,$B963,'Executive Pay Breakdown'!U:U)</f>
        <v>5286752</v>
      </c>
      <c r="I963" s="69">
        <f>SUMIF('Executive Pay Breakdown'!W:W,$B963,'Executive Pay Breakdown'!Y:Y)</f>
        <v>3719409</v>
      </c>
      <c r="J963" s="69">
        <f>SUMIF('Executive Pay Breakdown'!AA:AA,$B963,'Executive Pay Breakdown'!AC:AC)</f>
        <v>0</v>
      </c>
      <c r="K963" s="118"/>
      <c r="L963" s="212"/>
      <c r="M963" s="87"/>
      <c r="N963" s="230"/>
      <c r="O963" s="120" t="str">
        <f>MATCH(C963,'Key Findings'!B:B,0)</f>
        <v>#N/A</v>
      </c>
    </row>
    <row r="964" hidden="1">
      <c r="A964" s="81"/>
      <c r="B964" s="87" t="s">
        <v>1167</v>
      </c>
      <c r="C964" s="87" t="s">
        <v>1162</v>
      </c>
      <c r="D964" s="89">
        <f>SUMIF('Executive Pay Breakdown'!K:K,$B964,'Executive Pay Breakdown'!M:M)+SUMIF('Executive Pay Breakdown'!O:O,$B964,'Executive Pay Breakdown'!Q:Q)+SUMIF('Executive Pay Breakdown'!S:S,$B964,'Executive Pay Breakdown'!U:U)+SUMIF('Executive Pay Breakdown'!W:W,$B964,'Executive Pay Breakdown'!Y:Y)+SUMIF('Executive Pay Breakdown'!AA:AA,$B964,'Executive Pay Breakdown'!AC:AC)</f>
        <v>16443263</v>
      </c>
      <c r="E964" s="109"/>
      <c r="F964" s="69">
        <f>SUMIF('Executive Pay Breakdown'!K:K,$B964,'Executive Pay Breakdown'!M:M)</f>
        <v>4661157</v>
      </c>
      <c r="G964" s="69">
        <f>SUMIF('Executive Pay Breakdown'!O:O,$B964,'Executive Pay Breakdown'!Q:Q)</f>
        <v>4541638</v>
      </c>
      <c r="H964" s="69">
        <f>SUMIF('Executive Pay Breakdown'!S:S,$B964,'Executive Pay Breakdown'!U:U)</f>
        <v>4954489</v>
      </c>
      <c r="I964" s="69">
        <f>SUMIF('Executive Pay Breakdown'!W:W,$B964,'Executive Pay Breakdown'!Y:Y)</f>
        <v>2285979</v>
      </c>
      <c r="J964" s="69">
        <f>SUMIF('Executive Pay Breakdown'!AA:AA,$B964,'Executive Pay Breakdown'!AC:AC)</f>
        <v>0</v>
      </c>
      <c r="K964" s="118"/>
      <c r="L964" s="212"/>
      <c r="M964" s="87"/>
      <c r="N964" s="230"/>
      <c r="O964" s="120" t="str">
        <f>MATCH(C964,'Key Findings'!B:B,0)</f>
        <v>#N/A</v>
      </c>
    </row>
    <row r="965" hidden="1">
      <c r="A965" s="81"/>
      <c r="B965" s="133" t="s">
        <v>1168</v>
      </c>
      <c r="C965" s="87" t="s">
        <v>1162</v>
      </c>
      <c r="D965" s="89">
        <f>SUMIF('Executive Pay Breakdown'!K:K,$B965,'Executive Pay Breakdown'!M:M)+SUMIF('Executive Pay Breakdown'!O:O,$B965,'Executive Pay Breakdown'!Q:Q)+SUMIF('Executive Pay Breakdown'!S:S,$B965,'Executive Pay Breakdown'!U:U)+SUMIF('Executive Pay Breakdown'!W:W,$B965,'Executive Pay Breakdown'!Y:Y)+SUMIF('Executive Pay Breakdown'!AA:AA,$B965,'Executive Pay Breakdown'!AC:AC)</f>
        <v>12660057</v>
      </c>
      <c r="E965" s="109"/>
      <c r="F965" s="69">
        <f>SUMIF('Executive Pay Breakdown'!K:K,$B965,'Executive Pay Breakdown'!M:M)</f>
        <v>0</v>
      </c>
      <c r="G965" s="69">
        <f>SUMIF('Executive Pay Breakdown'!O:O,$B965,'Executive Pay Breakdown'!Q:Q)</f>
        <v>0</v>
      </c>
      <c r="H965" s="69">
        <f>SUMIF('Executive Pay Breakdown'!S:S,$B965,'Executive Pay Breakdown'!U:U)</f>
        <v>4874550</v>
      </c>
      <c r="I965" s="69">
        <f>SUMIF('Executive Pay Breakdown'!W:W,$B965,'Executive Pay Breakdown'!Y:Y)</f>
        <v>3779711</v>
      </c>
      <c r="J965" s="69">
        <f>SUMIF('Executive Pay Breakdown'!AA:AA,$B965,'Executive Pay Breakdown'!AC:AC)</f>
        <v>4005796</v>
      </c>
      <c r="K965" s="118"/>
      <c r="L965" s="212"/>
      <c r="M965" s="87"/>
      <c r="N965" s="87"/>
      <c r="O965" s="120" t="str">
        <f>MATCH(C965,'Key Findings'!B:B,0)</f>
        <v>#N/A</v>
      </c>
    </row>
    <row r="966" hidden="1">
      <c r="A966" s="81"/>
      <c r="B966" s="87" t="s">
        <v>1169</v>
      </c>
      <c r="C966" s="87" t="s">
        <v>1162</v>
      </c>
      <c r="D966" s="89">
        <f>SUMIF('Executive Pay Breakdown'!K:K,$B966,'Executive Pay Breakdown'!M:M)+SUMIF('Executive Pay Breakdown'!O:O,$B966,'Executive Pay Breakdown'!Q:Q)+SUMIF('Executive Pay Breakdown'!S:S,$B966,'Executive Pay Breakdown'!U:U)+SUMIF('Executive Pay Breakdown'!W:W,$B966,'Executive Pay Breakdown'!Y:Y)+SUMIF('Executive Pay Breakdown'!AA:AA,$B966,'Executive Pay Breakdown'!AC:AC)</f>
        <v>3714397</v>
      </c>
      <c r="E966" s="109"/>
      <c r="F966" s="69">
        <f>SUMIF('Executive Pay Breakdown'!K:K,$B966,'Executive Pay Breakdown'!M:M)</f>
        <v>3714397</v>
      </c>
      <c r="G966" s="69">
        <f>SUMIF('Executive Pay Breakdown'!O:O,$B966,'Executive Pay Breakdown'!Q:Q)</f>
        <v>0</v>
      </c>
      <c r="H966" s="69">
        <f>SUMIF('Executive Pay Breakdown'!S:S,$B966,'Executive Pay Breakdown'!U:U)</f>
        <v>0</v>
      </c>
      <c r="I966" s="69">
        <f>SUMIF('Executive Pay Breakdown'!W:W,$B966,'Executive Pay Breakdown'!Y:Y)</f>
        <v>0</v>
      </c>
      <c r="J966" s="69">
        <f>SUMIF('Executive Pay Breakdown'!AA:AA,$B966,'Executive Pay Breakdown'!AC:AC)</f>
        <v>0</v>
      </c>
      <c r="K966" s="118"/>
      <c r="L966" s="212"/>
      <c r="M966" s="87"/>
      <c r="N966" s="230"/>
      <c r="O966" s="120" t="str">
        <f>MATCH(C966,'Key Findings'!B:B,0)</f>
        <v>#N/A</v>
      </c>
    </row>
    <row r="967" hidden="1">
      <c r="A967" s="62"/>
      <c r="B967" s="143" t="s">
        <v>1170</v>
      </c>
      <c r="C967" s="87" t="s">
        <v>1171</v>
      </c>
      <c r="D967" s="89">
        <f>SUMIF('Executive Pay Breakdown'!K:K,$B967,'Executive Pay Breakdown'!M:M)+SUMIF('Executive Pay Breakdown'!O:O,$B967,'Executive Pay Breakdown'!Q:Q)+SUMIF('Executive Pay Breakdown'!S:S,$B967,'Executive Pay Breakdown'!U:U)+SUMIF('Executive Pay Breakdown'!W:W,$B967,'Executive Pay Breakdown'!Y:Y)+SUMIF('Executive Pay Breakdown'!AA:AA,$B967,'Executive Pay Breakdown'!AC:AC)</f>
        <v>102465958</v>
      </c>
      <c r="E967" s="109"/>
      <c r="F967" s="69">
        <f>SUMIF('Executive Pay Breakdown'!K:K,$B967,'Executive Pay Breakdown'!M:M)</f>
        <v>14637726</v>
      </c>
      <c r="G967" s="69">
        <f>SUMIF('Executive Pay Breakdown'!O:O,$B967,'Executive Pay Breakdown'!Q:Q)</f>
        <v>20635260</v>
      </c>
      <c r="H967" s="69">
        <f>SUMIF('Executive Pay Breakdown'!S:S,$B967,'Executive Pay Breakdown'!U:U)</f>
        <v>30397771</v>
      </c>
      <c r="I967" s="69">
        <f>SUMIF('Executive Pay Breakdown'!W:W,$B967,'Executive Pay Breakdown'!Y:Y)</f>
        <v>26788251</v>
      </c>
      <c r="J967" s="69">
        <f>SUMIF('Executive Pay Breakdown'!AA:AA,$B967,'Executive Pay Breakdown'!AC:AC)</f>
        <v>10006950</v>
      </c>
      <c r="K967" s="118"/>
      <c r="L967" s="212"/>
      <c r="M967" s="87"/>
      <c r="N967" s="230"/>
      <c r="O967" s="120" t="str">
        <f>MATCH(C967,'Key Findings'!B:B,0)</f>
        <v>#N/A</v>
      </c>
    </row>
    <row r="968" hidden="1">
      <c r="A968" s="62"/>
      <c r="B968" s="143" t="s">
        <v>1172</v>
      </c>
      <c r="C968" s="87" t="s">
        <v>1171</v>
      </c>
      <c r="D968" s="89">
        <f>SUMIF('Executive Pay Breakdown'!K:K,$B968,'Executive Pay Breakdown'!M:M)+SUMIF('Executive Pay Breakdown'!O:O,$B968,'Executive Pay Breakdown'!Q:Q)+SUMIF('Executive Pay Breakdown'!S:S,$B968,'Executive Pay Breakdown'!U:U)+SUMIF('Executive Pay Breakdown'!W:W,$B968,'Executive Pay Breakdown'!Y:Y)+SUMIF('Executive Pay Breakdown'!AA:AA,$B968,'Executive Pay Breakdown'!AC:AC)</f>
        <v>31480441</v>
      </c>
      <c r="E968" s="109"/>
      <c r="F968" s="69">
        <f>SUMIF('Executive Pay Breakdown'!K:K,$B968,'Executive Pay Breakdown'!M:M)</f>
        <v>5058078</v>
      </c>
      <c r="G968" s="69">
        <f>SUMIF('Executive Pay Breakdown'!O:O,$B968,'Executive Pay Breakdown'!Q:Q)</f>
        <v>7163022</v>
      </c>
      <c r="H968" s="69">
        <f>SUMIF('Executive Pay Breakdown'!S:S,$B968,'Executive Pay Breakdown'!U:U)</f>
        <v>6134778</v>
      </c>
      <c r="I968" s="69">
        <f>SUMIF('Executive Pay Breakdown'!W:W,$B968,'Executive Pay Breakdown'!Y:Y)</f>
        <v>6323179</v>
      </c>
      <c r="J968" s="69">
        <f>SUMIF('Executive Pay Breakdown'!AA:AA,$B968,'Executive Pay Breakdown'!AC:AC)</f>
        <v>6801384</v>
      </c>
      <c r="K968" s="118"/>
      <c r="L968" s="212"/>
      <c r="M968" s="87"/>
      <c r="N968" s="230"/>
      <c r="O968" s="120" t="str">
        <f>MATCH(C968,'Key Findings'!B:B,0)</f>
        <v>#N/A</v>
      </c>
    </row>
    <row r="969" hidden="1">
      <c r="A969" s="62"/>
      <c r="B969" s="143" t="s">
        <v>1173</v>
      </c>
      <c r="C969" s="87" t="s">
        <v>1171</v>
      </c>
      <c r="D969" s="89">
        <f>SUMIF('Executive Pay Breakdown'!K:K,$B969,'Executive Pay Breakdown'!M:M)+SUMIF('Executive Pay Breakdown'!O:O,$B969,'Executive Pay Breakdown'!Q:Q)+SUMIF('Executive Pay Breakdown'!S:S,$B969,'Executive Pay Breakdown'!U:U)+SUMIF('Executive Pay Breakdown'!W:W,$B969,'Executive Pay Breakdown'!Y:Y)+SUMIF('Executive Pay Breakdown'!AA:AA,$B969,'Executive Pay Breakdown'!AC:AC)</f>
        <v>31043482</v>
      </c>
      <c r="E969" s="109"/>
      <c r="F969" s="69">
        <f>SUMIF('Executive Pay Breakdown'!K:K,$B969,'Executive Pay Breakdown'!M:M)</f>
        <v>4148211</v>
      </c>
      <c r="G969" s="69">
        <f>SUMIF('Executive Pay Breakdown'!O:O,$B969,'Executive Pay Breakdown'!Q:Q)</f>
        <v>6046102</v>
      </c>
      <c r="H969" s="69">
        <f>SUMIF('Executive Pay Breakdown'!S:S,$B969,'Executive Pay Breakdown'!U:U)</f>
        <v>8556247</v>
      </c>
      <c r="I969" s="69">
        <f>SUMIF('Executive Pay Breakdown'!W:W,$B969,'Executive Pay Breakdown'!Y:Y)</f>
        <v>7761079</v>
      </c>
      <c r="J969" s="69">
        <f>SUMIF('Executive Pay Breakdown'!AA:AA,$B969,'Executive Pay Breakdown'!AC:AC)</f>
        <v>4531843</v>
      </c>
      <c r="K969" s="118"/>
      <c r="L969" s="212"/>
      <c r="M969" s="87"/>
      <c r="N969" s="230"/>
      <c r="O969" s="120" t="str">
        <f>MATCH(C969,'Key Findings'!B:B,0)</f>
        <v>#N/A</v>
      </c>
    </row>
    <row r="970" hidden="1">
      <c r="A970" s="62"/>
      <c r="B970" s="143" t="s">
        <v>1174</v>
      </c>
      <c r="C970" s="87" t="s">
        <v>1171</v>
      </c>
      <c r="D970" s="89">
        <f>SUMIF('Executive Pay Breakdown'!K:K,$B970,'Executive Pay Breakdown'!M:M)+SUMIF('Executive Pay Breakdown'!O:O,$B970,'Executive Pay Breakdown'!Q:Q)+SUMIF('Executive Pay Breakdown'!S:S,$B970,'Executive Pay Breakdown'!U:U)+SUMIF('Executive Pay Breakdown'!W:W,$B970,'Executive Pay Breakdown'!Y:Y)+SUMIF('Executive Pay Breakdown'!AA:AA,$B970,'Executive Pay Breakdown'!AC:AC)</f>
        <v>28257069</v>
      </c>
      <c r="E970" s="109"/>
      <c r="F970" s="69">
        <f>SUMIF('Executive Pay Breakdown'!K:K,$B970,'Executive Pay Breakdown'!M:M)</f>
        <v>4996051</v>
      </c>
      <c r="G970" s="69">
        <f>SUMIF('Executive Pay Breakdown'!O:O,$B970,'Executive Pay Breakdown'!Q:Q)</f>
        <v>5631206</v>
      </c>
      <c r="H970" s="69">
        <f>SUMIF('Executive Pay Breakdown'!S:S,$B970,'Executive Pay Breakdown'!U:U)</f>
        <v>6971868</v>
      </c>
      <c r="I970" s="69">
        <f>SUMIF('Executive Pay Breakdown'!W:W,$B970,'Executive Pay Breakdown'!Y:Y)</f>
        <v>6508152</v>
      </c>
      <c r="J970" s="69">
        <f>SUMIF('Executive Pay Breakdown'!AA:AA,$B970,'Executive Pay Breakdown'!AC:AC)</f>
        <v>4149792</v>
      </c>
      <c r="K970" s="118"/>
      <c r="L970" s="212"/>
      <c r="M970" s="87"/>
      <c r="N970" s="230"/>
      <c r="O970" s="120" t="str">
        <f>MATCH(C970,'Key Findings'!B:B,0)</f>
        <v>#N/A</v>
      </c>
    </row>
    <row r="971" hidden="1">
      <c r="A971" s="62"/>
      <c r="B971" s="143" t="s">
        <v>1175</v>
      </c>
      <c r="C971" s="87" t="s">
        <v>1171</v>
      </c>
      <c r="D971" s="89">
        <f>SUMIF('Executive Pay Breakdown'!K:K,$B971,'Executive Pay Breakdown'!M:M)+SUMIF('Executive Pay Breakdown'!O:O,$B971,'Executive Pay Breakdown'!Q:Q)+SUMIF('Executive Pay Breakdown'!S:S,$B971,'Executive Pay Breakdown'!U:U)+SUMIF('Executive Pay Breakdown'!W:W,$B971,'Executive Pay Breakdown'!Y:Y)+SUMIF('Executive Pay Breakdown'!AA:AA,$B971,'Executive Pay Breakdown'!AC:AC)</f>
        <v>25733146</v>
      </c>
      <c r="E971" s="109"/>
      <c r="F971" s="69">
        <f>SUMIF('Executive Pay Breakdown'!K:K,$B971,'Executive Pay Breakdown'!M:M)</f>
        <v>0</v>
      </c>
      <c r="G971" s="69">
        <f>SUMIF('Executive Pay Breakdown'!O:O,$B971,'Executive Pay Breakdown'!Q:Q)</f>
        <v>0</v>
      </c>
      <c r="H971" s="69">
        <f>SUMIF('Executive Pay Breakdown'!S:S,$B971,'Executive Pay Breakdown'!U:U)</f>
        <v>0</v>
      </c>
      <c r="I971" s="69">
        <f>SUMIF('Executive Pay Breakdown'!W:W,$B971,'Executive Pay Breakdown'!Y:Y)</f>
        <v>4313240</v>
      </c>
      <c r="J971" s="69">
        <f>SUMIF('Executive Pay Breakdown'!AA:AA,$B971,'Executive Pay Breakdown'!AC:AC)</f>
        <v>21419906</v>
      </c>
      <c r="K971" s="118"/>
      <c r="L971" s="212"/>
      <c r="M971" s="87"/>
      <c r="N971" s="230"/>
      <c r="O971" s="120" t="str">
        <f>MATCH(C971,'Key Findings'!B:B,0)</f>
        <v>#N/A</v>
      </c>
    </row>
    <row r="972" hidden="1">
      <c r="A972" s="62"/>
      <c r="B972" s="143" t="s">
        <v>1176</v>
      </c>
      <c r="C972" s="87" t="s">
        <v>1171</v>
      </c>
      <c r="D972" s="89">
        <f>SUMIF('Executive Pay Breakdown'!K:K,$B972,'Executive Pay Breakdown'!M:M)+SUMIF('Executive Pay Breakdown'!O:O,$B972,'Executive Pay Breakdown'!Q:Q)+SUMIF('Executive Pay Breakdown'!S:S,$B972,'Executive Pay Breakdown'!U:U)+SUMIF('Executive Pay Breakdown'!W:W,$B972,'Executive Pay Breakdown'!Y:Y)+SUMIF('Executive Pay Breakdown'!AA:AA,$B972,'Executive Pay Breakdown'!AC:AC)</f>
        <v>12493622</v>
      </c>
      <c r="E972" s="109"/>
      <c r="F972" s="69">
        <f>SUMIF('Executive Pay Breakdown'!K:K,$B972,'Executive Pay Breakdown'!M:M)</f>
        <v>0</v>
      </c>
      <c r="G972" s="69">
        <f>SUMIF('Executive Pay Breakdown'!O:O,$B972,'Executive Pay Breakdown'!Q:Q)</f>
        <v>0</v>
      </c>
      <c r="H972" s="69">
        <f>SUMIF('Executive Pay Breakdown'!S:S,$B972,'Executive Pay Breakdown'!U:U)</f>
        <v>6502366</v>
      </c>
      <c r="I972" s="69">
        <f>SUMIF('Executive Pay Breakdown'!W:W,$B972,'Executive Pay Breakdown'!Y:Y)</f>
        <v>5991256</v>
      </c>
      <c r="J972" s="69">
        <f>SUMIF('Executive Pay Breakdown'!AA:AA,$B972,'Executive Pay Breakdown'!AC:AC)</f>
        <v>0</v>
      </c>
      <c r="K972" s="118"/>
      <c r="L972" s="212"/>
      <c r="M972" s="87"/>
      <c r="N972" s="87"/>
      <c r="O972" s="120" t="str">
        <f>MATCH(C972,'Key Findings'!B:B,0)</f>
        <v>#N/A</v>
      </c>
    </row>
    <row r="973" hidden="1">
      <c r="A973" s="62"/>
      <c r="B973" s="143" t="s">
        <v>1177</v>
      </c>
      <c r="C973" s="87" t="s">
        <v>1171</v>
      </c>
      <c r="D973" s="89">
        <f>SUMIF('Executive Pay Breakdown'!K:K,$B973,'Executive Pay Breakdown'!M:M)+SUMIF('Executive Pay Breakdown'!O:O,$B973,'Executive Pay Breakdown'!Q:Q)+SUMIF('Executive Pay Breakdown'!S:S,$B973,'Executive Pay Breakdown'!U:U)+SUMIF('Executive Pay Breakdown'!W:W,$B973,'Executive Pay Breakdown'!Y:Y)+SUMIF('Executive Pay Breakdown'!AA:AA,$B973,'Executive Pay Breakdown'!AC:AC)</f>
        <v>6465633</v>
      </c>
      <c r="E973" s="109"/>
      <c r="F973" s="69">
        <f>SUMIF('Executive Pay Breakdown'!K:K,$B973,'Executive Pay Breakdown'!M:M)</f>
        <v>6465633</v>
      </c>
      <c r="G973" s="69">
        <f>SUMIF('Executive Pay Breakdown'!O:O,$B973,'Executive Pay Breakdown'!Q:Q)</f>
        <v>0</v>
      </c>
      <c r="H973" s="69">
        <f>SUMIF('Executive Pay Breakdown'!S:S,$B973,'Executive Pay Breakdown'!U:U)</f>
        <v>0</v>
      </c>
      <c r="I973" s="69">
        <f>SUMIF('Executive Pay Breakdown'!W:W,$B973,'Executive Pay Breakdown'!Y:Y)</f>
        <v>0</v>
      </c>
      <c r="J973" s="69">
        <f>SUMIF('Executive Pay Breakdown'!AA:AA,$B973,'Executive Pay Breakdown'!AC:AC)</f>
        <v>0</v>
      </c>
      <c r="K973" s="118"/>
      <c r="L973" s="212"/>
      <c r="M973" s="87"/>
      <c r="N973" s="230"/>
      <c r="O973" s="120" t="str">
        <f>MATCH(C973,'Key Findings'!B:B,0)</f>
        <v>#N/A</v>
      </c>
    </row>
    <row r="974" hidden="1">
      <c r="A974" s="62"/>
      <c r="B974" s="143" t="s">
        <v>1178</v>
      </c>
      <c r="C974" s="87" t="s">
        <v>1171</v>
      </c>
      <c r="D974" s="89">
        <f>SUMIF('Executive Pay Breakdown'!K:K,$B974,'Executive Pay Breakdown'!M:M)+SUMIF('Executive Pay Breakdown'!O:O,$B974,'Executive Pay Breakdown'!Q:Q)+SUMIF('Executive Pay Breakdown'!S:S,$B974,'Executive Pay Breakdown'!U:U)+SUMIF('Executive Pay Breakdown'!W:W,$B974,'Executive Pay Breakdown'!Y:Y)+SUMIF('Executive Pay Breakdown'!AA:AA,$B974,'Executive Pay Breakdown'!AC:AC)</f>
        <v>5157924</v>
      </c>
      <c r="E974" s="109"/>
      <c r="F974" s="69">
        <f>SUMIF('Executive Pay Breakdown'!K:K,$B974,'Executive Pay Breakdown'!M:M)</f>
        <v>0</v>
      </c>
      <c r="G974" s="69">
        <f>SUMIF('Executive Pay Breakdown'!O:O,$B974,'Executive Pay Breakdown'!Q:Q)</f>
        <v>5157924</v>
      </c>
      <c r="H974" s="69">
        <f>SUMIF('Executive Pay Breakdown'!S:S,$B974,'Executive Pay Breakdown'!U:U)</f>
        <v>0</v>
      </c>
      <c r="I974" s="69">
        <f>SUMIF('Executive Pay Breakdown'!W:W,$B974,'Executive Pay Breakdown'!Y:Y)</f>
        <v>0</v>
      </c>
      <c r="J974" s="69">
        <f>SUMIF('Executive Pay Breakdown'!AA:AA,$B974,'Executive Pay Breakdown'!AC:AC)</f>
        <v>0</v>
      </c>
      <c r="K974" s="118"/>
      <c r="L974" s="212"/>
      <c r="M974" s="212"/>
      <c r="N974" s="87"/>
      <c r="O974" s="120" t="str">
        <f>MATCH(C974,'Key Findings'!B:B,0)</f>
        <v>#N/A</v>
      </c>
    </row>
    <row r="975" hidden="1">
      <c r="A975" s="62"/>
      <c r="B975" s="127" t="s">
        <v>1179</v>
      </c>
      <c r="C975" s="87" t="s">
        <v>1180</v>
      </c>
      <c r="D975" s="89">
        <f>SUMIF('Executive Pay Breakdown'!K:K,$B975,'Executive Pay Breakdown'!M:M)+SUMIF('Executive Pay Breakdown'!O:O,$B975,'Executive Pay Breakdown'!Q:Q)+SUMIF('Executive Pay Breakdown'!S:S,$B975,'Executive Pay Breakdown'!U:U)+SUMIF('Executive Pay Breakdown'!W:W,$B975,'Executive Pay Breakdown'!Y:Y)+SUMIF('Executive Pay Breakdown'!AA:AA,$B975,'Executive Pay Breakdown'!AC:AC)</f>
        <v>65458285</v>
      </c>
      <c r="E975" s="109"/>
      <c r="F975" s="69">
        <f>SUMIF('Executive Pay Breakdown'!K:K,$B975,'Executive Pay Breakdown'!M:M)</f>
        <v>21621253</v>
      </c>
      <c r="G975" s="69">
        <f>SUMIF('Executive Pay Breakdown'!O:O,$B975,'Executive Pay Breakdown'!Q:Q)</f>
        <v>19229466</v>
      </c>
      <c r="H975" s="69">
        <f>SUMIF('Executive Pay Breakdown'!S:S,$B975,'Executive Pay Breakdown'!U:U)</f>
        <v>18998095</v>
      </c>
      <c r="I975" s="69">
        <f>SUMIF('Executive Pay Breakdown'!W:W,$B975,'Executive Pay Breakdown'!Y:Y)</f>
        <v>5609471</v>
      </c>
      <c r="J975" s="69">
        <f>SUMIF('Executive Pay Breakdown'!AA:AA,$B975,'Executive Pay Breakdown'!AC:AC)</f>
        <v>0</v>
      </c>
      <c r="K975" s="118"/>
      <c r="L975" s="212"/>
      <c r="M975" s="87"/>
      <c r="N975" s="87"/>
      <c r="O975" s="120" t="str">
        <f>MATCH(C975,'Key Findings'!B:B,0)</f>
        <v>#N/A</v>
      </c>
    </row>
    <row r="976" hidden="1">
      <c r="A976" s="62"/>
      <c r="B976" s="127" t="s">
        <v>1181</v>
      </c>
      <c r="C976" s="87" t="s">
        <v>1180</v>
      </c>
      <c r="D976" s="89">
        <f>SUMIF('Executive Pay Breakdown'!K:K,$B976,'Executive Pay Breakdown'!M:M)+SUMIF('Executive Pay Breakdown'!O:O,$B976,'Executive Pay Breakdown'!Q:Q)+SUMIF('Executive Pay Breakdown'!S:S,$B976,'Executive Pay Breakdown'!U:U)+SUMIF('Executive Pay Breakdown'!W:W,$B976,'Executive Pay Breakdown'!Y:Y)+SUMIF('Executive Pay Breakdown'!AA:AA,$B976,'Executive Pay Breakdown'!AC:AC)</f>
        <v>49812102</v>
      </c>
      <c r="E976" s="109"/>
      <c r="F976" s="69">
        <f>SUMIF('Executive Pay Breakdown'!K:K,$B976,'Executive Pay Breakdown'!M:M)</f>
        <v>8402698</v>
      </c>
      <c r="G976" s="69">
        <f>SUMIF('Executive Pay Breakdown'!O:O,$B976,'Executive Pay Breakdown'!Q:Q)</f>
        <v>6459795</v>
      </c>
      <c r="H976" s="69">
        <f>SUMIF('Executive Pay Breakdown'!S:S,$B976,'Executive Pay Breakdown'!U:U)</f>
        <v>5841755</v>
      </c>
      <c r="I976" s="69">
        <f>SUMIF('Executive Pay Breakdown'!W:W,$B976,'Executive Pay Breakdown'!Y:Y)</f>
        <v>29107854</v>
      </c>
      <c r="J976" s="69">
        <f>SUMIF('Executive Pay Breakdown'!AA:AA,$B976,'Executive Pay Breakdown'!AC:AC)</f>
        <v>0</v>
      </c>
      <c r="K976" s="118"/>
      <c r="L976" s="212"/>
      <c r="M976" s="87"/>
      <c r="N976" s="230"/>
      <c r="O976" s="120" t="str">
        <f>MATCH(C976,'Key Findings'!B:B,0)</f>
        <v>#N/A</v>
      </c>
    </row>
    <row r="977" hidden="1">
      <c r="A977" s="62"/>
      <c r="B977" s="127" t="s">
        <v>1182</v>
      </c>
      <c r="C977" s="87" t="s">
        <v>1180</v>
      </c>
      <c r="D977" s="89">
        <f>SUMIF('Executive Pay Breakdown'!K:K,$B977,'Executive Pay Breakdown'!M:M)+SUMIF('Executive Pay Breakdown'!O:O,$B977,'Executive Pay Breakdown'!Q:Q)+SUMIF('Executive Pay Breakdown'!S:S,$B977,'Executive Pay Breakdown'!U:U)+SUMIF('Executive Pay Breakdown'!W:W,$B977,'Executive Pay Breakdown'!Y:Y)+SUMIF('Executive Pay Breakdown'!AA:AA,$B977,'Executive Pay Breakdown'!AC:AC)</f>
        <v>31615347</v>
      </c>
      <c r="E977" s="109"/>
      <c r="F977" s="69">
        <f>SUMIF('Executive Pay Breakdown'!K:K,$B977,'Executive Pay Breakdown'!M:M)</f>
        <v>9236453</v>
      </c>
      <c r="G977" s="69">
        <f>SUMIF('Executive Pay Breakdown'!O:O,$B977,'Executive Pay Breakdown'!Q:Q)</f>
        <v>6552597</v>
      </c>
      <c r="H977" s="69">
        <f>SUMIF('Executive Pay Breakdown'!S:S,$B977,'Executive Pay Breakdown'!U:U)</f>
        <v>7776911</v>
      </c>
      <c r="I977" s="69">
        <f>SUMIF('Executive Pay Breakdown'!W:W,$B977,'Executive Pay Breakdown'!Y:Y)</f>
        <v>8049386</v>
      </c>
      <c r="J977" s="69">
        <f>SUMIF('Executive Pay Breakdown'!AA:AA,$B977,'Executive Pay Breakdown'!AC:AC)</f>
        <v>0</v>
      </c>
      <c r="K977" s="118"/>
      <c r="L977" s="212"/>
      <c r="M977" s="87"/>
      <c r="N977" s="230"/>
      <c r="O977" s="120" t="str">
        <f>MATCH(C977,'Key Findings'!B:B,0)</f>
        <v>#N/A</v>
      </c>
    </row>
    <row r="978" hidden="1">
      <c r="A978" s="62"/>
      <c r="B978" s="127" t="s">
        <v>1183</v>
      </c>
      <c r="C978" s="87" t="s">
        <v>1180</v>
      </c>
      <c r="D978" s="89">
        <f>SUMIF('Executive Pay Breakdown'!K:K,$B978,'Executive Pay Breakdown'!M:M)+SUMIF('Executive Pay Breakdown'!O:O,$B978,'Executive Pay Breakdown'!Q:Q)+SUMIF('Executive Pay Breakdown'!S:S,$B978,'Executive Pay Breakdown'!U:U)+SUMIF('Executive Pay Breakdown'!W:W,$B978,'Executive Pay Breakdown'!Y:Y)+SUMIF('Executive Pay Breakdown'!AA:AA,$B978,'Executive Pay Breakdown'!AC:AC)</f>
        <v>25961831</v>
      </c>
      <c r="E978" s="109"/>
      <c r="F978" s="69">
        <f>SUMIF('Executive Pay Breakdown'!K:K,$B978,'Executive Pay Breakdown'!M:M)</f>
        <v>0</v>
      </c>
      <c r="G978" s="69">
        <f>SUMIF('Executive Pay Breakdown'!O:O,$B978,'Executive Pay Breakdown'!Q:Q)</f>
        <v>0</v>
      </c>
      <c r="H978" s="69">
        <f>SUMIF('Executive Pay Breakdown'!S:S,$B978,'Executive Pay Breakdown'!U:U)</f>
        <v>0</v>
      </c>
      <c r="I978" s="69">
        <f>SUMIF('Executive Pay Breakdown'!W:W,$B978,'Executive Pay Breakdown'!Y:Y)</f>
        <v>0</v>
      </c>
      <c r="J978" s="69">
        <f>SUMIF('Executive Pay Breakdown'!AA:AA,$B978,'Executive Pay Breakdown'!AC:AC)</f>
        <v>25961831</v>
      </c>
      <c r="K978" s="118"/>
      <c r="L978" s="212"/>
      <c r="M978" s="87"/>
      <c r="N978" s="230"/>
      <c r="O978" s="120" t="str">
        <f>MATCH(C978,'Key Findings'!B:B,0)</f>
        <v>#N/A</v>
      </c>
    </row>
    <row r="979" hidden="1">
      <c r="A979" s="62"/>
      <c r="B979" s="127" t="s">
        <v>1184</v>
      </c>
      <c r="C979" s="87" t="s">
        <v>1180</v>
      </c>
      <c r="D979" s="89">
        <f>SUMIF('Executive Pay Breakdown'!K:K,$B979,'Executive Pay Breakdown'!M:M)+SUMIF('Executive Pay Breakdown'!O:O,$B979,'Executive Pay Breakdown'!Q:Q)+SUMIF('Executive Pay Breakdown'!S:S,$B979,'Executive Pay Breakdown'!U:U)+SUMIF('Executive Pay Breakdown'!W:W,$B979,'Executive Pay Breakdown'!Y:Y)+SUMIF('Executive Pay Breakdown'!AA:AA,$B979,'Executive Pay Breakdown'!AC:AC)</f>
        <v>25853801</v>
      </c>
      <c r="E979" s="109"/>
      <c r="F979" s="69">
        <f>SUMIF('Executive Pay Breakdown'!K:K,$B979,'Executive Pay Breakdown'!M:M)</f>
        <v>9037214</v>
      </c>
      <c r="G979" s="69">
        <f>SUMIF('Executive Pay Breakdown'!O:O,$B979,'Executive Pay Breakdown'!Q:Q)</f>
        <v>6516679</v>
      </c>
      <c r="H979" s="69">
        <f>SUMIF('Executive Pay Breakdown'!S:S,$B979,'Executive Pay Breakdown'!U:U)</f>
        <v>7180355</v>
      </c>
      <c r="I979" s="69">
        <f>SUMIF('Executive Pay Breakdown'!W:W,$B979,'Executive Pay Breakdown'!Y:Y)</f>
        <v>3119553</v>
      </c>
      <c r="J979" s="69">
        <f>SUMIF('Executive Pay Breakdown'!AA:AA,$B979,'Executive Pay Breakdown'!AC:AC)</f>
        <v>0</v>
      </c>
      <c r="K979" s="118"/>
      <c r="L979" s="212"/>
      <c r="M979" s="87"/>
      <c r="N979" s="230"/>
      <c r="O979" s="120" t="str">
        <f>MATCH(C979,'Key Findings'!B:B,0)</f>
        <v>#N/A</v>
      </c>
    </row>
    <row r="980" hidden="1">
      <c r="A980" s="62"/>
      <c r="B980" s="127" t="s">
        <v>1185</v>
      </c>
      <c r="C980" s="87" t="s">
        <v>1180</v>
      </c>
      <c r="D980" s="89">
        <f>SUMIF('Executive Pay Breakdown'!K:K,$B980,'Executive Pay Breakdown'!M:M)+SUMIF('Executive Pay Breakdown'!O:O,$B980,'Executive Pay Breakdown'!Q:Q)+SUMIF('Executive Pay Breakdown'!S:S,$B980,'Executive Pay Breakdown'!U:U)+SUMIF('Executive Pay Breakdown'!W:W,$B980,'Executive Pay Breakdown'!Y:Y)+SUMIF('Executive Pay Breakdown'!AA:AA,$B980,'Executive Pay Breakdown'!AC:AC)</f>
        <v>18010268</v>
      </c>
      <c r="E980" s="109"/>
      <c r="F980" s="69">
        <f>SUMIF('Executive Pay Breakdown'!K:K,$B980,'Executive Pay Breakdown'!M:M)</f>
        <v>0</v>
      </c>
      <c r="G980" s="69">
        <f>SUMIF('Executive Pay Breakdown'!O:O,$B980,'Executive Pay Breakdown'!Q:Q)</f>
        <v>0</v>
      </c>
      <c r="H980" s="69">
        <f>SUMIF('Executive Pay Breakdown'!S:S,$B980,'Executive Pay Breakdown'!U:U)</f>
        <v>0</v>
      </c>
      <c r="I980" s="69">
        <f>SUMIF('Executive Pay Breakdown'!W:W,$B980,'Executive Pay Breakdown'!Y:Y)</f>
        <v>7672442</v>
      </c>
      <c r="J980" s="69">
        <f>SUMIF('Executive Pay Breakdown'!AA:AA,$B980,'Executive Pay Breakdown'!AC:AC)</f>
        <v>10337826</v>
      </c>
      <c r="K980" s="118"/>
      <c r="L980" s="212"/>
      <c r="M980" s="87"/>
      <c r="N980" s="87"/>
      <c r="O980" s="120" t="str">
        <f>MATCH(C980,'Key Findings'!B:B,0)</f>
        <v>#N/A</v>
      </c>
    </row>
    <row r="981" hidden="1">
      <c r="A981" s="62"/>
      <c r="B981" s="127" t="s">
        <v>1186</v>
      </c>
      <c r="C981" s="87" t="s">
        <v>1180</v>
      </c>
      <c r="D981" s="89">
        <f>SUMIF('Executive Pay Breakdown'!K:K,$B981,'Executive Pay Breakdown'!M:M)+SUMIF('Executive Pay Breakdown'!O:O,$B981,'Executive Pay Breakdown'!Q:Q)+SUMIF('Executive Pay Breakdown'!S:S,$B981,'Executive Pay Breakdown'!U:U)+SUMIF('Executive Pay Breakdown'!W:W,$B981,'Executive Pay Breakdown'!Y:Y)+SUMIF('Executive Pay Breakdown'!AA:AA,$B981,'Executive Pay Breakdown'!AC:AC)</f>
        <v>16290762</v>
      </c>
      <c r="E981" s="109"/>
      <c r="F981" s="69">
        <f>SUMIF('Executive Pay Breakdown'!K:K,$B981,'Executive Pay Breakdown'!M:M)</f>
        <v>0</v>
      </c>
      <c r="G981" s="69">
        <f>SUMIF('Executive Pay Breakdown'!O:O,$B981,'Executive Pay Breakdown'!Q:Q)</f>
        <v>5590031</v>
      </c>
      <c r="H981" s="69">
        <f>SUMIF('Executive Pay Breakdown'!S:S,$B981,'Executive Pay Breakdown'!U:U)</f>
        <v>5668051</v>
      </c>
      <c r="I981" s="69">
        <f>SUMIF('Executive Pay Breakdown'!W:W,$B981,'Executive Pay Breakdown'!Y:Y)</f>
        <v>5032680</v>
      </c>
      <c r="J981" s="69">
        <f>SUMIF('Executive Pay Breakdown'!AA:AA,$B981,'Executive Pay Breakdown'!AC:AC)</f>
        <v>0</v>
      </c>
      <c r="K981" s="118"/>
      <c r="L981" s="212"/>
      <c r="M981" s="87"/>
      <c r="N981" s="87"/>
      <c r="O981" s="120" t="str">
        <f>MATCH(C981,'Key Findings'!B:B,0)</f>
        <v>#N/A</v>
      </c>
    </row>
    <row r="982" hidden="1">
      <c r="A982" s="62"/>
      <c r="B982" s="127" t="s">
        <v>1187</v>
      </c>
      <c r="C982" s="87" t="s">
        <v>1180</v>
      </c>
      <c r="D982" s="89">
        <f>SUMIF('Executive Pay Breakdown'!K:K,$B982,'Executive Pay Breakdown'!M:M)+SUMIF('Executive Pay Breakdown'!O:O,$B982,'Executive Pay Breakdown'!Q:Q)+SUMIF('Executive Pay Breakdown'!S:S,$B982,'Executive Pay Breakdown'!U:U)+SUMIF('Executive Pay Breakdown'!W:W,$B982,'Executive Pay Breakdown'!Y:Y)+SUMIF('Executive Pay Breakdown'!AA:AA,$B982,'Executive Pay Breakdown'!AC:AC)</f>
        <v>12750651</v>
      </c>
      <c r="E982" s="109"/>
      <c r="F982" s="69">
        <f>SUMIF('Executive Pay Breakdown'!K:K,$B982,'Executive Pay Breakdown'!M:M)</f>
        <v>0</v>
      </c>
      <c r="G982" s="69">
        <f>SUMIF('Executive Pay Breakdown'!O:O,$B982,'Executive Pay Breakdown'!Q:Q)</f>
        <v>0</v>
      </c>
      <c r="H982" s="69">
        <f>SUMIF('Executive Pay Breakdown'!S:S,$B982,'Executive Pay Breakdown'!U:U)</f>
        <v>0</v>
      </c>
      <c r="I982" s="69">
        <f>SUMIF('Executive Pay Breakdown'!W:W,$B982,'Executive Pay Breakdown'!Y:Y)</f>
        <v>7843788</v>
      </c>
      <c r="J982" s="69">
        <f>SUMIF('Executive Pay Breakdown'!AA:AA,$B982,'Executive Pay Breakdown'!AC:AC)</f>
        <v>4906863</v>
      </c>
      <c r="K982" s="118"/>
      <c r="L982" s="212"/>
      <c r="M982" s="87"/>
      <c r="N982" s="87"/>
      <c r="O982" s="120" t="str">
        <f>MATCH(C982,'Key Findings'!B:B,0)</f>
        <v>#N/A</v>
      </c>
    </row>
    <row r="983" hidden="1">
      <c r="A983" s="62"/>
      <c r="B983" s="127" t="s">
        <v>1188</v>
      </c>
      <c r="C983" s="87" t="s">
        <v>1180</v>
      </c>
      <c r="D983" s="89">
        <f>SUMIF('Executive Pay Breakdown'!K:K,$B983,'Executive Pay Breakdown'!M:M)+SUMIF('Executive Pay Breakdown'!O:O,$B983,'Executive Pay Breakdown'!Q:Q)+SUMIF('Executive Pay Breakdown'!S:S,$B983,'Executive Pay Breakdown'!U:U)+SUMIF('Executive Pay Breakdown'!W:W,$B983,'Executive Pay Breakdown'!Y:Y)+SUMIF('Executive Pay Breakdown'!AA:AA,$B983,'Executive Pay Breakdown'!AC:AC)</f>
        <v>12710934</v>
      </c>
      <c r="E983" s="109"/>
      <c r="F983" s="69">
        <f>SUMIF('Executive Pay Breakdown'!K:K,$B983,'Executive Pay Breakdown'!M:M)</f>
        <v>0</v>
      </c>
      <c r="G983" s="69">
        <f>SUMIF('Executive Pay Breakdown'!O:O,$B983,'Executive Pay Breakdown'!Q:Q)</f>
        <v>0</v>
      </c>
      <c r="H983" s="69">
        <f>SUMIF('Executive Pay Breakdown'!S:S,$B983,'Executive Pay Breakdown'!U:U)</f>
        <v>0</v>
      </c>
      <c r="I983" s="69">
        <f>SUMIF('Executive Pay Breakdown'!W:W,$B983,'Executive Pay Breakdown'!Y:Y)</f>
        <v>5435962</v>
      </c>
      <c r="J983" s="69">
        <f>SUMIF('Executive Pay Breakdown'!AA:AA,$B983,'Executive Pay Breakdown'!AC:AC)</f>
        <v>7274972</v>
      </c>
      <c r="K983" s="118"/>
      <c r="L983" s="212"/>
      <c r="M983" s="87"/>
      <c r="N983" s="87"/>
      <c r="O983" s="120" t="str">
        <f>MATCH(C983,'Key Findings'!B:B,0)</f>
        <v>#N/A</v>
      </c>
    </row>
    <row r="984" hidden="1">
      <c r="A984" s="62"/>
      <c r="B984" s="127" t="s">
        <v>1189</v>
      </c>
      <c r="C984" s="87" t="s">
        <v>1180</v>
      </c>
      <c r="D984" s="89">
        <f>SUMIF('Executive Pay Breakdown'!K:K,$B984,'Executive Pay Breakdown'!M:M)+SUMIF('Executive Pay Breakdown'!O:O,$B984,'Executive Pay Breakdown'!Q:Q)+SUMIF('Executive Pay Breakdown'!S:S,$B984,'Executive Pay Breakdown'!U:U)+SUMIF('Executive Pay Breakdown'!W:W,$B984,'Executive Pay Breakdown'!Y:Y)+SUMIF('Executive Pay Breakdown'!AA:AA,$B984,'Executive Pay Breakdown'!AC:AC)</f>
        <v>12683676</v>
      </c>
      <c r="E984" s="109"/>
      <c r="F984" s="69">
        <f>SUMIF('Executive Pay Breakdown'!K:K,$B984,'Executive Pay Breakdown'!M:M)</f>
        <v>0</v>
      </c>
      <c r="G984" s="69">
        <f>SUMIF('Executive Pay Breakdown'!O:O,$B984,'Executive Pay Breakdown'!Q:Q)</f>
        <v>0</v>
      </c>
      <c r="H984" s="69">
        <f>SUMIF('Executive Pay Breakdown'!S:S,$B984,'Executive Pay Breakdown'!U:U)</f>
        <v>0</v>
      </c>
      <c r="I984" s="69">
        <f>SUMIF('Executive Pay Breakdown'!W:W,$B984,'Executive Pay Breakdown'!Y:Y)</f>
        <v>6341005</v>
      </c>
      <c r="J984" s="69">
        <f>SUMIF('Executive Pay Breakdown'!AA:AA,$B984,'Executive Pay Breakdown'!AC:AC)</f>
        <v>6342671</v>
      </c>
      <c r="K984" s="118"/>
      <c r="L984" s="212"/>
      <c r="M984" s="87"/>
      <c r="N984" s="87"/>
      <c r="O984" s="120" t="str">
        <f>MATCH(C984,'Key Findings'!B:B,0)</f>
        <v>#N/A</v>
      </c>
    </row>
    <row r="985" hidden="1">
      <c r="A985" s="62"/>
      <c r="B985" s="127" t="s">
        <v>1190</v>
      </c>
      <c r="C985" s="87" t="s">
        <v>1180</v>
      </c>
      <c r="D985" s="89">
        <f>SUMIF('Executive Pay Breakdown'!K:K,$B985,'Executive Pay Breakdown'!M:M)+SUMIF('Executive Pay Breakdown'!O:O,$B985,'Executive Pay Breakdown'!Q:Q)+SUMIF('Executive Pay Breakdown'!S:S,$B985,'Executive Pay Breakdown'!U:U)+SUMIF('Executive Pay Breakdown'!W:W,$B985,'Executive Pay Breakdown'!Y:Y)+SUMIF('Executive Pay Breakdown'!AA:AA,$B985,'Executive Pay Breakdown'!AC:AC)</f>
        <v>4822949</v>
      </c>
      <c r="E985" s="109"/>
      <c r="F985" s="69">
        <f>SUMIF('Executive Pay Breakdown'!K:K,$B985,'Executive Pay Breakdown'!M:M)</f>
        <v>4822949</v>
      </c>
      <c r="G985" s="69">
        <f>SUMIF('Executive Pay Breakdown'!O:O,$B985,'Executive Pay Breakdown'!Q:Q)</f>
        <v>0</v>
      </c>
      <c r="H985" s="69">
        <f>SUMIF('Executive Pay Breakdown'!S:S,$B985,'Executive Pay Breakdown'!U:U)</f>
        <v>0</v>
      </c>
      <c r="I985" s="69">
        <f>SUMIF('Executive Pay Breakdown'!W:W,$B985,'Executive Pay Breakdown'!Y:Y)</f>
        <v>0</v>
      </c>
      <c r="J985" s="69">
        <f>SUMIF('Executive Pay Breakdown'!AA:AA,$B985,'Executive Pay Breakdown'!AC:AC)</f>
        <v>0</v>
      </c>
      <c r="K985" s="118"/>
      <c r="L985" s="212"/>
      <c r="M985" s="87"/>
      <c r="N985" s="230"/>
      <c r="O985" s="120" t="str">
        <f>MATCH(C985,'Key Findings'!B:B,0)</f>
        <v>#N/A</v>
      </c>
    </row>
    <row r="986" hidden="1">
      <c r="A986" s="81"/>
      <c r="B986" s="87" t="s">
        <v>1191</v>
      </c>
      <c r="C986" s="87" t="s">
        <v>1192</v>
      </c>
      <c r="D986" s="89">
        <f>SUMIF('Executive Pay Breakdown'!K:K,$B986,'Executive Pay Breakdown'!M:M)+SUMIF('Executive Pay Breakdown'!O:O,$B986,'Executive Pay Breakdown'!Q:Q)+SUMIF('Executive Pay Breakdown'!S:S,$B986,'Executive Pay Breakdown'!U:U)+SUMIF('Executive Pay Breakdown'!W:W,$B986,'Executive Pay Breakdown'!Y:Y)+SUMIF('Executive Pay Breakdown'!AA:AA,$B986,'Executive Pay Breakdown'!AC:AC)</f>
        <v>103393986</v>
      </c>
      <c r="E986" s="109"/>
      <c r="F986" s="69">
        <f>SUMIF('Executive Pay Breakdown'!K:K,$B986,'Executive Pay Breakdown'!M:M)</f>
        <v>21478167</v>
      </c>
      <c r="G986" s="69">
        <f>SUMIF('Executive Pay Breakdown'!O:O,$B986,'Executive Pay Breakdown'!Q:Q)</f>
        <v>23553862</v>
      </c>
      <c r="H986" s="69">
        <f>SUMIF('Executive Pay Breakdown'!S:S,$B986,'Executive Pay Breakdown'!U:U)</f>
        <v>19328499</v>
      </c>
      <c r="I986" s="69">
        <f>SUMIF('Executive Pay Breakdown'!W:W,$B986,'Executive Pay Breakdown'!Y:Y)</f>
        <v>18313204</v>
      </c>
      <c r="J986" s="69">
        <f>SUMIF('Executive Pay Breakdown'!AA:AA,$B986,'Executive Pay Breakdown'!AC:AC)</f>
        <v>20720254</v>
      </c>
      <c r="K986" s="118"/>
      <c r="L986" s="212"/>
      <c r="M986" s="87"/>
      <c r="N986" s="87"/>
      <c r="O986" s="120" t="str">
        <f>MATCH(C986,'Key Findings'!B:B,0)</f>
        <v>#N/A</v>
      </c>
    </row>
    <row r="987" hidden="1">
      <c r="A987" s="71"/>
      <c r="B987" s="124" t="s">
        <v>1193</v>
      </c>
      <c r="C987" s="87" t="s">
        <v>1192</v>
      </c>
      <c r="D987" s="89">
        <f>SUMIF('Executive Pay Breakdown'!K:K,$B987,'Executive Pay Breakdown'!M:M)+SUMIF('Executive Pay Breakdown'!O:O,$B987,'Executive Pay Breakdown'!Q:Q)+SUMIF('Executive Pay Breakdown'!S:S,$B987,'Executive Pay Breakdown'!U:U)+SUMIF('Executive Pay Breakdown'!W:W,$B987,'Executive Pay Breakdown'!Y:Y)+SUMIF('Executive Pay Breakdown'!AA:AA,$B987,'Executive Pay Breakdown'!AC:AC)</f>
        <v>31252677</v>
      </c>
      <c r="E987" s="109"/>
      <c r="F987" s="69">
        <f>SUMIF('Executive Pay Breakdown'!K:K,$B987,'Executive Pay Breakdown'!M:M)</f>
        <v>6901579</v>
      </c>
      <c r="G987" s="69">
        <f>SUMIF('Executive Pay Breakdown'!O:O,$B987,'Executive Pay Breakdown'!Q:Q)</f>
        <v>7580239</v>
      </c>
      <c r="H987" s="69">
        <f>SUMIF('Executive Pay Breakdown'!S:S,$B987,'Executive Pay Breakdown'!U:U)</f>
        <v>6176520</v>
      </c>
      <c r="I987" s="69">
        <f>SUMIF('Executive Pay Breakdown'!W:W,$B987,'Executive Pay Breakdown'!Y:Y)</f>
        <v>5123309</v>
      </c>
      <c r="J987" s="69">
        <f>SUMIF('Executive Pay Breakdown'!AA:AA,$B987,'Executive Pay Breakdown'!AC:AC)</f>
        <v>5471030</v>
      </c>
      <c r="K987" s="118"/>
      <c r="L987" s="212"/>
      <c r="M987" s="87"/>
      <c r="N987" s="230"/>
      <c r="O987" s="120" t="str">
        <f>MATCH(C987,'Key Findings'!B:B,0)</f>
        <v>#N/A</v>
      </c>
    </row>
    <row r="988" hidden="1">
      <c r="A988" s="71"/>
      <c r="B988" s="124" t="s">
        <v>1194</v>
      </c>
      <c r="C988" s="87" t="s">
        <v>1192</v>
      </c>
      <c r="D988" s="89">
        <f>SUMIF('Executive Pay Breakdown'!K:K,$B988,'Executive Pay Breakdown'!M:M)+SUMIF('Executive Pay Breakdown'!O:O,$B988,'Executive Pay Breakdown'!Q:Q)+SUMIF('Executive Pay Breakdown'!S:S,$B988,'Executive Pay Breakdown'!U:U)+SUMIF('Executive Pay Breakdown'!W:W,$B988,'Executive Pay Breakdown'!Y:Y)+SUMIF('Executive Pay Breakdown'!AA:AA,$B988,'Executive Pay Breakdown'!AC:AC)</f>
        <v>27820993</v>
      </c>
      <c r="E988" s="109"/>
      <c r="F988" s="69">
        <f>SUMIF('Executive Pay Breakdown'!K:K,$B988,'Executive Pay Breakdown'!M:M)</f>
        <v>5760136</v>
      </c>
      <c r="G988" s="69">
        <f>SUMIF('Executive Pay Breakdown'!O:O,$B988,'Executive Pay Breakdown'!Q:Q)</f>
        <v>6025077</v>
      </c>
      <c r="H988" s="69">
        <f>SUMIF('Executive Pay Breakdown'!S:S,$B988,'Executive Pay Breakdown'!U:U)</f>
        <v>5348172</v>
      </c>
      <c r="I988" s="69">
        <f>SUMIF('Executive Pay Breakdown'!W:W,$B988,'Executive Pay Breakdown'!Y:Y)</f>
        <v>5306674</v>
      </c>
      <c r="J988" s="69">
        <f>SUMIF('Executive Pay Breakdown'!AA:AA,$B988,'Executive Pay Breakdown'!AC:AC)</f>
        <v>5380934</v>
      </c>
      <c r="K988" s="118"/>
      <c r="L988" s="212"/>
      <c r="M988" s="87"/>
      <c r="N988" s="230"/>
      <c r="O988" s="120" t="str">
        <f>MATCH(C988,'Key Findings'!B:B,0)</f>
        <v>#N/A</v>
      </c>
    </row>
    <row r="989" hidden="1">
      <c r="A989" s="71"/>
      <c r="B989" s="124" t="s">
        <v>1195</v>
      </c>
      <c r="C989" s="87" t="s">
        <v>1192</v>
      </c>
      <c r="D989" s="89">
        <f>SUMIF('Executive Pay Breakdown'!K:K,$B989,'Executive Pay Breakdown'!M:M)+SUMIF('Executive Pay Breakdown'!O:O,$B989,'Executive Pay Breakdown'!Q:Q)+SUMIF('Executive Pay Breakdown'!S:S,$B989,'Executive Pay Breakdown'!U:U)+SUMIF('Executive Pay Breakdown'!W:W,$B989,'Executive Pay Breakdown'!Y:Y)+SUMIF('Executive Pay Breakdown'!AA:AA,$B989,'Executive Pay Breakdown'!AC:AC)</f>
        <v>21595149</v>
      </c>
      <c r="E989" s="109"/>
      <c r="F989" s="69">
        <f>SUMIF('Executive Pay Breakdown'!K:K,$B989,'Executive Pay Breakdown'!M:M)</f>
        <v>6269571</v>
      </c>
      <c r="G989" s="69">
        <f>SUMIF('Executive Pay Breakdown'!O:O,$B989,'Executive Pay Breakdown'!Q:Q)</f>
        <v>6295420</v>
      </c>
      <c r="H989" s="69">
        <f>SUMIF('Executive Pay Breakdown'!S:S,$B989,'Executive Pay Breakdown'!U:U)</f>
        <v>4657673</v>
      </c>
      <c r="I989" s="69">
        <f>SUMIF('Executive Pay Breakdown'!W:W,$B989,'Executive Pay Breakdown'!Y:Y)</f>
        <v>4372485</v>
      </c>
      <c r="J989" s="69">
        <f>SUMIF('Executive Pay Breakdown'!AA:AA,$B989,'Executive Pay Breakdown'!AC:AC)</f>
        <v>0</v>
      </c>
      <c r="K989" s="118"/>
      <c r="L989" s="212"/>
      <c r="M989" s="87"/>
      <c r="N989" s="230"/>
      <c r="O989" s="120" t="str">
        <f>MATCH(C989,'Key Findings'!B:B,0)</f>
        <v>#N/A</v>
      </c>
    </row>
    <row r="990" hidden="1">
      <c r="A990" s="71"/>
      <c r="B990" s="124" t="s">
        <v>1196</v>
      </c>
      <c r="C990" s="87" t="s">
        <v>1192</v>
      </c>
      <c r="D990" s="89">
        <f>SUMIF('Executive Pay Breakdown'!K:K,$B990,'Executive Pay Breakdown'!M:M)+SUMIF('Executive Pay Breakdown'!O:O,$B990,'Executive Pay Breakdown'!Q:Q)+SUMIF('Executive Pay Breakdown'!S:S,$B990,'Executive Pay Breakdown'!U:U)+SUMIF('Executive Pay Breakdown'!W:W,$B990,'Executive Pay Breakdown'!Y:Y)+SUMIF('Executive Pay Breakdown'!AA:AA,$B990,'Executive Pay Breakdown'!AC:AC)</f>
        <v>17053111</v>
      </c>
      <c r="E990" s="109"/>
      <c r="F990" s="69">
        <f>SUMIF('Executive Pay Breakdown'!K:K,$B990,'Executive Pay Breakdown'!M:M)</f>
        <v>5955715</v>
      </c>
      <c r="G990" s="69">
        <f>SUMIF('Executive Pay Breakdown'!O:O,$B990,'Executive Pay Breakdown'!Q:Q)</f>
        <v>6104373</v>
      </c>
      <c r="H990" s="69">
        <f>SUMIF('Executive Pay Breakdown'!S:S,$B990,'Executive Pay Breakdown'!U:U)</f>
        <v>4993023</v>
      </c>
      <c r="I990" s="69">
        <f>SUMIF('Executive Pay Breakdown'!W:W,$B990,'Executive Pay Breakdown'!Y:Y)</f>
        <v>0</v>
      </c>
      <c r="J990" s="69">
        <f>SUMIF('Executive Pay Breakdown'!AA:AA,$B990,'Executive Pay Breakdown'!AC:AC)</f>
        <v>0</v>
      </c>
      <c r="K990" s="118"/>
      <c r="L990" s="212"/>
      <c r="M990" s="87"/>
      <c r="N990" s="230"/>
      <c r="O990" s="120" t="str">
        <f>MATCH(C990,'Key Findings'!B:B,0)</f>
        <v>#N/A</v>
      </c>
    </row>
    <row r="991" hidden="1">
      <c r="A991" s="71"/>
      <c r="B991" s="124" t="s">
        <v>1197</v>
      </c>
      <c r="C991" s="87" t="s">
        <v>1192</v>
      </c>
      <c r="D991" s="89">
        <f>SUMIF('Executive Pay Breakdown'!K:K,$B991,'Executive Pay Breakdown'!M:M)+SUMIF('Executive Pay Breakdown'!O:O,$B991,'Executive Pay Breakdown'!Q:Q)+SUMIF('Executive Pay Breakdown'!S:S,$B991,'Executive Pay Breakdown'!U:U)+SUMIF('Executive Pay Breakdown'!W:W,$B991,'Executive Pay Breakdown'!Y:Y)+SUMIF('Executive Pay Breakdown'!AA:AA,$B991,'Executive Pay Breakdown'!AC:AC)</f>
        <v>5421161</v>
      </c>
      <c r="E991" s="109"/>
      <c r="F991" s="69">
        <f>SUMIF('Executive Pay Breakdown'!K:K,$B991,'Executive Pay Breakdown'!M:M)</f>
        <v>0</v>
      </c>
      <c r="G991" s="69">
        <f>SUMIF('Executive Pay Breakdown'!O:O,$B991,'Executive Pay Breakdown'!Q:Q)</f>
        <v>0</v>
      </c>
      <c r="H991" s="69">
        <f>SUMIF('Executive Pay Breakdown'!S:S,$B991,'Executive Pay Breakdown'!U:U)</f>
        <v>0</v>
      </c>
      <c r="I991" s="69">
        <f>SUMIF('Executive Pay Breakdown'!W:W,$B991,'Executive Pay Breakdown'!Y:Y)</f>
        <v>0</v>
      </c>
      <c r="J991" s="69">
        <f>SUMIF('Executive Pay Breakdown'!AA:AA,$B991,'Executive Pay Breakdown'!AC:AC)</f>
        <v>5421161</v>
      </c>
      <c r="K991" s="118"/>
      <c r="L991" s="212"/>
      <c r="M991" s="87"/>
      <c r="N991" s="87"/>
      <c r="O991" s="120" t="str">
        <f>MATCH(C991,'Key Findings'!B:B,0)</f>
        <v>#N/A</v>
      </c>
    </row>
    <row r="992" hidden="1">
      <c r="A992" s="71"/>
      <c r="B992" s="124" t="s">
        <v>1198</v>
      </c>
      <c r="C992" s="87" t="s">
        <v>1192</v>
      </c>
      <c r="D992" s="89">
        <f>SUMIF('Executive Pay Breakdown'!K:K,$B992,'Executive Pay Breakdown'!M:M)+SUMIF('Executive Pay Breakdown'!O:O,$B992,'Executive Pay Breakdown'!Q:Q)+SUMIF('Executive Pay Breakdown'!S:S,$B992,'Executive Pay Breakdown'!U:U)+SUMIF('Executive Pay Breakdown'!W:W,$B992,'Executive Pay Breakdown'!Y:Y)+SUMIF('Executive Pay Breakdown'!AA:AA,$B992,'Executive Pay Breakdown'!AC:AC)</f>
        <v>4987829</v>
      </c>
      <c r="E992" s="109"/>
      <c r="F992" s="69">
        <f>SUMIF('Executive Pay Breakdown'!K:K,$B992,'Executive Pay Breakdown'!M:M)</f>
        <v>0</v>
      </c>
      <c r="G992" s="69">
        <f>SUMIF('Executive Pay Breakdown'!O:O,$B992,'Executive Pay Breakdown'!Q:Q)</f>
        <v>0</v>
      </c>
      <c r="H992" s="69">
        <f>SUMIF('Executive Pay Breakdown'!S:S,$B992,'Executive Pay Breakdown'!U:U)</f>
        <v>0</v>
      </c>
      <c r="I992" s="69">
        <f>SUMIF('Executive Pay Breakdown'!W:W,$B992,'Executive Pay Breakdown'!Y:Y)</f>
        <v>0</v>
      </c>
      <c r="J992" s="69">
        <f>SUMIF('Executive Pay Breakdown'!AA:AA,$B992,'Executive Pay Breakdown'!AC:AC)</f>
        <v>4987829</v>
      </c>
      <c r="K992" s="118"/>
      <c r="L992" s="212"/>
      <c r="M992" s="87"/>
      <c r="N992" s="87"/>
      <c r="O992" s="120" t="str">
        <f>MATCH(C992,'Key Findings'!B:B,0)</f>
        <v>#N/A</v>
      </c>
    </row>
    <row r="993" hidden="1">
      <c r="A993" s="71"/>
      <c r="B993" s="124" t="s">
        <v>1199</v>
      </c>
      <c r="C993" s="87" t="s">
        <v>1192</v>
      </c>
      <c r="D993" s="89">
        <f>SUMIF('Executive Pay Breakdown'!K:K,$B993,'Executive Pay Breakdown'!M:M)+SUMIF('Executive Pay Breakdown'!O:O,$B993,'Executive Pay Breakdown'!Q:Q)+SUMIF('Executive Pay Breakdown'!S:S,$B993,'Executive Pay Breakdown'!U:U)+SUMIF('Executive Pay Breakdown'!W:W,$B993,'Executive Pay Breakdown'!Y:Y)+SUMIF('Executive Pay Breakdown'!AA:AA,$B993,'Executive Pay Breakdown'!AC:AC)</f>
        <v>4209491</v>
      </c>
      <c r="E993" s="109"/>
      <c r="F993" s="69">
        <f>SUMIF('Executive Pay Breakdown'!K:K,$B993,'Executive Pay Breakdown'!M:M)</f>
        <v>0</v>
      </c>
      <c r="G993" s="69">
        <f>SUMIF('Executive Pay Breakdown'!O:O,$B993,'Executive Pay Breakdown'!Q:Q)</f>
        <v>0</v>
      </c>
      <c r="H993" s="69">
        <f>SUMIF('Executive Pay Breakdown'!S:S,$B993,'Executive Pay Breakdown'!U:U)</f>
        <v>0</v>
      </c>
      <c r="I993" s="69">
        <f>SUMIF('Executive Pay Breakdown'!W:W,$B993,'Executive Pay Breakdown'!Y:Y)</f>
        <v>4209491</v>
      </c>
      <c r="J993" s="69">
        <f>SUMIF('Executive Pay Breakdown'!AA:AA,$B993,'Executive Pay Breakdown'!AC:AC)</f>
        <v>0</v>
      </c>
      <c r="K993" s="118"/>
      <c r="L993" s="212"/>
      <c r="M993" s="87"/>
      <c r="N993" s="87"/>
      <c r="O993" s="120" t="str">
        <f>MATCH(C993,'Key Findings'!B:B,0)</f>
        <v>#N/A</v>
      </c>
    </row>
    <row r="994" hidden="1">
      <c r="A994" s="62"/>
      <c r="B994" s="86" t="s">
        <v>1200</v>
      </c>
      <c r="C994" s="233" t="s">
        <v>1201</v>
      </c>
      <c r="D994" s="89">
        <f>SUMIF('Executive Pay Breakdown'!K:K,$B994,'Executive Pay Breakdown'!M:M)+SUMIF('Executive Pay Breakdown'!O:O,$B994,'Executive Pay Breakdown'!Q:Q)+SUMIF('Executive Pay Breakdown'!S:S,$B994,'Executive Pay Breakdown'!U:U)+SUMIF('Executive Pay Breakdown'!W:W,$B994,'Executive Pay Breakdown'!Y:Y)+SUMIF('Executive Pay Breakdown'!AA:AA,$B994,'Executive Pay Breakdown'!AC:AC)</f>
        <v>90665076</v>
      </c>
      <c r="E994" s="109"/>
      <c r="F994" s="69">
        <f>SUMIF('Executive Pay Breakdown'!K:K,$B994,'Executive Pay Breakdown'!M:M)</f>
        <v>17822560</v>
      </c>
      <c r="G994" s="69">
        <f>SUMIF('Executive Pay Breakdown'!O:O,$B994,'Executive Pay Breakdown'!Q:Q)</f>
        <v>20385208</v>
      </c>
      <c r="H994" s="69">
        <f>SUMIF('Executive Pay Breakdown'!S:S,$B994,'Executive Pay Breakdown'!U:U)</f>
        <v>12193925</v>
      </c>
      <c r="I994" s="69">
        <f>SUMIF('Executive Pay Breakdown'!W:W,$B994,'Executive Pay Breakdown'!Y:Y)</f>
        <v>40263383</v>
      </c>
      <c r="J994" s="69">
        <f>SUMIF('Executive Pay Breakdown'!AA:AA,$B994,'Executive Pay Breakdown'!AC:AC)</f>
        <v>0</v>
      </c>
      <c r="K994" s="118"/>
      <c r="L994" s="212"/>
      <c r="M994" s="87"/>
      <c r="N994" s="87"/>
      <c r="O994" s="120" t="str">
        <f>MATCH(C994,'Key Findings'!B:B,0)</f>
        <v>#N/A</v>
      </c>
    </row>
    <row r="995" hidden="1">
      <c r="A995" s="62"/>
      <c r="B995" s="86" t="s">
        <v>1202</v>
      </c>
      <c r="C995" s="233" t="s">
        <v>1201</v>
      </c>
      <c r="D995" s="89">
        <f>SUMIF('Executive Pay Breakdown'!K:K,$B995,'Executive Pay Breakdown'!M:M)+SUMIF('Executive Pay Breakdown'!O:O,$B995,'Executive Pay Breakdown'!Q:Q)+SUMIF('Executive Pay Breakdown'!S:S,$B995,'Executive Pay Breakdown'!U:U)+SUMIF('Executive Pay Breakdown'!W:W,$B995,'Executive Pay Breakdown'!Y:Y)+SUMIF('Executive Pay Breakdown'!AA:AA,$B995,'Executive Pay Breakdown'!AC:AC)</f>
        <v>24968857</v>
      </c>
      <c r="E995" s="109"/>
      <c r="F995" s="69">
        <f>SUMIF('Executive Pay Breakdown'!K:K,$B995,'Executive Pay Breakdown'!M:M)</f>
        <v>4677789</v>
      </c>
      <c r="G995" s="69">
        <f>SUMIF('Executive Pay Breakdown'!O:O,$B995,'Executive Pay Breakdown'!Q:Q)</f>
        <v>5680539</v>
      </c>
      <c r="H995" s="69">
        <f>SUMIF('Executive Pay Breakdown'!S:S,$B995,'Executive Pay Breakdown'!U:U)</f>
        <v>3031261</v>
      </c>
      <c r="I995" s="69">
        <f>SUMIF('Executive Pay Breakdown'!W:W,$B995,'Executive Pay Breakdown'!Y:Y)</f>
        <v>7310227</v>
      </c>
      <c r="J995" s="69">
        <f>SUMIF('Executive Pay Breakdown'!AA:AA,$B995,'Executive Pay Breakdown'!AC:AC)</f>
        <v>4269041</v>
      </c>
      <c r="K995" s="118"/>
      <c r="L995" s="212"/>
      <c r="M995" s="87"/>
      <c r="N995" s="87"/>
      <c r="O995" s="120" t="str">
        <f>MATCH(C995,'Key Findings'!B:B,0)</f>
        <v>#N/A</v>
      </c>
    </row>
    <row r="996" hidden="1">
      <c r="A996" s="62"/>
      <c r="B996" s="86" t="s">
        <v>1203</v>
      </c>
      <c r="C996" s="233" t="s">
        <v>1201</v>
      </c>
      <c r="D996" s="89">
        <f>SUMIF('Executive Pay Breakdown'!K:K,$B996,'Executive Pay Breakdown'!M:M)+SUMIF('Executive Pay Breakdown'!O:O,$B996,'Executive Pay Breakdown'!Q:Q)+SUMIF('Executive Pay Breakdown'!S:S,$B996,'Executive Pay Breakdown'!U:U)+SUMIF('Executive Pay Breakdown'!W:W,$B996,'Executive Pay Breakdown'!Y:Y)+SUMIF('Executive Pay Breakdown'!AA:AA,$B996,'Executive Pay Breakdown'!AC:AC)</f>
        <v>23354223</v>
      </c>
      <c r="E996" s="109"/>
      <c r="F996" s="69">
        <f>SUMIF('Executive Pay Breakdown'!K:K,$B996,'Executive Pay Breakdown'!M:M)</f>
        <v>8598851</v>
      </c>
      <c r="G996" s="69">
        <f>SUMIF('Executive Pay Breakdown'!O:O,$B996,'Executive Pay Breakdown'!Q:Q)</f>
        <v>8755290</v>
      </c>
      <c r="H996" s="69">
        <f>SUMIF('Executive Pay Breakdown'!S:S,$B996,'Executive Pay Breakdown'!U:U)</f>
        <v>6000082</v>
      </c>
      <c r="I996" s="69">
        <f>SUMIF('Executive Pay Breakdown'!W:W,$B996,'Executive Pay Breakdown'!Y:Y)</f>
        <v>0</v>
      </c>
      <c r="J996" s="69">
        <f>SUMIF('Executive Pay Breakdown'!AA:AA,$B996,'Executive Pay Breakdown'!AC:AC)</f>
        <v>0</v>
      </c>
      <c r="K996" s="118"/>
      <c r="L996" s="212"/>
      <c r="M996" s="87"/>
      <c r="N996" s="87"/>
      <c r="O996" s="120" t="str">
        <f>MATCH(C996,'Key Findings'!B:B,0)</f>
        <v>#N/A</v>
      </c>
    </row>
    <row r="997" hidden="1">
      <c r="A997" s="62"/>
      <c r="B997" s="86" t="s">
        <v>1204</v>
      </c>
      <c r="C997" s="233" t="s">
        <v>1201</v>
      </c>
      <c r="D997" s="89">
        <f>SUMIF('Executive Pay Breakdown'!K:K,$B997,'Executive Pay Breakdown'!M:M)+SUMIF('Executive Pay Breakdown'!O:O,$B997,'Executive Pay Breakdown'!Q:Q)+SUMIF('Executive Pay Breakdown'!S:S,$B997,'Executive Pay Breakdown'!U:U)+SUMIF('Executive Pay Breakdown'!W:W,$B997,'Executive Pay Breakdown'!Y:Y)+SUMIF('Executive Pay Breakdown'!AA:AA,$B997,'Executive Pay Breakdown'!AC:AC)</f>
        <v>12991197</v>
      </c>
      <c r="E997" s="109"/>
      <c r="F997" s="69">
        <f>SUMIF('Executive Pay Breakdown'!K:K,$B997,'Executive Pay Breakdown'!M:M)</f>
        <v>4099819</v>
      </c>
      <c r="G997" s="69">
        <f>SUMIF('Executive Pay Breakdown'!O:O,$B997,'Executive Pay Breakdown'!Q:Q)</f>
        <v>8891378</v>
      </c>
      <c r="H997" s="69">
        <f>SUMIF('Executive Pay Breakdown'!S:S,$B997,'Executive Pay Breakdown'!U:U)</f>
        <v>0</v>
      </c>
      <c r="I997" s="69">
        <f>SUMIF('Executive Pay Breakdown'!W:W,$B997,'Executive Pay Breakdown'!Y:Y)</f>
        <v>0</v>
      </c>
      <c r="J997" s="69">
        <f>SUMIF('Executive Pay Breakdown'!AA:AA,$B997,'Executive Pay Breakdown'!AC:AC)</f>
        <v>0</v>
      </c>
      <c r="K997" s="118"/>
      <c r="L997" s="212"/>
      <c r="M997" s="87"/>
      <c r="N997" s="87"/>
      <c r="O997" s="120" t="str">
        <f>MATCH(C997,'Key Findings'!B:B,0)</f>
        <v>#N/A</v>
      </c>
    </row>
    <row r="998" hidden="1">
      <c r="A998" s="62"/>
      <c r="B998" s="86" t="s">
        <v>1205</v>
      </c>
      <c r="C998" s="233" t="s">
        <v>1201</v>
      </c>
      <c r="D998" s="89">
        <f>SUMIF('Executive Pay Breakdown'!K:K,$B998,'Executive Pay Breakdown'!M:M)+SUMIF('Executive Pay Breakdown'!O:O,$B998,'Executive Pay Breakdown'!Q:Q)+SUMIF('Executive Pay Breakdown'!S:S,$B998,'Executive Pay Breakdown'!U:U)+SUMIF('Executive Pay Breakdown'!W:W,$B998,'Executive Pay Breakdown'!Y:Y)+SUMIF('Executive Pay Breakdown'!AA:AA,$B998,'Executive Pay Breakdown'!AC:AC)</f>
        <v>10889865</v>
      </c>
      <c r="E998" s="109"/>
      <c r="F998" s="69">
        <f>SUMIF('Executive Pay Breakdown'!K:K,$B998,'Executive Pay Breakdown'!M:M)</f>
        <v>2778470</v>
      </c>
      <c r="G998" s="69">
        <f>SUMIF('Executive Pay Breakdown'!O:O,$B998,'Executive Pay Breakdown'!Q:Q)</f>
        <v>8111395</v>
      </c>
      <c r="H998" s="69">
        <f>SUMIF('Executive Pay Breakdown'!S:S,$B998,'Executive Pay Breakdown'!U:U)</f>
        <v>0</v>
      </c>
      <c r="I998" s="69">
        <f>SUMIF('Executive Pay Breakdown'!W:W,$B998,'Executive Pay Breakdown'!Y:Y)</f>
        <v>0</v>
      </c>
      <c r="J998" s="69">
        <f>SUMIF('Executive Pay Breakdown'!AA:AA,$B998,'Executive Pay Breakdown'!AC:AC)</f>
        <v>0</v>
      </c>
      <c r="K998" s="118"/>
      <c r="L998" s="212"/>
      <c r="M998" s="87"/>
      <c r="N998" s="87"/>
      <c r="O998" s="120" t="str">
        <f>MATCH(C998,'Key Findings'!B:B,0)</f>
        <v>#N/A</v>
      </c>
    </row>
    <row r="999" hidden="1">
      <c r="A999" s="62"/>
      <c r="B999" s="86" t="s">
        <v>1206</v>
      </c>
      <c r="C999" s="233" t="s">
        <v>1201</v>
      </c>
      <c r="D999" s="89">
        <f>SUMIF('Executive Pay Breakdown'!K:K,$B999,'Executive Pay Breakdown'!M:M)+SUMIF('Executive Pay Breakdown'!O:O,$B999,'Executive Pay Breakdown'!Q:Q)+SUMIF('Executive Pay Breakdown'!S:S,$B999,'Executive Pay Breakdown'!U:U)+SUMIF('Executive Pay Breakdown'!W:W,$B999,'Executive Pay Breakdown'!Y:Y)+SUMIF('Executive Pay Breakdown'!AA:AA,$B999,'Executive Pay Breakdown'!AC:AC)</f>
        <v>68857948</v>
      </c>
      <c r="E999" s="109"/>
      <c r="F999" s="69">
        <f>SUMIF('Executive Pay Breakdown'!K:K,$B999,'Executive Pay Breakdown'!M:M)</f>
        <v>0</v>
      </c>
      <c r="G999" s="69">
        <f>SUMIF('Executive Pay Breakdown'!O:O,$B999,'Executive Pay Breakdown'!Q:Q)</f>
        <v>0</v>
      </c>
      <c r="H999" s="69">
        <f>SUMIF('Executive Pay Breakdown'!S:S,$B999,'Executive Pay Breakdown'!U:U)</f>
        <v>28846153</v>
      </c>
      <c r="I999" s="69">
        <f>SUMIF('Executive Pay Breakdown'!W:W,$B999,'Executive Pay Breakdown'!Y:Y)</f>
        <v>27601026</v>
      </c>
      <c r="J999" s="69">
        <f>SUMIF('Executive Pay Breakdown'!AA:AA,$B999,'Executive Pay Breakdown'!AC:AC)</f>
        <v>12410769</v>
      </c>
      <c r="K999" s="118"/>
      <c r="L999" s="212"/>
      <c r="M999" s="87"/>
      <c r="N999" s="87"/>
      <c r="O999" s="120" t="str">
        <f>MATCH(C999,'Key Findings'!B:B,0)</f>
        <v>#N/A</v>
      </c>
    </row>
    <row r="1000" hidden="1">
      <c r="A1000" s="62"/>
      <c r="B1000" s="86" t="s">
        <v>1207</v>
      </c>
      <c r="C1000" s="233" t="s">
        <v>1201</v>
      </c>
      <c r="D1000" s="89">
        <f>SUMIF('Executive Pay Breakdown'!K:K,$B1000,'Executive Pay Breakdown'!M:M)+SUMIF('Executive Pay Breakdown'!O:O,$B1000,'Executive Pay Breakdown'!Q:Q)+SUMIF('Executive Pay Breakdown'!S:S,$B1000,'Executive Pay Breakdown'!U:U)+SUMIF('Executive Pay Breakdown'!W:W,$B1000,'Executive Pay Breakdown'!Y:Y)+SUMIF('Executive Pay Breakdown'!AA:AA,$B1000,'Executive Pay Breakdown'!AC:AC)</f>
        <v>18076718</v>
      </c>
      <c r="E1000" s="109"/>
      <c r="F1000" s="69">
        <f>SUMIF('Executive Pay Breakdown'!K:K,$B1000,'Executive Pay Breakdown'!M:M)</f>
        <v>0</v>
      </c>
      <c r="G1000" s="69">
        <f>SUMIF('Executive Pay Breakdown'!O:O,$B1000,'Executive Pay Breakdown'!Q:Q)</f>
        <v>0</v>
      </c>
      <c r="H1000" s="69">
        <f>SUMIF('Executive Pay Breakdown'!S:S,$B1000,'Executive Pay Breakdown'!U:U)</f>
        <v>5376626</v>
      </c>
      <c r="I1000" s="69">
        <f>SUMIF('Executive Pay Breakdown'!W:W,$B1000,'Executive Pay Breakdown'!Y:Y)</f>
        <v>8476636</v>
      </c>
      <c r="J1000" s="69">
        <f>SUMIF('Executive Pay Breakdown'!AA:AA,$B1000,'Executive Pay Breakdown'!AC:AC)</f>
        <v>4223456</v>
      </c>
      <c r="K1000" s="118"/>
      <c r="L1000" s="212"/>
      <c r="M1000" s="87"/>
      <c r="N1000" s="87"/>
      <c r="O1000" s="120" t="str">
        <f>MATCH(C1000,'Key Findings'!B:B,0)</f>
        <v>#N/A</v>
      </c>
    </row>
    <row r="1001" hidden="1">
      <c r="A1001" s="62"/>
      <c r="B1001" s="86" t="s">
        <v>1208</v>
      </c>
      <c r="C1001" s="233" t="s">
        <v>1201</v>
      </c>
      <c r="D1001" s="89">
        <f>SUMIF('Executive Pay Breakdown'!K:K,$B1001,'Executive Pay Breakdown'!M:M)+SUMIF('Executive Pay Breakdown'!O:O,$B1001,'Executive Pay Breakdown'!Q:Q)+SUMIF('Executive Pay Breakdown'!S:S,$B1001,'Executive Pay Breakdown'!U:U)+SUMIF('Executive Pay Breakdown'!W:W,$B1001,'Executive Pay Breakdown'!Y:Y)+SUMIF('Executive Pay Breakdown'!AA:AA,$B1001,'Executive Pay Breakdown'!AC:AC)</f>
        <v>16234583</v>
      </c>
      <c r="E1001" s="109"/>
      <c r="F1001" s="69">
        <f>SUMIF('Executive Pay Breakdown'!K:K,$B1001,'Executive Pay Breakdown'!M:M)</f>
        <v>0</v>
      </c>
      <c r="G1001" s="69">
        <f>SUMIF('Executive Pay Breakdown'!O:O,$B1001,'Executive Pay Breakdown'!Q:Q)</f>
        <v>0</v>
      </c>
      <c r="H1001" s="69">
        <f>SUMIF('Executive Pay Breakdown'!S:S,$B1001,'Executive Pay Breakdown'!U:U)</f>
        <v>2357503</v>
      </c>
      <c r="I1001" s="69">
        <f>SUMIF('Executive Pay Breakdown'!W:W,$B1001,'Executive Pay Breakdown'!Y:Y)</f>
        <v>8587848</v>
      </c>
      <c r="J1001" s="69">
        <f>SUMIF('Executive Pay Breakdown'!AA:AA,$B1001,'Executive Pay Breakdown'!AC:AC)</f>
        <v>5289232</v>
      </c>
      <c r="K1001" s="118"/>
      <c r="L1001" s="212"/>
      <c r="M1001" s="87"/>
      <c r="N1001" s="87"/>
      <c r="O1001" s="120" t="str">
        <f>MATCH(C1001,'Key Findings'!B:B,0)</f>
        <v>#N/A</v>
      </c>
    </row>
    <row r="1002" hidden="1">
      <c r="A1002" s="62"/>
      <c r="B1002" s="86" t="s">
        <v>1209</v>
      </c>
      <c r="C1002" s="233" t="s">
        <v>1201</v>
      </c>
      <c r="D1002" s="89">
        <f>SUMIF('Executive Pay Breakdown'!K:K,$B1002,'Executive Pay Breakdown'!M:M)+SUMIF('Executive Pay Breakdown'!O:O,$B1002,'Executive Pay Breakdown'!Q:Q)+SUMIF('Executive Pay Breakdown'!S:S,$B1002,'Executive Pay Breakdown'!U:U)+SUMIF('Executive Pay Breakdown'!W:W,$B1002,'Executive Pay Breakdown'!Y:Y)+SUMIF('Executive Pay Breakdown'!AA:AA,$B1002,'Executive Pay Breakdown'!AC:AC)</f>
        <v>1703838</v>
      </c>
      <c r="E1002" s="109"/>
      <c r="F1002" s="69">
        <f>SUMIF('Executive Pay Breakdown'!K:K,$B1002,'Executive Pay Breakdown'!M:M)</f>
        <v>0</v>
      </c>
      <c r="G1002" s="69">
        <f>SUMIF('Executive Pay Breakdown'!O:O,$B1002,'Executive Pay Breakdown'!Q:Q)</f>
        <v>0</v>
      </c>
      <c r="H1002" s="69">
        <f>SUMIF('Executive Pay Breakdown'!S:S,$B1002,'Executive Pay Breakdown'!U:U)</f>
        <v>0</v>
      </c>
      <c r="I1002" s="69">
        <f>SUMIF('Executive Pay Breakdown'!W:W,$B1002,'Executive Pay Breakdown'!Y:Y)</f>
        <v>0</v>
      </c>
      <c r="J1002" s="69">
        <f>SUMIF('Executive Pay Breakdown'!AA:AA,$B1002,'Executive Pay Breakdown'!AC:AC)</f>
        <v>1703838</v>
      </c>
      <c r="K1002" s="118"/>
      <c r="L1002" s="212"/>
      <c r="M1002" s="87"/>
      <c r="N1002" s="87"/>
      <c r="O1002" s="120" t="str">
        <f>MATCH(C1002,'Key Findings'!B:B,0)</f>
        <v>#N/A</v>
      </c>
    </row>
    <row r="1003" hidden="1">
      <c r="A1003" s="62"/>
      <c r="B1003" s="127" t="s">
        <v>1210</v>
      </c>
      <c r="C1003" s="87" t="s">
        <v>1211</v>
      </c>
      <c r="D1003" s="89">
        <f>SUMIF('Executive Pay Breakdown'!K:K,$B1003,'Executive Pay Breakdown'!M:M)+SUMIF('Executive Pay Breakdown'!O:O,$B1003,'Executive Pay Breakdown'!Q:Q)+SUMIF('Executive Pay Breakdown'!S:S,$B1003,'Executive Pay Breakdown'!U:U)+SUMIF('Executive Pay Breakdown'!W:W,$B1003,'Executive Pay Breakdown'!Y:Y)+SUMIF('Executive Pay Breakdown'!AA:AA,$B1003,'Executive Pay Breakdown'!AC:AC)</f>
        <v>51522414</v>
      </c>
      <c r="E1003" s="109"/>
      <c r="F1003" s="69">
        <f>SUMIF('Executive Pay Breakdown'!K:K,$B1003,'Executive Pay Breakdown'!M:M)</f>
        <v>11020287</v>
      </c>
      <c r="G1003" s="69">
        <f>SUMIF('Executive Pay Breakdown'!O:O,$B1003,'Executive Pay Breakdown'!Q:Q)</f>
        <v>10531649</v>
      </c>
      <c r="H1003" s="69">
        <f>SUMIF('Executive Pay Breakdown'!S:S,$B1003,'Executive Pay Breakdown'!U:U)</f>
        <v>9797589</v>
      </c>
      <c r="I1003" s="69">
        <f>SUMIF('Executive Pay Breakdown'!W:W,$B1003,'Executive Pay Breakdown'!Y:Y)</f>
        <v>8999237</v>
      </c>
      <c r="J1003" s="69">
        <f>SUMIF('Executive Pay Breakdown'!AA:AA,$B1003,'Executive Pay Breakdown'!AC:AC)</f>
        <v>11173652</v>
      </c>
      <c r="K1003" s="118"/>
      <c r="L1003" s="212"/>
      <c r="M1003" s="87"/>
      <c r="N1003" s="230"/>
      <c r="O1003" s="120" t="str">
        <f>MATCH(C1003,'Key Findings'!B:B,0)</f>
        <v>#N/A</v>
      </c>
    </row>
    <row r="1004" hidden="1">
      <c r="A1004" s="62"/>
      <c r="B1004" s="127" t="s">
        <v>1212</v>
      </c>
      <c r="C1004" s="87" t="s">
        <v>1211</v>
      </c>
      <c r="D1004" s="89">
        <f>SUMIF('Executive Pay Breakdown'!K:K,$B1004,'Executive Pay Breakdown'!M:M)+SUMIF('Executive Pay Breakdown'!O:O,$B1004,'Executive Pay Breakdown'!Q:Q)+SUMIF('Executive Pay Breakdown'!S:S,$B1004,'Executive Pay Breakdown'!U:U)+SUMIF('Executive Pay Breakdown'!W:W,$B1004,'Executive Pay Breakdown'!Y:Y)+SUMIF('Executive Pay Breakdown'!AA:AA,$B1004,'Executive Pay Breakdown'!AC:AC)</f>
        <v>20072649</v>
      </c>
      <c r="E1004" s="109"/>
      <c r="F1004" s="69">
        <f>SUMIF('Executive Pay Breakdown'!K:K,$B1004,'Executive Pay Breakdown'!M:M)</f>
        <v>8138659</v>
      </c>
      <c r="G1004" s="69">
        <f>SUMIF('Executive Pay Breakdown'!O:O,$B1004,'Executive Pay Breakdown'!Q:Q)</f>
        <v>3572570</v>
      </c>
      <c r="H1004" s="69">
        <f>SUMIF('Executive Pay Breakdown'!S:S,$B1004,'Executive Pay Breakdown'!U:U)</f>
        <v>2717280</v>
      </c>
      <c r="I1004" s="69">
        <f>SUMIF('Executive Pay Breakdown'!W:W,$B1004,'Executive Pay Breakdown'!Y:Y)</f>
        <v>2605605</v>
      </c>
      <c r="J1004" s="69">
        <f>SUMIF('Executive Pay Breakdown'!AA:AA,$B1004,'Executive Pay Breakdown'!AC:AC)</f>
        <v>3038535</v>
      </c>
      <c r="K1004" s="118"/>
      <c r="L1004" s="212"/>
      <c r="M1004" s="87"/>
      <c r="N1004" s="230"/>
      <c r="O1004" s="120" t="str">
        <f>MATCH(C1004,'Key Findings'!B:B,0)</f>
        <v>#N/A</v>
      </c>
    </row>
    <row r="1005" hidden="1">
      <c r="A1005" s="62"/>
      <c r="B1005" s="127" t="s">
        <v>1213</v>
      </c>
      <c r="C1005" s="87" t="s">
        <v>1211</v>
      </c>
      <c r="D1005" s="89">
        <f>SUMIF('Executive Pay Breakdown'!K:K,$B1005,'Executive Pay Breakdown'!M:M)+SUMIF('Executive Pay Breakdown'!O:O,$B1005,'Executive Pay Breakdown'!Q:Q)+SUMIF('Executive Pay Breakdown'!S:S,$B1005,'Executive Pay Breakdown'!U:U)+SUMIF('Executive Pay Breakdown'!W:W,$B1005,'Executive Pay Breakdown'!Y:Y)+SUMIF('Executive Pay Breakdown'!AA:AA,$B1005,'Executive Pay Breakdown'!AC:AC)</f>
        <v>14032835</v>
      </c>
      <c r="E1005" s="109"/>
      <c r="F1005" s="69">
        <f>SUMIF('Executive Pay Breakdown'!K:K,$B1005,'Executive Pay Breakdown'!M:M)</f>
        <v>0</v>
      </c>
      <c r="G1005" s="69">
        <f>SUMIF('Executive Pay Breakdown'!O:O,$B1005,'Executive Pay Breakdown'!Q:Q)</f>
        <v>3486151</v>
      </c>
      <c r="H1005" s="69">
        <f>SUMIF('Executive Pay Breakdown'!S:S,$B1005,'Executive Pay Breakdown'!U:U)</f>
        <v>3342317</v>
      </c>
      <c r="I1005" s="69">
        <f>SUMIF('Executive Pay Breakdown'!W:W,$B1005,'Executive Pay Breakdown'!Y:Y)</f>
        <v>3306706</v>
      </c>
      <c r="J1005" s="69">
        <f>SUMIF('Executive Pay Breakdown'!AA:AA,$B1005,'Executive Pay Breakdown'!AC:AC)</f>
        <v>3897661</v>
      </c>
      <c r="K1005" s="118"/>
      <c r="L1005" s="212"/>
      <c r="M1005" s="87"/>
      <c r="N1005" s="87"/>
      <c r="O1005" s="120" t="str">
        <f>MATCH(C1005,'Key Findings'!B:B,0)</f>
        <v>#N/A</v>
      </c>
    </row>
    <row r="1006" hidden="1">
      <c r="A1006" s="62"/>
      <c r="B1006" s="127" t="s">
        <v>1214</v>
      </c>
      <c r="C1006" s="87" t="s">
        <v>1211</v>
      </c>
      <c r="D1006" s="89">
        <f>SUMIF('Executive Pay Breakdown'!K:K,$B1006,'Executive Pay Breakdown'!M:M)+SUMIF('Executive Pay Breakdown'!O:O,$B1006,'Executive Pay Breakdown'!Q:Q)+SUMIF('Executive Pay Breakdown'!S:S,$B1006,'Executive Pay Breakdown'!U:U)+SUMIF('Executive Pay Breakdown'!W:W,$B1006,'Executive Pay Breakdown'!Y:Y)+SUMIF('Executive Pay Breakdown'!AA:AA,$B1006,'Executive Pay Breakdown'!AC:AC)</f>
        <v>7857276</v>
      </c>
      <c r="E1006" s="109"/>
      <c r="F1006" s="69">
        <f>SUMIF('Executive Pay Breakdown'!K:K,$B1006,'Executive Pay Breakdown'!M:M)</f>
        <v>0</v>
      </c>
      <c r="G1006" s="69">
        <f>SUMIF('Executive Pay Breakdown'!O:O,$B1006,'Executive Pay Breakdown'!Q:Q)</f>
        <v>0</v>
      </c>
      <c r="H1006" s="69">
        <f>SUMIF('Executive Pay Breakdown'!S:S,$B1006,'Executive Pay Breakdown'!U:U)</f>
        <v>2467069</v>
      </c>
      <c r="I1006" s="69">
        <f>SUMIF('Executive Pay Breakdown'!W:W,$B1006,'Executive Pay Breakdown'!Y:Y)</f>
        <v>2495628</v>
      </c>
      <c r="J1006" s="69">
        <f>SUMIF('Executive Pay Breakdown'!AA:AA,$B1006,'Executive Pay Breakdown'!AC:AC)</f>
        <v>2894579</v>
      </c>
      <c r="K1006" s="118"/>
      <c r="L1006" s="212"/>
      <c r="M1006" s="87"/>
      <c r="N1006" s="87"/>
      <c r="O1006" s="120" t="str">
        <f>MATCH(C1006,'Key Findings'!B:B,0)</f>
        <v>#N/A</v>
      </c>
    </row>
    <row r="1007" hidden="1">
      <c r="A1007" s="62"/>
      <c r="B1007" s="127" t="s">
        <v>1215</v>
      </c>
      <c r="C1007" s="87" t="s">
        <v>1211</v>
      </c>
      <c r="D1007" s="89">
        <f>SUMIF('Executive Pay Breakdown'!K:K,$B1007,'Executive Pay Breakdown'!M:M)+SUMIF('Executive Pay Breakdown'!O:O,$B1007,'Executive Pay Breakdown'!Q:Q)+SUMIF('Executive Pay Breakdown'!S:S,$B1007,'Executive Pay Breakdown'!U:U)+SUMIF('Executive Pay Breakdown'!W:W,$B1007,'Executive Pay Breakdown'!Y:Y)+SUMIF('Executive Pay Breakdown'!AA:AA,$B1007,'Executive Pay Breakdown'!AC:AC)</f>
        <v>7769089</v>
      </c>
      <c r="E1007" s="109"/>
      <c r="F1007" s="69">
        <f>SUMIF('Executive Pay Breakdown'!K:K,$B1007,'Executive Pay Breakdown'!M:M)</f>
        <v>0</v>
      </c>
      <c r="G1007" s="69">
        <f>SUMIF('Executive Pay Breakdown'!O:O,$B1007,'Executive Pay Breakdown'!Q:Q)</f>
        <v>0</v>
      </c>
      <c r="H1007" s="69">
        <f>SUMIF('Executive Pay Breakdown'!S:S,$B1007,'Executive Pay Breakdown'!U:U)</f>
        <v>1949621</v>
      </c>
      <c r="I1007" s="69">
        <f>SUMIF('Executive Pay Breakdown'!W:W,$B1007,'Executive Pay Breakdown'!Y:Y)</f>
        <v>2797182</v>
      </c>
      <c r="J1007" s="69">
        <f>SUMIF('Executive Pay Breakdown'!AA:AA,$B1007,'Executive Pay Breakdown'!AC:AC)</f>
        <v>3022286</v>
      </c>
      <c r="K1007" s="118"/>
      <c r="L1007" s="212"/>
      <c r="M1007" s="87"/>
      <c r="N1007" s="87"/>
      <c r="O1007" s="120" t="str">
        <f>MATCH(C1007,'Key Findings'!B:B,0)</f>
        <v>#N/A</v>
      </c>
    </row>
    <row r="1008" hidden="1">
      <c r="A1008" s="62"/>
      <c r="B1008" s="127" t="s">
        <v>1216</v>
      </c>
      <c r="C1008" s="87" t="s">
        <v>1211</v>
      </c>
      <c r="D1008" s="89">
        <f>SUMIF('Executive Pay Breakdown'!K:K,$B1008,'Executive Pay Breakdown'!M:M)+SUMIF('Executive Pay Breakdown'!O:O,$B1008,'Executive Pay Breakdown'!Q:Q)+SUMIF('Executive Pay Breakdown'!S:S,$B1008,'Executive Pay Breakdown'!U:U)+SUMIF('Executive Pay Breakdown'!W:W,$B1008,'Executive Pay Breakdown'!Y:Y)+SUMIF('Executive Pay Breakdown'!AA:AA,$B1008,'Executive Pay Breakdown'!AC:AC)</f>
        <v>7687004</v>
      </c>
      <c r="E1008" s="109"/>
      <c r="F1008" s="69">
        <f>SUMIF('Executive Pay Breakdown'!K:K,$B1008,'Executive Pay Breakdown'!M:M)</f>
        <v>3349119</v>
      </c>
      <c r="G1008" s="69">
        <f>SUMIF('Executive Pay Breakdown'!O:O,$B1008,'Executive Pay Breakdown'!Q:Q)</f>
        <v>2721041</v>
      </c>
      <c r="H1008" s="69">
        <f>SUMIF('Executive Pay Breakdown'!S:S,$B1008,'Executive Pay Breakdown'!U:U)</f>
        <v>1616844</v>
      </c>
      <c r="I1008" s="69">
        <f>SUMIF('Executive Pay Breakdown'!W:W,$B1008,'Executive Pay Breakdown'!Y:Y)</f>
        <v>0</v>
      </c>
      <c r="J1008" s="69">
        <f>SUMIF('Executive Pay Breakdown'!AA:AA,$B1008,'Executive Pay Breakdown'!AC:AC)</f>
        <v>0</v>
      </c>
      <c r="K1008" s="118"/>
      <c r="L1008" s="212"/>
      <c r="M1008" s="87"/>
      <c r="N1008" s="230"/>
      <c r="O1008" s="120" t="str">
        <f>MATCH(C1008,'Key Findings'!B:B,0)</f>
        <v>#N/A</v>
      </c>
    </row>
    <row r="1009" hidden="1">
      <c r="A1009" s="62"/>
      <c r="B1009" s="127" t="s">
        <v>1217</v>
      </c>
      <c r="C1009" s="87" t="s">
        <v>1211</v>
      </c>
      <c r="D1009" s="89">
        <f>SUMIF('Executive Pay Breakdown'!K:K,$B1009,'Executive Pay Breakdown'!M:M)+SUMIF('Executive Pay Breakdown'!O:O,$B1009,'Executive Pay Breakdown'!Q:Q)+SUMIF('Executive Pay Breakdown'!S:S,$B1009,'Executive Pay Breakdown'!U:U)+SUMIF('Executive Pay Breakdown'!W:W,$B1009,'Executive Pay Breakdown'!Y:Y)+SUMIF('Executive Pay Breakdown'!AA:AA,$B1009,'Executive Pay Breakdown'!AC:AC)</f>
        <v>6964150</v>
      </c>
      <c r="E1009" s="109"/>
      <c r="F1009" s="69">
        <f>SUMIF('Executive Pay Breakdown'!K:K,$B1009,'Executive Pay Breakdown'!M:M)</f>
        <v>2737708</v>
      </c>
      <c r="G1009" s="69">
        <f>SUMIF('Executive Pay Breakdown'!O:O,$B1009,'Executive Pay Breakdown'!Q:Q)</f>
        <v>2367102</v>
      </c>
      <c r="H1009" s="69">
        <f>SUMIF('Executive Pay Breakdown'!S:S,$B1009,'Executive Pay Breakdown'!U:U)</f>
        <v>1859340</v>
      </c>
      <c r="I1009" s="69">
        <f>SUMIF('Executive Pay Breakdown'!W:W,$B1009,'Executive Pay Breakdown'!Y:Y)</f>
        <v>0</v>
      </c>
      <c r="J1009" s="69">
        <f>SUMIF('Executive Pay Breakdown'!AA:AA,$B1009,'Executive Pay Breakdown'!AC:AC)</f>
        <v>0</v>
      </c>
      <c r="K1009" s="118"/>
      <c r="L1009" s="212"/>
      <c r="M1009" s="87"/>
      <c r="N1009" s="230"/>
      <c r="O1009" s="120" t="str">
        <f>MATCH(C1009,'Key Findings'!B:B,0)</f>
        <v>#N/A</v>
      </c>
    </row>
    <row r="1010" hidden="1">
      <c r="A1010" s="62"/>
      <c r="B1010" s="127" t="s">
        <v>1218</v>
      </c>
      <c r="C1010" s="87" t="s">
        <v>1211</v>
      </c>
      <c r="D1010" s="89">
        <f>SUMIF('Executive Pay Breakdown'!K:K,$B1010,'Executive Pay Breakdown'!M:M)+SUMIF('Executive Pay Breakdown'!O:O,$B1010,'Executive Pay Breakdown'!Q:Q)+SUMIF('Executive Pay Breakdown'!S:S,$B1010,'Executive Pay Breakdown'!U:U)+SUMIF('Executive Pay Breakdown'!W:W,$B1010,'Executive Pay Breakdown'!Y:Y)+SUMIF('Executive Pay Breakdown'!AA:AA,$B1010,'Executive Pay Breakdown'!AC:AC)</f>
        <v>5038180</v>
      </c>
      <c r="E1010" s="109"/>
      <c r="F1010" s="69">
        <f>SUMIF('Executive Pay Breakdown'!K:K,$B1010,'Executive Pay Breakdown'!M:M)</f>
        <v>2572351</v>
      </c>
      <c r="G1010" s="69">
        <f>SUMIF('Executive Pay Breakdown'!O:O,$B1010,'Executive Pay Breakdown'!Q:Q)</f>
        <v>2465829</v>
      </c>
      <c r="H1010" s="69">
        <f>SUMIF('Executive Pay Breakdown'!S:S,$B1010,'Executive Pay Breakdown'!U:U)</f>
        <v>0</v>
      </c>
      <c r="I1010" s="69">
        <f>SUMIF('Executive Pay Breakdown'!W:W,$B1010,'Executive Pay Breakdown'!Y:Y)</f>
        <v>0</v>
      </c>
      <c r="J1010" s="69">
        <f>SUMIF('Executive Pay Breakdown'!AA:AA,$B1010,'Executive Pay Breakdown'!AC:AC)</f>
        <v>0</v>
      </c>
      <c r="K1010" s="118"/>
      <c r="L1010" s="212"/>
      <c r="M1010" s="212"/>
      <c r="N1010" s="230"/>
      <c r="O1010" s="120" t="str">
        <f>MATCH(C1010,'Key Findings'!B:B,0)</f>
        <v>#N/A</v>
      </c>
    </row>
    <row r="1011" hidden="1">
      <c r="A1011" s="62"/>
      <c r="B1011" s="127" t="s">
        <v>1219</v>
      </c>
      <c r="C1011" s="87" t="s">
        <v>1211</v>
      </c>
      <c r="D1011" s="89">
        <f>SUMIF('Executive Pay Breakdown'!K:K,$B1011,'Executive Pay Breakdown'!M:M)+SUMIF('Executive Pay Breakdown'!O:O,$B1011,'Executive Pay Breakdown'!Q:Q)+SUMIF('Executive Pay Breakdown'!S:S,$B1011,'Executive Pay Breakdown'!U:U)+SUMIF('Executive Pay Breakdown'!W:W,$B1011,'Executive Pay Breakdown'!Y:Y)+SUMIF('Executive Pay Breakdown'!AA:AA,$B1011,'Executive Pay Breakdown'!AC:AC)</f>
        <v>3595164</v>
      </c>
      <c r="E1011" s="109"/>
      <c r="F1011" s="69">
        <f>SUMIF('Executive Pay Breakdown'!K:K,$B1011,'Executive Pay Breakdown'!M:M)</f>
        <v>0</v>
      </c>
      <c r="G1011" s="69">
        <f>SUMIF('Executive Pay Breakdown'!O:O,$B1011,'Executive Pay Breakdown'!Q:Q)</f>
        <v>0</v>
      </c>
      <c r="H1011" s="69">
        <f>SUMIF('Executive Pay Breakdown'!S:S,$B1011,'Executive Pay Breakdown'!U:U)</f>
        <v>0</v>
      </c>
      <c r="I1011" s="69">
        <f>SUMIF('Executive Pay Breakdown'!W:W,$B1011,'Executive Pay Breakdown'!Y:Y)</f>
        <v>0</v>
      </c>
      <c r="J1011" s="69">
        <f>SUMIF('Executive Pay Breakdown'!AA:AA,$B1011,'Executive Pay Breakdown'!AC:AC)</f>
        <v>3595164</v>
      </c>
      <c r="K1011" s="118"/>
      <c r="L1011" s="212"/>
      <c r="M1011" s="87"/>
      <c r="N1011" s="87"/>
      <c r="O1011" s="120" t="str">
        <f>MATCH(C1011,'Key Findings'!B:B,0)</f>
        <v>#N/A</v>
      </c>
    </row>
    <row r="1012" hidden="1">
      <c r="A1012" s="62"/>
      <c r="B1012" s="127" t="s">
        <v>1220</v>
      </c>
      <c r="C1012" s="87" t="s">
        <v>1211</v>
      </c>
      <c r="D1012" s="89">
        <f>SUMIF('Executive Pay Breakdown'!K:K,$B1012,'Executive Pay Breakdown'!M:M)+SUMIF('Executive Pay Breakdown'!O:O,$B1012,'Executive Pay Breakdown'!Q:Q)+SUMIF('Executive Pay Breakdown'!S:S,$B1012,'Executive Pay Breakdown'!U:U)+SUMIF('Executive Pay Breakdown'!W:W,$B1012,'Executive Pay Breakdown'!Y:Y)+SUMIF('Executive Pay Breakdown'!AA:AA,$B1012,'Executive Pay Breakdown'!AC:AC)</f>
        <v>2367904</v>
      </c>
      <c r="E1012" s="109"/>
      <c r="F1012" s="69">
        <f>SUMIF('Executive Pay Breakdown'!K:K,$B1012,'Executive Pay Breakdown'!M:M)</f>
        <v>2367904</v>
      </c>
      <c r="G1012" s="69">
        <f>SUMIF('Executive Pay Breakdown'!O:O,$B1012,'Executive Pay Breakdown'!Q:Q)</f>
        <v>0</v>
      </c>
      <c r="H1012" s="69">
        <f>SUMIF('Executive Pay Breakdown'!S:S,$B1012,'Executive Pay Breakdown'!U:U)</f>
        <v>0</v>
      </c>
      <c r="I1012" s="69">
        <f>SUMIF('Executive Pay Breakdown'!W:W,$B1012,'Executive Pay Breakdown'!Y:Y)</f>
        <v>0</v>
      </c>
      <c r="J1012" s="69">
        <f>SUMIF('Executive Pay Breakdown'!AA:AA,$B1012,'Executive Pay Breakdown'!AC:AC)</f>
        <v>0</v>
      </c>
      <c r="K1012" s="118"/>
      <c r="L1012" s="212"/>
      <c r="M1012" s="87"/>
      <c r="N1012" s="230"/>
      <c r="O1012" s="120" t="str">
        <f>MATCH(C1012,'Key Findings'!B:B,0)</f>
        <v>#N/A</v>
      </c>
    </row>
    <row r="1013" hidden="1">
      <c r="A1013" s="62"/>
      <c r="B1013" s="131" t="s">
        <v>1221</v>
      </c>
      <c r="C1013" s="87" t="s">
        <v>1222</v>
      </c>
      <c r="D1013" s="89">
        <f>SUMIF('Executive Pay Breakdown'!K:K,$B1013,'Executive Pay Breakdown'!M:M)+SUMIF('Executive Pay Breakdown'!O:O,$B1013,'Executive Pay Breakdown'!Q:Q)+SUMIF('Executive Pay Breakdown'!S:S,$B1013,'Executive Pay Breakdown'!U:U)+SUMIF('Executive Pay Breakdown'!W:W,$B1013,'Executive Pay Breakdown'!Y:Y)+SUMIF('Executive Pay Breakdown'!AA:AA,$B1013,'Executive Pay Breakdown'!AC:AC)</f>
        <v>108582355</v>
      </c>
      <c r="E1013" s="109"/>
      <c r="F1013" s="69">
        <f>SUMIF('Executive Pay Breakdown'!K:K,$B1013,'Executive Pay Breakdown'!M:M)</f>
        <v>35909231</v>
      </c>
      <c r="G1013" s="69">
        <f>SUMIF('Executive Pay Breakdown'!O:O,$B1013,'Executive Pay Breakdown'!Q:Q)</f>
        <v>23954574</v>
      </c>
      <c r="H1013" s="69">
        <f>SUMIF('Executive Pay Breakdown'!S:S,$B1013,'Executive Pay Breakdown'!U:U)</f>
        <v>15639061</v>
      </c>
      <c r="I1013" s="69">
        <f>SUMIF('Executive Pay Breakdown'!W:W,$B1013,'Executive Pay Breakdown'!Y:Y)</f>
        <v>17279199</v>
      </c>
      <c r="J1013" s="69">
        <f>SUMIF('Executive Pay Breakdown'!AA:AA,$B1013,'Executive Pay Breakdown'!AC:AC)</f>
        <v>15800290</v>
      </c>
      <c r="K1013" s="118"/>
      <c r="L1013" s="212"/>
      <c r="M1013" s="87"/>
      <c r="N1013" s="87"/>
      <c r="O1013" s="120" t="str">
        <f>MATCH(C1013,'Key Findings'!B:B,0)</f>
        <v>#N/A</v>
      </c>
    </row>
    <row r="1014" hidden="1">
      <c r="A1014" s="62"/>
      <c r="B1014" s="131" t="s">
        <v>1223</v>
      </c>
      <c r="C1014" s="87" t="s">
        <v>1222</v>
      </c>
      <c r="D1014" s="89">
        <f>SUMIF('Executive Pay Breakdown'!K:K,$B1014,'Executive Pay Breakdown'!M:M)+SUMIF('Executive Pay Breakdown'!O:O,$B1014,'Executive Pay Breakdown'!Q:Q)+SUMIF('Executive Pay Breakdown'!S:S,$B1014,'Executive Pay Breakdown'!U:U)+SUMIF('Executive Pay Breakdown'!W:W,$B1014,'Executive Pay Breakdown'!Y:Y)+SUMIF('Executive Pay Breakdown'!AA:AA,$B1014,'Executive Pay Breakdown'!AC:AC)</f>
        <v>66658064</v>
      </c>
      <c r="E1014" s="109"/>
      <c r="F1014" s="69">
        <f>SUMIF('Executive Pay Breakdown'!K:K,$B1014,'Executive Pay Breakdown'!M:M)</f>
        <v>21184594</v>
      </c>
      <c r="G1014" s="69">
        <f>SUMIF('Executive Pay Breakdown'!O:O,$B1014,'Executive Pay Breakdown'!Q:Q)</f>
        <v>14209216</v>
      </c>
      <c r="H1014" s="69">
        <f>SUMIF('Executive Pay Breakdown'!S:S,$B1014,'Executive Pay Breakdown'!U:U)</f>
        <v>8356348</v>
      </c>
      <c r="I1014" s="69">
        <f>SUMIF('Executive Pay Breakdown'!W:W,$B1014,'Executive Pay Breakdown'!Y:Y)</f>
        <v>13304900</v>
      </c>
      <c r="J1014" s="69">
        <f>SUMIF('Executive Pay Breakdown'!AA:AA,$B1014,'Executive Pay Breakdown'!AC:AC)</f>
        <v>9603006</v>
      </c>
      <c r="K1014" s="118"/>
      <c r="L1014" s="212"/>
      <c r="M1014" s="87"/>
      <c r="N1014" s="87"/>
      <c r="O1014" s="120" t="str">
        <f>MATCH(C1014,'Key Findings'!B:B,0)</f>
        <v>#N/A</v>
      </c>
    </row>
    <row r="1015" hidden="1">
      <c r="A1015" s="62"/>
      <c r="B1015" s="131" t="s">
        <v>1224</v>
      </c>
      <c r="C1015" s="87" t="s">
        <v>1222</v>
      </c>
      <c r="D1015" s="89">
        <f>SUMIF('Executive Pay Breakdown'!K:K,$B1015,'Executive Pay Breakdown'!M:M)+SUMIF('Executive Pay Breakdown'!O:O,$B1015,'Executive Pay Breakdown'!Q:Q)+SUMIF('Executive Pay Breakdown'!S:S,$B1015,'Executive Pay Breakdown'!U:U)+SUMIF('Executive Pay Breakdown'!W:W,$B1015,'Executive Pay Breakdown'!Y:Y)+SUMIF('Executive Pay Breakdown'!AA:AA,$B1015,'Executive Pay Breakdown'!AC:AC)</f>
        <v>61472194</v>
      </c>
      <c r="E1015" s="109"/>
      <c r="F1015" s="69">
        <f>SUMIF('Executive Pay Breakdown'!K:K,$B1015,'Executive Pay Breakdown'!M:M)</f>
        <v>22221894</v>
      </c>
      <c r="G1015" s="69">
        <f>SUMIF('Executive Pay Breakdown'!O:O,$B1015,'Executive Pay Breakdown'!Q:Q)</f>
        <v>9893921</v>
      </c>
      <c r="H1015" s="69">
        <f>SUMIF('Executive Pay Breakdown'!S:S,$B1015,'Executive Pay Breakdown'!U:U)</f>
        <v>7949308</v>
      </c>
      <c r="I1015" s="69">
        <f>SUMIF('Executive Pay Breakdown'!W:W,$B1015,'Executive Pay Breakdown'!Y:Y)</f>
        <v>12044285</v>
      </c>
      <c r="J1015" s="69">
        <f>SUMIF('Executive Pay Breakdown'!AA:AA,$B1015,'Executive Pay Breakdown'!AC:AC)</f>
        <v>9362786</v>
      </c>
      <c r="K1015" s="118"/>
      <c r="L1015" s="212"/>
      <c r="M1015" s="87"/>
      <c r="N1015" s="87"/>
      <c r="O1015" s="120" t="str">
        <f>MATCH(C1015,'Key Findings'!B:B,0)</f>
        <v>#N/A</v>
      </c>
    </row>
    <row r="1016" hidden="1">
      <c r="A1016" s="62"/>
      <c r="B1016" s="130" t="s">
        <v>1225</v>
      </c>
      <c r="C1016" s="87" t="s">
        <v>1222</v>
      </c>
      <c r="D1016" s="89">
        <f>SUMIF('Executive Pay Breakdown'!K:K,$B1016,'Executive Pay Breakdown'!M:M)+SUMIF('Executive Pay Breakdown'!O:O,$B1016,'Executive Pay Breakdown'!Q:Q)+SUMIF('Executive Pay Breakdown'!S:S,$B1016,'Executive Pay Breakdown'!U:U)+SUMIF('Executive Pay Breakdown'!W:W,$B1016,'Executive Pay Breakdown'!Y:Y)+SUMIF('Executive Pay Breakdown'!AA:AA,$B1016,'Executive Pay Breakdown'!AC:AC)</f>
        <v>42042085</v>
      </c>
      <c r="E1016" s="109"/>
      <c r="F1016" s="69">
        <f>SUMIF('Executive Pay Breakdown'!K:K,$B1016,'Executive Pay Breakdown'!M:M)</f>
        <v>0</v>
      </c>
      <c r="G1016" s="69">
        <f>SUMIF('Executive Pay Breakdown'!O:O,$B1016,'Executive Pay Breakdown'!Q:Q)</f>
        <v>7797395</v>
      </c>
      <c r="H1016" s="69">
        <f>SUMIF('Executive Pay Breakdown'!S:S,$B1016,'Executive Pay Breakdown'!U:U)</f>
        <v>9842972</v>
      </c>
      <c r="I1016" s="69">
        <f>SUMIF('Executive Pay Breakdown'!W:W,$B1016,'Executive Pay Breakdown'!Y:Y)</f>
        <v>12332840</v>
      </c>
      <c r="J1016" s="69">
        <f>SUMIF('Executive Pay Breakdown'!AA:AA,$B1016,'Executive Pay Breakdown'!AC:AC)</f>
        <v>12068878</v>
      </c>
      <c r="K1016" s="118"/>
      <c r="L1016" s="212"/>
      <c r="M1016" s="87"/>
      <c r="N1016" s="87"/>
      <c r="O1016" s="120" t="str">
        <f>MATCH(C1016,'Key Findings'!B:B,0)</f>
        <v>#N/A</v>
      </c>
    </row>
    <row r="1017" hidden="1">
      <c r="A1017" s="62"/>
      <c r="B1017" s="125" t="s">
        <v>1226</v>
      </c>
      <c r="C1017" s="87" t="s">
        <v>1222</v>
      </c>
      <c r="D1017" s="89">
        <f>SUMIF('Executive Pay Breakdown'!K:K,$B1017,'Executive Pay Breakdown'!M:M)+SUMIF('Executive Pay Breakdown'!O:O,$B1017,'Executive Pay Breakdown'!Q:Q)+SUMIF('Executive Pay Breakdown'!S:S,$B1017,'Executive Pay Breakdown'!U:U)+SUMIF('Executive Pay Breakdown'!W:W,$B1017,'Executive Pay Breakdown'!Y:Y)+SUMIF('Executive Pay Breakdown'!AA:AA,$B1017,'Executive Pay Breakdown'!AC:AC)</f>
        <v>33722009</v>
      </c>
      <c r="E1017" s="109"/>
      <c r="F1017" s="69">
        <f>SUMIF('Executive Pay Breakdown'!K:K,$B1017,'Executive Pay Breakdown'!M:M)</f>
        <v>20013825</v>
      </c>
      <c r="G1017" s="69">
        <f>SUMIF('Executive Pay Breakdown'!O:O,$B1017,'Executive Pay Breakdown'!Q:Q)</f>
        <v>13708184</v>
      </c>
      <c r="H1017" s="69">
        <f>SUMIF('Executive Pay Breakdown'!S:S,$B1017,'Executive Pay Breakdown'!U:U)</f>
        <v>0</v>
      </c>
      <c r="I1017" s="69">
        <f>SUMIF('Executive Pay Breakdown'!W:W,$B1017,'Executive Pay Breakdown'!Y:Y)</f>
        <v>0</v>
      </c>
      <c r="J1017" s="69">
        <f>SUMIF('Executive Pay Breakdown'!AA:AA,$B1017,'Executive Pay Breakdown'!AC:AC)</f>
        <v>0</v>
      </c>
      <c r="K1017" s="118"/>
      <c r="L1017" s="212"/>
      <c r="M1017" s="212"/>
      <c r="N1017" s="230"/>
      <c r="O1017" s="120" t="str">
        <f>MATCH(C1017,'Key Findings'!B:B,0)</f>
        <v>#N/A</v>
      </c>
    </row>
    <row r="1018" hidden="1">
      <c r="A1018" s="62"/>
      <c r="B1018" s="125" t="s">
        <v>1227</v>
      </c>
      <c r="C1018" s="87" t="s">
        <v>1222</v>
      </c>
      <c r="D1018" s="89">
        <f>SUMIF('Executive Pay Breakdown'!K:K,$B1018,'Executive Pay Breakdown'!M:M)+SUMIF('Executive Pay Breakdown'!O:O,$B1018,'Executive Pay Breakdown'!Q:Q)+SUMIF('Executive Pay Breakdown'!S:S,$B1018,'Executive Pay Breakdown'!U:U)+SUMIF('Executive Pay Breakdown'!W:W,$B1018,'Executive Pay Breakdown'!Y:Y)+SUMIF('Executive Pay Breakdown'!AA:AA,$B1018,'Executive Pay Breakdown'!AC:AC)</f>
        <v>32322754</v>
      </c>
      <c r="E1018" s="109"/>
      <c r="F1018" s="69">
        <f>SUMIF('Executive Pay Breakdown'!K:K,$B1018,'Executive Pay Breakdown'!M:M)</f>
        <v>0</v>
      </c>
      <c r="G1018" s="69">
        <f>SUMIF('Executive Pay Breakdown'!O:O,$B1018,'Executive Pay Breakdown'!Q:Q)</f>
        <v>0</v>
      </c>
      <c r="H1018" s="69">
        <f>SUMIF('Executive Pay Breakdown'!S:S,$B1018,'Executive Pay Breakdown'!U:U)</f>
        <v>7176637</v>
      </c>
      <c r="I1018" s="69">
        <f>SUMIF('Executive Pay Breakdown'!W:W,$B1018,'Executive Pay Breakdown'!Y:Y)</f>
        <v>14380078</v>
      </c>
      <c r="J1018" s="69">
        <f>SUMIF('Executive Pay Breakdown'!AA:AA,$B1018,'Executive Pay Breakdown'!AC:AC)</f>
        <v>10766039</v>
      </c>
      <c r="K1018" s="118"/>
      <c r="L1018" s="212"/>
      <c r="M1018" s="87"/>
      <c r="N1018" s="87"/>
      <c r="O1018" s="120" t="str">
        <f>MATCH(C1018,'Key Findings'!B:B,0)</f>
        <v>#N/A</v>
      </c>
    </row>
    <row r="1019" hidden="1">
      <c r="A1019" s="62"/>
      <c r="B1019" s="125" t="s">
        <v>1228</v>
      </c>
      <c r="C1019" s="87" t="s">
        <v>1222</v>
      </c>
      <c r="D1019" s="89">
        <f>SUMIF('Executive Pay Breakdown'!K:K,$B1019,'Executive Pay Breakdown'!M:M)+SUMIF('Executive Pay Breakdown'!O:O,$B1019,'Executive Pay Breakdown'!Q:Q)+SUMIF('Executive Pay Breakdown'!S:S,$B1019,'Executive Pay Breakdown'!U:U)+SUMIF('Executive Pay Breakdown'!W:W,$B1019,'Executive Pay Breakdown'!Y:Y)+SUMIF('Executive Pay Breakdown'!AA:AA,$B1019,'Executive Pay Breakdown'!AC:AC)</f>
        <v>19955905</v>
      </c>
      <c r="E1019" s="109"/>
      <c r="F1019" s="69">
        <f>SUMIF('Executive Pay Breakdown'!K:K,$B1019,'Executive Pay Breakdown'!M:M)</f>
        <v>19955905</v>
      </c>
      <c r="G1019" s="69">
        <f>SUMIF('Executive Pay Breakdown'!O:O,$B1019,'Executive Pay Breakdown'!Q:Q)</f>
        <v>0</v>
      </c>
      <c r="H1019" s="69">
        <f>SUMIF('Executive Pay Breakdown'!S:S,$B1019,'Executive Pay Breakdown'!U:U)</f>
        <v>0</v>
      </c>
      <c r="I1019" s="69">
        <f>SUMIF('Executive Pay Breakdown'!W:W,$B1019,'Executive Pay Breakdown'!Y:Y)</f>
        <v>0</v>
      </c>
      <c r="J1019" s="69">
        <f>SUMIF('Executive Pay Breakdown'!AA:AA,$B1019,'Executive Pay Breakdown'!AC:AC)</f>
        <v>0</v>
      </c>
      <c r="K1019" s="118"/>
      <c r="L1019" s="212"/>
      <c r="M1019" s="87"/>
      <c r="N1019" s="230"/>
      <c r="O1019" s="120" t="str">
        <f>MATCH(C1019,'Key Findings'!B:B,0)</f>
        <v>#N/A</v>
      </c>
    </row>
    <row r="1020" hidden="1">
      <c r="A1020" s="62"/>
      <c r="B1020" s="125" t="s">
        <v>1229</v>
      </c>
      <c r="C1020" s="87" t="s">
        <v>1222</v>
      </c>
      <c r="D1020" s="89">
        <f>SUMIF('Executive Pay Breakdown'!K:K,$B1020,'Executive Pay Breakdown'!M:M)+SUMIF('Executive Pay Breakdown'!O:O,$B1020,'Executive Pay Breakdown'!Q:Q)+SUMIF('Executive Pay Breakdown'!S:S,$B1020,'Executive Pay Breakdown'!U:U)+SUMIF('Executive Pay Breakdown'!W:W,$B1020,'Executive Pay Breakdown'!Y:Y)+SUMIF('Executive Pay Breakdown'!AA:AA,$B1020,'Executive Pay Breakdown'!AC:AC)</f>
        <v>10394783</v>
      </c>
      <c r="E1020" s="109"/>
      <c r="F1020" s="69">
        <f>SUMIF('Executive Pay Breakdown'!K:K,$B1020,'Executive Pay Breakdown'!M:M)</f>
        <v>0</v>
      </c>
      <c r="G1020" s="69">
        <f>SUMIF('Executive Pay Breakdown'!O:O,$B1020,'Executive Pay Breakdown'!Q:Q)</f>
        <v>10394783</v>
      </c>
      <c r="H1020" s="69">
        <f>SUMIF('Executive Pay Breakdown'!S:S,$B1020,'Executive Pay Breakdown'!U:U)</f>
        <v>0</v>
      </c>
      <c r="I1020" s="69">
        <f>SUMIF('Executive Pay Breakdown'!W:W,$B1020,'Executive Pay Breakdown'!Y:Y)</f>
        <v>0</v>
      </c>
      <c r="J1020" s="69">
        <f>SUMIF('Executive Pay Breakdown'!AA:AA,$B1020,'Executive Pay Breakdown'!AC:AC)</f>
        <v>0</v>
      </c>
      <c r="K1020" s="118"/>
      <c r="L1020" s="212"/>
      <c r="M1020" s="212"/>
      <c r="N1020" s="87"/>
      <c r="O1020" s="120" t="str">
        <f>MATCH(C1020,'Key Findings'!B:B,0)</f>
        <v>#N/A</v>
      </c>
    </row>
    <row r="1021" hidden="1">
      <c r="A1021" s="81"/>
      <c r="B1021" s="87" t="s">
        <v>1230</v>
      </c>
      <c r="C1021" s="87" t="s">
        <v>1231</v>
      </c>
      <c r="D1021" s="89">
        <f>SUMIF('Executive Pay Breakdown'!K:K,$B1021,'Executive Pay Breakdown'!M:M)+SUMIF('Executive Pay Breakdown'!O:O,$B1021,'Executive Pay Breakdown'!Q:Q)+SUMIF('Executive Pay Breakdown'!S:S,$B1021,'Executive Pay Breakdown'!U:U)+SUMIF('Executive Pay Breakdown'!W:W,$B1021,'Executive Pay Breakdown'!Y:Y)+SUMIF('Executive Pay Breakdown'!AA:AA,$B1021,'Executive Pay Breakdown'!AC:AC)</f>
        <v>87046689</v>
      </c>
      <c r="E1021" s="109"/>
      <c r="F1021" s="69">
        <f>SUMIF('Executive Pay Breakdown'!K:K,$B1021,'Executive Pay Breakdown'!M:M)</f>
        <v>20931081</v>
      </c>
      <c r="G1021" s="69">
        <f>SUMIF('Executive Pay Breakdown'!O:O,$B1021,'Executive Pay Breakdown'!Q:Q)</f>
        <v>19348241</v>
      </c>
      <c r="H1021" s="69">
        <f>SUMIF('Executive Pay Breakdown'!S:S,$B1021,'Executive Pay Breakdown'!U:U)</f>
        <v>17109952</v>
      </c>
      <c r="I1021" s="69">
        <f>SUMIF('Executive Pay Breakdown'!W:W,$B1021,'Executive Pay Breakdown'!Y:Y)</f>
        <v>15473139</v>
      </c>
      <c r="J1021" s="69">
        <f>SUMIF('Executive Pay Breakdown'!AA:AA,$B1021,'Executive Pay Breakdown'!AC:AC)</f>
        <v>14184276</v>
      </c>
      <c r="K1021" s="118"/>
      <c r="L1021" s="212"/>
      <c r="M1021" s="87"/>
      <c r="N1021" s="230"/>
      <c r="O1021" s="120" t="str">
        <f>MATCH(C1021,'Key Findings'!B:B,0)</f>
        <v>#N/A</v>
      </c>
    </row>
    <row r="1022" hidden="1">
      <c r="A1022" s="81"/>
      <c r="B1022" s="133" t="s">
        <v>1232</v>
      </c>
      <c r="C1022" s="87" t="s">
        <v>1231</v>
      </c>
      <c r="D1022" s="89">
        <f>SUMIF('Executive Pay Breakdown'!K:K,$B1022,'Executive Pay Breakdown'!M:M)+SUMIF('Executive Pay Breakdown'!O:O,$B1022,'Executive Pay Breakdown'!Q:Q)+SUMIF('Executive Pay Breakdown'!S:S,$B1022,'Executive Pay Breakdown'!U:U)+SUMIF('Executive Pay Breakdown'!W:W,$B1022,'Executive Pay Breakdown'!Y:Y)+SUMIF('Executive Pay Breakdown'!AA:AA,$B1022,'Executive Pay Breakdown'!AC:AC)</f>
        <v>30677207</v>
      </c>
      <c r="E1022" s="109"/>
      <c r="F1022" s="69">
        <f>SUMIF('Executive Pay Breakdown'!K:K,$B1022,'Executive Pay Breakdown'!M:M)</f>
        <v>6387729</v>
      </c>
      <c r="G1022" s="69">
        <f>SUMIF('Executive Pay Breakdown'!O:O,$B1022,'Executive Pay Breakdown'!Q:Q)</f>
        <v>7888858</v>
      </c>
      <c r="H1022" s="69">
        <f>SUMIF('Executive Pay Breakdown'!S:S,$B1022,'Executive Pay Breakdown'!U:U)</f>
        <v>5387111</v>
      </c>
      <c r="I1022" s="69">
        <f>SUMIF('Executive Pay Breakdown'!W:W,$B1022,'Executive Pay Breakdown'!Y:Y)</f>
        <v>5076966</v>
      </c>
      <c r="J1022" s="69">
        <f>SUMIF('Executive Pay Breakdown'!AA:AA,$B1022,'Executive Pay Breakdown'!AC:AC)</f>
        <v>5936543</v>
      </c>
      <c r="K1022" s="118"/>
      <c r="L1022" s="212"/>
      <c r="M1022" s="87"/>
      <c r="N1022" s="230"/>
      <c r="O1022" s="120" t="str">
        <f>MATCH(C1022,'Key Findings'!B:B,0)</f>
        <v>#N/A</v>
      </c>
    </row>
    <row r="1023" hidden="1">
      <c r="A1023" s="81"/>
      <c r="B1023" s="87" t="s">
        <v>1233</v>
      </c>
      <c r="C1023" s="87" t="s">
        <v>1231</v>
      </c>
      <c r="D1023" s="89">
        <f>SUMIF('Executive Pay Breakdown'!K:K,$B1023,'Executive Pay Breakdown'!M:M)+SUMIF('Executive Pay Breakdown'!O:O,$B1023,'Executive Pay Breakdown'!Q:Q)+SUMIF('Executive Pay Breakdown'!S:S,$B1023,'Executive Pay Breakdown'!U:U)+SUMIF('Executive Pay Breakdown'!W:W,$B1023,'Executive Pay Breakdown'!Y:Y)+SUMIF('Executive Pay Breakdown'!AA:AA,$B1023,'Executive Pay Breakdown'!AC:AC)</f>
        <v>29447771</v>
      </c>
      <c r="E1023" s="109"/>
      <c r="F1023" s="69">
        <f>SUMIF('Executive Pay Breakdown'!K:K,$B1023,'Executive Pay Breakdown'!M:M)</f>
        <v>7641837</v>
      </c>
      <c r="G1023" s="69">
        <f>SUMIF('Executive Pay Breakdown'!O:O,$B1023,'Executive Pay Breakdown'!Q:Q)</f>
        <v>6141280</v>
      </c>
      <c r="H1023" s="69">
        <f>SUMIF('Executive Pay Breakdown'!S:S,$B1023,'Executive Pay Breakdown'!U:U)</f>
        <v>5401735</v>
      </c>
      <c r="I1023" s="69">
        <f>SUMIF('Executive Pay Breakdown'!W:W,$B1023,'Executive Pay Breakdown'!Y:Y)</f>
        <v>5109053</v>
      </c>
      <c r="J1023" s="69">
        <f>SUMIF('Executive Pay Breakdown'!AA:AA,$B1023,'Executive Pay Breakdown'!AC:AC)</f>
        <v>5153866</v>
      </c>
      <c r="K1023" s="118"/>
      <c r="L1023" s="212"/>
      <c r="M1023" s="87"/>
      <c r="N1023" s="230"/>
      <c r="O1023" s="120" t="str">
        <f>MATCH(C1023,'Key Findings'!B:B,0)</f>
        <v>#N/A</v>
      </c>
    </row>
    <row r="1024" hidden="1">
      <c r="A1024" s="81"/>
      <c r="B1024" s="133" t="s">
        <v>1234</v>
      </c>
      <c r="C1024" s="87" t="s">
        <v>1231</v>
      </c>
      <c r="D1024" s="89">
        <f>SUMIF('Executive Pay Breakdown'!K:K,$B1024,'Executive Pay Breakdown'!M:M)+SUMIF('Executive Pay Breakdown'!O:O,$B1024,'Executive Pay Breakdown'!Q:Q)+SUMIF('Executive Pay Breakdown'!S:S,$B1024,'Executive Pay Breakdown'!U:U)+SUMIF('Executive Pay Breakdown'!W:W,$B1024,'Executive Pay Breakdown'!Y:Y)+SUMIF('Executive Pay Breakdown'!AA:AA,$B1024,'Executive Pay Breakdown'!AC:AC)</f>
        <v>28564084</v>
      </c>
      <c r="E1024" s="109"/>
      <c r="F1024" s="69">
        <f>SUMIF('Executive Pay Breakdown'!K:K,$B1024,'Executive Pay Breakdown'!M:M)</f>
        <v>6426376</v>
      </c>
      <c r="G1024" s="69">
        <f>SUMIF('Executive Pay Breakdown'!O:O,$B1024,'Executive Pay Breakdown'!Q:Q)</f>
        <v>5923134</v>
      </c>
      <c r="H1024" s="69">
        <f>SUMIF('Executive Pay Breakdown'!S:S,$B1024,'Executive Pay Breakdown'!U:U)</f>
        <v>5530661</v>
      </c>
      <c r="I1024" s="69">
        <f>SUMIF('Executive Pay Breakdown'!W:W,$B1024,'Executive Pay Breakdown'!Y:Y)</f>
        <v>5247126</v>
      </c>
      <c r="J1024" s="69">
        <f>SUMIF('Executive Pay Breakdown'!AA:AA,$B1024,'Executive Pay Breakdown'!AC:AC)</f>
        <v>5436787</v>
      </c>
      <c r="K1024" s="118"/>
      <c r="L1024" s="212"/>
      <c r="M1024" s="87"/>
      <c r="N1024" s="230"/>
      <c r="O1024" s="120" t="str">
        <f>MATCH(C1024,'Key Findings'!B:B,0)</f>
        <v>#N/A</v>
      </c>
    </row>
    <row r="1025" hidden="1">
      <c r="A1025" s="81"/>
      <c r="B1025" s="87" t="s">
        <v>1235</v>
      </c>
      <c r="C1025" s="87" t="s">
        <v>1231</v>
      </c>
      <c r="D1025" s="89">
        <f>SUMIF('Executive Pay Breakdown'!K:K,$B1025,'Executive Pay Breakdown'!M:M)+SUMIF('Executive Pay Breakdown'!O:O,$B1025,'Executive Pay Breakdown'!Q:Q)+SUMIF('Executive Pay Breakdown'!S:S,$B1025,'Executive Pay Breakdown'!U:U)+SUMIF('Executive Pay Breakdown'!W:W,$B1025,'Executive Pay Breakdown'!Y:Y)+SUMIF('Executive Pay Breakdown'!AA:AA,$B1025,'Executive Pay Breakdown'!AC:AC)</f>
        <v>25380082</v>
      </c>
      <c r="E1025" s="109"/>
      <c r="F1025" s="69">
        <f>SUMIF('Executive Pay Breakdown'!K:K,$B1025,'Executive Pay Breakdown'!M:M)</f>
        <v>6386987</v>
      </c>
      <c r="G1025" s="69">
        <f>SUMIF('Executive Pay Breakdown'!O:O,$B1025,'Executive Pay Breakdown'!Q:Q)</f>
        <v>5833937</v>
      </c>
      <c r="H1025" s="69">
        <f>SUMIF('Executive Pay Breakdown'!S:S,$B1025,'Executive Pay Breakdown'!U:U)</f>
        <v>5236403</v>
      </c>
      <c r="I1025" s="69">
        <f>SUMIF('Executive Pay Breakdown'!W:W,$B1025,'Executive Pay Breakdown'!Y:Y)</f>
        <v>7922755</v>
      </c>
      <c r="J1025" s="69">
        <f>SUMIF('Executive Pay Breakdown'!AA:AA,$B1025,'Executive Pay Breakdown'!AC:AC)</f>
        <v>0</v>
      </c>
      <c r="K1025" s="118"/>
      <c r="L1025" s="212"/>
      <c r="M1025" s="87"/>
      <c r="N1025" s="230"/>
      <c r="O1025" s="120" t="str">
        <f>MATCH(C1025,'Key Findings'!B:B,0)</f>
        <v>#N/A</v>
      </c>
    </row>
    <row r="1026" hidden="1">
      <c r="A1026" s="81"/>
      <c r="B1026" s="133" t="s">
        <v>1236</v>
      </c>
      <c r="C1026" s="87" t="s">
        <v>1231</v>
      </c>
      <c r="D1026" s="89">
        <f>SUMIF('Executive Pay Breakdown'!K:K,$B1026,'Executive Pay Breakdown'!M:M)+SUMIF('Executive Pay Breakdown'!O:O,$B1026,'Executive Pay Breakdown'!Q:Q)+SUMIF('Executive Pay Breakdown'!S:S,$B1026,'Executive Pay Breakdown'!U:U)+SUMIF('Executive Pay Breakdown'!W:W,$B1026,'Executive Pay Breakdown'!Y:Y)+SUMIF('Executive Pay Breakdown'!AA:AA,$B1026,'Executive Pay Breakdown'!AC:AC)</f>
        <v>6066160</v>
      </c>
      <c r="E1026" s="109"/>
      <c r="F1026" s="69">
        <f>SUMIF('Executive Pay Breakdown'!K:K,$B1026,'Executive Pay Breakdown'!M:M)</f>
        <v>0</v>
      </c>
      <c r="G1026" s="69">
        <f>SUMIF('Executive Pay Breakdown'!O:O,$B1026,'Executive Pay Breakdown'!Q:Q)</f>
        <v>0</v>
      </c>
      <c r="H1026" s="69">
        <f>SUMIF('Executive Pay Breakdown'!S:S,$B1026,'Executive Pay Breakdown'!U:U)</f>
        <v>0</v>
      </c>
      <c r="I1026" s="69">
        <f>SUMIF('Executive Pay Breakdown'!W:W,$B1026,'Executive Pay Breakdown'!Y:Y)</f>
        <v>0</v>
      </c>
      <c r="J1026" s="69">
        <f>SUMIF('Executive Pay Breakdown'!AA:AA,$B1026,'Executive Pay Breakdown'!AC:AC)</f>
        <v>6066160</v>
      </c>
      <c r="K1026" s="118"/>
      <c r="L1026" s="212"/>
      <c r="M1026" s="87"/>
      <c r="N1026" s="87"/>
      <c r="O1026" s="120" t="str">
        <f>MATCH(C1026,'Key Findings'!B:B,0)</f>
        <v>#N/A</v>
      </c>
    </row>
    <row r="1027" hidden="1">
      <c r="A1027" s="81"/>
      <c r="B1027" s="133" t="s">
        <v>1237</v>
      </c>
      <c r="C1027" s="87" t="s">
        <v>1231</v>
      </c>
      <c r="D1027" s="89">
        <f>SUMIF('Executive Pay Breakdown'!K:K,$B1027,'Executive Pay Breakdown'!M:M)+SUMIF('Executive Pay Breakdown'!O:O,$B1027,'Executive Pay Breakdown'!Q:Q)+SUMIF('Executive Pay Breakdown'!S:S,$B1027,'Executive Pay Breakdown'!U:U)+SUMIF('Executive Pay Breakdown'!W:W,$B1027,'Executive Pay Breakdown'!Y:Y)+SUMIF('Executive Pay Breakdown'!AA:AA,$B1027,'Executive Pay Breakdown'!AC:AC)</f>
        <v>3977639</v>
      </c>
      <c r="E1027" s="109"/>
      <c r="F1027" s="69">
        <f>SUMIF('Executive Pay Breakdown'!K:K,$B1027,'Executive Pay Breakdown'!M:M)</f>
        <v>0</v>
      </c>
      <c r="G1027" s="69">
        <f>SUMIF('Executive Pay Breakdown'!O:O,$B1027,'Executive Pay Breakdown'!Q:Q)</f>
        <v>0</v>
      </c>
      <c r="H1027" s="69">
        <f>SUMIF('Executive Pay Breakdown'!S:S,$B1027,'Executive Pay Breakdown'!U:U)</f>
        <v>0</v>
      </c>
      <c r="I1027" s="69">
        <f>SUMIF('Executive Pay Breakdown'!W:W,$B1027,'Executive Pay Breakdown'!Y:Y)</f>
        <v>0</v>
      </c>
      <c r="J1027" s="69">
        <f>SUMIF('Executive Pay Breakdown'!AA:AA,$B1027,'Executive Pay Breakdown'!AC:AC)</f>
        <v>3977639</v>
      </c>
      <c r="K1027" s="118"/>
      <c r="L1027" s="212"/>
      <c r="M1027" s="87"/>
      <c r="N1027" s="87"/>
      <c r="O1027" s="120" t="str">
        <f>MATCH(C1027,'Key Findings'!B:B,0)</f>
        <v>#N/A</v>
      </c>
    </row>
    <row r="1028" hidden="1">
      <c r="A1028" s="62"/>
      <c r="B1028" s="125" t="s">
        <v>1238</v>
      </c>
      <c r="C1028" s="87" t="s">
        <v>1239</v>
      </c>
      <c r="D1028" s="89">
        <f>SUMIF('Executive Pay Breakdown'!K:K,$B1028,'Executive Pay Breakdown'!M:M)+SUMIF('Executive Pay Breakdown'!O:O,$B1028,'Executive Pay Breakdown'!Q:Q)+SUMIF('Executive Pay Breakdown'!S:S,$B1028,'Executive Pay Breakdown'!U:U)+SUMIF('Executive Pay Breakdown'!W:W,$B1028,'Executive Pay Breakdown'!Y:Y)+SUMIF('Executive Pay Breakdown'!AA:AA,$B1028,'Executive Pay Breakdown'!AC:AC)</f>
        <v>29608625</v>
      </c>
      <c r="E1028" s="109"/>
      <c r="F1028" s="69">
        <f>SUMIF('Executive Pay Breakdown'!K:K,$B1028,'Executive Pay Breakdown'!M:M)</f>
        <v>1577173</v>
      </c>
      <c r="G1028" s="69">
        <f>SUMIF('Executive Pay Breakdown'!O:O,$B1028,'Executive Pay Breakdown'!Q:Q)</f>
        <v>7138002</v>
      </c>
      <c r="H1028" s="69">
        <f>SUMIF('Executive Pay Breakdown'!S:S,$B1028,'Executive Pay Breakdown'!U:U)</f>
        <v>6295230</v>
      </c>
      <c r="I1028" s="69">
        <f>SUMIF('Executive Pay Breakdown'!W:W,$B1028,'Executive Pay Breakdown'!Y:Y)</f>
        <v>5495804</v>
      </c>
      <c r="J1028" s="69">
        <f>SUMIF('Executive Pay Breakdown'!AA:AA,$B1028,'Executive Pay Breakdown'!AC:AC)</f>
        <v>9102416</v>
      </c>
      <c r="K1028" s="118"/>
      <c r="L1028" s="212"/>
      <c r="M1028" s="87"/>
      <c r="N1028" s="230"/>
      <c r="O1028" s="120" t="str">
        <f>MATCH(C1028,'Key Findings'!B:B,0)</f>
        <v>#N/A</v>
      </c>
    </row>
    <row r="1029" hidden="1">
      <c r="A1029" s="62"/>
      <c r="B1029" s="131" t="s">
        <v>1240</v>
      </c>
      <c r="C1029" s="87" t="s">
        <v>1239</v>
      </c>
      <c r="D1029" s="89">
        <f>SUMIF('Executive Pay Breakdown'!K:K,$B1029,'Executive Pay Breakdown'!M:M)+SUMIF('Executive Pay Breakdown'!O:O,$B1029,'Executive Pay Breakdown'!Q:Q)+SUMIF('Executive Pay Breakdown'!S:S,$B1029,'Executive Pay Breakdown'!U:U)+SUMIF('Executive Pay Breakdown'!W:W,$B1029,'Executive Pay Breakdown'!Y:Y)+SUMIF('Executive Pay Breakdown'!AA:AA,$B1029,'Executive Pay Breakdown'!AC:AC)</f>
        <v>25473800</v>
      </c>
      <c r="E1029" s="109"/>
      <c r="F1029" s="69">
        <f>SUMIF('Executive Pay Breakdown'!K:K,$B1029,'Executive Pay Breakdown'!M:M)</f>
        <v>6636731</v>
      </c>
      <c r="G1029" s="69">
        <f>SUMIF('Executive Pay Breakdown'!O:O,$B1029,'Executive Pay Breakdown'!Q:Q)</f>
        <v>4614916</v>
      </c>
      <c r="H1029" s="69">
        <f>SUMIF('Executive Pay Breakdown'!S:S,$B1029,'Executive Pay Breakdown'!U:U)</f>
        <v>4191396</v>
      </c>
      <c r="I1029" s="69">
        <f>SUMIF('Executive Pay Breakdown'!W:W,$B1029,'Executive Pay Breakdown'!Y:Y)</f>
        <v>3672640</v>
      </c>
      <c r="J1029" s="69">
        <f>SUMIF('Executive Pay Breakdown'!AA:AA,$B1029,'Executive Pay Breakdown'!AC:AC)</f>
        <v>6358117</v>
      </c>
      <c r="K1029" s="118"/>
      <c r="L1029" s="212"/>
      <c r="M1029" s="87"/>
      <c r="N1029" s="230"/>
      <c r="O1029" s="120" t="str">
        <f>MATCH(C1029,'Key Findings'!B:B,0)</f>
        <v>#N/A</v>
      </c>
    </row>
    <row r="1030" hidden="1">
      <c r="A1030" s="62"/>
      <c r="B1030" s="125" t="s">
        <v>1241</v>
      </c>
      <c r="C1030" s="87" t="s">
        <v>1239</v>
      </c>
      <c r="D1030" s="89">
        <f>SUMIF('Executive Pay Breakdown'!K:K,$B1030,'Executive Pay Breakdown'!M:M)+SUMIF('Executive Pay Breakdown'!O:O,$B1030,'Executive Pay Breakdown'!Q:Q)+SUMIF('Executive Pay Breakdown'!S:S,$B1030,'Executive Pay Breakdown'!U:U)+SUMIF('Executive Pay Breakdown'!W:W,$B1030,'Executive Pay Breakdown'!Y:Y)+SUMIF('Executive Pay Breakdown'!AA:AA,$B1030,'Executive Pay Breakdown'!AC:AC)</f>
        <v>12062736</v>
      </c>
      <c r="E1030" s="109"/>
      <c r="F1030" s="69">
        <f>SUMIF('Executive Pay Breakdown'!K:K,$B1030,'Executive Pay Breakdown'!M:M)</f>
        <v>3348689</v>
      </c>
      <c r="G1030" s="69">
        <f>SUMIF('Executive Pay Breakdown'!O:O,$B1030,'Executive Pay Breakdown'!Q:Q)</f>
        <v>2609060</v>
      </c>
      <c r="H1030" s="69">
        <f>SUMIF('Executive Pay Breakdown'!S:S,$B1030,'Executive Pay Breakdown'!U:U)</f>
        <v>2500666</v>
      </c>
      <c r="I1030" s="69">
        <f>SUMIF('Executive Pay Breakdown'!W:W,$B1030,'Executive Pay Breakdown'!Y:Y)</f>
        <v>1791955</v>
      </c>
      <c r="J1030" s="69">
        <f>SUMIF('Executive Pay Breakdown'!AA:AA,$B1030,'Executive Pay Breakdown'!AC:AC)</f>
        <v>1812366</v>
      </c>
      <c r="K1030" s="118"/>
      <c r="L1030" s="212"/>
      <c r="M1030" s="87"/>
      <c r="N1030" s="230"/>
      <c r="O1030" s="120" t="str">
        <f>MATCH(C1030,'Key Findings'!B:B,0)</f>
        <v>#N/A</v>
      </c>
    </row>
    <row r="1031" hidden="1">
      <c r="A1031" s="62"/>
      <c r="B1031" s="131" t="s">
        <v>1242</v>
      </c>
      <c r="C1031" s="87" t="s">
        <v>1239</v>
      </c>
      <c r="D1031" s="89">
        <f>SUMIF('Executive Pay Breakdown'!K:K,$B1031,'Executive Pay Breakdown'!M:M)+SUMIF('Executive Pay Breakdown'!O:O,$B1031,'Executive Pay Breakdown'!Q:Q)+SUMIF('Executive Pay Breakdown'!S:S,$B1031,'Executive Pay Breakdown'!U:U)+SUMIF('Executive Pay Breakdown'!W:W,$B1031,'Executive Pay Breakdown'!Y:Y)+SUMIF('Executive Pay Breakdown'!AA:AA,$B1031,'Executive Pay Breakdown'!AC:AC)</f>
        <v>7568464</v>
      </c>
      <c r="E1031" s="109"/>
      <c r="F1031" s="69">
        <f>SUMIF('Executive Pay Breakdown'!K:K,$B1031,'Executive Pay Breakdown'!M:M)</f>
        <v>0</v>
      </c>
      <c r="G1031" s="69">
        <f>SUMIF('Executive Pay Breakdown'!O:O,$B1031,'Executive Pay Breakdown'!Q:Q)</f>
        <v>0</v>
      </c>
      <c r="H1031" s="69">
        <f>SUMIF('Executive Pay Breakdown'!S:S,$B1031,'Executive Pay Breakdown'!U:U)</f>
        <v>3965364</v>
      </c>
      <c r="I1031" s="69">
        <f>SUMIF('Executive Pay Breakdown'!W:W,$B1031,'Executive Pay Breakdown'!Y:Y)</f>
        <v>1861404</v>
      </c>
      <c r="J1031" s="69">
        <f>SUMIF('Executive Pay Breakdown'!AA:AA,$B1031,'Executive Pay Breakdown'!AC:AC)</f>
        <v>1741696</v>
      </c>
      <c r="K1031" s="118"/>
      <c r="L1031" s="212"/>
      <c r="M1031" s="87"/>
      <c r="N1031" s="87"/>
      <c r="O1031" s="120" t="str">
        <f>MATCH(C1031,'Key Findings'!B:B,0)</f>
        <v>#N/A</v>
      </c>
    </row>
    <row r="1032" hidden="1">
      <c r="A1032" s="62"/>
      <c r="B1032" s="125" t="s">
        <v>1243</v>
      </c>
      <c r="C1032" s="87" t="s">
        <v>1239</v>
      </c>
      <c r="D1032" s="89">
        <f>SUMIF('Executive Pay Breakdown'!K:K,$B1032,'Executive Pay Breakdown'!M:M)+SUMIF('Executive Pay Breakdown'!O:O,$B1032,'Executive Pay Breakdown'!Q:Q)+SUMIF('Executive Pay Breakdown'!S:S,$B1032,'Executive Pay Breakdown'!U:U)+SUMIF('Executive Pay Breakdown'!W:W,$B1032,'Executive Pay Breakdown'!Y:Y)+SUMIF('Executive Pay Breakdown'!AA:AA,$B1032,'Executive Pay Breakdown'!AC:AC)</f>
        <v>5880790</v>
      </c>
      <c r="E1032" s="109"/>
      <c r="F1032" s="69">
        <f>SUMIF('Executive Pay Breakdown'!K:K,$B1032,'Executive Pay Breakdown'!M:M)</f>
        <v>5880790</v>
      </c>
      <c r="G1032" s="69">
        <f>SUMIF('Executive Pay Breakdown'!O:O,$B1032,'Executive Pay Breakdown'!Q:Q)</f>
        <v>0</v>
      </c>
      <c r="H1032" s="69">
        <f>SUMIF('Executive Pay Breakdown'!S:S,$B1032,'Executive Pay Breakdown'!U:U)</f>
        <v>0</v>
      </c>
      <c r="I1032" s="69">
        <f>SUMIF('Executive Pay Breakdown'!W:W,$B1032,'Executive Pay Breakdown'!Y:Y)</f>
        <v>0</v>
      </c>
      <c r="J1032" s="69">
        <f>SUMIF('Executive Pay Breakdown'!AA:AA,$B1032,'Executive Pay Breakdown'!AC:AC)</f>
        <v>0</v>
      </c>
      <c r="K1032" s="118"/>
      <c r="L1032" s="212"/>
      <c r="M1032" s="87"/>
      <c r="N1032" s="230"/>
      <c r="O1032" s="120" t="str">
        <f>MATCH(C1032,'Key Findings'!B:B,0)</f>
        <v>#N/A</v>
      </c>
    </row>
    <row r="1033" hidden="1">
      <c r="A1033" s="62"/>
      <c r="B1033" s="131" t="s">
        <v>1244</v>
      </c>
      <c r="C1033" s="87" t="s">
        <v>1239</v>
      </c>
      <c r="D1033" s="89">
        <f>SUMIF('Executive Pay Breakdown'!K:K,$B1033,'Executive Pay Breakdown'!M:M)+SUMIF('Executive Pay Breakdown'!O:O,$B1033,'Executive Pay Breakdown'!Q:Q)+SUMIF('Executive Pay Breakdown'!S:S,$B1033,'Executive Pay Breakdown'!U:U)+SUMIF('Executive Pay Breakdown'!W:W,$B1033,'Executive Pay Breakdown'!Y:Y)+SUMIF('Executive Pay Breakdown'!AA:AA,$B1033,'Executive Pay Breakdown'!AC:AC)</f>
        <v>5119252</v>
      </c>
      <c r="E1033" s="109"/>
      <c r="F1033" s="69">
        <f>SUMIF('Executive Pay Breakdown'!K:K,$B1033,'Executive Pay Breakdown'!M:M)</f>
        <v>0</v>
      </c>
      <c r="G1033" s="69">
        <f>SUMIF('Executive Pay Breakdown'!O:O,$B1033,'Executive Pay Breakdown'!Q:Q)</f>
        <v>0</v>
      </c>
      <c r="H1033" s="69">
        <f>SUMIF('Executive Pay Breakdown'!S:S,$B1033,'Executive Pay Breakdown'!U:U)</f>
        <v>1594925</v>
      </c>
      <c r="I1033" s="69">
        <f>SUMIF('Executive Pay Breakdown'!W:W,$B1033,'Executive Pay Breakdown'!Y:Y)</f>
        <v>1840459</v>
      </c>
      <c r="J1033" s="69">
        <f>SUMIF('Executive Pay Breakdown'!AA:AA,$B1033,'Executive Pay Breakdown'!AC:AC)</f>
        <v>1683868</v>
      </c>
      <c r="K1033" s="118"/>
      <c r="L1033" s="212"/>
      <c r="M1033" s="87"/>
      <c r="N1033" s="87"/>
      <c r="O1033" s="120" t="str">
        <f>MATCH(C1033,'Key Findings'!B:B,0)</f>
        <v>#N/A</v>
      </c>
    </row>
    <row r="1034" hidden="1">
      <c r="A1034" s="62"/>
      <c r="B1034" s="130" t="s">
        <v>1245</v>
      </c>
      <c r="C1034" s="87" t="s">
        <v>1239</v>
      </c>
      <c r="D1034" s="89">
        <f>SUMIF('Executive Pay Breakdown'!K:K,$B1034,'Executive Pay Breakdown'!M:M)+SUMIF('Executive Pay Breakdown'!O:O,$B1034,'Executive Pay Breakdown'!Q:Q)+SUMIF('Executive Pay Breakdown'!S:S,$B1034,'Executive Pay Breakdown'!U:U)+SUMIF('Executive Pay Breakdown'!W:W,$B1034,'Executive Pay Breakdown'!Y:Y)+SUMIF('Executive Pay Breakdown'!AA:AA,$B1034,'Executive Pay Breakdown'!AC:AC)</f>
        <v>4644421</v>
      </c>
      <c r="E1034" s="109"/>
      <c r="F1034" s="69">
        <f>SUMIF('Executive Pay Breakdown'!K:K,$B1034,'Executive Pay Breakdown'!M:M)</f>
        <v>0</v>
      </c>
      <c r="G1034" s="69">
        <f>SUMIF('Executive Pay Breakdown'!O:O,$B1034,'Executive Pay Breakdown'!Q:Q)</f>
        <v>0</v>
      </c>
      <c r="H1034" s="69">
        <f>SUMIF('Executive Pay Breakdown'!S:S,$B1034,'Executive Pay Breakdown'!U:U)</f>
        <v>0</v>
      </c>
      <c r="I1034" s="69">
        <f>SUMIF('Executive Pay Breakdown'!W:W,$B1034,'Executive Pay Breakdown'!Y:Y)</f>
        <v>0</v>
      </c>
      <c r="J1034" s="69">
        <f>SUMIF('Executive Pay Breakdown'!AA:AA,$B1034,'Executive Pay Breakdown'!AC:AC)</f>
        <v>4644421</v>
      </c>
      <c r="K1034" s="118"/>
      <c r="L1034" s="212"/>
      <c r="M1034" s="87"/>
      <c r="N1034" s="87"/>
      <c r="O1034" s="120" t="str">
        <f>MATCH(C1034,'Key Findings'!B:B,0)</f>
        <v>#N/A</v>
      </c>
    </row>
    <row r="1035" hidden="1">
      <c r="A1035" s="62"/>
      <c r="B1035" s="130" t="s">
        <v>1246</v>
      </c>
      <c r="C1035" s="87" t="s">
        <v>1239</v>
      </c>
      <c r="D1035" s="89">
        <f>SUMIF('Executive Pay Breakdown'!K:K,$B1035,'Executive Pay Breakdown'!M:M)+SUMIF('Executive Pay Breakdown'!O:O,$B1035,'Executive Pay Breakdown'!Q:Q)+SUMIF('Executive Pay Breakdown'!S:S,$B1035,'Executive Pay Breakdown'!U:U)+SUMIF('Executive Pay Breakdown'!W:W,$B1035,'Executive Pay Breakdown'!Y:Y)+SUMIF('Executive Pay Breakdown'!AA:AA,$B1035,'Executive Pay Breakdown'!AC:AC)</f>
        <v>3410092</v>
      </c>
      <c r="E1035" s="109"/>
      <c r="F1035" s="69">
        <f>SUMIF('Executive Pay Breakdown'!K:K,$B1035,'Executive Pay Breakdown'!M:M)</f>
        <v>0</v>
      </c>
      <c r="G1035" s="69">
        <f>SUMIF('Executive Pay Breakdown'!O:O,$B1035,'Executive Pay Breakdown'!Q:Q)</f>
        <v>1878186</v>
      </c>
      <c r="H1035" s="69">
        <f>SUMIF('Executive Pay Breakdown'!S:S,$B1035,'Executive Pay Breakdown'!U:U)</f>
        <v>1531906</v>
      </c>
      <c r="I1035" s="69">
        <f>SUMIF('Executive Pay Breakdown'!W:W,$B1035,'Executive Pay Breakdown'!Y:Y)</f>
        <v>0</v>
      </c>
      <c r="J1035" s="69">
        <f>SUMIF('Executive Pay Breakdown'!AA:AA,$B1035,'Executive Pay Breakdown'!AC:AC)</f>
        <v>0</v>
      </c>
      <c r="K1035" s="118"/>
      <c r="L1035" s="212"/>
      <c r="M1035" s="87"/>
      <c r="N1035" s="87"/>
      <c r="O1035" s="120" t="str">
        <f>MATCH(C1035,'Key Findings'!B:B,0)</f>
        <v>#N/A</v>
      </c>
    </row>
    <row r="1036" hidden="1">
      <c r="A1036" s="62"/>
      <c r="B1036" s="125" t="s">
        <v>1247</v>
      </c>
      <c r="C1036" s="87" t="s">
        <v>1239</v>
      </c>
      <c r="D1036" s="89">
        <f>SUMIF('Executive Pay Breakdown'!K:K,$B1036,'Executive Pay Breakdown'!M:M)+SUMIF('Executive Pay Breakdown'!O:O,$B1036,'Executive Pay Breakdown'!Q:Q)+SUMIF('Executive Pay Breakdown'!S:S,$B1036,'Executive Pay Breakdown'!U:U)+SUMIF('Executive Pay Breakdown'!W:W,$B1036,'Executive Pay Breakdown'!Y:Y)+SUMIF('Executive Pay Breakdown'!AA:AA,$B1036,'Executive Pay Breakdown'!AC:AC)</f>
        <v>3090722</v>
      </c>
      <c r="E1036" s="109"/>
      <c r="F1036" s="69">
        <f>SUMIF('Executive Pay Breakdown'!K:K,$B1036,'Executive Pay Breakdown'!M:M)</f>
        <v>0</v>
      </c>
      <c r="G1036" s="69">
        <f>SUMIF('Executive Pay Breakdown'!O:O,$B1036,'Executive Pay Breakdown'!Q:Q)</f>
        <v>1576030</v>
      </c>
      <c r="H1036" s="69">
        <f>SUMIF('Executive Pay Breakdown'!S:S,$B1036,'Executive Pay Breakdown'!U:U)</f>
        <v>1514692</v>
      </c>
      <c r="I1036" s="69">
        <f>SUMIF('Executive Pay Breakdown'!W:W,$B1036,'Executive Pay Breakdown'!Y:Y)</f>
        <v>0</v>
      </c>
      <c r="J1036" s="69">
        <f>SUMIF('Executive Pay Breakdown'!AA:AA,$B1036,'Executive Pay Breakdown'!AC:AC)</f>
        <v>0</v>
      </c>
      <c r="K1036" s="118"/>
      <c r="L1036" s="212"/>
      <c r="M1036" s="87"/>
      <c r="N1036" s="87"/>
      <c r="O1036" s="120" t="str">
        <f>MATCH(C1036,'Key Findings'!B:B,0)</f>
        <v>#N/A</v>
      </c>
    </row>
    <row r="1037" hidden="1">
      <c r="A1037" s="62"/>
      <c r="B1037" s="125" t="s">
        <v>1248</v>
      </c>
      <c r="C1037" s="87" t="s">
        <v>1239</v>
      </c>
      <c r="D1037" s="89">
        <f>SUMIF('Executive Pay Breakdown'!K:K,$B1037,'Executive Pay Breakdown'!M:M)+SUMIF('Executive Pay Breakdown'!O:O,$B1037,'Executive Pay Breakdown'!Q:Q)+SUMIF('Executive Pay Breakdown'!S:S,$B1037,'Executive Pay Breakdown'!U:U)+SUMIF('Executive Pay Breakdown'!W:W,$B1037,'Executive Pay Breakdown'!Y:Y)+SUMIF('Executive Pay Breakdown'!AA:AA,$B1037,'Executive Pay Breakdown'!AC:AC)</f>
        <v>1833678</v>
      </c>
      <c r="E1037" s="109"/>
      <c r="F1037" s="69">
        <f>SUMIF('Executive Pay Breakdown'!K:K,$B1037,'Executive Pay Breakdown'!M:M)</f>
        <v>1833678</v>
      </c>
      <c r="G1037" s="69">
        <f>SUMIF('Executive Pay Breakdown'!O:O,$B1037,'Executive Pay Breakdown'!Q:Q)</f>
        <v>0</v>
      </c>
      <c r="H1037" s="69">
        <f>SUMIF('Executive Pay Breakdown'!S:S,$B1037,'Executive Pay Breakdown'!U:U)</f>
        <v>0</v>
      </c>
      <c r="I1037" s="69">
        <f>SUMIF('Executive Pay Breakdown'!W:W,$B1037,'Executive Pay Breakdown'!Y:Y)</f>
        <v>0</v>
      </c>
      <c r="J1037" s="69">
        <f>SUMIF('Executive Pay Breakdown'!AA:AA,$B1037,'Executive Pay Breakdown'!AC:AC)</f>
        <v>0</v>
      </c>
      <c r="K1037" s="118"/>
      <c r="L1037" s="212"/>
      <c r="M1037" s="87"/>
      <c r="N1037" s="230"/>
      <c r="O1037" s="120" t="str">
        <f>MATCH(C1037,'Key Findings'!B:B,0)</f>
        <v>#N/A</v>
      </c>
    </row>
    <row r="1038" hidden="1">
      <c r="A1038" s="62"/>
      <c r="B1038" s="125" t="s">
        <v>1249</v>
      </c>
      <c r="C1038" s="87" t="s">
        <v>1239</v>
      </c>
      <c r="D1038" s="89">
        <f>SUMIF('Executive Pay Breakdown'!K:K,$B1038,'Executive Pay Breakdown'!M:M)+SUMIF('Executive Pay Breakdown'!O:O,$B1038,'Executive Pay Breakdown'!Q:Q)+SUMIF('Executive Pay Breakdown'!S:S,$B1038,'Executive Pay Breakdown'!U:U)+SUMIF('Executive Pay Breakdown'!W:W,$B1038,'Executive Pay Breakdown'!Y:Y)+SUMIF('Executive Pay Breakdown'!AA:AA,$B1038,'Executive Pay Breakdown'!AC:AC)</f>
        <v>1827409</v>
      </c>
      <c r="E1038" s="109"/>
      <c r="F1038" s="69">
        <f>SUMIF('Executive Pay Breakdown'!K:K,$B1038,'Executive Pay Breakdown'!M:M)</f>
        <v>1827409</v>
      </c>
      <c r="G1038" s="69">
        <f>SUMIF('Executive Pay Breakdown'!O:O,$B1038,'Executive Pay Breakdown'!Q:Q)</f>
        <v>0</v>
      </c>
      <c r="H1038" s="69">
        <f>SUMIF('Executive Pay Breakdown'!S:S,$B1038,'Executive Pay Breakdown'!U:U)</f>
        <v>0</v>
      </c>
      <c r="I1038" s="69">
        <f>SUMIF('Executive Pay Breakdown'!W:W,$B1038,'Executive Pay Breakdown'!Y:Y)</f>
        <v>0</v>
      </c>
      <c r="J1038" s="69">
        <f>SUMIF('Executive Pay Breakdown'!AA:AA,$B1038,'Executive Pay Breakdown'!AC:AC)</f>
        <v>0</v>
      </c>
      <c r="K1038" s="118"/>
      <c r="L1038" s="212"/>
      <c r="M1038" s="87"/>
      <c r="N1038" s="230"/>
      <c r="O1038" s="120" t="str">
        <f>MATCH(C1038,'Key Findings'!B:B,0)</f>
        <v>#N/A</v>
      </c>
    </row>
    <row r="1039" hidden="1">
      <c r="A1039" s="71"/>
      <c r="B1039" s="124" t="s">
        <v>1250</v>
      </c>
      <c r="C1039" s="87" t="s">
        <v>1251</v>
      </c>
      <c r="D1039" s="89">
        <f>SUMIF('Executive Pay Breakdown'!K:K,$B1039,'Executive Pay Breakdown'!M:M)+SUMIF('Executive Pay Breakdown'!O:O,$B1039,'Executive Pay Breakdown'!Q:Q)+SUMIF('Executive Pay Breakdown'!S:S,$B1039,'Executive Pay Breakdown'!U:U)+SUMIF('Executive Pay Breakdown'!W:W,$B1039,'Executive Pay Breakdown'!Y:Y)+SUMIF('Executive Pay Breakdown'!AA:AA,$B1039,'Executive Pay Breakdown'!AC:AC)</f>
        <v>71303678</v>
      </c>
      <c r="E1039" s="109"/>
      <c r="F1039" s="69">
        <f>SUMIF('Executive Pay Breakdown'!K:K,$B1039,'Executive Pay Breakdown'!M:M)</f>
        <v>15621406</v>
      </c>
      <c r="G1039" s="69">
        <f>SUMIF('Executive Pay Breakdown'!O:O,$B1039,'Executive Pay Breakdown'!Q:Q)</f>
        <v>16618873</v>
      </c>
      <c r="H1039" s="69">
        <f>SUMIF('Executive Pay Breakdown'!S:S,$B1039,'Executive Pay Breakdown'!U:U)</f>
        <v>16452823</v>
      </c>
      <c r="I1039" s="69">
        <f>SUMIF('Executive Pay Breakdown'!W:W,$B1039,'Executive Pay Breakdown'!Y:Y)</f>
        <v>12008059</v>
      </c>
      <c r="J1039" s="69">
        <f>SUMIF('Executive Pay Breakdown'!AA:AA,$B1039,'Executive Pay Breakdown'!AC:AC)</f>
        <v>10602517</v>
      </c>
      <c r="K1039" s="118"/>
      <c r="L1039" s="212"/>
      <c r="M1039" s="87"/>
      <c r="N1039" s="230"/>
      <c r="O1039" s="120" t="str">
        <f>MATCH(C1039,'Key Findings'!B:B,0)</f>
        <v>#N/A</v>
      </c>
    </row>
    <row r="1040" hidden="1">
      <c r="A1040" s="71"/>
      <c r="B1040" s="124" t="s">
        <v>1252</v>
      </c>
      <c r="C1040" s="87" t="s">
        <v>1251</v>
      </c>
      <c r="D1040" s="89">
        <f>SUMIF('Executive Pay Breakdown'!K:K,$B1040,'Executive Pay Breakdown'!M:M)+SUMIF('Executive Pay Breakdown'!O:O,$B1040,'Executive Pay Breakdown'!Q:Q)+SUMIF('Executive Pay Breakdown'!S:S,$B1040,'Executive Pay Breakdown'!U:U)+SUMIF('Executive Pay Breakdown'!W:W,$B1040,'Executive Pay Breakdown'!Y:Y)+SUMIF('Executive Pay Breakdown'!AA:AA,$B1040,'Executive Pay Breakdown'!AC:AC)</f>
        <v>28679627</v>
      </c>
      <c r="E1040" s="109"/>
      <c r="F1040" s="69">
        <f>SUMIF('Executive Pay Breakdown'!K:K,$B1040,'Executive Pay Breakdown'!M:M)</f>
        <v>12032684</v>
      </c>
      <c r="G1040" s="69">
        <f>SUMIF('Executive Pay Breakdown'!O:O,$B1040,'Executive Pay Breakdown'!Q:Q)</f>
        <v>4975694</v>
      </c>
      <c r="H1040" s="69">
        <f>SUMIF('Executive Pay Breakdown'!S:S,$B1040,'Executive Pay Breakdown'!U:U)</f>
        <v>5558857</v>
      </c>
      <c r="I1040" s="69">
        <f>SUMIF('Executive Pay Breakdown'!W:W,$B1040,'Executive Pay Breakdown'!Y:Y)</f>
        <v>3505016</v>
      </c>
      <c r="J1040" s="69">
        <f>SUMIF('Executive Pay Breakdown'!AA:AA,$B1040,'Executive Pay Breakdown'!AC:AC)</f>
        <v>2607376</v>
      </c>
      <c r="K1040" s="118"/>
      <c r="L1040" s="212"/>
      <c r="M1040" s="87"/>
      <c r="N1040" s="230"/>
      <c r="O1040" s="120" t="str">
        <f>MATCH(C1040,'Key Findings'!B:B,0)</f>
        <v>#N/A</v>
      </c>
    </row>
    <row r="1041" hidden="1">
      <c r="A1041" s="81"/>
      <c r="B1041" s="134" t="s">
        <v>1253</v>
      </c>
      <c r="C1041" s="87" t="s">
        <v>1251</v>
      </c>
      <c r="D1041" s="89">
        <f>SUMIF('Executive Pay Breakdown'!K:K,$B1041,'Executive Pay Breakdown'!M:M)+SUMIF('Executive Pay Breakdown'!O:O,$B1041,'Executive Pay Breakdown'!Q:Q)+SUMIF('Executive Pay Breakdown'!S:S,$B1041,'Executive Pay Breakdown'!U:U)+SUMIF('Executive Pay Breakdown'!W:W,$B1041,'Executive Pay Breakdown'!Y:Y)+SUMIF('Executive Pay Breakdown'!AA:AA,$B1041,'Executive Pay Breakdown'!AC:AC)</f>
        <v>17874467</v>
      </c>
      <c r="E1041" s="109"/>
      <c r="F1041" s="69">
        <f>SUMIF('Executive Pay Breakdown'!K:K,$B1041,'Executive Pay Breakdown'!M:M)</f>
        <v>4303436</v>
      </c>
      <c r="G1041" s="69">
        <f>SUMIF('Executive Pay Breakdown'!O:O,$B1041,'Executive Pay Breakdown'!Q:Q)</f>
        <v>3872358</v>
      </c>
      <c r="H1041" s="69">
        <f>SUMIF('Executive Pay Breakdown'!S:S,$B1041,'Executive Pay Breakdown'!U:U)</f>
        <v>4157868</v>
      </c>
      <c r="I1041" s="69">
        <f>SUMIF('Executive Pay Breakdown'!W:W,$B1041,'Executive Pay Breakdown'!Y:Y)</f>
        <v>2922464</v>
      </c>
      <c r="J1041" s="69">
        <f>SUMIF('Executive Pay Breakdown'!AA:AA,$B1041,'Executive Pay Breakdown'!AC:AC)</f>
        <v>2618341</v>
      </c>
      <c r="K1041" s="118"/>
      <c r="L1041" s="212"/>
      <c r="M1041" s="87"/>
      <c r="N1041" s="230"/>
      <c r="O1041" s="120" t="str">
        <f>MATCH(C1041,'Key Findings'!B:B,0)</f>
        <v>#N/A</v>
      </c>
    </row>
    <row r="1042" hidden="1">
      <c r="A1042" s="71"/>
      <c r="B1042" s="124" t="s">
        <v>1254</v>
      </c>
      <c r="C1042" s="87" t="s">
        <v>1251</v>
      </c>
      <c r="D1042" s="89">
        <f>SUMIF('Executive Pay Breakdown'!K:K,$B1042,'Executive Pay Breakdown'!M:M)+SUMIF('Executive Pay Breakdown'!O:O,$B1042,'Executive Pay Breakdown'!Q:Q)+SUMIF('Executive Pay Breakdown'!S:S,$B1042,'Executive Pay Breakdown'!U:U)+SUMIF('Executive Pay Breakdown'!W:W,$B1042,'Executive Pay Breakdown'!Y:Y)+SUMIF('Executive Pay Breakdown'!AA:AA,$B1042,'Executive Pay Breakdown'!AC:AC)</f>
        <v>12963686</v>
      </c>
      <c r="E1042" s="109"/>
      <c r="F1042" s="69">
        <f>SUMIF('Executive Pay Breakdown'!K:K,$B1042,'Executive Pay Breakdown'!M:M)</f>
        <v>3249391</v>
      </c>
      <c r="G1042" s="69">
        <f>SUMIF('Executive Pay Breakdown'!O:O,$B1042,'Executive Pay Breakdown'!Q:Q)</f>
        <v>3436975</v>
      </c>
      <c r="H1042" s="69">
        <f>SUMIF('Executive Pay Breakdown'!S:S,$B1042,'Executive Pay Breakdown'!U:U)</f>
        <v>3588018</v>
      </c>
      <c r="I1042" s="69">
        <f>SUMIF('Executive Pay Breakdown'!W:W,$B1042,'Executive Pay Breakdown'!Y:Y)</f>
        <v>2689302</v>
      </c>
      <c r="J1042" s="69">
        <f>SUMIF('Executive Pay Breakdown'!AA:AA,$B1042,'Executive Pay Breakdown'!AC:AC)</f>
        <v>0</v>
      </c>
      <c r="K1042" s="118"/>
      <c r="L1042" s="212"/>
      <c r="M1042" s="87"/>
      <c r="N1042" s="230"/>
      <c r="O1042" s="120" t="str">
        <f>MATCH(C1042,'Key Findings'!B:B,0)</f>
        <v>#N/A</v>
      </c>
    </row>
    <row r="1043" hidden="1">
      <c r="A1043" s="71"/>
      <c r="B1043" s="124" t="s">
        <v>1255</v>
      </c>
      <c r="C1043" s="87" t="s">
        <v>1251</v>
      </c>
      <c r="D1043" s="89">
        <f>SUMIF('Executive Pay Breakdown'!K:K,$B1043,'Executive Pay Breakdown'!M:M)+SUMIF('Executive Pay Breakdown'!O:O,$B1043,'Executive Pay Breakdown'!Q:Q)+SUMIF('Executive Pay Breakdown'!S:S,$B1043,'Executive Pay Breakdown'!U:U)+SUMIF('Executive Pay Breakdown'!W:W,$B1043,'Executive Pay Breakdown'!Y:Y)+SUMIF('Executive Pay Breakdown'!AA:AA,$B1043,'Executive Pay Breakdown'!AC:AC)</f>
        <v>9697352</v>
      </c>
      <c r="E1043" s="109"/>
      <c r="F1043" s="69">
        <f>SUMIF('Executive Pay Breakdown'!K:K,$B1043,'Executive Pay Breakdown'!M:M)</f>
        <v>3177567</v>
      </c>
      <c r="G1043" s="69">
        <f>SUMIF('Executive Pay Breakdown'!O:O,$B1043,'Executive Pay Breakdown'!Q:Q)</f>
        <v>3281360</v>
      </c>
      <c r="H1043" s="69">
        <f>SUMIF('Executive Pay Breakdown'!S:S,$B1043,'Executive Pay Breakdown'!U:U)</f>
        <v>3238425</v>
      </c>
      <c r="I1043" s="69">
        <f>SUMIF('Executive Pay Breakdown'!W:W,$B1043,'Executive Pay Breakdown'!Y:Y)</f>
        <v>0</v>
      </c>
      <c r="J1043" s="69">
        <f>SUMIF('Executive Pay Breakdown'!AA:AA,$B1043,'Executive Pay Breakdown'!AC:AC)</f>
        <v>0</v>
      </c>
      <c r="K1043" s="118"/>
      <c r="L1043" s="212"/>
      <c r="M1043" s="87"/>
      <c r="N1043" s="230"/>
      <c r="O1043" s="120" t="str">
        <f>MATCH(C1043,'Key Findings'!B:B,0)</f>
        <v>#N/A</v>
      </c>
    </row>
    <row r="1044" hidden="1">
      <c r="A1044" s="71"/>
      <c r="B1044" s="124" t="s">
        <v>1256</v>
      </c>
      <c r="C1044" s="87" t="s">
        <v>1251</v>
      </c>
      <c r="D1044" s="89">
        <f>SUMIF('Executive Pay Breakdown'!K:K,$B1044,'Executive Pay Breakdown'!M:M)+SUMIF('Executive Pay Breakdown'!O:O,$B1044,'Executive Pay Breakdown'!Q:Q)+SUMIF('Executive Pay Breakdown'!S:S,$B1044,'Executive Pay Breakdown'!U:U)+SUMIF('Executive Pay Breakdown'!W:W,$B1044,'Executive Pay Breakdown'!Y:Y)+SUMIF('Executive Pay Breakdown'!AA:AA,$B1044,'Executive Pay Breakdown'!AC:AC)</f>
        <v>8756862</v>
      </c>
      <c r="E1044" s="109"/>
      <c r="F1044" s="69">
        <f>SUMIF('Executive Pay Breakdown'!K:K,$B1044,'Executive Pay Breakdown'!M:M)</f>
        <v>0</v>
      </c>
      <c r="G1044" s="69">
        <f>SUMIF('Executive Pay Breakdown'!O:O,$B1044,'Executive Pay Breakdown'!Q:Q)</f>
        <v>0</v>
      </c>
      <c r="H1044" s="69">
        <f>SUMIF('Executive Pay Breakdown'!S:S,$B1044,'Executive Pay Breakdown'!U:U)</f>
        <v>3415957</v>
      </c>
      <c r="I1044" s="69">
        <f>SUMIF('Executive Pay Breakdown'!W:W,$B1044,'Executive Pay Breakdown'!Y:Y)</f>
        <v>2795511</v>
      </c>
      <c r="J1044" s="69">
        <f>SUMIF('Executive Pay Breakdown'!AA:AA,$B1044,'Executive Pay Breakdown'!AC:AC)</f>
        <v>2545394</v>
      </c>
      <c r="K1044" s="118"/>
      <c r="L1044" s="212"/>
      <c r="M1044" s="87"/>
      <c r="N1044" s="87"/>
      <c r="O1044" s="120" t="str">
        <f>MATCH(C1044,'Key Findings'!B:B,0)</f>
        <v>#N/A</v>
      </c>
    </row>
    <row r="1045" hidden="1">
      <c r="A1045" s="71"/>
      <c r="B1045" s="124" t="s">
        <v>1257</v>
      </c>
      <c r="C1045" s="87" t="s">
        <v>1251</v>
      </c>
      <c r="D1045" s="89">
        <f>SUMIF('Executive Pay Breakdown'!K:K,$B1045,'Executive Pay Breakdown'!M:M)+SUMIF('Executive Pay Breakdown'!O:O,$B1045,'Executive Pay Breakdown'!Q:Q)+SUMIF('Executive Pay Breakdown'!S:S,$B1045,'Executive Pay Breakdown'!U:U)+SUMIF('Executive Pay Breakdown'!W:W,$B1045,'Executive Pay Breakdown'!Y:Y)+SUMIF('Executive Pay Breakdown'!AA:AA,$B1045,'Executive Pay Breakdown'!AC:AC)</f>
        <v>3318670</v>
      </c>
      <c r="E1045" s="109"/>
      <c r="F1045" s="69">
        <f>SUMIF('Executive Pay Breakdown'!K:K,$B1045,'Executive Pay Breakdown'!M:M)</f>
        <v>3318670</v>
      </c>
      <c r="G1045" s="69">
        <f>SUMIF('Executive Pay Breakdown'!O:O,$B1045,'Executive Pay Breakdown'!Q:Q)</f>
        <v>0</v>
      </c>
      <c r="H1045" s="69">
        <f>SUMIF('Executive Pay Breakdown'!S:S,$B1045,'Executive Pay Breakdown'!U:U)</f>
        <v>0</v>
      </c>
      <c r="I1045" s="69">
        <f>SUMIF('Executive Pay Breakdown'!W:W,$B1045,'Executive Pay Breakdown'!Y:Y)</f>
        <v>0</v>
      </c>
      <c r="J1045" s="69">
        <f>SUMIF('Executive Pay Breakdown'!AA:AA,$B1045,'Executive Pay Breakdown'!AC:AC)</f>
        <v>0</v>
      </c>
      <c r="K1045" s="118"/>
      <c r="L1045" s="212"/>
      <c r="M1045" s="87"/>
      <c r="N1045" s="230"/>
      <c r="O1045" s="120" t="str">
        <f>MATCH(C1045,'Key Findings'!B:B,0)</f>
        <v>#N/A</v>
      </c>
    </row>
    <row r="1046" hidden="1">
      <c r="A1046" s="71"/>
      <c r="B1046" s="124" t="s">
        <v>1258</v>
      </c>
      <c r="C1046" s="87" t="s">
        <v>1251</v>
      </c>
      <c r="D1046" s="89">
        <f>SUMIF('Executive Pay Breakdown'!K:K,$B1046,'Executive Pay Breakdown'!M:M)+SUMIF('Executive Pay Breakdown'!O:O,$B1046,'Executive Pay Breakdown'!Q:Q)+SUMIF('Executive Pay Breakdown'!S:S,$B1046,'Executive Pay Breakdown'!U:U)+SUMIF('Executive Pay Breakdown'!W:W,$B1046,'Executive Pay Breakdown'!Y:Y)+SUMIF('Executive Pay Breakdown'!AA:AA,$B1046,'Executive Pay Breakdown'!AC:AC)</f>
        <v>2477377</v>
      </c>
      <c r="E1046" s="109"/>
      <c r="F1046" s="69">
        <f>SUMIF('Executive Pay Breakdown'!K:K,$B1046,'Executive Pay Breakdown'!M:M)</f>
        <v>0</v>
      </c>
      <c r="G1046" s="69">
        <f>SUMIF('Executive Pay Breakdown'!O:O,$B1046,'Executive Pay Breakdown'!Q:Q)</f>
        <v>0</v>
      </c>
      <c r="H1046" s="69">
        <f>SUMIF('Executive Pay Breakdown'!S:S,$B1046,'Executive Pay Breakdown'!U:U)</f>
        <v>0</v>
      </c>
      <c r="I1046" s="69">
        <f>SUMIF('Executive Pay Breakdown'!W:W,$B1046,'Executive Pay Breakdown'!Y:Y)</f>
        <v>0</v>
      </c>
      <c r="J1046" s="69">
        <f>SUMIF('Executive Pay Breakdown'!AA:AA,$B1046,'Executive Pay Breakdown'!AC:AC)</f>
        <v>2477377</v>
      </c>
      <c r="K1046" s="118"/>
      <c r="L1046" s="212"/>
      <c r="M1046" s="87"/>
      <c r="N1046" s="87"/>
      <c r="O1046" s="120" t="str">
        <f>MATCH(C1046,'Key Findings'!B:B,0)</f>
        <v>#N/A</v>
      </c>
    </row>
    <row r="1047" hidden="1">
      <c r="A1047" s="62"/>
      <c r="B1047" s="127" t="s">
        <v>1259</v>
      </c>
      <c r="C1047" s="87" t="s">
        <v>1260</v>
      </c>
      <c r="D1047" s="89">
        <f>SUMIF('Executive Pay Breakdown'!K:K,$B1047,'Executive Pay Breakdown'!M:M)+SUMIF('Executive Pay Breakdown'!O:O,$B1047,'Executive Pay Breakdown'!Q:Q)+SUMIF('Executive Pay Breakdown'!S:S,$B1047,'Executive Pay Breakdown'!U:U)+SUMIF('Executive Pay Breakdown'!W:W,$B1047,'Executive Pay Breakdown'!Y:Y)+SUMIF('Executive Pay Breakdown'!AA:AA,$B1047,'Executive Pay Breakdown'!AC:AC)</f>
        <v>48001090</v>
      </c>
      <c r="E1047" s="109"/>
      <c r="F1047" s="69">
        <f>SUMIF('Executive Pay Breakdown'!K:K,$B1047,'Executive Pay Breakdown'!M:M)</f>
        <v>10642075</v>
      </c>
      <c r="G1047" s="69">
        <f>SUMIF('Executive Pay Breakdown'!O:O,$B1047,'Executive Pay Breakdown'!Q:Q)</f>
        <v>12087218</v>
      </c>
      <c r="H1047" s="69">
        <f>SUMIF('Executive Pay Breakdown'!S:S,$B1047,'Executive Pay Breakdown'!U:U)</f>
        <v>10357259</v>
      </c>
      <c r="I1047" s="69">
        <f>SUMIF('Executive Pay Breakdown'!W:W,$B1047,'Executive Pay Breakdown'!Y:Y)</f>
        <v>9250436</v>
      </c>
      <c r="J1047" s="69">
        <f>SUMIF('Executive Pay Breakdown'!AA:AA,$B1047,'Executive Pay Breakdown'!AC:AC)</f>
        <v>5664102</v>
      </c>
      <c r="K1047" s="118"/>
      <c r="L1047" s="212"/>
      <c r="M1047" s="87"/>
      <c r="N1047" s="230"/>
      <c r="O1047" s="120" t="str">
        <f>MATCH(C1047,'Key Findings'!B:B,0)</f>
        <v>#N/A</v>
      </c>
    </row>
    <row r="1048" hidden="1">
      <c r="A1048" s="62"/>
      <c r="B1048" s="127" t="s">
        <v>1261</v>
      </c>
      <c r="C1048" s="87" t="s">
        <v>1260</v>
      </c>
      <c r="D1048" s="89">
        <f>SUMIF('Executive Pay Breakdown'!K:K,$B1048,'Executive Pay Breakdown'!M:M)+SUMIF('Executive Pay Breakdown'!O:O,$B1048,'Executive Pay Breakdown'!Q:Q)+SUMIF('Executive Pay Breakdown'!S:S,$B1048,'Executive Pay Breakdown'!U:U)+SUMIF('Executive Pay Breakdown'!W:W,$B1048,'Executive Pay Breakdown'!Y:Y)+SUMIF('Executive Pay Breakdown'!AA:AA,$B1048,'Executive Pay Breakdown'!AC:AC)</f>
        <v>22753237</v>
      </c>
      <c r="E1048" s="109"/>
      <c r="F1048" s="69">
        <f>SUMIF('Executive Pay Breakdown'!K:K,$B1048,'Executive Pay Breakdown'!M:M)</f>
        <v>5390813</v>
      </c>
      <c r="G1048" s="69">
        <f>SUMIF('Executive Pay Breakdown'!O:O,$B1048,'Executive Pay Breakdown'!Q:Q)</f>
        <v>5540371</v>
      </c>
      <c r="H1048" s="69">
        <f>SUMIF('Executive Pay Breakdown'!S:S,$B1048,'Executive Pay Breakdown'!U:U)</f>
        <v>4043187</v>
      </c>
      <c r="I1048" s="69">
        <f>SUMIF('Executive Pay Breakdown'!W:W,$B1048,'Executive Pay Breakdown'!Y:Y)</f>
        <v>3876233</v>
      </c>
      <c r="J1048" s="69">
        <f>SUMIF('Executive Pay Breakdown'!AA:AA,$B1048,'Executive Pay Breakdown'!AC:AC)</f>
        <v>3902633</v>
      </c>
      <c r="K1048" s="118"/>
      <c r="L1048" s="212"/>
      <c r="M1048" s="87"/>
      <c r="N1048" s="230"/>
      <c r="O1048" s="120" t="str">
        <f>MATCH(C1048,'Key Findings'!B:B,0)</f>
        <v>#N/A</v>
      </c>
    </row>
    <row r="1049" hidden="1">
      <c r="A1049" s="62"/>
      <c r="B1049" s="127" t="s">
        <v>1262</v>
      </c>
      <c r="C1049" s="87" t="s">
        <v>1260</v>
      </c>
      <c r="D1049" s="89">
        <f>SUMIF('Executive Pay Breakdown'!K:K,$B1049,'Executive Pay Breakdown'!M:M)+SUMIF('Executive Pay Breakdown'!O:O,$B1049,'Executive Pay Breakdown'!Q:Q)+SUMIF('Executive Pay Breakdown'!S:S,$B1049,'Executive Pay Breakdown'!U:U)+SUMIF('Executive Pay Breakdown'!W:W,$B1049,'Executive Pay Breakdown'!Y:Y)+SUMIF('Executive Pay Breakdown'!AA:AA,$B1049,'Executive Pay Breakdown'!AC:AC)</f>
        <v>16072521</v>
      </c>
      <c r="E1049" s="109"/>
      <c r="F1049" s="69">
        <f>SUMIF('Executive Pay Breakdown'!K:K,$B1049,'Executive Pay Breakdown'!M:M)</f>
        <v>0</v>
      </c>
      <c r="G1049" s="69">
        <f>SUMIF('Executive Pay Breakdown'!O:O,$B1049,'Executive Pay Breakdown'!Q:Q)</f>
        <v>4540146</v>
      </c>
      <c r="H1049" s="69">
        <f>SUMIF('Executive Pay Breakdown'!S:S,$B1049,'Executive Pay Breakdown'!U:U)</f>
        <v>4106435</v>
      </c>
      <c r="I1049" s="69">
        <f>SUMIF('Executive Pay Breakdown'!W:W,$B1049,'Executive Pay Breakdown'!Y:Y)</f>
        <v>3701907</v>
      </c>
      <c r="J1049" s="69">
        <f>SUMIF('Executive Pay Breakdown'!AA:AA,$B1049,'Executive Pay Breakdown'!AC:AC)</f>
        <v>3724033</v>
      </c>
      <c r="K1049" s="118"/>
      <c r="L1049" s="212"/>
      <c r="M1049" s="87"/>
      <c r="N1049" s="87"/>
      <c r="O1049" s="120" t="str">
        <f>MATCH(C1049,'Key Findings'!B:B,0)</f>
        <v>#N/A</v>
      </c>
    </row>
    <row r="1050" hidden="1">
      <c r="A1050" s="62"/>
      <c r="B1050" s="127" t="s">
        <v>1263</v>
      </c>
      <c r="C1050" s="87" t="s">
        <v>1260</v>
      </c>
      <c r="D1050" s="89">
        <f>SUMIF('Executive Pay Breakdown'!K:K,$B1050,'Executive Pay Breakdown'!M:M)+SUMIF('Executive Pay Breakdown'!O:O,$B1050,'Executive Pay Breakdown'!Q:Q)+SUMIF('Executive Pay Breakdown'!S:S,$B1050,'Executive Pay Breakdown'!U:U)+SUMIF('Executive Pay Breakdown'!W:W,$B1050,'Executive Pay Breakdown'!Y:Y)+SUMIF('Executive Pay Breakdown'!AA:AA,$B1050,'Executive Pay Breakdown'!AC:AC)</f>
        <v>14570394</v>
      </c>
      <c r="E1050" s="109"/>
      <c r="F1050" s="69">
        <f>SUMIF('Executive Pay Breakdown'!K:K,$B1050,'Executive Pay Breakdown'!M:M)</f>
        <v>4528276</v>
      </c>
      <c r="G1050" s="69">
        <f>SUMIF('Executive Pay Breakdown'!O:O,$B1050,'Executive Pay Breakdown'!Q:Q)</f>
        <v>4540308</v>
      </c>
      <c r="H1050" s="69">
        <f>SUMIF('Executive Pay Breakdown'!S:S,$B1050,'Executive Pay Breakdown'!U:U)</f>
        <v>3993629</v>
      </c>
      <c r="I1050" s="69">
        <f>SUMIF('Executive Pay Breakdown'!W:W,$B1050,'Executive Pay Breakdown'!Y:Y)</f>
        <v>1508181</v>
      </c>
      <c r="J1050" s="69">
        <f>SUMIF('Executive Pay Breakdown'!AA:AA,$B1050,'Executive Pay Breakdown'!AC:AC)</f>
        <v>0</v>
      </c>
      <c r="K1050" s="118"/>
      <c r="L1050" s="212"/>
      <c r="M1050" s="87"/>
      <c r="N1050" s="230"/>
      <c r="O1050" s="120" t="str">
        <f>MATCH(C1050,'Key Findings'!B:B,0)</f>
        <v>#N/A</v>
      </c>
    </row>
    <row r="1051" hidden="1">
      <c r="A1051" s="62"/>
      <c r="B1051" s="127" t="s">
        <v>1264</v>
      </c>
      <c r="C1051" s="87" t="s">
        <v>1260</v>
      </c>
      <c r="D1051" s="89">
        <f>SUMIF('Executive Pay Breakdown'!K:K,$B1051,'Executive Pay Breakdown'!M:M)+SUMIF('Executive Pay Breakdown'!O:O,$B1051,'Executive Pay Breakdown'!Q:Q)+SUMIF('Executive Pay Breakdown'!S:S,$B1051,'Executive Pay Breakdown'!U:U)+SUMIF('Executive Pay Breakdown'!W:W,$B1051,'Executive Pay Breakdown'!Y:Y)+SUMIF('Executive Pay Breakdown'!AA:AA,$B1051,'Executive Pay Breakdown'!AC:AC)</f>
        <v>11639084</v>
      </c>
      <c r="E1051" s="109"/>
      <c r="F1051" s="69">
        <f>SUMIF('Executive Pay Breakdown'!K:K,$B1051,'Executive Pay Breakdown'!M:M)</f>
        <v>0</v>
      </c>
      <c r="G1051" s="69">
        <f>SUMIF('Executive Pay Breakdown'!O:O,$B1051,'Executive Pay Breakdown'!Q:Q)</f>
        <v>0</v>
      </c>
      <c r="H1051" s="69">
        <f>SUMIF('Executive Pay Breakdown'!S:S,$B1051,'Executive Pay Breakdown'!U:U)</f>
        <v>4294080</v>
      </c>
      <c r="I1051" s="69">
        <f>SUMIF('Executive Pay Breakdown'!W:W,$B1051,'Executive Pay Breakdown'!Y:Y)</f>
        <v>3877826</v>
      </c>
      <c r="J1051" s="69">
        <f>SUMIF('Executive Pay Breakdown'!AA:AA,$B1051,'Executive Pay Breakdown'!AC:AC)</f>
        <v>3467178</v>
      </c>
      <c r="K1051" s="118"/>
      <c r="L1051" s="212"/>
      <c r="M1051" s="87"/>
      <c r="N1051" s="87"/>
      <c r="O1051" s="120" t="str">
        <f>MATCH(C1051,'Key Findings'!B:B,0)</f>
        <v>#N/A</v>
      </c>
    </row>
    <row r="1052" hidden="1">
      <c r="A1052" s="62"/>
      <c r="B1052" s="127" t="s">
        <v>1265</v>
      </c>
      <c r="C1052" s="87" t="s">
        <v>1260</v>
      </c>
      <c r="D1052" s="89">
        <f>SUMIF('Executive Pay Breakdown'!K:K,$B1052,'Executive Pay Breakdown'!M:M)+SUMIF('Executive Pay Breakdown'!O:O,$B1052,'Executive Pay Breakdown'!Q:Q)+SUMIF('Executive Pay Breakdown'!S:S,$B1052,'Executive Pay Breakdown'!U:U)+SUMIF('Executive Pay Breakdown'!W:W,$B1052,'Executive Pay Breakdown'!Y:Y)+SUMIF('Executive Pay Breakdown'!AA:AA,$B1052,'Executive Pay Breakdown'!AC:AC)</f>
        <v>10402501</v>
      </c>
      <c r="E1052" s="109"/>
      <c r="F1052" s="69">
        <f>SUMIF('Executive Pay Breakdown'!K:K,$B1052,'Executive Pay Breakdown'!M:M)</f>
        <v>0</v>
      </c>
      <c r="G1052" s="69">
        <f>SUMIF('Executive Pay Breakdown'!O:O,$B1052,'Executive Pay Breakdown'!Q:Q)</f>
        <v>0</v>
      </c>
      <c r="H1052" s="69">
        <f>SUMIF('Executive Pay Breakdown'!S:S,$B1052,'Executive Pay Breakdown'!U:U)</f>
        <v>0</v>
      </c>
      <c r="I1052" s="69">
        <f>SUMIF('Executive Pay Breakdown'!W:W,$B1052,'Executive Pay Breakdown'!Y:Y)</f>
        <v>10402501</v>
      </c>
      <c r="J1052" s="69">
        <f>SUMIF('Executive Pay Breakdown'!AA:AA,$B1052,'Executive Pay Breakdown'!AC:AC)</f>
        <v>0</v>
      </c>
      <c r="K1052" s="118"/>
      <c r="L1052" s="212"/>
      <c r="M1052" s="87"/>
      <c r="N1052" s="87"/>
      <c r="O1052" s="120" t="str">
        <f>MATCH(C1052,'Key Findings'!B:B,0)</f>
        <v>#N/A</v>
      </c>
    </row>
    <row r="1053" hidden="1">
      <c r="A1053" s="62"/>
      <c r="B1053" s="127" t="s">
        <v>1266</v>
      </c>
      <c r="C1053" s="87" t="s">
        <v>1260</v>
      </c>
      <c r="D1053" s="89">
        <f>SUMIF('Executive Pay Breakdown'!K:K,$B1053,'Executive Pay Breakdown'!M:M)+SUMIF('Executive Pay Breakdown'!O:O,$B1053,'Executive Pay Breakdown'!Q:Q)+SUMIF('Executive Pay Breakdown'!S:S,$B1053,'Executive Pay Breakdown'!U:U)+SUMIF('Executive Pay Breakdown'!W:W,$B1053,'Executive Pay Breakdown'!Y:Y)+SUMIF('Executive Pay Breakdown'!AA:AA,$B1053,'Executive Pay Breakdown'!AC:AC)</f>
        <v>10168771</v>
      </c>
      <c r="E1053" s="109"/>
      <c r="F1053" s="69">
        <f>SUMIF('Executive Pay Breakdown'!K:K,$B1053,'Executive Pay Breakdown'!M:M)</f>
        <v>0</v>
      </c>
      <c r="G1053" s="69">
        <f>SUMIF('Executive Pay Breakdown'!O:O,$B1053,'Executive Pay Breakdown'!Q:Q)</f>
        <v>0</v>
      </c>
      <c r="H1053" s="69">
        <f>SUMIF('Executive Pay Breakdown'!S:S,$B1053,'Executive Pay Breakdown'!U:U)</f>
        <v>0</v>
      </c>
      <c r="I1053" s="69">
        <f>SUMIF('Executive Pay Breakdown'!W:W,$B1053,'Executive Pay Breakdown'!Y:Y)</f>
        <v>0</v>
      </c>
      <c r="J1053" s="69">
        <f>SUMIF('Executive Pay Breakdown'!AA:AA,$B1053,'Executive Pay Breakdown'!AC:AC)</f>
        <v>10168771</v>
      </c>
      <c r="K1053" s="118"/>
      <c r="L1053" s="212"/>
      <c r="M1053" s="87"/>
      <c r="N1053" s="87"/>
      <c r="O1053" s="120" t="str">
        <f>MATCH(C1053,'Key Findings'!B:B,0)</f>
        <v>#N/A</v>
      </c>
    </row>
    <row r="1054" hidden="1">
      <c r="A1054" s="62"/>
      <c r="B1054" s="127" t="s">
        <v>1267</v>
      </c>
      <c r="C1054" s="87" t="s">
        <v>1260</v>
      </c>
      <c r="D1054" s="89">
        <f>SUMIF('Executive Pay Breakdown'!K:K,$B1054,'Executive Pay Breakdown'!M:M)+SUMIF('Executive Pay Breakdown'!O:O,$B1054,'Executive Pay Breakdown'!Q:Q)+SUMIF('Executive Pay Breakdown'!S:S,$B1054,'Executive Pay Breakdown'!U:U)+SUMIF('Executive Pay Breakdown'!W:W,$B1054,'Executive Pay Breakdown'!Y:Y)+SUMIF('Executive Pay Breakdown'!AA:AA,$B1054,'Executive Pay Breakdown'!AC:AC)</f>
        <v>9430633</v>
      </c>
      <c r="E1054" s="109"/>
      <c r="F1054" s="69">
        <f>SUMIF('Executive Pay Breakdown'!K:K,$B1054,'Executive Pay Breakdown'!M:M)</f>
        <v>4892025</v>
      </c>
      <c r="G1054" s="69">
        <f>SUMIF('Executive Pay Breakdown'!O:O,$B1054,'Executive Pay Breakdown'!Q:Q)</f>
        <v>4538608</v>
      </c>
      <c r="H1054" s="69">
        <f>SUMIF('Executive Pay Breakdown'!S:S,$B1054,'Executive Pay Breakdown'!U:U)</f>
        <v>0</v>
      </c>
      <c r="I1054" s="69">
        <f>SUMIF('Executive Pay Breakdown'!W:W,$B1054,'Executive Pay Breakdown'!Y:Y)</f>
        <v>0</v>
      </c>
      <c r="J1054" s="69">
        <f>SUMIF('Executive Pay Breakdown'!AA:AA,$B1054,'Executive Pay Breakdown'!AC:AC)</f>
        <v>0</v>
      </c>
      <c r="K1054" s="118"/>
      <c r="L1054" s="212"/>
      <c r="M1054" s="212"/>
      <c r="N1054" s="230"/>
      <c r="O1054" s="120" t="str">
        <f>MATCH(C1054,'Key Findings'!B:B,0)</f>
        <v>#N/A</v>
      </c>
    </row>
    <row r="1055" hidden="1">
      <c r="A1055" s="62"/>
      <c r="B1055" s="127" t="s">
        <v>1268</v>
      </c>
      <c r="C1055" s="87" t="s">
        <v>1260</v>
      </c>
      <c r="D1055" s="89">
        <f>SUMIF('Executive Pay Breakdown'!K:K,$B1055,'Executive Pay Breakdown'!M:M)+SUMIF('Executive Pay Breakdown'!O:O,$B1055,'Executive Pay Breakdown'!Q:Q)+SUMIF('Executive Pay Breakdown'!S:S,$B1055,'Executive Pay Breakdown'!U:U)+SUMIF('Executive Pay Breakdown'!W:W,$B1055,'Executive Pay Breakdown'!Y:Y)+SUMIF('Executive Pay Breakdown'!AA:AA,$B1055,'Executive Pay Breakdown'!AC:AC)</f>
        <v>4282776</v>
      </c>
      <c r="E1055" s="109"/>
      <c r="F1055" s="69">
        <f>SUMIF('Executive Pay Breakdown'!K:K,$B1055,'Executive Pay Breakdown'!M:M)</f>
        <v>4282776</v>
      </c>
      <c r="G1055" s="69">
        <f>SUMIF('Executive Pay Breakdown'!O:O,$B1055,'Executive Pay Breakdown'!Q:Q)</f>
        <v>0</v>
      </c>
      <c r="H1055" s="69">
        <f>SUMIF('Executive Pay Breakdown'!S:S,$B1055,'Executive Pay Breakdown'!U:U)</f>
        <v>0</v>
      </c>
      <c r="I1055" s="69">
        <f>SUMIF('Executive Pay Breakdown'!W:W,$B1055,'Executive Pay Breakdown'!Y:Y)</f>
        <v>0</v>
      </c>
      <c r="J1055" s="69">
        <f>SUMIF('Executive Pay Breakdown'!AA:AA,$B1055,'Executive Pay Breakdown'!AC:AC)</f>
        <v>0</v>
      </c>
      <c r="K1055" s="118"/>
      <c r="L1055" s="212"/>
      <c r="M1055" s="87"/>
      <c r="N1055" s="230"/>
      <c r="O1055" s="120" t="str">
        <f>MATCH(C1055,'Key Findings'!B:B,0)</f>
        <v>#N/A</v>
      </c>
    </row>
    <row r="1056" hidden="1">
      <c r="A1056" s="62"/>
      <c r="B1056" s="127" t="s">
        <v>1269</v>
      </c>
      <c r="C1056" s="87" t="s">
        <v>1260</v>
      </c>
      <c r="D1056" s="89">
        <f>SUMIF('Executive Pay Breakdown'!K:K,$B1056,'Executive Pay Breakdown'!M:M)+SUMIF('Executive Pay Breakdown'!O:O,$B1056,'Executive Pay Breakdown'!Q:Q)+SUMIF('Executive Pay Breakdown'!S:S,$B1056,'Executive Pay Breakdown'!U:U)+SUMIF('Executive Pay Breakdown'!W:W,$B1056,'Executive Pay Breakdown'!Y:Y)+SUMIF('Executive Pay Breakdown'!AA:AA,$B1056,'Executive Pay Breakdown'!AC:AC)</f>
        <v>3766283</v>
      </c>
      <c r="E1056" s="109"/>
      <c r="F1056" s="69">
        <f>SUMIF('Executive Pay Breakdown'!K:K,$B1056,'Executive Pay Breakdown'!M:M)</f>
        <v>0</v>
      </c>
      <c r="G1056" s="69">
        <f>SUMIF('Executive Pay Breakdown'!O:O,$B1056,'Executive Pay Breakdown'!Q:Q)</f>
        <v>0</v>
      </c>
      <c r="H1056" s="69">
        <f>SUMIF('Executive Pay Breakdown'!S:S,$B1056,'Executive Pay Breakdown'!U:U)</f>
        <v>0</v>
      </c>
      <c r="I1056" s="69">
        <f>SUMIF('Executive Pay Breakdown'!W:W,$B1056,'Executive Pay Breakdown'!Y:Y)</f>
        <v>0</v>
      </c>
      <c r="J1056" s="69">
        <f>SUMIF('Executive Pay Breakdown'!AA:AA,$B1056,'Executive Pay Breakdown'!AC:AC)</f>
        <v>3766283</v>
      </c>
      <c r="K1056" s="118"/>
      <c r="L1056" s="212"/>
      <c r="M1056" s="87"/>
      <c r="N1056" s="87"/>
      <c r="O1056" s="120" t="str">
        <f>MATCH(C1056,'Key Findings'!B:B,0)</f>
        <v>#N/A</v>
      </c>
    </row>
    <row r="1057" hidden="1">
      <c r="A1057" s="81"/>
      <c r="B1057" s="236" t="s">
        <v>1270</v>
      </c>
      <c r="C1057" s="87" t="s">
        <v>1271</v>
      </c>
      <c r="D1057" s="89">
        <f>SUMIF('Executive Pay Breakdown'!K:K,$B1057,'Executive Pay Breakdown'!M:M)+SUMIF('Executive Pay Breakdown'!O:O,$B1057,'Executive Pay Breakdown'!Q:Q)+SUMIF('Executive Pay Breakdown'!S:S,$B1057,'Executive Pay Breakdown'!U:U)+SUMIF('Executive Pay Breakdown'!W:W,$B1057,'Executive Pay Breakdown'!Y:Y)+SUMIF('Executive Pay Breakdown'!AA:AA,$B1057,'Executive Pay Breakdown'!AC:AC)</f>
        <v>66081049</v>
      </c>
      <c r="E1057" s="109"/>
      <c r="F1057" s="69">
        <f>SUMIF('Executive Pay Breakdown'!K:K,$B1057,'Executive Pay Breakdown'!M:M)</f>
        <v>20300151</v>
      </c>
      <c r="G1057" s="69">
        <f>SUMIF('Executive Pay Breakdown'!O:O,$B1057,'Executive Pay Breakdown'!Q:Q)</f>
        <v>19912826</v>
      </c>
      <c r="H1057" s="69">
        <f>SUMIF('Executive Pay Breakdown'!S:S,$B1057,'Executive Pay Breakdown'!U:U)</f>
        <v>15588384</v>
      </c>
      <c r="I1057" s="69">
        <f>SUMIF('Executive Pay Breakdown'!W:W,$B1057,'Executive Pay Breakdown'!Y:Y)</f>
        <v>6005692</v>
      </c>
      <c r="J1057" s="69">
        <f>SUMIF('Executive Pay Breakdown'!AA:AA,$B1057,'Executive Pay Breakdown'!AC:AC)</f>
        <v>4273996</v>
      </c>
      <c r="K1057" s="118"/>
      <c r="L1057" s="212"/>
      <c r="M1057" s="87"/>
      <c r="N1057" s="230"/>
      <c r="O1057" s="120" t="str">
        <f>MATCH(C1057,'Key Findings'!B:B,0)</f>
        <v>#N/A</v>
      </c>
    </row>
    <row r="1058" hidden="1">
      <c r="A1058" s="71"/>
      <c r="B1058" s="124" t="s">
        <v>1272</v>
      </c>
      <c r="C1058" s="87" t="s">
        <v>1271</v>
      </c>
      <c r="D1058" s="89">
        <f>SUMIF('Executive Pay Breakdown'!K:K,$B1058,'Executive Pay Breakdown'!M:M)+SUMIF('Executive Pay Breakdown'!O:O,$B1058,'Executive Pay Breakdown'!Q:Q)+SUMIF('Executive Pay Breakdown'!S:S,$B1058,'Executive Pay Breakdown'!U:U)+SUMIF('Executive Pay Breakdown'!W:W,$B1058,'Executive Pay Breakdown'!Y:Y)+SUMIF('Executive Pay Breakdown'!AA:AA,$B1058,'Executive Pay Breakdown'!AC:AC)</f>
        <v>40223552</v>
      </c>
      <c r="E1058" s="109"/>
      <c r="F1058" s="69">
        <f>SUMIF('Executive Pay Breakdown'!K:K,$B1058,'Executive Pay Breakdown'!M:M)</f>
        <v>0</v>
      </c>
      <c r="G1058" s="69">
        <f>SUMIF('Executive Pay Breakdown'!O:O,$B1058,'Executive Pay Breakdown'!Q:Q)</f>
        <v>0</v>
      </c>
      <c r="H1058" s="69">
        <f>SUMIF('Executive Pay Breakdown'!S:S,$B1058,'Executive Pay Breakdown'!U:U)</f>
        <v>0</v>
      </c>
      <c r="I1058" s="69">
        <f>SUMIF('Executive Pay Breakdown'!W:W,$B1058,'Executive Pay Breakdown'!Y:Y)</f>
        <v>21697885</v>
      </c>
      <c r="J1058" s="69">
        <f>SUMIF('Executive Pay Breakdown'!AA:AA,$B1058,'Executive Pay Breakdown'!AC:AC)</f>
        <v>18525667</v>
      </c>
      <c r="K1058" s="118"/>
      <c r="L1058" s="212"/>
      <c r="M1058" s="87"/>
      <c r="N1058" s="87"/>
      <c r="O1058" s="120" t="str">
        <f>MATCH(C1058,'Key Findings'!B:B,0)</f>
        <v>#N/A</v>
      </c>
    </row>
    <row r="1059" hidden="1">
      <c r="A1059" s="71"/>
      <c r="B1059" s="124" t="s">
        <v>1273</v>
      </c>
      <c r="C1059" s="87" t="s">
        <v>1271</v>
      </c>
      <c r="D1059" s="89">
        <f>SUMIF('Executive Pay Breakdown'!K:K,$B1059,'Executive Pay Breakdown'!M:M)+SUMIF('Executive Pay Breakdown'!O:O,$B1059,'Executive Pay Breakdown'!Q:Q)+SUMIF('Executive Pay Breakdown'!S:S,$B1059,'Executive Pay Breakdown'!U:U)+SUMIF('Executive Pay Breakdown'!W:W,$B1059,'Executive Pay Breakdown'!Y:Y)+SUMIF('Executive Pay Breakdown'!AA:AA,$B1059,'Executive Pay Breakdown'!AC:AC)</f>
        <v>28515820</v>
      </c>
      <c r="E1059" s="109"/>
      <c r="F1059" s="69">
        <f>SUMIF('Executive Pay Breakdown'!K:K,$B1059,'Executive Pay Breakdown'!M:M)</f>
        <v>5920894</v>
      </c>
      <c r="G1059" s="69">
        <f>SUMIF('Executive Pay Breakdown'!O:O,$B1059,'Executive Pay Breakdown'!Q:Q)</f>
        <v>6307975</v>
      </c>
      <c r="H1059" s="69">
        <f>SUMIF('Executive Pay Breakdown'!S:S,$B1059,'Executive Pay Breakdown'!U:U)</f>
        <v>6512641</v>
      </c>
      <c r="I1059" s="69">
        <f>SUMIF('Executive Pay Breakdown'!W:W,$B1059,'Executive Pay Breakdown'!Y:Y)</f>
        <v>5437459</v>
      </c>
      <c r="J1059" s="69">
        <f>SUMIF('Executive Pay Breakdown'!AA:AA,$B1059,'Executive Pay Breakdown'!AC:AC)</f>
        <v>4336851</v>
      </c>
      <c r="K1059" s="118"/>
      <c r="L1059" s="212"/>
      <c r="M1059" s="87"/>
      <c r="N1059" s="230"/>
      <c r="O1059" s="120" t="str">
        <f>MATCH(C1059,'Key Findings'!B:B,0)</f>
        <v>#N/A</v>
      </c>
    </row>
    <row r="1060" hidden="1">
      <c r="A1060" s="71"/>
      <c r="B1060" s="124" t="s">
        <v>1274</v>
      </c>
      <c r="C1060" s="87" t="s">
        <v>1271</v>
      </c>
      <c r="D1060" s="89">
        <f>SUMIF('Executive Pay Breakdown'!K:K,$B1060,'Executive Pay Breakdown'!M:M)+SUMIF('Executive Pay Breakdown'!O:O,$B1060,'Executive Pay Breakdown'!Q:Q)+SUMIF('Executive Pay Breakdown'!S:S,$B1060,'Executive Pay Breakdown'!U:U)+SUMIF('Executive Pay Breakdown'!W:W,$B1060,'Executive Pay Breakdown'!Y:Y)+SUMIF('Executive Pay Breakdown'!AA:AA,$B1060,'Executive Pay Breakdown'!AC:AC)</f>
        <v>23519646</v>
      </c>
      <c r="E1060" s="109"/>
      <c r="F1060" s="69">
        <f>SUMIF('Executive Pay Breakdown'!K:K,$B1060,'Executive Pay Breakdown'!M:M)</f>
        <v>5798454</v>
      </c>
      <c r="G1060" s="69">
        <f>SUMIF('Executive Pay Breakdown'!O:O,$B1060,'Executive Pay Breakdown'!Q:Q)</f>
        <v>6436600</v>
      </c>
      <c r="H1060" s="69">
        <f>SUMIF('Executive Pay Breakdown'!S:S,$B1060,'Executive Pay Breakdown'!U:U)</f>
        <v>6192669</v>
      </c>
      <c r="I1060" s="69">
        <f>SUMIF('Executive Pay Breakdown'!W:W,$B1060,'Executive Pay Breakdown'!Y:Y)</f>
        <v>5091923</v>
      </c>
      <c r="J1060" s="69">
        <f>SUMIF('Executive Pay Breakdown'!AA:AA,$B1060,'Executive Pay Breakdown'!AC:AC)</f>
        <v>0</v>
      </c>
      <c r="K1060" s="118"/>
      <c r="L1060" s="212"/>
      <c r="M1060" s="87"/>
      <c r="N1060" s="230"/>
      <c r="O1060" s="120" t="str">
        <f>MATCH(C1060,'Key Findings'!B:B,0)</f>
        <v>#N/A</v>
      </c>
    </row>
    <row r="1061" hidden="1">
      <c r="A1061" s="71"/>
      <c r="B1061" s="124" t="s">
        <v>1275</v>
      </c>
      <c r="C1061" s="87" t="s">
        <v>1271</v>
      </c>
      <c r="D1061" s="89">
        <f>SUMIF('Executive Pay Breakdown'!K:K,$B1061,'Executive Pay Breakdown'!M:M)+SUMIF('Executive Pay Breakdown'!O:O,$B1061,'Executive Pay Breakdown'!Q:Q)+SUMIF('Executive Pay Breakdown'!S:S,$B1061,'Executive Pay Breakdown'!U:U)+SUMIF('Executive Pay Breakdown'!W:W,$B1061,'Executive Pay Breakdown'!Y:Y)+SUMIF('Executive Pay Breakdown'!AA:AA,$B1061,'Executive Pay Breakdown'!AC:AC)</f>
        <v>21478994</v>
      </c>
      <c r="E1061" s="109"/>
      <c r="F1061" s="69">
        <f>SUMIF('Executive Pay Breakdown'!K:K,$B1061,'Executive Pay Breakdown'!M:M)</f>
        <v>0</v>
      </c>
      <c r="G1061" s="69">
        <f>SUMIF('Executive Pay Breakdown'!O:O,$B1061,'Executive Pay Breakdown'!Q:Q)</f>
        <v>0</v>
      </c>
      <c r="H1061" s="69">
        <f>SUMIF('Executive Pay Breakdown'!S:S,$B1061,'Executive Pay Breakdown'!U:U)</f>
        <v>6812256</v>
      </c>
      <c r="I1061" s="69">
        <f>SUMIF('Executive Pay Breakdown'!W:W,$B1061,'Executive Pay Breakdown'!Y:Y)</f>
        <v>10087141</v>
      </c>
      <c r="J1061" s="69">
        <f>SUMIF('Executive Pay Breakdown'!AA:AA,$B1061,'Executive Pay Breakdown'!AC:AC)</f>
        <v>4579597</v>
      </c>
      <c r="K1061" s="118"/>
      <c r="L1061" s="212"/>
      <c r="M1061" s="87"/>
      <c r="N1061" s="87"/>
      <c r="O1061" s="120" t="str">
        <f>MATCH(C1061,'Key Findings'!B:B,0)</f>
        <v>#N/A</v>
      </c>
    </row>
    <row r="1062" hidden="1">
      <c r="A1062" s="71"/>
      <c r="B1062" s="124" t="s">
        <v>1276</v>
      </c>
      <c r="C1062" s="87" t="s">
        <v>1271</v>
      </c>
      <c r="D1062" s="89">
        <f>SUMIF('Executive Pay Breakdown'!K:K,$B1062,'Executive Pay Breakdown'!M:M)+SUMIF('Executive Pay Breakdown'!O:O,$B1062,'Executive Pay Breakdown'!Q:Q)+SUMIF('Executive Pay Breakdown'!S:S,$B1062,'Executive Pay Breakdown'!U:U)+SUMIF('Executive Pay Breakdown'!W:W,$B1062,'Executive Pay Breakdown'!Y:Y)+SUMIF('Executive Pay Breakdown'!AA:AA,$B1062,'Executive Pay Breakdown'!AC:AC)</f>
        <v>20996509</v>
      </c>
      <c r="E1062" s="109"/>
      <c r="F1062" s="69">
        <f>SUMIF('Executive Pay Breakdown'!K:K,$B1062,'Executive Pay Breakdown'!M:M)</f>
        <v>6997172</v>
      </c>
      <c r="G1062" s="69">
        <f>SUMIF('Executive Pay Breakdown'!O:O,$B1062,'Executive Pay Breakdown'!Q:Q)</f>
        <v>6461344</v>
      </c>
      <c r="H1062" s="69">
        <f>SUMIF('Executive Pay Breakdown'!S:S,$B1062,'Executive Pay Breakdown'!U:U)</f>
        <v>5617011</v>
      </c>
      <c r="I1062" s="69">
        <f>SUMIF('Executive Pay Breakdown'!W:W,$B1062,'Executive Pay Breakdown'!Y:Y)</f>
        <v>1920982</v>
      </c>
      <c r="J1062" s="69">
        <f>SUMIF('Executive Pay Breakdown'!AA:AA,$B1062,'Executive Pay Breakdown'!AC:AC)</f>
        <v>0</v>
      </c>
      <c r="K1062" s="118"/>
      <c r="L1062" s="212"/>
      <c r="M1062" s="87"/>
      <c r="N1062" s="230"/>
      <c r="O1062" s="120" t="str">
        <f>MATCH(C1062,'Key Findings'!B:B,0)</f>
        <v>#N/A</v>
      </c>
    </row>
    <row r="1063" hidden="1">
      <c r="A1063" s="71"/>
      <c r="B1063" s="124" t="s">
        <v>1277</v>
      </c>
      <c r="C1063" s="87" t="s">
        <v>1271</v>
      </c>
      <c r="D1063" s="89">
        <f>SUMIF('Executive Pay Breakdown'!K:K,$B1063,'Executive Pay Breakdown'!M:M)+SUMIF('Executive Pay Breakdown'!O:O,$B1063,'Executive Pay Breakdown'!Q:Q)+SUMIF('Executive Pay Breakdown'!S:S,$B1063,'Executive Pay Breakdown'!U:U)+SUMIF('Executive Pay Breakdown'!W:W,$B1063,'Executive Pay Breakdown'!Y:Y)+SUMIF('Executive Pay Breakdown'!AA:AA,$B1063,'Executive Pay Breakdown'!AC:AC)</f>
        <v>18139223</v>
      </c>
      <c r="E1063" s="109"/>
      <c r="F1063" s="69">
        <f>SUMIF('Executive Pay Breakdown'!K:K,$B1063,'Executive Pay Breakdown'!M:M)</f>
        <v>5454772</v>
      </c>
      <c r="G1063" s="69">
        <f>SUMIF('Executive Pay Breakdown'!O:O,$B1063,'Executive Pay Breakdown'!Q:Q)</f>
        <v>6287358</v>
      </c>
      <c r="H1063" s="69">
        <f>SUMIF('Executive Pay Breakdown'!S:S,$B1063,'Executive Pay Breakdown'!U:U)</f>
        <v>6397093</v>
      </c>
      <c r="I1063" s="69">
        <f>SUMIF('Executive Pay Breakdown'!W:W,$B1063,'Executive Pay Breakdown'!Y:Y)</f>
        <v>0</v>
      </c>
      <c r="J1063" s="69">
        <f>SUMIF('Executive Pay Breakdown'!AA:AA,$B1063,'Executive Pay Breakdown'!AC:AC)</f>
        <v>0</v>
      </c>
      <c r="K1063" s="118"/>
      <c r="L1063" s="212"/>
      <c r="M1063" s="87"/>
      <c r="N1063" s="230"/>
      <c r="O1063" s="120" t="str">
        <f>MATCH(C1063,'Key Findings'!B:B,0)</f>
        <v>#N/A</v>
      </c>
    </row>
    <row r="1064" hidden="1">
      <c r="A1064" s="71"/>
      <c r="B1064" s="124" t="s">
        <v>1278</v>
      </c>
      <c r="C1064" s="87" t="s">
        <v>1271</v>
      </c>
      <c r="D1064" s="89">
        <f>SUMIF('Executive Pay Breakdown'!K:K,$B1064,'Executive Pay Breakdown'!M:M)+SUMIF('Executive Pay Breakdown'!O:O,$B1064,'Executive Pay Breakdown'!Q:Q)+SUMIF('Executive Pay Breakdown'!S:S,$B1064,'Executive Pay Breakdown'!U:U)+SUMIF('Executive Pay Breakdown'!W:W,$B1064,'Executive Pay Breakdown'!Y:Y)+SUMIF('Executive Pay Breakdown'!AA:AA,$B1064,'Executive Pay Breakdown'!AC:AC)</f>
        <v>12568171</v>
      </c>
      <c r="E1064" s="109"/>
      <c r="F1064" s="69">
        <f>SUMIF('Executive Pay Breakdown'!K:K,$B1064,'Executive Pay Breakdown'!M:M)</f>
        <v>5775163</v>
      </c>
      <c r="G1064" s="69">
        <f>SUMIF('Executive Pay Breakdown'!O:O,$B1064,'Executive Pay Breakdown'!Q:Q)</f>
        <v>6793008</v>
      </c>
      <c r="H1064" s="69">
        <f>SUMIF('Executive Pay Breakdown'!S:S,$B1064,'Executive Pay Breakdown'!U:U)</f>
        <v>0</v>
      </c>
      <c r="I1064" s="69">
        <f>SUMIF('Executive Pay Breakdown'!W:W,$B1064,'Executive Pay Breakdown'!Y:Y)</f>
        <v>0</v>
      </c>
      <c r="J1064" s="69">
        <f>SUMIF('Executive Pay Breakdown'!AA:AA,$B1064,'Executive Pay Breakdown'!AC:AC)</f>
        <v>0</v>
      </c>
      <c r="K1064" s="118"/>
      <c r="L1064" s="212"/>
      <c r="M1064" s="212"/>
      <c r="N1064" s="230"/>
      <c r="O1064" s="120" t="str">
        <f>MATCH(C1064,'Key Findings'!B:B,0)</f>
        <v>#N/A</v>
      </c>
    </row>
    <row r="1065" hidden="1">
      <c r="A1065" s="71"/>
      <c r="B1065" s="124" t="s">
        <v>1279</v>
      </c>
      <c r="C1065" s="87" t="s">
        <v>1271</v>
      </c>
      <c r="D1065" s="89">
        <f>SUMIF('Executive Pay Breakdown'!K:K,$B1065,'Executive Pay Breakdown'!M:M)+SUMIF('Executive Pay Breakdown'!O:O,$B1065,'Executive Pay Breakdown'!Q:Q)+SUMIF('Executive Pay Breakdown'!S:S,$B1065,'Executive Pay Breakdown'!U:U)+SUMIF('Executive Pay Breakdown'!W:W,$B1065,'Executive Pay Breakdown'!Y:Y)+SUMIF('Executive Pay Breakdown'!AA:AA,$B1065,'Executive Pay Breakdown'!AC:AC)</f>
        <v>4633762</v>
      </c>
      <c r="E1065" s="109"/>
      <c r="F1065" s="69">
        <f>SUMIF('Executive Pay Breakdown'!K:K,$B1065,'Executive Pay Breakdown'!M:M)</f>
        <v>0</v>
      </c>
      <c r="G1065" s="69">
        <f>SUMIF('Executive Pay Breakdown'!O:O,$B1065,'Executive Pay Breakdown'!Q:Q)</f>
        <v>0</v>
      </c>
      <c r="H1065" s="69">
        <f>SUMIF('Executive Pay Breakdown'!S:S,$B1065,'Executive Pay Breakdown'!U:U)</f>
        <v>0</v>
      </c>
      <c r="I1065" s="69">
        <f>SUMIF('Executive Pay Breakdown'!W:W,$B1065,'Executive Pay Breakdown'!Y:Y)</f>
        <v>0</v>
      </c>
      <c r="J1065" s="69">
        <f>SUMIF('Executive Pay Breakdown'!AA:AA,$B1065,'Executive Pay Breakdown'!AC:AC)</f>
        <v>4633762</v>
      </c>
      <c r="K1065" s="118"/>
      <c r="L1065" s="212"/>
      <c r="M1065" s="87"/>
      <c r="N1065" s="87"/>
      <c r="O1065" s="120" t="str">
        <f>MATCH(C1065,'Key Findings'!B:B,0)</f>
        <v>#N/A</v>
      </c>
    </row>
    <row r="1066" hidden="1">
      <c r="A1066" s="71"/>
      <c r="B1066" s="124" t="s">
        <v>1280</v>
      </c>
      <c r="C1066" s="87" t="s">
        <v>1271</v>
      </c>
      <c r="D1066" s="89">
        <f>SUMIF('Executive Pay Breakdown'!K:K,$B1066,'Executive Pay Breakdown'!M:M)+SUMIF('Executive Pay Breakdown'!O:O,$B1066,'Executive Pay Breakdown'!Q:Q)+SUMIF('Executive Pay Breakdown'!S:S,$B1066,'Executive Pay Breakdown'!U:U)+SUMIF('Executive Pay Breakdown'!W:W,$B1066,'Executive Pay Breakdown'!Y:Y)+SUMIF('Executive Pay Breakdown'!AA:AA,$B1066,'Executive Pay Breakdown'!AC:AC)</f>
        <v>1515747</v>
      </c>
      <c r="E1066" s="109"/>
      <c r="F1066" s="69">
        <f>SUMIF('Executive Pay Breakdown'!K:K,$B1066,'Executive Pay Breakdown'!M:M)</f>
        <v>1515747</v>
      </c>
      <c r="G1066" s="69">
        <f>SUMIF('Executive Pay Breakdown'!O:O,$B1066,'Executive Pay Breakdown'!Q:Q)</f>
        <v>0</v>
      </c>
      <c r="H1066" s="69">
        <f>SUMIF('Executive Pay Breakdown'!S:S,$B1066,'Executive Pay Breakdown'!U:U)</f>
        <v>0</v>
      </c>
      <c r="I1066" s="69">
        <f>SUMIF('Executive Pay Breakdown'!W:W,$B1066,'Executive Pay Breakdown'!Y:Y)</f>
        <v>0</v>
      </c>
      <c r="J1066" s="69">
        <f>SUMIF('Executive Pay Breakdown'!AA:AA,$B1066,'Executive Pay Breakdown'!AC:AC)</f>
        <v>0</v>
      </c>
      <c r="K1066" s="118"/>
      <c r="L1066" s="212"/>
      <c r="M1066" s="87"/>
      <c r="N1066" s="230"/>
      <c r="O1066" s="120" t="str">
        <f>MATCH(C1066,'Key Findings'!B:B,0)</f>
        <v>#N/A</v>
      </c>
    </row>
    <row r="1067" hidden="1">
      <c r="A1067" s="62"/>
      <c r="B1067" s="127" t="s">
        <v>1281</v>
      </c>
      <c r="C1067" s="87" t="s">
        <v>1282</v>
      </c>
      <c r="D1067" s="89">
        <f>SUMIF('Executive Pay Breakdown'!K:K,$B1067,'Executive Pay Breakdown'!M:M)+SUMIF('Executive Pay Breakdown'!O:O,$B1067,'Executive Pay Breakdown'!Q:Q)+SUMIF('Executive Pay Breakdown'!S:S,$B1067,'Executive Pay Breakdown'!U:U)+SUMIF('Executive Pay Breakdown'!W:W,$B1067,'Executive Pay Breakdown'!Y:Y)+SUMIF('Executive Pay Breakdown'!AA:AA,$B1067,'Executive Pay Breakdown'!AC:AC)</f>
        <v>164035766</v>
      </c>
      <c r="E1067" s="109"/>
      <c r="F1067" s="69">
        <f>SUMIF('Executive Pay Breakdown'!K:K,$B1067,'Executive Pay Breakdown'!M:M)</f>
        <v>30583692</v>
      </c>
      <c r="G1067" s="69">
        <f>SUMIF('Executive Pay Breakdown'!O:O,$B1067,'Executive Pay Breakdown'!Q:Q)</f>
        <v>50553869</v>
      </c>
      <c r="H1067" s="69">
        <f>SUMIF('Executive Pay Breakdown'!S:S,$B1067,'Executive Pay Breakdown'!U:U)</f>
        <v>32536520</v>
      </c>
      <c r="I1067" s="69">
        <f>SUMIF('Executive Pay Breakdown'!W:W,$B1067,'Executive Pay Breakdown'!Y:Y)</f>
        <v>24611837</v>
      </c>
      <c r="J1067" s="69">
        <f>SUMIF('Executive Pay Breakdown'!AA:AA,$B1067,'Executive Pay Breakdown'!AC:AC)</f>
        <v>25749848</v>
      </c>
      <c r="K1067" s="118"/>
      <c r="L1067" s="212"/>
      <c r="M1067" s="87"/>
      <c r="N1067" s="87"/>
      <c r="O1067" s="120" t="str">
        <f>MATCH(C1067,'Key Findings'!B:B,0)</f>
        <v>#N/A</v>
      </c>
    </row>
    <row r="1068" hidden="1">
      <c r="A1068" s="62"/>
      <c r="B1068" s="127" t="s">
        <v>1283</v>
      </c>
      <c r="C1068" s="87" t="s">
        <v>1282</v>
      </c>
      <c r="D1068" s="89">
        <f>SUMIF('Executive Pay Breakdown'!K:K,$B1068,'Executive Pay Breakdown'!M:M)+SUMIF('Executive Pay Breakdown'!O:O,$B1068,'Executive Pay Breakdown'!Q:Q)+SUMIF('Executive Pay Breakdown'!S:S,$B1068,'Executive Pay Breakdown'!U:U)+SUMIF('Executive Pay Breakdown'!W:W,$B1068,'Executive Pay Breakdown'!Y:Y)+SUMIF('Executive Pay Breakdown'!AA:AA,$B1068,'Executive Pay Breakdown'!AC:AC)</f>
        <v>108977898</v>
      </c>
      <c r="E1068" s="109"/>
      <c r="F1068" s="69">
        <f>SUMIF('Executive Pay Breakdown'!K:K,$B1068,'Executive Pay Breakdown'!M:M)</f>
        <v>29996862</v>
      </c>
      <c r="G1068" s="69">
        <f>SUMIF('Executive Pay Breakdown'!O:O,$B1068,'Executive Pay Breakdown'!Q:Q)</f>
        <v>30571596</v>
      </c>
      <c r="H1068" s="69">
        <f>SUMIF('Executive Pay Breakdown'!S:S,$B1068,'Executive Pay Breakdown'!U:U)</f>
        <v>19197322</v>
      </c>
      <c r="I1068" s="69">
        <f>SUMIF('Executive Pay Breakdown'!W:W,$B1068,'Executive Pay Breakdown'!Y:Y)</f>
        <v>14351631</v>
      </c>
      <c r="J1068" s="69">
        <f>SUMIF('Executive Pay Breakdown'!AA:AA,$B1068,'Executive Pay Breakdown'!AC:AC)</f>
        <v>14860487</v>
      </c>
      <c r="K1068" s="118"/>
      <c r="L1068" s="212"/>
      <c r="M1068" s="87"/>
      <c r="N1068" s="87"/>
      <c r="O1068" s="120" t="str">
        <f>MATCH(C1068,'Key Findings'!B:B,0)</f>
        <v>#N/A</v>
      </c>
    </row>
    <row r="1069" hidden="1">
      <c r="A1069" s="62"/>
      <c r="B1069" s="127" t="s">
        <v>1284</v>
      </c>
      <c r="C1069" s="87" t="s">
        <v>1282</v>
      </c>
      <c r="D1069" s="89">
        <f>SUMIF('Executive Pay Breakdown'!K:K,$B1069,'Executive Pay Breakdown'!M:M)+SUMIF('Executive Pay Breakdown'!O:O,$B1069,'Executive Pay Breakdown'!Q:Q)+SUMIF('Executive Pay Breakdown'!S:S,$B1069,'Executive Pay Breakdown'!U:U)+SUMIF('Executive Pay Breakdown'!W:W,$B1069,'Executive Pay Breakdown'!Y:Y)+SUMIF('Executive Pay Breakdown'!AA:AA,$B1069,'Executive Pay Breakdown'!AC:AC)</f>
        <v>44965538</v>
      </c>
      <c r="E1069" s="109"/>
      <c r="F1069" s="69">
        <f>SUMIF('Executive Pay Breakdown'!K:K,$B1069,'Executive Pay Breakdown'!M:M)</f>
        <v>13728866</v>
      </c>
      <c r="G1069" s="69">
        <f>SUMIF('Executive Pay Breakdown'!O:O,$B1069,'Executive Pay Breakdown'!Q:Q)</f>
        <v>11724900</v>
      </c>
      <c r="H1069" s="69">
        <f>SUMIF('Executive Pay Breakdown'!S:S,$B1069,'Executive Pay Breakdown'!U:U)</f>
        <v>7561759</v>
      </c>
      <c r="I1069" s="69">
        <f>SUMIF('Executive Pay Breakdown'!W:W,$B1069,'Executive Pay Breakdown'!Y:Y)</f>
        <v>5924121</v>
      </c>
      <c r="J1069" s="69">
        <f>SUMIF('Executive Pay Breakdown'!AA:AA,$B1069,'Executive Pay Breakdown'!AC:AC)</f>
        <v>6025892</v>
      </c>
      <c r="K1069" s="118"/>
      <c r="L1069" s="212"/>
      <c r="M1069" s="87"/>
      <c r="N1069" s="230"/>
      <c r="O1069" s="120" t="str">
        <f>MATCH(C1069,'Key Findings'!B:B,0)</f>
        <v>#N/A</v>
      </c>
    </row>
    <row r="1070" hidden="1">
      <c r="A1070" s="62"/>
      <c r="B1070" s="127" t="s">
        <v>1285</v>
      </c>
      <c r="C1070" s="87" t="s">
        <v>1282</v>
      </c>
      <c r="D1070" s="89">
        <f>SUMIF('Executive Pay Breakdown'!K:K,$B1070,'Executive Pay Breakdown'!M:M)+SUMIF('Executive Pay Breakdown'!O:O,$B1070,'Executive Pay Breakdown'!Q:Q)+SUMIF('Executive Pay Breakdown'!S:S,$B1070,'Executive Pay Breakdown'!U:U)+SUMIF('Executive Pay Breakdown'!W:W,$B1070,'Executive Pay Breakdown'!Y:Y)+SUMIF('Executive Pay Breakdown'!AA:AA,$B1070,'Executive Pay Breakdown'!AC:AC)</f>
        <v>28246130</v>
      </c>
      <c r="E1070" s="109"/>
      <c r="F1070" s="69">
        <f>SUMIF('Executive Pay Breakdown'!K:K,$B1070,'Executive Pay Breakdown'!M:M)</f>
        <v>7056711</v>
      </c>
      <c r="G1070" s="69">
        <f>SUMIF('Executive Pay Breakdown'!O:O,$B1070,'Executive Pay Breakdown'!Q:Q)</f>
        <v>6731413</v>
      </c>
      <c r="H1070" s="69">
        <f>SUMIF('Executive Pay Breakdown'!S:S,$B1070,'Executive Pay Breakdown'!U:U)</f>
        <v>5120912</v>
      </c>
      <c r="I1070" s="69">
        <f>SUMIF('Executive Pay Breakdown'!W:W,$B1070,'Executive Pay Breakdown'!Y:Y)</f>
        <v>4511523</v>
      </c>
      <c r="J1070" s="69">
        <f>SUMIF('Executive Pay Breakdown'!AA:AA,$B1070,'Executive Pay Breakdown'!AC:AC)</f>
        <v>4825571</v>
      </c>
      <c r="K1070" s="118"/>
      <c r="L1070" s="212"/>
      <c r="M1070" s="87"/>
      <c r="N1070" s="230"/>
      <c r="O1070" s="120" t="str">
        <f>MATCH(C1070,'Key Findings'!B:B,0)</f>
        <v>#N/A</v>
      </c>
    </row>
    <row r="1071" hidden="1">
      <c r="A1071" s="62"/>
      <c r="B1071" s="127" t="s">
        <v>1286</v>
      </c>
      <c r="C1071" s="87" t="s">
        <v>1282</v>
      </c>
      <c r="D1071" s="89">
        <f>SUMIF('Executive Pay Breakdown'!K:K,$B1071,'Executive Pay Breakdown'!M:M)+SUMIF('Executive Pay Breakdown'!O:O,$B1071,'Executive Pay Breakdown'!Q:Q)+SUMIF('Executive Pay Breakdown'!S:S,$B1071,'Executive Pay Breakdown'!U:U)+SUMIF('Executive Pay Breakdown'!W:W,$B1071,'Executive Pay Breakdown'!Y:Y)+SUMIF('Executive Pay Breakdown'!AA:AA,$B1071,'Executive Pay Breakdown'!AC:AC)</f>
        <v>13747278</v>
      </c>
      <c r="E1071" s="109"/>
      <c r="F1071" s="69">
        <f>SUMIF('Executive Pay Breakdown'!K:K,$B1071,'Executive Pay Breakdown'!M:M)</f>
        <v>13747278</v>
      </c>
      <c r="G1071" s="69">
        <f>SUMIF('Executive Pay Breakdown'!O:O,$B1071,'Executive Pay Breakdown'!Q:Q)</f>
        <v>0</v>
      </c>
      <c r="H1071" s="69">
        <f>SUMIF('Executive Pay Breakdown'!S:S,$B1071,'Executive Pay Breakdown'!U:U)</f>
        <v>0</v>
      </c>
      <c r="I1071" s="69">
        <f>SUMIF('Executive Pay Breakdown'!W:W,$B1071,'Executive Pay Breakdown'!Y:Y)</f>
        <v>0</v>
      </c>
      <c r="J1071" s="69">
        <f>SUMIF('Executive Pay Breakdown'!AA:AA,$B1071,'Executive Pay Breakdown'!AC:AC)</f>
        <v>0</v>
      </c>
      <c r="K1071" s="118"/>
      <c r="L1071" s="212"/>
      <c r="M1071" s="87"/>
      <c r="N1071" s="230"/>
      <c r="O1071" s="120" t="str">
        <f>MATCH(C1071,'Key Findings'!B:B,0)</f>
        <v>#N/A</v>
      </c>
    </row>
    <row r="1072" hidden="1">
      <c r="A1072" s="81"/>
      <c r="B1072" s="138" t="s">
        <v>1287</v>
      </c>
      <c r="C1072" s="87" t="s">
        <v>1288</v>
      </c>
      <c r="D1072" s="89">
        <f>SUMIF('Executive Pay Breakdown'!K:K,$B1072,'Executive Pay Breakdown'!M:M)+SUMIF('Executive Pay Breakdown'!O:O,$B1072,'Executive Pay Breakdown'!Q:Q)+SUMIF('Executive Pay Breakdown'!S:S,$B1072,'Executive Pay Breakdown'!U:U)+SUMIF('Executive Pay Breakdown'!W:W,$B1072,'Executive Pay Breakdown'!Y:Y)+SUMIF('Executive Pay Breakdown'!AA:AA,$B1072,'Executive Pay Breakdown'!AC:AC)</f>
        <v>85218741</v>
      </c>
      <c r="E1072" s="109"/>
      <c r="F1072" s="69">
        <f>SUMIF('Executive Pay Breakdown'!K:K,$B1072,'Executive Pay Breakdown'!M:M)</f>
        <v>0</v>
      </c>
      <c r="G1072" s="69">
        <f>SUMIF('Executive Pay Breakdown'!O:O,$B1072,'Executive Pay Breakdown'!Q:Q)</f>
        <v>3784072</v>
      </c>
      <c r="H1072" s="69">
        <f>SUMIF('Executive Pay Breakdown'!S:S,$B1072,'Executive Pay Breakdown'!U:U)</f>
        <v>23043822</v>
      </c>
      <c r="I1072" s="69">
        <f>SUMIF('Executive Pay Breakdown'!W:W,$B1072,'Executive Pay Breakdown'!Y:Y)</f>
        <v>36451749</v>
      </c>
      <c r="J1072" s="69">
        <f>SUMIF('Executive Pay Breakdown'!AA:AA,$B1072,'Executive Pay Breakdown'!AC:AC)</f>
        <v>21939098</v>
      </c>
      <c r="K1072" s="118"/>
      <c r="L1072" s="212"/>
      <c r="M1072" s="87"/>
      <c r="N1072" s="230"/>
      <c r="O1072" s="120" t="str">
        <f>MATCH(C1072,'Key Findings'!B:B,0)</f>
        <v>#N/A</v>
      </c>
    </row>
    <row r="1073" hidden="1">
      <c r="A1073" s="81"/>
      <c r="B1073" s="138" t="s">
        <v>1289</v>
      </c>
      <c r="C1073" s="87" t="s">
        <v>1288</v>
      </c>
      <c r="D1073" s="89">
        <f>SUMIF('Executive Pay Breakdown'!K:K,$B1073,'Executive Pay Breakdown'!M:M)+SUMIF('Executive Pay Breakdown'!O:O,$B1073,'Executive Pay Breakdown'!Q:Q)+SUMIF('Executive Pay Breakdown'!S:S,$B1073,'Executive Pay Breakdown'!U:U)+SUMIF('Executive Pay Breakdown'!W:W,$B1073,'Executive Pay Breakdown'!Y:Y)+SUMIF('Executive Pay Breakdown'!AA:AA,$B1073,'Executive Pay Breakdown'!AC:AC)</f>
        <v>59471141</v>
      </c>
      <c r="E1073" s="109"/>
      <c r="F1073" s="69">
        <f>SUMIF('Executive Pay Breakdown'!K:K,$B1073,'Executive Pay Breakdown'!M:M)</f>
        <v>0</v>
      </c>
      <c r="G1073" s="69">
        <f>SUMIF('Executive Pay Breakdown'!O:O,$B1073,'Executive Pay Breakdown'!Q:Q)</f>
        <v>15354581</v>
      </c>
      <c r="H1073" s="69">
        <f>SUMIF('Executive Pay Breakdown'!S:S,$B1073,'Executive Pay Breakdown'!U:U)</f>
        <v>13001212</v>
      </c>
      <c r="I1073" s="69">
        <f>SUMIF('Executive Pay Breakdown'!W:W,$B1073,'Executive Pay Breakdown'!Y:Y)</f>
        <v>15048380</v>
      </c>
      <c r="J1073" s="69">
        <f>SUMIF('Executive Pay Breakdown'!AA:AA,$B1073,'Executive Pay Breakdown'!AC:AC)</f>
        <v>16066968</v>
      </c>
      <c r="K1073" s="118"/>
      <c r="L1073" s="212"/>
      <c r="M1073" s="87"/>
      <c r="N1073" s="87"/>
      <c r="O1073" s="120" t="str">
        <f>MATCH(C1073,'Key Findings'!B:B,0)</f>
        <v>#N/A</v>
      </c>
    </row>
    <row r="1074" hidden="1">
      <c r="A1074" s="81"/>
      <c r="B1074" s="138" t="s">
        <v>1290</v>
      </c>
      <c r="C1074" s="87" t="s">
        <v>1288</v>
      </c>
      <c r="D1074" s="89">
        <f>SUMIF('Executive Pay Breakdown'!K:K,$B1074,'Executive Pay Breakdown'!M:M)+SUMIF('Executive Pay Breakdown'!O:O,$B1074,'Executive Pay Breakdown'!Q:Q)+SUMIF('Executive Pay Breakdown'!S:S,$B1074,'Executive Pay Breakdown'!U:U)+SUMIF('Executive Pay Breakdown'!W:W,$B1074,'Executive Pay Breakdown'!Y:Y)+SUMIF('Executive Pay Breakdown'!AA:AA,$B1074,'Executive Pay Breakdown'!AC:AC)</f>
        <v>53013383</v>
      </c>
      <c r="E1074" s="109"/>
      <c r="F1074" s="69">
        <f>SUMIF('Executive Pay Breakdown'!K:K,$B1074,'Executive Pay Breakdown'!M:M)</f>
        <v>21317055</v>
      </c>
      <c r="G1074" s="69">
        <f>SUMIF('Executive Pay Breakdown'!O:O,$B1074,'Executive Pay Breakdown'!Q:Q)</f>
        <v>20388412</v>
      </c>
      <c r="H1074" s="69">
        <f>SUMIF('Executive Pay Breakdown'!S:S,$B1074,'Executive Pay Breakdown'!U:U)</f>
        <v>11307916</v>
      </c>
      <c r="I1074" s="69">
        <f>SUMIF('Executive Pay Breakdown'!W:W,$B1074,'Executive Pay Breakdown'!Y:Y)</f>
        <v>0</v>
      </c>
      <c r="J1074" s="69">
        <f>SUMIF('Executive Pay Breakdown'!AA:AA,$B1074,'Executive Pay Breakdown'!AC:AC)</f>
        <v>0</v>
      </c>
      <c r="K1074" s="118"/>
      <c r="L1074" s="212"/>
      <c r="M1074" s="87"/>
      <c r="N1074" s="87"/>
      <c r="O1074" s="120" t="str">
        <f>MATCH(C1074,'Key Findings'!B:B,0)</f>
        <v>#N/A</v>
      </c>
    </row>
    <row r="1075" hidden="1">
      <c r="A1075" s="81"/>
      <c r="B1075" s="125" t="s">
        <v>1291</v>
      </c>
      <c r="C1075" s="87" t="s">
        <v>1288</v>
      </c>
      <c r="D1075" s="89">
        <f>SUMIF('Executive Pay Breakdown'!K:K,$B1075,'Executive Pay Breakdown'!M:M)+SUMIF('Executive Pay Breakdown'!O:O,$B1075,'Executive Pay Breakdown'!Q:Q)+SUMIF('Executive Pay Breakdown'!S:S,$B1075,'Executive Pay Breakdown'!U:U)+SUMIF('Executive Pay Breakdown'!W:W,$B1075,'Executive Pay Breakdown'!Y:Y)+SUMIF('Executive Pay Breakdown'!AA:AA,$B1075,'Executive Pay Breakdown'!AC:AC)</f>
        <v>35343487</v>
      </c>
      <c r="E1075" s="109"/>
      <c r="F1075" s="69">
        <f>SUMIF('Executive Pay Breakdown'!K:K,$B1075,'Executive Pay Breakdown'!M:M)</f>
        <v>0</v>
      </c>
      <c r="G1075" s="69">
        <f>SUMIF('Executive Pay Breakdown'!O:O,$B1075,'Executive Pay Breakdown'!Q:Q)</f>
        <v>9885690</v>
      </c>
      <c r="H1075" s="69">
        <f>SUMIF('Executive Pay Breakdown'!S:S,$B1075,'Executive Pay Breakdown'!U:U)</f>
        <v>8921153</v>
      </c>
      <c r="I1075" s="69">
        <f>SUMIF('Executive Pay Breakdown'!W:W,$B1075,'Executive Pay Breakdown'!Y:Y)</f>
        <v>9564223</v>
      </c>
      <c r="J1075" s="69">
        <f>SUMIF('Executive Pay Breakdown'!AA:AA,$B1075,'Executive Pay Breakdown'!AC:AC)</f>
        <v>6972421</v>
      </c>
      <c r="K1075" s="118"/>
      <c r="L1075" s="212"/>
      <c r="M1075" s="87"/>
      <c r="N1075" s="87"/>
      <c r="O1075" s="120" t="str">
        <f>MATCH(C1075,'Key Findings'!B:B,0)</f>
        <v>#N/A</v>
      </c>
    </row>
    <row r="1076" hidden="1">
      <c r="A1076" s="81"/>
      <c r="B1076" s="138" t="s">
        <v>1292</v>
      </c>
      <c r="C1076" s="87" t="s">
        <v>1288</v>
      </c>
      <c r="D1076" s="89">
        <f>SUMIF('Executive Pay Breakdown'!K:K,$B1076,'Executive Pay Breakdown'!M:M)+SUMIF('Executive Pay Breakdown'!O:O,$B1076,'Executive Pay Breakdown'!Q:Q)+SUMIF('Executive Pay Breakdown'!S:S,$B1076,'Executive Pay Breakdown'!U:U)+SUMIF('Executive Pay Breakdown'!W:W,$B1076,'Executive Pay Breakdown'!Y:Y)+SUMIF('Executive Pay Breakdown'!AA:AA,$B1076,'Executive Pay Breakdown'!AC:AC)</f>
        <v>34138790</v>
      </c>
      <c r="E1076" s="109"/>
      <c r="F1076" s="69">
        <f>SUMIF('Executive Pay Breakdown'!K:K,$B1076,'Executive Pay Breakdown'!M:M)</f>
        <v>0</v>
      </c>
      <c r="G1076" s="69">
        <f>SUMIF('Executive Pay Breakdown'!O:O,$B1076,'Executive Pay Breakdown'!Q:Q)</f>
        <v>0</v>
      </c>
      <c r="H1076" s="69">
        <f>SUMIF('Executive Pay Breakdown'!S:S,$B1076,'Executive Pay Breakdown'!U:U)</f>
        <v>0</v>
      </c>
      <c r="I1076" s="69">
        <f>SUMIF('Executive Pay Breakdown'!W:W,$B1076,'Executive Pay Breakdown'!Y:Y)</f>
        <v>23154934</v>
      </c>
      <c r="J1076" s="69">
        <f>SUMIF('Executive Pay Breakdown'!AA:AA,$B1076,'Executive Pay Breakdown'!AC:AC)</f>
        <v>10983856</v>
      </c>
      <c r="K1076" s="118"/>
      <c r="L1076" s="212"/>
      <c r="M1076" s="87"/>
      <c r="N1076" s="87"/>
      <c r="O1076" s="120" t="str">
        <f>MATCH(C1076,'Key Findings'!B:B,0)</f>
        <v>#N/A</v>
      </c>
    </row>
    <row r="1077" hidden="1">
      <c r="A1077" s="81"/>
      <c r="B1077" s="245" t="s">
        <v>1293</v>
      </c>
      <c r="C1077" s="87" t="s">
        <v>1288</v>
      </c>
      <c r="D1077" s="89">
        <f>SUMIF('Executive Pay Breakdown'!K:K,$B1077,'Executive Pay Breakdown'!M:M)+SUMIF('Executive Pay Breakdown'!O:O,$B1077,'Executive Pay Breakdown'!Q:Q)+SUMIF('Executive Pay Breakdown'!S:S,$B1077,'Executive Pay Breakdown'!U:U)+SUMIF('Executive Pay Breakdown'!W:W,$B1077,'Executive Pay Breakdown'!Y:Y)+SUMIF('Executive Pay Breakdown'!AA:AA,$B1077,'Executive Pay Breakdown'!AC:AC)</f>
        <v>29467485</v>
      </c>
      <c r="E1077" s="109"/>
      <c r="F1077" s="69">
        <f>SUMIF('Executive Pay Breakdown'!K:K,$B1077,'Executive Pay Breakdown'!M:M)</f>
        <v>10983750</v>
      </c>
      <c r="G1077" s="69">
        <f>SUMIF('Executive Pay Breakdown'!O:O,$B1077,'Executive Pay Breakdown'!Q:Q)</f>
        <v>11011560</v>
      </c>
      <c r="H1077" s="69">
        <f>SUMIF('Executive Pay Breakdown'!S:S,$B1077,'Executive Pay Breakdown'!U:U)</f>
        <v>7472175</v>
      </c>
      <c r="I1077" s="69">
        <f>SUMIF('Executive Pay Breakdown'!W:W,$B1077,'Executive Pay Breakdown'!Y:Y)</f>
        <v>0</v>
      </c>
      <c r="J1077" s="69">
        <f>SUMIF('Executive Pay Breakdown'!AA:AA,$B1077,'Executive Pay Breakdown'!AC:AC)</f>
        <v>0</v>
      </c>
      <c r="K1077" s="118"/>
      <c r="L1077" s="212"/>
      <c r="M1077" s="87"/>
      <c r="N1077" s="230"/>
      <c r="O1077" s="120" t="str">
        <f>MATCH(C1077,'Key Findings'!B:B,0)</f>
        <v>#N/A</v>
      </c>
    </row>
    <row r="1078" hidden="1">
      <c r="A1078" s="81"/>
      <c r="B1078" s="125" t="s">
        <v>1294</v>
      </c>
      <c r="C1078" s="87" t="s">
        <v>1288</v>
      </c>
      <c r="D1078" s="89">
        <f>SUMIF('Executive Pay Breakdown'!K:K,$B1078,'Executive Pay Breakdown'!M:M)+SUMIF('Executive Pay Breakdown'!O:O,$B1078,'Executive Pay Breakdown'!Q:Q)+SUMIF('Executive Pay Breakdown'!S:S,$B1078,'Executive Pay Breakdown'!U:U)+SUMIF('Executive Pay Breakdown'!W:W,$B1078,'Executive Pay Breakdown'!Y:Y)+SUMIF('Executive Pay Breakdown'!AA:AA,$B1078,'Executive Pay Breakdown'!AC:AC)</f>
        <v>28969943</v>
      </c>
      <c r="E1078" s="109"/>
      <c r="F1078" s="69">
        <f>SUMIF('Executive Pay Breakdown'!K:K,$B1078,'Executive Pay Breakdown'!M:M)</f>
        <v>14630713</v>
      </c>
      <c r="G1078" s="69">
        <f>SUMIF('Executive Pay Breakdown'!O:O,$B1078,'Executive Pay Breakdown'!Q:Q)</f>
        <v>14339230</v>
      </c>
      <c r="H1078" s="69">
        <f>SUMIF('Executive Pay Breakdown'!S:S,$B1078,'Executive Pay Breakdown'!U:U)</f>
        <v>0</v>
      </c>
      <c r="I1078" s="69">
        <f>SUMIF('Executive Pay Breakdown'!W:W,$B1078,'Executive Pay Breakdown'!Y:Y)</f>
        <v>0</v>
      </c>
      <c r="J1078" s="69">
        <f>SUMIF('Executive Pay Breakdown'!AA:AA,$B1078,'Executive Pay Breakdown'!AC:AC)</f>
        <v>0</v>
      </c>
      <c r="K1078" s="118"/>
      <c r="L1078" s="212"/>
      <c r="M1078" s="212"/>
      <c r="N1078" s="230"/>
      <c r="O1078" s="120" t="str">
        <f>MATCH(C1078,'Key Findings'!B:B,0)</f>
        <v>#N/A</v>
      </c>
    </row>
    <row r="1079" hidden="1">
      <c r="A1079" s="81"/>
      <c r="B1079" s="125" t="s">
        <v>1295</v>
      </c>
      <c r="C1079" s="87" t="s">
        <v>1288</v>
      </c>
      <c r="D1079" s="89">
        <f>SUMIF('Executive Pay Breakdown'!K:K,$B1079,'Executive Pay Breakdown'!M:M)+SUMIF('Executive Pay Breakdown'!O:O,$B1079,'Executive Pay Breakdown'!Q:Q)+SUMIF('Executive Pay Breakdown'!S:S,$B1079,'Executive Pay Breakdown'!U:U)+SUMIF('Executive Pay Breakdown'!W:W,$B1079,'Executive Pay Breakdown'!Y:Y)+SUMIF('Executive Pay Breakdown'!AA:AA,$B1079,'Executive Pay Breakdown'!AC:AC)</f>
        <v>23432292</v>
      </c>
      <c r="E1079" s="109"/>
      <c r="F1079" s="69">
        <f>SUMIF('Executive Pay Breakdown'!K:K,$B1079,'Executive Pay Breakdown'!M:M)</f>
        <v>0</v>
      </c>
      <c r="G1079" s="69">
        <f>SUMIF('Executive Pay Breakdown'!O:O,$B1079,'Executive Pay Breakdown'!Q:Q)</f>
        <v>0</v>
      </c>
      <c r="H1079" s="69">
        <f>SUMIF('Executive Pay Breakdown'!S:S,$B1079,'Executive Pay Breakdown'!U:U)</f>
        <v>0</v>
      </c>
      <c r="I1079" s="69">
        <f>SUMIF('Executive Pay Breakdown'!W:W,$B1079,'Executive Pay Breakdown'!Y:Y)</f>
        <v>10626219</v>
      </c>
      <c r="J1079" s="69">
        <f>SUMIF('Executive Pay Breakdown'!AA:AA,$B1079,'Executive Pay Breakdown'!AC:AC)</f>
        <v>12806073</v>
      </c>
      <c r="K1079" s="118"/>
      <c r="L1079" s="212"/>
      <c r="M1079" s="87"/>
      <c r="N1079" s="87"/>
      <c r="O1079" s="120" t="str">
        <f>MATCH(C1079,'Key Findings'!B:B,0)</f>
        <v>#N/A</v>
      </c>
    </row>
    <row r="1080" hidden="1">
      <c r="A1080" s="81"/>
      <c r="B1080" s="125" t="s">
        <v>1296</v>
      </c>
      <c r="C1080" s="87" t="s">
        <v>1288</v>
      </c>
      <c r="D1080" s="89">
        <f>SUMIF('Executive Pay Breakdown'!K:K,$B1080,'Executive Pay Breakdown'!M:M)+SUMIF('Executive Pay Breakdown'!O:O,$B1080,'Executive Pay Breakdown'!Q:Q)+SUMIF('Executive Pay Breakdown'!S:S,$B1080,'Executive Pay Breakdown'!U:U)+SUMIF('Executive Pay Breakdown'!W:W,$B1080,'Executive Pay Breakdown'!Y:Y)+SUMIF('Executive Pay Breakdown'!AA:AA,$B1080,'Executive Pay Breakdown'!AC:AC)</f>
        <v>13991858</v>
      </c>
      <c r="E1080" s="109"/>
      <c r="F1080" s="69">
        <f>SUMIF('Executive Pay Breakdown'!K:K,$B1080,'Executive Pay Breakdown'!M:M)</f>
        <v>13991858</v>
      </c>
      <c r="G1080" s="69">
        <f>SUMIF('Executive Pay Breakdown'!O:O,$B1080,'Executive Pay Breakdown'!Q:Q)</f>
        <v>0</v>
      </c>
      <c r="H1080" s="69">
        <f>SUMIF('Executive Pay Breakdown'!S:S,$B1080,'Executive Pay Breakdown'!U:U)</f>
        <v>0</v>
      </c>
      <c r="I1080" s="69">
        <f>SUMIF('Executive Pay Breakdown'!W:W,$B1080,'Executive Pay Breakdown'!Y:Y)</f>
        <v>0</v>
      </c>
      <c r="J1080" s="69">
        <f>SUMIF('Executive Pay Breakdown'!AA:AA,$B1080,'Executive Pay Breakdown'!AC:AC)</f>
        <v>0</v>
      </c>
      <c r="K1080" s="118"/>
      <c r="L1080" s="212"/>
      <c r="M1080" s="87"/>
      <c r="N1080" s="230"/>
      <c r="O1080" s="120" t="str">
        <f>MATCH(C1080,'Key Findings'!B:B,0)</f>
        <v>#N/A</v>
      </c>
    </row>
    <row r="1081" hidden="1">
      <c r="A1081" s="81"/>
      <c r="B1081" s="125" t="s">
        <v>1297</v>
      </c>
      <c r="C1081" s="87" t="s">
        <v>1288</v>
      </c>
      <c r="D1081" s="89">
        <f>SUMIF('Executive Pay Breakdown'!K:K,$B1081,'Executive Pay Breakdown'!M:M)+SUMIF('Executive Pay Breakdown'!O:O,$B1081,'Executive Pay Breakdown'!Q:Q)+SUMIF('Executive Pay Breakdown'!S:S,$B1081,'Executive Pay Breakdown'!U:U)+SUMIF('Executive Pay Breakdown'!W:W,$B1081,'Executive Pay Breakdown'!Y:Y)+SUMIF('Executive Pay Breakdown'!AA:AA,$B1081,'Executive Pay Breakdown'!AC:AC)</f>
        <v>9015218</v>
      </c>
      <c r="E1081" s="109"/>
      <c r="F1081" s="69">
        <f>SUMIF('Executive Pay Breakdown'!K:K,$B1081,'Executive Pay Breakdown'!M:M)</f>
        <v>9015218</v>
      </c>
      <c r="G1081" s="69">
        <f>SUMIF('Executive Pay Breakdown'!O:O,$B1081,'Executive Pay Breakdown'!Q:Q)</f>
        <v>0</v>
      </c>
      <c r="H1081" s="69">
        <f>SUMIF('Executive Pay Breakdown'!S:S,$B1081,'Executive Pay Breakdown'!U:U)</f>
        <v>0</v>
      </c>
      <c r="I1081" s="69">
        <f>SUMIF('Executive Pay Breakdown'!W:W,$B1081,'Executive Pay Breakdown'!Y:Y)</f>
        <v>0</v>
      </c>
      <c r="J1081" s="69">
        <f>SUMIF('Executive Pay Breakdown'!AA:AA,$B1081,'Executive Pay Breakdown'!AC:AC)</f>
        <v>0</v>
      </c>
      <c r="K1081" s="118"/>
      <c r="L1081" s="212"/>
      <c r="M1081" s="87"/>
      <c r="N1081" s="230"/>
      <c r="O1081" s="120" t="str">
        <f>MATCH(C1081,'Key Findings'!B:B,0)</f>
        <v>#N/A</v>
      </c>
    </row>
    <row r="1082" hidden="1">
      <c r="A1082" s="81"/>
      <c r="B1082" s="138" t="s">
        <v>1298</v>
      </c>
      <c r="C1082" s="87" t="s">
        <v>1288</v>
      </c>
      <c r="D1082" s="89">
        <f>SUMIF('Executive Pay Breakdown'!K:K,$B1082,'Executive Pay Breakdown'!M:M)+SUMIF('Executive Pay Breakdown'!O:O,$B1082,'Executive Pay Breakdown'!Q:Q)+SUMIF('Executive Pay Breakdown'!S:S,$B1082,'Executive Pay Breakdown'!U:U)+SUMIF('Executive Pay Breakdown'!W:W,$B1082,'Executive Pay Breakdown'!Y:Y)+SUMIF('Executive Pay Breakdown'!AA:AA,$B1082,'Executive Pay Breakdown'!AC:AC)</f>
        <v>8793264</v>
      </c>
      <c r="E1082" s="109"/>
      <c r="F1082" s="69">
        <f>SUMIF('Executive Pay Breakdown'!K:K,$B1082,'Executive Pay Breakdown'!M:M)</f>
        <v>0</v>
      </c>
      <c r="G1082" s="69">
        <f>SUMIF('Executive Pay Breakdown'!O:O,$B1082,'Executive Pay Breakdown'!Q:Q)</f>
        <v>8793264</v>
      </c>
      <c r="H1082" s="69">
        <f>SUMIF('Executive Pay Breakdown'!S:S,$B1082,'Executive Pay Breakdown'!U:U)</f>
        <v>0</v>
      </c>
      <c r="I1082" s="69">
        <f>SUMIF('Executive Pay Breakdown'!W:W,$B1082,'Executive Pay Breakdown'!Y:Y)</f>
        <v>0</v>
      </c>
      <c r="J1082" s="69">
        <f>SUMIF('Executive Pay Breakdown'!AA:AA,$B1082,'Executive Pay Breakdown'!AC:AC)</f>
        <v>0</v>
      </c>
      <c r="K1082" s="118"/>
      <c r="L1082" s="212"/>
      <c r="M1082" s="212"/>
      <c r="N1082" s="87"/>
      <c r="O1082" s="120" t="str">
        <f>MATCH(C1082,'Key Findings'!B:B,0)</f>
        <v>#N/A</v>
      </c>
    </row>
    <row r="1083" hidden="1">
      <c r="A1083" s="81"/>
      <c r="B1083" s="125" t="s">
        <v>1299</v>
      </c>
      <c r="C1083" s="87" t="s">
        <v>1300</v>
      </c>
      <c r="D1083" s="89">
        <f>SUMIF('Executive Pay Breakdown'!K:K,$B1083,'Executive Pay Breakdown'!M:M)+SUMIF('Executive Pay Breakdown'!O:O,$B1083,'Executive Pay Breakdown'!Q:Q)+SUMIF('Executive Pay Breakdown'!S:S,$B1083,'Executive Pay Breakdown'!U:U)+SUMIF('Executive Pay Breakdown'!W:W,$B1083,'Executive Pay Breakdown'!Y:Y)+SUMIF('Executive Pay Breakdown'!AA:AA,$B1083,'Executive Pay Breakdown'!AC:AC)</f>
        <v>42361587</v>
      </c>
      <c r="E1083" s="109"/>
      <c r="F1083" s="69">
        <f>SUMIF('Executive Pay Breakdown'!K:K,$B1083,'Executive Pay Breakdown'!M:M)</f>
        <v>9905070</v>
      </c>
      <c r="G1083" s="69">
        <f>SUMIF('Executive Pay Breakdown'!O:O,$B1083,'Executive Pay Breakdown'!Q:Q)</f>
        <v>8752252</v>
      </c>
      <c r="H1083" s="69">
        <f>SUMIF('Executive Pay Breakdown'!S:S,$B1083,'Executive Pay Breakdown'!U:U)</f>
        <v>8279552</v>
      </c>
      <c r="I1083" s="69">
        <f>SUMIF('Executive Pay Breakdown'!W:W,$B1083,'Executive Pay Breakdown'!Y:Y)</f>
        <v>8016200</v>
      </c>
      <c r="J1083" s="69">
        <f>SUMIF('Executive Pay Breakdown'!AA:AA,$B1083,'Executive Pay Breakdown'!AC:AC)</f>
        <v>7408513</v>
      </c>
      <c r="K1083" s="118"/>
      <c r="L1083" s="212"/>
      <c r="M1083" s="87"/>
      <c r="N1083" s="230"/>
      <c r="O1083" s="120" t="str">
        <f>MATCH(C1083,'Key Findings'!B:B,0)</f>
        <v>#N/A</v>
      </c>
    </row>
    <row r="1084" hidden="1">
      <c r="A1084" s="81"/>
      <c r="B1084" s="125" t="s">
        <v>1301</v>
      </c>
      <c r="C1084" s="87" t="s">
        <v>1300</v>
      </c>
      <c r="D1084" s="89">
        <f>SUMIF('Executive Pay Breakdown'!K:K,$B1084,'Executive Pay Breakdown'!M:M)+SUMIF('Executive Pay Breakdown'!O:O,$B1084,'Executive Pay Breakdown'!Q:Q)+SUMIF('Executive Pay Breakdown'!S:S,$B1084,'Executive Pay Breakdown'!U:U)+SUMIF('Executive Pay Breakdown'!W:W,$B1084,'Executive Pay Breakdown'!Y:Y)+SUMIF('Executive Pay Breakdown'!AA:AA,$B1084,'Executive Pay Breakdown'!AC:AC)</f>
        <v>24469601</v>
      </c>
      <c r="E1084" s="109"/>
      <c r="F1084" s="69">
        <f>SUMIF('Executive Pay Breakdown'!K:K,$B1084,'Executive Pay Breakdown'!M:M)</f>
        <v>5817233</v>
      </c>
      <c r="G1084" s="69">
        <f>SUMIF('Executive Pay Breakdown'!O:O,$B1084,'Executive Pay Breakdown'!Q:Q)</f>
        <v>4971346</v>
      </c>
      <c r="H1084" s="69">
        <f>SUMIF('Executive Pay Breakdown'!S:S,$B1084,'Executive Pay Breakdown'!U:U)</f>
        <v>4952158</v>
      </c>
      <c r="I1084" s="69">
        <f>SUMIF('Executive Pay Breakdown'!W:W,$B1084,'Executive Pay Breakdown'!Y:Y)</f>
        <v>4441971</v>
      </c>
      <c r="J1084" s="69">
        <f>SUMIF('Executive Pay Breakdown'!AA:AA,$B1084,'Executive Pay Breakdown'!AC:AC)</f>
        <v>4286893</v>
      </c>
      <c r="K1084" s="118"/>
      <c r="L1084" s="212"/>
      <c r="M1084" s="87"/>
      <c r="N1084" s="230"/>
      <c r="O1084" s="120" t="str">
        <f>MATCH(C1084,'Key Findings'!B:B,0)</f>
        <v>#N/A</v>
      </c>
    </row>
    <row r="1085" hidden="1">
      <c r="A1085" s="81"/>
      <c r="B1085" s="125" t="s">
        <v>1302</v>
      </c>
      <c r="C1085" s="87" t="s">
        <v>1300</v>
      </c>
      <c r="D1085" s="89">
        <f>SUMIF('Executive Pay Breakdown'!K:K,$B1085,'Executive Pay Breakdown'!M:M)+SUMIF('Executive Pay Breakdown'!O:O,$B1085,'Executive Pay Breakdown'!Q:Q)+SUMIF('Executive Pay Breakdown'!S:S,$B1085,'Executive Pay Breakdown'!U:U)+SUMIF('Executive Pay Breakdown'!W:W,$B1085,'Executive Pay Breakdown'!Y:Y)+SUMIF('Executive Pay Breakdown'!AA:AA,$B1085,'Executive Pay Breakdown'!AC:AC)</f>
        <v>24459077</v>
      </c>
      <c r="E1085" s="109"/>
      <c r="F1085" s="69">
        <f>SUMIF('Executive Pay Breakdown'!K:K,$B1085,'Executive Pay Breakdown'!M:M)</f>
        <v>7408644</v>
      </c>
      <c r="G1085" s="69">
        <f>SUMIF('Executive Pay Breakdown'!O:O,$B1085,'Executive Pay Breakdown'!Q:Q)</f>
        <v>4688513</v>
      </c>
      <c r="H1085" s="69">
        <f>SUMIF('Executive Pay Breakdown'!S:S,$B1085,'Executive Pay Breakdown'!U:U)</f>
        <v>4490527</v>
      </c>
      <c r="I1085" s="69">
        <f>SUMIF('Executive Pay Breakdown'!W:W,$B1085,'Executive Pay Breakdown'!Y:Y)</f>
        <v>3994532</v>
      </c>
      <c r="J1085" s="69">
        <f>SUMIF('Executive Pay Breakdown'!AA:AA,$B1085,'Executive Pay Breakdown'!AC:AC)</f>
        <v>3876861</v>
      </c>
      <c r="K1085" s="118"/>
      <c r="L1085" s="212"/>
      <c r="M1085" s="87"/>
      <c r="N1085" s="230"/>
      <c r="O1085" s="120" t="str">
        <f>MATCH(C1085,'Key Findings'!B:B,0)</f>
        <v>#N/A</v>
      </c>
    </row>
    <row r="1086" hidden="1">
      <c r="A1086" s="81"/>
      <c r="B1086" s="125" t="s">
        <v>1303</v>
      </c>
      <c r="C1086" s="87" t="s">
        <v>1300</v>
      </c>
      <c r="D1086" s="89">
        <f>SUMIF('Executive Pay Breakdown'!K:K,$B1086,'Executive Pay Breakdown'!M:M)+SUMIF('Executive Pay Breakdown'!O:O,$B1086,'Executive Pay Breakdown'!Q:Q)+SUMIF('Executive Pay Breakdown'!S:S,$B1086,'Executive Pay Breakdown'!U:U)+SUMIF('Executive Pay Breakdown'!W:W,$B1086,'Executive Pay Breakdown'!Y:Y)+SUMIF('Executive Pay Breakdown'!AA:AA,$B1086,'Executive Pay Breakdown'!AC:AC)</f>
        <v>22017300</v>
      </c>
      <c r="E1086" s="109"/>
      <c r="F1086" s="69">
        <f>SUMIF('Executive Pay Breakdown'!K:K,$B1086,'Executive Pay Breakdown'!M:M)</f>
        <v>4993772</v>
      </c>
      <c r="G1086" s="69">
        <f>SUMIF('Executive Pay Breakdown'!O:O,$B1086,'Executive Pay Breakdown'!Q:Q)</f>
        <v>4536741</v>
      </c>
      <c r="H1086" s="69">
        <f>SUMIF('Executive Pay Breakdown'!S:S,$B1086,'Executive Pay Breakdown'!U:U)</f>
        <v>4462092</v>
      </c>
      <c r="I1086" s="69">
        <f>SUMIF('Executive Pay Breakdown'!W:W,$B1086,'Executive Pay Breakdown'!Y:Y)</f>
        <v>4039893</v>
      </c>
      <c r="J1086" s="69">
        <f>SUMIF('Executive Pay Breakdown'!AA:AA,$B1086,'Executive Pay Breakdown'!AC:AC)</f>
        <v>3984802</v>
      </c>
      <c r="K1086" s="118"/>
      <c r="L1086" s="212"/>
      <c r="M1086" s="87"/>
      <c r="N1086" s="230"/>
      <c r="O1086" s="120" t="str">
        <f>MATCH(C1086,'Key Findings'!B:B,0)</f>
        <v>#N/A</v>
      </c>
    </row>
    <row r="1087" hidden="1">
      <c r="A1087" s="81"/>
      <c r="B1087" s="125" t="s">
        <v>1304</v>
      </c>
      <c r="C1087" s="87" t="s">
        <v>1300</v>
      </c>
      <c r="D1087" s="89">
        <f>SUMIF('Executive Pay Breakdown'!K:K,$B1087,'Executive Pay Breakdown'!M:M)+SUMIF('Executive Pay Breakdown'!O:O,$B1087,'Executive Pay Breakdown'!Q:Q)+SUMIF('Executive Pay Breakdown'!S:S,$B1087,'Executive Pay Breakdown'!U:U)+SUMIF('Executive Pay Breakdown'!W:W,$B1087,'Executive Pay Breakdown'!Y:Y)+SUMIF('Executive Pay Breakdown'!AA:AA,$B1087,'Executive Pay Breakdown'!AC:AC)</f>
        <v>17557522</v>
      </c>
      <c r="E1087" s="109"/>
      <c r="F1087" s="69">
        <f>SUMIF('Executive Pay Breakdown'!K:K,$B1087,'Executive Pay Breakdown'!M:M)</f>
        <v>0</v>
      </c>
      <c r="G1087" s="69">
        <f>SUMIF('Executive Pay Breakdown'!O:O,$B1087,'Executive Pay Breakdown'!Q:Q)</f>
        <v>4689043</v>
      </c>
      <c r="H1087" s="69">
        <f>SUMIF('Executive Pay Breakdown'!S:S,$B1087,'Executive Pay Breakdown'!U:U)</f>
        <v>4620412</v>
      </c>
      <c r="I1087" s="69">
        <f>SUMIF('Executive Pay Breakdown'!W:W,$B1087,'Executive Pay Breakdown'!Y:Y)</f>
        <v>4147856</v>
      </c>
      <c r="J1087" s="69">
        <f>SUMIF('Executive Pay Breakdown'!AA:AA,$B1087,'Executive Pay Breakdown'!AC:AC)</f>
        <v>4100211</v>
      </c>
      <c r="K1087" s="118"/>
      <c r="L1087" s="212"/>
      <c r="M1087" s="87"/>
      <c r="N1087" s="87"/>
      <c r="O1087" s="120" t="str">
        <f>MATCH(C1087,'Key Findings'!B:B,0)</f>
        <v>#N/A</v>
      </c>
    </row>
    <row r="1088" hidden="1">
      <c r="A1088" s="81"/>
      <c r="B1088" s="138" t="s">
        <v>1305</v>
      </c>
      <c r="C1088" s="87" t="s">
        <v>1300</v>
      </c>
      <c r="D1088" s="89">
        <f>SUMIF('Executive Pay Breakdown'!K:K,$B1088,'Executive Pay Breakdown'!M:M)+SUMIF('Executive Pay Breakdown'!O:O,$B1088,'Executive Pay Breakdown'!Q:Q)+SUMIF('Executive Pay Breakdown'!S:S,$B1088,'Executive Pay Breakdown'!U:U)+SUMIF('Executive Pay Breakdown'!W:W,$B1088,'Executive Pay Breakdown'!Y:Y)+SUMIF('Executive Pay Breakdown'!AA:AA,$B1088,'Executive Pay Breakdown'!AC:AC)</f>
        <v>13209881</v>
      </c>
      <c r="E1088" s="109"/>
      <c r="F1088" s="69">
        <f>SUMIF('Executive Pay Breakdown'!K:K,$B1088,'Executive Pay Breakdown'!M:M)</f>
        <v>5004441</v>
      </c>
      <c r="G1088" s="69">
        <f>SUMIF('Executive Pay Breakdown'!O:O,$B1088,'Executive Pay Breakdown'!Q:Q)</f>
        <v>4144662</v>
      </c>
      <c r="H1088" s="69">
        <f>SUMIF('Executive Pay Breakdown'!S:S,$B1088,'Executive Pay Breakdown'!U:U)</f>
        <v>4060778</v>
      </c>
      <c r="I1088" s="69">
        <f>SUMIF('Executive Pay Breakdown'!W:W,$B1088,'Executive Pay Breakdown'!Y:Y)</f>
        <v>0</v>
      </c>
      <c r="J1088" s="69">
        <f>SUMIF('Executive Pay Breakdown'!AA:AA,$B1088,'Executive Pay Breakdown'!AC:AC)</f>
        <v>0</v>
      </c>
      <c r="K1088" s="118"/>
      <c r="L1088" s="212"/>
      <c r="M1088" s="87"/>
      <c r="N1088" s="230"/>
      <c r="O1088" s="120" t="str">
        <f>MATCH(C1088,'Key Findings'!B:B,0)</f>
        <v>#N/A</v>
      </c>
    </row>
    <row r="1089" hidden="1">
      <c r="A1089" s="81"/>
      <c r="B1089" s="125" t="s">
        <v>1306</v>
      </c>
      <c r="C1089" s="87" t="s">
        <v>1300</v>
      </c>
      <c r="D1089" s="89">
        <f>SUMIF('Executive Pay Breakdown'!K:K,$B1089,'Executive Pay Breakdown'!M:M)+SUMIF('Executive Pay Breakdown'!O:O,$B1089,'Executive Pay Breakdown'!Q:Q)+SUMIF('Executive Pay Breakdown'!S:S,$B1089,'Executive Pay Breakdown'!U:U)+SUMIF('Executive Pay Breakdown'!W:W,$B1089,'Executive Pay Breakdown'!Y:Y)+SUMIF('Executive Pay Breakdown'!AA:AA,$B1089,'Executive Pay Breakdown'!AC:AC)</f>
        <v>8097892</v>
      </c>
      <c r="E1089" s="109"/>
      <c r="F1089" s="69">
        <f>SUMIF('Executive Pay Breakdown'!K:K,$B1089,'Executive Pay Breakdown'!M:M)</f>
        <v>0</v>
      </c>
      <c r="G1089" s="69">
        <f>SUMIF('Executive Pay Breakdown'!O:O,$B1089,'Executive Pay Breakdown'!Q:Q)</f>
        <v>0</v>
      </c>
      <c r="H1089" s="69">
        <f>SUMIF('Executive Pay Breakdown'!S:S,$B1089,'Executive Pay Breakdown'!U:U)</f>
        <v>0</v>
      </c>
      <c r="I1089" s="69">
        <f>SUMIF('Executive Pay Breakdown'!W:W,$B1089,'Executive Pay Breakdown'!Y:Y)</f>
        <v>4074826</v>
      </c>
      <c r="J1089" s="69">
        <f>SUMIF('Executive Pay Breakdown'!AA:AA,$B1089,'Executive Pay Breakdown'!AC:AC)</f>
        <v>4023066</v>
      </c>
      <c r="K1089" s="118"/>
      <c r="L1089" s="212"/>
      <c r="M1089" s="87"/>
      <c r="N1089" s="87"/>
      <c r="O1089" s="120" t="str">
        <f>MATCH(C1089,'Key Findings'!B:B,0)</f>
        <v>#N/A</v>
      </c>
    </row>
    <row r="1090" hidden="1">
      <c r="A1090" s="81"/>
      <c r="B1090" s="87" t="s">
        <v>1307</v>
      </c>
      <c r="C1090" s="87" t="s">
        <v>1308</v>
      </c>
      <c r="D1090" s="89">
        <f>SUMIF('Executive Pay Breakdown'!K:K,$B1090,'Executive Pay Breakdown'!M:M)+SUMIF('Executive Pay Breakdown'!O:O,$B1090,'Executive Pay Breakdown'!Q:Q)+SUMIF('Executive Pay Breakdown'!S:S,$B1090,'Executive Pay Breakdown'!U:U)+SUMIF('Executive Pay Breakdown'!W:W,$B1090,'Executive Pay Breakdown'!Y:Y)+SUMIF('Executive Pay Breakdown'!AA:AA,$B1090,'Executive Pay Breakdown'!AC:AC)</f>
        <v>170158088</v>
      </c>
      <c r="E1090" s="109"/>
      <c r="F1090" s="69">
        <f>SUMIF('Executive Pay Breakdown'!K:K,$B1090,'Executive Pay Breakdown'!M:M)</f>
        <v>32069850</v>
      </c>
      <c r="G1090" s="69">
        <f>SUMIF('Executive Pay Breakdown'!O:O,$B1090,'Executive Pay Breakdown'!Q:Q)</f>
        <v>33978581</v>
      </c>
      <c r="H1090" s="69">
        <f>SUMIF('Executive Pay Breakdown'!S:S,$B1090,'Executive Pay Breakdown'!U:U)</f>
        <v>32713267</v>
      </c>
      <c r="I1090" s="69">
        <f>SUMIF('Executive Pay Breakdown'!W:W,$B1090,'Executive Pay Breakdown'!Y:Y)</f>
        <v>36370183</v>
      </c>
      <c r="J1090" s="69">
        <f>SUMIF('Executive Pay Breakdown'!AA:AA,$B1090,'Executive Pay Breakdown'!AC:AC)</f>
        <v>35026207</v>
      </c>
      <c r="K1090" s="118"/>
      <c r="L1090" s="212"/>
      <c r="M1090" s="87"/>
      <c r="N1090" s="87"/>
      <c r="O1090" s="120" t="str">
        <f>MATCH(C1090,'Key Findings'!B:B,0)</f>
        <v>#N/A</v>
      </c>
    </row>
    <row r="1091" hidden="1">
      <c r="A1091" s="81"/>
      <c r="B1091" s="87" t="s">
        <v>1309</v>
      </c>
      <c r="C1091" s="87" t="s">
        <v>1308</v>
      </c>
      <c r="D1091" s="89">
        <f>SUMIF('Executive Pay Breakdown'!K:K,$B1091,'Executive Pay Breakdown'!M:M)+SUMIF('Executive Pay Breakdown'!O:O,$B1091,'Executive Pay Breakdown'!Q:Q)+SUMIF('Executive Pay Breakdown'!S:S,$B1091,'Executive Pay Breakdown'!U:U)+SUMIF('Executive Pay Breakdown'!W:W,$B1091,'Executive Pay Breakdown'!Y:Y)+SUMIF('Executive Pay Breakdown'!AA:AA,$B1091,'Executive Pay Breakdown'!AC:AC)</f>
        <v>141590684</v>
      </c>
      <c r="E1091" s="109"/>
      <c r="F1091" s="69">
        <f>SUMIF('Executive Pay Breakdown'!K:K,$B1091,'Executive Pay Breakdown'!M:M)</f>
        <v>40481722</v>
      </c>
      <c r="G1091" s="69">
        <f>SUMIF('Executive Pay Breakdown'!O:O,$B1091,'Executive Pay Breakdown'!Q:Q)</f>
        <v>27356996</v>
      </c>
      <c r="H1091" s="69">
        <f>SUMIF('Executive Pay Breakdown'!S:S,$B1091,'Executive Pay Breakdown'!U:U)</f>
        <v>25250790</v>
      </c>
      <c r="I1091" s="69">
        <f>SUMIF('Executive Pay Breakdown'!W:W,$B1091,'Executive Pay Breakdown'!Y:Y)</f>
        <v>26799477</v>
      </c>
      <c r="J1091" s="69">
        <f>SUMIF('Executive Pay Breakdown'!AA:AA,$B1091,'Executive Pay Breakdown'!AC:AC)</f>
        <v>21701699</v>
      </c>
      <c r="K1091" s="118"/>
      <c r="L1091" s="212"/>
      <c r="M1091" s="87"/>
      <c r="N1091" s="87"/>
      <c r="O1091" s="120" t="str">
        <f>MATCH(C1091,'Key Findings'!B:B,0)</f>
        <v>#N/A</v>
      </c>
    </row>
    <row r="1092" hidden="1">
      <c r="A1092" s="81"/>
      <c r="B1092" s="87" t="s">
        <v>1310</v>
      </c>
      <c r="C1092" s="87" t="s">
        <v>1308</v>
      </c>
      <c r="D1092" s="89">
        <f>SUMIF('Executive Pay Breakdown'!K:K,$B1092,'Executive Pay Breakdown'!M:M)+SUMIF('Executive Pay Breakdown'!O:O,$B1092,'Executive Pay Breakdown'!Q:Q)+SUMIF('Executive Pay Breakdown'!S:S,$B1092,'Executive Pay Breakdown'!U:U)+SUMIF('Executive Pay Breakdown'!W:W,$B1092,'Executive Pay Breakdown'!Y:Y)+SUMIF('Executive Pay Breakdown'!AA:AA,$B1092,'Executive Pay Breakdown'!AC:AC)</f>
        <v>96057955</v>
      </c>
      <c r="E1092" s="109"/>
      <c r="F1092" s="69">
        <f>SUMIF('Executive Pay Breakdown'!K:K,$B1092,'Executive Pay Breakdown'!M:M)</f>
        <v>21944406</v>
      </c>
      <c r="G1092" s="69">
        <f>SUMIF('Executive Pay Breakdown'!O:O,$B1092,'Executive Pay Breakdown'!Q:Q)</f>
        <v>22731941</v>
      </c>
      <c r="H1092" s="69">
        <f>SUMIF('Executive Pay Breakdown'!S:S,$B1092,'Executive Pay Breakdown'!U:U)</f>
        <v>19689131</v>
      </c>
      <c r="I1092" s="69">
        <f>SUMIF('Executive Pay Breakdown'!W:W,$B1092,'Executive Pay Breakdown'!Y:Y)</f>
        <v>16939478</v>
      </c>
      <c r="J1092" s="69">
        <f>SUMIF('Executive Pay Breakdown'!AA:AA,$B1092,'Executive Pay Breakdown'!AC:AC)</f>
        <v>14752999</v>
      </c>
      <c r="K1092" s="118"/>
      <c r="L1092" s="212"/>
      <c r="M1092" s="87"/>
      <c r="N1092" s="87"/>
      <c r="O1092" s="120" t="str">
        <f>MATCH(C1092,'Key Findings'!B:B,0)</f>
        <v>#N/A</v>
      </c>
    </row>
    <row r="1093" hidden="1">
      <c r="A1093" s="81"/>
      <c r="B1093" s="87" t="s">
        <v>1311</v>
      </c>
      <c r="C1093" s="87" t="s">
        <v>1308</v>
      </c>
      <c r="D1093" s="89">
        <f>SUMIF('Executive Pay Breakdown'!K:K,$B1093,'Executive Pay Breakdown'!M:M)+SUMIF('Executive Pay Breakdown'!O:O,$B1093,'Executive Pay Breakdown'!Q:Q)+SUMIF('Executive Pay Breakdown'!S:S,$B1093,'Executive Pay Breakdown'!U:U)+SUMIF('Executive Pay Breakdown'!W:W,$B1093,'Executive Pay Breakdown'!Y:Y)+SUMIF('Executive Pay Breakdown'!AA:AA,$B1093,'Executive Pay Breakdown'!AC:AC)</f>
        <v>82535325</v>
      </c>
      <c r="E1093" s="109"/>
      <c r="F1093" s="69">
        <f>SUMIF('Executive Pay Breakdown'!K:K,$B1093,'Executive Pay Breakdown'!M:M)</f>
        <v>0</v>
      </c>
      <c r="G1093" s="69">
        <f>SUMIF('Executive Pay Breakdown'!O:O,$B1093,'Executive Pay Breakdown'!Q:Q)</f>
        <v>0</v>
      </c>
      <c r="H1093" s="69">
        <f>SUMIF('Executive Pay Breakdown'!S:S,$B1093,'Executive Pay Breakdown'!U:U)</f>
        <v>0</v>
      </c>
      <c r="I1093" s="69">
        <f>SUMIF('Executive Pay Breakdown'!W:W,$B1093,'Executive Pay Breakdown'!Y:Y)</f>
        <v>42576310</v>
      </c>
      <c r="J1093" s="69">
        <f>SUMIF('Executive Pay Breakdown'!AA:AA,$B1093,'Executive Pay Breakdown'!AC:AC)</f>
        <v>39959015</v>
      </c>
      <c r="K1093" s="118"/>
      <c r="L1093" s="212"/>
      <c r="M1093" s="87"/>
      <c r="N1093" s="230"/>
      <c r="O1093" s="120" t="str">
        <f>MATCH(C1093,'Key Findings'!B:B,0)</f>
        <v>#N/A</v>
      </c>
    </row>
    <row r="1094" hidden="1">
      <c r="A1094" s="81"/>
      <c r="B1094" s="87" t="s">
        <v>1312</v>
      </c>
      <c r="C1094" s="87" t="s">
        <v>1308</v>
      </c>
      <c r="D1094" s="89">
        <f>SUMIF('Executive Pay Breakdown'!K:K,$B1094,'Executive Pay Breakdown'!M:M)+SUMIF('Executive Pay Breakdown'!O:O,$B1094,'Executive Pay Breakdown'!Q:Q)+SUMIF('Executive Pay Breakdown'!S:S,$B1094,'Executive Pay Breakdown'!U:U)+SUMIF('Executive Pay Breakdown'!W:W,$B1094,'Executive Pay Breakdown'!Y:Y)+SUMIF('Executive Pay Breakdown'!AA:AA,$B1094,'Executive Pay Breakdown'!AC:AC)</f>
        <v>59126280</v>
      </c>
      <c r="E1094" s="109"/>
      <c r="F1094" s="69">
        <f>SUMIF('Executive Pay Breakdown'!K:K,$B1094,'Executive Pay Breakdown'!M:M)</f>
        <v>21018189</v>
      </c>
      <c r="G1094" s="69">
        <f>SUMIF('Executive Pay Breakdown'!O:O,$B1094,'Executive Pay Breakdown'!Q:Q)</f>
        <v>21559935</v>
      </c>
      <c r="H1094" s="69">
        <f>SUMIF('Executive Pay Breakdown'!S:S,$B1094,'Executive Pay Breakdown'!U:U)</f>
        <v>16548156</v>
      </c>
      <c r="I1094" s="69">
        <f>SUMIF('Executive Pay Breakdown'!W:W,$B1094,'Executive Pay Breakdown'!Y:Y)</f>
        <v>0</v>
      </c>
      <c r="J1094" s="69">
        <f>SUMIF('Executive Pay Breakdown'!AA:AA,$B1094,'Executive Pay Breakdown'!AC:AC)</f>
        <v>0</v>
      </c>
      <c r="K1094" s="118"/>
      <c r="L1094" s="212"/>
      <c r="M1094" s="87"/>
      <c r="N1094" s="87"/>
      <c r="O1094" s="120" t="str">
        <f>MATCH(C1094,'Key Findings'!B:B,0)</f>
        <v>#N/A</v>
      </c>
    </row>
    <row r="1095" hidden="1">
      <c r="A1095" s="81"/>
      <c r="B1095" s="87" t="s">
        <v>1313</v>
      </c>
      <c r="C1095" s="87" t="s">
        <v>1308</v>
      </c>
      <c r="D1095" s="89">
        <f>SUMIF('Executive Pay Breakdown'!K:K,$B1095,'Executive Pay Breakdown'!M:M)+SUMIF('Executive Pay Breakdown'!O:O,$B1095,'Executive Pay Breakdown'!Q:Q)+SUMIF('Executive Pay Breakdown'!S:S,$B1095,'Executive Pay Breakdown'!U:U)+SUMIF('Executive Pay Breakdown'!W:W,$B1095,'Executive Pay Breakdown'!Y:Y)+SUMIF('Executive Pay Breakdown'!AA:AA,$B1095,'Executive Pay Breakdown'!AC:AC)</f>
        <v>39135995</v>
      </c>
      <c r="E1095" s="109"/>
      <c r="F1095" s="69">
        <f>SUMIF('Executive Pay Breakdown'!K:K,$B1095,'Executive Pay Breakdown'!M:M)</f>
        <v>0</v>
      </c>
      <c r="G1095" s="69">
        <f>SUMIF('Executive Pay Breakdown'!O:O,$B1095,'Executive Pay Breakdown'!Q:Q)</f>
        <v>0</v>
      </c>
      <c r="H1095" s="69">
        <f>SUMIF('Executive Pay Breakdown'!S:S,$B1095,'Executive Pay Breakdown'!U:U)</f>
        <v>0</v>
      </c>
      <c r="I1095" s="69">
        <f>SUMIF('Executive Pay Breakdown'!W:W,$B1095,'Executive Pay Breakdown'!Y:Y)</f>
        <v>20020519</v>
      </c>
      <c r="J1095" s="69">
        <f>SUMIF('Executive Pay Breakdown'!AA:AA,$B1095,'Executive Pay Breakdown'!AC:AC)</f>
        <v>19115476</v>
      </c>
      <c r="K1095" s="118"/>
      <c r="L1095" s="212"/>
      <c r="M1095" s="87"/>
      <c r="N1095" s="87"/>
      <c r="O1095" s="120" t="str">
        <f>MATCH(C1095,'Key Findings'!B:B,0)</f>
        <v>#N/A</v>
      </c>
    </row>
    <row r="1096" hidden="1">
      <c r="A1096" s="81"/>
      <c r="B1096" s="87" t="s">
        <v>1314</v>
      </c>
      <c r="C1096" s="87" t="s">
        <v>1308</v>
      </c>
      <c r="D1096" s="89">
        <f>SUMIF('Executive Pay Breakdown'!K:K,$B1096,'Executive Pay Breakdown'!M:M)+SUMIF('Executive Pay Breakdown'!O:O,$B1096,'Executive Pay Breakdown'!Q:Q)+SUMIF('Executive Pay Breakdown'!S:S,$B1096,'Executive Pay Breakdown'!U:U)+SUMIF('Executive Pay Breakdown'!W:W,$B1096,'Executive Pay Breakdown'!Y:Y)+SUMIF('Executive Pay Breakdown'!AA:AA,$B1096,'Executive Pay Breakdown'!AC:AC)</f>
        <v>31216705</v>
      </c>
      <c r="E1096" s="109"/>
      <c r="F1096" s="69">
        <f>SUMIF('Executive Pay Breakdown'!K:K,$B1096,'Executive Pay Breakdown'!M:M)</f>
        <v>15244683</v>
      </c>
      <c r="G1096" s="69">
        <f>SUMIF('Executive Pay Breakdown'!O:O,$B1096,'Executive Pay Breakdown'!Q:Q)</f>
        <v>15972022</v>
      </c>
      <c r="H1096" s="69">
        <f>SUMIF('Executive Pay Breakdown'!S:S,$B1096,'Executive Pay Breakdown'!U:U)</f>
        <v>0</v>
      </c>
      <c r="I1096" s="69">
        <f>SUMIF('Executive Pay Breakdown'!W:W,$B1096,'Executive Pay Breakdown'!Y:Y)</f>
        <v>0</v>
      </c>
      <c r="J1096" s="69">
        <f>SUMIF('Executive Pay Breakdown'!AA:AA,$B1096,'Executive Pay Breakdown'!AC:AC)</f>
        <v>0</v>
      </c>
      <c r="K1096" s="118"/>
      <c r="L1096" s="212"/>
      <c r="M1096" s="212"/>
      <c r="N1096" s="230"/>
      <c r="O1096" s="120" t="str">
        <f>MATCH(C1096,'Key Findings'!B:B,0)</f>
        <v>#N/A</v>
      </c>
    </row>
    <row r="1097" hidden="1">
      <c r="A1097" s="81"/>
      <c r="B1097" s="87" t="s">
        <v>1315</v>
      </c>
      <c r="C1097" s="87" t="s">
        <v>1308</v>
      </c>
      <c r="D1097" s="89">
        <f>SUMIF('Executive Pay Breakdown'!K:K,$B1097,'Executive Pay Breakdown'!M:M)+SUMIF('Executive Pay Breakdown'!O:O,$B1097,'Executive Pay Breakdown'!Q:Q)+SUMIF('Executive Pay Breakdown'!S:S,$B1097,'Executive Pay Breakdown'!U:U)+SUMIF('Executive Pay Breakdown'!W:W,$B1097,'Executive Pay Breakdown'!Y:Y)+SUMIF('Executive Pay Breakdown'!AA:AA,$B1097,'Executive Pay Breakdown'!AC:AC)</f>
        <v>9292066</v>
      </c>
      <c r="E1097" s="109"/>
      <c r="F1097" s="69">
        <f>SUMIF('Executive Pay Breakdown'!K:K,$B1097,'Executive Pay Breakdown'!M:M)</f>
        <v>0</v>
      </c>
      <c r="G1097" s="69">
        <f>SUMIF('Executive Pay Breakdown'!O:O,$B1097,'Executive Pay Breakdown'!Q:Q)</f>
        <v>0</v>
      </c>
      <c r="H1097" s="69">
        <f>SUMIF('Executive Pay Breakdown'!S:S,$B1097,'Executive Pay Breakdown'!U:U)</f>
        <v>9292066</v>
      </c>
      <c r="I1097" s="69">
        <f>SUMIF('Executive Pay Breakdown'!W:W,$B1097,'Executive Pay Breakdown'!Y:Y)</f>
        <v>0</v>
      </c>
      <c r="J1097" s="69">
        <f>SUMIF('Executive Pay Breakdown'!AA:AA,$B1097,'Executive Pay Breakdown'!AC:AC)</f>
        <v>0</v>
      </c>
      <c r="K1097" s="118"/>
      <c r="L1097" s="212"/>
      <c r="M1097" s="87"/>
      <c r="N1097" s="87"/>
      <c r="O1097" s="120" t="str">
        <f>MATCH(C1097,'Key Findings'!B:B,0)</f>
        <v>#N/A</v>
      </c>
    </row>
    <row r="1098" hidden="1">
      <c r="A1098" s="81"/>
      <c r="B1098" s="134" t="s">
        <v>1316</v>
      </c>
      <c r="C1098" s="87" t="s">
        <v>1317</v>
      </c>
      <c r="D1098" s="89">
        <f>SUMIF('Executive Pay Breakdown'!K:K,$B1098,'Executive Pay Breakdown'!M:M)+SUMIF('Executive Pay Breakdown'!O:O,$B1098,'Executive Pay Breakdown'!Q:Q)+SUMIF('Executive Pay Breakdown'!S:S,$B1098,'Executive Pay Breakdown'!U:U)+SUMIF('Executive Pay Breakdown'!W:W,$B1098,'Executive Pay Breakdown'!Y:Y)+SUMIF('Executive Pay Breakdown'!AA:AA,$B1098,'Executive Pay Breakdown'!AC:AC)</f>
        <v>101492348</v>
      </c>
      <c r="E1098" s="109"/>
      <c r="F1098" s="69">
        <f>SUMIF('Executive Pay Breakdown'!K:K,$B1098,'Executive Pay Breakdown'!M:M)</f>
        <v>22822519</v>
      </c>
      <c r="G1098" s="69">
        <f>SUMIF('Executive Pay Breakdown'!O:O,$B1098,'Executive Pay Breakdown'!Q:Q)</f>
        <v>24883878</v>
      </c>
      <c r="H1098" s="69">
        <f>SUMIF('Executive Pay Breakdown'!S:S,$B1098,'Executive Pay Breakdown'!U:U)</f>
        <v>18383474</v>
      </c>
      <c r="I1098" s="69">
        <f>SUMIF('Executive Pay Breakdown'!W:W,$B1098,'Executive Pay Breakdown'!Y:Y)</f>
        <v>18701149</v>
      </c>
      <c r="J1098" s="69">
        <f>SUMIF('Executive Pay Breakdown'!AA:AA,$B1098,'Executive Pay Breakdown'!AC:AC)</f>
        <v>16701328</v>
      </c>
      <c r="K1098" s="118"/>
      <c r="L1098" s="212"/>
      <c r="M1098" s="87"/>
      <c r="N1098" s="87"/>
      <c r="O1098" s="120" t="str">
        <f>MATCH(C1098,'Key Findings'!B:B,0)</f>
        <v>#N/A</v>
      </c>
    </row>
    <row r="1099" hidden="1">
      <c r="A1099" s="71"/>
      <c r="B1099" s="124" t="s">
        <v>1318</v>
      </c>
      <c r="C1099" s="87" t="s">
        <v>1317</v>
      </c>
      <c r="D1099" s="89">
        <f>SUMIF('Executive Pay Breakdown'!K:K,$B1099,'Executive Pay Breakdown'!M:M)+SUMIF('Executive Pay Breakdown'!O:O,$B1099,'Executive Pay Breakdown'!Q:Q)+SUMIF('Executive Pay Breakdown'!S:S,$B1099,'Executive Pay Breakdown'!U:U)+SUMIF('Executive Pay Breakdown'!W:W,$B1099,'Executive Pay Breakdown'!Y:Y)+SUMIF('Executive Pay Breakdown'!AA:AA,$B1099,'Executive Pay Breakdown'!AC:AC)</f>
        <v>41095882</v>
      </c>
      <c r="E1099" s="109"/>
      <c r="F1099" s="69">
        <f>SUMIF('Executive Pay Breakdown'!K:K,$B1099,'Executive Pay Breakdown'!M:M)</f>
        <v>9826235</v>
      </c>
      <c r="G1099" s="69">
        <f>SUMIF('Executive Pay Breakdown'!O:O,$B1099,'Executive Pay Breakdown'!Q:Q)</f>
        <v>10462128</v>
      </c>
      <c r="H1099" s="69">
        <f>SUMIF('Executive Pay Breakdown'!S:S,$B1099,'Executive Pay Breakdown'!U:U)</f>
        <v>7273535</v>
      </c>
      <c r="I1099" s="69">
        <f>SUMIF('Executive Pay Breakdown'!W:W,$B1099,'Executive Pay Breakdown'!Y:Y)</f>
        <v>8538559</v>
      </c>
      <c r="J1099" s="69">
        <f>SUMIF('Executive Pay Breakdown'!AA:AA,$B1099,'Executive Pay Breakdown'!AC:AC)</f>
        <v>4995425</v>
      </c>
      <c r="K1099" s="118"/>
      <c r="L1099" s="212"/>
      <c r="M1099" s="87"/>
      <c r="N1099" s="230"/>
      <c r="O1099" s="120" t="str">
        <f>MATCH(C1099,'Key Findings'!B:B,0)</f>
        <v>#N/A</v>
      </c>
    </row>
    <row r="1100" hidden="1">
      <c r="A1100" s="71"/>
      <c r="B1100" s="124" t="s">
        <v>1319</v>
      </c>
      <c r="C1100" s="87" t="s">
        <v>1317</v>
      </c>
      <c r="D1100" s="89">
        <f>SUMIF('Executive Pay Breakdown'!K:K,$B1100,'Executive Pay Breakdown'!M:M)+SUMIF('Executive Pay Breakdown'!O:O,$B1100,'Executive Pay Breakdown'!Q:Q)+SUMIF('Executive Pay Breakdown'!S:S,$B1100,'Executive Pay Breakdown'!U:U)+SUMIF('Executive Pay Breakdown'!W:W,$B1100,'Executive Pay Breakdown'!Y:Y)+SUMIF('Executive Pay Breakdown'!AA:AA,$B1100,'Executive Pay Breakdown'!AC:AC)</f>
        <v>40305466</v>
      </c>
      <c r="E1100" s="109"/>
      <c r="F1100" s="69">
        <f>SUMIF('Executive Pay Breakdown'!K:K,$B1100,'Executive Pay Breakdown'!M:M)</f>
        <v>9056312</v>
      </c>
      <c r="G1100" s="69">
        <f>SUMIF('Executive Pay Breakdown'!O:O,$B1100,'Executive Pay Breakdown'!Q:Q)</f>
        <v>9141857</v>
      </c>
      <c r="H1100" s="69">
        <f>SUMIF('Executive Pay Breakdown'!S:S,$B1100,'Executive Pay Breakdown'!U:U)</f>
        <v>7050823</v>
      </c>
      <c r="I1100" s="69">
        <f>SUMIF('Executive Pay Breakdown'!W:W,$B1100,'Executive Pay Breakdown'!Y:Y)</f>
        <v>9128953</v>
      </c>
      <c r="J1100" s="69">
        <f>SUMIF('Executive Pay Breakdown'!AA:AA,$B1100,'Executive Pay Breakdown'!AC:AC)</f>
        <v>5927521</v>
      </c>
      <c r="K1100" s="118"/>
      <c r="L1100" s="212"/>
      <c r="M1100" s="87"/>
      <c r="N1100" s="230"/>
      <c r="O1100" s="120" t="str">
        <f>MATCH(C1100,'Key Findings'!B:B,0)</f>
        <v>#N/A</v>
      </c>
    </row>
    <row r="1101" hidden="1">
      <c r="A1101" s="71"/>
      <c r="B1101" s="124" t="s">
        <v>1320</v>
      </c>
      <c r="C1101" s="87" t="s">
        <v>1317</v>
      </c>
      <c r="D1101" s="89">
        <f>SUMIF('Executive Pay Breakdown'!K:K,$B1101,'Executive Pay Breakdown'!M:M)+SUMIF('Executive Pay Breakdown'!O:O,$B1101,'Executive Pay Breakdown'!Q:Q)+SUMIF('Executive Pay Breakdown'!S:S,$B1101,'Executive Pay Breakdown'!U:U)+SUMIF('Executive Pay Breakdown'!W:W,$B1101,'Executive Pay Breakdown'!Y:Y)+SUMIF('Executive Pay Breakdown'!AA:AA,$B1101,'Executive Pay Breakdown'!AC:AC)</f>
        <v>25387116</v>
      </c>
      <c r="E1101" s="109"/>
      <c r="F1101" s="69">
        <f>SUMIF('Executive Pay Breakdown'!K:K,$B1101,'Executive Pay Breakdown'!M:M)</f>
        <v>7351173</v>
      </c>
      <c r="G1101" s="69">
        <f>SUMIF('Executive Pay Breakdown'!O:O,$B1101,'Executive Pay Breakdown'!Q:Q)</f>
        <v>7482488</v>
      </c>
      <c r="H1101" s="69">
        <f>SUMIF('Executive Pay Breakdown'!S:S,$B1101,'Executive Pay Breakdown'!U:U)</f>
        <v>5583502</v>
      </c>
      <c r="I1101" s="69">
        <f>SUMIF('Executive Pay Breakdown'!W:W,$B1101,'Executive Pay Breakdown'!Y:Y)</f>
        <v>4969953</v>
      </c>
      <c r="J1101" s="69">
        <f>SUMIF('Executive Pay Breakdown'!AA:AA,$B1101,'Executive Pay Breakdown'!AC:AC)</f>
        <v>0</v>
      </c>
      <c r="K1101" s="118"/>
      <c r="L1101" s="212"/>
      <c r="M1101" s="87"/>
      <c r="N1101" s="230"/>
      <c r="O1101" s="120" t="str">
        <f>MATCH(C1101,'Key Findings'!B:B,0)</f>
        <v>#N/A</v>
      </c>
    </row>
    <row r="1102" hidden="1">
      <c r="A1102" s="71"/>
      <c r="B1102" s="124" t="s">
        <v>1321</v>
      </c>
      <c r="C1102" s="87" t="s">
        <v>1317</v>
      </c>
      <c r="D1102" s="89">
        <f>SUMIF('Executive Pay Breakdown'!K:K,$B1102,'Executive Pay Breakdown'!M:M)+SUMIF('Executive Pay Breakdown'!O:O,$B1102,'Executive Pay Breakdown'!Q:Q)+SUMIF('Executive Pay Breakdown'!S:S,$B1102,'Executive Pay Breakdown'!U:U)+SUMIF('Executive Pay Breakdown'!W:W,$B1102,'Executive Pay Breakdown'!Y:Y)+SUMIF('Executive Pay Breakdown'!AA:AA,$B1102,'Executive Pay Breakdown'!AC:AC)</f>
        <v>15727411</v>
      </c>
      <c r="E1102" s="109"/>
      <c r="F1102" s="69">
        <f>SUMIF('Executive Pay Breakdown'!K:K,$B1102,'Executive Pay Breakdown'!M:M)</f>
        <v>0</v>
      </c>
      <c r="G1102" s="69">
        <f>SUMIF('Executive Pay Breakdown'!O:O,$B1102,'Executive Pay Breakdown'!Q:Q)</f>
        <v>11021144</v>
      </c>
      <c r="H1102" s="69">
        <f>SUMIF('Executive Pay Breakdown'!S:S,$B1102,'Executive Pay Breakdown'!U:U)</f>
        <v>4706267</v>
      </c>
      <c r="I1102" s="69">
        <f>SUMIF('Executive Pay Breakdown'!W:W,$B1102,'Executive Pay Breakdown'!Y:Y)</f>
        <v>0</v>
      </c>
      <c r="J1102" s="69">
        <f>SUMIF('Executive Pay Breakdown'!AA:AA,$B1102,'Executive Pay Breakdown'!AC:AC)</f>
        <v>0</v>
      </c>
      <c r="K1102" s="118"/>
      <c r="L1102" s="212"/>
      <c r="M1102" s="87"/>
      <c r="N1102" s="87"/>
      <c r="O1102" s="120" t="str">
        <f>MATCH(C1102,'Key Findings'!B:B,0)</f>
        <v>#N/A</v>
      </c>
    </row>
    <row r="1103" hidden="1">
      <c r="A1103" s="71"/>
      <c r="B1103" s="124" t="s">
        <v>1322</v>
      </c>
      <c r="C1103" s="87" t="s">
        <v>1317</v>
      </c>
      <c r="D1103" s="89">
        <f>SUMIF('Executive Pay Breakdown'!K:K,$B1103,'Executive Pay Breakdown'!M:M)+SUMIF('Executive Pay Breakdown'!O:O,$B1103,'Executive Pay Breakdown'!Q:Q)+SUMIF('Executive Pay Breakdown'!S:S,$B1103,'Executive Pay Breakdown'!U:U)+SUMIF('Executive Pay Breakdown'!W:W,$B1103,'Executive Pay Breakdown'!Y:Y)+SUMIF('Executive Pay Breakdown'!AA:AA,$B1103,'Executive Pay Breakdown'!AC:AC)</f>
        <v>11689261</v>
      </c>
      <c r="E1103" s="109"/>
      <c r="F1103" s="69">
        <f>SUMIF('Executive Pay Breakdown'!K:K,$B1103,'Executive Pay Breakdown'!M:M)</f>
        <v>0</v>
      </c>
      <c r="G1103" s="69">
        <f>SUMIF('Executive Pay Breakdown'!O:O,$B1103,'Executive Pay Breakdown'!Q:Q)</f>
        <v>0</v>
      </c>
      <c r="H1103" s="69">
        <f>SUMIF('Executive Pay Breakdown'!S:S,$B1103,'Executive Pay Breakdown'!U:U)</f>
        <v>0</v>
      </c>
      <c r="I1103" s="69">
        <f>SUMIF('Executive Pay Breakdown'!W:W,$B1103,'Executive Pay Breakdown'!Y:Y)</f>
        <v>5742683</v>
      </c>
      <c r="J1103" s="69">
        <f>SUMIF('Executive Pay Breakdown'!AA:AA,$B1103,'Executive Pay Breakdown'!AC:AC)</f>
        <v>5946578</v>
      </c>
      <c r="K1103" s="118"/>
      <c r="L1103" s="212"/>
      <c r="M1103" s="87"/>
      <c r="N1103" s="87"/>
      <c r="O1103" s="120" t="str">
        <f>MATCH(C1103,'Key Findings'!B:B,0)</f>
        <v>#N/A</v>
      </c>
    </row>
    <row r="1104" hidden="1">
      <c r="A1104" s="71"/>
      <c r="B1104" s="124" t="s">
        <v>1323</v>
      </c>
      <c r="C1104" s="87" t="s">
        <v>1317</v>
      </c>
      <c r="D1104" s="89">
        <f>SUMIF('Executive Pay Breakdown'!K:K,$B1104,'Executive Pay Breakdown'!M:M)+SUMIF('Executive Pay Breakdown'!O:O,$B1104,'Executive Pay Breakdown'!Q:Q)+SUMIF('Executive Pay Breakdown'!S:S,$B1104,'Executive Pay Breakdown'!U:U)+SUMIF('Executive Pay Breakdown'!W:W,$B1104,'Executive Pay Breakdown'!Y:Y)+SUMIF('Executive Pay Breakdown'!AA:AA,$B1104,'Executive Pay Breakdown'!AC:AC)</f>
        <v>9928921</v>
      </c>
      <c r="E1104" s="109"/>
      <c r="F1104" s="69">
        <f>SUMIF('Executive Pay Breakdown'!K:K,$B1104,'Executive Pay Breakdown'!M:M)</f>
        <v>4694013</v>
      </c>
      <c r="G1104" s="69">
        <f>SUMIF('Executive Pay Breakdown'!O:O,$B1104,'Executive Pay Breakdown'!Q:Q)</f>
        <v>5234908</v>
      </c>
      <c r="H1104" s="69">
        <f>SUMIF('Executive Pay Breakdown'!S:S,$B1104,'Executive Pay Breakdown'!U:U)</f>
        <v>0</v>
      </c>
      <c r="I1104" s="69">
        <f>SUMIF('Executive Pay Breakdown'!W:W,$B1104,'Executive Pay Breakdown'!Y:Y)</f>
        <v>0</v>
      </c>
      <c r="J1104" s="69">
        <f>SUMIF('Executive Pay Breakdown'!AA:AA,$B1104,'Executive Pay Breakdown'!AC:AC)</f>
        <v>0</v>
      </c>
      <c r="K1104" s="118"/>
      <c r="L1104" s="212"/>
      <c r="M1104" s="212"/>
      <c r="N1104" s="230"/>
      <c r="O1104" s="120" t="str">
        <f>MATCH(C1104,'Key Findings'!B:B,0)</f>
        <v>#N/A</v>
      </c>
    </row>
    <row r="1105" hidden="1">
      <c r="A1105" s="71"/>
      <c r="B1105" s="124" t="s">
        <v>1324</v>
      </c>
      <c r="C1105" s="87" t="s">
        <v>1317</v>
      </c>
      <c r="D1105" s="89">
        <f>SUMIF('Executive Pay Breakdown'!K:K,$B1105,'Executive Pay Breakdown'!M:M)+SUMIF('Executive Pay Breakdown'!O:O,$B1105,'Executive Pay Breakdown'!Q:Q)+SUMIF('Executive Pay Breakdown'!S:S,$B1105,'Executive Pay Breakdown'!U:U)+SUMIF('Executive Pay Breakdown'!W:W,$B1105,'Executive Pay Breakdown'!Y:Y)+SUMIF('Executive Pay Breakdown'!AA:AA,$B1105,'Executive Pay Breakdown'!AC:AC)</f>
        <v>9848648</v>
      </c>
      <c r="E1105" s="109"/>
      <c r="F1105" s="69">
        <f>SUMIF('Executive Pay Breakdown'!K:K,$B1105,'Executive Pay Breakdown'!M:M)</f>
        <v>0</v>
      </c>
      <c r="G1105" s="69">
        <f>SUMIF('Executive Pay Breakdown'!O:O,$B1105,'Executive Pay Breakdown'!Q:Q)</f>
        <v>0</v>
      </c>
      <c r="H1105" s="69">
        <f>SUMIF('Executive Pay Breakdown'!S:S,$B1105,'Executive Pay Breakdown'!U:U)</f>
        <v>0</v>
      </c>
      <c r="I1105" s="69">
        <f>SUMIF('Executive Pay Breakdown'!W:W,$B1105,'Executive Pay Breakdown'!Y:Y)</f>
        <v>0</v>
      </c>
      <c r="J1105" s="69">
        <f>SUMIF('Executive Pay Breakdown'!AA:AA,$B1105,'Executive Pay Breakdown'!AC:AC)</f>
        <v>9848648</v>
      </c>
      <c r="K1105" s="118"/>
      <c r="L1105" s="212"/>
      <c r="M1105" s="87"/>
      <c r="N1105" s="87"/>
      <c r="O1105" s="120" t="str">
        <f>MATCH(C1105,'Key Findings'!B:B,0)</f>
        <v>#N/A</v>
      </c>
    </row>
    <row r="1106" hidden="1">
      <c r="A1106" s="71"/>
      <c r="B1106" s="124" t="s">
        <v>1325</v>
      </c>
      <c r="C1106" s="87" t="s">
        <v>1317</v>
      </c>
      <c r="D1106" s="89">
        <f>SUMIF('Executive Pay Breakdown'!K:K,$B1106,'Executive Pay Breakdown'!M:M)+SUMIF('Executive Pay Breakdown'!O:O,$B1106,'Executive Pay Breakdown'!Q:Q)+SUMIF('Executive Pay Breakdown'!S:S,$B1106,'Executive Pay Breakdown'!U:U)+SUMIF('Executive Pay Breakdown'!W:W,$B1106,'Executive Pay Breakdown'!Y:Y)+SUMIF('Executive Pay Breakdown'!AA:AA,$B1106,'Executive Pay Breakdown'!AC:AC)</f>
        <v>4779484</v>
      </c>
      <c r="E1106" s="109"/>
      <c r="F1106" s="69">
        <f>SUMIF('Executive Pay Breakdown'!K:K,$B1106,'Executive Pay Breakdown'!M:M)</f>
        <v>0</v>
      </c>
      <c r="G1106" s="69">
        <f>SUMIF('Executive Pay Breakdown'!O:O,$B1106,'Executive Pay Breakdown'!Q:Q)</f>
        <v>0</v>
      </c>
      <c r="H1106" s="69">
        <f>SUMIF('Executive Pay Breakdown'!S:S,$B1106,'Executive Pay Breakdown'!U:U)</f>
        <v>0</v>
      </c>
      <c r="I1106" s="69">
        <f>SUMIF('Executive Pay Breakdown'!W:W,$B1106,'Executive Pay Breakdown'!Y:Y)</f>
        <v>4779484</v>
      </c>
      <c r="J1106" s="69">
        <f>SUMIF('Executive Pay Breakdown'!AA:AA,$B1106,'Executive Pay Breakdown'!AC:AC)</f>
        <v>0</v>
      </c>
      <c r="K1106" s="118"/>
      <c r="L1106" s="212"/>
      <c r="M1106" s="87"/>
      <c r="N1106" s="87"/>
      <c r="O1106" s="120" t="str">
        <f>MATCH(C1106,'Key Findings'!B:B,0)</f>
        <v>#N/A</v>
      </c>
    </row>
    <row r="1107" hidden="1">
      <c r="A1107" s="81"/>
      <c r="B1107" s="134" t="s">
        <v>1326</v>
      </c>
      <c r="C1107" s="87" t="s">
        <v>1327</v>
      </c>
      <c r="D1107" s="89">
        <f>SUMIF('Executive Pay Breakdown'!K:K,$B1107,'Executive Pay Breakdown'!M:M)+SUMIF('Executive Pay Breakdown'!O:O,$B1107,'Executive Pay Breakdown'!Q:Q)+SUMIF('Executive Pay Breakdown'!S:S,$B1107,'Executive Pay Breakdown'!U:U)+SUMIF('Executive Pay Breakdown'!W:W,$B1107,'Executive Pay Breakdown'!Y:Y)+SUMIF('Executive Pay Breakdown'!AA:AA,$B1107,'Executive Pay Breakdown'!AC:AC)</f>
        <v>86731179</v>
      </c>
      <c r="E1107" s="109"/>
      <c r="F1107" s="69">
        <f>SUMIF('Executive Pay Breakdown'!K:K,$B1107,'Executive Pay Breakdown'!M:M)</f>
        <v>0</v>
      </c>
      <c r="G1107" s="69">
        <f>SUMIF('Executive Pay Breakdown'!O:O,$B1107,'Executive Pay Breakdown'!Q:Q)</f>
        <v>14054614</v>
      </c>
      <c r="H1107" s="69">
        <f>SUMIF('Executive Pay Breakdown'!S:S,$B1107,'Executive Pay Breakdown'!U:U)</f>
        <v>22984090</v>
      </c>
      <c r="I1107" s="69">
        <f>SUMIF('Executive Pay Breakdown'!W:W,$B1107,'Executive Pay Breakdown'!Y:Y)</f>
        <v>25508761</v>
      </c>
      <c r="J1107" s="69">
        <f>SUMIF('Executive Pay Breakdown'!AA:AA,$B1107,'Executive Pay Breakdown'!AC:AC)</f>
        <v>24183714</v>
      </c>
      <c r="K1107" s="118"/>
      <c r="L1107" s="212"/>
      <c r="M1107" s="87"/>
      <c r="N1107" s="230"/>
      <c r="O1107" s="120" t="str">
        <f>MATCH(C1107,'Key Findings'!B:B,0)</f>
        <v>#N/A</v>
      </c>
    </row>
    <row r="1108" hidden="1">
      <c r="A1108" s="81"/>
      <c r="B1108" s="134" t="s">
        <v>1328</v>
      </c>
      <c r="C1108" s="87" t="s">
        <v>1327</v>
      </c>
      <c r="D1108" s="89">
        <f>SUMIF('Executive Pay Breakdown'!K:K,$B1108,'Executive Pay Breakdown'!M:M)+SUMIF('Executive Pay Breakdown'!O:O,$B1108,'Executive Pay Breakdown'!Q:Q)+SUMIF('Executive Pay Breakdown'!S:S,$B1108,'Executive Pay Breakdown'!U:U)+SUMIF('Executive Pay Breakdown'!W:W,$B1108,'Executive Pay Breakdown'!Y:Y)+SUMIF('Executive Pay Breakdown'!AA:AA,$B1108,'Executive Pay Breakdown'!AC:AC)</f>
        <v>86120384</v>
      </c>
      <c r="E1108" s="109"/>
      <c r="F1108" s="69">
        <f>SUMIF('Executive Pay Breakdown'!K:K,$B1108,'Executive Pay Breakdown'!M:M)</f>
        <v>22064065</v>
      </c>
      <c r="G1108" s="69">
        <f>SUMIF('Executive Pay Breakdown'!O:O,$B1108,'Executive Pay Breakdown'!Q:Q)</f>
        <v>20541324</v>
      </c>
      <c r="H1108" s="69">
        <f>SUMIF('Executive Pay Breakdown'!S:S,$B1108,'Executive Pay Breakdown'!U:U)</f>
        <v>16710724</v>
      </c>
      <c r="I1108" s="69">
        <f>SUMIF('Executive Pay Breakdown'!W:W,$B1108,'Executive Pay Breakdown'!Y:Y)</f>
        <v>17313781</v>
      </c>
      <c r="J1108" s="69">
        <f>SUMIF('Executive Pay Breakdown'!AA:AA,$B1108,'Executive Pay Breakdown'!AC:AC)</f>
        <v>9490490</v>
      </c>
      <c r="K1108" s="118"/>
      <c r="L1108" s="212"/>
      <c r="M1108" s="87"/>
      <c r="N1108" s="87"/>
      <c r="O1108" s="120" t="str">
        <f>MATCH(C1108,'Key Findings'!B:B,0)</f>
        <v>#N/A</v>
      </c>
    </row>
    <row r="1109" hidden="1">
      <c r="A1109" s="81"/>
      <c r="B1109" s="134" t="s">
        <v>1329</v>
      </c>
      <c r="C1109" s="87" t="s">
        <v>1327</v>
      </c>
      <c r="D1109" s="89">
        <f>SUMIF('Executive Pay Breakdown'!K:K,$B1109,'Executive Pay Breakdown'!M:M)+SUMIF('Executive Pay Breakdown'!O:O,$B1109,'Executive Pay Breakdown'!Q:Q)+SUMIF('Executive Pay Breakdown'!S:S,$B1109,'Executive Pay Breakdown'!U:U)+SUMIF('Executive Pay Breakdown'!W:W,$B1109,'Executive Pay Breakdown'!Y:Y)+SUMIF('Executive Pay Breakdown'!AA:AA,$B1109,'Executive Pay Breakdown'!AC:AC)</f>
        <v>69005953</v>
      </c>
      <c r="E1109" s="109"/>
      <c r="F1109" s="69">
        <f>SUMIF('Executive Pay Breakdown'!K:K,$B1109,'Executive Pay Breakdown'!M:M)</f>
        <v>18927065</v>
      </c>
      <c r="G1109" s="69">
        <f>SUMIF('Executive Pay Breakdown'!O:O,$B1109,'Executive Pay Breakdown'!Q:Q)</f>
        <v>18491535</v>
      </c>
      <c r="H1109" s="69">
        <f>SUMIF('Executive Pay Breakdown'!S:S,$B1109,'Executive Pay Breakdown'!U:U)</f>
        <v>17773327</v>
      </c>
      <c r="I1109" s="69">
        <f>SUMIF('Executive Pay Breakdown'!W:W,$B1109,'Executive Pay Breakdown'!Y:Y)</f>
        <v>13814026</v>
      </c>
      <c r="J1109" s="69">
        <f>SUMIF('Executive Pay Breakdown'!AA:AA,$B1109,'Executive Pay Breakdown'!AC:AC)</f>
        <v>0</v>
      </c>
      <c r="K1109" s="118"/>
      <c r="L1109" s="212"/>
      <c r="M1109" s="87"/>
      <c r="N1109" s="230"/>
      <c r="O1109" s="120" t="str">
        <f>MATCH(C1109,'Key Findings'!B:B,0)</f>
        <v>#N/A</v>
      </c>
    </row>
    <row r="1110" hidden="1">
      <c r="A1110" s="81"/>
      <c r="B1110" s="134" t="s">
        <v>1330</v>
      </c>
      <c r="C1110" s="87" t="s">
        <v>1327</v>
      </c>
      <c r="D1110" s="89">
        <f>SUMIF('Executive Pay Breakdown'!K:K,$B1110,'Executive Pay Breakdown'!M:M)+SUMIF('Executive Pay Breakdown'!O:O,$B1110,'Executive Pay Breakdown'!Q:Q)+SUMIF('Executive Pay Breakdown'!S:S,$B1110,'Executive Pay Breakdown'!U:U)+SUMIF('Executive Pay Breakdown'!W:W,$B1110,'Executive Pay Breakdown'!Y:Y)+SUMIF('Executive Pay Breakdown'!AA:AA,$B1110,'Executive Pay Breakdown'!AC:AC)</f>
        <v>48324821</v>
      </c>
      <c r="E1110" s="109"/>
      <c r="F1110" s="69">
        <f>SUMIF('Executive Pay Breakdown'!K:K,$B1110,'Executive Pay Breakdown'!M:M)</f>
        <v>15046165</v>
      </c>
      <c r="G1110" s="69">
        <f>SUMIF('Executive Pay Breakdown'!O:O,$B1110,'Executive Pay Breakdown'!Q:Q)</f>
        <v>13362425</v>
      </c>
      <c r="H1110" s="69">
        <f>SUMIF('Executive Pay Breakdown'!S:S,$B1110,'Executive Pay Breakdown'!U:U)</f>
        <v>12164624</v>
      </c>
      <c r="I1110" s="69">
        <f>SUMIF('Executive Pay Breakdown'!W:W,$B1110,'Executive Pay Breakdown'!Y:Y)</f>
        <v>7751607</v>
      </c>
      <c r="J1110" s="69">
        <f>SUMIF('Executive Pay Breakdown'!AA:AA,$B1110,'Executive Pay Breakdown'!AC:AC)</f>
        <v>0</v>
      </c>
      <c r="K1110" s="118"/>
      <c r="L1110" s="212"/>
      <c r="M1110" s="87"/>
      <c r="N1110" s="230"/>
      <c r="O1110" s="120" t="str">
        <f>MATCH(C1110,'Key Findings'!B:B,0)</f>
        <v>#N/A</v>
      </c>
    </row>
    <row r="1111" hidden="1">
      <c r="A1111" s="81"/>
      <c r="B1111" s="134" t="s">
        <v>1331</v>
      </c>
      <c r="C1111" s="87" t="s">
        <v>1327</v>
      </c>
      <c r="D1111" s="89">
        <f>SUMIF('Executive Pay Breakdown'!K:K,$B1111,'Executive Pay Breakdown'!M:M)+SUMIF('Executive Pay Breakdown'!O:O,$B1111,'Executive Pay Breakdown'!Q:Q)+SUMIF('Executive Pay Breakdown'!S:S,$B1111,'Executive Pay Breakdown'!U:U)+SUMIF('Executive Pay Breakdown'!W:W,$B1111,'Executive Pay Breakdown'!Y:Y)+SUMIF('Executive Pay Breakdown'!AA:AA,$B1111,'Executive Pay Breakdown'!AC:AC)</f>
        <v>33795268</v>
      </c>
      <c r="E1111" s="109"/>
      <c r="F1111" s="69">
        <f>SUMIF('Executive Pay Breakdown'!K:K,$B1111,'Executive Pay Breakdown'!M:M)</f>
        <v>0</v>
      </c>
      <c r="G1111" s="69">
        <f>SUMIF('Executive Pay Breakdown'!O:O,$B1111,'Executive Pay Breakdown'!Q:Q)</f>
        <v>0</v>
      </c>
      <c r="H1111" s="69">
        <f>SUMIF('Executive Pay Breakdown'!S:S,$B1111,'Executive Pay Breakdown'!U:U)</f>
        <v>0</v>
      </c>
      <c r="I1111" s="69">
        <f>SUMIF('Executive Pay Breakdown'!W:W,$B1111,'Executive Pay Breakdown'!Y:Y)</f>
        <v>13103973</v>
      </c>
      <c r="J1111" s="69">
        <f>SUMIF('Executive Pay Breakdown'!AA:AA,$B1111,'Executive Pay Breakdown'!AC:AC)</f>
        <v>20691295</v>
      </c>
      <c r="K1111" s="118"/>
      <c r="L1111" s="212"/>
      <c r="M1111" s="87"/>
      <c r="N1111" s="87"/>
      <c r="O1111" s="120" t="str">
        <f>MATCH(C1111,'Key Findings'!B:B,0)</f>
        <v>#N/A</v>
      </c>
    </row>
    <row r="1112" hidden="1">
      <c r="A1112" s="81"/>
      <c r="B1112" s="134" t="s">
        <v>1332</v>
      </c>
      <c r="C1112" s="87" t="s">
        <v>1327</v>
      </c>
      <c r="D1112" s="89">
        <f>SUMIF('Executive Pay Breakdown'!K:K,$B1112,'Executive Pay Breakdown'!M:M)+SUMIF('Executive Pay Breakdown'!O:O,$B1112,'Executive Pay Breakdown'!Q:Q)+SUMIF('Executive Pay Breakdown'!S:S,$B1112,'Executive Pay Breakdown'!U:U)+SUMIF('Executive Pay Breakdown'!W:W,$B1112,'Executive Pay Breakdown'!Y:Y)+SUMIF('Executive Pay Breakdown'!AA:AA,$B1112,'Executive Pay Breakdown'!AC:AC)</f>
        <v>25100528</v>
      </c>
      <c r="E1112" s="109"/>
      <c r="F1112" s="69">
        <f>SUMIF('Executive Pay Breakdown'!K:K,$B1112,'Executive Pay Breakdown'!M:M)</f>
        <v>13957166</v>
      </c>
      <c r="G1112" s="69">
        <f>SUMIF('Executive Pay Breakdown'!O:O,$B1112,'Executive Pay Breakdown'!Q:Q)</f>
        <v>11143362</v>
      </c>
      <c r="H1112" s="69">
        <f>SUMIF('Executive Pay Breakdown'!S:S,$B1112,'Executive Pay Breakdown'!U:U)</f>
        <v>0</v>
      </c>
      <c r="I1112" s="69">
        <f>SUMIF('Executive Pay Breakdown'!W:W,$B1112,'Executive Pay Breakdown'!Y:Y)</f>
        <v>0</v>
      </c>
      <c r="J1112" s="69">
        <f>SUMIF('Executive Pay Breakdown'!AA:AA,$B1112,'Executive Pay Breakdown'!AC:AC)</f>
        <v>0</v>
      </c>
      <c r="K1112" s="118"/>
      <c r="L1112" s="212"/>
      <c r="M1112" s="212"/>
      <c r="N1112" s="230"/>
      <c r="O1112" s="120" t="str">
        <f>MATCH(C1112,'Key Findings'!B:B,0)</f>
        <v>#N/A</v>
      </c>
    </row>
    <row r="1113" hidden="1">
      <c r="A1113" s="81"/>
      <c r="B1113" s="134" t="s">
        <v>1333</v>
      </c>
      <c r="C1113" s="87" t="s">
        <v>1327</v>
      </c>
      <c r="D1113" s="89">
        <f>SUMIF('Executive Pay Breakdown'!K:K,$B1113,'Executive Pay Breakdown'!M:M)+SUMIF('Executive Pay Breakdown'!O:O,$B1113,'Executive Pay Breakdown'!Q:Q)+SUMIF('Executive Pay Breakdown'!S:S,$B1113,'Executive Pay Breakdown'!U:U)+SUMIF('Executive Pay Breakdown'!W:W,$B1113,'Executive Pay Breakdown'!Y:Y)+SUMIF('Executive Pay Breakdown'!AA:AA,$B1113,'Executive Pay Breakdown'!AC:AC)</f>
        <v>23740392</v>
      </c>
      <c r="E1113" s="109"/>
      <c r="F1113" s="69">
        <f>SUMIF('Executive Pay Breakdown'!K:K,$B1113,'Executive Pay Breakdown'!M:M)</f>
        <v>0</v>
      </c>
      <c r="G1113" s="69">
        <f>SUMIF('Executive Pay Breakdown'!O:O,$B1113,'Executive Pay Breakdown'!Q:Q)</f>
        <v>0</v>
      </c>
      <c r="H1113" s="69">
        <f>SUMIF('Executive Pay Breakdown'!S:S,$B1113,'Executive Pay Breakdown'!U:U)</f>
        <v>0</v>
      </c>
      <c r="I1113" s="69">
        <f>SUMIF('Executive Pay Breakdown'!W:W,$B1113,'Executive Pay Breakdown'!Y:Y)</f>
        <v>12479972</v>
      </c>
      <c r="J1113" s="69">
        <f>SUMIF('Executive Pay Breakdown'!AA:AA,$B1113,'Executive Pay Breakdown'!AC:AC)</f>
        <v>11260420</v>
      </c>
      <c r="K1113" s="118"/>
      <c r="L1113" s="212"/>
      <c r="M1113" s="87"/>
      <c r="N1113" s="87"/>
      <c r="O1113" s="120" t="str">
        <f>MATCH(C1113,'Key Findings'!B:B,0)</f>
        <v>#N/A</v>
      </c>
    </row>
    <row r="1114" hidden="1">
      <c r="A1114" s="81"/>
      <c r="B1114" s="134" t="s">
        <v>1334</v>
      </c>
      <c r="C1114" s="87" t="s">
        <v>1327</v>
      </c>
      <c r="D1114" s="89">
        <f>SUMIF('Executive Pay Breakdown'!K:K,$B1114,'Executive Pay Breakdown'!M:M)+SUMIF('Executive Pay Breakdown'!O:O,$B1114,'Executive Pay Breakdown'!Q:Q)+SUMIF('Executive Pay Breakdown'!S:S,$B1114,'Executive Pay Breakdown'!U:U)+SUMIF('Executive Pay Breakdown'!W:W,$B1114,'Executive Pay Breakdown'!Y:Y)+SUMIF('Executive Pay Breakdown'!AA:AA,$B1114,'Executive Pay Breakdown'!AC:AC)</f>
        <v>19549713</v>
      </c>
      <c r="E1114" s="109"/>
      <c r="F1114" s="69">
        <f>SUMIF('Executive Pay Breakdown'!K:K,$B1114,'Executive Pay Breakdown'!M:M)</f>
        <v>0</v>
      </c>
      <c r="G1114" s="69">
        <f>SUMIF('Executive Pay Breakdown'!O:O,$B1114,'Executive Pay Breakdown'!Q:Q)</f>
        <v>0</v>
      </c>
      <c r="H1114" s="69">
        <f>SUMIF('Executive Pay Breakdown'!S:S,$B1114,'Executive Pay Breakdown'!U:U)</f>
        <v>0</v>
      </c>
      <c r="I1114" s="69">
        <f>SUMIF('Executive Pay Breakdown'!W:W,$B1114,'Executive Pay Breakdown'!Y:Y)</f>
        <v>7772097</v>
      </c>
      <c r="J1114" s="69">
        <f>SUMIF('Executive Pay Breakdown'!AA:AA,$B1114,'Executive Pay Breakdown'!AC:AC)</f>
        <v>11777616</v>
      </c>
      <c r="K1114" s="118"/>
      <c r="L1114" s="212"/>
      <c r="M1114" s="87"/>
      <c r="N1114" s="87"/>
      <c r="O1114" s="120" t="str">
        <f>MATCH(C1114,'Key Findings'!B:B,0)</f>
        <v>#N/A</v>
      </c>
    </row>
    <row r="1115" hidden="1">
      <c r="A1115" s="81"/>
      <c r="B1115" s="134" t="s">
        <v>1335</v>
      </c>
      <c r="C1115" s="87" t="s">
        <v>1327</v>
      </c>
      <c r="D1115" s="89">
        <f>SUMIF('Executive Pay Breakdown'!K:K,$B1115,'Executive Pay Breakdown'!M:M)+SUMIF('Executive Pay Breakdown'!O:O,$B1115,'Executive Pay Breakdown'!Q:Q)+SUMIF('Executive Pay Breakdown'!S:S,$B1115,'Executive Pay Breakdown'!U:U)+SUMIF('Executive Pay Breakdown'!W:W,$B1115,'Executive Pay Breakdown'!Y:Y)+SUMIF('Executive Pay Breakdown'!AA:AA,$B1115,'Executive Pay Breakdown'!AC:AC)</f>
        <v>14504520</v>
      </c>
      <c r="E1115" s="109"/>
      <c r="F1115" s="69">
        <f>SUMIF('Executive Pay Breakdown'!K:K,$B1115,'Executive Pay Breakdown'!M:M)</f>
        <v>14504520</v>
      </c>
      <c r="G1115" s="69">
        <f>SUMIF('Executive Pay Breakdown'!O:O,$B1115,'Executive Pay Breakdown'!Q:Q)</f>
        <v>0</v>
      </c>
      <c r="H1115" s="69">
        <f>SUMIF('Executive Pay Breakdown'!S:S,$B1115,'Executive Pay Breakdown'!U:U)</f>
        <v>0</v>
      </c>
      <c r="I1115" s="69">
        <f>SUMIF('Executive Pay Breakdown'!W:W,$B1115,'Executive Pay Breakdown'!Y:Y)</f>
        <v>0</v>
      </c>
      <c r="J1115" s="69">
        <f>SUMIF('Executive Pay Breakdown'!AA:AA,$B1115,'Executive Pay Breakdown'!AC:AC)</f>
        <v>0</v>
      </c>
      <c r="K1115" s="118"/>
      <c r="L1115" s="212"/>
      <c r="M1115" s="87"/>
      <c r="N1115" s="230"/>
      <c r="O1115" s="120" t="str">
        <f>MATCH(C1115,'Key Findings'!B:B,0)</f>
        <v>#N/A</v>
      </c>
    </row>
    <row r="1116" hidden="1">
      <c r="A1116" s="81"/>
      <c r="B1116" s="134" t="s">
        <v>1336</v>
      </c>
      <c r="C1116" s="87" t="s">
        <v>1327</v>
      </c>
      <c r="D1116" s="89">
        <f>SUMIF('Executive Pay Breakdown'!K:K,$B1116,'Executive Pay Breakdown'!M:M)+SUMIF('Executive Pay Breakdown'!O:O,$B1116,'Executive Pay Breakdown'!Q:Q)+SUMIF('Executive Pay Breakdown'!S:S,$B1116,'Executive Pay Breakdown'!U:U)+SUMIF('Executive Pay Breakdown'!W:W,$B1116,'Executive Pay Breakdown'!Y:Y)+SUMIF('Executive Pay Breakdown'!AA:AA,$B1116,'Executive Pay Breakdown'!AC:AC)</f>
        <v>10438415</v>
      </c>
      <c r="E1116" s="109"/>
      <c r="F1116" s="69">
        <f>SUMIF('Executive Pay Breakdown'!K:K,$B1116,'Executive Pay Breakdown'!M:M)</f>
        <v>0</v>
      </c>
      <c r="G1116" s="69">
        <f>SUMIF('Executive Pay Breakdown'!O:O,$B1116,'Executive Pay Breakdown'!Q:Q)</f>
        <v>10438415</v>
      </c>
      <c r="H1116" s="69">
        <f>SUMIF('Executive Pay Breakdown'!S:S,$B1116,'Executive Pay Breakdown'!U:U)</f>
        <v>0</v>
      </c>
      <c r="I1116" s="69">
        <f>SUMIF('Executive Pay Breakdown'!W:W,$B1116,'Executive Pay Breakdown'!Y:Y)</f>
        <v>0</v>
      </c>
      <c r="J1116" s="69">
        <f>SUMIF('Executive Pay Breakdown'!AA:AA,$B1116,'Executive Pay Breakdown'!AC:AC)</f>
        <v>0</v>
      </c>
      <c r="K1116" s="118"/>
      <c r="L1116" s="212"/>
      <c r="M1116" s="212"/>
      <c r="N1116" s="87"/>
      <c r="O1116" s="120" t="str">
        <f>MATCH(C1116,'Key Findings'!B:B,0)</f>
        <v>#N/A</v>
      </c>
    </row>
    <row r="1117" hidden="1">
      <c r="A1117" s="81"/>
      <c r="B1117" s="134" t="s">
        <v>1337</v>
      </c>
      <c r="C1117" s="87" t="s">
        <v>1327</v>
      </c>
      <c r="D1117" s="89">
        <f>SUMIF('Executive Pay Breakdown'!K:K,$B1117,'Executive Pay Breakdown'!M:M)+SUMIF('Executive Pay Breakdown'!O:O,$B1117,'Executive Pay Breakdown'!Q:Q)+SUMIF('Executive Pay Breakdown'!S:S,$B1117,'Executive Pay Breakdown'!U:U)+SUMIF('Executive Pay Breakdown'!W:W,$B1117,'Executive Pay Breakdown'!Y:Y)+SUMIF('Executive Pay Breakdown'!AA:AA,$B1117,'Executive Pay Breakdown'!AC:AC)</f>
        <v>9376758</v>
      </c>
      <c r="E1117" s="109"/>
      <c r="F1117" s="69">
        <f>SUMIF('Executive Pay Breakdown'!K:K,$B1117,'Executive Pay Breakdown'!M:M)</f>
        <v>0</v>
      </c>
      <c r="G1117" s="69">
        <f>SUMIF('Executive Pay Breakdown'!O:O,$B1117,'Executive Pay Breakdown'!Q:Q)</f>
        <v>0</v>
      </c>
      <c r="H1117" s="69">
        <f>SUMIF('Executive Pay Breakdown'!S:S,$B1117,'Executive Pay Breakdown'!U:U)</f>
        <v>9376758</v>
      </c>
      <c r="I1117" s="69">
        <f>SUMIF('Executive Pay Breakdown'!W:W,$B1117,'Executive Pay Breakdown'!Y:Y)</f>
        <v>0</v>
      </c>
      <c r="J1117" s="69">
        <f>SUMIF('Executive Pay Breakdown'!AA:AA,$B1117,'Executive Pay Breakdown'!AC:AC)</f>
        <v>0</v>
      </c>
      <c r="K1117" s="118"/>
      <c r="L1117" s="212"/>
      <c r="M1117" s="87"/>
      <c r="N1117" s="87"/>
      <c r="O1117" s="120" t="str">
        <f>MATCH(C1117,'Key Findings'!B:B,0)</f>
        <v>#N/A</v>
      </c>
    </row>
    <row r="1118" hidden="1">
      <c r="A1118" s="81"/>
      <c r="B1118" s="134" t="s">
        <v>1338</v>
      </c>
      <c r="C1118" s="87" t="s">
        <v>1327</v>
      </c>
      <c r="D1118" s="89">
        <f>SUMIF('Executive Pay Breakdown'!K:K,$B1118,'Executive Pay Breakdown'!M:M)+SUMIF('Executive Pay Breakdown'!O:O,$B1118,'Executive Pay Breakdown'!Q:Q)+SUMIF('Executive Pay Breakdown'!S:S,$B1118,'Executive Pay Breakdown'!U:U)+SUMIF('Executive Pay Breakdown'!W:W,$B1118,'Executive Pay Breakdown'!Y:Y)+SUMIF('Executive Pay Breakdown'!AA:AA,$B1118,'Executive Pay Breakdown'!AC:AC)</f>
        <v>8442303</v>
      </c>
      <c r="E1118" s="109"/>
      <c r="F1118" s="69">
        <f>SUMIF('Executive Pay Breakdown'!K:K,$B1118,'Executive Pay Breakdown'!M:M)</f>
        <v>0</v>
      </c>
      <c r="G1118" s="69">
        <f>SUMIF('Executive Pay Breakdown'!O:O,$B1118,'Executive Pay Breakdown'!Q:Q)</f>
        <v>0</v>
      </c>
      <c r="H1118" s="69">
        <f>SUMIF('Executive Pay Breakdown'!S:S,$B1118,'Executive Pay Breakdown'!U:U)</f>
        <v>0</v>
      </c>
      <c r="I1118" s="69">
        <f>SUMIF('Executive Pay Breakdown'!W:W,$B1118,'Executive Pay Breakdown'!Y:Y)</f>
        <v>8442303</v>
      </c>
      <c r="J1118" s="69">
        <f>SUMIF('Executive Pay Breakdown'!AA:AA,$B1118,'Executive Pay Breakdown'!AC:AC)</f>
        <v>0</v>
      </c>
      <c r="K1118" s="118"/>
      <c r="L1118" s="212"/>
      <c r="M1118" s="87"/>
      <c r="N1118" s="87"/>
      <c r="O1118" s="120" t="str">
        <f>MATCH(C1118,'Key Findings'!B:B,0)</f>
        <v>#N/A</v>
      </c>
    </row>
    <row r="1119" hidden="1">
      <c r="A1119" s="71"/>
      <c r="B1119" s="124" t="s">
        <v>1339</v>
      </c>
      <c r="C1119" s="87" t="s">
        <v>1340</v>
      </c>
      <c r="D1119" s="89">
        <f>SUMIF('Executive Pay Breakdown'!K:K,$B1119,'Executive Pay Breakdown'!M:M)+SUMIF('Executive Pay Breakdown'!O:O,$B1119,'Executive Pay Breakdown'!Q:Q)+SUMIF('Executive Pay Breakdown'!S:S,$B1119,'Executive Pay Breakdown'!U:U)+SUMIF('Executive Pay Breakdown'!W:W,$B1119,'Executive Pay Breakdown'!Y:Y)+SUMIF('Executive Pay Breakdown'!AA:AA,$B1119,'Executive Pay Breakdown'!AC:AC)</f>
        <v>115195792</v>
      </c>
      <c r="E1119" s="109"/>
      <c r="F1119" s="69">
        <f>SUMIF('Executive Pay Breakdown'!K:K,$B1119,'Executive Pay Breakdown'!M:M)</f>
        <v>29283936</v>
      </c>
      <c r="G1119" s="69">
        <f>SUMIF('Executive Pay Breakdown'!O:O,$B1119,'Executive Pay Breakdown'!Q:Q)</f>
        <v>25446695</v>
      </c>
      <c r="H1119" s="69">
        <f>SUMIF('Executive Pay Breakdown'!S:S,$B1119,'Executive Pay Breakdown'!U:U)</f>
        <v>23171957</v>
      </c>
      <c r="I1119" s="69">
        <f>SUMIF('Executive Pay Breakdown'!W:W,$B1119,'Executive Pay Breakdown'!Y:Y)</f>
        <v>25829833</v>
      </c>
      <c r="J1119" s="69">
        <f>SUMIF('Executive Pay Breakdown'!AA:AA,$B1119,'Executive Pay Breakdown'!AC:AC)</f>
        <v>11463371</v>
      </c>
      <c r="K1119" s="118"/>
      <c r="L1119" s="212"/>
      <c r="M1119" s="87"/>
      <c r="N1119" s="87"/>
      <c r="O1119" s="120" t="str">
        <f>MATCH(C1119,'Key Findings'!B:B,0)</f>
        <v>#N/A</v>
      </c>
    </row>
    <row r="1120" hidden="1">
      <c r="A1120" s="81"/>
      <c r="B1120" s="236" t="s">
        <v>1341</v>
      </c>
      <c r="C1120" s="87" t="s">
        <v>1340</v>
      </c>
      <c r="D1120" s="89">
        <f>SUMIF('Executive Pay Breakdown'!K:K,$B1120,'Executive Pay Breakdown'!M:M)+SUMIF('Executive Pay Breakdown'!O:O,$B1120,'Executive Pay Breakdown'!Q:Q)+SUMIF('Executive Pay Breakdown'!S:S,$B1120,'Executive Pay Breakdown'!U:U)+SUMIF('Executive Pay Breakdown'!W:W,$B1120,'Executive Pay Breakdown'!Y:Y)+SUMIF('Executive Pay Breakdown'!AA:AA,$B1120,'Executive Pay Breakdown'!AC:AC)</f>
        <v>66975987</v>
      </c>
      <c r="E1120" s="109"/>
      <c r="F1120" s="69">
        <f>SUMIF('Executive Pay Breakdown'!K:K,$B1120,'Executive Pay Breakdown'!M:M)</f>
        <v>12547482</v>
      </c>
      <c r="G1120" s="69">
        <f>SUMIF('Executive Pay Breakdown'!O:O,$B1120,'Executive Pay Breakdown'!Q:Q)</f>
        <v>11818731</v>
      </c>
      <c r="H1120" s="69">
        <f>SUMIF('Executive Pay Breakdown'!S:S,$B1120,'Executive Pay Breakdown'!U:U)</f>
        <v>8283449</v>
      </c>
      <c r="I1120" s="69">
        <f>SUMIF('Executive Pay Breakdown'!W:W,$B1120,'Executive Pay Breakdown'!Y:Y)</f>
        <v>14981420</v>
      </c>
      <c r="J1120" s="69">
        <f>SUMIF('Executive Pay Breakdown'!AA:AA,$B1120,'Executive Pay Breakdown'!AC:AC)</f>
        <v>19344905</v>
      </c>
      <c r="K1120" s="118"/>
      <c r="L1120" s="212"/>
      <c r="M1120" s="87"/>
      <c r="N1120" s="230"/>
      <c r="O1120" s="120" t="str">
        <f>MATCH(C1120,'Key Findings'!B:B,0)</f>
        <v>#N/A</v>
      </c>
    </row>
    <row r="1121" hidden="1">
      <c r="A1121" s="71"/>
      <c r="B1121" s="139" t="s">
        <v>1342</v>
      </c>
      <c r="C1121" s="87" t="s">
        <v>1340</v>
      </c>
      <c r="D1121" s="89">
        <f>SUMIF('Executive Pay Breakdown'!K:K,$B1121,'Executive Pay Breakdown'!M:M)+SUMIF('Executive Pay Breakdown'!O:O,$B1121,'Executive Pay Breakdown'!Q:Q)+SUMIF('Executive Pay Breakdown'!S:S,$B1121,'Executive Pay Breakdown'!U:U)+SUMIF('Executive Pay Breakdown'!W:W,$B1121,'Executive Pay Breakdown'!Y:Y)+SUMIF('Executive Pay Breakdown'!AA:AA,$B1121,'Executive Pay Breakdown'!AC:AC)</f>
        <v>65142457</v>
      </c>
      <c r="E1121" s="109"/>
      <c r="F1121" s="69">
        <f>SUMIF('Executive Pay Breakdown'!K:K,$B1121,'Executive Pay Breakdown'!M:M)</f>
        <v>12937842</v>
      </c>
      <c r="G1121" s="69">
        <f>SUMIF('Executive Pay Breakdown'!O:O,$B1121,'Executive Pay Breakdown'!Q:Q)</f>
        <v>12411373</v>
      </c>
      <c r="H1121" s="69">
        <f>SUMIF('Executive Pay Breakdown'!S:S,$B1121,'Executive Pay Breakdown'!U:U)</f>
        <v>10007367</v>
      </c>
      <c r="I1121" s="69">
        <f>SUMIF('Executive Pay Breakdown'!W:W,$B1121,'Executive Pay Breakdown'!Y:Y)</f>
        <v>12937451</v>
      </c>
      <c r="J1121" s="69">
        <f>SUMIF('Executive Pay Breakdown'!AA:AA,$B1121,'Executive Pay Breakdown'!AC:AC)</f>
        <v>16848424</v>
      </c>
      <c r="K1121" s="118"/>
      <c r="L1121" s="212"/>
      <c r="M1121" s="87"/>
      <c r="N1121" s="230"/>
      <c r="O1121" s="120" t="str">
        <f>MATCH(C1121,'Key Findings'!B:B,0)</f>
        <v>#N/A</v>
      </c>
    </row>
    <row r="1122" hidden="1">
      <c r="A1122" s="71"/>
      <c r="B1122" s="132" t="s">
        <v>1343</v>
      </c>
      <c r="C1122" s="87" t="s">
        <v>1340</v>
      </c>
      <c r="D1122" s="89">
        <f>SUMIF('Executive Pay Breakdown'!K:K,$B1122,'Executive Pay Breakdown'!M:M)+SUMIF('Executive Pay Breakdown'!O:O,$B1122,'Executive Pay Breakdown'!Q:Q)+SUMIF('Executive Pay Breakdown'!S:S,$B1122,'Executive Pay Breakdown'!U:U)+SUMIF('Executive Pay Breakdown'!W:W,$B1122,'Executive Pay Breakdown'!Y:Y)+SUMIF('Executive Pay Breakdown'!AA:AA,$B1122,'Executive Pay Breakdown'!AC:AC)</f>
        <v>49465971</v>
      </c>
      <c r="E1122" s="109"/>
      <c r="F1122" s="69">
        <f>SUMIF('Executive Pay Breakdown'!K:K,$B1122,'Executive Pay Breakdown'!M:M)</f>
        <v>0</v>
      </c>
      <c r="G1122" s="69">
        <f>SUMIF('Executive Pay Breakdown'!O:O,$B1122,'Executive Pay Breakdown'!Q:Q)</f>
        <v>2527028</v>
      </c>
      <c r="H1122" s="69">
        <f>SUMIF('Executive Pay Breakdown'!S:S,$B1122,'Executive Pay Breakdown'!U:U)</f>
        <v>12020069</v>
      </c>
      <c r="I1122" s="69">
        <f>SUMIF('Executive Pay Breakdown'!W:W,$B1122,'Executive Pay Breakdown'!Y:Y)</f>
        <v>13634410</v>
      </c>
      <c r="J1122" s="69">
        <f>SUMIF('Executive Pay Breakdown'!AA:AA,$B1122,'Executive Pay Breakdown'!AC:AC)</f>
        <v>21284464</v>
      </c>
      <c r="K1122" s="118"/>
      <c r="L1122" s="212"/>
      <c r="M1122" s="87"/>
      <c r="N1122" s="230"/>
      <c r="O1122" s="120" t="str">
        <f>MATCH(C1122,'Key Findings'!B:B,0)</f>
        <v>#N/A</v>
      </c>
    </row>
    <row r="1123" hidden="1">
      <c r="A1123" s="71"/>
      <c r="B1123" s="132" t="s">
        <v>1344</v>
      </c>
      <c r="C1123" s="87" t="s">
        <v>1340</v>
      </c>
      <c r="D1123" s="89">
        <f>SUMIF('Executive Pay Breakdown'!K:K,$B1123,'Executive Pay Breakdown'!M:M)+SUMIF('Executive Pay Breakdown'!O:O,$B1123,'Executive Pay Breakdown'!Q:Q)+SUMIF('Executive Pay Breakdown'!S:S,$B1123,'Executive Pay Breakdown'!U:U)+SUMIF('Executive Pay Breakdown'!W:W,$B1123,'Executive Pay Breakdown'!Y:Y)+SUMIF('Executive Pay Breakdown'!AA:AA,$B1123,'Executive Pay Breakdown'!AC:AC)</f>
        <v>34476994</v>
      </c>
      <c r="E1123" s="109"/>
      <c r="F1123" s="69">
        <f>SUMIF('Executive Pay Breakdown'!K:K,$B1123,'Executive Pay Breakdown'!M:M)</f>
        <v>14608279</v>
      </c>
      <c r="G1123" s="69">
        <f>SUMIF('Executive Pay Breakdown'!O:O,$B1123,'Executive Pay Breakdown'!Q:Q)</f>
        <v>19868715</v>
      </c>
      <c r="H1123" s="69">
        <f>SUMIF('Executive Pay Breakdown'!S:S,$B1123,'Executive Pay Breakdown'!U:U)</f>
        <v>0</v>
      </c>
      <c r="I1123" s="69">
        <f>SUMIF('Executive Pay Breakdown'!W:W,$B1123,'Executive Pay Breakdown'!Y:Y)</f>
        <v>0</v>
      </c>
      <c r="J1123" s="69">
        <f>SUMIF('Executive Pay Breakdown'!AA:AA,$B1123,'Executive Pay Breakdown'!AC:AC)</f>
        <v>0</v>
      </c>
      <c r="K1123" s="118"/>
      <c r="L1123" s="212"/>
      <c r="M1123" s="212"/>
      <c r="N1123" s="230"/>
      <c r="O1123" s="120" t="str">
        <f>MATCH(C1123,'Key Findings'!B:B,0)</f>
        <v>#N/A</v>
      </c>
    </row>
    <row r="1124" hidden="1">
      <c r="A1124" s="71"/>
      <c r="B1124" s="139" t="s">
        <v>1345</v>
      </c>
      <c r="C1124" s="87" t="s">
        <v>1340</v>
      </c>
      <c r="D1124" s="89">
        <f>SUMIF('Executive Pay Breakdown'!K:K,$B1124,'Executive Pay Breakdown'!M:M)+SUMIF('Executive Pay Breakdown'!O:O,$B1124,'Executive Pay Breakdown'!Q:Q)+SUMIF('Executive Pay Breakdown'!S:S,$B1124,'Executive Pay Breakdown'!U:U)+SUMIF('Executive Pay Breakdown'!W:W,$B1124,'Executive Pay Breakdown'!Y:Y)+SUMIF('Executive Pay Breakdown'!AA:AA,$B1124,'Executive Pay Breakdown'!AC:AC)</f>
        <v>34032422</v>
      </c>
      <c r="E1124" s="109"/>
      <c r="F1124" s="69">
        <f>SUMIF('Executive Pay Breakdown'!K:K,$B1124,'Executive Pay Breakdown'!M:M)</f>
        <v>0</v>
      </c>
      <c r="G1124" s="69">
        <f>SUMIF('Executive Pay Breakdown'!O:O,$B1124,'Executive Pay Breakdown'!Q:Q)</f>
        <v>0</v>
      </c>
      <c r="H1124" s="69">
        <f>SUMIF('Executive Pay Breakdown'!S:S,$B1124,'Executive Pay Breakdown'!U:U)</f>
        <v>10619295</v>
      </c>
      <c r="I1124" s="69">
        <f>SUMIF('Executive Pay Breakdown'!W:W,$B1124,'Executive Pay Breakdown'!Y:Y)</f>
        <v>12328973</v>
      </c>
      <c r="J1124" s="69">
        <f>SUMIF('Executive Pay Breakdown'!AA:AA,$B1124,'Executive Pay Breakdown'!AC:AC)</f>
        <v>11084154</v>
      </c>
      <c r="K1124" s="118"/>
      <c r="L1124" s="212"/>
      <c r="M1124" s="87"/>
      <c r="N1124" s="87"/>
      <c r="O1124" s="120" t="str">
        <f>MATCH(C1124,'Key Findings'!B:B,0)</f>
        <v>#N/A</v>
      </c>
    </row>
    <row r="1125" hidden="1">
      <c r="A1125" s="71"/>
      <c r="B1125" s="132" t="s">
        <v>1346</v>
      </c>
      <c r="C1125" s="87" t="s">
        <v>1340</v>
      </c>
      <c r="D1125" s="89">
        <f>SUMIF('Executive Pay Breakdown'!K:K,$B1125,'Executive Pay Breakdown'!M:M)+SUMIF('Executive Pay Breakdown'!O:O,$B1125,'Executive Pay Breakdown'!Q:Q)+SUMIF('Executive Pay Breakdown'!S:S,$B1125,'Executive Pay Breakdown'!U:U)+SUMIF('Executive Pay Breakdown'!W:W,$B1125,'Executive Pay Breakdown'!Y:Y)+SUMIF('Executive Pay Breakdown'!AA:AA,$B1125,'Executive Pay Breakdown'!AC:AC)</f>
        <v>17080596</v>
      </c>
      <c r="E1125" s="109"/>
      <c r="F1125" s="69">
        <f>SUMIF('Executive Pay Breakdown'!K:K,$B1125,'Executive Pay Breakdown'!M:M)</f>
        <v>0</v>
      </c>
      <c r="G1125" s="69">
        <f>SUMIF('Executive Pay Breakdown'!O:O,$B1125,'Executive Pay Breakdown'!Q:Q)</f>
        <v>9402902</v>
      </c>
      <c r="H1125" s="69">
        <f>SUMIF('Executive Pay Breakdown'!S:S,$B1125,'Executive Pay Breakdown'!U:U)</f>
        <v>7677694</v>
      </c>
      <c r="I1125" s="69">
        <f>SUMIF('Executive Pay Breakdown'!W:W,$B1125,'Executive Pay Breakdown'!Y:Y)</f>
        <v>0</v>
      </c>
      <c r="J1125" s="69">
        <f>SUMIF('Executive Pay Breakdown'!AA:AA,$B1125,'Executive Pay Breakdown'!AC:AC)</f>
        <v>0</v>
      </c>
      <c r="K1125" s="118"/>
      <c r="L1125" s="212"/>
      <c r="M1125" s="87"/>
      <c r="N1125" s="87"/>
      <c r="O1125" s="120" t="str">
        <f>MATCH(C1125,'Key Findings'!B:B,0)</f>
        <v>#N/A</v>
      </c>
    </row>
    <row r="1126" hidden="1">
      <c r="A1126" s="71"/>
      <c r="B1126" s="124" t="s">
        <v>1347</v>
      </c>
      <c r="C1126" s="87" t="s">
        <v>1340</v>
      </c>
      <c r="D1126" s="89">
        <f>SUMIF('Executive Pay Breakdown'!K:K,$B1126,'Executive Pay Breakdown'!M:M)+SUMIF('Executive Pay Breakdown'!O:O,$B1126,'Executive Pay Breakdown'!Q:Q)+SUMIF('Executive Pay Breakdown'!S:S,$B1126,'Executive Pay Breakdown'!U:U)+SUMIF('Executive Pay Breakdown'!W:W,$B1126,'Executive Pay Breakdown'!Y:Y)+SUMIF('Executive Pay Breakdown'!AA:AA,$B1126,'Executive Pay Breakdown'!AC:AC)</f>
        <v>13277746</v>
      </c>
      <c r="E1126" s="109"/>
      <c r="F1126" s="69">
        <f>SUMIF('Executive Pay Breakdown'!K:K,$B1126,'Executive Pay Breakdown'!M:M)</f>
        <v>13277746</v>
      </c>
      <c r="G1126" s="69">
        <f>SUMIF('Executive Pay Breakdown'!O:O,$B1126,'Executive Pay Breakdown'!Q:Q)</f>
        <v>0</v>
      </c>
      <c r="H1126" s="69">
        <f>SUMIF('Executive Pay Breakdown'!S:S,$B1126,'Executive Pay Breakdown'!U:U)</f>
        <v>0</v>
      </c>
      <c r="I1126" s="69">
        <f>SUMIF('Executive Pay Breakdown'!W:W,$B1126,'Executive Pay Breakdown'!Y:Y)</f>
        <v>0</v>
      </c>
      <c r="J1126" s="69">
        <f>SUMIF('Executive Pay Breakdown'!AA:AA,$B1126,'Executive Pay Breakdown'!AC:AC)</f>
        <v>0</v>
      </c>
      <c r="K1126" s="118"/>
      <c r="L1126" s="212"/>
      <c r="M1126" s="87"/>
      <c r="N1126" s="230"/>
      <c r="O1126" s="120" t="str">
        <f>MATCH(C1126,'Key Findings'!B:B,0)</f>
        <v>#N/A</v>
      </c>
    </row>
    <row r="1127" hidden="1">
      <c r="A1127" s="71"/>
      <c r="B1127" s="124" t="s">
        <v>1348</v>
      </c>
      <c r="C1127" s="87" t="s">
        <v>1340</v>
      </c>
      <c r="D1127" s="89">
        <f>SUMIF('Executive Pay Breakdown'!K:K,$B1127,'Executive Pay Breakdown'!M:M)+SUMIF('Executive Pay Breakdown'!O:O,$B1127,'Executive Pay Breakdown'!Q:Q)+SUMIF('Executive Pay Breakdown'!S:S,$B1127,'Executive Pay Breakdown'!U:U)+SUMIF('Executive Pay Breakdown'!W:W,$B1127,'Executive Pay Breakdown'!Y:Y)+SUMIF('Executive Pay Breakdown'!AA:AA,$B1127,'Executive Pay Breakdown'!AC:AC)</f>
        <v>7242213</v>
      </c>
      <c r="E1127" s="109"/>
      <c r="F1127" s="69">
        <f>SUMIF('Executive Pay Breakdown'!K:K,$B1127,'Executive Pay Breakdown'!M:M)</f>
        <v>7242213</v>
      </c>
      <c r="G1127" s="69">
        <f>SUMIF('Executive Pay Breakdown'!O:O,$B1127,'Executive Pay Breakdown'!Q:Q)</f>
        <v>0</v>
      </c>
      <c r="H1127" s="69">
        <f>SUMIF('Executive Pay Breakdown'!S:S,$B1127,'Executive Pay Breakdown'!U:U)</f>
        <v>0</v>
      </c>
      <c r="I1127" s="69">
        <f>SUMIF('Executive Pay Breakdown'!W:W,$B1127,'Executive Pay Breakdown'!Y:Y)</f>
        <v>0</v>
      </c>
      <c r="J1127" s="69">
        <f>SUMIF('Executive Pay Breakdown'!AA:AA,$B1127,'Executive Pay Breakdown'!AC:AC)</f>
        <v>0</v>
      </c>
      <c r="K1127" s="118"/>
      <c r="L1127" s="212"/>
      <c r="M1127" s="87"/>
      <c r="N1127" s="230"/>
      <c r="O1127" s="120" t="str">
        <f>MATCH(C1127,'Key Findings'!B:B,0)</f>
        <v>#N/A</v>
      </c>
    </row>
    <row r="1128" hidden="1">
      <c r="A1128" s="71"/>
      <c r="B1128" s="132" t="s">
        <v>1349</v>
      </c>
      <c r="C1128" s="87" t="s">
        <v>1340</v>
      </c>
      <c r="D1128" s="89">
        <f>SUMIF('Executive Pay Breakdown'!K:K,$B1128,'Executive Pay Breakdown'!M:M)+SUMIF('Executive Pay Breakdown'!O:O,$B1128,'Executive Pay Breakdown'!Q:Q)+SUMIF('Executive Pay Breakdown'!S:S,$B1128,'Executive Pay Breakdown'!U:U)+SUMIF('Executive Pay Breakdown'!W:W,$B1128,'Executive Pay Breakdown'!Y:Y)+SUMIF('Executive Pay Breakdown'!AA:AA,$B1128,'Executive Pay Breakdown'!AC:AC)</f>
        <v>5764416</v>
      </c>
      <c r="E1128" s="109"/>
      <c r="F1128" s="69">
        <f>SUMIF('Executive Pay Breakdown'!K:K,$B1128,'Executive Pay Breakdown'!M:M)</f>
        <v>0</v>
      </c>
      <c r="G1128" s="69">
        <f>SUMIF('Executive Pay Breakdown'!O:O,$B1128,'Executive Pay Breakdown'!Q:Q)</f>
        <v>5764416</v>
      </c>
      <c r="H1128" s="69">
        <f>SUMIF('Executive Pay Breakdown'!S:S,$B1128,'Executive Pay Breakdown'!U:U)</f>
        <v>0</v>
      </c>
      <c r="I1128" s="69">
        <f>SUMIF('Executive Pay Breakdown'!W:W,$B1128,'Executive Pay Breakdown'!Y:Y)</f>
        <v>0</v>
      </c>
      <c r="J1128" s="69">
        <f>SUMIF('Executive Pay Breakdown'!AA:AA,$B1128,'Executive Pay Breakdown'!AC:AC)</f>
        <v>0</v>
      </c>
      <c r="K1128" s="118"/>
      <c r="L1128" s="212"/>
      <c r="M1128" s="212"/>
      <c r="N1128" s="87"/>
      <c r="O1128" s="120" t="str">
        <f>MATCH(C1128,'Key Findings'!B:B,0)</f>
        <v>#N/A</v>
      </c>
    </row>
    <row r="1129" hidden="1">
      <c r="A1129" s="81"/>
      <c r="B1129" s="125" t="s">
        <v>1350</v>
      </c>
      <c r="C1129" s="87" t="s">
        <v>1351</v>
      </c>
      <c r="D1129" s="89">
        <f>SUMIF('Executive Pay Breakdown'!K:K,$B1129,'Executive Pay Breakdown'!M:M)+SUMIF('Executive Pay Breakdown'!O:O,$B1129,'Executive Pay Breakdown'!Q:Q)+SUMIF('Executive Pay Breakdown'!S:S,$B1129,'Executive Pay Breakdown'!U:U)+SUMIF('Executive Pay Breakdown'!W:W,$B1129,'Executive Pay Breakdown'!Y:Y)+SUMIF('Executive Pay Breakdown'!AA:AA,$B1129,'Executive Pay Breakdown'!AC:AC)</f>
        <v>99014340</v>
      </c>
      <c r="E1129" s="109"/>
      <c r="F1129" s="69">
        <f>SUMIF('Executive Pay Breakdown'!K:K,$B1129,'Executive Pay Breakdown'!M:M)</f>
        <v>20965504</v>
      </c>
      <c r="G1129" s="69">
        <f>SUMIF('Executive Pay Breakdown'!O:O,$B1129,'Executive Pay Breakdown'!Q:Q)</f>
        <v>19872266</v>
      </c>
      <c r="H1129" s="69">
        <f>SUMIF('Executive Pay Breakdown'!S:S,$B1129,'Executive Pay Breakdown'!U:U)</f>
        <v>19929493</v>
      </c>
      <c r="I1129" s="69">
        <f>SUMIF('Executive Pay Breakdown'!W:W,$B1129,'Executive Pay Breakdown'!Y:Y)</f>
        <v>19303032</v>
      </c>
      <c r="J1129" s="69">
        <f>SUMIF('Executive Pay Breakdown'!AA:AA,$B1129,'Executive Pay Breakdown'!AC:AC)</f>
        <v>18944045</v>
      </c>
      <c r="K1129" s="118"/>
      <c r="L1129" s="212"/>
      <c r="M1129" s="87"/>
      <c r="N1129" s="87"/>
      <c r="O1129" s="120" t="str">
        <f>MATCH(C1129,'Key Findings'!B:B,0)</f>
        <v>#N/A</v>
      </c>
    </row>
    <row r="1130" hidden="1">
      <c r="A1130" s="81"/>
      <c r="B1130" s="125" t="s">
        <v>1352</v>
      </c>
      <c r="C1130" s="87" t="s">
        <v>1351</v>
      </c>
      <c r="D1130" s="89">
        <f>SUMIF('Executive Pay Breakdown'!K:K,$B1130,'Executive Pay Breakdown'!M:M)+SUMIF('Executive Pay Breakdown'!O:O,$B1130,'Executive Pay Breakdown'!Q:Q)+SUMIF('Executive Pay Breakdown'!S:S,$B1130,'Executive Pay Breakdown'!U:U)+SUMIF('Executive Pay Breakdown'!W:W,$B1130,'Executive Pay Breakdown'!Y:Y)+SUMIF('Executive Pay Breakdown'!AA:AA,$B1130,'Executive Pay Breakdown'!AC:AC)</f>
        <v>53763227</v>
      </c>
      <c r="E1130" s="109"/>
      <c r="F1130" s="69">
        <f>SUMIF('Executive Pay Breakdown'!K:K,$B1130,'Executive Pay Breakdown'!M:M)</f>
        <v>0</v>
      </c>
      <c r="G1130" s="69">
        <f>SUMIF('Executive Pay Breakdown'!O:O,$B1130,'Executive Pay Breakdown'!Q:Q)</f>
        <v>10563360</v>
      </c>
      <c r="H1130" s="69">
        <f>SUMIF('Executive Pay Breakdown'!S:S,$B1130,'Executive Pay Breakdown'!U:U)</f>
        <v>10780189</v>
      </c>
      <c r="I1130" s="69">
        <f>SUMIF('Executive Pay Breakdown'!W:W,$B1130,'Executive Pay Breakdown'!Y:Y)</f>
        <v>23544332</v>
      </c>
      <c r="J1130" s="69">
        <f>SUMIF('Executive Pay Breakdown'!AA:AA,$B1130,'Executive Pay Breakdown'!AC:AC)</f>
        <v>8875346</v>
      </c>
      <c r="K1130" s="118"/>
      <c r="L1130" s="212"/>
      <c r="M1130" s="87"/>
      <c r="N1130" s="87"/>
      <c r="O1130" s="120" t="str">
        <f>MATCH(C1130,'Key Findings'!B:B,0)</f>
        <v>#N/A</v>
      </c>
    </row>
    <row r="1131" hidden="1">
      <c r="A1131" s="81"/>
      <c r="B1131" s="125" t="s">
        <v>1353</v>
      </c>
      <c r="C1131" s="87" t="s">
        <v>1351</v>
      </c>
      <c r="D1131" s="89">
        <f>SUMIF('Executive Pay Breakdown'!K:K,$B1131,'Executive Pay Breakdown'!M:M)+SUMIF('Executive Pay Breakdown'!O:O,$B1131,'Executive Pay Breakdown'!Q:Q)+SUMIF('Executive Pay Breakdown'!S:S,$B1131,'Executive Pay Breakdown'!U:U)+SUMIF('Executive Pay Breakdown'!W:W,$B1131,'Executive Pay Breakdown'!Y:Y)+SUMIF('Executive Pay Breakdown'!AA:AA,$B1131,'Executive Pay Breakdown'!AC:AC)</f>
        <v>33455709</v>
      </c>
      <c r="E1131" s="109"/>
      <c r="F1131" s="69">
        <f>SUMIF('Executive Pay Breakdown'!K:K,$B1131,'Executive Pay Breakdown'!M:M)</f>
        <v>8562793</v>
      </c>
      <c r="G1131" s="69">
        <f>SUMIF('Executive Pay Breakdown'!O:O,$B1131,'Executive Pay Breakdown'!Q:Q)</f>
        <v>7645681</v>
      </c>
      <c r="H1131" s="69">
        <f>SUMIF('Executive Pay Breakdown'!S:S,$B1131,'Executive Pay Breakdown'!U:U)</f>
        <v>6336563</v>
      </c>
      <c r="I1131" s="69">
        <f>SUMIF('Executive Pay Breakdown'!W:W,$B1131,'Executive Pay Breakdown'!Y:Y)</f>
        <v>6140264</v>
      </c>
      <c r="J1131" s="69">
        <f>SUMIF('Executive Pay Breakdown'!AA:AA,$B1131,'Executive Pay Breakdown'!AC:AC)</f>
        <v>4770408</v>
      </c>
      <c r="K1131" s="118"/>
      <c r="L1131" s="212"/>
      <c r="M1131" s="87"/>
      <c r="N1131" s="230"/>
      <c r="O1131" s="120" t="str">
        <f>MATCH(C1131,'Key Findings'!B:B,0)</f>
        <v>#N/A</v>
      </c>
    </row>
    <row r="1132" hidden="1">
      <c r="A1132" s="81"/>
      <c r="B1132" s="125" t="s">
        <v>1354</v>
      </c>
      <c r="C1132" s="87" t="s">
        <v>1351</v>
      </c>
      <c r="D1132" s="89">
        <f>SUMIF('Executive Pay Breakdown'!K:K,$B1132,'Executive Pay Breakdown'!M:M)+SUMIF('Executive Pay Breakdown'!O:O,$B1132,'Executive Pay Breakdown'!Q:Q)+SUMIF('Executive Pay Breakdown'!S:S,$B1132,'Executive Pay Breakdown'!U:U)+SUMIF('Executive Pay Breakdown'!W:W,$B1132,'Executive Pay Breakdown'!Y:Y)+SUMIF('Executive Pay Breakdown'!AA:AA,$B1132,'Executive Pay Breakdown'!AC:AC)</f>
        <v>24061008</v>
      </c>
      <c r="E1132" s="109"/>
      <c r="F1132" s="69">
        <f>SUMIF('Executive Pay Breakdown'!K:K,$B1132,'Executive Pay Breakdown'!M:M)</f>
        <v>5232747</v>
      </c>
      <c r="G1132" s="69">
        <f>SUMIF('Executive Pay Breakdown'!O:O,$B1132,'Executive Pay Breakdown'!Q:Q)</f>
        <v>5272598</v>
      </c>
      <c r="H1132" s="69">
        <f>SUMIF('Executive Pay Breakdown'!S:S,$B1132,'Executive Pay Breakdown'!U:U)</f>
        <v>4981845</v>
      </c>
      <c r="I1132" s="69">
        <f>SUMIF('Executive Pay Breakdown'!W:W,$B1132,'Executive Pay Breakdown'!Y:Y)</f>
        <v>4564463</v>
      </c>
      <c r="J1132" s="69">
        <f>SUMIF('Executive Pay Breakdown'!AA:AA,$B1132,'Executive Pay Breakdown'!AC:AC)</f>
        <v>4009355</v>
      </c>
      <c r="K1132" s="118"/>
      <c r="L1132" s="212"/>
      <c r="M1132" s="87"/>
      <c r="N1132" s="230"/>
      <c r="O1132" s="120" t="str">
        <f>MATCH(C1132,'Key Findings'!B:B,0)</f>
        <v>#N/A</v>
      </c>
    </row>
    <row r="1133" hidden="1">
      <c r="A1133" s="81"/>
      <c r="B1133" s="125" t="s">
        <v>1355</v>
      </c>
      <c r="C1133" s="87" t="s">
        <v>1351</v>
      </c>
      <c r="D1133" s="89">
        <f>SUMIF('Executive Pay Breakdown'!K:K,$B1133,'Executive Pay Breakdown'!M:M)+SUMIF('Executive Pay Breakdown'!O:O,$B1133,'Executive Pay Breakdown'!Q:Q)+SUMIF('Executive Pay Breakdown'!S:S,$B1133,'Executive Pay Breakdown'!U:U)+SUMIF('Executive Pay Breakdown'!W:W,$B1133,'Executive Pay Breakdown'!Y:Y)+SUMIF('Executive Pay Breakdown'!AA:AA,$B1133,'Executive Pay Breakdown'!AC:AC)</f>
        <v>19447226</v>
      </c>
      <c r="E1133" s="109"/>
      <c r="F1133" s="69">
        <f>SUMIF('Executive Pay Breakdown'!K:K,$B1133,'Executive Pay Breakdown'!M:M)</f>
        <v>0</v>
      </c>
      <c r="G1133" s="69">
        <f>SUMIF('Executive Pay Breakdown'!O:O,$B1133,'Executive Pay Breakdown'!Q:Q)</f>
        <v>7042927</v>
      </c>
      <c r="H1133" s="69">
        <f>SUMIF('Executive Pay Breakdown'!S:S,$B1133,'Executive Pay Breakdown'!U:U)</f>
        <v>6204451</v>
      </c>
      <c r="I1133" s="69">
        <f>SUMIF('Executive Pay Breakdown'!W:W,$B1133,'Executive Pay Breakdown'!Y:Y)</f>
        <v>6199848</v>
      </c>
      <c r="J1133" s="69">
        <f>SUMIF('Executive Pay Breakdown'!AA:AA,$B1133,'Executive Pay Breakdown'!AC:AC)</f>
        <v>0</v>
      </c>
      <c r="K1133" s="118"/>
      <c r="L1133" s="212"/>
      <c r="M1133" s="87"/>
      <c r="N1133" s="87"/>
      <c r="O1133" s="120" t="str">
        <f>MATCH(C1133,'Key Findings'!B:B,0)</f>
        <v>#N/A</v>
      </c>
    </row>
    <row r="1134" hidden="1">
      <c r="A1134" s="81"/>
      <c r="B1134" s="125" t="s">
        <v>1356</v>
      </c>
      <c r="C1134" s="87" t="s">
        <v>1351</v>
      </c>
      <c r="D1134" s="89">
        <f>SUMIF('Executive Pay Breakdown'!K:K,$B1134,'Executive Pay Breakdown'!M:M)+SUMIF('Executive Pay Breakdown'!O:O,$B1134,'Executive Pay Breakdown'!Q:Q)+SUMIF('Executive Pay Breakdown'!S:S,$B1134,'Executive Pay Breakdown'!U:U)+SUMIF('Executive Pay Breakdown'!W:W,$B1134,'Executive Pay Breakdown'!Y:Y)+SUMIF('Executive Pay Breakdown'!AA:AA,$B1134,'Executive Pay Breakdown'!AC:AC)</f>
        <v>12262188</v>
      </c>
      <c r="E1134" s="109"/>
      <c r="F1134" s="69">
        <f>SUMIF('Executive Pay Breakdown'!K:K,$B1134,'Executive Pay Breakdown'!M:M)</f>
        <v>6965681</v>
      </c>
      <c r="G1134" s="69">
        <f>SUMIF('Executive Pay Breakdown'!O:O,$B1134,'Executive Pay Breakdown'!Q:Q)</f>
        <v>5296507</v>
      </c>
      <c r="H1134" s="69">
        <f>SUMIF('Executive Pay Breakdown'!S:S,$B1134,'Executive Pay Breakdown'!U:U)</f>
        <v>0</v>
      </c>
      <c r="I1134" s="69">
        <f>SUMIF('Executive Pay Breakdown'!W:W,$B1134,'Executive Pay Breakdown'!Y:Y)</f>
        <v>0</v>
      </c>
      <c r="J1134" s="69">
        <f>SUMIF('Executive Pay Breakdown'!AA:AA,$B1134,'Executive Pay Breakdown'!AC:AC)</f>
        <v>0</v>
      </c>
      <c r="K1134" s="118"/>
      <c r="L1134" s="212"/>
      <c r="M1134" s="212"/>
      <c r="N1134" s="230"/>
      <c r="O1134" s="120" t="str">
        <f>MATCH(C1134,'Key Findings'!B:B,0)</f>
        <v>#N/A</v>
      </c>
    </row>
    <row r="1135" hidden="1">
      <c r="A1135" s="81"/>
      <c r="B1135" s="135" t="s">
        <v>1357</v>
      </c>
      <c r="C1135" s="87" t="s">
        <v>1351</v>
      </c>
      <c r="D1135" s="89">
        <f>SUMIF('Executive Pay Breakdown'!K:K,$B1135,'Executive Pay Breakdown'!M:M)+SUMIF('Executive Pay Breakdown'!O:O,$B1135,'Executive Pay Breakdown'!Q:Q)+SUMIF('Executive Pay Breakdown'!S:S,$B1135,'Executive Pay Breakdown'!U:U)+SUMIF('Executive Pay Breakdown'!W:W,$B1135,'Executive Pay Breakdown'!Y:Y)+SUMIF('Executive Pay Breakdown'!AA:AA,$B1135,'Executive Pay Breakdown'!AC:AC)</f>
        <v>5862659</v>
      </c>
      <c r="E1135" s="109"/>
      <c r="F1135" s="69">
        <f>SUMIF('Executive Pay Breakdown'!K:K,$B1135,'Executive Pay Breakdown'!M:M)</f>
        <v>0</v>
      </c>
      <c r="G1135" s="69">
        <f>SUMIF('Executive Pay Breakdown'!O:O,$B1135,'Executive Pay Breakdown'!Q:Q)</f>
        <v>0</v>
      </c>
      <c r="H1135" s="69">
        <f>SUMIF('Executive Pay Breakdown'!S:S,$B1135,'Executive Pay Breakdown'!U:U)</f>
        <v>0</v>
      </c>
      <c r="I1135" s="69">
        <f>SUMIF('Executive Pay Breakdown'!W:W,$B1135,'Executive Pay Breakdown'!Y:Y)</f>
        <v>0</v>
      </c>
      <c r="J1135" s="69">
        <f>SUMIF('Executive Pay Breakdown'!AA:AA,$B1135,'Executive Pay Breakdown'!AC:AC)</f>
        <v>5862659</v>
      </c>
      <c r="K1135" s="118"/>
      <c r="L1135" s="212"/>
      <c r="M1135" s="87"/>
      <c r="N1135" s="87"/>
      <c r="O1135" s="120" t="str">
        <f>MATCH(C1135,'Key Findings'!B:B,0)</f>
        <v>#N/A</v>
      </c>
    </row>
    <row r="1136" hidden="1">
      <c r="A1136" s="81"/>
      <c r="B1136" s="125" t="s">
        <v>1358</v>
      </c>
      <c r="C1136" s="87" t="s">
        <v>1351</v>
      </c>
      <c r="D1136" s="89">
        <f>SUMIF('Executive Pay Breakdown'!K:K,$B1136,'Executive Pay Breakdown'!M:M)+SUMIF('Executive Pay Breakdown'!O:O,$B1136,'Executive Pay Breakdown'!Q:Q)+SUMIF('Executive Pay Breakdown'!S:S,$B1136,'Executive Pay Breakdown'!U:U)+SUMIF('Executive Pay Breakdown'!W:W,$B1136,'Executive Pay Breakdown'!Y:Y)+SUMIF('Executive Pay Breakdown'!AA:AA,$B1136,'Executive Pay Breakdown'!AC:AC)</f>
        <v>5352336</v>
      </c>
      <c r="E1136" s="109"/>
      <c r="F1136" s="69">
        <f>SUMIF('Executive Pay Breakdown'!K:K,$B1136,'Executive Pay Breakdown'!M:M)</f>
        <v>0</v>
      </c>
      <c r="G1136" s="69">
        <f>SUMIF('Executive Pay Breakdown'!O:O,$B1136,'Executive Pay Breakdown'!Q:Q)</f>
        <v>0</v>
      </c>
      <c r="H1136" s="69">
        <f>SUMIF('Executive Pay Breakdown'!S:S,$B1136,'Executive Pay Breakdown'!U:U)</f>
        <v>0</v>
      </c>
      <c r="I1136" s="69">
        <f>SUMIF('Executive Pay Breakdown'!W:W,$B1136,'Executive Pay Breakdown'!Y:Y)</f>
        <v>0</v>
      </c>
      <c r="J1136" s="69">
        <f>SUMIF('Executive Pay Breakdown'!AA:AA,$B1136,'Executive Pay Breakdown'!AC:AC)</f>
        <v>5352336</v>
      </c>
      <c r="K1136" s="118"/>
      <c r="L1136" s="212"/>
      <c r="M1136" s="87"/>
      <c r="N1136" s="87"/>
      <c r="O1136" s="120" t="str">
        <f>MATCH(C1136,'Key Findings'!B:B,0)</f>
        <v>#N/A</v>
      </c>
    </row>
    <row r="1137" hidden="1">
      <c r="A1137" s="81"/>
      <c r="B1137" s="125" t="s">
        <v>1359</v>
      </c>
      <c r="C1137" s="87" t="s">
        <v>1351</v>
      </c>
      <c r="D1137" s="89">
        <f>SUMIF('Executive Pay Breakdown'!K:K,$B1137,'Executive Pay Breakdown'!M:M)+SUMIF('Executive Pay Breakdown'!O:O,$B1137,'Executive Pay Breakdown'!Q:Q)+SUMIF('Executive Pay Breakdown'!S:S,$B1137,'Executive Pay Breakdown'!U:U)+SUMIF('Executive Pay Breakdown'!W:W,$B1137,'Executive Pay Breakdown'!Y:Y)+SUMIF('Executive Pay Breakdown'!AA:AA,$B1137,'Executive Pay Breakdown'!AC:AC)</f>
        <v>4624985</v>
      </c>
      <c r="E1137" s="109"/>
      <c r="F1137" s="69">
        <f>SUMIF('Executive Pay Breakdown'!K:K,$B1137,'Executive Pay Breakdown'!M:M)</f>
        <v>4624985</v>
      </c>
      <c r="G1137" s="69">
        <f>SUMIF('Executive Pay Breakdown'!O:O,$B1137,'Executive Pay Breakdown'!Q:Q)</f>
        <v>0</v>
      </c>
      <c r="H1137" s="69">
        <f>SUMIF('Executive Pay Breakdown'!S:S,$B1137,'Executive Pay Breakdown'!U:U)</f>
        <v>0</v>
      </c>
      <c r="I1137" s="69">
        <f>SUMIF('Executive Pay Breakdown'!W:W,$B1137,'Executive Pay Breakdown'!Y:Y)</f>
        <v>0</v>
      </c>
      <c r="J1137" s="69">
        <f>SUMIF('Executive Pay Breakdown'!AA:AA,$B1137,'Executive Pay Breakdown'!AC:AC)</f>
        <v>0</v>
      </c>
      <c r="K1137" s="118"/>
      <c r="L1137" s="212"/>
      <c r="M1137" s="87"/>
      <c r="N1137" s="230"/>
      <c r="O1137" s="120" t="str">
        <f>MATCH(C1137,'Key Findings'!B:B,0)</f>
        <v>#N/A</v>
      </c>
    </row>
    <row r="1138" hidden="1">
      <c r="A1138" s="81"/>
      <c r="B1138" s="125" t="s">
        <v>1360</v>
      </c>
      <c r="C1138" s="87" t="s">
        <v>1351</v>
      </c>
      <c r="D1138" s="89">
        <f>SUMIF('Executive Pay Breakdown'!K:K,$B1138,'Executive Pay Breakdown'!M:M)+SUMIF('Executive Pay Breakdown'!O:O,$B1138,'Executive Pay Breakdown'!Q:Q)+SUMIF('Executive Pay Breakdown'!S:S,$B1138,'Executive Pay Breakdown'!U:U)+SUMIF('Executive Pay Breakdown'!W:W,$B1138,'Executive Pay Breakdown'!Y:Y)+SUMIF('Executive Pay Breakdown'!AA:AA,$B1138,'Executive Pay Breakdown'!AC:AC)</f>
        <v>4611345</v>
      </c>
      <c r="E1138" s="109"/>
      <c r="F1138" s="69">
        <f>SUMIF('Executive Pay Breakdown'!K:K,$B1138,'Executive Pay Breakdown'!M:M)</f>
        <v>0</v>
      </c>
      <c r="G1138" s="69">
        <f>SUMIF('Executive Pay Breakdown'!O:O,$B1138,'Executive Pay Breakdown'!Q:Q)</f>
        <v>0</v>
      </c>
      <c r="H1138" s="69">
        <f>SUMIF('Executive Pay Breakdown'!S:S,$B1138,'Executive Pay Breakdown'!U:U)</f>
        <v>0</v>
      </c>
      <c r="I1138" s="69">
        <f>SUMIF('Executive Pay Breakdown'!W:W,$B1138,'Executive Pay Breakdown'!Y:Y)</f>
        <v>4611345</v>
      </c>
      <c r="J1138" s="69">
        <f>SUMIF('Executive Pay Breakdown'!AA:AA,$B1138,'Executive Pay Breakdown'!AC:AC)</f>
        <v>0</v>
      </c>
      <c r="K1138" s="118"/>
      <c r="L1138" s="212"/>
      <c r="M1138" s="87"/>
      <c r="N1138" s="87"/>
      <c r="O1138" s="120" t="str">
        <f>MATCH(C1138,'Key Findings'!B:B,0)</f>
        <v>#N/A</v>
      </c>
    </row>
    <row r="1139" hidden="1">
      <c r="A1139" s="81"/>
      <c r="B1139" s="125" t="s">
        <v>1361</v>
      </c>
      <c r="C1139" s="87" t="s">
        <v>1351</v>
      </c>
      <c r="D1139" s="89">
        <f>SUMIF('Executive Pay Breakdown'!K:K,$B1139,'Executive Pay Breakdown'!M:M)+SUMIF('Executive Pay Breakdown'!O:O,$B1139,'Executive Pay Breakdown'!Q:Q)+SUMIF('Executive Pay Breakdown'!S:S,$B1139,'Executive Pay Breakdown'!U:U)+SUMIF('Executive Pay Breakdown'!W:W,$B1139,'Executive Pay Breakdown'!Y:Y)+SUMIF('Executive Pay Breakdown'!AA:AA,$B1139,'Executive Pay Breakdown'!AC:AC)</f>
        <v>3526008</v>
      </c>
      <c r="E1139" s="109"/>
      <c r="F1139" s="69">
        <f>SUMIF('Executive Pay Breakdown'!K:K,$B1139,'Executive Pay Breakdown'!M:M)</f>
        <v>0</v>
      </c>
      <c r="G1139" s="69">
        <f>SUMIF('Executive Pay Breakdown'!O:O,$B1139,'Executive Pay Breakdown'!Q:Q)</f>
        <v>0</v>
      </c>
      <c r="H1139" s="69">
        <f>SUMIF('Executive Pay Breakdown'!S:S,$B1139,'Executive Pay Breakdown'!U:U)</f>
        <v>0</v>
      </c>
      <c r="I1139" s="69">
        <f>SUMIF('Executive Pay Breakdown'!W:W,$B1139,'Executive Pay Breakdown'!Y:Y)</f>
        <v>0</v>
      </c>
      <c r="J1139" s="69">
        <f>SUMIF('Executive Pay Breakdown'!AA:AA,$B1139,'Executive Pay Breakdown'!AC:AC)</f>
        <v>3526008</v>
      </c>
      <c r="K1139" s="118"/>
      <c r="L1139" s="212"/>
      <c r="M1139" s="87"/>
      <c r="N1139" s="87"/>
      <c r="O1139" s="120" t="str">
        <f>MATCH(C1139,'Key Findings'!B:B,0)</f>
        <v>#N/A</v>
      </c>
    </row>
    <row r="1140" hidden="1">
      <c r="A1140" s="62"/>
      <c r="B1140" s="86" t="s">
        <v>1362</v>
      </c>
      <c r="C1140" s="233" t="s">
        <v>1363</v>
      </c>
      <c r="D1140" s="89">
        <f>SUMIF('Executive Pay Breakdown'!K:K,$B1140,'Executive Pay Breakdown'!M:M)+SUMIF('Executive Pay Breakdown'!O:O,$B1140,'Executive Pay Breakdown'!Q:Q)+SUMIF('Executive Pay Breakdown'!S:S,$B1140,'Executive Pay Breakdown'!U:U)+SUMIF('Executive Pay Breakdown'!W:W,$B1140,'Executive Pay Breakdown'!Y:Y)+SUMIF('Executive Pay Breakdown'!AA:AA,$B1140,'Executive Pay Breakdown'!AC:AC)</f>
        <v>52185952</v>
      </c>
      <c r="E1140" s="109"/>
      <c r="F1140" s="69">
        <f>SUMIF('Executive Pay Breakdown'!K:K,$B1140,'Executive Pay Breakdown'!M:M)</f>
        <v>14279027</v>
      </c>
      <c r="G1140" s="69">
        <f>SUMIF('Executive Pay Breakdown'!O:O,$B1140,'Executive Pay Breakdown'!Q:Q)</f>
        <v>11685670</v>
      </c>
      <c r="H1140" s="69">
        <f>SUMIF('Executive Pay Breakdown'!S:S,$B1140,'Executive Pay Breakdown'!U:U)</f>
        <v>9705007</v>
      </c>
      <c r="I1140" s="69">
        <f>SUMIF('Executive Pay Breakdown'!W:W,$B1140,'Executive Pay Breakdown'!Y:Y)</f>
        <v>8758243</v>
      </c>
      <c r="J1140" s="69">
        <f>SUMIF('Executive Pay Breakdown'!AA:AA,$B1140,'Executive Pay Breakdown'!AC:AC)</f>
        <v>7758005</v>
      </c>
      <c r="K1140" s="118"/>
      <c r="L1140" s="212"/>
      <c r="M1140" s="87"/>
      <c r="N1140" s="87"/>
      <c r="O1140" s="120" t="str">
        <f>MATCH(C1140,'Key Findings'!B:B,0)</f>
        <v>#N/A</v>
      </c>
    </row>
    <row r="1141" hidden="1">
      <c r="A1141" s="62"/>
      <c r="B1141" s="86" t="s">
        <v>1364</v>
      </c>
      <c r="C1141" s="233" t="s">
        <v>1363</v>
      </c>
      <c r="D1141" s="89">
        <f>SUMIF('Executive Pay Breakdown'!K:K,$B1141,'Executive Pay Breakdown'!M:M)+SUMIF('Executive Pay Breakdown'!O:O,$B1141,'Executive Pay Breakdown'!Q:Q)+SUMIF('Executive Pay Breakdown'!S:S,$B1141,'Executive Pay Breakdown'!U:U)+SUMIF('Executive Pay Breakdown'!W:W,$B1141,'Executive Pay Breakdown'!Y:Y)+SUMIF('Executive Pay Breakdown'!AA:AA,$B1141,'Executive Pay Breakdown'!AC:AC)</f>
        <v>15219923</v>
      </c>
      <c r="E1141" s="109"/>
      <c r="F1141" s="69">
        <f>SUMIF('Executive Pay Breakdown'!K:K,$B1141,'Executive Pay Breakdown'!M:M)</f>
        <v>3972114</v>
      </c>
      <c r="G1141" s="69">
        <f>SUMIF('Executive Pay Breakdown'!O:O,$B1141,'Executive Pay Breakdown'!Q:Q)</f>
        <v>3422723</v>
      </c>
      <c r="H1141" s="69">
        <f>SUMIF('Executive Pay Breakdown'!S:S,$B1141,'Executive Pay Breakdown'!U:U)</f>
        <v>2790320</v>
      </c>
      <c r="I1141" s="69">
        <f>SUMIF('Executive Pay Breakdown'!W:W,$B1141,'Executive Pay Breakdown'!Y:Y)</f>
        <v>2661435</v>
      </c>
      <c r="J1141" s="69">
        <f>SUMIF('Executive Pay Breakdown'!AA:AA,$B1141,'Executive Pay Breakdown'!AC:AC)</f>
        <v>2373331</v>
      </c>
      <c r="K1141" s="118"/>
      <c r="L1141" s="212"/>
      <c r="M1141" s="87"/>
      <c r="N1141" s="87"/>
      <c r="O1141" s="120" t="str">
        <f>MATCH(C1141,'Key Findings'!B:B,0)</f>
        <v>#N/A</v>
      </c>
    </row>
    <row r="1142" hidden="1">
      <c r="A1142" s="62"/>
      <c r="B1142" s="86" t="s">
        <v>1365</v>
      </c>
      <c r="C1142" s="233" t="s">
        <v>1363</v>
      </c>
      <c r="D1142" s="89">
        <f>SUMIF('Executive Pay Breakdown'!K:K,$B1142,'Executive Pay Breakdown'!M:M)+SUMIF('Executive Pay Breakdown'!O:O,$B1142,'Executive Pay Breakdown'!Q:Q)+SUMIF('Executive Pay Breakdown'!S:S,$B1142,'Executive Pay Breakdown'!U:U)+SUMIF('Executive Pay Breakdown'!W:W,$B1142,'Executive Pay Breakdown'!Y:Y)+SUMIF('Executive Pay Breakdown'!AA:AA,$B1142,'Executive Pay Breakdown'!AC:AC)</f>
        <v>14162987</v>
      </c>
      <c r="E1142" s="109"/>
      <c r="F1142" s="69">
        <f>SUMIF('Executive Pay Breakdown'!K:K,$B1142,'Executive Pay Breakdown'!M:M)</f>
        <v>3967848</v>
      </c>
      <c r="G1142" s="69">
        <f>SUMIF('Executive Pay Breakdown'!O:O,$B1142,'Executive Pay Breakdown'!Q:Q)</f>
        <v>3351564</v>
      </c>
      <c r="H1142" s="69">
        <f>SUMIF('Executive Pay Breakdown'!S:S,$B1142,'Executive Pay Breakdown'!U:U)</f>
        <v>2605464</v>
      </c>
      <c r="I1142" s="69">
        <f>SUMIF('Executive Pay Breakdown'!W:W,$B1142,'Executive Pay Breakdown'!Y:Y)</f>
        <v>2362783</v>
      </c>
      <c r="J1142" s="69">
        <f>SUMIF('Executive Pay Breakdown'!AA:AA,$B1142,'Executive Pay Breakdown'!AC:AC)</f>
        <v>1875328</v>
      </c>
      <c r="K1142" s="118"/>
      <c r="L1142" s="212"/>
      <c r="M1142" s="87"/>
      <c r="N1142" s="87"/>
      <c r="O1142" s="120" t="str">
        <f>MATCH(C1142,'Key Findings'!B:B,0)</f>
        <v>#N/A</v>
      </c>
    </row>
    <row r="1143" hidden="1">
      <c r="A1143" s="62"/>
      <c r="B1143" s="86" t="s">
        <v>1366</v>
      </c>
      <c r="C1143" s="233" t="s">
        <v>1363</v>
      </c>
      <c r="D1143" s="89">
        <f>SUMIF('Executive Pay Breakdown'!K:K,$B1143,'Executive Pay Breakdown'!M:M)+SUMIF('Executive Pay Breakdown'!O:O,$B1143,'Executive Pay Breakdown'!Q:Q)+SUMIF('Executive Pay Breakdown'!S:S,$B1143,'Executive Pay Breakdown'!U:U)+SUMIF('Executive Pay Breakdown'!W:W,$B1143,'Executive Pay Breakdown'!Y:Y)+SUMIF('Executive Pay Breakdown'!AA:AA,$B1143,'Executive Pay Breakdown'!AC:AC)</f>
        <v>12942151</v>
      </c>
      <c r="E1143" s="109"/>
      <c r="F1143" s="69">
        <f>SUMIF('Executive Pay Breakdown'!K:K,$B1143,'Executive Pay Breakdown'!M:M)</f>
        <v>3377503</v>
      </c>
      <c r="G1143" s="69">
        <f>SUMIF('Executive Pay Breakdown'!O:O,$B1143,'Executive Pay Breakdown'!Q:Q)</f>
        <v>2923719</v>
      </c>
      <c r="H1143" s="69">
        <f>SUMIF('Executive Pay Breakdown'!S:S,$B1143,'Executive Pay Breakdown'!U:U)</f>
        <v>2335753</v>
      </c>
      <c r="I1143" s="69">
        <f>SUMIF('Executive Pay Breakdown'!W:W,$B1143,'Executive Pay Breakdown'!Y:Y)</f>
        <v>2243464</v>
      </c>
      <c r="J1143" s="69">
        <f>SUMIF('Executive Pay Breakdown'!AA:AA,$B1143,'Executive Pay Breakdown'!AC:AC)</f>
        <v>2061712</v>
      </c>
      <c r="K1143" s="118"/>
      <c r="L1143" s="212"/>
      <c r="M1143" s="87"/>
      <c r="N1143" s="87"/>
      <c r="O1143" s="120" t="str">
        <f>MATCH(C1143,'Key Findings'!B:B,0)</f>
        <v>#N/A</v>
      </c>
    </row>
    <row r="1144" hidden="1">
      <c r="A1144" s="62"/>
      <c r="B1144" s="86" t="s">
        <v>1367</v>
      </c>
      <c r="C1144" s="233" t="s">
        <v>1363</v>
      </c>
      <c r="D1144" s="89">
        <f>SUMIF('Executive Pay Breakdown'!K:K,$B1144,'Executive Pay Breakdown'!M:M)+SUMIF('Executive Pay Breakdown'!O:O,$B1144,'Executive Pay Breakdown'!Q:Q)+SUMIF('Executive Pay Breakdown'!S:S,$B1144,'Executive Pay Breakdown'!U:U)+SUMIF('Executive Pay Breakdown'!W:W,$B1144,'Executive Pay Breakdown'!Y:Y)+SUMIF('Executive Pay Breakdown'!AA:AA,$B1144,'Executive Pay Breakdown'!AC:AC)</f>
        <v>8902546</v>
      </c>
      <c r="E1144" s="109"/>
      <c r="F1144" s="69">
        <f>SUMIF('Executive Pay Breakdown'!K:K,$B1144,'Executive Pay Breakdown'!M:M)</f>
        <v>2872324</v>
      </c>
      <c r="G1144" s="69">
        <f>SUMIF('Executive Pay Breakdown'!O:O,$B1144,'Executive Pay Breakdown'!Q:Q)</f>
        <v>2438310</v>
      </c>
      <c r="H1144" s="69">
        <f>SUMIF('Executive Pay Breakdown'!S:S,$B1144,'Executive Pay Breakdown'!U:U)</f>
        <v>1843509</v>
      </c>
      <c r="I1144" s="69">
        <f>SUMIF('Executive Pay Breakdown'!W:W,$B1144,'Executive Pay Breakdown'!Y:Y)</f>
        <v>1748403</v>
      </c>
      <c r="J1144" s="69">
        <f>SUMIF('Executive Pay Breakdown'!AA:AA,$B1144,'Executive Pay Breakdown'!AC:AC)</f>
        <v>0</v>
      </c>
      <c r="K1144" s="118"/>
      <c r="L1144" s="212"/>
      <c r="M1144" s="87"/>
      <c r="N1144" s="87"/>
      <c r="O1144" s="120" t="str">
        <f>MATCH(C1144,'Key Findings'!B:B,0)</f>
        <v>#N/A</v>
      </c>
    </row>
    <row r="1145" hidden="1">
      <c r="A1145" s="62"/>
      <c r="B1145" s="86" t="s">
        <v>1368</v>
      </c>
      <c r="C1145" s="233" t="s">
        <v>1363</v>
      </c>
      <c r="D1145" s="89">
        <f>SUMIF('Executive Pay Breakdown'!K:K,$B1145,'Executive Pay Breakdown'!M:M)+SUMIF('Executive Pay Breakdown'!O:O,$B1145,'Executive Pay Breakdown'!Q:Q)+SUMIF('Executive Pay Breakdown'!S:S,$B1145,'Executive Pay Breakdown'!U:U)+SUMIF('Executive Pay Breakdown'!W:W,$B1145,'Executive Pay Breakdown'!Y:Y)+SUMIF('Executive Pay Breakdown'!AA:AA,$B1145,'Executive Pay Breakdown'!AC:AC)</f>
        <v>10962049</v>
      </c>
      <c r="E1145" s="109"/>
      <c r="F1145" s="69">
        <f>SUMIF('Executive Pay Breakdown'!K:K,$B1145,'Executive Pay Breakdown'!M:M)</f>
        <v>0</v>
      </c>
      <c r="G1145" s="69">
        <f>SUMIF('Executive Pay Breakdown'!O:O,$B1145,'Executive Pay Breakdown'!Q:Q)</f>
        <v>0</v>
      </c>
      <c r="H1145" s="69">
        <f>SUMIF('Executive Pay Breakdown'!S:S,$B1145,'Executive Pay Breakdown'!U:U)</f>
        <v>0</v>
      </c>
      <c r="I1145" s="69">
        <f>SUMIF('Executive Pay Breakdown'!W:W,$B1145,'Executive Pay Breakdown'!Y:Y)</f>
        <v>8340744</v>
      </c>
      <c r="J1145" s="69">
        <f>SUMIF('Executive Pay Breakdown'!AA:AA,$B1145,'Executive Pay Breakdown'!AC:AC)</f>
        <v>2621305</v>
      </c>
      <c r="K1145" s="118"/>
      <c r="L1145" s="212"/>
      <c r="M1145" s="87"/>
      <c r="N1145" s="87"/>
      <c r="O1145" s="120" t="str">
        <f>MATCH(C1145,'Key Findings'!B:B,0)</f>
        <v>#N/A</v>
      </c>
    </row>
    <row r="1146" hidden="1">
      <c r="A1146" s="62"/>
      <c r="B1146" s="86" t="s">
        <v>1369</v>
      </c>
      <c r="C1146" s="233" t="s">
        <v>1370</v>
      </c>
      <c r="D1146" s="89">
        <f>SUMIF('Executive Pay Breakdown'!K:K,$B1146,'Executive Pay Breakdown'!M:M)+SUMIF('Executive Pay Breakdown'!O:O,$B1146,'Executive Pay Breakdown'!Q:Q)+SUMIF('Executive Pay Breakdown'!S:S,$B1146,'Executive Pay Breakdown'!U:U)+SUMIF('Executive Pay Breakdown'!W:W,$B1146,'Executive Pay Breakdown'!Y:Y)+SUMIF('Executive Pay Breakdown'!AA:AA,$B1146,'Executive Pay Breakdown'!AC:AC)</f>
        <v>75567890</v>
      </c>
      <c r="E1146" s="109"/>
      <c r="F1146" s="69">
        <f>SUMIF('Executive Pay Breakdown'!K:K,$B1146,'Executive Pay Breakdown'!M:M)</f>
        <v>25912100</v>
      </c>
      <c r="G1146" s="69">
        <f>SUMIF('Executive Pay Breakdown'!O:O,$B1146,'Executive Pay Breakdown'!Q:Q)</f>
        <v>13908085</v>
      </c>
      <c r="H1146" s="69">
        <f>SUMIF('Executive Pay Breakdown'!S:S,$B1146,'Executive Pay Breakdown'!U:U)</f>
        <v>11993465</v>
      </c>
      <c r="I1146" s="69">
        <f>SUMIF('Executive Pay Breakdown'!W:W,$B1146,'Executive Pay Breakdown'!Y:Y)</f>
        <v>13419419</v>
      </c>
      <c r="J1146" s="69">
        <f>SUMIF('Executive Pay Breakdown'!AA:AA,$B1146,'Executive Pay Breakdown'!AC:AC)</f>
        <v>10334821</v>
      </c>
      <c r="K1146" s="118"/>
      <c r="L1146" s="212"/>
      <c r="M1146" s="87"/>
      <c r="N1146" s="87"/>
      <c r="O1146" s="120" t="str">
        <f>MATCH(C1146,'Key Findings'!B:B,0)</f>
        <v>#N/A</v>
      </c>
    </row>
    <row r="1147" hidden="1">
      <c r="A1147" s="62"/>
      <c r="B1147" s="86" t="s">
        <v>1371</v>
      </c>
      <c r="C1147" s="233" t="s">
        <v>1370</v>
      </c>
      <c r="D1147" s="89">
        <f>SUMIF('Executive Pay Breakdown'!K:K,$B1147,'Executive Pay Breakdown'!M:M)+SUMIF('Executive Pay Breakdown'!O:O,$B1147,'Executive Pay Breakdown'!Q:Q)+SUMIF('Executive Pay Breakdown'!S:S,$B1147,'Executive Pay Breakdown'!U:U)+SUMIF('Executive Pay Breakdown'!W:W,$B1147,'Executive Pay Breakdown'!Y:Y)+SUMIF('Executive Pay Breakdown'!AA:AA,$B1147,'Executive Pay Breakdown'!AC:AC)</f>
        <v>24873744</v>
      </c>
      <c r="E1147" s="109"/>
      <c r="F1147" s="69">
        <f>SUMIF('Executive Pay Breakdown'!K:K,$B1147,'Executive Pay Breakdown'!M:M)</f>
        <v>5995936</v>
      </c>
      <c r="G1147" s="69">
        <f>SUMIF('Executive Pay Breakdown'!O:O,$B1147,'Executive Pay Breakdown'!Q:Q)</f>
        <v>5474448</v>
      </c>
      <c r="H1147" s="69">
        <f>SUMIF('Executive Pay Breakdown'!S:S,$B1147,'Executive Pay Breakdown'!U:U)</f>
        <v>4070544</v>
      </c>
      <c r="I1147" s="69">
        <f>SUMIF('Executive Pay Breakdown'!W:W,$B1147,'Executive Pay Breakdown'!Y:Y)</f>
        <v>4574588</v>
      </c>
      <c r="J1147" s="69">
        <f>SUMIF('Executive Pay Breakdown'!AA:AA,$B1147,'Executive Pay Breakdown'!AC:AC)</f>
        <v>4758228</v>
      </c>
      <c r="K1147" s="118"/>
      <c r="L1147" s="212"/>
      <c r="M1147" s="87"/>
      <c r="N1147" s="87"/>
      <c r="O1147" s="120" t="str">
        <f>MATCH(C1147,'Key Findings'!B:B,0)</f>
        <v>#N/A</v>
      </c>
    </row>
    <row r="1148" hidden="1">
      <c r="A1148" s="62"/>
      <c r="B1148" s="86" t="s">
        <v>1372</v>
      </c>
      <c r="C1148" s="233" t="s">
        <v>1370</v>
      </c>
      <c r="D1148" s="89">
        <f>SUMIF('Executive Pay Breakdown'!K:K,$B1148,'Executive Pay Breakdown'!M:M)+SUMIF('Executive Pay Breakdown'!O:O,$B1148,'Executive Pay Breakdown'!Q:Q)+SUMIF('Executive Pay Breakdown'!S:S,$B1148,'Executive Pay Breakdown'!U:U)+SUMIF('Executive Pay Breakdown'!W:W,$B1148,'Executive Pay Breakdown'!Y:Y)+SUMIF('Executive Pay Breakdown'!AA:AA,$B1148,'Executive Pay Breakdown'!AC:AC)</f>
        <v>20718101</v>
      </c>
      <c r="E1148" s="109"/>
      <c r="F1148" s="69">
        <f>SUMIF('Executive Pay Breakdown'!K:K,$B1148,'Executive Pay Breakdown'!M:M)</f>
        <v>5899575</v>
      </c>
      <c r="G1148" s="69">
        <f>SUMIF('Executive Pay Breakdown'!O:O,$B1148,'Executive Pay Breakdown'!Q:Q)</f>
        <v>3863425</v>
      </c>
      <c r="H1148" s="69">
        <f>SUMIF('Executive Pay Breakdown'!S:S,$B1148,'Executive Pay Breakdown'!U:U)</f>
        <v>3863425</v>
      </c>
      <c r="I1148" s="69">
        <f>SUMIF('Executive Pay Breakdown'!W:W,$B1148,'Executive Pay Breakdown'!Y:Y)</f>
        <v>4073189</v>
      </c>
      <c r="J1148" s="69">
        <f>SUMIF('Executive Pay Breakdown'!AA:AA,$B1148,'Executive Pay Breakdown'!AC:AC)</f>
        <v>3018487</v>
      </c>
      <c r="K1148" s="118"/>
      <c r="L1148" s="212"/>
      <c r="M1148" s="87"/>
      <c r="N1148" s="87"/>
      <c r="O1148" s="120" t="str">
        <f>MATCH(C1148,'Key Findings'!B:B,0)</f>
        <v>#N/A</v>
      </c>
    </row>
    <row r="1149" hidden="1">
      <c r="A1149" s="62"/>
      <c r="B1149" s="86" t="s">
        <v>1373</v>
      </c>
      <c r="C1149" s="233" t="s">
        <v>1370</v>
      </c>
      <c r="D1149" s="89">
        <f>SUMIF('Executive Pay Breakdown'!K:K,$B1149,'Executive Pay Breakdown'!M:M)+SUMIF('Executive Pay Breakdown'!O:O,$B1149,'Executive Pay Breakdown'!Q:Q)+SUMIF('Executive Pay Breakdown'!S:S,$B1149,'Executive Pay Breakdown'!U:U)+SUMIF('Executive Pay Breakdown'!W:W,$B1149,'Executive Pay Breakdown'!Y:Y)+SUMIF('Executive Pay Breakdown'!AA:AA,$B1149,'Executive Pay Breakdown'!AC:AC)</f>
        <v>14422726</v>
      </c>
      <c r="E1149" s="109"/>
      <c r="F1149" s="69">
        <f>SUMIF('Executive Pay Breakdown'!K:K,$B1149,'Executive Pay Breakdown'!M:M)</f>
        <v>5904341</v>
      </c>
      <c r="G1149" s="69">
        <f>SUMIF('Executive Pay Breakdown'!O:O,$B1149,'Executive Pay Breakdown'!Q:Q)</f>
        <v>5219394</v>
      </c>
      <c r="H1149" s="69">
        <f>SUMIF('Executive Pay Breakdown'!S:S,$B1149,'Executive Pay Breakdown'!U:U)</f>
        <v>3298991</v>
      </c>
      <c r="I1149" s="69">
        <f>SUMIF('Executive Pay Breakdown'!W:W,$B1149,'Executive Pay Breakdown'!Y:Y)</f>
        <v>0</v>
      </c>
      <c r="J1149" s="69">
        <f>SUMIF('Executive Pay Breakdown'!AA:AA,$B1149,'Executive Pay Breakdown'!AC:AC)</f>
        <v>0</v>
      </c>
      <c r="K1149" s="118"/>
      <c r="L1149" s="212"/>
      <c r="M1149" s="87"/>
      <c r="N1149" s="87"/>
      <c r="O1149" s="120" t="str">
        <f>MATCH(C1149,'Key Findings'!B:B,0)</f>
        <v>#N/A</v>
      </c>
    </row>
    <row r="1150" hidden="1">
      <c r="A1150" s="62"/>
      <c r="B1150" s="86" t="s">
        <v>1374</v>
      </c>
      <c r="C1150" s="233" t="s">
        <v>1370</v>
      </c>
      <c r="D1150" s="89">
        <f>SUMIF('Executive Pay Breakdown'!K:K,$B1150,'Executive Pay Breakdown'!M:M)+SUMIF('Executive Pay Breakdown'!O:O,$B1150,'Executive Pay Breakdown'!Q:Q)+SUMIF('Executive Pay Breakdown'!S:S,$B1150,'Executive Pay Breakdown'!U:U)+SUMIF('Executive Pay Breakdown'!W:W,$B1150,'Executive Pay Breakdown'!Y:Y)+SUMIF('Executive Pay Breakdown'!AA:AA,$B1150,'Executive Pay Breakdown'!AC:AC)</f>
        <v>10798349</v>
      </c>
      <c r="E1150" s="109"/>
      <c r="F1150" s="69">
        <f>SUMIF('Executive Pay Breakdown'!K:K,$B1150,'Executive Pay Breakdown'!M:M)</f>
        <v>5026775</v>
      </c>
      <c r="G1150" s="69">
        <f>SUMIF('Executive Pay Breakdown'!O:O,$B1150,'Executive Pay Breakdown'!Q:Q)</f>
        <v>5771574</v>
      </c>
      <c r="H1150" s="69">
        <f>SUMIF('Executive Pay Breakdown'!S:S,$B1150,'Executive Pay Breakdown'!U:U)</f>
        <v>0</v>
      </c>
      <c r="I1150" s="69">
        <f>SUMIF('Executive Pay Breakdown'!W:W,$B1150,'Executive Pay Breakdown'!Y:Y)</f>
        <v>0</v>
      </c>
      <c r="J1150" s="69">
        <f>SUMIF('Executive Pay Breakdown'!AA:AA,$B1150,'Executive Pay Breakdown'!AC:AC)</f>
        <v>0</v>
      </c>
      <c r="K1150" s="118"/>
      <c r="L1150" s="212"/>
      <c r="M1150" s="87"/>
      <c r="N1150" s="87"/>
      <c r="O1150" s="120" t="str">
        <f>MATCH(C1150,'Key Findings'!B:B,0)</f>
        <v>#N/A</v>
      </c>
    </row>
    <row r="1151" hidden="1">
      <c r="A1151" s="62"/>
      <c r="B1151" s="86" t="s">
        <v>1375</v>
      </c>
      <c r="C1151" s="233" t="s">
        <v>1370</v>
      </c>
      <c r="D1151" s="89">
        <f>SUMIF('Executive Pay Breakdown'!K:K,$B1151,'Executive Pay Breakdown'!M:M)+SUMIF('Executive Pay Breakdown'!O:O,$B1151,'Executive Pay Breakdown'!Q:Q)+SUMIF('Executive Pay Breakdown'!S:S,$B1151,'Executive Pay Breakdown'!U:U)+SUMIF('Executive Pay Breakdown'!W:W,$B1151,'Executive Pay Breakdown'!Y:Y)+SUMIF('Executive Pay Breakdown'!AA:AA,$B1151,'Executive Pay Breakdown'!AC:AC)</f>
        <v>9309139</v>
      </c>
      <c r="E1151" s="109"/>
      <c r="F1151" s="69">
        <f>SUMIF('Executive Pay Breakdown'!K:K,$B1151,'Executive Pay Breakdown'!M:M)</f>
        <v>3471860</v>
      </c>
      <c r="G1151" s="69">
        <f>SUMIF('Executive Pay Breakdown'!O:O,$B1151,'Executive Pay Breakdown'!Q:Q)</f>
        <v>5837279</v>
      </c>
      <c r="H1151" s="69">
        <f>SUMIF('Executive Pay Breakdown'!S:S,$B1151,'Executive Pay Breakdown'!U:U)</f>
        <v>0</v>
      </c>
      <c r="I1151" s="69">
        <f>SUMIF('Executive Pay Breakdown'!W:W,$B1151,'Executive Pay Breakdown'!Y:Y)</f>
        <v>0</v>
      </c>
      <c r="J1151" s="69">
        <f>SUMIF('Executive Pay Breakdown'!AA:AA,$B1151,'Executive Pay Breakdown'!AC:AC)</f>
        <v>0</v>
      </c>
      <c r="K1151" s="118"/>
      <c r="L1151" s="212"/>
      <c r="M1151" s="87"/>
      <c r="N1151" s="87"/>
      <c r="O1151" s="120" t="str">
        <f>MATCH(C1151,'Key Findings'!B:B,0)</f>
        <v>#N/A</v>
      </c>
    </row>
    <row r="1152" hidden="1">
      <c r="A1152" s="62"/>
      <c r="B1152" s="86" t="s">
        <v>1376</v>
      </c>
      <c r="C1152" s="233" t="s">
        <v>1370</v>
      </c>
      <c r="D1152" s="89">
        <f>SUMIF('Executive Pay Breakdown'!K:K,$B1152,'Executive Pay Breakdown'!M:M)+SUMIF('Executive Pay Breakdown'!O:O,$B1152,'Executive Pay Breakdown'!Q:Q)+SUMIF('Executive Pay Breakdown'!S:S,$B1152,'Executive Pay Breakdown'!U:U)+SUMIF('Executive Pay Breakdown'!W:W,$B1152,'Executive Pay Breakdown'!Y:Y)+SUMIF('Executive Pay Breakdown'!AA:AA,$B1152,'Executive Pay Breakdown'!AC:AC)</f>
        <v>20736259</v>
      </c>
      <c r="E1152" s="109"/>
      <c r="F1152" s="69">
        <f>SUMIF('Executive Pay Breakdown'!K:K,$B1152,'Executive Pay Breakdown'!M:M)</f>
        <v>0</v>
      </c>
      <c r="G1152" s="69">
        <f>SUMIF('Executive Pay Breakdown'!O:O,$B1152,'Executive Pay Breakdown'!Q:Q)</f>
        <v>8149179</v>
      </c>
      <c r="H1152" s="69">
        <f>SUMIF('Executive Pay Breakdown'!S:S,$B1152,'Executive Pay Breakdown'!U:U)</f>
        <v>3470480</v>
      </c>
      <c r="I1152" s="69">
        <f>SUMIF('Executive Pay Breakdown'!W:W,$B1152,'Executive Pay Breakdown'!Y:Y)</f>
        <v>9116600</v>
      </c>
      <c r="J1152" s="69">
        <f>SUMIF('Executive Pay Breakdown'!AA:AA,$B1152,'Executive Pay Breakdown'!AC:AC)</f>
        <v>0</v>
      </c>
      <c r="K1152" s="118"/>
      <c r="L1152" s="212"/>
      <c r="M1152" s="87"/>
      <c r="N1152" s="87"/>
      <c r="O1152" s="120" t="str">
        <f>MATCH(C1152,'Key Findings'!B:B,0)</f>
        <v>#N/A</v>
      </c>
    </row>
    <row r="1153" hidden="1">
      <c r="A1153" s="62"/>
      <c r="B1153" s="86" t="s">
        <v>1377</v>
      </c>
      <c r="C1153" s="233" t="s">
        <v>1370</v>
      </c>
      <c r="D1153" s="89">
        <f>SUMIF('Executive Pay Breakdown'!K:K,$B1153,'Executive Pay Breakdown'!M:M)+SUMIF('Executive Pay Breakdown'!O:O,$B1153,'Executive Pay Breakdown'!Q:Q)+SUMIF('Executive Pay Breakdown'!S:S,$B1153,'Executive Pay Breakdown'!U:U)+SUMIF('Executive Pay Breakdown'!W:W,$B1153,'Executive Pay Breakdown'!Y:Y)+SUMIF('Executive Pay Breakdown'!AA:AA,$B1153,'Executive Pay Breakdown'!AC:AC)</f>
        <v>10110007</v>
      </c>
      <c r="E1153" s="109"/>
      <c r="F1153" s="69">
        <f>SUMIF('Executive Pay Breakdown'!K:K,$B1153,'Executive Pay Breakdown'!M:M)</f>
        <v>0</v>
      </c>
      <c r="G1153" s="69">
        <f>SUMIF('Executive Pay Breakdown'!O:O,$B1153,'Executive Pay Breakdown'!Q:Q)</f>
        <v>0</v>
      </c>
      <c r="H1153" s="69">
        <f>SUMIF('Executive Pay Breakdown'!S:S,$B1153,'Executive Pay Breakdown'!U:U)</f>
        <v>0</v>
      </c>
      <c r="I1153" s="69">
        <f>SUMIF('Executive Pay Breakdown'!W:W,$B1153,'Executive Pay Breakdown'!Y:Y)</f>
        <v>4926544</v>
      </c>
      <c r="J1153" s="69">
        <f>SUMIF('Executive Pay Breakdown'!AA:AA,$B1153,'Executive Pay Breakdown'!AC:AC)</f>
        <v>5183463</v>
      </c>
      <c r="K1153" s="118"/>
      <c r="L1153" s="212"/>
      <c r="M1153" s="87"/>
      <c r="N1153" s="87"/>
      <c r="O1153" s="120" t="str">
        <f>MATCH(C1153,'Key Findings'!B:B,0)</f>
        <v>#N/A</v>
      </c>
    </row>
    <row r="1154" hidden="1">
      <c r="A1154" s="62"/>
      <c r="B1154" s="86" t="s">
        <v>1378</v>
      </c>
      <c r="C1154" s="233" t="s">
        <v>1370</v>
      </c>
      <c r="D1154" s="89">
        <f>SUMIF('Executive Pay Breakdown'!K:K,$B1154,'Executive Pay Breakdown'!M:M)+SUMIF('Executive Pay Breakdown'!O:O,$B1154,'Executive Pay Breakdown'!Q:Q)+SUMIF('Executive Pay Breakdown'!S:S,$B1154,'Executive Pay Breakdown'!U:U)+SUMIF('Executive Pay Breakdown'!W:W,$B1154,'Executive Pay Breakdown'!Y:Y)+SUMIF('Executive Pay Breakdown'!AA:AA,$B1154,'Executive Pay Breakdown'!AC:AC)</f>
        <v>8569023</v>
      </c>
      <c r="E1154" s="109"/>
      <c r="F1154" s="69">
        <f>SUMIF('Executive Pay Breakdown'!K:K,$B1154,'Executive Pay Breakdown'!M:M)</f>
        <v>0</v>
      </c>
      <c r="G1154" s="69">
        <f>SUMIF('Executive Pay Breakdown'!O:O,$B1154,'Executive Pay Breakdown'!Q:Q)</f>
        <v>0</v>
      </c>
      <c r="H1154" s="69">
        <f>SUMIF('Executive Pay Breakdown'!S:S,$B1154,'Executive Pay Breakdown'!U:U)</f>
        <v>0</v>
      </c>
      <c r="I1154" s="69">
        <f>SUMIF('Executive Pay Breakdown'!W:W,$B1154,'Executive Pay Breakdown'!Y:Y)</f>
        <v>4271474</v>
      </c>
      <c r="J1154" s="69">
        <f>SUMIF('Executive Pay Breakdown'!AA:AA,$B1154,'Executive Pay Breakdown'!AC:AC)</f>
        <v>4297549</v>
      </c>
      <c r="K1154" s="118"/>
      <c r="L1154" s="212"/>
      <c r="M1154" s="87"/>
      <c r="N1154" s="87"/>
      <c r="O1154" s="120" t="str">
        <f>MATCH(C1154,'Key Findings'!B:B,0)</f>
        <v>#N/A</v>
      </c>
    </row>
    <row r="1155" hidden="1">
      <c r="A1155" s="62"/>
      <c r="B1155" s="86" t="s">
        <v>1379</v>
      </c>
      <c r="C1155" s="233" t="s">
        <v>1370</v>
      </c>
      <c r="D1155" s="89">
        <f>SUMIF('Executive Pay Breakdown'!K:K,$B1155,'Executive Pay Breakdown'!M:M)+SUMIF('Executive Pay Breakdown'!O:O,$B1155,'Executive Pay Breakdown'!Q:Q)+SUMIF('Executive Pay Breakdown'!S:S,$B1155,'Executive Pay Breakdown'!U:U)+SUMIF('Executive Pay Breakdown'!W:W,$B1155,'Executive Pay Breakdown'!Y:Y)+SUMIF('Executive Pay Breakdown'!AA:AA,$B1155,'Executive Pay Breakdown'!AC:AC)</f>
        <v>8852148</v>
      </c>
      <c r="E1155" s="109"/>
      <c r="F1155" s="69">
        <f>SUMIF('Executive Pay Breakdown'!K:K,$B1155,'Executive Pay Breakdown'!M:M)</f>
        <v>0</v>
      </c>
      <c r="G1155" s="69">
        <f>SUMIF('Executive Pay Breakdown'!O:O,$B1155,'Executive Pay Breakdown'!Q:Q)</f>
        <v>0</v>
      </c>
      <c r="H1155" s="69">
        <f>SUMIF('Executive Pay Breakdown'!S:S,$B1155,'Executive Pay Breakdown'!U:U)</f>
        <v>0</v>
      </c>
      <c r="I1155" s="69">
        <f>SUMIF('Executive Pay Breakdown'!W:W,$B1155,'Executive Pay Breakdown'!Y:Y)</f>
        <v>0</v>
      </c>
      <c r="J1155" s="69">
        <f>SUMIF('Executive Pay Breakdown'!AA:AA,$B1155,'Executive Pay Breakdown'!AC:AC)</f>
        <v>8852148</v>
      </c>
      <c r="K1155" s="118"/>
      <c r="L1155" s="212"/>
      <c r="M1155" s="87"/>
      <c r="N1155" s="87"/>
      <c r="O1155" s="120" t="str">
        <f>MATCH(C1155,'Key Findings'!B:B,0)</f>
        <v>#N/A</v>
      </c>
    </row>
    <row r="1156" hidden="1">
      <c r="A1156" s="81"/>
      <c r="B1156" s="236" t="s">
        <v>1380</v>
      </c>
      <c r="C1156" s="87" t="s">
        <v>1381</v>
      </c>
      <c r="D1156" s="89">
        <f>SUMIF('Executive Pay Breakdown'!K:K,$B1156,'Executive Pay Breakdown'!M:M)+SUMIF('Executive Pay Breakdown'!O:O,$B1156,'Executive Pay Breakdown'!Q:Q)+SUMIF('Executive Pay Breakdown'!S:S,$B1156,'Executive Pay Breakdown'!U:U)+SUMIF('Executive Pay Breakdown'!W:W,$B1156,'Executive Pay Breakdown'!Y:Y)+SUMIF('Executive Pay Breakdown'!AA:AA,$B1156,'Executive Pay Breakdown'!AC:AC)</f>
        <v>120390825</v>
      </c>
      <c r="E1156" s="109"/>
      <c r="F1156" s="69">
        <f>SUMIF('Executive Pay Breakdown'!K:K,$B1156,'Executive Pay Breakdown'!M:M)</f>
        <v>20607600</v>
      </c>
      <c r="G1156" s="69">
        <f>SUMIF('Executive Pay Breakdown'!O:O,$B1156,'Executive Pay Breakdown'!Q:Q)</f>
        <v>24298032</v>
      </c>
      <c r="H1156" s="69">
        <f>SUMIF('Executive Pay Breakdown'!S:S,$B1156,'Executive Pay Breakdown'!U:U)</f>
        <v>13676551</v>
      </c>
      <c r="I1156" s="69">
        <f>SUMIF('Executive Pay Breakdown'!W:W,$B1156,'Executive Pay Breakdown'!Y:Y)</f>
        <v>34519129</v>
      </c>
      <c r="J1156" s="69">
        <f>SUMIF('Executive Pay Breakdown'!AA:AA,$B1156,'Executive Pay Breakdown'!AC:AC)</f>
        <v>27289513</v>
      </c>
      <c r="K1156" s="118"/>
      <c r="L1156" s="212"/>
      <c r="M1156" s="87"/>
      <c r="N1156" s="230"/>
      <c r="O1156" s="120" t="str">
        <f>MATCH(C1156,'Key Findings'!B:B,0)</f>
        <v>#N/A</v>
      </c>
    </row>
    <row r="1157" hidden="1">
      <c r="A1157" s="71"/>
      <c r="B1157" s="124" t="s">
        <v>1382</v>
      </c>
      <c r="C1157" s="87" t="s">
        <v>1381</v>
      </c>
      <c r="D1157" s="89">
        <f>SUMIF('Executive Pay Breakdown'!K:K,$B1157,'Executive Pay Breakdown'!M:M)+SUMIF('Executive Pay Breakdown'!O:O,$B1157,'Executive Pay Breakdown'!Q:Q)+SUMIF('Executive Pay Breakdown'!S:S,$B1157,'Executive Pay Breakdown'!U:U)+SUMIF('Executive Pay Breakdown'!W:W,$B1157,'Executive Pay Breakdown'!Y:Y)+SUMIF('Executive Pay Breakdown'!AA:AA,$B1157,'Executive Pay Breakdown'!AC:AC)</f>
        <v>32733091</v>
      </c>
      <c r="E1157" s="109"/>
      <c r="F1157" s="69">
        <f>SUMIF('Executive Pay Breakdown'!K:K,$B1157,'Executive Pay Breakdown'!M:M)</f>
        <v>7223543</v>
      </c>
      <c r="G1157" s="69">
        <f>SUMIF('Executive Pay Breakdown'!O:O,$B1157,'Executive Pay Breakdown'!Q:Q)</f>
        <v>7695636</v>
      </c>
      <c r="H1157" s="69">
        <f>SUMIF('Executive Pay Breakdown'!S:S,$B1157,'Executive Pay Breakdown'!U:U)</f>
        <v>4584582</v>
      </c>
      <c r="I1157" s="69">
        <f>SUMIF('Executive Pay Breakdown'!W:W,$B1157,'Executive Pay Breakdown'!Y:Y)</f>
        <v>6048143</v>
      </c>
      <c r="J1157" s="69">
        <f>SUMIF('Executive Pay Breakdown'!AA:AA,$B1157,'Executive Pay Breakdown'!AC:AC)</f>
        <v>7181187</v>
      </c>
      <c r="K1157" s="118"/>
      <c r="L1157" s="212"/>
      <c r="M1157" s="87"/>
      <c r="N1157" s="230"/>
      <c r="O1157" s="120" t="str">
        <f>MATCH(C1157,'Key Findings'!B:B,0)</f>
        <v>#N/A</v>
      </c>
    </row>
    <row r="1158" hidden="1">
      <c r="A1158" s="71"/>
      <c r="B1158" s="124" t="s">
        <v>1383</v>
      </c>
      <c r="C1158" s="87" t="s">
        <v>1381</v>
      </c>
      <c r="D1158" s="89">
        <f>SUMIF('Executive Pay Breakdown'!K:K,$B1158,'Executive Pay Breakdown'!M:M)+SUMIF('Executive Pay Breakdown'!O:O,$B1158,'Executive Pay Breakdown'!Q:Q)+SUMIF('Executive Pay Breakdown'!S:S,$B1158,'Executive Pay Breakdown'!U:U)+SUMIF('Executive Pay Breakdown'!W:W,$B1158,'Executive Pay Breakdown'!Y:Y)+SUMIF('Executive Pay Breakdown'!AA:AA,$B1158,'Executive Pay Breakdown'!AC:AC)</f>
        <v>31774699</v>
      </c>
      <c r="E1158" s="109"/>
      <c r="F1158" s="69">
        <f>SUMIF('Executive Pay Breakdown'!K:K,$B1158,'Executive Pay Breakdown'!M:M)</f>
        <v>6652296</v>
      </c>
      <c r="G1158" s="69">
        <f>SUMIF('Executive Pay Breakdown'!O:O,$B1158,'Executive Pay Breakdown'!Q:Q)</f>
        <v>7706710</v>
      </c>
      <c r="H1158" s="69">
        <f>SUMIF('Executive Pay Breakdown'!S:S,$B1158,'Executive Pay Breakdown'!U:U)</f>
        <v>4680895</v>
      </c>
      <c r="I1158" s="69">
        <f>SUMIF('Executive Pay Breakdown'!W:W,$B1158,'Executive Pay Breakdown'!Y:Y)</f>
        <v>5432179</v>
      </c>
      <c r="J1158" s="69">
        <f>SUMIF('Executive Pay Breakdown'!AA:AA,$B1158,'Executive Pay Breakdown'!AC:AC)</f>
        <v>7302619</v>
      </c>
      <c r="K1158" s="118"/>
      <c r="L1158" s="212"/>
      <c r="M1158" s="87"/>
      <c r="N1158" s="230"/>
      <c r="O1158" s="120" t="str">
        <f>MATCH(C1158,'Key Findings'!B:B,0)</f>
        <v>#N/A</v>
      </c>
    </row>
    <row r="1159" hidden="1">
      <c r="A1159" s="71"/>
      <c r="B1159" s="132" t="s">
        <v>1384</v>
      </c>
      <c r="C1159" s="87" t="s">
        <v>1381</v>
      </c>
      <c r="D1159" s="89">
        <f>SUMIF('Executive Pay Breakdown'!K:K,$B1159,'Executive Pay Breakdown'!M:M)+SUMIF('Executive Pay Breakdown'!O:O,$B1159,'Executive Pay Breakdown'!Q:Q)+SUMIF('Executive Pay Breakdown'!S:S,$B1159,'Executive Pay Breakdown'!U:U)+SUMIF('Executive Pay Breakdown'!W:W,$B1159,'Executive Pay Breakdown'!Y:Y)+SUMIF('Executive Pay Breakdown'!AA:AA,$B1159,'Executive Pay Breakdown'!AC:AC)</f>
        <v>25702776</v>
      </c>
      <c r="E1159" s="109"/>
      <c r="F1159" s="69">
        <f>SUMIF('Executive Pay Breakdown'!K:K,$B1159,'Executive Pay Breakdown'!M:M)</f>
        <v>0</v>
      </c>
      <c r="G1159" s="69">
        <f>SUMIF('Executive Pay Breakdown'!O:O,$B1159,'Executive Pay Breakdown'!Q:Q)</f>
        <v>7856366</v>
      </c>
      <c r="H1159" s="69">
        <f>SUMIF('Executive Pay Breakdown'!S:S,$B1159,'Executive Pay Breakdown'!U:U)</f>
        <v>4742859</v>
      </c>
      <c r="I1159" s="69">
        <f>SUMIF('Executive Pay Breakdown'!W:W,$B1159,'Executive Pay Breakdown'!Y:Y)</f>
        <v>5906970</v>
      </c>
      <c r="J1159" s="69">
        <f>SUMIF('Executive Pay Breakdown'!AA:AA,$B1159,'Executive Pay Breakdown'!AC:AC)</f>
        <v>7196581</v>
      </c>
      <c r="K1159" s="118"/>
      <c r="L1159" s="212"/>
      <c r="M1159" s="87"/>
      <c r="N1159" s="87"/>
      <c r="O1159" s="120" t="str">
        <f>MATCH(C1159,'Key Findings'!B:B,0)</f>
        <v>#N/A</v>
      </c>
    </row>
    <row r="1160" hidden="1">
      <c r="A1160" s="71"/>
      <c r="B1160" s="139" t="s">
        <v>1385</v>
      </c>
      <c r="C1160" s="87" t="s">
        <v>1381</v>
      </c>
      <c r="D1160" s="89">
        <f>SUMIF('Executive Pay Breakdown'!K:K,$B1160,'Executive Pay Breakdown'!M:M)+SUMIF('Executive Pay Breakdown'!O:O,$B1160,'Executive Pay Breakdown'!Q:Q)+SUMIF('Executive Pay Breakdown'!S:S,$B1160,'Executive Pay Breakdown'!U:U)+SUMIF('Executive Pay Breakdown'!W:W,$B1160,'Executive Pay Breakdown'!Y:Y)+SUMIF('Executive Pay Breakdown'!AA:AA,$B1160,'Executive Pay Breakdown'!AC:AC)</f>
        <v>16905410</v>
      </c>
      <c r="E1160" s="109"/>
      <c r="F1160" s="69">
        <f>SUMIF('Executive Pay Breakdown'!K:K,$B1160,'Executive Pay Breakdown'!M:M)</f>
        <v>5980925</v>
      </c>
      <c r="G1160" s="69">
        <f>SUMIF('Executive Pay Breakdown'!O:O,$B1160,'Executive Pay Breakdown'!Q:Q)</f>
        <v>7182281</v>
      </c>
      <c r="H1160" s="69">
        <f>SUMIF('Executive Pay Breakdown'!S:S,$B1160,'Executive Pay Breakdown'!U:U)</f>
        <v>0</v>
      </c>
      <c r="I1160" s="69">
        <f>SUMIF('Executive Pay Breakdown'!W:W,$B1160,'Executive Pay Breakdown'!Y:Y)</f>
        <v>0</v>
      </c>
      <c r="J1160" s="69">
        <f>SUMIF('Executive Pay Breakdown'!AA:AA,$B1160,'Executive Pay Breakdown'!AC:AC)</f>
        <v>3742204</v>
      </c>
      <c r="K1160" s="118"/>
      <c r="L1160" s="212"/>
      <c r="M1160" s="87"/>
      <c r="N1160" s="230"/>
      <c r="O1160" s="120" t="str">
        <f>MATCH(C1160,'Key Findings'!B:B,0)</f>
        <v>#N/A</v>
      </c>
    </row>
    <row r="1161" hidden="1">
      <c r="A1161" s="71"/>
      <c r="B1161" s="139" t="s">
        <v>1386</v>
      </c>
      <c r="C1161" s="87" t="s">
        <v>1381</v>
      </c>
      <c r="D1161" s="89">
        <f>SUMIF('Executive Pay Breakdown'!K:K,$B1161,'Executive Pay Breakdown'!M:M)+SUMIF('Executive Pay Breakdown'!O:O,$B1161,'Executive Pay Breakdown'!Q:Q)+SUMIF('Executive Pay Breakdown'!S:S,$B1161,'Executive Pay Breakdown'!U:U)+SUMIF('Executive Pay Breakdown'!W:W,$B1161,'Executive Pay Breakdown'!Y:Y)+SUMIF('Executive Pay Breakdown'!AA:AA,$B1161,'Executive Pay Breakdown'!AC:AC)</f>
        <v>12284102</v>
      </c>
      <c r="E1161" s="109"/>
      <c r="F1161" s="69">
        <f>SUMIF('Executive Pay Breakdown'!K:K,$B1161,'Executive Pay Breakdown'!M:M)</f>
        <v>0</v>
      </c>
      <c r="G1161" s="69">
        <f>SUMIF('Executive Pay Breakdown'!O:O,$B1161,'Executive Pay Breakdown'!Q:Q)</f>
        <v>0</v>
      </c>
      <c r="H1161" s="69">
        <f>SUMIF('Executive Pay Breakdown'!S:S,$B1161,'Executive Pay Breakdown'!U:U)</f>
        <v>0</v>
      </c>
      <c r="I1161" s="69">
        <f>SUMIF('Executive Pay Breakdown'!W:W,$B1161,'Executive Pay Breakdown'!Y:Y)</f>
        <v>0</v>
      </c>
      <c r="J1161" s="69">
        <f>SUMIF('Executive Pay Breakdown'!AA:AA,$B1161,'Executive Pay Breakdown'!AC:AC)</f>
        <v>12284102</v>
      </c>
      <c r="K1161" s="118"/>
      <c r="L1161" s="212"/>
      <c r="M1161" s="87"/>
      <c r="N1161" s="87"/>
      <c r="O1161" s="120" t="str">
        <f>MATCH(C1161,'Key Findings'!B:B,0)</f>
        <v>#N/A</v>
      </c>
    </row>
    <row r="1162" hidden="1">
      <c r="A1162" s="71"/>
      <c r="B1162" s="139" t="s">
        <v>1387</v>
      </c>
      <c r="C1162" s="87" t="s">
        <v>1381</v>
      </c>
      <c r="D1162" s="89">
        <f>SUMIF('Executive Pay Breakdown'!K:K,$B1162,'Executive Pay Breakdown'!M:M)+SUMIF('Executive Pay Breakdown'!O:O,$B1162,'Executive Pay Breakdown'!Q:Q)+SUMIF('Executive Pay Breakdown'!S:S,$B1162,'Executive Pay Breakdown'!U:U)+SUMIF('Executive Pay Breakdown'!W:W,$B1162,'Executive Pay Breakdown'!Y:Y)+SUMIF('Executive Pay Breakdown'!AA:AA,$B1162,'Executive Pay Breakdown'!AC:AC)</f>
        <v>10531232</v>
      </c>
      <c r="E1162" s="109"/>
      <c r="F1162" s="69">
        <f>SUMIF('Executive Pay Breakdown'!K:K,$B1162,'Executive Pay Breakdown'!M:M)</f>
        <v>0</v>
      </c>
      <c r="G1162" s="69">
        <f>SUMIF('Executive Pay Breakdown'!O:O,$B1162,'Executive Pay Breakdown'!Q:Q)</f>
        <v>0</v>
      </c>
      <c r="H1162" s="69">
        <f>SUMIF('Executive Pay Breakdown'!S:S,$B1162,'Executive Pay Breakdown'!U:U)</f>
        <v>4988072</v>
      </c>
      <c r="I1162" s="69">
        <f>SUMIF('Executive Pay Breakdown'!W:W,$B1162,'Executive Pay Breakdown'!Y:Y)</f>
        <v>5543160</v>
      </c>
      <c r="J1162" s="69">
        <f>SUMIF('Executive Pay Breakdown'!AA:AA,$B1162,'Executive Pay Breakdown'!AC:AC)</f>
        <v>0</v>
      </c>
      <c r="K1162" s="118"/>
      <c r="L1162" s="212"/>
      <c r="M1162" s="87"/>
      <c r="N1162" s="87"/>
      <c r="O1162" s="120" t="str">
        <f>MATCH(C1162,'Key Findings'!B:B,0)</f>
        <v>#N/A</v>
      </c>
    </row>
    <row r="1163" hidden="1">
      <c r="A1163" s="71"/>
      <c r="B1163" s="139" t="s">
        <v>1388</v>
      </c>
      <c r="C1163" s="87" t="s">
        <v>1381</v>
      </c>
      <c r="D1163" s="89">
        <f>SUMIF('Executive Pay Breakdown'!K:K,$B1163,'Executive Pay Breakdown'!M:M)+SUMIF('Executive Pay Breakdown'!O:O,$B1163,'Executive Pay Breakdown'!Q:Q)+SUMIF('Executive Pay Breakdown'!S:S,$B1163,'Executive Pay Breakdown'!U:U)+SUMIF('Executive Pay Breakdown'!W:W,$B1163,'Executive Pay Breakdown'!Y:Y)+SUMIF('Executive Pay Breakdown'!AA:AA,$B1163,'Executive Pay Breakdown'!AC:AC)</f>
        <v>9265389</v>
      </c>
      <c r="E1163" s="109"/>
      <c r="F1163" s="69">
        <f>SUMIF('Executive Pay Breakdown'!K:K,$B1163,'Executive Pay Breakdown'!M:M)</f>
        <v>0</v>
      </c>
      <c r="G1163" s="69">
        <f>SUMIF('Executive Pay Breakdown'!O:O,$B1163,'Executive Pay Breakdown'!Q:Q)</f>
        <v>0</v>
      </c>
      <c r="H1163" s="69">
        <f>SUMIF('Executive Pay Breakdown'!S:S,$B1163,'Executive Pay Breakdown'!U:U)</f>
        <v>0</v>
      </c>
      <c r="I1163" s="69">
        <f>SUMIF('Executive Pay Breakdown'!W:W,$B1163,'Executive Pay Breakdown'!Y:Y)</f>
        <v>0</v>
      </c>
      <c r="J1163" s="69">
        <f>SUMIF('Executive Pay Breakdown'!AA:AA,$B1163,'Executive Pay Breakdown'!AC:AC)</f>
        <v>9265389</v>
      </c>
      <c r="K1163" s="118"/>
      <c r="L1163" s="212"/>
      <c r="M1163" s="87"/>
      <c r="N1163" s="87"/>
      <c r="O1163" s="120" t="str">
        <f>MATCH(C1163,'Key Findings'!B:B,0)</f>
        <v>#N/A</v>
      </c>
    </row>
    <row r="1164" hidden="1">
      <c r="A1164" s="71"/>
      <c r="B1164" s="124" t="s">
        <v>1389</v>
      </c>
      <c r="C1164" s="87" t="s">
        <v>1381</v>
      </c>
      <c r="D1164" s="89">
        <f>SUMIF('Executive Pay Breakdown'!K:K,$B1164,'Executive Pay Breakdown'!M:M)+SUMIF('Executive Pay Breakdown'!O:O,$B1164,'Executive Pay Breakdown'!Q:Q)+SUMIF('Executive Pay Breakdown'!S:S,$B1164,'Executive Pay Breakdown'!U:U)+SUMIF('Executive Pay Breakdown'!W:W,$B1164,'Executive Pay Breakdown'!Y:Y)+SUMIF('Executive Pay Breakdown'!AA:AA,$B1164,'Executive Pay Breakdown'!AC:AC)</f>
        <v>6586543</v>
      </c>
      <c r="E1164" s="109"/>
      <c r="F1164" s="69">
        <f>SUMIF('Executive Pay Breakdown'!K:K,$B1164,'Executive Pay Breakdown'!M:M)</f>
        <v>6586543</v>
      </c>
      <c r="G1164" s="69">
        <f>SUMIF('Executive Pay Breakdown'!O:O,$B1164,'Executive Pay Breakdown'!Q:Q)</f>
        <v>0</v>
      </c>
      <c r="H1164" s="69">
        <f>SUMIF('Executive Pay Breakdown'!S:S,$B1164,'Executive Pay Breakdown'!U:U)</f>
        <v>0</v>
      </c>
      <c r="I1164" s="69">
        <f>SUMIF('Executive Pay Breakdown'!W:W,$B1164,'Executive Pay Breakdown'!Y:Y)</f>
        <v>0</v>
      </c>
      <c r="J1164" s="69">
        <f>SUMIF('Executive Pay Breakdown'!AA:AA,$B1164,'Executive Pay Breakdown'!AC:AC)</f>
        <v>0</v>
      </c>
      <c r="K1164" s="118"/>
      <c r="L1164" s="212"/>
      <c r="M1164" s="87"/>
      <c r="N1164" s="230"/>
      <c r="O1164" s="120" t="str">
        <f>MATCH(C1164,'Key Findings'!B:B,0)</f>
        <v>#N/A</v>
      </c>
    </row>
    <row r="1165" hidden="1">
      <c r="A1165" s="71"/>
      <c r="B1165" s="246" t="s">
        <v>1390</v>
      </c>
      <c r="C1165" s="87" t="s">
        <v>1381</v>
      </c>
      <c r="D1165" s="89">
        <f>SUMIF('Executive Pay Breakdown'!K:K,$B1165,'Executive Pay Breakdown'!M:M)+SUMIF('Executive Pay Breakdown'!O:O,$B1165,'Executive Pay Breakdown'!Q:Q)+SUMIF('Executive Pay Breakdown'!S:S,$B1165,'Executive Pay Breakdown'!U:U)+SUMIF('Executive Pay Breakdown'!W:W,$B1165,'Executive Pay Breakdown'!Y:Y)+SUMIF('Executive Pay Breakdown'!AA:AA,$B1165,'Executive Pay Breakdown'!AC:AC)</f>
        <v>5338654</v>
      </c>
      <c r="E1165" s="109"/>
      <c r="F1165" s="69">
        <f>SUMIF('Executive Pay Breakdown'!K:K,$B1165,'Executive Pay Breakdown'!M:M)</f>
        <v>0</v>
      </c>
      <c r="G1165" s="69">
        <f>SUMIF('Executive Pay Breakdown'!O:O,$B1165,'Executive Pay Breakdown'!Q:Q)</f>
        <v>0</v>
      </c>
      <c r="H1165" s="69">
        <f>SUMIF('Executive Pay Breakdown'!S:S,$B1165,'Executive Pay Breakdown'!U:U)</f>
        <v>0</v>
      </c>
      <c r="I1165" s="69">
        <f>SUMIF('Executive Pay Breakdown'!W:W,$B1165,'Executive Pay Breakdown'!Y:Y)</f>
        <v>0</v>
      </c>
      <c r="J1165" s="69">
        <f>SUMIF('Executive Pay Breakdown'!AA:AA,$B1165,'Executive Pay Breakdown'!AC:AC)</f>
        <v>5338654</v>
      </c>
      <c r="K1165" s="118"/>
      <c r="L1165" s="212"/>
      <c r="M1165" s="87"/>
      <c r="N1165" s="87"/>
      <c r="O1165" s="120" t="str">
        <f>MATCH(C1165,'Key Findings'!B:B,0)</f>
        <v>#N/A</v>
      </c>
    </row>
    <row r="1166" hidden="1">
      <c r="A1166" s="71"/>
      <c r="B1166" s="124" t="s">
        <v>1391</v>
      </c>
      <c r="C1166" s="87" t="s">
        <v>1392</v>
      </c>
      <c r="D1166" s="89">
        <f>SUMIF('Executive Pay Breakdown'!K:K,$B1166,'Executive Pay Breakdown'!M:M)+SUMIF('Executive Pay Breakdown'!O:O,$B1166,'Executive Pay Breakdown'!Q:Q)+SUMIF('Executive Pay Breakdown'!S:S,$B1166,'Executive Pay Breakdown'!U:U)+SUMIF('Executive Pay Breakdown'!W:W,$B1166,'Executive Pay Breakdown'!Y:Y)+SUMIF('Executive Pay Breakdown'!AA:AA,$B1166,'Executive Pay Breakdown'!AC:AC)</f>
        <v>93222423</v>
      </c>
      <c r="E1166" s="109"/>
      <c r="F1166" s="69">
        <f>SUMIF('Executive Pay Breakdown'!K:K,$B1166,'Executive Pay Breakdown'!M:M)</f>
        <v>27605311</v>
      </c>
      <c r="G1166" s="69">
        <f>SUMIF('Executive Pay Breakdown'!O:O,$B1166,'Executive Pay Breakdown'!Q:Q)</f>
        <v>20457553</v>
      </c>
      <c r="H1166" s="69">
        <f>SUMIF('Executive Pay Breakdown'!S:S,$B1166,'Executive Pay Breakdown'!U:U)</f>
        <v>20119971</v>
      </c>
      <c r="I1166" s="69">
        <f>SUMIF('Executive Pay Breakdown'!W:W,$B1166,'Executive Pay Breakdown'!Y:Y)</f>
        <v>7705792</v>
      </c>
      <c r="J1166" s="69">
        <f>SUMIF('Executive Pay Breakdown'!AA:AA,$B1166,'Executive Pay Breakdown'!AC:AC)</f>
        <v>17333796</v>
      </c>
      <c r="K1166" s="118"/>
      <c r="L1166" s="212"/>
      <c r="M1166" s="87"/>
      <c r="N1166" s="87"/>
      <c r="O1166" s="120" t="str">
        <f>MATCH(C1166,'Key Findings'!B:B,0)</f>
        <v>#N/A</v>
      </c>
    </row>
    <row r="1167" hidden="1">
      <c r="A1167" s="71"/>
      <c r="B1167" s="124" t="s">
        <v>1393</v>
      </c>
      <c r="C1167" s="87" t="s">
        <v>1392</v>
      </c>
      <c r="D1167" s="89">
        <f>SUMIF('Executive Pay Breakdown'!K:K,$B1167,'Executive Pay Breakdown'!M:M)+SUMIF('Executive Pay Breakdown'!O:O,$B1167,'Executive Pay Breakdown'!Q:Q)+SUMIF('Executive Pay Breakdown'!S:S,$B1167,'Executive Pay Breakdown'!U:U)+SUMIF('Executive Pay Breakdown'!W:W,$B1167,'Executive Pay Breakdown'!Y:Y)+SUMIF('Executive Pay Breakdown'!AA:AA,$B1167,'Executive Pay Breakdown'!AC:AC)</f>
        <v>31868507</v>
      </c>
      <c r="E1167" s="109"/>
      <c r="F1167" s="69">
        <f>SUMIF('Executive Pay Breakdown'!K:K,$B1167,'Executive Pay Breakdown'!M:M)</f>
        <v>6966027</v>
      </c>
      <c r="G1167" s="69">
        <f>SUMIF('Executive Pay Breakdown'!O:O,$B1167,'Executive Pay Breakdown'!Q:Q)</f>
        <v>7028711</v>
      </c>
      <c r="H1167" s="69">
        <f>SUMIF('Executive Pay Breakdown'!S:S,$B1167,'Executive Pay Breakdown'!U:U)</f>
        <v>5607317</v>
      </c>
      <c r="I1167" s="69">
        <f>SUMIF('Executive Pay Breakdown'!W:W,$B1167,'Executive Pay Breakdown'!Y:Y)</f>
        <v>6019588</v>
      </c>
      <c r="J1167" s="69">
        <f>SUMIF('Executive Pay Breakdown'!AA:AA,$B1167,'Executive Pay Breakdown'!AC:AC)</f>
        <v>6246864</v>
      </c>
      <c r="K1167" s="118"/>
      <c r="L1167" s="212"/>
      <c r="M1167" s="87"/>
      <c r="N1167" s="230"/>
      <c r="O1167" s="120" t="str">
        <f>MATCH(C1167,'Key Findings'!B:B,0)</f>
        <v>#N/A</v>
      </c>
    </row>
    <row r="1168" hidden="1">
      <c r="A1168" s="71"/>
      <c r="B1168" s="124" t="s">
        <v>1394</v>
      </c>
      <c r="C1168" s="87" t="s">
        <v>1392</v>
      </c>
      <c r="D1168" s="89">
        <f>SUMIF('Executive Pay Breakdown'!K:K,$B1168,'Executive Pay Breakdown'!M:M)+SUMIF('Executive Pay Breakdown'!O:O,$B1168,'Executive Pay Breakdown'!Q:Q)+SUMIF('Executive Pay Breakdown'!S:S,$B1168,'Executive Pay Breakdown'!U:U)+SUMIF('Executive Pay Breakdown'!W:W,$B1168,'Executive Pay Breakdown'!Y:Y)+SUMIF('Executive Pay Breakdown'!AA:AA,$B1168,'Executive Pay Breakdown'!AC:AC)</f>
        <v>31068620</v>
      </c>
      <c r="E1168" s="109"/>
      <c r="F1168" s="69">
        <f>SUMIF('Executive Pay Breakdown'!K:K,$B1168,'Executive Pay Breakdown'!M:M)</f>
        <v>7335463</v>
      </c>
      <c r="G1168" s="69">
        <f>SUMIF('Executive Pay Breakdown'!O:O,$B1168,'Executive Pay Breakdown'!Q:Q)</f>
        <v>6601292</v>
      </c>
      <c r="H1168" s="69">
        <f>SUMIF('Executive Pay Breakdown'!S:S,$B1168,'Executive Pay Breakdown'!U:U)</f>
        <v>5251717</v>
      </c>
      <c r="I1168" s="69">
        <f>SUMIF('Executive Pay Breakdown'!W:W,$B1168,'Executive Pay Breakdown'!Y:Y)</f>
        <v>5794024</v>
      </c>
      <c r="J1168" s="69">
        <f>SUMIF('Executive Pay Breakdown'!AA:AA,$B1168,'Executive Pay Breakdown'!AC:AC)</f>
        <v>6086124</v>
      </c>
      <c r="K1168" s="118"/>
      <c r="L1168" s="212"/>
      <c r="M1168" s="87"/>
      <c r="N1168" s="230"/>
      <c r="O1168" s="120" t="str">
        <f>MATCH(C1168,'Key Findings'!B:B,0)</f>
        <v>#N/A</v>
      </c>
    </row>
    <row r="1169" hidden="1">
      <c r="A1169" s="71"/>
      <c r="B1169" s="124" t="s">
        <v>1395</v>
      </c>
      <c r="C1169" s="87" t="s">
        <v>1392</v>
      </c>
      <c r="D1169" s="89">
        <f>SUMIF('Executive Pay Breakdown'!K:K,$B1169,'Executive Pay Breakdown'!M:M)+SUMIF('Executive Pay Breakdown'!O:O,$B1169,'Executive Pay Breakdown'!Q:Q)+SUMIF('Executive Pay Breakdown'!S:S,$B1169,'Executive Pay Breakdown'!U:U)+SUMIF('Executive Pay Breakdown'!W:W,$B1169,'Executive Pay Breakdown'!Y:Y)+SUMIF('Executive Pay Breakdown'!AA:AA,$B1169,'Executive Pay Breakdown'!AC:AC)</f>
        <v>25933232</v>
      </c>
      <c r="E1169" s="109"/>
      <c r="F1169" s="69">
        <f>SUMIF('Executive Pay Breakdown'!K:K,$B1169,'Executive Pay Breakdown'!M:M)</f>
        <v>25933232</v>
      </c>
      <c r="G1169" s="69">
        <f>SUMIF('Executive Pay Breakdown'!O:O,$B1169,'Executive Pay Breakdown'!Q:Q)</f>
        <v>0</v>
      </c>
      <c r="H1169" s="69">
        <f>SUMIF('Executive Pay Breakdown'!S:S,$B1169,'Executive Pay Breakdown'!U:U)</f>
        <v>0</v>
      </c>
      <c r="I1169" s="69">
        <f>SUMIF('Executive Pay Breakdown'!W:W,$B1169,'Executive Pay Breakdown'!Y:Y)</f>
        <v>0</v>
      </c>
      <c r="J1169" s="69">
        <f>SUMIF('Executive Pay Breakdown'!AA:AA,$B1169,'Executive Pay Breakdown'!AC:AC)</f>
        <v>0</v>
      </c>
      <c r="K1169" s="118"/>
      <c r="L1169" s="212"/>
      <c r="M1169" s="87"/>
      <c r="N1169" s="87"/>
      <c r="O1169" s="120" t="str">
        <f>MATCH(C1169,'Key Findings'!B:B,0)</f>
        <v>#N/A</v>
      </c>
    </row>
    <row r="1170" hidden="1">
      <c r="A1170" s="71"/>
      <c r="B1170" s="124" t="s">
        <v>1396</v>
      </c>
      <c r="C1170" s="87" t="s">
        <v>1392</v>
      </c>
      <c r="D1170" s="89">
        <f>SUMIF('Executive Pay Breakdown'!K:K,$B1170,'Executive Pay Breakdown'!M:M)+SUMIF('Executive Pay Breakdown'!O:O,$B1170,'Executive Pay Breakdown'!Q:Q)+SUMIF('Executive Pay Breakdown'!S:S,$B1170,'Executive Pay Breakdown'!U:U)+SUMIF('Executive Pay Breakdown'!W:W,$B1170,'Executive Pay Breakdown'!Y:Y)+SUMIF('Executive Pay Breakdown'!AA:AA,$B1170,'Executive Pay Breakdown'!AC:AC)</f>
        <v>20137955</v>
      </c>
      <c r="E1170" s="109"/>
      <c r="F1170" s="69">
        <f>SUMIF('Executive Pay Breakdown'!K:K,$B1170,'Executive Pay Breakdown'!M:M)</f>
        <v>0</v>
      </c>
      <c r="G1170" s="69">
        <f>SUMIF('Executive Pay Breakdown'!O:O,$B1170,'Executive Pay Breakdown'!Q:Q)</f>
        <v>3228006</v>
      </c>
      <c r="H1170" s="69">
        <f>SUMIF('Executive Pay Breakdown'!S:S,$B1170,'Executive Pay Breakdown'!U:U)</f>
        <v>5705900</v>
      </c>
      <c r="I1170" s="69">
        <f>SUMIF('Executive Pay Breakdown'!W:W,$B1170,'Executive Pay Breakdown'!Y:Y)</f>
        <v>5521671</v>
      </c>
      <c r="J1170" s="69">
        <f>SUMIF('Executive Pay Breakdown'!AA:AA,$B1170,'Executive Pay Breakdown'!AC:AC)</f>
        <v>5682378</v>
      </c>
      <c r="K1170" s="118"/>
      <c r="L1170" s="212"/>
      <c r="M1170" s="87"/>
      <c r="N1170" s="87"/>
      <c r="O1170" s="120" t="str">
        <f>MATCH(C1170,'Key Findings'!B:B,0)</f>
        <v>#N/A</v>
      </c>
    </row>
    <row r="1171" hidden="1">
      <c r="A1171" s="71"/>
      <c r="B1171" s="124" t="s">
        <v>1397</v>
      </c>
      <c r="C1171" s="87" t="s">
        <v>1392</v>
      </c>
      <c r="D1171" s="89">
        <f>SUMIF('Executive Pay Breakdown'!K:K,$B1171,'Executive Pay Breakdown'!M:M)+SUMIF('Executive Pay Breakdown'!O:O,$B1171,'Executive Pay Breakdown'!Q:Q)+SUMIF('Executive Pay Breakdown'!S:S,$B1171,'Executive Pay Breakdown'!U:U)+SUMIF('Executive Pay Breakdown'!W:W,$B1171,'Executive Pay Breakdown'!Y:Y)+SUMIF('Executive Pay Breakdown'!AA:AA,$B1171,'Executive Pay Breakdown'!AC:AC)</f>
        <v>18165360</v>
      </c>
      <c r="E1171" s="109"/>
      <c r="F1171" s="69">
        <f>SUMIF('Executive Pay Breakdown'!K:K,$B1171,'Executive Pay Breakdown'!M:M)</f>
        <v>0</v>
      </c>
      <c r="G1171" s="69">
        <f>SUMIF('Executive Pay Breakdown'!O:O,$B1171,'Executive Pay Breakdown'!Q:Q)</f>
        <v>6798255</v>
      </c>
      <c r="H1171" s="69">
        <f>SUMIF('Executive Pay Breakdown'!S:S,$B1171,'Executive Pay Breakdown'!U:U)</f>
        <v>5748873</v>
      </c>
      <c r="I1171" s="69">
        <f>SUMIF('Executive Pay Breakdown'!W:W,$B1171,'Executive Pay Breakdown'!Y:Y)</f>
        <v>5618232</v>
      </c>
      <c r="J1171" s="69">
        <f>SUMIF('Executive Pay Breakdown'!AA:AA,$B1171,'Executive Pay Breakdown'!AC:AC)</f>
        <v>0</v>
      </c>
      <c r="K1171" s="118"/>
      <c r="L1171" s="212"/>
      <c r="M1171" s="87"/>
      <c r="N1171" s="87"/>
      <c r="O1171" s="120" t="str">
        <f>MATCH(C1171,'Key Findings'!B:B,0)</f>
        <v>#N/A</v>
      </c>
    </row>
    <row r="1172" hidden="1">
      <c r="A1172" s="71"/>
      <c r="B1172" s="124" t="s">
        <v>1398</v>
      </c>
      <c r="C1172" s="87" t="s">
        <v>1392</v>
      </c>
      <c r="D1172" s="89">
        <f>SUMIF('Executive Pay Breakdown'!K:K,$B1172,'Executive Pay Breakdown'!M:M)+SUMIF('Executive Pay Breakdown'!O:O,$B1172,'Executive Pay Breakdown'!Q:Q)+SUMIF('Executive Pay Breakdown'!S:S,$B1172,'Executive Pay Breakdown'!U:U)+SUMIF('Executive Pay Breakdown'!W:W,$B1172,'Executive Pay Breakdown'!Y:Y)+SUMIF('Executive Pay Breakdown'!AA:AA,$B1172,'Executive Pay Breakdown'!AC:AC)</f>
        <v>8628785</v>
      </c>
      <c r="E1172" s="109"/>
      <c r="F1172" s="69">
        <f>SUMIF('Executive Pay Breakdown'!K:K,$B1172,'Executive Pay Breakdown'!M:M)</f>
        <v>5262486</v>
      </c>
      <c r="G1172" s="69">
        <f>SUMIF('Executive Pay Breakdown'!O:O,$B1172,'Executive Pay Breakdown'!Q:Q)</f>
        <v>3366299</v>
      </c>
      <c r="H1172" s="69">
        <f>SUMIF('Executive Pay Breakdown'!S:S,$B1172,'Executive Pay Breakdown'!U:U)</f>
        <v>0</v>
      </c>
      <c r="I1172" s="69">
        <f>SUMIF('Executive Pay Breakdown'!W:W,$B1172,'Executive Pay Breakdown'!Y:Y)</f>
        <v>0</v>
      </c>
      <c r="J1172" s="69">
        <f>SUMIF('Executive Pay Breakdown'!AA:AA,$B1172,'Executive Pay Breakdown'!AC:AC)</f>
        <v>0</v>
      </c>
      <c r="K1172" s="118"/>
      <c r="L1172" s="212"/>
      <c r="M1172" s="212"/>
      <c r="N1172" s="230"/>
      <c r="O1172" s="120" t="str">
        <f>MATCH(C1172,'Key Findings'!B:B,0)</f>
        <v>#N/A</v>
      </c>
    </row>
    <row r="1173" hidden="1">
      <c r="A1173" s="71"/>
      <c r="B1173" s="124" t="s">
        <v>1399</v>
      </c>
      <c r="C1173" s="87" t="s">
        <v>1392</v>
      </c>
      <c r="D1173" s="89">
        <f>SUMIF('Executive Pay Breakdown'!K:K,$B1173,'Executive Pay Breakdown'!M:M)+SUMIF('Executive Pay Breakdown'!O:O,$B1173,'Executive Pay Breakdown'!Q:Q)+SUMIF('Executive Pay Breakdown'!S:S,$B1173,'Executive Pay Breakdown'!U:U)+SUMIF('Executive Pay Breakdown'!W:W,$B1173,'Executive Pay Breakdown'!Y:Y)+SUMIF('Executive Pay Breakdown'!AA:AA,$B1173,'Executive Pay Breakdown'!AC:AC)</f>
        <v>6318140</v>
      </c>
      <c r="E1173" s="109"/>
      <c r="F1173" s="69">
        <f>SUMIF('Executive Pay Breakdown'!K:K,$B1173,'Executive Pay Breakdown'!M:M)</f>
        <v>0</v>
      </c>
      <c r="G1173" s="69">
        <f>SUMIF('Executive Pay Breakdown'!O:O,$B1173,'Executive Pay Breakdown'!Q:Q)</f>
        <v>0</v>
      </c>
      <c r="H1173" s="69">
        <f>SUMIF('Executive Pay Breakdown'!S:S,$B1173,'Executive Pay Breakdown'!U:U)</f>
        <v>0</v>
      </c>
      <c r="I1173" s="69">
        <f>SUMIF('Executive Pay Breakdown'!W:W,$B1173,'Executive Pay Breakdown'!Y:Y)</f>
        <v>0</v>
      </c>
      <c r="J1173" s="69">
        <f>SUMIF('Executive Pay Breakdown'!AA:AA,$B1173,'Executive Pay Breakdown'!AC:AC)</f>
        <v>6318140</v>
      </c>
      <c r="K1173" s="118"/>
      <c r="L1173" s="212"/>
      <c r="M1173" s="87"/>
      <c r="N1173" s="87"/>
      <c r="O1173" s="120" t="str">
        <f>MATCH(C1173,'Key Findings'!B:B,0)</f>
        <v>#N/A</v>
      </c>
    </row>
    <row r="1174" hidden="1">
      <c r="A1174" s="62"/>
      <c r="B1174" s="86" t="s">
        <v>1400</v>
      </c>
      <c r="C1174" s="233" t="s">
        <v>1401</v>
      </c>
      <c r="D1174" s="89">
        <f>SUMIF('Executive Pay Breakdown'!K:K,$B1174,'Executive Pay Breakdown'!M:M)+SUMIF('Executive Pay Breakdown'!O:O,$B1174,'Executive Pay Breakdown'!Q:Q)+SUMIF('Executive Pay Breakdown'!S:S,$B1174,'Executive Pay Breakdown'!U:U)+SUMIF('Executive Pay Breakdown'!W:W,$B1174,'Executive Pay Breakdown'!Y:Y)+SUMIF('Executive Pay Breakdown'!AA:AA,$B1174,'Executive Pay Breakdown'!AC:AC)</f>
        <v>47949494</v>
      </c>
      <c r="E1174" s="109"/>
      <c r="F1174" s="69">
        <f>SUMIF('Executive Pay Breakdown'!K:K,$B1174,'Executive Pay Breakdown'!M:M)</f>
        <v>12183785</v>
      </c>
      <c r="G1174" s="69">
        <f>SUMIF('Executive Pay Breakdown'!O:O,$B1174,'Executive Pay Breakdown'!Q:Q)</f>
        <v>11866337</v>
      </c>
      <c r="H1174" s="69">
        <f>SUMIF('Executive Pay Breakdown'!S:S,$B1174,'Executive Pay Breakdown'!U:U)</f>
        <v>8355409</v>
      </c>
      <c r="I1174" s="69">
        <f>SUMIF('Executive Pay Breakdown'!W:W,$B1174,'Executive Pay Breakdown'!Y:Y)</f>
        <v>8095434</v>
      </c>
      <c r="J1174" s="69">
        <f>SUMIF('Executive Pay Breakdown'!AA:AA,$B1174,'Executive Pay Breakdown'!AC:AC)</f>
        <v>7448529</v>
      </c>
      <c r="K1174" s="118"/>
      <c r="L1174" s="212"/>
      <c r="M1174" s="87"/>
      <c r="N1174" s="87"/>
      <c r="O1174" s="120" t="str">
        <f>MATCH(C1174,'Key Findings'!B:B,0)</f>
        <v>#N/A</v>
      </c>
    </row>
    <row r="1175" hidden="1">
      <c r="A1175" s="62"/>
      <c r="B1175" s="86" t="s">
        <v>1402</v>
      </c>
      <c r="C1175" s="233" t="s">
        <v>1401</v>
      </c>
      <c r="D1175" s="89">
        <f>SUMIF('Executive Pay Breakdown'!K:K,$B1175,'Executive Pay Breakdown'!M:M)+SUMIF('Executive Pay Breakdown'!O:O,$B1175,'Executive Pay Breakdown'!Q:Q)+SUMIF('Executive Pay Breakdown'!S:S,$B1175,'Executive Pay Breakdown'!U:U)+SUMIF('Executive Pay Breakdown'!W:W,$B1175,'Executive Pay Breakdown'!Y:Y)+SUMIF('Executive Pay Breakdown'!AA:AA,$B1175,'Executive Pay Breakdown'!AC:AC)</f>
        <v>19425344</v>
      </c>
      <c r="E1175" s="109"/>
      <c r="F1175" s="69">
        <f>SUMIF('Executive Pay Breakdown'!K:K,$B1175,'Executive Pay Breakdown'!M:M)</f>
        <v>4286832</v>
      </c>
      <c r="G1175" s="69">
        <f>SUMIF('Executive Pay Breakdown'!O:O,$B1175,'Executive Pay Breakdown'!Q:Q)</f>
        <v>3808008</v>
      </c>
      <c r="H1175" s="69">
        <f>SUMIF('Executive Pay Breakdown'!S:S,$B1175,'Executive Pay Breakdown'!U:U)</f>
        <v>3804029</v>
      </c>
      <c r="I1175" s="69">
        <f>SUMIF('Executive Pay Breakdown'!W:W,$B1175,'Executive Pay Breakdown'!Y:Y)</f>
        <v>3676661</v>
      </c>
      <c r="J1175" s="69">
        <f>SUMIF('Executive Pay Breakdown'!AA:AA,$B1175,'Executive Pay Breakdown'!AC:AC)</f>
        <v>3849814</v>
      </c>
      <c r="K1175" s="118"/>
      <c r="L1175" s="212"/>
      <c r="M1175" s="87"/>
      <c r="N1175" s="87"/>
      <c r="O1175" s="120" t="str">
        <f>MATCH(C1175,'Key Findings'!B:B,0)</f>
        <v>#N/A</v>
      </c>
    </row>
    <row r="1176" hidden="1">
      <c r="A1176" s="62"/>
      <c r="B1176" s="86" t="s">
        <v>1403</v>
      </c>
      <c r="C1176" s="233" t="s">
        <v>1401</v>
      </c>
      <c r="D1176" s="89">
        <f>SUMIF('Executive Pay Breakdown'!K:K,$B1176,'Executive Pay Breakdown'!M:M)+SUMIF('Executive Pay Breakdown'!O:O,$B1176,'Executive Pay Breakdown'!Q:Q)+SUMIF('Executive Pay Breakdown'!S:S,$B1176,'Executive Pay Breakdown'!U:U)+SUMIF('Executive Pay Breakdown'!W:W,$B1176,'Executive Pay Breakdown'!Y:Y)+SUMIF('Executive Pay Breakdown'!AA:AA,$B1176,'Executive Pay Breakdown'!AC:AC)</f>
        <v>18566066</v>
      </c>
      <c r="E1176" s="109"/>
      <c r="F1176" s="69">
        <f>SUMIF('Executive Pay Breakdown'!K:K,$B1176,'Executive Pay Breakdown'!M:M)</f>
        <v>3490014</v>
      </c>
      <c r="G1176" s="69">
        <f>SUMIF('Executive Pay Breakdown'!O:O,$B1176,'Executive Pay Breakdown'!Q:Q)</f>
        <v>3798645</v>
      </c>
      <c r="H1176" s="69">
        <f>SUMIF('Executive Pay Breakdown'!S:S,$B1176,'Executive Pay Breakdown'!U:U)</f>
        <v>3802445</v>
      </c>
      <c r="I1176" s="69">
        <f>SUMIF('Executive Pay Breakdown'!W:W,$B1176,'Executive Pay Breakdown'!Y:Y)</f>
        <v>3654936</v>
      </c>
      <c r="J1176" s="69">
        <f>SUMIF('Executive Pay Breakdown'!AA:AA,$B1176,'Executive Pay Breakdown'!AC:AC)</f>
        <v>3820026</v>
      </c>
      <c r="K1176" s="118"/>
      <c r="L1176" s="212"/>
      <c r="M1176" s="87"/>
      <c r="N1176" s="87"/>
      <c r="O1176" s="120" t="str">
        <f>MATCH(C1176,'Key Findings'!B:B,0)</f>
        <v>#N/A</v>
      </c>
    </row>
    <row r="1177" hidden="1">
      <c r="A1177" s="62"/>
      <c r="B1177" s="86" t="s">
        <v>1404</v>
      </c>
      <c r="C1177" s="233" t="s">
        <v>1401</v>
      </c>
      <c r="D1177" s="89">
        <f>SUMIF('Executive Pay Breakdown'!K:K,$B1177,'Executive Pay Breakdown'!M:M)+SUMIF('Executive Pay Breakdown'!O:O,$B1177,'Executive Pay Breakdown'!Q:Q)+SUMIF('Executive Pay Breakdown'!S:S,$B1177,'Executive Pay Breakdown'!U:U)+SUMIF('Executive Pay Breakdown'!W:W,$B1177,'Executive Pay Breakdown'!Y:Y)+SUMIF('Executive Pay Breakdown'!AA:AA,$B1177,'Executive Pay Breakdown'!AC:AC)</f>
        <v>12592706</v>
      </c>
      <c r="E1177" s="109"/>
      <c r="F1177" s="69">
        <f>SUMIF('Executive Pay Breakdown'!K:K,$B1177,'Executive Pay Breakdown'!M:M)</f>
        <v>2878731</v>
      </c>
      <c r="G1177" s="69">
        <f>SUMIF('Executive Pay Breakdown'!O:O,$B1177,'Executive Pay Breakdown'!Q:Q)</f>
        <v>2436143</v>
      </c>
      <c r="H1177" s="69">
        <f>SUMIF('Executive Pay Breakdown'!S:S,$B1177,'Executive Pay Breakdown'!U:U)</f>
        <v>2492368</v>
      </c>
      <c r="I1177" s="69">
        <f>SUMIF('Executive Pay Breakdown'!W:W,$B1177,'Executive Pay Breakdown'!Y:Y)</f>
        <v>2357871</v>
      </c>
      <c r="J1177" s="69">
        <f>SUMIF('Executive Pay Breakdown'!AA:AA,$B1177,'Executive Pay Breakdown'!AC:AC)</f>
        <v>2427593</v>
      </c>
      <c r="K1177" s="118"/>
      <c r="L1177" s="212"/>
      <c r="M1177" s="87"/>
      <c r="N1177" s="87"/>
      <c r="O1177" s="120" t="str">
        <f>MATCH(C1177,'Key Findings'!B:B,0)</f>
        <v>#N/A</v>
      </c>
    </row>
    <row r="1178" hidden="1">
      <c r="A1178" s="62"/>
      <c r="B1178" s="86" t="s">
        <v>1405</v>
      </c>
      <c r="C1178" s="233" t="s">
        <v>1401</v>
      </c>
      <c r="D1178" s="89">
        <f>SUMIF('Executive Pay Breakdown'!K:K,$B1178,'Executive Pay Breakdown'!M:M)+SUMIF('Executive Pay Breakdown'!O:O,$B1178,'Executive Pay Breakdown'!Q:Q)+SUMIF('Executive Pay Breakdown'!S:S,$B1178,'Executive Pay Breakdown'!U:U)+SUMIF('Executive Pay Breakdown'!W:W,$B1178,'Executive Pay Breakdown'!Y:Y)+SUMIF('Executive Pay Breakdown'!AA:AA,$B1178,'Executive Pay Breakdown'!AC:AC)</f>
        <v>5460337</v>
      </c>
      <c r="E1178" s="109"/>
      <c r="F1178" s="69">
        <f>SUMIF('Executive Pay Breakdown'!K:K,$B1178,'Executive Pay Breakdown'!M:M)</f>
        <v>5460337</v>
      </c>
      <c r="G1178" s="69">
        <f>SUMIF('Executive Pay Breakdown'!O:O,$B1178,'Executive Pay Breakdown'!Q:Q)</f>
        <v>0</v>
      </c>
      <c r="H1178" s="69">
        <f>SUMIF('Executive Pay Breakdown'!S:S,$B1178,'Executive Pay Breakdown'!U:U)</f>
        <v>0</v>
      </c>
      <c r="I1178" s="69">
        <f>SUMIF('Executive Pay Breakdown'!W:W,$B1178,'Executive Pay Breakdown'!Y:Y)</f>
        <v>0</v>
      </c>
      <c r="J1178" s="69">
        <f>SUMIF('Executive Pay Breakdown'!AA:AA,$B1178,'Executive Pay Breakdown'!AC:AC)</f>
        <v>0</v>
      </c>
      <c r="K1178" s="118"/>
      <c r="L1178" s="212"/>
      <c r="M1178" s="87"/>
      <c r="N1178" s="87"/>
      <c r="O1178" s="120" t="str">
        <f>MATCH(C1178,'Key Findings'!B:B,0)</f>
        <v>#N/A</v>
      </c>
    </row>
    <row r="1179" hidden="1">
      <c r="A1179" s="62"/>
      <c r="B1179" s="86" t="s">
        <v>1406</v>
      </c>
      <c r="C1179" s="233" t="s">
        <v>1401</v>
      </c>
      <c r="D1179" s="89">
        <f>SUMIF('Executive Pay Breakdown'!K:K,$B1179,'Executive Pay Breakdown'!M:M)+SUMIF('Executive Pay Breakdown'!O:O,$B1179,'Executive Pay Breakdown'!Q:Q)+SUMIF('Executive Pay Breakdown'!S:S,$B1179,'Executive Pay Breakdown'!U:U)+SUMIF('Executive Pay Breakdown'!W:W,$B1179,'Executive Pay Breakdown'!Y:Y)+SUMIF('Executive Pay Breakdown'!AA:AA,$B1179,'Executive Pay Breakdown'!AC:AC)</f>
        <v>3502387</v>
      </c>
      <c r="E1179" s="109"/>
      <c r="F1179" s="69">
        <f>SUMIF('Executive Pay Breakdown'!K:K,$B1179,'Executive Pay Breakdown'!M:M)</f>
        <v>3502387</v>
      </c>
      <c r="G1179" s="69">
        <f>SUMIF('Executive Pay Breakdown'!O:O,$B1179,'Executive Pay Breakdown'!Q:Q)</f>
        <v>0</v>
      </c>
      <c r="H1179" s="69">
        <f>SUMIF('Executive Pay Breakdown'!S:S,$B1179,'Executive Pay Breakdown'!U:U)</f>
        <v>0</v>
      </c>
      <c r="I1179" s="69">
        <f>SUMIF('Executive Pay Breakdown'!W:W,$B1179,'Executive Pay Breakdown'!Y:Y)</f>
        <v>0</v>
      </c>
      <c r="J1179" s="69">
        <f>SUMIF('Executive Pay Breakdown'!AA:AA,$B1179,'Executive Pay Breakdown'!AC:AC)</f>
        <v>0</v>
      </c>
      <c r="K1179" s="118"/>
      <c r="L1179" s="212"/>
      <c r="M1179" s="87"/>
      <c r="N1179" s="87"/>
      <c r="O1179" s="120" t="str">
        <f>MATCH(C1179,'Key Findings'!B:B,0)</f>
        <v>#N/A</v>
      </c>
    </row>
    <row r="1180" hidden="1">
      <c r="A1180" s="62"/>
      <c r="B1180" s="86" t="s">
        <v>1407</v>
      </c>
      <c r="C1180" s="233" t="s">
        <v>1401</v>
      </c>
      <c r="D1180" s="89">
        <f>SUMIF('Executive Pay Breakdown'!K:K,$B1180,'Executive Pay Breakdown'!M:M)+SUMIF('Executive Pay Breakdown'!O:O,$B1180,'Executive Pay Breakdown'!Q:Q)+SUMIF('Executive Pay Breakdown'!S:S,$B1180,'Executive Pay Breakdown'!U:U)+SUMIF('Executive Pay Breakdown'!W:W,$B1180,'Executive Pay Breakdown'!Y:Y)+SUMIF('Executive Pay Breakdown'!AA:AA,$B1180,'Executive Pay Breakdown'!AC:AC)</f>
        <v>2419974</v>
      </c>
      <c r="E1180" s="109"/>
      <c r="F1180" s="69">
        <f>SUMIF('Executive Pay Breakdown'!K:K,$B1180,'Executive Pay Breakdown'!M:M)</f>
        <v>2419974</v>
      </c>
      <c r="G1180" s="69">
        <f>SUMIF('Executive Pay Breakdown'!O:O,$B1180,'Executive Pay Breakdown'!Q:Q)</f>
        <v>0</v>
      </c>
      <c r="H1180" s="69">
        <f>SUMIF('Executive Pay Breakdown'!S:S,$B1180,'Executive Pay Breakdown'!U:U)</f>
        <v>0</v>
      </c>
      <c r="I1180" s="69">
        <f>SUMIF('Executive Pay Breakdown'!W:W,$B1180,'Executive Pay Breakdown'!Y:Y)</f>
        <v>0</v>
      </c>
      <c r="J1180" s="69">
        <f>SUMIF('Executive Pay Breakdown'!AA:AA,$B1180,'Executive Pay Breakdown'!AC:AC)</f>
        <v>0</v>
      </c>
      <c r="K1180" s="118"/>
      <c r="L1180" s="212"/>
      <c r="M1180" s="87"/>
      <c r="N1180" s="87"/>
      <c r="O1180" s="120" t="str">
        <f>MATCH(C1180,'Key Findings'!B:B,0)</f>
        <v>#N/A</v>
      </c>
    </row>
    <row r="1181" hidden="1">
      <c r="A1181" s="62"/>
      <c r="B1181" s="86" t="s">
        <v>1408</v>
      </c>
      <c r="C1181" s="233" t="s">
        <v>1401</v>
      </c>
      <c r="D1181" s="89">
        <f>SUMIF('Executive Pay Breakdown'!K:K,$B1181,'Executive Pay Breakdown'!M:M)+SUMIF('Executive Pay Breakdown'!O:O,$B1181,'Executive Pay Breakdown'!Q:Q)+SUMIF('Executive Pay Breakdown'!S:S,$B1181,'Executive Pay Breakdown'!U:U)+SUMIF('Executive Pay Breakdown'!W:W,$B1181,'Executive Pay Breakdown'!Y:Y)+SUMIF('Executive Pay Breakdown'!AA:AA,$B1181,'Executive Pay Breakdown'!AC:AC)</f>
        <v>9652263</v>
      </c>
      <c r="E1181" s="109"/>
      <c r="F1181" s="69">
        <f>SUMIF('Executive Pay Breakdown'!K:K,$B1181,'Executive Pay Breakdown'!M:M)</f>
        <v>0</v>
      </c>
      <c r="G1181" s="69">
        <f>SUMIF('Executive Pay Breakdown'!O:O,$B1181,'Executive Pay Breakdown'!Q:Q)</f>
        <v>2456574</v>
      </c>
      <c r="H1181" s="69">
        <f>SUMIF('Executive Pay Breakdown'!S:S,$B1181,'Executive Pay Breakdown'!U:U)</f>
        <v>2491064</v>
      </c>
      <c r="I1181" s="69">
        <f>SUMIF('Executive Pay Breakdown'!W:W,$B1181,'Executive Pay Breakdown'!Y:Y)</f>
        <v>2332117</v>
      </c>
      <c r="J1181" s="69">
        <f>SUMIF('Executive Pay Breakdown'!AA:AA,$B1181,'Executive Pay Breakdown'!AC:AC)</f>
        <v>2372508</v>
      </c>
      <c r="K1181" s="118"/>
      <c r="L1181" s="212"/>
      <c r="M1181" s="87"/>
      <c r="N1181" s="87"/>
      <c r="O1181" s="120" t="str">
        <f>MATCH(C1181,'Key Findings'!B:B,0)</f>
        <v>#N/A</v>
      </c>
    </row>
    <row r="1182" hidden="1">
      <c r="A1182" s="62"/>
      <c r="B1182" s="127" t="s">
        <v>1409</v>
      </c>
      <c r="C1182" s="87" t="s">
        <v>1410</v>
      </c>
      <c r="D1182" s="89">
        <f>SUMIF('Executive Pay Breakdown'!K:K,$B1182,'Executive Pay Breakdown'!M:M)+SUMIF('Executive Pay Breakdown'!O:O,$B1182,'Executive Pay Breakdown'!Q:Q)+SUMIF('Executive Pay Breakdown'!S:S,$B1182,'Executive Pay Breakdown'!U:U)+SUMIF('Executive Pay Breakdown'!W:W,$B1182,'Executive Pay Breakdown'!Y:Y)+SUMIF('Executive Pay Breakdown'!AA:AA,$B1182,'Executive Pay Breakdown'!AC:AC)</f>
        <v>143521474</v>
      </c>
      <c r="E1182" s="109"/>
      <c r="F1182" s="69">
        <f>SUMIF('Executive Pay Breakdown'!K:K,$B1182,'Executive Pay Breakdown'!M:M)</f>
        <v>32726109</v>
      </c>
      <c r="G1182" s="69">
        <f>SUMIF('Executive Pay Breakdown'!O:O,$B1182,'Executive Pay Breakdown'!Q:Q)</f>
        <v>32587335</v>
      </c>
      <c r="H1182" s="69">
        <f>SUMIF('Executive Pay Breakdown'!S:S,$B1182,'Executive Pay Breakdown'!U:U)</f>
        <v>27356432</v>
      </c>
      <c r="I1182" s="69">
        <f>SUMIF('Executive Pay Breakdown'!W:W,$B1182,'Executive Pay Breakdown'!Y:Y)</f>
        <v>24308254</v>
      </c>
      <c r="J1182" s="69">
        <f>SUMIF('Executive Pay Breakdown'!AA:AA,$B1182,'Executive Pay Breakdown'!AC:AC)</f>
        <v>26543344</v>
      </c>
      <c r="K1182" s="118"/>
      <c r="L1182" s="212"/>
      <c r="M1182" s="87"/>
      <c r="N1182" s="87"/>
      <c r="O1182" s="120" t="str">
        <f>MATCH(C1182,'Key Findings'!B:B,0)</f>
        <v>#N/A</v>
      </c>
    </row>
    <row r="1183" hidden="1">
      <c r="A1183" s="62"/>
      <c r="B1183" s="127" t="s">
        <v>1411</v>
      </c>
      <c r="C1183" s="87" t="s">
        <v>1410</v>
      </c>
      <c r="D1183" s="89">
        <f>SUMIF('Executive Pay Breakdown'!K:K,$B1183,'Executive Pay Breakdown'!M:M)+SUMIF('Executive Pay Breakdown'!O:O,$B1183,'Executive Pay Breakdown'!Q:Q)+SUMIF('Executive Pay Breakdown'!S:S,$B1183,'Executive Pay Breakdown'!U:U)+SUMIF('Executive Pay Breakdown'!W:W,$B1183,'Executive Pay Breakdown'!Y:Y)+SUMIF('Executive Pay Breakdown'!AA:AA,$B1183,'Executive Pay Breakdown'!AC:AC)</f>
        <v>113898091</v>
      </c>
      <c r="E1183" s="109"/>
      <c r="F1183" s="69">
        <f>SUMIF('Executive Pay Breakdown'!K:K,$B1183,'Executive Pay Breakdown'!M:M)</f>
        <v>24933089</v>
      </c>
      <c r="G1183" s="69">
        <f>SUMIF('Executive Pay Breakdown'!O:O,$B1183,'Executive Pay Breakdown'!Q:Q)</f>
        <v>26750780</v>
      </c>
      <c r="H1183" s="69">
        <f>SUMIF('Executive Pay Breakdown'!S:S,$B1183,'Executive Pay Breakdown'!U:U)</f>
        <v>22115203</v>
      </c>
      <c r="I1183" s="69">
        <f>SUMIF('Executive Pay Breakdown'!W:W,$B1183,'Executive Pay Breakdown'!Y:Y)</f>
        <v>19257050</v>
      </c>
      <c r="J1183" s="69">
        <f>SUMIF('Executive Pay Breakdown'!AA:AA,$B1183,'Executive Pay Breakdown'!AC:AC)</f>
        <v>20841969</v>
      </c>
      <c r="K1183" s="118"/>
      <c r="L1183" s="212"/>
      <c r="M1183" s="87"/>
      <c r="N1183" s="87"/>
      <c r="O1183" s="120" t="str">
        <f>MATCH(C1183,'Key Findings'!B:B,0)</f>
        <v>#N/A</v>
      </c>
    </row>
    <row r="1184" hidden="1">
      <c r="A1184" s="62"/>
      <c r="B1184" s="127" t="s">
        <v>1412</v>
      </c>
      <c r="C1184" s="87" t="s">
        <v>1410</v>
      </c>
      <c r="D1184" s="89">
        <f>SUMIF('Executive Pay Breakdown'!K:K,$B1184,'Executive Pay Breakdown'!M:M)+SUMIF('Executive Pay Breakdown'!O:O,$B1184,'Executive Pay Breakdown'!Q:Q)+SUMIF('Executive Pay Breakdown'!S:S,$B1184,'Executive Pay Breakdown'!U:U)+SUMIF('Executive Pay Breakdown'!W:W,$B1184,'Executive Pay Breakdown'!Y:Y)+SUMIF('Executive Pay Breakdown'!AA:AA,$B1184,'Executive Pay Breakdown'!AC:AC)</f>
        <v>49333095</v>
      </c>
      <c r="E1184" s="109"/>
      <c r="F1184" s="69">
        <f>SUMIF('Executive Pay Breakdown'!K:K,$B1184,'Executive Pay Breakdown'!M:M)</f>
        <v>12228683</v>
      </c>
      <c r="G1184" s="69">
        <f>SUMIF('Executive Pay Breakdown'!O:O,$B1184,'Executive Pay Breakdown'!Q:Q)</f>
        <v>12589041</v>
      </c>
      <c r="H1184" s="69">
        <f>SUMIF('Executive Pay Breakdown'!S:S,$B1184,'Executive Pay Breakdown'!U:U)</f>
        <v>10121854</v>
      </c>
      <c r="I1184" s="69">
        <f>SUMIF('Executive Pay Breakdown'!W:W,$B1184,'Executive Pay Breakdown'!Y:Y)</f>
        <v>6463208</v>
      </c>
      <c r="J1184" s="69">
        <f>SUMIF('Executive Pay Breakdown'!AA:AA,$B1184,'Executive Pay Breakdown'!AC:AC)</f>
        <v>7930309</v>
      </c>
      <c r="K1184" s="118"/>
      <c r="L1184" s="212"/>
      <c r="M1184" s="87"/>
      <c r="N1184" s="230"/>
      <c r="O1184" s="120" t="str">
        <f>MATCH(C1184,'Key Findings'!B:B,0)</f>
        <v>#N/A</v>
      </c>
    </row>
    <row r="1185" hidden="1">
      <c r="A1185" s="62"/>
      <c r="B1185" s="127" t="s">
        <v>1413</v>
      </c>
      <c r="C1185" s="87" t="s">
        <v>1410</v>
      </c>
      <c r="D1185" s="89">
        <f>SUMIF('Executive Pay Breakdown'!K:K,$B1185,'Executive Pay Breakdown'!M:M)+SUMIF('Executive Pay Breakdown'!O:O,$B1185,'Executive Pay Breakdown'!Q:Q)+SUMIF('Executive Pay Breakdown'!S:S,$B1185,'Executive Pay Breakdown'!U:U)+SUMIF('Executive Pay Breakdown'!W:W,$B1185,'Executive Pay Breakdown'!Y:Y)+SUMIF('Executive Pay Breakdown'!AA:AA,$B1185,'Executive Pay Breakdown'!AC:AC)</f>
        <v>42546731</v>
      </c>
      <c r="E1185" s="109"/>
      <c r="F1185" s="69">
        <f>SUMIF('Executive Pay Breakdown'!K:K,$B1185,'Executive Pay Breakdown'!M:M)</f>
        <v>9839883</v>
      </c>
      <c r="G1185" s="69">
        <f>SUMIF('Executive Pay Breakdown'!O:O,$B1185,'Executive Pay Breakdown'!Q:Q)</f>
        <v>10797999</v>
      </c>
      <c r="H1185" s="69">
        <f>SUMIF('Executive Pay Breakdown'!S:S,$B1185,'Executive Pay Breakdown'!U:U)</f>
        <v>8424738</v>
      </c>
      <c r="I1185" s="69">
        <f>SUMIF('Executive Pay Breakdown'!W:W,$B1185,'Executive Pay Breakdown'!Y:Y)</f>
        <v>6620863</v>
      </c>
      <c r="J1185" s="69">
        <f>SUMIF('Executive Pay Breakdown'!AA:AA,$B1185,'Executive Pay Breakdown'!AC:AC)</f>
        <v>6863248</v>
      </c>
      <c r="K1185" s="118"/>
      <c r="L1185" s="212"/>
      <c r="M1185" s="87"/>
      <c r="N1185" s="230"/>
      <c r="O1185" s="120" t="str">
        <f>MATCH(C1185,'Key Findings'!B:B,0)</f>
        <v>#N/A</v>
      </c>
    </row>
    <row r="1186" hidden="1">
      <c r="A1186" s="62"/>
      <c r="B1186" s="127" t="s">
        <v>1414</v>
      </c>
      <c r="C1186" s="87" t="s">
        <v>1410</v>
      </c>
      <c r="D1186" s="89">
        <f>SUMIF('Executive Pay Breakdown'!K:K,$B1186,'Executive Pay Breakdown'!M:M)+SUMIF('Executive Pay Breakdown'!O:O,$B1186,'Executive Pay Breakdown'!Q:Q)+SUMIF('Executive Pay Breakdown'!S:S,$B1186,'Executive Pay Breakdown'!U:U)+SUMIF('Executive Pay Breakdown'!W:W,$B1186,'Executive Pay Breakdown'!Y:Y)+SUMIF('Executive Pay Breakdown'!AA:AA,$B1186,'Executive Pay Breakdown'!AC:AC)</f>
        <v>39322257</v>
      </c>
      <c r="E1186" s="109"/>
      <c r="F1186" s="69">
        <f>SUMIF('Executive Pay Breakdown'!K:K,$B1186,'Executive Pay Breakdown'!M:M)</f>
        <v>8129985</v>
      </c>
      <c r="G1186" s="69">
        <f>SUMIF('Executive Pay Breakdown'!O:O,$B1186,'Executive Pay Breakdown'!Q:Q)</f>
        <v>9119557</v>
      </c>
      <c r="H1186" s="69">
        <f>SUMIF('Executive Pay Breakdown'!S:S,$B1186,'Executive Pay Breakdown'!U:U)</f>
        <v>7583556</v>
      </c>
      <c r="I1186" s="69">
        <f>SUMIF('Executive Pay Breakdown'!W:W,$B1186,'Executive Pay Breakdown'!Y:Y)</f>
        <v>7895933</v>
      </c>
      <c r="J1186" s="69">
        <f>SUMIF('Executive Pay Breakdown'!AA:AA,$B1186,'Executive Pay Breakdown'!AC:AC)</f>
        <v>6593226</v>
      </c>
      <c r="K1186" s="118"/>
      <c r="L1186" s="212"/>
      <c r="M1186" s="87"/>
      <c r="N1186" s="230"/>
      <c r="O1186" s="120" t="str">
        <f>MATCH(C1186,'Key Findings'!B:B,0)</f>
        <v>#N/A</v>
      </c>
    </row>
    <row r="1187" hidden="1">
      <c r="A1187" s="62"/>
      <c r="B1187" s="127" t="s">
        <v>1415</v>
      </c>
      <c r="C1187" s="87" t="s">
        <v>1410</v>
      </c>
      <c r="D1187" s="89">
        <f>SUMIF('Executive Pay Breakdown'!K:K,$B1187,'Executive Pay Breakdown'!M:M)+SUMIF('Executive Pay Breakdown'!O:O,$B1187,'Executive Pay Breakdown'!Q:Q)+SUMIF('Executive Pay Breakdown'!S:S,$B1187,'Executive Pay Breakdown'!U:U)+SUMIF('Executive Pay Breakdown'!W:W,$B1187,'Executive Pay Breakdown'!Y:Y)+SUMIF('Executive Pay Breakdown'!AA:AA,$B1187,'Executive Pay Breakdown'!AC:AC)</f>
        <v>8663465</v>
      </c>
      <c r="E1187" s="109"/>
      <c r="F1187" s="69">
        <f>SUMIF('Executive Pay Breakdown'!K:K,$B1187,'Executive Pay Breakdown'!M:M)</f>
        <v>0</v>
      </c>
      <c r="G1187" s="69">
        <f>SUMIF('Executive Pay Breakdown'!O:O,$B1187,'Executive Pay Breakdown'!Q:Q)</f>
        <v>0</v>
      </c>
      <c r="H1187" s="69">
        <f>SUMIF('Executive Pay Breakdown'!S:S,$B1187,'Executive Pay Breakdown'!U:U)</f>
        <v>8663465</v>
      </c>
      <c r="I1187" s="69">
        <f>SUMIF('Executive Pay Breakdown'!W:W,$B1187,'Executive Pay Breakdown'!Y:Y)</f>
        <v>0</v>
      </c>
      <c r="J1187" s="69">
        <f>SUMIF('Executive Pay Breakdown'!AA:AA,$B1187,'Executive Pay Breakdown'!AC:AC)</f>
        <v>0</v>
      </c>
      <c r="K1187" s="118"/>
      <c r="L1187" s="212"/>
      <c r="M1187" s="87"/>
      <c r="N1187" s="87"/>
      <c r="O1187" s="120" t="str">
        <f>MATCH(C1187,'Key Findings'!B:B,0)</f>
        <v>#N/A</v>
      </c>
    </row>
    <row r="1188" hidden="1">
      <c r="A1188" s="71"/>
      <c r="B1188" s="124" t="s">
        <v>1416</v>
      </c>
      <c r="C1188" s="87" t="s">
        <v>1417</v>
      </c>
      <c r="D1188" s="89">
        <f>SUMIF('Executive Pay Breakdown'!K:K,$B1188,'Executive Pay Breakdown'!M:M)+SUMIF('Executive Pay Breakdown'!O:O,$B1188,'Executive Pay Breakdown'!Q:Q)+SUMIF('Executive Pay Breakdown'!S:S,$B1188,'Executive Pay Breakdown'!U:U)+SUMIF('Executive Pay Breakdown'!W:W,$B1188,'Executive Pay Breakdown'!Y:Y)+SUMIF('Executive Pay Breakdown'!AA:AA,$B1188,'Executive Pay Breakdown'!AC:AC)</f>
        <v>57862680</v>
      </c>
      <c r="E1188" s="109"/>
      <c r="F1188" s="69">
        <f>SUMIF('Executive Pay Breakdown'!K:K,$B1188,'Executive Pay Breakdown'!M:M)</f>
        <v>12837677</v>
      </c>
      <c r="G1188" s="69">
        <f>SUMIF('Executive Pay Breakdown'!O:O,$B1188,'Executive Pay Breakdown'!Q:Q)</f>
        <v>15631157</v>
      </c>
      <c r="H1188" s="69">
        <f>SUMIF('Executive Pay Breakdown'!S:S,$B1188,'Executive Pay Breakdown'!U:U)</f>
        <v>12033503</v>
      </c>
      <c r="I1188" s="69">
        <f>SUMIF('Executive Pay Breakdown'!W:W,$B1188,'Executive Pay Breakdown'!Y:Y)</f>
        <v>11440663</v>
      </c>
      <c r="J1188" s="69">
        <f>SUMIF('Executive Pay Breakdown'!AA:AA,$B1188,'Executive Pay Breakdown'!AC:AC)</f>
        <v>5919680</v>
      </c>
      <c r="K1188" s="118"/>
      <c r="L1188" s="212"/>
      <c r="M1188" s="87"/>
      <c r="N1188" s="230"/>
      <c r="O1188" s="120" t="str">
        <f>MATCH(C1188,'Key Findings'!B:B,0)</f>
        <v>#N/A</v>
      </c>
    </row>
    <row r="1189" hidden="1">
      <c r="A1189" s="81"/>
      <c r="B1189" s="134" t="s">
        <v>1418</v>
      </c>
      <c r="C1189" s="87" t="s">
        <v>1417</v>
      </c>
      <c r="D1189" s="89">
        <f>SUMIF('Executive Pay Breakdown'!K:K,$B1189,'Executive Pay Breakdown'!M:M)+SUMIF('Executive Pay Breakdown'!O:O,$B1189,'Executive Pay Breakdown'!Q:Q)+SUMIF('Executive Pay Breakdown'!S:S,$B1189,'Executive Pay Breakdown'!U:U)+SUMIF('Executive Pay Breakdown'!W:W,$B1189,'Executive Pay Breakdown'!Y:Y)+SUMIF('Executive Pay Breakdown'!AA:AA,$B1189,'Executive Pay Breakdown'!AC:AC)</f>
        <v>31621910</v>
      </c>
      <c r="E1189" s="109"/>
      <c r="F1189" s="69">
        <f>SUMIF('Executive Pay Breakdown'!K:K,$B1189,'Executive Pay Breakdown'!M:M)</f>
        <v>0</v>
      </c>
      <c r="G1189" s="69">
        <f>SUMIF('Executive Pay Breakdown'!O:O,$B1189,'Executive Pay Breakdown'!Q:Q)</f>
        <v>0</v>
      </c>
      <c r="H1189" s="69">
        <f>SUMIF('Executive Pay Breakdown'!S:S,$B1189,'Executive Pay Breakdown'!U:U)</f>
        <v>0</v>
      </c>
      <c r="I1189" s="69">
        <f>SUMIF('Executive Pay Breakdown'!W:W,$B1189,'Executive Pay Breakdown'!Y:Y)</f>
        <v>14239424</v>
      </c>
      <c r="J1189" s="69">
        <f>SUMIF('Executive Pay Breakdown'!AA:AA,$B1189,'Executive Pay Breakdown'!AC:AC)</f>
        <v>17382486</v>
      </c>
      <c r="K1189" s="118"/>
      <c r="L1189" s="212"/>
      <c r="M1189" s="87"/>
      <c r="N1189" s="87"/>
      <c r="O1189" s="120" t="str">
        <f>MATCH(C1189,'Key Findings'!B:B,0)</f>
        <v>#N/A</v>
      </c>
    </row>
    <row r="1190" hidden="1">
      <c r="A1190" s="71"/>
      <c r="B1190" s="124" t="s">
        <v>1419</v>
      </c>
      <c r="C1190" s="87" t="s">
        <v>1417</v>
      </c>
      <c r="D1190" s="89">
        <f>SUMIF('Executive Pay Breakdown'!K:K,$B1190,'Executive Pay Breakdown'!M:M)+SUMIF('Executive Pay Breakdown'!O:O,$B1190,'Executive Pay Breakdown'!Q:Q)+SUMIF('Executive Pay Breakdown'!S:S,$B1190,'Executive Pay Breakdown'!U:U)+SUMIF('Executive Pay Breakdown'!W:W,$B1190,'Executive Pay Breakdown'!Y:Y)+SUMIF('Executive Pay Breakdown'!AA:AA,$B1190,'Executive Pay Breakdown'!AC:AC)</f>
        <v>26770164</v>
      </c>
      <c r="E1190" s="109"/>
      <c r="F1190" s="69">
        <f>SUMIF('Executive Pay Breakdown'!K:K,$B1190,'Executive Pay Breakdown'!M:M)</f>
        <v>0</v>
      </c>
      <c r="G1190" s="69">
        <f>SUMIF('Executive Pay Breakdown'!O:O,$B1190,'Executive Pay Breakdown'!Q:Q)</f>
        <v>0</v>
      </c>
      <c r="H1190" s="69">
        <f>SUMIF('Executive Pay Breakdown'!S:S,$B1190,'Executive Pay Breakdown'!U:U)</f>
        <v>8860064</v>
      </c>
      <c r="I1190" s="69">
        <f>SUMIF('Executive Pay Breakdown'!W:W,$B1190,'Executive Pay Breakdown'!Y:Y)</f>
        <v>11216335</v>
      </c>
      <c r="J1190" s="69">
        <f>SUMIF('Executive Pay Breakdown'!AA:AA,$B1190,'Executive Pay Breakdown'!AC:AC)</f>
        <v>6693765</v>
      </c>
      <c r="K1190" s="118"/>
      <c r="L1190" s="212"/>
      <c r="M1190" s="87"/>
      <c r="N1190" s="87"/>
      <c r="O1190" s="120" t="str">
        <f>MATCH(C1190,'Key Findings'!B:B,0)</f>
        <v>#N/A</v>
      </c>
    </row>
    <row r="1191" hidden="1">
      <c r="A1191" s="71"/>
      <c r="B1191" s="124" t="s">
        <v>1420</v>
      </c>
      <c r="C1191" s="87" t="s">
        <v>1417</v>
      </c>
      <c r="D1191" s="89">
        <f>SUMIF('Executive Pay Breakdown'!K:K,$B1191,'Executive Pay Breakdown'!M:M)+SUMIF('Executive Pay Breakdown'!O:O,$B1191,'Executive Pay Breakdown'!Q:Q)+SUMIF('Executive Pay Breakdown'!S:S,$B1191,'Executive Pay Breakdown'!U:U)+SUMIF('Executive Pay Breakdown'!W:W,$B1191,'Executive Pay Breakdown'!Y:Y)+SUMIF('Executive Pay Breakdown'!AA:AA,$B1191,'Executive Pay Breakdown'!AC:AC)</f>
        <v>22386415</v>
      </c>
      <c r="E1191" s="109"/>
      <c r="F1191" s="69">
        <f>SUMIF('Executive Pay Breakdown'!K:K,$B1191,'Executive Pay Breakdown'!M:M)</f>
        <v>3036739</v>
      </c>
      <c r="G1191" s="69">
        <f>SUMIF('Executive Pay Breakdown'!O:O,$B1191,'Executive Pay Breakdown'!Q:Q)</f>
        <v>4887236</v>
      </c>
      <c r="H1191" s="69">
        <f>SUMIF('Executive Pay Breakdown'!S:S,$B1191,'Executive Pay Breakdown'!U:U)</f>
        <v>4243557</v>
      </c>
      <c r="I1191" s="69">
        <f>SUMIF('Executive Pay Breakdown'!W:W,$B1191,'Executive Pay Breakdown'!Y:Y)</f>
        <v>6016389</v>
      </c>
      <c r="J1191" s="69">
        <f>SUMIF('Executive Pay Breakdown'!AA:AA,$B1191,'Executive Pay Breakdown'!AC:AC)</f>
        <v>4202494</v>
      </c>
      <c r="K1191" s="118"/>
      <c r="L1191" s="212"/>
      <c r="M1191" s="87"/>
      <c r="N1191" s="230"/>
      <c r="O1191" s="120" t="str">
        <f>MATCH(C1191,'Key Findings'!B:B,0)</f>
        <v>#N/A</v>
      </c>
    </row>
    <row r="1192" hidden="1">
      <c r="A1192" s="71"/>
      <c r="B1192" s="124" t="s">
        <v>1421</v>
      </c>
      <c r="C1192" s="87" t="s">
        <v>1417</v>
      </c>
      <c r="D1192" s="89">
        <f>SUMIF('Executive Pay Breakdown'!K:K,$B1192,'Executive Pay Breakdown'!M:M)+SUMIF('Executive Pay Breakdown'!O:O,$B1192,'Executive Pay Breakdown'!Q:Q)+SUMIF('Executive Pay Breakdown'!S:S,$B1192,'Executive Pay Breakdown'!U:U)+SUMIF('Executive Pay Breakdown'!W:W,$B1192,'Executive Pay Breakdown'!Y:Y)+SUMIF('Executive Pay Breakdown'!AA:AA,$B1192,'Executive Pay Breakdown'!AC:AC)</f>
        <v>17412008</v>
      </c>
      <c r="E1192" s="109"/>
      <c r="F1192" s="69">
        <f>SUMIF('Executive Pay Breakdown'!K:K,$B1192,'Executive Pay Breakdown'!M:M)</f>
        <v>3623201</v>
      </c>
      <c r="G1192" s="69">
        <f>SUMIF('Executive Pay Breakdown'!O:O,$B1192,'Executive Pay Breakdown'!Q:Q)</f>
        <v>6015576</v>
      </c>
      <c r="H1192" s="69">
        <f>SUMIF('Executive Pay Breakdown'!S:S,$B1192,'Executive Pay Breakdown'!U:U)</f>
        <v>3892445</v>
      </c>
      <c r="I1192" s="69">
        <f>SUMIF('Executive Pay Breakdown'!W:W,$B1192,'Executive Pay Breakdown'!Y:Y)</f>
        <v>3880786</v>
      </c>
      <c r="J1192" s="69">
        <f>SUMIF('Executive Pay Breakdown'!AA:AA,$B1192,'Executive Pay Breakdown'!AC:AC)</f>
        <v>0</v>
      </c>
      <c r="K1192" s="118"/>
      <c r="L1192" s="212"/>
      <c r="M1192" s="87"/>
      <c r="N1192" s="230"/>
      <c r="O1192" s="120" t="str">
        <f>MATCH(C1192,'Key Findings'!B:B,0)</f>
        <v>#N/A</v>
      </c>
    </row>
    <row r="1193" hidden="1">
      <c r="A1193" s="71"/>
      <c r="B1193" s="124" t="s">
        <v>1422</v>
      </c>
      <c r="C1193" s="87" t="s">
        <v>1417</v>
      </c>
      <c r="D1193" s="89">
        <f>SUMIF('Executive Pay Breakdown'!K:K,$B1193,'Executive Pay Breakdown'!M:M)+SUMIF('Executive Pay Breakdown'!O:O,$B1193,'Executive Pay Breakdown'!Q:Q)+SUMIF('Executive Pay Breakdown'!S:S,$B1193,'Executive Pay Breakdown'!U:U)+SUMIF('Executive Pay Breakdown'!W:W,$B1193,'Executive Pay Breakdown'!Y:Y)+SUMIF('Executive Pay Breakdown'!AA:AA,$B1193,'Executive Pay Breakdown'!AC:AC)</f>
        <v>9304874</v>
      </c>
      <c r="E1193" s="109"/>
      <c r="F1193" s="69">
        <f>SUMIF('Executive Pay Breakdown'!K:K,$B1193,'Executive Pay Breakdown'!M:M)</f>
        <v>2503534</v>
      </c>
      <c r="G1193" s="69">
        <f>SUMIF('Executive Pay Breakdown'!O:O,$B1193,'Executive Pay Breakdown'!Q:Q)</f>
        <v>3978359</v>
      </c>
      <c r="H1193" s="69">
        <f>SUMIF('Executive Pay Breakdown'!S:S,$B1193,'Executive Pay Breakdown'!U:U)</f>
        <v>2822981</v>
      </c>
      <c r="I1193" s="69">
        <f>SUMIF('Executive Pay Breakdown'!W:W,$B1193,'Executive Pay Breakdown'!Y:Y)</f>
        <v>0</v>
      </c>
      <c r="J1193" s="69">
        <f>SUMIF('Executive Pay Breakdown'!AA:AA,$B1193,'Executive Pay Breakdown'!AC:AC)</f>
        <v>0</v>
      </c>
      <c r="K1193" s="118"/>
      <c r="L1193" s="212"/>
      <c r="M1193" s="87"/>
      <c r="N1193" s="230"/>
      <c r="O1193" s="120" t="str">
        <f>MATCH(C1193,'Key Findings'!B:B,0)</f>
        <v>#N/A</v>
      </c>
    </row>
    <row r="1194" hidden="1">
      <c r="A1194" s="71"/>
      <c r="B1194" s="124" t="s">
        <v>1423</v>
      </c>
      <c r="C1194" s="87" t="s">
        <v>1417</v>
      </c>
      <c r="D1194" s="89">
        <f>SUMIF('Executive Pay Breakdown'!K:K,$B1194,'Executive Pay Breakdown'!M:M)+SUMIF('Executive Pay Breakdown'!O:O,$B1194,'Executive Pay Breakdown'!Q:Q)+SUMIF('Executive Pay Breakdown'!S:S,$B1194,'Executive Pay Breakdown'!U:U)+SUMIF('Executive Pay Breakdown'!W:W,$B1194,'Executive Pay Breakdown'!Y:Y)+SUMIF('Executive Pay Breakdown'!AA:AA,$B1194,'Executive Pay Breakdown'!AC:AC)</f>
        <v>7327963</v>
      </c>
      <c r="E1194" s="109"/>
      <c r="F1194" s="69">
        <f>SUMIF('Executive Pay Breakdown'!K:K,$B1194,'Executive Pay Breakdown'!M:M)</f>
        <v>0</v>
      </c>
      <c r="G1194" s="69">
        <f>SUMIF('Executive Pay Breakdown'!O:O,$B1194,'Executive Pay Breakdown'!Q:Q)</f>
        <v>0</v>
      </c>
      <c r="H1194" s="69">
        <f>SUMIF('Executive Pay Breakdown'!S:S,$B1194,'Executive Pay Breakdown'!U:U)</f>
        <v>0</v>
      </c>
      <c r="I1194" s="69">
        <f>SUMIF('Executive Pay Breakdown'!W:W,$B1194,'Executive Pay Breakdown'!Y:Y)</f>
        <v>3670632</v>
      </c>
      <c r="J1194" s="69">
        <f>SUMIF('Executive Pay Breakdown'!AA:AA,$B1194,'Executive Pay Breakdown'!AC:AC)</f>
        <v>3657331</v>
      </c>
      <c r="K1194" s="118"/>
      <c r="L1194" s="212"/>
      <c r="M1194" s="87"/>
      <c r="N1194" s="87"/>
      <c r="O1194" s="120" t="str">
        <f>MATCH(C1194,'Key Findings'!B:B,0)</f>
        <v>#N/A</v>
      </c>
    </row>
    <row r="1195" hidden="1">
      <c r="A1195" s="71"/>
      <c r="B1195" s="124" t="s">
        <v>1424</v>
      </c>
      <c r="C1195" s="87" t="s">
        <v>1417</v>
      </c>
      <c r="D1195" s="89">
        <f>SUMIF('Executive Pay Breakdown'!K:K,$B1195,'Executive Pay Breakdown'!M:M)+SUMIF('Executive Pay Breakdown'!O:O,$B1195,'Executive Pay Breakdown'!Q:Q)+SUMIF('Executive Pay Breakdown'!S:S,$B1195,'Executive Pay Breakdown'!U:U)+SUMIF('Executive Pay Breakdown'!W:W,$B1195,'Executive Pay Breakdown'!Y:Y)+SUMIF('Executive Pay Breakdown'!AA:AA,$B1195,'Executive Pay Breakdown'!AC:AC)</f>
        <v>6705097</v>
      </c>
      <c r="E1195" s="109"/>
      <c r="F1195" s="69">
        <f>SUMIF('Executive Pay Breakdown'!K:K,$B1195,'Executive Pay Breakdown'!M:M)</f>
        <v>0</v>
      </c>
      <c r="G1195" s="69">
        <f>SUMIF('Executive Pay Breakdown'!O:O,$B1195,'Executive Pay Breakdown'!Q:Q)</f>
        <v>0</v>
      </c>
      <c r="H1195" s="69">
        <f>SUMIF('Executive Pay Breakdown'!S:S,$B1195,'Executive Pay Breakdown'!U:U)</f>
        <v>0</v>
      </c>
      <c r="I1195" s="69">
        <f>SUMIF('Executive Pay Breakdown'!W:W,$B1195,'Executive Pay Breakdown'!Y:Y)</f>
        <v>0</v>
      </c>
      <c r="J1195" s="69">
        <f>SUMIF('Executive Pay Breakdown'!AA:AA,$B1195,'Executive Pay Breakdown'!AC:AC)</f>
        <v>6705097</v>
      </c>
      <c r="K1195" s="118"/>
      <c r="L1195" s="212"/>
      <c r="M1195" s="87"/>
      <c r="N1195" s="87"/>
      <c r="O1195" s="120" t="str">
        <f>MATCH(C1195,'Key Findings'!B:B,0)</f>
        <v>#N/A</v>
      </c>
    </row>
    <row r="1196" hidden="1">
      <c r="A1196" s="71"/>
      <c r="B1196" s="124" t="s">
        <v>1425</v>
      </c>
      <c r="C1196" s="87" t="s">
        <v>1417</v>
      </c>
      <c r="D1196" s="89">
        <f>SUMIF('Executive Pay Breakdown'!K:K,$B1196,'Executive Pay Breakdown'!M:M)+SUMIF('Executive Pay Breakdown'!O:O,$B1196,'Executive Pay Breakdown'!Q:Q)+SUMIF('Executive Pay Breakdown'!S:S,$B1196,'Executive Pay Breakdown'!U:U)+SUMIF('Executive Pay Breakdown'!W:W,$B1196,'Executive Pay Breakdown'!Y:Y)+SUMIF('Executive Pay Breakdown'!AA:AA,$B1196,'Executive Pay Breakdown'!AC:AC)</f>
        <v>5188834</v>
      </c>
      <c r="E1196" s="109"/>
      <c r="F1196" s="69">
        <f>SUMIF('Executive Pay Breakdown'!K:K,$B1196,'Executive Pay Breakdown'!M:M)</f>
        <v>0</v>
      </c>
      <c r="G1196" s="69">
        <f>SUMIF('Executive Pay Breakdown'!O:O,$B1196,'Executive Pay Breakdown'!Q:Q)</f>
        <v>5188834</v>
      </c>
      <c r="H1196" s="69">
        <f>SUMIF('Executive Pay Breakdown'!S:S,$B1196,'Executive Pay Breakdown'!U:U)</f>
        <v>0</v>
      </c>
      <c r="I1196" s="69">
        <f>SUMIF('Executive Pay Breakdown'!W:W,$B1196,'Executive Pay Breakdown'!Y:Y)</f>
        <v>0</v>
      </c>
      <c r="J1196" s="69">
        <f>SUMIF('Executive Pay Breakdown'!AA:AA,$B1196,'Executive Pay Breakdown'!AC:AC)</f>
        <v>0</v>
      </c>
      <c r="K1196" s="118"/>
      <c r="L1196" s="212"/>
      <c r="M1196" s="212"/>
      <c r="N1196" s="87"/>
      <c r="O1196" s="120" t="str">
        <f>MATCH(C1196,'Key Findings'!B:B,0)</f>
        <v>#N/A</v>
      </c>
    </row>
    <row r="1197" hidden="1">
      <c r="A1197" s="71"/>
      <c r="B1197" s="124" t="s">
        <v>1426</v>
      </c>
      <c r="C1197" s="87" t="s">
        <v>1417</v>
      </c>
      <c r="D1197" s="89">
        <f>SUMIF('Executive Pay Breakdown'!K:K,$B1197,'Executive Pay Breakdown'!M:M)+SUMIF('Executive Pay Breakdown'!O:O,$B1197,'Executive Pay Breakdown'!Q:Q)+SUMIF('Executive Pay Breakdown'!S:S,$B1197,'Executive Pay Breakdown'!U:U)+SUMIF('Executive Pay Breakdown'!W:W,$B1197,'Executive Pay Breakdown'!Y:Y)+SUMIF('Executive Pay Breakdown'!AA:AA,$B1197,'Executive Pay Breakdown'!AC:AC)</f>
        <v>4959358</v>
      </c>
      <c r="E1197" s="109"/>
      <c r="F1197" s="69">
        <f>SUMIF('Executive Pay Breakdown'!K:K,$B1197,'Executive Pay Breakdown'!M:M)</f>
        <v>0</v>
      </c>
      <c r="G1197" s="69">
        <f>SUMIF('Executive Pay Breakdown'!O:O,$B1197,'Executive Pay Breakdown'!Q:Q)</f>
        <v>4959358</v>
      </c>
      <c r="H1197" s="69">
        <f>SUMIF('Executive Pay Breakdown'!S:S,$B1197,'Executive Pay Breakdown'!U:U)</f>
        <v>0</v>
      </c>
      <c r="I1197" s="69">
        <f>SUMIF('Executive Pay Breakdown'!W:W,$B1197,'Executive Pay Breakdown'!Y:Y)</f>
        <v>0</v>
      </c>
      <c r="J1197" s="69">
        <f>SUMIF('Executive Pay Breakdown'!AA:AA,$B1197,'Executive Pay Breakdown'!AC:AC)</f>
        <v>0</v>
      </c>
      <c r="K1197" s="118"/>
      <c r="L1197" s="212"/>
      <c r="M1197" s="212"/>
      <c r="N1197" s="87"/>
      <c r="O1197" s="120" t="str">
        <f>MATCH(C1197,'Key Findings'!B:B,0)</f>
        <v>#N/A</v>
      </c>
    </row>
    <row r="1198" hidden="1">
      <c r="A1198" s="71"/>
      <c r="B1198" s="124" t="s">
        <v>1427</v>
      </c>
      <c r="C1198" s="87" t="s">
        <v>1417</v>
      </c>
      <c r="D1198" s="89">
        <f>SUMIF('Executive Pay Breakdown'!K:K,$B1198,'Executive Pay Breakdown'!M:M)+SUMIF('Executive Pay Breakdown'!O:O,$B1198,'Executive Pay Breakdown'!Q:Q)+SUMIF('Executive Pay Breakdown'!S:S,$B1198,'Executive Pay Breakdown'!U:U)+SUMIF('Executive Pay Breakdown'!W:W,$B1198,'Executive Pay Breakdown'!Y:Y)+SUMIF('Executive Pay Breakdown'!AA:AA,$B1198,'Executive Pay Breakdown'!AC:AC)</f>
        <v>4246034</v>
      </c>
      <c r="E1198" s="109"/>
      <c r="F1198" s="69">
        <f>SUMIF('Executive Pay Breakdown'!K:K,$B1198,'Executive Pay Breakdown'!M:M)</f>
        <v>0</v>
      </c>
      <c r="G1198" s="69">
        <f>SUMIF('Executive Pay Breakdown'!O:O,$B1198,'Executive Pay Breakdown'!Q:Q)</f>
        <v>0</v>
      </c>
      <c r="H1198" s="69">
        <f>SUMIF('Executive Pay Breakdown'!S:S,$B1198,'Executive Pay Breakdown'!U:U)</f>
        <v>0</v>
      </c>
      <c r="I1198" s="69">
        <f>SUMIF('Executive Pay Breakdown'!W:W,$B1198,'Executive Pay Breakdown'!Y:Y)</f>
        <v>4246034</v>
      </c>
      <c r="J1198" s="69">
        <f>SUMIF('Executive Pay Breakdown'!AA:AA,$B1198,'Executive Pay Breakdown'!AC:AC)</f>
        <v>0</v>
      </c>
      <c r="K1198" s="118"/>
      <c r="L1198" s="212"/>
      <c r="M1198" s="87"/>
      <c r="N1198" s="87"/>
      <c r="O1198" s="120" t="str">
        <f>MATCH(C1198,'Key Findings'!B:B,0)</f>
        <v>#N/A</v>
      </c>
    </row>
    <row r="1199" hidden="1">
      <c r="A1199" s="71"/>
      <c r="B1199" s="124" t="s">
        <v>1428</v>
      </c>
      <c r="C1199" s="87" t="s">
        <v>1417</v>
      </c>
      <c r="D1199" s="89">
        <f>SUMIF('Executive Pay Breakdown'!K:K,$B1199,'Executive Pay Breakdown'!M:M)+SUMIF('Executive Pay Breakdown'!O:O,$B1199,'Executive Pay Breakdown'!Q:Q)+SUMIF('Executive Pay Breakdown'!S:S,$B1199,'Executive Pay Breakdown'!U:U)+SUMIF('Executive Pay Breakdown'!W:W,$B1199,'Executive Pay Breakdown'!Y:Y)+SUMIF('Executive Pay Breakdown'!AA:AA,$B1199,'Executive Pay Breakdown'!AC:AC)</f>
        <v>3086747</v>
      </c>
      <c r="E1199" s="109"/>
      <c r="F1199" s="69">
        <f>SUMIF('Executive Pay Breakdown'!K:K,$B1199,'Executive Pay Breakdown'!M:M)</f>
        <v>0</v>
      </c>
      <c r="G1199" s="69">
        <f>SUMIF('Executive Pay Breakdown'!O:O,$B1199,'Executive Pay Breakdown'!Q:Q)</f>
        <v>0</v>
      </c>
      <c r="H1199" s="69">
        <f>SUMIF('Executive Pay Breakdown'!S:S,$B1199,'Executive Pay Breakdown'!U:U)</f>
        <v>3086747</v>
      </c>
      <c r="I1199" s="69">
        <f>SUMIF('Executive Pay Breakdown'!W:W,$B1199,'Executive Pay Breakdown'!Y:Y)</f>
        <v>0</v>
      </c>
      <c r="J1199" s="69">
        <f>SUMIF('Executive Pay Breakdown'!AA:AA,$B1199,'Executive Pay Breakdown'!AC:AC)</f>
        <v>0</v>
      </c>
      <c r="K1199" s="118"/>
      <c r="L1199" s="212"/>
      <c r="M1199" s="87"/>
      <c r="N1199" s="87"/>
      <c r="O1199" s="120" t="str">
        <f>MATCH(C1199,'Key Findings'!B:B,0)</f>
        <v>#N/A</v>
      </c>
    </row>
    <row r="1200" hidden="1">
      <c r="A1200" s="71"/>
      <c r="B1200" s="124" t="s">
        <v>1429</v>
      </c>
      <c r="C1200" s="87" t="s">
        <v>1417</v>
      </c>
      <c r="D1200" s="89">
        <f>SUMIF('Executive Pay Breakdown'!K:K,$B1200,'Executive Pay Breakdown'!M:M)+SUMIF('Executive Pay Breakdown'!O:O,$B1200,'Executive Pay Breakdown'!Q:Q)+SUMIF('Executive Pay Breakdown'!S:S,$B1200,'Executive Pay Breakdown'!U:U)+SUMIF('Executive Pay Breakdown'!W:W,$B1200,'Executive Pay Breakdown'!Y:Y)+SUMIF('Executive Pay Breakdown'!AA:AA,$B1200,'Executive Pay Breakdown'!AC:AC)</f>
        <v>2954555</v>
      </c>
      <c r="E1200" s="109"/>
      <c r="F1200" s="69">
        <f>SUMIF('Executive Pay Breakdown'!K:K,$B1200,'Executive Pay Breakdown'!M:M)</f>
        <v>0</v>
      </c>
      <c r="G1200" s="69">
        <f>SUMIF('Executive Pay Breakdown'!O:O,$B1200,'Executive Pay Breakdown'!Q:Q)</f>
        <v>0</v>
      </c>
      <c r="H1200" s="69">
        <f>SUMIF('Executive Pay Breakdown'!S:S,$B1200,'Executive Pay Breakdown'!U:U)</f>
        <v>0</v>
      </c>
      <c r="I1200" s="69">
        <f>SUMIF('Executive Pay Breakdown'!W:W,$B1200,'Executive Pay Breakdown'!Y:Y)</f>
        <v>2954555</v>
      </c>
      <c r="J1200" s="69">
        <f>SUMIF('Executive Pay Breakdown'!AA:AA,$B1200,'Executive Pay Breakdown'!AC:AC)</f>
        <v>0</v>
      </c>
      <c r="K1200" s="118"/>
      <c r="L1200" s="212"/>
      <c r="M1200" s="87"/>
      <c r="N1200" s="87"/>
      <c r="O1200" s="120" t="str">
        <f>MATCH(C1200,'Key Findings'!B:B,0)</f>
        <v>#N/A</v>
      </c>
    </row>
    <row r="1201" hidden="1">
      <c r="A1201" s="71"/>
      <c r="B1201" s="124" t="s">
        <v>1430</v>
      </c>
      <c r="C1201" s="87" t="s">
        <v>1417</v>
      </c>
      <c r="D1201" s="89">
        <f>SUMIF('Executive Pay Breakdown'!K:K,$B1201,'Executive Pay Breakdown'!M:M)+SUMIF('Executive Pay Breakdown'!O:O,$B1201,'Executive Pay Breakdown'!Q:Q)+SUMIF('Executive Pay Breakdown'!S:S,$B1201,'Executive Pay Breakdown'!U:U)+SUMIF('Executive Pay Breakdown'!W:W,$B1201,'Executive Pay Breakdown'!Y:Y)+SUMIF('Executive Pay Breakdown'!AA:AA,$B1201,'Executive Pay Breakdown'!AC:AC)</f>
        <v>2535288</v>
      </c>
      <c r="E1201" s="109"/>
      <c r="F1201" s="69">
        <f>SUMIF('Executive Pay Breakdown'!K:K,$B1201,'Executive Pay Breakdown'!M:M)</f>
        <v>2535288</v>
      </c>
      <c r="G1201" s="69">
        <f>SUMIF('Executive Pay Breakdown'!O:O,$B1201,'Executive Pay Breakdown'!Q:Q)</f>
        <v>0</v>
      </c>
      <c r="H1201" s="69">
        <f>SUMIF('Executive Pay Breakdown'!S:S,$B1201,'Executive Pay Breakdown'!U:U)</f>
        <v>0</v>
      </c>
      <c r="I1201" s="69">
        <f>SUMIF('Executive Pay Breakdown'!W:W,$B1201,'Executive Pay Breakdown'!Y:Y)</f>
        <v>0</v>
      </c>
      <c r="J1201" s="69">
        <f>SUMIF('Executive Pay Breakdown'!AA:AA,$B1201,'Executive Pay Breakdown'!AC:AC)</f>
        <v>0</v>
      </c>
      <c r="K1201" s="118"/>
      <c r="L1201" s="212"/>
      <c r="M1201" s="87"/>
      <c r="N1201" s="230"/>
      <c r="O1201" s="120" t="str">
        <f>MATCH(C1201,'Key Findings'!B:B,0)</f>
        <v>#N/A</v>
      </c>
    </row>
    <row r="1202" hidden="1">
      <c r="A1202" s="81"/>
      <c r="B1202" s="87" t="s">
        <v>1431</v>
      </c>
      <c r="C1202" s="87" t="s">
        <v>1432</v>
      </c>
      <c r="D1202" s="89">
        <f>SUMIF('Executive Pay Breakdown'!K:K,$B1202,'Executive Pay Breakdown'!M:M)+SUMIF('Executive Pay Breakdown'!O:O,$B1202,'Executive Pay Breakdown'!Q:Q)+SUMIF('Executive Pay Breakdown'!S:S,$B1202,'Executive Pay Breakdown'!U:U)+SUMIF('Executive Pay Breakdown'!W:W,$B1202,'Executive Pay Breakdown'!Y:Y)+SUMIF('Executive Pay Breakdown'!AA:AA,$B1202,'Executive Pay Breakdown'!AC:AC)</f>
        <v>128640966</v>
      </c>
      <c r="E1202" s="109"/>
      <c r="F1202" s="69">
        <f>SUMIF('Executive Pay Breakdown'!K:K,$B1202,'Executive Pay Breakdown'!M:M)</f>
        <v>30177503</v>
      </c>
      <c r="G1202" s="69">
        <f>SUMIF('Executive Pay Breakdown'!O:O,$B1202,'Executive Pay Breakdown'!Q:Q)</f>
        <v>23729169</v>
      </c>
      <c r="H1202" s="69">
        <f>SUMIF('Executive Pay Breakdown'!S:S,$B1202,'Executive Pay Breakdown'!U:U)</f>
        <v>25940571</v>
      </c>
      <c r="I1202" s="69">
        <f>SUMIF('Executive Pay Breakdown'!W:W,$B1202,'Executive Pay Breakdown'!Y:Y)</f>
        <v>26039213</v>
      </c>
      <c r="J1202" s="69">
        <f>SUMIF('Executive Pay Breakdown'!AA:AA,$B1202,'Executive Pay Breakdown'!AC:AC)</f>
        <v>22754510</v>
      </c>
      <c r="K1202" s="118"/>
      <c r="L1202" s="212"/>
      <c r="M1202" s="87"/>
      <c r="N1202" s="87"/>
      <c r="O1202" s="120" t="str">
        <f>MATCH(C1202,'Key Findings'!B:B,0)</f>
        <v>#N/A</v>
      </c>
    </row>
    <row r="1203" hidden="1">
      <c r="A1203" s="81"/>
      <c r="B1203" s="87" t="s">
        <v>1433</v>
      </c>
      <c r="C1203" s="87" t="s">
        <v>1432</v>
      </c>
      <c r="D1203" s="89">
        <f>SUMIF('Executive Pay Breakdown'!K:K,$B1203,'Executive Pay Breakdown'!M:M)+SUMIF('Executive Pay Breakdown'!O:O,$B1203,'Executive Pay Breakdown'!Q:Q)+SUMIF('Executive Pay Breakdown'!S:S,$B1203,'Executive Pay Breakdown'!U:U)+SUMIF('Executive Pay Breakdown'!W:W,$B1203,'Executive Pay Breakdown'!Y:Y)+SUMIF('Executive Pay Breakdown'!AA:AA,$B1203,'Executive Pay Breakdown'!AC:AC)</f>
        <v>76270489</v>
      </c>
      <c r="E1203" s="109"/>
      <c r="F1203" s="69">
        <f>SUMIF('Executive Pay Breakdown'!K:K,$B1203,'Executive Pay Breakdown'!M:M)</f>
        <v>0</v>
      </c>
      <c r="G1203" s="69">
        <f>SUMIF('Executive Pay Breakdown'!O:O,$B1203,'Executive Pay Breakdown'!Q:Q)</f>
        <v>19093952</v>
      </c>
      <c r="H1203" s="69">
        <f>SUMIF('Executive Pay Breakdown'!S:S,$B1203,'Executive Pay Breakdown'!U:U)</f>
        <v>18892429</v>
      </c>
      <c r="I1203" s="69">
        <f>SUMIF('Executive Pay Breakdown'!W:W,$B1203,'Executive Pay Breakdown'!Y:Y)</f>
        <v>19494788</v>
      </c>
      <c r="J1203" s="69">
        <f>SUMIF('Executive Pay Breakdown'!AA:AA,$B1203,'Executive Pay Breakdown'!AC:AC)</f>
        <v>18789320</v>
      </c>
      <c r="K1203" s="118"/>
      <c r="L1203" s="212"/>
      <c r="M1203" s="87"/>
      <c r="N1203" s="87"/>
      <c r="O1203" s="120" t="str">
        <f>MATCH(C1203,'Key Findings'!B:B,0)</f>
        <v>#N/A</v>
      </c>
    </row>
    <row r="1204" hidden="1">
      <c r="A1204" s="81"/>
      <c r="B1204" s="87" t="s">
        <v>1434</v>
      </c>
      <c r="C1204" s="87" t="s">
        <v>1432</v>
      </c>
      <c r="D1204" s="89">
        <f>SUMIF('Executive Pay Breakdown'!K:K,$B1204,'Executive Pay Breakdown'!M:M)+SUMIF('Executive Pay Breakdown'!O:O,$B1204,'Executive Pay Breakdown'!Q:Q)+SUMIF('Executive Pay Breakdown'!S:S,$B1204,'Executive Pay Breakdown'!U:U)+SUMIF('Executive Pay Breakdown'!W:W,$B1204,'Executive Pay Breakdown'!Y:Y)+SUMIF('Executive Pay Breakdown'!AA:AA,$B1204,'Executive Pay Breakdown'!AC:AC)</f>
        <v>70027912</v>
      </c>
      <c r="E1204" s="109"/>
      <c r="F1204" s="69">
        <f>SUMIF('Executive Pay Breakdown'!K:K,$B1204,'Executive Pay Breakdown'!M:M)</f>
        <v>20660643</v>
      </c>
      <c r="G1204" s="69">
        <f>SUMIF('Executive Pay Breakdown'!O:O,$B1204,'Executive Pay Breakdown'!Q:Q)</f>
        <v>12669214</v>
      </c>
      <c r="H1204" s="69">
        <f>SUMIF('Executive Pay Breakdown'!S:S,$B1204,'Executive Pay Breakdown'!U:U)</f>
        <v>12173284</v>
      </c>
      <c r="I1204" s="69">
        <f>SUMIF('Executive Pay Breakdown'!W:W,$B1204,'Executive Pay Breakdown'!Y:Y)</f>
        <v>12595312</v>
      </c>
      <c r="J1204" s="69">
        <f>SUMIF('Executive Pay Breakdown'!AA:AA,$B1204,'Executive Pay Breakdown'!AC:AC)</f>
        <v>11929459</v>
      </c>
      <c r="K1204" s="118"/>
      <c r="L1204" s="212"/>
      <c r="M1204" s="87"/>
      <c r="N1204" s="230"/>
      <c r="O1204" s="120" t="str">
        <f>MATCH(C1204,'Key Findings'!B:B,0)</f>
        <v>#N/A</v>
      </c>
    </row>
    <row r="1205" hidden="1">
      <c r="A1205" s="81"/>
      <c r="B1205" s="87" t="s">
        <v>1435</v>
      </c>
      <c r="C1205" s="87" t="s">
        <v>1432</v>
      </c>
      <c r="D1205" s="89">
        <f>SUMIF('Executive Pay Breakdown'!K:K,$B1205,'Executive Pay Breakdown'!M:M)+SUMIF('Executive Pay Breakdown'!O:O,$B1205,'Executive Pay Breakdown'!Q:Q)+SUMIF('Executive Pay Breakdown'!S:S,$B1205,'Executive Pay Breakdown'!U:U)+SUMIF('Executive Pay Breakdown'!W:W,$B1205,'Executive Pay Breakdown'!Y:Y)+SUMIF('Executive Pay Breakdown'!AA:AA,$B1205,'Executive Pay Breakdown'!AC:AC)</f>
        <v>69210826</v>
      </c>
      <c r="E1205" s="109"/>
      <c r="F1205" s="69">
        <f>SUMIF('Executive Pay Breakdown'!K:K,$B1205,'Executive Pay Breakdown'!M:M)</f>
        <v>20652107</v>
      </c>
      <c r="G1205" s="69">
        <f>SUMIF('Executive Pay Breakdown'!O:O,$B1205,'Executive Pay Breakdown'!Q:Q)</f>
        <v>12474933</v>
      </c>
      <c r="H1205" s="69">
        <f>SUMIF('Executive Pay Breakdown'!S:S,$B1205,'Executive Pay Breakdown'!U:U)</f>
        <v>12001602</v>
      </c>
      <c r="I1205" s="69">
        <f>SUMIF('Executive Pay Breakdown'!W:W,$B1205,'Executive Pay Breakdown'!Y:Y)</f>
        <v>12425107</v>
      </c>
      <c r="J1205" s="69">
        <f>SUMIF('Executive Pay Breakdown'!AA:AA,$B1205,'Executive Pay Breakdown'!AC:AC)</f>
        <v>11657077</v>
      </c>
      <c r="K1205" s="118"/>
      <c r="L1205" s="212"/>
      <c r="M1205" s="87"/>
      <c r="N1205" s="230"/>
      <c r="O1205" s="120" t="str">
        <f>MATCH(C1205,'Key Findings'!B:B,0)</f>
        <v>#N/A</v>
      </c>
    </row>
    <row r="1206" hidden="1">
      <c r="A1206" s="81"/>
      <c r="B1206" s="87" t="s">
        <v>1436</v>
      </c>
      <c r="C1206" s="87" t="s">
        <v>1432</v>
      </c>
      <c r="D1206" s="89">
        <f>SUMIF('Executive Pay Breakdown'!K:K,$B1206,'Executive Pay Breakdown'!M:M)+SUMIF('Executive Pay Breakdown'!O:O,$B1206,'Executive Pay Breakdown'!Q:Q)+SUMIF('Executive Pay Breakdown'!S:S,$B1206,'Executive Pay Breakdown'!U:U)+SUMIF('Executive Pay Breakdown'!W:W,$B1206,'Executive Pay Breakdown'!Y:Y)+SUMIF('Executive Pay Breakdown'!AA:AA,$B1206,'Executive Pay Breakdown'!AC:AC)</f>
        <v>66330861</v>
      </c>
      <c r="E1206" s="109"/>
      <c r="F1206" s="69">
        <f>SUMIF('Executive Pay Breakdown'!K:K,$B1206,'Executive Pay Breakdown'!M:M)</f>
        <v>20650361</v>
      </c>
      <c r="G1206" s="69">
        <f>SUMIF('Executive Pay Breakdown'!O:O,$B1206,'Executive Pay Breakdown'!Q:Q)</f>
        <v>12262492</v>
      </c>
      <c r="H1206" s="69">
        <f>SUMIF('Executive Pay Breakdown'!S:S,$B1206,'Executive Pay Breakdown'!U:U)</f>
        <v>11613440</v>
      </c>
      <c r="I1206" s="69">
        <f>SUMIF('Executive Pay Breakdown'!W:W,$B1206,'Executive Pay Breakdown'!Y:Y)</f>
        <v>11659225</v>
      </c>
      <c r="J1206" s="69">
        <f>SUMIF('Executive Pay Breakdown'!AA:AA,$B1206,'Executive Pay Breakdown'!AC:AC)</f>
        <v>10145343</v>
      </c>
      <c r="K1206" s="118"/>
      <c r="L1206" s="212"/>
      <c r="M1206" s="87"/>
      <c r="N1206" s="230"/>
      <c r="O1206" s="120" t="str">
        <f>MATCH(C1206,'Key Findings'!B:B,0)</f>
        <v>#N/A</v>
      </c>
    </row>
    <row r="1207" hidden="1">
      <c r="A1207" s="81"/>
      <c r="B1207" s="87" t="s">
        <v>1437</v>
      </c>
      <c r="C1207" s="87" t="s">
        <v>1432</v>
      </c>
      <c r="D1207" s="89">
        <f>SUMIF('Executive Pay Breakdown'!K:K,$B1207,'Executive Pay Breakdown'!M:M)+SUMIF('Executive Pay Breakdown'!O:O,$B1207,'Executive Pay Breakdown'!Q:Q)+SUMIF('Executive Pay Breakdown'!S:S,$B1207,'Executive Pay Breakdown'!U:U)+SUMIF('Executive Pay Breakdown'!W:W,$B1207,'Executive Pay Breakdown'!Y:Y)+SUMIF('Executive Pay Breakdown'!AA:AA,$B1207,'Executive Pay Breakdown'!AC:AC)</f>
        <v>25712024</v>
      </c>
      <c r="E1207" s="109"/>
      <c r="F1207" s="69">
        <f>SUMIF('Executive Pay Breakdown'!K:K,$B1207,'Executive Pay Breakdown'!M:M)</f>
        <v>0</v>
      </c>
      <c r="G1207" s="69">
        <f>SUMIF('Executive Pay Breakdown'!O:O,$B1207,'Executive Pay Breakdown'!Q:Q)</f>
        <v>25712024</v>
      </c>
      <c r="H1207" s="69">
        <f>SUMIF('Executive Pay Breakdown'!S:S,$B1207,'Executive Pay Breakdown'!U:U)</f>
        <v>0</v>
      </c>
      <c r="I1207" s="69">
        <f>SUMIF('Executive Pay Breakdown'!W:W,$B1207,'Executive Pay Breakdown'!Y:Y)</f>
        <v>0</v>
      </c>
      <c r="J1207" s="69">
        <f>SUMIF('Executive Pay Breakdown'!AA:AA,$B1207,'Executive Pay Breakdown'!AC:AC)</f>
        <v>0</v>
      </c>
      <c r="K1207" s="118"/>
      <c r="L1207" s="212"/>
      <c r="M1207" s="212"/>
      <c r="N1207" s="87"/>
      <c r="O1207" s="120" t="str">
        <f>MATCH(C1207,'Key Findings'!B:B,0)</f>
        <v>#N/A</v>
      </c>
    </row>
    <row r="1208" hidden="1">
      <c r="A1208" s="81"/>
      <c r="B1208" s="87" t="s">
        <v>1438</v>
      </c>
      <c r="C1208" s="87" t="s">
        <v>1432</v>
      </c>
      <c r="D1208" s="89">
        <f>SUMIF('Executive Pay Breakdown'!K:K,$B1208,'Executive Pay Breakdown'!M:M)+SUMIF('Executive Pay Breakdown'!O:O,$B1208,'Executive Pay Breakdown'!Q:Q)+SUMIF('Executive Pay Breakdown'!S:S,$B1208,'Executive Pay Breakdown'!U:U)+SUMIF('Executive Pay Breakdown'!W:W,$B1208,'Executive Pay Breakdown'!Y:Y)+SUMIF('Executive Pay Breakdown'!AA:AA,$B1208,'Executive Pay Breakdown'!AC:AC)</f>
        <v>23558810</v>
      </c>
      <c r="E1208" s="109"/>
      <c r="F1208" s="69">
        <f>SUMIF('Executive Pay Breakdown'!K:K,$B1208,'Executive Pay Breakdown'!M:M)</f>
        <v>12601937</v>
      </c>
      <c r="G1208" s="69">
        <f>SUMIF('Executive Pay Breakdown'!O:O,$B1208,'Executive Pay Breakdown'!Q:Q)</f>
        <v>10956873</v>
      </c>
      <c r="H1208" s="69">
        <f>SUMIF('Executive Pay Breakdown'!S:S,$B1208,'Executive Pay Breakdown'!U:U)</f>
        <v>0</v>
      </c>
      <c r="I1208" s="69">
        <f>SUMIF('Executive Pay Breakdown'!W:W,$B1208,'Executive Pay Breakdown'!Y:Y)</f>
        <v>0</v>
      </c>
      <c r="J1208" s="69">
        <f>SUMIF('Executive Pay Breakdown'!AA:AA,$B1208,'Executive Pay Breakdown'!AC:AC)</f>
        <v>0</v>
      </c>
      <c r="K1208" s="118"/>
      <c r="L1208" s="212"/>
      <c r="M1208" s="212"/>
      <c r="N1208" s="230"/>
      <c r="O1208" s="120" t="str">
        <f>MATCH(C1208,'Key Findings'!B:B,0)</f>
        <v>#N/A</v>
      </c>
    </row>
    <row r="1209" hidden="1">
      <c r="A1209" s="81"/>
      <c r="B1209" s="87" t="s">
        <v>1439</v>
      </c>
      <c r="C1209" s="87" t="s">
        <v>1432</v>
      </c>
      <c r="D1209" s="89">
        <f>SUMIF('Executive Pay Breakdown'!K:K,$B1209,'Executive Pay Breakdown'!M:M)+SUMIF('Executive Pay Breakdown'!O:O,$B1209,'Executive Pay Breakdown'!Q:Q)+SUMIF('Executive Pay Breakdown'!S:S,$B1209,'Executive Pay Breakdown'!U:U)+SUMIF('Executive Pay Breakdown'!W:W,$B1209,'Executive Pay Breakdown'!Y:Y)+SUMIF('Executive Pay Breakdown'!AA:AA,$B1209,'Executive Pay Breakdown'!AC:AC)</f>
        <v>17796226</v>
      </c>
      <c r="E1209" s="109"/>
      <c r="F1209" s="69">
        <f>SUMIF('Executive Pay Breakdown'!K:K,$B1209,'Executive Pay Breakdown'!M:M)</f>
        <v>0</v>
      </c>
      <c r="G1209" s="69">
        <f>SUMIF('Executive Pay Breakdown'!O:O,$B1209,'Executive Pay Breakdown'!Q:Q)</f>
        <v>0</v>
      </c>
      <c r="H1209" s="69">
        <f>SUMIF('Executive Pay Breakdown'!S:S,$B1209,'Executive Pay Breakdown'!U:U)</f>
        <v>0</v>
      </c>
      <c r="I1209" s="69">
        <f>SUMIF('Executive Pay Breakdown'!W:W,$B1209,'Executive Pay Breakdown'!Y:Y)</f>
        <v>0</v>
      </c>
      <c r="J1209" s="69">
        <f>SUMIF('Executive Pay Breakdown'!AA:AA,$B1209,'Executive Pay Breakdown'!AC:AC)</f>
        <v>17796226</v>
      </c>
      <c r="K1209" s="118"/>
      <c r="L1209" s="212"/>
      <c r="M1209" s="87"/>
      <c r="N1209" s="87"/>
      <c r="O1209" s="120" t="str">
        <f>MATCH(C1209,'Key Findings'!B:B,0)</f>
        <v>#N/A</v>
      </c>
    </row>
    <row r="1210" hidden="1">
      <c r="A1210" s="81"/>
      <c r="B1210" s="87" t="s">
        <v>1440</v>
      </c>
      <c r="C1210" s="87" t="s">
        <v>1432</v>
      </c>
      <c r="D1210" s="89">
        <f>SUMIF('Executive Pay Breakdown'!K:K,$B1210,'Executive Pay Breakdown'!M:M)+SUMIF('Executive Pay Breakdown'!O:O,$B1210,'Executive Pay Breakdown'!Q:Q)+SUMIF('Executive Pay Breakdown'!S:S,$B1210,'Executive Pay Breakdown'!U:U)+SUMIF('Executive Pay Breakdown'!W:W,$B1210,'Executive Pay Breakdown'!Y:Y)+SUMIF('Executive Pay Breakdown'!AA:AA,$B1210,'Executive Pay Breakdown'!AC:AC)</f>
        <v>16219850</v>
      </c>
      <c r="E1210" s="109"/>
      <c r="F1210" s="69">
        <f>SUMIF('Executive Pay Breakdown'!K:K,$B1210,'Executive Pay Breakdown'!M:M)</f>
        <v>0</v>
      </c>
      <c r="G1210" s="69">
        <f>SUMIF('Executive Pay Breakdown'!O:O,$B1210,'Executive Pay Breakdown'!Q:Q)</f>
        <v>16219850</v>
      </c>
      <c r="H1210" s="69">
        <f>SUMIF('Executive Pay Breakdown'!S:S,$B1210,'Executive Pay Breakdown'!U:U)</f>
        <v>0</v>
      </c>
      <c r="I1210" s="69">
        <f>SUMIF('Executive Pay Breakdown'!W:W,$B1210,'Executive Pay Breakdown'!Y:Y)</f>
        <v>0</v>
      </c>
      <c r="J1210" s="69">
        <f>SUMIF('Executive Pay Breakdown'!AA:AA,$B1210,'Executive Pay Breakdown'!AC:AC)</f>
        <v>0</v>
      </c>
      <c r="K1210" s="118"/>
      <c r="L1210" s="212"/>
      <c r="M1210" s="212"/>
      <c r="N1210" s="87"/>
      <c r="O1210" s="120" t="str">
        <f>MATCH(C1210,'Key Findings'!B:B,0)</f>
        <v>#N/A</v>
      </c>
    </row>
    <row r="1211" hidden="1">
      <c r="A1211" s="81"/>
      <c r="B1211" s="87" t="s">
        <v>1441</v>
      </c>
      <c r="C1211" s="87" t="s">
        <v>1432</v>
      </c>
      <c r="D1211" s="89">
        <f>SUMIF('Executive Pay Breakdown'!K:K,$B1211,'Executive Pay Breakdown'!M:M)+SUMIF('Executive Pay Breakdown'!O:O,$B1211,'Executive Pay Breakdown'!Q:Q)+SUMIF('Executive Pay Breakdown'!S:S,$B1211,'Executive Pay Breakdown'!U:U)+SUMIF('Executive Pay Breakdown'!W:W,$B1211,'Executive Pay Breakdown'!Y:Y)+SUMIF('Executive Pay Breakdown'!AA:AA,$B1211,'Executive Pay Breakdown'!AC:AC)</f>
        <v>10149958</v>
      </c>
      <c r="E1211" s="109"/>
      <c r="F1211" s="69">
        <f>SUMIF('Executive Pay Breakdown'!K:K,$B1211,'Executive Pay Breakdown'!M:M)</f>
        <v>0</v>
      </c>
      <c r="G1211" s="69">
        <f>SUMIF('Executive Pay Breakdown'!O:O,$B1211,'Executive Pay Breakdown'!Q:Q)</f>
        <v>0</v>
      </c>
      <c r="H1211" s="69">
        <f>SUMIF('Executive Pay Breakdown'!S:S,$B1211,'Executive Pay Breakdown'!U:U)</f>
        <v>0</v>
      </c>
      <c r="I1211" s="69">
        <f>SUMIF('Executive Pay Breakdown'!W:W,$B1211,'Executive Pay Breakdown'!Y:Y)</f>
        <v>0</v>
      </c>
      <c r="J1211" s="69">
        <f>SUMIF('Executive Pay Breakdown'!AA:AA,$B1211,'Executive Pay Breakdown'!AC:AC)</f>
        <v>10149958</v>
      </c>
      <c r="K1211" s="118"/>
      <c r="L1211" s="212"/>
      <c r="M1211" s="87"/>
      <c r="N1211" s="87"/>
      <c r="O1211" s="120" t="str">
        <f>MATCH(C1211,'Key Findings'!B:B,0)</f>
        <v>#N/A</v>
      </c>
    </row>
    <row r="1212" hidden="1">
      <c r="A1212" s="62"/>
      <c r="B1212" s="127" t="s">
        <v>1442</v>
      </c>
      <c r="C1212" s="87" t="s">
        <v>1443</v>
      </c>
      <c r="D1212" s="89">
        <f>SUMIF('Executive Pay Breakdown'!K:K,$B1212,'Executive Pay Breakdown'!M:M)+SUMIF('Executive Pay Breakdown'!O:O,$B1212,'Executive Pay Breakdown'!Q:Q)+SUMIF('Executive Pay Breakdown'!S:S,$B1212,'Executive Pay Breakdown'!U:U)+SUMIF('Executive Pay Breakdown'!W:W,$B1212,'Executive Pay Breakdown'!Y:Y)+SUMIF('Executive Pay Breakdown'!AA:AA,$B1212,'Executive Pay Breakdown'!AC:AC)</f>
        <v>93822257</v>
      </c>
      <c r="E1212" s="109"/>
      <c r="F1212" s="69">
        <f>SUMIF('Executive Pay Breakdown'!K:K,$B1212,'Executive Pay Breakdown'!M:M)</f>
        <v>19364071</v>
      </c>
      <c r="G1212" s="69">
        <f>SUMIF('Executive Pay Breakdown'!O:O,$B1212,'Executive Pay Breakdown'!Q:Q)</f>
        <v>20827092</v>
      </c>
      <c r="H1212" s="69">
        <f>SUMIF('Executive Pay Breakdown'!S:S,$B1212,'Executive Pay Breakdown'!U:U)</f>
        <v>16985259</v>
      </c>
      <c r="I1212" s="69">
        <f>SUMIF('Executive Pay Breakdown'!W:W,$B1212,'Executive Pay Breakdown'!Y:Y)</f>
        <v>17645648</v>
      </c>
      <c r="J1212" s="69">
        <f>SUMIF('Executive Pay Breakdown'!AA:AA,$B1212,'Executive Pay Breakdown'!AC:AC)</f>
        <v>19000187</v>
      </c>
      <c r="K1212" s="118"/>
      <c r="L1212" s="212"/>
      <c r="M1212" s="87"/>
      <c r="N1212" s="230"/>
      <c r="O1212" s="120" t="str">
        <f>MATCH(C1212,'Key Findings'!B:B,0)</f>
        <v>#N/A</v>
      </c>
    </row>
    <row r="1213" hidden="1">
      <c r="A1213" s="62"/>
      <c r="B1213" s="127" t="s">
        <v>1444</v>
      </c>
      <c r="C1213" s="87" t="s">
        <v>1443</v>
      </c>
      <c r="D1213" s="89">
        <f>SUMIF('Executive Pay Breakdown'!K:K,$B1213,'Executive Pay Breakdown'!M:M)+SUMIF('Executive Pay Breakdown'!O:O,$B1213,'Executive Pay Breakdown'!Q:Q)+SUMIF('Executive Pay Breakdown'!S:S,$B1213,'Executive Pay Breakdown'!U:U)+SUMIF('Executive Pay Breakdown'!W:W,$B1213,'Executive Pay Breakdown'!Y:Y)+SUMIF('Executive Pay Breakdown'!AA:AA,$B1213,'Executive Pay Breakdown'!AC:AC)</f>
        <v>31899841</v>
      </c>
      <c r="E1213" s="109"/>
      <c r="F1213" s="69">
        <f>SUMIF('Executive Pay Breakdown'!K:K,$B1213,'Executive Pay Breakdown'!M:M)</f>
        <v>10682318</v>
      </c>
      <c r="G1213" s="69">
        <f>SUMIF('Executive Pay Breakdown'!O:O,$B1213,'Executive Pay Breakdown'!Q:Q)</f>
        <v>6879280</v>
      </c>
      <c r="H1213" s="69">
        <f>SUMIF('Executive Pay Breakdown'!S:S,$B1213,'Executive Pay Breakdown'!U:U)</f>
        <v>4950264</v>
      </c>
      <c r="I1213" s="69">
        <f>SUMIF('Executive Pay Breakdown'!W:W,$B1213,'Executive Pay Breakdown'!Y:Y)</f>
        <v>5640401</v>
      </c>
      <c r="J1213" s="69">
        <f>SUMIF('Executive Pay Breakdown'!AA:AA,$B1213,'Executive Pay Breakdown'!AC:AC)</f>
        <v>3747578</v>
      </c>
      <c r="K1213" s="118"/>
      <c r="L1213" s="212"/>
      <c r="M1213" s="87"/>
      <c r="N1213" s="230"/>
      <c r="O1213" s="120" t="str">
        <f>MATCH(C1213,'Key Findings'!B:B,0)</f>
        <v>#N/A</v>
      </c>
    </row>
    <row r="1214" hidden="1">
      <c r="A1214" s="62"/>
      <c r="B1214" s="127" t="s">
        <v>1445</v>
      </c>
      <c r="C1214" s="87" t="s">
        <v>1443</v>
      </c>
      <c r="D1214" s="89">
        <f>SUMIF('Executive Pay Breakdown'!K:K,$B1214,'Executive Pay Breakdown'!M:M)+SUMIF('Executive Pay Breakdown'!O:O,$B1214,'Executive Pay Breakdown'!Q:Q)+SUMIF('Executive Pay Breakdown'!S:S,$B1214,'Executive Pay Breakdown'!U:U)+SUMIF('Executive Pay Breakdown'!W:W,$B1214,'Executive Pay Breakdown'!Y:Y)+SUMIF('Executive Pay Breakdown'!AA:AA,$B1214,'Executive Pay Breakdown'!AC:AC)</f>
        <v>23907530</v>
      </c>
      <c r="E1214" s="109"/>
      <c r="F1214" s="69">
        <f>SUMIF('Executive Pay Breakdown'!K:K,$B1214,'Executive Pay Breakdown'!M:M)</f>
        <v>7014269</v>
      </c>
      <c r="G1214" s="69">
        <f>SUMIF('Executive Pay Breakdown'!O:O,$B1214,'Executive Pay Breakdown'!Q:Q)</f>
        <v>6248987</v>
      </c>
      <c r="H1214" s="69">
        <f>SUMIF('Executive Pay Breakdown'!S:S,$B1214,'Executive Pay Breakdown'!U:U)</f>
        <v>4613573</v>
      </c>
      <c r="I1214" s="69">
        <f>SUMIF('Executive Pay Breakdown'!W:W,$B1214,'Executive Pay Breakdown'!Y:Y)</f>
        <v>6030701</v>
      </c>
      <c r="J1214" s="69">
        <f>SUMIF('Executive Pay Breakdown'!AA:AA,$B1214,'Executive Pay Breakdown'!AC:AC)</f>
        <v>0</v>
      </c>
      <c r="K1214" s="118"/>
      <c r="L1214" s="212"/>
      <c r="M1214" s="87"/>
      <c r="N1214" s="230"/>
      <c r="O1214" s="120" t="str">
        <f>MATCH(C1214,'Key Findings'!B:B,0)</f>
        <v>#N/A</v>
      </c>
    </row>
    <row r="1215" hidden="1">
      <c r="A1215" s="62"/>
      <c r="B1215" s="127" t="s">
        <v>1446</v>
      </c>
      <c r="C1215" s="87" t="s">
        <v>1443</v>
      </c>
      <c r="D1215" s="89">
        <f>SUMIF('Executive Pay Breakdown'!K:K,$B1215,'Executive Pay Breakdown'!M:M)+SUMIF('Executive Pay Breakdown'!O:O,$B1215,'Executive Pay Breakdown'!Q:Q)+SUMIF('Executive Pay Breakdown'!S:S,$B1215,'Executive Pay Breakdown'!U:U)+SUMIF('Executive Pay Breakdown'!W:W,$B1215,'Executive Pay Breakdown'!Y:Y)+SUMIF('Executive Pay Breakdown'!AA:AA,$B1215,'Executive Pay Breakdown'!AC:AC)</f>
        <v>20167816</v>
      </c>
      <c r="E1215" s="109"/>
      <c r="F1215" s="69">
        <f>SUMIF('Executive Pay Breakdown'!K:K,$B1215,'Executive Pay Breakdown'!M:M)</f>
        <v>5409733</v>
      </c>
      <c r="G1215" s="69">
        <f>SUMIF('Executive Pay Breakdown'!O:O,$B1215,'Executive Pay Breakdown'!Q:Q)</f>
        <v>5374898</v>
      </c>
      <c r="H1215" s="69">
        <f>SUMIF('Executive Pay Breakdown'!S:S,$B1215,'Executive Pay Breakdown'!U:U)</f>
        <v>4420390</v>
      </c>
      <c r="I1215" s="69">
        <f>SUMIF('Executive Pay Breakdown'!W:W,$B1215,'Executive Pay Breakdown'!Y:Y)</f>
        <v>4962795</v>
      </c>
      <c r="J1215" s="69">
        <f>SUMIF('Executive Pay Breakdown'!AA:AA,$B1215,'Executive Pay Breakdown'!AC:AC)</f>
        <v>0</v>
      </c>
      <c r="K1215" s="118"/>
      <c r="L1215" s="212"/>
      <c r="M1215" s="87"/>
      <c r="N1215" s="230"/>
      <c r="O1215" s="120" t="str">
        <f>MATCH(C1215,'Key Findings'!B:B,0)</f>
        <v>#N/A</v>
      </c>
    </row>
    <row r="1216" hidden="1">
      <c r="A1216" s="62"/>
      <c r="B1216" s="127" t="s">
        <v>1447</v>
      </c>
      <c r="C1216" s="87" t="s">
        <v>1443</v>
      </c>
      <c r="D1216" s="89">
        <f>SUMIF('Executive Pay Breakdown'!K:K,$B1216,'Executive Pay Breakdown'!M:M)+SUMIF('Executive Pay Breakdown'!O:O,$B1216,'Executive Pay Breakdown'!Q:Q)+SUMIF('Executive Pay Breakdown'!S:S,$B1216,'Executive Pay Breakdown'!U:U)+SUMIF('Executive Pay Breakdown'!W:W,$B1216,'Executive Pay Breakdown'!Y:Y)+SUMIF('Executive Pay Breakdown'!AA:AA,$B1216,'Executive Pay Breakdown'!AC:AC)</f>
        <v>14697891</v>
      </c>
      <c r="E1216" s="109"/>
      <c r="F1216" s="69">
        <f>SUMIF('Executive Pay Breakdown'!K:K,$B1216,'Executive Pay Breakdown'!M:M)</f>
        <v>0</v>
      </c>
      <c r="G1216" s="69">
        <f>SUMIF('Executive Pay Breakdown'!O:O,$B1216,'Executive Pay Breakdown'!Q:Q)</f>
        <v>4033100</v>
      </c>
      <c r="H1216" s="69">
        <f>SUMIF('Executive Pay Breakdown'!S:S,$B1216,'Executive Pay Breakdown'!U:U)</f>
        <v>4918880</v>
      </c>
      <c r="I1216" s="69">
        <f>SUMIF('Executive Pay Breakdown'!W:W,$B1216,'Executive Pay Breakdown'!Y:Y)</f>
        <v>4132593</v>
      </c>
      <c r="J1216" s="69">
        <f>SUMIF('Executive Pay Breakdown'!AA:AA,$B1216,'Executive Pay Breakdown'!AC:AC)</f>
        <v>1613318</v>
      </c>
      <c r="K1216" s="118"/>
      <c r="L1216" s="212"/>
      <c r="M1216" s="87"/>
      <c r="N1216" s="87"/>
      <c r="O1216" s="120" t="str">
        <f>MATCH(C1216,'Key Findings'!B:B,0)</f>
        <v>#N/A</v>
      </c>
    </row>
    <row r="1217" hidden="1">
      <c r="A1217" s="62"/>
      <c r="B1217" s="127" t="s">
        <v>1448</v>
      </c>
      <c r="C1217" s="87" t="s">
        <v>1443</v>
      </c>
      <c r="D1217" s="89">
        <f>SUMIF('Executive Pay Breakdown'!K:K,$B1217,'Executive Pay Breakdown'!M:M)+SUMIF('Executive Pay Breakdown'!O:O,$B1217,'Executive Pay Breakdown'!Q:Q)+SUMIF('Executive Pay Breakdown'!S:S,$B1217,'Executive Pay Breakdown'!U:U)+SUMIF('Executive Pay Breakdown'!W:W,$B1217,'Executive Pay Breakdown'!Y:Y)+SUMIF('Executive Pay Breakdown'!AA:AA,$B1217,'Executive Pay Breakdown'!AC:AC)</f>
        <v>13055529</v>
      </c>
      <c r="E1217" s="109"/>
      <c r="F1217" s="69">
        <f>SUMIF('Executive Pay Breakdown'!K:K,$B1217,'Executive Pay Breakdown'!M:M)</f>
        <v>5595112</v>
      </c>
      <c r="G1217" s="69">
        <f>SUMIF('Executive Pay Breakdown'!O:O,$B1217,'Executive Pay Breakdown'!Q:Q)</f>
        <v>7460417</v>
      </c>
      <c r="H1217" s="69">
        <f>SUMIF('Executive Pay Breakdown'!S:S,$B1217,'Executive Pay Breakdown'!U:U)</f>
        <v>0</v>
      </c>
      <c r="I1217" s="69">
        <f>SUMIF('Executive Pay Breakdown'!W:W,$B1217,'Executive Pay Breakdown'!Y:Y)</f>
        <v>0</v>
      </c>
      <c r="J1217" s="69">
        <f>SUMIF('Executive Pay Breakdown'!AA:AA,$B1217,'Executive Pay Breakdown'!AC:AC)</f>
        <v>0</v>
      </c>
      <c r="K1217" s="118"/>
      <c r="L1217" s="212"/>
      <c r="M1217" s="212"/>
      <c r="N1217" s="230"/>
      <c r="O1217" s="120" t="str">
        <f>MATCH(C1217,'Key Findings'!B:B,0)</f>
        <v>#N/A</v>
      </c>
    </row>
    <row r="1218" hidden="1">
      <c r="A1218" s="62"/>
      <c r="B1218" s="127" t="s">
        <v>1449</v>
      </c>
      <c r="C1218" s="87" t="s">
        <v>1443</v>
      </c>
      <c r="D1218" s="89">
        <f>SUMIF('Executive Pay Breakdown'!K:K,$B1218,'Executive Pay Breakdown'!M:M)+SUMIF('Executive Pay Breakdown'!O:O,$B1218,'Executive Pay Breakdown'!Q:Q)+SUMIF('Executive Pay Breakdown'!S:S,$B1218,'Executive Pay Breakdown'!U:U)+SUMIF('Executive Pay Breakdown'!W:W,$B1218,'Executive Pay Breakdown'!Y:Y)+SUMIF('Executive Pay Breakdown'!AA:AA,$B1218,'Executive Pay Breakdown'!AC:AC)</f>
        <v>9574831</v>
      </c>
      <c r="E1218" s="109"/>
      <c r="F1218" s="69">
        <f>SUMIF('Executive Pay Breakdown'!K:K,$B1218,'Executive Pay Breakdown'!M:M)</f>
        <v>5177547</v>
      </c>
      <c r="G1218" s="69">
        <f>SUMIF('Executive Pay Breakdown'!O:O,$B1218,'Executive Pay Breakdown'!Q:Q)</f>
        <v>0</v>
      </c>
      <c r="H1218" s="69">
        <f>SUMIF('Executive Pay Breakdown'!S:S,$B1218,'Executive Pay Breakdown'!U:U)</f>
        <v>0</v>
      </c>
      <c r="I1218" s="69">
        <f>SUMIF('Executive Pay Breakdown'!W:W,$B1218,'Executive Pay Breakdown'!Y:Y)</f>
        <v>0</v>
      </c>
      <c r="J1218" s="69">
        <f>SUMIF('Executive Pay Breakdown'!AA:AA,$B1218,'Executive Pay Breakdown'!AC:AC)</f>
        <v>4397284</v>
      </c>
      <c r="K1218" s="118"/>
      <c r="L1218" s="212"/>
      <c r="M1218" s="87"/>
      <c r="N1218" s="230"/>
      <c r="O1218" s="120" t="str">
        <f>MATCH(C1218,'Key Findings'!B:B,0)</f>
        <v>#N/A</v>
      </c>
    </row>
    <row r="1219" hidden="1">
      <c r="A1219" s="62"/>
      <c r="B1219" s="127" t="s">
        <v>1450</v>
      </c>
      <c r="C1219" s="87" t="s">
        <v>1443</v>
      </c>
      <c r="D1219" s="89">
        <f>SUMIF('Executive Pay Breakdown'!K:K,$B1219,'Executive Pay Breakdown'!M:M)+SUMIF('Executive Pay Breakdown'!O:O,$B1219,'Executive Pay Breakdown'!Q:Q)+SUMIF('Executive Pay Breakdown'!S:S,$B1219,'Executive Pay Breakdown'!U:U)+SUMIF('Executive Pay Breakdown'!W:W,$B1219,'Executive Pay Breakdown'!Y:Y)+SUMIF('Executive Pay Breakdown'!AA:AA,$B1219,'Executive Pay Breakdown'!AC:AC)</f>
        <v>6356699</v>
      </c>
      <c r="E1219" s="109"/>
      <c r="F1219" s="69">
        <f>SUMIF('Executive Pay Breakdown'!K:K,$B1219,'Executive Pay Breakdown'!M:M)</f>
        <v>0</v>
      </c>
      <c r="G1219" s="69">
        <f>SUMIF('Executive Pay Breakdown'!O:O,$B1219,'Executive Pay Breakdown'!Q:Q)</f>
        <v>0</v>
      </c>
      <c r="H1219" s="69">
        <f>SUMIF('Executive Pay Breakdown'!S:S,$B1219,'Executive Pay Breakdown'!U:U)</f>
        <v>0</v>
      </c>
      <c r="I1219" s="69">
        <f>SUMIF('Executive Pay Breakdown'!W:W,$B1219,'Executive Pay Breakdown'!Y:Y)</f>
        <v>0</v>
      </c>
      <c r="J1219" s="69">
        <f>SUMIF('Executive Pay Breakdown'!AA:AA,$B1219,'Executive Pay Breakdown'!AC:AC)</f>
        <v>6356699</v>
      </c>
      <c r="K1219" s="118"/>
      <c r="L1219" s="212"/>
      <c r="M1219" s="87"/>
      <c r="N1219" s="87"/>
      <c r="O1219" s="120" t="str">
        <f>MATCH(C1219,'Key Findings'!B:B,0)</f>
        <v>#N/A</v>
      </c>
    </row>
    <row r="1220" hidden="1">
      <c r="A1220" s="62"/>
      <c r="B1220" s="127" t="s">
        <v>1451</v>
      </c>
      <c r="C1220" s="87" t="s">
        <v>1443</v>
      </c>
      <c r="D1220" s="89">
        <f>SUMIF('Executive Pay Breakdown'!K:K,$B1220,'Executive Pay Breakdown'!M:M)+SUMIF('Executive Pay Breakdown'!O:O,$B1220,'Executive Pay Breakdown'!Q:Q)+SUMIF('Executive Pay Breakdown'!S:S,$B1220,'Executive Pay Breakdown'!U:U)+SUMIF('Executive Pay Breakdown'!W:W,$B1220,'Executive Pay Breakdown'!Y:Y)+SUMIF('Executive Pay Breakdown'!AA:AA,$B1220,'Executive Pay Breakdown'!AC:AC)</f>
        <v>3893127</v>
      </c>
      <c r="E1220" s="109"/>
      <c r="F1220" s="69">
        <f>SUMIF('Executive Pay Breakdown'!K:K,$B1220,'Executive Pay Breakdown'!M:M)</f>
        <v>3893127</v>
      </c>
      <c r="G1220" s="69">
        <f>SUMIF('Executive Pay Breakdown'!O:O,$B1220,'Executive Pay Breakdown'!Q:Q)</f>
        <v>0</v>
      </c>
      <c r="H1220" s="69">
        <f>SUMIF('Executive Pay Breakdown'!S:S,$B1220,'Executive Pay Breakdown'!U:U)</f>
        <v>0</v>
      </c>
      <c r="I1220" s="69">
        <f>SUMIF('Executive Pay Breakdown'!W:W,$B1220,'Executive Pay Breakdown'!Y:Y)</f>
        <v>0</v>
      </c>
      <c r="J1220" s="69">
        <f>SUMIF('Executive Pay Breakdown'!AA:AA,$B1220,'Executive Pay Breakdown'!AC:AC)</f>
        <v>0</v>
      </c>
      <c r="K1220" s="118"/>
      <c r="L1220" s="212"/>
      <c r="M1220" s="87"/>
      <c r="N1220" s="230"/>
      <c r="O1220" s="120" t="str">
        <f>MATCH(C1220,'Key Findings'!B:B,0)</f>
        <v>#N/A</v>
      </c>
    </row>
    <row r="1221" hidden="1">
      <c r="A1221" s="62"/>
      <c r="B1221" s="127" t="s">
        <v>1452</v>
      </c>
      <c r="C1221" s="87" t="s">
        <v>1443</v>
      </c>
      <c r="D1221" s="89">
        <f>SUMIF('Executive Pay Breakdown'!K:K,$B1221,'Executive Pay Breakdown'!M:M)+SUMIF('Executive Pay Breakdown'!O:O,$B1221,'Executive Pay Breakdown'!Q:Q)+SUMIF('Executive Pay Breakdown'!S:S,$B1221,'Executive Pay Breakdown'!U:U)+SUMIF('Executive Pay Breakdown'!W:W,$B1221,'Executive Pay Breakdown'!Y:Y)+SUMIF('Executive Pay Breakdown'!AA:AA,$B1221,'Executive Pay Breakdown'!AC:AC)</f>
        <v>3774238</v>
      </c>
      <c r="E1221" s="109"/>
      <c r="F1221" s="69">
        <f>SUMIF('Executive Pay Breakdown'!K:K,$B1221,'Executive Pay Breakdown'!M:M)</f>
        <v>0</v>
      </c>
      <c r="G1221" s="69">
        <f>SUMIF('Executive Pay Breakdown'!O:O,$B1221,'Executive Pay Breakdown'!Q:Q)</f>
        <v>0</v>
      </c>
      <c r="H1221" s="69">
        <f>SUMIF('Executive Pay Breakdown'!S:S,$B1221,'Executive Pay Breakdown'!U:U)</f>
        <v>0</v>
      </c>
      <c r="I1221" s="69">
        <f>SUMIF('Executive Pay Breakdown'!W:W,$B1221,'Executive Pay Breakdown'!Y:Y)</f>
        <v>0</v>
      </c>
      <c r="J1221" s="69">
        <f>SUMIF('Executive Pay Breakdown'!AA:AA,$B1221,'Executive Pay Breakdown'!AC:AC)</f>
        <v>3774238</v>
      </c>
      <c r="K1221" s="118"/>
      <c r="L1221" s="212"/>
      <c r="M1221" s="87"/>
      <c r="N1221" s="87"/>
      <c r="O1221" s="120" t="str">
        <f>MATCH(C1221,'Key Findings'!B:B,0)</f>
        <v>#N/A</v>
      </c>
    </row>
    <row r="1222" hidden="1">
      <c r="A1222" s="81" t="s">
        <v>86</v>
      </c>
      <c r="B1222" s="245" t="s">
        <v>1453</v>
      </c>
      <c r="C1222" s="87" t="s">
        <v>1454</v>
      </c>
      <c r="D1222" s="89">
        <f>SUMIF('Executive Pay Breakdown'!K:K,$B1222,'Executive Pay Breakdown'!M:M)+SUMIF('Executive Pay Breakdown'!O:O,$B1222,'Executive Pay Breakdown'!Q:Q)+SUMIF('Executive Pay Breakdown'!S:S,$B1222,'Executive Pay Breakdown'!U:U)+SUMIF('Executive Pay Breakdown'!W:W,$B1222,'Executive Pay Breakdown'!Y:Y)+SUMIF('Executive Pay Breakdown'!AA:AA,$B1222,'Executive Pay Breakdown'!AC:AC)</f>
        <v>240161435</v>
      </c>
      <c r="E1222" s="109"/>
      <c r="F1222" s="69">
        <f>SUMIF('Executive Pay Breakdown'!K:K,$B1222,'Executive Pay Breakdown'!M:M)</f>
        <v>99420097</v>
      </c>
      <c r="G1222" s="69">
        <f>SUMIF('Executive Pay Breakdown'!O:O,$B1222,'Executive Pay Breakdown'!Q:Q)</f>
        <v>98734394</v>
      </c>
      <c r="H1222" s="69">
        <f>SUMIF('Executive Pay Breakdown'!S:S,$B1222,'Executive Pay Breakdown'!U:U)</f>
        <v>14769259</v>
      </c>
      <c r="I1222" s="69">
        <f>SUMIF('Executive Pay Breakdown'!W:W,$B1222,'Executive Pay Breakdown'!Y:Y)</f>
        <v>11555466</v>
      </c>
      <c r="J1222" s="69">
        <f>SUMIF('Executive Pay Breakdown'!AA:AA,$B1222,'Executive Pay Breakdown'!AC:AC)</f>
        <v>15682219</v>
      </c>
      <c r="K1222" s="118"/>
      <c r="L1222" s="247"/>
      <c r="M1222" s="87"/>
      <c r="N1222" s="87"/>
      <c r="O1222" s="120" t="str">
        <f>MATCH(C1222,'Key Findings'!B:B,0)</f>
        <v>#N/A</v>
      </c>
    </row>
    <row r="1223" hidden="1">
      <c r="A1223" s="81"/>
      <c r="B1223" s="138" t="s">
        <v>1455</v>
      </c>
      <c r="C1223" s="87" t="s">
        <v>1454</v>
      </c>
      <c r="D1223" s="89">
        <f>SUMIF('Executive Pay Breakdown'!K:K,$B1223,'Executive Pay Breakdown'!M:M)+SUMIF('Executive Pay Breakdown'!O:O,$B1223,'Executive Pay Breakdown'!Q:Q)+SUMIF('Executive Pay Breakdown'!S:S,$B1223,'Executive Pay Breakdown'!U:U)+SUMIF('Executive Pay Breakdown'!W:W,$B1223,'Executive Pay Breakdown'!Y:Y)+SUMIF('Executive Pay Breakdown'!AA:AA,$B1223,'Executive Pay Breakdown'!AC:AC)</f>
        <v>132302833</v>
      </c>
      <c r="E1223" s="109"/>
      <c r="F1223" s="69">
        <f>SUMIF('Executive Pay Breakdown'!K:K,$B1223,'Executive Pay Breakdown'!M:M)</f>
        <v>27147223</v>
      </c>
      <c r="G1223" s="69">
        <f>SUMIF('Executive Pay Breakdown'!O:O,$B1223,'Executive Pay Breakdown'!Q:Q)</f>
        <v>26974153</v>
      </c>
      <c r="H1223" s="69">
        <f>SUMIF('Executive Pay Breakdown'!S:S,$B1223,'Executive Pay Breakdown'!U:U)</f>
        <v>26248997</v>
      </c>
      <c r="I1223" s="69">
        <f>SUMIF('Executive Pay Breakdown'!W:W,$B1223,'Executive Pay Breakdown'!Y:Y)</f>
        <v>25231800</v>
      </c>
      <c r="J1223" s="69">
        <f>SUMIF('Executive Pay Breakdown'!AA:AA,$B1223,'Executive Pay Breakdown'!AC:AC)</f>
        <v>26700660</v>
      </c>
      <c r="K1223" s="118"/>
      <c r="L1223" s="212"/>
      <c r="M1223" s="87"/>
      <c r="N1223" s="87"/>
      <c r="O1223" s="120" t="str">
        <f>MATCH(C1223,'Key Findings'!B:B,0)</f>
        <v>#N/A</v>
      </c>
    </row>
    <row r="1224" hidden="1">
      <c r="A1224" s="81"/>
      <c r="B1224" s="138" t="s">
        <v>1456</v>
      </c>
      <c r="C1224" s="87" t="s">
        <v>1454</v>
      </c>
      <c r="D1224" s="89">
        <f>SUMIF('Executive Pay Breakdown'!K:K,$B1224,'Executive Pay Breakdown'!M:M)+SUMIF('Executive Pay Breakdown'!O:O,$B1224,'Executive Pay Breakdown'!Q:Q)+SUMIF('Executive Pay Breakdown'!S:S,$B1224,'Executive Pay Breakdown'!U:U)+SUMIF('Executive Pay Breakdown'!W:W,$B1224,'Executive Pay Breakdown'!Y:Y)+SUMIF('Executive Pay Breakdown'!AA:AA,$B1224,'Executive Pay Breakdown'!AC:AC)</f>
        <v>132130858</v>
      </c>
      <c r="E1224" s="109"/>
      <c r="F1224" s="69">
        <f>SUMIF('Executive Pay Breakdown'!K:K,$B1224,'Executive Pay Breakdown'!M:M)</f>
        <v>27150352</v>
      </c>
      <c r="G1224" s="69">
        <f>SUMIF('Executive Pay Breakdown'!O:O,$B1224,'Executive Pay Breakdown'!Q:Q)</f>
        <v>26977057</v>
      </c>
      <c r="H1224" s="69">
        <f>SUMIF('Executive Pay Breakdown'!S:S,$B1224,'Executive Pay Breakdown'!U:U)</f>
        <v>26251824</v>
      </c>
      <c r="I1224" s="69">
        <f>SUMIF('Executive Pay Breakdown'!W:W,$B1224,'Executive Pay Breakdown'!Y:Y)</f>
        <v>25207919</v>
      </c>
      <c r="J1224" s="69">
        <f>SUMIF('Executive Pay Breakdown'!AA:AA,$B1224,'Executive Pay Breakdown'!AC:AC)</f>
        <v>26543706</v>
      </c>
      <c r="K1224" s="118"/>
      <c r="L1224" s="212"/>
      <c r="M1224" s="87"/>
      <c r="N1224" s="87"/>
      <c r="O1224" s="120" t="str">
        <f>MATCH(C1224,'Key Findings'!B:B,0)</f>
        <v>#N/A</v>
      </c>
    </row>
    <row r="1225" hidden="1">
      <c r="A1225" s="81"/>
      <c r="B1225" s="138" t="s">
        <v>1457</v>
      </c>
      <c r="C1225" s="87" t="s">
        <v>1454</v>
      </c>
      <c r="D1225" s="89">
        <f>SUMIF('Executive Pay Breakdown'!K:K,$B1225,'Executive Pay Breakdown'!M:M)+SUMIF('Executive Pay Breakdown'!O:O,$B1225,'Executive Pay Breakdown'!Q:Q)+SUMIF('Executive Pay Breakdown'!S:S,$B1225,'Executive Pay Breakdown'!U:U)+SUMIF('Executive Pay Breakdown'!W:W,$B1225,'Executive Pay Breakdown'!Y:Y)+SUMIF('Executive Pay Breakdown'!AA:AA,$B1225,'Executive Pay Breakdown'!AC:AC)</f>
        <v>132102900</v>
      </c>
      <c r="E1225" s="109"/>
      <c r="F1225" s="69">
        <f>SUMIF('Executive Pay Breakdown'!K:K,$B1225,'Executive Pay Breakdown'!M:M)</f>
        <v>27151798</v>
      </c>
      <c r="G1225" s="69">
        <f>SUMIF('Executive Pay Breakdown'!O:O,$B1225,'Executive Pay Breakdown'!Q:Q)</f>
        <v>26978503</v>
      </c>
      <c r="H1225" s="69">
        <f>SUMIF('Executive Pay Breakdown'!S:S,$B1225,'Executive Pay Breakdown'!U:U)</f>
        <v>26253270</v>
      </c>
      <c r="I1225" s="69">
        <f>SUMIF('Executive Pay Breakdown'!W:W,$B1225,'Executive Pay Breakdown'!Y:Y)</f>
        <v>25209637</v>
      </c>
      <c r="J1225" s="69">
        <f>SUMIF('Executive Pay Breakdown'!AA:AA,$B1225,'Executive Pay Breakdown'!AC:AC)</f>
        <v>26509692</v>
      </c>
      <c r="K1225" s="118"/>
      <c r="L1225" s="212"/>
      <c r="M1225" s="87"/>
      <c r="N1225" s="87"/>
      <c r="O1225" s="120" t="str">
        <f>MATCH(C1225,'Key Findings'!B:B,0)</f>
        <v>#N/A</v>
      </c>
    </row>
    <row r="1226" hidden="1">
      <c r="A1226" s="81"/>
      <c r="B1226" s="125" t="s">
        <v>1458</v>
      </c>
      <c r="C1226" s="87" t="s">
        <v>1454</v>
      </c>
      <c r="D1226" s="89">
        <f>SUMIF('Executive Pay Breakdown'!K:K,$B1226,'Executive Pay Breakdown'!M:M)+SUMIF('Executive Pay Breakdown'!O:O,$B1226,'Executive Pay Breakdown'!Q:Q)+SUMIF('Executive Pay Breakdown'!S:S,$B1226,'Executive Pay Breakdown'!U:U)+SUMIF('Executive Pay Breakdown'!W:W,$B1226,'Executive Pay Breakdown'!Y:Y)+SUMIF('Executive Pay Breakdown'!AA:AA,$B1226,'Executive Pay Breakdown'!AC:AC)</f>
        <v>99604760</v>
      </c>
      <c r="E1226" s="109"/>
      <c r="F1226" s="69">
        <f>SUMIF('Executive Pay Breakdown'!K:K,$B1226,'Executive Pay Breakdown'!M:M)</f>
        <v>27151798</v>
      </c>
      <c r="G1226" s="69">
        <f>SUMIF('Executive Pay Breakdown'!O:O,$B1226,'Executive Pay Breakdown'!Q:Q)</f>
        <v>27020811</v>
      </c>
      <c r="H1226" s="69">
        <f>SUMIF('Executive Pay Breakdown'!S:S,$B1226,'Executive Pay Breakdown'!U:U)</f>
        <v>26272371</v>
      </c>
      <c r="I1226" s="69">
        <f>SUMIF('Executive Pay Breakdown'!W:W,$B1226,'Executive Pay Breakdown'!Y:Y)</f>
        <v>19159780</v>
      </c>
      <c r="J1226" s="69">
        <f>SUMIF('Executive Pay Breakdown'!AA:AA,$B1226,'Executive Pay Breakdown'!AC:AC)</f>
        <v>0</v>
      </c>
      <c r="K1226" s="118"/>
      <c r="L1226" s="212"/>
      <c r="M1226" s="87"/>
      <c r="N1226" s="87"/>
      <c r="O1226" s="120" t="str">
        <f>MATCH(C1226,'Key Findings'!B:B,0)</f>
        <v>#N/A</v>
      </c>
    </row>
    <row r="1227" hidden="1">
      <c r="A1227" s="81"/>
      <c r="B1227" s="138" t="s">
        <v>1459</v>
      </c>
      <c r="C1227" s="87" t="s">
        <v>1454</v>
      </c>
      <c r="D1227" s="89">
        <f>SUMIF('Executive Pay Breakdown'!K:K,$B1227,'Executive Pay Breakdown'!M:M)+SUMIF('Executive Pay Breakdown'!O:O,$B1227,'Executive Pay Breakdown'!Q:Q)+SUMIF('Executive Pay Breakdown'!S:S,$B1227,'Executive Pay Breakdown'!U:U)+SUMIF('Executive Pay Breakdown'!W:W,$B1227,'Executive Pay Breakdown'!Y:Y)+SUMIF('Executive Pay Breakdown'!AA:AA,$B1227,'Executive Pay Breakdown'!AC:AC)</f>
        <v>48817072</v>
      </c>
      <c r="E1227" s="109"/>
      <c r="F1227" s="69">
        <f>SUMIF('Executive Pay Breakdown'!K:K,$B1227,'Executive Pay Breakdown'!M:M)</f>
        <v>0</v>
      </c>
      <c r="G1227" s="69">
        <f>SUMIF('Executive Pay Breakdown'!O:O,$B1227,'Executive Pay Breakdown'!Q:Q)</f>
        <v>0</v>
      </c>
      <c r="H1227" s="69">
        <f>SUMIF('Executive Pay Breakdown'!S:S,$B1227,'Executive Pay Breakdown'!U:U)</f>
        <v>0</v>
      </c>
      <c r="I1227" s="69">
        <f>SUMIF('Executive Pay Breakdown'!W:W,$B1227,'Executive Pay Breakdown'!Y:Y)</f>
        <v>22278242</v>
      </c>
      <c r="J1227" s="69">
        <f>SUMIF('Executive Pay Breakdown'!AA:AA,$B1227,'Executive Pay Breakdown'!AC:AC)</f>
        <v>26538830</v>
      </c>
      <c r="K1227" s="118"/>
      <c r="L1227" s="212"/>
      <c r="M1227" s="87"/>
      <c r="N1227" s="230"/>
      <c r="O1227" s="120" t="str">
        <f>MATCH(C1227,'Key Findings'!B:B,0)</f>
        <v>#N/A</v>
      </c>
    </row>
    <row r="1228" hidden="1">
      <c r="A1228" s="71"/>
      <c r="B1228" s="124" t="s">
        <v>1460</v>
      </c>
      <c r="C1228" s="87" t="s">
        <v>1461</v>
      </c>
      <c r="D1228" s="89">
        <f>SUMIF('Executive Pay Breakdown'!K:K,$B1228,'Executive Pay Breakdown'!M:M)+SUMIF('Executive Pay Breakdown'!O:O,$B1228,'Executive Pay Breakdown'!Q:Q)+SUMIF('Executive Pay Breakdown'!S:S,$B1228,'Executive Pay Breakdown'!U:U)+SUMIF('Executive Pay Breakdown'!W:W,$B1228,'Executive Pay Breakdown'!Y:Y)+SUMIF('Executive Pay Breakdown'!AA:AA,$B1228,'Executive Pay Breakdown'!AC:AC)</f>
        <v>138902316</v>
      </c>
      <c r="E1228" s="109"/>
      <c r="F1228" s="69">
        <f>SUMIF('Executive Pay Breakdown'!K:K,$B1228,'Executive Pay Breakdown'!M:M)</f>
        <v>48029631</v>
      </c>
      <c r="G1228" s="69">
        <f>SUMIF('Executive Pay Breakdown'!O:O,$B1228,'Executive Pay Breakdown'!Q:Q)</f>
        <v>25513922</v>
      </c>
      <c r="H1228" s="69">
        <f>SUMIF('Executive Pay Breakdown'!S:S,$B1228,'Executive Pay Breakdown'!U:U)</f>
        <v>24221319</v>
      </c>
      <c r="I1228" s="69">
        <f>SUMIF('Executive Pay Breakdown'!W:W,$B1228,'Executive Pay Breakdown'!Y:Y)</f>
        <v>23796002</v>
      </c>
      <c r="J1228" s="69">
        <f>SUMIF('Executive Pay Breakdown'!AA:AA,$B1228,'Executive Pay Breakdown'!AC:AC)</f>
        <v>17341442</v>
      </c>
      <c r="K1228" s="118"/>
      <c r="L1228" s="212"/>
      <c r="M1228" s="87"/>
      <c r="N1228" s="87"/>
      <c r="O1228" s="120" t="str">
        <f>MATCH(C1228,'Key Findings'!B:B,0)</f>
        <v>#N/A</v>
      </c>
    </row>
    <row r="1229" hidden="1">
      <c r="A1229" s="71"/>
      <c r="B1229" s="124" t="s">
        <v>1462</v>
      </c>
      <c r="C1229" s="87" t="s">
        <v>1461</v>
      </c>
      <c r="D1229" s="89">
        <f>SUMIF('Executive Pay Breakdown'!K:K,$B1229,'Executive Pay Breakdown'!M:M)+SUMIF('Executive Pay Breakdown'!O:O,$B1229,'Executive Pay Breakdown'!Q:Q)+SUMIF('Executive Pay Breakdown'!S:S,$B1229,'Executive Pay Breakdown'!U:U)+SUMIF('Executive Pay Breakdown'!W:W,$B1229,'Executive Pay Breakdown'!Y:Y)+SUMIF('Executive Pay Breakdown'!AA:AA,$B1229,'Executive Pay Breakdown'!AC:AC)</f>
        <v>67479633</v>
      </c>
      <c r="E1229" s="109"/>
      <c r="F1229" s="69">
        <f>SUMIF('Executive Pay Breakdown'!K:K,$B1229,'Executive Pay Breakdown'!M:M)</f>
        <v>16183149</v>
      </c>
      <c r="G1229" s="69">
        <f>SUMIF('Executive Pay Breakdown'!O:O,$B1229,'Executive Pay Breakdown'!Q:Q)</f>
        <v>14733675</v>
      </c>
      <c r="H1229" s="69">
        <f>SUMIF('Executive Pay Breakdown'!S:S,$B1229,'Executive Pay Breakdown'!U:U)</f>
        <v>12564387</v>
      </c>
      <c r="I1229" s="69">
        <f>SUMIF('Executive Pay Breakdown'!W:W,$B1229,'Executive Pay Breakdown'!Y:Y)</f>
        <v>13670672</v>
      </c>
      <c r="J1229" s="69">
        <f>SUMIF('Executive Pay Breakdown'!AA:AA,$B1229,'Executive Pay Breakdown'!AC:AC)</f>
        <v>10327750</v>
      </c>
      <c r="K1229" s="118"/>
      <c r="L1229" s="212"/>
      <c r="M1229" s="87"/>
      <c r="N1229" s="230"/>
      <c r="O1229" s="120" t="str">
        <f>MATCH(C1229,'Key Findings'!B:B,0)</f>
        <v>#N/A</v>
      </c>
    </row>
    <row r="1230" hidden="1">
      <c r="A1230" s="71"/>
      <c r="B1230" s="124" t="s">
        <v>1463</v>
      </c>
      <c r="C1230" s="87" t="s">
        <v>1461</v>
      </c>
      <c r="D1230" s="89">
        <f>SUMIF('Executive Pay Breakdown'!K:K,$B1230,'Executive Pay Breakdown'!M:M)+SUMIF('Executive Pay Breakdown'!O:O,$B1230,'Executive Pay Breakdown'!Q:Q)+SUMIF('Executive Pay Breakdown'!S:S,$B1230,'Executive Pay Breakdown'!U:U)+SUMIF('Executive Pay Breakdown'!W:W,$B1230,'Executive Pay Breakdown'!Y:Y)+SUMIF('Executive Pay Breakdown'!AA:AA,$B1230,'Executive Pay Breakdown'!AC:AC)</f>
        <v>65501822</v>
      </c>
      <c r="E1230" s="109"/>
      <c r="F1230" s="69">
        <f>SUMIF('Executive Pay Breakdown'!K:K,$B1230,'Executive Pay Breakdown'!M:M)</f>
        <v>14838640</v>
      </c>
      <c r="G1230" s="69">
        <f>SUMIF('Executive Pay Breakdown'!O:O,$B1230,'Executive Pay Breakdown'!Q:Q)</f>
        <v>13353632</v>
      </c>
      <c r="H1230" s="69">
        <f>SUMIF('Executive Pay Breakdown'!S:S,$B1230,'Executive Pay Breakdown'!U:U)</f>
        <v>11699407</v>
      </c>
      <c r="I1230" s="69">
        <f>SUMIF('Executive Pay Breakdown'!W:W,$B1230,'Executive Pay Breakdown'!Y:Y)</f>
        <v>13745491</v>
      </c>
      <c r="J1230" s="69">
        <f>SUMIF('Executive Pay Breakdown'!AA:AA,$B1230,'Executive Pay Breakdown'!AC:AC)</f>
        <v>11864652</v>
      </c>
      <c r="K1230" s="118"/>
      <c r="L1230" s="212"/>
      <c r="M1230" s="87"/>
      <c r="N1230" s="230"/>
      <c r="O1230" s="120" t="str">
        <f>MATCH(C1230,'Key Findings'!B:B,0)</f>
        <v>#N/A</v>
      </c>
    </row>
    <row r="1231" hidden="1">
      <c r="A1231" s="71"/>
      <c r="B1231" s="124" t="s">
        <v>1464</v>
      </c>
      <c r="C1231" s="87" t="s">
        <v>1461</v>
      </c>
      <c r="D1231" s="89">
        <f>SUMIF('Executive Pay Breakdown'!K:K,$B1231,'Executive Pay Breakdown'!M:M)+SUMIF('Executive Pay Breakdown'!O:O,$B1231,'Executive Pay Breakdown'!Q:Q)+SUMIF('Executive Pay Breakdown'!S:S,$B1231,'Executive Pay Breakdown'!U:U)+SUMIF('Executive Pay Breakdown'!W:W,$B1231,'Executive Pay Breakdown'!Y:Y)+SUMIF('Executive Pay Breakdown'!AA:AA,$B1231,'Executive Pay Breakdown'!AC:AC)</f>
        <v>61944495</v>
      </c>
      <c r="E1231" s="109"/>
      <c r="F1231" s="69">
        <f>SUMIF('Executive Pay Breakdown'!K:K,$B1231,'Executive Pay Breakdown'!M:M)</f>
        <v>18244778</v>
      </c>
      <c r="G1231" s="69">
        <f>SUMIF('Executive Pay Breakdown'!O:O,$B1231,'Executive Pay Breakdown'!Q:Q)</f>
        <v>13362708</v>
      </c>
      <c r="H1231" s="69">
        <f>SUMIF('Executive Pay Breakdown'!S:S,$B1231,'Executive Pay Breakdown'!U:U)</f>
        <v>10268841</v>
      </c>
      <c r="I1231" s="69">
        <f>SUMIF('Executive Pay Breakdown'!W:W,$B1231,'Executive Pay Breakdown'!Y:Y)</f>
        <v>11528808</v>
      </c>
      <c r="J1231" s="69">
        <f>SUMIF('Executive Pay Breakdown'!AA:AA,$B1231,'Executive Pay Breakdown'!AC:AC)</f>
        <v>8539360</v>
      </c>
      <c r="K1231" s="118"/>
      <c r="L1231" s="212"/>
      <c r="M1231" s="87"/>
      <c r="N1231" s="230"/>
      <c r="O1231" s="120" t="str">
        <f>MATCH(C1231,'Key Findings'!B:B,0)</f>
        <v>#N/A</v>
      </c>
    </row>
    <row r="1232" hidden="1">
      <c r="A1232" s="71"/>
      <c r="B1232" s="124" t="s">
        <v>1465</v>
      </c>
      <c r="C1232" s="87" t="s">
        <v>1461</v>
      </c>
      <c r="D1232" s="89">
        <f>SUMIF('Executive Pay Breakdown'!K:K,$B1232,'Executive Pay Breakdown'!M:M)+SUMIF('Executive Pay Breakdown'!O:O,$B1232,'Executive Pay Breakdown'!Q:Q)+SUMIF('Executive Pay Breakdown'!S:S,$B1232,'Executive Pay Breakdown'!U:U)+SUMIF('Executive Pay Breakdown'!W:W,$B1232,'Executive Pay Breakdown'!Y:Y)+SUMIF('Executive Pay Breakdown'!AA:AA,$B1232,'Executive Pay Breakdown'!AC:AC)</f>
        <v>28227478</v>
      </c>
      <c r="E1232" s="109"/>
      <c r="F1232" s="69">
        <f>SUMIF('Executive Pay Breakdown'!K:K,$B1232,'Executive Pay Breakdown'!M:M)</f>
        <v>0</v>
      </c>
      <c r="G1232" s="69">
        <f>SUMIF('Executive Pay Breakdown'!O:O,$B1232,'Executive Pay Breakdown'!Q:Q)</f>
        <v>10574682</v>
      </c>
      <c r="H1232" s="69">
        <f>SUMIF('Executive Pay Breakdown'!S:S,$B1232,'Executive Pay Breakdown'!U:U)</f>
        <v>9139038</v>
      </c>
      <c r="I1232" s="69">
        <f>SUMIF('Executive Pay Breakdown'!W:W,$B1232,'Executive Pay Breakdown'!Y:Y)</f>
        <v>8513758</v>
      </c>
      <c r="J1232" s="69">
        <f>SUMIF('Executive Pay Breakdown'!AA:AA,$B1232,'Executive Pay Breakdown'!AC:AC)</f>
        <v>0</v>
      </c>
      <c r="K1232" s="118"/>
      <c r="L1232" s="212"/>
      <c r="M1232" s="87"/>
      <c r="N1232" s="87"/>
      <c r="O1232" s="120" t="str">
        <f>MATCH(C1232,'Key Findings'!B:B,0)</f>
        <v>#N/A</v>
      </c>
    </row>
    <row r="1233" hidden="1">
      <c r="A1233" s="81"/>
      <c r="B1233" s="87" t="s">
        <v>1466</v>
      </c>
      <c r="C1233" s="87" t="s">
        <v>1461</v>
      </c>
      <c r="D1233" s="89">
        <f>SUMIF('Executive Pay Breakdown'!K:K,$B1233,'Executive Pay Breakdown'!M:M)+SUMIF('Executive Pay Breakdown'!O:O,$B1233,'Executive Pay Breakdown'!Q:Q)+SUMIF('Executive Pay Breakdown'!S:S,$B1233,'Executive Pay Breakdown'!U:U)+SUMIF('Executive Pay Breakdown'!W:W,$B1233,'Executive Pay Breakdown'!Y:Y)+SUMIF('Executive Pay Breakdown'!AA:AA,$B1233,'Executive Pay Breakdown'!AC:AC)</f>
        <v>23775941</v>
      </c>
      <c r="E1233" s="109"/>
      <c r="F1233" s="69">
        <f>SUMIF('Executive Pay Breakdown'!K:K,$B1233,'Executive Pay Breakdown'!M:M)</f>
        <v>0</v>
      </c>
      <c r="G1233" s="69">
        <f>SUMIF('Executive Pay Breakdown'!O:O,$B1233,'Executive Pay Breakdown'!Q:Q)</f>
        <v>0</v>
      </c>
      <c r="H1233" s="69">
        <f>SUMIF('Executive Pay Breakdown'!S:S,$B1233,'Executive Pay Breakdown'!U:U)</f>
        <v>0</v>
      </c>
      <c r="I1233" s="69">
        <f>SUMIF('Executive Pay Breakdown'!W:W,$B1233,'Executive Pay Breakdown'!Y:Y)</f>
        <v>0</v>
      </c>
      <c r="J1233" s="69">
        <f>SUMIF('Executive Pay Breakdown'!AA:AA,$B1233,'Executive Pay Breakdown'!AC:AC)</f>
        <v>23775941</v>
      </c>
      <c r="K1233" s="118"/>
      <c r="L1233" s="212"/>
      <c r="M1233" s="87"/>
      <c r="N1233" s="230"/>
      <c r="O1233" s="120" t="str">
        <f>MATCH(C1233,'Key Findings'!B:B,0)</f>
        <v>#N/A</v>
      </c>
    </row>
    <row r="1234" hidden="1">
      <c r="A1234" s="71"/>
      <c r="B1234" s="124" t="s">
        <v>1467</v>
      </c>
      <c r="C1234" s="87" t="s">
        <v>1461</v>
      </c>
      <c r="D1234" s="89">
        <f>SUMIF('Executive Pay Breakdown'!K:K,$B1234,'Executive Pay Breakdown'!M:M)+SUMIF('Executive Pay Breakdown'!O:O,$B1234,'Executive Pay Breakdown'!Q:Q)+SUMIF('Executive Pay Breakdown'!S:S,$B1234,'Executive Pay Breakdown'!U:U)+SUMIF('Executive Pay Breakdown'!W:W,$B1234,'Executive Pay Breakdown'!Y:Y)+SUMIF('Executive Pay Breakdown'!AA:AA,$B1234,'Executive Pay Breakdown'!AC:AC)</f>
        <v>15391800</v>
      </c>
      <c r="E1234" s="109"/>
      <c r="F1234" s="69">
        <f>SUMIF('Executive Pay Breakdown'!K:K,$B1234,'Executive Pay Breakdown'!M:M)</f>
        <v>15391800</v>
      </c>
      <c r="G1234" s="69">
        <f>SUMIF('Executive Pay Breakdown'!O:O,$B1234,'Executive Pay Breakdown'!Q:Q)</f>
        <v>0</v>
      </c>
      <c r="H1234" s="69">
        <f>SUMIF('Executive Pay Breakdown'!S:S,$B1234,'Executive Pay Breakdown'!U:U)</f>
        <v>0</v>
      </c>
      <c r="I1234" s="69">
        <f>SUMIF('Executive Pay Breakdown'!W:W,$B1234,'Executive Pay Breakdown'!Y:Y)</f>
        <v>0</v>
      </c>
      <c r="J1234" s="69">
        <f>SUMIF('Executive Pay Breakdown'!AA:AA,$B1234,'Executive Pay Breakdown'!AC:AC)</f>
        <v>0</v>
      </c>
      <c r="K1234" s="118"/>
      <c r="L1234" s="212"/>
      <c r="M1234" s="87"/>
      <c r="N1234" s="230"/>
      <c r="O1234" s="120" t="str">
        <f>MATCH(C1234,'Key Findings'!B:B,0)</f>
        <v>#N/A</v>
      </c>
    </row>
    <row r="1235" hidden="1">
      <c r="A1235" s="71"/>
      <c r="B1235" s="124" t="s">
        <v>1468</v>
      </c>
      <c r="C1235" s="87" t="s">
        <v>1461</v>
      </c>
      <c r="D1235" s="89">
        <f>SUMIF('Executive Pay Breakdown'!K:K,$B1235,'Executive Pay Breakdown'!M:M)+SUMIF('Executive Pay Breakdown'!O:O,$B1235,'Executive Pay Breakdown'!Q:Q)+SUMIF('Executive Pay Breakdown'!S:S,$B1235,'Executive Pay Breakdown'!U:U)+SUMIF('Executive Pay Breakdown'!W:W,$B1235,'Executive Pay Breakdown'!Y:Y)+SUMIF('Executive Pay Breakdown'!AA:AA,$B1235,'Executive Pay Breakdown'!AC:AC)</f>
        <v>8895693</v>
      </c>
      <c r="E1235" s="109"/>
      <c r="F1235" s="69">
        <f>SUMIF('Executive Pay Breakdown'!K:K,$B1235,'Executive Pay Breakdown'!M:M)</f>
        <v>0</v>
      </c>
      <c r="G1235" s="69">
        <f>SUMIF('Executive Pay Breakdown'!O:O,$B1235,'Executive Pay Breakdown'!Q:Q)</f>
        <v>0</v>
      </c>
      <c r="H1235" s="69">
        <f>SUMIF('Executive Pay Breakdown'!S:S,$B1235,'Executive Pay Breakdown'!U:U)</f>
        <v>0</v>
      </c>
      <c r="I1235" s="69">
        <f>SUMIF('Executive Pay Breakdown'!W:W,$B1235,'Executive Pay Breakdown'!Y:Y)</f>
        <v>0</v>
      </c>
      <c r="J1235" s="69">
        <f>SUMIF('Executive Pay Breakdown'!AA:AA,$B1235,'Executive Pay Breakdown'!AC:AC)</f>
        <v>8895693</v>
      </c>
      <c r="K1235" s="118"/>
      <c r="L1235" s="212"/>
      <c r="M1235" s="87"/>
      <c r="N1235" s="87"/>
      <c r="O1235" s="120" t="str">
        <f>MATCH(C1235,'Key Findings'!B:B,0)</f>
        <v>#N/A</v>
      </c>
    </row>
    <row r="1236" hidden="1">
      <c r="A1236" s="81"/>
      <c r="B1236" s="138" t="s">
        <v>1469</v>
      </c>
      <c r="C1236" s="87" t="s">
        <v>1470</v>
      </c>
      <c r="D1236" s="89">
        <f>SUMIF('Executive Pay Breakdown'!K:K,$B1236,'Executive Pay Breakdown'!M:M)+SUMIF('Executive Pay Breakdown'!O:O,$B1236,'Executive Pay Breakdown'!Q:Q)+SUMIF('Executive Pay Breakdown'!S:S,$B1236,'Executive Pay Breakdown'!U:U)+SUMIF('Executive Pay Breakdown'!W:W,$B1236,'Executive Pay Breakdown'!Y:Y)+SUMIF('Executive Pay Breakdown'!AA:AA,$B1236,'Executive Pay Breakdown'!AC:AC)</f>
        <v>269929816</v>
      </c>
      <c r="E1236" s="109"/>
      <c r="F1236" s="69">
        <f>SUMIF('Executive Pay Breakdown'!K:K,$B1236,'Executive Pay Breakdown'!M:M)</f>
        <v>1298723</v>
      </c>
      <c r="G1236" s="69">
        <f>SUMIF('Executive Pay Breakdown'!O:O,$B1236,'Executive Pay Breakdown'!Q:Q)</f>
        <v>212701169</v>
      </c>
      <c r="H1236" s="69">
        <f>SUMIF('Executive Pay Breakdown'!S:S,$B1236,'Executive Pay Breakdown'!U:U)</f>
        <v>35848449</v>
      </c>
      <c r="I1236" s="69">
        <f>SUMIF('Executive Pay Breakdown'!W:W,$B1236,'Executive Pay Breakdown'!Y:Y)</f>
        <v>348809</v>
      </c>
      <c r="J1236" s="69">
        <f>SUMIF('Executive Pay Breakdown'!AA:AA,$B1236,'Executive Pay Breakdown'!AC:AC)</f>
        <v>19732666</v>
      </c>
      <c r="K1236" s="118"/>
      <c r="L1236" s="248"/>
      <c r="M1236" s="87"/>
      <c r="N1236" s="230"/>
      <c r="O1236" s="120" t="str">
        <f>MATCH(C1236,'Key Findings'!B:B,0)</f>
        <v>#N/A</v>
      </c>
    </row>
    <row r="1237" hidden="1">
      <c r="A1237" s="81"/>
      <c r="B1237" s="125" t="s">
        <v>1471</v>
      </c>
      <c r="C1237" s="87" t="s">
        <v>1470</v>
      </c>
      <c r="D1237" s="89">
        <f>SUMIF('Executive Pay Breakdown'!K:K,$B1237,'Executive Pay Breakdown'!M:M)+SUMIF('Executive Pay Breakdown'!O:O,$B1237,'Executive Pay Breakdown'!Q:Q)+SUMIF('Executive Pay Breakdown'!S:S,$B1237,'Executive Pay Breakdown'!U:U)+SUMIF('Executive Pay Breakdown'!W:W,$B1237,'Executive Pay Breakdown'!Y:Y)+SUMIF('Executive Pay Breakdown'!AA:AA,$B1237,'Executive Pay Breakdown'!AC:AC)</f>
        <v>122566818</v>
      </c>
      <c r="E1237" s="109"/>
      <c r="F1237" s="69">
        <f>SUMIF('Executive Pay Breakdown'!K:K,$B1237,'Executive Pay Breakdown'!M:M)</f>
        <v>41113295</v>
      </c>
      <c r="G1237" s="69">
        <f>SUMIF('Executive Pay Breakdown'!O:O,$B1237,'Executive Pay Breakdown'!Q:Q)</f>
        <v>81453523</v>
      </c>
      <c r="H1237" s="69">
        <f>SUMIF('Executive Pay Breakdown'!S:S,$B1237,'Executive Pay Breakdown'!U:U)</f>
        <v>0</v>
      </c>
      <c r="I1237" s="69">
        <f>SUMIF('Executive Pay Breakdown'!W:W,$B1237,'Executive Pay Breakdown'!Y:Y)</f>
        <v>0</v>
      </c>
      <c r="J1237" s="69">
        <f>SUMIF('Executive Pay Breakdown'!AA:AA,$B1237,'Executive Pay Breakdown'!AC:AC)</f>
        <v>0</v>
      </c>
      <c r="K1237" s="118"/>
      <c r="L1237" s="212"/>
      <c r="M1237" s="212"/>
      <c r="N1237" s="87"/>
      <c r="O1237" s="120" t="str">
        <f>MATCH(C1237,'Key Findings'!B:B,0)</f>
        <v>#N/A</v>
      </c>
    </row>
    <row r="1238" hidden="1">
      <c r="A1238" s="81"/>
      <c r="B1238" s="125" t="s">
        <v>1472</v>
      </c>
      <c r="C1238" s="87" t="s">
        <v>1470</v>
      </c>
      <c r="D1238" s="89">
        <f>SUMIF('Executive Pay Breakdown'!K:K,$B1238,'Executive Pay Breakdown'!M:M)+SUMIF('Executive Pay Breakdown'!O:O,$B1238,'Executive Pay Breakdown'!Q:Q)+SUMIF('Executive Pay Breakdown'!S:S,$B1238,'Executive Pay Breakdown'!U:U)+SUMIF('Executive Pay Breakdown'!W:W,$B1238,'Executive Pay Breakdown'!Y:Y)+SUMIF('Executive Pay Breakdown'!AA:AA,$B1238,'Executive Pay Breakdown'!AC:AC)</f>
        <v>102363242</v>
      </c>
      <c r="E1238" s="109"/>
      <c r="F1238" s="69">
        <f>SUMIF('Executive Pay Breakdown'!K:K,$B1238,'Executive Pay Breakdown'!M:M)</f>
        <v>0</v>
      </c>
      <c r="G1238" s="69">
        <f>SUMIF('Executive Pay Breakdown'!O:O,$B1238,'Executive Pay Breakdown'!Q:Q)</f>
        <v>56074571</v>
      </c>
      <c r="H1238" s="69">
        <f>SUMIF('Executive Pay Breakdown'!S:S,$B1238,'Executive Pay Breakdown'!U:U)</f>
        <v>46288671</v>
      </c>
      <c r="I1238" s="69">
        <f>SUMIF('Executive Pay Breakdown'!W:W,$B1238,'Executive Pay Breakdown'!Y:Y)</f>
        <v>0</v>
      </c>
      <c r="J1238" s="69">
        <f>SUMIF('Executive Pay Breakdown'!AA:AA,$B1238,'Executive Pay Breakdown'!AC:AC)</f>
        <v>0</v>
      </c>
      <c r="K1238" s="118"/>
      <c r="L1238" s="212"/>
      <c r="M1238" s="87"/>
      <c r="N1238" s="87"/>
      <c r="O1238" s="120" t="str">
        <f>MATCH(C1238,'Key Findings'!B:B,0)</f>
        <v>#N/A</v>
      </c>
    </row>
    <row r="1239" hidden="1">
      <c r="A1239" s="81"/>
      <c r="B1239" s="138" t="s">
        <v>1473</v>
      </c>
      <c r="C1239" s="87" t="s">
        <v>1470</v>
      </c>
      <c r="D1239" s="89">
        <f>SUMIF('Executive Pay Breakdown'!K:K,$B1239,'Executive Pay Breakdown'!M:M)+SUMIF('Executive Pay Breakdown'!O:O,$B1239,'Executive Pay Breakdown'!Q:Q)+SUMIF('Executive Pay Breakdown'!S:S,$B1239,'Executive Pay Breakdown'!U:U)+SUMIF('Executive Pay Breakdown'!W:W,$B1239,'Executive Pay Breakdown'!Y:Y)+SUMIF('Executive Pay Breakdown'!AA:AA,$B1239,'Executive Pay Breakdown'!AC:AC)</f>
        <v>68196401</v>
      </c>
      <c r="E1239" s="109"/>
      <c r="F1239" s="69">
        <f>SUMIF('Executive Pay Breakdown'!K:K,$B1239,'Executive Pay Breakdown'!M:M)</f>
        <v>0</v>
      </c>
      <c r="G1239" s="69">
        <f>SUMIF('Executive Pay Breakdown'!O:O,$B1239,'Executive Pay Breakdown'!Q:Q)</f>
        <v>0</v>
      </c>
      <c r="H1239" s="69">
        <f>SUMIF('Executive Pay Breakdown'!S:S,$B1239,'Executive Pay Breakdown'!U:U)</f>
        <v>0</v>
      </c>
      <c r="I1239" s="69">
        <f>SUMIF('Executive Pay Breakdown'!W:W,$B1239,'Executive Pay Breakdown'!Y:Y)</f>
        <v>57796739</v>
      </c>
      <c r="J1239" s="69">
        <f>SUMIF('Executive Pay Breakdown'!AA:AA,$B1239,'Executive Pay Breakdown'!AC:AC)</f>
        <v>10399662</v>
      </c>
      <c r="K1239" s="118"/>
      <c r="L1239" s="212"/>
      <c r="M1239" s="87"/>
      <c r="N1239" s="87"/>
      <c r="O1239" s="120" t="str">
        <f>MATCH(C1239,'Key Findings'!B:B,0)</f>
        <v>#N/A</v>
      </c>
    </row>
    <row r="1240" hidden="1">
      <c r="A1240" s="81"/>
      <c r="B1240" s="125" t="s">
        <v>1474</v>
      </c>
      <c r="C1240" s="87" t="s">
        <v>1470</v>
      </c>
      <c r="D1240" s="89">
        <f>SUMIF('Executive Pay Breakdown'!K:K,$B1240,'Executive Pay Breakdown'!M:M)+SUMIF('Executive Pay Breakdown'!O:O,$B1240,'Executive Pay Breakdown'!Q:Q)+SUMIF('Executive Pay Breakdown'!S:S,$B1240,'Executive Pay Breakdown'!U:U)+SUMIF('Executive Pay Breakdown'!W:W,$B1240,'Executive Pay Breakdown'!Y:Y)+SUMIF('Executive Pay Breakdown'!AA:AA,$B1240,'Executive Pay Breakdown'!AC:AC)</f>
        <v>43215779</v>
      </c>
      <c r="E1240" s="109"/>
      <c r="F1240" s="69">
        <f>SUMIF('Executive Pay Breakdown'!K:K,$B1240,'Executive Pay Breakdown'!M:M)</f>
        <v>43215779</v>
      </c>
      <c r="G1240" s="69">
        <f>SUMIF('Executive Pay Breakdown'!O:O,$B1240,'Executive Pay Breakdown'!Q:Q)</f>
        <v>0</v>
      </c>
      <c r="H1240" s="69">
        <f>SUMIF('Executive Pay Breakdown'!S:S,$B1240,'Executive Pay Breakdown'!U:U)</f>
        <v>0</v>
      </c>
      <c r="I1240" s="69">
        <f>SUMIF('Executive Pay Breakdown'!W:W,$B1240,'Executive Pay Breakdown'!Y:Y)</f>
        <v>0</v>
      </c>
      <c r="J1240" s="69">
        <f>SUMIF('Executive Pay Breakdown'!AA:AA,$B1240,'Executive Pay Breakdown'!AC:AC)</f>
        <v>0</v>
      </c>
      <c r="K1240" s="118"/>
      <c r="L1240" s="212"/>
      <c r="M1240" s="87"/>
      <c r="N1240" s="87"/>
      <c r="O1240" s="120" t="str">
        <f>MATCH(C1240,'Key Findings'!B:B,0)</f>
        <v>#N/A</v>
      </c>
    </row>
    <row r="1241" hidden="1">
      <c r="A1241" s="81"/>
      <c r="B1241" s="138" t="s">
        <v>1475</v>
      </c>
      <c r="C1241" s="87" t="s">
        <v>1470</v>
      </c>
      <c r="D1241" s="89">
        <f>SUMIF('Executive Pay Breakdown'!K:K,$B1241,'Executive Pay Breakdown'!M:M)+SUMIF('Executive Pay Breakdown'!O:O,$B1241,'Executive Pay Breakdown'!Q:Q)+SUMIF('Executive Pay Breakdown'!S:S,$B1241,'Executive Pay Breakdown'!U:U)+SUMIF('Executive Pay Breakdown'!W:W,$B1241,'Executive Pay Breakdown'!Y:Y)+SUMIF('Executive Pay Breakdown'!AA:AA,$B1241,'Executive Pay Breakdown'!AC:AC)</f>
        <v>42614977</v>
      </c>
      <c r="E1241" s="109"/>
      <c r="F1241" s="69">
        <f>SUMIF('Executive Pay Breakdown'!K:K,$B1241,'Executive Pay Breakdown'!M:M)</f>
        <v>18181043</v>
      </c>
      <c r="G1241" s="69">
        <f>SUMIF('Executive Pay Breakdown'!O:O,$B1241,'Executive Pay Breakdown'!Q:Q)</f>
        <v>163200</v>
      </c>
      <c r="H1241" s="69">
        <f>SUMIF('Executive Pay Breakdown'!S:S,$B1241,'Executive Pay Breakdown'!U:U)</f>
        <v>17174185</v>
      </c>
      <c r="I1241" s="69">
        <f>SUMIF('Executive Pay Breakdown'!W:W,$B1241,'Executive Pay Breakdown'!Y:Y)</f>
        <v>163200</v>
      </c>
      <c r="J1241" s="69">
        <f>SUMIF('Executive Pay Breakdown'!AA:AA,$B1241,'Executive Pay Breakdown'!AC:AC)</f>
        <v>6933349</v>
      </c>
      <c r="K1241" s="118"/>
      <c r="L1241" s="212"/>
      <c r="M1241" s="87"/>
      <c r="N1241" s="230"/>
      <c r="O1241" s="120" t="str">
        <f>MATCH(C1241,'Key Findings'!B:B,0)</f>
        <v>#N/A</v>
      </c>
    </row>
    <row r="1242" hidden="1">
      <c r="A1242" s="81"/>
      <c r="B1242" s="125" t="s">
        <v>1476</v>
      </c>
      <c r="C1242" s="87" t="s">
        <v>1470</v>
      </c>
      <c r="D1242" s="89">
        <f>SUMIF('Executive Pay Breakdown'!K:K,$B1242,'Executive Pay Breakdown'!M:M)+SUMIF('Executive Pay Breakdown'!O:O,$B1242,'Executive Pay Breakdown'!Q:Q)+SUMIF('Executive Pay Breakdown'!S:S,$B1242,'Executive Pay Breakdown'!U:U)+SUMIF('Executive Pay Breakdown'!W:W,$B1242,'Executive Pay Breakdown'!Y:Y)+SUMIF('Executive Pay Breakdown'!AA:AA,$B1242,'Executive Pay Breakdown'!AC:AC)</f>
        <v>35518428</v>
      </c>
      <c r="E1242" s="109"/>
      <c r="F1242" s="69">
        <f>SUMIF('Executive Pay Breakdown'!K:K,$B1242,'Executive Pay Breakdown'!M:M)</f>
        <v>18181043</v>
      </c>
      <c r="G1242" s="69">
        <f>SUMIF('Executive Pay Breakdown'!O:O,$B1242,'Executive Pay Breakdown'!Q:Q)</f>
        <v>163200</v>
      </c>
      <c r="H1242" s="69">
        <f>SUMIF('Executive Pay Breakdown'!S:S,$B1242,'Executive Pay Breakdown'!U:U)</f>
        <v>17174185</v>
      </c>
      <c r="I1242" s="69">
        <f>SUMIF('Executive Pay Breakdown'!W:W,$B1242,'Executive Pay Breakdown'!Y:Y)</f>
        <v>0</v>
      </c>
      <c r="J1242" s="69">
        <f>SUMIF('Executive Pay Breakdown'!AA:AA,$B1242,'Executive Pay Breakdown'!AC:AC)</f>
        <v>0</v>
      </c>
      <c r="K1242" s="118"/>
      <c r="L1242" s="212"/>
      <c r="M1242" s="87"/>
      <c r="N1242" s="230"/>
      <c r="O1242" s="120" t="str">
        <f>MATCH(C1242,'Key Findings'!B:B,0)</f>
        <v>#N/A</v>
      </c>
    </row>
    <row r="1243" hidden="1">
      <c r="A1243" s="81"/>
      <c r="B1243" s="138" t="s">
        <v>1477</v>
      </c>
      <c r="C1243" s="87" t="s">
        <v>1470</v>
      </c>
      <c r="D1243" s="89">
        <f>SUMIF('Executive Pay Breakdown'!K:K,$B1243,'Executive Pay Breakdown'!M:M)+SUMIF('Executive Pay Breakdown'!O:O,$B1243,'Executive Pay Breakdown'!Q:Q)+SUMIF('Executive Pay Breakdown'!S:S,$B1243,'Executive Pay Breakdown'!U:U)+SUMIF('Executive Pay Breakdown'!W:W,$B1243,'Executive Pay Breakdown'!Y:Y)+SUMIF('Executive Pay Breakdown'!AA:AA,$B1243,'Executive Pay Breakdown'!AC:AC)</f>
        <v>19932772</v>
      </c>
      <c r="E1243" s="109"/>
      <c r="F1243" s="69">
        <f>SUMIF('Executive Pay Breakdown'!K:K,$B1243,'Executive Pay Breakdown'!M:M)</f>
        <v>0</v>
      </c>
      <c r="G1243" s="69">
        <f>SUMIF('Executive Pay Breakdown'!O:O,$B1243,'Executive Pay Breakdown'!Q:Q)</f>
        <v>0</v>
      </c>
      <c r="H1243" s="69">
        <f>SUMIF('Executive Pay Breakdown'!S:S,$B1243,'Executive Pay Breakdown'!U:U)</f>
        <v>0</v>
      </c>
      <c r="I1243" s="69">
        <f>SUMIF('Executive Pay Breakdown'!W:W,$B1243,'Executive Pay Breakdown'!Y:Y)</f>
        <v>210725</v>
      </c>
      <c r="J1243" s="69">
        <f>SUMIF('Executive Pay Breakdown'!AA:AA,$B1243,'Executive Pay Breakdown'!AC:AC)</f>
        <v>19722047</v>
      </c>
      <c r="K1243" s="118"/>
      <c r="L1243" s="212"/>
      <c r="M1243" s="87"/>
      <c r="N1243" s="87"/>
      <c r="O1243" s="120" t="str">
        <f>MATCH(C1243,'Key Findings'!B:B,0)</f>
        <v>#N/A</v>
      </c>
    </row>
    <row r="1244" hidden="1">
      <c r="A1244" s="81" t="s">
        <v>86</v>
      </c>
      <c r="B1244" s="138" t="s">
        <v>1478</v>
      </c>
      <c r="C1244" s="87" t="s">
        <v>1470</v>
      </c>
      <c r="D1244" s="89">
        <f>SUMIF('Executive Pay Breakdown'!K:K,$B1244,'Executive Pay Breakdown'!M:M)+SUMIF('Executive Pay Breakdown'!O:O,$B1244,'Executive Pay Breakdown'!Q:Q)+SUMIF('Executive Pay Breakdown'!S:S,$B1244,'Executive Pay Breakdown'!U:U)+SUMIF('Executive Pay Breakdown'!W:W,$B1244,'Executive Pay Breakdown'!Y:Y)+SUMIF('Executive Pay Breakdown'!AA:AA,$B1244,'Executive Pay Breakdown'!AC:AC)</f>
        <v>8409200</v>
      </c>
      <c r="E1244" s="109"/>
      <c r="F1244" s="69">
        <f>SUMIF('Executive Pay Breakdown'!K:K,$B1244,'Executive Pay Breakdown'!M:M)</f>
        <v>1681840</v>
      </c>
      <c r="G1244" s="69">
        <f>SUMIF('Executive Pay Breakdown'!O:O,$B1244,'Executive Pay Breakdown'!Q:Q)</f>
        <v>1681840</v>
      </c>
      <c r="H1244" s="69">
        <f>SUMIF('Executive Pay Breakdown'!S:S,$B1244,'Executive Pay Breakdown'!U:U)</f>
        <v>1681840</v>
      </c>
      <c r="I1244" s="69">
        <f>SUMIF('Executive Pay Breakdown'!W:W,$B1244,'Executive Pay Breakdown'!Y:Y)</f>
        <v>1681840</v>
      </c>
      <c r="J1244" s="69">
        <f>SUMIF('Executive Pay Breakdown'!AA:AA,$B1244,'Executive Pay Breakdown'!AC:AC)</f>
        <v>1681840</v>
      </c>
      <c r="K1244" s="118"/>
      <c r="L1244" s="212"/>
      <c r="M1244" s="87"/>
      <c r="N1244" s="230"/>
      <c r="O1244" s="120" t="str">
        <f>MATCH(C1244,'Key Findings'!B:B,0)</f>
        <v>#N/A</v>
      </c>
    </row>
    <row r="1245" hidden="1">
      <c r="A1245" s="81"/>
      <c r="B1245" s="131" t="s">
        <v>1479</v>
      </c>
      <c r="C1245" s="87" t="s">
        <v>1480</v>
      </c>
      <c r="D1245" s="89">
        <f>SUMIF('Executive Pay Breakdown'!K:K,$B1245,'Executive Pay Breakdown'!M:M)+SUMIF('Executive Pay Breakdown'!O:O,$B1245,'Executive Pay Breakdown'!Q:Q)+SUMIF('Executive Pay Breakdown'!S:S,$B1245,'Executive Pay Breakdown'!U:U)+SUMIF('Executive Pay Breakdown'!W:W,$B1245,'Executive Pay Breakdown'!Y:Y)+SUMIF('Executive Pay Breakdown'!AA:AA,$B1245,'Executive Pay Breakdown'!AC:AC)</f>
        <v>522235909</v>
      </c>
      <c r="E1245" s="109"/>
      <c r="F1245" s="69">
        <f>SUMIF('Executive Pay Breakdown'!K:K,$B1245,'Executive Pay Breakdown'!M:M)</f>
        <v>225985145</v>
      </c>
      <c r="G1245" s="69">
        <f>SUMIF('Executive Pay Breakdown'!O:O,$B1245,'Executive Pay Breakdown'!Q:Q)</f>
        <v>6322599</v>
      </c>
      <c r="H1245" s="69">
        <f>SUMIF('Executive Pay Breakdown'!S:S,$B1245,'Executive Pay Breakdown'!U:U)</f>
        <v>7425547</v>
      </c>
      <c r="I1245" s="69">
        <f>SUMIF('Executive Pay Breakdown'!W:W,$B1245,'Executive Pay Breakdown'!Y:Y)</f>
        <v>280621552</v>
      </c>
      <c r="J1245" s="69">
        <f>SUMIF('Executive Pay Breakdown'!AA:AA,$B1245,'Executive Pay Breakdown'!AC:AC)</f>
        <v>1881066</v>
      </c>
      <c r="K1245" s="88"/>
      <c r="L1245" s="212"/>
      <c r="M1245" s="87"/>
      <c r="N1245" s="87"/>
      <c r="O1245" s="120" t="str">
        <f>MATCH(C1245,'Key Findings'!B:B,0)</f>
        <v>#N/A</v>
      </c>
    </row>
    <row r="1246" hidden="1">
      <c r="A1246" s="81"/>
      <c r="B1246" s="131" t="s">
        <v>1481</v>
      </c>
      <c r="C1246" s="87" t="s">
        <v>1480</v>
      </c>
      <c r="D1246" s="89">
        <f>SUMIF('Executive Pay Breakdown'!K:K,$B1246,'Executive Pay Breakdown'!M:M)+SUMIF('Executive Pay Breakdown'!O:O,$B1246,'Executive Pay Breakdown'!Q:Q)+SUMIF('Executive Pay Breakdown'!S:S,$B1246,'Executive Pay Breakdown'!U:U)+SUMIF('Executive Pay Breakdown'!W:W,$B1246,'Executive Pay Breakdown'!Y:Y)+SUMIF('Executive Pay Breakdown'!AA:AA,$B1246,'Executive Pay Breakdown'!AC:AC)</f>
        <v>137962984</v>
      </c>
      <c r="E1246" s="109"/>
      <c r="F1246" s="69">
        <f>SUMIF('Executive Pay Breakdown'!K:K,$B1246,'Executive Pay Breakdown'!M:M)</f>
        <v>24453769</v>
      </c>
      <c r="G1246" s="69">
        <f>SUMIF('Executive Pay Breakdown'!O:O,$B1246,'Executive Pay Breakdown'!Q:Q)</f>
        <v>14662476</v>
      </c>
      <c r="H1246" s="69">
        <f>SUMIF('Executive Pay Breakdown'!S:S,$B1246,'Executive Pay Breakdown'!U:U)</f>
        <v>50890683</v>
      </c>
      <c r="I1246" s="69">
        <f>SUMIF('Executive Pay Breakdown'!W:W,$B1246,'Executive Pay Breakdown'!Y:Y)</f>
        <v>664052</v>
      </c>
      <c r="J1246" s="69">
        <f>SUMIF('Executive Pay Breakdown'!AA:AA,$B1246,'Executive Pay Breakdown'!AC:AC)</f>
        <v>47292004</v>
      </c>
      <c r="K1246" s="118"/>
      <c r="L1246" s="212"/>
      <c r="M1246" s="87"/>
      <c r="N1246" s="87"/>
      <c r="O1246" s="120" t="str">
        <f>MATCH(C1246,'Key Findings'!B:B,0)</f>
        <v>#N/A</v>
      </c>
    </row>
    <row r="1247" hidden="1">
      <c r="A1247" s="81"/>
      <c r="B1247" s="131" t="s">
        <v>1482</v>
      </c>
      <c r="C1247" s="87" t="s">
        <v>1480</v>
      </c>
      <c r="D1247" s="89">
        <f>SUMIF('Executive Pay Breakdown'!K:K,$B1247,'Executive Pay Breakdown'!M:M)+SUMIF('Executive Pay Breakdown'!O:O,$B1247,'Executive Pay Breakdown'!Q:Q)+SUMIF('Executive Pay Breakdown'!S:S,$B1247,'Executive Pay Breakdown'!U:U)+SUMIF('Executive Pay Breakdown'!W:W,$B1247,'Executive Pay Breakdown'!Y:Y)+SUMIF('Executive Pay Breakdown'!AA:AA,$B1247,'Executive Pay Breakdown'!AC:AC)</f>
        <v>132126793</v>
      </c>
      <c r="E1247" s="109"/>
      <c r="F1247" s="69">
        <f>SUMIF('Executive Pay Breakdown'!K:K,$B1247,'Executive Pay Breakdown'!M:M)</f>
        <v>37081310</v>
      </c>
      <c r="G1247" s="69">
        <f>SUMIF('Executive Pay Breakdown'!O:O,$B1247,'Executive Pay Breakdown'!Q:Q)</f>
        <v>28661983</v>
      </c>
      <c r="H1247" s="69">
        <f>SUMIF('Executive Pay Breakdown'!S:S,$B1247,'Executive Pay Breakdown'!U:U)</f>
        <v>66383500</v>
      </c>
      <c r="I1247" s="69">
        <f>SUMIF('Executive Pay Breakdown'!W:W,$B1247,'Executive Pay Breakdown'!Y:Y)</f>
        <v>0</v>
      </c>
      <c r="J1247" s="69">
        <f>SUMIF('Executive Pay Breakdown'!AA:AA,$B1247,'Executive Pay Breakdown'!AC:AC)</f>
        <v>0</v>
      </c>
      <c r="K1247" s="118"/>
      <c r="L1247" s="212"/>
      <c r="M1247" s="87"/>
      <c r="N1247" s="87"/>
      <c r="O1247" s="120" t="str">
        <f>MATCH(C1247,'Key Findings'!B:B,0)</f>
        <v>#N/A</v>
      </c>
    </row>
    <row r="1248" hidden="1">
      <c r="A1248" s="81"/>
      <c r="B1248" s="131" t="s">
        <v>1483</v>
      </c>
      <c r="C1248" s="87" t="s">
        <v>1480</v>
      </c>
      <c r="D1248" s="89">
        <f>SUMIF('Executive Pay Breakdown'!K:K,$B1248,'Executive Pay Breakdown'!M:M)+SUMIF('Executive Pay Breakdown'!O:O,$B1248,'Executive Pay Breakdown'!Q:Q)+SUMIF('Executive Pay Breakdown'!S:S,$B1248,'Executive Pay Breakdown'!U:U)+SUMIF('Executive Pay Breakdown'!W:W,$B1248,'Executive Pay Breakdown'!Y:Y)+SUMIF('Executive Pay Breakdown'!AA:AA,$B1248,'Executive Pay Breakdown'!AC:AC)</f>
        <v>120979444</v>
      </c>
      <c r="E1248" s="109"/>
      <c r="F1248" s="69">
        <f>SUMIF('Executive Pay Breakdown'!K:K,$B1248,'Executive Pay Breakdown'!M:M)</f>
        <v>37080825</v>
      </c>
      <c r="G1248" s="69">
        <f>SUMIF('Executive Pay Breakdown'!O:O,$B1248,'Executive Pay Breakdown'!Q:Q)</f>
        <v>28648009</v>
      </c>
      <c r="H1248" s="69">
        <f>SUMIF('Executive Pay Breakdown'!S:S,$B1248,'Executive Pay Breakdown'!U:U)</f>
        <v>55250610</v>
      </c>
      <c r="I1248" s="69">
        <f>SUMIF('Executive Pay Breakdown'!W:W,$B1248,'Executive Pay Breakdown'!Y:Y)</f>
        <v>0</v>
      </c>
      <c r="J1248" s="69">
        <f>SUMIF('Executive Pay Breakdown'!AA:AA,$B1248,'Executive Pay Breakdown'!AC:AC)</f>
        <v>0</v>
      </c>
      <c r="K1248" s="118"/>
      <c r="L1248" s="212"/>
      <c r="M1248" s="87"/>
      <c r="N1248" s="87"/>
      <c r="O1248" s="120" t="str">
        <f>MATCH(C1248,'Key Findings'!B:B,0)</f>
        <v>#N/A</v>
      </c>
    </row>
    <row r="1249" hidden="1">
      <c r="A1249" s="81"/>
      <c r="B1249" s="131" t="s">
        <v>1484</v>
      </c>
      <c r="C1249" s="87" t="s">
        <v>1480</v>
      </c>
      <c r="D1249" s="89">
        <f>SUMIF('Executive Pay Breakdown'!K:K,$B1249,'Executive Pay Breakdown'!M:M)+SUMIF('Executive Pay Breakdown'!O:O,$B1249,'Executive Pay Breakdown'!Q:Q)+SUMIF('Executive Pay Breakdown'!S:S,$B1249,'Executive Pay Breakdown'!U:U)+SUMIF('Executive Pay Breakdown'!W:W,$B1249,'Executive Pay Breakdown'!Y:Y)+SUMIF('Executive Pay Breakdown'!AA:AA,$B1249,'Executive Pay Breakdown'!AC:AC)</f>
        <v>89991689</v>
      </c>
      <c r="E1249" s="109"/>
      <c r="F1249" s="69">
        <f>SUMIF('Executive Pay Breakdown'!K:K,$B1249,'Executive Pay Breakdown'!M:M)</f>
        <v>24451264</v>
      </c>
      <c r="G1249" s="69">
        <f>SUMIF('Executive Pay Breakdown'!O:O,$B1249,'Executive Pay Breakdown'!Q:Q)</f>
        <v>14657762</v>
      </c>
      <c r="H1249" s="69">
        <f>SUMIF('Executive Pay Breakdown'!S:S,$B1249,'Executive Pay Breakdown'!U:U)</f>
        <v>50882663</v>
      </c>
      <c r="I1249" s="69">
        <f>SUMIF('Executive Pay Breakdown'!W:W,$B1249,'Executive Pay Breakdown'!Y:Y)</f>
        <v>0</v>
      </c>
      <c r="J1249" s="69">
        <f>SUMIF('Executive Pay Breakdown'!AA:AA,$B1249,'Executive Pay Breakdown'!AC:AC)</f>
        <v>0</v>
      </c>
      <c r="K1249" s="118"/>
      <c r="L1249" s="212"/>
      <c r="M1249" s="87"/>
      <c r="N1249" s="87"/>
      <c r="O1249" s="120" t="str">
        <f>MATCH(C1249,'Key Findings'!B:B,0)</f>
        <v>#N/A</v>
      </c>
    </row>
    <row r="1250" hidden="1">
      <c r="A1250" s="81"/>
      <c r="B1250" s="131" t="s">
        <v>1485</v>
      </c>
      <c r="C1250" s="87" t="s">
        <v>1480</v>
      </c>
      <c r="D1250" s="89">
        <f>SUMIF('Executive Pay Breakdown'!K:K,$B1250,'Executive Pay Breakdown'!M:M)+SUMIF('Executive Pay Breakdown'!O:O,$B1250,'Executive Pay Breakdown'!Q:Q)+SUMIF('Executive Pay Breakdown'!S:S,$B1250,'Executive Pay Breakdown'!U:U)+SUMIF('Executive Pay Breakdown'!W:W,$B1250,'Executive Pay Breakdown'!Y:Y)+SUMIF('Executive Pay Breakdown'!AA:AA,$B1250,'Executive Pay Breakdown'!AC:AC)</f>
        <v>47943092</v>
      </c>
      <c r="E1250" s="109"/>
      <c r="F1250" s="69">
        <f>SUMIF('Executive Pay Breakdown'!K:K,$B1250,'Executive Pay Breakdown'!M:M)</f>
        <v>0</v>
      </c>
      <c r="G1250" s="69">
        <f>SUMIF('Executive Pay Breakdown'!O:O,$B1250,'Executive Pay Breakdown'!Q:Q)</f>
        <v>0</v>
      </c>
      <c r="H1250" s="69">
        <f>SUMIF('Executive Pay Breakdown'!S:S,$B1250,'Executive Pay Breakdown'!U:U)</f>
        <v>0</v>
      </c>
      <c r="I1250" s="69">
        <f>SUMIF('Executive Pay Breakdown'!W:W,$B1250,'Executive Pay Breakdown'!Y:Y)</f>
        <v>660860</v>
      </c>
      <c r="J1250" s="69">
        <f>SUMIF('Executive Pay Breakdown'!AA:AA,$B1250,'Executive Pay Breakdown'!AC:AC)</f>
        <v>47282232</v>
      </c>
      <c r="K1250" s="118"/>
      <c r="L1250" s="212"/>
      <c r="M1250" s="87"/>
      <c r="N1250" s="230"/>
      <c r="O1250" s="120" t="str">
        <f>MATCH(C1250,'Key Findings'!B:B,0)</f>
        <v>#N/A</v>
      </c>
    </row>
    <row r="1251" hidden="1">
      <c r="A1251" s="81" t="s">
        <v>86</v>
      </c>
      <c r="B1251" s="131" t="s">
        <v>1486</v>
      </c>
      <c r="C1251" s="87" t="s">
        <v>1480</v>
      </c>
      <c r="D1251" s="89">
        <f>SUMIF('Executive Pay Breakdown'!K:K,$B1251,'Executive Pay Breakdown'!M:M)+SUMIF('Executive Pay Breakdown'!O:O,$B1251,'Executive Pay Breakdown'!Q:Q)+SUMIF('Executive Pay Breakdown'!S:S,$B1251,'Executive Pay Breakdown'!U:U)+SUMIF('Executive Pay Breakdown'!W:W,$B1251,'Executive Pay Breakdown'!Y:Y)+SUMIF('Executive Pay Breakdown'!AA:AA,$B1251,'Executive Pay Breakdown'!AC:AC)</f>
        <v>1612016</v>
      </c>
      <c r="E1251" s="109"/>
      <c r="F1251" s="69">
        <f>SUMIF('Executive Pay Breakdown'!K:K,$B1251,'Executive Pay Breakdown'!M:M)</f>
        <v>0</v>
      </c>
      <c r="G1251" s="69">
        <f>SUMIF('Executive Pay Breakdown'!O:O,$B1251,'Executive Pay Breakdown'!Q:Q)</f>
        <v>0</v>
      </c>
      <c r="H1251" s="69">
        <f>SUMIF('Executive Pay Breakdown'!S:S,$B1251,'Executive Pay Breakdown'!U:U)</f>
        <v>0</v>
      </c>
      <c r="I1251" s="69">
        <f>SUMIF('Executive Pay Breakdown'!W:W,$B1251,'Executive Pay Breakdown'!Y:Y)</f>
        <v>0</v>
      </c>
      <c r="J1251" s="69">
        <f>SUMIF('Executive Pay Breakdown'!AA:AA,$B1251,'Executive Pay Breakdown'!AC:AC)</f>
        <v>1612016</v>
      </c>
      <c r="K1251" s="118"/>
      <c r="L1251" s="212"/>
      <c r="M1251" s="87"/>
      <c r="N1251" s="87"/>
      <c r="O1251" s="120" t="str">
        <f>MATCH(C1251,'Key Findings'!B:B,0)</f>
        <v>#N/A</v>
      </c>
    </row>
    <row r="1252" hidden="1">
      <c r="A1252" s="81" t="s">
        <v>86</v>
      </c>
      <c r="B1252" s="131" t="s">
        <v>1487</v>
      </c>
      <c r="C1252" s="87" t="s">
        <v>1480</v>
      </c>
      <c r="D1252" s="89">
        <f>SUMIF('Executive Pay Breakdown'!K:K,$B1252,'Executive Pay Breakdown'!M:M)+SUMIF('Executive Pay Breakdown'!O:O,$B1252,'Executive Pay Breakdown'!Q:Q)+SUMIF('Executive Pay Breakdown'!S:S,$B1252,'Executive Pay Breakdown'!U:U)+SUMIF('Executive Pay Breakdown'!W:W,$B1252,'Executive Pay Breakdown'!Y:Y)+SUMIF('Executive Pay Breakdown'!AA:AA,$B1252,'Executive Pay Breakdown'!AC:AC)</f>
        <v>2</v>
      </c>
      <c r="E1252" s="109"/>
      <c r="F1252" s="69">
        <f>SUMIF('Executive Pay Breakdown'!K:K,$B1252,'Executive Pay Breakdown'!M:M)</f>
        <v>0</v>
      </c>
      <c r="G1252" s="69">
        <f>SUMIF('Executive Pay Breakdown'!O:O,$B1252,'Executive Pay Breakdown'!Q:Q)</f>
        <v>0</v>
      </c>
      <c r="H1252" s="69">
        <f>SUMIF('Executive Pay Breakdown'!S:S,$B1252,'Executive Pay Breakdown'!U:U)</f>
        <v>0</v>
      </c>
      <c r="I1252" s="69">
        <f>SUMIF('Executive Pay Breakdown'!W:W,$B1252,'Executive Pay Breakdown'!Y:Y)</f>
        <v>1</v>
      </c>
      <c r="J1252" s="69">
        <f>SUMIF('Executive Pay Breakdown'!AA:AA,$B1252,'Executive Pay Breakdown'!AC:AC)</f>
        <v>1</v>
      </c>
      <c r="K1252" s="118"/>
      <c r="L1252" s="212"/>
      <c r="M1252" s="87"/>
      <c r="N1252" s="87"/>
      <c r="O1252" s="120" t="str">
        <f>MATCH(C1252,'Key Findings'!B:B,0)</f>
        <v>#N/A</v>
      </c>
    </row>
    <row r="1253" hidden="1">
      <c r="A1253" s="81" t="s">
        <v>86</v>
      </c>
      <c r="B1253" s="131" t="s">
        <v>1488</v>
      </c>
      <c r="C1253" s="87" t="s">
        <v>1480</v>
      </c>
      <c r="D1253" s="89">
        <f>SUMIF('Executive Pay Breakdown'!K:K,$B1253,'Executive Pay Breakdown'!M:M)+SUMIF('Executive Pay Breakdown'!O:O,$B1253,'Executive Pay Breakdown'!Q:Q)+SUMIF('Executive Pay Breakdown'!S:S,$B1253,'Executive Pay Breakdown'!U:U)+SUMIF('Executive Pay Breakdown'!W:W,$B1253,'Executive Pay Breakdown'!Y:Y)+SUMIF('Executive Pay Breakdown'!AA:AA,$B1253,'Executive Pay Breakdown'!AC:AC)</f>
        <v>2</v>
      </c>
      <c r="E1253" s="109"/>
      <c r="F1253" s="69">
        <f>SUMIF('Executive Pay Breakdown'!K:K,$B1253,'Executive Pay Breakdown'!M:M)</f>
        <v>0</v>
      </c>
      <c r="G1253" s="69">
        <f>SUMIF('Executive Pay Breakdown'!O:O,$B1253,'Executive Pay Breakdown'!Q:Q)</f>
        <v>0</v>
      </c>
      <c r="H1253" s="69">
        <f>SUMIF('Executive Pay Breakdown'!S:S,$B1253,'Executive Pay Breakdown'!U:U)</f>
        <v>0</v>
      </c>
      <c r="I1253" s="69">
        <f>SUMIF('Executive Pay Breakdown'!W:W,$B1253,'Executive Pay Breakdown'!Y:Y)</f>
        <v>1</v>
      </c>
      <c r="J1253" s="69">
        <f>SUMIF('Executive Pay Breakdown'!AA:AA,$B1253,'Executive Pay Breakdown'!AC:AC)</f>
        <v>1</v>
      </c>
      <c r="K1253" s="118"/>
      <c r="L1253" s="212"/>
      <c r="M1253" s="87"/>
      <c r="N1253" s="87"/>
      <c r="O1253" s="120" t="str">
        <f>MATCH(C1253,'Key Findings'!B:B,0)</f>
        <v>#N/A</v>
      </c>
    </row>
    <row r="1254" hidden="1">
      <c r="A1254" s="62"/>
      <c r="B1254" s="86" t="s">
        <v>1489</v>
      </c>
      <c r="C1254" s="233" t="s">
        <v>1490</v>
      </c>
      <c r="D1254" s="89">
        <f>SUMIF('Executive Pay Breakdown'!K:K,$B1254,'Executive Pay Breakdown'!M:M)+SUMIF('Executive Pay Breakdown'!O:O,$B1254,'Executive Pay Breakdown'!Q:Q)+SUMIF('Executive Pay Breakdown'!S:S,$B1254,'Executive Pay Breakdown'!U:U)+SUMIF('Executive Pay Breakdown'!W:W,$B1254,'Executive Pay Breakdown'!Y:Y)+SUMIF('Executive Pay Breakdown'!AA:AA,$B1254,'Executive Pay Breakdown'!AC:AC)</f>
        <v>158750586</v>
      </c>
      <c r="E1254" s="109"/>
      <c r="F1254" s="69">
        <f>SUMIF('Executive Pay Breakdown'!K:K,$B1254,'Executive Pay Breakdown'!M:M)</f>
        <v>30219921</v>
      </c>
      <c r="G1254" s="69">
        <f>SUMIF('Executive Pay Breakdown'!O:O,$B1254,'Executive Pay Breakdown'!Q:Q)</f>
        <v>29498107</v>
      </c>
      <c r="H1254" s="69">
        <f>SUMIF('Executive Pay Breakdown'!S:S,$B1254,'Executive Pay Breakdown'!U:U)</f>
        <v>27141878</v>
      </c>
      <c r="I1254" s="69">
        <f>SUMIF('Executive Pay Breakdown'!W:W,$B1254,'Executive Pay Breakdown'!Y:Y)</f>
        <v>58534288</v>
      </c>
      <c r="J1254" s="69">
        <f>SUMIF('Executive Pay Breakdown'!AA:AA,$B1254,'Executive Pay Breakdown'!AC:AC)</f>
        <v>13356392</v>
      </c>
      <c r="K1254" s="118"/>
      <c r="L1254" s="212"/>
      <c r="M1254" s="87"/>
      <c r="N1254" s="87"/>
      <c r="O1254" s="120" t="str">
        <f>MATCH(C1254,'Key Findings'!B:B,0)</f>
        <v>#N/A</v>
      </c>
    </row>
    <row r="1255" hidden="1">
      <c r="A1255" s="62"/>
      <c r="B1255" s="86" t="s">
        <v>1491</v>
      </c>
      <c r="C1255" s="233" t="s">
        <v>1490</v>
      </c>
      <c r="D1255" s="89">
        <f>SUMIF('Executive Pay Breakdown'!K:K,$B1255,'Executive Pay Breakdown'!M:M)+SUMIF('Executive Pay Breakdown'!O:O,$B1255,'Executive Pay Breakdown'!Q:Q)+SUMIF('Executive Pay Breakdown'!S:S,$B1255,'Executive Pay Breakdown'!U:U)+SUMIF('Executive Pay Breakdown'!W:W,$B1255,'Executive Pay Breakdown'!Y:Y)+SUMIF('Executive Pay Breakdown'!AA:AA,$B1255,'Executive Pay Breakdown'!AC:AC)</f>
        <v>50187880</v>
      </c>
      <c r="E1255" s="109"/>
      <c r="F1255" s="69">
        <f>SUMIF('Executive Pay Breakdown'!K:K,$B1255,'Executive Pay Breakdown'!M:M)</f>
        <v>10549171</v>
      </c>
      <c r="G1255" s="69">
        <f>SUMIF('Executive Pay Breakdown'!O:O,$B1255,'Executive Pay Breakdown'!Q:Q)</f>
        <v>10008431</v>
      </c>
      <c r="H1255" s="69">
        <f>SUMIF('Executive Pay Breakdown'!S:S,$B1255,'Executive Pay Breakdown'!U:U)</f>
        <v>7657284</v>
      </c>
      <c r="I1255" s="69">
        <f>SUMIF('Executive Pay Breakdown'!W:W,$B1255,'Executive Pay Breakdown'!Y:Y)</f>
        <v>17159112</v>
      </c>
      <c r="J1255" s="69">
        <f>SUMIF('Executive Pay Breakdown'!AA:AA,$B1255,'Executive Pay Breakdown'!AC:AC)</f>
        <v>4813882</v>
      </c>
      <c r="K1255" s="118"/>
      <c r="L1255" s="212"/>
      <c r="M1255" s="87"/>
      <c r="N1255" s="87"/>
      <c r="O1255" s="120" t="str">
        <f>MATCH(C1255,'Key Findings'!B:B,0)</f>
        <v>#N/A</v>
      </c>
    </row>
    <row r="1256" hidden="1">
      <c r="A1256" s="62"/>
      <c r="B1256" s="86" t="s">
        <v>1492</v>
      </c>
      <c r="C1256" s="233" t="s">
        <v>1490</v>
      </c>
      <c r="D1256" s="89">
        <f>SUMIF('Executive Pay Breakdown'!K:K,$B1256,'Executive Pay Breakdown'!M:M)+SUMIF('Executive Pay Breakdown'!O:O,$B1256,'Executive Pay Breakdown'!Q:Q)+SUMIF('Executive Pay Breakdown'!S:S,$B1256,'Executive Pay Breakdown'!U:U)+SUMIF('Executive Pay Breakdown'!W:W,$B1256,'Executive Pay Breakdown'!Y:Y)+SUMIF('Executive Pay Breakdown'!AA:AA,$B1256,'Executive Pay Breakdown'!AC:AC)</f>
        <v>33501759</v>
      </c>
      <c r="E1256" s="109"/>
      <c r="F1256" s="69">
        <f>SUMIF('Executive Pay Breakdown'!K:K,$B1256,'Executive Pay Breakdown'!M:M)</f>
        <v>8448023</v>
      </c>
      <c r="G1256" s="69">
        <f>SUMIF('Executive Pay Breakdown'!O:O,$B1256,'Executive Pay Breakdown'!Q:Q)</f>
        <v>7337763</v>
      </c>
      <c r="H1256" s="69">
        <f>SUMIF('Executive Pay Breakdown'!S:S,$B1256,'Executive Pay Breakdown'!U:U)</f>
        <v>12197367</v>
      </c>
      <c r="I1256" s="69">
        <f>SUMIF('Executive Pay Breakdown'!W:W,$B1256,'Executive Pay Breakdown'!Y:Y)</f>
        <v>5518606</v>
      </c>
      <c r="J1256" s="69">
        <f>SUMIF('Executive Pay Breakdown'!AA:AA,$B1256,'Executive Pay Breakdown'!AC:AC)</f>
        <v>0</v>
      </c>
      <c r="K1256" s="118"/>
      <c r="L1256" s="212"/>
      <c r="M1256" s="87"/>
      <c r="N1256" s="87"/>
      <c r="O1256" s="120" t="str">
        <f>MATCH(C1256,'Key Findings'!B:B,0)</f>
        <v>#N/A</v>
      </c>
    </row>
    <row r="1257" hidden="1">
      <c r="A1257" s="62"/>
      <c r="B1257" s="86" t="s">
        <v>1493</v>
      </c>
      <c r="C1257" s="233" t="s">
        <v>1490</v>
      </c>
      <c r="D1257" s="89">
        <f>SUMIF('Executive Pay Breakdown'!K:K,$B1257,'Executive Pay Breakdown'!M:M)+SUMIF('Executive Pay Breakdown'!O:O,$B1257,'Executive Pay Breakdown'!Q:Q)+SUMIF('Executive Pay Breakdown'!S:S,$B1257,'Executive Pay Breakdown'!U:U)+SUMIF('Executive Pay Breakdown'!W:W,$B1257,'Executive Pay Breakdown'!Y:Y)+SUMIF('Executive Pay Breakdown'!AA:AA,$B1257,'Executive Pay Breakdown'!AC:AC)</f>
        <v>27885775</v>
      </c>
      <c r="E1257" s="109"/>
      <c r="F1257" s="69">
        <f>SUMIF('Executive Pay Breakdown'!K:K,$B1257,'Executive Pay Breakdown'!M:M)</f>
        <v>7325241</v>
      </c>
      <c r="G1257" s="69">
        <f>SUMIF('Executive Pay Breakdown'!O:O,$B1257,'Executive Pay Breakdown'!Q:Q)</f>
        <v>6878213</v>
      </c>
      <c r="H1257" s="69">
        <f>SUMIF('Executive Pay Breakdown'!S:S,$B1257,'Executive Pay Breakdown'!U:U)</f>
        <v>6190387</v>
      </c>
      <c r="I1257" s="69">
        <f>SUMIF('Executive Pay Breakdown'!W:W,$B1257,'Executive Pay Breakdown'!Y:Y)</f>
        <v>3846052</v>
      </c>
      <c r="J1257" s="69">
        <f>SUMIF('Executive Pay Breakdown'!AA:AA,$B1257,'Executive Pay Breakdown'!AC:AC)</f>
        <v>3645882</v>
      </c>
      <c r="K1257" s="118"/>
      <c r="L1257" s="212"/>
      <c r="M1257" s="87"/>
      <c r="N1257" s="87"/>
      <c r="O1257" s="120" t="str">
        <f>MATCH(C1257,'Key Findings'!B:B,0)</f>
        <v>#N/A</v>
      </c>
    </row>
    <row r="1258" hidden="1">
      <c r="A1258" s="62"/>
      <c r="B1258" s="86" t="s">
        <v>1494</v>
      </c>
      <c r="C1258" s="233" t="s">
        <v>1490</v>
      </c>
      <c r="D1258" s="89">
        <f>SUMIF('Executive Pay Breakdown'!K:K,$B1258,'Executive Pay Breakdown'!M:M)+SUMIF('Executive Pay Breakdown'!O:O,$B1258,'Executive Pay Breakdown'!Q:Q)+SUMIF('Executive Pay Breakdown'!S:S,$B1258,'Executive Pay Breakdown'!U:U)+SUMIF('Executive Pay Breakdown'!W:W,$B1258,'Executive Pay Breakdown'!Y:Y)+SUMIF('Executive Pay Breakdown'!AA:AA,$B1258,'Executive Pay Breakdown'!AC:AC)</f>
        <v>26730065</v>
      </c>
      <c r="E1258" s="109"/>
      <c r="F1258" s="69">
        <f>SUMIF('Executive Pay Breakdown'!K:K,$B1258,'Executive Pay Breakdown'!M:M)</f>
        <v>26730065</v>
      </c>
      <c r="G1258" s="69">
        <f>SUMIF('Executive Pay Breakdown'!O:O,$B1258,'Executive Pay Breakdown'!Q:Q)</f>
        <v>0</v>
      </c>
      <c r="H1258" s="69">
        <f>SUMIF('Executive Pay Breakdown'!S:S,$B1258,'Executive Pay Breakdown'!U:U)</f>
        <v>0</v>
      </c>
      <c r="I1258" s="69">
        <f>SUMIF('Executive Pay Breakdown'!W:W,$B1258,'Executive Pay Breakdown'!Y:Y)</f>
        <v>0</v>
      </c>
      <c r="J1258" s="69">
        <f>SUMIF('Executive Pay Breakdown'!AA:AA,$B1258,'Executive Pay Breakdown'!AC:AC)</f>
        <v>0</v>
      </c>
      <c r="K1258" s="118"/>
      <c r="L1258" s="212"/>
      <c r="M1258" s="87"/>
      <c r="N1258" s="87"/>
      <c r="O1258" s="120" t="str">
        <f>MATCH(C1258,'Key Findings'!B:B,0)</f>
        <v>#N/A</v>
      </c>
    </row>
    <row r="1259" hidden="1">
      <c r="A1259" s="62"/>
      <c r="B1259" s="86" t="s">
        <v>1495</v>
      </c>
      <c r="C1259" s="233" t="s">
        <v>1490</v>
      </c>
      <c r="D1259" s="89">
        <f>SUMIF('Executive Pay Breakdown'!K:K,$B1259,'Executive Pay Breakdown'!M:M)+SUMIF('Executive Pay Breakdown'!O:O,$B1259,'Executive Pay Breakdown'!Q:Q)+SUMIF('Executive Pay Breakdown'!S:S,$B1259,'Executive Pay Breakdown'!U:U)+SUMIF('Executive Pay Breakdown'!W:W,$B1259,'Executive Pay Breakdown'!Y:Y)+SUMIF('Executive Pay Breakdown'!AA:AA,$B1259,'Executive Pay Breakdown'!AC:AC)</f>
        <v>20803077</v>
      </c>
      <c r="E1259" s="109"/>
      <c r="F1259" s="69">
        <f>SUMIF('Executive Pay Breakdown'!K:K,$B1259,'Executive Pay Breakdown'!M:M)</f>
        <v>0</v>
      </c>
      <c r="G1259" s="69">
        <f>SUMIF('Executive Pay Breakdown'!O:O,$B1259,'Executive Pay Breakdown'!Q:Q)</f>
        <v>6493020</v>
      </c>
      <c r="H1259" s="69">
        <f>SUMIF('Executive Pay Breakdown'!S:S,$B1259,'Executive Pay Breakdown'!U:U)</f>
        <v>6069061</v>
      </c>
      <c r="I1259" s="69">
        <f>SUMIF('Executive Pay Breakdown'!W:W,$B1259,'Executive Pay Breakdown'!Y:Y)</f>
        <v>8240996</v>
      </c>
      <c r="J1259" s="69">
        <f>SUMIF('Executive Pay Breakdown'!AA:AA,$B1259,'Executive Pay Breakdown'!AC:AC)</f>
        <v>0</v>
      </c>
      <c r="K1259" s="118"/>
      <c r="L1259" s="212"/>
      <c r="M1259" s="87"/>
      <c r="N1259" s="87"/>
      <c r="O1259" s="120" t="str">
        <f>MATCH(C1259,'Key Findings'!B:B,0)</f>
        <v>#N/A</v>
      </c>
    </row>
    <row r="1260" hidden="1">
      <c r="A1260" s="62"/>
      <c r="B1260" s="86" t="s">
        <v>1496</v>
      </c>
      <c r="C1260" s="233" t="s">
        <v>1490</v>
      </c>
      <c r="D1260" s="89">
        <f>SUMIF('Executive Pay Breakdown'!K:K,$B1260,'Executive Pay Breakdown'!M:M)+SUMIF('Executive Pay Breakdown'!O:O,$B1260,'Executive Pay Breakdown'!Q:Q)+SUMIF('Executive Pay Breakdown'!S:S,$B1260,'Executive Pay Breakdown'!U:U)+SUMIF('Executive Pay Breakdown'!W:W,$B1260,'Executive Pay Breakdown'!Y:Y)+SUMIF('Executive Pay Breakdown'!AA:AA,$B1260,'Executive Pay Breakdown'!AC:AC)</f>
        <v>10613326</v>
      </c>
      <c r="E1260" s="109"/>
      <c r="F1260" s="69">
        <f>SUMIF('Executive Pay Breakdown'!K:K,$B1260,'Executive Pay Breakdown'!M:M)</f>
        <v>0</v>
      </c>
      <c r="G1260" s="69">
        <f>SUMIF('Executive Pay Breakdown'!O:O,$B1260,'Executive Pay Breakdown'!Q:Q)</f>
        <v>0</v>
      </c>
      <c r="H1260" s="69">
        <f>SUMIF('Executive Pay Breakdown'!S:S,$B1260,'Executive Pay Breakdown'!U:U)</f>
        <v>0</v>
      </c>
      <c r="I1260" s="69">
        <f>SUMIF('Executive Pay Breakdown'!W:W,$B1260,'Executive Pay Breakdown'!Y:Y)</f>
        <v>10613326</v>
      </c>
      <c r="J1260" s="69">
        <f>SUMIF('Executive Pay Breakdown'!AA:AA,$B1260,'Executive Pay Breakdown'!AC:AC)</f>
        <v>0</v>
      </c>
      <c r="K1260" s="118"/>
      <c r="L1260" s="212"/>
      <c r="M1260" s="87"/>
      <c r="N1260" s="87"/>
      <c r="O1260" s="120" t="str">
        <f>MATCH(C1260,'Key Findings'!B:B,0)</f>
        <v>#N/A</v>
      </c>
    </row>
    <row r="1261" hidden="1">
      <c r="A1261" s="62"/>
      <c r="B1261" s="86" t="s">
        <v>1497</v>
      </c>
      <c r="C1261" s="233" t="s">
        <v>1490</v>
      </c>
      <c r="D1261" s="89">
        <f>SUMIF('Executive Pay Breakdown'!K:K,$B1261,'Executive Pay Breakdown'!M:M)+SUMIF('Executive Pay Breakdown'!O:O,$B1261,'Executive Pay Breakdown'!Q:Q)+SUMIF('Executive Pay Breakdown'!S:S,$B1261,'Executive Pay Breakdown'!U:U)+SUMIF('Executive Pay Breakdown'!W:W,$B1261,'Executive Pay Breakdown'!Y:Y)+SUMIF('Executive Pay Breakdown'!AA:AA,$B1261,'Executive Pay Breakdown'!AC:AC)</f>
        <v>3497270</v>
      </c>
      <c r="E1261" s="109"/>
      <c r="F1261" s="69">
        <f>SUMIF('Executive Pay Breakdown'!K:K,$B1261,'Executive Pay Breakdown'!M:M)</f>
        <v>0</v>
      </c>
      <c r="G1261" s="69">
        <f>SUMIF('Executive Pay Breakdown'!O:O,$B1261,'Executive Pay Breakdown'!Q:Q)</f>
        <v>0</v>
      </c>
      <c r="H1261" s="69">
        <f>SUMIF('Executive Pay Breakdown'!S:S,$B1261,'Executive Pay Breakdown'!U:U)</f>
        <v>0</v>
      </c>
      <c r="I1261" s="69">
        <f>SUMIF('Executive Pay Breakdown'!W:W,$B1261,'Executive Pay Breakdown'!Y:Y)</f>
        <v>0</v>
      </c>
      <c r="J1261" s="69">
        <f>SUMIF('Executive Pay Breakdown'!AA:AA,$B1261,'Executive Pay Breakdown'!AC:AC)</f>
        <v>3497270</v>
      </c>
      <c r="K1261" s="118"/>
      <c r="L1261" s="212"/>
      <c r="M1261" s="87"/>
      <c r="N1261" s="87"/>
      <c r="O1261" s="120" t="str">
        <f>MATCH(C1261,'Key Findings'!B:B,0)</f>
        <v>#N/A</v>
      </c>
    </row>
    <row r="1262" hidden="1">
      <c r="A1262" s="62"/>
      <c r="B1262" s="86" t="s">
        <v>1498</v>
      </c>
      <c r="C1262" s="233" t="s">
        <v>1490</v>
      </c>
      <c r="D1262" s="89">
        <f>SUMIF('Executive Pay Breakdown'!K:K,$B1262,'Executive Pay Breakdown'!M:M)+SUMIF('Executive Pay Breakdown'!O:O,$B1262,'Executive Pay Breakdown'!Q:Q)+SUMIF('Executive Pay Breakdown'!S:S,$B1262,'Executive Pay Breakdown'!U:U)+SUMIF('Executive Pay Breakdown'!W:W,$B1262,'Executive Pay Breakdown'!Y:Y)+SUMIF('Executive Pay Breakdown'!AA:AA,$B1262,'Executive Pay Breakdown'!AC:AC)</f>
        <v>3035104</v>
      </c>
      <c r="E1262" s="109"/>
      <c r="F1262" s="69">
        <f>SUMIF('Executive Pay Breakdown'!K:K,$B1262,'Executive Pay Breakdown'!M:M)</f>
        <v>0</v>
      </c>
      <c r="G1262" s="69">
        <f>SUMIF('Executive Pay Breakdown'!O:O,$B1262,'Executive Pay Breakdown'!Q:Q)</f>
        <v>0</v>
      </c>
      <c r="H1262" s="69">
        <f>SUMIF('Executive Pay Breakdown'!S:S,$B1262,'Executive Pay Breakdown'!U:U)</f>
        <v>0</v>
      </c>
      <c r="I1262" s="69">
        <f>SUMIF('Executive Pay Breakdown'!W:W,$B1262,'Executive Pay Breakdown'!Y:Y)</f>
        <v>0</v>
      </c>
      <c r="J1262" s="69">
        <f>SUMIF('Executive Pay Breakdown'!AA:AA,$B1262,'Executive Pay Breakdown'!AC:AC)</f>
        <v>3035104</v>
      </c>
      <c r="K1262" s="118"/>
      <c r="L1262" s="212"/>
      <c r="M1262" s="87"/>
      <c r="N1262" s="87"/>
      <c r="O1262" s="120" t="str">
        <f>MATCH(C1262,'Key Findings'!B:B,0)</f>
        <v>#N/A</v>
      </c>
    </row>
    <row r="1263" hidden="1">
      <c r="A1263" s="62"/>
      <c r="B1263" s="86" t="s">
        <v>1499</v>
      </c>
      <c r="C1263" s="233" t="s">
        <v>1490</v>
      </c>
      <c r="D1263" s="89">
        <f>SUMIF('Executive Pay Breakdown'!K:K,$B1263,'Executive Pay Breakdown'!M:M)+SUMIF('Executive Pay Breakdown'!O:O,$B1263,'Executive Pay Breakdown'!Q:Q)+SUMIF('Executive Pay Breakdown'!S:S,$B1263,'Executive Pay Breakdown'!U:U)+SUMIF('Executive Pay Breakdown'!W:W,$B1263,'Executive Pay Breakdown'!Y:Y)+SUMIF('Executive Pay Breakdown'!AA:AA,$B1263,'Executive Pay Breakdown'!AC:AC)</f>
        <v>2815772</v>
      </c>
      <c r="E1263" s="109"/>
      <c r="F1263" s="69">
        <f>SUMIF('Executive Pay Breakdown'!K:K,$B1263,'Executive Pay Breakdown'!M:M)</f>
        <v>0</v>
      </c>
      <c r="G1263" s="69">
        <f>SUMIF('Executive Pay Breakdown'!O:O,$B1263,'Executive Pay Breakdown'!Q:Q)</f>
        <v>0</v>
      </c>
      <c r="H1263" s="69">
        <f>SUMIF('Executive Pay Breakdown'!S:S,$B1263,'Executive Pay Breakdown'!U:U)</f>
        <v>0</v>
      </c>
      <c r="I1263" s="69">
        <f>SUMIF('Executive Pay Breakdown'!W:W,$B1263,'Executive Pay Breakdown'!Y:Y)</f>
        <v>0</v>
      </c>
      <c r="J1263" s="69">
        <f>SUMIF('Executive Pay Breakdown'!AA:AA,$B1263,'Executive Pay Breakdown'!AC:AC)</f>
        <v>2815772</v>
      </c>
      <c r="K1263" s="118"/>
      <c r="L1263" s="212"/>
      <c r="M1263" s="87"/>
      <c r="N1263" s="87"/>
      <c r="O1263" s="120" t="str">
        <f>MATCH(C1263,'Key Findings'!B:B,0)</f>
        <v>#N/A</v>
      </c>
    </row>
    <row r="1264" hidden="1">
      <c r="A1264" s="71"/>
      <c r="B1264" s="124" t="s">
        <v>1500</v>
      </c>
      <c r="C1264" s="87" t="s">
        <v>1501</v>
      </c>
      <c r="D1264" s="89">
        <f>SUMIF('Executive Pay Breakdown'!K:K,$B1264,'Executive Pay Breakdown'!M:M)+SUMIF('Executive Pay Breakdown'!O:O,$B1264,'Executive Pay Breakdown'!Q:Q)+SUMIF('Executive Pay Breakdown'!S:S,$B1264,'Executive Pay Breakdown'!U:U)+SUMIF('Executive Pay Breakdown'!W:W,$B1264,'Executive Pay Breakdown'!Y:Y)+SUMIF('Executive Pay Breakdown'!AA:AA,$B1264,'Executive Pay Breakdown'!AC:AC)</f>
        <v>84118623</v>
      </c>
      <c r="E1264" s="109"/>
      <c r="F1264" s="69">
        <f>SUMIF('Executive Pay Breakdown'!K:K,$B1264,'Executive Pay Breakdown'!M:M)</f>
        <v>14031387</v>
      </c>
      <c r="G1264" s="69">
        <f>SUMIF('Executive Pay Breakdown'!O:O,$B1264,'Executive Pay Breakdown'!Q:Q)</f>
        <v>18200584</v>
      </c>
      <c r="H1264" s="69">
        <f>SUMIF('Executive Pay Breakdown'!S:S,$B1264,'Executive Pay Breakdown'!U:U)</f>
        <v>20700347</v>
      </c>
      <c r="I1264" s="69">
        <f>SUMIF('Executive Pay Breakdown'!W:W,$B1264,'Executive Pay Breakdown'!Y:Y)</f>
        <v>18321566</v>
      </c>
      <c r="J1264" s="69">
        <f>SUMIF('Executive Pay Breakdown'!AA:AA,$B1264,'Executive Pay Breakdown'!AC:AC)</f>
        <v>12864739</v>
      </c>
      <c r="K1264" s="118"/>
      <c r="L1264" s="212"/>
      <c r="M1264" s="87"/>
      <c r="N1264" s="230"/>
      <c r="O1264" s="120" t="str">
        <f>MATCH(C1264,'Key Findings'!B:B,0)</f>
        <v>#N/A</v>
      </c>
    </row>
    <row r="1265" hidden="1">
      <c r="A1265" s="71"/>
      <c r="B1265" s="124" t="s">
        <v>1502</v>
      </c>
      <c r="C1265" s="87" t="s">
        <v>1501</v>
      </c>
      <c r="D1265" s="89">
        <f>SUMIF('Executive Pay Breakdown'!K:K,$B1265,'Executive Pay Breakdown'!M:M)+SUMIF('Executive Pay Breakdown'!O:O,$B1265,'Executive Pay Breakdown'!Q:Q)+SUMIF('Executive Pay Breakdown'!S:S,$B1265,'Executive Pay Breakdown'!U:U)+SUMIF('Executive Pay Breakdown'!W:W,$B1265,'Executive Pay Breakdown'!Y:Y)+SUMIF('Executive Pay Breakdown'!AA:AA,$B1265,'Executive Pay Breakdown'!AC:AC)</f>
        <v>25118244</v>
      </c>
      <c r="E1265" s="109"/>
      <c r="F1265" s="69">
        <f>SUMIF('Executive Pay Breakdown'!K:K,$B1265,'Executive Pay Breakdown'!M:M)</f>
        <v>7677163</v>
      </c>
      <c r="G1265" s="69">
        <f>SUMIF('Executive Pay Breakdown'!O:O,$B1265,'Executive Pay Breakdown'!Q:Q)</f>
        <v>9416851</v>
      </c>
      <c r="H1265" s="69">
        <f>SUMIF('Executive Pay Breakdown'!S:S,$B1265,'Executive Pay Breakdown'!U:U)</f>
        <v>8024230</v>
      </c>
      <c r="I1265" s="69">
        <f>SUMIF('Executive Pay Breakdown'!W:W,$B1265,'Executive Pay Breakdown'!Y:Y)</f>
        <v>0</v>
      </c>
      <c r="J1265" s="69">
        <f>SUMIF('Executive Pay Breakdown'!AA:AA,$B1265,'Executive Pay Breakdown'!AC:AC)</f>
        <v>0</v>
      </c>
      <c r="K1265" s="118"/>
      <c r="L1265" s="212"/>
      <c r="M1265" s="87"/>
      <c r="N1265" s="230"/>
      <c r="O1265" s="120" t="str">
        <f>MATCH(C1265,'Key Findings'!B:B,0)</f>
        <v>#N/A</v>
      </c>
    </row>
    <row r="1266" hidden="1">
      <c r="A1266" s="71"/>
      <c r="B1266" s="124" t="s">
        <v>1503</v>
      </c>
      <c r="C1266" s="87" t="s">
        <v>1501</v>
      </c>
      <c r="D1266" s="89">
        <f>SUMIF('Executive Pay Breakdown'!K:K,$B1266,'Executive Pay Breakdown'!M:M)+SUMIF('Executive Pay Breakdown'!O:O,$B1266,'Executive Pay Breakdown'!Q:Q)+SUMIF('Executive Pay Breakdown'!S:S,$B1266,'Executive Pay Breakdown'!U:U)+SUMIF('Executive Pay Breakdown'!W:W,$B1266,'Executive Pay Breakdown'!Y:Y)+SUMIF('Executive Pay Breakdown'!AA:AA,$B1266,'Executive Pay Breakdown'!AC:AC)</f>
        <v>23306872</v>
      </c>
      <c r="E1266" s="109"/>
      <c r="F1266" s="69">
        <f>SUMIF('Executive Pay Breakdown'!K:K,$B1266,'Executive Pay Breakdown'!M:M)</f>
        <v>4548911</v>
      </c>
      <c r="G1266" s="69">
        <f>SUMIF('Executive Pay Breakdown'!O:O,$B1266,'Executive Pay Breakdown'!Q:Q)</f>
        <v>4274852</v>
      </c>
      <c r="H1266" s="69">
        <f>SUMIF('Executive Pay Breakdown'!S:S,$B1266,'Executive Pay Breakdown'!U:U)</f>
        <v>5825196</v>
      </c>
      <c r="I1266" s="69">
        <f>SUMIF('Executive Pay Breakdown'!W:W,$B1266,'Executive Pay Breakdown'!Y:Y)</f>
        <v>5082462</v>
      </c>
      <c r="J1266" s="69">
        <f>SUMIF('Executive Pay Breakdown'!AA:AA,$B1266,'Executive Pay Breakdown'!AC:AC)</f>
        <v>3575451</v>
      </c>
      <c r="K1266" s="118"/>
      <c r="L1266" s="212"/>
      <c r="M1266" s="87"/>
      <c r="N1266" s="230"/>
      <c r="O1266" s="120" t="str">
        <f>MATCH(C1266,'Key Findings'!B:B,0)</f>
        <v>#N/A</v>
      </c>
    </row>
    <row r="1267" hidden="1">
      <c r="A1267" s="71"/>
      <c r="B1267" s="124" t="s">
        <v>1504</v>
      </c>
      <c r="C1267" s="87" t="s">
        <v>1501</v>
      </c>
      <c r="D1267" s="89">
        <f>SUMIF('Executive Pay Breakdown'!K:K,$B1267,'Executive Pay Breakdown'!M:M)+SUMIF('Executive Pay Breakdown'!O:O,$B1267,'Executive Pay Breakdown'!Q:Q)+SUMIF('Executive Pay Breakdown'!S:S,$B1267,'Executive Pay Breakdown'!U:U)+SUMIF('Executive Pay Breakdown'!W:W,$B1267,'Executive Pay Breakdown'!Y:Y)+SUMIF('Executive Pay Breakdown'!AA:AA,$B1267,'Executive Pay Breakdown'!AC:AC)</f>
        <v>21893830</v>
      </c>
      <c r="E1267" s="109"/>
      <c r="F1267" s="69">
        <f>SUMIF('Executive Pay Breakdown'!K:K,$B1267,'Executive Pay Breakdown'!M:M)</f>
        <v>0</v>
      </c>
      <c r="G1267" s="69">
        <f>SUMIF('Executive Pay Breakdown'!O:O,$B1267,'Executive Pay Breakdown'!Q:Q)</f>
        <v>0</v>
      </c>
      <c r="H1267" s="69">
        <f>SUMIF('Executive Pay Breakdown'!S:S,$B1267,'Executive Pay Breakdown'!U:U)</f>
        <v>6571370</v>
      </c>
      <c r="I1267" s="69">
        <f>SUMIF('Executive Pay Breakdown'!W:W,$B1267,'Executive Pay Breakdown'!Y:Y)</f>
        <v>7582996</v>
      </c>
      <c r="J1267" s="69">
        <f>SUMIF('Executive Pay Breakdown'!AA:AA,$B1267,'Executive Pay Breakdown'!AC:AC)</f>
        <v>7739464</v>
      </c>
      <c r="K1267" s="118"/>
      <c r="L1267" s="212"/>
      <c r="M1267" s="87"/>
      <c r="N1267" s="87"/>
      <c r="O1267" s="120" t="str">
        <f>MATCH(C1267,'Key Findings'!B:B,0)</f>
        <v>#N/A</v>
      </c>
    </row>
    <row r="1268" hidden="1">
      <c r="A1268" s="81"/>
      <c r="B1268" s="87" t="s">
        <v>1505</v>
      </c>
      <c r="C1268" s="87" t="s">
        <v>1501</v>
      </c>
      <c r="D1268" s="89">
        <f>SUMIF('Executive Pay Breakdown'!K:K,$B1268,'Executive Pay Breakdown'!M:M)+SUMIF('Executive Pay Breakdown'!O:O,$B1268,'Executive Pay Breakdown'!Q:Q)+SUMIF('Executive Pay Breakdown'!S:S,$B1268,'Executive Pay Breakdown'!U:U)+SUMIF('Executive Pay Breakdown'!W:W,$B1268,'Executive Pay Breakdown'!Y:Y)+SUMIF('Executive Pay Breakdown'!AA:AA,$B1268,'Executive Pay Breakdown'!AC:AC)</f>
        <v>21737159</v>
      </c>
      <c r="E1268" s="109"/>
      <c r="F1268" s="69">
        <f>SUMIF('Executive Pay Breakdown'!K:K,$B1268,'Executive Pay Breakdown'!M:M)</f>
        <v>0</v>
      </c>
      <c r="G1268" s="69">
        <f>SUMIF('Executive Pay Breakdown'!O:O,$B1268,'Executive Pay Breakdown'!Q:Q)</f>
        <v>0</v>
      </c>
      <c r="H1268" s="69">
        <f>SUMIF('Executive Pay Breakdown'!S:S,$B1268,'Executive Pay Breakdown'!U:U)</f>
        <v>0</v>
      </c>
      <c r="I1268" s="69">
        <f>SUMIF('Executive Pay Breakdown'!W:W,$B1268,'Executive Pay Breakdown'!Y:Y)</f>
        <v>8207073</v>
      </c>
      <c r="J1268" s="69">
        <f>SUMIF('Executive Pay Breakdown'!AA:AA,$B1268,'Executive Pay Breakdown'!AC:AC)</f>
        <v>13530086</v>
      </c>
      <c r="K1268" s="118"/>
      <c r="L1268" s="212"/>
      <c r="M1268" s="87"/>
      <c r="N1268" s="87"/>
      <c r="O1268" s="120" t="str">
        <f>MATCH(C1268,'Key Findings'!B:B,0)</f>
        <v>#N/A</v>
      </c>
    </row>
    <row r="1269" hidden="1">
      <c r="A1269" s="71"/>
      <c r="B1269" s="124" t="s">
        <v>1506</v>
      </c>
      <c r="C1269" s="87" t="s">
        <v>1501</v>
      </c>
      <c r="D1269" s="89">
        <f>SUMIF('Executive Pay Breakdown'!K:K,$B1269,'Executive Pay Breakdown'!M:M)+SUMIF('Executive Pay Breakdown'!O:O,$B1269,'Executive Pay Breakdown'!Q:Q)+SUMIF('Executive Pay Breakdown'!S:S,$B1269,'Executive Pay Breakdown'!U:U)+SUMIF('Executive Pay Breakdown'!W:W,$B1269,'Executive Pay Breakdown'!Y:Y)+SUMIF('Executive Pay Breakdown'!AA:AA,$B1269,'Executive Pay Breakdown'!AC:AC)</f>
        <v>14042975</v>
      </c>
      <c r="E1269" s="109"/>
      <c r="F1269" s="69">
        <f>SUMIF('Executive Pay Breakdown'!K:K,$B1269,'Executive Pay Breakdown'!M:M)</f>
        <v>0</v>
      </c>
      <c r="G1269" s="69">
        <f>SUMIF('Executive Pay Breakdown'!O:O,$B1269,'Executive Pay Breakdown'!Q:Q)</f>
        <v>4166661</v>
      </c>
      <c r="H1269" s="69">
        <f>SUMIF('Executive Pay Breakdown'!S:S,$B1269,'Executive Pay Breakdown'!U:U)</f>
        <v>5324639</v>
      </c>
      <c r="I1269" s="69">
        <f>SUMIF('Executive Pay Breakdown'!W:W,$B1269,'Executive Pay Breakdown'!Y:Y)</f>
        <v>4551675</v>
      </c>
      <c r="J1269" s="69">
        <f>SUMIF('Executive Pay Breakdown'!AA:AA,$B1269,'Executive Pay Breakdown'!AC:AC)</f>
        <v>0</v>
      </c>
      <c r="K1269" s="118"/>
      <c r="L1269" s="212"/>
      <c r="M1269" s="87"/>
      <c r="N1269" s="87"/>
      <c r="O1269" s="120" t="str">
        <f>MATCH(C1269,'Key Findings'!B:B,0)</f>
        <v>#N/A</v>
      </c>
    </row>
    <row r="1270" hidden="1">
      <c r="A1270" s="71"/>
      <c r="B1270" s="124" t="s">
        <v>1507</v>
      </c>
      <c r="C1270" s="87" t="s">
        <v>1501</v>
      </c>
      <c r="D1270" s="89">
        <f>SUMIF('Executive Pay Breakdown'!K:K,$B1270,'Executive Pay Breakdown'!M:M)+SUMIF('Executive Pay Breakdown'!O:O,$B1270,'Executive Pay Breakdown'!Q:Q)+SUMIF('Executive Pay Breakdown'!S:S,$B1270,'Executive Pay Breakdown'!U:U)+SUMIF('Executive Pay Breakdown'!W:W,$B1270,'Executive Pay Breakdown'!Y:Y)+SUMIF('Executive Pay Breakdown'!AA:AA,$B1270,'Executive Pay Breakdown'!AC:AC)</f>
        <v>12270082</v>
      </c>
      <c r="E1270" s="109"/>
      <c r="F1270" s="69">
        <f>SUMIF('Executive Pay Breakdown'!K:K,$B1270,'Executive Pay Breakdown'!M:M)</f>
        <v>4626154</v>
      </c>
      <c r="G1270" s="69">
        <f>SUMIF('Executive Pay Breakdown'!O:O,$B1270,'Executive Pay Breakdown'!Q:Q)</f>
        <v>4216571</v>
      </c>
      <c r="H1270" s="69">
        <f>SUMIF('Executive Pay Breakdown'!S:S,$B1270,'Executive Pay Breakdown'!U:U)</f>
        <v>3427357</v>
      </c>
      <c r="I1270" s="69">
        <f>SUMIF('Executive Pay Breakdown'!W:W,$B1270,'Executive Pay Breakdown'!Y:Y)</f>
        <v>0</v>
      </c>
      <c r="J1270" s="69">
        <f>SUMIF('Executive Pay Breakdown'!AA:AA,$B1270,'Executive Pay Breakdown'!AC:AC)</f>
        <v>0</v>
      </c>
      <c r="K1270" s="118"/>
      <c r="L1270" s="212"/>
      <c r="M1270" s="87"/>
      <c r="N1270" s="230"/>
      <c r="O1270" s="120" t="str">
        <f>MATCH(C1270,'Key Findings'!B:B,0)</f>
        <v>#N/A</v>
      </c>
    </row>
    <row r="1271" hidden="1">
      <c r="A1271" s="81"/>
      <c r="B1271" s="134" t="s">
        <v>1508</v>
      </c>
      <c r="C1271" s="87" t="s">
        <v>1501</v>
      </c>
      <c r="D1271" s="89">
        <f>SUMIF('Executive Pay Breakdown'!K:K,$B1271,'Executive Pay Breakdown'!M:M)+SUMIF('Executive Pay Breakdown'!O:O,$B1271,'Executive Pay Breakdown'!Q:Q)+SUMIF('Executive Pay Breakdown'!S:S,$B1271,'Executive Pay Breakdown'!U:U)+SUMIF('Executive Pay Breakdown'!W:W,$B1271,'Executive Pay Breakdown'!Y:Y)+SUMIF('Executive Pay Breakdown'!AA:AA,$B1271,'Executive Pay Breakdown'!AC:AC)</f>
        <v>10990319</v>
      </c>
      <c r="E1271" s="109"/>
      <c r="F1271" s="69">
        <f>SUMIF('Executive Pay Breakdown'!K:K,$B1271,'Executive Pay Breakdown'!M:M)</f>
        <v>0</v>
      </c>
      <c r="G1271" s="69">
        <f>SUMIF('Executive Pay Breakdown'!O:O,$B1271,'Executive Pay Breakdown'!Q:Q)</f>
        <v>0</v>
      </c>
      <c r="H1271" s="69">
        <f>SUMIF('Executive Pay Breakdown'!S:S,$B1271,'Executive Pay Breakdown'!U:U)</f>
        <v>0</v>
      </c>
      <c r="I1271" s="69">
        <f>SUMIF('Executive Pay Breakdown'!W:W,$B1271,'Executive Pay Breakdown'!Y:Y)</f>
        <v>5650968</v>
      </c>
      <c r="J1271" s="69">
        <f>SUMIF('Executive Pay Breakdown'!AA:AA,$B1271,'Executive Pay Breakdown'!AC:AC)</f>
        <v>5339351</v>
      </c>
      <c r="K1271" s="118"/>
      <c r="L1271" s="212"/>
      <c r="M1271" s="87"/>
      <c r="N1271" s="87"/>
      <c r="O1271" s="120" t="str">
        <f>MATCH(C1271,'Key Findings'!B:B,0)</f>
        <v>#N/A</v>
      </c>
    </row>
    <row r="1272" hidden="1">
      <c r="A1272" s="71"/>
      <c r="B1272" s="124" t="s">
        <v>1509</v>
      </c>
      <c r="C1272" s="87" t="s">
        <v>1501</v>
      </c>
      <c r="D1272" s="89">
        <f>SUMIF('Executive Pay Breakdown'!K:K,$B1272,'Executive Pay Breakdown'!M:M)+SUMIF('Executive Pay Breakdown'!O:O,$B1272,'Executive Pay Breakdown'!Q:Q)+SUMIF('Executive Pay Breakdown'!S:S,$B1272,'Executive Pay Breakdown'!U:U)+SUMIF('Executive Pay Breakdown'!W:W,$B1272,'Executive Pay Breakdown'!Y:Y)+SUMIF('Executive Pay Breakdown'!AA:AA,$B1272,'Executive Pay Breakdown'!AC:AC)</f>
        <v>9032399</v>
      </c>
      <c r="E1272" s="109"/>
      <c r="F1272" s="69">
        <f>SUMIF('Executive Pay Breakdown'!K:K,$B1272,'Executive Pay Breakdown'!M:M)</f>
        <v>0</v>
      </c>
      <c r="G1272" s="69">
        <f>SUMIF('Executive Pay Breakdown'!O:O,$B1272,'Executive Pay Breakdown'!Q:Q)</f>
        <v>0</v>
      </c>
      <c r="H1272" s="69">
        <f>SUMIF('Executive Pay Breakdown'!S:S,$B1272,'Executive Pay Breakdown'!U:U)</f>
        <v>0</v>
      </c>
      <c r="I1272" s="69">
        <f>SUMIF('Executive Pay Breakdown'!W:W,$B1272,'Executive Pay Breakdown'!Y:Y)</f>
        <v>4735012</v>
      </c>
      <c r="J1272" s="69">
        <f>SUMIF('Executive Pay Breakdown'!AA:AA,$B1272,'Executive Pay Breakdown'!AC:AC)</f>
        <v>4297387</v>
      </c>
      <c r="K1272" s="118"/>
      <c r="L1272" s="212"/>
      <c r="M1272" s="87"/>
      <c r="N1272" s="87"/>
      <c r="O1272" s="120" t="str">
        <f>MATCH(C1272,'Key Findings'!B:B,0)</f>
        <v>#N/A</v>
      </c>
    </row>
    <row r="1273" hidden="1">
      <c r="A1273" s="71"/>
      <c r="B1273" s="124" t="s">
        <v>1510</v>
      </c>
      <c r="C1273" s="87" t="s">
        <v>1501</v>
      </c>
      <c r="D1273" s="89">
        <f>SUMIF('Executive Pay Breakdown'!K:K,$B1273,'Executive Pay Breakdown'!M:M)+SUMIF('Executive Pay Breakdown'!O:O,$B1273,'Executive Pay Breakdown'!Q:Q)+SUMIF('Executive Pay Breakdown'!S:S,$B1273,'Executive Pay Breakdown'!U:U)+SUMIF('Executive Pay Breakdown'!W:W,$B1273,'Executive Pay Breakdown'!Y:Y)+SUMIF('Executive Pay Breakdown'!AA:AA,$B1273,'Executive Pay Breakdown'!AC:AC)</f>
        <v>6253185</v>
      </c>
      <c r="E1273" s="109"/>
      <c r="F1273" s="69">
        <f>SUMIF('Executive Pay Breakdown'!K:K,$B1273,'Executive Pay Breakdown'!M:M)</f>
        <v>0</v>
      </c>
      <c r="G1273" s="69">
        <f>SUMIF('Executive Pay Breakdown'!O:O,$B1273,'Executive Pay Breakdown'!Q:Q)</f>
        <v>0</v>
      </c>
      <c r="H1273" s="69">
        <f>SUMIF('Executive Pay Breakdown'!S:S,$B1273,'Executive Pay Breakdown'!U:U)</f>
        <v>0</v>
      </c>
      <c r="I1273" s="69">
        <f>SUMIF('Executive Pay Breakdown'!W:W,$B1273,'Executive Pay Breakdown'!Y:Y)</f>
        <v>0</v>
      </c>
      <c r="J1273" s="69">
        <f>SUMIF('Executive Pay Breakdown'!AA:AA,$B1273,'Executive Pay Breakdown'!AC:AC)</f>
        <v>6253185</v>
      </c>
      <c r="K1273" s="118"/>
      <c r="L1273" s="212"/>
      <c r="M1273" s="87"/>
      <c r="N1273" s="87"/>
      <c r="O1273" s="120" t="str">
        <f>MATCH(C1273,'Key Findings'!B:B,0)</f>
        <v>#N/A</v>
      </c>
    </row>
    <row r="1274" hidden="1">
      <c r="A1274" s="71"/>
      <c r="B1274" s="124" t="s">
        <v>1511</v>
      </c>
      <c r="C1274" s="87" t="s">
        <v>1501</v>
      </c>
      <c r="D1274" s="89">
        <f>SUMIF('Executive Pay Breakdown'!K:K,$B1274,'Executive Pay Breakdown'!M:M)+SUMIF('Executive Pay Breakdown'!O:O,$B1274,'Executive Pay Breakdown'!Q:Q)+SUMIF('Executive Pay Breakdown'!S:S,$B1274,'Executive Pay Breakdown'!U:U)+SUMIF('Executive Pay Breakdown'!W:W,$B1274,'Executive Pay Breakdown'!Y:Y)+SUMIF('Executive Pay Breakdown'!AA:AA,$B1274,'Executive Pay Breakdown'!AC:AC)</f>
        <v>5588663</v>
      </c>
      <c r="E1274" s="109"/>
      <c r="F1274" s="69">
        <f>SUMIF('Executive Pay Breakdown'!K:K,$B1274,'Executive Pay Breakdown'!M:M)</f>
        <v>0</v>
      </c>
      <c r="G1274" s="69">
        <f>SUMIF('Executive Pay Breakdown'!O:O,$B1274,'Executive Pay Breakdown'!Q:Q)</f>
        <v>0</v>
      </c>
      <c r="H1274" s="69">
        <f>SUMIF('Executive Pay Breakdown'!S:S,$B1274,'Executive Pay Breakdown'!U:U)</f>
        <v>0</v>
      </c>
      <c r="I1274" s="69">
        <f>SUMIF('Executive Pay Breakdown'!W:W,$B1274,'Executive Pay Breakdown'!Y:Y)</f>
        <v>0</v>
      </c>
      <c r="J1274" s="69">
        <f>SUMIF('Executive Pay Breakdown'!AA:AA,$B1274,'Executive Pay Breakdown'!AC:AC)</f>
        <v>5588663</v>
      </c>
      <c r="K1274" s="118"/>
      <c r="L1274" s="212"/>
      <c r="M1274" s="87"/>
      <c r="N1274" s="87"/>
      <c r="O1274" s="120" t="str">
        <f>MATCH(C1274,'Key Findings'!B:B,0)</f>
        <v>#N/A</v>
      </c>
    </row>
    <row r="1275" hidden="1">
      <c r="A1275" s="71"/>
      <c r="B1275" s="124" t="s">
        <v>1512</v>
      </c>
      <c r="C1275" s="87" t="s">
        <v>1501</v>
      </c>
      <c r="D1275" s="89">
        <f>SUMIF('Executive Pay Breakdown'!K:K,$B1275,'Executive Pay Breakdown'!M:M)+SUMIF('Executive Pay Breakdown'!O:O,$B1275,'Executive Pay Breakdown'!Q:Q)+SUMIF('Executive Pay Breakdown'!S:S,$B1275,'Executive Pay Breakdown'!U:U)+SUMIF('Executive Pay Breakdown'!W:W,$B1275,'Executive Pay Breakdown'!Y:Y)+SUMIF('Executive Pay Breakdown'!AA:AA,$B1275,'Executive Pay Breakdown'!AC:AC)</f>
        <v>5420237</v>
      </c>
      <c r="E1275" s="109"/>
      <c r="F1275" s="69">
        <f>SUMIF('Executive Pay Breakdown'!K:K,$B1275,'Executive Pay Breakdown'!M:M)</f>
        <v>5420237</v>
      </c>
      <c r="G1275" s="69">
        <f>SUMIF('Executive Pay Breakdown'!O:O,$B1275,'Executive Pay Breakdown'!Q:Q)</f>
        <v>0</v>
      </c>
      <c r="H1275" s="69">
        <f>SUMIF('Executive Pay Breakdown'!S:S,$B1275,'Executive Pay Breakdown'!U:U)</f>
        <v>0</v>
      </c>
      <c r="I1275" s="69">
        <f>SUMIF('Executive Pay Breakdown'!W:W,$B1275,'Executive Pay Breakdown'!Y:Y)</f>
        <v>0</v>
      </c>
      <c r="J1275" s="69">
        <f>SUMIF('Executive Pay Breakdown'!AA:AA,$B1275,'Executive Pay Breakdown'!AC:AC)</f>
        <v>0</v>
      </c>
      <c r="K1275" s="118"/>
      <c r="L1275" s="212"/>
      <c r="M1275" s="87"/>
      <c r="N1275" s="230"/>
      <c r="O1275" s="120" t="str">
        <f>MATCH(C1275,'Key Findings'!B:B,0)</f>
        <v>#N/A</v>
      </c>
    </row>
    <row r="1276" hidden="1">
      <c r="A1276" s="71"/>
      <c r="B1276" s="124" t="s">
        <v>1513</v>
      </c>
      <c r="C1276" s="87" t="s">
        <v>1501</v>
      </c>
      <c r="D1276" s="89">
        <f>SUMIF('Executive Pay Breakdown'!K:K,$B1276,'Executive Pay Breakdown'!M:M)+SUMIF('Executive Pay Breakdown'!O:O,$B1276,'Executive Pay Breakdown'!Q:Q)+SUMIF('Executive Pay Breakdown'!S:S,$B1276,'Executive Pay Breakdown'!U:U)+SUMIF('Executive Pay Breakdown'!W:W,$B1276,'Executive Pay Breakdown'!Y:Y)+SUMIF('Executive Pay Breakdown'!AA:AA,$B1276,'Executive Pay Breakdown'!AC:AC)</f>
        <v>5204947</v>
      </c>
      <c r="E1276" s="109"/>
      <c r="F1276" s="69">
        <f>SUMIF('Executive Pay Breakdown'!K:K,$B1276,'Executive Pay Breakdown'!M:M)</f>
        <v>0</v>
      </c>
      <c r="G1276" s="69">
        <f>SUMIF('Executive Pay Breakdown'!O:O,$B1276,'Executive Pay Breakdown'!Q:Q)</f>
        <v>0</v>
      </c>
      <c r="H1276" s="69">
        <f>SUMIF('Executive Pay Breakdown'!S:S,$B1276,'Executive Pay Breakdown'!U:U)</f>
        <v>5204947</v>
      </c>
      <c r="I1276" s="69">
        <f>SUMIF('Executive Pay Breakdown'!W:W,$B1276,'Executive Pay Breakdown'!Y:Y)</f>
        <v>0</v>
      </c>
      <c r="J1276" s="69">
        <f>SUMIF('Executive Pay Breakdown'!AA:AA,$B1276,'Executive Pay Breakdown'!AC:AC)</f>
        <v>0</v>
      </c>
      <c r="K1276" s="118"/>
      <c r="L1276" s="212"/>
      <c r="M1276" s="87"/>
      <c r="N1276" s="87"/>
      <c r="O1276" s="120" t="str">
        <f>MATCH(C1276,'Key Findings'!B:B,0)</f>
        <v>#N/A</v>
      </c>
    </row>
    <row r="1277" hidden="1">
      <c r="A1277" s="71"/>
      <c r="B1277" s="124" t="s">
        <v>1514</v>
      </c>
      <c r="C1277" s="87" t="s">
        <v>1501</v>
      </c>
      <c r="D1277" s="89">
        <f>SUMIF('Executive Pay Breakdown'!K:K,$B1277,'Executive Pay Breakdown'!M:M)+SUMIF('Executive Pay Breakdown'!O:O,$B1277,'Executive Pay Breakdown'!Q:Q)+SUMIF('Executive Pay Breakdown'!S:S,$B1277,'Executive Pay Breakdown'!U:U)+SUMIF('Executive Pay Breakdown'!W:W,$B1277,'Executive Pay Breakdown'!Y:Y)+SUMIF('Executive Pay Breakdown'!AA:AA,$B1277,'Executive Pay Breakdown'!AC:AC)</f>
        <v>4912660</v>
      </c>
      <c r="E1277" s="109"/>
      <c r="F1277" s="69">
        <f>SUMIF('Executive Pay Breakdown'!K:K,$B1277,'Executive Pay Breakdown'!M:M)</f>
        <v>0</v>
      </c>
      <c r="G1277" s="69">
        <f>SUMIF('Executive Pay Breakdown'!O:O,$B1277,'Executive Pay Breakdown'!Q:Q)</f>
        <v>0</v>
      </c>
      <c r="H1277" s="69">
        <f>SUMIF('Executive Pay Breakdown'!S:S,$B1277,'Executive Pay Breakdown'!U:U)</f>
        <v>0</v>
      </c>
      <c r="I1277" s="69">
        <f>SUMIF('Executive Pay Breakdown'!W:W,$B1277,'Executive Pay Breakdown'!Y:Y)</f>
        <v>0</v>
      </c>
      <c r="J1277" s="69">
        <f>SUMIF('Executive Pay Breakdown'!AA:AA,$B1277,'Executive Pay Breakdown'!AC:AC)</f>
        <v>4912660</v>
      </c>
      <c r="K1277" s="118"/>
      <c r="L1277" s="212"/>
      <c r="M1277" s="87"/>
      <c r="N1277" s="87"/>
      <c r="O1277" s="120" t="str">
        <f>MATCH(C1277,'Key Findings'!B:B,0)</f>
        <v>#N/A</v>
      </c>
    </row>
    <row r="1278" hidden="1">
      <c r="A1278" s="71"/>
      <c r="B1278" s="124" t="s">
        <v>1515</v>
      </c>
      <c r="C1278" s="87" t="s">
        <v>1501</v>
      </c>
      <c r="D1278" s="89">
        <f>SUMIF('Executive Pay Breakdown'!K:K,$B1278,'Executive Pay Breakdown'!M:M)+SUMIF('Executive Pay Breakdown'!O:O,$B1278,'Executive Pay Breakdown'!Q:Q)+SUMIF('Executive Pay Breakdown'!S:S,$B1278,'Executive Pay Breakdown'!U:U)+SUMIF('Executive Pay Breakdown'!W:W,$B1278,'Executive Pay Breakdown'!Y:Y)+SUMIF('Executive Pay Breakdown'!AA:AA,$B1278,'Executive Pay Breakdown'!AC:AC)</f>
        <v>4354066</v>
      </c>
      <c r="E1278" s="109"/>
      <c r="F1278" s="69">
        <f>SUMIF('Executive Pay Breakdown'!K:K,$B1278,'Executive Pay Breakdown'!M:M)</f>
        <v>4354066</v>
      </c>
      <c r="G1278" s="69">
        <f>SUMIF('Executive Pay Breakdown'!O:O,$B1278,'Executive Pay Breakdown'!Q:Q)</f>
        <v>0</v>
      </c>
      <c r="H1278" s="69">
        <f>SUMIF('Executive Pay Breakdown'!S:S,$B1278,'Executive Pay Breakdown'!U:U)</f>
        <v>0</v>
      </c>
      <c r="I1278" s="69">
        <f>SUMIF('Executive Pay Breakdown'!W:W,$B1278,'Executive Pay Breakdown'!Y:Y)</f>
        <v>0</v>
      </c>
      <c r="J1278" s="69">
        <f>SUMIF('Executive Pay Breakdown'!AA:AA,$B1278,'Executive Pay Breakdown'!AC:AC)</f>
        <v>0</v>
      </c>
      <c r="K1278" s="118"/>
      <c r="L1278" s="212"/>
      <c r="M1278" s="87"/>
      <c r="N1278" s="230"/>
      <c r="O1278" s="120" t="str">
        <f>MATCH(C1278,'Key Findings'!B:B,0)</f>
        <v>#N/A</v>
      </c>
    </row>
    <row r="1279" hidden="1">
      <c r="A1279" s="62"/>
      <c r="B1279" s="116"/>
      <c r="C1279" s="233"/>
      <c r="D1279" s="89"/>
      <c r="E1279" s="109"/>
      <c r="F1279" s="69"/>
      <c r="G1279" s="69"/>
      <c r="H1279" s="69"/>
      <c r="I1279" s="69"/>
      <c r="J1279" s="69"/>
      <c r="K1279" s="118"/>
      <c r="L1279" s="212"/>
      <c r="M1279" s="87"/>
      <c r="N1279" s="87"/>
      <c r="O1279" s="120"/>
    </row>
    <row r="1280">
      <c r="A1280" s="62"/>
      <c r="B1280" s="116"/>
      <c r="C1280" s="233"/>
      <c r="D1280" s="89"/>
      <c r="E1280" s="109"/>
      <c r="F1280" s="69"/>
      <c r="G1280" s="69"/>
      <c r="H1280" s="69"/>
      <c r="I1280" s="69"/>
      <c r="J1280" s="69"/>
      <c r="K1280" s="118"/>
      <c r="L1280" s="212"/>
      <c r="M1280" s="87"/>
      <c r="N1280" s="87"/>
      <c r="O1280" s="120"/>
    </row>
  </sheetData>
  <mergeCells count="5">
    <mergeCell ref="A1:A3"/>
    <mergeCell ref="B1:B3"/>
    <mergeCell ref="C1:C3"/>
    <mergeCell ref="D1:D2"/>
    <mergeCell ref="F2:J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hidden="1" min="1" max="1" width="3.88"/>
    <col customWidth="1" min="2" max="3" width="17.63"/>
    <col customWidth="1" min="4" max="4" width="11.38"/>
    <col customWidth="1" min="5" max="5" width="9.5"/>
    <col customWidth="1" min="6" max="6" width="1.38"/>
    <col customWidth="1" min="7" max="7" width="17.63"/>
    <col customWidth="1" min="8" max="8" width="11.38"/>
    <col customWidth="1" min="9" max="9" width="9.5"/>
    <col customWidth="1" min="10" max="10" width="1.38"/>
    <col customWidth="1" min="11" max="11" width="17.63"/>
    <col customWidth="1" min="12" max="12" width="11.38"/>
    <col customWidth="1" min="13" max="13" width="9.5"/>
    <col customWidth="1" min="14" max="14" width="1.38"/>
    <col customWidth="1" min="15" max="15" width="15.75"/>
    <col customWidth="1" hidden="1" min="16" max="16" width="11.38"/>
    <col customWidth="1" min="17" max="17" width="9.5"/>
    <col customWidth="1" min="18" max="18" width="1.38"/>
    <col customWidth="1" min="19" max="19" width="15.75"/>
    <col customWidth="1" hidden="1" min="20" max="20" width="11.38"/>
    <col customWidth="1" min="21" max="21" width="9.5"/>
    <col customWidth="1" min="22" max="22" width="1.38"/>
    <col customWidth="1" min="23" max="23" width="15.75"/>
    <col customWidth="1" hidden="1" min="24" max="24" width="11.38"/>
    <col customWidth="1" min="25" max="25" width="9.5"/>
    <col customWidth="1" min="26" max="26" width="1.38"/>
    <col customWidth="1" min="27" max="27" width="15.75"/>
    <col customWidth="1" hidden="1" min="28" max="28" width="11.38"/>
    <col customWidth="1" min="29" max="29" width="10.25"/>
    <col customWidth="1" min="30" max="30" width="9.5"/>
    <col customWidth="1" min="31" max="31" width="9.13"/>
    <col customWidth="1" min="32" max="35" width="6.38"/>
    <col customWidth="1" min="36" max="36" width="10.13"/>
    <col customWidth="1" hidden="1" min="38" max="39" width="7.63"/>
    <col customWidth="1" hidden="1" min="40" max="40" width="24.13"/>
  </cols>
  <sheetData>
    <row r="1" ht="33.0" customHeight="1">
      <c r="A1" s="249"/>
      <c r="B1" s="250"/>
      <c r="C1" s="251"/>
      <c r="D1" s="252"/>
      <c r="E1" s="253"/>
      <c r="F1" s="254"/>
      <c r="G1" s="251"/>
      <c r="H1" s="252"/>
      <c r="I1" s="253"/>
      <c r="J1" s="254"/>
      <c r="K1" s="251"/>
      <c r="L1" s="252"/>
      <c r="M1" s="253"/>
      <c r="N1" s="254"/>
      <c r="O1" s="251"/>
      <c r="P1" s="251"/>
      <c r="Q1" s="253"/>
      <c r="R1" s="254"/>
      <c r="S1" s="251"/>
      <c r="T1" s="251"/>
      <c r="U1" s="253"/>
      <c r="V1" s="254"/>
      <c r="W1" s="251"/>
      <c r="X1" s="251"/>
      <c r="Y1" s="253"/>
      <c r="Z1" s="254"/>
      <c r="AA1" s="251"/>
      <c r="AB1" s="251"/>
      <c r="AC1" s="253"/>
      <c r="AD1" s="255"/>
      <c r="AE1" s="256"/>
      <c r="AF1" s="256"/>
      <c r="AG1" s="256"/>
      <c r="AH1" s="256"/>
      <c r="AI1" s="256"/>
      <c r="AJ1" s="257"/>
      <c r="AK1" s="258"/>
      <c r="AL1" s="259"/>
      <c r="AM1" s="260"/>
      <c r="AN1" s="261"/>
    </row>
    <row r="2">
      <c r="A2" s="249" t="s">
        <v>678</v>
      </c>
      <c r="B2" s="250" t="s">
        <v>1516</v>
      </c>
      <c r="C2" s="251" t="s">
        <v>725</v>
      </c>
      <c r="D2" s="252" t="s">
        <v>1517</v>
      </c>
      <c r="E2" s="253" t="s">
        <v>1518</v>
      </c>
      <c r="F2" s="254"/>
      <c r="G2" s="251" t="s">
        <v>725</v>
      </c>
      <c r="H2" s="252" t="s">
        <v>1517</v>
      </c>
      <c r="I2" s="253" t="s">
        <v>1518</v>
      </c>
      <c r="J2" s="254"/>
      <c r="K2" s="251" t="s">
        <v>725</v>
      </c>
      <c r="L2" s="252" t="s">
        <v>1517</v>
      </c>
      <c r="M2" s="253" t="s">
        <v>1518</v>
      </c>
      <c r="N2" s="254"/>
      <c r="O2" s="251" t="s">
        <v>725</v>
      </c>
      <c r="P2" s="251" t="s">
        <v>1517</v>
      </c>
      <c r="Q2" s="253" t="s">
        <v>1518</v>
      </c>
      <c r="R2" s="254"/>
      <c r="S2" s="251" t="s">
        <v>725</v>
      </c>
      <c r="T2" s="251" t="s">
        <v>1517</v>
      </c>
      <c r="U2" s="253" t="s">
        <v>1518</v>
      </c>
      <c r="V2" s="254"/>
      <c r="W2" s="251" t="s">
        <v>725</v>
      </c>
      <c r="X2" s="251" t="s">
        <v>1517</v>
      </c>
      <c r="Y2" s="253" t="s">
        <v>1518</v>
      </c>
      <c r="Z2" s="254"/>
      <c r="AA2" s="251" t="s">
        <v>725</v>
      </c>
      <c r="AB2" s="251" t="s">
        <v>1517</v>
      </c>
      <c r="AC2" s="253" t="s">
        <v>1518</v>
      </c>
      <c r="AD2" s="255"/>
      <c r="AE2" s="256"/>
      <c r="AF2" s="256"/>
      <c r="AG2" s="256"/>
      <c r="AH2" s="256"/>
      <c r="AI2" s="256"/>
      <c r="AJ2" s="257" t="s">
        <v>1519</v>
      </c>
      <c r="AK2" s="258"/>
      <c r="AL2" s="259"/>
      <c r="AM2" s="260"/>
      <c r="AN2" s="261" t="s">
        <v>1520</v>
      </c>
    </row>
    <row r="3">
      <c r="C3" s="262">
        <v>2024.0</v>
      </c>
      <c r="F3" s="254"/>
      <c r="G3" s="262">
        <v>2023.0</v>
      </c>
      <c r="J3" s="254"/>
      <c r="K3" s="262">
        <v>2022.0</v>
      </c>
      <c r="N3" s="254"/>
      <c r="O3" s="262">
        <v>2021.0</v>
      </c>
      <c r="R3" s="254"/>
      <c r="S3" s="262">
        <v>2020.0</v>
      </c>
      <c r="V3" s="254"/>
      <c r="W3" s="262">
        <v>2019.0</v>
      </c>
      <c r="Z3" s="254"/>
      <c r="AA3" s="262">
        <v>2018.0</v>
      </c>
      <c r="AD3" s="255"/>
      <c r="AE3" s="263" t="s">
        <v>1521</v>
      </c>
      <c r="AK3" s="258"/>
      <c r="AL3" s="259"/>
      <c r="AM3" s="260"/>
    </row>
    <row r="4">
      <c r="A4" s="169">
        <f t="array" ref="A4">INDEX('Federal Tax, Stock Buybacks, &amp; '!D:D,match(B4,'Federal Tax, Stock Buybacks, &amp; '!E:E,0))</f>
        <v>50</v>
      </c>
      <c r="B4" s="264" t="s">
        <v>35</v>
      </c>
      <c r="C4" s="265"/>
      <c r="D4" s="266"/>
      <c r="E4" s="267"/>
      <c r="F4" s="268"/>
      <c r="G4" s="265"/>
      <c r="H4" s="266"/>
      <c r="I4" s="267"/>
      <c r="J4" s="268"/>
      <c r="K4" s="265" t="s">
        <v>87</v>
      </c>
      <c r="L4" s="266" t="s">
        <v>1522</v>
      </c>
      <c r="M4" s="267">
        <v>0.0</v>
      </c>
      <c r="N4" s="268"/>
      <c r="O4" s="266" t="s">
        <v>87</v>
      </c>
      <c r="P4" s="266" t="s">
        <v>1522</v>
      </c>
      <c r="Q4" s="269">
        <v>0.0</v>
      </c>
      <c r="R4" s="268"/>
      <c r="S4" s="266" t="s">
        <v>87</v>
      </c>
      <c r="T4" s="266" t="s">
        <v>1522</v>
      </c>
      <c r="U4" s="267">
        <v>0.0</v>
      </c>
      <c r="V4" s="268"/>
      <c r="W4" s="266" t="s">
        <v>87</v>
      </c>
      <c r="X4" s="270" t="s">
        <v>1523</v>
      </c>
      <c r="Y4" s="267">
        <v>23760.0</v>
      </c>
      <c r="Z4" s="268"/>
      <c r="AA4" s="266" t="s">
        <v>87</v>
      </c>
      <c r="AB4" s="270" t="s">
        <v>1523</v>
      </c>
      <c r="AC4" s="267">
        <v>2.284044884E9</v>
      </c>
      <c r="AD4" s="271"/>
      <c r="AE4" s="272">
        <v>2022.0</v>
      </c>
      <c r="AF4" s="272">
        <v>2021.0</v>
      </c>
      <c r="AG4" s="272">
        <v>2020.0</v>
      </c>
      <c r="AH4" s="272">
        <v>2019.0</v>
      </c>
      <c r="AI4" s="272">
        <v>2018.0</v>
      </c>
      <c r="AJ4" s="273" t="s">
        <v>1524</v>
      </c>
      <c r="AK4" s="274"/>
      <c r="AL4" s="275">
        <f>MATCH(B4,'Key Findings'!B:B,0)</f>
        <v>4</v>
      </c>
      <c r="AM4" s="274" t="b">
        <f t="shared" ref="AM4:AM417" si="1">ISODD(AL4)</f>
        <v>0</v>
      </c>
      <c r="AN4" s="276"/>
    </row>
    <row r="5">
      <c r="A5" s="169">
        <f t="array" ref="A5">INDEX('Federal Tax, Stock Buybacks, &amp; '!D:D,match(B5,'Federal Tax, Stock Buybacks, &amp; '!E:E,0))</f>
        <v>50</v>
      </c>
      <c r="B5" s="264" t="s">
        <v>35</v>
      </c>
      <c r="C5" s="265"/>
      <c r="D5" s="266"/>
      <c r="E5" s="267"/>
      <c r="F5" s="268"/>
      <c r="G5" s="265"/>
      <c r="H5" s="266"/>
      <c r="I5" s="267"/>
      <c r="J5" s="268"/>
      <c r="K5" s="265" t="s">
        <v>299</v>
      </c>
      <c r="L5" s="266" t="s">
        <v>1525</v>
      </c>
      <c r="M5" s="267">
        <v>303000.0</v>
      </c>
      <c r="N5" s="268"/>
      <c r="O5" s="266" t="s">
        <v>298</v>
      </c>
      <c r="P5" s="266" t="s">
        <v>1526</v>
      </c>
      <c r="Q5" s="269">
        <v>161538.0</v>
      </c>
      <c r="R5" s="268"/>
      <c r="S5" s="266" t="s">
        <v>298</v>
      </c>
      <c r="T5" s="266" t="s">
        <v>1527</v>
      </c>
      <c r="U5" s="267">
        <v>4.6544623E7</v>
      </c>
      <c r="V5" s="268"/>
      <c r="W5" s="266" t="s">
        <v>430</v>
      </c>
      <c r="X5" s="266" t="s">
        <v>1528</v>
      </c>
      <c r="Y5" s="267">
        <v>176870.0</v>
      </c>
      <c r="Z5" s="268"/>
      <c r="AA5" s="266" t="s">
        <v>370</v>
      </c>
      <c r="AB5" s="266" t="s">
        <v>1529</v>
      </c>
      <c r="AC5" s="267">
        <v>1.166742E7</v>
      </c>
      <c r="AD5" s="271"/>
      <c r="AE5" s="277"/>
      <c r="AF5" s="277"/>
      <c r="AG5" s="277"/>
      <c r="AH5" s="277"/>
      <c r="AI5" s="277"/>
      <c r="AJ5" s="278"/>
      <c r="AK5" s="274"/>
      <c r="AL5" s="275">
        <f>MATCH(B5,'Key Findings'!B:B,0)</f>
        <v>4</v>
      </c>
      <c r="AM5" s="274" t="b">
        <f t="shared" si="1"/>
        <v>0</v>
      </c>
      <c r="AN5" s="276"/>
    </row>
    <row r="6">
      <c r="A6" s="169">
        <f t="array" ref="A6">INDEX('Federal Tax, Stock Buybacks, &amp; '!D:D,match(B6,'Federal Tax, Stock Buybacks, &amp; '!E:E,0))</f>
        <v>50</v>
      </c>
      <c r="B6" s="264" t="s">
        <v>35</v>
      </c>
      <c r="C6" s="265"/>
      <c r="D6" s="270"/>
      <c r="E6" s="267"/>
      <c r="F6" s="268"/>
      <c r="G6" s="265"/>
      <c r="H6" s="270"/>
      <c r="I6" s="267"/>
      <c r="J6" s="268"/>
      <c r="K6" s="265" t="s">
        <v>302</v>
      </c>
      <c r="L6" s="270" t="s">
        <v>1530</v>
      </c>
      <c r="M6" s="267">
        <v>303000.0</v>
      </c>
      <c r="N6" s="268"/>
      <c r="O6" s="266" t="s">
        <v>299</v>
      </c>
      <c r="P6" s="266" t="s">
        <v>1525</v>
      </c>
      <c r="Q6" s="269">
        <v>301154.0</v>
      </c>
      <c r="R6" s="268"/>
      <c r="S6" s="266" t="s">
        <v>299</v>
      </c>
      <c r="T6" s="266" t="s">
        <v>1525</v>
      </c>
      <c r="U6" s="267">
        <v>4.6562116E7</v>
      </c>
      <c r="V6" s="268"/>
      <c r="W6" s="266" t="s">
        <v>298</v>
      </c>
      <c r="X6" s="266" t="s">
        <v>1531</v>
      </c>
      <c r="Y6" s="267">
        <v>8266212.0</v>
      </c>
      <c r="Z6" s="268"/>
      <c r="AA6" s="266" t="s">
        <v>430</v>
      </c>
      <c r="AB6" s="266" t="s">
        <v>1532</v>
      </c>
      <c r="AC6" s="267">
        <v>6210353.0</v>
      </c>
      <c r="AD6" s="271"/>
      <c r="AE6" s="277"/>
      <c r="AF6" s="277"/>
      <c r="AG6" s="277"/>
      <c r="AH6" s="277"/>
      <c r="AI6" s="277"/>
      <c r="AJ6" s="278"/>
      <c r="AK6" s="274"/>
      <c r="AL6" s="275">
        <f>MATCH(B6,'Key Findings'!B:B,0)</f>
        <v>4</v>
      </c>
      <c r="AM6" s="274" t="b">
        <f t="shared" si="1"/>
        <v>0</v>
      </c>
      <c r="AN6" s="276"/>
    </row>
    <row r="7">
      <c r="A7" s="169">
        <f t="array" ref="A7">INDEX('Federal Tax, Stock Buybacks, &amp; '!D:D,match(B7,'Federal Tax, Stock Buybacks, &amp; '!E:E,0))</f>
        <v>50</v>
      </c>
      <c r="B7" s="264" t="s">
        <v>35</v>
      </c>
      <c r="C7" s="279"/>
      <c r="D7" s="280"/>
      <c r="E7" s="267"/>
      <c r="F7" s="268"/>
      <c r="G7" s="279"/>
      <c r="H7" s="280"/>
      <c r="I7" s="267"/>
      <c r="J7" s="268"/>
      <c r="K7" s="279" t="s">
        <v>711</v>
      </c>
      <c r="L7" s="280" t="s">
        <v>711</v>
      </c>
      <c r="M7" s="267" t="s">
        <v>711</v>
      </c>
      <c r="N7" s="268"/>
      <c r="O7" s="266" t="s">
        <v>302</v>
      </c>
      <c r="P7" s="270" t="s">
        <v>1530</v>
      </c>
      <c r="Q7" s="269">
        <v>301154.0</v>
      </c>
      <c r="R7" s="268"/>
      <c r="S7" s="266" t="s">
        <v>302</v>
      </c>
      <c r="T7" s="270" t="s">
        <v>1530</v>
      </c>
      <c r="U7" s="267">
        <v>4.6544623E7</v>
      </c>
      <c r="V7" s="268"/>
      <c r="W7" s="266" t="s">
        <v>299</v>
      </c>
      <c r="X7" s="266" t="s">
        <v>1532</v>
      </c>
      <c r="Y7" s="267">
        <v>2.1243957E7</v>
      </c>
      <c r="Z7" s="268"/>
      <c r="AA7" s="266" t="s">
        <v>298</v>
      </c>
      <c r="AB7" s="266" t="s">
        <v>1531</v>
      </c>
      <c r="AC7" s="267">
        <v>1.7752051E7</v>
      </c>
      <c r="AD7" s="271"/>
      <c r="AE7" s="277"/>
      <c r="AF7" s="277"/>
      <c r="AG7" s="277"/>
      <c r="AH7" s="277"/>
      <c r="AI7" s="277"/>
      <c r="AJ7" s="278"/>
      <c r="AK7" s="274"/>
      <c r="AL7" s="275">
        <f>MATCH(B7,'Key Findings'!B:B,0)</f>
        <v>4</v>
      </c>
      <c r="AM7" s="274" t="b">
        <f t="shared" si="1"/>
        <v>0</v>
      </c>
      <c r="AN7" s="276"/>
    </row>
    <row r="8">
      <c r="A8" s="169">
        <f t="array" ref="A8">INDEX('Federal Tax, Stock Buybacks, &amp; '!D:D,match(B8,'Federal Tax, Stock Buybacks, &amp; '!E:E,0))</f>
        <v>50</v>
      </c>
      <c r="B8" s="264" t="s">
        <v>35</v>
      </c>
      <c r="C8" s="279"/>
      <c r="D8" s="280"/>
      <c r="E8" s="267"/>
      <c r="F8" s="268"/>
      <c r="G8" s="279"/>
      <c r="H8" s="280"/>
      <c r="I8" s="267"/>
      <c r="J8" s="268"/>
      <c r="K8" s="279" t="s">
        <v>711</v>
      </c>
      <c r="L8" s="280" t="s">
        <v>711</v>
      </c>
      <c r="M8" s="267" t="s">
        <v>711</v>
      </c>
      <c r="N8" s="268"/>
      <c r="O8" s="280" t="s">
        <v>711</v>
      </c>
      <c r="P8" s="280" t="s">
        <v>711</v>
      </c>
      <c r="Q8" s="267" t="s">
        <v>711</v>
      </c>
      <c r="R8" s="268"/>
      <c r="S8" s="280" t="s">
        <v>711</v>
      </c>
      <c r="T8" s="280" t="s">
        <v>711</v>
      </c>
      <c r="U8" s="267" t="s">
        <v>711</v>
      </c>
      <c r="V8" s="268"/>
      <c r="W8" s="266" t="s">
        <v>302</v>
      </c>
      <c r="X8" s="270" t="s">
        <v>1530</v>
      </c>
      <c r="Y8" s="267">
        <v>5080234.0</v>
      </c>
      <c r="Z8" s="268"/>
      <c r="AA8" s="280" t="s">
        <v>711</v>
      </c>
      <c r="AB8" s="280" t="s">
        <v>711</v>
      </c>
      <c r="AC8" s="267" t="s">
        <v>711</v>
      </c>
      <c r="AD8" s="271"/>
      <c r="AE8" s="277"/>
      <c r="AF8" s="277"/>
      <c r="AG8" s="277"/>
      <c r="AH8" s="277"/>
      <c r="AI8" s="277"/>
      <c r="AJ8" s="278"/>
      <c r="AK8" s="274"/>
      <c r="AL8" s="275">
        <f>MATCH(B8,'Key Findings'!B:B,0)</f>
        <v>4</v>
      </c>
      <c r="AM8" s="274" t="b">
        <f t="shared" si="1"/>
        <v>0</v>
      </c>
      <c r="AN8" s="276"/>
    </row>
    <row r="9">
      <c r="A9" s="196">
        <f t="array" ref="A9">INDEX('Federal Tax, Stock Buybacks, &amp; '!D:D,match(B9,'Federal Tax, Stock Buybacks, &amp; '!E:E,0))</f>
        <v>51.5</v>
      </c>
      <c r="B9" s="281" t="s">
        <v>13</v>
      </c>
      <c r="C9" s="282"/>
      <c r="D9" s="283"/>
      <c r="E9" s="284"/>
      <c r="F9" s="268"/>
      <c r="G9" s="282"/>
      <c r="H9" s="283"/>
      <c r="I9" s="284"/>
      <c r="J9" s="268"/>
      <c r="K9" s="282" t="s">
        <v>95</v>
      </c>
      <c r="L9" s="283" t="s">
        <v>1533</v>
      </c>
      <c r="M9" s="284">
        <v>2.9060048E7</v>
      </c>
      <c r="N9" s="268"/>
      <c r="O9" s="285" t="s">
        <v>95</v>
      </c>
      <c r="P9" s="286" t="s">
        <v>1533</v>
      </c>
      <c r="Q9" s="284">
        <v>2.2610659E7</v>
      </c>
      <c r="R9" s="268"/>
      <c r="S9" s="285" t="s">
        <v>95</v>
      </c>
      <c r="T9" s="286" t="s">
        <v>1533</v>
      </c>
      <c r="U9" s="284">
        <v>5.4914014E7</v>
      </c>
      <c r="V9" s="268"/>
      <c r="W9" s="285" t="s">
        <v>95</v>
      </c>
      <c r="X9" s="286" t="s">
        <v>1533</v>
      </c>
      <c r="Y9" s="284">
        <v>1.6369704E7</v>
      </c>
      <c r="Z9" s="268"/>
      <c r="AA9" s="285" t="s">
        <v>95</v>
      </c>
      <c r="AB9" s="286" t="s">
        <v>1533</v>
      </c>
      <c r="AC9" s="287">
        <v>3.5649372E7</v>
      </c>
      <c r="AD9" s="288"/>
      <c r="AE9" s="289">
        <v>2022.0</v>
      </c>
      <c r="AF9" s="289">
        <v>2021.0</v>
      </c>
      <c r="AG9" s="289">
        <v>2020.0</v>
      </c>
      <c r="AH9" s="289">
        <v>2019.0</v>
      </c>
      <c r="AI9" s="289">
        <v>2018.0</v>
      </c>
      <c r="AJ9" s="290" t="s">
        <v>1524</v>
      </c>
      <c r="AK9" s="260"/>
      <c r="AL9" s="259">
        <f>MATCH(B9,'Key Findings'!B:B,0)</f>
        <v>11</v>
      </c>
      <c r="AM9" s="260" t="b">
        <f t="shared" si="1"/>
        <v>1</v>
      </c>
      <c r="AN9" s="291" t="s">
        <v>1534</v>
      </c>
    </row>
    <row r="10">
      <c r="A10" s="196">
        <f t="array" ref="A10">INDEX('Federal Tax, Stock Buybacks, &amp; '!D:D,match(B10,'Federal Tax, Stock Buybacks, &amp; '!E:E,0))</f>
        <v>51.5</v>
      </c>
      <c r="B10" s="281" t="s">
        <v>13</v>
      </c>
      <c r="C10" s="282"/>
      <c r="D10" s="283"/>
      <c r="E10" s="284"/>
      <c r="F10" s="268"/>
      <c r="G10" s="282"/>
      <c r="H10" s="283"/>
      <c r="I10" s="284"/>
      <c r="J10" s="268"/>
      <c r="K10" s="282" t="s">
        <v>340</v>
      </c>
      <c r="L10" s="283" t="s">
        <v>1535</v>
      </c>
      <c r="M10" s="284">
        <v>1.0070254E7</v>
      </c>
      <c r="N10" s="268"/>
      <c r="O10" s="285" t="s">
        <v>340</v>
      </c>
      <c r="P10" s="286" t="s">
        <v>1535</v>
      </c>
      <c r="Q10" s="284">
        <v>7479731.0</v>
      </c>
      <c r="R10" s="268"/>
      <c r="S10" s="285" t="s">
        <v>340</v>
      </c>
      <c r="T10" s="286" t="s">
        <v>1535</v>
      </c>
      <c r="U10" s="284">
        <v>6103484.0</v>
      </c>
      <c r="V10" s="268"/>
      <c r="W10" s="285" t="s">
        <v>283</v>
      </c>
      <c r="X10" s="286" t="s">
        <v>1536</v>
      </c>
      <c r="Y10" s="284">
        <v>1.1175697E7</v>
      </c>
      <c r="Z10" s="268"/>
      <c r="AA10" s="285" t="s">
        <v>283</v>
      </c>
      <c r="AB10" s="286" t="s">
        <v>1536</v>
      </c>
      <c r="AC10" s="287">
        <v>2.5774898E7</v>
      </c>
      <c r="AD10" s="288"/>
      <c r="AE10" s="292"/>
      <c r="AF10" s="292"/>
      <c r="AG10" s="292"/>
      <c r="AH10" s="292"/>
      <c r="AI10" s="292"/>
      <c r="AJ10" s="293"/>
      <c r="AK10" s="260"/>
      <c r="AL10" s="259">
        <f>MATCH(B10,'Key Findings'!B:B,0)</f>
        <v>11</v>
      </c>
      <c r="AM10" s="260" t="b">
        <f t="shared" si="1"/>
        <v>1</v>
      </c>
      <c r="AN10" s="294"/>
    </row>
    <row r="11">
      <c r="A11" s="196">
        <f t="array" ref="A11">INDEX('Federal Tax, Stock Buybacks, &amp; '!D:D,match(B11,'Federal Tax, Stock Buybacks, &amp; '!E:E,0))</f>
        <v>51.5</v>
      </c>
      <c r="B11" s="281" t="s">
        <v>13</v>
      </c>
      <c r="C11" s="282"/>
      <c r="D11" s="283"/>
      <c r="E11" s="284"/>
      <c r="F11" s="268"/>
      <c r="G11" s="282"/>
      <c r="H11" s="283"/>
      <c r="I11" s="284"/>
      <c r="J11" s="268"/>
      <c r="K11" s="282" t="s">
        <v>283</v>
      </c>
      <c r="L11" s="283" t="s">
        <v>1537</v>
      </c>
      <c r="M11" s="284">
        <v>1.3103145E7</v>
      </c>
      <c r="N11" s="268"/>
      <c r="O11" s="285" t="s">
        <v>283</v>
      </c>
      <c r="P11" s="286" t="s">
        <v>1536</v>
      </c>
      <c r="Q11" s="284">
        <v>1.1547241E7</v>
      </c>
      <c r="R11" s="268"/>
      <c r="S11" s="285" t="s">
        <v>283</v>
      </c>
      <c r="T11" s="286" t="s">
        <v>1536</v>
      </c>
      <c r="U11" s="284">
        <v>3.3212469E7</v>
      </c>
      <c r="V11" s="268"/>
      <c r="W11" s="285" t="s">
        <v>89</v>
      </c>
      <c r="X11" s="286" t="s">
        <v>1523</v>
      </c>
      <c r="Y11" s="284">
        <v>2.775669E7</v>
      </c>
      <c r="Z11" s="268"/>
      <c r="AA11" s="285" t="s">
        <v>89</v>
      </c>
      <c r="AB11" s="286" t="s">
        <v>1523</v>
      </c>
      <c r="AC11" s="287">
        <v>6.6538207E7</v>
      </c>
      <c r="AD11" s="288"/>
      <c r="AE11" s="292"/>
      <c r="AF11" s="292"/>
      <c r="AG11" s="292"/>
      <c r="AH11" s="292"/>
      <c r="AI11" s="292"/>
      <c r="AJ11" s="293"/>
      <c r="AK11" s="260"/>
      <c r="AL11" s="259">
        <f>MATCH(B11,'Key Findings'!B:B,0)</f>
        <v>11</v>
      </c>
      <c r="AM11" s="260" t="b">
        <f t="shared" si="1"/>
        <v>1</v>
      </c>
      <c r="AN11" s="294"/>
    </row>
    <row r="12">
      <c r="A12" s="196">
        <f t="array" ref="A12">INDEX('Federal Tax, Stock Buybacks, &amp; '!D:D,match(B12,'Federal Tax, Stock Buybacks, &amp; '!E:E,0))</f>
        <v>51.5</v>
      </c>
      <c r="B12" s="281" t="s">
        <v>13</v>
      </c>
      <c r="C12" s="282"/>
      <c r="D12" s="283"/>
      <c r="E12" s="284"/>
      <c r="F12" s="268"/>
      <c r="G12" s="282"/>
      <c r="H12" s="283"/>
      <c r="I12" s="284"/>
      <c r="J12" s="268"/>
      <c r="K12" s="282" t="s">
        <v>333</v>
      </c>
      <c r="L12" s="283" t="s">
        <v>1538</v>
      </c>
      <c r="M12" s="284">
        <v>1.2478167E7</v>
      </c>
      <c r="N12" s="268"/>
      <c r="O12" s="285" t="s">
        <v>333</v>
      </c>
      <c r="P12" s="286" t="s">
        <v>1538</v>
      </c>
      <c r="Q12" s="284">
        <v>1.3819348E7</v>
      </c>
      <c r="R12" s="268"/>
      <c r="S12" s="285" t="s">
        <v>89</v>
      </c>
      <c r="T12" s="286" t="s">
        <v>1539</v>
      </c>
      <c r="U12" s="284">
        <v>1.37195887E8</v>
      </c>
      <c r="V12" s="268"/>
      <c r="W12" s="285" t="s">
        <v>308</v>
      </c>
      <c r="X12" s="295" t="s">
        <v>1540</v>
      </c>
      <c r="Y12" s="284">
        <v>7915575.0</v>
      </c>
      <c r="Z12" s="268"/>
      <c r="AA12" s="285" t="s">
        <v>308</v>
      </c>
      <c r="AB12" s="295" t="s">
        <v>1540</v>
      </c>
      <c r="AC12" s="287">
        <v>1.5853977E7</v>
      </c>
      <c r="AD12" s="288"/>
      <c r="AE12" s="292"/>
      <c r="AF12" s="292"/>
      <c r="AG12" s="292"/>
      <c r="AH12" s="292"/>
      <c r="AI12" s="292"/>
      <c r="AJ12" s="293"/>
      <c r="AK12" s="260"/>
      <c r="AL12" s="259">
        <f>MATCH(B12,'Key Findings'!B:B,0)</f>
        <v>11</v>
      </c>
      <c r="AM12" s="260" t="b">
        <f t="shared" si="1"/>
        <v>1</v>
      </c>
      <c r="AN12" s="294"/>
    </row>
    <row r="13">
      <c r="A13" s="196">
        <f t="array" ref="A13">INDEX('Federal Tax, Stock Buybacks, &amp; '!D:D,match(B13,'Federal Tax, Stock Buybacks, &amp; '!E:E,0))</f>
        <v>51.5</v>
      </c>
      <c r="B13" s="281" t="s">
        <v>13</v>
      </c>
      <c r="C13" s="282"/>
      <c r="D13" s="283"/>
      <c r="E13" s="284"/>
      <c r="F13" s="268"/>
      <c r="G13" s="282"/>
      <c r="H13" s="283"/>
      <c r="I13" s="284"/>
      <c r="J13" s="268"/>
      <c r="K13" s="282" t="s">
        <v>355</v>
      </c>
      <c r="L13" s="283" t="s">
        <v>1541</v>
      </c>
      <c r="M13" s="284">
        <v>7366043.0</v>
      </c>
      <c r="N13" s="268"/>
      <c r="O13" s="285" t="s">
        <v>355</v>
      </c>
      <c r="P13" s="286" t="s">
        <v>1541</v>
      </c>
      <c r="Q13" s="284">
        <v>5849873.0</v>
      </c>
      <c r="R13" s="268"/>
      <c r="S13" s="285" t="s">
        <v>355</v>
      </c>
      <c r="T13" s="286" t="s">
        <v>1541</v>
      </c>
      <c r="U13" s="284">
        <v>6508438.0</v>
      </c>
      <c r="V13" s="268"/>
      <c r="W13" s="285" t="s">
        <v>315</v>
      </c>
      <c r="X13" s="295" t="s">
        <v>1542</v>
      </c>
      <c r="Y13" s="284">
        <v>2.2276193E7</v>
      </c>
      <c r="Z13" s="268"/>
      <c r="AA13" s="285" t="s">
        <v>315</v>
      </c>
      <c r="AB13" s="295" t="s">
        <v>1542</v>
      </c>
      <c r="AC13" s="287">
        <v>8466524.0</v>
      </c>
      <c r="AD13" s="288"/>
      <c r="AE13" s="292"/>
      <c r="AF13" s="292"/>
      <c r="AG13" s="292"/>
      <c r="AH13" s="292"/>
      <c r="AI13" s="292"/>
      <c r="AJ13" s="293"/>
      <c r="AK13" s="260"/>
      <c r="AL13" s="259">
        <f>MATCH(B13,'Key Findings'!B:B,0)</f>
        <v>11</v>
      </c>
      <c r="AM13" s="260" t="b">
        <f t="shared" si="1"/>
        <v>1</v>
      </c>
      <c r="AN13" s="294"/>
    </row>
    <row r="14">
      <c r="A14" s="196">
        <f t="array" ref="A14">INDEX('Federal Tax, Stock Buybacks, &amp; '!D:D,match(B14,'Federal Tax, Stock Buybacks, &amp; '!E:E,0))</f>
        <v>51.5</v>
      </c>
      <c r="B14" s="281" t="s">
        <v>13</v>
      </c>
      <c r="C14" s="282"/>
      <c r="D14" s="283"/>
      <c r="E14" s="284"/>
      <c r="F14" s="268"/>
      <c r="G14" s="282"/>
      <c r="H14" s="283"/>
      <c r="I14" s="284"/>
      <c r="J14" s="268"/>
      <c r="K14" s="282" t="s">
        <v>425</v>
      </c>
      <c r="L14" s="283" t="s">
        <v>1543</v>
      </c>
      <c r="M14" s="284">
        <v>9290887.0</v>
      </c>
      <c r="N14" s="268"/>
      <c r="O14" s="285" t="s">
        <v>365</v>
      </c>
      <c r="P14" s="286" t="s">
        <v>1544</v>
      </c>
      <c r="Q14" s="284">
        <v>9753263.0</v>
      </c>
      <c r="R14" s="268"/>
      <c r="S14" s="285" t="s">
        <v>365</v>
      </c>
      <c r="T14" s="286" t="s">
        <v>1545</v>
      </c>
      <c r="U14" s="284">
        <v>7776377.0</v>
      </c>
      <c r="V14" s="268"/>
      <c r="W14" s="296" t="s">
        <v>711</v>
      </c>
      <c r="X14" s="296" t="s">
        <v>711</v>
      </c>
      <c r="Y14" s="297" t="s">
        <v>711</v>
      </c>
      <c r="Z14" s="268"/>
      <c r="AA14" s="296" t="s">
        <v>711</v>
      </c>
      <c r="AB14" s="296" t="s">
        <v>711</v>
      </c>
      <c r="AC14" s="297" t="s">
        <v>711</v>
      </c>
      <c r="AD14" s="288"/>
      <c r="AE14" s="292"/>
      <c r="AF14" s="292"/>
      <c r="AG14" s="292"/>
      <c r="AH14" s="292"/>
      <c r="AI14" s="292"/>
      <c r="AJ14" s="293"/>
      <c r="AK14" s="260"/>
      <c r="AL14" s="259">
        <f>MATCH(B14,'Key Findings'!B:B,0)</f>
        <v>11</v>
      </c>
      <c r="AM14" s="260" t="b">
        <f t="shared" si="1"/>
        <v>1</v>
      </c>
      <c r="AN14" s="294"/>
    </row>
    <row r="15">
      <c r="A15" s="196">
        <f t="array" ref="A15">INDEX('Federal Tax, Stock Buybacks, &amp; '!D:D,match(B15,'Federal Tax, Stock Buybacks, &amp; '!E:E,0))</f>
        <v>51.5</v>
      </c>
      <c r="B15" s="281" t="s">
        <v>13</v>
      </c>
      <c r="C15" s="298"/>
      <c r="D15" s="296"/>
      <c r="E15" s="297"/>
      <c r="F15" s="268"/>
      <c r="G15" s="298"/>
      <c r="H15" s="296"/>
      <c r="I15" s="297"/>
      <c r="J15" s="268"/>
      <c r="K15" s="298" t="s">
        <v>711</v>
      </c>
      <c r="L15" s="296" t="s">
        <v>711</v>
      </c>
      <c r="M15" s="297" t="s">
        <v>711</v>
      </c>
      <c r="N15" s="268"/>
      <c r="O15" s="296" t="s">
        <v>711</v>
      </c>
      <c r="P15" s="296" t="s">
        <v>711</v>
      </c>
      <c r="Q15" s="297" t="s">
        <v>711</v>
      </c>
      <c r="R15" s="268"/>
      <c r="S15" s="285" t="s">
        <v>308</v>
      </c>
      <c r="T15" s="295" t="s">
        <v>1546</v>
      </c>
      <c r="U15" s="284">
        <v>2.9847619E7</v>
      </c>
      <c r="V15" s="268"/>
      <c r="W15" s="296" t="s">
        <v>711</v>
      </c>
      <c r="X15" s="296" t="s">
        <v>711</v>
      </c>
      <c r="Y15" s="297" t="s">
        <v>711</v>
      </c>
      <c r="Z15" s="268"/>
      <c r="AA15" s="296" t="s">
        <v>711</v>
      </c>
      <c r="AB15" s="296" t="s">
        <v>711</v>
      </c>
      <c r="AC15" s="297" t="s">
        <v>711</v>
      </c>
      <c r="AD15" s="288"/>
      <c r="AE15" s="292"/>
      <c r="AF15" s="292"/>
      <c r="AG15" s="292"/>
      <c r="AH15" s="292"/>
      <c r="AI15" s="292"/>
      <c r="AJ15" s="293"/>
      <c r="AK15" s="260"/>
      <c r="AL15" s="259">
        <f>MATCH(B15,'Key Findings'!B:B,0)</f>
        <v>11</v>
      </c>
      <c r="AM15" s="260" t="b">
        <f t="shared" si="1"/>
        <v>1</v>
      </c>
      <c r="AN15" s="294"/>
    </row>
    <row r="16">
      <c r="A16" s="196">
        <f t="array" ref="A16">INDEX('Federal Tax, Stock Buybacks, &amp; '!D:D,match(B16,'Federal Tax, Stock Buybacks, &amp; '!E:E,0))</f>
        <v>51.5</v>
      </c>
      <c r="B16" s="281" t="s">
        <v>13</v>
      </c>
      <c r="C16" s="298"/>
      <c r="D16" s="296"/>
      <c r="E16" s="297"/>
      <c r="F16" s="268"/>
      <c r="G16" s="298"/>
      <c r="H16" s="296"/>
      <c r="I16" s="297"/>
      <c r="J16" s="268"/>
      <c r="K16" s="298" t="s">
        <v>711</v>
      </c>
      <c r="L16" s="296" t="s">
        <v>711</v>
      </c>
      <c r="M16" s="297" t="s">
        <v>711</v>
      </c>
      <c r="N16" s="268"/>
      <c r="O16" s="296" t="s">
        <v>711</v>
      </c>
      <c r="P16" s="296" t="s">
        <v>711</v>
      </c>
      <c r="Q16" s="297" t="s">
        <v>711</v>
      </c>
      <c r="R16" s="268"/>
      <c r="S16" s="285" t="s">
        <v>315</v>
      </c>
      <c r="T16" s="295" t="s">
        <v>1547</v>
      </c>
      <c r="U16" s="284">
        <v>9396212.0</v>
      </c>
      <c r="V16" s="268"/>
      <c r="W16" s="296" t="s">
        <v>711</v>
      </c>
      <c r="X16" s="296" t="s">
        <v>711</v>
      </c>
      <c r="Y16" s="297" t="s">
        <v>711</v>
      </c>
      <c r="Z16" s="268"/>
      <c r="AA16" s="296" t="s">
        <v>711</v>
      </c>
      <c r="AB16" s="296" t="s">
        <v>711</v>
      </c>
      <c r="AC16" s="297" t="s">
        <v>711</v>
      </c>
      <c r="AD16" s="288"/>
      <c r="AE16" s="292"/>
      <c r="AF16" s="292"/>
      <c r="AG16" s="292"/>
      <c r="AH16" s="292"/>
      <c r="AI16" s="292"/>
      <c r="AJ16" s="293"/>
      <c r="AK16" s="260"/>
      <c r="AL16" s="259">
        <f>MATCH(B16,'Key Findings'!B:B,0)</f>
        <v>11</v>
      </c>
      <c r="AM16" s="260" t="b">
        <f t="shared" si="1"/>
        <v>1</v>
      </c>
      <c r="AN16" s="294"/>
    </row>
    <row r="17">
      <c r="A17" s="299">
        <f t="array" ref="A17">INDEX('Federal Tax, Stock Buybacks, &amp; '!D:D,match(B17,'Federal Tax, Stock Buybacks, &amp; '!E:E,0))</f>
        <v>129</v>
      </c>
      <c r="B17" s="300" t="s">
        <v>16</v>
      </c>
      <c r="C17" s="301"/>
      <c r="D17" s="302"/>
      <c r="E17" s="303"/>
      <c r="F17" s="268"/>
      <c r="G17" s="301"/>
      <c r="H17" s="302"/>
      <c r="I17" s="303"/>
      <c r="J17" s="268"/>
      <c r="K17" s="301" t="s">
        <v>1548</v>
      </c>
      <c r="L17" s="302" t="s">
        <v>1549</v>
      </c>
      <c r="M17" s="303">
        <v>5.1073237E7</v>
      </c>
      <c r="N17" s="268"/>
      <c r="O17" s="304" t="s">
        <v>1548</v>
      </c>
      <c r="P17" s="302" t="s">
        <v>1549</v>
      </c>
      <c r="Q17" s="303">
        <v>4.0823725E7</v>
      </c>
      <c r="R17" s="268"/>
      <c r="S17" s="304" t="s">
        <v>1548</v>
      </c>
      <c r="T17" s="302" t="s">
        <v>1549</v>
      </c>
      <c r="U17" s="303">
        <v>4.3226024E7</v>
      </c>
      <c r="V17" s="268"/>
      <c r="W17" s="304" t="s">
        <v>1548</v>
      </c>
      <c r="X17" s="302" t="s">
        <v>1549</v>
      </c>
      <c r="Y17" s="305">
        <v>3.8577129E7</v>
      </c>
      <c r="Z17" s="268"/>
      <c r="AA17" s="304" t="s">
        <v>1548</v>
      </c>
      <c r="AB17" s="302" t="s">
        <v>1549</v>
      </c>
      <c r="AC17" s="305">
        <v>3.6080417E7</v>
      </c>
      <c r="AD17" s="306"/>
      <c r="AE17" s="307">
        <v>2022.0</v>
      </c>
      <c r="AF17" s="307">
        <v>2021.0</v>
      </c>
      <c r="AG17" s="307">
        <v>2020.0</v>
      </c>
      <c r="AH17" s="307">
        <v>2019.0</v>
      </c>
      <c r="AI17" s="307">
        <v>2018.0</v>
      </c>
      <c r="AJ17" s="273" t="s">
        <v>1524</v>
      </c>
      <c r="AK17" s="274"/>
      <c r="AL17" s="275">
        <f>MATCH(B17,'Key Findings'!B:B,0)</f>
        <v>12</v>
      </c>
      <c r="AM17" s="274" t="b">
        <f t="shared" si="1"/>
        <v>0</v>
      </c>
      <c r="AN17" s="291" t="s">
        <v>1550</v>
      </c>
    </row>
    <row r="18">
      <c r="A18" s="299">
        <f t="array" ref="A18">INDEX('Federal Tax, Stock Buybacks, &amp; '!D:D,match(B18,'Federal Tax, Stock Buybacks, &amp; '!E:E,0))</f>
        <v>129</v>
      </c>
      <c r="B18" s="300" t="s">
        <v>16</v>
      </c>
      <c r="C18" s="301"/>
      <c r="D18" s="302"/>
      <c r="E18" s="303"/>
      <c r="F18" s="268"/>
      <c r="G18" s="301"/>
      <c r="H18" s="302"/>
      <c r="I18" s="303"/>
      <c r="J18" s="268"/>
      <c r="K18" s="301" t="s">
        <v>93</v>
      </c>
      <c r="L18" s="302" t="s">
        <v>1551</v>
      </c>
      <c r="M18" s="303">
        <v>5.0299296E7</v>
      </c>
      <c r="N18" s="268"/>
      <c r="O18" s="304" t="s">
        <v>93</v>
      </c>
      <c r="P18" s="302" t="s">
        <v>1551</v>
      </c>
      <c r="Q18" s="303">
        <v>3.8232164E7</v>
      </c>
      <c r="R18" s="268"/>
      <c r="S18" s="304" t="s">
        <v>93</v>
      </c>
      <c r="T18" s="302" t="s">
        <v>1551</v>
      </c>
      <c r="U18" s="303">
        <v>3.9318251E7</v>
      </c>
      <c r="V18" s="268"/>
      <c r="W18" s="304" t="s">
        <v>93</v>
      </c>
      <c r="X18" s="302" t="s">
        <v>1551</v>
      </c>
      <c r="Y18" s="305">
        <v>3.4674399E7</v>
      </c>
      <c r="Z18" s="268"/>
      <c r="AA18" s="304" t="s">
        <v>93</v>
      </c>
      <c r="AB18" s="302" t="s">
        <v>1551</v>
      </c>
      <c r="AC18" s="305">
        <v>2.9647471E7</v>
      </c>
      <c r="AD18" s="306"/>
      <c r="AE18" s="308"/>
      <c r="AF18" s="308"/>
      <c r="AG18" s="308"/>
      <c r="AH18" s="308"/>
      <c r="AI18" s="308"/>
      <c r="AJ18" s="278"/>
      <c r="AK18" s="274"/>
      <c r="AL18" s="275">
        <f>MATCH(B18,'Key Findings'!B:B,0)</f>
        <v>12</v>
      </c>
      <c r="AM18" s="274" t="b">
        <f t="shared" si="1"/>
        <v>0</v>
      </c>
      <c r="AN18" s="294"/>
    </row>
    <row r="19">
      <c r="A19" s="299">
        <f t="array" ref="A19">INDEX('Federal Tax, Stock Buybacks, &amp; '!D:D,match(B19,'Federal Tax, Stock Buybacks, &amp; '!E:E,0))</f>
        <v>129</v>
      </c>
      <c r="B19" s="300" t="s">
        <v>16</v>
      </c>
      <c r="C19" s="301"/>
      <c r="D19" s="302"/>
      <c r="E19" s="303"/>
      <c r="F19" s="268"/>
      <c r="G19" s="301"/>
      <c r="H19" s="302"/>
      <c r="I19" s="303"/>
      <c r="J19" s="268"/>
      <c r="K19" s="301" t="s">
        <v>123</v>
      </c>
      <c r="L19" s="302" t="s">
        <v>1552</v>
      </c>
      <c r="M19" s="303">
        <v>2.8129263E7</v>
      </c>
      <c r="N19" s="268"/>
      <c r="O19" s="304" t="s">
        <v>123</v>
      </c>
      <c r="P19" s="302" t="s">
        <v>1552</v>
      </c>
      <c r="Q19" s="303">
        <v>2.0371393E7</v>
      </c>
      <c r="R19" s="268"/>
      <c r="S19" s="304" t="s">
        <v>123</v>
      </c>
      <c r="T19" s="302" t="s">
        <v>1552</v>
      </c>
      <c r="U19" s="303">
        <v>2.0805995E7</v>
      </c>
      <c r="V19" s="268"/>
      <c r="W19" s="304" t="s">
        <v>123</v>
      </c>
      <c r="X19" s="302" t="s">
        <v>1552</v>
      </c>
      <c r="Y19" s="305">
        <v>1.862871E7</v>
      </c>
      <c r="Z19" s="268"/>
      <c r="AA19" s="304" t="s">
        <v>123</v>
      </c>
      <c r="AB19" s="302" t="s">
        <v>1552</v>
      </c>
      <c r="AC19" s="305">
        <v>1.4818589E7</v>
      </c>
      <c r="AD19" s="306"/>
      <c r="AE19" s="308"/>
      <c r="AF19" s="308"/>
      <c r="AG19" s="308"/>
      <c r="AH19" s="308"/>
      <c r="AI19" s="308"/>
      <c r="AJ19" s="278"/>
      <c r="AK19" s="274"/>
      <c r="AL19" s="275">
        <f>MATCH(B19,'Key Findings'!B:B,0)</f>
        <v>12</v>
      </c>
      <c r="AM19" s="274" t="b">
        <f t="shared" si="1"/>
        <v>0</v>
      </c>
      <c r="AN19" s="294"/>
    </row>
    <row r="20">
      <c r="A20" s="299">
        <f t="array" ref="A20">INDEX('Federal Tax, Stock Buybacks, &amp; '!D:D,match(B20,'Federal Tax, Stock Buybacks, &amp; '!E:E,0))</f>
        <v>129</v>
      </c>
      <c r="B20" s="300" t="s">
        <v>16</v>
      </c>
      <c r="C20" s="301"/>
      <c r="D20" s="302"/>
      <c r="E20" s="303"/>
      <c r="F20" s="268"/>
      <c r="G20" s="301"/>
      <c r="H20" s="302"/>
      <c r="I20" s="303"/>
      <c r="J20" s="268"/>
      <c r="K20" s="301" t="s">
        <v>367</v>
      </c>
      <c r="L20" s="302" t="s">
        <v>1532</v>
      </c>
      <c r="M20" s="303">
        <v>1.7061489E7</v>
      </c>
      <c r="N20" s="268"/>
      <c r="O20" s="304" t="s">
        <v>367</v>
      </c>
      <c r="P20" s="302" t="s">
        <v>1532</v>
      </c>
      <c r="Q20" s="303">
        <v>1.2510696E7</v>
      </c>
      <c r="R20" s="268"/>
      <c r="S20" s="304" t="s">
        <v>367</v>
      </c>
      <c r="T20" s="302" t="s">
        <v>1532</v>
      </c>
      <c r="U20" s="303">
        <v>1.2939151E7</v>
      </c>
      <c r="V20" s="268"/>
      <c r="W20" s="304" t="s">
        <v>367</v>
      </c>
      <c r="X20" s="302" t="s">
        <v>1532</v>
      </c>
      <c r="Y20" s="305">
        <v>1.1982721E7</v>
      </c>
      <c r="Z20" s="268"/>
      <c r="AA20" s="309" t="s">
        <v>513</v>
      </c>
      <c r="AB20" s="302" t="s">
        <v>1553</v>
      </c>
      <c r="AC20" s="305">
        <v>6456568.0</v>
      </c>
      <c r="AD20" s="306"/>
      <c r="AE20" s="308"/>
      <c r="AF20" s="308"/>
      <c r="AG20" s="308"/>
      <c r="AH20" s="308"/>
      <c r="AI20" s="308"/>
      <c r="AJ20" s="278"/>
      <c r="AK20" s="274"/>
      <c r="AL20" s="275">
        <f>MATCH(B20,'Key Findings'!B:B,0)</f>
        <v>12</v>
      </c>
      <c r="AM20" s="274" t="b">
        <f t="shared" si="1"/>
        <v>0</v>
      </c>
      <c r="AN20" s="294"/>
    </row>
    <row r="21">
      <c r="A21" s="299">
        <f t="array" ref="A21">INDEX('Federal Tax, Stock Buybacks, &amp; '!D:D,match(B21,'Federal Tax, Stock Buybacks, &amp; '!E:E,0))</f>
        <v>129</v>
      </c>
      <c r="B21" s="300" t="s">
        <v>16</v>
      </c>
      <c r="C21" s="301"/>
      <c r="D21" s="302"/>
      <c r="E21" s="303"/>
      <c r="F21" s="268"/>
      <c r="G21" s="301"/>
      <c r="H21" s="302"/>
      <c r="I21" s="303"/>
      <c r="J21" s="268"/>
      <c r="K21" s="301" t="s">
        <v>164</v>
      </c>
      <c r="L21" s="302" t="s">
        <v>1554</v>
      </c>
      <c r="M21" s="303">
        <v>1.3250652E7</v>
      </c>
      <c r="N21" s="268"/>
      <c r="O21" s="304" t="s">
        <v>164</v>
      </c>
      <c r="P21" s="302" t="s">
        <v>1554</v>
      </c>
      <c r="Q21" s="303">
        <v>1.0177573E7</v>
      </c>
      <c r="R21" s="268"/>
      <c r="S21" s="304" t="s">
        <v>164</v>
      </c>
      <c r="T21" s="302" t="s">
        <v>1554</v>
      </c>
      <c r="U21" s="303">
        <v>1.0469347E7</v>
      </c>
      <c r="V21" s="268"/>
      <c r="W21" s="304" t="s">
        <v>164</v>
      </c>
      <c r="X21" s="302" t="s">
        <v>1554</v>
      </c>
      <c r="Y21" s="305">
        <v>8158679.0</v>
      </c>
      <c r="Z21" s="268"/>
      <c r="AA21" s="304" t="s">
        <v>164</v>
      </c>
      <c r="AB21" s="302" t="s">
        <v>1554</v>
      </c>
      <c r="AC21" s="305">
        <v>6426400.0</v>
      </c>
      <c r="AD21" s="306"/>
      <c r="AE21" s="308"/>
      <c r="AF21" s="308"/>
      <c r="AG21" s="308"/>
      <c r="AH21" s="308"/>
      <c r="AI21" s="308"/>
      <c r="AJ21" s="278"/>
      <c r="AK21" s="274"/>
      <c r="AL21" s="275">
        <f>MATCH(B21,'Key Findings'!B:B,0)</f>
        <v>12</v>
      </c>
      <c r="AM21" s="274" t="b">
        <f t="shared" si="1"/>
        <v>0</v>
      </c>
      <c r="AN21" s="291" t="s">
        <v>1555</v>
      </c>
    </row>
    <row r="22">
      <c r="A22" s="299">
        <f t="array" ref="A22">INDEX('Federal Tax, Stock Buybacks, &amp; '!D:D,match(B22,'Federal Tax, Stock Buybacks, &amp; '!E:E,0))</f>
        <v>129</v>
      </c>
      <c r="B22" s="300" t="s">
        <v>16</v>
      </c>
      <c r="C22" s="310"/>
      <c r="D22" s="302"/>
      <c r="E22" s="303"/>
      <c r="F22" s="268"/>
      <c r="G22" s="310"/>
      <c r="H22" s="302"/>
      <c r="I22" s="303"/>
      <c r="J22" s="268"/>
      <c r="K22" s="310" t="s">
        <v>492</v>
      </c>
      <c r="L22" s="302" t="s">
        <v>1556</v>
      </c>
      <c r="M22" s="303">
        <v>6904506.0</v>
      </c>
      <c r="N22" s="268"/>
      <c r="O22" s="311" t="s">
        <v>492</v>
      </c>
      <c r="P22" s="302" t="s">
        <v>1556</v>
      </c>
      <c r="Q22" s="303">
        <v>5329418.0</v>
      </c>
      <c r="R22" s="268"/>
      <c r="S22" s="311" t="s">
        <v>492</v>
      </c>
      <c r="T22" s="302" t="s">
        <v>1556</v>
      </c>
      <c r="U22" s="303">
        <v>5356099.0</v>
      </c>
      <c r="V22" s="268"/>
      <c r="W22" s="309" t="s">
        <v>513</v>
      </c>
      <c r="X22" s="302" t="s">
        <v>1557</v>
      </c>
      <c r="Y22" s="305">
        <v>9224520.0</v>
      </c>
      <c r="Z22" s="268"/>
      <c r="AA22" s="309" t="s">
        <v>563</v>
      </c>
      <c r="AB22" s="302" t="s">
        <v>1532</v>
      </c>
      <c r="AC22" s="312">
        <v>5838711.0</v>
      </c>
      <c r="AD22" s="306"/>
      <c r="AE22" s="308"/>
      <c r="AF22" s="308"/>
      <c r="AG22" s="308"/>
      <c r="AH22" s="308"/>
      <c r="AI22" s="308"/>
      <c r="AJ22" s="278"/>
      <c r="AK22" s="274"/>
      <c r="AL22" s="275">
        <f>MATCH(B22,'Key Findings'!B:B,0)</f>
        <v>12</v>
      </c>
      <c r="AM22" s="274" t="b">
        <f t="shared" si="1"/>
        <v>0</v>
      </c>
      <c r="AN22" s="294"/>
    </row>
    <row r="23">
      <c r="A23" s="299">
        <f t="array" ref="A23">INDEX('Federal Tax, Stock Buybacks, &amp; '!D:D,match(B23,'Federal Tax, Stock Buybacks, &amp; '!E:E,0))</f>
        <v>129</v>
      </c>
      <c r="B23" s="300" t="s">
        <v>16</v>
      </c>
      <c r="C23" s="313"/>
      <c r="D23" s="314"/>
      <c r="E23" s="315"/>
      <c r="F23" s="268"/>
      <c r="G23" s="313"/>
      <c r="H23" s="314"/>
      <c r="I23" s="315"/>
      <c r="J23" s="268"/>
      <c r="K23" s="313" t="s">
        <v>711</v>
      </c>
      <c r="L23" s="314" t="s">
        <v>711</v>
      </c>
      <c r="M23" s="315" t="s">
        <v>711</v>
      </c>
      <c r="N23" s="268"/>
      <c r="O23" s="314" t="s">
        <v>711</v>
      </c>
      <c r="P23" s="314" t="s">
        <v>711</v>
      </c>
      <c r="Q23" s="315" t="s">
        <v>711</v>
      </c>
      <c r="R23" s="268"/>
      <c r="S23" s="314" t="s">
        <v>711</v>
      </c>
      <c r="T23" s="314" t="s">
        <v>711</v>
      </c>
      <c r="U23" s="315" t="s">
        <v>711</v>
      </c>
      <c r="V23" s="268"/>
      <c r="W23" s="309" t="s">
        <v>563</v>
      </c>
      <c r="X23" s="302" t="s">
        <v>1528</v>
      </c>
      <c r="Y23" s="305">
        <v>5132582.0</v>
      </c>
      <c r="Z23" s="268"/>
      <c r="AA23" s="314" t="s">
        <v>711</v>
      </c>
      <c r="AB23" s="314" t="s">
        <v>711</v>
      </c>
      <c r="AC23" s="315" t="s">
        <v>711</v>
      </c>
      <c r="AD23" s="306"/>
      <c r="AE23" s="308"/>
      <c r="AF23" s="308"/>
      <c r="AG23" s="308"/>
      <c r="AH23" s="308"/>
      <c r="AI23" s="308"/>
      <c r="AJ23" s="278"/>
      <c r="AK23" s="274"/>
      <c r="AL23" s="275">
        <f>MATCH(B23,'Key Findings'!B:B,0)</f>
        <v>12</v>
      </c>
      <c r="AM23" s="274" t="b">
        <f t="shared" si="1"/>
        <v>0</v>
      </c>
      <c r="AN23" s="294"/>
    </row>
    <row r="24">
      <c r="A24" s="299">
        <f t="array" ref="A24">INDEX('Federal Tax, Stock Buybacks, &amp; '!D:D,match(B24,'Federal Tax, Stock Buybacks, &amp; '!E:E,0))</f>
        <v>133</v>
      </c>
      <c r="B24" s="281" t="s">
        <v>29</v>
      </c>
      <c r="C24" s="316"/>
      <c r="D24" s="317"/>
      <c r="E24" s="318"/>
      <c r="F24" s="268"/>
      <c r="G24" s="316"/>
      <c r="H24" s="317"/>
      <c r="I24" s="318"/>
      <c r="J24" s="268"/>
      <c r="K24" s="316" t="s">
        <v>99</v>
      </c>
      <c r="L24" s="317" t="s">
        <v>1558</v>
      </c>
      <c r="M24" s="318">
        <v>2.9868893E7</v>
      </c>
      <c r="N24" s="268"/>
      <c r="O24" s="285" t="s">
        <v>99</v>
      </c>
      <c r="P24" s="317" t="s">
        <v>1558</v>
      </c>
      <c r="Q24" s="319">
        <v>2.8602112E7</v>
      </c>
      <c r="R24" s="268"/>
      <c r="S24" s="285" t="s">
        <v>99</v>
      </c>
      <c r="T24" s="317" t="s">
        <v>1558</v>
      </c>
      <c r="U24" s="284">
        <v>2.5740775E7</v>
      </c>
      <c r="V24" s="268"/>
      <c r="W24" s="285" t="s">
        <v>99</v>
      </c>
      <c r="X24" s="317" t="s">
        <v>1558</v>
      </c>
      <c r="Y24" s="284">
        <v>2.5969494E7</v>
      </c>
      <c r="Z24" s="268"/>
      <c r="AA24" s="285" t="s">
        <v>99</v>
      </c>
      <c r="AB24" s="317" t="s">
        <v>1558</v>
      </c>
      <c r="AC24" s="287">
        <v>2.8391846E7</v>
      </c>
      <c r="AD24" s="288"/>
      <c r="AE24" s="289">
        <v>2022.0</v>
      </c>
      <c r="AF24" s="289">
        <v>2021.0</v>
      </c>
      <c r="AG24" s="289">
        <v>2020.0</v>
      </c>
      <c r="AH24" s="289">
        <v>2019.0</v>
      </c>
      <c r="AI24" s="289">
        <v>2018.0</v>
      </c>
      <c r="AJ24" s="320" t="s">
        <v>1524</v>
      </c>
      <c r="AK24" s="260"/>
      <c r="AL24" s="259">
        <f>MATCH(B24,'Key Findings'!B:B,0)</f>
        <v>13</v>
      </c>
      <c r="AM24" s="260" t="b">
        <f t="shared" si="1"/>
        <v>1</v>
      </c>
      <c r="AN24" s="291" t="s">
        <v>1559</v>
      </c>
    </row>
    <row r="25">
      <c r="A25" s="299">
        <f t="array" ref="A25">INDEX('Federal Tax, Stock Buybacks, &amp; '!D:D,match(B25,'Federal Tax, Stock Buybacks, &amp; '!E:E,0))</f>
        <v>133</v>
      </c>
      <c r="B25" s="281" t="s">
        <v>29</v>
      </c>
      <c r="C25" s="316"/>
      <c r="D25" s="317"/>
      <c r="E25" s="318"/>
      <c r="F25" s="268"/>
      <c r="G25" s="316"/>
      <c r="H25" s="317"/>
      <c r="I25" s="318"/>
      <c r="J25" s="268"/>
      <c r="K25" s="316" t="s">
        <v>160</v>
      </c>
      <c r="L25" s="317" t="s">
        <v>1560</v>
      </c>
      <c r="M25" s="318">
        <v>2.6792798E7</v>
      </c>
      <c r="N25" s="268"/>
      <c r="O25" s="285" t="s">
        <v>160</v>
      </c>
      <c r="P25" s="317" t="s">
        <v>1560</v>
      </c>
      <c r="Q25" s="319">
        <v>2.2794415E7</v>
      </c>
      <c r="R25" s="268"/>
      <c r="S25" s="285" t="s">
        <v>160</v>
      </c>
      <c r="T25" s="317" t="s">
        <v>1561</v>
      </c>
      <c r="U25" s="284">
        <v>1.3919121E7</v>
      </c>
      <c r="V25" s="268"/>
      <c r="W25" s="285" t="s">
        <v>160</v>
      </c>
      <c r="X25" s="317" t="s">
        <v>1561</v>
      </c>
      <c r="Y25" s="284">
        <v>1.1944513E7</v>
      </c>
      <c r="Z25" s="268"/>
      <c r="AA25" s="285" t="s">
        <v>160</v>
      </c>
      <c r="AB25" s="317" t="s">
        <v>1561</v>
      </c>
      <c r="AC25" s="287">
        <v>1.1816489E7</v>
      </c>
      <c r="AD25" s="288"/>
      <c r="AE25" s="321"/>
      <c r="AF25" s="321"/>
      <c r="AG25" s="321"/>
      <c r="AH25" s="321"/>
      <c r="AI25" s="321"/>
      <c r="AJ25" s="320"/>
      <c r="AK25" s="260"/>
      <c r="AL25" s="259">
        <f>MATCH(B25,'Key Findings'!B:B,0)</f>
        <v>13</v>
      </c>
      <c r="AM25" s="260" t="b">
        <f t="shared" si="1"/>
        <v>1</v>
      </c>
      <c r="AN25" s="322" t="s">
        <v>1562</v>
      </c>
    </row>
    <row r="26">
      <c r="A26" s="299">
        <f t="array" ref="A26">INDEX('Federal Tax, Stock Buybacks, &amp; '!D:D,match(B26,'Federal Tax, Stock Buybacks, &amp; '!E:E,0))</f>
        <v>133</v>
      </c>
      <c r="B26" s="281" t="s">
        <v>29</v>
      </c>
      <c r="C26" s="316"/>
      <c r="D26" s="317"/>
      <c r="E26" s="318"/>
      <c r="F26" s="268"/>
      <c r="G26" s="316"/>
      <c r="H26" s="317"/>
      <c r="I26" s="318"/>
      <c r="J26" s="268"/>
      <c r="K26" s="316" t="s">
        <v>211</v>
      </c>
      <c r="L26" s="317" t="s">
        <v>1563</v>
      </c>
      <c r="M26" s="318">
        <v>1.5700157E7</v>
      </c>
      <c r="N26" s="268"/>
      <c r="O26" s="285" t="s">
        <v>211</v>
      </c>
      <c r="P26" s="317" t="s">
        <v>1563</v>
      </c>
      <c r="Q26" s="319">
        <v>1.400026E7</v>
      </c>
      <c r="R26" s="268"/>
      <c r="S26" s="285" t="s">
        <v>211</v>
      </c>
      <c r="T26" s="317" t="s">
        <v>1563</v>
      </c>
      <c r="U26" s="284">
        <v>1.2911164E7</v>
      </c>
      <c r="V26" s="268"/>
      <c r="W26" s="285" t="s">
        <v>211</v>
      </c>
      <c r="X26" s="317" t="s">
        <v>1563</v>
      </c>
      <c r="Y26" s="284">
        <v>1.3000762E7</v>
      </c>
      <c r="Z26" s="268"/>
      <c r="AA26" s="285" t="s">
        <v>218</v>
      </c>
      <c r="AB26" s="317" t="s">
        <v>1564</v>
      </c>
      <c r="AC26" s="287">
        <v>1.2309491E7</v>
      </c>
      <c r="AD26" s="288"/>
      <c r="AE26" s="321"/>
      <c r="AF26" s="321"/>
      <c r="AG26" s="321"/>
      <c r="AH26" s="321"/>
      <c r="AI26" s="321"/>
      <c r="AJ26" s="320"/>
      <c r="AK26" s="260"/>
      <c r="AL26" s="259">
        <f>MATCH(B26,'Key Findings'!B:B,0)</f>
        <v>13</v>
      </c>
      <c r="AM26" s="260" t="b">
        <f t="shared" si="1"/>
        <v>1</v>
      </c>
      <c r="AN26" s="291" t="s">
        <v>1565</v>
      </c>
    </row>
    <row r="27">
      <c r="A27" s="299">
        <f t="array" ref="A27">INDEX('Federal Tax, Stock Buybacks, &amp; '!D:D,match(B27,'Federal Tax, Stock Buybacks, &amp; '!E:E,0))</f>
        <v>133</v>
      </c>
      <c r="B27" s="281" t="s">
        <v>29</v>
      </c>
      <c r="C27" s="316"/>
      <c r="D27" s="317"/>
      <c r="E27" s="318"/>
      <c r="F27" s="268"/>
      <c r="G27" s="316"/>
      <c r="H27" s="317"/>
      <c r="I27" s="318"/>
      <c r="J27" s="268"/>
      <c r="K27" s="316" t="s">
        <v>218</v>
      </c>
      <c r="L27" s="317" t="s">
        <v>1564</v>
      </c>
      <c r="M27" s="318">
        <v>1.5705157E7</v>
      </c>
      <c r="N27" s="268"/>
      <c r="O27" s="285" t="s">
        <v>218</v>
      </c>
      <c r="P27" s="317" t="s">
        <v>1564</v>
      </c>
      <c r="Q27" s="319">
        <v>1.4005427E7</v>
      </c>
      <c r="R27" s="268"/>
      <c r="S27" s="285" t="s">
        <v>218</v>
      </c>
      <c r="T27" s="317" t="s">
        <v>1564</v>
      </c>
      <c r="U27" s="284">
        <v>1.3070781E7</v>
      </c>
      <c r="V27" s="268"/>
      <c r="W27" s="285" t="s">
        <v>218</v>
      </c>
      <c r="X27" s="317" t="s">
        <v>1564</v>
      </c>
      <c r="Y27" s="284">
        <v>1.1805669E7</v>
      </c>
      <c r="Z27" s="268"/>
      <c r="AA27" s="285" t="s">
        <v>379</v>
      </c>
      <c r="AB27" s="317" t="s">
        <v>1566</v>
      </c>
      <c r="AC27" s="287">
        <v>1.6961156E7</v>
      </c>
      <c r="AD27" s="288"/>
      <c r="AE27" s="321"/>
      <c r="AF27" s="321"/>
      <c r="AG27" s="321"/>
      <c r="AH27" s="321"/>
      <c r="AI27" s="321"/>
      <c r="AJ27" s="320"/>
      <c r="AK27" s="260"/>
      <c r="AL27" s="259">
        <f>MATCH(B27,'Key Findings'!B:B,0)</f>
        <v>13</v>
      </c>
      <c r="AM27" s="260" t="b">
        <f t="shared" si="1"/>
        <v>1</v>
      </c>
      <c r="AN27" s="294"/>
    </row>
    <row r="28">
      <c r="A28" s="299">
        <f t="array" ref="A28">INDEX('Federal Tax, Stock Buybacks, &amp; '!D:D,match(B28,'Federal Tax, Stock Buybacks, &amp; '!E:E,0))</f>
        <v>133</v>
      </c>
      <c r="B28" s="281" t="s">
        <v>29</v>
      </c>
      <c r="C28" s="316"/>
      <c r="D28" s="317"/>
      <c r="E28" s="318"/>
      <c r="F28" s="268"/>
      <c r="G28" s="316"/>
      <c r="H28" s="317"/>
      <c r="I28" s="318"/>
      <c r="J28" s="268"/>
      <c r="K28" s="316" t="s">
        <v>398</v>
      </c>
      <c r="L28" s="317" t="s">
        <v>1567</v>
      </c>
      <c r="M28" s="318">
        <v>1.5707474E7</v>
      </c>
      <c r="N28" s="268"/>
      <c r="O28" s="285" t="s">
        <v>398</v>
      </c>
      <c r="P28" s="317" t="s">
        <v>1568</v>
      </c>
      <c r="Q28" s="319">
        <v>1.4043514E7</v>
      </c>
      <c r="R28" s="268"/>
      <c r="S28" s="285" t="s">
        <v>379</v>
      </c>
      <c r="T28" s="317" t="s">
        <v>1569</v>
      </c>
      <c r="U28" s="284">
        <v>1232157.0</v>
      </c>
      <c r="V28" s="268"/>
      <c r="W28" s="285" t="s">
        <v>379</v>
      </c>
      <c r="X28" s="317" t="s">
        <v>1566</v>
      </c>
      <c r="Y28" s="284">
        <v>1.9310896E7</v>
      </c>
      <c r="Z28" s="268"/>
      <c r="AA28" s="285" t="s">
        <v>389</v>
      </c>
      <c r="AB28" s="317" t="s">
        <v>1570</v>
      </c>
      <c r="AC28" s="287">
        <v>9806715.0</v>
      </c>
      <c r="AD28" s="288"/>
      <c r="AE28" s="321"/>
      <c r="AF28" s="321"/>
      <c r="AG28" s="321"/>
      <c r="AH28" s="321"/>
      <c r="AI28" s="321"/>
      <c r="AJ28" s="320"/>
      <c r="AK28" s="260"/>
      <c r="AL28" s="259">
        <f>MATCH(B28,'Key Findings'!B:B,0)</f>
        <v>13</v>
      </c>
      <c r="AM28" s="260" t="b">
        <f t="shared" si="1"/>
        <v>1</v>
      </c>
      <c r="AN28" s="294"/>
    </row>
    <row r="29">
      <c r="A29" s="299">
        <f t="array" ref="A29">INDEX('Federal Tax, Stock Buybacks, &amp; '!D:D,match(B29,'Federal Tax, Stock Buybacks, &amp; '!E:E,0))</f>
        <v>133</v>
      </c>
      <c r="B29" s="281" t="s">
        <v>29</v>
      </c>
      <c r="C29" s="316"/>
      <c r="D29" s="317"/>
      <c r="E29" s="318"/>
      <c r="F29" s="268"/>
      <c r="G29" s="316"/>
      <c r="H29" s="317"/>
      <c r="I29" s="318"/>
      <c r="J29" s="268"/>
      <c r="K29" s="316" t="s">
        <v>468</v>
      </c>
      <c r="L29" s="317" t="s">
        <v>1571</v>
      </c>
      <c r="M29" s="318">
        <v>1.6581688E7</v>
      </c>
      <c r="N29" s="268"/>
      <c r="O29" s="285" t="s">
        <v>396</v>
      </c>
      <c r="P29" s="317" t="s">
        <v>1572</v>
      </c>
      <c r="Q29" s="319">
        <v>1.4128609E7</v>
      </c>
      <c r="R29" s="268"/>
      <c r="S29" s="285" t="s">
        <v>396</v>
      </c>
      <c r="T29" s="317" t="s">
        <v>1572</v>
      </c>
      <c r="U29" s="284">
        <v>1.6149952E7</v>
      </c>
      <c r="V29" s="268"/>
      <c r="W29" s="285" t="s">
        <v>389</v>
      </c>
      <c r="X29" s="317" t="s">
        <v>1570</v>
      </c>
      <c r="Y29" s="284">
        <v>1.2033564E7</v>
      </c>
      <c r="Z29" s="268"/>
      <c r="AA29" s="285" t="s">
        <v>211</v>
      </c>
      <c r="AB29" s="317" t="s">
        <v>1573</v>
      </c>
      <c r="AC29" s="287">
        <v>1.2000571E7</v>
      </c>
      <c r="AD29" s="288"/>
      <c r="AE29" s="321"/>
      <c r="AF29" s="321"/>
      <c r="AG29" s="321"/>
      <c r="AH29" s="321"/>
      <c r="AI29" s="321"/>
      <c r="AJ29" s="320"/>
      <c r="AK29" s="260"/>
      <c r="AL29" s="259">
        <f>MATCH(B29,'Key Findings'!B:B,0)</f>
        <v>13</v>
      </c>
      <c r="AM29" s="260" t="b">
        <f t="shared" si="1"/>
        <v>1</v>
      </c>
      <c r="AN29" s="294"/>
    </row>
    <row r="30">
      <c r="A30" s="299">
        <f t="array" ref="A30">INDEX('Federal Tax, Stock Buybacks, &amp; '!D:D,match(B30,'Federal Tax, Stock Buybacks, &amp; '!E:E,0))</f>
        <v>133</v>
      </c>
      <c r="B30" s="281" t="s">
        <v>29</v>
      </c>
      <c r="C30" s="298"/>
      <c r="D30" s="296"/>
      <c r="E30" s="297"/>
      <c r="F30" s="268"/>
      <c r="G30" s="298"/>
      <c r="H30" s="296"/>
      <c r="I30" s="297"/>
      <c r="J30" s="268"/>
      <c r="K30" s="298" t="s">
        <v>711</v>
      </c>
      <c r="L30" s="296" t="s">
        <v>711</v>
      </c>
      <c r="M30" s="297" t="s">
        <v>711</v>
      </c>
      <c r="N30" s="268"/>
      <c r="O30" s="296" t="s">
        <v>711</v>
      </c>
      <c r="P30" s="296" t="s">
        <v>711</v>
      </c>
      <c r="Q30" s="297" t="s">
        <v>711</v>
      </c>
      <c r="R30" s="268"/>
      <c r="S30" s="285" t="s">
        <v>389</v>
      </c>
      <c r="T30" s="317" t="s">
        <v>1574</v>
      </c>
      <c r="U30" s="284">
        <v>1.19149E7</v>
      </c>
      <c r="V30" s="268"/>
      <c r="W30" s="296" t="s">
        <v>711</v>
      </c>
      <c r="X30" s="296" t="s">
        <v>711</v>
      </c>
      <c r="Y30" s="297" t="s">
        <v>711</v>
      </c>
      <c r="Z30" s="268"/>
      <c r="AA30" s="296" t="s">
        <v>711</v>
      </c>
      <c r="AB30" s="296" t="s">
        <v>711</v>
      </c>
      <c r="AC30" s="297" t="s">
        <v>711</v>
      </c>
      <c r="AD30" s="288"/>
      <c r="AE30" s="321"/>
      <c r="AF30" s="321"/>
      <c r="AG30" s="321"/>
      <c r="AH30" s="321"/>
      <c r="AI30" s="321"/>
      <c r="AJ30" s="320"/>
      <c r="AK30" s="260"/>
      <c r="AL30" s="259">
        <f>MATCH(B30,'Key Findings'!B:B,0)</f>
        <v>13</v>
      </c>
      <c r="AM30" s="260" t="b">
        <f t="shared" si="1"/>
        <v>1</v>
      </c>
      <c r="AN30" s="294"/>
    </row>
    <row r="31">
      <c r="A31" s="299">
        <f t="array" ref="A31">INDEX('Federal Tax, Stock Buybacks, &amp; '!D:D,match(B31,'Federal Tax, Stock Buybacks, &amp; '!E:E,0))</f>
        <v>76</v>
      </c>
      <c r="B31" s="323" t="s">
        <v>14</v>
      </c>
      <c r="C31" s="323"/>
      <c r="D31" s="323"/>
      <c r="E31" s="324"/>
      <c r="F31" s="268"/>
      <c r="G31" s="323"/>
      <c r="H31" s="323"/>
      <c r="I31" s="324"/>
      <c r="J31" s="268"/>
      <c r="K31" s="323" t="s">
        <v>261</v>
      </c>
      <c r="L31" s="323" t="s">
        <v>1575</v>
      </c>
      <c r="M31" s="324">
        <v>8881597.0</v>
      </c>
      <c r="N31" s="268"/>
      <c r="O31" s="271" t="s">
        <v>261</v>
      </c>
      <c r="P31" s="271" t="s">
        <v>1576</v>
      </c>
      <c r="Q31" s="324">
        <v>8005245.0</v>
      </c>
      <c r="R31" s="268"/>
      <c r="S31" s="271" t="s">
        <v>314</v>
      </c>
      <c r="T31" s="271" t="s">
        <v>1577</v>
      </c>
      <c r="U31" s="324">
        <v>8666267.0</v>
      </c>
      <c r="V31" s="268"/>
      <c r="W31" s="271" t="s">
        <v>261</v>
      </c>
      <c r="X31" s="271" t="s">
        <v>1576</v>
      </c>
      <c r="Y31" s="324">
        <v>8294833.0</v>
      </c>
      <c r="Z31" s="268"/>
      <c r="AA31" s="271" t="s">
        <v>261</v>
      </c>
      <c r="AB31" s="271" t="s">
        <v>1576</v>
      </c>
      <c r="AC31" s="324">
        <v>9121469.0</v>
      </c>
      <c r="AD31" s="271"/>
      <c r="AE31" s="272">
        <v>2022.0</v>
      </c>
      <c r="AF31" s="272">
        <v>2021.0</v>
      </c>
      <c r="AG31" s="272">
        <v>2020.0</v>
      </c>
      <c r="AH31" s="272">
        <v>2019.0</v>
      </c>
      <c r="AI31" s="272">
        <v>2018.0</v>
      </c>
      <c r="AJ31" s="325" t="s">
        <v>1578</v>
      </c>
      <c r="AK31" s="300"/>
      <c r="AL31" s="275">
        <f>MATCH(B31,'Key Findings'!B:B,0)</f>
        <v>5</v>
      </c>
      <c r="AM31" s="274" t="b">
        <f t="shared" si="1"/>
        <v>1</v>
      </c>
      <c r="AN31" s="276"/>
    </row>
    <row r="32">
      <c r="A32" s="299">
        <f t="array" ref="A32">INDEX('Federal Tax, Stock Buybacks, &amp; '!D:D,match(B32,'Federal Tax, Stock Buybacks, &amp; '!E:E,0))</f>
        <v>76</v>
      </c>
      <c r="B32" s="323" t="s">
        <v>14</v>
      </c>
      <c r="C32" s="323"/>
      <c r="D32" s="323"/>
      <c r="E32" s="324"/>
      <c r="F32" s="268"/>
      <c r="G32" s="323"/>
      <c r="H32" s="323"/>
      <c r="I32" s="324"/>
      <c r="J32" s="268"/>
      <c r="K32" s="323" t="s">
        <v>97</v>
      </c>
      <c r="L32" s="323" t="s">
        <v>1579</v>
      </c>
      <c r="M32" s="324">
        <v>7.5314199E7</v>
      </c>
      <c r="N32" s="268"/>
      <c r="O32" s="271" t="s">
        <v>314</v>
      </c>
      <c r="P32" s="271" t="s">
        <v>1580</v>
      </c>
      <c r="Q32" s="324">
        <v>1.5510315E7</v>
      </c>
      <c r="R32" s="268"/>
      <c r="S32" s="271" t="s">
        <v>305</v>
      </c>
      <c r="T32" s="271" t="s">
        <v>1581</v>
      </c>
      <c r="U32" s="324">
        <v>1.8810374E7</v>
      </c>
      <c r="V32" s="268"/>
      <c r="W32" s="271" t="s">
        <v>314</v>
      </c>
      <c r="X32" s="271" t="s">
        <v>1577</v>
      </c>
      <c r="Y32" s="324">
        <v>1.0545619E7</v>
      </c>
      <c r="Z32" s="268"/>
      <c r="AA32" s="271" t="s">
        <v>314</v>
      </c>
      <c r="AB32" s="271" t="s">
        <v>1577</v>
      </c>
      <c r="AC32" s="267">
        <v>9707396.0</v>
      </c>
      <c r="AD32" s="271"/>
      <c r="AE32" s="277"/>
      <c r="AF32" s="277"/>
      <c r="AG32" s="277"/>
      <c r="AH32" s="277"/>
      <c r="AI32" s="277"/>
      <c r="AJ32" s="326"/>
      <c r="AK32" s="300"/>
      <c r="AL32" s="275">
        <f>MATCH(B32,'Key Findings'!B:B,0)</f>
        <v>5</v>
      </c>
      <c r="AM32" s="274" t="b">
        <f t="shared" si="1"/>
        <v>1</v>
      </c>
      <c r="AN32" s="327" t="s">
        <v>1582</v>
      </c>
    </row>
    <row r="33">
      <c r="A33" s="299">
        <f t="array" ref="A33">INDEX('Federal Tax, Stock Buybacks, &amp; '!D:D,match(B33,'Federal Tax, Stock Buybacks, &amp; '!E:E,0))</f>
        <v>76</v>
      </c>
      <c r="B33" s="323" t="s">
        <v>14</v>
      </c>
      <c r="C33" s="323"/>
      <c r="D33" s="323"/>
      <c r="E33" s="324"/>
      <c r="F33" s="268"/>
      <c r="G33" s="323"/>
      <c r="H33" s="323"/>
      <c r="I33" s="324"/>
      <c r="J33" s="268"/>
      <c r="K33" s="323" t="s">
        <v>335</v>
      </c>
      <c r="L33" s="323" t="s">
        <v>1583</v>
      </c>
      <c r="M33" s="324">
        <v>1.06033E7</v>
      </c>
      <c r="N33" s="268"/>
      <c r="O33" s="271" t="s">
        <v>305</v>
      </c>
      <c r="P33" s="271" t="s">
        <v>1584</v>
      </c>
      <c r="Q33" s="324">
        <v>1.3969537E7</v>
      </c>
      <c r="R33" s="268"/>
      <c r="S33" s="271" t="s">
        <v>326</v>
      </c>
      <c r="T33" s="271" t="s">
        <v>1585</v>
      </c>
      <c r="U33" s="324">
        <v>1.0236456E7</v>
      </c>
      <c r="V33" s="268"/>
      <c r="W33" s="271" t="s">
        <v>305</v>
      </c>
      <c r="X33" s="271" t="s">
        <v>1581</v>
      </c>
      <c r="Y33" s="324">
        <v>1.9369637E7</v>
      </c>
      <c r="Z33" s="268"/>
      <c r="AA33" s="271" t="s">
        <v>479</v>
      </c>
      <c r="AB33" s="271" t="s">
        <v>1528</v>
      </c>
      <c r="AC33" s="324">
        <v>6598362.0</v>
      </c>
      <c r="AD33" s="271"/>
      <c r="AE33" s="277"/>
      <c r="AF33" s="277"/>
      <c r="AG33" s="277"/>
      <c r="AH33" s="277"/>
      <c r="AI33" s="277"/>
      <c r="AJ33" s="326"/>
      <c r="AK33" s="300"/>
      <c r="AL33" s="275">
        <f>MATCH(B33,'Key Findings'!B:B,0)</f>
        <v>5</v>
      </c>
      <c r="AM33" s="274" t="b">
        <f t="shared" si="1"/>
        <v>1</v>
      </c>
      <c r="AN33" s="276"/>
    </row>
    <row r="34">
      <c r="A34" s="299">
        <f t="array" ref="A34">INDEX('Federal Tax, Stock Buybacks, &amp; '!D:D,match(B34,'Federal Tax, Stock Buybacks, &amp; '!E:E,0))</f>
        <v>76</v>
      </c>
      <c r="B34" s="323" t="s">
        <v>14</v>
      </c>
      <c r="C34" s="323"/>
      <c r="D34" s="323"/>
      <c r="E34" s="324"/>
      <c r="F34" s="268"/>
      <c r="G34" s="323"/>
      <c r="H34" s="323"/>
      <c r="I34" s="324"/>
      <c r="J34" s="268"/>
      <c r="K34" s="323" t="s">
        <v>358</v>
      </c>
      <c r="L34" s="323" t="s">
        <v>1586</v>
      </c>
      <c r="M34" s="324">
        <v>9300122.0</v>
      </c>
      <c r="N34" s="268"/>
      <c r="O34" s="271" t="s">
        <v>326</v>
      </c>
      <c r="P34" s="271" t="s">
        <v>1587</v>
      </c>
      <c r="Q34" s="324">
        <v>8757188.0</v>
      </c>
      <c r="R34" s="268"/>
      <c r="S34" s="271" t="s">
        <v>97</v>
      </c>
      <c r="T34" s="271" t="s">
        <v>1588</v>
      </c>
      <c r="U34" s="324">
        <v>2.4066986E7</v>
      </c>
      <c r="V34" s="268"/>
      <c r="W34" s="271" t="s">
        <v>326</v>
      </c>
      <c r="X34" s="271" t="s">
        <v>1585</v>
      </c>
      <c r="Y34" s="324">
        <v>7755130.0</v>
      </c>
      <c r="Z34" s="268"/>
      <c r="AA34" s="271" t="s">
        <v>305</v>
      </c>
      <c r="AB34" s="271" t="s">
        <v>1588</v>
      </c>
      <c r="AC34" s="324">
        <v>2.0854669E7</v>
      </c>
      <c r="AD34" s="271"/>
      <c r="AE34" s="277"/>
      <c r="AF34" s="277"/>
      <c r="AG34" s="277"/>
      <c r="AH34" s="277"/>
      <c r="AI34" s="277"/>
      <c r="AJ34" s="326"/>
      <c r="AK34" s="300"/>
      <c r="AL34" s="275">
        <f>MATCH(B34,'Key Findings'!B:B,0)</f>
        <v>5</v>
      </c>
      <c r="AM34" s="274" t="b">
        <f t="shared" si="1"/>
        <v>1</v>
      </c>
      <c r="AN34" s="276"/>
    </row>
    <row r="35">
      <c r="A35" s="299">
        <f t="array" ref="A35">INDEX('Federal Tax, Stock Buybacks, &amp; '!D:D,match(B35,'Federal Tax, Stock Buybacks, &amp; '!E:E,0))</f>
        <v>76</v>
      </c>
      <c r="B35" s="323" t="s">
        <v>14</v>
      </c>
      <c r="C35" s="323"/>
      <c r="D35" s="323"/>
      <c r="E35" s="324"/>
      <c r="F35" s="268"/>
      <c r="G35" s="323"/>
      <c r="H35" s="323"/>
      <c r="I35" s="324"/>
      <c r="J35" s="268"/>
      <c r="K35" s="323" t="s">
        <v>456</v>
      </c>
      <c r="L35" s="323" t="s">
        <v>1535</v>
      </c>
      <c r="M35" s="324">
        <v>7563617.0</v>
      </c>
      <c r="N35" s="268"/>
      <c r="O35" s="271" t="s">
        <v>97</v>
      </c>
      <c r="P35" s="271" t="s">
        <v>1588</v>
      </c>
      <c r="Q35" s="324">
        <v>2.190522E7</v>
      </c>
      <c r="R35" s="268"/>
      <c r="S35" s="271" t="s">
        <v>335</v>
      </c>
      <c r="T35" s="271" t="s">
        <v>1583</v>
      </c>
      <c r="U35" s="324">
        <v>8592190.0</v>
      </c>
      <c r="V35" s="268"/>
      <c r="W35" s="271" t="s">
        <v>97</v>
      </c>
      <c r="X35" s="271" t="s">
        <v>1589</v>
      </c>
      <c r="Y35" s="324">
        <v>1.8388334E7</v>
      </c>
      <c r="Z35" s="268"/>
      <c r="AA35" s="271" t="s">
        <v>326</v>
      </c>
      <c r="AB35" s="271" t="s">
        <v>1585</v>
      </c>
      <c r="AC35" s="324">
        <v>4759888.0</v>
      </c>
      <c r="AD35" s="271"/>
      <c r="AE35" s="277"/>
      <c r="AF35" s="277"/>
      <c r="AG35" s="277"/>
      <c r="AH35" s="277"/>
      <c r="AI35" s="277"/>
      <c r="AJ35" s="326"/>
      <c r="AK35" s="300"/>
      <c r="AL35" s="275">
        <f>MATCH(B35,'Key Findings'!B:B,0)</f>
        <v>5</v>
      </c>
      <c r="AM35" s="274" t="b">
        <f t="shared" si="1"/>
        <v>1</v>
      </c>
      <c r="AN35" s="276"/>
    </row>
    <row r="36">
      <c r="A36" s="299">
        <f t="array" ref="A36">INDEX('Federal Tax, Stock Buybacks, &amp; '!D:D,match(B36,'Federal Tax, Stock Buybacks, &amp; '!E:E,0))</f>
        <v>76</v>
      </c>
      <c r="B36" s="323" t="s">
        <v>14</v>
      </c>
      <c r="C36" s="328"/>
      <c r="D36" s="328"/>
      <c r="E36" s="324"/>
      <c r="F36" s="268"/>
      <c r="G36" s="328"/>
      <c r="H36" s="328"/>
      <c r="I36" s="324"/>
      <c r="J36" s="268"/>
      <c r="K36" s="328" t="s">
        <v>711</v>
      </c>
      <c r="L36" s="328" t="s">
        <v>711</v>
      </c>
      <c r="M36" s="324" t="s">
        <v>711</v>
      </c>
      <c r="N36" s="268"/>
      <c r="O36" s="271" t="s">
        <v>335</v>
      </c>
      <c r="P36" s="271" t="s">
        <v>1583</v>
      </c>
      <c r="Q36" s="324">
        <v>8761904.0</v>
      </c>
      <c r="R36" s="268"/>
      <c r="S36" s="271" t="s">
        <v>261</v>
      </c>
      <c r="T36" s="271" t="s">
        <v>1576</v>
      </c>
      <c r="U36" s="324">
        <v>7832913.0</v>
      </c>
      <c r="V36" s="268"/>
      <c r="W36" s="329" t="s">
        <v>711</v>
      </c>
      <c r="X36" s="329" t="s">
        <v>711</v>
      </c>
      <c r="Y36" s="324" t="s">
        <v>711</v>
      </c>
      <c r="Z36" s="268"/>
      <c r="AA36" s="271" t="s">
        <v>97</v>
      </c>
      <c r="AB36" s="271" t="s">
        <v>1590</v>
      </c>
      <c r="AC36" s="324">
        <v>1.2620459E7</v>
      </c>
      <c r="AD36" s="271"/>
      <c r="AE36" s="277"/>
      <c r="AF36" s="277"/>
      <c r="AG36" s="277"/>
      <c r="AH36" s="277"/>
      <c r="AI36" s="277"/>
      <c r="AJ36" s="326"/>
      <c r="AK36" s="300"/>
      <c r="AL36" s="275">
        <f>MATCH(B36,'Key Findings'!B:B,0)</f>
        <v>5</v>
      </c>
      <c r="AM36" s="274" t="b">
        <f t="shared" si="1"/>
        <v>1</v>
      </c>
      <c r="AN36" s="330" t="s">
        <v>1591</v>
      </c>
    </row>
    <row r="37">
      <c r="A37" s="299">
        <f t="array" ref="A37">INDEX('Federal Tax, Stock Buybacks, &amp; '!D:D,match(B37,'Federal Tax, Stock Buybacks, &amp; '!E:E,0))</f>
        <v>76</v>
      </c>
      <c r="B37" s="323" t="s">
        <v>14</v>
      </c>
      <c r="C37" s="328"/>
      <c r="D37" s="328"/>
      <c r="E37" s="324"/>
      <c r="F37" s="268"/>
      <c r="G37" s="328"/>
      <c r="H37" s="328"/>
      <c r="I37" s="324"/>
      <c r="J37" s="268"/>
      <c r="K37" s="328" t="s">
        <v>711</v>
      </c>
      <c r="L37" s="328" t="s">
        <v>711</v>
      </c>
      <c r="M37" s="324" t="s">
        <v>711</v>
      </c>
      <c r="N37" s="268"/>
      <c r="O37" s="271" t="s">
        <v>358</v>
      </c>
      <c r="P37" s="271" t="s">
        <v>1586</v>
      </c>
      <c r="Q37" s="324">
        <v>1.1349902E7</v>
      </c>
      <c r="R37" s="268"/>
      <c r="S37" s="329" t="s">
        <v>711</v>
      </c>
      <c r="T37" s="329" t="s">
        <v>711</v>
      </c>
      <c r="U37" s="324" t="s">
        <v>711</v>
      </c>
      <c r="V37" s="268"/>
      <c r="W37" s="329" t="s">
        <v>711</v>
      </c>
      <c r="X37" s="329" t="s">
        <v>711</v>
      </c>
      <c r="Y37" s="324" t="s">
        <v>711</v>
      </c>
      <c r="Z37" s="268"/>
      <c r="AA37" s="329" t="s">
        <v>711</v>
      </c>
      <c r="AB37" s="329" t="s">
        <v>711</v>
      </c>
      <c r="AC37" s="324" t="s">
        <v>711</v>
      </c>
      <c r="AD37" s="271"/>
      <c r="AE37" s="277"/>
      <c r="AF37" s="277"/>
      <c r="AG37" s="277"/>
      <c r="AH37" s="277"/>
      <c r="AI37" s="277"/>
      <c r="AJ37" s="326"/>
      <c r="AK37" s="300"/>
      <c r="AL37" s="275">
        <f>MATCH(B37,'Key Findings'!B:B,0)</f>
        <v>5</v>
      </c>
      <c r="AM37" s="274" t="b">
        <f t="shared" si="1"/>
        <v>1</v>
      </c>
      <c r="AN37" s="276"/>
    </row>
    <row r="38">
      <c r="A38" s="169">
        <f t="array" ref="A38">INDEX('Federal Tax, Stock Buybacks, &amp; '!D:D,match(B38,'Federal Tax, Stock Buybacks, &amp; '!E:E,0))</f>
        <v>187</v>
      </c>
      <c r="B38" s="281" t="s">
        <v>12</v>
      </c>
      <c r="C38" s="282"/>
      <c r="D38" s="283"/>
      <c r="E38" s="284"/>
      <c r="F38" s="268"/>
      <c r="G38" s="282"/>
      <c r="H38" s="283"/>
      <c r="I38" s="284"/>
      <c r="J38" s="268"/>
      <c r="K38" s="282" t="s">
        <v>103</v>
      </c>
      <c r="L38" s="283" t="s">
        <v>1592</v>
      </c>
      <c r="M38" s="284">
        <v>4.0406018E7</v>
      </c>
      <c r="N38" s="268"/>
      <c r="O38" s="285" t="s">
        <v>103</v>
      </c>
      <c r="P38" s="286" t="s">
        <v>1593</v>
      </c>
      <c r="Q38" s="284">
        <v>2.5335936E7</v>
      </c>
      <c r="R38" s="268"/>
      <c r="S38" s="285" t="s">
        <v>103</v>
      </c>
      <c r="T38" s="286" t="s">
        <v>1593</v>
      </c>
      <c r="U38" s="284">
        <v>2.3720707E7</v>
      </c>
      <c r="V38" s="268"/>
      <c r="W38" s="285" t="s">
        <v>103</v>
      </c>
      <c r="X38" s="286" t="s">
        <v>1593</v>
      </c>
      <c r="Y38" s="284">
        <v>2.1877597E7</v>
      </c>
      <c r="Z38" s="268"/>
      <c r="AA38" s="285" t="s">
        <v>103</v>
      </c>
      <c r="AB38" s="286" t="s">
        <v>1593</v>
      </c>
      <c r="AC38" s="287">
        <v>2.1358742E7</v>
      </c>
      <c r="AD38" s="288"/>
      <c r="AE38" s="331">
        <v>2022.0</v>
      </c>
      <c r="AF38" s="331">
        <v>2021.0</v>
      </c>
      <c r="AG38" s="331">
        <v>2020.0</v>
      </c>
      <c r="AH38" s="331">
        <v>2019.0</v>
      </c>
      <c r="AI38" s="331">
        <v>2018.0</v>
      </c>
      <c r="AJ38" s="332" t="s">
        <v>1524</v>
      </c>
      <c r="AK38" s="260"/>
      <c r="AL38" s="259">
        <f>MATCH(B38,'Key Findings'!B:B,0)</f>
        <v>17</v>
      </c>
      <c r="AM38" s="260" t="b">
        <f t="shared" si="1"/>
        <v>1</v>
      </c>
      <c r="AN38" s="333"/>
    </row>
    <row r="39">
      <c r="A39" s="169">
        <f t="array" ref="A39">INDEX('Federal Tax, Stock Buybacks, &amp; '!D:D,match(B39,'Federal Tax, Stock Buybacks, &amp; '!E:E,0))</f>
        <v>187</v>
      </c>
      <c r="B39" s="281" t="s">
        <v>12</v>
      </c>
      <c r="C39" s="282"/>
      <c r="D39" s="283"/>
      <c r="E39" s="284"/>
      <c r="F39" s="268"/>
      <c r="G39" s="282"/>
      <c r="H39" s="283"/>
      <c r="I39" s="284"/>
      <c r="J39" s="268"/>
      <c r="K39" s="282" t="s">
        <v>385</v>
      </c>
      <c r="L39" s="283" t="s">
        <v>1594</v>
      </c>
      <c r="M39" s="284">
        <v>6028560.0</v>
      </c>
      <c r="N39" s="268"/>
      <c r="O39" s="285" t="s">
        <v>385</v>
      </c>
      <c r="P39" s="286" t="s">
        <v>1594</v>
      </c>
      <c r="Q39" s="284">
        <v>1.0762145E7</v>
      </c>
      <c r="R39" s="268"/>
      <c r="S39" s="285" t="s">
        <v>385</v>
      </c>
      <c r="T39" s="286" t="s">
        <v>1594</v>
      </c>
      <c r="U39" s="284">
        <v>5194368.0</v>
      </c>
      <c r="V39" s="268"/>
      <c r="W39" s="285" t="s">
        <v>459</v>
      </c>
      <c r="X39" s="295" t="s">
        <v>1595</v>
      </c>
      <c r="Y39" s="284">
        <v>7122222.0</v>
      </c>
      <c r="Z39" s="268"/>
      <c r="AA39" s="285" t="s">
        <v>459</v>
      </c>
      <c r="AB39" s="334" t="s">
        <v>1596</v>
      </c>
      <c r="AC39" s="287">
        <v>6664449.0</v>
      </c>
      <c r="AD39" s="288"/>
      <c r="AE39" s="292"/>
      <c r="AF39" s="292"/>
      <c r="AG39" s="292"/>
      <c r="AH39" s="292"/>
      <c r="AI39" s="335"/>
      <c r="AJ39" s="293"/>
      <c r="AK39" s="260"/>
      <c r="AL39" s="259">
        <f>MATCH(B39,'Key Findings'!B:B,0)</f>
        <v>17</v>
      </c>
      <c r="AM39" s="260" t="b">
        <f t="shared" si="1"/>
        <v>1</v>
      </c>
      <c r="AN39" s="333"/>
    </row>
    <row r="40">
      <c r="A40" s="169">
        <f t="array" ref="A40">INDEX('Federal Tax, Stock Buybacks, &amp; '!D:D,match(B40,'Federal Tax, Stock Buybacks, &amp; '!E:E,0))</f>
        <v>187</v>
      </c>
      <c r="B40" s="281" t="s">
        <v>12</v>
      </c>
      <c r="C40" s="282"/>
      <c r="D40" s="283"/>
      <c r="E40" s="284"/>
      <c r="F40" s="268"/>
      <c r="G40" s="282"/>
      <c r="H40" s="283"/>
      <c r="I40" s="284"/>
      <c r="J40" s="268"/>
      <c r="K40" s="282" t="s">
        <v>162</v>
      </c>
      <c r="L40" s="283" t="s">
        <v>1597</v>
      </c>
      <c r="M40" s="284">
        <v>1.4021037E7</v>
      </c>
      <c r="N40" s="268"/>
      <c r="O40" s="285" t="s">
        <v>162</v>
      </c>
      <c r="P40" s="286" t="s">
        <v>1597</v>
      </c>
      <c r="Q40" s="284">
        <v>1.5553964E7</v>
      </c>
      <c r="R40" s="268"/>
      <c r="S40" s="285" t="s">
        <v>162</v>
      </c>
      <c r="T40" s="286" t="s">
        <v>1597</v>
      </c>
      <c r="U40" s="284">
        <v>8801904.0</v>
      </c>
      <c r="V40" s="268"/>
      <c r="W40" s="285" t="s">
        <v>486</v>
      </c>
      <c r="X40" s="295" t="s">
        <v>1598</v>
      </c>
      <c r="Y40" s="284">
        <v>5829339.0</v>
      </c>
      <c r="Z40" s="268"/>
      <c r="AA40" s="285" t="s">
        <v>162</v>
      </c>
      <c r="AB40" s="286" t="s">
        <v>1599</v>
      </c>
      <c r="AC40" s="287">
        <v>6601310.0</v>
      </c>
      <c r="AD40" s="288"/>
      <c r="AE40" s="292"/>
      <c r="AF40" s="292"/>
      <c r="AG40" s="292"/>
      <c r="AH40" s="292"/>
      <c r="AI40" s="292"/>
      <c r="AJ40" s="293"/>
      <c r="AK40" s="260"/>
      <c r="AL40" s="259">
        <f>MATCH(B40,'Key Findings'!B:B,0)</f>
        <v>17</v>
      </c>
      <c r="AM40" s="260" t="b">
        <f t="shared" si="1"/>
        <v>1</v>
      </c>
      <c r="AN40" s="333"/>
    </row>
    <row r="41">
      <c r="A41" s="169">
        <f t="array" ref="A41">INDEX('Federal Tax, Stock Buybacks, &amp; '!D:D,match(B41,'Federal Tax, Stock Buybacks, &amp; '!E:E,0))</f>
        <v>187</v>
      </c>
      <c r="B41" s="281" t="s">
        <v>12</v>
      </c>
      <c r="C41" s="282"/>
      <c r="D41" s="283"/>
      <c r="E41" s="284"/>
      <c r="F41" s="268"/>
      <c r="G41" s="282"/>
      <c r="H41" s="283"/>
      <c r="I41" s="284"/>
      <c r="J41" s="268"/>
      <c r="K41" s="282" t="s">
        <v>140</v>
      </c>
      <c r="L41" s="283" t="s">
        <v>1600</v>
      </c>
      <c r="M41" s="284">
        <v>1.7414329E7</v>
      </c>
      <c r="N41" s="268"/>
      <c r="O41" s="285" t="s">
        <v>140</v>
      </c>
      <c r="P41" s="286" t="s">
        <v>1600</v>
      </c>
      <c r="Q41" s="284">
        <v>1.5507153E7</v>
      </c>
      <c r="R41" s="268"/>
      <c r="S41" s="285" t="s">
        <v>140</v>
      </c>
      <c r="T41" s="286" t="s">
        <v>1600</v>
      </c>
      <c r="U41" s="284">
        <v>7518782.0</v>
      </c>
      <c r="V41" s="268"/>
      <c r="W41" s="285" t="s">
        <v>385</v>
      </c>
      <c r="X41" s="295" t="s">
        <v>1594</v>
      </c>
      <c r="Y41" s="284">
        <v>4735111.0</v>
      </c>
      <c r="Z41" s="268"/>
      <c r="AA41" s="285" t="s">
        <v>486</v>
      </c>
      <c r="AB41" s="295" t="s">
        <v>1598</v>
      </c>
      <c r="AC41" s="287">
        <v>5707539.0</v>
      </c>
      <c r="AD41" s="288"/>
      <c r="AE41" s="292"/>
      <c r="AF41" s="292"/>
      <c r="AG41" s="292"/>
      <c r="AH41" s="292"/>
      <c r="AI41" s="292"/>
      <c r="AJ41" s="293"/>
      <c r="AK41" s="260"/>
      <c r="AL41" s="259">
        <f>MATCH(B41,'Key Findings'!B:B,0)</f>
        <v>17</v>
      </c>
      <c r="AM41" s="260" t="b">
        <f t="shared" si="1"/>
        <v>1</v>
      </c>
      <c r="AN41" s="333"/>
    </row>
    <row r="42">
      <c r="A42" s="169">
        <f t="array" ref="A42">INDEX('Federal Tax, Stock Buybacks, &amp; '!D:D,match(B42,'Federal Tax, Stock Buybacks, &amp; '!E:E,0))</f>
        <v>187</v>
      </c>
      <c r="B42" s="281" t="s">
        <v>12</v>
      </c>
      <c r="C42" s="282"/>
      <c r="D42" s="336"/>
      <c r="E42" s="284"/>
      <c r="F42" s="268"/>
      <c r="G42" s="282"/>
      <c r="H42" s="336"/>
      <c r="I42" s="284"/>
      <c r="J42" s="268"/>
      <c r="K42" s="282" t="s">
        <v>381</v>
      </c>
      <c r="L42" s="336" t="s">
        <v>1601</v>
      </c>
      <c r="M42" s="284">
        <v>1.0001836E7</v>
      </c>
      <c r="N42" s="268"/>
      <c r="O42" s="285" t="s">
        <v>381</v>
      </c>
      <c r="P42" s="337" t="s">
        <v>1601</v>
      </c>
      <c r="Q42" s="284">
        <v>1.1444178E7</v>
      </c>
      <c r="R42" s="268"/>
      <c r="S42" s="285" t="s">
        <v>381</v>
      </c>
      <c r="T42" s="337" t="s">
        <v>1601</v>
      </c>
      <c r="U42" s="284">
        <v>4304706.0</v>
      </c>
      <c r="V42" s="268"/>
      <c r="W42" s="285" t="s">
        <v>162</v>
      </c>
      <c r="X42" s="286" t="s">
        <v>1597</v>
      </c>
      <c r="Y42" s="284">
        <v>7646500.0</v>
      </c>
      <c r="Z42" s="268"/>
      <c r="AA42" s="285" t="s">
        <v>140</v>
      </c>
      <c r="AB42" s="286" t="s">
        <v>1600</v>
      </c>
      <c r="AC42" s="284">
        <v>4978069.0</v>
      </c>
      <c r="AD42" s="288"/>
      <c r="AE42" s="292"/>
      <c r="AF42" s="292"/>
      <c r="AG42" s="292"/>
      <c r="AH42" s="292"/>
      <c r="AI42" s="292"/>
      <c r="AJ42" s="293"/>
      <c r="AK42" s="260"/>
      <c r="AL42" s="259">
        <f>MATCH(B42,'Key Findings'!B:B,0)</f>
        <v>17</v>
      </c>
      <c r="AM42" s="260" t="b">
        <f t="shared" si="1"/>
        <v>1</v>
      </c>
      <c r="AN42" s="141" t="s">
        <v>1602</v>
      </c>
    </row>
    <row r="43">
      <c r="A43" s="169">
        <f t="array" ref="A43">INDEX('Federal Tax, Stock Buybacks, &amp; '!D:D,match(B43,'Federal Tax, Stock Buybacks, &amp; '!E:E,0))</f>
        <v>187</v>
      </c>
      <c r="B43" s="281" t="s">
        <v>12</v>
      </c>
      <c r="C43" s="282"/>
      <c r="D43" s="283"/>
      <c r="E43" s="284"/>
      <c r="F43" s="268"/>
      <c r="G43" s="282"/>
      <c r="H43" s="283"/>
      <c r="I43" s="284"/>
      <c r="J43" s="268"/>
      <c r="K43" s="282" t="s">
        <v>624</v>
      </c>
      <c r="L43" s="283" t="s">
        <v>1603</v>
      </c>
      <c r="M43" s="284">
        <v>3626837.0</v>
      </c>
      <c r="N43" s="268"/>
      <c r="O43" s="296" t="s">
        <v>711</v>
      </c>
      <c r="P43" s="296" t="s">
        <v>711</v>
      </c>
      <c r="Q43" s="297" t="s">
        <v>711</v>
      </c>
      <c r="R43" s="268"/>
      <c r="S43" s="296" t="s">
        <v>711</v>
      </c>
      <c r="T43" s="296" t="s">
        <v>711</v>
      </c>
      <c r="U43" s="297" t="s">
        <v>711</v>
      </c>
      <c r="V43" s="268"/>
      <c r="W43" s="285" t="s">
        <v>140</v>
      </c>
      <c r="X43" s="286" t="s">
        <v>1600</v>
      </c>
      <c r="Y43" s="284">
        <v>6150815.0</v>
      </c>
      <c r="Z43" s="268"/>
      <c r="AA43" s="296" t="s">
        <v>711</v>
      </c>
      <c r="AB43" s="296" t="s">
        <v>711</v>
      </c>
      <c r="AC43" s="297" t="s">
        <v>711</v>
      </c>
      <c r="AD43" s="288"/>
      <c r="AE43" s="292"/>
      <c r="AF43" s="292"/>
      <c r="AG43" s="292"/>
      <c r="AH43" s="292"/>
      <c r="AI43" s="292"/>
      <c r="AJ43" s="293"/>
      <c r="AK43" s="260"/>
      <c r="AL43" s="259">
        <f>MATCH(B43,'Key Findings'!B:B,0)</f>
        <v>17</v>
      </c>
      <c r="AM43" s="260" t="b">
        <f t="shared" si="1"/>
        <v>1</v>
      </c>
      <c r="AN43" s="333"/>
    </row>
    <row r="44">
      <c r="A44" s="169">
        <f t="array" ref="A44">INDEX('Federal Tax, Stock Buybacks, &amp; '!D:D,match(B44,'Federal Tax, Stock Buybacks, &amp; '!E:E,0))</f>
        <v>187</v>
      </c>
      <c r="B44" s="281" t="s">
        <v>12</v>
      </c>
      <c r="C44" s="282"/>
      <c r="D44" s="283"/>
      <c r="E44" s="284"/>
      <c r="F44" s="268"/>
      <c r="G44" s="282"/>
      <c r="H44" s="283"/>
      <c r="I44" s="284"/>
      <c r="J44" s="268"/>
      <c r="K44" s="282" t="s">
        <v>631</v>
      </c>
      <c r="L44" s="283" t="s">
        <v>1604</v>
      </c>
      <c r="M44" s="284">
        <v>3296195.0</v>
      </c>
      <c r="N44" s="268"/>
      <c r="O44" s="296" t="s">
        <v>711</v>
      </c>
      <c r="P44" s="296" t="s">
        <v>711</v>
      </c>
      <c r="Q44" s="297" t="s">
        <v>711</v>
      </c>
      <c r="R44" s="268"/>
      <c r="S44" s="296" t="s">
        <v>711</v>
      </c>
      <c r="T44" s="296" t="s">
        <v>711</v>
      </c>
      <c r="U44" s="297" t="s">
        <v>711</v>
      </c>
      <c r="V44" s="268"/>
      <c r="W44" s="285" t="s">
        <v>381</v>
      </c>
      <c r="X44" s="337" t="s">
        <v>1601</v>
      </c>
      <c r="Y44" s="284">
        <v>3212797.0</v>
      </c>
      <c r="Z44" s="268"/>
      <c r="AA44" s="296" t="s">
        <v>711</v>
      </c>
      <c r="AB44" s="296" t="s">
        <v>711</v>
      </c>
      <c r="AC44" s="297" t="s">
        <v>711</v>
      </c>
      <c r="AD44" s="288"/>
      <c r="AE44" s="292"/>
      <c r="AF44" s="292"/>
      <c r="AG44" s="292"/>
      <c r="AH44" s="292"/>
      <c r="AI44" s="292"/>
      <c r="AJ44" s="293"/>
      <c r="AK44" s="260"/>
      <c r="AL44" s="259">
        <f>MATCH(B44,'Key Findings'!B:B,0)</f>
        <v>17</v>
      </c>
      <c r="AM44" s="260" t="b">
        <f t="shared" si="1"/>
        <v>1</v>
      </c>
      <c r="AN44" s="333"/>
    </row>
    <row r="45">
      <c r="A45" s="299">
        <f t="array" ref="A45">INDEX('Federal Tax, Stock Buybacks, &amp; '!D:D,match(B45,'Federal Tax, Stock Buybacks, &amp; '!E:E,0))</f>
        <v>19</v>
      </c>
      <c r="B45" s="338" t="s">
        <v>24</v>
      </c>
      <c r="C45" s="339"/>
      <c r="D45" s="340"/>
      <c r="E45" s="305"/>
      <c r="F45" s="268"/>
      <c r="G45" s="339"/>
      <c r="H45" s="340"/>
      <c r="I45" s="305"/>
      <c r="J45" s="268"/>
      <c r="K45" s="339" t="s">
        <v>221</v>
      </c>
      <c r="L45" s="340" t="s">
        <v>1605</v>
      </c>
      <c r="M45" s="305">
        <v>1.7302266E7</v>
      </c>
      <c r="N45" s="268"/>
      <c r="O45" s="341" t="s">
        <v>221</v>
      </c>
      <c r="P45" s="341" t="s">
        <v>1605</v>
      </c>
      <c r="Q45" s="342">
        <v>1.8662706E7</v>
      </c>
      <c r="R45" s="268"/>
      <c r="S45" s="304" t="s">
        <v>221</v>
      </c>
      <c r="T45" s="304" t="s">
        <v>1606</v>
      </c>
      <c r="U45" s="305">
        <v>1.6046542E7</v>
      </c>
      <c r="V45" s="268"/>
      <c r="W45" s="304" t="s">
        <v>221</v>
      </c>
      <c r="X45" s="304" t="s">
        <v>1606</v>
      </c>
      <c r="Y45" s="305">
        <v>1.675725E7</v>
      </c>
      <c r="Z45" s="268"/>
      <c r="AA45" s="304" t="s">
        <v>221</v>
      </c>
      <c r="AB45" s="304" t="s">
        <v>1606</v>
      </c>
      <c r="AC45" s="305">
        <v>1.3839726E7</v>
      </c>
      <c r="AD45" s="343"/>
      <c r="AE45" s="344">
        <v>2022.0</v>
      </c>
      <c r="AF45" s="344">
        <v>2021.0</v>
      </c>
      <c r="AG45" s="344">
        <v>2020.0</v>
      </c>
      <c r="AH45" s="344">
        <v>2019.0</v>
      </c>
      <c r="AI45" s="344">
        <v>2018.0</v>
      </c>
      <c r="AJ45" s="345" t="s">
        <v>1524</v>
      </c>
      <c r="AK45" s="274"/>
      <c r="AL45" s="275">
        <f>MATCH(B45,'Key Findings'!B:B,0)</f>
        <v>15</v>
      </c>
      <c r="AM45" s="274" t="b">
        <f t="shared" si="1"/>
        <v>1</v>
      </c>
      <c r="AN45" s="346" t="s">
        <v>1607</v>
      </c>
    </row>
    <row r="46">
      <c r="A46" s="299">
        <f t="array" ref="A46">INDEX('Federal Tax, Stock Buybacks, &amp; '!D:D,match(B46,'Federal Tax, Stock Buybacks, &amp; '!E:E,0))</f>
        <v>19</v>
      </c>
      <c r="B46" s="338" t="s">
        <v>24</v>
      </c>
      <c r="C46" s="339"/>
      <c r="D46" s="340"/>
      <c r="E46" s="305"/>
      <c r="F46" s="268"/>
      <c r="G46" s="339"/>
      <c r="H46" s="340"/>
      <c r="I46" s="305"/>
      <c r="J46" s="268"/>
      <c r="K46" s="339" t="s">
        <v>139</v>
      </c>
      <c r="L46" s="340" t="s">
        <v>1588</v>
      </c>
      <c r="M46" s="305">
        <v>2.0996146E7</v>
      </c>
      <c r="N46" s="268"/>
      <c r="O46" s="341" t="s">
        <v>139</v>
      </c>
      <c r="P46" s="341" t="s">
        <v>1588</v>
      </c>
      <c r="Q46" s="342">
        <v>2.2813174E7</v>
      </c>
      <c r="R46" s="268"/>
      <c r="S46" s="304" t="s">
        <v>139</v>
      </c>
      <c r="T46" s="304" t="s">
        <v>1588</v>
      </c>
      <c r="U46" s="305">
        <v>1.1802054E7</v>
      </c>
      <c r="V46" s="268"/>
      <c r="W46" s="304" t="s">
        <v>139</v>
      </c>
      <c r="X46" s="304" t="s">
        <v>1608</v>
      </c>
      <c r="Y46" s="305">
        <v>8361479.0</v>
      </c>
      <c r="Z46" s="268"/>
      <c r="AA46" s="304" t="s">
        <v>139</v>
      </c>
      <c r="AB46" s="304" t="s">
        <v>1609</v>
      </c>
      <c r="AC46" s="305">
        <v>5860588.0</v>
      </c>
      <c r="AD46" s="343"/>
      <c r="AE46" s="347"/>
      <c r="AF46" s="313"/>
      <c r="AG46" s="313"/>
      <c r="AH46" s="313"/>
      <c r="AI46" s="313"/>
      <c r="AJ46" s="345"/>
      <c r="AK46" s="274"/>
      <c r="AL46" s="275">
        <f>MATCH(B46,'Key Findings'!B:B,0)</f>
        <v>15</v>
      </c>
      <c r="AM46" s="274" t="b">
        <f t="shared" si="1"/>
        <v>1</v>
      </c>
      <c r="AN46" s="348"/>
    </row>
    <row r="47">
      <c r="A47" s="299">
        <f t="array" ref="A47">INDEX('Federal Tax, Stock Buybacks, &amp; '!D:D,match(B47,'Federal Tax, Stock Buybacks, &amp; '!E:E,0))</f>
        <v>19</v>
      </c>
      <c r="B47" s="338" t="s">
        <v>24</v>
      </c>
      <c r="C47" s="339"/>
      <c r="D47" s="340"/>
      <c r="E47" s="305"/>
      <c r="F47" s="268"/>
      <c r="G47" s="339"/>
      <c r="H47" s="340"/>
      <c r="I47" s="305"/>
      <c r="J47" s="268"/>
      <c r="K47" s="339" t="s">
        <v>348</v>
      </c>
      <c r="L47" s="340" t="s">
        <v>1532</v>
      </c>
      <c r="M47" s="305">
        <v>8956211.0</v>
      </c>
      <c r="N47" s="268"/>
      <c r="O47" s="341" t="s">
        <v>348</v>
      </c>
      <c r="P47" s="341" t="s">
        <v>1532</v>
      </c>
      <c r="Q47" s="342">
        <v>9428325.0</v>
      </c>
      <c r="R47" s="268"/>
      <c r="S47" s="304" t="s">
        <v>310</v>
      </c>
      <c r="T47" s="304" t="s">
        <v>1610</v>
      </c>
      <c r="U47" s="305">
        <v>1.6728505E7</v>
      </c>
      <c r="V47" s="268"/>
      <c r="W47" s="304" t="s">
        <v>374</v>
      </c>
      <c r="X47" s="304" t="s">
        <v>1611</v>
      </c>
      <c r="Y47" s="305">
        <v>1.1018885E7</v>
      </c>
      <c r="Z47" s="268"/>
      <c r="AA47" s="304" t="s">
        <v>374</v>
      </c>
      <c r="AB47" s="304" t="s">
        <v>1612</v>
      </c>
      <c r="AC47" s="305">
        <v>5815455.0</v>
      </c>
      <c r="AD47" s="343"/>
      <c r="AE47" s="347"/>
      <c r="AF47" s="313"/>
      <c r="AG47" s="313"/>
      <c r="AH47" s="313"/>
      <c r="AI47" s="313"/>
      <c r="AJ47" s="345"/>
      <c r="AK47" s="274"/>
      <c r="AL47" s="275">
        <f>MATCH(B47,'Key Findings'!B:B,0)</f>
        <v>15</v>
      </c>
      <c r="AM47" s="274" t="b">
        <f t="shared" si="1"/>
        <v>1</v>
      </c>
      <c r="AN47" s="348"/>
    </row>
    <row r="48">
      <c r="A48" s="299">
        <f t="array" ref="A48">INDEX('Federal Tax, Stock Buybacks, &amp; '!D:D,match(B48,'Federal Tax, Stock Buybacks, &amp; '!E:E,0))</f>
        <v>19</v>
      </c>
      <c r="B48" s="338" t="s">
        <v>24</v>
      </c>
      <c r="C48" s="339"/>
      <c r="D48" s="349"/>
      <c r="E48" s="305"/>
      <c r="F48" s="268"/>
      <c r="G48" s="339"/>
      <c r="H48" s="349"/>
      <c r="I48" s="305"/>
      <c r="J48" s="268"/>
      <c r="K48" s="339" t="s">
        <v>344</v>
      </c>
      <c r="L48" s="349" t="s">
        <v>1613</v>
      </c>
      <c r="M48" s="305">
        <v>1.5087262E7</v>
      </c>
      <c r="N48" s="268"/>
      <c r="O48" s="341" t="s">
        <v>401</v>
      </c>
      <c r="P48" s="341" t="s">
        <v>1614</v>
      </c>
      <c r="Q48" s="342">
        <v>1.2781136E7</v>
      </c>
      <c r="R48" s="268"/>
      <c r="S48" s="304" t="s">
        <v>390</v>
      </c>
      <c r="T48" s="304" t="s">
        <v>1528</v>
      </c>
      <c r="U48" s="305">
        <v>6173021.0</v>
      </c>
      <c r="V48" s="268"/>
      <c r="W48" s="304" t="s">
        <v>376</v>
      </c>
      <c r="X48" s="304" t="s">
        <v>1528</v>
      </c>
      <c r="Y48" s="305">
        <v>8317076.0</v>
      </c>
      <c r="Z48" s="268"/>
      <c r="AA48" s="304" t="s">
        <v>376</v>
      </c>
      <c r="AB48" s="304" t="s">
        <v>1532</v>
      </c>
      <c r="AC48" s="305">
        <v>8420165.0</v>
      </c>
      <c r="AD48" s="343"/>
      <c r="AE48" s="347"/>
      <c r="AF48" s="313"/>
      <c r="AG48" s="313"/>
      <c r="AH48" s="313"/>
      <c r="AI48" s="313"/>
      <c r="AJ48" s="345"/>
      <c r="AK48" s="274"/>
      <c r="AL48" s="275">
        <f>MATCH(B48,'Key Findings'!B:B,0)</f>
        <v>15</v>
      </c>
      <c r="AM48" s="274" t="b">
        <f t="shared" si="1"/>
        <v>1</v>
      </c>
      <c r="AN48" s="348"/>
    </row>
    <row r="49">
      <c r="A49" s="299">
        <f t="array" ref="A49">INDEX('Federal Tax, Stock Buybacks, &amp; '!D:D,match(B49,'Federal Tax, Stock Buybacks, &amp; '!E:E,0))</f>
        <v>19</v>
      </c>
      <c r="B49" s="338" t="s">
        <v>24</v>
      </c>
      <c r="C49" s="349"/>
      <c r="D49" s="349"/>
      <c r="E49" s="305"/>
      <c r="F49" s="268"/>
      <c r="G49" s="349"/>
      <c r="H49" s="349"/>
      <c r="I49" s="305"/>
      <c r="J49" s="268"/>
      <c r="K49" s="349" t="s">
        <v>338</v>
      </c>
      <c r="L49" s="349" t="s">
        <v>1615</v>
      </c>
      <c r="M49" s="305">
        <v>8172563.0</v>
      </c>
      <c r="N49" s="268"/>
      <c r="O49" s="341" t="s">
        <v>344</v>
      </c>
      <c r="P49" s="341" t="s">
        <v>1616</v>
      </c>
      <c r="Q49" s="342">
        <v>1.0848081E7</v>
      </c>
      <c r="R49" s="268"/>
      <c r="S49" s="304" t="s">
        <v>348</v>
      </c>
      <c r="T49" s="304" t="s">
        <v>1532</v>
      </c>
      <c r="U49" s="305">
        <v>5983141.0</v>
      </c>
      <c r="V49" s="268"/>
      <c r="W49" s="304" t="s">
        <v>310</v>
      </c>
      <c r="X49" s="304" t="s">
        <v>1588</v>
      </c>
      <c r="Y49" s="305">
        <v>1.7355506E7</v>
      </c>
      <c r="Z49" s="268"/>
      <c r="AA49" s="304" t="s">
        <v>310</v>
      </c>
      <c r="AB49" s="304" t="s">
        <v>1588</v>
      </c>
      <c r="AC49" s="305">
        <v>1.7752835E7</v>
      </c>
      <c r="AD49" s="343"/>
      <c r="AE49" s="347"/>
      <c r="AF49" s="313"/>
      <c r="AG49" s="313"/>
      <c r="AH49" s="313"/>
      <c r="AI49" s="313"/>
      <c r="AJ49" s="345"/>
      <c r="AK49" s="274"/>
      <c r="AL49" s="275">
        <f>MATCH(B49,'Key Findings'!B:B,0)</f>
        <v>15</v>
      </c>
      <c r="AM49" s="274" t="b">
        <f t="shared" si="1"/>
        <v>1</v>
      </c>
      <c r="AN49" s="348"/>
    </row>
    <row r="50">
      <c r="A50" s="299">
        <f t="array" ref="A50">INDEX('Federal Tax, Stock Buybacks, &amp; '!D:D,match(B50,'Federal Tax, Stock Buybacks, &amp; '!E:E,0))</f>
        <v>19</v>
      </c>
      <c r="B50" s="338" t="s">
        <v>24</v>
      </c>
      <c r="C50" s="350"/>
      <c r="D50" s="350"/>
      <c r="E50" s="305"/>
      <c r="F50" s="268"/>
      <c r="G50" s="350"/>
      <c r="H50" s="350"/>
      <c r="I50" s="305"/>
      <c r="J50" s="268"/>
      <c r="K50" s="350" t="s">
        <v>711</v>
      </c>
      <c r="L50" s="350" t="s">
        <v>711</v>
      </c>
      <c r="M50" s="305" t="s">
        <v>711</v>
      </c>
      <c r="N50" s="268"/>
      <c r="O50" s="302" t="s">
        <v>338</v>
      </c>
      <c r="P50" s="302" t="s">
        <v>1615</v>
      </c>
      <c r="Q50" s="305">
        <v>1.0973172E7</v>
      </c>
      <c r="R50" s="268"/>
      <c r="S50" s="304" t="s">
        <v>411</v>
      </c>
      <c r="T50" s="304" t="s">
        <v>1617</v>
      </c>
      <c r="U50" s="305">
        <v>1.1780405E7</v>
      </c>
      <c r="V50" s="268"/>
      <c r="W50" s="304" t="s">
        <v>390</v>
      </c>
      <c r="X50" s="304" t="s">
        <v>1532</v>
      </c>
      <c r="Y50" s="305">
        <v>8318253.0</v>
      </c>
      <c r="Z50" s="268"/>
      <c r="AA50" s="350" t="s">
        <v>711</v>
      </c>
      <c r="AB50" s="350" t="s">
        <v>711</v>
      </c>
      <c r="AC50" s="305" t="s">
        <v>711</v>
      </c>
      <c r="AD50" s="343"/>
      <c r="AE50" s="347"/>
      <c r="AF50" s="313"/>
      <c r="AG50" s="313"/>
      <c r="AH50" s="313"/>
      <c r="AI50" s="313"/>
      <c r="AJ50" s="345"/>
      <c r="AK50" s="274"/>
      <c r="AL50" s="275">
        <f>MATCH(B50,'Key Findings'!B:B,0)</f>
        <v>15</v>
      </c>
      <c r="AM50" s="274" t="b">
        <f t="shared" si="1"/>
        <v>1</v>
      </c>
      <c r="AN50" s="348"/>
    </row>
    <row r="51">
      <c r="A51" s="299">
        <f t="array" ref="A51">INDEX('Federal Tax, Stock Buybacks, &amp; '!D:D,match(B51,'Federal Tax, Stock Buybacks, &amp; '!E:E,0))</f>
        <v>19</v>
      </c>
      <c r="B51" s="338" t="s">
        <v>24</v>
      </c>
      <c r="C51" s="350"/>
      <c r="D51" s="350"/>
      <c r="E51" s="305"/>
      <c r="F51" s="268"/>
      <c r="G51" s="350"/>
      <c r="H51" s="350"/>
      <c r="I51" s="305"/>
      <c r="J51" s="268"/>
      <c r="K51" s="350" t="s">
        <v>711</v>
      </c>
      <c r="L51" s="350" t="s">
        <v>711</v>
      </c>
      <c r="M51" s="305" t="s">
        <v>711</v>
      </c>
      <c r="N51" s="268"/>
      <c r="O51" s="350" t="s">
        <v>711</v>
      </c>
      <c r="P51" s="350" t="s">
        <v>711</v>
      </c>
      <c r="Q51" s="305" t="s">
        <v>711</v>
      </c>
      <c r="R51" s="268"/>
      <c r="S51" s="304" t="s">
        <v>338</v>
      </c>
      <c r="T51" s="304" t="s">
        <v>1618</v>
      </c>
      <c r="U51" s="305">
        <v>8534094.0</v>
      </c>
      <c r="V51" s="268"/>
      <c r="W51" s="350" t="s">
        <v>711</v>
      </c>
      <c r="X51" s="350" t="s">
        <v>711</v>
      </c>
      <c r="Y51" s="305" t="s">
        <v>711</v>
      </c>
      <c r="Z51" s="268"/>
      <c r="AA51" s="350" t="s">
        <v>711</v>
      </c>
      <c r="AB51" s="350" t="s">
        <v>711</v>
      </c>
      <c r="AC51" s="305" t="s">
        <v>711</v>
      </c>
      <c r="AD51" s="343"/>
      <c r="AE51" s="347"/>
      <c r="AF51" s="313"/>
      <c r="AG51" s="313"/>
      <c r="AH51" s="313"/>
      <c r="AI51" s="313"/>
      <c r="AJ51" s="345"/>
      <c r="AK51" s="274"/>
      <c r="AL51" s="275">
        <f>MATCH(B51,'Key Findings'!B:B,0)</f>
        <v>15</v>
      </c>
      <c r="AM51" s="274" t="b">
        <f t="shared" si="1"/>
        <v>1</v>
      </c>
      <c r="AN51" s="348"/>
    </row>
    <row r="52">
      <c r="A52" s="169">
        <f t="array" ref="A52">INDEX('Federal Tax, Stock Buybacks, &amp; '!D:D,match(B52,'Federal Tax, Stock Buybacks, &amp; '!E:E,0))</f>
        <v>54</v>
      </c>
      <c r="B52" s="351" t="s">
        <v>19</v>
      </c>
      <c r="C52" s="352"/>
      <c r="D52" s="353"/>
      <c r="E52" s="354"/>
      <c r="F52" s="268"/>
      <c r="G52" s="352"/>
      <c r="H52" s="353"/>
      <c r="I52" s="354"/>
      <c r="J52" s="268"/>
      <c r="K52" s="352" t="s">
        <v>177</v>
      </c>
      <c r="L52" s="353" t="s">
        <v>1588</v>
      </c>
      <c r="M52" s="354">
        <v>1.8107426E7</v>
      </c>
      <c r="N52" s="268"/>
      <c r="O52" s="355" t="s">
        <v>177</v>
      </c>
      <c r="P52" s="355" t="s">
        <v>1588</v>
      </c>
      <c r="Q52" s="354">
        <v>1.6621373E7</v>
      </c>
      <c r="R52" s="268"/>
      <c r="S52" s="355" t="s">
        <v>177</v>
      </c>
      <c r="T52" s="355" t="s">
        <v>1588</v>
      </c>
      <c r="U52" s="354">
        <v>1.5434255E7</v>
      </c>
      <c r="V52" s="268"/>
      <c r="W52" s="355" t="s">
        <v>332</v>
      </c>
      <c r="X52" s="355" t="s">
        <v>1619</v>
      </c>
      <c r="Y52" s="354">
        <v>1.2037102E7</v>
      </c>
      <c r="Z52" s="268"/>
      <c r="AA52" s="355" t="s">
        <v>332</v>
      </c>
      <c r="AB52" s="355" t="s">
        <v>1620</v>
      </c>
      <c r="AC52" s="354">
        <v>1.7426745E7</v>
      </c>
      <c r="AD52" s="355"/>
      <c r="AE52" s="356">
        <v>2022.0</v>
      </c>
      <c r="AF52" s="356">
        <v>2021.0</v>
      </c>
      <c r="AG52" s="356">
        <v>2020.0</v>
      </c>
      <c r="AH52" s="356">
        <v>2019.0</v>
      </c>
      <c r="AI52" s="356">
        <v>2018.0</v>
      </c>
      <c r="AJ52" s="357" t="s">
        <v>1578</v>
      </c>
      <c r="AK52" s="281"/>
      <c r="AL52" s="259">
        <f>MATCH(B52,'Key Findings'!B:B,0)</f>
        <v>6</v>
      </c>
      <c r="AM52" s="260" t="b">
        <f t="shared" si="1"/>
        <v>0</v>
      </c>
      <c r="AN52" s="276"/>
    </row>
    <row r="53">
      <c r="A53" s="169">
        <f t="array" ref="A53">INDEX('Federal Tax, Stock Buybacks, &amp; '!D:D,match(B53,'Federal Tax, Stock Buybacks, &amp; '!E:E,0))</f>
        <v>54</v>
      </c>
      <c r="B53" s="351" t="s">
        <v>19</v>
      </c>
      <c r="C53" s="352"/>
      <c r="D53" s="353"/>
      <c r="E53" s="354"/>
      <c r="F53" s="268"/>
      <c r="G53" s="352"/>
      <c r="H53" s="353"/>
      <c r="I53" s="354"/>
      <c r="J53" s="268"/>
      <c r="K53" s="352" t="s">
        <v>235</v>
      </c>
      <c r="L53" s="353" t="s">
        <v>1621</v>
      </c>
      <c r="M53" s="354">
        <v>7720500.0</v>
      </c>
      <c r="N53" s="268"/>
      <c r="O53" s="355" t="s">
        <v>235</v>
      </c>
      <c r="P53" s="355" t="s">
        <v>1621</v>
      </c>
      <c r="Q53" s="354">
        <v>7128340.0</v>
      </c>
      <c r="R53" s="268"/>
      <c r="S53" s="355" t="s">
        <v>235</v>
      </c>
      <c r="T53" s="355" t="s">
        <v>1621</v>
      </c>
      <c r="U53" s="354">
        <v>6839384.0</v>
      </c>
      <c r="V53" s="268"/>
      <c r="W53" s="355" t="s">
        <v>177</v>
      </c>
      <c r="X53" s="355" t="s">
        <v>1588</v>
      </c>
      <c r="Y53" s="354">
        <v>1.4570581E7</v>
      </c>
      <c r="Z53" s="268"/>
      <c r="AA53" s="355" t="s">
        <v>177</v>
      </c>
      <c r="AB53" s="355" t="s">
        <v>1622</v>
      </c>
      <c r="AC53" s="354">
        <v>1.08075E7</v>
      </c>
      <c r="AD53" s="355"/>
      <c r="AE53" s="358"/>
      <c r="AF53" s="352"/>
      <c r="AG53" s="352"/>
      <c r="AH53" s="352"/>
      <c r="AI53" s="352"/>
      <c r="AJ53" s="359"/>
      <c r="AK53" s="281"/>
      <c r="AL53" s="259">
        <f>MATCH(B53,'Key Findings'!B:B,0)</f>
        <v>6</v>
      </c>
      <c r="AM53" s="260" t="b">
        <f t="shared" si="1"/>
        <v>0</v>
      </c>
      <c r="AN53" s="276"/>
    </row>
    <row r="54">
      <c r="A54" s="169">
        <f t="array" ref="A54">INDEX('Federal Tax, Stock Buybacks, &amp; '!D:D,match(B54,'Federal Tax, Stock Buybacks, &amp; '!E:E,0))</f>
        <v>54</v>
      </c>
      <c r="B54" s="351" t="s">
        <v>19</v>
      </c>
      <c r="C54" s="352"/>
      <c r="D54" s="353"/>
      <c r="E54" s="354"/>
      <c r="F54" s="268"/>
      <c r="G54" s="352"/>
      <c r="H54" s="353"/>
      <c r="I54" s="354"/>
      <c r="J54" s="268"/>
      <c r="K54" s="352" t="s">
        <v>157</v>
      </c>
      <c r="L54" s="353" t="s">
        <v>1623</v>
      </c>
      <c r="M54" s="354">
        <v>8230386.0</v>
      </c>
      <c r="N54" s="268"/>
      <c r="O54" s="355" t="s">
        <v>157</v>
      </c>
      <c r="P54" s="355" t="s">
        <v>1623</v>
      </c>
      <c r="Q54" s="354">
        <v>7490465.0</v>
      </c>
      <c r="R54" s="268"/>
      <c r="S54" s="355" t="s">
        <v>157</v>
      </c>
      <c r="T54" s="355" t="s">
        <v>1623</v>
      </c>
      <c r="U54" s="354">
        <v>6800860.0</v>
      </c>
      <c r="V54" s="268"/>
      <c r="W54" s="355" t="s">
        <v>235</v>
      </c>
      <c r="X54" s="355" t="s">
        <v>1621</v>
      </c>
      <c r="Y54" s="354">
        <v>7088939.0</v>
      </c>
      <c r="Z54" s="268"/>
      <c r="AA54" s="355" t="s">
        <v>533</v>
      </c>
      <c r="AB54" s="355" t="s">
        <v>1624</v>
      </c>
      <c r="AC54" s="360">
        <v>4823990.0</v>
      </c>
      <c r="AD54" s="355"/>
      <c r="AE54" s="358"/>
      <c r="AF54" s="352"/>
      <c r="AG54" s="352"/>
      <c r="AH54" s="352"/>
      <c r="AI54" s="352"/>
      <c r="AJ54" s="359"/>
      <c r="AK54" s="281"/>
      <c r="AL54" s="259">
        <f>MATCH(B54,'Key Findings'!B:B,0)</f>
        <v>6</v>
      </c>
      <c r="AM54" s="260" t="b">
        <f t="shared" si="1"/>
        <v>0</v>
      </c>
      <c r="AN54" s="327" t="s">
        <v>1625</v>
      </c>
    </row>
    <row r="55">
      <c r="A55" s="169">
        <f t="array" ref="A55">INDEX('Federal Tax, Stock Buybacks, &amp; '!D:D,match(B55,'Federal Tax, Stock Buybacks, &amp; '!E:E,0))</f>
        <v>54</v>
      </c>
      <c r="B55" s="351" t="s">
        <v>19</v>
      </c>
      <c r="C55" s="352"/>
      <c r="D55" s="353"/>
      <c r="E55" s="354"/>
      <c r="F55" s="268"/>
      <c r="G55" s="352"/>
      <c r="H55" s="353"/>
      <c r="I55" s="354"/>
      <c r="J55" s="268"/>
      <c r="K55" s="352" t="s">
        <v>350</v>
      </c>
      <c r="L55" s="353" t="s">
        <v>1626</v>
      </c>
      <c r="M55" s="354">
        <v>6965884.0</v>
      </c>
      <c r="N55" s="268"/>
      <c r="O55" s="355" t="s">
        <v>350</v>
      </c>
      <c r="P55" s="355" t="s">
        <v>1626</v>
      </c>
      <c r="Q55" s="354">
        <v>6435102.0</v>
      </c>
      <c r="R55" s="268"/>
      <c r="S55" s="355" t="s">
        <v>350</v>
      </c>
      <c r="T55" s="355" t="s">
        <v>1626</v>
      </c>
      <c r="U55" s="354">
        <v>5681122.0</v>
      </c>
      <c r="V55" s="268"/>
      <c r="W55" s="355" t="s">
        <v>395</v>
      </c>
      <c r="X55" s="355" t="s">
        <v>1627</v>
      </c>
      <c r="Y55" s="354">
        <v>5467707.0</v>
      </c>
      <c r="Z55" s="268"/>
      <c r="AA55" s="355" t="s">
        <v>235</v>
      </c>
      <c r="AB55" s="355" t="s">
        <v>1577</v>
      </c>
      <c r="AC55" s="354">
        <v>6726883.0</v>
      </c>
      <c r="AD55" s="355"/>
      <c r="AE55" s="358"/>
      <c r="AF55" s="352"/>
      <c r="AG55" s="352"/>
      <c r="AH55" s="352"/>
      <c r="AI55" s="352"/>
      <c r="AJ55" s="359"/>
      <c r="AK55" s="281"/>
      <c r="AL55" s="259">
        <f>MATCH(B55,'Key Findings'!B:B,0)</f>
        <v>6</v>
      </c>
      <c r="AM55" s="260" t="b">
        <f t="shared" si="1"/>
        <v>0</v>
      </c>
      <c r="AN55" s="276"/>
    </row>
    <row r="56">
      <c r="A56" s="169">
        <f t="array" ref="A56">INDEX('Federal Tax, Stock Buybacks, &amp; '!D:D,match(B56,'Federal Tax, Stock Buybacks, &amp; '!E:E,0))</f>
        <v>54</v>
      </c>
      <c r="B56" s="351" t="s">
        <v>19</v>
      </c>
      <c r="C56" s="352"/>
      <c r="D56" s="353"/>
      <c r="E56" s="354"/>
      <c r="F56" s="268"/>
      <c r="G56" s="352"/>
      <c r="H56" s="353"/>
      <c r="I56" s="354"/>
      <c r="J56" s="268"/>
      <c r="K56" s="352" t="s">
        <v>345</v>
      </c>
      <c r="L56" s="353" t="s">
        <v>1628</v>
      </c>
      <c r="M56" s="354">
        <v>6963356.0</v>
      </c>
      <c r="N56" s="268"/>
      <c r="O56" s="355" t="s">
        <v>345</v>
      </c>
      <c r="P56" s="355" t="s">
        <v>1628</v>
      </c>
      <c r="Q56" s="354">
        <v>6455999.0</v>
      </c>
      <c r="R56" s="268"/>
      <c r="S56" s="355" t="s">
        <v>345</v>
      </c>
      <c r="T56" s="355" t="s">
        <v>1628</v>
      </c>
      <c r="U56" s="354">
        <v>7063257.0</v>
      </c>
      <c r="V56" s="268"/>
      <c r="W56" s="355" t="s">
        <v>157</v>
      </c>
      <c r="X56" s="355" t="s">
        <v>1623</v>
      </c>
      <c r="Y56" s="354">
        <v>6319358.0</v>
      </c>
      <c r="Z56" s="268"/>
      <c r="AA56" s="355" t="s">
        <v>395</v>
      </c>
      <c r="AB56" s="355" t="s">
        <v>1629</v>
      </c>
      <c r="AC56" s="354">
        <v>7881101.0</v>
      </c>
      <c r="AD56" s="355"/>
      <c r="AE56" s="358"/>
      <c r="AF56" s="352"/>
      <c r="AG56" s="352"/>
      <c r="AH56" s="352"/>
      <c r="AI56" s="352"/>
      <c r="AJ56" s="359"/>
      <c r="AK56" s="281"/>
      <c r="AL56" s="259">
        <f>MATCH(B56,'Key Findings'!B:B,0)</f>
        <v>6</v>
      </c>
      <c r="AM56" s="260" t="b">
        <f t="shared" si="1"/>
        <v>0</v>
      </c>
      <c r="AN56" s="276"/>
    </row>
    <row r="57">
      <c r="A57" s="169">
        <f t="array" ref="A57">INDEX('Federal Tax, Stock Buybacks, &amp; '!D:D,match(B57,'Federal Tax, Stock Buybacks, &amp; '!E:E,0))</f>
        <v>54</v>
      </c>
      <c r="B57" s="351" t="s">
        <v>19</v>
      </c>
      <c r="C57" s="359"/>
      <c r="D57" s="361"/>
      <c r="E57" s="354"/>
      <c r="F57" s="268"/>
      <c r="G57" s="359"/>
      <c r="H57" s="361"/>
      <c r="I57" s="354"/>
      <c r="J57" s="268"/>
      <c r="K57" s="359" t="s">
        <v>711</v>
      </c>
      <c r="L57" s="361" t="s">
        <v>711</v>
      </c>
      <c r="M57" s="354" t="s">
        <v>711</v>
      </c>
      <c r="N57" s="268"/>
      <c r="O57" s="219" t="s">
        <v>711</v>
      </c>
      <c r="P57" s="219" t="s">
        <v>711</v>
      </c>
      <c r="Q57" s="354" t="s">
        <v>711</v>
      </c>
      <c r="R57" s="268"/>
      <c r="S57" s="219" t="s">
        <v>711</v>
      </c>
      <c r="T57" s="219" t="s">
        <v>711</v>
      </c>
      <c r="U57" s="354" t="s">
        <v>711</v>
      </c>
      <c r="V57" s="268"/>
      <c r="W57" s="355" t="s">
        <v>350</v>
      </c>
      <c r="X57" s="355" t="s">
        <v>1626</v>
      </c>
      <c r="Y57" s="354">
        <v>4510540.0</v>
      </c>
      <c r="Z57" s="268"/>
      <c r="AA57" s="355" t="s">
        <v>157</v>
      </c>
      <c r="AB57" s="355" t="s">
        <v>1623</v>
      </c>
      <c r="AC57" s="354">
        <v>3343753.0</v>
      </c>
      <c r="AD57" s="355"/>
      <c r="AE57" s="358"/>
      <c r="AF57" s="352"/>
      <c r="AG57" s="352"/>
      <c r="AH57" s="352"/>
      <c r="AI57" s="352"/>
      <c r="AJ57" s="359"/>
      <c r="AK57" s="281"/>
      <c r="AL57" s="259">
        <f>MATCH(B57,'Key Findings'!B:B,0)</f>
        <v>6</v>
      </c>
      <c r="AM57" s="260" t="b">
        <f t="shared" si="1"/>
        <v>0</v>
      </c>
      <c r="AN57" s="276"/>
    </row>
    <row r="58">
      <c r="A58" s="169">
        <f t="array" ref="A58">INDEX('Federal Tax, Stock Buybacks, &amp; '!D:D,match(B58,'Federal Tax, Stock Buybacks, &amp; '!E:E,0))</f>
        <v>54</v>
      </c>
      <c r="B58" s="351" t="s">
        <v>19</v>
      </c>
      <c r="C58" s="359"/>
      <c r="D58" s="361"/>
      <c r="E58" s="354"/>
      <c r="F58" s="268"/>
      <c r="G58" s="359"/>
      <c r="H58" s="361"/>
      <c r="I58" s="354"/>
      <c r="J58" s="268"/>
      <c r="K58" s="359" t="s">
        <v>711</v>
      </c>
      <c r="L58" s="361" t="s">
        <v>711</v>
      </c>
      <c r="M58" s="354" t="s">
        <v>711</v>
      </c>
      <c r="N58" s="268"/>
      <c r="O58" s="219" t="s">
        <v>711</v>
      </c>
      <c r="P58" s="219" t="s">
        <v>711</v>
      </c>
      <c r="Q58" s="354" t="s">
        <v>711</v>
      </c>
      <c r="R58" s="268"/>
      <c r="S58" s="219" t="s">
        <v>711</v>
      </c>
      <c r="T58" s="219" t="s">
        <v>711</v>
      </c>
      <c r="U58" s="354" t="s">
        <v>711</v>
      </c>
      <c r="V58" s="268"/>
      <c r="W58" s="355" t="s">
        <v>345</v>
      </c>
      <c r="X58" s="355" t="s">
        <v>1628</v>
      </c>
      <c r="Y58" s="354">
        <v>4694280.0</v>
      </c>
      <c r="Z58" s="268"/>
      <c r="AA58" s="219" t="s">
        <v>711</v>
      </c>
      <c r="AB58" s="219" t="s">
        <v>711</v>
      </c>
      <c r="AC58" s="354" t="s">
        <v>711</v>
      </c>
      <c r="AD58" s="355"/>
      <c r="AE58" s="358"/>
      <c r="AF58" s="352"/>
      <c r="AG58" s="352"/>
      <c r="AH58" s="352"/>
      <c r="AI58" s="352"/>
      <c r="AJ58" s="359"/>
      <c r="AK58" s="281"/>
      <c r="AL58" s="259">
        <f>MATCH(B58,'Key Findings'!B:B,0)</f>
        <v>6</v>
      </c>
      <c r="AM58" s="260" t="b">
        <f t="shared" si="1"/>
        <v>0</v>
      </c>
      <c r="AN58" s="276"/>
    </row>
    <row r="59">
      <c r="A59" s="299">
        <f t="array" ref="A59">INDEX('Federal Tax, Stock Buybacks, &amp; '!D:D,match(B59,'Federal Tax, Stock Buybacks, &amp; '!E:E,0))</f>
        <v>141</v>
      </c>
      <c r="B59" s="300" t="s">
        <v>15</v>
      </c>
      <c r="C59" s="362"/>
      <c r="D59" s="363"/>
      <c r="E59" s="342"/>
      <c r="F59" s="268"/>
      <c r="G59" s="362"/>
      <c r="H59" s="363"/>
      <c r="I59" s="342"/>
      <c r="J59" s="268"/>
      <c r="K59" s="362" t="s">
        <v>186</v>
      </c>
      <c r="L59" s="363" t="s">
        <v>1630</v>
      </c>
      <c r="M59" s="342">
        <v>2.1354759E7</v>
      </c>
      <c r="N59" s="268"/>
      <c r="O59" s="364" t="s">
        <v>186</v>
      </c>
      <c r="P59" s="365" t="s">
        <v>1630</v>
      </c>
      <c r="Q59" s="342">
        <v>1.6451236E7</v>
      </c>
      <c r="R59" s="268"/>
      <c r="S59" s="364" t="s">
        <v>186</v>
      </c>
      <c r="T59" s="365" t="s">
        <v>1630</v>
      </c>
      <c r="U59" s="342">
        <v>1.4544398E7</v>
      </c>
      <c r="V59" s="268"/>
      <c r="W59" s="364" t="s">
        <v>186</v>
      </c>
      <c r="X59" s="365" t="s">
        <v>1630</v>
      </c>
      <c r="Y59" s="342">
        <v>1.5029436E7</v>
      </c>
      <c r="Z59" s="268"/>
      <c r="AA59" s="364" t="s">
        <v>186</v>
      </c>
      <c r="AB59" s="365" t="s">
        <v>1630</v>
      </c>
      <c r="AC59" s="305">
        <v>1.398296E7</v>
      </c>
      <c r="AD59" s="306"/>
      <c r="AE59" s="366">
        <v>2022.0</v>
      </c>
      <c r="AF59" s="366">
        <v>2021.0</v>
      </c>
      <c r="AG59" s="366">
        <v>2020.0</v>
      </c>
      <c r="AH59" s="366">
        <v>2019.0</v>
      </c>
      <c r="AI59" s="366">
        <v>2018.0</v>
      </c>
      <c r="AJ59" s="367" t="s">
        <v>1524</v>
      </c>
      <c r="AK59" s="274"/>
      <c r="AL59" s="275">
        <f>MATCH(B59,'Key Findings'!B:B,0)</f>
        <v>32</v>
      </c>
      <c r="AM59" s="274" t="b">
        <f t="shared" si="1"/>
        <v>0</v>
      </c>
      <c r="AN59" s="291" t="s">
        <v>1534</v>
      </c>
    </row>
    <row r="60">
      <c r="A60" s="299">
        <f t="array" ref="A60">INDEX('Federal Tax, Stock Buybacks, &amp; '!D:D,match(B60,'Federal Tax, Stock Buybacks, &amp; '!E:E,0))</f>
        <v>141</v>
      </c>
      <c r="B60" s="300" t="s">
        <v>15</v>
      </c>
      <c r="C60" s="362"/>
      <c r="D60" s="363"/>
      <c r="E60" s="342"/>
      <c r="F60" s="268"/>
      <c r="G60" s="362"/>
      <c r="H60" s="363"/>
      <c r="I60" s="342"/>
      <c r="J60" s="268"/>
      <c r="K60" s="362" t="s">
        <v>623</v>
      </c>
      <c r="L60" s="363" t="s">
        <v>1631</v>
      </c>
      <c r="M60" s="342">
        <v>3340682.0</v>
      </c>
      <c r="N60" s="268"/>
      <c r="O60" s="364" t="s">
        <v>185</v>
      </c>
      <c r="P60" s="365" t="s">
        <v>1632</v>
      </c>
      <c r="Q60" s="342">
        <v>4364888.0</v>
      </c>
      <c r="R60" s="268"/>
      <c r="S60" s="364" t="s">
        <v>185</v>
      </c>
      <c r="T60" s="365" t="s">
        <v>1632</v>
      </c>
      <c r="U60" s="342">
        <v>3901609.0</v>
      </c>
      <c r="V60" s="268"/>
      <c r="W60" s="364" t="s">
        <v>185</v>
      </c>
      <c r="X60" s="365" t="s">
        <v>1632</v>
      </c>
      <c r="Y60" s="342">
        <v>3779999.0</v>
      </c>
      <c r="Z60" s="268"/>
      <c r="AA60" s="364" t="s">
        <v>185</v>
      </c>
      <c r="AB60" s="365" t="s">
        <v>1632</v>
      </c>
      <c r="AC60" s="305">
        <v>3132755.0</v>
      </c>
      <c r="AD60" s="306"/>
      <c r="AE60" s="308"/>
      <c r="AF60" s="308"/>
      <c r="AG60" s="308"/>
      <c r="AH60" s="308"/>
      <c r="AI60" s="308"/>
      <c r="AJ60" s="368"/>
      <c r="AK60" s="274"/>
      <c r="AL60" s="275">
        <f>MATCH(B60,'Key Findings'!B:B,0)</f>
        <v>32</v>
      </c>
      <c r="AM60" s="274" t="b">
        <f t="shared" si="1"/>
        <v>0</v>
      </c>
      <c r="AN60" s="294"/>
    </row>
    <row r="61">
      <c r="A61" s="299">
        <f t="array" ref="A61">INDEX('Federal Tax, Stock Buybacks, &amp; '!D:D,match(B61,'Federal Tax, Stock Buybacks, &amp; '!E:E,0))</f>
        <v>141</v>
      </c>
      <c r="B61" s="300" t="s">
        <v>15</v>
      </c>
      <c r="C61" s="362"/>
      <c r="D61" s="363"/>
      <c r="E61" s="342"/>
      <c r="F61" s="268"/>
      <c r="G61" s="362"/>
      <c r="H61" s="363"/>
      <c r="I61" s="342"/>
      <c r="J61" s="268"/>
      <c r="K61" s="362" t="s">
        <v>185</v>
      </c>
      <c r="L61" s="363" t="s">
        <v>1632</v>
      </c>
      <c r="M61" s="342">
        <v>4794344.0</v>
      </c>
      <c r="N61" s="268"/>
      <c r="O61" s="364" t="s">
        <v>201</v>
      </c>
      <c r="P61" s="365" t="s">
        <v>1633</v>
      </c>
      <c r="Q61" s="342">
        <v>5098569.0</v>
      </c>
      <c r="R61" s="268"/>
      <c r="S61" s="364" t="s">
        <v>201</v>
      </c>
      <c r="T61" s="365" t="s">
        <v>1633</v>
      </c>
      <c r="U61" s="342">
        <v>4587700.0</v>
      </c>
      <c r="V61" s="268"/>
      <c r="W61" s="364" t="s">
        <v>201</v>
      </c>
      <c r="X61" s="365" t="s">
        <v>1633</v>
      </c>
      <c r="Y61" s="342">
        <v>4658314.0</v>
      </c>
      <c r="Z61" s="268"/>
      <c r="AA61" s="364" t="s">
        <v>201</v>
      </c>
      <c r="AB61" s="365" t="s">
        <v>1633</v>
      </c>
      <c r="AC61" s="305">
        <v>3994400.0</v>
      </c>
      <c r="AD61" s="306"/>
      <c r="AE61" s="308"/>
      <c r="AF61" s="308"/>
      <c r="AG61" s="308"/>
      <c r="AH61" s="308"/>
      <c r="AI61" s="308"/>
      <c r="AJ61" s="368"/>
      <c r="AK61" s="274"/>
      <c r="AL61" s="275">
        <f>MATCH(B61,'Key Findings'!B:B,0)</f>
        <v>32</v>
      </c>
      <c r="AM61" s="274" t="b">
        <f t="shared" si="1"/>
        <v>0</v>
      </c>
      <c r="AN61" s="294"/>
    </row>
    <row r="62">
      <c r="A62" s="299">
        <f t="array" ref="A62">INDEX('Federal Tax, Stock Buybacks, &amp; '!D:D,match(B62,'Federal Tax, Stock Buybacks, &amp; '!E:E,0))</f>
        <v>141</v>
      </c>
      <c r="B62" s="300" t="s">
        <v>15</v>
      </c>
      <c r="C62" s="362"/>
      <c r="D62" s="363"/>
      <c r="E62" s="342"/>
      <c r="F62" s="268"/>
      <c r="G62" s="362"/>
      <c r="H62" s="363"/>
      <c r="I62" s="342"/>
      <c r="J62" s="268"/>
      <c r="K62" s="362" t="s">
        <v>201</v>
      </c>
      <c r="L62" s="363" t="s">
        <v>1633</v>
      </c>
      <c r="M62" s="342">
        <v>5487720.0</v>
      </c>
      <c r="N62" s="268"/>
      <c r="O62" s="364" t="s">
        <v>179</v>
      </c>
      <c r="P62" s="365" t="s">
        <v>1634</v>
      </c>
      <c r="Q62" s="342">
        <v>4648200.0</v>
      </c>
      <c r="R62" s="268"/>
      <c r="S62" s="364" t="s">
        <v>179</v>
      </c>
      <c r="T62" s="365" t="s">
        <v>1634</v>
      </c>
      <c r="U62" s="342">
        <v>4048848.0</v>
      </c>
      <c r="V62" s="268"/>
      <c r="W62" s="364" t="s">
        <v>179</v>
      </c>
      <c r="X62" s="365" t="s">
        <v>1634</v>
      </c>
      <c r="Y62" s="342">
        <v>3955357.0</v>
      </c>
      <c r="Z62" s="268"/>
      <c r="AA62" s="364" t="s">
        <v>179</v>
      </c>
      <c r="AB62" s="365" t="s">
        <v>1634</v>
      </c>
      <c r="AC62" s="305">
        <v>2689676.0</v>
      </c>
      <c r="AD62" s="306"/>
      <c r="AE62" s="308"/>
      <c r="AF62" s="308"/>
      <c r="AG62" s="308"/>
      <c r="AH62" s="308"/>
      <c r="AI62" s="308"/>
      <c r="AJ62" s="368"/>
      <c r="AK62" s="274"/>
      <c r="AL62" s="275">
        <f>MATCH(B62,'Key Findings'!B:B,0)</f>
        <v>32</v>
      </c>
      <c r="AM62" s="274" t="b">
        <f t="shared" si="1"/>
        <v>0</v>
      </c>
      <c r="AN62" s="294"/>
    </row>
    <row r="63">
      <c r="A63" s="299">
        <f t="array" ref="A63">INDEX('Federal Tax, Stock Buybacks, &amp; '!D:D,match(B63,'Federal Tax, Stock Buybacks, &amp; '!E:E,0))</f>
        <v>141</v>
      </c>
      <c r="B63" s="300" t="s">
        <v>15</v>
      </c>
      <c r="C63" s="362"/>
      <c r="D63" s="363"/>
      <c r="E63" s="342"/>
      <c r="F63" s="268"/>
      <c r="G63" s="362"/>
      <c r="H63" s="363"/>
      <c r="I63" s="342"/>
      <c r="J63" s="268"/>
      <c r="K63" s="362" t="s">
        <v>179</v>
      </c>
      <c r="L63" s="363" t="s">
        <v>1634</v>
      </c>
      <c r="M63" s="342">
        <v>4420284.0</v>
      </c>
      <c r="N63" s="268"/>
      <c r="O63" s="364" t="s">
        <v>552</v>
      </c>
      <c r="P63" s="365" t="s">
        <v>1635</v>
      </c>
      <c r="Q63" s="342">
        <v>3279725.0</v>
      </c>
      <c r="R63" s="268"/>
      <c r="S63" s="364" t="s">
        <v>541</v>
      </c>
      <c r="T63" s="365" t="s">
        <v>1636</v>
      </c>
      <c r="U63" s="342">
        <v>3780353.0</v>
      </c>
      <c r="V63" s="268"/>
      <c r="W63" s="364" t="s">
        <v>541</v>
      </c>
      <c r="X63" s="365" t="s">
        <v>1636</v>
      </c>
      <c r="Y63" s="342">
        <v>3605920.0</v>
      </c>
      <c r="Z63" s="268"/>
      <c r="AA63" s="364" t="s">
        <v>489</v>
      </c>
      <c r="AB63" s="369" t="s">
        <v>1637</v>
      </c>
      <c r="AC63" s="305">
        <v>2952793.0</v>
      </c>
      <c r="AD63" s="306"/>
      <c r="AE63" s="308"/>
      <c r="AF63" s="308"/>
      <c r="AG63" s="308"/>
      <c r="AH63" s="308"/>
      <c r="AI63" s="308"/>
      <c r="AJ63" s="368"/>
      <c r="AK63" s="274"/>
      <c r="AL63" s="275">
        <f>MATCH(B63,'Key Findings'!B:B,0)</f>
        <v>32</v>
      </c>
      <c r="AM63" s="274" t="b">
        <f t="shared" si="1"/>
        <v>0</v>
      </c>
      <c r="AN63" s="294"/>
    </row>
    <row r="64">
      <c r="A64" s="299">
        <f t="array" ref="A64">INDEX('Federal Tax, Stock Buybacks, &amp; '!D:D,match(B64,'Federal Tax, Stock Buybacks, &amp; '!E:E,0))</f>
        <v>141</v>
      </c>
      <c r="B64" s="300" t="s">
        <v>15</v>
      </c>
      <c r="C64" s="362"/>
      <c r="D64" s="363"/>
      <c r="E64" s="342"/>
      <c r="F64" s="268"/>
      <c r="G64" s="362"/>
      <c r="H64" s="363"/>
      <c r="I64" s="342"/>
      <c r="J64" s="268"/>
      <c r="K64" s="362" t="s">
        <v>552</v>
      </c>
      <c r="L64" s="363" t="s">
        <v>1635</v>
      </c>
      <c r="M64" s="342">
        <v>3439563.0</v>
      </c>
      <c r="N64" s="268"/>
      <c r="O64" s="370" t="s">
        <v>711</v>
      </c>
      <c r="P64" s="370" t="s">
        <v>711</v>
      </c>
      <c r="Q64" s="371" t="s">
        <v>711</v>
      </c>
      <c r="R64" s="268"/>
      <c r="S64" s="364" t="s">
        <v>618</v>
      </c>
      <c r="T64" s="369" t="s">
        <v>1638</v>
      </c>
      <c r="U64" s="342">
        <v>3545689.0</v>
      </c>
      <c r="V64" s="268"/>
      <c r="W64" s="364" t="s">
        <v>489</v>
      </c>
      <c r="X64" s="369" t="s">
        <v>1639</v>
      </c>
      <c r="Y64" s="342">
        <v>7535800.0</v>
      </c>
      <c r="Z64" s="268"/>
      <c r="AA64" s="370" t="s">
        <v>711</v>
      </c>
      <c r="AB64" s="370" t="s">
        <v>711</v>
      </c>
      <c r="AC64" s="371" t="s">
        <v>711</v>
      </c>
      <c r="AD64" s="306"/>
      <c r="AE64" s="308"/>
      <c r="AF64" s="308"/>
      <c r="AG64" s="308"/>
      <c r="AH64" s="308"/>
      <c r="AI64" s="308"/>
      <c r="AJ64" s="368"/>
      <c r="AK64" s="274"/>
      <c r="AL64" s="275">
        <f>MATCH(B64,'Key Findings'!B:B,0)</f>
        <v>32</v>
      </c>
      <c r="AM64" s="274" t="b">
        <f t="shared" si="1"/>
        <v>0</v>
      </c>
      <c r="AN64" s="294"/>
    </row>
    <row r="65">
      <c r="A65" s="299">
        <f t="array" ref="A65">INDEX('Federal Tax, Stock Buybacks, &amp; '!D:D,match(B65,'Federal Tax, Stock Buybacks, &amp; '!E:E,0))</f>
        <v>141</v>
      </c>
      <c r="B65" s="300" t="s">
        <v>15</v>
      </c>
      <c r="C65" s="372"/>
      <c r="D65" s="370"/>
      <c r="E65" s="371"/>
      <c r="F65" s="268"/>
      <c r="G65" s="372"/>
      <c r="H65" s="370"/>
      <c r="I65" s="371"/>
      <c r="J65" s="268"/>
      <c r="K65" s="372" t="s">
        <v>711</v>
      </c>
      <c r="L65" s="370" t="s">
        <v>711</v>
      </c>
      <c r="M65" s="371" t="s">
        <v>711</v>
      </c>
      <c r="N65" s="268"/>
      <c r="O65" s="370" t="s">
        <v>711</v>
      </c>
      <c r="P65" s="370" t="s">
        <v>711</v>
      </c>
      <c r="Q65" s="371" t="s">
        <v>711</v>
      </c>
      <c r="R65" s="268"/>
      <c r="S65" s="370" t="s">
        <v>711</v>
      </c>
      <c r="T65" s="370" t="s">
        <v>711</v>
      </c>
      <c r="U65" s="371" t="s">
        <v>711</v>
      </c>
      <c r="V65" s="268"/>
      <c r="W65" s="364" t="s">
        <v>600</v>
      </c>
      <c r="X65" s="369" t="s">
        <v>1640</v>
      </c>
      <c r="Y65" s="342">
        <v>4150120.0</v>
      </c>
      <c r="Z65" s="268"/>
      <c r="AA65" s="370" t="s">
        <v>711</v>
      </c>
      <c r="AB65" s="370" t="s">
        <v>711</v>
      </c>
      <c r="AC65" s="371" t="s">
        <v>711</v>
      </c>
      <c r="AD65" s="306"/>
      <c r="AE65" s="308"/>
      <c r="AF65" s="308"/>
      <c r="AG65" s="308"/>
      <c r="AH65" s="308"/>
      <c r="AI65" s="308"/>
      <c r="AJ65" s="368"/>
      <c r="AK65" s="274"/>
      <c r="AL65" s="275">
        <f>MATCH(B65,'Key Findings'!B:B,0)</f>
        <v>32</v>
      </c>
      <c r="AM65" s="274" t="b">
        <f t="shared" si="1"/>
        <v>0</v>
      </c>
      <c r="AN65" s="294"/>
    </row>
    <row r="66">
      <c r="A66" s="169">
        <f t="array" ref="A66">INDEX('Federal Tax, Stock Buybacks, &amp; '!D:D,match(B66,'Federal Tax, Stock Buybacks, &amp; '!E:E,0))</f>
        <v>186</v>
      </c>
      <c r="B66" s="245" t="s">
        <v>33</v>
      </c>
      <c r="C66" s="282"/>
      <c r="D66" s="373"/>
      <c r="E66" s="284"/>
      <c r="F66" s="268"/>
      <c r="G66" s="282"/>
      <c r="H66" s="373"/>
      <c r="I66" s="284"/>
      <c r="J66" s="268"/>
      <c r="K66" s="282" t="s">
        <v>180</v>
      </c>
      <c r="L66" s="373"/>
      <c r="M66" s="284">
        <v>1.8988369E7</v>
      </c>
      <c r="N66" s="268"/>
      <c r="O66" s="285" t="s">
        <v>180</v>
      </c>
      <c r="P66" s="374"/>
      <c r="Q66" s="284">
        <v>1.8824816E7</v>
      </c>
      <c r="R66" s="268"/>
      <c r="S66" s="285" t="s">
        <v>180</v>
      </c>
      <c r="T66" s="295"/>
      <c r="U66" s="284">
        <v>8583443.0</v>
      </c>
      <c r="V66" s="268"/>
      <c r="W66" s="285" t="s">
        <v>180</v>
      </c>
      <c r="X66" s="295"/>
      <c r="Y66" s="284">
        <v>1.3318357E7</v>
      </c>
      <c r="Z66" s="268"/>
      <c r="AA66" s="285" t="s">
        <v>180</v>
      </c>
      <c r="AB66" s="334"/>
      <c r="AC66" s="287">
        <v>1.1590073E7</v>
      </c>
      <c r="AD66" s="288"/>
      <c r="AE66" s="289">
        <v>2022.0</v>
      </c>
      <c r="AF66" s="289">
        <v>2021.0</v>
      </c>
      <c r="AG66" s="289">
        <v>2020.0</v>
      </c>
      <c r="AH66" s="289">
        <v>2019.0</v>
      </c>
      <c r="AI66" s="289">
        <v>2018.0</v>
      </c>
      <c r="AJ66" s="357" t="s">
        <v>1578</v>
      </c>
      <c r="AK66" s="281"/>
      <c r="AL66" s="259">
        <f>MATCH(B66,'Key Findings'!B:B,0)</f>
        <v>33</v>
      </c>
      <c r="AM66" s="260" t="b">
        <f t="shared" si="1"/>
        <v>1</v>
      </c>
      <c r="AN66" s="294"/>
    </row>
    <row r="67">
      <c r="A67" s="169">
        <f t="array" ref="A67">INDEX('Federal Tax, Stock Buybacks, &amp; '!D:D,match(B67,'Federal Tax, Stock Buybacks, &amp; '!E:E,0))</f>
        <v>186</v>
      </c>
      <c r="B67" s="245" t="s">
        <v>33</v>
      </c>
      <c r="C67" s="282"/>
      <c r="D67" s="373"/>
      <c r="E67" s="284"/>
      <c r="F67" s="268"/>
      <c r="G67" s="282"/>
      <c r="H67" s="373"/>
      <c r="I67" s="284"/>
      <c r="J67" s="268"/>
      <c r="K67" s="282" t="s">
        <v>556</v>
      </c>
      <c r="L67" s="373"/>
      <c r="M67" s="284">
        <v>5124585.0</v>
      </c>
      <c r="N67" s="268"/>
      <c r="O67" s="285" t="s">
        <v>538</v>
      </c>
      <c r="P67" s="374"/>
      <c r="Q67" s="284">
        <v>6012611.0</v>
      </c>
      <c r="R67" s="268"/>
      <c r="S67" s="285" t="s">
        <v>392</v>
      </c>
      <c r="T67" s="295"/>
      <c r="U67" s="284">
        <v>3014353.0</v>
      </c>
      <c r="V67" s="268"/>
      <c r="W67" s="285" t="s">
        <v>392</v>
      </c>
      <c r="X67" s="295"/>
      <c r="Y67" s="284">
        <v>2858574.0</v>
      </c>
      <c r="Z67" s="268"/>
      <c r="AA67" s="285" t="s">
        <v>184</v>
      </c>
      <c r="AB67" s="334"/>
      <c r="AC67" s="287">
        <v>2477462.0</v>
      </c>
      <c r="AD67" s="288"/>
      <c r="AE67" s="292"/>
      <c r="AF67" s="292"/>
      <c r="AG67" s="292"/>
      <c r="AH67" s="292"/>
      <c r="AI67" s="292"/>
      <c r="AJ67" s="293"/>
      <c r="AK67" s="281"/>
      <c r="AL67" s="259">
        <f>MATCH(B67,'Key Findings'!B:B,0)</f>
        <v>33</v>
      </c>
      <c r="AM67" s="260" t="b">
        <f t="shared" si="1"/>
        <v>1</v>
      </c>
      <c r="AN67" s="294"/>
    </row>
    <row r="68">
      <c r="A68" s="169">
        <f t="array" ref="A68">INDEX('Federal Tax, Stock Buybacks, &amp; '!D:D,match(B68,'Federal Tax, Stock Buybacks, &amp; '!E:E,0))</f>
        <v>186</v>
      </c>
      <c r="B68" s="245" t="s">
        <v>33</v>
      </c>
      <c r="C68" s="282"/>
      <c r="D68" s="373"/>
      <c r="E68" s="284"/>
      <c r="F68" s="268"/>
      <c r="G68" s="282"/>
      <c r="H68" s="373"/>
      <c r="I68" s="284"/>
      <c r="J68" s="268"/>
      <c r="K68" s="282" t="s">
        <v>392</v>
      </c>
      <c r="L68" s="373"/>
      <c r="M68" s="284">
        <v>5563883.0</v>
      </c>
      <c r="N68" s="268"/>
      <c r="O68" s="285" t="s">
        <v>392</v>
      </c>
      <c r="P68" s="374"/>
      <c r="Q68" s="284">
        <v>6295216.0</v>
      </c>
      <c r="R68" s="268"/>
      <c r="S68" s="285" t="s">
        <v>184</v>
      </c>
      <c r="T68" s="295"/>
      <c r="U68" s="284">
        <v>2833102.0</v>
      </c>
      <c r="V68" s="268"/>
      <c r="W68" s="285" t="s">
        <v>184</v>
      </c>
      <c r="X68" s="295"/>
      <c r="Y68" s="284">
        <v>3019451.0</v>
      </c>
      <c r="Z68" s="268"/>
      <c r="AA68" s="285" t="s">
        <v>188</v>
      </c>
      <c r="AB68" s="334"/>
      <c r="AC68" s="287">
        <v>2522795.0</v>
      </c>
      <c r="AD68" s="288"/>
      <c r="AE68" s="292"/>
      <c r="AF68" s="292"/>
      <c r="AG68" s="292"/>
      <c r="AH68" s="292"/>
      <c r="AI68" s="292"/>
      <c r="AJ68" s="293"/>
      <c r="AK68" s="281"/>
      <c r="AL68" s="259">
        <f>MATCH(B68,'Key Findings'!B:B,0)</f>
        <v>33</v>
      </c>
      <c r="AM68" s="260" t="b">
        <f t="shared" si="1"/>
        <v>1</v>
      </c>
      <c r="AN68" s="291" t="s">
        <v>1641</v>
      </c>
    </row>
    <row r="69">
      <c r="A69" s="169">
        <f t="array" ref="A69">INDEX('Federal Tax, Stock Buybacks, &amp; '!D:D,match(B69,'Federal Tax, Stock Buybacks, &amp; '!E:E,0))</f>
        <v>186</v>
      </c>
      <c r="B69" s="245" t="s">
        <v>33</v>
      </c>
      <c r="C69" s="282"/>
      <c r="D69" s="373"/>
      <c r="E69" s="284"/>
      <c r="F69" s="268"/>
      <c r="G69" s="282"/>
      <c r="H69" s="373"/>
      <c r="I69" s="284"/>
      <c r="J69" s="268"/>
      <c r="K69" s="282" t="s">
        <v>184</v>
      </c>
      <c r="L69" s="373"/>
      <c r="M69" s="284">
        <v>3841749.0</v>
      </c>
      <c r="N69" s="268"/>
      <c r="O69" s="285" t="s">
        <v>184</v>
      </c>
      <c r="P69" s="374"/>
      <c r="Q69" s="284">
        <v>5517074.0</v>
      </c>
      <c r="R69" s="268"/>
      <c r="S69" s="285" t="s">
        <v>188</v>
      </c>
      <c r="T69" s="295"/>
      <c r="U69" s="284">
        <v>1987875.0</v>
      </c>
      <c r="V69" s="268"/>
      <c r="W69" s="285" t="s">
        <v>188</v>
      </c>
      <c r="X69" s="295"/>
      <c r="Y69" s="284">
        <v>2965605.0</v>
      </c>
      <c r="Z69" s="268"/>
      <c r="AA69" s="285" t="s">
        <v>493</v>
      </c>
      <c r="AB69" s="334"/>
      <c r="AC69" s="287">
        <v>4094503.0</v>
      </c>
      <c r="AD69" s="288"/>
      <c r="AE69" s="292"/>
      <c r="AF69" s="292"/>
      <c r="AG69" s="292"/>
      <c r="AH69" s="292"/>
      <c r="AI69" s="292"/>
      <c r="AJ69" s="293"/>
      <c r="AK69" s="281"/>
      <c r="AL69" s="259">
        <f>MATCH(B69,'Key Findings'!B:B,0)</f>
        <v>33</v>
      </c>
      <c r="AM69" s="260" t="b">
        <f t="shared" si="1"/>
        <v>1</v>
      </c>
      <c r="AN69" s="291" t="s">
        <v>1642</v>
      </c>
    </row>
    <row r="70">
      <c r="A70" s="169">
        <f t="array" ref="A70">INDEX('Federal Tax, Stock Buybacks, &amp; '!D:D,match(B70,'Federal Tax, Stock Buybacks, &amp; '!E:E,0))</f>
        <v>186</v>
      </c>
      <c r="B70" s="245" t="s">
        <v>33</v>
      </c>
      <c r="C70" s="282"/>
      <c r="D70" s="373"/>
      <c r="E70" s="284"/>
      <c r="F70" s="268"/>
      <c r="G70" s="282"/>
      <c r="H70" s="373"/>
      <c r="I70" s="284"/>
      <c r="J70" s="268"/>
      <c r="K70" s="282" t="s">
        <v>188</v>
      </c>
      <c r="L70" s="373"/>
      <c r="M70" s="284">
        <v>3791759.0</v>
      </c>
      <c r="N70" s="268"/>
      <c r="O70" s="285" t="s">
        <v>188</v>
      </c>
      <c r="P70" s="374"/>
      <c r="Q70" s="284">
        <v>5403234.0</v>
      </c>
      <c r="R70" s="268"/>
      <c r="S70" s="285" t="s">
        <v>378</v>
      </c>
      <c r="T70" s="295"/>
      <c r="U70" s="284">
        <v>2844107.0</v>
      </c>
      <c r="V70" s="268"/>
      <c r="W70" s="285" t="s">
        <v>378</v>
      </c>
      <c r="X70" s="295"/>
      <c r="Y70" s="284">
        <v>2569531.0</v>
      </c>
      <c r="Z70" s="268"/>
      <c r="AA70" s="285" t="s">
        <v>470</v>
      </c>
      <c r="AB70" s="334"/>
      <c r="AC70" s="287">
        <v>4069199.0</v>
      </c>
      <c r="AD70" s="288"/>
      <c r="AE70" s="292"/>
      <c r="AF70" s="292"/>
      <c r="AG70" s="292"/>
      <c r="AH70" s="292"/>
      <c r="AI70" s="292"/>
      <c r="AJ70" s="293"/>
      <c r="AK70" s="281"/>
      <c r="AL70" s="259">
        <f>MATCH(B70,'Key Findings'!B:B,0)</f>
        <v>33</v>
      </c>
      <c r="AM70" s="260" t="b">
        <f t="shared" si="1"/>
        <v>1</v>
      </c>
      <c r="AN70" s="294"/>
    </row>
    <row r="71">
      <c r="A71" s="169">
        <f t="array" ref="A71">INDEX('Federal Tax, Stock Buybacks, &amp; '!D:D,match(B71,'Federal Tax, Stock Buybacks, &amp; '!E:E,0))</f>
        <v>186</v>
      </c>
      <c r="B71" s="245" t="s">
        <v>33</v>
      </c>
      <c r="C71" s="282"/>
      <c r="D71" s="373"/>
      <c r="E71" s="284"/>
      <c r="F71" s="268"/>
      <c r="G71" s="282"/>
      <c r="H71" s="373"/>
      <c r="I71" s="284"/>
      <c r="J71" s="268"/>
      <c r="K71" s="282" t="s">
        <v>378</v>
      </c>
      <c r="L71" s="373"/>
      <c r="M71" s="284">
        <v>8651089.0</v>
      </c>
      <c r="N71" s="268"/>
      <c r="O71" s="285" t="s">
        <v>378</v>
      </c>
      <c r="P71" s="374"/>
      <c r="Q71" s="284">
        <v>6664084.0</v>
      </c>
      <c r="R71" s="268"/>
      <c r="S71" s="375" t="s">
        <v>711</v>
      </c>
      <c r="T71" s="375" t="s">
        <v>711</v>
      </c>
      <c r="U71" s="360" t="s">
        <v>711</v>
      </c>
      <c r="V71" s="268"/>
      <c r="W71" s="285" t="s">
        <v>493</v>
      </c>
      <c r="X71" s="295"/>
      <c r="Y71" s="284">
        <v>3746367.0</v>
      </c>
      <c r="Z71" s="268"/>
      <c r="AA71" s="375" t="s">
        <v>711</v>
      </c>
      <c r="AB71" s="375" t="s">
        <v>711</v>
      </c>
      <c r="AC71" s="360" t="s">
        <v>711</v>
      </c>
      <c r="AD71" s="288"/>
      <c r="AE71" s="292"/>
      <c r="AF71" s="292"/>
      <c r="AG71" s="292"/>
      <c r="AH71" s="292"/>
      <c r="AI71" s="292"/>
      <c r="AJ71" s="293"/>
      <c r="AK71" s="281"/>
      <c r="AL71" s="259">
        <f>MATCH(B71,'Key Findings'!B:B,0)</f>
        <v>33</v>
      </c>
      <c r="AM71" s="260" t="b">
        <f t="shared" si="1"/>
        <v>1</v>
      </c>
      <c r="AN71" s="294"/>
    </row>
    <row r="72">
      <c r="A72" s="169">
        <f t="array" ref="A72">INDEX('Federal Tax, Stock Buybacks, &amp; '!D:D,match(B72,'Federal Tax, Stock Buybacks, &amp; '!E:E,0))</f>
        <v>186</v>
      </c>
      <c r="B72" s="245" t="s">
        <v>33</v>
      </c>
      <c r="C72" s="376"/>
      <c r="D72" s="375"/>
      <c r="E72" s="360"/>
      <c r="F72" s="268"/>
      <c r="G72" s="376"/>
      <c r="H72" s="375"/>
      <c r="I72" s="360"/>
      <c r="J72" s="268"/>
      <c r="K72" s="376" t="s">
        <v>711</v>
      </c>
      <c r="L72" s="375" t="s">
        <v>711</v>
      </c>
      <c r="M72" s="360" t="s">
        <v>711</v>
      </c>
      <c r="N72" s="268"/>
      <c r="O72" s="375" t="s">
        <v>711</v>
      </c>
      <c r="P72" s="375" t="s">
        <v>711</v>
      </c>
      <c r="Q72" s="360" t="s">
        <v>711</v>
      </c>
      <c r="R72" s="268"/>
      <c r="S72" s="375" t="s">
        <v>711</v>
      </c>
      <c r="T72" s="375" t="s">
        <v>711</v>
      </c>
      <c r="U72" s="360" t="s">
        <v>711</v>
      </c>
      <c r="V72" s="268"/>
      <c r="W72" s="285" t="s">
        <v>470</v>
      </c>
      <c r="X72" s="295"/>
      <c r="Y72" s="284">
        <v>4902353.0</v>
      </c>
      <c r="Z72" s="268"/>
      <c r="AA72" s="375" t="s">
        <v>711</v>
      </c>
      <c r="AB72" s="375" t="s">
        <v>711</v>
      </c>
      <c r="AC72" s="360" t="s">
        <v>711</v>
      </c>
      <c r="AD72" s="288"/>
      <c r="AE72" s="292"/>
      <c r="AF72" s="292"/>
      <c r="AG72" s="292"/>
      <c r="AH72" s="292"/>
      <c r="AI72" s="292"/>
      <c r="AJ72" s="293"/>
      <c r="AK72" s="281"/>
      <c r="AL72" s="259">
        <f>MATCH(B72,'Key Findings'!B:B,0)</f>
        <v>33</v>
      </c>
      <c r="AM72" s="260" t="b">
        <f t="shared" si="1"/>
        <v>1</v>
      </c>
      <c r="AN72" s="294"/>
    </row>
    <row r="73">
      <c r="A73" s="299">
        <f t="array" ref="A73">INDEX('Federal Tax, Stock Buybacks, &amp; '!D:D,match(B73,'Federal Tax, Stock Buybacks, &amp; '!E:E,0))</f>
        <v>249</v>
      </c>
      <c r="B73" s="300" t="s">
        <v>17</v>
      </c>
      <c r="C73" s="362"/>
      <c r="D73" s="363"/>
      <c r="E73" s="342"/>
      <c r="F73" s="268"/>
      <c r="G73" s="362"/>
      <c r="H73" s="363"/>
      <c r="I73" s="342"/>
      <c r="J73" s="268"/>
      <c r="K73" s="362" t="s">
        <v>121</v>
      </c>
      <c r="L73" s="363" t="s">
        <v>1643</v>
      </c>
      <c r="M73" s="342">
        <v>3219778.0</v>
      </c>
      <c r="N73" s="268"/>
      <c r="O73" s="364" t="s">
        <v>121</v>
      </c>
      <c r="P73" s="365" t="s">
        <v>1643</v>
      </c>
      <c r="Q73" s="342">
        <v>3060317.0</v>
      </c>
      <c r="R73" s="268"/>
      <c r="S73" s="364" t="s">
        <v>121</v>
      </c>
      <c r="T73" s="365" t="s">
        <v>1643</v>
      </c>
      <c r="U73" s="342">
        <v>9.4761246E7</v>
      </c>
      <c r="V73" s="268"/>
      <c r="W73" s="364" t="s">
        <v>121</v>
      </c>
      <c r="X73" s="365" t="s">
        <v>1643</v>
      </c>
      <c r="Y73" s="342">
        <v>2357756.0</v>
      </c>
      <c r="Z73" s="268"/>
      <c r="AA73" s="364" t="s">
        <v>121</v>
      </c>
      <c r="AB73" s="365" t="s">
        <v>1643</v>
      </c>
      <c r="AC73" s="305">
        <v>3112657.0</v>
      </c>
      <c r="AD73" s="306"/>
      <c r="AE73" s="307">
        <v>2022.0</v>
      </c>
      <c r="AF73" s="307">
        <v>2021.0</v>
      </c>
      <c r="AG73" s="307">
        <v>2020.0</v>
      </c>
      <c r="AH73" s="307">
        <v>2019.0</v>
      </c>
      <c r="AI73" s="307">
        <v>2018.0</v>
      </c>
      <c r="AJ73" s="367" t="s">
        <v>1524</v>
      </c>
      <c r="AK73" s="274"/>
      <c r="AL73" s="275">
        <f>MATCH(B73,'Key Findings'!B:B,0)</f>
        <v>36</v>
      </c>
      <c r="AM73" s="274" t="b">
        <f t="shared" si="1"/>
        <v>0</v>
      </c>
      <c r="AN73" s="291" t="s">
        <v>1534</v>
      </c>
    </row>
    <row r="74">
      <c r="A74" s="299">
        <f t="array" ref="A74">INDEX('Federal Tax, Stock Buybacks, &amp; '!D:D,match(B74,'Federal Tax, Stock Buybacks, &amp; '!E:E,0))</f>
        <v>249</v>
      </c>
      <c r="B74" s="300" t="s">
        <v>17</v>
      </c>
      <c r="C74" s="362"/>
      <c r="D74" s="363"/>
      <c r="E74" s="342"/>
      <c r="F74" s="268"/>
      <c r="G74" s="362"/>
      <c r="H74" s="363"/>
      <c r="I74" s="342"/>
      <c r="J74" s="268"/>
      <c r="K74" s="362" t="s">
        <v>274</v>
      </c>
      <c r="L74" s="363" t="s">
        <v>1644</v>
      </c>
      <c r="M74" s="342">
        <v>3178011.0</v>
      </c>
      <c r="N74" s="268"/>
      <c r="O74" s="364" t="s">
        <v>274</v>
      </c>
      <c r="P74" s="365" t="s">
        <v>1644</v>
      </c>
      <c r="Q74" s="342">
        <v>846963.0</v>
      </c>
      <c r="R74" s="268"/>
      <c r="S74" s="364" t="s">
        <v>274</v>
      </c>
      <c r="T74" s="365" t="s">
        <v>1644</v>
      </c>
      <c r="U74" s="342">
        <v>1907478.0</v>
      </c>
      <c r="V74" s="268"/>
      <c r="W74" s="364" t="s">
        <v>656</v>
      </c>
      <c r="X74" s="365" t="s">
        <v>1645</v>
      </c>
      <c r="Y74" s="342">
        <v>1018673.0</v>
      </c>
      <c r="Z74" s="268"/>
      <c r="AA74" s="364" t="s">
        <v>274</v>
      </c>
      <c r="AB74" s="365" t="s">
        <v>1644</v>
      </c>
      <c r="AC74" s="305">
        <v>3996474.0</v>
      </c>
      <c r="AD74" s="306"/>
      <c r="AE74" s="377"/>
      <c r="AF74" s="377"/>
      <c r="AG74" s="377"/>
      <c r="AH74" s="377"/>
      <c r="AI74" s="377"/>
      <c r="AJ74" s="368"/>
      <c r="AK74" s="274"/>
      <c r="AL74" s="275">
        <f>MATCH(B74,'Key Findings'!B:B,0)</f>
        <v>36</v>
      </c>
      <c r="AM74" s="274" t="b">
        <f t="shared" si="1"/>
        <v>0</v>
      </c>
      <c r="AN74" s="294"/>
    </row>
    <row r="75">
      <c r="A75" s="299">
        <f t="array" ref="A75">INDEX('Federal Tax, Stock Buybacks, &amp; '!D:D,match(B75,'Federal Tax, Stock Buybacks, &amp; '!E:E,0))</f>
        <v>249</v>
      </c>
      <c r="B75" s="300" t="s">
        <v>17</v>
      </c>
      <c r="C75" s="362"/>
      <c r="D75" s="363"/>
      <c r="E75" s="342"/>
      <c r="F75" s="268"/>
      <c r="G75" s="362"/>
      <c r="H75" s="363"/>
      <c r="I75" s="342"/>
      <c r="J75" s="268"/>
      <c r="K75" s="362" t="s">
        <v>165</v>
      </c>
      <c r="L75" s="363" t="s">
        <v>1588</v>
      </c>
      <c r="M75" s="342">
        <v>1.0820717E7</v>
      </c>
      <c r="N75" s="268"/>
      <c r="O75" s="364" t="s">
        <v>165</v>
      </c>
      <c r="P75" s="365" t="s">
        <v>1588</v>
      </c>
      <c r="Q75" s="342">
        <v>2895882.0</v>
      </c>
      <c r="R75" s="268"/>
      <c r="S75" s="364" t="s">
        <v>165</v>
      </c>
      <c r="T75" s="365" t="s">
        <v>1588</v>
      </c>
      <c r="U75" s="342">
        <v>3316247.0</v>
      </c>
      <c r="V75" s="268"/>
      <c r="W75" s="364" t="s">
        <v>165</v>
      </c>
      <c r="X75" s="365" t="s">
        <v>1588</v>
      </c>
      <c r="Y75" s="342">
        <v>1007020.0</v>
      </c>
      <c r="Z75" s="268"/>
      <c r="AA75" s="364" t="s">
        <v>165</v>
      </c>
      <c r="AB75" s="365" t="s">
        <v>1588</v>
      </c>
      <c r="AC75" s="305">
        <v>5320917.0</v>
      </c>
      <c r="AD75" s="306"/>
      <c r="AE75" s="377"/>
      <c r="AF75" s="377"/>
      <c r="AG75" s="377"/>
      <c r="AH75" s="377"/>
      <c r="AI75" s="377"/>
      <c r="AJ75" s="368"/>
      <c r="AK75" s="274"/>
      <c r="AL75" s="275">
        <f>MATCH(B75,'Key Findings'!B:B,0)</f>
        <v>36</v>
      </c>
      <c r="AM75" s="274" t="b">
        <f t="shared" si="1"/>
        <v>0</v>
      </c>
      <c r="AN75" s="294"/>
    </row>
    <row r="76">
      <c r="A76" s="299">
        <f t="array" ref="A76">INDEX('Federal Tax, Stock Buybacks, &amp; '!D:D,match(B76,'Federal Tax, Stock Buybacks, &amp; '!E:E,0))</f>
        <v>249</v>
      </c>
      <c r="B76" s="300" t="s">
        <v>17</v>
      </c>
      <c r="C76" s="362"/>
      <c r="D76" s="363"/>
      <c r="E76" s="342"/>
      <c r="F76" s="268"/>
      <c r="G76" s="362"/>
      <c r="H76" s="363"/>
      <c r="I76" s="342"/>
      <c r="J76" s="268"/>
      <c r="K76" s="362" t="s">
        <v>152</v>
      </c>
      <c r="L76" s="363" t="s">
        <v>1646</v>
      </c>
      <c r="M76" s="342">
        <v>7926917.0</v>
      </c>
      <c r="N76" s="268"/>
      <c r="O76" s="364" t="s">
        <v>152</v>
      </c>
      <c r="P76" s="365" t="s">
        <v>1646</v>
      </c>
      <c r="Q76" s="342">
        <v>1724889.0</v>
      </c>
      <c r="R76" s="268"/>
      <c r="S76" s="364" t="s">
        <v>152</v>
      </c>
      <c r="T76" s="365" t="s">
        <v>1646</v>
      </c>
      <c r="U76" s="342">
        <v>1000290.0</v>
      </c>
      <c r="V76" s="268"/>
      <c r="W76" s="364" t="s">
        <v>152</v>
      </c>
      <c r="X76" s="365" t="s">
        <v>1646</v>
      </c>
      <c r="Y76" s="342">
        <v>1018673.0</v>
      </c>
      <c r="Z76" s="268"/>
      <c r="AA76" s="364" t="s">
        <v>152</v>
      </c>
      <c r="AB76" s="365" t="s">
        <v>1646</v>
      </c>
      <c r="AC76" s="305">
        <v>2922459.0</v>
      </c>
      <c r="AD76" s="306"/>
      <c r="AE76" s="377"/>
      <c r="AF76" s="377"/>
      <c r="AG76" s="377"/>
      <c r="AH76" s="377"/>
      <c r="AI76" s="377"/>
      <c r="AJ76" s="368"/>
      <c r="AK76" s="274"/>
      <c r="AL76" s="275">
        <f>MATCH(B76,'Key Findings'!B:B,0)</f>
        <v>36</v>
      </c>
      <c r="AM76" s="274" t="b">
        <f t="shared" si="1"/>
        <v>0</v>
      </c>
      <c r="AN76" s="294"/>
    </row>
    <row r="77">
      <c r="A77" s="299">
        <f t="array" ref="A77">INDEX('Federal Tax, Stock Buybacks, &amp; '!D:D,match(B77,'Federal Tax, Stock Buybacks, &amp; '!E:E,0))</f>
        <v>249</v>
      </c>
      <c r="B77" s="300" t="s">
        <v>17</v>
      </c>
      <c r="C77" s="362"/>
      <c r="D77" s="363"/>
      <c r="E77" s="342"/>
      <c r="F77" s="268"/>
      <c r="G77" s="362"/>
      <c r="H77" s="363"/>
      <c r="I77" s="342"/>
      <c r="J77" s="268"/>
      <c r="K77" s="362" t="s">
        <v>173</v>
      </c>
      <c r="L77" s="363" t="s">
        <v>1585</v>
      </c>
      <c r="M77" s="342">
        <v>2695037.0</v>
      </c>
      <c r="N77" s="268"/>
      <c r="O77" s="364" t="s">
        <v>173</v>
      </c>
      <c r="P77" s="365" t="s">
        <v>1585</v>
      </c>
      <c r="Q77" s="342">
        <v>1550892.0</v>
      </c>
      <c r="R77" s="268"/>
      <c r="S77" s="364" t="s">
        <v>173</v>
      </c>
      <c r="T77" s="365" t="s">
        <v>1585</v>
      </c>
      <c r="U77" s="342">
        <v>1121650.0</v>
      </c>
      <c r="V77" s="268"/>
      <c r="W77" s="364" t="s">
        <v>173</v>
      </c>
      <c r="X77" s="365" t="s">
        <v>1585</v>
      </c>
      <c r="Y77" s="342">
        <v>1649638.0</v>
      </c>
      <c r="Z77" s="268"/>
      <c r="AA77" s="364" t="s">
        <v>173</v>
      </c>
      <c r="AB77" s="365" t="s">
        <v>1585</v>
      </c>
      <c r="AC77" s="305">
        <v>1514101.0</v>
      </c>
      <c r="AD77" s="306"/>
      <c r="AE77" s="377"/>
      <c r="AF77" s="377"/>
      <c r="AG77" s="377"/>
      <c r="AH77" s="377"/>
      <c r="AI77" s="377"/>
      <c r="AJ77" s="368"/>
      <c r="AK77" s="274"/>
      <c r="AL77" s="275">
        <f>MATCH(B77,'Key Findings'!B:B,0)</f>
        <v>36</v>
      </c>
      <c r="AM77" s="274" t="b">
        <f t="shared" si="1"/>
        <v>0</v>
      </c>
      <c r="AN77" s="294"/>
    </row>
    <row r="78">
      <c r="A78" s="299">
        <f t="array" ref="A78">INDEX('Federal Tax, Stock Buybacks, &amp; '!D:D,match(B78,'Federal Tax, Stock Buybacks, &amp; '!E:E,0))</f>
        <v>249</v>
      </c>
      <c r="B78" s="300" t="s">
        <v>17</v>
      </c>
      <c r="C78" s="372"/>
      <c r="D78" s="370"/>
      <c r="E78" s="371"/>
      <c r="F78" s="268"/>
      <c r="G78" s="372"/>
      <c r="H78" s="370"/>
      <c r="I78" s="371"/>
      <c r="J78" s="268"/>
      <c r="K78" s="372" t="s">
        <v>711</v>
      </c>
      <c r="L78" s="370" t="s">
        <v>711</v>
      </c>
      <c r="M78" s="371" t="s">
        <v>711</v>
      </c>
      <c r="N78" s="268"/>
      <c r="O78" s="370" t="s">
        <v>711</v>
      </c>
      <c r="P78" s="370" t="s">
        <v>711</v>
      </c>
      <c r="Q78" s="371" t="s">
        <v>711</v>
      </c>
      <c r="R78" s="268"/>
      <c r="S78" s="370" t="s">
        <v>711</v>
      </c>
      <c r="T78" s="370" t="s">
        <v>711</v>
      </c>
      <c r="U78" s="371" t="s">
        <v>711</v>
      </c>
      <c r="V78" s="268"/>
      <c r="W78" s="370" t="s">
        <v>711</v>
      </c>
      <c r="X78" s="370" t="s">
        <v>711</v>
      </c>
      <c r="Y78" s="371" t="s">
        <v>711</v>
      </c>
      <c r="Z78" s="268"/>
      <c r="AA78" s="378" t="s">
        <v>676</v>
      </c>
      <c r="AB78" s="378" t="s">
        <v>1647</v>
      </c>
      <c r="AC78" s="305">
        <v>358704.0</v>
      </c>
      <c r="AD78" s="306"/>
      <c r="AE78" s="377"/>
      <c r="AF78" s="377"/>
      <c r="AG78" s="377"/>
      <c r="AH78" s="377"/>
      <c r="AI78" s="377"/>
      <c r="AJ78" s="368"/>
      <c r="AK78" s="274"/>
      <c r="AL78" s="275">
        <f>MATCH(B78,'Key Findings'!B:B,0)</f>
        <v>36</v>
      </c>
      <c r="AM78" s="274" t="b">
        <f t="shared" si="1"/>
        <v>0</v>
      </c>
      <c r="AN78" s="294"/>
    </row>
    <row r="79">
      <c r="A79" s="299">
        <f t="array" ref="A79">INDEX('Federal Tax, Stock Buybacks, &amp; '!D:D,match(B79,'Federal Tax, Stock Buybacks, &amp; '!E:E,0))</f>
        <v>214</v>
      </c>
      <c r="B79" s="281" t="s">
        <v>21</v>
      </c>
      <c r="C79" s="316"/>
      <c r="D79" s="282"/>
      <c r="E79" s="284"/>
      <c r="F79" s="268"/>
      <c r="G79" s="316"/>
      <c r="H79" s="282"/>
      <c r="I79" s="284"/>
      <c r="J79" s="268"/>
      <c r="K79" s="316" t="s">
        <v>353</v>
      </c>
      <c r="L79" s="282" t="s">
        <v>1523</v>
      </c>
      <c r="M79" s="284">
        <v>1462.0</v>
      </c>
      <c r="N79" s="268"/>
      <c r="O79" s="285" t="s">
        <v>353</v>
      </c>
      <c r="P79" s="285" t="s">
        <v>1523</v>
      </c>
      <c r="Q79" s="284">
        <v>1.8000259E7</v>
      </c>
      <c r="R79" s="268"/>
      <c r="S79" s="285" t="s">
        <v>353</v>
      </c>
      <c r="T79" s="285" t="s">
        <v>1523</v>
      </c>
      <c r="U79" s="284">
        <v>1.0</v>
      </c>
      <c r="V79" s="268"/>
      <c r="W79" s="285" t="s">
        <v>353</v>
      </c>
      <c r="X79" s="285" t="s">
        <v>1523</v>
      </c>
      <c r="Y79" s="284">
        <v>7270.0</v>
      </c>
      <c r="Z79" s="268"/>
      <c r="AA79" s="285" t="s">
        <v>353</v>
      </c>
      <c r="AB79" s="285" t="s">
        <v>1523</v>
      </c>
      <c r="AC79" s="287">
        <v>1.6010581E7</v>
      </c>
      <c r="AD79" s="288"/>
      <c r="AE79" s="289">
        <v>2022.0</v>
      </c>
      <c r="AF79" s="289">
        <v>2021.0</v>
      </c>
      <c r="AG79" s="289">
        <v>2020.0</v>
      </c>
      <c r="AH79" s="289">
        <v>2019.0</v>
      </c>
      <c r="AI79" s="289">
        <v>2018.0</v>
      </c>
      <c r="AJ79" s="290" t="s">
        <v>1524</v>
      </c>
      <c r="AK79" s="260"/>
      <c r="AL79" s="259">
        <f>MATCH(B79,'Key Findings'!B:B,0)</f>
        <v>54</v>
      </c>
      <c r="AM79" s="260" t="b">
        <f t="shared" si="1"/>
        <v>0</v>
      </c>
      <c r="AN79" s="291" t="s">
        <v>1648</v>
      </c>
    </row>
    <row r="80">
      <c r="A80" s="299">
        <f t="array" ref="A80">INDEX('Federal Tax, Stock Buybacks, &amp; '!D:D,match(B80,'Federal Tax, Stock Buybacks, &amp; '!E:E,0))</f>
        <v>214</v>
      </c>
      <c r="B80" s="281" t="s">
        <v>21</v>
      </c>
      <c r="C80" s="316"/>
      <c r="D80" s="282"/>
      <c r="E80" s="284"/>
      <c r="F80" s="268"/>
      <c r="G80" s="316"/>
      <c r="H80" s="282"/>
      <c r="I80" s="284"/>
      <c r="J80" s="268"/>
      <c r="K80" s="316" t="s">
        <v>175</v>
      </c>
      <c r="L80" s="282" t="s">
        <v>1649</v>
      </c>
      <c r="M80" s="284">
        <v>6888338.0</v>
      </c>
      <c r="N80" s="268"/>
      <c r="O80" s="285" t="s">
        <v>175</v>
      </c>
      <c r="P80" s="285" t="s">
        <v>1649</v>
      </c>
      <c r="Q80" s="284">
        <v>6120766.0</v>
      </c>
      <c r="R80" s="268"/>
      <c r="S80" s="285" t="s">
        <v>175</v>
      </c>
      <c r="T80" s="285" t="s">
        <v>1649</v>
      </c>
      <c r="U80" s="284">
        <v>4847937.0</v>
      </c>
      <c r="V80" s="268"/>
      <c r="W80" s="285" t="s">
        <v>175</v>
      </c>
      <c r="X80" s="285" t="s">
        <v>1649</v>
      </c>
      <c r="Y80" s="284">
        <v>4906188.0</v>
      </c>
      <c r="Z80" s="268"/>
      <c r="AA80" s="285" t="s">
        <v>175</v>
      </c>
      <c r="AB80" s="285" t="s">
        <v>1649</v>
      </c>
      <c r="AC80" s="287">
        <v>3906863.0</v>
      </c>
      <c r="AD80" s="288"/>
      <c r="AE80" s="321"/>
      <c r="AF80" s="321"/>
      <c r="AG80" s="321"/>
      <c r="AH80" s="321"/>
      <c r="AI80" s="321"/>
      <c r="AJ80" s="293"/>
      <c r="AK80" s="260"/>
      <c r="AL80" s="259">
        <f>MATCH(B80,'Key Findings'!B:B,0)</f>
        <v>54</v>
      </c>
      <c r="AM80" s="260" t="b">
        <f t="shared" si="1"/>
        <v>0</v>
      </c>
      <c r="AN80" s="294"/>
    </row>
    <row r="81">
      <c r="A81" s="299">
        <f t="array" ref="A81">INDEX('Federal Tax, Stock Buybacks, &amp; '!D:D,match(B81,'Federal Tax, Stock Buybacks, &amp; '!E:E,0))</f>
        <v>214</v>
      </c>
      <c r="B81" s="281" t="s">
        <v>21</v>
      </c>
      <c r="C81" s="316"/>
      <c r="D81" s="316"/>
      <c r="E81" s="284"/>
      <c r="F81" s="268"/>
      <c r="G81" s="316"/>
      <c r="H81" s="316"/>
      <c r="I81" s="284"/>
      <c r="J81" s="268"/>
      <c r="K81" s="316" t="s">
        <v>280</v>
      </c>
      <c r="L81" s="316" t="s">
        <v>1650</v>
      </c>
      <c r="M81" s="284">
        <v>3051329.0</v>
      </c>
      <c r="N81" s="268"/>
      <c r="O81" s="285" t="s">
        <v>280</v>
      </c>
      <c r="P81" s="285" t="s">
        <v>1650</v>
      </c>
      <c r="Q81" s="284">
        <v>2721722.0</v>
      </c>
      <c r="R81" s="268"/>
      <c r="S81" s="285" t="s">
        <v>280</v>
      </c>
      <c r="T81" s="285" t="s">
        <v>1650</v>
      </c>
      <c r="U81" s="284">
        <v>2647929.0</v>
      </c>
      <c r="V81" s="268"/>
      <c r="W81" s="285" t="s">
        <v>280</v>
      </c>
      <c r="X81" s="285" t="s">
        <v>1650</v>
      </c>
      <c r="Y81" s="284">
        <v>2735804.0</v>
      </c>
      <c r="Z81" s="268"/>
      <c r="AA81" s="285" t="s">
        <v>280</v>
      </c>
      <c r="AB81" s="285" t="s">
        <v>1650</v>
      </c>
      <c r="AC81" s="287">
        <v>4457547.0</v>
      </c>
      <c r="AD81" s="288"/>
      <c r="AE81" s="321"/>
      <c r="AF81" s="321"/>
      <c r="AG81" s="321"/>
      <c r="AH81" s="321"/>
      <c r="AI81" s="321"/>
      <c r="AJ81" s="293"/>
      <c r="AK81" s="260"/>
      <c r="AL81" s="259">
        <f>MATCH(B81,'Key Findings'!B:B,0)</f>
        <v>54</v>
      </c>
      <c r="AM81" s="260" t="b">
        <f t="shared" si="1"/>
        <v>0</v>
      </c>
      <c r="AN81" s="294"/>
    </row>
    <row r="82">
      <c r="A82" s="299">
        <f t="array" ref="A82">INDEX('Federal Tax, Stock Buybacks, &amp; '!D:D,match(B82,'Federal Tax, Stock Buybacks, &amp; '!E:E,0))</f>
        <v>214</v>
      </c>
      <c r="B82" s="281" t="s">
        <v>21</v>
      </c>
      <c r="C82" s="316"/>
      <c r="D82" s="316"/>
      <c r="E82" s="284"/>
      <c r="F82" s="268"/>
      <c r="G82" s="316"/>
      <c r="H82" s="316"/>
      <c r="I82" s="284"/>
      <c r="J82" s="268"/>
      <c r="K82" s="316" t="s">
        <v>172</v>
      </c>
      <c r="L82" s="316" t="s">
        <v>1651</v>
      </c>
      <c r="M82" s="284">
        <v>2738342.0</v>
      </c>
      <c r="N82" s="268"/>
      <c r="O82" s="285" t="s">
        <v>172</v>
      </c>
      <c r="P82" s="285" t="s">
        <v>1651</v>
      </c>
      <c r="Q82" s="284">
        <v>2234532.0</v>
      </c>
      <c r="R82" s="268"/>
      <c r="S82" s="285" t="s">
        <v>172</v>
      </c>
      <c r="T82" s="285" t="s">
        <v>1651</v>
      </c>
      <c r="U82" s="284">
        <v>1923987.0</v>
      </c>
      <c r="V82" s="268"/>
      <c r="W82" s="285" t="s">
        <v>172</v>
      </c>
      <c r="X82" s="285" t="s">
        <v>1651</v>
      </c>
      <c r="Y82" s="284">
        <v>1763035.0</v>
      </c>
      <c r="Z82" s="268"/>
      <c r="AA82" s="285" t="s">
        <v>172</v>
      </c>
      <c r="AB82" s="285" t="s">
        <v>1651</v>
      </c>
      <c r="AC82" s="287">
        <v>1494541.0</v>
      </c>
      <c r="AD82" s="288"/>
      <c r="AE82" s="321"/>
      <c r="AF82" s="321"/>
      <c r="AG82" s="321"/>
      <c r="AH82" s="321"/>
      <c r="AI82" s="321"/>
      <c r="AJ82" s="293"/>
      <c r="AK82" s="260"/>
      <c r="AL82" s="259">
        <f>MATCH(B82,'Key Findings'!B:B,0)</f>
        <v>54</v>
      </c>
      <c r="AM82" s="260" t="b">
        <f t="shared" si="1"/>
        <v>0</v>
      </c>
      <c r="AN82" s="294"/>
    </row>
    <row r="83">
      <c r="A83" s="299">
        <f t="array" ref="A83">INDEX('Federal Tax, Stock Buybacks, &amp; '!D:D,match(B83,'Federal Tax, Stock Buybacks, &amp; '!E:E,0))</f>
        <v>214</v>
      </c>
      <c r="B83" s="281" t="s">
        <v>21</v>
      </c>
      <c r="C83" s="316"/>
      <c r="D83" s="316"/>
      <c r="E83" s="284"/>
      <c r="F83" s="268"/>
      <c r="G83" s="316"/>
      <c r="H83" s="316"/>
      <c r="I83" s="284"/>
      <c r="J83" s="268"/>
      <c r="K83" s="316" t="s">
        <v>502</v>
      </c>
      <c r="L83" s="316" t="s">
        <v>1652</v>
      </c>
      <c r="M83" s="284">
        <v>3090518.0</v>
      </c>
      <c r="N83" s="268"/>
      <c r="O83" s="285" t="s">
        <v>502</v>
      </c>
      <c r="P83" s="285" t="s">
        <v>1652</v>
      </c>
      <c r="Q83" s="284">
        <v>2984497.0</v>
      </c>
      <c r="R83" s="268"/>
      <c r="S83" s="285" t="s">
        <v>502</v>
      </c>
      <c r="T83" s="285" t="s">
        <v>1652</v>
      </c>
      <c r="U83" s="284">
        <v>2845052.0</v>
      </c>
      <c r="V83" s="268"/>
      <c r="W83" s="285" t="s">
        <v>452</v>
      </c>
      <c r="X83" s="286" t="s">
        <v>1653</v>
      </c>
      <c r="Y83" s="284">
        <v>8650752.0</v>
      </c>
      <c r="Z83" s="268"/>
      <c r="AA83" s="285" t="s">
        <v>452</v>
      </c>
      <c r="AB83" s="286" t="s">
        <v>1653</v>
      </c>
      <c r="AC83" s="287">
        <v>3292839.0</v>
      </c>
      <c r="AD83" s="288"/>
      <c r="AE83" s="321"/>
      <c r="AF83" s="321"/>
      <c r="AG83" s="321"/>
      <c r="AH83" s="321"/>
      <c r="AI83" s="321"/>
      <c r="AJ83" s="293"/>
      <c r="AK83" s="260"/>
      <c r="AL83" s="259">
        <f>MATCH(B83,'Key Findings'!B:B,0)</f>
        <v>54</v>
      </c>
      <c r="AM83" s="260" t="b">
        <f t="shared" si="1"/>
        <v>0</v>
      </c>
      <c r="AN83" s="294"/>
    </row>
    <row r="84">
      <c r="A84" s="299">
        <f t="array" ref="A84">INDEX('Federal Tax, Stock Buybacks, &amp; '!D:D,match(B84,'Federal Tax, Stock Buybacks, &amp; '!E:E,0))</f>
        <v>214</v>
      </c>
      <c r="B84" s="281" t="s">
        <v>21</v>
      </c>
      <c r="C84" s="298"/>
      <c r="D84" s="296"/>
      <c r="E84" s="297"/>
      <c r="F84" s="268"/>
      <c r="G84" s="298"/>
      <c r="H84" s="296"/>
      <c r="I84" s="297"/>
      <c r="J84" s="268"/>
      <c r="K84" s="298" t="s">
        <v>711</v>
      </c>
      <c r="L84" s="296" t="s">
        <v>711</v>
      </c>
      <c r="M84" s="297" t="s">
        <v>711</v>
      </c>
      <c r="N84" s="268"/>
      <c r="O84" s="296" t="s">
        <v>711</v>
      </c>
      <c r="P84" s="296" t="s">
        <v>711</v>
      </c>
      <c r="Q84" s="297" t="s">
        <v>711</v>
      </c>
      <c r="R84" s="268"/>
      <c r="S84" s="296" t="s">
        <v>711</v>
      </c>
      <c r="T84" s="296" t="s">
        <v>711</v>
      </c>
      <c r="U84" s="297" t="s">
        <v>711</v>
      </c>
      <c r="V84" s="268"/>
      <c r="W84" s="296" t="s">
        <v>711</v>
      </c>
      <c r="X84" s="296" t="s">
        <v>711</v>
      </c>
      <c r="Y84" s="297" t="s">
        <v>711</v>
      </c>
      <c r="Z84" s="268"/>
      <c r="AA84" s="285" t="s">
        <v>488</v>
      </c>
      <c r="AB84" s="286" t="s">
        <v>1654</v>
      </c>
      <c r="AC84" s="287">
        <v>9761874.0</v>
      </c>
      <c r="AD84" s="288"/>
      <c r="AE84" s="321"/>
      <c r="AF84" s="321"/>
      <c r="AG84" s="321"/>
      <c r="AH84" s="321"/>
      <c r="AI84" s="321"/>
      <c r="AJ84" s="293"/>
      <c r="AK84" s="260"/>
      <c r="AL84" s="259">
        <f>MATCH(B84,'Key Findings'!B:B,0)</f>
        <v>54</v>
      </c>
      <c r="AM84" s="260" t="b">
        <f t="shared" si="1"/>
        <v>0</v>
      </c>
      <c r="AN84" s="294"/>
    </row>
    <row r="85">
      <c r="A85" s="169">
        <f t="array" ref="A85">INDEX('Federal Tax, Stock Buybacks, &amp; '!D:D,match(B85,'Federal Tax, Stock Buybacks, &amp; '!E:E,0))</f>
        <v>30</v>
      </c>
      <c r="B85" s="338" t="s">
        <v>49</v>
      </c>
      <c r="C85" s="301"/>
      <c r="D85" s="349"/>
      <c r="E85" s="305"/>
      <c r="F85" s="268"/>
      <c r="G85" s="301"/>
      <c r="H85" s="349"/>
      <c r="I85" s="305"/>
      <c r="J85" s="268"/>
      <c r="K85" s="301" t="s">
        <v>117</v>
      </c>
      <c r="L85" s="349" t="s">
        <v>1655</v>
      </c>
      <c r="M85" s="305">
        <v>2.2915526E7</v>
      </c>
      <c r="N85" s="268"/>
      <c r="O85" s="304" t="s">
        <v>317</v>
      </c>
      <c r="P85" s="304" t="s">
        <v>1656</v>
      </c>
      <c r="Q85" s="305">
        <v>4145305.0</v>
      </c>
      <c r="R85" s="268"/>
      <c r="S85" s="304" t="s">
        <v>317</v>
      </c>
      <c r="T85" s="304" t="s">
        <v>1657</v>
      </c>
      <c r="U85" s="305">
        <v>1.6137145E7</v>
      </c>
      <c r="V85" s="268"/>
      <c r="W85" s="304" t="s">
        <v>317</v>
      </c>
      <c r="X85" s="304" t="s">
        <v>1657</v>
      </c>
      <c r="Y85" s="305">
        <v>1.6725328E7</v>
      </c>
      <c r="Z85" s="268"/>
      <c r="AA85" s="304" t="s">
        <v>317</v>
      </c>
      <c r="AB85" s="304" t="s">
        <v>1657</v>
      </c>
      <c r="AC85" s="305">
        <v>1.5642304E7</v>
      </c>
      <c r="AD85" s="343"/>
      <c r="AE85" s="379">
        <v>2022.0</v>
      </c>
      <c r="AF85" s="379">
        <v>2021.0</v>
      </c>
      <c r="AG85" s="379">
        <v>2020.0</v>
      </c>
      <c r="AH85" s="379">
        <v>2019.0</v>
      </c>
      <c r="AI85" s="379">
        <v>2018.0</v>
      </c>
      <c r="AJ85" s="367" t="s">
        <v>1524</v>
      </c>
      <c r="AK85" s="274"/>
      <c r="AL85" s="275">
        <f>MATCH(B85,'Key Findings'!B:B,0)</f>
        <v>14</v>
      </c>
      <c r="AM85" s="274" t="b">
        <f t="shared" si="1"/>
        <v>0</v>
      </c>
      <c r="AN85" s="291" t="s">
        <v>1534</v>
      </c>
    </row>
    <row r="86">
      <c r="A86" s="169">
        <f t="array" ref="A86">INDEX('Federal Tax, Stock Buybacks, &amp; '!D:D,match(B86,'Federal Tax, Stock Buybacks, &amp; '!E:E,0))</f>
        <v>30</v>
      </c>
      <c r="B86" s="338" t="s">
        <v>49</v>
      </c>
      <c r="C86" s="301"/>
      <c r="D86" s="349"/>
      <c r="E86" s="305"/>
      <c r="F86" s="268"/>
      <c r="G86" s="301"/>
      <c r="H86" s="349"/>
      <c r="I86" s="305"/>
      <c r="J86" s="268"/>
      <c r="K86" s="301" t="s">
        <v>268</v>
      </c>
      <c r="L86" s="349" t="s">
        <v>1658</v>
      </c>
      <c r="M86" s="305">
        <v>1.1295315E7</v>
      </c>
      <c r="N86" s="268"/>
      <c r="O86" s="304" t="s">
        <v>119</v>
      </c>
      <c r="P86" s="304" t="s">
        <v>1659</v>
      </c>
      <c r="Q86" s="305">
        <v>1.6345499E7</v>
      </c>
      <c r="R86" s="268"/>
      <c r="S86" s="304" t="s">
        <v>119</v>
      </c>
      <c r="T86" s="304" t="s">
        <v>1606</v>
      </c>
      <c r="U86" s="305">
        <v>2.9154628E7</v>
      </c>
      <c r="V86" s="268"/>
      <c r="W86" s="304" t="s">
        <v>330</v>
      </c>
      <c r="X86" s="304" t="s">
        <v>1660</v>
      </c>
      <c r="Y86" s="305">
        <v>2.7021978E7</v>
      </c>
      <c r="Z86" s="268"/>
      <c r="AA86" s="304" t="s">
        <v>330</v>
      </c>
      <c r="AB86" s="304" t="s">
        <v>1661</v>
      </c>
      <c r="AC86" s="305">
        <v>1.4585867E7</v>
      </c>
      <c r="AD86" s="343"/>
      <c r="AE86" s="347"/>
      <c r="AF86" s="313"/>
      <c r="AG86" s="313"/>
      <c r="AH86" s="313"/>
      <c r="AI86" s="313"/>
      <c r="AJ86" s="368"/>
      <c r="AK86" s="274"/>
      <c r="AL86" s="275">
        <f>MATCH(B86,'Key Findings'!B:B,0)</f>
        <v>14</v>
      </c>
      <c r="AM86" s="274" t="b">
        <f t="shared" si="1"/>
        <v>0</v>
      </c>
      <c r="AN86" s="294"/>
    </row>
    <row r="87">
      <c r="A87" s="169">
        <f t="array" ref="A87">INDEX('Federal Tax, Stock Buybacks, &amp; '!D:D,match(B87,'Federal Tax, Stock Buybacks, &amp; '!E:E,0))</f>
        <v>30</v>
      </c>
      <c r="B87" s="338" t="s">
        <v>49</v>
      </c>
      <c r="C87" s="301"/>
      <c r="D87" s="349"/>
      <c r="E87" s="305"/>
      <c r="F87" s="268"/>
      <c r="G87" s="301"/>
      <c r="H87" s="349"/>
      <c r="I87" s="305"/>
      <c r="J87" s="268"/>
      <c r="K87" s="301" t="s">
        <v>329</v>
      </c>
      <c r="L87" s="349" t="s">
        <v>1662</v>
      </c>
      <c r="M87" s="305">
        <v>1.3312646E7</v>
      </c>
      <c r="N87" s="268"/>
      <c r="O87" s="304" t="s">
        <v>117</v>
      </c>
      <c r="P87" s="304" t="s">
        <v>1655</v>
      </c>
      <c r="Q87" s="305">
        <v>2.4820879E7</v>
      </c>
      <c r="R87" s="268"/>
      <c r="S87" s="304" t="s">
        <v>117</v>
      </c>
      <c r="T87" s="304" t="s">
        <v>1663</v>
      </c>
      <c r="U87" s="305">
        <v>2.1020917E7</v>
      </c>
      <c r="V87" s="268"/>
      <c r="W87" s="304" t="s">
        <v>119</v>
      </c>
      <c r="X87" s="304" t="s">
        <v>1664</v>
      </c>
      <c r="Y87" s="305">
        <v>3.2032925E7</v>
      </c>
      <c r="Z87" s="268"/>
      <c r="AA87" s="304" t="s">
        <v>119</v>
      </c>
      <c r="AB87" s="304" t="s">
        <v>1665</v>
      </c>
      <c r="AC87" s="305">
        <v>2.9118118E7</v>
      </c>
      <c r="AD87" s="343"/>
      <c r="AE87" s="347"/>
      <c r="AF87" s="313"/>
      <c r="AG87" s="313"/>
      <c r="AH87" s="313"/>
      <c r="AI87" s="313"/>
      <c r="AJ87" s="368"/>
      <c r="AK87" s="274"/>
      <c r="AL87" s="275">
        <f>MATCH(B87,'Key Findings'!B:B,0)</f>
        <v>14</v>
      </c>
      <c r="AM87" s="274" t="b">
        <f t="shared" si="1"/>
        <v>0</v>
      </c>
      <c r="AN87" s="294"/>
    </row>
    <row r="88">
      <c r="A88" s="169">
        <f t="array" ref="A88">INDEX('Federal Tax, Stock Buybacks, &amp; '!D:D,match(B88,'Federal Tax, Stock Buybacks, &amp; '!E:E,0))</f>
        <v>30</v>
      </c>
      <c r="B88" s="338" t="s">
        <v>49</v>
      </c>
      <c r="C88" s="301"/>
      <c r="D88" s="349"/>
      <c r="E88" s="305"/>
      <c r="F88" s="268"/>
      <c r="G88" s="301"/>
      <c r="H88" s="349"/>
      <c r="I88" s="305"/>
      <c r="J88" s="268"/>
      <c r="K88" s="301" t="s">
        <v>397</v>
      </c>
      <c r="L88" s="349" t="s">
        <v>1666</v>
      </c>
      <c r="M88" s="305">
        <v>9746405.0</v>
      </c>
      <c r="N88" s="268"/>
      <c r="O88" s="304" t="s">
        <v>268</v>
      </c>
      <c r="P88" s="304" t="s">
        <v>1658</v>
      </c>
      <c r="Q88" s="305">
        <v>1.0542922E7</v>
      </c>
      <c r="R88" s="268"/>
      <c r="S88" s="304" t="s">
        <v>268</v>
      </c>
      <c r="T88" s="304" t="s">
        <v>1667</v>
      </c>
      <c r="U88" s="305">
        <v>1.8608614E7</v>
      </c>
      <c r="V88" s="268"/>
      <c r="W88" s="304" t="s">
        <v>117</v>
      </c>
      <c r="X88" s="304" t="s">
        <v>1668</v>
      </c>
      <c r="Y88" s="305">
        <v>2.2473006E7</v>
      </c>
      <c r="Z88" s="268"/>
      <c r="AA88" s="304" t="s">
        <v>117</v>
      </c>
      <c r="AB88" s="304" t="s">
        <v>1669</v>
      </c>
      <c r="AC88" s="305">
        <v>1.6552905E7</v>
      </c>
      <c r="AD88" s="343"/>
      <c r="AE88" s="347"/>
      <c r="AF88" s="313"/>
      <c r="AG88" s="313"/>
      <c r="AH88" s="313"/>
      <c r="AI88" s="313"/>
      <c r="AJ88" s="368"/>
      <c r="AK88" s="274"/>
      <c r="AL88" s="275">
        <f>MATCH(B88,'Key Findings'!B:B,0)</f>
        <v>14</v>
      </c>
      <c r="AM88" s="274" t="b">
        <f t="shared" si="1"/>
        <v>0</v>
      </c>
      <c r="AN88" s="294"/>
    </row>
    <row r="89">
      <c r="A89" s="169">
        <f t="array" ref="A89">INDEX('Federal Tax, Stock Buybacks, &amp; '!D:D,match(B89,'Federal Tax, Stock Buybacks, &amp; '!E:E,0))</f>
        <v>30</v>
      </c>
      <c r="B89" s="338" t="s">
        <v>49</v>
      </c>
      <c r="C89" s="301"/>
      <c r="D89" s="349"/>
      <c r="E89" s="305"/>
      <c r="F89" s="268"/>
      <c r="G89" s="301"/>
      <c r="H89" s="349"/>
      <c r="I89" s="305"/>
      <c r="J89" s="268"/>
      <c r="K89" s="301" t="s">
        <v>373</v>
      </c>
      <c r="L89" s="349" t="s">
        <v>1670</v>
      </c>
      <c r="M89" s="305">
        <v>1.1752507E7</v>
      </c>
      <c r="N89" s="268"/>
      <c r="O89" s="304" t="s">
        <v>329</v>
      </c>
      <c r="P89" s="304" t="s">
        <v>1661</v>
      </c>
      <c r="Q89" s="305">
        <v>1.2329529E7</v>
      </c>
      <c r="R89" s="268"/>
      <c r="S89" s="304" t="s">
        <v>329</v>
      </c>
      <c r="T89" s="304" t="s">
        <v>1661</v>
      </c>
      <c r="U89" s="305">
        <v>8572120.0</v>
      </c>
      <c r="V89" s="268"/>
      <c r="W89" s="304" t="s">
        <v>268</v>
      </c>
      <c r="X89" s="304" t="s">
        <v>1667</v>
      </c>
      <c r="Y89" s="305">
        <v>9351376.0</v>
      </c>
      <c r="Z89" s="268"/>
      <c r="AA89" s="304" t="s">
        <v>268</v>
      </c>
      <c r="AB89" s="304" t="s">
        <v>1667</v>
      </c>
      <c r="AC89" s="305">
        <v>1.2849276E7</v>
      </c>
      <c r="AD89" s="343"/>
      <c r="AE89" s="347"/>
      <c r="AF89" s="313"/>
      <c r="AG89" s="313"/>
      <c r="AH89" s="313"/>
      <c r="AI89" s="313"/>
      <c r="AJ89" s="368"/>
      <c r="AK89" s="274"/>
      <c r="AL89" s="275">
        <f>MATCH(B89,'Key Findings'!B:B,0)</f>
        <v>14</v>
      </c>
      <c r="AM89" s="274" t="b">
        <f t="shared" si="1"/>
        <v>0</v>
      </c>
      <c r="AN89" s="294"/>
    </row>
    <row r="90">
      <c r="A90" s="169">
        <f t="array" ref="A90">INDEX('Federal Tax, Stock Buybacks, &amp; '!D:D,match(B90,'Federal Tax, Stock Buybacks, &amp; '!E:E,0))</f>
        <v>30</v>
      </c>
      <c r="B90" s="338" t="s">
        <v>49</v>
      </c>
      <c r="C90" s="350"/>
      <c r="D90" s="350"/>
      <c r="E90" s="305"/>
      <c r="F90" s="268"/>
      <c r="G90" s="350"/>
      <c r="H90" s="350"/>
      <c r="I90" s="305"/>
      <c r="J90" s="268"/>
      <c r="K90" s="350" t="s">
        <v>711</v>
      </c>
      <c r="L90" s="350" t="s">
        <v>711</v>
      </c>
      <c r="M90" s="305" t="s">
        <v>711</v>
      </c>
      <c r="N90" s="268"/>
      <c r="O90" s="304" t="s">
        <v>397</v>
      </c>
      <c r="P90" s="304" t="s">
        <v>1671</v>
      </c>
      <c r="Q90" s="305">
        <v>7509257.0</v>
      </c>
      <c r="R90" s="268"/>
      <c r="S90" s="304" t="s">
        <v>318</v>
      </c>
      <c r="T90" s="304" t="s">
        <v>1672</v>
      </c>
      <c r="U90" s="305">
        <v>5.2172599E7</v>
      </c>
      <c r="V90" s="268"/>
      <c r="W90" s="304" t="s">
        <v>329</v>
      </c>
      <c r="X90" s="304" t="s">
        <v>1661</v>
      </c>
      <c r="Y90" s="305">
        <v>7676325.0</v>
      </c>
      <c r="Z90" s="268"/>
      <c r="AA90" s="350" t="s">
        <v>711</v>
      </c>
      <c r="AB90" s="350" t="s">
        <v>711</v>
      </c>
      <c r="AC90" s="305" t="s">
        <v>711</v>
      </c>
      <c r="AD90" s="343"/>
      <c r="AE90" s="347"/>
      <c r="AF90" s="313"/>
      <c r="AG90" s="313"/>
      <c r="AH90" s="313"/>
      <c r="AI90" s="313"/>
      <c r="AJ90" s="368"/>
      <c r="AK90" s="274"/>
      <c r="AL90" s="275">
        <f>MATCH(B90,'Key Findings'!B:B,0)</f>
        <v>14</v>
      </c>
      <c r="AM90" s="274" t="b">
        <f t="shared" si="1"/>
        <v>0</v>
      </c>
      <c r="AN90" s="294"/>
    </row>
    <row r="91">
      <c r="A91" s="169">
        <f t="array" ref="A91">INDEX('Federal Tax, Stock Buybacks, &amp; '!D:D,match(B91,'Federal Tax, Stock Buybacks, &amp; '!E:E,0))</f>
        <v>30</v>
      </c>
      <c r="B91" s="338" t="s">
        <v>49</v>
      </c>
      <c r="C91" s="350"/>
      <c r="D91" s="350"/>
      <c r="E91" s="305"/>
      <c r="F91" s="268"/>
      <c r="G91" s="350"/>
      <c r="H91" s="350"/>
      <c r="I91" s="305"/>
      <c r="J91" s="268"/>
      <c r="K91" s="350" t="s">
        <v>711</v>
      </c>
      <c r="L91" s="350" t="s">
        <v>711</v>
      </c>
      <c r="M91" s="305" t="s">
        <v>711</v>
      </c>
      <c r="N91" s="268"/>
      <c r="O91" s="304" t="s">
        <v>373</v>
      </c>
      <c r="P91" s="304" t="s">
        <v>1657</v>
      </c>
      <c r="Q91" s="305">
        <v>1.1745133E7</v>
      </c>
      <c r="R91" s="268"/>
      <c r="S91" s="350" t="s">
        <v>711</v>
      </c>
      <c r="T91" s="350" t="s">
        <v>711</v>
      </c>
      <c r="U91" s="305" t="s">
        <v>711</v>
      </c>
      <c r="V91" s="268"/>
      <c r="W91" s="350" t="s">
        <v>711</v>
      </c>
      <c r="X91" s="350" t="s">
        <v>711</v>
      </c>
      <c r="Y91" s="305" t="s">
        <v>711</v>
      </c>
      <c r="Z91" s="268"/>
      <c r="AA91" s="350" t="s">
        <v>711</v>
      </c>
      <c r="AB91" s="350" t="s">
        <v>711</v>
      </c>
      <c r="AC91" s="305" t="s">
        <v>711</v>
      </c>
      <c r="AD91" s="343"/>
      <c r="AE91" s="347"/>
      <c r="AF91" s="313"/>
      <c r="AG91" s="313"/>
      <c r="AH91" s="313"/>
      <c r="AI91" s="313"/>
      <c r="AJ91" s="368"/>
      <c r="AK91" s="274"/>
      <c r="AL91" s="275">
        <f>MATCH(B91,'Key Findings'!B:B,0)</f>
        <v>14</v>
      </c>
      <c r="AM91" s="274" t="b">
        <f t="shared" si="1"/>
        <v>0</v>
      </c>
      <c r="AN91" s="294"/>
    </row>
    <row r="92">
      <c r="A92" s="299">
        <f t="array" ref="A92">INDEX('Federal Tax, Stock Buybacks, &amp; '!D:D,match(B92,'Federal Tax, Stock Buybacks, &amp; '!E:E,0))</f>
        <v>10</v>
      </c>
      <c r="B92" s="352" t="s">
        <v>51</v>
      </c>
      <c r="C92" s="352"/>
      <c r="D92" s="352"/>
      <c r="E92" s="354"/>
      <c r="F92" s="268"/>
      <c r="G92" s="352"/>
      <c r="H92" s="352"/>
      <c r="I92" s="354"/>
      <c r="J92" s="268"/>
      <c r="K92" s="352" t="s">
        <v>564</v>
      </c>
      <c r="L92" s="352" t="s">
        <v>1673</v>
      </c>
      <c r="M92" s="354">
        <v>8122400.0</v>
      </c>
      <c r="N92" s="268"/>
      <c r="O92" s="355" t="s">
        <v>105</v>
      </c>
      <c r="P92" s="355" t="s">
        <v>1674</v>
      </c>
      <c r="Q92" s="354">
        <v>2.2610285E7</v>
      </c>
      <c r="R92" s="268"/>
      <c r="S92" s="355" t="s">
        <v>105</v>
      </c>
      <c r="T92" s="355" t="s">
        <v>1674</v>
      </c>
      <c r="U92" s="354">
        <v>2.9016686E7</v>
      </c>
      <c r="V92" s="268"/>
      <c r="W92" s="355" t="s">
        <v>458</v>
      </c>
      <c r="X92" s="355" t="s">
        <v>1675</v>
      </c>
      <c r="Y92" s="354">
        <v>9173170.0</v>
      </c>
      <c r="Z92" s="268"/>
      <c r="AA92" s="380" t="s">
        <v>675</v>
      </c>
      <c r="AB92" s="355" t="s">
        <v>1676</v>
      </c>
      <c r="AC92" s="354">
        <v>1241499.0</v>
      </c>
      <c r="AD92" s="355"/>
      <c r="AE92" s="381">
        <v>2022.0</v>
      </c>
      <c r="AF92" s="381">
        <v>2021.0</v>
      </c>
      <c r="AG92" s="381">
        <v>2020.0</v>
      </c>
      <c r="AH92" s="381">
        <v>2019.0</v>
      </c>
      <c r="AI92" s="381">
        <v>2018.0</v>
      </c>
      <c r="AJ92" s="382" t="s">
        <v>1524</v>
      </c>
      <c r="AK92" s="260"/>
      <c r="AL92" s="259">
        <f>MATCH(B92,'Key Findings'!B:B,0)</f>
        <v>16</v>
      </c>
      <c r="AM92" s="260" t="b">
        <f t="shared" si="1"/>
        <v>0</v>
      </c>
      <c r="AN92" s="330" t="s">
        <v>1534</v>
      </c>
    </row>
    <row r="93">
      <c r="A93" s="299">
        <f t="array" ref="A93">INDEX('Federal Tax, Stock Buybacks, &amp; '!D:D,match(B93,'Federal Tax, Stock Buybacks, &amp; '!E:E,0))</f>
        <v>10</v>
      </c>
      <c r="B93" s="352" t="s">
        <v>51</v>
      </c>
      <c r="C93" s="352"/>
      <c r="D93" s="352"/>
      <c r="E93" s="354"/>
      <c r="F93" s="268"/>
      <c r="G93" s="352"/>
      <c r="H93" s="352"/>
      <c r="I93" s="354"/>
      <c r="J93" s="268"/>
      <c r="K93" s="352" t="s">
        <v>105</v>
      </c>
      <c r="L93" s="352" t="s">
        <v>1674</v>
      </c>
      <c r="M93" s="354">
        <v>2.3573925E7</v>
      </c>
      <c r="N93" s="268"/>
      <c r="O93" s="355" t="s">
        <v>271</v>
      </c>
      <c r="P93" s="355" t="s">
        <v>1677</v>
      </c>
      <c r="Q93" s="354">
        <v>9446827.0</v>
      </c>
      <c r="R93" s="268"/>
      <c r="S93" s="355" t="s">
        <v>271</v>
      </c>
      <c r="T93" s="355" t="s">
        <v>1677</v>
      </c>
      <c r="U93" s="354">
        <v>1.0202056E7</v>
      </c>
      <c r="V93" s="268"/>
      <c r="W93" s="355" t="s">
        <v>105</v>
      </c>
      <c r="X93" s="355" t="s">
        <v>1664</v>
      </c>
      <c r="Y93" s="354">
        <v>3.3070662E7</v>
      </c>
      <c r="Z93" s="268"/>
      <c r="AA93" s="355" t="s">
        <v>458</v>
      </c>
      <c r="AB93" s="355" t="s">
        <v>1651</v>
      </c>
      <c r="AC93" s="354">
        <v>7159079.0</v>
      </c>
      <c r="AD93" s="355"/>
      <c r="AE93" s="383"/>
      <c r="AF93" s="352"/>
      <c r="AG93" s="352"/>
      <c r="AH93" s="352"/>
      <c r="AI93" s="352"/>
      <c r="AJ93" s="290"/>
      <c r="AK93" s="260"/>
      <c r="AL93" s="259">
        <f>MATCH(B93,'Key Findings'!B:B,0)</f>
        <v>16</v>
      </c>
      <c r="AM93" s="260" t="b">
        <f t="shared" si="1"/>
        <v>0</v>
      </c>
      <c r="AN93" s="276"/>
    </row>
    <row r="94">
      <c r="A94" s="299">
        <f t="array" ref="A94">INDEX('Federal Tax, Stock Buybacks, &amp; '!D:D,match(B94,'Federal Tax, Stock Buybacks, &amp; '!E:E,0))</f>
        <v>10</v>
      </c>
      <c r="B94" s="352" t="s">
        <v>51</v>
      </c>
      <c r="C94" s="352"/>
      <c r="D94" s="352"/>
      <c r="E94" s="354"/>
      <c r="F94" s="268"/>
      <c r="G94" s="352"/>
      <c r="H94" s="352"/>
      <c r="I94" s="354"/>
      <c r="J94" s="268"/>
      <c r="K94" s="352" t="s">
        <v>271</v>
      </c>
      <c r="L94" s="352" t="s">
        <v>1678</v>
      </c>
      <c r="M94" s="354">
        <v>8974810.0</v>
      </c>
      <c r="N94" s="268"/>
      <c r="O94" s="380" t="s">
        <v>371</v>
      </c>
      <c r="P94" s="355" t="s">
        <v>1679</v>
      </c>
      <c r="Q94" s="354">
        <v>9076011.0</v>
      </c>
      <c r="R94" s="268"/>
      <c r="S94" s="380" t="s">
        <v>371</v>
      </c>
      <c r="T94" s="355" t="s">
        <v>1679</v>
      </c>
      <c r="U94" s="354">
        <v>7952258.0</v>
      </c>
      <c r="V94" s="268"/>
      <c r="W94" s="355" t="s">
        <v>271</v>
      </c>
      <c r="X94" s="355" t="s">
        <v>1677</v>
      </c>
      <c r="Y94" s="354">
        <v>1.531563E7</v>
      </c>
      <c r="Z94" s="268"/>
      <c r="AA94" s="355" t="s">
        <v>105</v>
      </c>
      <c r="AB94" s="355" t="s">
        <v>1664</v>
      </c>
      <c r="AC94" s="354">
        <v>2.0640623E7</v>
      </c>
      <c r="AD94" s="355"/>
      <c r="AE94" s="383"/>
      <c r="AF94" s="352"/>
      <c r="AG94" s="352"/>
      <c r="AH94" s="352"/>
      <c r="AI94" s="352"/>
      <c r="AJ94" s="290"/>
      <c r="AK94" s="260"/>
      <c r="AL94" s="259">
        <f>MATCH(B94,'Key Findings'!B:B,0)</f>
        <v>16</v>
      </c>
      <c r="AM94" s="260" t="b">
        <f t="shared" si="1"/>
        <v>0</v>
      </c>
      <c r="AN94" s="276"/>
    </row>
    <row r="95">
      <c r="A95" s="299">
        <f t="array" ref="A95">INDEX('Federal Tax, Stock Buybacks, &amp; '!D:D,match(B95,'Federal Tax, Stock Buybacks, &amp; '!E:E,0))</f>
        <v>10</v>
      </c>
      <c r="B95" s="352" t="s">
        <v>51</v>
      </c>
      <c r="C95" s="352"/>
      <c r="D95" s="352"/>
      <c r="E95" s="354"/>
      <c r="F95" s="268"/>
      <c r="G95" s="352"/>
      <c r="H95" s="352"/>
      <c r="I95" s="354"/>
      <c r="J95" s="268"/>
      <c r="K95" s="352" t="s">
        <v>267</v>
      </c>
      <c r="L95" s="352" t="s">
        <v>1651</v>
      </c>
      <c r="M95" s="354">
        <v>7305507.0</v>
      </c>
      <c r="N95" s="268"/>
      <c r="O95" s="355" t="s">
        <v>267</v>
      </c>
      <c r="P95" s="355" t="s">
        <v>1651</v>
      </c>
      <c r="Q95" s="354">
        <v>8105534.0</v>
      </c>
      <c r="R95" s="268"/>
      <c r="S95" s="355" t="s">
        <v>267</v>
      </c>
      <c r="T95" s="355" t="s">
        <v>1651</v>
      </c>
      <c r="U95" s="354">
        <v>8353214.0</v>
      </c>
      <c r="V95" s="268"/>
      <c r="W95" s="380" t="s">
        <v>371</v>
      </c>
      <c r="X95" s="355" t="s">
        <v>1680</v>
      </c>
      <c r="Y95" s="354">
        <v>1.3009803E7</v>
      </c>
      <c r="Z95" s="268"/>
      <c r="AA95" s="355" t="s">
        <v>271</v>
      </c>
      <c r="AB95" s="355" t="s">
        <v>1677</v>
      </c>
      <c r="AC95" s="354">
        <v>1.0925982E7</v>
      </c>
      <c r="AD95" s="355"/>
      <c r="AE95" s="383"/>
      <c r="AF95" s="352"/>
      <c r="AG95" s="352"/>
      <c r="AH95" s="352"/>
      <c r="AI95" s="352"/>
      <c r="AJ95" s="290"/>
      <c r="AK95" s="260"/>
      <c r="AL95" s="259">
        <f>MATCH(B95,'Key Findings'!B:B,0)</f>
        <v>16</v>
      </c>
      <c r="AM95" s="260" t="b">
        <f t="shared" si="1"/>
        <v>0</v>
      </c>
      <c r="AN95" s="276"/>
    </row>
    <row r="96">
      <c r="A96" s="299">
        <f t="array" ref="A96">INDEX('Federal Tax, Stock Buybacks, &amp; '!D:D,match(B96,'Federal Tax, Stock Buybacks, &amp; '!E:E,0))</f>
        <v>10</v>
      </c>
      <c r="B96" s="352" t="s">
        <v>51</v>
      </c>
      <c r="C96" s="352"/>
      <c r="D96" s="352"/>
      <c r="E96" s="354"/>
      <c r="F96" s="268"/>
      <c r="G96" s="352"/>
      <c r="H96" s="352"/>
      <c r="I96" s="354"/>
      <c r="J96" s="268"/>
      <c r="K96" s="352" t="s">
        <v>375</v>
      </c>
      <c r="L96" s="352" t="s">
        <v>1681</v>
      </c>
      <c r="M96" s="354">
        <v>7560678.0</v>
      </c>
      <c r="N96" s="268"/>
      <c r="O96" s="355" t="s">
        <v>375</v>
      </c>
      <c r="P96" s="355" t="s">
        <v>1682</v>
      </c>
      <c r="Q96" s="354">
        <v>7988380.0</v>
      </c>
      <c r="R96" s="268"/>
      <c r="S96" s="355" t="s">
        <v>375</v>
      </c>
      <c r="T96" s="355" t="s">
        <v>1682</v>
      </c>
      <c r="U96" s="354">
        <v>9704974.0</v>
      </c>
      <c r="V96" s="268"/>
      <c r="W96" s="355" t="s">
        <v>267</v>
      </c>
      <c r="X96" s="355" t="s">
        <v>1651</v>
      </c>
      <c r="Y96" s="354">
        <v>1.142042E7</v>
      </c>
      <c r="Z96" s="268"/>
      <c r="AA96" s="380" t="s">
        <v>371</v>
      </c>
      <c r="AB96" s="355" t="s">
        <v>1683</v>
      </c>
      <c r="AC96" s="354">
        <v>7849411.0</v>
      </c>
      <c r="AD96" s="355"/>
      <c r="AE96" s="383"/>
      <c r="AF96" s="352"/>
      <c r="AG96" s="352"/>
      <c r="AH96" s="352"/>
      <c r="AI96" s="352"/>
      <c r="AJ96" s="290"/>
      <c r="AK96" s="260"/>
      <c r="AL96" s="259">
        <f>MATCH(B96,'Key Findings'!B:B,0)</f>
        <v>16</v>
      </c>
      <c r="AM96" s="260" t="b">
        <f t="shared" si="1"/>
        <v>0</v>
      </c>
      <c r="AN96" s="276"/>
    </row>
    <row r="97">
      <c r="A97" s="299">
        <f t="array" ref="A97">INDEX('Federal Tax, Stock Buybacks, &amp; '!D:D,match(B97,'Federal Tax, Stock Buybacks, &amp; '!E:E,0))</f>
        <v>10</v>
      </c>
      <c r="B97" s="352" t="s">
        <v>51</v>
      </c>
      <c r="C97" s="219"/>
      <c r="D97" s="219"/>
      <c r="E97" s="354"/>
      <c r="F97" s="268"/>
      <c r="G97" s="219"/>
      <c r="H97" s="219"/>
      <c r="I97" s="354"/>
      <c r="J97" s="268"/>
      <c r="K97" s="219" t="s">
        <v>711</v>
      </c>
      <c r="L97" s="219" t="s">
        <v>711</v>
      </c>
      <c r="M97" s="354" t="s">
        <v>711</v>
      </c>
      <c r="N97" s="268"/>
      <c r="O97" s="219" t="s">
        <v>711</v>
      </c>
      <c r="P97" s="219" t="s">
        <v>711</v>
      </c>
      <c r="Q97" s="354" t="s">
        <v>711</v>
      </c>
      <c r="R97" s="268"/>
      <c r="S97" s="219" t="s">
        <v>711</v>
      </c>
      <c r="T97" s="219" t="s">
        <v>711</v>
      </c>
      <c r="U97" s="354" t="s">
        <v>711</v>
      </c>
      <c r="V97" s="268"/>
      <c r="W97" s="355" t="s">
        <v>375</v>
      </c>
      <c r="X97" s="355" t="s">
        <v>1682</v>
      </c>
      <c r="Y97" s="354">
        <v>9821533.0</v>
      </c>
      <c r="Z97" s="268"/>
      <c r="AA97" s="355" t="s">
        <v>267</v>
      </c>
      <c r="AB97" s="355" t="s">
        <v>1682</v>
      </c>
      <c r="AC97" s="354">
        <v>8030044.0</v>
      </c>
      <c r="AD97" s="355"/>
      <c r="AE97" s="383"/>
      <c r="AF97" s="352"/>
      <c r="AG97" s="352"/>
      <c r="AH97" s="352"/>
      <c r="AI97" s="352"/>
      <c r="AJ97" s="290"/>
      <c r="AK97" s="260"/>
      <c r="AL97" s="259">
        <f>MATCH(B97,'Key Findings'!B:B,0)</f>
        <v>16</v>
      </c>
      <c r="AM97" s="260" t="b">
        <f t="shared" si="1"/>
        <v>0</v>
      </c>
      <c r="AN97" s="276"/>
    </row>
    <row r="98">
      <c r="A98" s="169">
        <f t="array" ref="A98">INDEX('Federal Tax, Stock Buybacks, &amp; '!D:D,match(B98,'Federal Tax, Stock Buybacks, &amp; '!E:E,0))</f>
        <v>21</v>
      </c>
      <c r="B98" s="338" t="s">
        <v>50</v>
      </c>
      <c r="C98" s="301"/>
      <c r="D98" s="349"/>
      <c r="E98" s="305"/>
      <c r="F98" s="268"/>
      <c r="G98" s="301"/>
      <c r="H98" s="349"/>
      <c r="I98" s="305"/>
      <c r="J98" s="268"/>
      <c r="K98" s="301" t="s">
        <v>107</v>
      </c>
      <c r="L98" s="349" t="s">
        <v>1684</v>
      </c>
      <c r="M98" s="305">
        <v>2.897957E7</v>
      </c>
      <c r="N98" s="268"/>
      <c r="O98" s="304" t="s">
        <v>107</v>
      </c>
      <c r="P98" s="304" t="s">
        <v>1684</v>
      </c>
      <c r="Q98" s="305">
        <v>2.913678E7</v>
      </c>
      <c r="R98" s="268"/>
      <c r="S98" s="304" t="s">
        <v>107</v>
      </c>
      <c r="T98" s="304" t="s">
        <v>1684</v>
      </c>
      <c r="U98" s="305">
        <v>2.3657987E7</v>
      </c>
      <c r="V98" s="268"/>
      <c r="W98" s="304" t="s">
        <v>107</v>
      </c>
      <c r="X98" s="304" t="s">
        <v>1684</v>
      </c>
      <c r="Y98" s="305">
        <v>2.1630867E7</v>
      </c>
      <c r="Z98" s="268"/>
      <c r="AA98" s="304" t="s">
        <v>464</v>
      </c>
      <c r="AB98" s="304" t="s">
        <v>1649</v>
      </c>
      <c r="AC98" s="305">
        <v>8971881.0</v>
      </c>
      <c r="AD98" s="343"/>
      <c r="AE98" s="344">
        <v>2022.0</v>
      </c>
      <c r="AF98" s="344">
        <v>2021.0</v>
      </c>
      <c r="AG98" s="344">
        <v>2020.0</v>
      </c>
      <c r="AH98" s="344">
        <v>2019.0</v>
      </c>
      <c r="AI98" s="344">
        <v>2018.0</v>
      </c>
      <c r="AJ98" s="367" t="s">
        <v>1524</v>
      </c>
      <c r="AK98" s="274"/>
      <c r="AL98" s="275">
        <f>MATCH(B98,'Key Findings'!B:B,0)</f>
        <v>18</v>
      </c>
      <c r="AM98" s="274" t="b">
        <f t="shared" si="1"/>
        <v>0</v>
      </c>
      <c r="AN98" s="291" t="s">
        <v>1685</v>
      </c>
    </row>
    <row r="99">
      <c r="A99" s="169">
        <f t="array" ref="A99">INDEX('Federal Tax, Stock Buybacks, &amp; '!D:D,match(B99,'Federal Tax, Stock Buybacks, &amp; '!E:E,0))</f>
        <v>21</v>
      </c>
      <c r="B99" s="338" t="s">
        <v>50</v>
      </c>
      <c r="C99" s="301"/>
      <c r="D99" s="349"/>
      <c r="E99" s="305"/>
      <c r="F99" s="268"/>
      <c r="G99" s="301"/>
      <c r="H99" s="349"/>
      <c r="I99" s="305"/>
      <c r="J99" s="268"/>
      <c r="K99" s="301" t="s">
        <v>167</v>
      </c>
      <c r="L99" s="349" t="s">
        <v>1649</v>
      </c>
      <c r="M99" s="305">
        <v>1.4349551E7</v>
      </c>
      <c r="N99" s="268"/>
      <c r="O99" s="304" t="s">
        <v>167</v>
      </c>
      <c r="P99" s="304" t="s">
        <v>1649</v>
      </c>
      <c r="Q99" s="305">
        <v>1.2535747E7</v>
      </c>
      <c r="R99" s="268"/>
      <c r="S99" s="304" t="s">
        <v>167</v>
      </c>
      <c r="T99" s="304" t="s">
        <v>1649</v>
      </c>
      <c r="U99" s="305">
        <v>9963402.0</v>
      </c>
      <c r="V99" s="268"/>
      <c r="W99" s="304" t="s">
        <v>167</v>
      </c>
      <c r="X99" s="304" t="s">
        <v>1649</v>
      </c>
      <c r="Y99" s="305">
        <v>8182247.0</v>
      </c>
      <c r="Z99" s="268"/>
      <c r="AA99" s="304" t="s">
        <v>107</v>
      </c>
      <c r="AB99" s="304" t="s">
        <v>1674</v>
      </c>
      <c r="AC99" s="305">
        <v>2.187045E7</v>
      </c>
      <c r="AD99" s="343"/>
      <c r="AE99" s="347"/>
      <c r="AF99" s="313"/>
      <c r="AG99" s="313"/>
      <c r="AH99" s="313"/>
      <c r="AI99" s="313"/>
      <c r="AJ99" s="368"/>
      <c r="AK99" s="274"/>
      <c r="AL99" s="275">
        <f>MATCH(B99,'Key Findings'!B:B,0)</f>
        <v>18</v>
      </c>
      <c r="AM99" s="274" t="b">
        <f t="shared" si="1"/>
        <v>0</v>
      </c>
      <c r="AN99" s="294"/>
    </row>
    <row r="100">
      <c r="A100" s="169">
        <f t="array" ref="A100">INDEX('Federal Tax, Stock Buybacks, &amp; '!D:D,match(B100,'Federal Tax, Stock Buybacks, &amp; '!E:E,0))</f>
        <v>21</v>
      </c>
      <c r="B100" s="338" t="s">
        <v>50</v>
      </c>
      <c r="C100" s="301"/>
      <c r="D100" s="349"/>
      <c r="E100" s="305"/>
      <c r="F100" s="268"/>
      <c r="G100" s="301"/>
      <c r="H100" s="349"/>
      <c r="I100" s="305"/>
      <c r="J100" s="268"/>
      <c r="K100" s="301" t="s">
        <v>359</v>
      </c>
      <c r="L100" s="349" t="s">
        <v>1585</v>
      </c>
      <c r="M100" s="305">
        <v>1.0235938E7</v>
      </c>
      <c r="N100" s="268"/>
      <c r="O100" s="304" t="s">
        <v>359</v>
      </c>
      <c r="P100" s="304" t="s">
        <v>1585</v>
      </c>
      <c r="Q100" s="305">
        <v>9578648.0</v>
      </c>
      <c r="R100" s="268"/>
      <c r="S100" s="304" t="s">
        <v>382</v>
      </c>
      <c r="T100" s="304" t="s">
        <v>1686</v>
      </c>
      <c r="U100" s="305">
        <v>6350939.0</v>
      </c>
      <c r="V100" s="268"/>
      <c r="W100" s="304" t="s">
        <v>572</v>
      </c>
      <c r="X100" s="304" t="s">
        <v>1538</v>
      </c>
      <c r="Y100" s="305">
        <v>4282832.0</v>
      </c>
      <c r="Z100" s="268"/>
      <c r="AA100" s="304" t="s">
        <v>167</v>
      </c>
      <c r="AB100" s="304" t="s">
        <v>1687</v>
      </c>
      <c r="AC100" s="305">
        <v>7356090.0</v>
      </c>
      <c r="AD100" s="343"/>
      <c r="AE100" s="347"/>
      <c r="AF100" s="313"/>
      <c r="AG100" s="313"/>
      <c r="AH100" s="313"/>
      <c r="AI100" s="313"/>
      <c r="AJ100" s="368"/>
      <c r="AK100" s="274"/>
      <c r="AL100" s="275">
        <f>MATCH(B100,'Key Findings'!B:B,0)</f>
        <v>18</v>
      </c>
      <c r="AM100" s="274" t="b">
        <f t="shared" si="1"/>
        <v>0</v>
      </c>
      <c r="AN100" s="294"/>
    </row>
    <row r="101">
      <c r="A101" s="169">
        <f t="array" ref="A101">INDEX('Federal Tax, Stock Buybacks, &amp; '!D:D,match(B101,'Federal Tax, Stock Buybacks, &amp; '!E:E,0))</f>
        <v>21</v>
      </c>
      <c r="B101" s="338" t="s">
        <v>50</v>
      </c>
      <c r="C101" s="301"/>
      <c r="D101" s="349"/>
      <c r="E101" s="305"/>
      <c r="F101" s="268"/>
      <c r="G101" s="301"/>
      <c r="H101" s="349"/>
      <c r="I101" s="305"/>
      <c r="J101" s="268"/>
      <c r="K101" s="301" t="s">
        <v>364</v>
      </c>
      <c r="L101" s="349" t="s">
        <v>1688</v>
      </c>
      <c r="M101" s="305">
        <v>8794966.0</v>
      </c>
      <c r="N101" s="268"/>
      <c r="O101" s="304" t="s">
        <v>364</v>
      </c>
      <c r="P101" s="304" t="s">
        <v>1688</v>
      </c>
      <c r="Q101" s="305">
        <v>8980204.0</v>
      </c>
      <c r="R101" s="268"/>
      <c r="S101" s="304" t="s">
        <v>420</v>
      </c>
      <c r="T101" s="304" t="s">
        <v>1689</v>
      </c>
      <c r="U101" s="305">
        <v>8166099.0</v>
      </c>
      <c r="V101" s="268"/>
      <c r="W101" s="304" t="s">
        <v>445</v>
      </c>
      <c r="X101" s="304" t="s">
        <v>1690</v>
      </c>
      <c r="Y101" s="305">
        <v>5318033.0</v>
      </c>
      <c r="Z101" s="268"/>
      <c r="AA101" s="304" t="s">
        <v>509</v>
      </c>
      <c r="AB101" s="304" t="s">
        <v>1691</v>
      </c>
      <c r="AC101" s="305">
        <v>6939180.0</v>
      </c>
      <c r="AD101" s="343"/>
      <c r="AE101" s="347"/>
      <c r="AF101" s="313"/>
      <c r="AG101" s="313"/>
      <c r="AH101" s="313"/>
      <c r="AI101" s="313"/>
      <c r="AJ101" s="368"/>
      <c r="AK101" s="274"/>
      <c r="AL101" s="275">
        <f>MATCH(B101,'Key Findings'!B:B,0)</f>
        <v>18</v>
      </c>
      <c r="AM101" s="274" t="b">
        <f t="shared" si="1"/>
        <v>0</v>
      </c>
      <c r="AN101" s="294"/>
    </row>
    <row r="102">
      <c r="A102" s="169">
        <f t="array" ref="A102">INDEX('Federal Tax, Stock Buybacks, &amp; '!D:D,match(B102,'Federal Tax, Stock Buybacks, &amp; '!E:E,0))</f>
        <v>21</v>
      </c>
      <c r="B102" s="338" t="s">
        <v>50</v>
      </c>
      <c r="C102" s="301"/>
      <c r="D102" s="349"/>
      <c r="E102" s="305"/>
      <c r="F102" s="268"/>
      <c r="G102" s="301"/>
      <c r="H102" s="349"/>
      <c r="I102" s="305"/>
      <c r="J102" s="268"/>
      <c r="K102" s="301" t="s">
        <v>363</v>
      </c>
      <c r="L102" s="349" t="s">
        <v>1692</v>
      </c>
      <c r="M102" s="305">
        <v>8779266.0</v>
      </c>
      <c r="N102" s="268"/>
      <c r="O102" s="304" t="s">
        <v>363</v>
      </c>
      <c r="P102" s="304" t="s">
        <v>1692</v>
      </c>
      <c r="Q102" s="305">
        <v>8835477.0</v>
      </c>
      <c r="R102" s="268"/>
      <c r="S102" s="304" t="s">
        <v>359</v>
      </c>
      <c r="T102" s="304" t="s">
        <v>1585</v>
      </c>
      <c r="U102" s="305">
        <v>5179672.0</v>
      </c>
      <c r="V102" s="268"/>
      <c r="W102" s="304" t="s">
        <v>382</v>
      </c>
      <c r="X102" s="304" t="s">
        <v>1585</v>
      </c>
      <c r="Y102" s="305">
        <v>6767557.0</v>
      </c>
      <c r="Z102" s="268"/>
      <c r="AA102" s="304" t="s">
        <v>445</v>
      </c>
      <c r="AB102" s="304" t="s">
        <v>1688</v>
      </c>
      <c r="AC102" s="305">
        <v>5340520.0</v>
      </c>
      <c r="AD102" s="343"/>
      <c r="AE102" s="347"/>
      <c r="AF102" s="313"/>
      <c r="AG102" s="313"/>
      <c r="AH102" s="313"/>
      <c r="AI102" s="313"/>
      <c r="AJ102" s="368"/>
      <c r="AK102" s="274"/>
      <c r="AL102" s="275">
        <f>MATCH(B102,'Key Findings'!B:B,0)</f>
        <v>18</v>
      </c>
      <c r="AM102" s="274" t="b">
        <f t="shared" si="1"/>
        <v>0</v>
      </c>
      <c r="AN102" s="294"/>
    </row>
    <row r="103">
      <c r="A103" s="169">
        <f t="array" ref="A103">INDEX('Federal Tax, Stock Buybacks, &amp; '!D:D,match(B103,'Federal Tax, Stock Buybacks, &amp; '!E:E,0))</f>
        <v>21</v>
      </c>
      <c r="B103" s="338" t="s">
        <v>50</v>
      </c>
      <c r="C103" s="350"/>
      <c r="D103" s="350"/>
      <c r="E103" s="305"/>
      <c r="F103" s="268"/>
      <c r="G103" s="350"/>
      <c r="H103" s="350"/>
      <c r="I103" s="305"/>
      <c r="J103" s="268"/>
      <c r="K103" s="350" t="s">
        <v>711</v>
      </c>
      <c r="L103" s="350" t="s">
        <v>711</v>
      </c>
      <c r="M103" s="305" t="s">
        <v>711</v>
      </c>
      <c r="N103" s="268"/>
      <c r="O103" s="350" t="s">
        <v>711</v>
      </c>
      <c r="P103" s="350" t="s">
        <v>711</v>
      </c>
      <c r="Q103" s="305" t="s">
        <v>711</v>
      </c>
      <c r="R103" s="268"/>
      <c r="S103" s="302" t="s">
        <v>364</v>
      </c>
      <c r="T103" s="304" t="s">
        <v>1688</v>
      </c>
      <c r="U103" s="384">
        <v>6289463.0</v>
      </c>
      <c r="V103" s="268"/>
      <c r="W103" s="304" t="s">
        <v>420</v>
      </c>
      <c r="X103" s="304" t="s">
        <v>1688</v>
      </c>
      <c r="Y103" s="305">
        <v>5146284.0</v>
      </c>
      <c r="Z103" s="268"/>
      <c r="AA103" s="304" t="s">
        <v>382</v>
      </c>
      <c r="AB103" s="304" t="s">
        <v>1585</v>
      </c>
      <c r="AC103" s="305">
        <v>5506090.0</v>
      </c>
      <c r="AD103" s="343"/>
      <c r="AE103" s="347"/>
      <c r="AF103" s="313"/>
      <c r="AG103" s="313"/>
      <c r="AH103" s="313"/>
      <c r="AI103" s="313"/>
      <c r="AJ103" s="368"/>
      <c r="AK103" s="274"/>
      <c r="AL103" s="275">
        <f>MATCH(B103,'Key Findings'!B:B,0)</f>
        <v>18</v>
      </c>
      <c r="AM103" s="274" t="b">
        <f t="shared" si="1"/>
        <v>0</v>
      </c>
      <c r="AN103" s="294"/>
    </row>
    <row r="104">
      <c r="A104" s="169">
        <f t="array" ref="A104">INDEX('Federal Tax, Stock Buybacks, &amp; '!D:D,match(B104,'Federal Tax, Stock Buybacks, &amp; '!E:E,0))</f>
        <v>21</v>
      </c>
      <c r="B104" s="338" t="s">
        <v>50</v>
      </c>
      <c r="C104" s="350"/>
      <c r="D104" s="350"/>
      <c r="E104" s="305"/>
      <c r="F104" s="268"/>
      <c r="G104" s="350"/>
      <c r="H104" s="350"/>
      <c r="I104" s="305"/>
      <c r="J104" s="268"/>
      <c r="K104" s="350" t="s">
        <v>711</v>
      </c>
      <c r="L104" s="350" t="s">
        <v>711</v>
      </c>
      <c r="M104" s="305" t="s">
        <v>711</v>
      </c>
      <c r="N104" s="268"/>
      <c r="O104" s="350" t="s">
        <v>711</v>
      </c>
      <c r="P104" s="350" t="s">
        <v>711</v>
      </c>
      <c r="Q104" s="305" t="s">
        <v>711</v>
      </c>
      <c r="R104" s="268"/>
      <c r="S104" s="302" t="s">
        <v>585</v>
      </c>
      <c r="T104" s="304" t="s">
        <v>1585</v>
      </c>
      <c r="U104" s="384">
        <v>3746801.0</v>
      </c>
      <c r="V104" s="268"/>
      <c r="W104" s="350" t="s">
        <v>711</v>
      </c>
      <c r="X104" s="350" t="s">
        <v>711</v>
      </c>
      <c r="Y104" s="305" t="s">
        <v>711</v>
      </c>
      <c r="Z104" s="268"/>
      <c r="AA104" s="350" t="s">
        <v>711</v>
      </c>
      <c r="AB104" s="350" t="s">
        <v>711</v>
      </c>
      <c r="AC104" s="305" t="s">
        <v>711</v>
      </c>
      <c r="AD104" s="343"/>
      <c r="AE104" s="347"/>
      <c r="AF104" s="313"/>
      <c r="AG104" s="313"/>
      <c r="AH104" s="313"/>
      <c r="AI104" s="313"/>
      <c r="AJ104" s="368"/>
      <c r="AK104" s="274"/>
      <c r="AL104" s="275">
        <f>MATCH(B104,'Key Findings'!B:B,0)</f>
        <v>18</v>
      </c>
      <c r="AM104" s="274" t="b">
        <f t="shared" si="1"/>
        <v>0</v>
      </c>
      <c r="AN104" s="385" t="s">
        <v>1693</v>
      </c>
    </row>
    <row r="105">
      <c r="A105" s="169">
        <f t="array" ref="A105">INDEX('Federal Tax, Stock Buybacks, &amp; '!D:D,match(B105,'Federal Tax, Stock Buybacks, &amp; '!E:E,0))</f>
        <v>21</v>
      </c>
      <c r="B105" s="338" t="s">
        <v>50</v>
      </c>
      <c r="C105" s="350"/>
      <c r="D105" s="350"/>
      <c r="E105" s="305"/>
      <c r="F105" s="268"/>
      <c r="G105" s="350"/>
      <c r="H105" s="350"/>
      <c r="I105" s="305"/>
      <c r="J105" s="268"/>
      <c r="K105" s="350" t="s">
        <v>711</v>
      </c>
      <c r="L105" s="350" t="s">
        <v>711</v>
      </c>
      <c r="M105" s="305" t="s">
        <v>711</v>
      </c>
      <c r="N105" s="268"/>
      <c r="O105" s="350" t="s">
        <v>711</v>
      </c>
      <c r="P105" s="350" t="s">
        <v>711</v>
      </c>
      <c r="Q105" s="305" t="s">
        <v>711</v>
      </c>
      <c r="R105" s="268"/>
      <c r="S105" s="302" t="s">
        <v>363</v>
      </c>
      <c r="T105" s="304" t="s">
        <v>1692</v>
      </c>
      <c r="U105" s="384">
        <v>6733708.0</v>
      </c>
      <c r="V105" s="268"/>
      <c r="W105" s="350" t="s">
        <v>711</v>
      </c>
      <c r="X105" s="350" t="s">
        <v>711</v>
      </c>
      <c r="Y105" s="305" t="s">
        <v>711</v>
      </c>
      <c r="Z105" s="268"/>
      <c r="AA105" s="350" t="s">
        <v>711</v>
      </c>
      <c r="AB105" s="350" t="s">
        <v>711</v>
      </c>
      <c r="AC105" s="305" t="s">
        <v>711</v>
      </c>
      <c r="AD105" s="343"/>
      <c r="AE105" s="347"/>
      <c r="AF105" s="313"/>
      <c r="AG105" s="313"/>
      <c r="AH105" s="313"/>
      <c r="AI105" s="313"/>
      <c r="AJ105" s="368"/>
      <c r="AK105" s="274"/>
      <c r="AL105" s="275">
        <f>MATCH(B105,'Key Findings'!B:B,0)</f>
        <v>18</v>
      </c>
      <c r="AM105" s="274" t="b">
        <f t="shared" si="1"/>
        <v>0</v>
      </c>
      <c r="AN105" s="294"/>
    </row>
    <row r="106">
      <c r="A106" s="169">
        <f t="array" ref="A106">INDEX('Federal Tax, Stock Buybacks, &amp; '!D:D,match(B106,'Federal Tax, Stock Buybacks, &amp; '!E:E,0))</f>
        <v>79</v>
      </c>
      <c r="B106" s="386" t="s">
        <v>54</v>
      </c>
      <c r="C106" s="316"/>
      <c r="D106" s="286"/>
      <c r="E106" s="287"/>
      <c r="F106" s="268"/>
      <c r="G106" s="316"/>
      <c r="H106" s="286"/>
      <c r="I106" s="287"/>
      <c r="J106" s="268"/>
      <c r="K106" s="316" t="s">
        <v>133</v>
      </c>
      <c r="L106" s="286" t="s">
        <v>1588</v>
      </c>
      <c r="M106" s="287">
        <v>1.5626967E7</v>
      </c>
      <c r="N106" s="268"/>
      <c r="O106" s="387" t="s">
        <v>133</v>
      </c>
      <c r="P106" s="334" t="s">
        <v>1662</v>
      </c>
      <c r="Q106" s="287">
        <v>1.1685716E7</v>
      </c>
      <c r="R106" s="268"/>
      <c r="S106" s="388" t="s">
        <v>133</v>
      </c>
      <c r="T106" s="334" t="s">
        <v>1532</v>
      </c>
      <c r="U106" s="287">
        <v>1.173741E7</v>
      </c>
      <c r="V106" s="268"/>
      <c r="W106" s="388" t="s">
        <v>539</v>
      </c>
      <c r="X106" s="334" t="s">
        <v>1694</v>
      </c>
      <c r="Y106" s="287">
        <v>1957720.0</v>
      </c>
      <c r="Z106" s="268"/>
      <c r="AA106" s="388" t="s">
        <v>133</v>
      </c>
      <c r="AB106" s="334" t="s">
        <v>1532</v>
      </c>
      <c r="AC106" s="389">
        <v>2131268.0</v>
      </c>
      <c r="AD106" s="390"/>
      <c r="AE106" s="391">
        <v>2022.0</v>
      </c>
      <c r="AF106" s="289">
        <v>2021.0</v>
      </c>
      <c r="AG106" s="289">
        <v>2020.0</v>
      </c>
      <c r="AH106" s="289">
        <v>2019.0</v>
      </c>
      <c r="AI106" s="289">
        <v>2018.0</v>
      </c>
      <c r="AJ106" s="320" t="s">
        <v>1524</v>
      </c>
      <c r="AK106" s="260"/>
      <c r="AL106" s="259">
        <f>MATCH(B106,'Key Findings'!B:B,0)</f>
        <v>19</v>
      </c>
      <c r="AM106" s="260" t="b">
        <f t="shared" si="1"/>
        <v>1</v>
      </c>
      <c r="AN106" s="392" t="s">
        <v>1534</v>
      </c>
    </row>
    <row r="107">
      <c r="A107" s="169">
        <f t="array" ref="A107">INDEX('Federal Tax, Stock Buybacks, &amp; '!D:D,match(B107,'Federal Tax, Stock Buybacks, &amp; '!E:E,0))</f>
        <v>79</v>
      </c>
      <c r="B107" s="386" t="s">
        <v>54</v>
      </c>
      <c r="C107" s="316"/>
      <c r="D107" s="374"/>
      <c r="E107" s="287"/>
      <c r="F107" s="268"/>
      <c r="G107" s="316"/>
      <c r="H107" s="374"/>
      <c r="I107" s="287"/>
      <c r="J107" s="268"/>
      <c r="K107" s="316" t="s">
        <v>101</v>
      </c>
      <c r="L107" s="374" t="s">
        <v>1606</v>
      </c>
      <c r="M107" s="287">
        <v>3.921335E7</v>
      </c>
      <c r="N107" s="268"/>
      <c r="O107" s="387" t="s">
        <v>101</v>
      </c>
      <c r="P107" s="374" t="s">
        <v>1674</v>
      </c>
      <c r="Q107" s="287">
        <v>4.1860263E7</v>
      </c>
      <c r="R107" s="268"/>
      <c r="S107" s="387" t="s">
        <v>101</v>
      </c>
      <c r="T107" s="374" t="s">
        <v>1674</v>
      </c>
      <c r="U107" s="287">
        <v>3.8846705E7</v>
      </c>
      <c r="V107" s="268"/>
      <c r="W107" s="388" t="s">
        <v>133</v>
      </c>
      <c r="X107" s="334" t="s">
        <v>1532</v>
      </c>
      <c r="Y107" s="287">
        <v>2472763.0</v>
      </c>
      <c r="Z107" s="268"/>
      <c r="AA107" s="387" t="s">
        <v>101</v>
      </c>
      <c r="AB107" s="374" t="s">
        <v>1674</v>
      </c>
      <c r="AC107" s="389">
        <v>8157264.0</v>
      </c>
      <c r="AD107" s="390"/>
      <c r="AE107" s="393"/>
      <c r="AF107" s="292"/>
      <c r="AG107" s="292"/>
      <c r="AH107" s="292"/>
      <c r="AI107" s="292"/>
      <c r="AJ107" s="394"/>
      <c r="AK107" s="260"/>
      <c r="AL107" s="259">
        <f>MATCH(B107,'Key Findings'!B:B,0)</f>
        <v>19</v>
      </c>
      <c r="AM107" s="260" t="b">
        <f t="shared" si="1"/>
        <v>1</v>
      </c>
      <c r="AN107" s="395"/>
    </row>
    <row r="108">
      <c r="A108" s="169">
        <f t="array" ref="A108">INDEX('Federal Tax, Stock Buybacks, &amp; '!D:D,match(B108,'Federal Tax, Stock Buybacks, &amp; '!E:E,0))</f>
        <v>79</v>
      </c>
      <c r="B108" s="386" t="s">
        <v>54</v>
      </c>
      <c r="C108" s="316"/>
      <c r="D108" s="286"/>
      <c r="E108" s="287"/>
      <c r="F108" s="268"/>
      <c r="G108" s="316"/>
      <c r="H108" s="286"/>
      <c r="I108" s="287"/>
      <c r="J108" s="268"/>
      <c r="K108" s="316" t="s">
        <v>503</v>
      </c>
      <c r="L108" s="286" t="s">
        <v>1695</v>
      </c>
      <c r="M108" s="287">
        <v>4484508.0</v>
      </c>
      <c r="N108" s="268"/>
      <c r="O108" s="387" t="s">
        <v>307</v>
      </c>
      <c r="P108" s="374" t="s">
        <v>1696</v>
      </c>
      <c r="Q108" s="287">
        <v>7470953.0</v>
      </c>
      <c r="R108" s="268"/>
      <c r="S108" s="388" t="s">
        <v>307</v>
      </c>
      <c r="T108" s="334" t="s">
        <v>1697</v>
      </c>
      <c r="U108" s="287">
        <v>3.6455947E7</v>
      </c>
      <c r="V108" s="268"/>
      <c r="W108" s="387" t="s">
        <v>101</v>
      </c>
      <c r="X108" s="374" t="s">
        <v>1674</v>
      </c>
      <c r="Y108" s="287">
        <v>8743601.0</v>
      </c>
      <c r="Z108" s="268"/>
      <c r="AA108" s="388" t="s">
        <v>307</v>
      </c>
      <c r="AB108" s="334" t="s">
        <v>1697</v>
      </c>
      <c r="AC108" s="389">
        <v>4729154.0</v>
      </c>
      <c r="AD108" s="390"/>
      <c r="AE108" s="393"/>
      <c r="AF108" s="292"/>
      <c r="AG108" s="292"/>
      <c r="AH108" s="292"/>
      <c r="AI108" s="292"/>
      <c r="AJ108" s="394"/>
      <c r="AK108" s="260"/>
      <c r="AL108" s="259">
        <f>MATCH(B108,'Key Findings'!B:B,0)</f>
        <v>19</v>
      </c>
      <c r="AM108" s="260" t="b">
        <f t="shared" si="1"/>
        <v>1</v>
      </c>
      <c r="AN108" s="395"/>
    </row>
    <row r="109">
      <c r="A109" s="169">
        <f t="array" ref="A109">INDEX('Federal Tax, Stock Buybacks, &amp; '!D:D,match(B109,'Federal Tax, Stock Buybacks, &amp; '!E:E,0))</f>
        <v>79</v>
      </c>
      <c r="B109" s="386" t="s">
        <v>54</v>
      </c>
      <c r="C109" s="316"/>
      <c r="D109" s="286"/>
      <c r="E109" s="287"/>
      <c r="F109" s="268"/>
      <c r="G109" s="316"/>
      <c r="H109" s="286"/>
      <c r="I109" s="287"/>
      <c r="J109" s="268"/>
      <c r="K109" s="316" t="s">
        <v>154</v>
      </c>
      <c r="L109" s="286" t="s">
        <v>1698</v>
      </c>
      <c r="M109" s="287">
        <v>8370447.0</v>
      </c>
      <c r="N109" s="268"/>
      <c r="O109" s="285" t="s">
        <v>154</v>
      </c>
      <c r="P109" s="285" t="s">
        <v>1698</v>
      </c>
      <c r="Q109" s="287">
        <v>9356288.0</v>
      </c>
      <c r="R109" s="268"/>
      <c r="S109" s="285" t="s">
        <v>154</v>
      </c>
      <c r="T109" s="285" t="s">
        <v>1698</v>
      </c>
      <c r="U109" s="287">
        <v>1.0787568E7</v>
      </c>
      <c r="V109" s="268"/>
      <c r="W109" s="388" t="s">
        <v>307</v>
      </c>
      <c r="X109" s="334" t="s">
        <v>1697</v>
      </c>
      <c r="Y109" s="287">
        <v>5037405.0</v>
      </c>
      <c r="Z109" s="268"/>
      <c r="AA109" s="285" t="s">
        <v>154</v>
      </c>
      <c r="AB109" s="285" t="s">
        <v>1698</v>
      </c>
      <c r="AC109" s="389">
        <v>3241314.0</v>
      </c>
      <c r="AD109" s="390"/>
      <c r="AE109" s="393"/>
      <c r="AF109" s="292"/>
      <c r="AG109" s="292"/>
      <c r="AH109" s="292"/>
      <c r="AI109" s="292"/>
      <c r="AJ109" s="394"/>
      <c r="AK109" s="260"/>
      <c r="AL109" s="259">
        <f>MATCH(B109,'Key Findings'!B:B,0)</f>
        <v>19</v>
      </c>
      <c r="AM109" s="260" t="b">
        <f t="shared" si="1"/>
        <v>1</v>
      </c>
      <c r="AN109" s="395"/>
    </row>
    <row r="110">
      <c r="A110" s="169">
        <f t="array" ref="A110">INDEX('Federal Tax, Stock Buybacks, &amp; '!D:D,match(B110,'Federal Tax, Stock Buybacks, &amp; '!E:E,0))</f>
        <v>79</v>
      </c>
      <c r="B110" s="386" t="s">
        <v>54</v>
      </c>
      <c r="C110" s="316"/>
      <c r="D110" s="286"/>
      <c r="E110" s="287"/>
      <c r="F110" s="268"/>
      <c r="G110" s="316"/>
      <c r="H110" s="286"/>
      <c r="I110" s="287"/>
      <c r="J110" s="268"/>
      <c r="K110" s="316" t="s">
        <v>323</v>
      </c>
      <c r="L110" s="286" t="s">
        <v>1699</v>
      </c>
      <c r="M110" s="287">
        <v>1.2041521E7</v>
      </c>
      <c r="N110" s="268"/>
      <c r="O110" s="387" t="s">
        <v>323</v>
      </c>
      <c r="P110" s="334" t="s">
        <v>1700</v>
      </c>
      <c r="Q110" s="287">
        <v>8866842.0</v>
      </c>
      <c r="R110" s="268"/>
      <c r="S110" s="388" t="s">
        <v>323</v>
      </c>
      <c r="T110" s="334" t="s">
        <v>1700</v>
      </c>
      <c r="U110" s="287">
        <v>6634335.0</v>
      </c>
      <c r="V110" s="268"/>
      <c r="W110" s="285" t="s">
        <v>154</v>
      </c>
      <c r="X110" s="285" t="s">
        <v>1698</v>
      </c>
      <c r="Y110" s="287">
        <v>3299709.0</v>
      </c>
      <c r="Z110" s="268"/>
      <c r="AA110" s="388" t="s">
        <v>539</v>
      </c>
      <c r="AB110" s="334" t="s">
        <v>1694</v>
      </c>
      <c r="AC110" s="389">
        <v>1568177.0</v>
      </c>
      <c r="AD110" s="390"/>
      <c r="AE110" s="393"/>
      <c r="AF110" s="292"/>
      <c r="AG110" s="292"/>
      <c r="AH110" s="292"/>
      <c r="AI110" s="292"/>
      <c r="AJ110" s="394"/>
      <c r="AK110" s="260"/>
      <c r="AL110" s="259">
        <f>MATCH(B110,'Key Findings'!B:B,0)</f>
        <v>19</v>
      </c>
      <c r="AM110" s="260" t="b">
        <f t="shared" si="1"/>
        <v>1</v>
      </c>
      <c r="AN110" s="395"/>
    </row>
    <row r="111">
      <c r="A111" s="169">
        <f t="array" ref="A111">INDEX('Federal Tax, Stock Buybacks, &amp; '!D:D,match(B111,'Federal Tax, Stock Buybacks, &amp; '!E:E,0))</f>
        <v>79</v>
      </c>
      <c r="B111" s="386" t="s">
        <v>54</v>
      </c>
      <c r="C111" s="316"/>
      <c r="D111" s="286"/>
      <c r="E111" s="287"/>
      <c r="F111" s="268"/>
      <c r="G111" s="316"/>
      <c r="H111" s="286"/>
      <c r="I111" s="287"/>
      <c r="J111" s="268"/>
      <c r="K111" s="316" t="s">
        <v>415</v>
      </c>
      <c r="L111" s="286" t="s">
        <v>1532</v>
      </c>
      <c r="M111" s="287">
        <v>5032835.0</v>
      </c>
      <c r="N111" s="268"/>
      <c r="O111" s="285" t="s">
        <v>415</v>
      </c>
      <c r="P111" s="285" t="s">
        <v>1532</v>
      </c>
      <c r="Q111" s="287">
        <v>3603486.0</v>
      </c>
      <c r="R111" s="268"/>
      <c r="S111" s="296" t="s">
        <v>711</v>
      </c>
      <c r="T111" s="296" t="s">
        <v>711</v>
      </c>
      <c r="U111" s="396" t="s">
        <v>711</v>
      </c>
      <c r="V111" s="268"/>
      <c r="W111" s="296" t="s">
        <v>711</v>
      </c>
      <c r="X111" s="296" t="s">
        <v>711</v>
      </c>
      <c r="Y111" s="396" t="s">
        <v>711</v>
      </c>
      <c r="Z111" s="268"/>
      <c r="AA111" s="296" t="s">
        <v>711</v>
      </c>
      <c r="AB111" s="296" t="s">
        <v>711</v>
      </c>
      <c r="AC111" s="396" t="s">
        <v>711</v>
      </c>
      <c r="AD111" s="390"/>
      <c r="AE111" s="393"/>
      <c r="AF111" s="292"/>
      <c r="AG111" s="292"/>
      <c r="AH111" s="292"/>
      <c r="AI111" s="292"/>
      <c r="AJ111" s="394"/>
      <c r="AK111" s="260"/>
      <c r="AL111" s="259">
        <f>MATCH(B111,'Key Findings'!B:B,0)</f>
        <v>19</v>
      </c>
      <c r="AM111" s="260" t="b">
        <f t="shared" si="1"/>
        <v>1</v>
      </c>
      <c r="AN111" s="395"/>
    </row>
    <row r="112">
      <c r="A112" s="299">
        <f t="array" ref="A112">INDEX('Federal Tax, Stock Buybacks, &amp; '!D:D,match(B112,'Federal Tax, Stock Buybacks, &amp; '!E:E,0))</f>
        <v>115</v>
      </c>
      <c r="B112" s="397" t="s">
        <v>55</v>
      </c>
      <c r="C112" s="398"/>
      <c r="D112" s="365"/>
      <c r="E112" s="399"/>
      <c r="F112" s="268"/>
      <c r="G112" s="398"/>
      <c r="H112" s="365"/>
      <c r="I112" s="399"/>
      <c r="J112" s="268"/>
      <c r="K112" s="398" t="s">
        <v>111</v>
      </c>
      <c r="L112" s="365" t="s">
        <v>1674</v>
      </c>
      <c r="M112" s="399">
        <v>2.5437598E7</v>
      </c>
      <c r="N112" s="268"/>
      <c r="O112" s="364" t="s">
        <v>111</v>
      </c>
      <c r="P112" s="364" t="s">
        <v>1674</v>
      </c>
      <c r="Q112" s="400">
        <v>2.610012E7</v>
      </c>
      <c r="R112" s="268"/>
      <c r="S112" s="364" t="s">
        <v>111</v>
      </c>
      <c r="T112" s="364" t="s">
        <v>1674</v>
      </c>
      <c r="U112" s="342">
        <v>1.9075281E7</v>
      </c>
      <c r="V112" s="268"/>
      <c r="W112" s="364" t="s">
        <v>360</v>
      </c>
      <c r="X112" s="369" t="s">
        <v>1701</v>
      </c>
      <c r="Y112" s="342">
        <v>1.0289338E7</v>
      </c>
      <c r="Z112" s="268"/>
      <c r="AA112" s="364" t="s">
        <v>360</v>
      </c>
      <c r="AB112" s="302" t="s">
        <v>1702</v>
      </c>
      <c r="AC112" s="305">
        <v>9133205.0</v>
      </c>
      <c r="AD112" s="306"/>
      <c r="AE112" s="307">
        <v>2022.0</v>
      </c>
      <c r="AF112" s="307">
        <v>2021.0</v>
      </c>
      <c r="AG112" s="307">
        <v>2020.0</v>
      </c>
      <c r="AH112" s="307">
        <v>2019.0</v>
      </c>
      <c r="AI112" s="307">
        <v>2018.0</v>
      </c>
      <c r="AJ112" s="273" t="s">
        <v>1524</v>
      </c>
      <c r="AK112" s="274"/>
      <c r="AL112" s="275">
        <f>MATCH(B112,'Key Findings'!B:B,0)</f>
        <v>20</v>
      </c>
      <c r="AM112" s="274" t="b">
        <f t="shared" si="1"/>
        <v>0</v>
      </c>
      <c r="AN112" s="294"/>
    </row>
    <row r="113">
      <c r="A113" s="299">
        <f t="array" ref="A113">INDEX('Federal Tax, Stock Buybacks, &amp; '!D:D,match(B113,'Federal Tax, Stock Buybacks, &amp; '!E:E,0))</f>
        <v>115</v>
      </c>
      <c r="B113" s="397" t="s">
        <v>55</v>
      </c>
      <c r="C113" s="398"/>
      <c r="D113" s="365"/>
      <c r="E113" s="399"/>
      <c r="F113" s="268"/>
      <c r="G113" s="398"/>
      <c r="H113" s="365"/>
      <c r="I113" s="399"/>
      <c r="J113" s="268"/>
      <c r="K113" s="398" t="s">
        <v>145</v>
      </c>
      <c r="L113" s="365" t="s">
        <v>1647</v>
      </c>
      <c r="M113" s="399">
        <v>7979076.0</v>
      </c>
      <c r="N113" s="268"/>
      <c r="O113" s="364" t="s">
        <v>145</v>
      </c>
      <c r="P113" s="401" t="s">
        <v>1703</v>
      </c>
      <c r="Q113" s="400">
        <v>8379703.0</v>
      </c>
      <c r="R113" s="268"/>
      <c r="S113" s="364" t="s">
        <v>145</v>
      </c>
      <c r="T113" s="401" t="s">
        <v>1703</v>
      </c>
      <c r="U113" s="342">
        <v>6831332.0</v>
      </c>
      <c r="V113" s="268"/>
      <c r="W113" s="364" t="s">
        <v>111</v>
      </c>
      <c r="X113" s="364" t="s">
        <v>1674</v>
      </c>
      <c r="Y113" s="342">
        <v>2.0525104E7</v>
      </c>
      <c r="Z113" s="268"/>
      <c r="AA113" s="364" t="s">
        <v>483</v>
      </c>
      <c r="AB113" s="302" t="s">
        <v>1704</v>
      </c>
      <c r="AC113" s="305">
        <v>6203404.0</v>
      </c>
      <c r="AD113" s="306"/>
      <c r="AE113" s="308"/>
      <c r="AF113" s="308"/>
      <c r="AG113" s="308"/>
      <c r="AH113" s="308"/>
      <c r="AI113" s="308"/>
      <c r="AJ113" s="278"/>
      <c r="AK113" s="274"/>
      <c r="AL113" s="275">
        <f>MATCH(B113,'Key Findings'!B:B,0)</f>
        <v>20</v>
      </c>
      <c r="AM113" s="274" t="b">
        <f t="shared" si="1"/>
        <v>0</v>
      </c>
      <c r="AN113" s="294"/>
    </row>
    <row r="114">
      <c r="A114" s="299">
        <f t="array" ref="A114">INDEX('Federal Tax, Stock Buybacks, &amp; '!D:D,match(B114,'Federal Tax, Stock Buybacks, &amp; '!E:E,0))</f>
        <v>115</v>
      </c>
      <c r="B114" s="397" t="s">
        <v>55</v>
      </c>
      <c r="C114" s="398"/>
      <c r="D114" s="365"/>
      <c r="E114" s="399"/>
      <c r="F114" s="268"/>
      <c r="G114" s="398"/>
      <c r="H114" s="365"/>
      <c r="I114" s="399"/>
      <c r="J114" s="268"/>
      <c r="K114" s="398" t="s">
        <v>328</v>
      </c>
      <c r="L114" s="365" t="s">
        <v>1705</v>
      </c>
      <c r="M114" s="399">
        <v>8260807.0</v>
      </c>
      <c r="N114" s="268"/>
      <c r="O114" s="364" t="s">
        <v>328</v>
      </c>
      <c r="P114" s="401" t="s">
        <v>1706</v>
      </c>
      <c r="Q114" s="400">
        <v>8659391.0</v>
      </c>
      <c r="R114" s="268"/>
      <c r="S114" s="364" t="s">
        <v>328</v>
      </c>
      <c r="T114" s="369" t="s">
        <v>1706</v>
      </c>
      <c r="U114" s="342">
        <v>6435628.0</v>
      </c>
      <c r="V114" s="268"/>
      <c r="W114" s="364" t="s">
        <v>369</v>
      </c>
      <c r="X114" s="369" t="s">
        <v>1707</v>
      </c>
      <c r="Y114" s="342">
        <v>6531163.0</v>
      </c>
      <c r="Z114" s="268"/>
      <c r="AA114" s="364" t="s">
        <v>450</v>
      </c>
      <c r="AB114" s="302" t="s">
        <v>1708</v>
      </c>
      <c r="AC114" s="305">
        <v>7842687.0</v>
      </c>
      <c r="AD114" s="306"/>
      <c r="AE114" s="308"/>
      <c r="AF114" s="308"/>
      <c r="AG114" s="308"/>
      <c r="AH114" s="308"/>
      <c r="AI114" s="308"/>
      <c r="AJ114" s="278"/>
      <c r="AK114" s="274"/>
      <c r="AL114" s="275">
        <f>MATCH(B114,'Key Findings'!B:B,0)</f>
        <v>20</v>
      </c>
      <c r="AM114" s="274" t="b">
        <f t="shared" si="1"/>
        <v>0</v>
      </c>
      <c r="AN114" s="294"/>
    </row>
    <row r="115">
      <c r="A115" s="299">
        <f t="array" ref="A115">INDEX('Federal Tax, Stock Buybacks, &amp; '!D:D,match(B115,'Federal Tax, Stock Buybacks, &amp; '!E:E,0))</f>
        <v>115</v>
      </c>
      <c r="B115" s="397" t="s">
        <v>55</v>
      </c>
      <c r="C115" s="398"/>
      <c r="D115" s="365"/>
      <c r="E115" s="399"/>
      <c r="F115" s="268"/>
      <c r="G115" s="398"/>
      <c r="H115" s="365"/>
      <c r="I115" s="399"/>
      <c r="J115" s="268"/>
      <c r="K115" s="398" t="s">
        <v>440</v>
      </c>
      <c r="L115" s="365" t="s">
        <v>1709</v>
      </c>
      <c r="M115" s="399">
        <v>8720238.0</v>
      </c>
      <c r="N115" s="268"/>
      <c r="O115" s="364" t="s">
        <v>469</v>
      </c>
      <c r="P115" s="401" t="s">
        <v>1710</v>
      </c>
      <c r="Q115" s="402">
        <v>6756876.0</v>
      </c>
      <c r="R115" s="268"/>
      <c r="S115" s="364" t="s">
        <v>369</v>
      </c>
      <c r="T115" s="369" t="s">
        <v>1707</v>
      </c>
      <c r="U115" s="342">
        <v>5927741.0</v>
      </c>
      <c r="V115" s="268"/>
      <c r="W115" s="364" t="s">
        <v>145</v>
      </c>
      <c r="X115" s="401" t="s">
        <v>1703</v>
      </c>
      <c r="Y115" s="342">
        <v>6644633.0</v>
      </c>
      <c r="Z115" s="268"/>
      <c r="AA115" s="364" t="s">
        <v>111</v>
      </c>
      <c r="AB115" s="364" t="s">
        <v>1674</v>
      </c>
      <c r="AC115" s="305">
        <v>1.9246604E7</v>
      </c>
      <c r="AD115" s="306"/>
      <c r="AE115" s="308"/>
      <c r="AF115" s="308"/>
      <c r="AG115" s="308"/>
      <c r="AH115" s="308"/>
      <c r="AI115" s="308"/>
      <c r="AJ115" s="278"/>
      <c r="AK115" s="274"/>
      <c r="AL115" s="275">
        <f>MATCH(B115,'Key Findings'!B:B,0)</f>
        <v>20</v>
      </c>
      <c r="AM115" s="274" t="b">
        <f t="shared" si="1"/>
        <v>0</v>
      </c>
      <c r="AN115" s="294"/>
    </row>
    <row r="116">
      <c r="A116" s="299">
        <f t="array" ref="A116">INDEX('Federal Tax, Stock Buybacks, &amp; '!D:D,match(B116,'Federal Tax, Stock Buybacks, &amp; '!E:E,0))</f>
        <v>115</v>
      </c>
      <c r="B116" s="397" t="s">
        <v>55</v>
      </c>
      <c r="C116" s="398"/>
      <c r="D116" s="365"/>
      <c r="E116" s="399"/>
      <c r="F116" s="268"/>
      <c r="G116" s="398"/>
      <c r="H116" s="365"/>
      <c r="I116" s="399"/>
      <c r="J116" s="268"/>
      <c r="K116" s="398" t="s">
        <v>444</v>
      </c>
      <c r="L116" s="365" t="s">
        <v>1697</v>
      </c>
      <c r="M116" s="399">
        <v>8380216.0</v>
      </c>
      <c r="N116" s="268"/>
      <c r="O116" s="364" t="s">
        <v>485</v>
      </c>
      <c r="P116" s="401" t="s">
        <v>1702</v>
      </c>
      <c r="Q116" s="402">
        <v>6160596.0</v>
      </c>
      <c r="R116" s="268"/>
      <c r="S116" s="364" t="s">
        <v>511</v>
      </c>
      <c r="T116" s="369" t="s">
        <v>1711</v>
      </c>
      <c r="U116" s="342">
        <v>5361177.0</v>
      </c>
      <c r="V116" s="268"/>
      <c r="W116" s="364" t="s">
        <v>377</v>
      </c>
      <c r="X116" s="369" t="s">
        <v>1712</v>
      </c>
      <c r="Y116" s="342">
        <v>8742827.0</v>
      </c>
      <c r="Z116" s="268"/>
      <c r="AA116" s="364" t="s">
        <v>145</v>
      </c>
      <c r="AB116" s="401" t="s">
        <v>1703</v>
      </c>
      <c r="AC116" s="305">
        <v>2606493.0</v>
      </c>
      <c r="AD116" s="306"/>
      <c r="AE116" s="308"/>
      <c r="AF116" s="308"/>
      <c r="AG116" s="308"/>
      <c r="AH116" s="308"/>
      <c r="AI116" s="308"/>
      <c r="AJ116" s="278"/>
      <c r="AK116" s="274"/>
      <c r="AL116" s="275">
        <f>MATCH(B116,'Key Findings'!B:B,0)</f>
        <v>20</v>
      </c>
      <c r="AM116" s="274" t="b">
        <f t="shared" si="1"/>
        <v>0</v>
      </c>
      <c r="AN116" s="294"/>
    </row>
    <row r="117">
      <c r="A117" s="299">
        <f t="array" ref="A117">INDEX('Federal Tax, Stock Buybacks, &amp; '!D:D,match(B117,'Federal Tax, Stock Buybacks, &amp; '!E:E,0))</f>
        <v>115</v>
      </c>
      <c r="B117" s="397" t="s">
        <v>55</v>
      </c>
      <c r="C117" s="313"/>
      <c r="D117" s="314"/>
      <c r="E117" s="315"/>
      <c r="F117" s="268"/>
      <c r="G117" s="313"/>
      <c r="H117" s="314"/>
      <c r="I117" s="315"/>
      <c r="J117" s="268"/>
      <c r="K117" s="313" t="s">
        <v>711</v>
      </c>
      <c r="L117" s="314" t="s">
        <v>711</v>
      </c>
      <c r="M117" s="315" t="s">
        <v>711</v>
      </c>
      <c r="N117" s="268"/>
      <c r="O117" s="314" t="s">
        <v>711</v>
      </c>
      <c r="P117" s="314" t="s">
        <v>711</v>
      </c>
      <c r="Q117" s="315" t="s">
        <v>711</v>
      </c>
      <c r="R117" s="268"/>
      <c r="S117" s="314" t="s">
        <v>711</v>
      </c>
      <c r="T117" s="314" t="s">
        <v>711</v>
      </c>
      <c r="U117" s="315" t="s">
        <v>711</v>
      </c>
      <c r="V117" s="268"/>
      <c r="W117" s="364" t="s">
        <v>328</v>
      </c>
      <c r="X117" s="369" t="s">
        <v>1706</v>
      </c>
      <c r="Y117" s="342">
        <v>6708496.0</v>
      </c>
      <c r="Z117" s="268"/>
      <c r="AA117" s="364" t="s">
        <v>377</v>
      </c>
      <c r="AB117" s="369" t="s">
        <v>1712</v>
      </c>
      <c r="AC117" s="305">
        <v>7026646.0</v>
      </c>
      <c r="AD117" s="306"/>
      <c r="AE117" s="308"/>
      <c r="AF117" s="308"/>
      <c r="AG117" s="308"/>
      <c r="AH117" s="308"/>
      <c r="AI117" s="308"/>
      <c r="AJ117" s="278"/>
      <c r="AK117" s="274"/>
      <c r="AL117" s="275">
        <f>MATCH(B117,'Key Findings'!B:B,0)</f>
        <v>20</v>
      </c>
      <c r="AM117" s="274" t="b">
        <f t="shared" si="1"/>
        <v>0</v>
      </c>
      <c r="AN117" s="294"/>
    </row>
    <row r="118">
      <c r="A118" s="299">
        <f t="array" ref="A118">INDEX('Federal Tax, Stock Buybacks, &amp; '!D:D,match(B118,'Federal Tax, Stock Buybacks, &amp; '!E:E,0))</f>
        <v>115</v>
      </c>
      <c r="B118" s="397" t="s">
        <v>55</v>
      </c>
      <c r="C118" s="313"/>
      <c r="D118" s="314"/>
      <c r="E118" s="315"/>
      <c r="F118" s="268"/>
      <c r="G118" s="313"/>
      <c r="H118" s="314"/>
      <c r="I118" s="315"/>
      <c r="J118" s="268"/>
      <c r="K118" s="313" t="s">
        <v>711</v>
      </c>
      <c r="L118" s="314" t="s">
        <v>711</v>
      </c>
      <c r="M118" s="315" t="s">
        <v>711</v>
      </c>
      <c r="N118" s="268"/>
      <c r="O118" s="314" t="s">
        <v>711</v>
      </c>
      <c r="P118" s="314" t="s">
        <v>711</v>
      </c>
      <c r="Q118" s="315" t="s">
        <v>711</v>
      </c>
      <c r="R118" s="268"/>
      <c r="S118" s="314" t="s">
        <v>711</v>
      </c>
      <c r="T118" s="314" t="s">
        <v>711</v>
      </c>
      <c r="U118" s="315" t="s">
        <v>711</v>
      </c>
      <c r="V118" s="268"/>
      <c r="W118" s="303" t="s">
        <v>711</v>
      </c>
      <c r="X118" s="303" t="s">
        <v>711</v>
      </c>
      <c r="Y118" s="403" t="s">
        <v>711</v>
      </c>
      <c r="Z118" s="268"/>
      <c r="AA118" s="364" t="s">
        <v>369</v>
      </c>
      <c r="AB118" s="369" t="s">
        <v>1707</v>
      </c>
      <c r="AC118" s="342">
        <v>5633663.0</v>
      </c>
      <c r="AD118" s="306"/>
      <c r="AE118" s="308"/>
      <c r="AF118" s="308"/>
      <c r="AG118" s="308"/>
      <c r="AH118" s="308"/>
      <c r="AI118" s="308"/>
      <c r="AJ118" s="278"/>
      <c r="AK118" s="274"/>
      <c r="AL118" s="275">
        <f>MATCH(B118,'Key Findings'!B:B,0)</f>
        <v>20</v>
      </c>
      <c r="AM118" s="274" t="b">
        <f t="shared" si="1"/>
        <v>0</v>
      </c>
      <c r="AN118" s="291" t="s">
        <v>1713</v>
      </c>
    </row>
    <row r="119">
      <c r="A119" s="169">
        <f t="array" ref="A119">INDEX('Federal Tax, Stock Buybacks, &amp; '!D:D,match(B119,'Federal Tax, Stock Buybacks, &amp; '!E:E,0))</f>
        <v>16</v>
      </c>
      <c r="B119" s="404" t="s">
        <v>52</v>
      </c>
      <c r="C119" s="405"/>
      <c r="D119" s="406"/>
      <c r="E119" s="287"/>
      <c r="F119" s="268"/>
      <c r="G119" s="405"/>
      <c r="H119" s="406"/>
      <c r="I119" s="287"/>
      <c r="J119" s="268"/>
      <c r="K119" s="405" t="s">
        <v>334</v>
      </c>
      <c r="L119" s="406" t="s">
        <v>1714</v>
      </c>
      <c r="M119" s="287">
        <v>2.1288532E7</v>
      </c>
      <c r="N119" s="268"/>
      <c r="O119" s="387" t="s">
        <v>288</v>
      </c>
      <c r="P119" s="387" t="s">
        <v>1715</v>
      </c>
      <c r="Q119" s="287">
        <v>939067.0</v>
      </c>
      <c r="R119" s="268"/>
      <c r="S119" s="387" t="s">
        <v>288</v>
      </c>
      <c r="T119" s="387" t="s">
        <v>1631</v>
      </c>
      <c r="U119" s="287">
        <v>7338642.0</v>
      </c>
      <c r="V119" s="268"/>
      <c r="W119" s="387" t="s">
        <v>288</v>
      </c>
      <c r="X119" s="387" t="s">
        <v>1585</v>
      </c>
      <c r="Y119" s="287">
        <v>8116548.0</v>
      </c>
      <c r="Z119" s="268"/>
      <c r="AA119" s="387" t="s">
        <v>288</v>
      </c>
      <c r="AB119" s="387" t="s">
        <v>1716</v>
      </c>
      <c r="AC119" s="287">
        <v>6423979.0</v>
      </c>
      <c r="AD119" s="407"/>
      <c r="AE119" s="331">
        <v>2022.0</v>
      </c>
      <c r="AF119" s="331">
        <v>2021.0</v>
      </c>
      <c r="AG119" s="331">
        <v>2020.0</v>
      </c>
      <c r="AH119" s="331">
        <v>2019.0</v>
      </c>
      <c r="AI119" s="408">
        <v>2018.0</v>
      </c>
      <c r="AJ119" s="290" t="s">
        <v>1524</v>
      </c>
      <c r="AK119" s="260"/>
      <c r="AL119" s="259">
        <f>MATCH(B119,'Key Findings'!B:B,0)</f>
        <v>21</v>
      </c>
      <c r="AM119" s="260" t="b">
        <f t="shared" si="1"/>
        <v>1</v>
      </c>
      <c r="AN119" s="294"/>
    </row>
    <row r="120">
      <c r="A120" s="169">
        <f t="array" ref="A120">INDEX('Federal Tax, Stock Buybacks, &amp; '!D:D,match(B120,'Federal Tax, Stock Buybacks, &amp; '!E:E,0))</f>
        <v>16</v>
      </c>
      <c r="B120" s="404" t="s">
        <v>52</v>
      </c>
      <c r="C120" s="405"/>
      <c r="D120" s="406"/>
      <c r="E120" s="287"/>
      <c r="F120" s="268"/>
      <c r="G120" s="405"/>
      <c r="H120" s="406"/>
      <c r="I120" s="287"/>
      <c r="J120" s="268"/>
      <c r="K120" s="405" t="s">
        <v>461</v>
      </c>
      <c r="L120" s="406" t="s">
        <v>1717</v>
      </c>
      <c r="M120" s="287">
        <v>5039331.0</v>
      </c>
      <c r="N120" s="268"/>
      <c r="O120" s="387" t="s">
        <v>424</v>
      </c>
      <c r="P120" s="387" t="s">
        <v>1718</v>
      </c>
      <c r="Q120" s="287">
        <v>6686413.0</v>
      </c>
      <c r="R120" s="268"/>
      <c r="S120" s="387" t="s">
        <v>349</v>
      </c>
      <c r="T120" s="387" t="s">
        <v>1676</v>
      </c>
      <c r="U120" s="287">
        <v>1.00057E7</v>
      </c>
      <c r="V120" s="268"/>
      <c r="W120" s="387" t="s">
        <v>540</v>
      </c>
      <c r="X120" s="387" t="s">
        <v>1719</v>
      </c>
      <c r="Y120" s="287">
        <v>5700486.0</v>
      </c>
      <c r="Z120" s="268"/>
      <c r="AA120" s="387" t="s">
        <v>540</v>
      </c>
      <c r="AB120" s="387" t="s">
        <v>1720</v>
      </c>
      <c r="AC120" s="287">
        <v>4467278.0</v>
      </c>
      <c r="AD120" s="407"/>
      <c r="AE120" s="409"/>
      <c r="AF120" s="410"/>
      <c r="AG120" s="410"/>
      <c r="AH120" s="410"/>
      <c r="AI120" s="410"/>
      <c r="AJ120" s="293"/>
      <c r="AK120" s="260"/>
      <c r="AL120" s="259">
        <f>MATCH(B120,'Key Findings'!B:B,0)</f>
        <v>21</v>
      </c>
      <c r="AM120" s="260" t="b">
        <f t="shared" si="1"/>
        <v>1</v>
      </c>
      <c r="AN120" s="294"/>
    </row>
    <row r="121">
      <c r="A121" s="169">
        <f t="array" ref="A121">INDEX('Federal Tax, Stock Buybacks, &amp; '!D:D,match(B121,'Federal Tax, Stock Buybacks, &amp; '!E:E,0))</f>
        <v>16</v>
      </c>
      <c r="B121" s="404" t="s">
        <v>52</v>
      </c>
      <c r="C121" s="405"/>
      <c r="D121" s="406"/>
      <c r="E121" s="287"/>
      <c r="F121" s="268"/>
      <c r="G121" s="405"/>
      <c r="H121" s="406"/>
      <c r="I121" s="287"/>
      <c r="J121" s="268"/>
      <c r="K121" s="405" t="s">
        <v>504</v>
      </c>
      <c r="L121" s="406" t="s">
        <v>1721</v>
      </c>
      <c r="M121" s="287">
        <v>4580333.0</v>
      </c>
      <c r="N121" s="268"/>
      <c r="O121" s="387" t="s">
        <v>334</v>
      </c>
      <c r="P121" s="387" t="s">
        <v>1714</v>
      </c>
      <c r="Q121" s="287">
        <v>2.1185206E7</v>
      </c>
      <c r="R121" s="268"/>
      <c r="S121" s="387" t="s">
        <v>424</v>
      </c>
      <c r="T121" s="387" t="s">
        <v>1722</v>
      </c>
      <c r="U121" s="287">
        <v>5839449.0</v>
      </c>
      <c r="V121" s="268"/>
      <c r="W121" s="387" t="s">
        <v>349</v>
      </c>
      <c r="X121" s="387" t="s">
        <v>1674</v>
      </c>
      <c r="Y121" s="287">
        <v>2.4129164E7</v>
      </c>
      <c r="Z121" s="268"/>
      <c r="AA121" s="387" t="s">
        <v>349</v>
      </c>
      <c r="AB121" s="387" t="s">
        <v>1674</v>
      </c>
      <c r="AC121" s="287">
        <v>1.980605E7</v>
      </c>
      <c r="AD121" s="407"/>
      <c r="AE121" s="409"/>
      <c r="AF121" s="410"/>
      <c r="AG121" s="410"/>
      <c r="AH121" s="410"/>
      <c r="AI121" s="410"/>
      <c r="AJ121" s="293"/>
      <c r="AK121" s="260"/>
      <c r="AL121" s="259">
        <f>MATCH(B121,'Key Findings'!B:B,0)</f>
        <v>21</v>
      </c>
      <c r="AM121" s="260" t="b">
        <f t="shared" si="1"/>
        <v>1</v>
      </c>
      <c r="AN121" s="294"/>
    </row>
    <row r="122">
      <c r="A122" s="169">
        <f t="array" ref="A122">INDEX('Federal Tax, Stock Buybacks, &amp; '!D:D,match(B122,'Federal Tax, Stock Buybacks, &amp; '!E:E,0))</f>
        <v>16</v>
      </c>
      <c r="B122" s="404" t="s">
        <v>52</v>
      </c>
      <c r="C122" s="405"/>
      <c r="D122" s="406"/>
      <c r="E122" s="287"/>
      <c r="F122" s="268"/>
      <c r="G122" s="405"/>
      <c r="H122" s="406"/>
      <c r="I122" s="287"/>
      <c r="J122" s="268"/>
      <c r="K122" s="405" t="s">
        <v>449</v>
      </c>
      <c r="L122" s="406" t="s">
        <v>1631</v>
      </c>
      <c r="M122" s="287">
        <v>7718410.0</v>
      </c>
      <c r="N122" s="268"/>
      <c r="O122" s="387" t="s">
        <v>461</v>
      </c>
      <c r="P122" s="387" t="s">
        <v>1723</v>
      </c>
      <c r="Q122" s="287">
        <v>6510389.0</v>
      </c>
      <c r="R122" s="268"/>
      <c r="S122" s="387" t="s">
        <v>334</v>
      </c>
      <c r="T122" s="387" t="s">
        <v>1714</v>
      </c>
      <c r="U122" s="287">
        <v>1.5534265E7</v>
      </c>
      <c r="V122" s="268"/>
      <c r="W122" s="387" t="s">
        <v>424</v>
      </c>
      <c r="X122" s="387" t="s">
        <v>1722</v>
      </c>
      <c r="Y122" s="287">
        <v>6536028.0</v>
      </c>
      <c r="Z122" s="268"/>
      <c r="AA122" s="387" t="s">
        <v>424</v>
      </c>
      <c r="AB122" s="387" t="s">
        <v>1647</v>
      </c>
      <c r="AC122" s="287">
        <v>4517698.0</v>
      </c>
      <c r="AD122" s="407"/>
      <c r="AE122" s="409"/>
      <c r="AF122" s="410"/>
      <c r="AG122" s="410"/>
      <c r="AH122" s="410"/>
      <c r="AI122" s="410"/>
      <c r="AJ122" s="293"/>
      <c r="AK122" s="260"/>
      <c r="AL122" s="259">
        <f>MATCH(B122,'Key Findings'!B:B,0)</f>
        <v>21</v>
      </c>
      <c r="AM122" s="260" t="b">
        <f t="shared" si="1"/>
        <v>1</v>
      </c>
      <c r="AN122" s="294"/>
    </row>
    <row r="123">
      <c r="A123" s="169">
        <f t="array" ref="A123">INDEX('Federal Tax, Stock Buybacks, &amp; '!D:D,match(B123,'Federal Tax, Stock Buybacks, &amp; '!E:E,0))</f>
        <v>16</v>
      </c>
      <c r="B123" s="404" t="s">
        <v>52</v>
      </c>
      <c r="C123" s="405"/>
      <c r="D123" s="406"/>
      <c r="E123" s="287"/>
      <c r="F123" s="268"/>
      <c r="G123" s="405"/>
      <c r="H123" s="406"/>
      <c r="I123" s="287"/>
      <c r="J123" s="268"/>
      <c r="K123" s="405" t="s">
        <v>654</v>
      </c>
      <c r="L123" s="406" t="s">
        <v>1724</v>
      </c>
      <c r="M123" s="287">
        <v>2939082.0</v>
      </c>
      <c r="N123" s="268"/>
      <c r="O123" s="387" t="s">
        <v>504</v>
      </c>
      <c r="P123" s="387" t="s">
        <v>1725</v>
      </c>
      <c r="Q123" s="287">
        <v>4663979.0</v>
      </c>
      <c r="R123" s="268"/>
      <c r="S123" s="387" t="s">
        <v>461</v>
      </c>
      <c r="T123" s="387" t="s">
        <v>1723</v>
      </c>
      <c r="U123" s="287">
        <v>5514974.0</v>
      </c>
      <c r="V123" s="268"/>
      <c r="W123" s="387" t="s">
        <v>380</v>
      </c>
      <c r="X123" s="387" t="s">
        <v>1726</v>
      </c>
      <c r="Y123" s="287">
        <v>3.011654E7</v>
      </c>
      <c r="Z123" s="268"/>
      <c r="AA123" s="387" t="s">
        <v>380</v>
      </c>
      <c r="AB123" s="387" t="s">
        <v>1727</v>
      </c>
      <c r="AC123" s="287">
        <v>6184249.0</v>
      </c>
      <c r="AD123" s="407"/>
      <c r="AE123" s="409"/>
      <c r="AF123" s="410"/>
      <c r="AG123" s="410"/>
      <c r="AH123" s="410"/>
      <c r="AI123" s="410"/>
      <c r="AJ123" s="293"/>
      <c r="AK123" s="260"/>
      <c r="AL123" s="259">
        <f>MATCH(B123,'Key Findings'!B:B,0)</f>
        <v>21</v>
      </c>
      <c r="AM123" s="260" t="b">
        <f t="shared" si="1"/>
        <v>1</v>
      </c>
      <c r="AN123" s="291" t="s">
        <v>1728</v>
      </c>
    </row>
    <row r="124">
      <c r="A124" s="169">
        <f t="array" ref="A124">INDEX('Federal Tax, Stock Buybacks, &amp; '!D:D,match(B124,'Federal Tax, Stock Buybacks, &amp; '!E:E,0))</f>
        <v>16</v>
      </c>
      <c r="B124" s="404" t="s">
        <v>52</v>
      </c>
      <c r="C124" s="405"/>
      <c r="D124" s="406"/>
      <c r="E124" s="287"/>
      <c r="F124" s="268"/>
      <c r="G124" s="405"/>
      <c r="H124" s="406"/>
      <c r="I124" s="287"/>
      <c r="J124" s="268"/>
      <c r="K124" s="405" t="s">
        <v>648</v>
      </c>
      <c r="L124" s="406" t="s">
        <v>1723</v>
      </c>
      <c r="M124" s="287">
        <v>3522341.0</v>
      </c>
      <c r="N124" s="268"/>
      <c r="O124" s="387" t="s">
        <v>646</v>
      </c>
      <c r="P124" s="387" t="s">
        <v>1632</v>
      </c>
      <c r="Q124" s="287">
        <v>3574278.0</v>
      </c>
      <c r="R124" s="268"/>
      <c r="S124" s="387" t="s">
        <v>504</v>
      </c>
      <c r="T124" s="387" t="s">
        <v>1729</v>
      </c>
      <c r="U124" s="287">
        <v>3819963.0</v>
      </c>
      <c r="V124" s="268"/>
      <c r="W124" s="387" t="s">
        <v>334</v>
      </c>
      <c r="X124" s="387" t="s">
        <v>1730</v>
      </c>
      <c r="Y124" s="287">
        <v>7656867.0</v>
      </c>
      <c r="Z124" s="268"/>
      <c r="AA124" s="411" t="s">
        <v>711</v>
      </c>
      <c r="AB124" s="411" t="s">
        <v>711</v>
      </c>
      <c r="AC124" s="287" t="s">
        <v>711</v>
      </c>
      <c r="AD124" s="407"/>
      <c r="AE124" s="409"/>
      <c r="AF124" s="410"/>
      <c r="AG124" s="410"/>
      <c r="AH124" s="410"/>
      <c r="AI124" s="410"/>
      <c r="AJ124" s="293"/>
      <c r="AK124" s="260"/>
      <c r="AL124" s="259">
        <f>MATCH(B124,'Key Findings'!B:B,0)</f>
        <v>21</v>
      </c>
      <c r="AM124" s="260" t="b">
        <f t="shared" si="1"/>
        <v>1</v>
      </c>
      <c r="AN124" s="294"/>
    </row>
    <row r="125">
      <c r="A125" s="169">
        <f t="array" ref="A125">INDEX('Federal Tax, Stock Buybacks, &amp; '!D:D,match(B125,'Federal Tax, Stock Buybacks, &amp; '!E:E,0))</f>
        <v>16</v>
      </c>
      <c r="B125" s="404" t="s">
        <v>52</v>
      </c>
      <c r="C125" s="411"/>
      <c r="D125" s="411"/>
      <c r="E125" s="287"/>
      <c r="F125" s="268"/>
      <c r="G125" s="411"/>
      <c r="H125" s="411"/>
      <c r="I125" s="287"/>
      <c r="J125" s="268"/>
      <c r="K125" s="411" t="s">
        <v>711</v>
      </c>
      <c r="L125" s="411" t="s">
        <v>711</v>
      </c>
      <c r="M125" s="287" t="s">
        <v>711</v>
      </c>
      <c r="N125" s="268"/>
      <c r="O125" s="387" t="s">
        <v>449</v>
      </c>
      <c r="P125" s="387" t="s">
        <v>1631</v>
      </c>
      <c r="Q125" s="287">
        <v>1.1119827E7</v>
      </c>
      <c r="R125" s="268"/>
      <c r="S125" s="411" t="s">
        <v>711</v>
      </c>
      <c r="T125" s="411" t="s">
        <v>711</v>
      </c>
      <c r="U125" s="287" t="s">
        <v>711</v>
      </c>
      <c r="V125" s="268"/>
      <c r="W125" s="411" t="s">
        <v>711</v>
      </c>
      <c r="X125" s="411" t="s">
        <v>711</v>
      </c>
      <c r="Y125" s="287" t="s">
        <v>711</v>
      </c>
      <c r="Z125" s="268"/>
      <c r="AA125" s="411" t="s">
        <v>711</v>
      </c>
      <c r="AB125" s="411" t="s">
        <v>711</v>
      </c>
      <c r="AC125" s="287" t="s">
        <v>711</v>
      </c>
      <c r="AD125" s="407"/>
      <c r="AE125" s="409"/>
      <c r="AF125" s="410"/>
      <c r="AG125" s="410"/>
      <c r="AH125" s="410"/>
      <c r="AI125" s="410"/>
      <c r="AJ125" s="293"/>
      <c r="AK125" s="260"/>
      <c r="AL125" s="259">
        <f>MATCH(B125,'Key Findings'!B:B,0)</f>
        <v>21</v>
      </c>
      <c r="AM125" s="260" t="b">
        <f t="shared" si="1"/>
        <v>1</v>
      </c>
      <c r="AN125" s="294"/>
    </row>
    <row r="126">
      <c r="A126" s="299">
        <f t="array" ref="A126">INDEX('Federal Tax, Stock Buybacks, &amp; '!D:D,match(B126,'Federal Tax, Stock Buybacks, &amp; '!E:E,0))</f>
        <v>427</v>
      </c>
      <c r="B126" s="412" t="s">
        <v>61</v>
      </c>
      <c r="C126" s="362"/>
      <c r="D126" s="413"/>
      <c r="E126" s="342"/>
      <c r="F126" s="268"/>
      <c r="G126" s="362"/>
      <c r="H126" s="413"/>
      <c r="I126" s="342"/>
      <c r="J126" s="268"/>
      <c r="K126" s="362" t="s">
        <v>383</v>
      </c>
      <c r="L126" s="413"/>
      <c r="M126" s="342">
        <v>1.5864497E7</v>
      </c>
      <c r="N126" s="268"/>
      <c r="O126" s="364" t="s">
        <v>383</v>
      </c>
      <c r="P126" s="414"/>
      <c r="Q126" s="342">
        <v>1.5198856E7</v>
      </c>
      <c r="R126" s="268"/>
      <c r="S126" s="364" t="s">
        <v>383</v>
      </c>
      <c r="T126" s="369"/>
      <c r="U126" s="342">
        <v>9111359.0</v>
      </c>
      <c r="V126" s="268"/>
      <c r="W126" s="364" t="s">
        <v>383</v>
      </c>
      <c r="X126" s="369"/>
      <c r="Y126" s="342">
        <v>6816936.0</v>
      </c>
      <c r="Z126" s="268"/>
      <c r="AA126" s="364" t="s">
        <v>632</v>
      </c>
      <c r="AB126" s="302"/>
      <c r="AC126" s="305">
        <v>5696996.0</v>
      </c>
      <c r="AD126" s="306"/>
      <c r="AE126" s="366">
        <v>2022.0</v>
      </c>
      <c r="AF126" s="366">
        <v>2021.0</v>
      </c>
      <c r="AG126" s="366">
        <v>2020.0</v>
      </c>
      <c r="AH126" s="366">
        <v>2019.0</v>
      </c>
      <c r="AI126" s="366">
        <v>2018.0</v>
      </c>
      <c r="AJ126" s="415" t="s">
        <v>1578</v>
      </c>
      <c r="AK126" s="416"/>
      <c r="AL126" s="275">
        <f>MATCH(B126,'Key Findings'!B:B,0)</f>
        <v>22</v>
      </c>
      <c r="AM126" s="274" t="b">
        <f t="shared" si="1"/>
        <v>0</v>
      </c>
      <c r="AN126" s="294"/>
    </row>
    <row r="127">
      <c r="A127" s="299">
        <f t="array" ref="A127">INDEX('Federal Tax, Stock Buybacks, &amp; '!D:D,match(B127,'Federal Tax, Stock Buybacks, &amp; '!E:E,0))</f>
        <v>427</v>
      </c>
      <c r="B127" s="412" t="s">
        <v>61</v>
      </c>
      <c r="C127" s="362"/>
      <c r="D127" s="413"/>
      <c r="E127" s="342"/>
      <c r="F127" s="268"/>
      <c r="G127" s="362"/>
      <c r="H127" s="413"/>
      <c r="I127" s="342"/>
      <c r="J127" s="268"/>
      <c r="K127" s="362" t="s">
        <v>475</v>
      </c>
      <c r="L127" s="413"/>
      <c r="M127" s="342">
        <v>5811611.0</v>
      </c>
      <c r="N127" s="268"/>
      <c r="O127" s="364" t="s">
        <v>475</v>
      </c>
      <c r="P127" s="414"/>
      <c r="Q127" s="342">
        <v>6223932.0</v>
      </c>
      <c r="R127" s="268"/>
      <c r="S127" s="364" t="s">
        <v>475</v>
      </c>
      <c r="T127" s="369"/>
      <c r="U127" s="342">
        <v>6090390.0</v>
      </c>
      <c r="V127" s="268"/>
      <c r="W127" s="364" t="s">
        <v>475</v>
      </c>
      <c r="X127" s="369"/>
      <c r="Y127" s="342">
        <v>3487213.0</v>
      </c>
      <c r="Z127" s="268"/>
      <c r="AA127" s="364" t="s">
        <v>666</v>
      </c>
      <c r="AB127" s="302"/>
      <c r="AC127" s="305">
        <v>2937685.0</v>
      </c>
      <c r="AD127" s="306"/>
      <c r="AE127" s="308"/>
      <c r="AF127" s="308"/>
      <c r="AG127" s="308"/>
      <c r="AH127" s="308"/>
      <c r="AI127" s="308"/>
      <c r="AJ127" s="368"/>
      <c r="AK127" s="368"/>
      <c r="AL127" s="275">
        <f>MATCH(B127,'Key Findings'!B:B,0)</f>
        <v>22</v>
      </c>
      <c r="AM127" s="274" t="b">
        <f t="shared" si="1"/>
        <v>0</v>
      </c>
      <c r="AN127" s="294"/>
    </row>
    <row r="128">
      <c r="A128" s="299">
        <f t="array" ref="A128">INDEX('Federal Tax, Stock Buybacks, &amp; '!D:D,match(B128,'Federal Tax, Stock Buybacks, &amp; '!E:E,0))</f>
        <v>427</v>
      </c>
      <c r="B128" s="412" t="s">
        <v>61</v>
      </c>
      <c r="C128" s="362"/>
      <c r="D128" s="413"/>
      <c r="E128" s="342"/>
      <c r="F128" s="268"/>
      <c r="G128" s="362"/>
      <c r="H128" s="413"/>
      <c r="I128" s="342"/>
      <c r="J128" s="268"/>
      <c r="K128" s="362" t="s">
        <v>487</v>
      </c>
      <c r="L128" s="413"/>
      <c r="M128" s="342">
        <v>6525129.0</v>
      </c>
      <c r="N128" s="268"/>
      <c r="O128" s="364" t="s">
        <v>487</v>
      </c>
      <c r="P128" s="414"/>
      <c r="Q128" s="342">
        <v>6331337.0</v>
      </c>
      <c r="R128" s="268"/>
      <c r="S128" s="364" t="s">
        <v>487</v>
      </c>
      <c r="T128" s="369"/>
      <c r="U128" s="342">
        <v>7060584.0</v>
      </c>
      <c r="V128" s="268"/>
      <c r="W128" s="364" t="s">
        <v>565</v>
      </c>
      <c r="X128" s="369"/>
      <c r="Y128" s="342">
        <v>6197053.0</v>
      </c>
      <c r="Z128" s="268"/>
      <c r="AA128" s="364" t="s">
        <v>565</v>
      </c>
      <c r="AB128" s="302"/>
      <c r="AC128" s="305">
        <v>5678261.0</v>
      </c>
      <c r="AD128" s="306"/>
      <c r="AE128" s="308"/>
      <c r="AF128" s="308"/>
      <c r="AG128" s="308"/>
      <c r="AH128" s="308"/>
      <c r="AI128" s="308"/>
      <c r="AJ128" s="368"/>
      <c r="AK128" s="368"/>
      <c r="AL128" s="275">
        <f>MATCH(B128,'Key Findings'!B:B,0)</f>
        <v>22</v>
      </c>
      <c r="AM128" s="274" t="b">
        <f t="shared" si="1"/>
        <v>0</v>
      </c>
      <c r="AN128" s="291" t="s">
        <v>1731</v>
      </c>
    </row>
    <row r="129">
      <c r="A129" s="299">
        <f t="array" ref="A129">INDEX('Federal Tax, Stock Buybacks, &amp; '!D:D,match(B129,'Federal Tax, Stock Buybacks, &amp; '!E:E,0))</f>
        <v>427</v>
      </c>
      <c r="B129" s="412" t="s">
        <v>61</v>
      </c>
      <c r="C129" s="362"/>
      <c r="D129" s="413"/>
      <c r="E129" s="342"/>
      <c r="F129" s="268"/>
      <c r="G129" s="362"/>
      <c r="H129" s="413"/>
      <c r="I129" s="342"/>
      <c r="J129" s="268"/>
      <c r="K129" s="362" t="s">
        <v>148</v>
      </c>
      <c r="L129" s="413"/>
      <c r="M129" s="342">
        <v>1.4999106E7</v>
      </c>
      <c r="N129" s="268"/>
      <c r="O129" s="364" t="s">
        <v>148</v>
      </c>
      <c r="P129" s="414"/>
      <c r="Q129" s="342">
        <v>7810141.0</v>
      </c>
      <c r="R129" s="268"/>
      <c r="S129" s="364" t="s">
        <v>148</v>
      </c>
      <c r="T129" s="369"/>
      <c r="U129" s="342">
        <v>7282978.0</v>
      </c>
      <c r="V129" s="268"/>
      <c r="W129" s="364" t="s">
        <v>148</v>
      </c>
      <c r="X129" s="369"/>
      <c r="Y129" s="342">
        <v>6859533.0</v>
      </c>
      <c r="Z129" s="268"/>
      <c r="AA129" s="364" t="s">
        <v>148</v>
      </c>
      <c r="AB129" s="302"/>
      <c r="AC129" s="305">
        <v>5347092.0</v>
      </c>
      <c r="AD129" s="306"/>
      <c r="AE129" s="308"/>
      <c r="AF129" s="308"/>
      <c r="AG129" s="308"/>
      <c r="AH129" s="308"/>
      <c r="AI129" s="308"/>
      <c r="AJ129" s="368"/>
      <c r="AK129" s="368"/>
      <c r="AL129" s="275">
        <f>MATCH(B129,'Key Findings'!B:B,0)</f>
        <v>22</v>
      </c>
      <c r="AM129" s="274" t="b">
        <f t="shared" si="1"/>
        <v>0</v>
      </c>
      <c r="AN129" s="294"/>
    </row>
    <row r="130">
      <c r="A130" s="299">
        <f t="array" ref="A130">INDEX('Federal Tax, Stock Buybacks, &amp; '!D:D,match(B130,'Federal Tax, Stock Buybacks, &amp; '!E:E,0))</f>
        <v>427</v>
      </c>
      <c r="B130" s="412" t="s">
        <v>61</v>
      </c>
      <c r="C130" s="362"/>
      <c r="D130" s="413"/>
      <c r="E130" s="342"/>
      <c r="F130" s="268"/>
      <c r="G130" s="362"/>
      <c r="H130" s="413"/>
      <c r="I130" s="342"/>
      <c r="J130" s="268"/>
      <c r="K130" s="362" t="s">
        <v>285</v>
      </c>
      <c r="L130" s="413"/>
      <c r="M130" s="342">
        <v>8593180.0</v>
      </c>
      <c r="N130" s="268"/>
      <c r="O130" s="364" t="s">
        <v>285</v>
      </c>
      <c r="P130" s="414"/>
      <c r="Q130" s="342">
        <v>8157239.0</v>
      </c>
      <c r="R130" s="268"/>
      <c r="S130" s="364" t="s">
        <v>285</v>
      </c>
      <c r="T130" s="369"/>
      <c r="U130" s="342">
        <v>1.6473245E7</v>
      </c>
      <c r="V130" s="268"/>
      <c r="W130" s="364" t="s">
        <v>285</v>
      </c>
      <c r="X130" s="369"/>
      <c r="Y130" s="342">
        <v>1.8789985E7</v>
      </c>
      <c r="Z130" s="268"/>
      <c r="AA130" s="364" t="s">
        <v>285</v>
      </c>
      <c r="AB130" s="302"/>
      <c r="AC130" s="305">
        <v>1.8799147E7</v>
      </c>
      <c r="AD130" s="306"/>
      <c r="AE130" s="308"/>
      <c r="AF130" s="308"/>
      <c r="AG130" s="308"/>
      <c r="AH130" s="308"/>
      <c r="AI130" s="308"/>
      <c r="AJ130" s="368"/>
      <c r="AK130" s="368"/>
      <c r="AL130" s="275">
        <f>MATCH(B130,'Key Findings'!B:B,0)</f>
        <v>22</v>
      </c>
      <c r="AM130" s="274" t="b">
        <f t="shared" si="1"/>
        <v>0</v>
      </c>
      <c r="AN130" s="294"/>
    </row>
    <row r="131">
      <c r="A131" s="299">
        <f t="array" ref="A131">INDEX('Federal Tax, Stock Buybacks, &amp; '!D:D,match(B131,'Federal Tax, Stock Buybacks, &amp; '!E:E,0))</f>
        <v>427</v>
      </c>
      <c r="B131" s="412" t="s">
        <v>61</v>
      </c>
      <c r="C131" s="372"/>
      <c r="D131" s="370"/>
      <c r="E131" s="371"/>
      <c r="F131" s="268"/>
      <c r="G131" s="372"/>
      <c r="H131" s="370"/>
      <c r="I131" s="371"/>
      <c r="J131" s="268"/>
      <c r="K131" s="372" t="s">
        <v>711</v>
      </c>
      <c r="L131" s="370" t="s">
        <v>711</v>
      </c>
      <c r="M131" s="371" t="s">
        <v>711</v>
      </c>
      <c r="N131" s="268"/>
      <c r="O131" s="364" t="s">
        <v>620</v>
      </c>
      <c r="P131" s="414"/>
      <c r="Q131" s="342">
        <v>6584028.0</v>
      </c>
      <c r="R131" s="268"/>
      <c r="S131" s="364" t="s">
        <v>508</v>
      </c>
      <c r="T131" s="369"/>
      <c r="U131" s="342">
        <v>6355678.0</v>
      </c>
      <c r="V131" s="268"/>
      <c r="W131" s="364" t="s">
        <v>508</v>
      </c>
      <c r="X131" s="369"/>
      <c r="Y131" s="342">
        <v>6039497.0</v>
      </c>
      <c r="Z131" s="268"/>
      <c r="AA131" s="364" t="s">
        <v>508</v>
      </c>
      <c r="AB131" s="302"/>
      <c r="AC131" s="305">
        <v>5372336.0</v>
      </c>
      <c r="AD131" s="306"/>
      <c r="AE131" s="308"/>
      <c r="AF131" s="308"/>
      <c r="AG131" s="308"/>
      <c r="AH131" s="308"/>
      <c r="AI131" s="308"/>
      <c r="AJ131" s="368"/>
      <c r="AK131" s="368"/>
      <c r="AL131" s="275">
        <f>MATCH(B131,'Key Findings'!B:B,0)</f>
        <v>22</v>
      </c>
      <c r="AM131" s="274" t="b">
        <f t="shared" si="1"/>
        <v>0</v>
      </c>
      <c r="AN131" s="291" t="s">
        <v>1732</v>
      </c>
    </row>
    <row r="132">
      <c r="A132" s="299">
        <f t="array" ref="A132">INDEX('Federal Tax, Stock Buybacks, &amp; '!D:D,match(B132,'Federal Tax, Stock Buybacks, &amp; '!E:E,0))</f>
        <v>427</v>
      </c>
      <c r="B132" s="412" t="s">
        <v>61</v>
      </c>
      <c r="C132" s="372"/>
      <c r="D132" s="370"/>
      <c r="E132" s="371"/>
      <c r="F132" s="268"/>
      <c r="G132" s="372"/>
      <c r="H132" s="370"/>
      <c r="I132" s="371"/>
      <c r="J132" s="268"/>
      <c r="K132" s="372" t="s">
        <v>711</v>
      </c>
      <c r="L132" s="370" t="s">
        <v>711</v>
      </c>
      <c r="M132" s="371" t="s">
        <v>711</v>
      </c>
      <c r="N132" s="268"/>
      <c r="O132" s="370" t="s">
        <v>711</v>
      </c>
      <c r="P132" s="370" t="s">
        <v>711</v>
      </c>
      <c r="Q132" s="371" t="s">
        <v>711</v>
      </c>
      <c r="R132" s="268"/>
      <c r="S132" s="370" t="s">
        <v>711</v>
      </c>
      <c r="T132" s="370" t="s">
        <v>711</v>
      </c>
      <c r="U132" s="371" t="s">
        <v>711</v>
      </c>
      <c r="V132" s="268"/>
      <c r="W132" s="364" t="s">
        <v>663</v>
      </c>
      <c r="X132" s="369"/>
      <c r="Y132" s="342">
        <v>3197857.0</v>
      </c>
      <c r="Z132" s="268"/>
      <c r="AA132" s="364" t="s">
        <v>625</v>
      </c>
      <c r="AB132" s="302"/>
      <c r="AC132" s="305">
        <v>4626134.0</v>
      </c>
      <c r="AD132" s="306"/>
      <c r="AE132" s="308"/>
      <c r="AF132" s="308"/>
      <c r="AG132" s="308"/>
      <c r="AH132" s="308"/>
      <c r="AI132" s="308"/>
      <c r="AJ132" s="368"/>
      <c r="AK132" s="368"/>
      <c r="AL132" s="275">
        <f>MATCH(B132,'Key Findings'!B:B,0)</f>
        <v>22</v>
      </c>
      <c r="AM132" s="274" t="b">
        <f t="shared" si="1"/>
        <v>0</v>
      </c>
      <c r="AN132" s="294"/>
    </row>
    <row r="133">
      <c r="A133" s="299">
        <f t="array" ref="A133">INDEX('Federal Tax, Stock Buybacks, &amp; '!D:D,match(B133,'Federal Tax, Stock Buybacks, &amp; '!E:E,0))</f>
        <v>427</v>
      </c>
      <c r="B133" s="412" t="s">
        <v>61</v>
      </c>
      <c r="C133" s="372"/>
      <c r="D133" s="370"/>
      <c r="E133" s="371"/>
      <c r="F133" s="268"/>
      <c r="G133" s="372"/>
      <c r="H133" s="370"/>
      <c r="I133" s="371"/>
      <c r="J133" s="268"/>
      <c r="K133" s="372" t="s">
        <v>711</v>
      </c>
      <c r="L133" s="370" t="s">
        <v>711</v>
      </c>
      <c r="M133" s="371" t="s">
        <v>711</v>
      </c>
      <c r="N133" s="268"/>
      <c r="O133" s="370" t="s">
        <v>711</v>
      </c>
      <c r="P133" s="370" t="s">
        <v>711</v>
      </c>
      <c r="Q133" s="371" t="s">
        <v>711</v>
      </c>
      <c r="R133" s="268"/>
      <c r="S133" s="370" t="s">
        <v>711</v>
      </c>
      <c r="T133" s="370" t="s">
        <v>711</v>
      </c>
      <c r="U133" s="371" t="s">
        <v>711</v>
      </c>
      <c r="V133" s="268"/>
      <c r="W133" s="364" t="s">
        <v>625</v>
      </c>
      <c r="X133" s="369"/>
      <c r="Y133" s="342">
        <v>1451840.0</v>
      </c>
      <c r="Z133" s="268"/>
      <c r="AA133" s="370" t="s">
        <v>711</v>
      </c>
      <c r="AB133" s="370" t="s">
        <v>711</v>
      </c>
      <c r="AC133" s="371" t="s">
        <v>711</v>
      </c>
      <c r="AD133" s="306"/>
      <c r="AE133" s="417"/>
      <c r="AF133" s="417"/>
      <c r="AG133" s="417"/>
      <c r="AH133" s="417"/>
      <c r="AI133" s="417"/>
      <c r="AJ133" s="416"/>
      <c r="AK133" s="416"/>
      <c r="AL133" s="275">
        <f>MATCH(B133,'Key Findings'!B:B,0)</f>
        <v>22</v>
      </c>
      <c r="AM133" s="274" t="b">
        <f t="shared" si="1"/>
        <v>0</v>
      </c>
      <c r="AN133" s="294"/>
    </row>
    <row r="134">
      <c r="A134" s="299">
        <f t="array" ref="A134">INDEX('Federal Tax, Stock Buybacks, &amp; '!D:D,match(B134,'Federal Tax, Stock Buybacks, &amp; '!E:E,0))</f>
        <v>138</v>
      </c>
      <c r="B134" s="281" t="s">
        <v>53</v>
      </c>
      <c r="C134" s="282"/>
      <c r="D134" s="283"/>
      <c r="E134" s="284"/>
      <c r="F134" s="268"/>
      <c r="G134" s="282"/>
      <c r="H134" s="283"/>
      <c r="I134" s="284"/>
      <c r="J134" s="268"/>
      <c r="K134" s="282" t="s">
        <v>113</v>
      </c>
      <c r="L134" s="283" t="s">
        <v>1733</v>
      </c>
      <c r="M134" s="284">
        <v>2.400667E7</v>
      </c>
      <c r="N134" s="268"/>
      <c r="O134" s="285" t="s">
        <v>113</v>
      </c>
      <c r="P134" s="286" t="s">
        <v>1733</v>
      </c>
      <c r="Q134" s="284">
        <v>2.1243559E7</v>
      </c>
      <c r="R134" s="268"/>
      <c r="S134" s="285" t="s">
        <v>113</v>
      </c>
      <c r="T134" s="286" t="s">
        <v>1733</v>
      </c>
      <c r="U134" s="284">
        <v>2.236685E7</v>
      </c>
      <c r="V134" s="268"/>
      <c r="W134" s="285" t="s">
        <v>113</v>
      </c>
      <c r="X134" s="286" t="s">
        <v>1733</v>
      </c>
      <c r="Y134" s="284">
        <v>2.7865185E7</v>
      </c>
      <c r="Z134" s="268"/>
      <c r="AA134" s="285" t="s">
        <v>113</v>
      </c>
      <c r="AB134" s="286" t="s">
        <v>1733</v>
      </c>
      <c r="AC134" s="287">
        <v>1.3097691E7</v>
      </c>
      <c r="AD134" s="288"/>
      <c r="AE134" s="289">
        <v>2022.0</v>
      </c>
      <c r="AF134" s="289">
        <v>2021.0</v>
      </c>
      <c r="AG134" s="289">
        <v>2020.0</v>
      </c>
      <c r="AH134" s="289">
        <v>2019.0</v>
      </c>
      <c r="AI134" s="289">
        <v>2018.0</v>
      </c>
      <c r="AJ134" s="290" t="s">
        <v>1524</v>
      </c>
      <c r="AK134" s="260"/>
      <c r="AL134" s="259">
        <f>MATCH(B134,'Key Findings'!B:B,0)</f>
        <v>23</v>
      </c>
      <c r="AM134" s="260" t="b">
        <f t="shared" si="1"/>
        <v>1</v>
      </c>
      <c r="AN134" s="291" t="s">
        <v>1534</v>
      </c>
    </row>
    <row r="135">
      <c r="A135" s="299">
        <f t="array" ref="A135">INDEX('Federal Tax, Stock Buybacks, &amp; '!D:D,match(B135,'Federal Tax, Stock Buybacks, &amp; '!E:E,0))</f>
        <v>138</v>
      </c>
      <c r="B135" s="281" t="s">
        <v>53</v>
      </c>
      <c r="C135" s="282"/>
      <c r="D135" s="283"/>
      <c r="E135" s="284"/>
      <c r="F135" s="268"/>
      <c r="G135" s="282"/>
      <c r="H135" s="283"/>
      <c r="I135" s="284"/>
      <c r="J135" s="268"/>
      <c r="K135" s="282" t="s">
        <v>484</v>
      </c>
      <c r="L135" s="283" t="s">
        <v>1734</v>
      </c>
      <c r="M135" s="284">
        <v>5695893.0</v>
      </c>
      <c r="N135" s="268"/>
      <c r="O135" s="285" t="s">
        <v>484</v>
      </c>
      <c r="P135" s="286" t="s">
        <v>1734</v>
      </c>
      <c r="Q135" s="284">
        <v>6179715.0</v>
      </c>
      <c r="R135" s="268"/>
      <c r="S135" s="285" t="s">
        <v>176</v>
      </c>
      <c r="T135" s="286" t="s">
        <v>1735</v>
      </c>
      <c r="U135" s="284">
        <v>7302772.0</v>
      </c>
      <c r="V135" s="268"/>
      <c r="W135" s="285" t="s">
        <v>176</v>
      </c>
      <c r="X135" s="286" t="s">
        <v>1735</v>
      </c>
      <c r="Y135" s="284">
        <v>8234664.0</v>
      </c>
      <c r="Z135" s="268"/>
      <c r="AA135" s="285" t="s">
        <v>176</v>
      </c>
      <c r="AB135" s="286" t="s">
        <v>1735</v>
      </c>
      <c r="AC135" s="287">
        <v>4961286.0</v>
      </c>
      <c r="AD135" s="288"/>
      <c r="AE135" s="321"/>
      <c r="AF135" s="321"/>
      <c r="AG135" s="321"/>
      <c r="AH135" s="321"/>
      <c r="AI135" s="321"/>
      <c r="AJ135" s="293"/>
      <c r="AK135" s="260"/>
      <c r="AL135" s="259">
        <f>MATCH(B135,'Key Findings'!B:B,0)</f>
        <v>23</v>
      </c>
      <c r="AM135" s="260" t="b">
        <f t="shared" si="1"/>
        <v>1</v>
      </c>
      <c r="AN135" s="294"/>
    </row>
    <row r="136">
      <c r="A136" s="299">
        <f t="array" ref="A136">INDEX('Federal Tax, Stock Buybacks, &amp; '!D:D,match(B136,'Federal Tax, Stock Buybacks, &amp; '!E:E,0))</f>
        <v>138</v>
      </c>
      <c r="B136" s="281" t="s">
        <v>53</v>
      </c>
      <c r="C136" s="282"/>
      <c r="D136" s="283"/>
      <c r="E136" s="284"/>
      <c r="F136" s="268"/>
      <c r="G136" s="282"/>
      <c r="H136" s="283"/>
      <c r="I136" s="284"/>
      <c r="J136" s="268"/>
      <c r="K136" s="282" t="s">
        <v>176</v>
      </c>
      <c r="L136" s="283" t="s">
        <v>1736</v>
      </c>
      <c r="M136" s="284">
        <v>8501572.0</v>
      </c>
      <c r="N136" s="268"/>
      <c r="O136" s="285" t="s">
        <v>176</v>
      </c>
      <c r="P136" s="286" t="s">
        <v>1735</v>
      </c>
      <c r="Q136" s="284">
        <v>5267590.0</v>
      </c>
      <c r="R136" s="268"/>
      <c r="S136" s="285" t="s">
        <v>278</v>
      </c>
      <c r="T136" s="286" t="s">
        <v>1737</v>
      </c>
      <c r="U136" s="284">
        <v>5081474.0</v>
      </c>
      <c r="V136" s="268"/>
      <c r="W136" s="285" t="s">
        <v>278</v>
      </c>
      <c r="X136" s="286" t="s">
        <v>1737</v>
      </c>
      <c r="Y136" s="284">
        <v>4476955.0</v>
      </c>
      <c r="Z136" s="268"/>
      <c r="AA136" s="285" t="s">
        <v>278</v>
      </c>
      <c r="AB136" s="286" t="s">
        <v>1737</v>
      </c>
      <c r="AC136" s="287">
        <v>6457083.0</v>
      </c>
      <c r="AD136" s="288"/>
      <c r="AE136" s="321"/>
      <c r="AF136" s="321"/>
      <c r="AG136" s="321"/>
      <c r="AH136" s="321"/>
      <c r="AI136" s="321"/>
      <c r="AJ136" s="293"/>
      <c r="AK136" s="260"/>
      <c r="AL136" s="259">
        <f>MATCH(B136,'Key Findings'!B:B,0)</f>
        <v>23</v>
      </c>
      <c r="AM136" s="260" t="b">
        <f t="shared" si="1"/>
        <v>1</v>
      </c>
      <c r="AN136" s="291" t="s">
        <v>1738</v>
      </c>
    </row>
    <row r="137">
      <c r="A137" s="299">
        <f t="array" ref="A137">INDEX('Federal Tax, Stock Buybacks, &amp; '!D:D,match(B137,'Federal Tax, Stock Buybacks, &amp; '!E:E,0))</f>
        <v>138</v>
      </c>
      <c r="B137" s="281" t="s">
        <v>53</v>
      </c>
      <c r="C137" s="282"/>
      <c r="D137" s="283"/>
      <c r="E137" s="284"/>
      <c r="F137" s="268"/>
      <c r="G137" s="282"/>
      <c r="H137" s="283"/>
      <c r="I137" s="284"/>
      <c r="J137" s="268"/>
      <c r="K137" s="282" t="s">
        <v>278</v>
      </c>
      <c r="L137" s="283" t="s">
        <v>1737</v>
      </c>
      <c r="M137" s="284">
        <v>4657373.0</v>
      </c>
      <c r="N137" s="268"/>
      <c r="O137" s="285" t="s">
        <v>278</v>
      </c>
      <c r="P137" s="286" t="s">
        <v>1737</v>
      </c>
      <c r="Q137" s="284">
        <v>4792126.0</v>
      </c>
      <c r="R137" s="268"/>
      <c r="S137" s="285" t="s">
        <v>418</v>
      </c>
      <c r="T137" s="286" t="s">
        <v>1739</v>
      </c>
      <c r="U137" s="284">
        <v>5498593.0</v>
      </c>
      <c r="V137" s="268"/>
      <c r="W137" s="285" t="s">
        <v>418</v>
      </c>
      <c r="X137" s="286" t="s">
        <v>1739</v>
      </c>
      <c r="Y137" s="284">
        <v>5483764.0</v>
      </c>
      <c r="Z137" s="268"/>
      <c r="AA137" s="285" t="s">
        <v>418</v>
      </c>
      <c r="AB137" s="286" t="s">
        <v>1739</v>
      </c>
      <c r="AC137" s="287">
        <v>4387724.0</v>
      </c>
      <c r="AD137" s="288"/>
      <c r="AE137" s="321"/>
      <c r="AF137" s="321"/>
      <c r="AG137" s="321"/>
      <c r="AH137" s="321"/>
      <c r="AI137" s="321"/>
      <c r="AJ137" s="293"/>
      <c r="AK137" s="260"/>
      <c r="AL137" s="259">
        <f>MATCH(B137,'Key Findings'!B:B,0)</f>
        <v>23</v>
      </c>
      <c r="AM137" s="260" t="b">
        <f t="shared" si="1"/>
        <v>1</v>
      </c>
      <c r="AN137" s="294"/>
    </row>
    <row r="138">
      <c r="A138" s="299">
        <f t="array" ref="A138">INDEX('Federal Tax, Stock Buybacks, &amp; '!D:D,match(B138,'Federal Tax, Stock Buybacks, &amp; '!E:E,0))</f>
        <v>138</v>
      </c>
      <c r="B138" s="281" t="s">
        <v>53</v>
      </c>
      <c r="C138" s="282"/>
      <c r="D138" s="283"/>
      <c r="E138" s="284"/>
      <c r="F138" s="268"/>
      <c r="G138" s="282"/>
      <c r="H138" s="283"/>
      <c r="I138" s="284"/>
      <c r="J138" s="268"/>
      <c r="K138" s="282" t="s">
        <v>570</v>
      </c>
      <c r="L138" s="283" t="s">
        <v>1739</v>
      </c>
      <c r="M138" s="284">
        <v>3819380.0</v>
      </c>
      <c r="N138" s="268"/>
      <c r="O138" s="285" t="s">
        <v>570</v>
      </c>
      <c r="P138" s="286" t="s">
        <v>1739</v>
      </c>
      <c r="Q138" s="284">
        <v>2676961.0</v>
      </c>
      <c r="R138" s="268"/>
      <c r="S138" s="285" t="s">
        <v>372</v>
      </c>
      <c r="T138" s="286" t="s">
        <v>1740</v>
      </c>
      <c r="U138" s="284">
        <v>1.0758895E7</v>
      </c>
      <c r="V138" s="268"/>
      <c r="W138" s="285" t="s">
        <v>372</v>
      </c>
      <c r="X138" s="286" t="s">
        <v>1740</v>
      </c>
      <c r="Y138" s="284">
        <v>8862243.0</v>
      </c>
      <c r="Z138" s="268"/>
      <c r="AA138" s="285" t="s">
        <v>372</v>
      </c>
      <c r="AB138" s="286" t="s">
        <v>1740</v>
      </c>
      <c r="AC138" s="287">
        <v>5377288.0</v>
      </c>
      <c r="AD138" s="288"/>
      <c r="AE138" s="321"/>
      <c r="AF138" s="321"/>
      <c r="AG138" s="321"/>
      <c r="AH138" s="321"/>
      <c r="AI138" s="321"/>
      <c r="AJ138" s="293"/>
      <c r="AK138" s="260"/>
      <c r="AL138" s="259">
        <f>MATCH(B138,'Key Findings'!B:B,0)</f>
        <v>23</v>
      </c>
      <c r="AM138" s="260" t="b">
        <f t="shared" si="1"/>
        <v>1</v>
      </c>
      <c r="AN138" s="294"/>
    </row>
    <row r="139">
      <c r="A139" s="299">
        <f t="array" ref="A139">INDEX('Federal Tax, Stock Buybacks, &amp; '!D:D,match(B139,'Federal Tax, Stock Buybacks, &amp; '!E:E,0))</f>
        <v>138</v>
      </c>
      <c r="B139" s="281" t="s">
        <v>53</v>
      </c>
      <c r="C139" s="298"/>
      <c r="D139" s="296"/>
      <c r="E139" s="297"/>
      <c r="F139" s="268"/>
      <c r="G139" s="298"/>
      <c r="H139" s="296"/>
      <c r="I139" s="297"/>
      <c r="J139" s="268"/>
      <c r="K139" s="298" t="s">
        <v>711</v>
      </c>
      <c r="L139" s="296" t="s">
        <v>711</v>
      </c>
      <c r="M139" s="297" t="s">
        <v>711</v>
      </c>
      <c r="N139" s="268"/>
      <c r="O139" s="285" t="s">
        <v>418</v>
      </c>
      <c r="P139" s="286" t="s">
        <v>1739</v>
      </c>
      <c r="Q139" s="284">
        <v>5130318.0</v>
      </c>
      <c r="R139" s="268"/>
      <c r="S139" s="296" t="s">
        <v>711</v>
      </c>
      <c r="T139" s="296" t="s">
        <v>711</v>
      </c>
      <c r="U139" s="297" t="s">
        <v>711</v>
      </c>
      <c r="V139" s="268"/>
      <c r="W139" s="285" t="s">
        <v>593</v>
      </c>
      <c r="X139" s="286" t="s">
        <v>1741</v>
      </c>
      <c r="Y139" s="284">
        <v>5093982.0</v>
      </c>
      <c r="Z139" s="268"/>
      <c r="AA139" s="285" t="s">
        <v>560</v>
      </c>
      <c r="AB139" s="286" t="s">
        <v>1686</v>
      </c>
      <c r="AC139" s="287">
        <v>7179418.0</v>
      </c>
      <c r="AD139" s="288"/>
      <c r="AE139" s="321"/>
      <c r="AF139" s="321"/>
      <c r="AG139" s="321"/>
      <c r="AH139" s="321"/>
      <c r="AI139" s="321"/>
      <c r="AJ139" s="293"/>
      <c r="AK139" s="260"/>
      <c r="AL139" s="259">
        <f>MATCH(B139,'Key Findings'!B:B,0)</f>
        <v>23</v>
      </c>
      <c r="AM139" s="260" t="b">
        <f t="shared" si="1"/>
        <v>1</v>
      </c>
      <c r="AN139" s="294"/>
    </row>
    <row r="140">
      <c r="A140" s="299">
        <f t="array" ref="A140">INDEX('Federal Tax, Stock Buybacks, &amp; '!D:D,match(B140,'Federal Tax, Stock Buybacks, &amp; '!E:E,0))</f>
        <v>138</v>
      </c>
      <c r="B140" s="281" t="s">
        <v>53</v>
      </c>
      <c r="C140" s="298"/>
      <c r="D140" s="296"/>
      <c r="E140" s="297"/>
      <c r="F140" s="268"/>
      <c r="G140" s="298"/>
      <c r="H140" s="296"/>
      <c r="I140" s="297"/>
      <c r="J140" s="268"/>
      <c r="K140" s="298" t="s">
        <v>711</v>
      </c>
      <c r="L140" s="296" t="s">
        <v>711</v>
      </c>
      <c r="M140" s="297" t="s">
        <v>711</v>
      </c>
      <c r="N140" s="268"/>
      <c r="O140" s="285" t="s">
        <v>372</v>
      </c>
      <c r="P140" s="286" t="s">
        <v>1742</v>
      </c>
      <c r="Q140" s="284">
        <v>7219036.0</v>
      </c>
      <c r="R140" s="268"/>
      <c r="S140" s="296" t="s">
        <v>711</v>
      </c>
      <c r="T140" s="296" t="s">
        <v>711</v>
      </c>
      <c r="U140" s="297" t="s">
        <v>711</v>
      </c>
      <c r="V140" s="268"/>
      <c r="W140" s="296" t="s">
        <v>711</v>
      </c>
      <c r="X140" s="296" t="s">
        <v>711</v>
      </c>
      <c r="Y140" s="297" t="s">
        <v>711</v>
      </c>
      <c r="Z140" s="268"/>
      <c r="AA140" s="296" t="s">
        <v>711</v>
      </c>
      <c r="AB140" s="296" t="s">
        <v>711</v>
      </c>
      <c r="AC140" s="297" t="s">
        <v>711</v>
      </c>
      <c r="AD140" s="288"/>
      <c r="AE140" s="321"/>
      <c r="AF140" s="321"/>
      <c r="AG140" s="321"/>
      <c r="AH140" s="321"/>
      <c r="AI140" s="321"/>
      <c r="AJ140" s="293"/>
      <c r="AK140" s="260"/>
      <c r="AL140" s="259">
        <f>MATCH(B140,'Key Findings'!B:B,0)</f>
        <v>23</v>
      </c>
      <c r="AM140" s="260" t="b">
        <f t="shared" si="1"/>
        <v>1</v>
      </c>
      <c r="AN140" s="294"/>
    </row>
    <row r="141">
      <c r="A141" s="299">
        <f t="array" ref="A141">INDEX('Federal Tax, Stock Buybacks, &amp; '!D:D,match(B141,'Federal Tax, Stock Buybacks, &amp; '!E:E,0))</f>
        <v>35</v>
      </c>
      <c r="B141" s="418" t="s">
        <v>65</v>
      </c>
      <c r="C141" s="301"/>
      <c r="D141" s="419"/>
      <c r="E141" s="305"/>
      <c r="F141" s="268"/>
      <c r="G141" s="301"/>
      <c r="H141" s="419"/>
      <c r="I141" s="305"/>
      <c r="J141" s="268"/>
      <c r="K141" s="301" t="s">
        <v>115</v>
      </c>
      <c r="L141" s="419" t="s">
        <v>1743</v>
      </c>
      <c r="M141" s="305">
        <v>2.4749178E7</v>
      </c>
      <c r="N141" s="268"/>
      <c r="O141" s="304" t="s">
        <v>115</v>
      </c>
      <c r="P141" s="302" t="s">
        <v>1665</v>
      </c>
      <c r="Q141" s="305">
        <v>2.3508841E7</v>
      </c>
      <c r="R141" s="268"/>
      <c r="S141" s="304" t="s">
        <v>115</v>
      </c>
      <c r="T141" s="302" t="s">
        <v>1665</v>
      </c>
      <c r="U141" s="305">
        <v>2.1994433E7</v>
      </c>
      <c r="V141" s="268"/>
      <c r="W141" s="304" t="s">
        <v>115</v>
      </c>
      <c r="X141" s="302" t="s">
        <v>1665</v>
      </c>
      <c r="Y141" s="305">
        <v>1.8140421E7</v>
      </c>
      <c r="Z141" s="268"/>
      <c r="AA141" s="304" t="s">
        <v>115</v>
      </c>
      <c r="AB141" s="302" t="s">
        <v>1665</v>
      </c>
      <c r="AC141" s="305">
        <v>1.9637534E7</v>
      </c>
      <c r="AD141" s="343"/>
      <c r="AE141" s="420">
        <v>2022.0</v>
      </c>
      <c r="AF141" s="379">
        <v>2021.0</v>
      </c>
      <c r="AG141" s="379">
        <v>2020.0</v>
      </c>
      <c r="AH141" s="379">
        <v>2019.0</v>
      </c>
      <c r="AI141" s="379">
        <v>2018.0</v>
      </c>
      <c r="AJ141" s="367" t="s">
        <v>1524</v>
      </c>
      <c r="AK141" s="274"/>
      <c r="AL141" s="275">
        <f>MATCH(B141,'Key Findings'!B:B,0)</f>
        <v>24</v>
      </c>
      <c r="AM141" s="274" t="b">
        <f t="shared" si="1"/>
        <v>0</v>
      </c>
      <c r="AN141" s="294"/>
    </row>
    <row r="142">
      <c r="A142" s="299">
        <f t="array" ref="A142">INDEX('Federal Tax, Stock Buybacks, &amp; '!D:D,match(B142,'Federal Tax, Stock Buybacks, &amp; '!E:E,0))</f>
        <v>35</v>
      </c>
      <c r="B142" s="418" t="s">
        <v>65</v>
      </c>
      <c r="C142" s="301"/>
      <c r="D142" s="419"/>
      <c r="E142" s="305"/>
      <c r="F142" s="268"/>
      <c r="G142" s="301"/>
      <c r="H142" s="419"/>
      <c r="I142" s="305"/>
      <c r="J142" s="268"/>
      <c r="K142" s="301" t="s">
        <v>254</v>
      </c>
      <c r="L142" s="419" t="s">
        <v>1744</v>
      </c>
      <c r="M142" s="305">
        <v>7755200.0</v>
      </c>
      <c r="N142" s="268"/>
      <c r="O142" s="304" t="s">
        <v>254</v>
      </c>
      <c r="P142" s="302" t="s">
        <v>1745</v>
      </c>
      <c r="Q142" s="305">
        <v>8094974.0</v>
      </c>
      <c r="R142" s="268"/>
      <c r="S142" s="304" t="s">
        <v>254</v>
      </c>
      <c r="T142" s="302" t="s">
        <v>1745</v>
      </c>
      <c r="U142" s="305">
        <v>8548754.0</v>
      </c>
      <c r="V142" s="268"/>
      <c r="W142" s="304" t="s">
        <v>254</v>
      </c>
      <c r="X142" s="302" t="s">
        <v>1745</v>
      </c>
      <c r="Y142" s="305">
        <v>6825067.0</v>
      </c>
      <c r="Z142" s="268"/>
      <c r="AA142" s="304" t="s">
        <v>254</v>
      </c>
      <c r="AB142" s="302" t="s">
        <v>1745</v>
      </c>
      <c r="AC142" s="305">
        <v>7497372.0</v>
      </c>
      <c r="AD142" s="343"/>
      <c r="AE142" s="347"/>
      <c r="AF142" s="313"/>
      <c r="AG142" s="313"/>
      <c r="AH142" s="313"/>
      <c r="AI142" s="313"/>
      <c r="AJ142" s="368"/>
      <c r="AK142" s="274"/>
      <c r="AL142" s="275">
        <f>MATCH(B142,'Key Findings'!B:B,0)</f>
        <v>24</v>
      </c>
      <c r="AM142" s="274" t="b">
        <f t="shared" si="1"/>
        <v>0</v>
      </c>
      <c r="AN142" s="294"/>
    </row>
    <row r="143">
      <c r="A143" s="299">
        <f t="array" ref="A143">INDEX('Federal Tax, Stock Buybacks, &amp; '!D:D,match(B143,'Federal Tax, Stock Buybacks, &amp; '!E:E,0))</f>
        <v>35</v>
      </c>
      <c r="B143" s="418" t="s">
        <v>65</v>
      </c>
      <c r="C143" s="301"/>
      <c r="D143" s="419"/>
      <c r="E143" s="305"/>
      <c r="F143" s="268"/>
      <c r="G143" s="301"/>
      <c r="H143" s="419"/>
      <c r="I143" s="305"/>
      <c r="J143" s="268"/>
      <c r="K143" s="301" t="s">
        <v>270</v>
      </c>
      <c r="L143" s="419" t="s">
        <v>1746</v>
      </c>
      <c r="M143" s="305">
        <v>5469689.0</v>
      </c>
      <c r="N143" s="268"/>
      <c r="O143" s="304" t="s">
        <v>270</v>
      </c>
      <c r="P143" s="302" t="s">
        <v>1746</v>
      </c>
      <c r="Q143" s="305">
        <v>5391094.0</v>
      </c>
      <c r="R143" s="268"/>
      <c r="S143" s="304" t="s">
        <v>270</v>
      </c>
      <c r="T143" s="309" t="s">
        <v>1747</v>
      </c>
      <c r="U143" s="305">
        <v>6440204.0</v>
      </c>
      <c r="V143" s="268"/>
      <c r="W143" s="304" t="s">
        <v>270</v>
      </c>
      <c r="X143" s="309" t="s">
        <v>1747</v>
      </c>
      <c r="Y143" s="305">
        <v>5315962.0</v>
      </c>
      <c r="Z143" s="268"/>
      <c r="AA143" s="304" t="s">
        <v>270</v>
      </c>
      <c r="AB143" s="302" t="s">
        <v>1748</v>
      </c>
      <c r="AC143" s="305">
        <v>6592107.0</v>
      </c>
      <c r="AD143" s="343"/>
      <c r="AE143" s="347"/>
      <c r="AF143" s="313"/>
      <c r="AG143" s="313"/>
      <c r="AH143" s="313"/>
      <c r="AI143" s="313"/>
      <c r="AJ143" s="368"/>
      <c r="AK143" s="274"/>
      <c r="AL143" s="275">
        <f>MATCH(B143,'Key Findings'!B:B,0)</f>
        <v>24</v>
      </c>
      <c r="AM143" s="274" t="b">
        <f t="shared" si="1"/>
        <v>0</v>
      </c>
      <c r="AN143" s="385" t="s">
        <v>1749</v>
      </c>
    </row>
    <row r="144">
      <c r="A144" s="299">
        <f t="array" ref="A144">INDEX('Federal Tax, Stock Buybacks, &amp; '!D:D,match(B144,'Federal Tax, Stock Buybacks, &amp; '!E:E,0))</f>
        <v>35</v>
      </c>
      <c r="B144" s="418" t="s">
        <v>65</v>
      </c>
      <c r="C144" s="301"/>
      <c r="D144" s="419"/>
      <c r="E144" s="305"/>
      <c r="F144" s="268"/>
      <c r="G144" s="301"/>
      <c r="H144" s="419"/>
      <c r="I144" s="305"/>
      <c r="J144" s="268"/>
      <c r="K144" s="301" t="s">
        <v>247</v>
      </c>
      <c r="L144" s="419" t="s">
        <v>1750</v>
      </c>
      <c r="M144" s="305">
        <v>5311334.0</v>
      </c>
      <c r="N144" s="268"/>
      <c r="O144" s="304" t="s">
        <v>247</v>
      </c>
      <c r="P144" s="309" t="s">
        <v>1751</v>
      </c>
      <c r="Q144" s="305">
        <v>5417223.0</v>
      </c>
      <c r="R144" s="268"/>
      <c r="S144" s="304" t="s">
        <v>247</v>
      </c>
      <c r="T144" s="309" t="s">
        <v>1751</v>
      </c>
      <c r="U144" s="305">
        <v>6764333.0</v>
      </c>
      <c r="V144" s="268"/>
      <c r="W144" s="304" t="s">
        <v>247</v>
      </c>
      <c r="X144" s="309" t="s">
        <v>1751</v>
      </c>
      <c r="Y144" s="305">
        <v>5118329.0</v>
      </c>
      <c r="Z144" s="268"/>
      <c r="AA144" s="304" t="s">
        <v>247</v>
      </c>
      <c r="AB144" s="309" t="s">
        <v>1752</v>
      </c>
      <c r="AC144" s="305">
        <v>5034883.0</v>
      </c>
      <c r="AD144" s="343"/>
      <c r="AE144" s="347"/>
      <c r="AF144" s="313"/>
      <c r="AG144" s="313"/>
      <c r="AH144" s="313"/>
      <c r="AI144" s="313"/>
      <c r="AJ144" s="368"/>
      <c r="AK144" s="274"/>
      <c r="AL144" s="275">
        <f>MATCH(B144,'Key Findings'!B:B,0)</f>
        <v>24</v>
      </c>
      <c r="AM144" s="274" t="b">
        <f t="shared" si="1"/>
        <v>0</v>
      </c>
      <c r="AN144" s="385" t="s">
        <v>1753</v>
      </c>
    </row>
    <row r="145">
      <c r="A145" s="299">
        <f t="array" ref="A145">INDEX('Federal Tax, Stock Buybacks, &amp; '!D:D,match(B145,'Federal Tax, Stock Buybacks, &amp; '!E:E,0))</f>
        <v>35</v>
      </c>
      <c r="B145" s="418" t="s">
        <v>65</v>
      </c>
      <c r="C145" s="301"/>
      <c r="D145" s="419"/>
      <c r="E145" s="305"/>
      <c r="F145" s="268"/>
      <c r="G145" s="301"/>
      <c r="H145" s="419"/>
      <c r="I145" s="305"/>
      <c r="J145" s="268"/>
      <c r="K145" s="301" t="s">
        <v>246</v>
      </c>
      <c r="L145" s="419" t="s">
        <v>1754</v>
      </c>
      <c r="M145" s="305">
        <v>5117787.0</v>
      </c>
      <c r="N145" s="268"/>
      <c r="O145" s="304" t="s">
        <v>343</v>
      </c>
      <c r="P145" s="309" t="s">
        <v>1755</v>
      </c>
      <c r="Q145" s="305">
        <v>5409524.0</v>
      </c>
      <c r="R145" s="268"/>
      <c r="S145" s="304" t="s">
        <v>343</v>
      </c>
      <c r="T145" s="309" t="s">
        <v>1755</v>
      </c>
      <c r="U145" s="305">
        <v>6133574.0</v>
      </c>
      <c r="V145" s="268"/>
      <c r="W145" s="304" t="s">
        <v>343</v>
      </c>
      <c r="X145" s="309" t="s">
        <v>1755</v>
      </c>
      <c r="Y145" s="305">
        <v>4324718.0</v>
      </c>
      <c r="Z145" s="268"/>
      <c r="AA145" s="304" t="s">
        <v>246</v>
      </c>
      <c r="AB145" s="302" t="s">
        <v>1754</v>
      </c>
      <c r="AC145" s="305">
        <v>4807738.0</v>
      </c>
      <c r="AD145" s="343"/>
      <c r="AE145" s="347"/>
      <c r="AF145" s="313"/>
      <c r="AG145" s="313"/>
      <c r="AH145" s="313"/>
      <c r="AI145" s="313"/>
      <c r="AJ145" s="368"/>
      <c r="AK145" s="274"/>
      <c r="AL145" s="275">
        <f>MATCH(B145,'Key Findings'!B:B,0)</f>
        <v>24</v>
      </c>
      <c r="AM145" s="274" t="b">
        <f t="shared" si="1"/>
        <v>0</v>
      </c>
      <c r="AN145" s="385" t="s">
        <v>1756</v>
      </c>
    </row>
    <row r="146">
      <c r="A146" s="299">
        <f t="array" ref="A146">INDEX('Federal Tax, Stock Buybacks, &amp; '!D:D,match(B146,'Federal Tax, Stock Buybacks, &amp; '!E:E,0))</f>
        <v>35</v>
      </c>
      <c r="B146" s="418" t="s">
        <v>65</v>
      </c>
      <c r="C146" s="301"/>
      <c r="D146" s="421"/>
      <c r="E146" s="305"/>
      <c r="F146" s="268"/>
      <c r="G146" s="301"/>
      <c r="H146" s="421"/>
      <c r="I146" s="305"/>
      <c r="J146" s="268"/>
      <c r="K146" s="301" t="s">
        <v>343</v>
      </c>
      <c r="L146" s="421" t="s">
        <v>1755</v>
      </c>
      <c r="M146" s="305">
        <v>7254232.0</v>
      </c>
      <c r="N146" s="268"/>
      <c r="O146" s="370" t="s">
        <v>711</v>
      </c>
      <c r="P146" s="370" t="s">
        <v>711</v>
      </c>
      <c r="Q146" s="342" t="s">
        <v>711</v>
      </c>
      <c r="R146" s="268"/>
      <c r="S146" s="370" t="s">
        <v>711</v>
      </c>
      <c r="T146" s="370" t="s">
        <v>711</v>
      </c>
      <c r="U146" s="342" t="s">
        <v>711</v>
      </c>
      <c r="V146" s="268"/>
      <c r="W146" s="370" t="s">
        <v>711</v>
      </c>
      <c r="X146" s="370" t="s">
        <v>711</v>
      </c>
      <c r="Y146" s="342" t="s">
        <v>711</v>
      </c>
      <c r="Z146" s="268"/>
      <c r="AA146" s="370" t="s">
        <v>711</v>
      </c>
      <c r="AB146" s="370" t="s">
        <v>711</v>
      </c>
      <c r="AC146" s="342" t="s">
        <v>711</v>
      </c>
      <c r="AD146" s="343"/>
      <c r="AE146" s="347"/>
      <c r="AF146" s="313"/>
      <c r="AG146" s="313"/>
      <c r="AH146" s="313"/>
      <c r="AI146" s="313"/>
      <c r="AJ146" s="368"/>
      <c r="AK146" s="274"/>
      <c r="AL146" s="275">
        <f>MATCH(B146,'Key Findings'!B:B,0)</f>
        <v>24</v>
      </c>
      <c r="AM146" s="274" t="b">
        <f t="shared" si="1"/>
        <v>0</v>
      </c>
      <c r="AN146" s="294"/>
    </row>
    <row r="147">
      <c r="A147" s="299">
        <f t="array" ref="A147">INDEX('Federal Tax, Stock Buybacks, &amp; '!D:D,match(B147,'Federal Tax, Stock Buybacks, &amp; '!E:E,0))</f>
        <v>35</v>
      </c>
      <c r="B147" s="418" t="s">
        <v>65</v>
      </c>
      <c r="C147" s="301"/>
      <c r="D147" s="419"/>
      <c r="E147" s="305"/>
      <c r="F147" s="268"/>
      <c r="G147" s="301"/>
      <c r="H147" s="419"/>
      <c r="I147" s="305"/>
      <c r="J147" s="268"/>
      <c r="K147" s="301" t="s">
        <v>528</v>
      </c>
      <c r="L147" s="419" t="s">
        <v>1647</v>
      </c>
      <c r="M147" s="305">
        <v>4438428.0</v>
      </c>
      <c r="N147" s="268"/>
      <c r="O147" s="370" t="s">
        <v>711</v>
      </c>
      <c r="P147" s="370" t="s">
        <v>711</v>
      </c>
      <c r="Q147" s="342" t="s">
        <v>711</v>
      </c>
      <c r="R147" s="268"/>
      <c r="S147" s="370" t="s">
        <v>711</v>
      </c>
      <c r="T147" s="370" t="s">
        <v>711</v>
      </c>
      <c r="U147" s="342" t="s">
        <v>711</v>
      </c>
      <c r="V147" s="268"/>
      <c r="W147" s="370" t="s">
        <v>711</v>
      </c>
      <c r="X147" s="370" t="s">
        <v>711</v>
      </c>
      <c r="Y147" s="342" t="s">
        <v>711</v>
      </c>
      <c r="Z147" s="268"/>
      <c r="AA147" s="370" t="s">
        <v>711</v>
      </c>
      <c r="AB147" s="370" t="s">
        <v>711</v>
      </c>
      <c r="AC147" s="342" t="s">
        <v>711</v>
      </c>
      <c r="AD147" s="343"/>
      <c r="AE147" s="347"/>
      <c r="AF147" s="313"/>
      <c r="AG147" s="313"/>
      <c r="AH147" s="313"/>
      <c r="AI147" s="313"/>
      <c r="AJ147" s="368"/>
      <c r="AK147" s="274"/>
      <c r="AL147" s="275">
        <f>MATCH(B147,'Key Findings'!B:B,0)</f>
        <v>24</v>
      </c>
      <c r="AM147" s="274" t="b">
        <f t="shared" si="1"/>
        <v>0</v>
      </c>
      <c r="AN147" s="385" t="s">
        <v>1757</v>
      </c>
    </row>
    <row r="148">
      <c r="A148" s="299">
        <f t="array" ref="A148">INDEX('Federal Tax, Stock Buybacks, &amp; '!D:D,match(B148,'Federal Tax, Stock Buybacks, &amp; '!E:E,0))</f>
        <v>869</v>
      </c>
      <c r="B148" s="130" t="s">
        <v>44</v>
      </c>
      <c r="C148" s="282"/>
      <c r="D148" s="373"/>
      <c r="E148" s="284"/>
      <c r="F148" s="268"/>
      <c r="G148" s="282"/>
      <c r="H148" s="373"/>
      <c r="I148" s="284"/>
      <c r="J148" s="268"/>
      <c r="K148" s="282" t="s">
        <v>356</v>
      </c>
      <c r="L148" s="373"/>
      <c r="M148" s="284">
        <v>2.3921211E7</v>
      </c>
      <c r="N148" s="268"/>
      <c r="O148" s="285" t="s">
        <v>181</v>
      </c>
      <c r="P148" s="374"/>
      <c r="Q148" s="284">
        <v>2.5397675E7</v>
      </c>
      <c r="R148" s="268"/>
      <c r="S148" s="285" t="s">
        <v>181</v>
      </c>
      <c r="T148" s="295"/>
      <c r="U148" s="284">
        <v>1.3705132E7</v>
      </c>
      <c r="V148" s="268"/>
      <c r="W148" s="285" t="s">
        <v>181</v>
      </c>
      <c r="X148" s="295"/>
      <c r="Y148" s="284">
        <v>5883361.0</v>
      </c>
      <c r="Z148" s="268"/>
      <c r="AA148" s="285" t="s">
        <v>181</v>
      </c>
      <c r="AB148" s="295"/>
      <c r="AC148" s="284">
        <v>1.4058236E7</v>
      </c>
      <c r="AD148" s="288"/>
      <c r="AE148" s="391">
        <v>2022.0</v>
      </c>
      <c r="AF148" s="391">
        <v>2021.0</v>
      </c>
      <c r="AG148" s="391">
        <v>2020.0</v>
      </c>
      <c r="AH148" s="256">
        <v>2019.0</v>
      </c>
      <c r="AI148" s="391">
        <v>2018.0</v>
      </c>
      <c r="AJ148" s="357" t="s">
        <v>1578</v>
      </c>
      <c r="AK148" s="281"/>
      <c r="AL148" s="259">
        <f>MATCH(B148,'Key Findings'!B:B,0)</f>
        <v>25</v>
      </c>
      <c r="AM148" s="260" t="b">
        <f t="shared" si="1"/>
        <v>1</v>
      </c>
      <c r="AN148" s="291" t="s">
        <v>1758</v>
      </c>
    </row>
    <row r="149">
      <c r="A149" s="299">
        <f t="array" ref="A149">INDEX('Federal Tax, Stock Buybacks, &amp; '!D:D,match(B149,'Federal Tax, Stock Buybacks, &amp; '!E:E,0))</f>
        <v>869</v>
      </c>
      <c r="B149" s="130" t="s">
        <v>44</v>
      </c>
      <c r="C149" s="282"/>
      <c r="D149" s="373"/>
      <c r="E149" s="284"/>
      <c r="F149" s="268"/>
      <c r="G149" s="282"/>
      <c r="H149" s="373"/>
      <c r="I149" s="284"/>
      <c r="J149" s="268"/>
      <c r="K149" s="282" t="s">
        <v>181</v>
      </c>
      <c r="L149" s="373"/>
      <c r="M149" s="284">
        <v>2.3016375E7</v>
      </c>
      <c r="N149" s="268"/>
      <c r="O149" s="285" t="s">
        <v>141</v>
      </c>
      <c r="P149" s="374"/>
      <c r="Q149" s="284">
        <v>1.5367669E7</v>
      </c>
      <c r="R149" s="268"/>
      <c r="S149" s="285" t="s">
        <v>141</v>
      </c>
      <c r="T149" s="295"/>
      <c r="U149" s="284">
        <v>8730701.0</v>
      </c>
      <c r="V149" s="268"/>
      <c r="W149" s="285" t="s">
        <v>141</v>
      </c>
      <c r="X149" s="295"/>
      <c r="Y149" s="284">
        <v>5404149.0</v>
      </c>
      <c r="Z149" s="268"/>
      <c r="AA149" s="285" t="s">
        <v>141</v>
      </c>
      <c r="AB149" s="334"/>
      <c r="AC149" s="287">
        <v>3657450.0</v>
      </c>
      <c r="AD149" s="288"/>
      <c r="AE149" s="292"/>
      <c r="AF149" s="292"/>
      <c r="AG149" s="292"/>
      <c r="AH149" s="292"/>
      <c r="AI149" s="292"/>
      <c r="AJ149" s="293"/>
      <c r="AK149" s="281"/>
      <c r="AL149" s="259">
        <f>MATCH(B149,'Key Findings'!B:B,0)</f>
        <v>25</v>
      </c>
      <c r="AM149" s="260" t="b">
        <f t="shared" si="1"/>
        <v>1</v>
      </c>
      <c r="AN149" s="294"/>
    </row>
    <row r="150">
      <c r="A150" s="299">
        <f t="array" ref="A150">INDEX('Federal Tax, Stock Buybacks, &amp; '!D:D,match(B150,'Federal Tax, Stock Buybacks, &amp; '!E:E,0))</f>
        <v>869</v>
      </c>
      <c r="B150" s="130" t="s">
        <v>44</v>
      </c>
      <c r="C150" s="282"/>
      <c r="D150" s="373"/>
      <c r="E150" s="284"/>
      <c r="F150" s="268"/>
      <c r="G150" s="282"/>
      <c r="H150" s="373"/>
      <c r="I150" s="284"/>
      <c r="J150" s="268"/>
      <c r="K150" s="282" t="s">
        <v>141</v>
      </c>
      <c r="L150" s="373"/>
      <c r="M150" s="284">
        <v>2.3677633E7</v>
      </c>
      <c r="N150" s="268"/>
      <c r="O150" s="285" t="s">
        <v>142</v>
      </c>
      <c r="P150" s="374"/>
      <c r="Q150" s="284">
        <v>1.6993744E7</v>
      </c>
      <c r="R150" s="268"/>
      <c r="S150" s="285" t="s">
        <v>142</v>
      </c>
      <c r="T150" s="295"/>
      <c r="U150" s="284">
        <v>3609960.0</v>
      </c>
      <c r="V150" s="268"/>
      <c r="W150" s="285" t="s">
        <v>142</v>
      </c>
      <c r="X150" s="295"/>
      <c r="Y150" s="284">
        <v>2504122.0</v>
      </c>
      <c r="Z150" s="268"/>
      <c r="AA150" s="285" t="s">
        <v>142</v>
      </c>
      <c r="AB150" s="334"/>
      <c r="AC150" s="287">
        <v>1858247.0</v>
      </c>
      <c r="AD150" s="288"/>
      <c r="AE150" s="292"/>
      <c r="AF150" s="292"/>
      <c r="AG150" s="292"/>
      <c r="AH150" s="292"/>
      <c r="AI150" s="292"/>
      <c r="AJ150" s="293"/>
      <c r="AK150" s="281"/>
      <c r="AL150" s="259">
        <f>MATCH(B150,'Key Findings'!B:B,0)</f>
        <v>25</v>
      </c>
      <c r="AM150" s="260" t="b">
        <f t="shared" si="1"/>
        <v>1</v>
      </c>
      <c r="AN150" s="294"/>
    </row>
    <row r="151">
      <c r="A151" s="299">
        <f t="array" ref="A151">INDEX('Federal Tax, Stock Buybacks, &amp; '!D:D,match(B151,'Federal Tax, Stock Buybacks, &amp; '!E:E,0))</f>
        <v>869</v>
      </c>
      <c r="B151" s="130" t="s">
        <v>44</v>
      </c>
      <c r="C151" s="282"/>
      <c r="D151" s="373"/>
      <c r="E151" s="284"/>
      <c r="F151" s="268"/>
      <c r="G151" s="282"/>
      <c r="H151" s="373"/>
      <c r="I151" s="284"/>
      <c r="J151" s="268"/>
      <c r="K151" s="282" t="s">
        <v>142</v>
      </c>
      <c r="L151" s="373"/>
      <c r="M151" s="284">
        <v>8565840.0</v>
      </c>
      <c r="N151" s="268"/>
      <c r="O151" s="285" t="s">
        <v>594</v>
      </c>
      <c r="P151" s="374"/>
      <c r="Q151" s="284">
        <v>895721.0</v>
      </c>
      <c r="R151" s="268"/>
      <c r="S151" s="285" t="s">
        <v>594</v>
      </c>
      <c r="T151" s="295"/>
      <c r="U151" s="284">
        <v>850581.0</v>
      </c>
      <c r="V151" s="268"/>
      <c r="W151" s="285" t="s">
        <v>515</v>
      </c>
      <c r="X151" s="295"/>
      <c r="Y151" s="284">
        <v>3361203.0</v>
      </c>
      <c r="Z151" s="268"/>
      <c r="AA151" s="285" t="s">
        <v>515</v>
      </c>
      <c r="AB151" s="334"/>
      <c r="AC151" s="287">
        <v>2508250.0</v>
      </c>
      <c r="AD151" s="288"/>
      <c r="AE151" s="292"/>
      <c r="AF151" s="292"/>
      <c r="AG151" s="292"/>
      <c r="AH151" s="292"/>
      <c r="AI151" s="292"/>
      <c r="AJ151" s="293"/>
      <c r="AK151" s="281"/>
      <c r="AL151" s="259">
        <f>MATCH(B151,'Key Findings'!B:B,0)</f>
        <v>25</v>
      </c>
      <c r="AM151" s="260" t="b">
        <f t="shared" si="1"/>
        <v>1</v>
      </c>
      <c r="AN151" s="294"/>
    </row>
    <row r="152">
      <c r="A152" s="299">
        <f t="array" ref="A152">INDEX('Federal Tax, Stock Buybacks, &amp; '!D:D,match(B152,'Federal Tax, Stock Buybacks, &amp; '!E:E,0))</f>
        <v>869</v>
      </c>
      <c r="B152" s="130" t="s">
        <v>44</v>
      </c>
      <c r="C152" s="282"/>
      <c r="D152" s="373"/>
      <c r="E152" s="284"/>
      <c r="F152" s="268"/>
      <c r="G152" s="282"/>
      <c r="H152" s="373"/>
      <c r="I152" s="284"/>
      <c r="J152" s="268"/>
      <c r="K152" s="282" t="s">
        <v>594</v>
      </c>
      <c r="L152" s="373"/>
      <c r="M152" s="284">
        <v>1292868.0</v>
      </c>
      <c r="N152" s="268"/>
      <c r="O152" s="375" t="s">
        <v>711</v>
      </c>
      <c r="P152" s="375" t="s">
        <v>711</v>
      </c>
      <c r="Q152" s="360" t="s">
        <v>711</v>
      </c>
      <c r="R152" s="268"/>
      <c r="S152" s="285" t="s">
        <v>515</v>
      </c>
      <c r="T152" s="295"/>
      <c r="U152" s="284">
        <v>132951.0</v>
      </c>
      <c r="V152" s="268"/>
      <c r="W152" s="375" t="s">
        <v>711</v>
      </c>
      <c r="X152" s="375" t="s">
        <v>711</v>
      </c>
      <c r="Y152" s="360" t="s">
        <v>711</v>
      </c>
      <c r="Z152" s="268"/>
      <c r="AA152" s="285" t="s">
        <v>506</v>
      </c>
      <c r="AB152" s="334"/>
      <c r="AC152" s="287">
        <v>6315554.0</v>
      </c>
      <c r="AD152" s="288"/>
      <c r="AE152" s="292"/>
      <c r="AF152" s="292"/>
      <c r="AG152" s="292"/>
      <c r="AH152" s="292"/>
      <c r="AI152" s="292"/>
      <c r="AJ152" s="293"/>
      <c r="AK152" s="281"/>
      <c r="AL152" s="259">
        <f>MATCH(B152,'Key Findings'!B:B,0)</f>
        <v>25</v>
      </c>
      <c r="AM152" s="260" t="b">
        <f t="shared" si="1"/>
        <v>1</v>
      </c>
      <c r="AN152" s="294"/>
    </row>
    <row r="153">
      <c r="A153" s="299">
        <f t="array" ref="A153">INDEX('Federal Tax, Stock Buybacks, &amp; '!D:D,match(B153,'Federal Tax, Stock Buybacks, &amp; '!E:E,0))</f>
        <v>869</v>
      </c>
      <c r="B153" s="130" t="s">
        <v>44</v>
      </c>
      <c r="C153" s="376"/>
      <c r="D153" s="375"/>
      <c r="E153" s="360"/>
      <c r="F153" s="268"/>
      <c r="G153" s="376"/>
      <c r="H153" s="375"/>
      <c r="I153" s="360"/>
      <c r="J153" s="268"/>
      <c r="K153" s="376" t="s">
        <v>711</v>
      </c>
      <c r="L153" s="375" t="s">
        <v>711</v>
      </c>
      <c r="M153" s="360" t="s">
        <v>711</v>
      </c>
      <c r="N153" s="268"/>
      <c r="O153" s="375" t="s">
        <v>711</v>
      </c>
      <c r="P153" s="375" t="s">
        <v>711</v>
      </c>
      <c r="Q153" s="360" t="s">
        <v>711</v>
      </c>
      <c r="R153" s="268"/>
      <c r="S153" s="375" t="s">
        <v>711</v>
      </c>
      <c r="T153" s="375" t="s">
        <v>711</v>
      </c>
      <c r="U153" s="360" t="s">
        <v>711</v>
      </c>
      <c r="V153" s="268"/>
      <c r="W153" s="375" t="s">
        <v>711</v>
      </c>
      <c r="X153" s="375" t="s">
        <v>711</v>
      </c>
      <c r="Y153" s="360" t="s">
        <v>711</v>
      </c>
      <c r="Z153" s="268"/>
      <c r="AA153" s="285" t="s">
        <v>454</v>
      </c>
      <c r="AB153" s="334"/>
      <c r="AC153" s="287">
        <v>8564812.0</v>
      </c>
      <c r="AD153" s="288"/>
      <c r="AE153" s="292"/>
      <c r="AF153" s="292"/>
      <c r="AG153" s="292"/>
      <c r="AH153" s="292"/>
      <c r="AI153" s="292"/>
      <c r="AJ153" s="293"/>
      <c r="AK153" s="281"/>
      <c r="AL153" s="259">
        <f>MATCH(B153,'Key Findings'!B:B,0)</f>
        <v>25</v>
      </c>
      <c r="AM153" s="260" t="b">
        <f t="shared" si="1"/>
        <v>1</v>
      </c>
      <c r="AN153" s="294"/>
    </row>
    <row r="154">
      <c r="A154" s="299">
        <f t="array" ref="A154">INDEX('Federal Tax, Stock Buybacks, &amp; '!D:D,match(B154,'Federal Tax, Stock Buybacks, &amp; '!E:E,0))</f>
        <v>869</v>
      </c>
      <c r="B154" s="130" t="s">
        <v>44</v>
      </c>
      <c r="C154" s="376"/>
      <c r="D154" s="375"/>
      <c r="E154" s="360"/>
      <c r="F154" s="268"/>
      <c r="G154" s="376"/>
      <c r="H154" s="375"/>
      <c r="I154" s="360"/>
      <c r="J154" s="268"/>
      <c r="K154" s="376" t="s">
        <v>711</v>
      </c>
      <c r="L154" s="375" t="s">
        <v>711</v>
      </c>
      <c r="M154" s="360" t="s">
        <v>711</v>
      </c>
      <c r="N154" s="268"/>
      <c r="O154" s="375" t="s">
        <v>711</v>
      </c>
      <c r="P154" s="375" t="s">
        <v>711</v>
      </c>
      <c r="Q154" s="360" t="s">
        <v>711</v>
      </c>
      <c r="R154" s="268"/>
      <c r="S154" s="375" t="s">
        <v>711</v>
      </c>
      <c r="T154" s="375" t="s">
        <v>711</v>
      </c>
      <c r="U154" s="360" t="s">
        <v>711</v>
      </c>
      <c r="V154" s="268"/>
      <c r="W154" s="375" t="s">
        <v>711</v>
      </c>
      <c r="X154" s="375" t="s">
        <v>711</v>
      </c>
      <c r="Y154" s="360" t="s">
        <v>711</v>
      </c>
      <c r="Z154" s="268"/>
      <c r="AA154" s="285" t="s">
        <v>609</v>
      </c>
      <c r="AB154" s="334"/>
      <c r="AC154" s="287">
        <v>2508250.0</v>
      </c>
      <c r="AD154" s="288"/>
      <c r="AE154" s="256"/>
      <c r="AF154" s="256"/>
      <c r="AG154" s="256"/>
      <c r="AH154" s="256"/>
      <c r="AI154" s="256"/>
      <c r="AJ154" s="293"/>
      <c r="AK154" s="281"/>
      <c r="AL154" s="259">
        <f>MATCH(B154,'Key Findings'!B:B,0)</f>
        <v>25</v>
      </c>
      <c r="AM154" s="260" t="b">
        <f t="shared" si="1"/>
        <v>1</v>
      </c>
      <c r="AN154" s="294"/>
    </row>
    <row r="155">
      <c r="A155" s="299">
        <f t="array" ref="A155">INDEX('Federal Tax, Stock Buybacks, &amp; '!D:D,match(B155,'Federal Tax, Stock Buybacks, &amp; '!E:E,0))</f>
        <v>869</v>
      </c>
      <c r="B155" s="130" t="s">
        <v>44</v>
      </c>
      <c r="C155" s="376"/>
      <c r="D155" s="375"/>
      <c r="E155" s="360"/>
      <c r="F155" s="268"/>
      <c r="G155" s="376"/>
      <c r="H155" s="375"/>
      <c r="I155" s="360"/>
      <c r="J155" s="268"/>
      <c r="K155" s="376" t="s">
        <v>711</v>
      </c>
      <c r="L155" s="375" t="s">
        <v>711</v>
      </c>
      <c r="M155" s="360" t="s">
        <v>711</v>
      </c>
      <c r="N155" s="268"/>
      <c r="O155" s="375" t="s">
        <v>711</v>
      </c>
      <c r="P155" s="375" t="s">
        <v>711</v>
      </c>
      <c r="Q155" s="360" t="s">
        <v>711</v>
      </c>
      <c r="R155" s="268"/>
      <c r="S155" s="375" t="s">
        <v>711</v>
      </c>
      <c r="T155" s="375" t="s">
        <v>711</v>
      </c>
      <c r="U155" s="360" t="s">
        <v>711</v>
      </c>
      <c r="V155" s="268"/>
      <c r="W155" s="375" t="s">
        <v>711</v>
      </c>
      <c r="X155" s="375" t="s">
        <v>711</v>
      </c>
      <c r="Y155" s="360" t="s">
        <v>711</v>
      </c>
      <c r="Z155" s="268"/>
      <c r="AA155" s="285" t="s">
        <v>605</v>
      </c>
      <c r="AB155" s="334"/>
      <c r="AC155" s="287">
        <v>2558250.0</v>
      </c>
      <c r="AD155" s="288"/>
      <c r="AE155" s="256"/>
      <c r="AF155" s="256"/>
      <c r="AG155" s="256"/>
      <c r="AH155" s="256"/>
      <c r="AI155" s="256"/>
      <c r="AJ155" s="293"/>
      <c r="AK155" s="281"/>
      <c r="AL155" s="259">
        <f>MATCH(B155,'Key Findings'!B:B,0)</f>
        <v>25</v>
      </c>
      <c r="AM155" s="260" t="b">
        <f t="shared" si="1"/>
        <v>1</v>
      </c>
      <c r="AN155" s="294"/>
    </row>
    <row r="156">
      <c r="A156" s="299">
        <f t="array" ref="A156">INDEX('Federal Tax, Stock Buybacks, &amp; '!D:D,match(B156,'Federal Tax, Stock Buybacks, &amp; '!E:E,0))</f>
        <v>869</v>
      </c>
      <c r="B156" s="130" t="s">
        <v>44</v>
      </c>
      <c r="C156" s="376"/>
      <c r="D156" s="375"/>
      <c r="E156" s="360"/>
      <c r="F156" s="268"/>
      <c r="G156" s="376"/>
      <c r="H156" s="375"/>
      <c r="I156" s="360"/>
      <c r="J156" s="268"/>
      <c r="K156" s="376" t="s">
        <v>711</v>
      </c>
      <c r="L156" s="375" t="s">
        <v>711</v>
      </c>
      <c r="M156" s="360" t="s">
        <v>711</v>
      </c>
      <c r="N156" s="268"/>
      <c r="O156" s="375" t="s">
        <v>711</v>
      </c>
      <c r="P156" s="375" t="s">
        <v>711</v>
      </c>
      <c r="Q156" s="360" t="s">
        <v>711</v>
      </c>
      <c r="R156" s="268"/>
      <c r="S156" s="375" t="s">
        <v>711</v>
      </c>
      <c r="T156" s="375" t="s">
        <v>711</v>
      </c>
      <c r="U156" s="360" t="s">
        <v>711</v>
      </c>
      <c r="V156" s="268"/>
      <c r="W156" s="375" t="s">
        <v>711</v>
      </c>
      <c r="X156" s="375" t="s">
        <v>711</v>
      </c>
      <c r="Y156" s="360" t="s">
        <v>711</v>
      </c>
      <c r="Z156" s="268"/>
      <c r="AA156" s="285" t="s">
        <v>568</v>
      </c>
      <c r="AB156" s="334"/>
      <c r="AC156" s="287">
        <v>4003245.0</v>
      </c>
      <c r="AD156" s="288"/>
      <c r="AE156" s="256"/>
      <c r="AF156" s="256"/>
      <c r="AG156" s="256"/>
      <c r="AH156" s="256"/>
      <c r="AI156" s="256"/>
      <c r="AJ156" s="293"/>
      <c r="AK156" s="281"/>
      <c r="AL156" s="259">
        <f>MATCH(B156,'Key Findings'!B:B,0)</f>
        <v>25</v>
      </c>
      <c r="AM156" s="260" t="b">
        <f t="shared" si="1"/>
        <v>1</v>
      </c>
      <c r="AN156" s="294"/>
    </row>
    <row r="157">
      <c r="A157" s="196">
        <f t="array" ref="A157">INDEX('Federal Tax, Stock Buybacks, &amp; '!D:D,match(B157,'Federal Tax, Stock Buybacks, &amp; '!E:E,0))</f>
        <v>285</v>
      </c>
      <c r="B157" s="422" t="s">
        <v>32</v>
      </c>
      <c r="C157" s="362"/>
      <c r="D157" s="413"/>
      <c r="E157" s="342"/>
      <c r="F157" s="268"/>
      <c r="G157" s="362"/>
      <c r="H157" s="413"/>
      <c r="I157" s="342"/>
      <c r="J157" s="268"/>
      <c r="K157" s="362" t="s">
        <v>125</v>
      </c>
      <c r="L157" s="413"/>
      <c r="M157" s="342">
        <v>1.8608094E7</v>
      </c>
      <c r="N157" s="268"/>
      <c r="O157" s="364" t="s">
        <v>125</v>
      </c>
      <c r="P157" s="414"/>
      <c r="Q157" s="342">
        <v>2.4675982E7</v>
      </c>
      <c r="R157" s="268"/>
      <c r="S157" s="364" t="s">
        <v>125</v>
      </c>
      <c r="T157" s="369"/>
      <c r="U157" s="342">
        <v>2.3181719E7</v>
      </c>
      <c r="V157" s="268"/>
      <c r="W157" s="364" t="s">
        <v>125</v>
      </c>
      <c r="X157" s="369"/>
      <c r="Y157" s="342">
        <v>1.9806346E7</v>
      </c>
      <c r="Z157" s="268"/>
      <c r="AA157" s="364" t="s">
        <v>125</v>
      </c>
      <c r="AB157" s="302"/>
      <c r="AC157" s="305">
        <v>9324491.0</v>
      </c>
      <c r="AD157" s="306"/>
      <c r="AE157" s="366">
        <v>2022.0</v>
      </c>
      <c r="AF157" s="366">
        <v>2021.0</v>
      </c>
      <c r="AG157" s="366">
        <v>2020.0</v>
      </c>
      <c r="AH157" s="366">
        <v>2019.0</v>
      </c>
      <c r="AI157" s="366">
        <v>2018.0</v>
      </c>
      <c r="AJ157" s="325" t="s">
        <v>1578</v>
      </c>
      <c r="AK157" s="300"/>
      <c r="AL157" s="275">
        <f>MATCH(B157,'Key Findings'!B:B,0)</f>
        <v>26</v>
      </c>
      <c r="AM157" s="274" t="b">
        <f t="shared" si="1"/>
        <v>0</v>
      </c>
      <c r="AN157" s="294"/>
    </row>
    <row r="158">
      <c r="A158" s="196">
        <f t="array" ref="A158">INDEX('Federal Tax, Stock Buybacks, &amp; '!D:D,match(B158,'Federal Tax, Stock Buybacks, &amp; '!E:E,0))</f>
        <v>285</v>
      </c>
      <c r="B158" s="422" t="s">
        <v>32</v>
      </c>
      <c r="C158" s="362"/>
      <c r="D158" s="413"/>
      <c r="E158" s="342"/>
      <c r="F158" s="268"/>
      <c r="G158" s="362"/>
      <c r="H158" s="413"/>
      <c r="I158" s="342"/>
      <c r="J158" s="268"/>
      <c r="K158" s="362" t="s">
        <v>198</v>
      </c>
      <c r="L158" s="413"/>
      <c r="M158" s="342">
        <v>5299024.0</v>
      </c>
      <c r="N158" s="268"/>
      <c r="O158" s="364" t="s">
        <v>198</v>
      </c>
      <c r="P158" s="414"/>
      <c r="Q158" s="342">
        <v>7255881.0</v>
      </c>
      <c r="R158" s="268"/>
      <c r="S158" s="364" t="s">
        <v>198</v>
      </c>
      <c r="T158" s="369"/>
      <c r="U158" s="342">
        <v>7199722.0</v>
      </c>
      <c r="V158" s="268"/>
      <c r="W158" s="364" t="s">
        <v>198</v>
      </c>
      <c r="X158" s="369"/>
      <c r="Y158" s="342">
        <v>5239307.0</v>
      </c>
      <c r="Z158" s="268"/>
      <c r="AA158" s="364" t="s">
        <v>198</v>
      </c>
      <c r="AB158" s="302"/>
      <c r="AC158" s="305">
        <v>3784218.0</v>
      </c>
      <c r="AD158" s="306"/>
      <c r="AE158" s="308"/>
      <c r="AF158" s="308"/>
      <c r="AG158" s="308"/>
      <c r="AH158" s="308"/>
      <c r="AI158" s="308"/>
      <c r="AJ158" s="368"/>
      <c r="AK158" s="300"/>
      <c r="AL158" s="275">
        <f>MATCH(B158,'Key Findings'!B:B,0)</f>
        <v>26</v>
      </c>
      <c r="AM158" s="274" t="b">
        <f t="shared" si="1"/>
        <v>0</v>
      </c>
      <c r="AN158" s="294"/>
    </row>
    <row r="159">
      <c r="A159" s="196">
        <f t="array" ref="A159">INDEX('Federal Tax, Stock Buybacks, &amp; '!D:D,match(B159,'Federal Tax, Stock Buybacks, &amp; '!E:E,0))</f>
        <v>285</v>
      </c>
      <c r="B159" s="422" t="s">
        <v>32</v>
      </c>
      <c r="C159" s="362"/>
      <c r="D159" s="413"/>
      <c r="E159" s="342"/>
      <c r="F159" s="268"/>
      <c r="G159" s="362"/>
      <c r="H159" s="413"/>
      <c r="I159" s="342"/>
      <c r="J159" s="268"/>
      <c r="K159" s="362" t="s">
        <v>404</v>
      </c>
      <c r="L159" s="413"/>
      <c r="M159" s="342">
        <v>7939492.0</v>
      </c>
      <c r="N159" s="268"/>
      <c r="O159" s="364" t="s">
        <v>404</v>
      </c>
      <c r="P159" s="414"/>
      <c r="Q159" s="342">
        <v>8262408.0</v>
      </c>
      <c r="R159" s="268"/>
      <c r="S159" s="364" t="s">
        <v>404</v>
      </c>
      <c r="T159" s="369"/>
      <c r="U159" s="342">
        <v>6688469.0</v>
      </c>
      <c r="V159" s="268"/>
      <c r="W159" s="364" t="s">
        <v>409</v>
      </c>
      <c r="X159" s="369"/>
      <c r="Y159" s="342">
        <v>1.2763588E7</v>
      </c>
      <c r="Z159" s="268"/>
      <c r="AA159" s="364" t="s">
        <v>409</v>
      </c>
      <c r="AB159" s="302"/>
      <c r="AC159" s="305">
        <v>9101560.0</v>
      </c>
      <c r="AD159" s="306"/>
      <c r="AE159" s="308"/>
      <c r="AF159" s="308"/>
      <c r="AG159" s="308"/>
      <c r="AH159" s="308"/>
      <c r="AI159" s="308"/>
      <c r="AJ159" s="368"/>
      <c r="AK159" s="300"/>
      <c r="AL159" s="275">
        <f>MATCH(B159,'Key Findings'!B:B,0)</f>
        <v>26</v>
      </c>
      <c r="AM159" s="274" t="b">
        <f t="shared" si="1"/>
        <v>0</v>
      </c>
      <c r="AN159" s="294"/>
    </row>
    <row r="160">
      <c r="A160" s="196">
        <f t="array" ref="A160">INDEX('Federal Tax, Stock Buybacks, &amp; '!D:D,match(B160,'Federal Tax, Stock Buybacks, &amp; '!E:E,0))</f>
        <v>285</v>
      </c>
      <c r="B160" s="422" t="s">
        <v>32</v>
      </c>
      <c r="C160" s="362"/>
      <c r="D160" s="413"/>
      <c r="E160" s="342"/>
      <c r="F160" s="268"/>
      <c r="G160" s="362"/>
      <c r="H160" s="413"/>
      <c r="I160" s="342"/>
      <c r="J160" s="268"/>
      <c r="K160" s="362" t="s">
        <v>634</v>
      </c>
      <c r="L160" s="413"/>
      <c r="M160" s="342">
        <v>1840035.0</v>
      </c>
      <c r="N160" s="268"/>
      <c r="O160" s="364" t="s">
        <v>634</v>
      </c>
      <c r="P160" s="414"/>
      <c r="Q160" s="342">
        <v>1377252.0</v>
      </c>
      <c r="R160" s="268"/>
      <c r="S160" s="364" t="s">
        <v>448</v>
      </c>
      <c r="T160" s="369"/>
      <c r="U160" s="342">
        <v>5005252.0</v>
      </c>
      <c r="V160" s="268"/>
      <c r="W160" s="364" t="s">
        <v>448</v>
      </c>
      <c r="X160" s="369"/>
      <c r="Y160" s="342">
        <v>7554290.0</v>
      </c>
      <c r="Z160" s="268"/>
      <c r="AA160" s="364" t="s">
        <v>448</v>
      </c>
      <c r="AB160" s="302"/>
      <c r="AC160" s="305">
        <v>3250525.0</v>
      </c>
      <c r="AD160" s="306"/>
      <c r="AE160" s="308"/>
      <c r="AF160" s="308"/>
      <c r="AG160" s="308"/>
      <c r="AH160" s="308"/>
      <c r="AI160" s="308"/>
      <c r="AJ160" s="368"/>
      <c r="AK160" s="300"/>
      <c r="AL160" s="275">
        <f>MATCH(B160,'Key Findings'!B:B,0)</f>
        <v>26</v>
      </c>
      <c r="AM160" s="274" t="b">
        <f t="shared" si="1"/>
        <v>0</v>
      </c>
      <c r="AN160" s="294"/>
    </row>
    <row r="161">
      <c r="A161" s="196">
        <f t="array" ref="A161">INDEX('Federal Tax, Stock Buybacks, &amp; '!D:D,match(B161,'Federal Tax, Stock Buybacks, &amp; '!E:E,0))</f>
        <v>285</v>
      </c>
      <c r="B161" s="422" t="s">
        <v>32</v>
      </c>
      <c r="C161" s="362"/>
      <c r="D161" s="413"/>
      <c r="E161" s="342"/>
      <c r="F161" s="268"/>
      <c r="G161" s="362"/>
      <c r="H161" s="413"/>
      <c r="I161" s="342"/>
      <c r="J161" s="268"/>
      <c r="K161" s="362" t="s">
        <v>597</v>
      </c>
      <c r="L161" s="413"/>
      <c r="M161" s="342">
        <v>1608819.0</v>
      </c>
      <c r="N161" s="268"/>
      <c r="O161" s="364" t="s">
        <v>597</v>
      </c>
      <c r="P161" s="414"/>
      <c r="Q161" s="342">
        <v>2013250.0</v>
      </c>
      <c r="R161" s="268"/>
      <c r="S161" s="364" t="s">
        <v>597</v>
      </c>
      <c r="T161" s="369"/>
      <c r="U161" s="342">
        <v>1250784.0</v>
      </c>
      <c r="V161" s="268"/>
      <c r="W161" s="364" t="s">
        <v>478</v>
      </c>
      <c r="X161" s="369"/>
      <c r="Y161" s="342">
        <v>6350329.0</v>
      </c>
      <c r="Z161" s="268"/>
      <c r="AA161" s="364" t="s">
        <v>432</v>
      </c>
      <c r="AB161" s="302"/>
      <c r="AC161" s="305">
        <v>1.8553296E7</v>
      </c>
      <c r="AD161" s="306"/>
      <c r="AE161" s="308"/>
      <c r="AF161" s="308"/>
      <c r="AG161" s="308"/>
      <c r="AH161" s="308"/>
      <c r="AI161" s="308"/>
      <c r="AJ161" s="368"/>
      <c r="AK161" s="300"/>
      <c r="AL161" s="275">
        <f>MATCH(B161,'Key Findings'!B:B,0)</f>
        <v>26</v>
      </c>
      <c r="AM161" s="274" t="b">
        <f t="shared" si="1"/>
        <v>0</v>
      </c>
      <c r="AN161" s="294"/>
    </row>
    <row r="162">
      <c r="A162" s="196">
        <f t="array" ref="A162">INDEX('Federal Tax, Stock Buybacks, &amp; '!D:D,match(B162,'Federal Tax, Stock Buybacks, &amp; '!E:E,0))</f>
        <v>285</v>
      </c>
      <c r="B162" s="422" t="s">
        <v>32</v>
      </c>
      <c r="C162" s="279"/>
      <c r="D162" s="280"/>
      <c r="E162" s="267"/>
      <c r="F162" s="268"/>
      <c r="G162" s="279"/>
      <c r="H162" s="280"/>
      <c r="I162" s="267"/>
      <c r="J162" s="268"/>
      <c r="K162" s="279" t="s">
        <v>711</v>
      </c>
      <c r="L162" s="280" t="s">
        <v>711</v>
      </c>
      <c r="M162" s="267" t="s">
        <v>711</v>
      </c>
      <c r="N162" s="268"/>
      <c r="O162" s="280" t="s">
        <v>711</v>
      </c>
      <c r="P162" s="280" t="s">
        <v>711</v>
      </c>
      <c r="Q162" s="267" t="s">
        <v>711</v>
      </c>
      <c r="R162" s="268"/>
      <c r="S162" s="364" t="s">
        <v>478</v>
      </c>
      <c r="T162" s="369"/>
      <c r="U162" s="342">
        <v>6244323.0</v>
      </c>
      <c r="V162" s="268"/>
      <c r="W162" s="280" t="s">
        <v>711</v>
      </c>
      <c r="X162" s="280" t="s">
        <v>711</v>
      </c>
      <c r="Y162" s="267" t="s">
        <v>711</v>
      </c>
      <c r="Z162" s="268"/>
      <c r="AA162" s="364" t="s">
        <v>610</v>
      </c>
      <c r="AB162" s="302"/>
      <c r="AC162" s="305">
        <v>4209025.0</v>
      </c>
      <c r="AD162" s="306"/>
      <c r="AE162" s="308"/>
      <c r="AF162" s="308"/>
      <c r="AG162" s="308"/>
      <c r="AH162" s="308"/>
      <c r="AI162" s="308"/>
      <c r="AJ162" s="368"/>
      <c r="AK162" s="300"/>
      <c r="AL162" s="275">
        <f>MATCH(B162,'Key Findings'!B:B,0)</f>
        <v>26</v>
      </c>
      <c r="AM162" s="274" t="b">
        <f t="shared" si="1"/>
        <v>0</v>
      </c>
      <c r="AN162" s="294"/>
    </row>
    <row r="163">
      <c r="A163" s="169">
        <f t="array" ref="A163">INDEX('Federal Tax, Stock Buybacks, &amp; '!D:D,match(B163,'Federal Tax, Stock Buybacks, &amp; '!E:E,0))</f>
        <v>218</v>
      </c>
      <c r="B163" s="386" t="s">
        <v>58</v>
      </c>
      <c r="C163" s="316"/>
      <c r="D163" s="286"/>
      <c r="E163" s="318"/>
      <c r="F163" s="268"/>
      <c r="G163" s="316"/>
      <c r="H163" s="286"/>
      <c r="I163" s="318"/>
      <c r="J163" s="268"/>
      <c r="K163" s="316" t="s">
        <v>272</v>
      </c>
      <c r="L163" s="286" t="s">
        <v>1759</v>
      </c>
      <c r="M163" s="318">
        <v>5348604.0</v>
      </c>
      <c r="N163" s="268"/>
      <c r="O163" s="285" t="s">
        <v>272</v>
      </c>
      <c r="P163" s="317" t="s">
        <v>1760</v>
      </c>
      <c r="Q163" s="319">
        <v>5073519.0</v>
      </c>
      <c r="R163" s="268"/>
      <c r="S163" s="285" t="s">
        <v>169</v>
      </c>
      <c r="T163" s="295" t="s">
        <v>1761</v>
      </c>
      <c r="U163" s="284">
        <v>1.4440051E7</v>
      </c>
      <c r="V163" s="268"/>
      <c r="W163" s="285" t="s">
        <v>169</v>
      </c>
      <c r="X163" s="295" t="s">
        <v>1761</v>
      </c>
      <c r="Y163" s="284">
        <v>1.5383737E7</v>
      </c>
      <c r="Z163" s="268"/>
      <c r="AA163" s="285" t="s">
        <v>169</v>
      </c>
      <c r="AB163" s="295" t="s">
        <v>1761</v>
      </c>
      <c r="AC163" s="287">
        <v>1.5598433E7</v>
      </c>
      <c r="AD163" s="288"/>
      <c r="AE163" s="289">
        <v>2022.0</v>
      </c>
      <c r="AF163" s="289">
        <v>2021.0</v>
      </c>
      <c r="AG163" s="289">
        <v>2020.0</v>
      </c>
      <c r="AH163" s="289">
        <v>2019.0</v>
      </c>
      <c r="AI163" s="289">
        <v>2018.0</v>
      </c>
      <c r="AJ163" s="320" t="s">
        <v>1524</v>
      </c>
      <c r="AK163" s="260"/>
      <c r="AL163" s="259">
        <f>MATCH(B163,'Key Findings'!B:B,0)</f>
        <v>27</v>
      </c>
      <c r="AM163" s="260" t="b">
        <f t="shared" si="1"/>
        <v>1</v>
      </c>
      <c r="AN163" s="291" t="s">
        <v>1762</v>
      </c>
    </row>
    <row r="164">
      <c r="A164" s="169">
        <f t="array" ref="A164">INDEX('Federal Tax, Stock Buybacks, &amp; '!D:D,match(B164,'Federal Tax, Stock Buybacks, &amp; '!E:E,0))</f>
        <v>218</v>
      </c>
      <c r="B164" s="386" t="s">
        <v>58</v>
      </c>
      <c r="C164" s="316"/>
      <c r="D164" s="286"/>
      <c r="E164" s="318"/>
      <c r="F164" s="268"/>
      <c r="G164" s="316"/>
      <c r="H164" s="286"/>
      <c r="I164" s="318"/>
      <c r="J164" s="268"/>
      <c r="K164" s="316" t="s">
        <v>438</v>
      </c>
      <c r="L164" s="286" t="s">
        <v>1761</v>
      </c>
      <c r="M164" s="318">
        <v>6286091.0</v>
      </c>
      <c r="N164" s="268"/>
      <c r="O164" s="285" t="s">
        <v>438</v>
      </c>
      <c r="P164" s="285" t="s">
        <v>1761</v>
      </c>
      <c r="Q164" s="319">
        <v>4596942.0</v>
      </c>
      <c r="R164" s="268"/>
      <c r="S164" s="285" t="s">
        <v>405</v>
      </c>
      <c r="T164" s="295" t="s">
        <v>1763</v>
      </c>
      <c r="U164" s="284">
        <v>5467201.0</v>
      </c>
      <c r="V164" s="268"/>
      <c r="W164" s="285" t="s">
        <v>519</v>
      </c>
      <c r="X164" s="295" t="s">
        <v>1764</v>
      </c>
      <c r="Y164" s="284">
        <v>4302789.0</v>
      </c>
      <c r="Z164" s="268"/>
      <c r="AA164" s="285" t="s">
        <v>519</v>
      </c>
      <c r="AB164" s="334" t="s">
        <v>1764</v>
      </c>
      <c r="AC164" s="287">
        <v>5914130.0</v>
      </c>
      <c r="AD164" s="288"/>
      <c r="AE164" s="423"/>
      <c r="AF164" s="423"/>
      <c r="AG164" s="292"/>
      <c r="AH164" s="292"/>
      <c r="AI164" s="292"/>
      <c r="AJ164" s="394"/>
      <c r="AK164" s="260"/>
      <c r="AL164" s="259">
        <f>MATCH(B164,'Key Findings'!B:B,0)</f>
        <v>27</v>
      </c>
      <c r="AM164" s="260" t="b">
        <f t="shared" si="1"/>
        <v>1</v>
      </c>
      <c r="AN164" s="294"/>
    </row>
    <row r="165">
      <c r="A165" s="169">
        <f t="array" ref="A165">INDEX('Federal Tax, Stock Buybacks, &amp; '!D:D,match(B165,'Federal Tax, Stock Buybacks, &amp; '!E:E,0))</f>
        <v>218</v>
      </c>
      <c r="B165" s="386" t="s">
        <v>58</v>
      </c>
      <c r="C165" s="316"/>
      <c r="D165" s="286"/>
      <c r="E165" s="318"/>
      <c r="F165" s="268"/>
      <c r="G165" s="316"/>
      <c r="H165" s="286"/>
      <c r="I165" s="318"/>
      <c r="J165" s="268"/>
      <c r="K165" s="316" t="s">
        <v>169</v>
      </c>
      <c r="L165" s="286" t="s">
        <v>1765</v>
      </c>
      <c r="M165" s="318">
        <v>3.008498E7</v>
      </c>
      <c r="N165" s="268"/>
      <c r="O165" s="285" t="s">
        <v>169</v>
      </c>
      <c r="P165" s="317" t="s">
        <v>1766</v>
      </c>
      <c r="Q165" s="319">
        <v>1.5667002E7</v>
      </c>
      <c r="R165" s="268"/>
      <c r="S165" s="285" t="s">
        <v>446</v>
      </c>
      <c r="T165" s="317" t="s">
        <v>1767</v>
      </c>
      <c r="U165" s="284">
        <v>5429030.0</v>
      </c>
      <c r="V165" s="268"/>
      <c r="W165" s="285" t="s">
        <v>405</v>
      </c>
      <c r="X165" s="295" t="s">
        <v>1763</v>
      </c>
      <c r="Y165" s="284">
        <v>5728687.0</v>
      </c>
      <c r="Z165" s="268"/>
      <c r="AA165" s="285" t="s">
        <v>405</v>
      </c>
      <c r="AB165" s="295" t="s">
        <v>1763</v>
      </c>
      <c r="AC165" s="287">
        <v>5314737.0</v>
      </c>
      <c r="AD165" s="288"/>
      <c r="AE165" s="292"/>
      <c r="AF165" s="292"/>
      <c r="AG165" s="292"/>
      <c r="AH165" s="292"/>
      <c r="AI165" s="292"/>
      <c r="AJ165" s="394"/>
      <c r="AK165" s="260"/>
      <c r="AL165" s="259">
        <f>MATCH(B165,'Key Findings'!B:B,0)</f>
        <v>27</v>
      </c>
      <c r="AM165" s="260" t="b">
        <f t="shared" si="1"/>
        <v>1</v>
      </c>
      <c r="AN165" s="294"/>
    </row>
    <row r="166">
      <c r="A166" s="169">
        <f t="array" ref="A166">INDEX('Federal Tax, Stock Buybacks, &amp; '!D:D,match(B166,'Federal Tax, Stock Buybacks, &amp; '!E:E,0))</f>
        <v>218</v>
      </c>
      <c r="B166" s="386" t="s">
        <v>58</v>
      </c>
      <c r="C166" s="316"/>
      <c r="D166" s="286"/>
      <c r="E166" s="318"/>
      <c r="F166" s="268"/>
      <c r="G166" s="316"/>
      <c r="H166" s="286"/>
      <c r="I166" s="318"/>
      <c r="J166" s="268"/>
      <c r="K166" s="316" t="s">
        <v>669</v>
      </c>
      <c r="L166" s="286" t="s">
        <v>1768</v>
      </c>
      <c r="M166" s="318">
        <v>1610608.0</v>
      </c>
      <c r="N166" s="268"/>
      <c r="O166" s="285" t="s">
        <v>616</v>
      </c>
      <c r="P166" s="317" t="s">
        <v>1769</v>
      </c>
      <c r="Q166" s="319">
        <v>4216158.0</v>
      </c>
      <c r="R166" s="268"/>
      <c r="S166" s="285" t="s">
        <v>272</v>
      </c>
      <c r="T166" s="317" t="s">
        <v>1760</v>
      </c>
      <c r="U166" s="284">
        <v>4200244.0</v>
      </c>
      <c r="V166" s="268"/>
      <c r="W166" s="285" t="s">
        <v>446</v>
      </c>
      <c r="X166" s="295" t="s">
        <v>1770</v>
      </c>
      <c r="Y166" s="284">
        <v>5665675.0</v>
      </c>
      <c r="Z166" s="268"/>
      <c r="AA166" s="285" t="s">
        <v>542</v>
      </c>
      <c r="AB166" s="334" t="s">
        <v>1771</v>
      </c>
      <c r="AC166" s="287">
        <v>8620282.0</v>
      </c>
      <c r="AD166" s="288"/>
      <c r="AE166" s="292"/>
      <c r="AF166" s="292"/>
      <c r="AG166" s="292"/>
      <c r="AH166" s="292"/>
      <c r="AI166" s="292"/>
      <c r="AJ166" s="394"/>
      <c r="AK166" s="260"/>
      <c r="AL166" s="259">
        <f>MATCH(B166,'Key Findings'!B:B,0)</f>
        <v>27</v>
      </c>
      <c r="AM166" s="260" t="b">
        <f t="shared" si="1"/>
        <v>1</v>
      </c>
      <c r="AN166" s="294"/>
    </row>
    <row r="167">
      <c r="A167" s="169">
        <f t="array" ref="A167">INDEX('Federal Tax, Stock Buybacks, &amp; '!D:D,match(B167,'Federal Tax, Stock Buybacks, &amp; '!E:E,0))</f>
        <v>218</v>
      </c>
      <c r="B167" s="386" t="s">
        <v>58</v>
      </c>
      <c r="C167" s="316"/>
      <c r="D167" s="286"/>
      <c r="E167" s="318"/>
      <c r="F167" s="268"/>
      <c r="G167" s="316"/>
      <c r="H167" s="286"/>
      <c r="I167" s="318"/>
      <c r="J167" s="268"/>
      <c r="K167" s="316" t="s">
        <v>651</v>
      </c>
      <c r="L167" s="286" t="s">
        <v>1772</v>
      </c>
      <c r="M167" s="318">
        <v>2714397.0</v>
      </c>
      <c r="N167" s="268"/>
      <c r="O167" s="285" t="s">
        <v>627</v>
      </c>
      <c r="P167" s="317" t="s">
        <v>1773</v>
      </c>
      <c r="Q167" s="319">
        <v>3722444.0</v>
      </c>
      <c r="R167" s="268"/>
      <c r="S167" s="285" t="s">
        <v>438</v>
      </c>
      <c r="T167" s="295" t="s">
        <v>1774</v>
      </c>
      <c r="U167" s="284">
        <v>3671753.0</v>
      </c>
      <c r="V167" s="268"/>
      <c r="W167" s="285" t="s">
        <v>272</v>
      </c>
      <c r="X167" s="317" t="s">
        <v>1760</v>
      </c>
      <c r="Y167" s="284">
        <v>4344743.0</v>
      </c>
      <c r="Z167" s="268"/>
      <c r="AA167" s="285" t="s">
        <v>446</v>
      </c>
      <c r="AB167" s="334" t="s">
        <v>1770</v>
      </c>
      <c r="AC167" s="287">
        <v>5684658.0</v>
      </c>
      <c r="AD167" s="288"/>
      <c r="AE167" s="292"/>
      <c r="AF167" s="292"/>
      <c r="AG167" s="292"/>
      <c r="AH167" s="292"/>
      <c r="AI167" s="292"/>
      <c r="AJ167" s="394"/>
      <c r="AK167" s="260"/>
      <c r="AL167" s="259">
        <f>MATCH(B167,'Key Findings'!B:B,0)</f>
        <v>27</v>
      </c>
      <c r="AM167" s="260" t="b">
        <f t="shared" si="1"/>
        <v>1</v>
      </c>
      <c r="AN167" s="294"/>
    </row>
    <row r="168">
      <c r="A168" s="169">
        <f t="array" ref="A168">INDEX('Federal Tax, Stock Buybacks, &amp; '!D:D,match(B168,'Federal Tax, Stock Buybacks, &amp; '!E:E,0))</f>
        <v>218</v>
      </c>
      <c r="B168" s="386" t="s">
        <v>58</v>
      </c>
      <c r="C168" s="316"/>
      <c r="D168" s="286"/>
      <c r="E168" s="318"/>
      <c r="F168" s="268"/>
      <c r="G168" s="316"/>
      <c r="H168" s="286"/>
      <c r="I168" s="318"/>
      <c r="J168" s="268"/>
      <c r="K168" s="316" t="s">
        <v>630</v>
      </c>
      <c r="L168" s="286" t="s">
        <v>1775</v>
      </c>
      <c r="M168" s="318">
        <v>3632029.0</v>
      </c>
      <c r="N168" s="268"/>
      <c r="O168" s="285" t="s">
        <v>405</v>
      </c>
      <c r="P168" s="317" t="s">
        <v>1776</v>
      </c>
      <c r="Q168" s="319">
        <v>6891943.0</v>
      </c>
      <c r="R168" s="268"/>
      <c r="S168" s="296" t="s">
        <v>711</v>
      </c>
      <c r="T168" s="296" t="s">
        <v>711</v>
      </c>
      <c r="U168" s="297" t="s">
        <v>711</v>
      </c>
      <c r="V168" s="268"/>
      <c r="W168" s="285" t="s">
        <v>438</v>
      </c>
      <c r="X168" s="295" t="s">
        <v>1764</v>
      </c>
      <c r="Y168" s="284">
        <v>3504176.0</v>
      </c>
      <c r="Z168" s="268"/>
      <c r="AA168" s="285" t="s">
        <v>272</v>
      </c>
      <c r="AB168" s="317" t="s">
        <v>1760</v>
      </c>
      <c r="AC168" s="287">
        <v>6525975.0</v>
      </c>
      <c r="AD168" s="288"/>
      <c r="AE168" s="292"/>
      <c r="AF168" s="292"/>
      <c r="AG168" s="292"/>
      <c r="AH168" s="292"/>
      <c r="AI168" s="292"/>
      <c r="AJ168" s="394"/>
      <c r="AK168" s="260"/>
      <c r="AL168" s="259">
        <f>MATCH(B168,'Key Findings'!B:B,0)</f>
        <v>27</v>
      </c>
      <c r="AM168" s="260" t="b">
        <f t="shared" si="1"/>
        <v>1</v>
      </c>
      <c r="AN168" s="294"/>
    </row>
    <row r="169">
      <c r="A169" s="169">
        <f t="array" ref="A169">INDEX('Federal Tax, Stock Buybacks, &amp; '!D:D,match(B169,'Federal Tax, Stock Buybacks, &amp; '!E:E,0))</f>
        <v>218</v>
      </c>
      <c r="B169" s="386" t="s">
        <v>58</v>
      </c>
      <c r="C169" s="316"/>
      <c r="D169" s="286"/>
      <c r="E169" s="318"/>
      <c r="F169" s="268"/>
      <c r="G169" s="316"/>
      <c r="H169" s="286"/>
      <c r="I169" s="318"/>
      <c r="J169" s="268"/>
      <c r="K169" s="316" t="s">
        <v>650</v>
      </c>
      <c r="L169" s="286" t="s">
        <v>1777</v>
      </c>
      <c r="M169" s="318">
        <v>2790224.0</v>
      </c>
      <c r="N169" s="268"/>
      <c r="O169" s="285" t="s">
        <v>549</v>
      </c>
      <c r="P169" s="317" t="s">
        <v>1778</v>
      </c>
      <c r="Q169" s="319">
        <v>8117916.0</v>
      </c>
      <c r="R169" s="268"/>
      <c r="S169" s="296" t="s">
        <v>711</v>
      </c>
      <c r="T169" s="296" t="s">
        <v>711</v>
      </c>
      <c r="U169" s="297" t="s">
        <v>711</v>
      </c>
      <c r="V169" s="268"/>
      <c r="W169" s="296" t="s">
        <v>711</v>
      </c>
      <c r="X169" s="296" t="s">
        <v>711</v>
      </c>
      <c r="Y169" s="297" t="s">
        <v>711</v>
      </c>
      <c r="Z169" s="268"/>
      <c r="AA169" s="296" t="s">
        <v>711</v>
      </c>
      <c r="AB169" s="296" t="s">
        <v>711</v>
      </c>
      <c r="AC169" s="297" t="s">
        <v>711</v>
      </c>
      <c r="AD169" s="288"/>
      <c r="AE169" s="292"/>
      <c r="AF169" s="292"/>
      <c r="AG169" s="292"/>
      <c r="AH169" s="292"/>
      <c r="AI169" s="292"/>
      <c r="AJ169" s="394"/>
      <c r="AK169" s="260"/>
      <c r="AL169" s="259">
        <f>MATCH(B169,'Key Findings'!B:B,0)</f>
        <v>27</v>
      </c>
      <c r="AM169" s="260" t="b">
        <f t="shared" si="1"/>
        <v>1</v>
      </c>
      <c r="AN169" s="294"/>
    </row>
    <row r="170">
      <c r="A170" s="169">
        <f t="array" ref="A170">INDEX('Federal Tax, Stock Buybacks, &amp; '!D:D,match(B170,'Federal Tax, Stock Buybacks, &amp; '!E:E,0))</f>
        <v>237</v>
      </c>
      <c r="B170" s="412" t="s">
        <v>62</v>
      </c>
      <c r="C170" s="362"/>
      <c r="D170" s="413"/>
      <c r="E170" s="342"/>
      <c r="F170" s="268"/>
      <c r="G170" s="362"/>
      <c r="H170" s="413"/>
      <c r="I170" s="342"/>
      <c r="J170" s="268"/>
      <c r="K170" s="362" t="s">
        <v>158</v>
      </c>
      <c r="L170" s="413"/>
      <c r="M170" s="342">
        <v>6524928.0</v>
      </c>
      <c r="N170" s="268"/>
      <c r="O170" s="364" t="s">
        <v>158</v>
      </c>
      <c r="P170" s="414"/>
      <c r="Q170" s="342">
        <v>6935121.0</v>
      </c>
      <c r="R170" s="268"/>
      <c r="S170" s="364" t="s">
        <v>158</v>
      </c>
      <c r="T170" s="369"/>
      <c r="U170" s="342">
        <v>5249291.0</v>
      </c>
      <c r="V170" s="268"/>
      <c r="W170" s="364" t="s">
        <v>158</v>
      </c>
      <c r="X170" s="369"/>
      <c r="Y170" s="342">
        <v>4029369.0</v>
      </c>
      <c r="Z170" s="268"/>
      <c r="AA170" s="364" t="s">
        <v>158</v>
      </c>
      <c r="AB170" s="302"/>
      <c r="AC170" s="305">
        <v>2728955.0</v>
      </c>
      <c r="AD170" s="306"/>
      <c r="AE170" s="417"/>
      <c r="AF170" s="417"/>
      <c r="AG170" s="417"/>
      <c r="AH170" s="417"/>
      <c r="AI170" s="417"/>
      <c r="AJ170" s="416"/>
      <c r="AK170" s="416"/>
      <c r="AL170" s="275">
        <f>MATCH(B170,'Key Findings'!B:B,0)</f>
        <v>28</v>
      </c>
      <c r="AM170" s="274" t="b">
        <f t="shared" si="1"/>
        <v>0</v>
      </c>
      <c r="AN170" s="385" t="s">
        <v>1779</v>
      </c>
    </row>
    <row r="171">
      <c r="A171" s="169">
        <f t="array" ref="A171">INDEX('Federal Tax, Stock Buybacks, &amp; '!D:D,match(B171,'Federal Tax, Stock Buybacks, &amp; '!E:E,0))</f>
        <v>237</v>
      </c>
      <c r="B171" s="412" t="s">
        <v>62</v>
      </c>
      <c r="C171" s="362"/>
      <c r="D171" s="413"/>
      <c r="E171" s="342"/>
      <c r="F171" s="268"/>
      <c r="G171" s="362"/>
      <c r="H171" s="413"/>
      <c r="I171" s="342"/>
      <c r="J171" s="268"/>
      <c r="K171" s="362" t="s">
        <v>109</v>
      </c>
      <c r="L171" s="413"/>
      <c r="M171" s="342">
        <v>1.9816806E7</v>
      </c>
      <c r="N171" s="268"/>
      <c r="O171" s="364" t="s">
        <v>109</v>
      </c>
      <c r="P171" s="414"/>
      <c r="Q171" s="342">
        <v>2.2654781E7</v>
      </c>
      <c r="R171" s="268"/>
      <c r="S171" s="364" t="s">
        <v>109</v>
      </c>
      <c r="T171" s="369"/>
      <c r="U171" s="342">
        <v>1.6959233E7</v>
      </c>
      <c r="V171" s="268"/>
      <c r="W171" s="364" t="s">
        <v>109</v>
      </c>
      <c r="X171" s="369"/>
      <c r="Y171" s="342">
        <v>1.7235108E7</v>
      </c>
      <c r="Z171" s="268"/>
      <c r="AA171" s="364" t="s">
        <v>109</v>
      </c>
      <c r="AB171" s="302"/>
      <c r="AC171" s="305">
        <v>3.5655646E7</v>
      </c>
      <c r="AD171" s="306"/>
      <c r="AE171" s="366">
        <v>2022.0</v>
      </c>
      <c r="AF171" s="366">
        <v>2021.0</v>
      </c>
      <c r="AG171" s="366">
        <v>2020.0</v>
      </c>
      <c r="AH171" s="366">
        <v>2019.0</v>
      </c>
      <c r="AI171" s="366">
        <v>2018.0</v>
      </c>
      <c r="AJ171" s="415" t="s">
        <v>1578</v>
      </c>
      <c r="AK171" s="416"/>
      <c r="AL171" s="275">
        <f>MATCH(B171,'Key Findings'!B:B,0)</f>
        <v>28</v>
      </c>
      <c r="AM171" s="274" t="b">
        <f t="shared" si="1"/>
        <v>0</v>
      </c>
      <c r="AN171" s="294"/>
    </row>
    <row r="172">
      <c r="A172" s="169">
        <f t="array" ref="A172">INDEX('Federal Tax, Stock Buybacks, &amp; '!D:D,match(B172,'Federal Tax, Stock Buybacks, &amp; '!E:E,0))</f>
        <v>237</v>
      </c>
      <c r="B172" s="412" t="s">
        <v>62</v>
      </c>
      <c r="C172" s="362"/>
      <c r="D172" s="413"/>
      <c r="E172" s="342"/>
      <c r="F172" s="268"/>
      <c r="G172" s="362"/>
      <c r="H172" s="413"/>
      <c r="I172" s="342"/>
      <c r="J172" s="268"/>
      <c r="K172" s="362" t="s">
        <v>199</v>
      </c>
      <c r="L172" s="413"/>
      <c r="M172" s="342">
        <v>2586614.0</v>
      </c>
      <c r="N172" s="268"/>
      <c r="O172" s="364" t="s">
        <v>199</v>
      </c>
      <c r="P172" s="414"/>
      <c r="Q172" s="342">
        <v>2477083.0</v>
      </c>
      <c r="R172" s="268"/>
      <c r="S172" s="364" t="s">
        <v>199</v>
      </c>
      <c r="T172" s="369"/>
      <c r="U172" s="342">
        <v>1849005.0</v>
      </c>
      <c r="V172" s="268"/>
      <c r="W172" s="364" t="s">
        <v>199</v>
      </c>
      <c r="X172" s="369"/>
      <c r="Y172" s="342">
        <v>1731155.0</v>
      </c>
      <c r="Z172" s="268"/>
      <c r="AA172" s="364" t="s">
        <v>199</v>
      </c>
      <c r="AB172" s="302"/>
      <c r="AC172" s="305">
        <v>1861304.0</v>
      </c>
      <c r="AD172" s="306"/>
      <c r="AE172" s="308"/>
      <c r="AF172" s="308"/>
      <c r="AG172" s="308"/>
      <c r="AH172" s="308"/>
      <c r="AI172" s="308"/>
      <c r="AJ172" s="368"/>
      <c r="AK172" s="368"/>
      <c r="AL172" s="275">
        <f>MATCH(B172,'Key Findings'!B:B,0)</f>
        <v>28</v>
      </c>
      <c r="AM172" s="274" t="b">
        <f t="shared" si="1"/>
        <v>0</v>
      </c>
      <c r="AN172" s="294"/>
    </row>
    <row r="173">
      <c r="A173" s="169">
        <f t="array" ref="A173">INDEX('Federal Tax, Stock Buybacks, &amp; '!D:D,match(B173,'Federal Tax, Stock Buybacks, &amp; '!E:E,0))</f>
        <v>237</v>
      </c>
      <c r="B173" s="412" t="s">
        <v>62</v>
      </c>
      <c r="C173" s="362"/>
      <c r="D173" s="413"/>
      <c r="E173" s="342"/>
      <c r="F173" s="268"/>
      <c r="G173" s="362"/>
      <c r="H173" s="413"/>
      <c r="I173" s="342"/>
      <c r="J173" s="268"/>
      <c r="K173" s="362" t="s">
        <v>436</v>
      </c>
      <c r="L173" s="413"/>
      <c r="M173" s="342">
        <v>2699054.0</v>
      </c>
      <c r="N173" s="268"/>
      <c r="O173" s="364" t="s">
        <v>436</v>
      </c>
      <c r="P173" s="414"/>
      <c r="Q173" s="342">
        <v>3032486.0</v>
      </c>
      <c r="R173" s="268"/>
      <c r="S173" s="364" t="s">
        <v>436</v>
      </c>
      <c r="T173" s="369"/>
      <c r="U173" s="342">
        <v>2299135.0</v>
      </c>
      <c r="V173" s="268"/>
      <c r="W173" s="364" t="s">
        <v>436</v>
      </c>
      <c r="X173" s="369"/>
      <c r="Y173" s="342">
        <v>1677308.0</v>
      </c>
      <c r="Z173" s="268"/>
      <c r="AA173" s="364" t="s">
        <v>421</v>
      </c>
      <c r="AB173" s="302"/>
      <c r="AC173" s="305">
        <v>1.0744214E7</v>
      </c>
      <c r="AD173" s="306"/>
      <c r="AE173" s="308"/>
      <c r="AF173" s="308"/>
      <c r="AG173" s="308"/>
      <c r="AH173" s="308"/>
      <c r="AI173" s="308"/>
      <c r="AJ173" s="368"/>
      <c r="AK173" s="368"/>
      <c r="AL173" s="275">
        <f>MATCH(B173,'Key Findings'!B:B,0)</f>
        <v>28</v>
      </c>
      <c r="AM173" s="274" t="b">
        <f t="shared" si="1"/>
        <v>0</v>
      </c>
      <c r="AN173" s="294"/>
    </row>
    <row r="174">
      <c r="A174" s="169">
        <f t="array" ref="A174">INDEX('Federal Tax, Stock Buybacks, &amp; '!D:D,match(B174,'Federal Tax, Stock Buybacks, &amp; '!E:E,0))</f>
        <v>237</v>
      </c>
      <c r="B174" s="412" t="s">
        <v>62</v>
      </c>
      <c r="C174" s="362"/>
      <c r="D174" s="413"/>
      <c r="E174" s="342"/>
      <c r="F174" s="268"/>
      <c r="G174" s="362"/>
      <c r="H174" s="413"/>
      <c r="I174" s="342"/>
      <c r="J174" s="268"/>
      <c r="K174" s="362" t="s">
        <v>250</v>
      </c>
      <c r="L174" s="413"/>
      <c r="M174" s="342">
        <v>3754251.0</v>
      </c>
      <c r="N174" s="268"/>
      <c r="O174" s="364" t="s">
        <v>250</v>
      </c>
      <c r="P174" s="414"/>
      <c r="Q174" s="342">
        <v>3787097.0</v>
      </c>
      <c r="R174" s="268"/>
      <c r="S174" s="364" t="s">
        <v>250</v>
      </c>
      <c r="T174" s="369"/>
      <c r="U174" s="342">
        <v>3251312.0</v>
      </c>
      <c r="V174" s="268"/>
      <c r="W174" s="364" t="s">
        <v>250</v>
      </c>
      <c r="X174" s="369"/>
      <c r="Y174" s="342">
        <v>3445957.0</v>
      </c>
      <c r="Z174" s="268"/>
      <c r="AA174" s="364" t="s">
        <v>250</v>
      </c>
      <c r="AB174" s="302"/>
      <c r="AC174" s="305">
        <v>3575455.0</v>
      </c>
      <c r="AD174" s="306"/>
      <c r="AE174" s="308"/>
      <c r="AF174" s="308"/>
      <c r="AG174" s="308"/>
      <c r="AH174" s="308"/>
      <c r="AI174" s="308"/>
      <c r="AJ174" s="368"/>
      <c r="AK174" s="368"/>
      <c r="AL174" s="275">
        <f>MATCH(B174,'Key Findings'!B:B,0)</f>
        <v>28</v>
      </c>
      <c r="AM174" s="274" t="b">
        <f t="shared" si="1"/>
        <v>0</v>
      </c>
      <c r="AN174" s="294"/>
    </row>
    <row r="175">
      <c r="A175" s="169">
        <f t="array" ref="A175">INDEX('Federal Tax, Stock Buybacks, &amp; '!D:D,match(B175,'Federal Tax, Stock Buybacks, &amp; '!E:E,0))</f>
        <v>237</v>
      </c>
      <c r="B175" s="412" t="s">
        <v>62</v>
      </c>
      <c r="C175" s="362"/>
      <c r="D175" s="413"/>
      <c r="E175" s="342"/>
      <c r="F175" s="268"/>
      <c r="G175" s="362"/>
      <c r="H175" s="413"/>
      <c r="I175" s="342"/>
      <c r="J175" s="268"/>
      <c r="K175" s="362" t="s">
        <v>429</v>
      </c>
      <c r="L175" s="413"/>
      <c r="M175" s="342">
        <v>1.0161435E7</v>
      </c>
      <c r="N175" s="268"/>
      <c r="O175" s="370" t="s">
        <v>711</v>
      </c>
      <c r="P175" s="370" t="s">
        <v>711</v>
      </c>
      <c r="Q175" s="371" t="s">
        <v>711</v>
      </c>
      <c r="R175" s="268"/>
      <c r="S175" s="370" t="s">
        <v>711</v>
      </c>
      <c r="T175" s="370" t="s">
        <v>711</v>
      </c>
      <c r="U175" s="371" t="s">
        <v>711</v>
      </c>
      <c r="V175" s="268"/>
      <c r="W175" s="370" t="s">
        <v>711</v>
      </c>
      <c r="X175" s="370" t="s">
        <v>711</v>
      </c>
      <c r="Y175" s="371" t="s">
        <v>711</v>
      </c>
      <c r="Z175" s="268"/>
      <c r="AA175" s="364" t="s">
        <v>474</v>
      </c>
      <c r="AB175" s="302"/>
      <c r="AC175" s="305">
        <v>6933478.0</v>
      </c>
      <c r="AD175" s="306"/>
      <c r="AE175" s="308"/>
      <c r="AF175" s="308"/>
      <c r="AG175" s="308"/>
      <c r="AH175" s="308"/>
      <c r="AI175" s="308"/>
      <c r="AJ175" s="368"/>
      <c r="AK175" s="368"/>
      <c r="AL175" s="275">
        <f>MATCH(B175,'Key Findings'!B:B,0)</f>
        <v>28</v>
      </c>
      <c r="AM175" s="274" t="b">
        <f t="shared" si="1"/>
        <v>0</v>
      </c>
      <c r="AN175" s="294"/>
    </row>
    <row r="176">
      <c r="A176" s="169">
        <f t="array" ref="A176">INDEX('Federal Tax, Stock Buybacks, &amp; '!D:D,match(B176,'Federal Tax, Stock Buybacks, &amp; '!E:E,0))</f>
        <v>237</v>
      </c>
      <c r="B176" s="412" t="s">
        <v>62</v>
      </c>
      <c r="C176" s="362"/>
      <c r="D176" s="413"/>
      <c r="E176" s="342"/>
      <c r="F176" s="268"/>
      <c r="G176" s="362"/>
      <c r="H176" s="413"/>
      <c r="I176" s="342"/>
      <c r="J176" s="268"/>
      <c r="K176" s="362" t="s">
        <v>535</v>
      </c>
      <c r="L176" s="413"/>
      <c r="M176" s="342">
        <v>4778130.0</v>
      </c>
      <c r="N176" s="268"/>
      <c r="O176" s="370" t="s">
        <v>711</v>
      </c>
      <c r="P176" s="370" t="s">
        <v>711</v>
      </c>
      <c r="Q176" s="371" t="s">
        <v>711</v>
      </c>
      <c r="R176" s="268"/>
      <c r="S176" s="370" t="s">
        <v>711</v>
      </c>
      <c r="T176" s="370" t="s">
        <v>711</v>
      </c>
      <c r="U176" s="371" t="s">
        <v>711</v>
      </c>
      <c r="V176" s="268"/>
      <c r="W176" s="370" t="s">
        <v>711</v>
      </c>
      <c r="X176" s="370" t="s">
        <v>711</v>
      </c>
      <c r="Y176" s="371" t="s">
        <v>711</v>
      </c>
      <c r="Z176" s="268"/>
      <c r="AA176" s="364" t="s">
        <v>520</v>
      </c>
      <c r="AB176" s="302"/>
      <c r="AC176" s="305">
        <v>5290167.0</v>
      </c>
      <c r="AD176" s="306"/>
      <c r="AE176" s="308"/>
      <c r="AF176" s="308"/>
      <c r="AG176" s="308"/>
      <c r="AH176" s="308"/>
      <c r="AI176" s="308"/>
      <c r="AJ176" s="368"/>
      <c r="AK176" s="368"/>
      <c r="AL176" s="275">
        <f>MATCH(B176,'Key Findings'!B:B,0)</f>
        <v>28</v>
      </c>
      <c r="AM176" s="274" t="b">
        <f t="shared" si="1"/>
        <v>0</v>
      </c>
      <c r="AN176" s="294"/>
    </row>
    <row r="177">
      <c r="A177" s="169">
        <f t="array" ref="A177">INDEX('Federal Tax, Stock Buybacks, &amp; '!D:D,match(B177,'Federal Tax, Stock Buybacks, &amp; '!E:E,0))</f>
        <v>420</v>
      </c>
      <c r="B177" s="138" t="s">
        <v>63</v>
      </c>
      <c r="C177" s="282"/>
      <c r="D177" s="373"/>
      <c r="E177" s="284"/>
      <c r="F177" s="268"/>
      <c r="G177" s="282"/>
      <c r="H177" s="373"/>
      <c r="I177" s="284"/>
      <c r="J177" s="268"/>
      <c r="K177" s="282" t="s">
        <v>168</v>
      </c>
      <c r="L177" s="373"/>
      <c r="M177" s="284">
        <v>2.5430018E7</v>
      </c>
      <c r="N177" s="268"/>
      <c r="O177" s="285" t="s">
        <v>168</v>
      </c>
      <c r="P177" s="424"/>
      <c r="Q177" s="284">
        <v>1.4554728E7</v>
      </c>
      <c r="R177" s="268"/>
      <c r="S177" s="285" t="s">
        <v>168</v>
      </c>
      <c r="T177" s="374"/>
      <c r="U177" s="284">
        <v>1.4194706E7</v>
      </c>
      <c r="V177" s="268"/>
      <c r="W177" s="285" t="s">
        <v>168</v>
      </c>
      <c r="X177" s="295"/>
      <c r="Y177" s="284">
        <v>1.3830926E7</v>
      </c>
      <c r="Z177" s="268"/>
      <c r="AA177" s="285" t="s">
        <v>168</v>
      </c>
      <c r="AB177" s="295"/>
      <c r="AC177" s="284">
        <v>1.305032E7</v>
      </c>
      <c r="AD177" s="288"/>
      <c r="AE177" s="391">
        <v>2022.0</v>
      </c>
      <c r="AF177" s="391">
        <v>2021.0</v>
      </c>
      <c r="AG177" s="391">
        <v>2020.0</v>
      </c>
      <c r="AH177" s="391">
        <v>2019.0</v>
      </c>
      <c r="AI177" s="391">
        <v>2018.0</v>
      </c>
      <c r="AJ177" s="425" t="s">
        <v>1578</v>
      </c>
      <c r="AK177" s="426"/>
      <c r="AL177" s="259">
        <f>MATCH(B177,'Key Findings'!B:B,0)</f>
        <v>29</v>
      </c>
      <c r="AM177" s="260" t="b">
        <f t="shared" si="1"/>
        <v>1</v>
      </c>
      <c r="AN177" s="291" t="s">
        <v>1534</v>
      </c>
    </row>
    <row r="178">
      <c r="A178" s="169">
        <f t="array" ref="A178">INDEX('Federal Tax, Stock Buybacks, &amp; '!D:D,match(B178,'Federal Tax, Stock Buybacks, &amp; '!E:E,0))</f>
        <v>420</v>
      </c>
      <c r="B178" s="138" t="s">
        <v>63</v>
      </c>
      <c r="C178" s="282"/>
      <c r="D178" s="373"/>
      <c r="E178" s="284"/>
      <c r="F178" s="268"/>
      <c r="G178" s="282"/>
      <c r="H178" s="373"/>
      <c r="I178" s="284"/>
      <c r="J178" s="268"/>
      <c r="K178" s="282" t="s">
        <v>357</v>
      </c>
      <c r="L178" s="373"/>
      <c r="M178" s="284">
        <v>1.5303397E7</v>
      </c>
      <c r="N178" s="268"/>
      <c r="O178" s="285" t="s">
        <v>357</v>
      </c>
      <c r="P178" s="424"/>
      <c r="Q178" s="284">
        <v>1.1061939E7</v>
      </c>
      <c r="R178" s="268"/>
      <c r="S178" s="285" t="s">
        <v>241</v>
      </c>
      <c r="T178" s="374"/>
      <c r="U178" s="284">
        <v>6674117.0</v>
      </c>
      <c r="V178" s="268"/>
      <c r="W178" s="285" t="s">
        <v>241</v>
      </c>
      <c r="X178" s="295"/>
      <c r="Y178" s="284">
        <v>6516082.0</v>
      </c>
      <c r="Z178" s="268"/>
      <c r="AA178" s="285" t="s">
        <v>241</v>
      </c>
      <c r="AB178" s="295"/>
      <c r="AC178" s="284">
        <v>6042845.0</v>
      </c>
      <c r="AD178" s="288"/>
      <c r="AE178" s="292"/>
      <c r="AF178" s="292"/>
      <c r="AG178" s="292"/>
      <c r="AH178" s="292"/>
      <c r="AI178" s="292"/>
      <c r="AJ178" s="293"/>
      <c r="AK178" s="293"/>
      <c r="AL178" s="259">
        <f>MATCH(B178,'Key Findings'!B:B,0)</f>
        <v>29</v>
      </c>
      <c r="AM178" s="260" t="b">
        <f t="shared" si="1"/>
        <v>1</v>
      </c>
      <c r="AN178" s="294"/>
    </row>
    <row r="179">
      <c r="A179" s="169">
        <f t="array" ref="A179">INDEX('Federal Tax, Stock Buybacks, &amp; '!D:D,match(B179,'Federal Tax, Stock Buybacks, &amp; '!E:E,0))</f>
        <v>420</v>
      </c>
      <c r="B179" s="138" t="s">
        <v>63</v>
      </c>
      <c r="C179" s="282"/>
      <c r="D179" s="373"/>
      <c r="E179" s="284"/>
      <c r="F179" s="268"/>
      <c r="G179" s="282"/>
      <c r="H179" s="373"/>
      <c r="I179" s="284"/>
      <c r="J179" s="268"/>
      <c r="K179" s="282" t="s">
        <v>241</v>
      </c>
      <c r="L179" s="373"/>
      <c r="M179" s="284">
        <v>6611316.0</v>
      </c>
      <c r="N179" s="268"/>
      <c r="O179" s="285" t="s">
        <v>241</v>
      </c>
      <c r="P179" s="424"/>
      <c r="Q179" s="284">
        <v>1.2184259E7</v>
      </c>
      <c r="R179" s="268"/>
      <c r="S179" s="285" t="s">
        <v>416</v>
      </c>
      <c r="T179" s="374"/>
      <c r="U179" s="284">
        <v>2448472.0</v>
      </c>
      <c r="V179" s="268"/>
      <c r="W179" s="285" t="s">
        <v>416</v>
      </c>
      <c r="X179" s="295"/>
      <c r="Y179" s="284">
        <v>2452976.0</v>
      </c>
      <c r="Z179" s="268"/>
      <c r="AA179" s="285" t="s">
        <v>416</v>
      </c>
      <c r="AB179" s="295"/>
      <c r="AC179" s="284">
        <v>2223870.0</v>
      </c>
      <c r="AD179" s="288"/>
      <c r="AE179" s="292"/>
      <c r="AF179" s="292"/>
      <c r="AG179" s="292"/>
      <c r="AH179" s="292"/>
      <c r="AI179" s="292"/>
      <c r="AJ179" s="293"/>
      <c r="AK179" s="293"/>
      <c r="AL179" s="259">
        <f>MATCH(B179,'Key Findings'!B:B,0)</f>
        <v>29</v>
      </c>
      <c r="AM179" s="260" t="b">
        <f t="shared" si="1"/>
        <v>1</v>
      </c>
      <c r="AN179" s="294"/>
    </row>
    <row r="180">
      <c r="A180" s="169">
        <f t="array" ref="A180">INDEX('Federal Tax, Stock Buybacks, &amp; '!D:D,match(B180,'Federal Tax, Stock Buybacks, &amp; '!E:E,0))</f>
        <v>420</v>
      </c>
      <c r="B180" s="138" t="s">
        <v>63</v>
      </c>
      <c r="C180" s="282"/>
      <c r="D180" s="373"/>
      <c r="E180" s="284"/>
      <c r="F180" s="268"/>
      <c r="G180" s="282"/>
      <c r="H180" s="373"/>
      <c r="I180" s="284"/>
      <c r="J180" s="268"/>
      <c r="K180" s="282" t="s">
        <v>482</v>
      </c>
      <c r="L180" s="373"/>
      <c r="M180" s="284">
        <v>4773439.0</v>
      </c>
      <c r="N180" s="268"/>
      <c r="O180" s="285" t="s">
        <v>482</v>
      </c>
      <c r="P180" s="424"/>
      <c r="Q180" s="284">
        <v>3149154.0</v>
      </c>
      <c r="R180" s="268"/>
      <c r="S180" s="285" t="s">
        <v>419</v>
      </c>
      <c r="T180" s="374"/>
      <c r="U180" s="284">
        <v>2430318.0</v>
      </c>
      <c r="V180" s="268"/>
      <c r="W180" s="285" t="s">
        <v>419</v>
      </c>
      <c r="X180" s="295"/>
      <c r="Y180" s="284">
        <v>2433242.0</v>
      </c>
      <c r="Z180" s="268"/>
      <c r="AA180" s="285" t="s">
        <v>419</v>
      </c>
      <c r="AB180" s="295"/>
      <c r="AC180" s="284">
        <v>2202056.0</v>
      </c>
      <c r="AD180" s="288"/>
      <c r="AE180" s="292"/>
      <c r="AF180" s="292"/>
      <c r="AG180" s="292"/>
      <c r="AH180" s="292"/>
      <c r="AI180" s="292"/>
      <c r="AJ180" s="293"/>
      <c r="AK180" s="293"/>
      <c r="AL180" s="259">
        <f>MATCH(B180,'Key Findings'!B:B,0)</f>
        <v>29</v>
      </c>
      <c r="AM180" s="260" t="b">
        <f t="shared" si="1"/>
        <v>1</v>
      </c>
      <c r="AN180" s="294"/>
    </row>
    <row r="181">
      <c r="A181" s="169">
        <f t="array" ref="A181">INDEX('Federal Tax, Stock Buybacks, &amp; '!D:D,match(B181,'Federal Tax, Stock Buybacks, &amp; '!E:E,0))</f>
        <v>420</v>
      </c>
      <c r="B181" s="138" t="s">
        <v>63</v>
      </c>
      <c r="C181" s="282"/>
      <c r="D181" s="373"/>
      <c r="E181" s="284"/>
      <c r="F181" s="268"/>
      <c r="G181" s="282"/>
      <c r="H181" s="373"/>
      <c r="I181" s="284"/>
      <c r="J181" s="268"/>
      <c r="K181" s="282" t="s">
        <v>591</v>
      </c>
      <c r="L181" s="373"/>
      <c r="M181" s="284">
        <v>3458747.0</v>
      </c>
      <c r="N181" s="268"/>
      <c r="O181" s="285" t="s">
        <v>416</v>
      </c>
      <c r="P181" s="424"/>
      <c r="Q181" s="284">
        <v>6517451.0</v>
      </c>
      <c r="R181" s="268"/>
      <c r="S181" s="285" t="s">
        <v>422</v>
      </c>
      <c r="T181" s="374"/>
      <c r="U181" s="284">
        <v>2462844.0</v>
      </c>
      <c r="V181" s="268"/>
      <c r="W181" s="285" t="s">
        <v>422</v>
      </c>
      <c r="X181" s="295"/>
      <c r="Y181" s="284">
        <v>2459913.0</v>
      </c>
      <c r="Z181" s="268"/>
      <c r="AA181" s="285" t="s">
        <v>422</v>
      </c>
      <c r="AB181" s="295"/>
      <c r="AC181" s="284">
        <v>2210491.0</v>
      </c>
      <c r="AD181" s="288"/>
      <c r="AE181" s="292"/>
      <c r="AF181" s="292"/>
      <c r="AG181" s="292"/>
      <c r="AH181" s="292"/>
      <c r="AI181" s="292"/>
      <c r="AJ181" s="293"/>
      <c r="AK181" s="293"/>
      <c r="AL181" s="259">
        <f>MATCH(B181,'Key Findings'!B:B,0)</f>
        <v>29</v>
      </c>
      <c r="AM181" s="260" t="b">
        <f t="shared" si="1"/>
        <v>1</v>
      </c>
      <c r="AN181" s="294"/>
    </row>
    <row r="182">
      <c r="A182" s="169">
        <f t="array" ref="A182">INDEX('Federal Tax, Stock Buybacks, &amp; '!D:D,match(B182,'Federal Tax, Stock Buybacks, &amp; '!E:E,0))</f>
        <v>420</v>
      </c>
      <c r="B182" s="138" t="s">
        <v>63</v>
      </c>
      <c r="C182" s="298"/>
      <c r="D182" s="296"/>
      <c r="E182" s="297"/>
      <c r="F182" s="268"/>
      <c r="G182" s="298"/>
      <c r="H182" s="296"/>
      <c r="I182" s="297"/>
      <c r="J182" s="268"/>
      <c r="K182" s="298" t="s">
        <v>711</v>
      </c>
      <c r="L182" s="296" t="s">
        <v>711</v>
      </c>
      <c r="M182" s="297" t="s">
        <v>711</v>
      </c>
      <c r="N182" s="268"/>
      <c r="O182" s="285" t="s">
        <v>419</v>
      </c>
      <c r="P182" s="424"/>
      <c r="Q182" s="284">
        <v>6497117.0</v>
      </c>
      <c r="R182" s="268"/>
      <c r="S182" s="296" t="s">
        <v>711</v>
      </c>
      <c r="T182" s="296" t="s">
        <v>711</v>
      </c>
      <c r="U182" s="297" t="s">
        <v>711</v>
      </c>
      <c r="V182" s="268"/>
      <c r="W182" s="296" t="s">
        <v>711</v>
      </c>
      <c r="X182" s="296" t="s">
        <v>711</v>
      </c>
      <c r="Y182" s="297" t="s">
        <v>711</v>
      </c>
      <c r="Z182" s="268"/>
      <c r="AA182" s="296" t="s">
        <v>711</v>
      </c>
      <c r="AB182" s="296" t="s">
        <v>711</v>
      </c>
      <c r="AC182" s="297" t="s">
        <v>711</v>
      </c>
      <c r="AD182" s="288"/>
      <c r="AE182" s="292"/>
      <c r="AF182" s="292"/>
      <c r="AG182" s="292"/>
      <c r="AH182" s="292"/>
      <c r="AI182" s="292"/>
      <c r="AJ182" s="293"/>
      <c r="AK182" s="293"/>
      <c r="AL182" s="259">
        <f>MATCH(B182,'Key Findings'!B:B,0)</f>
        <v>29</v>
      </c>
      <c r="AM182" s="260" t="b">
        <f t="shared" si="1"/>
        <v>1</v>
      </c>
      <c r="AN182" s="294"/>
    </row>
    <row r="183">
      <c r="A183" s="169">
        <f t="array" ref="A183">INDEX('Federal Tax, Stock Buybacks, &amp; '!D:D,match(B183,'Federal Tax, Stock Buybacks, &amp; '!E:E,0))</f>
        <v>420</v>
      </c>
      <c r="B183" s="138" t="s">
        <v>63</v>
      </c>
      <c r="C183" s="298"/>
      <c r="D183" s="296"/>
      <c r="E183" s="297"/>
      <c r="F183" s="268"/>
      <c r="G183" s="298"/>
      <c r="H183" s="296"/>
      <c r="I183" s="297"/>
      <c r="J183" s="268"/>
      <c r="K183" s="298" t="s">
        <v>711</v>
      </c>
      <c r="L183" s="296" t="s">
        <v>711</v>
      </c>
      <c r="M183" s="297" t="s">
        <v>711</v>
      </c>
      <c r="N183" s="268"/>
      <c r="O183" s="285" t="s">
        <v>422</v>
      </c>
      <c r="P183" s="424"/>
      <c r="Q183" s="284">
        <v>5784999.0</v>
      </c>
      <c r="R183" s="268"/>
      <c r="S183" s="296" t="s">
        <v>711</v>
      </c>
      <c r="T183" s="296" t="s">
        <v>711</v>
      </c>
      <c r="U183" s="297" t="s">
        <v>711</v>
      </c>
      <c r="V183" s="268"/>
      <c r="W183" s="296" t="s">
        <v>711</v>
      </c>
      <c r="X183" s="296" t="s">
        <v>711</v>
      </c>
      <c r="Y183" s="297" t="s">
        <v>711</v>
      </c>
      <c r="Z183" s="268"/>
      <c r="AA183" s="296" t="s">
        <v>711</v>
      </c>
      <c r="AB183" s="296" t="s">
        <v>711</v>
      </c>
      <c r="AC183" s="297" t="s">
        <v>711</v>
      </c>
      <c r="AD183" s="288"/>
      <c r="AE183" s="292"/>
      <c r="AF183" s="292"/>
      <c r="AG183" s="292"/>
      <c r="AH183" s="292"/>
      <c r="AI183" s="292"/>
      <c r="AJ183" s="293"/>
      <c r="AK183" s="293"/>
      <c r="AL183" s="259">
        <f>MATCH(B183,'Key Findings'!B:B,0)</f>
        <v>29</v>
      </c>
      <c r="AM183" s="260" t="b">
        <f t="shared" si="1"/>
        <v>1</v>
      </c>
      <c r="AN183" s="294"/>
    </row>
    <row r="184">
      <c r="A184" s="169">
        <f t="array" ref="A184">INDEX('Federal Tax, Stock Buybacks, &amp; '!D:D,match(B184,'Federal Tax, Stock Buybacks, &amp; '!E:E,0))</f>
        <v>41</v>
      </c>
      <c r="B184" s="418" t="s">
        <v>56</v>
      </c>
      <c r="C184" s="301"/>
      <c r="D184" s="419"/>
      <c r="E184" s="305"/>
      <c r="F184" s="268"/>
      <c r="G184" s="301"/>
      <c r="H184" s="419"/>
      <c r="I184" s="305"/>
      <c r="J184" s="268"/>
      <c r="K184" s="301" t="s">
        <v>284</v>
      </c>
      <c r="L184" s="419" t="s">
        <v>1780</v>
      </c>
      <c r="M184" s="305">
        <v>8077742.0</v>
      </c>
      <c r="N184" s="268"/>
      <c r="O184" s="304" t="s">
        <v>284</v>
      </c>
      <c r="P184" s="309" t="s">
        <v>1781</v>
      </c>
      <c r="Q184" s="305">
        <v>1.059615E7</v>
      </c>
      <c r="R184" s="268"/>
      <c r="S184" s="304" t="s">
        <v>284</v>
      </c>
      <c r="T184" s="309" t="s">
        <v>1781</v>
      </c>
      <c r="U184" s="305">
        <v>1.4325537E7</v>
      </c>
      <c r="V184" s="268"/>
      <c r="W184" s="304" t="s">
        <v>284</v>
      </c>
      <c r="X184" s="309" t="s">
        <v>1781</v>
      </c>
      <c r="Y184" s="305">
        <v>1.1125799E7</v>
      </c>
      <c r="Z184" s="268"/>
      <c r="AA184" s="304" t="s">
        <v>284</v>
      </c>
      <c r="AB184" s="309" t="s">
        <v>1782</v>
      </c>
      <c r="AC184" s="305">
        <v>1.5961974E7</v>
      </c>
      <c r="AD184" s="343"/>
      <c r="AE184" s="379">
        <v>2022.0</v>
      </c>
      <c r="AF184" s="379">
        <v>2021.0</v>
      </c>
      <c r="AG184" s="379">
        <v>2020.0</v>
      </c>
      <c r="AH184" s="379">
        <v>2019.0</v>
      </c>
      <c r="AI184" s="379">
        <v>2018.0</v>
      </c>
      <c r="AJ184" s="427" t="s">
        <v>1783</v>
      </c>
      <c r="AK184" s="274"/>
      <c r="AL184" s="275">
        <f>MATCH(B184,'Key Findings'!B:B,0)</f>
        <v>30</v>
      </c>
      <c r="AM184" s="274" t="b">
        <f t="shared" si="1"/>
        <v>0</v>
      </c>
      <c r="AN184" s="291" t="s">
        <v>1534</v>
      </c>
    </row>
    <row r="185">
      <c r="A185" s="169">
        <f t="array" ref="A185">INDEX('Federal Tax, Stock Buybacks, &amp; '!D:D,match(B185,'Federal Tax, Stock Buybacks, &amp; '!E:E,0))</f>
        <v>41</v>
      </c>
      <c r="B185" s="418" t="s">
        <v>56</v>
      </c>
      <c r="C185" s="301"/>
      <c r="D185" s="421"/>
      <c r="E185" s="305"/>
      <c r="F185" s="268"/>
      <c r="G185" s="301"/>
      <c r="H185" s="421"/>
      <c r="I185" s="305"/>
      <c r="J185" s="268"/>
      <c r="K185" s="301" t="s">
        <v>265</v>
      </c>
      <c r="L185" s="421" t="s">
        <v>1784</v>
      </c>
      <c r="M185" s="305">
        <v>5677999.0</v>
      </c>
      <c r="N185" s="268"/>
      <c r="O185" s="304" t="s">
        <v>265</v>
      </c>
      <c r="P185" s="309" t="s">
        <v>1784</v>
      </c>
      <c r="Q185" s="305">
        <v>3452232.0</v>
      </c>
      <c r="R185" s="268"/>
      <c r="S185" s="304" t="s">
        <v>347</v>
      </c>
      <c r="T185" s="309" t="s">
        <v>1785</v>
      </c>
      <c r="U185" s="305">
        <v>5143249.0</v>
      </c>
      <c r="V185" s="268"/>
      <c r="W185" s="304" t="s">
        <v>347</v>
      </c>
      <c r="X185" s="309" t="s">
        <v>1785</v>
      </c>
      <c r="Y185" s="305">
        <v>5316680.0</v>
      </c>
      <c r="Z185" s="268"/>
      <c r="AA185" s="304" t="s">
        <v>347</v>
      </c>
      <c r="AB185" s="309" t="s">
        <v>1785</v>
      </c>
      <c r="AC185" s="305">
        <v>5337358.0</v>
      </c>
      <c r="AD185" s="343"/>
      <c r="AE185" s="347"/>
      <c r="AF185" s="313"/>
      <c r="AG185" s="313"/>
      <c r="AH185" s="313"/>
      <c r="AI185" s="313"/>
      <c r="AJ185" s="427"/>
      <c r="AK185" s="274"/>
      <c r="AL185" s="275">
        <f>MATCH(B185,'Key Findings'!B:B,0)</f>
        <v>30</v>
      </c>
      <c r="AM185" s="274" t="b">
        <f t="shared" si="1"/>
        <v>0</v>
      </c>
      <c r="AN185" s="294"/>
    </row>
    <row r="186">
      <c r="A186" s="169">
        <f t="array" ref="A186">INDEX('Federal Tax, Stock Buybacks, &amp; '!D:D,match(B186,'Federal Tax, Stock Buybacks, &amp; '!E:E,0))</f>
        <v>41</v>
      </c>
      <c r="B186" s="418" t="s">
        <v>56</v>
      </c>
      <c r="C186" s="301"/>
      <c r="D186" s="419"/>
      <c r="E186" s="305"/>
      <c r="F186" s="268"/>
      <c r="G186" s="301"/>
      <c r="H186" s="419"/>
      <c r="I186" s="305"/>
      <c r="J186" s="268"/>
      <c r="K186" s="301" t="s">
        <v>239</v>
      </c>
      <c r="L186" s="419" t="s">
        <v>1545</v>
      </c>
      <c r="M186" s="305">
        <v>5386177.0</v>
      </c>
      <c r="N186" s="268"/>
      <c r="O186" s="304" t="s">
        <v>312</v>
      </c>
      <c r="P186" s="302" t="s">
        <v>1697</v>
      </c>
      <c r="Q186" s="305">
        <v>5170126.0</v>
      </c>
      <c r="R186" s="268"/>
      <c r="S186" s="304" t="s">
        <v>265</v>
      </c>
      <c r="T186" s="309" t="s">
        <v>1784</v>
      </c>
      <c r="U186" s="305">
        <v>5154792.0</v>
      </c>
      <c r="V186" s="268"/>
      <c r="W186" s="304" t="s">
        <v>265</v>
      </c>
      <c r="X186" s="309" t="s">
        <v>1784</v>
      </c>
      <c r="Y186" s="305">
        <v>4705929.0</v>
      </c>
      <c r="Z186" s="268"/>
      <c r="AA186" s="304" t="s">
        <v>265</v>
      </c>
      <c r="AB186" s="309" t="s">
        <v>1784</v>
      </c>
      <c r="AC186" s="305">
        <v>5963546.0</v>
      </c>
      <c r="AD186" s="343"/>
      <c r="AE186" s="347"/>
      <c r="AF186" s="313"/>
      <c r="AG186" s="313"/>
      <c r="AH186" s="313"/>
      <c r="AI186" s="313"/>
      <c r="AJ186" s="427"/>
      <c r="AK186" s="274"/>
      <c r="AL186" s="275">
        <f>MATCH(B186,'Key Findings'!B:B,0)</f>
        <v>30</v>
      </c>
      <c r="AM186" s="274" t="b">
        <f t="shared" si="1"/>
        <v>0</v>
      </c>
      <c r="AN186" s="294"/>
    </row>
    <row r="187">
      <c r="A187" s="169">
        <f t="array" ref="A187">INDEX('Federal Tax, Stock Buybacks, &amp; '!D:D,match(B187,'Federal Tax, Stock Buybacks, &amp; '!E:E,0))</f>
        <v>41</v>
      </c>
      <c r="B187" s="418" t="s">
        <v>56</v>
      </c>
      <c r="C187" s="301"/>
      <c r="D187" s="421"/>
      <c r="E187" s="305"/>
      <c r="F187" s="268"/>
      <c r="G187" s="301"/>
      <c r="H187" s="421"/>
      <c r="I187" s="305"/>
      <c r="J187" s="268"/>
      <c r="K187" s="301" t="s">
        <v>312</v>
      </c>
      <c r="L187" s="421" t="s">
        <v>1588</v>
      </c>
      <c r="M187" s="305">
        <v>1.3249823E7</v>
      </c>
      <c r="N187" s="268"/>
      <c r="O187" s="304" t="s">
        <v>352</v>
      </c>
      <c r="P187" s="309" t="s">
        <v>1786</v>
      </c>
      <c r="Q187" s="305">
        <v>3965001.0</v>
      </c>
      <c r="R187" s="268"/>
      <c r="S187" s="304" t="s">
        <v>312</v>
      </c>
      <c r="T187" s="302" t="s">
        <v>1697</v>
      </c>
      <c r="U187" s="305">
        <v>8237930.0</v>
      </c>
      <c r="V187" s="268"/>
      <c r="W187" s="304" t="s">
        <v>312</v>
      </c>
      <c r="X187" s="302" t="s">
        <v>1697</v>
      </c>
      <c r="Y187" s="305">
        <v>5154869.0</v>
      </c>
      <c r="Z187" s="268"/>
      <c r="AA187" s="304" t="s">
        <v>384</v>
      </c>
      <c r="AB187" s="302" t="s">
        <v>1697</v>
      </c>
      <c r="AC187" s="305">
        <v>9464119.0</v>
      </c>
      <c r="AD187" s="343"/>
      <c r="AE187" s="347"/>
      <c r="AF187" s="313"/>
      <c r="AG187" s="313"/>
      <c r="AH187" s="313"/>
      <c r="AI187" s="313"/>
      <c r="AJ187" s="427"/>
      <c r="AK187" s="274"/>
      <c r="AL187" s="275">
        <f>MATCH(B187,'Key Findings'!B:B,0)</f>
        <v>30</v>
      </c>
      <c r="AM187" s="274" t="b">
        <f t="shared" si="1"/>
        <v>0</v>
      </c>
      <c r="AN187" s="294"/>
    </row>
    <row r="188">
      <c r="A188" s="169">
        <f t="array" ref="A188">INDEX('Federal Tax, Stock Buybacks, &amp; '!D:D,match(B188,'Federal Tax, Stock Buybacks, &amp; '!E:E,0))</f>
        <v>41</v>
      </c>
      <c r="B188" s="418" t="s">
        <v>56</v>
      </c>
      <c r="C188" s="301"/>
      <c r="D188" s="421"/>
      <c r="E188" s="305"/>
      <c r="F188" s="268"/>
      <c r="G188" s="301"/>
      <c r="H188" s="421"/>
      <c r="I188" s="305"/>
      <c r="J188" s="268"/>
      <c r="K188" s="301" t="s">
        <v>351</v>
      </c>
      <c r="L188" s="421" t="s">
        <v>1785</v>
      </c>
      <c r="M188" s="305">
        <v>6042253.0</v>
      </c>
      <c r="N188" s="268"/>
      <c r="O188" s="304" t="s">
        <v>351</v>
      </c>
      <c r="P188" s="309" t="s">
        <v>1785</v>
      </c>
      <c r="Q188" s="305">
        <v>3936673.0</v>
      </c>
      <c r="R188" s="268"/>
      <c r="S188" s="304" t="s">
        <v>352</v>
      </c>
      <c r="T188" s="302" t="s">
        <v>1786</v>
      </c>
      <c r="U188" s="305">
        <v>5870711.0</v>
      </c>
      <c r="V188" s="268"/>
      <c r="W188" s="304" t="s">
        <v>352</v>
      </c>
      <c r="X188" s="302" t="s">
        <v>1786</v>
      </c>
      <c r="Y188" s="305">
        <v>4426785.0</v>
      </c>
      <c r="Z188" s="268"/>
      <c r="AA188" s="304" t="s">
        <v>399</v>
      </c>
      <c r="AB188" s="302" t="s">
        <v>1786</v>
      </c>
      <c r="AC188" s="305">
        <v>8004521.0</v>
      </c>
      <c r="AD188" s="343"/>
      <c r="AE188" s="347"/>
      <c r="AF188" s="313"/>
      <c r="AG188" s="313"/>
      <c r="AH188" s="313"/>
      <c r="AI188" s="313"/>
      <c r="AJ188" s="427"/>
      <c r="AK188" s="274"/>
      <c r="AL188" s="275">
        <f>MATCH(B188,'Key Findings'!B:B,0)</f>
        <v>30</v>
      </c>
      <c r="AM188" s="274" t="b">
        <f t="shared" si="1"/>
        <v>0</v>
      </c>
      <c r="AN188" s="294"/>
    </row>
    <row r="189">
      <c r="A189" s="169">
        <f t="array" ref="A189">INDEX('Federal Tax, Stock Buybacks, &amp; '!D:D,match(B189,'Federal Tax, Stock Buybacks, &amp; '!E:E,0))</f>
        <v>41</v>
      </c>
      <c r="B189" s="418" t="s">
        <v>56</v>
      </c>
      <c r="C189" s="372"/>
      <c r="D189" s="428"/>
      <c r="E189" s="342"/>
      <c r="F189" s="268"/>
      <c r="G189" s="372"/>
      <c r="H189" s="428"/>
      <c r="I189" s="342"/>
      <c r="J189" s="268"/>
      <c r="K189" s="372" t="s">
        <v>711</v>
      </c>
      <c r="L189" s="428" t="s">
        <v>711</v>
      </c>
      <c r="M189" s="342" t="s">
        <v>711</v>
      </c>
      <c r="N189" s="268"/>
      <c r="O189" s="370" t="s">
        <v>711</v>
      </c>
      <c r="P189" s="370" t="s">
        <v>711</v>
      </c>
      <c r="Q189" s="342" t="s">
        <v>711</v>
      </c>
      <c r="R189" s="268"/>
      <c r="S189" s="304" t="s">
        <v>351</v>
      </c>
      <c r="T189" s="309" t="s">
        <v>1785</v>
      </c>
      <c r="U189" s="305">
        <v>4508387.0</v>
      </c>
      <c r="V189" s="268"/>
      <c r="W189" s="370" t="s">
        <v>711</v>
      </c>
      <c r="X189" s="370" t="s">
        <v>711</v>
      </c>
      <c r="Y189" s="342" t="s">
        <v>711</v>
      </c>
      <c r="Z189" s="268"/>
      <c r="AA189" s="304" t="s">
        <v>239</v>
      </c>
      <c r="AB189" s="309" t="s">
        <v>1545</v>
      </c>
      <c r="AC189" s="305">
        <v>4789177.0</v>
      </c>
      <c r="AD189" s="343"/>
      <c r="AE189" s="347"/>
      <c r="AF189" s="313"/>
      <c r="AG189" s="313"/>
      <c r="AH189" s="313"/>
      <c r="AI189" s="313"/>
      <c r="AJ189" s="427"/>
      <c r="AK189" s="274"/>
      <c r="AL189" s="275">
        <f>MATCH(B189,'Key Findings'!B:B,0)</f>
        <v>30</v>
      </c>
      <c r="AM189" s="274" t="b">
        <f t="shared" si="1"/>
        <v>0</v>
      </c>
      <c r="AN189" s="294"/>
    </row>
    <row r="190">
      <c r="A190" s="169">
        <f t="array" ref="A190">INDEX('Federal Tax, Stock Buybacks, &amp; '!D:D,match(B190,'Federal Tax, Stock Buybacks, &amp; '!E:E,0))</f>
        <v>41</v>
      </c>
      <c r="B190" s="418" t="s">
        <v>56</v>
      </c>
      <c r="C190" s="372"/>
      <c r="D190" s="428"/>
      <c r="E190" s="342"/>
      <c r="F190" s="268"/>
      <c r="G190" s="372"/>
      <c r="H190" s="428"/>
      <c r="I190" s="342"/>
      <c r="J190" s="268"/>
      <c r="K190" s="372" t="s">
        <v>711</v>
      </c>
      <c r="L190" s="428" t="s">
        <v>711</v>
      </c>
      <c r="M190" s="342" t="s">
        <v>711</v>
      </c>
      <c r="N190" s="268"/>
      <c r="O190" s="370" t="s">
        <v>711</v>
      </c>
      <c r="P190" s="370" t="s">
        <v>711</v>
      </c>
      <c r="Q190" s="342" t="s">
        <v>711</v>
      </c>
      <c r="R190" s="268"/>
      <c r="S190" s="370" t="s">
        <v>711</v>
      </c>
      <c r="T190" s="370" t="s">
        <v>711</v>
      </c>
      <c r="U190" s="342" t="s">
        <v>711</v>
      </c>
      <c r="V190" s="268"/>
      <c r="W190" s="370" t="s">
        <v>711</v>
      </c>
      <c r="X190" s="370" t="s">
        <v>711</v>
      </c>
      <c r="Y190" s="342" t="s">
        <v>711</v>
      </c>
      <c r="Z190" s="268"/>
      <c r="AA190" s="304" t="s">
        <v>463</v>
      </c>
      <c r="AB190" s="309" t="s">
        <v>1787</v>
      </c>
      <c r="AC190" s="305">
        <v>4721581.0</v>
      </c>
      <c r="AD190" s="343"/>
      <c r="AE190" s="347"/>
      <c r="AF190" s="313"/>
      <c r="AG190" s="313"/>
      <c r="AH190" s="313"/>
      <c r="AI190" s="313"/>
      <c r="AJ190" s="427"/>
      <c r="AK190" s="274"/>
      <c r="AL190" s="275">
        <f>MATCH(B190,'Key Findings'!B:B,0)</f>
        <v>30</v>
      </c>
      <c r="AM190" s="274" t="b">
        <f t="shared" si="1"/>
        <v>0</v>
      </c>
      <c r="AN190" s="294"/>
    </row>
    <row r="191">
      <c r="A191" s="169">
        <f t="array" ref="A191">INDEX('Federal Tax, Stock Buybacks, &amp; '!D:D,match(B191,'Federal Tax, Stock Buybacks, &amp; '!E:E,0))</f>
        <v>75</v>
      </c>
      <c r="B191" s="351" t="s">
        <v>73</v>
      </c>
      <c r="C191" s="355"/>
      <c r="D191" s="355"/>
      <c r="E191" s="354"/>
      <c r="F191" s="268"/>
      <c r="G191" s="355"/>
      <c r="H191" s="355"/>
      <c r="I191" s="354"/>
      <c r="J191" s="268"/>
      <c r="K191" s="355" t="s">
        <v>155</v>
      </c>
      <c r="L191" s="355" t="s">
        <v>1674</v>
      </c>
      <c r="M191" s="354">
        <v>1.9464583E7</v>
      </c>
      <c r="N191" s="268"/>
      <c r="O191" s="355" t="s">
        <v>260</v>
      </c>
      <c r="P191" s="355" t="s">
        <v>1788</v>
      </c>
      <c r="Q191" s="354">
        <v>8603097.0</v>
      </c>
      <c r="R191" s="268"/>
      <c r="S191" s="355" t="s">
        <v>260</v>
      </c>
      <c r="T191" s="355" t="s">
        <v>1788</v>
      </c>
      <c r="U191" s="354">
        <v>7427530.0</v>
      </c>
      <c r="V191" s="268"/>
      <c r="W191" s="355" t="s">
        <v>260</v>
      </c>
      <c r="X191" s="355" t="s">
        <v>1788</v>
      </c>
      <c r="Y191" s="354">
        <v>5459670.0</v>
      </c>
      <c r="Z191" s="268"/>
      <c r="AA191" s="355" t="s">
        <v>260</v>
      </c>
      <c r="AB191" s="355" t="s">
        <v>1788</v>
      </c>
      <c r="AC191" s="354">
        <v>1.1663778E7</v>
      </c>
      <c r="AD191" s="355"/>
      <c r="AE191" s="356">
        <v>2022.0</v>
      </c>
      <c r="AF191" s="356">
        <v>2021.0</v>
      </c>
      <c r="AG191" s="356">
        <v>2020.0</v>
      </c>
      <c r="AH191" s="356">
        <v>2019.0</v>
      </c>
      <c r="AI191" s="429">
        <v>2018.0</v>
      </c>
      <c r="AJ191" s="357" t="s">
        <v>1578</v>
      </c>
      <c r="AK191" s="281"/>
      <c r="AL191" s="259">
        <f>MATCH(B191,'Key Findings'!B:B,0)</f>
        <v>31</v>
      </c>
      <c r="AM191" s="260" t="b">
        <f t="shared" si="1"/>
        <v>1</v>
      </c>
      <c r="AN191" s="330" t="s">
        <v>1789</v>
      </c>
    </row>
    <row r="192">
      <c r="A192" s="169">
        <f t="array" ref="A192">INDEX('Federal Tax, Stock Buybacks, &amp; '!D:D,match(B192,'Federal Tax, Stock Buybacks, &amp; '!E:E,0))</f>
        <v>75</v>
      </c>
      <c r="B192" s="351" t="s">
        <v>73</v>
      </c>
      <c r="C192" s="352"/>
      <c r="D192" s="355"/>
      <c r="E192" s="354"/>
      <c r="F192" s="268"/>
      <c r="G192" s="352"/>
      <c r="H192" s="355"/>
      <c r="I192" s="354"/>
      <c r="J192" s="268"/>
      <c r="K192" s="352" t="s">
        <v>260</v>
      </c>
      <c r="L192" s="355" t="s">
        <v>1788</v>
      </c>
      <c r="M192" s="354">
        <v>1.16189E7</v>
      </c>
      <c r="N192" s="268"/>
      <c r="O192" s="355" t="s">
        <v>402</v>
      </c>
      <c r="P192" s="355" t="s">
        <v>1790</v>
      </c>
      <c r="Q192" s="354">
        <v>4868664.0</v>
      </c>
      <c r="R192" s="268"/>
      <c r="S192" s="355" t="s">
        <v>402</v>
      </c>
      <c r="T192" s="355" t="s">
        <v>1790</v>
      </c>
      <c r="U192" s="360">
        <v>3951552.0</v>
      </c>
      <c r="V192" s="268"/>
      <c r="W192" s="355" t="s">
        <v>402</v>
      </c>
      <c r="X192" s="355" t="s">
        <v>1790</v>
      </c>
      <c r="Y192" s="354">
        <v>3243840.0</v>
      </c>
      <c r="Z192" s="268"/>
      <c r="AA192" s="355" t="s">
        <v>402</v>
      </c>
      <c r="AB192" s="355" t="s">
        <v>1790</v>
      </c>
      <c r="AC192" s="354">
        <v>3220599.0</v>
      </c>
      <c r="AD192" s="355"/>
      <c r="AE192" s="358"/>
      <c r="AF192" s="358"/>
      <c r="AG192" s="358"/>
      <c r="AH192" s="358"/>
      <c r="AI192" s="358"/>
      <c r="AJ192" s="359"/>
      <c r="AK192" s="281"/>
      <c r="AL192" s="259">
        <f>MATCH(B192,'Key Findings'!B:B,0)</f>
        <v>31</v>
      </c>
      <c r="AM192" s="260" t="b">
        <f t="shared" si="1"/>
        <v>1</v>
      </c>
      <c r="AN192" s="327" t="s">
        <v>1791</v>
      </c>
    </row>
    <row r="193">
      <c r="A193" s="169">
        <f t="array" ref="A193">INDEX('Federal Tax, Stock Buybacks, &amp; '!D:D,match(B193,'Federal Tax, Stock Buybacks, &amp; '!E:E,0))</f>
        <v>75</v>
      </c>
      <c r="B193" s="351" t="s">
        <v>73</v>
      </c>
      <c r="C193" s="352"/>
      <c r="D193" s="355"/>
      <c r="E193" s="354"/>
      <c r="F193" s="268"/>
      <c r="G193" s="352"/>
      <c r="H193" s="355"/>
      <c r="I193" s="354"/>
      <c r="J193" s="268"/>
      <c r="K193" s="352" t="s">
        <v>500</v>
      </c>
      <c r="L193" s="355" t="s">
        <v>1792</v>
      </c>
      <c r="M193" s="354">
        <v>7221173.0</v>
      </c>
      <c r="N193" s="268"/>
      <c r="O193" s="355" t="s">
        <v>229</v>
      </c>
      <c r="P193" s="355" t="s">
        <v>1793</v>
      </c>
      <c r="Q193" s="354">
        <v>5147196.0</v>
      </c>
      <c r="R193" s="268"/>
      <c r="S193" s="355" t="s">
        <v>229</v>
      </c>
      <c r="T193" s="355" t="s">
        <v>1793</v>
      </c>
      <c r="U193" s="354">
        <v>4429217.0</v>
      </c>
      <c r="V193" s="268"/>
      <c r="W193" s="355" t="s">
        <v>229</v>
      </c>
      <c r="X193" s="355" t="s">
        <v>1793</v>
      </c>
      <c r="Y193" s="360">
        <v>4521698.0</v>
      </c>
      <c r="Z193" s="268"/>
      <c r="AA193" s="355" t="s">
        <v>229</v>
      </c>
      <c r="AB193" s="355" t="s">
        <v>1793</v>
      </c>
      <c r="AC193" s="354">
        <v>4158077.0</v>
      </c>
      <c r="AD193" s="355"/>
      <c r="AE193" s="358"/>
      <c r="AF193" s="358"/>
      <c r="AG193" s="358"/>
      <c r="AH193" s="358"/>
      <c r="AI193" s="358"/>
      <c r="AJ193" s="359"/>
      <c r="AK193" s="281"/>
      <c r="AL193" s="259">
        <f>MATCH(B193,'Key Findings'!B:B,0)</f>
        <v>31</v>
      </c>
      <c r="AM193" s="260" t="b">
        <f t="shared" si="1"/>
        <v>1</v>
      </c>
      <c r="AN193" s="327" t="s">
        <v>1794</v>
      </c>
    </row>
    <row r="194">
      <c r="A194" s="169">
        <f t="array" ref="A194">INDEX('Federal Tax, Stock Buybacks, &amp; '!D:D,match(B194,'Federal Tax, Stock Buybacks, &amp; '!E:E,0))</f>
        <v>75</v>
      </c>
      <c r="B194" s="351" t="s">
        <v>73</v>
      </c>
      <c r="C194" s="352"/>
      <c r="D194" s="355"/>
      <c r="E194" s="354"/>
      <c r="F194" s="268"/>
      <c r="G194" s="352"/>
      <c r="H194" s="355"/>
      <c r="I194" s="354"/>
      <c r="J194" s="268"/>
      <c r="K194" s="352" t="s">
        <v>510</v>
      </c>
      <c r="L194" s="355" t="s">
        <v>1795</v>
      </c>
      <c r="M194" s="354">
        <v>6889342.0</v>
      </c>
      <c r="N194" s="268"/>
      <c r="O194" s="355" t="s">
        <v>155</v>
      </c>
      <c r="P194" s="355" t="s">
        <v>1674</v>
      </c>
      <c r="Q194" s="354">
        <v>2.0223897E7</v>
      </c>
      <c r="R194" s="268"/>
      <c r="S194" s="355" t="s">
        <v>155</v>
      </c>
      <c r="T194" s="355" t="s">
        <v>1674</v>
      </c>
      <c r="U194" s="354">
        <v>1.6763267E7</v>
      </c>
      <c r="V194" s="268"/>
      <c r="W194" s="355" t="s">
        <v>155</v>
      </c>
      <c r="X194" s="430" t="s">
        <v>1523</v>
      </c>
      <c r="Y194" s="354">
        <v>1.2476488E7</v>
      </c>
      <c r="Z194" s="268"/>
      <c r="AA194" s="355" t="s">
        <v>155</v>
      </c>
      <c r="AB194" s="430" t="s">
        <v>1523</v>
      </c>
      <c r="AC194" s="354">
        <v>7577473.0</v>
      </c>
      <c r="AD194" s="355"/>
      <c r="AE194" s="358"/>
      <c r="AF194" s="358"/>
      <c r="AG194" s="358"/>
      <c r="AH194" s="358"/>
      <c r="AI194" s="358"/>
      <c r="AJ194" s="359"/>
      <c r="AK194" s="281"/>
      <c r="AL194" s="259">
        <f>MATCH(B194,'Key Findings'!B:B,0)</f>
        <v>31</v>
      </c>
      <c r="AM194" s="260" t="b">
        <f t="shared" si="1"/>
        <v>1</v>
      </c>
      <c r="AN194" s="330" t="s">
        <v>1796</v>
      </c>
    </row>
    <row r="195">
      <c r="A195" s="169">
        <f t="array" ref="A195">INDEX('Federal Tax, Stock Buybacks, &amp; '!D:D,match(B195,'Federal Tax, Stock Buybacks, &amp; '!E:E,0))</f>
        <v>75</v>
      </c>
      <c r="B195" s="351" t="s">
        <v>73</v>
      </c>
      <c r="C195" s="352"/>
      <c r="D195" s="355"/>
      <c r="E195" s="354"/>
      <c r="F195" s="268"/>
      <c r="G195" s="352"/>
      <c r="H195" s="355"/>
      <c r="I195" s="354"/>
      <c r="J195" s="268"/>
      <c r="K195" s="352" t="s">
        <v>229</v>
      </c>
      <c r="L195" s="355" t="s">
        <v>1793</v>
      </c>
      <c r="M195" s="354">
        <v>4851673.0</v>
      </c>
      <c r="N195" s="268"/>
      <c r="O195" s="355" t="s">
        <v>580</v>
      </c>
      <c r="P195" s="355" t="s">
        <v>1797</v>
      </c>
      <c r="Q195" s="354">
        <v>3920942.0</v>
      </c>
      <c r="R195" s="268"/>
      <c r="S195" s="355" t="s">
        <v>465</v>
      </c>
      <c r="T195" s="430" t="s">
        <v>1798</v>
      </c>
      <c r="U195" s="354">
        <v>3415435.0</v>
      </c>
      <c r="V195" s="268"/>
      <c r="W195" s="355" t="s">
        <v>465</v>
      </c>
      <c r="X195" s="430" t="s">
        <v>1798</v>
      </c>
      <c r="Y195" s="354">
        <v>2710487.0</v>
      </c>
      <c r="Z195" s="268"/>
      <c r="AA195" s="355" t="s">
        <v>465</v>
      </c>
      <c r="AB195" s="430" t="s">
        <v>1798</v>
      </c>
      <c r="AC195" s="354">
        <v>2810372.0</v>
      </c>
      <c r="AD195" s="355"/>
      <c r="AE195" s="358"/>
      <c r="AF195" s="358"/>
      <c r="AG195" s="358"/>
      <c r="AH195" s="358"/>
      <c r="AI195" s="358"/>
      <c r="AJ195" s="359"/>
      <c r="AK195" s="281"/>
      <c r="AL195" s="259">
        <f>MATCH(B195,'Key Findings'!B:B,0)</f>
        <v>31</v>
      </c>
      <c r="AM195" s="260" t="b">
        <f t="shared" si="1"/>
        <v>1</v>
      </c>
      <c r="AN195" s="276"/>
    </row>
    <row r="196">
      <c r="A196" s="431">
        <f t="array" ref="A196">INDEX('Federal Tax, Stock Buybacks, &amp; '!D:D,match(B196,'Federal Tax, Stock Buybacks, &amp; '!E:E,0))</f>
        <v>174</v>
      </c>
      <c r="B196" s="412" t="s">
        <v>59</v>
      </c>
      <c r="C196" s="362"/>
      <c r="D196" s="413"/>
      <c r="E196" s="342"/>
      <c r="F196" s="268"/>
      <c r="G196" s="362"/>
      <c r="H196" s="413"/>
      <c r="I196" s="342"/>
      <c r="J196" s="268"/>
      <c r="K196" s="362" t="s">
        <v>231</v>
      </c>
      <c r="L196" s="413"/>
      <c r="M196" s="342">
        <v>1.6086469E7</v>
      </c>
      <c r="N196" s="268"/>
      <c r="O196" s="364" t="s">
        <v>231</v>
      </c>
      <c r="P196" s="414"/>
      <c r="Q196" s="342">
        <v>1.5824348E7</v>
      </c>
      <c r="R196" s="268"/>
      <c r="S196" s="364" t="s">
        <v>231</v>
      </c>
      <c r="T196" s="369"/>
      <c r="U196" s="342">
        <v>1.1806195E7</v>
      </c>
      <c r="V196" s="268"/>
      <c r="W196" s="364" t="s">
        <v>231</v>
      </c>
      <c r="X196" s="369"/>
      <c r="Y196" s="342">
        <v>1.4560748E7</v>
      </c>
      <c r="Z196" s="268"/>
      <c r="AA196" s="364" t="s">
        <v>231</v>
      </c>
      <c r="AB196" s="302"/>
      <c r="AC196" s="305">
        <v>1.3883615E7</v>
      </c>
      <c r="AD196" s="306"/>
      <c r="AE196" s="366">
        <v>2022.0</v>
      </c>
      <c r="AF196" s="366">
        <v>2021.0</v>
      </c>
      <c r="AG196" s="366">
        <v>2020.0</v>
      </c>
      <c r="AH196" s="366">
        <v>2019.0</v>
      </c>
      <c r="AI196" s="366">
        <v>2018.0</v>
      </c>
      <c r="AJ196" s="415" t="s">
        <v>1578</v>
      </c>
      <c r="AK196" s="416"/>
      <c r="AL196" s="275">
        <f>MATCH(B196,'Key Findings'!B:B,0)</f>
        <v>10</v>
      </c>
      <c r="AM196" s="274" t="b">
        <f t="shared" si="1"/>
        <v>0</v>
      </c>
      <c r="AN196" s="291" t="s">
        <v>1534</v>
      </c>
    </row>
    <row r="197">
      <c r="A197" s="431">
        <f t="array" ref="A197">INDEX('Federal Tax, Stock Buybacks, &amp; '!D:D,match(B197,'Federal Tax, Stock Buybacks, &amp; '!E:E,0))</f>
        <v>174</v>
      </c>
      <c r="B197" s="412" t="s">
        <v>59</v>
      </c>
      <c r="C197" s="362"/>
      <c r="D197" s="413"/>
      <c r="E197" s="342"/>
      <c r="F197" s="268"/>
      <c r="G197" s="362"/>
      <c r="H197" s="413"/>
      <c r="I197" s="342"/>
      <c r="J197" s="268"/>
      <c r="K197" s="362" t="s">
        <v>225</v>
      </c>
      <c r="L197" s="413"/>
      <c r="M197" s="342">
        <v>5290975.0</v>
      </c>
      <c r="N197" s="268"/>
      <c r="O197" s="364" t="s">
        <v>225</v>
      </c>
      <c r="P197" s="414"/>
      <c r="Q197" s="342">
        <v>4926200.0</v>
      </c>
      <c r="R197" s="268"/>
      <c r="S197" s="364" t="s">
        <v>225</v>
      </c>
      <c r="T197" s="369"/>
      <c r="U197" s="342">
        <v>3572472.0</v>
      </c>
      <c r="V197" s="268"/>
      <c r="W197" s="364" t="s">
        <v>225</v>
      </c>
      <c r="X197" s="369"/>
      <c r="Y197" s="342">
        <v>4567391.0</v>
      </c>
      <c r="Z197" s="268"/>
      <c r="AA197" s="364" t="s">
        <v>225</v>
      </c>
      <c r="AB197" s="302"/>
      <c r="AC197" s="305">
        <v>4425675.0</v>
      </c>
      <c r="AD197" s="306"/>
      <c r="AE197" s="308"/>
      <c r="AF197" s="308"/>
      <c r="AG197" s="308"/>
      <c r="AH197" s="308"/>
      <c r="AI197" s="308"/>
      <c r="AJ197" s="368"/>
      <c r="AK197" s="368"/>
      <c r="AL197" s="275">
        <f>MATCH(B197,'Key Findings'!B:B,0)</f>
        <v>10</v>
      </c>
      <c r="AM197" s="274" t="b">
        <f t="shared" si="1"/>
        <v>0</v>
      </c>
      <c r="AN197" s="294"/>
    </row>
    <row r="198">
      <c r="A198" s="431">
        <f t="array" ref="A198">INDEX('Federal Tax, Stock Buybacks, &amp; '!D:D,match(B198,'Federal Tax, Stock Buybacks, &amp; '!E:E,0))</f>
        <v>174</v>
      </c>
      <c r="B198" s="412" t="s">
        <v>59</v>
      </c>
      <c r="C198" s="362"/>
      <c r="D198" s="413"/>
      <c r="E198" s="342"/>
      <c r="F198" s="268"/>
      <c r="G198" s="362"/>
      <c r="H198" s="413"/>
      <c r="I198" s="342"/>
      <c r="J198" s="268"/>
      <c r="K198" s="362" t="s">
        <v>251</v>
      </c>
      <c r="L198" s="413"/>
      <c r="M198" s="342">
        <v>9426954.0</v>
      </c>
      <c r="N198" s="268"/>
      <c r="O198" s="364" t="s">
        <v>251</v>
      </c>
      <c r="P198" s="414"/>
      <c r="Q198" s="342">
        <v>9708693.0</v>
      </c>
      <c r="R198" s="268"/>
      <c r="S198" s="364" t="s">
        <v>251</v>
      </c>
      <c r="T198" s="369"/>
      <c r="U198" s="342">
        <v>7542532.0</v>
      </c>
      <c r="V198" s="268"/>
      <c r="W198" s="364" t="s">
        <v>251</v>
      </c>
      <c r="X198" s="369"/>
      <c r="Y198" s="342">
        <v>9332849.0</v>
      </c>
      <c r="Z198" s="268"/>
      <c r="AA198" s="364" t="s">
        <v>251</v>
      </c>
      <c r="AB198" s="302"/>
      <c r="AC198" s="305">
        <v>8999113.0</v>
      </c>
      <c r="AD198" s="306"/>
      <c r="AE198" s="308"/>
      <c r="AF198" s="308"/>
      <c r="AG198" s="308"/>
      <c r="AH198" s="308"/>
      <c r="AI198" s="308"/>
      <c r="AJ198" s="368"/>
      <c r="AK198" s="368"/>
      <c r="AL198" s="275">
        <f>MATCH(B198,'Key Findings'!B:B,0)</f>
        <v>10</v>
      </c>
      <c r="AM198" s="274" t="b">
        <f t="shared" si="1"/>
        <v>0</v>
      </c>
      <c r="AN198" s="294"/>
    </row>
    <row r="199">
      <c r="A199" s="431">
        <f t="array" ref="A199">INDEX('Federal Tax, Stock Buybacks, &amp; '!D:D,match(B199,'Federal Tax, Stock Buybacks, &amp; '!E:E,0))</f>
        <v>174</v>
      </c>
      <c r="B199" s="412" t="s">
        <v>59</v>
      </c>
      <c r="C199" s="362"/>
      <c r="D199" s="413"/>
      <c r="E199" s="342"/>
      <c r="F199" s="268"/>
      <c r="G199" s="362"/>
      <c r="H199" s="413"/>
      <c r="I199" s="342"/>
      <c r="J199" s="268"/>
      <c r="K199" s="362" t="s">
        <v>472</v>
      </c>
      <c r="L199" s="413"/>
      <c r="M199" s="342">
        <v>3918300.0</v>
      </c>
      <c r="N199" s="268"/>
      <c r="O199" s="364" t="s">
        <v>472</v>
      </c>
      <c r="P199" s="414"/>
      <c r="Q199" s="342">
        <v>3400804.0</v>
      </c>
      <c r="R199" s="268"/>
      <c r="S199" s="364" t="s">
        <v>472</v>
      </c>
      <c r="T199" s="369"/>
      <c r="U199" s="342">
        <v>2475795.0</v>
      </c>
      <c r="V199" s="268"/>
      <c r="W199" s="364" t="s">
        <v>447</v>
      </c>
      <c r="X199" s="369"/>
      <c r="Y199" s="342">
        <v>4398171.0</v>
      </c>
      <c r="Z199" s="268"/>
      <c r="AA199" s="364" t="s">
        <v>447</v>
      </c>
      <c r="AB199" s="302"/>
      <c r="AC199" s="305">
        <v>4425200.0</v>
      </c>
      <c r="AD199" s="306"/>
      <c r="AE199" s="308"/>
      <c r="AF199" s="308"/>
      <c r="AG199" s="308"/>
      <c r="AH199" s="308"/>
      <c r="AI199" s="308"/>
      <c r="AJ199" s="368"/>
      <c r="AK199" s="368"/>
      <c r="AL199" s="275">
        <f>MATCH(B199,'Key Findings'!B:B,0)</f>
        <v>10</v>
      </c>
      <c r="AM199" s="274" t="b">
        <f t="shared" si="1"/>
        <v>0</v>
      </c>
      <c r="AN199" s="294"/>
    </row>
    <row r="200">
      <c r="A200" s="431">
        <f t="array" ref="A200">INDEX('Federal Tax, Stock Buybacks, &amp; '!D:D,match(B200,'Federal Tax, Stock Buybacks, &amp; '!E:E,0))</f>
        <v>174</v>
      </c>
      <c r="B200" s="412" t="s">
        <v>59</v>
      </c>
      <c r="C200" s="362"/>
      <c r="D200" s="413"/>
      <c r="E200" s="342"/>
      <c r="F200" s="268"/>
      <c r="G200" s="362"/>
      <c r="H200" s="413"/>
      <c r="I200" s="342"/>
      <c r="J200" s="268"/>
      <c r="K200" s="362" t="s">
        <v>619</v>
      </c>
      <c r="L200" s="413"/>
      <c r="M200" s="342">
        <v>3000588.0</v>
      </c>
      <c r="N200" s="268"/>
      <c r="O200" s="364" t="s">
        <v>441</v>
      </c>
      <c r="P200" s="414"/>
      <c r="Q200" s="342">
        <v>3202037.0</v>
      </c>
      <c r="R200" s="268"/>
      <c r="S200" s="364" t="s">
        <v>441</v>
      </c>
      <c r="T200" s="369"/>
      <c r="U200" s="342">
        <v>2734318.0</v>
      </c>
      <c r="V200" s="268"/>
      <c r="W200" s="364" t="s">
        <v>441</v>
      </c>
      <c r="X200" s="369"/>
      <c r="Y200" s="342">
        <v>3519856.0</v>
      </c>
      <c r="Z200" s="268"/>
      <c r="AA200" s="364" t="s">
        <v>441</v>
      </c>
      <c r="AB200" s="302"/>
      <c r="AC200" s="305">
        <v>3250731.0</v>
      </c>
      <c r="AD200" s="306"/>
      <c r="AE200" s="308"/>
      <c r="AF200" s="308"/>
      <c r="AG200" s="308"/>
      <c r="AH200" s="308"/>
      <c r="AI200" s="308"/>
      <c r="AJ200" s="368"/>
      <c r="AK200" s="368"/>
      <c r="AL200" s="275">
        <f>MATCH(B200,'Key Findings'!B:B,0)</f>
        <v>10</v>
      </c>
      <c r="AM200" s="274" t="b">
        <f t="shared" si="1"/>
        <v>0</v>
      </c>
      <c r="AN200" s="294"/>
    </row>
    <row r="201">
      <c r="A201" s="431">
        <f t="array" ref="A201">INDEX('Federal Tax, Stock Buybacks, &amp; '!D:D,match(B201,'Federal Tax, Stock Buybacks, &amp; '!E:E,0))</f>
        <v>174</v>
      </c>
      <c r="B201" s="412" t="s">
        <v>59</v>
      </c>
      <c r="C201" s="372"/>
      <c r="D201" s="370"/>
      <c r="E201" s="371"/>
      <c r="F201" s="268"/>
      <c r="G201" s="372"/>
      <c r="H201" s="370"/>
      <c r="I201" s="371"/>
      <c r="J201" s="268"/>
      <c r="K201" s="372" t="s">
        <v>711</v>
      </c>
      <c r="L201" s="370" t="s">
        <v>711</v>
      </c>
      <c r="M201" s="371" t="s">
        <v>711</v>
      </c>
      <c r="N201" s="268"/>
      <c r="O201" s="364" t="s">
        <v>626</v>
      </c>
      <c r="P201" s="414"/>
      <c r="Q201" s="342">
        <v>2730895.0</v>
      </c>
      <c r="R201" s="268"/>
      <c r="S201" s="364" t="s">
        <v>447</v>
      </c>
      <c r="T201" s="369"/>
      <c r="U201" s="342">
        <v>3314263.0</v>
      </c>
      <c r="V201" s="268"/>
      <c r="W201" s="370" t="s">
        <v>711</v>
      </c>
      <c r="X201" s="370" t="s">
        <v>711</v>
      </c>
      <c r="Y201" s="371" t="s">
        <v>711</v>
      </c>
      <c r="Z201" s="268"/>
      <c r="AA201" s="370" t="s">
        <v>711</v>
      </c>
      <c r="AB201" s="370" t="s">
        <v>711</v>
      </c>
      <c r="AC201" s="371" t="s">
        <v>711</v>
      </c>
      <c r="AD201" s="306"/>
      <c r="AE201" s="308"/>
      <c r="AF201" s="308"/>
      <c r="AG201" s="308"/>
      <c r="AH201" s="308"/>
      <c r="AI201" s="308"/>
      <c r="AJ201" s="368"/>
      <c r="AK201" s="368"/>
      <c r="AL201" s="275">
        <f>MATCH(B201,'Key Findings'!B:B,0)</f>
        <v>10</v>
      </c>
      <c r="AM201" s="274" t="b">
        <f t="shared" si="1"/>
        <v>0</v>
      </c>
      <c r="AN201" s="294"/>
    </row>
    <row r="202">
      <c r="A202" s="169">
        <f t="array" ref="A202">INDEX('Federal Tax, Stock Buybacks, &amp; '!D:D,match(B202,'Federal Tax, Stock Buybacks, &amp; '!E:E,0))</f>
        <v>579</v>
      </c>
      <c r="B202" s="432" t="s">
        <v>40</v>
      </c>
      <c r="C202" s="282"/>
      <c r="D202" s="283"/>
      <c r="E202" s="284"/>
      <c r="F202" s="268"/>
      <c r="G202" s="282"/>
      <c r="H202" s="283"/>
      <c r="I202" s="284"/>
      <c r="J202" s="268"/>
      <c r="K202" s="282" t="s">
        <v>215</v>
      </c>
      <c r="L202" s="283" t="s">
        <v>1674</v>
      </c>
      <c r="M202" s="284">
        <v>1.4676883E7</v>
      </c>
      <c r="N202" s="268"/>
      <c r="O202" s="285" t="s">
        <v>215</v>
      </c>
      <c r="P202" s="286" t="s">
        <v>1674</v>
      </c>
      <c r="Q202" s="284">
        <v>1.6030105E7</v>
      </c>
      <c r="R202" s="268"/>
      <c r="S202" s="285" t="s">
        <v>215</v>
      </c>
      <c r="T202" s="286" t="s">
        <v>1674</v>
      </c>
      <c r="U202" s="284">
        <v>1.3597008E7</v>
      </c>
      <c r="V202" s="268"/>
      <c r="W202" s="285" t="s">
        <v>215</v>
      </c>
      <c r="X202" s="286" t="s">
        <v>1674</v>
      </c>
      <c r="Y202" s="284">
        <v>1.2554291E7</v>
      </c>
      <c r="Z202" s="268"/>
      <c r="AA202" s="285" t="s">
        <v>215</v>
      </c>
      <c r="AB202" s="286" t="s">
        <v>1674</v>
      </c>
      <c r="AC202" s="287">
        <v>1.1337911E7</v>
      </c>
      <c r="AD202" s="288"/>
      <c r="AE202" s="289">
        <v>2022.0</v>
      </c>
      <c r="AF202" s="289">
        <v>2021.0</v>
      </c>
      <c r="AG202" s="289">
        <v>2020.0</v>
      </c>
      <c r="AH202" s="289">
        <v>2019.0</v>
      </c>
      <c r="AI202" s="289">
        <v>2018.0</v>
      </c>
      <c r="AJ202" s="290" t="s">
        <v>1524</v>
      </c>
      <c r="AK202" s="281"/>
      <c r="AL202" s="259">
        <f>MATCH(B202,'Key Findings'!B:B,0)</f>
        <v>7</v>
      </c>
      <c r="AM202" s="260" t="b">
        <f t="shared" si="1"/>
        <v>1</v>
      </c>
      <c r="AN202" s="294"/>
    </row>
    <row r="203">
      <c r="A203" s="169">
        <f t="array" ref="A203">INDEX('Federal Tax, Stock Buybacks, &amp; '!D:D,match(B203,'Federal Tax, Stock Buybacks, &amp; '!E:E,0))</f>
        <v>579</v>
      </c>
      <c r="B203" s="432" t="s">
        <v>40</v>
      </c>
      <c r="C203" s="282"/>
      <c r="D203" s="283"/>
      <c r="E203" s="284"/>
      <c r="F203" s="268"/>
      <c r="G203" s="282"/>
      <c r="H203" s="283"/>
      <c r="I203" s="284"/>
      <c r="J203" s="268"/>
      <c r="K203" s="282" t="s">
        <v>209</v>
      </c>
      <c r="L203" s="283" t="s">
        <v>1799</v>
      </c>
      <c r="M203" s="284">
        <v>5746350.0</v>
      </c>
      <c r="N203" s="268"/>
      <c r="O203" s="285" t="s">
        <v>209</v>
      </c>
      <c r="P203" s="286" t="s">
        <v>1799</v>
      </c>
      <c r="Q203" s="284">
        <v>6341300.0</v>
      </c>
      <c r="R203" s="268"/>
      <c r="S203" s="285" t="s">
        <v>209</v>
      </c>
      <c r="T203" s="286" t="s">
        <v>1799</v>
      </c>
      <c r="U203" s="284">
        <v>4935417.0</v>
      </c>
      <c r="V203" s="268"/>
      <c r="W203" s="285" t="s">
        <v>209</v>
      </c>
      <c r="X203" s="286" t="s">
        <v>1799</v>
      </c>
      <c r="Y203" s="284">
        <v>5159992.0</v>
      </c>
      <c r="Z203" s="268"/>
      <c r="AA203" s="285" t="s">
        <v>209</v>
      </c>
      <c r="AB203" s="286" t="s">
        <v>1799</v>
      </c>
      <c r="AC203" s="287">
        <v>4332518.0</v>
      </c>
      <c r="AD203" s="288"/>
      <c r="AE203" s="292"/>
      <c r="AF203" s="292"/>
      <c r="AG203" s="292"/>
      <c r="AH203" s="292"/>
      <c r="AI203" s="292"/>
      <c r="AJ203" s="293"/>
      <c r="AK203" s="281"/>
      <c r="AL203" s="259">
        <f>MATCH(B203,'Key Findings'!B:B,0)</f>
        <v>7</v>
      </c>
      <c r="AM203" s="260" t="b">
        <f t="shared" si="1"/>
        <v>1</v>
      </c>
      <c r="AN203" s="294"/>
    </row>
    <row r="204">
      <c r="A204" s="169">
        <f t="array" ref="A204">INDEX('Federal Tax, Stock Buybacks, &amp; '!D:D,match(B204,'Federal Tax, Stock Buybacks, &amp; '!E:E,0))</f>
        <v>579</v>
      </c>
      <c r="B204" s="432" t="s">
        <v>40</v>
      </c>
      <c r="C204" s="282"/>
      <c r="D204" s="283"/>
      <c r="E204" s="284"/>
      <c r="F204" s="268"/>
      <c r="G204" s="282"/>
      <c r="H204" s="283"/>
      <c r="I204" s="284"/>
      <c r="J204" s="268"/>
      <c r="K204" s="282" t="s">
        <v>226</v>
      </c>
      <c r="L204" s="283" t="s">
        <v>1800</v>
      </c>
      <c r="M204" s="284">
        <v>5588971.0</v>
      </c>
      <c r="N204" s="268"/>
      <c r="O204" s="285" t="s">
        <v>226</v>
      </c>
      <c r="P204" s="286" t="s">
        <v>1800</v>
      </c>
      <c r="Q204" s="284">
        <v>5757689.0</v>
      </c>
      <c r="R204" s="268"/>
      <c r="S204" s="285" t="s">
        <v>226</v>
      </c>
      <c r="T204" s="286" t="s">
        <v>1800</v>
      </c>
      <c r="U204" s="284">
        <v>4702504.0</v>
      </c>
      <c r="V204" s="268"/>
      <c r="W204" s="285" t="s">
        <v>226</v>
      </c>
      <c r="X204" s="286" t="s">
        <v>1800</v>
      </c>
      <c r="Y204" s="284">
        <v>5001396.0</v>
      </c>
      <c r="Z204" s="268"/>
      <c r="AA204" s="285" t="s">
        <v>226</v>
      </c>
      <c r="AB204" s="286" t="s">
        <v>1800</v>
      </c>
      <c r="AC204" s="287">
        <v>4704359.0</v>
      </c>
      <c r="AD204" s="288"/>
      <c r="AE204" s="292"/>
      <c r="AF204" s="292"/>
      <c r="AG204" s="292"/>
      <c r="AH204" s="292"/>
      <c r="AI204" s="292"/>
      <c r="AJ204" s="293"/>
      <c r="AK204" s="281"/>
      <c r="AL204" s="259">
        <f>MATCH(B204,'Key Findings'!B:B,0)</f>
        <v>7</v>
      </c>
      <c r="AM204" s="260" t="b">
        <f t="shared" si="1"/>
        <v>1</v>
      </c>
      <c r="AN204" s="294"/>
    </row>
    <row r="205">
      <c r="A205" s="169">
        <f t="array" ref="A205">INDEX('Federal Tax, Stock Buybacks, &amp; '!D:D,match(B205,'Federal Tax, Stock Buybacks, &amp; '!E:E,0))</f>
        <v>579</v>
      </c>
      <c r="B205" s="432" t="s">
        <v>40</v>
      </c>
      <c r="C205" s="282"/>
      <c r="D205" s="283"/>
      <c r="E205" s="284"/>
      <c r="F205" s="268"/>
      <c r="G205" s="282"/>
      <c r="H205" s="283"/>
      <c r="I205" s="284"/>
      <c r="J205" s="268"/>
      <c r="K205" s="282" t="s">
        <v>258</v>
      </c>
      <c r="L205" s="283" t="s">
        <v>1801</v>
      </c>
      <c r="M205" s="284">
        <v>5751915.0</v>
      </c>
      <c r="N205" s="268"/>
      <c r="O205" s="285" t="s">
        <v>258</v>
      </c>
      <c r="P205" s="286" t="s">
        <v>1801</v>
      </c>
      <c r="Q205" s="284">
        <v>5829452.0</v>
      </c>
      <c r="R205" s="268"/>
      <c r="S205" s="285" t="s">
        <v>258</v>
      </c>
      <c r="T205" s="286" t="s">
        <v>1801</v>
      </c>
      <c r="U205" s="284">
        <v>5414402.0</v>
      </c>
      <c r="V205" s="268"/>
      <c r="W205" s="285" t="s">
        <v>258</v>
      </c>
      <c r="X205" s="286" t="s">
        <v>1801</v>
      </c>
      <c r="Y205" s="284">
        <v>6419295.0</v>
      </c>
      <c r="Z205" s="268"/>
      <c r="AA205" s="285" t="s">
        <v>258</v>
      </c>
      <c r="AB205" s="286" t="s">
        <v>1801</v>
      </c>
      <c r="AC205" s="287">
        <v>5649873.0</v>
      </c>
      <c r="AD205" s="288"/>
      <c r="AE205" s="292"/>
      <c r="AF205" s="292"/>
      <c r="AG205" s="292"/>
      <c r="AH205" s="292"/>
      <c r="AI205" s="292"/>
      <c r="AJ205" s="293"/>
      <c r="AK205" s="281"/>
      <c r="AL205" s="259">
        <f>MATCH(B205,'Key Findings'!B:B,0)</f>
        <v>7</v>
      </c>
      <c r="AM205" s="260" t="b">
        <f t="shared" si="1"/>
        <v>1</v>
      </c>
      <c r="AN205" s="294"/>
    </row>
    <row r="206">
      <c r="A206" s="169">
        <f t="array" ref="A206">INDEX('Federal Tax, Stock Buybacks, &amp; '!D:D,match(B206,'Federal Tax, Stock Buybacks, &amp; '!E:E,0))</f>
        <v>579</v>
      </c>
      <c r="B206" s="432" t="s">
        <v>40</v>
      </c>
      <c r="C206" s="282"/>
      <c r="D206" s="283"/>
      <c r="E206" s="284"/>
      <c r="F206" s="268"/>
      <c r="G206" s="282"/>
      <c r="H206" s="283"/>
      <c r="I206" s="284"/>
      <c r="J206" s="268"/>
      <c r="K206" s="282" t="s">
        <v>453</v>
      </c>
      <c r="L206" s="283" t="s">
        <v>1802</v>
      </c>
      <c r="M206" s="284">
        <v>8391099.0</v>
      </c>
      <c r="N206" s="268"/>
      <c r="O206" s="285" t="s">
        <v>453</v>
      </c>
      <c r="P206" s="286" t="s">
        <v>1802</v>
      </c>
      <c r="Q206" s="284">
        <v>3741534.0</v>
      </c>
      <c r="R206" s="268"/>
      <c r="S206" s="285" t="s">
        <v>537</v>
      </c>
      <c r="T206" s="295" t="s">
        <v>1803</v>
      </c>
      <c r="U206" s="284">
        <v>3273843.0</v>
      </c>
      <c r="V206" s="268"/>
      <c r="W206" s="285" t="s">
        <v>537</v>
      </c>
      <c r="X206" s="295" t="s">
        <v>1803</v>
      </c>
      <c r="Y206" s="284">
        <v>4071843.0</v>
      </c>
      <c r="Z206" s="268"/>
      <c r="AA206" s="285" t="s">
        <v>611</v>
      </c>
      <c r="AB206" s="334" t="s">
        <v>1804</v>
      </c>
      <c r="AC206" s="287">
        <v>3482956.0</v>
      </c>
      <c r="AD206" s="288"/>
      <c r="AE206" s="292"/>
      <c r="AF206" s="292"/>
      <c r="AG206" s="292"/>
      <c r="AH206" s="292"/>
      <c r="AI206" s="292"/>
      <c r="AJ206" s="293"/>
      <c r="AK206" s="281"/>
      <c r="AL206" s="259">
        <f>MATCH(B206,'Key Findings'!B:B,0)</f>
        <v>7</v>
      </c>
      <c r="AM206" s="260" t="b">
        <f t="shared" si="1"/>
        <v>1</v>
      </c>
      <c r="AN206" s="294"/>
    </row>
    <row r="207">
      <c r="A207" s="169">
        <f t="array" ref="A207">INDEX('Federal Tax, Stock Buybacks, &amp; '!D:D,match(B207,'Federal Tax, Stock Buybacks, &amp; '!E:E,0))</f>
        <v>579</v>
      </c>
      <c r="B207" s="432" t="s">
        <v>40</v>
      </c>
      <c r="C207" s="282"/>
      <c r="D207" s="283"/>
      <c r="E207" s="284"/>
      <c r="F207" s="268"/>
      <c r="G207" s="282"/>
      <c r="H207" s="283"/>
      <c r="I207" s="284"/>
      <c r="J207" s="268"/>
      <c r="K207" s="282" t="s">
        <v>288</v>
      </c>
      <c r="L207" s="283" t="s">
        <v>1805</v>
      </c>
      <c r="M207" s="284">
        <v>313653.0</v>
      </c>
      <c r="N207" s="268"/>
      <c r="O207" s="375" t="s">
        <v>711</v>
      </c>
      <c r="P207" s="375" t="s">
        <v>711</v>
      </c>
      <c r="Q207" s="360" t="s">
        <v>711</v>
      </c>
      <c r="R207" s="268"/>
      <c r="S207" s="375" t="s">
        <v>711</v>
      </c>
      <c r="T207" s="375" t="s">
        <v>711</v>
      </c>
      <c r="U207" s="360" t="s">
        <v>711</v>
      </c>
      <c r="V207" s="268"/>
      <c r="W207" s="375" t="s">
        <v>711</v>
      </c>
      <c r="X207" s="375" t="s">
        <v>711</v>
      </c>
      <c r="Y207" s="360" t="s">
        <v>711</v>
      </c>
      <c r="Z207" s="268"/>
      <c r="AA207" s="285" t="s">
        <v>592</v>
      </c>
      <c r="AB207" s="334" t="s">
        <v>1806</v>
      </c>
      <c r="AC207" s="287">
        <v>4356558.0</v>
      </c>
      <c r="AD207" s="288"/>
      <c r="AE207" s="292"/>
      <c r="AF207" s="292"/>
      <c r="AG207" s="292"/>
      <c r="AH207" s="292"/>
      <c r="AI207" s="292"/>
      <c r="AJ207" s="293"/>
      <c r="AK207" s="281"/>
      <c r="AL207" s="259">
        <f>MATCH(B207,'Key Findings'!B:B,0)</f>
        <v>7</v>
      </c>
      <c r="AM207" s="260" t="b">
        <f t="shared" si="1"/>
        <v>1</v>
      </c>
      <c r="AN207" s="294"/>
    </row>
    <row r="208">
      <c r="A208" s="169">
        <f t="array" ref="A208">INDEX('Federal Tax, Stock Buybacks, &amp; '!D:D,match(B208,'Federal Tax, Stock Buybacks, &amp; '!E:E,0))</f>
        <v>302</v>
      </c>
      <c r="B208" s="300" t="s">
        <v>34</v>
      </c>
      <c r="C208" s="362"/>
      <c r="D208" s="363"/>
      <c r="E208" s="342"/>
      <c r="F208" s="268"/>
      <c r="G208" s="362"/>
      <c r="H208" s="363"/>
      <c r="I208" s="342"/>
      <c r="J208" s="268"/>
      <c r="K208" s="362" t="s">
        <v>217</v>
      </c>
      <c r="L208" s="363" t="s">
        <v>1807</v>
      </c>
      <c r="M208" s="342">
        <v>1.3207355E7</v>
      </c>
      <c r="N208" s="268"/>
      <c r="O208" s="364" t="s">
        <v>217</v>
      </c>
      <c r="P208" s="365" t="s">
        <v>1807</v>
      </c>
      <c r="Q208" s="342">
        <v>1.7045744E7</v>
      </c>
      <c r="R208" s="268"/>
      <c r="S208" s="364" t="s">
        <v>217</v>
      </c>
      <c r="T208" s="365" t="s">
        <v>1807</v>
      </c>
      <c r="U208" s="342">
        <v>1.6198597E7</v>
      </c>
      <c r="V208" s="268"/>
      <c r="W208" s="364" t="s">
        <v>217</v>
      </c>
      <c r="X208" s="365" t="s">
        <v>1807</v>
      </c>
      <c r="Y208" s="342">
        <v>1.4264249E7</v>
      </c>
      <c r="Z208" s="268"/>
      <c r="AA208" s="364" t="s">
        <v>217</v>
      </c>
      <c r="AB208" s="365" t="s">
        <v>1807</v>
      </c>
      <c r="AC208" s="305">
        <v>1.0326456E7</v>
      </c>
      <c r="AD208" s="306"/>
      <c r="AE208" s="307">
        <v>2022.0</v>
      </c>
      <c r="AF208" s="307">
        <v>2021.0</v>
      </c>
      <c r="AG208" s="307">
        <v>2020.0</v>
      </c>
      <c r="AH208" s="307">
        <v>2019.0</v>
      </c>
      <c r="AI208" s="307">
        <v>2018.0</v>
      </c>
      <c r="AJ208" s="367" t="s">
        <v>1524</v>
      </c>
      <c r="AK208" s="300"/>
      <c r="AL208" s="275">
        <f>MATCH(B208,'Key Findings'!B:B,0)</f>
        <v>34</v>
      </c>
      <c r="AM208" s="274" t="b">
        <f t="shared" si="1"/>
        <v>0</v>
      </c>
      <c r="AN208" s="294"/>
    </row>
    <row r="209">
      <c r="A209" s="169">
        <f t="array" ref="A209">INDEX('Federal Tax, Stock Buybacks, &amp; '!D:D,match(B209,'Federal Tax, Stock Buybacks, &amp; '!E:E,0))</f>
        <v>302</v>
      </c>
      <c r="B209" s="300" t="s">
        <v>34</v>
      </c>
      <c r="C209" s="362"/>
      <c r="D209" s="363"/>
      <c r="E209" s="342"/>
      <c r="F209" s="268"/>
      <c r="G209" s="362"/>
      <c r="H209" s="363"/>
      <c r="I209" s="342"/>
      <c r="J209" s="268"/>
      <c r="K209" s="362" t="s">
        <v>161</v>
      </c>
      <c r="L209" s="363" t="s">
        <v>1808</v>
      </c>
      <c r="M209" s="342">
        <v>5732721.0</v>
      </c>
      <c r="N209" s="268"/>
      <c r="O209" s="364" t="s">
        <v>161</v>
      </c>
      <c r="P209" s="365" t="s">
        <v>1808</v>
      </c>
      <c r="Q209" s="342">
        <v>3585706.0</v>
      </c>
      <c r="R209" s="268"/>
      <c r="S209" s="364" t="s">
        <v>161</v>
      </c>
      <c r="T209" s="365" t="s">
        <v>1808</v>
      </c>
      <c r="U209" s="342">
        <v>5632024.0</v>
      </c>
      <c r="V209" s="268"/>
      <c r="W209" s="364" t="s">
        <v>161</v>
      </c>
      <c r="X209" s="365" t="s">
        <v>1808</v>
      </c>
      <c r="Y209" s="342">
        <v>4714774.0</v>
      </c>
      <c r="Z209" s="268"/>
      <c r="AA209" s="364" t="s">
        <v>161</v>
      </c>
      <c r="AB209" s="365" t="s">
        <v>1808</v>
      </c>
      <c r="AC209" s="305">
        <v>2672747.0</v>
      </c>
      <c r="AD209" s="306"/>
      <c r="AE209" s="308"/>
      <c r="AF209" s="308"/>
      <c r="AG209" s="308"/>
      <c r="AH209" s="308"/>
      <c r="AI209" s="308"/>
      <c r="AJ209" s="368"/>
      <c r="AK209" s="300"/>
      <c r="AL209" s="275">
        <f>MATCH(B209,'Key Findings'!B:B,0)</f>
        <v>34</v>
      </c>
      <c r="AM209" s="274" t="b">
        <f t="shared" si="1"/>
        <v>0</v>
      </c>
      <c r="AN209" s="294"/>
    </row>
    <row r="210">
      <c r="A210" s="169">
        <f t="array" ref="A210">INDEX('Federal Tax, Stock Buybacks, &amp; '!D:D,match(B210,'Federal Tax, Stock Buybacks, &amp; '!E:E,0))</f>
        <v>302</v>
      </c>
      <c r="B210" s="300" t="s">
        <v>34</v>
      </c>
      <c r="C210" s="362"/>
      <c r="D210" s="363"/>
      <c r="E210" s="342"/>
      <c r="F210" s="268"/>
      <c r="G210" s="362"/>
      <c r="H210" s="363"/>
      <c r="I210" s="342"/>
      <c r="J210" s="268"/>
      <c r="K210" s="362" t="s">
        <v>153</v>
      </c>
      <c r="L210" s="363" t="s">
        <v>1809</v>
      </c>
      <c r="M210" s="342">
        <v>6861760.0</v>
      </c>
      <c r="N210" s="268"/>
      <c r="O210" s="364" t="s">
        <v>153</v>
      </c>
      <c r="P210" s="365" t="s">
        <v>1809</v>
      </c>
      <c r="Q210" s="342">
        <v>3889327.0</v>
      </c>
      <c r="R210" s="268"/>
      <c r="S210" s="364" t="s">
        <v>153</v>
      </c>
      <c r="T210" s="365" t="s">
        <v>1809</v>
      </c>
      <c r="U210" s="342">
        <v>6007055.0</v>
      </c>
      <c r="V210" s="268"/>
      <c r="W210" s="364" t="s">
        <v>153</v>
      </c>
      <c r="X210" s="365" t="s">
        <v>1809</v>
      </c>
      <c r="Y210" s="342">
        <v>4934063.0</v>
      </c>
      <c r="Z210" s="268"/>
      <c r="AA210" s="364" t="s">
        <v>153</v>
      </c>
      <c r="AB210" s="365" t="s">
        <v>1809</v>
      </c>
      <c r="AC210" s="305">
        <v>2604085.0</v>
      </c>
      <c r="AD210" s="306"/>
      <c r="AE210" s="308"/>
      <c r="AF210" s="308"/>
      <c r="AG210" s="308"/>
      <c r="AH210" s="308"/>
      <c r="AI210" s="308"/>
      <c r="AJ210" s="368"/>
      <c r="AK210" s="300"/>
      <c r="AL210" s="275">
        <f>MATCH(B210,'Key Findings'!B:B,0)</f>
        <v>34</v>
      </c>
      <c r="AM210" s="274" t="b">
        <f t="shared" si="1"/>
        <v>0</v>
      </c>
      <c r="AN210" s="291" t="s">
        <v>1810</v>
      </c>
    </row>
    <row r="211">
      <c r="A211" s="169">
        <f t="array" ref="A211">INDEX('Federal Tax, Stock Buybacks, &amp; '!D:D,match(B211,'Federal Tax, Stock Buybacks, &amp; '!E:E,0))</f>
        <v>302</v>
      </c>
      <c r="B211" s="300" t="s">
        <v>34</v>
      </c>
      <c r="C211" s="362"/>
      <c r="D211" s="363"/>
      <c r="E211" s="342"/>
      <c r="F211" s="268"/>
      <c r="G211" s="362"/>
      <c r="H211" s="363"/>
      <c r="I211" s="342"/>
      <c r="J211" s="268"/>
      <c r="K211" s="362" t="s">
        <v>205</v>
      </c>
      <c r="L211" s="363" t="s">
        <v>1538</v>
      </c>
      <c r="M211" s="342">
        <v>3975754.0</v>
      </c>
      <c r="N211" s="268"/>
      <c r="O211" s="364" t="s">
        <v>205</v>
      </c>
      <c r="P211" s="365" t="s">
        <v>1538</v>
      </c>
      <c r="Q211" s="342">
        <v>5117061.0</v>
      </c>
      <c r="R211" s="268"/>
      <c r="S211" s="364" t="s">
        <v>205</v>
      </c>
      <c r="T211" s="365" t="s">
        <v>1538</v>
      </c>
      <c r="U211" s="342">
        <v>5150403.0</v>
      </c>
      <c r="V211" s="268"/>
      <c r="W211" s="364" t="s">
        <v>205</v>
      </c>
      <c r="X211" s="365" t="s">
        <v>1538</v>
      </c>
      <c r="Y211" s="342">
        <v>4417412.0</v>
      </c>
      <c r="Z211" s="268"/>
      <c r="AA211" s="364" t="s">
        <v>205</v>
      </c>
      <c r="AB211" s="365" t="s">
        <v>1538</v>
      </c>
      <c r="AC211" s="305">
        <v>2948490.0</v>
      </c>
      <c r="AD211" s="306"/>
      <c r="AE211" s="308"/>
      <c r="AF211" s="308"/>
      <c r="AG211" s="308"/>
      <c r="AH211" s="308"/>
      <c r="AI211" s="308"/>
      <c r="AJ211" s="368"/>
      <c r="AK211" s="300"/>
      <c r="AL211" s="275">
        <f>MATCH(B211,'Key Findings'!B:B,0)</f>
        <v>34</v>
      </c>
      <c r="AM211" s="274" t="b">
        <f t="shared" si="1"/>
        <v>0</v>
      </c>
      <c r="AN211" s="294"/>
    </row>
    <row r="212">
      <c r="A212" s="169">
        <f t="array" ref="A212">INDEX('Federal Tax, Stock Buybacks, &amp; '!D:D,match(B212,'Federal Tax, Stock Buybacks, &amp; '!E:E,0))</f>
        <v>302</v>
      </c>
      <c r="B212" s="300" t="s">
        <v>34</v>
      </c>
      <c r="C212" s="362"/>
      <c r="D212" s="363"/>
      <c r="E212" s="342"/>
      <c r="F212" s="268"/>
      <c r="G212" s="362"/>
      <c r="H212" s="363"/>
      <c r="I212" s="342"/>
      <c r="J212" s="268"/>
      <c r="K212" s="362" t="s">
        <v>252</v>
      </c>
      <c r="L212" s="363" t="s">
        <v>1811</v>
      </c>
      <c r="M212" s="342">
        <v>3369474.0</v>
      </c>
      <c r="N212" s="268"/>
      <c r="O212" s="364" t="s">
        <v>252</v>
      </c>
      <c r="P212" s="365" t="s">
        <v>1811</v>
      </c>
      <c r="Q212" s="342">
        <v>3442338.0</v>
      </c>
      <c r="R212" s="268"/>
      <c r="S212" s="364" t="s">
        <v>252</v>
      </c>
      <c r="T212" s="365" t="s">
        <v>1811</v>
      </c>
      <c r="U212" s="342">
        <v>3674009.0</v>
      </c>
      <c r="V212" s="268"/>
      <c r="W212" s="364" t="s">
        <v>252</v>
      </c>
      <c r="X212" s="365" t="s">
        <v>1811</v>
      </c>
      <c r="Y212" s="342">
        <v>3186440.0</v>
      </c>
      <c r="Z212" s="268"/>
      <c r="AA212" s="364" t="s">
        <v>252</v>
      </c>
      <c r="AB212" s="365" t="s">
        <v>1811</v>
      </c>
      <c r="AC212" s="305">
        <v>3244712.0</v>
      </c>
      <c r="AD212" s="306"/>
      <c r="AE212" s="308"/>
      <c r="AF212" s="308"/>
      <c r="AG212" s="308"/>
      <c r="AH212" s="308"/>
      <c r="AI212" s="308"/>
      <c r="AJ212" s="368"/>
      <c r="AK212" s="300"/>
      <c r="AL212" s="275">
        <f>MATCH(B212,'Key Findings'!B:B,0)</f>
        <v>34</v>
      </c>
      <c r="AM212" s="274" t="b">
        <f t="shared" si="1"/>
        <v>0</v>
      </c>
      <c r="AN212" s="291" t="s">
        <v>1812</v>
      </c>
    </row>
    <row r="213">
      <c r="A213" s="169">
        <f t="array" ref="A213">INDEX('Federal Tax, Stock Buybacks, &amp; '!D:D,match(B213,'Federal Tax, Stock Buybacks, &amp; '!E:E,0))</f>
        <v>302</v>
      </c>
      <c r="B213" s="300" t="s">
        <v>34</v>
      </c>
      <c r="C213" s="362"/>
      <c r="D213" s="363"/>
      <c r="E213" s="342"/>
      <c r="F213" s="268"/>
      <c r="G213" s="362"/>
      <c r="H213" s="363"/>
      <c r="I213" s="342"/>
      <c r="J213" s="268"/>
      <c r="K213" s="362" t="s">
        <v>661</v>
      </c>
      <c r="L213" s="363" t="s">
        <v>1585</v>
      </c>
      <c r="M213" s="342">
        <v>1929029.0</v>
      </c>
      <c r="N213" s="268"/>
      <c r="O213" s="364" t="s">
        <v>467</v>
      </c>
      <c r="P213" s="401" t="s">
        <v>1813</v>
      </c>
      <c r="Q213" s="342">
        <v>4292419.0</v>
      </c>
      <c r="R213" s="268"/>
      <c r="S213" s="364" t="s">
        <v>467</v>
      </c>
      <c r="T213" s="401" t="s">
        <v>1813</v>
      </c>
      <c r="U213" s="342">
        <v>5104454.0</v>
      </c>
      <c r="V213" s="268"/>
      <c r="W213" s="364" t="s">
        <v>467</v>
      </c>
      <c r="X213" s="401" t="s">
        <v>1813</v>
      </c>
      <c r="Y213" s="342">
        <v>3945863.0</v>
      </c>
      <c r="Z213" s="268"/>
      <c r="AA213" s="280" t="s">
        <v>711</v>
      </c>
      <c r="AB213" s="280" t="s">
        <v>711</v>
      </c>
      <c r="AC213" s="267" t="s">
        <v>711</v>
      </c>
      <c r="AD213" s="306"/>
      <c r="AE213" s="308"/>
      <c r="AF213" s="308"/>
      <c r="AG213" s="308"/>
      <c r="AH213" s="308"/>
      <c r="AI213" s="308"/>
      <c r="AJ213" s="368"/>
      <c r="AK213" s="300"/>
      <c r="AL213" s="275">
        <f>MATCH(B213,'Key Findings'!B:B,0)</f>
        <v>34</v>
      </c>
      <c r="AM213" s="274" t="b">
        <f t="shared" si="1"/>
        <v>0</v>
      </c>
      <c r="AN213" s="291" t="s">
        <v>1814</v>
      </c>
    </row>
    <row r="214">
      <c r="A214" s="169">
        <f t="array" ref="A214">INDEX('Federal Tax, Stock Buybacks, &amp; '!D:D,match(B214,'Federal Tax, Stock Buybacks, &amp; '!E:E,0))</f>
        <v>236</v>
      </c>
      <c r="B214" s="281" t="s">
        <v>18</v>
      </c>
      <c r="C214" s="433"/>
      <c r="D214" s="433"/>
      <c r="E214" s="284"/>
      <c r="F214" s="268"/>
      <c r="G214" s="433"/>
      <c r="H214" s="433"/>
      <c r="I214" s="284"/>
      <c r="J214" s="268"/>
      <c r="K214" s="433" t="s">
        <v>238</v>
      </c>
      <c r="L214" s="433" t="s">
        <v>1815</v>
      </c>
      <c r="M214" s="284">
        <v>1.3804149E7</v>
      </c>
      <c r="N214" s="268"/>
      <c r="O214" s="380" t="s">
        <v>238</v>
      </c>
      <c r="P214" s="380" t="s">
        <v>1815</v>
      </c>
      <c r="Q214" s="284">
        <v>1.7566163E7</v>
      </c>
      <c r="R214" s="268"/>
      <c r="S214" s="380" t="s">
        <v>238</v>
      </c>
      <c r="T214" s="380" t="s">
        <v>1815</v>
      </c>
      <c r="U214" s="284">
        <v>1.5614418E7</v>
      </c>
      <c r="V214" s="268"/>
      <c r="W214" s="380" t="s">
        <v>238</v>
      </c>
      <c r="X214" s="380" t="s">
        <v>1815</v>
      </c>
      <c r="Y214" s="284">
        <v>1.4748051E7</v>
      </c>
      <c r="Z214" s="268"/>
      <c r="AA214" s="380" t="s">
        <v>238</v>
      </c>
      <c r="AB214" s="380" t="s">
        <v>1815</v>
      </c>
      <c r="AC214" s="287">
        <v>1.2227017E7</v>
      </c>
      <c r="AD214" s="288"/>
      <c r="AE214" s="391">
        <v>2022.0</v>
      </c>
      <c r="AF214" s="391">
        <v>2021.0</v>
      </c>
      <c r="AG214" s="391">
        <v>2020.0</v>
      </c>
      <c r="AH214" s="391">
        <v>2019.0</v>
      </c>
      <c r="AI214" s="391">
        <v>2018.0</v>
      </c>
      <c r="AJ214" s="290" t="s">
        <v>1524</v>
      </c>
      <c r="AK214" s="260"/>
      <c r="AL214" s="259">
        <f>MATCH(B214,'Key Findings'!B:B,0)</f>
        <v>8</v>
      </c>
      <c r="AM214" s="260" t="b">
        <f t="shared" si="1"/>
        <v>0</v>
      </c>
      <c r="AN214" s="291" t="s">
        <v>1534</v>
      </c>
    </row>
    <row r="215">
      <c r="A215" s="169">
        <f t="array" ref="A215">INDEX('Federal Tax, Stock Buybacks, &amp; '!D:D,match(B215,'Federal Tax, Stock Buybacks, &amp; '!E:E,0))</f>
        <v>236</v>
      </c>
      <c r="B215" s="281" t="s">
        <v>18</v>
      </c>
      <c r="C215" s="383"/>
      <c r="D215" s="433"/>
      <c r="E215" s="284"/>
      <c r="F215" s="268"/>
      <c r="G215" s="383"/>
      <c r="H215" s="433"/>
      <c r="I215" s="284"/>
      <c r="J215" s="268"/>
      <c r="K215" s="383" t="s">
        <v>163</v>
      </c>
      <c r="L215" s="433" t="s">
        <v>1816</v>
      </c>
      <c r="M215" s="284">
        <v>5340376.0</v>
      </c>
      <c r="N215" s="268"/>
      <c r="O215" s="355" t="s">
        <v>163</v>
      </c>
      <c r="P215" s="380" t="s">
        <v>1816</v>
      </c>
      <c r="Q215" s="284">
        <v>7192784.0</v>
      </c>
      <c r="R215" s="268"/>
      <c r="S215" s="355" t="s">
        <v>163</v>
      </c>
      <c r="T215" s="380" t="s">
        <v>1816</v>
      </c>
      <c r="U215" s="284">
        <v>4539501.0</v>
      </c>
      <c r="V215" s="268"/>
      <c r="W215" s="355" t="s">
        <v>163</v>
      </c>
      <c r="X215" s="380" t="s">
        <v>1816</v>
      </c>
      <c r="Y215" s="284">
        <v>5027436.0</v>
      </c>
      <c r="Z215" s="268"/>
      <c r="AA215" s="355" t="s">
        <v>163</v>
      </c>
      <c r="AB215" s="380" t="s">
        <v>1816</v>
      </c>
      <c r="AC215" s="287">
        <v>2564423.0</v>
      </c>
      <c r="AD215" s="288"/>
      <c r="AE215" s="292"/>
      <c r="AF215" s="292"/>
      <c r="AG215" s="292"/>
      <c r="AH215" s="292"/>
      <c r="AI215" s="292"/>
      <c r="AJ215" s="293"/>
      <c r="AK215" s="260"/>
      <c r="AL215" s="259">
        <f>MATCH(B215,'Key Findings'!B:B,0)</f>
        <v>8</v>
      </c>
      <c r="AM215" s="260" t="b">
        <f t="shared" si="1"/>
        <v>0</v>
      </c>
      <c r="AN215" s="294"/>
    </row>
    <row r="216">
      <c r="A216" s="169">
        <f t="array" ref="A216">INDEX('Federal Tax, Stock Buybacks, &amp; '!D:D,match(B216,'Federal Tax, Stock Buybacks, &amp; '!E:E,0))</f>
        <v>236</v>
      </c>
      <c r="B216" s="281" t="s">
        <v>18</v>
      </c>
      <c r="C216" s="433"/>
      <c r="D216" s="433"/>
      <c r="E216" s="284"/>
      <c r="F216" s="268"/>
      <c r="G216" s="433"/>
      <c r="H216" s="433"/>
      <c r="I216" s="284"/>
      <c r="J216" s="268"/>
      <c r="K216" s="433" t="s">
        <v>222</v>
      </c>
      <c r="L216" s="433" t="s">
        <v>1585</v>
      </c>
      <c r="M216" s="284">
        <v>4215598.0</v>
      </c>
      <c r="N216" s="268"/>
      <c r="O216" s="380" t="s">
        <v>222</v>
      </c>
      <c r="P216" s="380" t="s">
        <v>1585</v>
      </c>
      <c r="Q216" s="284">
        <v>5690706.0</v>
      </c>
      <c r="R216" s="268"/>
      <c r="S216" s="380" t="s">
        <v>222</v>
      </c>
      <c r="T216" s="380" t="s">
        <v>1585</v>
      </c>
      <c r="U216" s="284">
        <v>5234424.0</v>
      </c>
      <c r="V216" s="268"/>
      <c r="W216" s="380" t="s">
        <v>222</v>
      </c>
      <c r="X216" s="380" t="s">
        <v>1585</v>
      </c>
      <c r="Y216" s="284">
        <v>4692005.0</v>
      </c>
      <c r="Z216" s="268"/>
      <c r="AA216" s="380" t="s">
        <v>222</v>
      </c>
      <c r="AB216" s="380" t="s">
        <v>1585</v>
      </c>
      <c r="AC216" s="287">
        <v>3453831.0</v>
      </c>
      <c r="AD216" s="288"/>
      <c r="AE216" s="292"/>
      <c r="AF216" s="292"/>
      <c r="AG216" s="292"/>
      <c r="AH216" s="292"/>
      <c r="AI216" s="292"/>
      <c r="AJ216" s="293"/>
      <c r="AK216" s="260"/>
      <c r="AL216" s="259">
        <f>MATCH(B216,'Key Findings'!B:B,0)</f>
        <v>8</v>
      </c>
      <c r="AM216" s="260" t="b">
        <f t="shared" si="1"/>
        <v>0</v>
      </c>
      <c r="AN216" s="294"/>
    </row>
    <row r="217">
      <c r="A217" s="169">
        <f t="array" ref="A217">INDEX('Federal Tax, Stock Buybacks, &amp; '!D:D,match(B217,'Federal Tax, Stock Buybacks, &amp; '!E:E,0))</f>
        <v>236</v>
      </c>
      <c r="B217" s="281" t="s">
        <v>18</v>
      </c>
      <c r="C217" s="383"/>
      <c r="D217" s="433"/>
      <c r="E217" s="284"/>
      <c r="F217" s="268"/>
      <c r="G217" s="383"/>
      <c r="H217" s="433"/>
      <c r="I217" s="284"/>
      <c r="J217" s="268"/>
      <c r="K217" s="383" t="s">
        <v>497</v>
      </c>
      <c r="L217" s="433" t="s">
        <v>1817</v>
      </c>
      <c r="M217" s="284">
        <v>3503516.0</v>
      </c>
      <c r="N217" s="268"/>
      <c r="O217" s="355" t="s">
        <v>497</v>
      </c>
      <c r="P217" s="380" t="s">
        <v>1817</v>
      </c>
      <c r="Q217" s="284">
        <v>3588608.0</v>
      </c>
      <c r="R217" s="268"/>
      <c r="S217" s="285" t="s">
        <v>462</v>
      </c>
      <c r="T217" s="295" t="s">
        <v>1818</v>
      </c>
      <c r="U217" s="284">
        <v>2844094.0</v>
      </c>
      <c r="V217" s="268"/>
      <c r="W217" s="285" t="s">
        <v>462</v>
      </c>
      <c r="X217" s="295" t="s">
        <v>1818</v>
      </c>
      <c r="Y217" s="284">
        <v>3046261.0</v>
      </c>
      <c r="Z217" s="268"/>
      <c r="AA217" s="285" t="s">
        <v>462</v>
      </c>
      <c r="AB217" s="295" t="s">
        <v>1818</v>
      </c>
      <c r="AC217" s="287">
        <v>2858802.0</v>
      </c>
      <c r="AD217" s="288"/>
      <c r="AE217" s="292"/>
      <c r="AF217" s="292"/>
      <c r="AG217" s="292"/>
      <c r="AH217" s="292"/>
      <c r="AI217" s="292"/>
      <c r="AJ217" s="293"/>
      <c r="AK217" s="260"/>
      <c r="AL217" s="259">
        <f>MATCH(B217,'Key Findings'!B:B,0)</f>
        <v>8</v>
      </c>
      <c r="AM217" s="260" t="b">
        <f t="shared" si="1"/>
        <v>0</v>
      </c>
      <c r="AN217" s="294"/>
    </row>
    <row r="218">
      <c r="A218" s="169">
        <f t="array" ref="A218">INDEX('Federal Tax, Stock Buybacks, &amp; '!D:D,match(B218,'Federal Tax, Stock Buybacks, &amp; '!E:E,0))</f>
        <v>236</v>
      </c>
      <c r="B218" s="281" t="s">
        <v>18</v>
      </c>
      <c r="C218" s="433"/>
      <c r="D218" s="433"/>
      <c r="E218" s="284"/>
      <c r="F218" s="268"/>
      <c r="G218" s="433"/>
      <c r="H218" s="433"/>
      <c r="I218" s="284"/>
      <c r="J218" s="268"/>
      <c r="K218" s="433" t="s">
        <v>532</v>
      </c>
      <c r="L218" s="433" t="s">
        <v>1545</v>
      </c>
      <c r="M218" s="284">
        <v>5728833.0</v>
      </c>
      <c r="N218" s="268"/>
      <c r="O218" s="285" t="s">
        <v>566</v>
      </c>
      <c r="P218" s="317" t="s">
        <v>1819</v>
      </c>
      <c r="Q218" s="284">
        <v>4398012.0</v>
      </c>
      <c r="R218" s="268"/>
      <c r="S218" s="285" t="s">
        <v>407</v>
      </c>
      <c r="T218" s="295" t="s">
        <v>1820</v>
      </c>
      <c r="U218" s="284">
        <v>5414165.0</v>
      </c>
      <c r="V218" s="268"/>
      <c r="W218" s="285" t="s">
        <v>407</v>
      </c>
      <c r="X218" s="295" t="s">
        <v>1820</v>
      </c>
      <c r="Y218" s="284">
        <v>6176552.0</v>
      </c>
      <c r="Z218" s="268"/>
      <c r="AA218" s="285" t="s">
        <v>407</v>
      </c>
      <c r="AB218" s="295" t="s">
        <v>1820</v>
      </c>
      <c r="AC218" s="287">
        <v>2564423.0</v>
      </c>
      <c r="AD218" s="288"/>
      <c r="AE218" s="292"/>
      <c r="AF218" s="292"/>
      <c r="AG218" s="292"/>
      <c r="AH218" s="292"/>
      <c r="AI218" s="292"/>
      <c r="AJ218" s="293"/>
      <c r="AK218" s="260"/>
      <c r="AL218" s="259">
        <f>MATCH(B218,'Key Findings'!B:B,0)</f>
        <v>8</v>
      </c>
      <c r="AM218" s="260" t="b">
        <f t="shared" si="1"/>
        <v>0</v>
      </c>
      <c r="AN218" s="294"/>
    </row>
    <row r="219">
      <c r="A219" s="169">
        <f t="array" ref="A219">INDEX('Federal Tax, Stock Buybacks, &amp; '!D:D,match(B219,'Federal Tax, Stock Buybacks, &amp; '!E:E,0))</f>
        <v>236</v>
      </c>
      <c r="B219" s="281" t="s">
        <v>18</v>
      </c>
      <c r="C219" s="298"/>
      <c r="D219" s="296"/>
      <c r="E219" s="297"/>
      <c r="F219" s="268"/>
      <c r="G219" s="298"/>
      <c r="H219" s="296"/>
      <c r="I219" s="297"/>
      <c r="J219" s="268"/>
      <c r="K219" s="298" t="s">
        <v>711</v>
      </c>
      <c r="L219" s="296" t="s">
        <v>711</v>
      </c>
      <c r="M219" s="297" t="s">
        <v>711</v>
      </c>
      <c r="N219" s="268"/>
      <c r="O219" s="296" t="s">
        <v>711</v>
      </c>
      <c r="P219" s="296" t="s">
        <v>711</v>
      </c>
      <c r="Q219" s="297" t="s">
        <v>711</v>
      </c>
      <c r="R219" s="268"/>
      <c r="S219" s="296" t="s">
        <v>711</v>
      </c>
      <c r="T219" s="296" t="s">
        <v>711</v>
      </c>
      <c r="U219" s="297" t="s">
        <v>711</v>
      </c>
      <c r="V219" s="268"/>
      <c r="W219" s="296" t="s">
        <v>711</v>
      </c>
      <c r="X219" s="296" t="s">
        <v>711</v>
      </c>
      <c r="Y219" s="297" t="s">
        <v>711</v>
      </c>
      <c r="Z219" s="268"/>
      <c r="AA219" s="285" t="s">
        <v>471</v>
      </c>
      <c r="AB219" s="295" t="s">
        <v>1821</v>
      </c>
      <c r="AC219" s="287">
        <v>8168029.0</v>
      </c>
      <c r="AD219" s="288"/>
      <c r="AE219" s="292"/>
      <c r="AF219" s="292"/>
      <c r="AG219" s="292"/>
      <c r="AH219" s="292"/>
      <c r="AI219" s="292"/>
      <c r="AJ219" s="293"/>
      <c r="AK219" s="260"/>
      <c r="AL219" s="259">
        <f>MATCH(B219,'Key Findings'!B:B,0)</f>
        <v>8</v>
      </c>
      <c r="AM219" s="260" t="b">
        <f t="shared" si="1"/>
        <v>0</v>
      </c>
      <c r="AN219" s="294"/>
    </row>
    <row r="220">
      <c r="A220" s="169">
        <f t="array" ref="A220">INDEX('Federal Tax, Stock Buybacks, &amp; '!D:D,match(B220,'Federal Tax, Stock Buybacks, &amp; '!E:E,0))</f>
        <v>164</v>
      </c>
      <c r="B220" s="434" t="s">
        <v>57</v>
      </c>
      <c r="C220" s="435"/>
      <c r="D220" s="436"/>
      <c r="E220" s="342"/>
      <c r="F220" s="268"/>
      <c r="G220" s="435"/>
      <c r="H220" s="436"/>
      <c r="I220" s="342"/>
      <c r="J220" s="268"/>
      <c r="K220" s="435" t="s">
        <v>286</v>
      </c>
      <c r="L220" s="436"/>
      <c r="M220" s="342">
        <v>1.9055854E7</v>
      </c>
      <c r="N220" s="268"/>
      <c r="O220" s="364" t="s">
        <v>286</v>
      </c>
      <c r="P220" s="437"/>
      <c r="Q220" s="342">
        <v>1.6002825E7</v>
      </c>
      <c r="R220" s="268"/>
      <c r="S220" s="364" t="s">
        <v>286</v>
      </c>
      <c r="T220" s="438"/>
      <c r="U220" s="342">
        <v>1.3396571E7</v>
      </c>
      <c r="V220" s="268"/>
      <c r="W220" s="364" t="s">
        <v>286</v>
      </c>
      <c r="X220" s="438"/>
      <c r="Y220" s="342">
        <v>1.3355547E7</v>
      </c>
      <c r="Z220" s="268"/>
      <c r="AA220" s="364" t="s">
        <v>292</v>
      </c>
      <c r="AB220" s="439"/>
      <c r="AC220" s="305">
        <v>1.1936791E7</v>
      </c>
      <c r="AD220" s="306"/>
      <c r="AE220" s="440">
        <v>2022.0</v>
      </c>
      <c r="AF220" s="440">
        <v>2021.0</v>
      </c>
      <c r="AG220" s="440">
        <v>2020.0</v>
      </c>
      <c r="AH220" s="440">
        <v>2019.0</v>
      </c>
      <c r="AI220" s="440">
        <v>2018.0</v>
      </c>
      <c r="AJ220" s="441" t="s">
        <v>1578</v>
      </c>
      <c r="AK220" s="442"/>
      <c r="AL220" s="275">
        <f>MATCH(B220,'Key Findings'!B:B,0)</f>
        <v>35</v>
      </c>
      <c r="AM220" s="274" t="b">
        <f t="shared" si="1"/>
        <v>1</v>
      </c>
      <c r="AN220" s="291" t="s">
        <v>1534</v>
      </c>
    </row>
    <row r="221">
      <c r="A221" s="169">
        <f t="array" ref="A221">INDEX('Federal Tax, Stock Buybacks, &amp; '!D:D,match(B221,'Federal Tax, Stock Buybacks, &amp; '!E:E,0))</f>
        <v>164</v>
      </c>
      <c r="B221" s="434" t="s">
        <v>57</v>
      </c>
      <c r="C221" s="435"/>
      <c r="D221" s="436"/>
      <c r="E221" s="342"/>
      <c r="F221" s="268"/>
      <c r="G221" s="435"/>
      <c r="H221" s="436"/>
      <c r="I221" s="342"/>
      <c r="J221" s="268"/>
      <c r="K221" s="435" t="s">
        <v>287</v>
      </c>
      <c r="L221" s="436"/>
      <c r="M221" s="342">
        <v>9496977.0</v>
      </c>
      <c r="N221" s="268"/>
      <c r="O221" s="364" t="s">
        <v>287</v>
      </c>
      <c r="P221" s="437"/>
      <c r="Q221" s="342">
        <v>5837812.0</v>
      </c>
      <c r="R221" s="268"/>
      <c r="S221" s="364" t="s">
        <v>287</v>
      </c>
      <c r="T221" s="438"/>
      <c r="U221" s="342">
        <v>3889912.0</v>
      </c>
      <c r="V221" s="268"/>
      <c r="W221" s="364" t="s">
        <v>287</v>
      </c>
      <c r="X221" s="438"/>
      <c r="Y221" s="342">
        <v>4511806.0</v>
      </c>
      <c r="Z221" s="268"/>
      <c r="AA221" s="364" t="s">
        <v>287</v>
      </c>
      <c r="AB221" s="439"/>
      <c r="AC221" s="305">
        <v>4665038.0</v>
      </c>
      <c r="AD221" s="306"/>
      <c r="AE221" s="443"/>
      <c r="AF221" s="443"/>
      <c r="AG221" s="443"/>
      <c r="AH221" s="443"/>
      <c r="AI221" s="443"/>
      <c r="AJ221" s="427"/>
      <c r="AK221" s="442"/>
      <c r="AL221" s="275">
        <f>MATCH(B221,'Key Findings'!B:B,0)</f>
        <v>35</v>
      </c>
      <c r="AM221" s="274" t="b">
        <f t="shared" si="1"/>
        <v>1</v>
      </c>
      <c r="AN221" s="294"/>
    </row>
    <row r="222">
      <c r="A222" s="169">
        <f t="array" ref="A222">INDEX('Federal Tax, Stock Buybacks, &amp; '!D:D,match(B222,'Federal Tax, Stock Buybacks, &amp; '!E:E,0))</f>
        <v>164</v>
      </c>
      <c r="B222" s="434" t="s">
        <v>57</v>
      </c>
      <c r="C222" s="435"/>
      <c r="D222" s="436"/>
      <c r="E222" s="342"/>
      <c r="F222" s="268"/>
      <c r="G222" s="435"/>
      <c r="H222" s="436"/>
      <c r="I222" s="342"/>
      <c r="J222" s="268"/>
      <c r="K222" s="435" t="s">
        <v>294</v>
      </c>
      <c r="L222" s="436"/>
      <c r="M222" s="342">
        <v>5131346.0</v>
      </c>
      <c r="N222" s="268"/>
      <c r="O222" s="364" t="s">
        <v>294</v>
      </c>
      <c r="P222" s="437"/>
      <c r="Q222" s="342">
        <v>3254914.0</v>
      </c>
      <c r="R222" s="268"/>
      <c r="S222" s="364" t="s">
        <v>293</v>
      </c>
      <c r="T222" s="438"/>
      <c r="U222" s="342">
        <v>3034416.0</v>
      </c>
      <c r="V222" s="268"/>
      <c r="W222" s="364" t="s">
        <v>293</v>
      </c>
      <c r="X222" s="438"/>
      <c r="Y222" s="342">
        <v>3452058.0</v>
      </c>
      <c r="Z222" s="268"/>
      <c r="AA222" s="364" t="s">
        <v>293</v>
      </c>
      <c r="AB222" s="439"/>
      <c r="AC222" s="305">
        <v>3553139.0</v>
      </c>
      <c r="AD222" s="306"/>
      <c r="AE222" s="443"/>
      <c r="AF222" s="443"/>
      <c r="AG222" s="443"/>
      <c r="AH222" s="443"/>
      <c r="AI222" s="443"/>
      <c r="AJ222" s="427"/>
      <c r="AK222" s="442"/>
      <c r="AL222" s="275">
        <f>MATCH(B222,'Key Findings'!B:B,0)</f>
        <v>35</v>
      </c>
      <c r="AM222" s="274" t="b">
        <f t="shared" si="1"/>
        <v>1</v>
      </c>
      <c r="AN222" s="294"/>
    </row>
    <row r="223">
      <c r="A223" s="169">
        <f t="array" ref="A223">INDEX('Federal Tax, Stock Buybacks, &amp; '!D:D,match(B223,'Federal Tax, Stock Buybacks, &amp; '!E:E,0))</f>
        <v>164</v>
      </c>
      <c r="B223" s="434" t="s">
        <v>57</v>
      </c>
      <c r="C223" s="435"/>
      <c r="D223" s="436"/>
      <c r="E223" s="342"/>
      <c r="F223" s="268"/>
      <c r="G223" s="435"/>
      <c r="H223" s="436"/>
      <c r="I223" s="342"/>
      <c r="J223" s="268"/>
      <c r="K223" s="435" t="s">
        <v>291</v>
      </c>
      <c r="L223" s="436"/>
      <c r="M223" s="342">
        <v>5375180.0</v>
      </c>
      <c r="N223" s="268"/>
      <c r="O223" s="364" t="s">
        <v>291</v>
      </c>
      <c r="P223" s="437"/>
      <c r="Q223" s="342">
        <v>3966376.0</v>
      </c>
      <c r="R223" s="268"/>
      <c r="S223" s="364" t="s">
        <v>291</v>
      </c>
      <c r="T223" s="438"/>
      <c r="U223" s="342">
        <v>3050111.0</v>
      </c>
      <c r="V223" s="268"/>
      <c r="W223" s="364" t="s">
        <v>291</v>
      </c>
      <c r="X223" s="438"/>
      <c r="Y223" s="342">
        <v>3453323.0</v>
      </c>
      <c r="Z223" s="268"/>
      <c r="AA223" s="364" t="s">
        <v>291</v>
      </c>
      <c r="AB223" s="439"/>
      <c r="AC223" s="305">
        <v>3650119.0</v>
      </c>
      <c r="AD223" s="306"/>
      <c r="AE223" s="443"/>
      <c r="AF223" s="443"/>
      <c r="AG223" s="443"/>
      <c r="AH223" s="443"/>
      <c r="AI223" s="443"/>
      <c r="AJ223" s="427"/>
      <c r="AK223" s="442"/>
      <c r="AL223" s="275">
        <f>MATCH(B223,'Key Findings'!B:B,0)</f>
        <v>35</v>
      </c>
      <c r="AM223" s="274" t="b">
        <f t="shared" si="1"/>
        <v>1</v>
      </c>
      <c r="AN223" s="294"/>
    </row>
    <row r="224">
      <c r="A224" s="169">
        <f t="array" ref="A224">INDEX('Federal Tax, Stock Buybacks, &amp; '!D:D,match(B224,'Federal Tax, Stock Buybacks, &amp; '!E:E,0))</f>
        <v>164</v>
      </c>
      <c r="B224" s="434" t="s">
        <v>57</v>
      </c>
      <c r="C224" s="435"/>
      <c r="D224" s="436"/>
      <c r="E224" s="342"/>
      <c r="F224" s="268"/>
      <c r="G224" s="435"/>
      <c r="H224" s="436"/>
      <c r="I224" s="342"/>
      <c r="J224" s="268"/>
      <c r="K224" s="435" t="s">
        <v>290</v>
      </c>
      <c r="L224" s="436"/>
      <c r="M224" s="342">
        <v>5376845.0</v>
      </c>
      <c r="N224" s="268"/>
      <c r="O224" s="364" t="s">
        <v>290</v>
      </c>
      <c r="P224" s="437"/>
      <c r="Q224" s="342">
        <v>3979416.0</v>
      </c>
      <c r="R224" s="268"/>
      <c r="S224" s="364" t="s">
        <v>290</v>
      </c>
      <c r="T224" s="438"/>
      <c r="U224" s="342">
        <v>3034396.0</v>
      </c>
      <c r="V224" s="268"/>
      <c r="W224" s="364" t="s">
        <v>290</v>
      </c>
      <c r="X224" s="438"/>
      <c r="Y224" s="342">
        <v>4251561.0</v>
      </c>
      <c r="Z224" s="268"/>
      <c r="AA224" s="364" t="s">
        <v>290</v>
      </c>
      <c r="AB224" s="439"/>
      <c r="AC224" s="305">
        <v>4573840.0</v>
      </c>
      <c r="AD224" s="306"/>
      <c r="AE224" s="443"/>
      <c r="AF224" s="443"/>
      <c r="AG224" s="443"/>
      <c r="AH224" s="443"/>
      <c r="AI224" s="443"/>
      <c r="AJ224" s="427"/>
      <c r="AK224" s="442"/>
      <c r="AL224" s="275">
        <f>MATCH(B224,'Key Findings'!B:B,0)</f>
        <v>35</v>
      </c>
      <c r="AM224" s="274" t="b">
        <f t="shared" si="1"/>
        <v>1</v>
      </c>
      <c r="AN224" s="294"/>
    </row>
    <row r="225">
      <c r="A225" s="169">
        <f t="array" ref="A225">INDEX('Federal Tax, Stock Buybacks, &amp; '!D:D,match(B225,'Federal Tax, Stock Buybacks, &amp; '!E:E,0))</f>
        <v>164</v>
      </c>
      <c r="B225" s="434" t="s">
        <v>57</v>
      </c>
      <c r="C225" s="303"/>
      <c r="D225" s="437"/>
      <c r="E225" s="371"/>
      <c r="F225" s="268"/>
      <c r="G225" s="303"/>
      <c r="H225" s="437"/>
      <c r="I225" s="371"/>
      <c r="J225" s="268"/>
      <c r="K225" s="303" t="s">
        <v>711</v>
      </c>
      <c r="L225" s="437" t="s">
        <v>711</v>
      </c>
      <c r="M225" s="371" t="s">
        <v>711</v>
      </c>
      <c r="N225" s="268"/>
      <c r="O225" s="303" t="s">
        <v>711</v>
      </c>
      <c r="P225" s="437" t="s">
        <v>711</v>
      </c>
      <c r="Q225" s="371" t="s">
        <v>711</v>
      </c>
      <c r="R225" s="268"/>
      <c r="S225" s="303" t="s">
        <v>711</v>
      </c>
      <c r="T225" s="437" t="s">
        <v>711</v>
      </c>
      <c r="U225" s="371" t="s">
        <v>711</v>
      </c>
      <c r="V225" s="268"/>
      <c r="W225" s="364" t="s">
        <v>292</v>
      </c>
      <c r="X225" s="438"/>
      <c r="Y225" s="342">
        <v>4185868.0</v>
      </c>
      <c r="Z225" s="268"/>
      <c r="AA225" s="303" t="s">
        <v>711</v>
      </c>
      <c r="AB225" s="437" t="s">
        <v>711</v>
      </c>
      <c r="AC225" s="371" t="s">
        <v>711</v>
      </c>
      <c r="AD225" s="306"/>
      <c r="AE225" s="443"/>
      <c r="AF225" s="443"/>
      <c r="AG225" s="443"/>
      <c r="AH225" s="443"/>
      <c r="AI225" s="443"/>
      <c r="AJ225" s="427"/>
      <c r="AK225" s="442"/>
      <c r="AL225" s="275">
        <f>MATCH(B225,'Key Findings'!B:B,0)</f>
        <v>35</v>
      </c>
      <c r="AM225" s="274" t="b">
        <f t="shared" si="1"/>
        <v>1</v>
      </c>
      <c r="AN225" s="294"/>
    </row>
    <row r="226">
      <c r="A226" s="169">
        <f t="array" ref="A226">INDEX('Federal Tax, Stock Buybacks, &amp; '!D:D,match(B226,'Federal Tax, Stock Buybacks, &amp; '!E:E,0))</f>
        <v>203</v>
      </c>
      <c r="B226" s="135" t="s">
        <v>69</v>
      </c>
      <c r="C226" s="444"/>
      <c r="D226" s="445"/>
      <c r="E226" s="284"/>
      <c r="F226" s="268"/>
      <c r="G226" s="444"/>
      <c r="H226" s="445"/>
      <c r="I226" s="284"/>
      <c r="J226" s="268"/>
      <c r="K226" s="444" t="s">
        <v>295</v>
      </c>
      <c r="L226" s="445"/>
      <c r="M226" s="284">
        <v>1.1940033E7</v>
      </c>
      <c r="N226" s="268"/>
      <c r="O226" s="285" t="s">
        <v>295</v>
      </c>
      <c r="P226" s="446"/>
      <c r="Q226" s="284">
        <v>1.8751901E7</v>
      </c>
      <c r="R226" s="268"/>
      <c r="S226" s="285" t="s">
        <v>295</v>
      </c>
      <c r="T226" s="447"/>
      <c r="U226" s="284">
        <v>1.7051409E7</v>
      </c>
      <c r="V226" s="268"/>
      <c r="W226" s="285" t="s">
        <v>295</v>
      </c>
      <c r="X226" s="447"/>
      <c r="Y226" s="284">
        <v>1.3999494E7</v>
      </c>
      <c r="Z226" s="268"/>
      <c r="AA226" s="285" t="s">
        <v>295</v>
      </c>
      <c r="AB226" s="448"/>
      <c r="AC226" s="287">
        <v>1.1836275E7</v>
      </c>
      <c r="AD226" s="288"/>
      <c r="AE226" s="449">
        <v>2022.0</v>
      </c>
      <c r="AF226" s="449">
        <v>2021.0</v>
      </c>
      <c r="AG226" s="449">
        <v>2020.0</v>
      </c>
      <c r="AH226" s="449">
        <v>2019.0</v>
      </c>
      <c r="AI226" s="449">
        <v>2018.0</v>
      </c>
      <c r="AJ226" s="450" t="s">
        <v>1578</v>
      </c>
      <c r="AK226" s="451"/>
      <c r="AL226" s="259">
        <f>MATCH(B226,'Key Findings'!B:B,0)</f>
        <v>37</v>
      </c>
      <c r="AM226" s="260" t="b">
        <f t="shared" si="1"/>
        <v>1</v>
      </c>
      <c r="AN226" s="291" t="s">
        <v>1534</v>
      </c>
    </row>
    <row r="227">
      <c r="A227" s="169">
        <f t="array" ref="A227">INDEX('Federal Tax, Stock Buybacks, &amp; '!D:D,match(B227,'Federal Tax, Stock Buybacks, &amp; '!E:E,0))</f>
        <v>203</v>
      </c>
      <c r="B227" s="135" t="s">
        <v>69</v>
      </c>
      <c r="C227" s="444"/>
      <c r="D227" s="445"/>
      <c r="E227" s="284"/>
      <c r="F227" s="268"/>
      <c r="G227" s="444"/>
      <c r="H227" s="445"/>
      <c r="I227" s="284"/>
      <c r="J227" s="268"/>
      <c r="K227" s="444" t="s">
        <v>304</v>
      </c>
      <c r="L227" s="445"/>
      <c r="M227" s="284">
        <v>3868145.0</v>
      </c>
      <c r="N227" s="268"/>
      <c r="O227" s="285" t="s">
        <v>304</v>
      </c>
      <c r="P227" s="446"/>
      <c r="Q227" s="284">
        <v>8331820.0</v>
      </c>
      <c r="R227" s="268"/>
      <c r="S227" s="285" t="s">
        <v>304</v>
      </c>
      <c r="T227" s="447"/>
      <c r="U227" s="284">
        <v>5389599.0</v>
      </c>
      <c r="V227" s="268"/>
      <c r="W227" s="285" t="s">
        <v>304</v>
      </c>
      <c r="X227" s="447"/>
      <c r="Y227" s="284">
        <v>4007186.0</v>
      </c>
      <c r="Z227" s="268"/>
      <c r="AA227" s="285" t="s">
        <v>304</v>
      </c>
      <c r="AB227" s="448"/>
      <c r="AC227" s="287">
        <v>2891586.0</v>
      </c>
      <c r="AD227" s="288"/>
      <c r="AE227" s="356"/>
      <c r="AF227" s="356"/>
      <c r="AG227" s="356"/>
      <c r="AH227" s="356"/>
      <c r="AI227" s="356"/>
      <c r="AJ227" s="382"/>
      <c r="AK227" s="452"/>
      <c r="AL227" s="259">
        <f>MATCH(B227,'Key Findings'!B:B,0)</f>
        <v>37</v>
      </c>
      <c r="AM227" s="260" t="b">
        <f t="shared" si="1"/>
        <v>1</v>
      </c>
      <c r="AN227" s="294"/>
    </row>
    <row r="228">
      <c r="A228" s="169">
        <f t="array" ref="A228">INDEX('Federal Tax, Stock Buybacks, &amp; '!D:D,match(B228,'Federal Tax, Stock Buybacks, &amp; '!E:E,0))</f>
        <v>203</v>
      </c>
      <c r="B228" s="135" t="s">
        <v>69</v>
      </c>
      <c r="C228" s="444"/>
      <c r="D228" s="445"/>
      <c r="E228" s="284"/>
      <c r="F228" s="268"/>
      <c r="G228" s="444"/>
      <c r="H228" s="445"/>
      <c r="I228" s="284"/>
      <c r="J228" s="268"/>
      <c r="K228" s="444" t="s">
        <v>303</v>
      </c>
      <c r="L228" s="445"/>
      <c r="M228" s="284">
        <v>4941682.0</v>
      </c>
      <c r="N228" s="268"/>
      <c r="O228" s="285" t="s">
        <v>303</v>
      </c>
      <c r="P228" s="446"/>
      <c r="Q228" s="284">
        <v>6869686.0</v>
      </c>
      <c r="R228" s="268"/>
      <c r="S228" s="285" t="s">
        <v>303</v>
      </c>
      <c r="T228" s="447"/>
      <c r="U228" s="284">
        <v>6178417.0</v>
      </c>
      <c r="V228" s="268"/>
      <c r="W228" s="285" t="s">
        <v>303</v>
      </c>
      <c r="X228" s="447"/>
      <c r="Y228" s="284">
        <v>4796558.0</v>
      </c>
      <c r="Z228" s="268"/>
      <c r="AA228" s="285" t="s">
        <v>303</v>
      </c>
      <c r="AB228" s="448"/>
      <c r="AC228" s="287">
        <v>2770079.0</v>
      </c>
      <c r="AD228" s="288"/>
      <c r="AE228" s="356"/>
      <c r="AF228" s="356"/>
      <c r="AG228" s="356"/>
      <c r="AH228" s="356"/>
      <c r="AI228" s="356"/>
      <c r="AJ228" s="382"/>
      <c r="AK228" s="452"/>
      <c r="AL228" s="259">
        <f>MATCH(B228,'Key Findings'!B:B,0)</f>
        <v>37</v>
      </c>
      <c r="AM228" s="260" t="b">
        <f t="shared" si="1"/>
        <v>1</v>
      </c>
      <c r="AN228" s="294"/>
    </row>
    <row r="229">
      <c r="A229" s="169">
        <f t="array" ref="A229">INDEX('Federal Tax, Stock Buybacks, &amp; '!D:D,match(B229,'Federal Tax, Stock Buybacks, &amp; '!E:E,0))</f>
        <v>203</v>
      </c>
      <c r="B229" s="135" t="s">
        <v>69</v>
      </c>
      <c r="C229" s="444"/>
      <c r="D229" s="445"/>
      <c r="E229" s="284"/>
      <c r="F229" s="268"/>
      <c r="G229" s="444"/>
      <c r="H229" s="445"/>
      <c r="I229" s="284"/>
      <c r="J229" s="268"/>
      <c r="K229" s="444" t="s">
        <v>322</v>
      </c>
      <c r="L229" s="445"/>
      <c r="M229" s="284">
        <v>2167472.0</v>
      </c>
      <c r="N229" s="268"/>
      <c r="O229" s="285" t="s">
        <v>322</v>
      </c>
      <c r="P229" s="446"/>
      <c r="Q229" s="284">
        <v>3860294.0</v>
      </c>
      <c r="R229" s="268"/>
      <c r="S229" s="285" t="s">
        <v>322</v>
      </c>
      <c r="T229" s="447"/>
      <c r="U229" s="284">
        <v>2926318.0</v>
      </c>
      <c r="V229" s="268"/>
      <c r="W229" s="285" t="s">
        <v>322</v>
      </c>
      <c r="X229" s="447"/>
      <c r="Y229" s="284">
        <v>2708026.0</v>
      </c>
      <c r="Z229" s="268"/>
      <c r="AA229" s="285" t="s">
        <v>339</v>
      </c>
      <c r="AB229" s="448"/>
      <c r="AC229" s="287">
        <v>8766632.0</v>
      </c>
      <c r="AD229" s="288"/>
      <c r="AE229" s="356"/>
      <c r="AF229" s="356"/>
      <c r="AG229" s="356"/>
      <c r="AH229" s="356"/>
      <c r="AI229" s="356"/>
      <c r="AJ229" s="382"/>
      <c r="AK229" s="452"/>
      <c r="AL229" s="259">
        <f>MATCH(B229,'Key Findings'!B:B,0)</f>
        <v>37</v>
      </c>
      <c r="AM229" s="260" t="b">
        <f t="shared" si="1"/>
        <v>1</v>
      </c>
      <c r="AN229" s="294"/>
    </row>
    <row r="230">
      <c r="A230" s="169">
        <f t="array" ref="A230">INDEX('Federal Tax, Stock Buybacks, &amp; '!D:D,match(B230,'Federal Tax, Stock Buybacks, &amp; '!E:E,0))</f>
        <v>203</v>
      </c>
      <c r="B230" s="135" t="s">
        <v>69</v>
      </c>
      <c r="C230" s="444"/>
      <c r="D230" s="445"/>
      <c r="E230" s="284"/>
      <c r="F230" s="268"/>
      <c r="G230" s="444"/>
      <c r="H230" s="445"/>
      <c r="I230" s="284"/>
      <c r="J230" s="268"/>
      <c r="K230" s="444" t="s">
        <v>313</v>
      </c>
      <c r="L230" s="445"/>
      <c r="M230" s="284">
        <v>2075668.0</v>
      </c>
      <c r="N230" s="268"/>
      <c r="O230" s="285" t="s">
        <v>313</v>
      </c>
      <c r="P230" s="446"/>
      <c r="Q230" s="284">
        <v>3106567.0</v>
      </c>
      <c r="R230" s="268"/>
      <c r="S230" s="285" t="s">
        <v>313</v>
      </c>
      <c r="T230" s="447"/>
      <c r="U230" s="284">
        <v>2609154.0</v>
      </c>
      <c r="V230" s="268"/>
      <c r="W230" s="285" t="s">
        <v>313</v>
      </c>
      <c r="X230" s="447"/>
      <c r="Y230" s="284">
        <v>4854765.0</v>
      </c>
      <c r="Z230" s="268"/>
      <c r="AA230" s="285" t="s">
        <v>313</v>
      </c>
      <c r="AB230" s="448"/>
      <c r="AC230" s="287">
        <v>2026599.0</v>
      </c>
      <c r="AD230" s="288"/>
      <c r="AE230" s="356"/>
      <c r="AF230" s="356"/>
      <c r="AG230" s="356"/>
      <c r="AH230" s="356"/>
      <c r="AI230" s="356"/>
      <c r="AJ230" s="382"/>
      <c r="AK230" s="452"/>
      <c r="AL230" s="259">
        <f>MATCH(B230,'Key Findings'!B:B,0)</f>
        <v>37</v>
      </c>
      <c r="AM230" s="260" t="b">
        <f t="shared" si="1"/>
        <v>1</v>
      </c>
      <c r="AN230" s="291" t="s">
        <v>1822</v>
      </c>
    </row>
    <row r="231">
      <c r="A231" s="169">
        <f t="array" ref="A231">INDEX('Federal Tax, Stock Buybacks, &amp; '!D:D,match(B231,'Federal Tax, Stock Buybacks, &amp; '!E:E,0))</f>
        <v>203</v>
      </c>
      <c r="B231" s="135" t="s">
        <v>69</v>
      </c>
      <c r="C231" s="390"/>
      <c r="D231" s="446"/>
      <c r="E231" s="297"/>
      <c r="F231" s="268"/>
      <c r="G231" s="390"/>
      <c r="H231" s="446"/>
      <c r="I231" s="297"/>
      <c r="J231" s="268"/>
      <c r="K231" s="390" t="s">
        <v>711</v>
      </c>
      <c r="L231" s="446" t="s">
        <v>711</v>
      </c>
      <c r="M231" s="297" t="s">
        <v>711</v>
      </c>
      <c r="N231" s="268"/>
      <c r="O231" s="390" t="s">
        <v>711</v>
      </c>
      <c r="P231" s="446" t="s">
        <v>711</v>
      </c>
      <c r="Q231" s="297" t="s">
        <v>711</v>
      </c>
      <c r="R231" s="268"/>
      <c r="S231" s="285" t="s">
        <v>393</v>
      </c>
      <c r="T231" s="447"/>
      <c r="U231" s="284">
        <v>4469774.0</v>
      </c>
      <c r="V231" s="268"/>
      <c r="W231" s="390" t="s">
        <v>711</v>
      </c>
      <c r="X231" s="446" t="s">
        <v>711</v>
      </c>
      <c r="Y231" s="297" t="s">
        <v>711</v>
      </c>
      <c r="Z231" s="268"/>
      <c r="AA231" s="390" t="s">
        <v>711</v>
      </c>
      <c r="AB231" s="446" t="s">
        <v>711</v>
      </c>
      <c r="AC231" s="297" t="s">
        <v>711</v>
      </c>
      <c r="AD231" s="288"/>
      <c r="AE231" s="356"/>
      <c r="AF231" s="356"/>
      <c r="AG231" s="356"/>
      <c r="AH231" s="356"/>
      <c r="AI231" s="356"/>
      <c r="AJ231" s="382"/>
      <c r="AK231" s="452"/>
      <c r="AL231" s="259">
        <f>MATCH(B231,'Key Findings'!B:B,0)</f>
        <v>37</v>
      </c>
      <c r="AM231" s="260" t="b">
        <f t="shared" si="1"/>
        <v>1</v>
      </c>
      <c r="AN231" s="294"/>
    </row>
    <row r="232">
      <c r="A232" s="169">
        <f t="array" ref="A232">INDEX('Federal Tax, Stock Buybacks, &amp; '!D:D,match(B232,'Federal Tax, Stock Buybacks, &amp; '!E:E,0))</f>
        <v>205</v>
      </c>
      <c r="B232" s="300" t="s">
        <v>20</v>
      </c>
      <c r="C232" s="362"/>
      <c r="D232" s="363"/>
      <c r="E232" s="342"/>
      <c r="F232" s="268"/>
      <c r="G232" s="362"/>
      <c r="H232" s="363"/>
      <c r="I232" s="342"/>
      <c r="J232" s="268"/>
      <c r="K232" s="362" t="s">
        <v>207</v>
      </c>
      <c r="L232" s="363" t="s">
        <v>1823</v>
      </c>
      <c r="M232" s="342">
        <v>1.6375508E7</v>
      </c>
      <c r="N232" s="268"/>
      <c r="O232" s="364" t="s">
        <v>207</v>
      </c>
      <c r="P232" s="365" t="s">
        <v>1823</v>
      </c>
      <c r="Q232" s="342">
        <v>1.5051215E7</v>
      </c>
      <c r="R232" s="268"/>
      <c r="S232" s="364" t="s">
        <v>207</v>
      </c>
      <c r="T232" s="365" t="s">
        <v>1823</v>
      </c>
      <c r="U232" s="342">
        <v>1.5503434E7</v>
      </c>
      <c r="V232" s="268"/>
      <c r="W232" s="364" t="s">
        <v>207</v>
      </c>
      <c r="X232" s="365" t="s">
        <v>1823</v>
      </c>
      <c r="Y232" s="342">
        <v>1.4492436E7</v>
      </c>
      <c r="Z232" s="268"/>
      <c r="AA232" s="364" t="s">
        <v>207</v>
      </c>
      <c r="AB232" s="365" t="s">
        <v>1823</v>
      </c>
      <c r="AC232" s="305">
        <v>1.2202028E7</v>
      </c>
      <c r="AD232" s="306"/>
      <c r="AE232" s="307">
        <v>2022.0</v>
      </c>
      <c r="AF232" s="307">
        <v>2021.0</v>
      </c>
      <c r="AG232" s="307">
        <v>2020.0</v>
      </c>
      <c r="AH232" s="307">
        <v>2019.0</v>
      </c>
      <c r="AI232" s="307">
        <v>2018.0</v>
      </c>
      <c r="AJ232" s="367" t="s">
        <v>1524</v>
      </c>
      <c r="AK232" s="274"/>
      <c r="AL232" s="275">
        <f>MATCH(B232,'Key Findings'!B:B,0)</f>
        <v>38</v>
      </c>
      <c r="AM232" s="274" t="b">
        <f t="shared" si="1"/>
        <v>0</v>
      </c>
      <c r="AN232" s="294"/>
    </row>
    <row r="233">
      <c r="A233" s="169">
        <f t="array" ref="A233">INDEX('Federal Tax, Stock Buybacks, &amp; '!D:D,match(B233,'Federal Tax, Stock Buybacks, &amp; '!E:E,0))</f>
        <v>205</v>
      </c>
      <c r="B233" s="300" t="s">
        <v>20</v>
      </c>
      <c r="C233" s="362"/>
      <c r="D233" s="363"/>
      <c r="E233" s="342"/>
      <c r="F233" s="268"/>
      <c r="G233" s="362"/>
      <c r="H233" s="363"/>
      <c r="I233" s="342"/>
      <c r="J233" s="268"/>
      <c r="K233" s="362" t="s">
        <v>228</v>
      </c>
      <c r="L233" s="363" t="s">
        <v>1545</v>
      </c>
      <c r="M233" s="342">
        <v>3205873.0</v>
      </c>
      <c r="N233" s="268"/>
      <c r="O233" s="364" t="s">
        <v>228</v>
      </c>
      <c r="P233" s="365" t="s">
        <v>1545</v>
      </c>
      <c r="Q233" s="342">
        <v>3105946.0</v>
      </c>
      <c r="R233" s="268"/>
      <c r="S233" s="364" t="s">
        <v>228</v>
      </c>
      <c r="T233" s="365" t="s">
        <v>1545</v>
      </c>
      <c r="U233" s="342">
        <v>3376008.0</v>
      </c>
      <c r="V233" s="268"/>
      <c r="W233" s="364" t="s">
        <v>228</v>
      </c>
      <c r="X233" s="365" t="s">
        <v>1545</v>
      </c>
      <c r="Y233" s="342">
        <v>3235304.0</v>
      </c>
      <c r="Z233" s="268"/>
      <c r="AA233" s="364" t="s">
        <v>228</v>
      </c>
      <c r="AB233" s="365" t="s">
        <v>1545</v>
      </c>
      <c r="AC233" s="305">
        <v>2741404.0</v>
      </c>
      <c r="AD233" s="306"/>
      <c r="AE233" s="308"/>
      <c r="AF233" s="308"/>
      <c r="AG233" s="308"/>
      <c r="AH233" s="308"/>
      <c r="AI233" s="308"/>
      <c r="AJ233" s="368"/>
      <c r="AK233" s="274"/>
      <c r="AL233" s="275">
        <f>MATCH(B233,'Key Findings'!B:B,0)</f>
        <v>38</v>
      </c>
      <c r="AM233" s="274" t="b">
        <f t="shared" si="1"/>
        <v>0</v>
      </c>
      <c r="AN233" s="294"/>
    </row>
    <row r="234">
      <c r="A234" s="169">
        <f t="array" ref="A234">INDEX('Federal Tax, Stock Buybacks, &amp; '!D:D,match(B234,'Federal Tax, Stock Buybacks, &amp; '!E:E,0))</f>
        <v>205</v>
      </c>
      <c r="B234" s="300" t="s">
        <v>20</v>
      </c>
      <c r="C234" s="362"/>
      <c r="D234" s="363"/>
      <c r="E234" s="342"/>
      <c r="F234" s="268"/>
      <c r="G234" s="362"/>
      <c r="H234" s="363"/>
      <c r="I234" s="342"/>
      <c r="J234" s="268"/>
      <c r="K234" s="362" t="s">
        <v>480</v>
      </c>
      <c r="L234" s="363" t="s">
        <v>1824</v>
      </c>
      <c r="M234" s="342">
        <v>2773018.0</v>
      </c>
      <c r="N234" s="268"/>
      <c r="O234" s="364" t="s">
        <v>480</v>
      </c>
      <c r="P234" s="365" t="s">
        <v>1824</v>
      </c>
      <c r="Q234" s="342">
        <v>2657226.0</v>
      </c>
      <c r="R234" s="268"/>
      <c r="S234" s="364" t="s">
        <v>480</v>
      </c>
      <c r="T234" s="365" t="s">
        <v>1824</v>
      </c>
      <c r="U234" s="342">
        <v>2943135.0</v>
      </c>
      <c r="V234" s="268"/>
      <c r="W234" s="364" t="s">
        <v>480</v>
      </c>
      <c r="X234" s="365" t="s">
        <v>1824</v>
      </c>
      <c r="Y234" s="342">
        <v>2859188.0</v>
      </c>
      <c r="Z234" s="268"/>
      <c r="AA234" s="364" t="s">
        <v>584</v>
      </c>
      <c r="AB234" s="369" t="s">
        <v>1825</v>
      </c>
      <c r="AC234" s="453">
        <v>2275399.0</v>
      </c>
      <c r="AD234" s="306"/>
      <c r="AE234" s="308"/>
      <c r="AF234" s="308"/>
      <c r="AG234" s="308"/>
      <c r="AH234" s="308"/>
      <c r="AI234" s="308"/>
      <c r="AJ234" s="368"/>
      <c r="AK234" s="274"/>
      <c r="AL234" s="275">
        <f>MATCH(B234,'Key Findings'!B:B,0)</f>
        <v>38</v>
      </c>
      <c r="AM234" s="274" t="b">
        <f t="shared" si="1"/>
        <v>0</v>
      </c>
      <c r="AN234" s="294"/>
    </row>
    <row r="235">
      <c r="A235" s="169">
        <f t="array" ref="A235">INDEX('Federal Tax, Stock Buybacks, &amp; '!D:D,match(B235,'Federal Tax, Stock Buybacks, &amp; '!E:E,0))</f>
        <v>205</v>
      </c>
      <c r="B235" s="300" t="s">
        <v>20</v>
      </c>
      <c r="C235" s="362"/>
      <c r="D235" s="363"/>
      <c r="E235" s="342"/>
      <c r="F235" s="268"/>
      <c r="G235" s="362"/>
      <c r="H235" s="363"/>
      <c r="I235" s="342"/>
      <c r="J235" s="268"/>
      <c r="K235" s="362" t="s">
        <v>193</v>
      </c>
      <c r="L235" s="363" t="s">
        <v>1826</v>
      </c>
      <c r="M235" s="342">
        <v>3453520.0</v>
      </c>
      <c r="N235" s="268"/>
      <c r="O235" s="364" t="s">
        <v>193</v>
      </c>
      <c r="P235" s="365" t="s">
        <v>1827</v>
      </c>
      <c r="Q235" s="342">
        <v>4389497.0</v>
      </c>
      <c r="R235" s="268"/>
      <c r="S235" s="364" t="s">
        <v>193</v>
      </c>
      <c r="T235" s="365" t="s">
        <v>1827</v>
      </c>
      <c r="U235" s="342">
        <v>3429985.0</v>
      </c>
      <c r="V235" s="268"/>
      <c r="W235" s="364" t="s">
        <v>193</v>
      </c>
      <c r="X235" s="365" t="s">
        <v>1827</v>
      </c>
      <c r="Y235" s="342">
        <v>4893636.0</v>
      </c>
      <c r="Z235" s="268"/>
      <c r="AA235" s="364" t="s">
        <v>193</v>
      </c>
      <c r="AB235" s="365" t="s">
        <v>1827</v>
      </c>
      <c r="AC235" s="305">
        <v>2409768.0</v>
      </c>
      <c r="AD235" s="306"/>
      <c r="AE235" s="308"/>
      <c r="AF235" s="308"/>
      <c r="AG235" s="308"/>
      <c r="AH235" s="308"/>
      <c r="AI235" s="308"/>
      <c r="AJ235" s="368"/>
      <c r="AK235" s="274"/>
      <c r="AL235" s="275">
        <f>MATCH(B235,'Key Findings'!B:B,0)</f>
        <v>38</v>
      </c>
      <c r="AM235" s="274" t="b">
        <f t="shared" si="1"/>
        <v>0</v>
      </c>
      <c r="AN235" s="294"/>
    </row>
    <row r="236">
      <c r="A236" s="169">
        <f t="array" ref="A236">INDEX('Federal Tax, Stock Buybacks, &amp; '!D:D,match(B236,'Federal Tax, Stock Buybacks, &amp; '!E:E,0))</f>
        <v>205</v>
      </c>
      <c r="B236" s="300" t="s">
        <v>20</v>
      </c>
      <c r="C236" s="362"/>
      <c r="D236" s="363"/>
      <c r="E236" s="342"/>
      <c r="F236" s="268"/>
      <c r="G236" s="362"/>
      <c r="H236" s="363"/>
      <c r="I236" s="342"/>
      <c r="J236" s="268"/>
      <c r="K236" s="362" t="s">
        <v>522</v>
      </c>
      <c r="L236" s="363" t="s">
        <v>1585</v>
      </c>
      <c r="M236" s="342">
        <v>5815963.0</v>
      </c>
      <c r="N236" s="268"/>
      <c r="O236" s="364" t="s">
        <v>522</v>
      </c>
      <c r="P236" s="365" t="s">
        <v>1585</v>
      </c>
      <c r="Q236" s="342">
        <v>3003111.0</v>
      </c>
      <c r="R236" s="268"/>
      <c r="S236" s="364" t="s">
        <v>417</v>
      </c>
      <c r="T236" s="401" t="s">
        <v>1828</v>
      </c>
      <c r="U236" s="342">
        <v>4566727.0</v>
      </c>
      <c r="V236" s="268"/>
      <c r="W236" s="364" t="s">
        <v>417</v>
      </c>
      <c r="X236" s="401" t="s">
        <v>1828</v>
      </c>
      <c r="Y236" s="342">
        <v>6511418.0</v>
      </c>
      <c r="Z236" s="268"/>
      <c r="AA236" s="364" t="s">
        <v>417</v>
      </c>
      <c r="AB236" s="401" t="s">
        <v>1828</v>
      </c>
      <c r="AC236" s="305">
        <v>3667290.0</v>
      </c>
      <c r="AD236" s="306"/>
      <c r="AE236" s="308"/>
      <c r="AF236" s="308"/>
      <c r="AG236" s="308"/>
      <c r="AH236" s="308"/>
      <c r="AI236" s="308"/>
      <c r="AJ236" s="368"/>
      <c r="AK236" s="274"/>
      <c r="AL236" s="275">
        <f>MATCH(B236,'Key Findings'!B:B,0)</f>
        <v>38</v>
      </c>
      <c r="AM236" s="274" t="b">
        <f t="shared" si="1"/>
        <v>0</v>
      </c>
      <c r="AN236" s="294"/>
    </row>
    <row r="237">
      <c r="A237" s="169">
        <f t="array" ref="A237">INDEX('Federal Tax, Stock Buybacks, &amp; '!D:D,match(B237,'Federal Tax, Stock Buybacks, &amp; '!E:E,0))</f>
        <v>205</v>
      </c>
      <c r="B237" s="300" t="s">
        <v>20</v>
      </c>
      <c r="C237" s="362"/>
      <c r="D237" s="363"/>
      <c r="E237" s="342"/>
      <c r="F237" s="268"/>
      <c r="G237" s="362"/>
      <c r="H237" s="363"/>
      <c r="I237" s="342"/>
      <c r="J237" s="268"/>
      <c r="K237" s="362" t="s">
        <v>677</v>
      </c>
      <c r="L237" s="363" t="s">
        <v>1585</v>
      </c>
      <c r="M237" s="342">
        <v>520768.0</v>
      </c>
      <c r="N237" s="268"/>
      <c r="O237" s="364" t="s">
        <v>417</v>
      </c>
      <c r="P237" s="401" t="s">
        <v>1829</v>
      </c>
      <c r="Q237" s="342">
        <v>3818454.0</v>
      </c>
      <c r="R237" s="268"/>
      <c r="S237" s="370" t="s">
        <v>711</v>
      </c>
      <c r="T237" s="370" t="s">
        <v>711</v>
      </c>
      <c r="U237" s="371" t="s">
        <v>711</v>
      </c>
      <c r="V237" s="268"/>
      <c r="W237" s="364" t="s">
        <v>584</v>
      </c>
      <c r="X237" s="369" t="s">
        <v>1825</v>
      </c>
      <c r="Y237" s="342">
        <v>2847059.0</v>
      </c>
      <c r="Z237" s="268"/>
      <c r="AA237" s="370" t="s">
        <v>711</v>
      </c>
      <c r="AB237" s="370" t="s">
        <v>711</v>
      </c>
      <c r="AC237" s="371" t="s">
        <v>711</v>
      </c>
      <c r="AD237" s="306"/>
      <c r="AE237" s="308"/>
      <c r="AF237" s="308"/>
      <c r="AG237" s="308"/>
      <c r="AH237" s="308"/>
      <c r="AI237" s="308"/>
      <c r="AJ237" s="368"/>
      <c r="AK237" s="274"/>
      <c r="AL237" s="275">
        <f>MATCH(B237,'Key Findings'!B:B,0)</f>
        <v>38</v>
      </c>
      <c r="AM237" s="274" t="b">
        <f t="shared" si="1"/>
        <v>0</v>
      </c>
      <c r="AN237" s="294"/>
    </row>
    <row r="238">
      <c r="A238" s="169">
        <f t="array" ref="A238">INDEX('Federal Tax, Stock Buybacks, &amp; '!D:D,match(B238,'Federal Tax, Stock Buybacks, &amp; '!E:E,0))</f>
        <v>205</v>
      </c>
      <c r="B238" s="300" t="s">
        <v>20</v>
      </c>
      <c r="C238" s="362"/>
      <c r="D238" s="363"/>
      <c r="E238" s="342"/>
      <c r="F238" s="268"/>
      <c r="G238" s="362"/>
      <c r="H238" s="363"/>
      <c r="I238" s="342"/>
      <c r="J238" s="268"/>
      <c r="K238" s="362" t="s">
        <v>582</v>
      </c>
      <c r="L238" s="363" t="s">
        <v>1830</v>
      </c>
      <c r="M238" s="342">
        <v>2644918.0</v>
      </c>
      <c r="N238" s="268"/>
      <c r="O238" s="364" t="s">
        <v>582</v>
      </c>
      <c r="P238" s="365" t="s">
        <v>1830</v>
      </c>
      <c r="Q238" s="342">
        <v>2580613.0</v>
      </c>
      <c r="R238" s="268"/>
      <c r="S238" s="370" t="s">
        <v>711</v>
      </c>
      <c r="T238" s="370" t="s">
        <v>711</v>
      </c>
      <c r="U238" s="371" t="s">
        <v>711</v>
      </c>
      <c r="V238" s="268"/>
      <c r="W238" s="370" t="s">
        <v>711</v>
      </c>
      <c r="X238" s="370" t="s">
        <v>711</v>
      </c>
      <c r="Y238" s="371" t="s">
        <v>711</v>
      </c>
      <c r="Z238" s="268"/>
      <c r="AA238" s="370" t="s">
        <v>711</v>
      </c>
      <c r="AB238" s="370" t="s">
        <v>711</v>
      </c>
      <c r="AC238" s="371" t="s">
        <v>711</v>
      </c>
      <c r="AD238" s="306"/>
      <c r="AE238" s="308"/>
      <c r="AF238" s="308"/>
      <c r="AG238" s="308"/>
      <c r="AH238" s="308"/>
      <c r="AI238" s="308"/>
      <c r="AJ238" s="368"/>
      <c r="AK238" s="274"/>
      <c r="AL238" s="275">
        <f>MATCH(B238,'Key Findings'!B:B,0)</f>
        <v>38</v>
      </c>
      <c r="AM238" s="274" t="b">
        <f t="shared" si="1"/>
        <v>0</v>
      </c>
      <c r="AN238" s="291" t="s">
        <v>1831</v>
      </c>
    </row>
    <row r="239">
      <c r="A239" s="169">
        <f t="array" ref="A239">INDEX('Federal Tax, Stock Buybacks, &amp; '!D:D,match(B239,'Federal Tax, Stock Buybacks, &amp; '!E:E,0))</f>
        <v>242</v>
      </c>
      <c r="B239" s="281" t="s">
        <v>22</v>
      </c>
      <c r="C239" s="316"/>
      <c r="D239" s="282"/>
      <c r="E239" s="284"/>
      <c r="F239" s="268"/>
      <c r="G239" s="316"/>
      <c r="H239" s="282"/>
      <c r="I239" s="284"/>
      <c r="J239" s="268"/>
      <c r="K239" s="316" t="s">
        <v>263</v>
      </c>
      <c r="L239" s="282" t="s">
        <v>1832</v>
      </c>
      <c r="M239" s="284">
        <v>3023465.0</v>
      </c>
      <c r="N239" s="268"/>
      <c r="O239" s="285" t="s">
        <v>263</v>
      </c>
      <c r="P239" s="285" t="s">
        <v>1832</v>
      </c>
      <c r="Q239" s="284">
        <v>4575773.0</v>
      </c>
      <c r="R239" s="268"/>
      <c r="S239" s="285" t="s">
        <v>263</v>
      </c>
      <c r="T239" s="285" t="s">
        <v>1832</v>
      </c>
      <c r="U239" s="284">
        <v>8167332.0</v>
      </c>
      <c r="V239" s="268"/>
      <c r="W239" s="285" t="s">
        <v>263</v>
      </c>
      <c r="X239" s="285" t="s">
        <v>1832</v>
      </c>
      <c r="Y239" s="284">
        <v>4642173.0</v>
      </c>
      <c r="Z239" s="268"/>
      <c r="AA239" s="285" t="s">
        <v>263</v>
      </c>
      <c r="AB239" s="285" t="s">
        <v>1832</v>
      </c>
      <c r="AC239" s="287">
        <v>3122239.0</v>
      </c>
      <c r="AD239" s="288"/>
      <c r="AE239" s="289">
        <v>2022.0</v>
      </c>
      <c r="AF239" s="289">
        <v>2021.0</v>
      </c>
      <c r="AG239" s="289">
        <v>2020.0</v>
      </c>
      <c r="AH239" s="289">
        <v>2019.0</v>
      </c>
      <c r="AI239" s="289">
        <v>2018.0</v>
      </c>
      <c r="AJ239" s="290" t="s">
        <v>1524</v>
      </c>
      <c r="AK239" s="260"/>
      <c r="AL239" s="259">
        <f>MATCH(B239,'Key Findings'!B:B,0)</f>
        <v>39</v>
      </c>
      <c r="AM239" s="260" t="b">
        <f t="shared" si="1"/>
        <v>1</v>
      </c>
      <c r="AN239" s="291" t="s">
        <v>1534</v>
      </c>
    </row>
    <row r="240">
      <c r="A240" s="169">
        <f t="array" ref="A240">INDEX('Federal Tax, Stock Buybacks, &amp; '!D:D,match(B240,'Federal Tax, Stock Buybacks, &amp; '!E:E,0))</f>
        <v>242</v>
      </c>
      <c r="B240" s="281" t="s">
        <v>22</v>
      </c>
      <c r="C240" s="316"/>
      <c r="D240" s="282"/>
      <c r="E240" s="284"/>
      <c r="F240" s="268"/>
      <c r="G240" s="316"/>
      <c r="H240" s="282"/>
      <c r="I240" s="284"/>
      <c r="J240" s="268"/>
      <c r="K240" s="316" t="s">
        <v>159</v>
      </c>
      <c r="L240" s="282" t="s">
        <v>1833</v>
      </c>
      <c r="M240" s="284">
        <v>6794985.0</v>
      </c>
      <c r="N240" s="268"/>
      <c r="O240" s="285" t="s">
        <v>159</v>
      </c>
      <c r="P240" s="285" t="s">
        <v>1833</v>
      </c>
      <c r="Q240" s="284">
        <v>8161083.0</v>
      </c>
      <c r="R240" s="268"/>
      <c r="S240" s="285" t="s">
        <v>159</v>
      </c>
      <c r="T240" s="285" t="s">
        <v>1833</v>
      </c>
      <c r="U240" s="284">
        <v>7912643.0</v>
      </c>
      <c r="V240" s="268"/>
      <c r="W240" s="285" t="s">
        <v>159</v>
      </c>
      <c r="X240" s="285" t="s">
        <v>1833</v>
      </c>
      <c r="Y240" s="284">
        <v>4293209.0</v>
      </c>
      <c r="Z240" s="268"/>
      <c r="AA240" s="285" t="s">
        <v>159</v>
      </c>
      <c r="AB240" s="285" t="s">
        <v>1833</v>
      </c>
      <c r="AC240" s="287">
        <v>2934203.0</v>
      </c>
      <c r="AD240" s="288"/>
      <c r="AE240" s="292"/>
      <c r="AF240" s="292"/>
      <c r="AG240" s="292"/>
      <c r="AH240" s="292"/>
      <c r="AI240" s="292"/>
      <c r="AJ240" s="293"/>
      <c r="AK240" s="260"/>
      <c r="AL240" s="259">
        <f>MATCH(B240,'Key Findings'!B:B,0)</f>
        <v>39</v>
      </c>
      <c r="AM240" s="260" t="b">
        <f t="shared" si="1"/>
        <v>1</v>
      </c>
      <c r="AN240" s="294"/>
    </row>
    <row r="241">
      <c r="A241" s="169">
        <f t="array" ref="A241">INDEX('Federal Tax, Stock Buybacks, &amp; '!D:D,match(B241,'Federal Tax, Stock Buybacks, &amp; '!E:E,0))</f>
        <v>242</v>
      </c>
      <c r="B241" s="281" t="s">
        <v>22</v>
      </c>
      <c r="C241" s="316"/>
      <c r="D241" s="282"/>
      <c r="E241" s="284"/>
      <c r="F241" s="268"/>
      <c r="G241" s="316"/>
      <c r="H241" s="282"/>
      <c r="I241" s="284"/>
      <c r="J241" s="268"/>
      <c r="K241" s="316" t="s">
        <v>233</v>
      </c>
      <c r="L241" s="282" t="s">
        <v>1686</v>
      </c>
      <c r="M241" s="284">
        <v>1488300.0</v>
      </c>
      <c r="N241" s="268"/>
      <c r="O241" s="285" t="s">
        <v>233</v>
      </c>
      <c r="P241" s="285" t="s">
        <v>1686</v>
      </c>
      <c r="Q241" s="284">
        <v>2839907.0</v>
      </c>
      <c r="R241" s="268"/>
      <c r="S241" s="285" t="s">
        <v>233</v>
      </c>
      <c r="T241" s="285" t="s">
        <v>1686</v>
      </c>
      <c r="U241" s="284">
        <v>2457568.0</v>
      </c>
      <c r="V241" s="268"/>
      <c r="W241" s="285" t="s">
        <v>233</v>
      </c>
      <c r="X241" s="285" t="s">
        <v>1686</v>
      </c>
      <c r="Y241" s="284">
        <v>1907433.0</v>
      </c>
      <c r="Z241" s="268"/>
      <c r="AA241" s="285" t="s">
        <v>233</v>
      </c>
      <c r="AB241" s="285" t="s">
        <v>1686</v>
      </c>
      <c r="AC241" s="287">
        <v>1287350.0</v>
      </c>
      <c r="AD241" s="288"/>
      <c r="AE241" s="292"/>
      <c r="AF241" s="292"/>
      <c r="AG241" s="292"/>
      <c r="AH241" s="292"/>
      <c r="AI241" s="292"/>
      <c r="AJ241" s="293"/>
      <c r="AK241" s="260"/>
      <c r="AL241" s="259">
        <f>MATCH(B241,'Key Findings'!B:B,0)</f>
        <v>39</v>
      </c>
      <c r="AM241" s="260" t="b">
        <f t="shared" si="1"/>
        <v>1</v>
      </c>
      <c r="AN241" s="294"/>
    </row>
    <row r="242">
      <c r="A242" s="169">
        <f t="array" ref="A242">INDEX('Federal Tax, Stock Buybacks, &amp; '!D:D,match(B242,'Federal Tax, Stock Buybacks, &amp; '!E:E,0))</f>
        <v>242</v>
      </c>
      <c r="B242" s="281" t="s">
        <v>22</v>
      </c>
      <c r="C242" s="316"/>
      <c r="D242" s="316"/>
      <c r="E242" s="284"/>
      <c r="F242" s="268"/>
      <c r="G242" s="316"/>
      <c r="H242" s="316"/>
      <c r="I242" s="284"/>
      <c r="J242" s="268"/>
      <c r="K242" s="316" t="s">
        <v>525</v>
      </c>
      <c r="L242" s="316" t="s">
        <v>1834</v>
      </c>
      <c r="M242" s="284">
        <v>2459847.0</v>
      </c>
      <c r="N242" s="268"/>
      <c r="O242" s="285" t="s">
        <v>525</v>
      </c>
      <c r="P242" s="285" t="s">
        <v>1834</v>
      </c>
      <c r="Q242" s="284">
        <v>2881057.0</v>
      </c>
      <c r="R242" s="268"/>
      <c r="S242" s="285" t="s">
        <v>525</v>
      </c>
      <c r="T242" s="285" t="s">
        <v>1834</v>
      </c>
      <c r="U242" s="284">
        <v>3263614.0</v>
      </c>
      <c r="V242" s="268"/>
      <c r="W242" s="285" t="s">
        <v>524</v>
      </c>
      <c r="X242" s="285" t="s">
        <v>1835</v>
      </c>
      <c r="Y242" s="284">
        <v>4958329.0</v>
      </c>
      <c r="Z242" s="268"/>
      <c r="AA242" s="285" t="s">
        <v>524</v>
      </c>
      <c r="AB242" s="285" t="s">
        <v>1835</v>
      </c>
      <c r="AC242" s="287">
        <v>3651046.0</v>
      </c>
      <c r="AD242" s="288"/>
      <c r="AE242" s="292"/>
      <c r="AF242" s="292"/>
      <c r="AG242" s="292"/>
      <c r="AH242" s="292"/>
      <c r="AI242" s="292"/>
      <c r="AJ242" s="293"/>
      <c r="AK242" s="260"/>
      <c r="AL242" s="259">
        <f>MATCH(B242,'Key Findings'!B:B,0)</f>
        <v>39</v>
      </c>
      <c r="AM242" s="260" t="b">
        <f t="shared" si="1"/>
        <v>1</v>
      </c>
      <c r="AN242" s="294"/>
    </row>
    <row r="243">
      <c r="A243" s="169">
        <f t="array" ref="A243">INDEX('Federal Tax, Stock Buybacks, &amp; '!D:D,match(B243,'Federal Tax, Stock Buybacks, &amp; '!E:E,0))</f>
        <v>242</v>
      </c>
      <c r="B243" s="281" t="s">
        <v>22</v>
      </c>
      <c r="C243" s="316"/>
      <c r="D243" s="316"/>
      <c r="E243" s="284"/>
      <c r="F243" s="268"/>
      <c r="G243" s="316"/>
      <c r="H243" s="316"/>
      <c r="I243" s="284"/>
      <c r="J243" s="268"/>
      <c r="K243" s="316" t="s">
        <v>583</v>
      </c>
      <c r="L243" s="316" t="s">
        <v>1836</v>
      </c>
      <c r="M243" s="284">
        <v>1367312.0</v>
      </c>
      <c r="N243" s="268"/>
      <c r="O243" s="285" t="s">
        <v>583</v>
      </c>
      <c r="P243" s="285" t="s">
        <v>1836</v>
      </c>
      <c r="Q243" s="284">
        <v>1885073.0</v>
      </c>
      <c r="R243" s="268"/>
      <c r="S243" s="285" t="s">
        <v>583</v>
      </c>
      <c r="T243" s="285" t="s">
        <v>1836</v>
      </c>
      <c r="U243" s="284">
        <v>1953701.0</v>
      </c>
      <c r="V243" s="268"/>
      <c r="W243" s="285" t="s">
        <v>320</v>
      </c>
      <c r="X243" s="295" t="s">
        <v>1606</v>
      </c>
      <c r="Y243" s="284">
        <v>1.7257035E7</v>
      </c>
      <c r="Z243" s="268"/>
      <c r="AA243" s="285" t="s">
        <v>320</v>
      </c>
      <c r="AB243" s="295" t="s">
        <v>1606</v>
      </c>
      <c r="AC243" s="287">
        <v>1.4956442E7</v>
      </c>
      <c r="AD243" s="288"/>
      <c r="AE243" s="292"/>
      <c r="AF243" s="292"/>
      <c r="AG243" s="292"/>
      <c r="AH243" s="292"/>
      <c r="AI243" s="292"/>
      <c r="AJ243" s="293"/>
      <c r="AK243" s="260"/>
      <c r="AL243" s="259">
        <f>MATCH(B243,'Key Findings'!B:B,0)</f>
        <v>39</v>
      </c>
      <c r="AM243" s="260" t="b">
        <f t="shared" si="1"/>
        <v>1</v>
      </c>
      <c r="AN243" s="294"/>
    </row>
    <row r="244">
      <c r="A244" s="169">
        <f t="array" ref="A244">INDEX('Federal Tax, Stock Buybacks, &amp; '!D:D,match(B244,'Federal Tax, Stock Buybacks, &amp; '!E:E,0))</f>
        <v>242</v>
      </c>
      <c r="B244" s="281" t="s">
        <v>22</v>
      </c>
      <c r="C244" s="316"/>
      <c r="D244" s="316"/>
      <c r="E244" s="284"/>
      <c r="F244" s="268"/>
      <c r="G244" s="316"/>
      <c r="H244" s="316"/>
      <c r="I244" s="284"/>
      <c r="J244" s="268"/>
      <c r="K244" s="316" t="s">
        <v>658</v>
      </c>
      <c r="L244" s="316" t="s">
        <v>1647</v>
      </c>
      <c r="M244" s="284">
        <v>1871448.0</v>
      </c>
      <c r="N244" s="268"/>
      <c r="O244" s="285" t="s">
        <v>320</v>
      </c>
      <c r="P244" s="317" t="s">
        <v>1837</v>
      </c>
      <c r="Q244" s="284">
        <v>1.2829732E7</v>
      </c>
      <c r="R244" s="268"/>
      <c r="S244" s="285" t="s">
        <v>320</v>
      </c>
      <c r="T244" s="295" t="s">
        <v>1606</v>
      </c>
      <c r="U244" s="284">
        <v>1.6040625E7</v>
      </c>
      <c r="V244" s="268"/>
      <c r="W244" s="296" t="s">
        <v>711</v>
      </c>
      <c r="X244" s="296" t="s">
        <v>711</v>
      </c>
      <c r="Y244" s="297" t="s">
        <v>711</v>
      </c>
      <c r="Z244" s="268"/>
      <c r="AA244" s="285" t="s">
        <v>555</v>
      </c>
      <c r="AB244" s="295" t="s">
        <v>1838</v>
      </c>
      <c r="AC244" s="287">
        <v>6743925.0</v>
      </c>
      <c r="AD244" s="288"/>
      <c r="AE244" s="292"/>
      <c r="AF244" s="292"/>
      <c r="AG244" s="292"/>
      <c r="AH244" s="292"/>
      <c r="AI244" s="292"/>
      <c r="AJ244" s="293"/>
      <c r="AK244" s="260"/>
      <c r="AL244" s="259">
        <f>MATCH(B244,'Key Findings'!B:B,0)</f>
        <v>39</v>
      </c>
      <c r="AM244" s="260" t="b">
        <f t="shared" si="1"/>
        <v>1</v>
      </c>
      <c r="AN244" s="294"/>
    </row>
    <row r="245">
      <c r="A245" s="299">
        <f t="array" ref="A245">INDEX('Federal Tax, Stock Buybacks, &amp; '!D:D,match(B245,'Federal Tax, Stock Buybacks, &amp; '!E:E,0))</f>
        <v>293</v>
      </c>
      <c r="B245" s="422" t="s">
        <v>77</v>
      </c>
      <c r="C245" s="362"/>
      <c r="D245" s="413"/>
      <c r="E245" s="342"/>
      <c r="F245" s="268"/>
      <c r="G245" s="362"/>
      <c r="H245" s="413"/>
      <c r="I245" s="342"/>
      <c r="J245" s="268"/>
      <c r="K245" s="362" t="s">
        <v>138</v>
      </c>
      <c r="L245" s="413"/>
      <c r="M245" s="342">
        <v>8720419.0</v>
      </c>
      <c r="N245" s="268"/>
      <c r="O245" s="364" t="s">
        <v>138</v>
      </c>
      <c r="P245" s="414"/>
      <c r="Q245" s="342">
        <v>8365888.0</v>
      </c>
      <c r="R245" s="268"/>
      <c r="S245" s="364" t="s">
        <v>138</v>
      </c>
      <c r="T245" s="369"/>
      <c r="U245" s="342">
        <v>6445060.0</v>
      </c>
      <c r="V245" s="268"/>
      <c r="W245" s="364" t="s">
        <v>138</v>
      </c>
      <c r="X245" s="369"/>
      <c r="Y245" s="342">
        <v>4899032.0</v>
      </c>
      <c r="Z245" s="268"/>
      <c r="AA245" s="364" t="s">
        <v>138</v>
      </c>
      <c r="AB245" s="302"/>
      <c r="AC245" s="305">
        <v>2385397.0</v>
      </c>
      <c r="AD245" s="306"/>
      <c r="AE245" s="366">
        <v>2022.0</v>
      </c>
      <c r="AF245" s="366">
        <v>2021.0</v>
      </c>
      <c r="AG245" s="366">
        <v>2020.0</v>
      </c>
      <c r="AH245" s="366">
        <v>2019.0</v>
      </c>
      <c r="AI245" s="366">
        <v>2018.0</v>
      </c>
      <c r="AJ245" s="325" t="s">
        <v>1578</v>
      </c>
      <c r="AK245" s="300"/>
      <c r="AL245" s="275">
        <f>MATCH(B245,'Key Findings'!B:B,0)</f>
        <v>40</v>
      </c>
      <c r="AM245" s="274" t="b">
        <f t="shared" si="1"/>
        <v>0</v>
      </c>
      <c r="AN245" s="291" t="s">
        <v>1839</v>
      </c>
    </row>
    <row r="246">
      <c r="A246" s="299">
        <f t="array" ref="A246">INDEX('Federal Tax, Stock Buybacks, &amp; '!D:D,match(B246,'Federal Tax, Stock Buybacks, &amp; '!E:E,0))</f>
        <v>293</v>
      </c>
      <c r="B246" s="422" t="s">
        <v>77</v>
      </c>
      <c r="C246" s="362"/>
      <c r="D246" s="413"/>
      <c r="E246" s="342"/>
      <c r="F246" s="268"/>
      <c r="G246" s="362"/>
      <c r="H246" s="413"/>
      <c r="I246" s="342"/>
      <c r="J246" s="268"/>
      <c r="K246" s="362" t="s">
        <v>529</v>
      </c>
      <c r="L246" s="413"/>
      <c r="M246" s="342">
        <v>3588887.0</v>
      </c>
      <c r="N246" s="268"/>
      <c r="O246" s="364" t="s">
        <v>346</v>
      </c>
      <c r="P246" s="414"/>
      <c r="Q246" s="342">
        <v>3662566.0</v>
      </c>
      <c r="R246" s="268"/>
      <c r="S246" s="364" t="s">
        <v>346</v>
      </c>
      <c r="T246" s="369"/>
      <c r="U246" s="342">
        <v>5682742.0</v>
      </c>
      <c r="V246" s="268"/>
      <c r="W246" s="364" t="s">
        <v>346</v>
      </c>
      <c r="X246" s="369"/>
      <c r="Y246" s="342">
        <v>5242014.0</v>
      </c>
      <c r="Z246" s="268"/>
      <c r="AA246" s="364" t="s">
        <v>346</v>
      </c>
      <c r="AB246" s="302"/>
      <c r="AC246" s="305">
        <v>3766482.0</v>
      </c>
      <c r="AD246" s="306"/>
      <c r="AE246" s="308"/>
      <c r="AF246" s="308"/>
      <c r="AG246" s="308"/>
      <c r="AH246" s="308"/>
      <c r="AI246" s="308"/>
      <c r="AJ246" s="368"/>
      <c r="AK246" s="300"/>
      <c r="AL246" s="275">
        <f>MATCH(B246,'Key Findings'!B:B,0)</f>
        <v>40</v>
      </c>
      <c r="AM246" s="274" t="b">
        <f t="shared" si="1"/>
        <v>0</v>
      </c>
      <c r="AN246" s="294"/>
    </row>
    <row r="247">
      <c r="A247" s="299">
        <f t="array" ref="A247">INDEX('Federal Tax, Stock Buybacks, &amp; '!D:D,match(B247,'Federal Tax, Stock Buybacks, &amp; '!E:E,0))</f>
        <v>293</v>
      </c>
      <c r="B247" s="422" t="s">
        <v>77</v>
      </c>
      <c r="C247" s="362"/>
      <c r="D247" s="413"/>
      <c r="E247" s="342"/>
      <c r="F247" s="268"/>
      <c r="G247" s="362"/>
      <c r="H247" s="413"/>
      <c r="I247" s="342"/>
      <c r="J247" s="268"/>
      <c r="K247" s="362" t="s">
        <v>477</v>
      </c>
      <c r="L247" s="413"/>
      <c r="M247" s="342">
        <v>4951762.0</v>
      </c>
      <c r="N247" s="268"/>
      <c r="O247" s="364" t="s">
        <v>531</v>
      </c>
      <c r="P247" s="414"/>
      <c r="Q247" s="342">
        <v>3576212.0</v>
      </c>
      <c r="R247" s="268"/>
      <c r="S247" s="364" t="s">
        <v>435</v>
      </c>
      <c r="T247" s="369"/>
      <c r="U247" s="342">
        <v>7135997.0</v>
      </c>
      <c r="V247" s="268"/>
      <c r="W247" s="364" t="s">
        <v>491</v>
      </c>
      <c r="X247" s="369"/>
      <c r="Y247" s="342">
        <v>4574747.0</v>
      </c>
      <c r="Z247" s="268"/>
      <c r="AA247" s="364" t="s">
        <v>523</v>
      </c>
      <c r="AB247" s="302"/>
      <c r="AC247" s="305">
        <v>3804506.0</v>
      </c>
      <c r="AD247" s="306"/>
      <c r="AE247" s="308"/>
      <c r="AF247" s="308"/>
      <c r="AG247" s="308"/>
      <c r="AH247" s="308"/>
      <c r="AI247" s="308"/>
      <c r="AJ247" s="368"/>
      <c r="AK247" s="300"/>
      <c r="AL247" s="275">
        <f>MATCH(B247,'Key Findings'!B:B,0)</f>
        <v>40</v>
      </c>
      <c r="AM247" s="274" t="b">
        <f t="shared" si="1"/>
        <v>0</v>
      </c>
      <c r="AN247" s="294"/>
    </row>
    <row r="248">
      <c r="A248" s="299">
        <f t="array" ref="A248">INDEX('Federal Tax, Stock Buybacks, &amp; '!D:D,match(B248,'Federal Tax, Stock Buybacks, &amp; '!E:E,0))</f>
        <v>293</v>
      </c>
      <c r="B248" s="422" t="s">
        <v>77</v>
      </c>
      <c r="C248" s="362"/>
      <c r="D248" s="413"/>
      <c r="E248" s="342"/>
      <c r="F248" s="268"/>
      <c r="G248" s="362"/>
      <c r="H248" s="413"/>
      <c r="I248" s="342"/>
      <c r="J248" s="268"/>
      <c r="K248" s="362" t="s">
        <v>514</v>
      </c>
      <c r="L248" s="413"/>
      <c r="M248" s="342">
        <v>3964448.0</v>
      </c>
      <c r="N248" s="268"/>
      <c r="O248" s="364" t="s">
        <v>431</v>
      </c>
      <c r="P248" s="414"/>
      <c r="Q248" s="342">
        <v>2636364.0</v>
      </c>
      <c r="R248" s="268"/>
      <c r="S248" s="364" t="s">
        <v>574</v>
      </c>
      <c r="T248" s="369"/>
      <c r="U248" s="342">
        <v>2473966.0</v>
      </c>
      <c r="V248" s="268"/>
      <c r="W248" s="364" t="s">
        <v>534</v>
      </c>
      <c r="X248" s="369"/>
      <c r="Y248" s="342">
        <v>3511089.0</v>
      </c>
      <c r="Z248" s="268"/>
      <c r="AA248" s="364" t="s">
        <v>431</v>
      </c>
      <c r="AB248" s="302"/>
      <c r="AC248" s="305">
        <v>4618638.0</v>
      </c>
      <c r="AD248" s="306"/>
      <c r="AE248" s="308"/>
      <c r="AF248" s="308"/>
      <c r="AG248" s="308"/>
      <c r="AH248" s="308"/>
      <c r="AI248" s="308"/>
      <c r="AJ248" s="368"/>
      <c r="AK248" s="300"/>
      <c r="AL248" s="275">
        <f>MATCH(B248,'Key Findings'!B:B,0)</f>
        <v>40</v>
      </c>
      <c r="AM248" s="274" t="b">
        <f t="shared" si="1"/>
        <v>0</v>
      </c>
      <c r="AN248" s="294"/>
    </row>
    <row r="249">
      <c r="A249" s="299">
        <f t="array" ref="A249">INDEX('Federal Tax, Stock Buybacks, &amp; '!D:D,match(B249,'Federal Tax, Stock Buybacks, &amp; '!E:E,0))</f>
        <v>293</v>
      </c>
      <c r="B249" s="422" t="s">
        <v>77</v>
      </c>
      <c r="C249" s="362"/>
      <c r="D249" s="413"/>
      <c r="E249" s="342"/>
      <c r="F249" s="268"/>
      <c r="G249" s="362"/>
      <c r="H249" s="413"/>
      <c r="I249" s="342"/>
      <c r="J249" s="268"/>
      <c r="K249" s="362" t="s">
        <v>273</v>
      </c>
      <c r="L249" s="413"/>
      <c r="M249" s="342">
        <v>3672852.0</v>
      </c>
      <c r="N249" s="268"/>
      <c r="O249" s="364" t="s">
        <v>306</v>
      </c>
      <c r="P249" s="414"/>
      <c r="Q249" s="342">
        <v>2455739.0</v>
      </c>
      <c r="R249" s="268"/>
      <c r="S249" s="364" t="s">
        <v>306</v>
      </c>
      <c r="T249" s="369"/>
      <c r="U249" s="342">
        <v>1.690518E7</v>
      </c>
      <c r="V249" s="268"/>
      <c r="W249" s="364" t="s">
        <v>306</v>
      </c>
      <c r="X249" s="369"/>
      <c r="Y249" s="342">
        <v>1.9803193E7</v>
      </c>
      <c r="Z249" s="268"/>
      <c r="AA249" s="364" t="s">
        <v>306</v>
      </c>
      <c r="AB249" s="302"/>
      <c r="AC249" s="305">
        <v>1.4364033E7</v>
      </c>
      <c r="AD249" s="306"/>
      <c r="AE249" s="308"/>
      <c r="AF249" s="308"/>
      <c r="AG249" s="308"/>
      <c r="AH249" s="308"/>
      <c r="AI249" s="308"/>
      <c r="AJ249" s="368"/>
      <c r="AK249" s="300"/>
      <c r="AL249" s="275">
        <f>MATCH(B249,'Key Findings'!B:B,0)</f>
        <v>40</v>
      </c>
      <c r="AM249" s="274" t="b">
        <f t="shared" si="1"/>
        <v>0</v>
      </c>
      <c r="AN249" s="294"/>
    </row>
    <row r="250">
      <c r="A250" s="299">
        <f t="array" ref="A250">INDEX('Federal Tax, Stock Buybacks, &amp; '!D:D,match(B250,'Federal Tax, Stock Buybacks, &amp; '!E:E,0))</f>
        <v>293</v>
      </c>
      <c r="B250" s="422" t="s">
        <v>77</v>
      </c>
      <c r="C250" s="279"/>
      <c r="D250" s="280"/>
      <c r="E250" s="267"/>
      <c r="F250" s="268"/>
      <c r="G250" s="279"/>
      <c r="H250" s="280"/>
      <c r="I250" s="267"/>
      <c r="J250" s="268"/>
      <c r="K250" s="279" t="s">
        <v>711</v>
      </c>
      <c r="L250" s="280" t="s">
        <v>711</v>
      </c>
      <c r="M250" s="267" t="s">
        <v>711</v>
      </c>
      <c r="N250" s="268"/>
      <c r="O250" s="280" t="s">
        <v>711</v>
      </c>
      <c r="P250" s="280" t="s">
        <v>711</v>
      </c>
      <c r="Q250" s="267" t="s">
        <v>711</v>
      </c>
      <c r="R250" s="268"/>
      <c r="S250" s="280" t="s">
        <v>711</v>
      </c>
      <c r="T250" s="280" t="s">
        <v>711</v>
      </c>
      <c r="U250" s="267" t="s">
        <v>711</v>
      </c>
      <c r="V250" s="268"/>
      <c r="W250" s="280" t="s">
        <v>711</v>
      </c>
      <c r="X250" s="280" t="s">
        <v>711</v>
      </c>
      <c r="Y250" s="267" t="s">
        <v>711</v>
      </c>
      <c r="Z250" s="268"/>
      <c r="AA250" s="364" t="s">
        <v>273</v>
      </c>
      <c r="AB250" s="302"/>
      <c r="AC250" s="305">
        <v>4483097.0</v>
      </c>
      <c r="AD250" s="306"/>
      <c r="AE250" s="308"/>
      <c r="AF250" s="308"/>
      <c r="AG250" s="308"/>
      <c r="AH250" s="308"/>
      <c r="AI250" s="308"/>
      <c r="AJ250" s="368"/>
      <c r="AK250" s="300"/>
      <c r="AL250" s="275">
        <f>MATCH(B250,'Key Findings'!B:B,0)</f>
        <v>40</v>
      </c>
      <c r="AM250" s="274" t="b">
        <f t="shared" si="1"/>
        <v>0</v>
      </c>
      <c r="AN250" s="294"/>
    </row>
    <row r="251">
      <c r="A251" s="196">
        <f t="array" ref="A251">INDEX('Federal Tax, Stock Buybacks, &amp; '!D:D,match(B251,'Federal Tax, Stock Buybacks, &amp; '!E:E,0))</f>
        <v>263</v>
      </c>
      <c r="B251" s="138" t="s">
        <v>66</v>
      </c>
      <c r="C251" s="282"/>
      <c r="D251" s="373"/>
      <c r="E251" s="284"/>
      <c r="F251" s="268"/>
      <c r="G251" s="282"/>
      <c r="H251" s="373"/>
      <c r="I251" s="284"/>
      <c r="J251" s="268"/>
      <c r="K251" s="282" t="s">
        <v>203</v>
      </c>
      <c r="L251" s="373"/>
      <c r="M251" s="284">
        <v>1.224234E7</v>
      </c>
      <c r="N251" s="268"/>
      <c r="O251" s="285" t="s">
        <v>203</v>
      </c>
      <c r="P251" s="374"/>
      <c r="Q251" s="284">
        <v>1.0401407E7</v>
      </c>
      <c r="R251" s="268"/>
      <c r="S251" s="285" t="s">
        <v>203</v>
      </c>
      <c r="T251" s="295"/>
      <c r="U251" s="284">
        <v>1.0927684E7</v>
      </c>
      <c r="V251" s="268"/>
      <c r="W251" s="285" t="s">
        <v>203</v>
      </c>
      <c r="X251" s="295"/>
      <c r="Y251" s="284">
        <v>1.0880451E7</v>
      </c>
      <c r="Z251" s="268"/>
      <c r="AA251" s="285" t="s">
        <v>203</v>
      </c>
      <c r="AB251" s="334"/>
      <c r="AC251" s="287">
        <v>9014456.0</v>
      </c>
      <c r="AD251" s="288"/>
      <c r="AE251" s="391">
        <v>2022.0</v>
      </c>
      <c r="AF251" s="391">
        <v>2021.0</v>
      </c>
      <c r="AG251" s="391">
        <v>2020.0</v>
      </c>
      <c r="AH251" s="391">
        <v>2019.0</v>
      </c>
      <c r="AI251" s="391">
        <v>2018.0</v>
      </c>
      <c r="AJ251" s="425" t="s">
        <v>1578</v>
      </c>
      <c r="AK251" s="426"/>
      <c r="AL251" s="259">
        <f>MATCH(B251,'Key Findings'!B:B,0)</f>
        <v>41</v>
      </c>
      <c r="AM251" s="260" t="b">
        <f t="shared" si="1"/>
        <v>1</v>
      </c>
      <c r="AN251" s="291" t="s">
        <v>1840</v>
      </c>
    </row>
    <row r="252">
      <c r="A252" s="196">
        <f t="array" ref="A252">INDEX('Federal Tax, Stock Buybacks, &amp; '!D:D,match(B252,'Federal Tax, Stock Buybacks, &amp; '!E:E,0))</f>
        <v>263</v>
      </c>
      <c r="B252" s="138" t="s">
        <v>66</v>
      </c>
      <c r="C252" s="282"/>
      <c r="D252" s="373"/>
      <c r="E252" s="284"/>
      <c r="F252" s="268"/>
      <c r="G252" s="282"/>
      <c r="H252" s="373"/>
      <c r="I252" s="284"/>
      <c r="J252" s="268"/>
      <c r="K252" s="282" t="s">
        <v>257</v>
      </c>
      <c r="L252" s="373"/>
      <c r="M252" s="284">
        <v>6882920.0</v>
      </c>
      <c r="N252" s="268"/>
      <c r="O252" s="285" t="s">
        <v>257</v>
      </c>
      <c r="P252" s="374"/>
      <c r="Q252" s="284">
        <v>5628500.0</v>
      </c>
      <c r="R252" s="268"/>
      <c r="S252" s="285" t="s">
        <v>257</v>
      </c>
      <c r="T252" s="295"/>
      <c r="U252" s="284">
        <v>7365266.0</v>
      </c>
      <c r="V252" s="268"/>
      <c r="W252" s="285" t="s">
        <v>257</v>
      </c>
      <c r="X252" s="295"/>
      <c r="Y252" s="284">
        <v>8336163.0</v>
      </c>
      <c r="Z252" s="268"/>
      <c r="AA252" s="285" t="s">
        <v>257</v>
      </c>
      <c r="AB252" s="334"/>
      <c r="AC252" s="287">
        <v>6736349.0</v>
      </c>
      <c r="AD252" s="288"/>
      <c r="AE252" s="292"/>
      <c r="AF252" s="292"/>
      <c r="AG252" s="292"/>
      <c r="AH252" s="292"/>
      <c r="AI252" s="292"/>
      <c r="AJ252" s="293"/>
      <c r="AK252" s="293"/>
      <c r="AL252" s="259">
        <f>MATCH(B252,'Key Findings'!B:B,0)</f>
        <v>41</v>
      </c>
      <c r="AM252" s="260" t="b">
        <f t="shared" si="1"/>
        <v>1</v>
      </c>
      <c r="AN252" s="291" t="s">
        <v>1840</v>
      </c>
    </row>
    <row r="253">
      <c r="A253" s="196">
        <f t="array" ref="A253">INDEX('Federal Tax, Stock Buybacks, &amp; '!D:D,match(B253,'Federal Tax, Stock Buybacks, &amp; '!E:E,0))</f>
        <v>263</v>
      </c>
      <c r="B253" s="138" t="s">
        <v>66</v>
      </c>
      <c r="C253" s="282"/>
      <c r="D253" s="373"/>
      <c r="E253" s="284"/>
      <c r="F253" s="268"/>
      <c r="G253" s="282"/>
      <c r="H253" s="373"/>
      <c r="I253" s="284"/>
      <c r="J253" s="268"/>
      <c r="K253" s="282" t="s">
        <v>178</v>
      </c>
      <c r="L253" s="373"/>
      <c r="M253" s="284">
        <v>5110783.0</v>
      </c>
      <c r="N253" s="268"/>
      <c r="O253" s="285" t="s">
        <v>178</v>
      </c>
      <c r="P253" s="374"/>
      <c r="Q253" s="284">
        <v>3678676.0</v>
      </c>
      <c r="R253" s="268"/>
      <c r="S253" s="285" t="s">
        <v>178</v>
      </c>
      <c r="T253" s="295"/>
      <c r="U253" s="284">
        <v>3507756.0</v>
      </c>
      <c r="V253" s="268"/>
      <c r="W253" s="285" t="s">
        <v>178</v>
      </c>
      <c r="X253" s="295"/>
      <c r="Y253" s="284" t="s">
        <v>1841</v>
      </c>
      <c r="Z253" s="268"/>
      <c r="AA253" s="285" t="s">
        <v>178</v>
      </c>
      <c r="AB253" s="334"/>
      <c r="AC253" s="287">
        <v>3087705.0</v>
      </c>
      <c r="AD253" s="288"/>
      <c r="AE253" s="292"/>
      <c r="AF253" s="292"/>
      <c r="AG253" s="292"/>
      <c r="AH253" s="292"/>
      <c r="AI253" s="292"/>
      <c r="AJ253" s="293"/>
      <c r="AK253" s="293"/>
      <c r="AL253" s="259">
        <f>MATCH(B253,'Key Findings'!B:B,0)</f>
        <v>41</v>
      </c>
      <c r="AM253" s="260" t="b">
        <f t="shared" si="1"/>
        <v>1</v>
      </c>
      <c r="AN253" s="291" t="s">
        <v>1842</v>
      </c>
    </row>
    <row r="254">
      <c r="A254" s="196">
        <f t="array" ref="A254">INDEX('Federal Tax, Stock Buybacks, &amp; '!D:D,match(B254,'Federal Tax, Stock Buybacks, &amp; '!E:E,0))</f>
        <v>263</v>
      </c>
      <c r="B254" s="138" t="s">
        <v>66</v>
      </c>
      <c r="C254" s="282"/>
      <c r="D254" s="373"/>
      <c r="E254" s="284"/>
      <c r="F254" s="268"/>
      <c r="G254" s="282"/>
      <c r="H254" s="373"/>
      <c r="I254" s="284"/>
      <c r="J254" s="268"/>
      <c r="K254" s="282" t="s">
        <v>171</v>
      </c>
      <c r="L254" s="373"/>
      <c r="M254" s="284">
        <v>4331901.0</v>
      </c>
      <c r="N254" s="268"/>
      <c r="O254" s="285" t="s">
        <v>171</v>
      </c>
      <c r="P254" s="374"/>
      <c r="Q254" s="284">
        <v>3016061.0</v>
      </c>
      <c r="R254" s="268"/>
      <c r="S254" s="285" t="s">
        <v>171</v>
      </c>
      <c r="T254" s="295"/>
      <c r="U254" s="284">
        <v>3267391.0</v>
      </c>
      <c r="V254" s="268"/>
      <c r="W254" s="285" t="s">
        <v>171</v>
      </c>
      <c r="X254" s="295"/>
      <c r="Y254" s="284">
        <v>2721923.0</v>
      </c>
      <c r="Z254" s="268"/>
      <c r="AA254" s="285" t="s">
        <v>171</v>
      </c>
      <c r="AB254" s="334"/>
      <c r="AC254" s="287">
        <v>2331535.0</v>
      </c>
      <c r="AD254" s="288"/>
      <c r="AE254" s="292"/>
      <c r="AF254" s="292"/>
      <c r="AG254" s="292"/>
      <c r="AH254" s="292"/>
      <c r="AI254" s="292"/>
      <c r="AJ254" s="293"/>
      <c r="AK254" s="293"/>
      <c r="AL254" s="259">
        <f>MATCH(B254,'Key Findings'!B:B,0)</f>
        <v>41</v>
      </c>
      <c r="AM254" s="260" t="b">
        <f t="shared" si="1"/>
        <v>1</v>
      </c>
      <c r="AN254" s="291" t="s">
        <v>1843</v>
      </c>
    </row>
    <row r="255">
      <c r="A255" s="196">
        <f t="array" ref="A255">INDEX('Federal Tax, Stock Buybacks, &amp; '!D:D,match(B255,'Federal Tax, Stock Buybacks, &amp; '!E:E,0))</f>
        <v>263</v>
      </c>
      <c r="B255" s="138" t="s">
        <v>66</v>
      </c>
      <c r="C255" s="282"/>
      <c r="D255" s="373"/>
      <c r="E255" s="284"/>
      <c r="F255" s="268"/>
      <c r="G255" s="282"/>
      <c r="H255" s="373"/>
      <c r="I255" s="284"/>
      <c r="J255" s="268"/>
      <c r="K255" s="282" t="s">
        <v>253</v>
      </c>
      <c r="L255" s="373"/>
      <c r="M255" s="284">
        <v>5400143.0</v>
      </c>
      <c r="N255" s="268"/>
      <c r="O255" s="285" t="s">
        <v>253</v>
      </c>
      <c r="P255" s="374"/>
      <c r="Q255" s="284">
        <v>3395924.0</v>
      </c>
      <c r="R255" s="268"/>
      <c r="S255" s="285" t="s">
        <v>253</v>
      </c>
      <c r="T255" s="295"/>
      <c r="U255" s="284">
        <v>3481123.0</v>
      </c>
      <c r="V255" s="268"/>
      <c r="W255" s="285" t="s">
        <v>427</v>
      </c>
      <c r="X255" s="295"/>
      <c r="Y255" s="284">
        <v>2735088.0</v>
      </c>
      <c r="Z255" s="268"/>
      <c r="AA255" s="285" t="s">
        <v>253</v>
      </c>
      <c r="AB255" s="334"/>
      <c r="AC255" s="287">
        <v>5207588.0</v>
      </c>
      <c r="AD255" s="288"/>
      <c r="AE255" s="292"/>
      <c r="AF255" s="292"/>
      <c r="AG255" s="292"/>
      <c r="AH255" s="292"/>
      <c r="AI255" s="292"/>
      <c r="AJ255" s="293"/>
      <c r="AK255" s="293"/>
      <c r="AL255" s="259">
        <f>MATCH(B255,'Key Findings'!B:B,0)</f>
        <v>41</v>
      </c>
      <c r="AM255" s="260" t="b">
        <f t="shared" si="1"/>
        <v>1</v>
      </c>
      <c r="AN255" s="291" t="s">
        <v>1844</v>
      </c>
    </row>
    <row r="256">
      <c r="A256" s="196">
        <f t="array" ref="A256">INDEX('Federal Tax, Stock Buybacks, &amp; '!D:D,match(B256,'Federal Tax, Stock Buybacks, &amp; '!E:E,0))</f>
        <v>263</v>
      </c>
      <c r="B256" s="138" t="s">
        <v>66</v>
      </c>
      <c r="C256" s="298"/>
      <c r="D256" s="296"/>
      <c r="E256" s="297"/>
      <c r="F256" s="268"/>
      <c r="G256" s="298"/>
      <c r="H256" s="296"/>
      <c r="I256" s="297"/>
      <c r="J256" s="268"/>
      <c r="K256" s="298" t="s">
        <v>711</v>
      </c>
      <c r="L256" s="296" t="s">
        <v>711</v>
      </c>
      <c r="M256" s="297" t="s">
        <v>711</v>
      </c>
      <c r="N256" s="268"/>
      <c r="O256" s="285" t="s">
        <v>427</v>
      </c>
      <c r="P256" s="374"/>
      <c r="Q256" s="284">
        <v>3306143.0</v>
      </c>
      <c r="R256" s="268"/>
      <c r="S256" s="285" t="s">
        <v>427</v>
      </c>
      <c r="T256" s="295"/>
      <c r="U256" s="284">
        <v>2868394.0</v>
      </c>
      <c r="V256" s="268"/>
      <c r="W256" s="296" t="s">
        <v>711</v>
      </c>
      <c r="X256" s="296" t="s">
        <v>711</v>
      </c>
      <c r="Y256" s="297" t="s">
        <v>711</v>
      </c>
      <c r="Z256" s="268"/>
      <c r="AA256" s="285" t="s">
        <v>427</v>
      </c>
      <c r="AB256" s="334"/>
      <c r="AC256" s="287">
        <v>2424011.0</v>
      </c>
      <c r="AD256" s="288"/>
      <c r="AE256" s="292"/>
      <c r="AF256" s="292"/>
      <c r="AG256" s="292"/>
      <c r="AH256" s="292"/>
      <c r="AI256" s="292"/>
      <c r="AJ256" s="293"/>
      <c r="AK256" s="293"/>
      <c r="AL256" s="259">
        <f>MATCH(B256,'Key Findings'!B:B,0)</f>
        <v>41</v>
      </c>
      <c r="AM256" s="260" t="b">
        <f t="shared" si="1"/>
        <v>1</v>
      </c>
      <c r="AN256" s="291" t="s">
        <v>1845</v>
      </c>
    </row>
    <row r="257">
      <c r="A257" s="196">
        <f t="array" ref="A257">INDEX('Federal Tax, Stock Buybacks, &amp; '!D:D,match(B257,'Federal Tax, Stock Buybacks, &amp; '!E:E,0))</f>
        <v>263</v>
      </c>
      <c r="B257" s="138" t="s">
        <v>66</v>
      </c>
      <c r="C257" s="298"/>
      <c r="D257" s="296"/>
      <c r="E257" s="297"/>
      <c r="F257" s="268"/>
      <c r="G257" s="298"/>
      <c r="H257" s="296"/>
      <c r="I257" s="297"/>
      <c r="J257" s="268"/>
      <c r="K257" s="298" t="s">
        <v>711</v>
      </c>
      <c r="L257" s="296" t="s">
        <v>711</v>
      </c>
      <c r="M257" s="297" t="s">
        <v>711</v>
      </c>
      <c r="N257" s="268"/>
      <c r="O257" s="285" t="s">
        <v>253</v>
      </c>
      <c r="P257" s="374"/>
      <c r="Q257" s="284">
        <v>3255470.0</v>
      </c>
      <c r="R257" s="268"/>
      <c r="S257" s="296" t="s">
        <v>711</v>
      </c>
      <c r="T257" s="296" t="s">
        <v>711</v>
      </c>
      <c r="U257" s="297" t="s">
        <v>711</v>
      </c>
      <c r="V257" s="268"/>
      <c r="W257" s="296" t="s">
        <v>711</v>
      </c>
      <c r="X257" s="296" t="s">
        <v>711</v>
      </c>
      <c r="Y257" s="297" t="s">
        <v>711</v>
      </c>
      <c r="Z257" s="268"/>
      <c r="AA257" s="296" t="s">
        <v>711</v>
      </c>
      <c r="AB257" s="296" t="s">
        <v>711</v>
      </c>
      <c r="AC257" s="297" t="s">
        <v>711</v>
      </c>
      <c r="AD257" s="288"/>
      <c r="AE257" s="292"/>
      <c r="AF257" s="292"/>
      <c r="AG257" s="292"/>
      <c r="AH257" s="292"/>
      <c r="AI257" s="292"/>
      <c r="AJ257" s="293"/>
      <c r="AK257" s="293"/>
      <c r="AL257" s="259">
        <f>MATCH(B257,'Key Findings'!B:B,0)</f>
        <v>41</v>
      </c>
      <c r="AM257" s="260" t="b">
        <f t="shared" si="1"/>
        <v>1</v>
      </c>
      <c r="AN257" s="294"/>
    </row>
    <row r="258">
      <c r="A258" s="299">
        <f t="array" ref="A258">INDEX('Federal Tax, Stock Buybacks, &amp; '!D:D,match(B258,'Federal Tax, Stock Buybacks, &amp; '!E:E,0))</f>
        <v>370</v>
      </c>
      <c r="B258" s="300" t="s">
        <v>25</v>
      </c>
      <c r="C258" s="398"/>
      <c r="D258" s="401"/>
      <c r="E258" s="399"/>
      <c r="F258" s="268"/>
      <c r="G258" s="398"/>
      <c r="H258" s="401"/>
      <c r="I258" s="399"/>
      <c r="J258" s="268"/>
      <c r="K258" s="398" t="s">
        <v>213</v>
      </c>
      <c r="L258" s="401" t="s">
        <v>1588</v>
      </c>
      <c r="M258" s="399">
        <v>1.3887596E7</v>
      </c>
      <c r="N258" s="268"/>
      <c r="O258" s="364" t="s">
        <v>213</v>
      </c>
      <c r="P258" s="401" t="s">
        <v>1588</v>
      </c>
      <c r="Q258" s="400">
        <v>1.3759533E7</v>
      </c>
      <c r="R258" s="268"/>
      <c r="S258" s="364" t="s">
        <v>213</v>
      </c>
      <c r="T258" s="401" t="s">
        <v>1588</v>
      </c>
      <c r="U258" s="342">
        <v>1.2171958E7</v>
      </c>
      <c r="V258" s="268"/>
      <c r="W258" s="364" t="s">
        <v>213</v>
      </c>
      <c r="X258" s="401" t="s">
        <v>1588</v>
      </c>
      <c r="Y258" s="342">
        <v>1.5590338E7</v>
      </c>
      <c r="Z258" s="268"/>
      <c r="AA258" s="364" t="s">
        <v>213</v>
      </c>
      <c r="AB258" s="401" t="s">
        <v>1588</v>
      </c>
      <c r="AC258" s="305">
        <v>1.0691376E7</v>
      </c>
      <c r="AD258" s="306"/>
      <c r="AE258" s="307">
        <v>2022.0</v>
      </c>
      <c r="AF258" s="307">
        <v>2021.0</v>
      </c>
      <c r="AG258" s="307">
        <v>2020.0</v>
      </c>
      <c r="AH258" s="307">
        <v>2019.0</v>
      </c>
      <c r="AI258" s="307">
        <v>2018.0</v>
      </c>
      <c r="AJ258" s="273" t="s">
        <v>1524</v>
      </c>
      <c r="AK258" s="274"/>
      <c r="AL258" s="275">
        <f>MATCH(B258,'Key Findings'!B:B,0)</f>
        <v>42</v>
      </c>
      <c r="AM258" s="274" t="b">
        <f t="shared" si="1"/>
        <v>0</v>
      </c>
      <c r="AN258" s="291" t="s">
        <v>1534</v>
      </c>
    </row>
    <row r="259">
      <c r="A259" s="299">
        <f t="array" ref="A259">INDEX('Federal Tax, Stock Buybacks, &amp; '!D:D,match(B259,'Federal Tax, Stock Buybacks, &amp; '!E:E,0))</f>
        <v>370</v>
      </c>
      <c r="B259" s="300" t="s">
        <v>25</v>
      </c>
      <c r="C259" s="398"/>
      <c r="D259" s="401"/>
      <c r="E259" s="399"/>
      <c r="F259" s="268"/>
      <c r="G259" s="398"/>
      <c r="H259" s="401"/>
      <c r="I259" s="399"/>
      <c r="J259" s="268"/>
      <c r="K259" s="398" t="s">
        <v>223</v>
      </c>
      <c r="L259" s="401" t="s">
        <v>1846</v>
      </c>
      <c r="M259" s="399">
        <v>4528608.0</v>
      </c>
      <c r="N259" s="268"/>
      <c r="O259" s="364" t="s">
        <v>223</v>
      </c>
      <c r="P259" s="401" t="s">
        <v>1846</v>
      </c>
      <c r="Q259" s="400">
        <v>4122715.0</v>
      </c>
      <c r="R259" s="268"/>
      <c r="S259" s="364" t="s">
        <v>223</v>
      </c>
      <c r="T259" s="401" t="s">
        <v>1846</v>
      </c>
      <c r="U259" s="342">
        <v>3995728.0</v>
      </c>
      <c r="V259" s="268"/>
      <c r="W259" s="364" t="s">
        <v>223</v>
      </c>
      <c r="X259" s="401" t="s">
        <v>1846</v>
      </c>
      <c r="Y259" s="342">
        <v>5268657.0</v>
      </c>
      <c r="Z259" s="268"/>
      <c r="AA259" s="364" t="s">
        <v>223</v>
      </c>
      <c r="AB259" s="401" t="s">
        <v>1846</v>
      </c>
      <c r="AC259" s="305">
        <v>3715530.0</v>
      </c>
      <c r="AD259" s="306"/>
      <c r="AE259" s="377"/>
      <c r="AF259" s="377"/>
      <c r="AG259" s="377"/>
      <c r="AH259" s="377"/>
      <c r="AI259" s="377"/>
      <c r="AJ259" s="273"/>
      <c r="AK259" s="274"/>
      <c r="AL259" s="275">
        <f>MATCH(B259,'Key Findings'!B:B,0)</f>
        <v>42</v>
      </c>
      <c r="AM259" s="274" t="b">
        <f t="shared" si="1"/>
        <v>0</v>
      </c>
      <c r="AN259" s="294"/>
    </row>
    <row r="260">
      <c r="A260" s="299">
        <f t="array" ref="A260">INDEX('Federal Tax, Stock Buybacks, &amp; '!D:D,match(B260,'Federal Tax, Stock Buybacks, &amp; '!E:E,0))</f>
        <v>370</v>
      </c>
      <c r="B260" s="300" t="s">
        <v>25</v>
      </c>
      <c r="C260" s="398"/>
      <c r="D260" s="401"/>
      <c r="E260" s="399"/>
      <c r="F260" s="268"/>
      <c r="G260" s="398"/>
      <c r="H260" s="401"/>
      <c r="I260" s="399"/>
      <c r="J260" s="268"/>
      <c r="K260" s="398" t="s">
        <v>227</v>
      </c>
      <c r="L260" s="401" t="s">
        <v>1847</v>
      </c>
      <c r="M260" s="399">
        <v>5997568.0</v>
      </c>
      <c r="N260" s="268"/>
      <c r="O260" s="364" t="s">
        <v>227</v>
      </c>
      <c r="P260" s="401" t="s">
        <v>1847</v>
      </c>
      <c r="Q260" s="400">
        <v>5433225.0</v>
      </c>
      <c r="R260" s="268"/>
      <c r="S260" s="364" t="s">
        <v>227</v>
      </c>
      <c r="T260" s="401" t="s">
        <v>1847</v>
      </c>
      <c r="U260" s="342">
        <v>5591351.0</v>
      </c>
      <c r="V260" s="268"/>
      <c r="W260" s="364" t="s">
        <v>227</v>
      </c>
      <c r="X260" s="401" t="s">
        <v>1847</v>
      </c>
      <c r="Y260" s="342">
        <v>6611309.0</v>
      </c>
      <c r="Z260" s="268"/>
      <c r="AA260" s="364" t="s">
        <v>227</v>
      </c>
      <c r="AB260" s="401" t="s">
        <v>1847</v>
      </c>
      <c r="AC260" s="305">
        <v>5098072.0</v>
      </c>
      <c r="AD260" s="306"/>
      <c r="AE260" s="377"/>
      <c r="AF260" s="377"/>
      <c r="AG260" s="377"/>
      <c r="AH260" s="377"/>
      <c r="AI260" s="377"/>
      <c r="AJ260" s="273"/>
      <c r="AK260" s="274"/>
      <c r="AL260" s="275">
        <f>MATCH(B260,'Key Findings'!B:B,0)</f>
        <v>42</v>
      </c>
      <c r="AM260" s="274" t="b">
        <f t="shared" si="1"/>
        <v>0</v>
      </c>
      <c r="AN260" s="294"/>
    </row>
    <row r="261">
      <c r="A261" s="299">
        <f t="array" ref="A261">INDEX('Federal Tax, Stock Buybacks, &amp; '!D:D,match(B261,'Federal Tax, Stock Buybacks, &amp; '!E:E,0))</f>
        <v>370</v>
      </c>
      <c r="B261" s="300" t="s">
        <v>25</v>
      </c>
      <c r="C261" s="398"/>
      <c r="D261" s="401"/>
      <c r="E261" s="399"/>
      <c r="F261" s="268"/>
      <c r="G261" s="398"/>
      <c r="H261" s="401"/>
      <c r="I261" s="399"/>
      <c r="J261" s="268"/>
      <c r="K261" s="398" t="s">
        <v>649</v>
      </c>
      <c r="L261" s="401" t="s">
        <v>1848</v>
      </c>
      <c r="M261" s="399">
        <v>2927616.0</v>
      </c>
      <c r="N261" s="268"/>
      <c r="O261" s="364" t="s">
        <v>451</v>
      </c>
      <c r="P261" s="401" t="s">
        <v>1849</v>
      </c>
      <c r="Q261" s="400">
        <v>3833843.0</v>
      </c>
      <c r="R261" s="268"/>
      <c r="S261" s="364" t="s">
        <v>451</v>
      </c>
      <c r="T261" s="401" t="s">
        <v>1849</v>
      </c>
      <c r="U261" s="342">
        <v>3762190.0</v>
      </c>
      <c r="V261" s="268"/>
      <c r="W261" s="364" t="s">
        <v>451</v>
      </c>
      <c r="X261" s="401" t="s">
        <v>1849</v>
      </c>
      <c r="Y261" s="342">
        <v>4772069.0</v>
      </c>
      <c r="Z261" s="268"/>
      <c r="AA261" s="364" t="s">
        <v>451</v>
      </c>
      <c r="AB261" s="401" t="s">
        <v>1849</v>
      </c>
      <c r="AC261" s="305">
        <v>3695298.0</v>
      </c>
      <c r="AD261" s="306"/>
      <c r="AE261" s="377"/>
      <c r="AF261" s="377"/>
      <c r="AG261" s="377"/>
      <c r="AH261" s="377"/>
      <c r="AI261" s="377"/>
      <c r="AJ261" s="273"/>
      <c r="AK261" s="274"/>
      <c r="AL261" s="275">
        <f>MATCH(B261,'Key Findings'!B:B,0)</f>
        <v>42</v>
      </c>
      <c r="AM261" s="274" t="b">
        <f t="shared" si="1"/>
        <v>0</v>
      </c>
      <c r="AN261" s="294"/>
    </row>
    <row r="262">
      <c r="A262" s="299">
        <f t="array" ref="A262">INDEX('Federal Tax, Stock Buybacks, &amp; '!D:D,match(B262,'Federal Tax, Stock Buybacks, &amp; '!E:E,0))</f>
        <v>370</v>
      </c>
      <c r="B262" s="300" t="s">
        <v>25</v>
      </c>
      <c r="C262" s="398"/>
      <c r="D262" s="401"/>
      <c r="E262" s="399"/>
      <c r="F262" s="268"/>
      <c r="G262" s="398"/>
      <c r="H262" s="401"/>
      <c r="I262" s="399"/>
      <c r="J262" s="268"/>
      <c r="K262" s="398" t="s">
        <v>629</v>
      </c>
      <c r="L262" s="401" t="s">
        <v>1850</v>
      </c>
      <c r="M262" s="399">
        <v>3839695.0</v>
      </c>
      <c r="N262" s="268"/>
      <c r="O262" s="364" t="s">
        <v>596</v>
      </c>
      <c r="P262" s="401" t="s">
        <v>1851</v>
      </c>
      <c r="Q262" s="400">
        <v>2757368.0</v>
      </c>
      <c r="R262" s="268"/>
      <c r="S262" s="364" t="s">
        <v>596</v>
      </c>
      <c r="T262" s="401" t="s">
        <v>1851</v>
      </c>
      <c r="U262" s="342">
        <v>2679613.0</v>
      </c>
      <c r="V262" s="268"/>
      <c r="W262" s="364" t="s">
        <v>635</v>
      </c>
      <c r="X262" s="369" t="s">
        <v>1852</v>
      </c>
      <c r="Y262" s="342">
        <v>3455849.0</v>
      </c>
      <c r="Z262" s="268"/>
      <c r="AA262" s="364" t="s">
        <v>655</v>
      </c>
      <c r="AB262" s="302" t="s">
        <v>1853</v>
      </c>
      <c r="AC262" s="305">
        <v>2557327.0</v>
      </c>
      <c r="AD262" s="306"/>
      <c r="AE262" s="377"/>
      <c r="AF262" s="377"/>
      <c r="AG262" s="377"/>
      <c r="AH262" s="377"/>
      <c r="AI262" s="377"/>
      <c r="AJ262" s="273"/>
      <c r="AK262" s="274"/>
      <c r="AL262" s="275">
        <f>MATCH(B262,'Key Findings'!B:B,0)</f>
        <v>42</v>
      </c>
      <c r="AM262" s="274" t="b">
        <f t="shared" si="1"/>
        <v>0</v>
      </c>
      <c r="AN262" s="291"/>
    </row>
    <row r="263">
      <c r="A263" s="299">
        <f t="array" ref="A263">INDEX('Federal Tax, Stock Buybacks, &amp; '!D:D,match(B263,'Federal Tax, Stock Buybacks, &amp; '!E:E,0))</f>
        <v>520</v>
      </c>
      <c r="B263" s="130" t="s">
        <v>46</v>
      </c>
      <c r="C263" s="282"/>
      <c r="D263" s="373"/>
      <c r="E263" s="284"/>
      <c r="F263" s="268"/>
      <c r="G263" s="282"/>
      <c r="H263" s="373"/>
      <c r="I263" s="284"/>
      <c r="J263" s="268"/>
      <c r="K263" s="282" t="s">
        <v>195</v>
      </c>
      <c r="L263" s="373"/>
      <c r="M263" s="284">
        <v>1.6647413E7</v>
      </c>
      <c r="N263" s="268"/>
      <c r="O263" s="285" t="s">
        <v>195</v>
      </c>
      <c r="P263" s="374"/>
      <c r="Q263" s="284">
        <v>1.5967631E7</v>
      </c>
      <c r="R263" s="268"/>
      <c r="S263" s="285" t="s">
        <v>195</v>
      </c>
      <c r="T263" s="295"/>
      <c r="U263" s="284">
        <v>1.3610481E7</v>
      </c>
      <c r="V263" s="268"/>
      <c r="W263" s="285" t="s">
        <v>195</v>
      </c>
      <c r="X263" s="295"/>
      <c r="Y263" s="284">
        <v>1.2520566E7</v>
      </c>
      <c r="Z263" s="268"/>
      <c r="AA263" s="285" t="s">
        <v>195</v>
      </c>
      <c r="AB263" s="334"/>
      <c r="AC263" s="287">
        <v>1.170823E7</v>
      </c>
      <c r="AD263" s="288"/>
      <c r="AE263" s="391">
        <v>2022.0</v>
      </c>
      <c r="AF263" s="391">
        <v>2021.0</v>
      </c>
      <c r="AG263" s="391">
        <v>2020.0</v>
      </c>
      <c r="AH263" s="391">
        <v>2019.0</v>
      </c>
      <c r="AI263" s="391">
        <v>2018.0</v>
      </c>
      <c r="AJ263" s="290" t="s">
        <v>1854</v>
      </c>
      <c r="AK263" s="281"/>
      <c r="AL263" s="259">
        <f>MATCH(B263,'Key Findings'!B:B,0)</f>
        <v>43</v>
      </c>
      <c r="AM263" s="260" t="b">
        <f t="shared" si="1"/>
        <v>1</v>
      </c>
      <c r="AN263" s="294"/>
    </row>
    <row r="264">
      <c r="A264" s="299">
        <f t="array" ref="A264">INDEX('Federal Tax, Stock Buybacks, &amp; '!D:D,match(B264,'Federal Tax, Stock Buybacks, &amp; '!E:E,0))</f>
        <v>520</v>
      </c>
      <c r="B264" s="130" t="s">
        <v>46</v>
      </c>
      <c r="C264" s="282"/>
      <c r="D264" s="373"/>
      <c r="E264" s="284"/>
      <c r="F264" s="268"/>
      <c r="G264" s="282"/>
      <c r="H264" s="373"/>
      <c r="I264" s="284"/>
      <c r="J264" s="268"/>
      <c r="K264" s="282" t="s">
        <v>276</v>
      </c>
      <c r="L264" s="373"/>
      <c r="M264" s="284">
        <v>4790676.0</v>
      </c>
      <c r="N264" s="268"/>
      <c r="O264" s="285" t="s">
        <v>276</v>
      </c>
      <c r="P264" s="374"/>
      <c r="Q264" s="284">
        <v>4711733.0</v>
      </c>
      <c r="R264" s="268"/>
      <c r="S264" s="285" t="s">
        <v>276</v>
      </c>
      <c r="T264" s="295"/>
      <c r="U264" s="284">
        <v>3665071.0</v>
      </c>
      <c r="V264" s="268"/>
      <c r="W264" s="285" t="s">
        <v>276</v>
      </c>
      <c r="X264" s="295"/>
      <c r="Y264" s="284">
        <v>4379242.0</v>
      </c>
      <c r="Z264" s="268"/>
      <c r="AA264" s="285" t="s">
        <v>276</v>
      </c>
      <c r="AB264" s="334"/>
      <c r="AC264" s="287">
        <v>6581863.0</v>
      </c>
      <c r="AD264" s="288"/>
      <c r="AE264" s="292"/>
      <c r="AF264" s="292"/>
      <c r="AG264" s="292"/>
      <c r="AH264" s="292"/>
      <c r="AI264" s="292"/>
      <c r="AJ264" s="293"/>
      <c r="AK264" s="281"/>
      <c r="AL264" s="259">
        <f>MATCH(B264,'Key Findings'!B:B,0)</f>
        <v>43</v>
      </c>
      <c r="AM264" s="260" t="b">
        <f t="shared" si="1"/>
        <v>1</v>
      </c>
      <c r="AN264" s="294"/>
    </row>
    <row r="265">
      <c r="A265" s="299">
        <f t="array" ref="A265">INDEX('Federal Tax, Stock Buybacks, &amp; '!D:D,match(B265,'Federal Tax, Stock Buybacks, &amp; '!E:E,0))</f>
        <v>520</v>
      </c>
      <c r="B265" s="130" t="s">
        <v>46</v>
      </c>
      <c r="C265" s="282"/>
      <c r="D265" s="373"/>
      <c r="E265" s="284"/>
      <c r="F265" s="268"/>
      <c r="G265" s="282"/>
      <c r="H265" s="373"/>
      <c r="I265" s="284"/>
      <c r="J265" s="268"/>
      <c r="K265" s="282" t="s">
        <v>206</v>
      </c>
      <c r="L265" s="373"/>
      <c r="M265" s="284">
        <v>4060081.0</v>
      </c>
      <c r="N265" s="268"/>
      <c r="O265" s="285" t="s">
        <v>206</v>
      </c>
      <c r="P265" s="374"/>
      <c r="Q265" s="284">
        <v>3802349.0</v>
      </c>
      <c r="R265" s="268"/>
      <c r="S265" s="285" t="s">
        <v>206</v>
      </c>
      <c r="T265" s="295"/>
      <c r="U265" s="284">
        <v>3074102.0</v>
      </c>
      <c r="V265" s="268"/>
      <c r="W265" s="285" t="s">
        <v>206</v>
      </c>
      <c r="X265" s="295"/>
      <c r="Y265" s="284">
        <v>2897546.0</v>
      </c>
      <c r="Z265" s="268"/>
      <c r="AA265" s="285" t="s">
        <v>206</v>
      </c>
      <c r="AB265" s="334"/>
      <c r="AC265" s="287">
        <v>3015792.0</v>
      </c>
      <c r="AD265" s="288"/>
      <c r="AE265" s="292"/>
      <c r="AF265" s="292"/>
      <c r="AG265" s="292"/>
      <c r="AH265" s="292"/>
      <c r="AI265" s="292"/>
      <c r="AJ265" s="293"/>
      <c r="AK265" s="281"/>
      <c r="AL265" s="259">
        <f>MATCH(B265,'Key Findings'!B:B,0)</f>
        <v>43</v>
      </c>
      <c r="AM265" s="260" t="b">
        <f t="shared" si="1"/>
        <v>1</v>
      </c>
      <c r="AN265" s="294"/>
    </row>
    <row r="266">
      <c r="A266" s="299">
        <f t="array" ref="A266">INDEX('Federal Tax, Stock Buybacks, &amp; '!D:D,match(B266,'Federal Tax, Stock Buybacks, &amp; '!E:E,0))</f>
        <v>520</v>
      </c>
      <c r="B266" s="130" t="s">
        <v>46</v>
      </c>
      <c r="C266" s="282"/>
      <c r="D266" s="373"/>
      <c r="E266" s="284"/>
      <c r="F266" s="268"/>
      <c r="G266" s="282"/>
      <c r="H266" s="373"/>
      <c r="I266" s="284"/>
      <c r="J266" s="268"/>
      <c r="K266" s="282" t="s">
        <v>545</v>
      </c>
      <c r="L266" s="373"/>
      <c r="M266" s="284">
        <v>4456079.0</v>
      </c>
      <c r="N266" s="268"/>
      <c r="O266" s="285" t="s">
        <v>577</v>
      </c>
      <c r="P266" s="374"/>
      <c r="Q266" s="284">
        <v>3243927.0</v>
      </c>
      <c r="R266" s="268"/>
      <c r="S266" s="285" t="s">
        <v>536</v>
      </c>
      <c r="T266" s="295"/>
      <c r="U266" s="284">
        <v>2439705.0</v>
      </c>
      <c r="V266" s="268"/>
      <c r="W266" s="285" t="s">
        <v>536</v>
      </c>
      <c r="X266" s="295"/>
      <c r="Y266" s="284">
        <v>2343354.0</v>
      </c>
      <c r="Z266" s="268"/>
      <c r="AA266" s="285" t="s">
        <v>551</v>
      </c>
      <c r="AB266" s="334"/>
      <c r="AC266" s="287">
        <v>4172419.0</v>
      </c>
      <c r="AD266" s="288"/>
      <c r="AE266" s="292"/>
      <c r="AF266" s="292"/>
      <c r="AG266" s="292"/>
      <c r="AH266" s="292"/>
      <c r="AI266" s="292"/>
      <c r="AJ266" s="293"/>
      <c r="AK266" s="281"/>
      <c r="AL266" s="259">
        <f>MATCH(B266,'Key Findings'!B:B,0)</f>
        <v>43</v>
      </c>
      <c r="AM266" s="260" t="b">
        <f t="shared" si="1"/>
        <v>1</v>
      </c>
      <c r="AN266" s="294"/>
    </row>
    <row r="267">
      <c r="A267" s="299">
        <f t="array" ref="A267">INDEX('Federal Tax, Stock Buybacks, &amp; '!D:D,match(B267,'Federal Tax, Stock Buybacks, &amp; '!E:E,0))</f>
        <v>520</v>
      </c>
      <c r="B267" s="130" t="s">
        <v>46</v>
      </c>
      <c r="C267" s="282"/>
      <c r="D267" s="373"/>
      <c r="E267" s="284"/>
      <c r="F267" s="268"/>
      <c r="G267" s="282"/>
      <c r="H267" s="373"/>
      <c r="I267" s="284"/>
      <c r="J267" s="268"/>
      <c r="K267" s="282" t="s">
        <v>442</v>
      </c>
      <c r="L267" s="373"/>
      <c r="M267" s="284">
        <v>3358852.0</v>
      </c>
      <c r="N267" s="268"/>
      <c r="O267" s="285" t="s">
        <v>442</v>
      </c>
      <c r="P267" s="374"/>
      <c r="Q267" s="284">
        <v>3262887.0</v>
      </c>
      <c r="R267" s="268"/>
      <c r="S267" s="285" t="s">
        <v>442</v>
      </c>
      <c r="T267" s="295"/>
      <c r="U267" s="284">
        <v>2471060.0</v>
      </c>
      <c r="V267" s="268"/>
      <c r="W267" s="285" t="s">
        <v>426</v>
      </c>
      <c r="X267" s="295"/>
      <c r="Y267" s="284">
        <v>3428935.0</v>
      </c>
      <c r="Z267" s="268"/>
      <c r="AA267" s="285" t="s">
        <v>426</v>
      </c>
      <c r="AB267" s="334"/>
      <c r="AC267" s="287">
        <v>3321646.0</v>
      </c>
      <c r="AD267" s="288"/>
      <c r="AE267" s="292"/>
      <c r="AF267" s="292"/>
      <c r="AG267" s="292"/>
      <c r="AH267" s="292"/>
      <c r="AI267" s="292"/>
      <c r="AJ267" s="293"/>
      <c r="AK267" s="281"/>
      <c r="AL267" s="259">
        <f>MATCH(B267,'Key Findings'!B:B,0)</f>
        <v>43</v>
      </c>
      <c r="AM267" s="260" t="b">
        <f t="shared" si="1"/>
        <v>1</v>
      </c>
      <c r="AN267" s="294"/>
    </row>
    <row r="268">
      <c r="A268" s="299">
        <f t="array" ref="A268">INDEX('Federal Tax, Stock Buybacks, &amp; '!D:D,match(B268,'Federal Tax, Stock Buybacks, &amp; '!E:E,0))</f>
        <v>520</v>
      </c>
      <c r="B268" s="130" t="s">
        <v>46</v>
      </c>
      <c r="C268" s="376"/>
      <c r="D268" s="375"/>
      <c r="E268" s="360"/>
      <c r="F268" s="268"/>
      <c r="G268" s="376"/>
      <c r="H268" s="375"/>
      <c r="I268" s="360"/>
      <c r="J268" s="268"/>
      <c r="K268" s="376" t="s">
        <v>711</v>
      </c>
      <c r="L268" s="375" t="s">
        <v>711</v>
      </c>
      <c r="M268" s="360" t="s">
        <v>711</v>
      </c>
      <c r="N268" s="268"/>
      <c r="O268" s="375" t="s">
        <v>711</v>
      </c>
      <c r="P268" s="375" t="s">
        <v>711</v>
      </c>
      <c r="Q268" s="360" t="s">
        <v>711</v>
      </c>
      <c r="R268" s="268"/>
      <c r="S268" s="285" t="s">
        <v>426</v>
      </c>
      <c r="T268" s="295"/>
      <c r="U268" s="284">
        <v>3643380.0</v>
      </c>
      <c r="V268" s="268"/>
      <c r="W268" s="375" t="s">
        <v>711</v>
      </c>
      <c r="X268" s="375" t="s">
        <v>711</v>
      </c>
      <c r="Y268" s="360" t="s">
        <v>711</v>
      </c>
      <c r="Z268" s="268"/>
      <c r="AA268" s="285" t="s">
        <v>614</v>
      </c>
      <c r="AB268" s="334"/>
      <c r="AC268" s="287">
        <v>2212764.0</v>
      </c>
      <c r="AD268" s="288"/>
      <c r="AE268" s="292"/>
      <c r="AF268" s="292"/>
      <c r="AG268" s="292"/>
      <c r="AH268" s="292"/>
      <c r="AI268" s="292"/>
      <c r="AJ268" s="293"/>
      <c r="AK268" s="281"/>
      <c r="AL268" s="259">
        <f>MATCH(B268,'Key Findings'!B:B,0)</f>
        <v>43</v>
      </c>
      <c r="AM268" s="260" t="b">
        <f t="shared" si="1"/>
        <v>1</v>
      </c>
      <c r="AN268" s="294"/>
    </row>
    <row r="269">
      <c r="A269" s="299">
        <f t="array" ref="A269">INDEX('Federal Tax, Stock Buybacks, &amp; '!D:D,match(B269,'Federal Tax, Stock Buybacks, &amp; '!E:E,0))</f>
        <v>470</v>
      </c>
      <c r="B269" s="422" t="s">
        <v>37</v>
      </c>
      <c r="C269" s="454"/>
      <c r="D269" s="413"/>
      <c r="E269" s="342"/>
      <c r="F269" s="268"/>
      <c r="G269" s="454"/>
      <c r="H269" s="413"/>
      <c r="I269" s="342"/>
      <c r="J269" s="268"/>
      <c r="K269" s="454" t="s">
        <v>144</v>
      </c>
      <c r="L269" s="413" t="s">
        <v>1855</v>
      </c>
      <c r="M269" s="342">
        <v>9146575.0</v>
      </c>
      <c r="N269" s="268"/>
      <c r="O269" s="303" t="s">
        <v>144</v>
      </c>
      <c r="P269" s="455" t="s">
        <v>1855</v>
      </c>
      <c r="Q269" s="342">
        <v>1.1356481E7</v>
      </c>
      <c r="R269" s="268"/>
      <c r="S269" s="303" t="s">
        <v>144</v>
      </c>
      <c r="T269" s="455" t="s">
        <v>1855</v>
      </c>
      <c r="U269" s="342">
        <v>7774443.0</v>
      </c>
      <c r="V269" s="268"/>
      <c r="W269" s="303" t="s">
        <v>144</v>
      </c>
      <c r="X269" s="455" t="s">
        <v>1855</v>
      </c>
      <c r="Y269" s="342">
        <v>4731409.0</v>
      </c>
      <c r="Z269" s="268"/>
      <c r="AA269" s="303" t="s">
        <v>144</v>
      </c>
      <c r="AB269" s="455" t="s">
        <v>1855</v>
      </c>
      <c r="AC269" s="305">
        <v>2935195.0</v>
      </c>
      <c r="AD269" s="306"/>
      <c r="AE269" s="366">
        <v>2022.0</v>
      </c>
      <c r="AF269" s="366">
        <v>2021.0</v>
      </c>
      <c r="AG269" s="366">
        <v>2020.0</v>
      </c>
      <c r="AH269" s="366">
        <v>2019.0</v>
      </c>
      <c r="AI269" s="366">
        <v>2018.0</v>
      </c>
      <c r="AJ269" s="325" t="s">
        <v>1578</v>
      </c>
      <c r="AK269" s="300"/>
      <c r="AL269" s="275">
        <f>MATCH(B269,'Key Findings'!B:B,0)</f>
        <v>44</v>
      </c>
      <c r="AM269" s="274" t="b">
        <f t="shared" si="1"/>
        <v>0</v>
      </c>
      <c r="AN269" s="294"/>
    </row>
    <row r="270">
      <c r="A270" s="299">
        <f t="array" ref="A270">INDEX('Federal Tax, Stock Buybacks, &amp; '!D:D,match(B270,'Federal Tax, Stock Buybacks, &amp; '!E:E,0))</f>
        <v>470</v>
      </c>
      <c r="B270" s="422" t="s">
        <v>37</v>
      </c>
      <c r="C270" s="454"/>
      <c r="D270" s="413"/>
      <c r="E270" s="342"/>
      <c r="F270" s="268"/>
      <c r="G270" s="454"/>
      <c r="H270" s="413"/>
      <c r="I270" s="342"/>
      <c r="J270" s="268"/>
      <c r="K270" s="454" t="s">
        <v>200</v>
      </c>
      <c r="L270" s="413" t="s">
        <v>1856</v>
      </c>
      <c r="M270" s="342">
        <v>3606120.0</v>
      </c>
      <c r="N270" s="268"/>
      <c r="O270" s="303" t="s">
        <v>200</v>
      </c>
      <c r="P270" s="455" t="s">
        <v>1856</v>
      </c>
      <c r="Q270" s="342">
        <v>4041484.0</v>
      </c>
      <c r="R270" s="268"/>
      <c r="S270" s="303" t="s">
        <v>200</v>
      </c>
      <c r="T270" s="455" t="s">
        <v>1856</v>
      </c>
      <c r="U270" s="342">
        <v>3062093.0</v>
      </c>
      <c r="V270" s="268"/>
      <c r="W270" s="303" t="s">
        <v>200</v>
      </c>
      <c r="X270" s="455" t="s">
        <v>1856</v>
      </c>
      <c r="Y270" s="342">
        <v>3260761.0</v>
      </c>
      <c r="Z270" s="268"/>
      <c r="AA270" s="303" t="s">
        <v>200</v>
      </c>
      <c r="AB270" s="455" t="s">
        <v>1856</v>
      </c>
      <c r="AC270" s="305">
        <v>2596686.0</v>
      </c>
      <c r="AD270" s="306"/>
      <c r="AE270" s="308"/>
      <c r="AF270" s="308"/>
      <c r="AG270" s="308"/>
      <c r="AH270" s="308"/>
      <c r="AI270" s="308"/>
      <c r="AJ270" s="368"/>
      <c r="AK270" s="300"/>
      <c r="AL270" s="275">
        <f>MATCH(B270,'Key Findings'!B:B,0)</f>
        <v>44</v>
      </c>
      <c r="AM270" s="274" t="b">
        <f t="shared" si="1"/>
        <v>0</v>
      </c>
      <c r="AN270" s="294"/>
    </row>
    <row r="271">
      <c r="A271" s="299">
        <f t="array" ref="A271">INDEX('Federal Tax, Stock Buybacks, &amp; '!D:D,match(B271,'Federal Tax, Stock Buybacks, &amp; '!E:E,0))</f>
        <v>470</v>
      </c>
      <c r="B271" s="422" t="s">
        <v>37</v>
      </c>
      <c r="C271" s="454"/>
      <c r="D271" s="413"/>
      <c r="E271" s="342"/>
      <c r="F271" s="268"/>
      <c r="G271" s="454"/>
      <c r="H271" s="413"/>
      <c r="I271" s="342"/>
      <c r="J271" s="268"/>
      <c r="K271" s="454" t="s">
        <v>466</v>
      </c>
      <c r="L271" s="413" t="s">
        <v>1857</v>
      </c>
      <c r="M271" s="342">
        <v>3068826.0</v>
      </c>
      <c r="N271" s="268"/>
      <c r="O271" s="303" t="s">
        <v>466</v>
      </c>
      <c r="P271" s="455" t="s">
        <v>1857</v>
      </c>
      <c r="Q271" s="342">
        <v>3938769.0</v>
      </c>
      <c r="R271" s="268"/>
      <c r="S271" s="303" t="s">
        <v>466</v>
      </c>
      <c r="T271" s="455" t="s">
        <v>1857</v>
      </c>
      <c r="U271" s="342">
        <v>3535007.0</v>
      </c>
      <c r="V271" s="268"/>
      <c r="W271" s="303" t="s">
        <v>466</v>
      </c>
      <c r="X271" s="455" t="s">
        <v>1857</v>
      </c>
      <c r="Y271" s="342">
        <v>2225441.0</v>
      </c>
      <c r="Z271" s="268"/>
      <c r="AA271" s="364" t="s">
        <v>526</v>
      </c>
      <c r="AB271" s="302" t="s">
        <v>1858</v>
      </c>
      <c r="AC271" s="305">
        <v>8967178.0</v>
      </c>
      <c r="AD271" s="306"/>
      <c r="AE271" s="308"/>
      <c r="AF271" s="308"/>
      <c r="AG271" s="308"/>
      <c r="AH271" s="308"/>
      <c r="AI271" s="308"/>
      <c r="AJ271" s="368"/>
      <c r="AK271" s="300"/>
      <c r="AL271" s="275">
        <f>MATCH(B271,'Key Findings'!B:B,0)</f>
        <v>44</v>
      </c>
      <c r="AM271" s="274" t="b">
        <f t="shared" si="1"/>
        <v>0</v>
      </c>
      <c r="AN271" s="294"/>
    </row>
    <row r="272">
      <c r="A272" s="299">
        <f t="array" ref="A272">INDEX('Federal Tax, Stock Buybacks, &amp; '!D:D,match(B272,'Federal Tax, Stock Buybacks, &amp; '!E:E,0))</f>
        <v>470</v>
      </c>
      <c r="B272" s="422" t="s">
        <v>37</v>
      </c>
      <c r="C272" s="454"/>
      <c r="D272" s="413"/>
      <c r="E272" s="342"/>
      <c r="F272" s="268"/>
      <c r="G272" s="454"/>
      <c r="H272" s="413"/>
      <c r="I272" s="342"/>
      <c r="J272" s="268"/>
      <c r="K272" s="454" t="s">
        <v>599</v>
      </c>
      <c r="L272" s="413" t="s">
        <v>1859</v>
      </c>
      <c r="M272" s="342">
        <v>2420720.0</v>
      </c>
      <c r="N272" s="268"/>
      <c r="O272" s="303" t="s">
        <v>599</v>
      </c>
      <c r="P272" s="455" t="s">
        <v>1859</v>
      </c>
      <c r="Q272" s="342">
        <v>2160402.0</v>
      </c>
      <c r="R272" s="268"/>
      <c r="S272" s="364" t="s">
        <v>361</v>
      </c>
      <c r="T272" s="369" t="s">
        <v>1860</v>
      </c>
      <c r="U272" s="342">
        <v>9926113.0</v>
      </c>
      <c r="V272" s="268"/>
      <c r="W272" s="364" t="s">
        <v>361</v>
      </c>
      <c r="X272" s="369" t="s">
        <v>1655</v>
      </c>
      <c r="Y272" s="342">
        <v>1.4142567E7</v>
      </c>
      <c r="Z272" s="268"/>
      <c r="AA272" s="364" t="s">
        <v>361</v>
      </c>
      <c r="AB272" s="369" t="s">
        <v>1655</v>
      </c>
      <c r="AC272" s="305">
        <v>1.1338785E7</v>
      </c>
      <c r="AD272" s="306"/>
      <c r="AE272" s="308"/>
      <c r="AF272" s="308"/>
      <c r="AG272" s="308"/>
      <c r="AH272" s="308"/>
      <c r="AI272" s="308"/>
      <c r="AJ272" s="368"/>
      <c r="AK272" s="300"/>
      <c r="AL272" s="275">
        <f>MATCH(B272,'Key Findings'!B:B,0)</f>
        <v>44</v>
      </c>
      <c r="AM272" s="274" t="b">
        <f t="shared" si="1"/>
        <v>0</v>
      </c>
      <c r="AN272" s="294"/>
    </row>
    <row r="273">
      <c r="A273" s="299">
        <f t="array" ref="A273">INDEX('Federal Tax, Stock Buybacks, &amp; '!D:D,match(B273,'Federal Tax, Stock Buybacks, &amp; '!E:E,0))</f>
        <v>470</v>
      </c>
      <c r="B273" s="422" t="s">
        <v>37</v>
      </c>
      <c r="C273" s="454"/>
      <c r="D273" s="413"/>
      <c r="E273" s="342"/>
      <c r="F273" s="268"/>
      <c r="G273" s="454"/>
      <c r="H273" s="413"/>
      <c r="I273" s="342"/>
      <c r="J273" s="268"/>
      <c r="K273" s="454" t="s">
        <v>665</v>
      </c>
      <c r="L273" s="413" t="s">
        <v>1861</v>
      </c>
      <c r="M273" s="342">
        <v>1752243.0</v>
      </c>
      <c r="N273" s="268"/>
      <c r="O273" s="364" t="s">
        <v>433</v>
      </c>
      <c r="P273" s="401" t="s">
        <v>1862</v>
      </c>
      <c r="Q273" s="342">
        <v>4197328.0</v>
      </c>
      <c r="R273" s="268"/>
      <c r="S273" s="364" t="s">
        <v>433</v>
      </c>
      <c r="T273" s="401" t="s">
        <v>1862</v>
      </c>
      <c r="U273" s="342">
        <v>5148755.0</v>
      </c>
      <c r="V273" s="268"/>
      <c r="W273" s="364" t="s">
        <v>433</v>
      </c>
      <c r="X273" s="401" t="s">
        <v>1862</v>
      </c>
      <c r="Y273" s="342">
        <v>5420963.0</v>
      </c>
      <c r="Z273" s="268"/>
      <c r="AA273" s="364" t="s">
        <v>433</v>
      </c>
      <c r="AB273" s="401" t="s">
        <v>1862</v>
      </c>
      <c r="AC273" s="305">
        <v>2748560.0</v>
      </c>
      <c r="AD273" s="306"/>
      <c r="AE273" s="308"/>
      <c r="AF273" s="308"/>
      <c r="AG273" s="308"/>
      <c r="AH273" s="308"/>
      <c r="AI273" s="308"/>
      <c r="AJ273" s="368"/>
      <c r="AK273" s="300"/>
      <c r="AL273" s="275">
        <f>MATCH(B273,'Key Findings'!B:B,0)</f>
        <v>44</v>
      </c>
      <c r="AM273" s="274" t="b">
        <f t="shared" si="1"/>
        <v>0</v>
      </c>
      <c r="AN273" s="294"/>
    </row>
    <row r="274">
      <c r="A274" s="299">
        <f t="array" ref="A274">INDEX('Federal Tax, Stock Buybacks, &amp; '!D:D,match(B274,'Federal Tax, Stock Buybacks, &amp; '!E:E,0))</f>
        <v>470</v>
      </c>
      <c r="B274" s="422" t="s">
        <v>37</v>
      </c>
      <c r="C274" s="279"/>
      <c r="D274" s="280"/>
      <c r="E274" s="267"/>
      <c r="F274" s="268"/>
      <c r="G274" s="279"/>
      <c r="H274" s="280"/>
      <c r="I274" s="267"/>
      <c r="J274" s="268"/>
      <c r="K274" s="279" t="s">
        <v>711</v>
      </c>
      <c r="L274" s="280" t="s">
        <v>711</v>
      </c>
      <c r="M274" s="267" t="s">
        <v>711</v>
      </c>
      <c r="N274" s="268"/>
      <c r="O274" s="364" t="s">
        <v>581</v>
      </c>
      <c r="P274" s="401" t="s">
        <v>1863</v>
      </c>
      <c r="Q274" s="342">
        <v>5546128.0</v>
      </c>
      <c r="R274" s="268"/>
      <c r="S274" s="364" t="s">
        <v>494</v>
      </c>
      <c r="T274" s="369" t="s">
        <v>1864</v>
      </c>
      <c r="U274" s="342">
        <v>3228156.0</v>
      </c>
      <c r="V274" s="268"/>
      <c r="W274" s="364" t="s">
        <v>494</v>
      </c>
      <c r="X274" s="369" t="s">
        <v>1864</v>
      </c>
      <c r="Y274" s="342">
        <v>4507984.0</v>
      </c>
      <c r="Z274" s="268"/>
      <c r="AA274" s="364" t="s">
        <v>494</v>
      </c>
      <c r="AB274" s="369" t="s">
        <v>1864</v>
      </c>
      <c r="AC274" s="305">
        <v>3000191.0</v>
      </c>
      <c r="AD274" s="306"/>
      <c r="AE274" s="308"/>
      <c r="AF274" s="308"/>
      <c r="AG274" s="308"/>
      <c r="AH274" s="308"/>
      <c r="AI274" s="308"/>
      <c r="AJ274" s="368"/>
      <c r="AK274" s="300"/>
      <c r="AL274" s="275">
        <f>MATCH(B274,'Key Findings'!B:B,0)</f>
        <v>44</v>
      </c>
      <c r="AM274" s="274" t="b">
        <f t="shared" si="1"/>
        <v>0</v>
      </c>
      <c r="AN274" s="294"/>
    </row>
    <row r="275">
      <c r="A275" s="169">
        <f t="array" ref="A275">INDEX('Federal Tax, Stock Buybacks, &amp; '!D:D,match(B275,'Federal Tax, Stock Buybacks, &amp; '!E:E,0))</f>
        <v>11</v>
      </c>
      <c r="B275" s="125" t="s">
        <v>36</v>
      </c>
      <c r="C275" s="456"/>
      <c r="D275" s="445"/>
      <c r="E275" s="297"/>
      <c r="F275" s="268"/>
      <c r="G275" s="456"/>
      <c r="H275" s="445"/>
      <c r="I275" s="297"/>
      <c r="J275" s="268"/>
      <c r="K275" s="456" t="s">
        <v>301</v>
      </c>
      <c r="L275" s="445" t="s">
        <v>1815</v>
      </c>
      <c r="M275" s="297">
        <v>1.6735752E7</v>
      </c>
      <c r="N275" s="268"/>
      <c r="O275" s="390" t="s">
        <v>301</v>
      </c>
      <c r="P275" s="446" t="s">
        <v>1815</v>
      </c>
      <c r="Q275" s="297">
        <v>1.4873815E7</v>
      </c>
      <c r="R275" s="268"/>
      <c r="S275" s="390" t="s">
        <v>301</v>
      </c>
      <c r="T275" s="447" t="s">
        <v>1815</v>
      </c>
      <c r="U275" s="297">
        <v>1.429514E7</v>
      </c>
      <c r="V275" s="268"/>
      <c r="W275" s="390" t="s">
        <v>301</v>
      </c>
      <c r="X275" s="447" t="s">
        <v>1815</v>
      </c>
      <c r="Y275" s="297">
        <v>1.130993E7</v>
      </c>
      <c r="Z275" s="268"/>
      <c r="AA275" s="390" t="s">
        <v>301</v>
      </c>
      <c r="AB275" s="448" t="s">
        <v>1815</v>
      </c>
      <c r="AC275" s="396">
        <v>1.1514115E7</v>
      </c>
      <c r="AD275" s="288"/>
      <c r="AE275" s="356">
        <v>2022.0</v>
      </c>
      <c r="AF275" s="356">
        <v>2021.0</v>
      </c>
      <c r="AG275" s="356">
        <v>2020.0</v>
      </c>
      <c r="AH275" s="356">
        <v>2019.0</v>
      </c>
      <c r="AI275" s="356">
        <v>2018.0</v>
      </c>
      <c r="AJ275" s="382" t="s">
        <v>1865</v>
      </c>
      <c r="AK275" s="452"/>
      <c r="AL275" s="259">
        <f>MATCH(B275,'Key Findings'!B:B,0)</f>
        <v>45</v>
      </c>
      <c r="AM275" s="260" t="b">
        <f t="shared" si="1"/>
        <v>1</v>
      </c>
      <c r="AN275" s="291" t="s">
        <v>1534</v>
      </c>
    </row>
    <row r="276">
      <c r="A276" s="169">
        <f t="array" ref="A276">INDEX('Federal Tax, Stock Buybacks, &amp; '!D:D,match(B276,'Federal Tax, Stock Buybacks, &amp; '!E:E,0))</f>
        <v>11</v>
      </c>
      <c r="B276" s="125" t="s">
        <v>36</v>
      </c>
      <c r="C276" s="456"/>
      <c r="D276" s="445"/>
      <c r="E276" s="297"/>
      <c r="F276" s="268"/>
      <c r="G276" s="456"/>
      <c r="H276" s="445"/>
      <c r="I276" s="297"/>
      <c r="J276" s="268"/>
      <c r="K276" s="456" t="s">
        <v>337</v>
      </c>
      <c r="L276" s="445" t="s">
        <v>1832</v>
      </c>
      <c r="M276" s="297">
        <v>5818742.0</v>
      </c>
      <c r="N276" s="268"/>
      <c r="O276" s="390" t="s">
        <v>368</v>
      </c>
      <c r="P276" s="446" t="s">
        <v>1866</v>
      </c>
      <c r="Q276" s="297">
        <v>4414159.0</v>
      </c>
      <c r="R276" s="268"/>
      <c r="S276" s="390" t="s">
        <v>368</v>
      </c>
      <c r="T276" s="447" t="s">
        <v>1867</v>
      </c>
      <c r="U276" s="297">
        <v>4048839.0</v>
      </c>
      <c r="V276" s="268"/>
      <c r="W276" s="390" t="s">
        <v>368</v>
      </c>
      <c r="X276" s="447" t="s">
        <v>1868</v>
      </c>
      <c r="Y276" s="297">
        <v>3508615.0</v>
      </c>
      <c r="Z276" s="268"/>
      <c r="AA276" s="390" t="s">
        <v>368</v>
      </c>
      <c r="AB276" s="448" t="s">
        <v>1868</v>
      </c>
      <c r="AC276" s="396">
        <v>3570604.0</v>
      </c>
      <c r="AD276" s="288"/>
      <c r="AE276" s="292"/>
      <c r="AF276" s="410"/>
      <c r="AG276" s="410"/>
      <c r="AH276" s="410"/>
      <c r="AI276" s="410"/>
      <c r="AJ276" s="293"/>
      <c r="AK276" s="452"/>
      <c r="AL276" s="259">
        <f>MATCH(B276,'Key Findings'!B:B,0)</f>
        <v>45</v>
      </c>
      <c r="AM276" s="260" t="b">
        <f t="shared" si="1"/>
        <v>1</v>
      </c>
      <c r="AN276" s="294"/>
    </row>
    <row r="277">
      <c r="A277" s="169">
        <f t="array" ref="A277">INDEX('Federal Tax, Stock Buybacks, &amp; '!D:D,match(B277,'Federal Tax, Stock Buybacks, &amp; '!E:E,0))</f>
        <v>11</v>
      </c>
      <c r="B277" s="125" t="s">
        <v>36</v>
      </c>
      <c r="C277" s="457"/>
      <c r="D277" s="445"/>
      <c r="E277" s="297"/>
      <c r="F277" s="268"/>
      <c r="G277" s="457"/>
      <c r="H277" s="445"/>
      <c r="I277" s="297"/>
      <c r="J277" s="268"/>
      <c r="K277" s="457" t="s">
        <v>391</v>
      </c>
      <c r="L277" s="445" t="s">
        <v>1869</v>
      </c>
      <c r="M277" s="297">
        <v>3177160.0</v>
      </c>
      <c r="N277" s="268"/>
      <c r="O277" s="390" t="s">
        <v>337</v>
      </c>
      <c r="P277" s="446" t="s">
        <v>1832</v>
      </c>
      <c r="Q277" s="297">
        <v>5608097.0</v>
      </c>
      <c r="R277" s="268"/>
      <c r="S277" s="390" t="s">
        <v>337</v>
      </c>
      <c r="T277" s="447" t="s">
        <v>1832</v>
      </c>
      <c r="U277" s="297">
        <v>4309637.0</v>
      </c>
      <c r="V277" s="268"/>
      <c r="W277" s="390" t="s">
        <v>481</v>
      </c>
      <c r="X277" s="447" t="s">
        <v>1715</v>
      </c>
      <c r="Y277" s="297">
        <v>1367549.0</v>
      </c>
      <c r="Z277" s="268"/>
      <c r="AA277" s="390" t="s">
        <v>481</v>
      </c>
      <c r="AB277" s="448" t="s">
        <v>1715</v>
      </c>
      <c r="AC277" s="396">
        <v>4085699.0</v>
      </c>
      <c r="AD277" s="288"/>
      <c r="AE277" s="292"/>
      <c r="AF277" s="410"/>
      <c r="AG277" s="410"/>
      <c r="AH277" s="410"/>
      <c r="AI277" s="410"/>
      <c r="AJ277" s="293"/>
      <c r="AK277" s="452"/>
      <c r="AL277" s="259">
        <f>MATCH(B277,'Key Findings'!B:B,0)</f>
        <v>45</v>
      </c>
      <c r="AM277" s="260" t="b">
        <f t="shared" si="1"/>
        <v>1</v>
      </c>
      <c r="AN277" s="294"/>
    </row>
    <row r="278">
      <c r="A278" s="169">
        <f t="array" ref="A278">INDEX('Federal Tax, Stock Buybacks, &amp; '!D:D,match(B278,'Federal Tax, Stock Buybacks, &amp; '!E:E,0))</f>
        <v>11</v>
      </c>
      <c r="B278" s="125" t="s">
        <v>36</v>
      </c>
      <c r="C278" s="457"/>
      <c r="D278" s="445"/>
      <c r="E278" s="297"/>
      <c r="F278" s="268"/>
      <c r="G278" s="457"/>
      <c r="H278" s="445"/>
      <c r="I278" s="297"/>
      <c r="J278" s="268"/>
      <c r="K278" s="457" t="s">
        <v>342</v>
      </c>
      <c r="L278" s="445" t="s">
        <v>1585</v>
      </c>
      <c r="M278" s="297">
        <v>5321701.0</v>
      </c>
      <c r="N278" s="268"/>
      <c r="O278" s="390" t="s">
        <v>391</v>
      </c>
      <c r="P278" s="446" t="s">
        <v>1869</v>
      </c>
      <c r="Q278" s="297">
        <v>3217409.0</v>
      </c>
      <c r="R278" s="268"/>
      <c r="S278" s="390" t="s">
        <v>391</v>
      </c>
      <c r="T278" s="447" t="s">
        <v>1869</v>
      </c>
      <c r="U278" s="297">
        <v>2955618.0</v>
      </c>
      <c r="V278" s="268"/>
      <c r="W278" s="390" t="s">
        <v>337</v>
      </c>
      <c r="X278" s="447" t="s">
        <v>1870</v>
      </c>
      <c r="Y278" s="297">
        <v>3537601.0</v>
      </c>
      <c r="Z278" s="268"/>
      <c r="AA278" s="390" t="s">
        <v>337</v>
      </c>
      <c r="AB278" s="448" t="s">
        <v>1870</v>
      </c>
      <c r="AC278" s="396">
        <v>3405637.0</v>
      </c>
      <c r="AD278" s="288"/>
      <c r="AE278" s="292"/>
      <c r="AF278" s="410"/>
      <c r="AG278" s="410"/>
      <c r="AH278" s="410"/>
      <c r="AI278" s="410"/>
      <c r="AJ278" s="293"/>
      <c r="AK278" s="452"/>
      <c r="AL278" s="259">
        <f>MATCH(B278,'Key Findings'!B:B,0)</f>
        <v>45</v>
      </c>
      <c r="AM278" s="260" t="b">
        <f t="shared" si="1"/>
        <v>1</v>
      </c>
      <c r="AN278" s="294"/>
    </row>
    <row r="279">
      <c r="A279" s="169">
        <f t="array" ref="A279">INDEX('Federal Tax, Stock Buybacks, &amp; '!D:D,match(B279,'Federal Tax, Stock Buybacks, &amp; '!E:E,0))</f>
        <v>11</v>
      </c>
      <c r="B279" s="125" t="s">
        <v>36</v>
      </c>
      <c r="C279" s="457"/>
      <c r="D279" s="445"/>
      <c r="E279" s="297"/>
      <c r="F279" s="268"/>
      <c r="G279" s="457"/>
      <c r="H279" s="445"/>
      <c r="I279" s="297"/>
      <c r="J279" s="268"/>
      <c r="K279" s="457" t="s">
        <v>548</v>
      </c>
      <c r="L279" s="445" t="s">
        <v>1871</v>
      </c>
      <c r="M279" s="297">
        <v>3479756.0</v>
      </c>
      <c r="N279" s="268"/>
      <c r="O279" s="390" t="s">
        <v>342</v>
      </c>
      <c r="P279" s="446" t="s">
        <v>1585</v>
      </c>
      <c r="Q279" s="297">
        <v>5169108.0</v>
      </c>
      <c r="R279" s="268"/>
      <c r="S279" s="390" t="s">
        <v>342</v>
      </c>
      <c r="T279" s="447" t="s">
        <v>1585</v>
      </c>
      <c r="U279" s="297">
        <v>4282943.0</v>
      </c>
      <c r="V279" s="268"/>
      <c r="W279" s="390" t="s">
        <v>391</v>
      </c>
      <c r="X279" s="447" t="s">
        <v>1869</v>
      </c>
      <c r="Y279" s="297">
        <v>2366190.0</v>
      </c>
      <c r="Z279" s="268"/>
      <c r="AA279" s="390" t="s">
        <v>342</v>
      </c>
      <c r="AB279" s="448" t="s">
        <v>1631</v>
      </c>
      <c r="AC279" s="396">
        <v>3107223.0</v>
      </c>
      <c r="AD279" s="288"/>
      <c r="AE279" s="292"/>
      <c r="AF279" s="410"/>
      <c r="AG279" s="410"/>
      <c r="AH279" s="410"/>
      <c r="AI279" s="410"/>
      <c r="AJ279" s="293"/>
      <c r="AK279" s="452"/>
      <c r="AL279" s="259">
        <f>MATCH(B279,'Key Findings'!B:B,0)</f>
        <v>45</v>
      </c>
      <c r="AM279" s="260" t="b">
        <f t="shared" si="1"/>
        <v>1</v>
      </c>
      <c r="AN279" s="294"/>
    </row>
    <row r="280">
      <c r="A280" s="169">
        <f t="array" ref="A280">INDEX('Federal Tax, Stock Buybacks, &amp; '!D:D,match(B280,'Federal Tax, Stock Buybacks, &amp; '!E:E,0))</f>
        <v>11</v>
      </c>
      <c r="B280" s="125" t="s">
        <v>36</v>
      </c>
      <c r="C280" s="390"/>
      <c r="D280" s="424"/>
      <c r="E280" s="297"/>
      <c r="F280" s="268"/>
      <c r="G280" s="390"/>
      <c r="H280" s="424"/>
      <c r="I280" s="297"/>
      <c r="J280" s="268"/>
      <c r="K280" s="390" t="s">
        <v>711</v>
      </c>
      <c r="L280" s="424" t="s">
        <v>711</v>
      </c>
      <c r="M280" s="297" t="s">
        <v>711</v>
      </c>
      <c r="N280" s="268"/>
      <c r="O280" s="390" t="s">
        <v>711</v>
      </c>
      <c r="P280" s="446" t="s">
        <v>711</v>
      </c>
      <c r="Q280" s="297" t="s">
        <v>711</v>
      </c>
      <c r="R280" s="268"/>
      <c r="S280" s="390" t="s">
        <v>711</v>
      </c>
      <c r="T280" s="447" t="s">
        <v>711</v>
      </c>
      <c r="U280" s="297" t="s">
        <v>711</v>
      </c>
      <c r="V280" s="268"/>
      <c r="W280" s="390" t="s">
        <v>342</v>
      </c>
      <c r="X280" s="447" t="s">
        <v>1631</v>
      </c>
      <c r="Y280" s="297">
        <v>3453481.0</v>
      </c>
      <c r="Z280" s="268"/>
      <c r="AA280" s="390" t="s">
        <v>711</v>
      </c>
      <c r="AB280" s="448" t="s">
        <v>711</v>
      </c>
      <c r="AC280" s="396" t="s">
        <v>711</v>
      </c>
      <c r="AD280" s="288"/>
      <c r="AE280" s="458"/>
      <c r="AF280" s="459"/>
      <c r="AG280" s="459"/>
      <c r="AH280" s="459"/>
      <c r="AI280" s="459"/>
      <c r="AJ280" s="460"/>
      <c r="AK280" s="461"/>
      <c r="AL280" s="259">
        <f>MATCH(B280,'Key Findings'!B:B,0)</f>
        <v>45</v>
      </c>
      <c r="AM280" s="260" t="b">
        <f t="shared" si="1"/>
        <v>1</v>
      </c>
      <c r="AN280" s="294"/>
    </row>
    <row r="281">
      <c r="A281" s="299">
        <f t="array" ref="A281">INDEX('Federal Tax, Stock Buybacks, &amp; '!D:D,match(B281,'Federal Tax, Stock Buybacks, &amp; '!E:E,0))</f>
        <v>318</v>
      </c>
      <c r="B281" s="412" t="s">
        <v>72</v>
      </c>
      <c r="C281" s="362"/>
      <c r="D281" s="413"/>
      <c r="E281" s="342"/>
      <c r="F281" s="268"/>
      <c r="G281" s="362"/>
      <c r="H281" s="413"/>
      <c r="I281" s="342"/>
      <c r="J281" s="268"/>
      <c r="K281" s="362" t="s">
        <v>240</v>
      </c>
      <c r="L281" s="413"/>
      <c r="M281" s="342">
        <v>1.5367279E7</v>
      </c>
      <c r="N281" s="268"/>
      <c r="O281" s="364" t="s">
        <v>240</v>
      </c>
      <c r="P281" s="414"/>
      <c r="Q281" s="342">
        <v>1.8576014E7</v>
      </c>
      <c r="R281" s="268"/>
      <c r="S281" s="364" t="s">
        <v>240</v>
      </c>
      <c r="T281" s="369"/>
      <c r="U281" s="342">
        <v>1.7770781E7</v>
      </c>
      <c r="V281" s="268"/>
      <c r="W281" s="364" t="s">
        <v>240</v>
      </c>
      <c r="X281" s="369"/>
      <c r="Y281" s="342">
        <v>1.8921598E7</v>
      </c>
      <c r="Z281" s="268"/>
      <c r="AA281" s="364" t="s">
        <v>240</v>
      </c>
      <c r="AB281" s="302"/>
      <c r="AC281" s="305">
        <v>1.3948917E7</v>
      </c>
      <c r="AD281" s="306"/>
      <c r="AE281" s="366">
        <v>2022.0</v>
      </c>
      <c r="AF281" s="366">
        <v>2021.0</v>
      </c>
      <c r="AG281" s="366">
        <v>2020.0</v>
      </c>
      <c r="AH281" s="366">
        <v>2019.0</v>
      </c>
      <c r="AI281" s="366">
        <v>2018.0</v>
      </c>
      <c r="AJ281" s="415" t="s">
        <v>1578</v>
      </c>
      <c r="AK281" s="416"/>
      <c r="AL281" s="275">
        <f>MATCH(B281,'Key Findings'!B:B,0)</f>
        <v>46</v>
      </c>
      <c r="AM281" s="274" t="b">
        <f t="shared" si="1"/>
        <v>0</v>
      </c>
      <c r="AN281" s="294"/>
    </row>
    <row r="282">
      <c r="A282" s="299">
        <f t="array" ref="A282">INDEX('Federal Tax, Stock Buybacks, &amp; '!D:D,match(B282,'Federal Tax, Stock Buybacks, &amp; '!E:E,0))</f>
        <v>318</v>
      </c>
      <c r="B282" s="412" t="s">
        <v>72</v>
      </c>
      <c r="C282" s="362"/>
      <c r="D282" s="413"/>
      <c r="E282" s="342"/>
      <c r="F282" s="268"/>
      <c r="G282" s="362"/>
      <c r="H282" s="413"/>
      <c r="I282" s="342"/>
      <c r="J282" s="268"/>
      <c r="K282" s="362" t="s">
        <v>236</v>
      </c>
      <c r="L282" s="413"/>
      <c r="M282" s="342">
        <v>5948201.0</v>
      </c>
      <c r="N282" s="268"/>
      <c r="O282" s="364" t="s">
        <v>236</v>
      </c>
      <c r="P282" s="414"/>
      <c r="Q282" s="342">
        <v>7272471.0</v>
      </c>
      <c r="R282" s="268"/>
      <c r="S282" s="364" t="s">
        <v>236</v>
      </c>
      <c r="T282" s="369"/>
      <c r="U282" s="342">
        <v>6516717.0</v>
      </c>
      <c r="V282" s="268"/>
      <c r="W282" s="364" t="s">
        <v>236</v>
      </c>
      <c r="X282" s="369"/>
      <c r="Y282" s="342">
        <v>6683605.0</v>
      </c>
      <c r="Z282" s="268"/>
      <c r="AA282" s="364" t="s">
        <v>236</v>
      </c>
      <c r="AB282" s="302"/>
      <c r="AC282" s="305">
        <v>5213434.0</v>
      </c>
      <c r="AD282" s="306"/>
      <c r="AE282" s="308"/>
      <c r="AF282" s="308"/>
      <c r="AG282" s="308"/>
      <c r="AH282" s="308"/>
      <c r="AI282" s="308"/>
      <c r="AJ282" s="368"/>
      <c r="AK282" s="368"/>
      <c r="AL282" s="275">
        <f>MATCH(B282,'Key Findings'!B:B,0)</f>
        <v>46</v>
      </c>
      <c r="AM282" s="274" t="b">
        <f t="shared" si="1"/>
        <v>0</v>
      </c>
      <c r="AN282" s="294"/>
    </row>
    <row r="283">
      <c r="A283" s="299">
        <f t="array" ref="A283">INDEX('Federal Tax, Stock Buybacks, &amp; '!D:D,match(B283,'Federal Tax, Stock Buybacks, &amp; '!E:E,0))</f>
        <v>318</v>
      </c>
      <c r="B283" s="412" t="s">
        <v>72</v>
      </c>
      <c r="C283" s="362"/>
      <c r="D283" s="413"/>
      <c r="E283" s="342"/>
      <c r="F283" s="268"/>
      <c r="G283" s="362"/>
      <c r="H283" s="413"/>
      <c r="I283" s="342"/>
      <c r="J283" s="268"/>
      <c r="K283" s="362" t="s">
        <v>232</v>
      </c>
      <c r="L283" s="413"/>
      <c r="M283" s="342">
        <v>3259047.0</v>
      </c>
      <c r="N283" s="268"/>
      <c r="O283" s="364" t="s">
        <v>232</v>
      </c>
      <c r="P283" s="414"/>
      <c r="Q283" s="342">
        <v>3887770.0</v>
      </c>
      <c r="R283" s="268"/>
      <c r="S283" s="364" t="s">
        <v>232</v>
      </c>
      <c r="T283" s="369"/>
      <c r="U283" s="342">
        <v>2907243.0</v>
      </c>
      <c r="V283" s="268"/>
      <c r="W283" s="364" t="s">
        <v>232</v>
      </c>
      <c r="X283" s="369"/>
      <c r="Y283" s="342">
        <v>2953666.0</v>
      </c>
      <c r="Z283" s="268"/>
      <c r="AA283" s="364" t="s">
        <v>232</v>
      </c>
      <c r="AB283" s="302"/>
      <c r="AC283" s="305">
        <v>2813313.0</v>
      </c>
      <c r="AD283" s="306"/>
      <c r="AE283" s="308"/>
      <c r="AF283" s="308"/>
      <c r="AG283" s="308"/>
      <c r="AH283" s="308"/>
      <c r="AI283" s="308"/>
      <c r="AJ283" s="368"/>
      <c r="AK283" s="368"/>
      <c r="AL283" s="275">
        <f>MATCH(B283,'Key Findings'!B:B,0)</f>
        <v>46</v>
      </c>
      <c r="AM283" s="274" t="b">
        <f t="shared" si="1"/>
        <v>0</v>
      </c>
      <c r="AN283" s="294"/>
    </row>
    <row r="284">
      <c r="A284" s="299">
        <f t="array" ref="A284">INDEX('Federal Tax, Stock Buybacks, &amp; '!D:D,match(B284,'Federal Tax, Stock Buybacks, &amp; '!E:E,0))</f>
        <v>318</v>
      </c>
      <c r="B284" s="412" t="s">
        <v>72</v>
      </c>
      <c r="C284" s="362"/>
      <c r="D284" s="413"/>
      <c r="E284" s="342"/>
      <c r="F284" s="268"/>
      <c r="G284" s="362"/>
      <c r="H284" s="413"/>
      <c r="I284" s="342"/>
      <c r="J284" s="268"/>
      <c r="K284" s="362" t="s">
        <v>189</v>
      </c>
      <c r="L284" s="413"/>
      <c r="M284" s="342">
        <v>2438511.0</v>
      </c>
      <c r="N284" s="268"/>
      <c r="O284" s="364" t="s">
        <v>189</v>
      </c>
      <c r="P284" s="414"/>
      <c r="Q284" s="342">
        <v>3298084.0</v>
      </c>
      <c r="R284" s="268"/>
      <c r="S284" s="364" t="s">
        <v>189</v>
      </c>
      <c r="T284" s="369"/>
      <c r="U284" s="342">
        <v>3194366.0</v>
      </c>
      <c r="V284" s="268"/>
      <c r="W284" s="364" t="s">
        <v>189</v>
      </c>
      <c r="X284" s="369"/>
      <c r="Y284" s="342">
        <v>2820453.0</v>
      </c>
      <c r="Z284" s="268"/>
      <c r="AA284" s="364" t="s">
        <v>189</v>
      </c>
      <c r="AB284" s="302"/>
      <c r="AC284" s="305">
        <v>1651449.0</v>
      </c>
      <c r="AD284" s="306"/>
      <c r="AE284" s="308"/>
      <c r="AF284" s="308"/>
      <c r="AG284" s="308"/>
      <c r="AH284" s="308"/>
      <c r="AI284" s="308"/>
      <c r="AJ284" s="368"/>
      <c r="AK284" s="368"/>
      <c r="AL284" s="275">
        <f>MATCH(B284,'Key Findings'!B:B,0)</f>
        <v>46</v>
      </c>
      <c r="AM284" s="274" t="b">
        <f t="shared" si="1"/>
        <v>0</v>
      </c>
      <c r="AN284" s="294"/>
    </row>
    <row r="285">
      <c r="A285" s="299">
        <f t="array" ref="A285">INDEX('Federal Tax, Stock Buybacks, &amp; '!D:D,match(B285,'Federal Tax, Stock Buybacks, &amp; '!E:E,0))</f>
        <v>338</v>
      </c>
      <c r="B285" s="281" t="s">
        <v>60</v>
      </c>
      <c r="C285" s="282"/>
      <c r="D285" s="283"/>
      <c r="E285" s="284"/>
      <c r="F285" s="268"/>
      <c r="G285" s="282"/>
      <c r="H285" s="283"/>
      <c r="I285" s="284"/>
      <c r="J285" s="268"/>
      <c r="K285" s="282" t="s">
        <v>187</v>
      </c>
      <c r="L285" s="283" t="s">
        <v>1523</v>
      </c>
      <c r="M285" s="284">
        <v>1.4439223E7</v>
      </c>
      <c r="N285" s="268"/>
      <c r="O285" s="285" t="s">
        <v>187</v>
      </c>
      <c r="P285" s="286" t="s">
        <v>1523</v>
      </c>
      <c r="Q285" s="284">
        <v>1.5545746E7</v>
      </c>
      <c r="R285" s="268"/>
      <c r="S285" s="285" t="s">
        <v>187</v>
      </c>
      <c r="T285" s="286" t="s">
        <v>1523</v>
      </c>
      <c r="U285" s="284">
        <v>1.1622074E7</v>
      </c>
      <c r="V285" s="268"/>
      <c r="W285" s="285" t="s">
        <v>187</v>
      </c>
      <c r="X285" s="286" t="s">
        <v>1523</v>
      </c>
      <c r="Y285" s="284">
        <v>1.0642118E7</v>
      </c>
      <c r="Z285" s="268"/>
      <c r="AA285" s="285" t="s">
        <v>187</v>
      </c>
      <c r="AB285" s="286" t="s">
        <v>1523</v>
      </c>
      <c r="AC285" s="287">
        <v>9591566.0</v>
      </c>
      <c r="AD285" s="288"/>
      <c r="AE285" s="391">
        <v>2022.0</v>
      </c>
      <c r="AF285" s="391">
        <v>2021.0</v>
      </c>
      <c r="AG285" s="391">
        <v>2020.0</v>
      </c>
      <c r="AH285" s="391">
        <v>2019.0</v>
      </c>
      <c r="AI285" s="391">
        <v>2018.0</v>
      </c>
      <c r="AJ285" s="290" t="s">
        <v>1524</v>
      </c>
      <c r="AK285" s="260"/>
      <c r="AL285" s="259">
        <f>MATCH(B285,'Key Findings'!B:B,0)</f>
        <v>47</v>
      </c>
      <c r="AM285" s="260" t="b">
        <f t="shared" si="1"/>
        <v>1</v>
      </c>
      <c r="AN285" s="291" t="s">
        <v>1534</v>
      </c>
    </row>
    <row r="286">
      <c r="A286" s="299">
        <f t="array" ref="A286">INDEX('Federal Tax, Stock Buybacks, &amp; '!D:D,match(B286,'Federal Tax, Stock Buybacks, &amp; '!E:E,0))</f>
        <v>338</v>
      </c>
      <c r="B286" s="281" t="s">
        <v>60</v>
      </c>
      <c r="C286" s="282"/>
      <c r="D286" s="283"/>
      <c r="E286" s="284"/>
      <c r="F286" s="268"/>
      <c r="G286" s="282"/>
      <c r="H286" s="283"/>
      <c r="I286" s="284"/>
      <c r="J286" s="268"/>
      <c r="K286" s="282" t="s">
        <v>191</v>
      </c>
      <c r="L286" s="283" t="s">
        <v>1872</v>
      </c>
      <c r="M286" s="284">
        <v>5036024.0</v>
      </c>
      <c r="N286" s="268"/>
      <c r="O286" s="285" t="s">
        <v>191</v>
      </c>
      <c r="P286" s="286" t="s">
        <v>1872</v>
      </c>
      <c r="Q286" s="284">
        <v>5083689.0</v>
      </c>
      <c r="R286" s="268"/>
      <c r="S286" s="285" t="s">
        <v>191</v>
      </c>
      <c r="T286" s="286" t="s">
        <v>1872</v>
      </c>
      <c r="U286" s="284">
        <v>3728297.0</v>
      </c>
      <c r="V286" s="268"/>
      <c r="W286" s="285" t="s">
        <v>191</v>
      </c>
      <c r="X286" s="286" t="s">
        <v>1872</v>
      </c>
      <c r="Y286" s="284">
        <v>3631795.0</v>
      </c>
      <c r="Z286" s="268"/>
      <c r="AA286" s="285" t="s">
        <v>191</v>
      </c>
      <c r="AB286" s="286" t="s">
        <v>1872</v>
      </c>
      <c r="AC286" s="287">
        <v>3481207.0</v>
      </c>
      <c r="AD286" s="288"/>
      <c r="AE286" s="292"/>
      <c r="AF286" s="292"/>
      <c r="AG286" s="292"/>
      <c r="AH286" s="292"/>
      <c r="AI286" s="292"/>
      <c r="AJ286" s="293"/>
      <c r="AK286" s="260"/>
      <c r="AL286" s="259">
        <f>MATCH(B286,'Key Findings'!B:B,0)</f>
        <v>47</v>
      </c>
      <c r="AM286" s="260" t="b">
        <f t="shared" si="1"/>
        <v>1</v>
      </c>
      <c r="AN286" s="294"/>
    </row>
    <row r="287">
      <c r="A287" s="299">
        <f t="array" ref="A287">INDEX('Federal Tax, Stock Buybacks, &amp; '!D:D,match(B287,'Federal Tax, Stock Buybacks, &amp; '!E:E,0))</f>
        <v>338</v>
      </c>
      <c r="B287" s="281" t="s">
        <v>60</v>
      </c>
      <c r="C287" s="282"/>
      <c r="D287" s="283"/>
      <c r="E287" s="284"/>
      <c r="F287" s="268"/>
      <c r="G287" s="282"/>
      <c r="H287" s="283"/>
      <c r="I287" s="284"/>
      <c r="J287" s="268"/>
      <c r="K287" s="282" t="s">
        <v>192</v>
      </c>
      <c r="L287" s="283" t="s">
        <v>1729</v>
      </c>
      <c r="M287" s="284">
        <v>2999100.0</v>
      </c>
      <c r="N287" s="268"/>
      <c r="O287" s="285" t="s">
        <v>192</v>
      </c>
      <c r="P287" s="286" t="s">
        <v>1729</v>
      </c>
      <c r="Q287" s="284">
        <v>3087738.0</v>
      </c>
      <c r="R287" s="268"/>
      <c r="S287" s="285" t="s">
        <v>192</v>
      </c>
      <c r="T287" s="286" t="s">
        <v>1729</v>
      </c>
      <c r="U287" s="284">
        <v>2447119.0</v>
      </c>
      <c r="V287" s="268"/>
      <c r="W287" s="285" t="s">
        <v>192</v>
      </c>
      <c r="X287" s="286" t="s">
        <v>1729</v>
      </c>
      <c r="Y287" s="284">
        <v>2309703.0</v>
      </c>
      <c r="Z287" s="268"/>
      <c r="AA287" s="285" t="s">
        <v>192</v>
      </c>
      <c r="AB287" s="286" t="s">
        <v>1729</v>
      </c>
      <c r="AC287" s="287">
        <v>2089771.0</v>
      </c>
      <c r="AD287" s="288"/>
      <c r="AE287" s="292"/>
      <c r="AF287" s="292"/>
      <c r="AG287" s="292"/>
      <c r="AH287" s="292"/>
      <c r="AI287" s="292"/>
      <c r="AJ287" s="293"/>
      <c r="AK287" s="260"/>
      <c r="AL287" s="259">
        <f>MATCH(B287,'Key Findings'!B:B,0)</f>
        <v>47</v>
      </c>
      <c r="AM287" s="260" t="b">
        <f t="shared" si="1"/>
        <v>1</v>
      </c>
      <c r="AN287" s="294"/>
    </row>
    <row r="288">
      <c r="A288" s="299">
        <f t="array" ref="A288">INDEX('Federal Tax, Stock Buybacks, &amp; '!D:D,match(B288,'Federal Tax, Stock Buybacks, &amp; '!E:E,0))</f>
        <v>338</v>
      </c>
      <c r="B288" s="281" t="s">
        <v>60</v>
      </c>
      <c r="C288" s="282"/>
      <c r="D288" s="283"/>
      <c r="E288" s="284"/>
      <c r="F288" s="268"/>
      <c r="G288" s="282"/>
      <c r="H288" s="283"/>
      <c r="I288" s="284"/>
      <c r="J288" s="268"/>
      <c r="K288" s="282" t="s">
        <v>182</v>
      </c>
      <c r="L288" s="283" t="s">
        <v>1873</v>
      </c>
      <c r="M288" s="284">
        <v>4982581.0</v>
      </c>
      <c r="N288" s="268"/>
      <c r="O288" s="285" t="s">
        <v>182</v>
      </c>
      <c r="P288" s="286" t="s">
        <v>1874</v>
      </c>
      <c r="Q288" s="284">
        <v>4872931.0</v>
      </c>
      <c r="R288" s="268"/>
      <c r="S288" s="285" t="s">
        <v>182</v>
      </c>
      <c r="T288" s="286" t="s">
        <v>1874</v>
      </c>
      <c r="U288" s="284">
        <v>3542434.0</v>
      </c>
      <c r="V288" s="268"/>
      <c r="W288" s="285" t="s">
        <v>182</v>
      </c>
      <c r="X288" s="286" t="s">
        <v>1874</v>
      </c>
      <c r="Y288" s="284">
        <v>3315656.0</v>
      </c>
      <c r="Z288" s="268"/>
      <c r="AA288" s="285" t="s">
        <v>182</v>
      </c>
      <c r="AB288" s="286" t="s">
        <v>1874</v>
      </c>
      <c r="AC288" s="287">
        <v>3089462.0</v>
      </c>
      <c r="AD288" s="288"/>
      <c r="AE288" s="292"/>
      <c r="AF288" s="292"/>
      <c r="AG288" s="292"/>
      <c r="AH288" s="292"/>
      <c r="AI288" s="292"/>
      <c r="AJ288" s="293"/>
      <c r="AK288" s="260"/>
      <c r="AL288" s="259">
        <f>MATCH(B288,'Key Findings'!B:B,0)</f>
        <v>47</v>
      </c>
      <c r="AM288" s="260" t="b">
        <f t="shared" si="1"/>
        <v>1</v>
      </c>
      <c r="AN288" s="294"/>
    </row>
    <row r="289">
      <c r="A289" s="299">
        <f t="array" ref="A289">INDEX('Federal Tax, Stock Buybacks, &amp; '!D:D,match(B289,'Federal Tax, Stock Buybacks, &amp; '!E:E,0))</f>
        <v>338</v>
      </c>
      <c r="B289" s="281" t="s">
        <v>60</v>
      </c>
      <c r="C289" s="282"/>
      <c r="D289" s="283"/>
      <c r="E289" s="284"/>
      <c r="F289" s="268"/>
      <c r="G289" s="282"/>
      <c r="H289" s="283"/>
      <c r="I289" s="284"/>
      <c r="J289" s="268"/>
      <c r="K289" s="282" t="s">
        <v>156</v>
      </c>
      <c r="L289" s="283" t="s">
        <v>1875</v>
      </c>
      <c r="M289" s="284">
        <v>5377393.0</v>
      </c>
      <c r="N289" s="268"/>
      <c r="O289" s="285" t="s">
        <v>156</v>
      </c>
      <c r="P289" s="286" t="s">
        <v>1875</v>
      </c>
      <c r="Q289" s="284">
        <v>5179465.0</v>
      </c>
      <c r="R289" s="268"/>
      <c r="S289" s="285" t="s">
        <v>156</v>
      </c>
      <c r="T289" s="286" t="s">
        <v>1875</v>
      </c>
      <c r="U289" s="284">
        <v>3829685.0</v>
      </c>
      <c r="V289" s="268"/>
      <c r="W289" s="285" t="s">
        <v>156</v>
      </c>
      <c r="X289" s="286" t="s">
        <v>1875</v>
      </c>
      <c r="Y289" s="284">
        <v>3534514.0</v>
      </c>
      <c r="Z289" s="268"/>
      <c r="AA289" s="285" t="s">
        <v>156</v>
      </c>
      <c r="AB289" s="286" t="s">
        <v>1875</v>
      </c>
      <c r="AC289" s="287">
        <v>2105053.0</v>
      </c>
      <c r="AD289" s="288"/>
      <c r="AE289" s="292"/>
      <c r="AF289" s="292"/>
      <c r="AG289" s="292"/>
      <c r="AH289" s="292"/>
      <c r="AI289" s="292"/>
      <c r="AJ289" s="293"/>
      <c r="AK289" s="260"/>
      <c r="AL289" s="259">
        <f>MATCH(B289,'Key Findings'!B:B,0)</f>
        <v>47</v>
      </c>
      <c r="AM289" s="260" t="b">
        <f t="shared" si="1"/>
        <v>1</v>
      </c>
      <c r="AN289" s="294"/>
    </row>
    <row r="290">
      <c r="A290" s="299">
        <f t="array" ref="A290">INDEX('Federal Tax, Stock Buybacks, &amp; '!D:D,match(B290,'Federal Tax, Stock Buybacks, &amp; '!E:E,0))</f>
        <v>338</v>
      </c>
      <c r="B290" s="281" t="s">
        <v>60</v>
      </c>
      <c r="C290" s="282"/>
      <c r="D290" s="283"/>
      <c r="E290" s="284"/>
      <c r="F290" s="268"/>
      <c r="G290" s="282"/>
      <c r="H290" s="283"/>
      <c r="I290" s="284"/>
      <c r="J290" s="268"/>
      <c r="K290" s="282" t="s">
        <v>642</v>
      </c>
      <c r="L290" s="283" t="s">
        <v>1876</v>
      </c>
      <c r="M290" s="284">
        <v>2420581.0</v>
      </c>
      <c r="N290" s="268"/>
      <c r="O290" s="296" t="s">
        <v>711</v>
      </c>
      <c r="P290" s="296" t="s">
        <v>711</v>
      </c>
      <c r="Q290" s="297" t="s">
        <v>711</v>
      </c>
      <c r="R290" s="268"/>
      <c r="S290" s="296" t="s">
        <v>711</v>
      </c>
      <c r="T290" s="296" t="s">
        <v>711</v>
      </c>
      <c r="U290" s="297" t="s">
        <v>711</v>
      </c>
      <c r="V290" s="268"/>
      <c r="W290" s="296" t="s">
        <v>711</v>
      </c>
      <c r="X290" s="296" t="s">
        <v>711</v>
      </c>
      <c r="Y290" s="297" t="s">
        <v>711</v>
      </c>
      <c r="Z290" s="268"/>
      <c r="AA290" s="285" t="s">
        <v>647</v>
      </c>
      <c r="AB290" s="334" t="s">
        <v>1528</v>
      </c>
      <c r="AC290" s="287">
        <v>2321400.0</v>
      </c>
      <c r="AD290" s="288"/>
      <c r="AE290" s="292"/>
      <c r="AF290" s="292"/>
      <c r="AG290" s="292"/>
      <c r="AH290" s="292"/>
      <c r="AI290" s="292"/>
      <c r="AJ290" s="293"/>
      <c r="AK290" s="260"/>
      <c r="AL290" s="259">
        <f>MATCH(B290,'Key Findings'!B:B,0)</f>
        <v>47</v>
      </c>
      <c r="AM290" s="260" t="b">
        <f t="shared" si="1"/>
        <v>1</v>
      </c>
      <c r="AN290" s="294"/>
    </row>
    <row r="291">
      <c r="A291" s="299">
        <f t="array" ref="A291">INDEX('Federal Tax, Stock Buybacks, &amp; '!D:D,match(B291,'Federal Tax, Stock Buybacks, &amp; '!E:E,0))</f>
        <v>338</v>
      </c>
      <c r="B291" s="281" t="s">
        <v>60</v>
      </c>
      <c r="C291" s="298"/>
      <c r="D291" s="296"/>
      <c r="E291" s="297"/>
      <c r="F291" s="268"/>
      <c r="G291" s="298"/>
      <c r="H291" s="296"/>
      <c r="I291" s="297"/>
      <c r="J291" s="268"/>
      <c r="K291" s="298" t="s">
        <v>711</v>
      </c>
      <c r="L291" s="296" t="s">
        <v>711</v>
      </c>
      <c r="M291" s="297" t="s">
        <v>711</v>
      </c>
      <c r="N291" s="268"/>
      <c r="O291" s="296" t="s">
        <v>711</v>
      </c>
      <c r="P291" s="296" t="s">
        <v>711</v>
      </c>
      <c r="Q291" s="297" t="s">
        <v>711</v>
      </c>
      <c r="R291" s="268"/>
      <c r="S291" s="296" t="s">
        <v>711</v>
      </c>
      <c r="T291" s="296" t="s">
        <v>711</v>
      </c>
      <c r="U291" s="297" t="s">
        <v>711</v>
      </c>
      <c r="V291" s="268"/>
      <c r="W291" s="296" t="s">
        <v>711</v>
      </c>
      <c r="X291" s="296" t="s">
        <v>711</v>
      </c>
      <c r="Y291" s="297" t="s">
        <v>711</v>
      </c>
      <c r="Z291" s="268"/>
      <c r="AA291" s="285" t="s">
        <v>633</v>
      </c>
      <c r="AB291" s="334" t="s">
        <v>1877</v>
      </c>
      <c r="AC291" s="287">
        <v>2600806.0</v>
      </c>
      <c r="AD291" s="288"/>
      <c r="AE291" s="292"/>
      <c r="AF291" s="292"/>
      <c r="AG291" s="292"/>
      <c r="AH291" s="292"/>
      <c r="AI291" s="292"/>
      <c r="AJ291" s="293"/>
      <c r="AK291" s="260"/>
      <c r="AL291" s="259">
        <f>MATCH(B291,'Key Findings'!B:B,0)</f>
        <v>47</v>
      </c>
      <c r="AM291" s="260" t="b">
        <f t="shared" si="1"/>
        <v>1</v>
      </c>
      <c r="AN291" s="294"/>
    </row>
    <row r="292">
      <c r="A292" s="169">
        <f t="array" ref="A292">INDEX('Federal Tax, Stock Buybacks, &amp; '!D:D,match(B292,'Federal Tax, Stock Buybacks, &amp; '!E:E,0))</f>
        <v>271</v>
      </c>
      <c r="B292" s="300" t="s">
        <v>26</v>
      </c>
      <c r="C292" s="362"/>
      <c r="D292" s="363"/>
      <c r="E292" s="342"/>
      <c r="F292" s="268"/>
      <c r="G292" s="362"/>
      <c r="H292" s="363"/>
      <c r="I292" s="342"/>
      <c r="J292" s="268"/>
      <c r="K292" s="362" t="s">
        <v>135</v>
      </c>
      <c r="L292" s="363" t="s">
        <v>1878</v>
      </c>
      <c r="M292" s="342">
        <v>1.0318579E7</v>
      </c>
      <c r="N292" s="268"/>
      <c r="O292" s="364" t="s">
        <v>135</v>
      </c>
      <c r="P292" s="365" t="s">
        <v>1878</v>
      </c>
      <c r="Q292" s="342">
        <v>8350364.0</v>
      </c>
      <c r="R292" s="268"/>
      <c r="S292" s="364" t="s">
        <v>135</v>
      </c>
      <c r="T292" s="365" t="s">
        <v>1878</v>
      </c>
      <c r="U292" s="342">
        <v>4052934.0</v>
      </c>
      <c r="V292" s="268"/>
      <c r="W292" s="364" t="s">
        <v>135</v>
      </c>
      <c r="X292" s="365" t="s">
        <v>1878</v>
      </c>
      <c r="Y292" s="342">
        <v>3103984.0</v>
      </c>
      <c r="Z292" s="268"/>
      <c r="AA292" s="364" t="s">
        <v>135</v>
      </c>
      <c r="AB292" s="365" t="s">
        <v>1878</v>
      </c>
      <c r="AC292" s="305">
        <v>2324165.0</v>
      </c>
      <c r="AD292" s="306"/>
      <c r="AE292" s="307">
        <v>2022.0</v>
      </c>
      <c r="AF292" s="307">
        <v>2021.0</v>
      </c>
      <c r="AG292" s="307">
        <v>2020.0</v>
      </c>
      <c r="AH292" s="307">
        <v>2019.0</v>
      </c>
      <c r="AI292" s="307">
        <v>2018.0</v>
      </c>
      <c r="AJ292" s="367" t="s">
        <v>1524</v>
      </c>
      <c r="AK292" s="300"/>
      <c r="AL292" s="275">
        <f>MATCH(B292,'Key Findings'!B:B,0)</f>
        <v>48</v>
      </c>
      <c r="AM292" s="274" t="b">
        <f t="shared" si="1"/>
        <v>0</v>
      </c>
      <c r="AN292" s="291" t="s">
        <v>1879</v>
      </c>
    </row>
    <row r="293">
      <c r="A293" s="169">
        <f t="array" ref="A293">INDEX('Federal Tax, Stock Buybacks, &amp; '!D:D,match(B293,'Federal Tax, Stock Buybacks, &amp; '!E:E,0))</f>
        <v>271</v>
      </c>
      <c r="B293" s="300" t="s">
        <v>26</v>
      </c>
      <c r="C293" s="362"/>
      <c r="D293" s="462"/>
      <c r="E293" s="342"/>
      <c r="F293" s="268"/>
      <c r="G293" s="362"/>
      <c r="H293" s="462"/>
      <c r="I293" s="342"/>
      <c r="J293" s="268"/>
      <c r="K293" s="362" t="s">
        <v>277</v>
      </c>
      <c r="L293" s="462" t="s">
        <v>1880</v>
      </c>
      <c r="M293" s="342">
        <v>3033407.0</v>
      </c>
      <c r="N293" s="268"/>
      <c r="O293" s="364" t="s">
        <v>277</v>
      </c>
      <c r="P293" s="463" t="s">
        <v>1880</v>
      </c>
      <c r="Q293" s="342">
        <v>2224950.0</v>
      </c>
      <c r="R293" s="268"/>
      <c r="S293" s="364" t="s">
        <v>277</v>
      </c>
      <c r="T293" s="463" t="s">
        <v>1880</v>
      </c>
      <c r="U293" s="342">
        <v>2324165.0</v>
      </c>
      <c r="V293" s="268"/>
      <c r="W293" s="364" t="s">
        <v>277</v>
      </c>
      <c r="X293" s="463" t="s">
        <v>1880</v>
      </c>
      <c r="Y293" s="342">
        <v>2605008.0</v>
      </c>
      <c r="Z293" s="268"/>
      <c r="AA293" s="364" t="s">
        <v>277</v>
      </c>
      <c r="AB293" s="463" t="s">
        <v>1880</v>
      </c>
      <c r="AC293" s="305">
        <v>4189423.0</v>
      </c>
      <c r="AD293" s="306"/>
      <c r="AE293" s="308"/>
      <c r="AF293" s="308"/>
      <c r="AG293" s="308"/>
      <c r="AH293" s="308"/>
      <c r="AI293" s="308"/>
      <c r="AJ293" s="368"/>
      <c r="AK293" s="300"/>
      <c r="AL293" s="275">
        <f>MATCH(B293,'Key Findings'!B:B,0)</f>
        <v>48</v>
      </c>
      <c r="AM293" s="274" t="b">
        <f t="shared" si="1"/>
        <v>0</v>
      </c>
      <c r="AN293" s="291"/>
    </row>
    <row r="294">
      <c r="A294" s="169">
        <f t="array" ref="A294">INDEX('Federal Tax, Stock Buybacks, &amp; '!D:D,match(B294,'Federal Tax, Stock Buybacks, &amp; '!E:E,0))</f>
        <v>271</v>
      </c>
      <c r="B294" s="300" t="s">
        <v>26</v>
      </c>
      <c r="C294" s="362"/>
      <c r="D294" s="363"/>
      <c r="E294" s="342"/>
      <c r="F294" s="268"/>
      <c r="G294" s="362"/>
      <c r="H294" s="363"/>
      <c r="I294" s="342"/>
      <c r="J294" s="268"/>
      <c r="K294" s="362" t="s">
        <v>516</v>
      </c>
      <c r="L294" s="363" t="s">
        <v>1881</v>
      </c>
      <c r="M294" s="342">
        <v>3210176.0</v>
      </c>
      <c r="N294" s="268"/>
      <c r="O294" s="364" t="s">
        <v>516</v>
      </c>
      <c r="P294" s="365" t="s">
        <v>1881</v>
      </c>
      <c r="Q294" s="342">
        <v>2928262.0</v>
      </c>
      <c r="R294" s="268"/>
      <c r="S294" s="364" t="s">
        <v>516</v>
      </c>
      <c r="T294" s="365" t="s">
        <v>1881</v>
      </c>
      <c r="U294" s="342">
        <v>2515411.0</v>
      </c>
      <c r="V294" s="268"/>
      <c r="W294" s="364" t="s">
        <v>498</v>
      </c>
      <c r="X294" s="369" t="s">
        <v>1882</v>
      </c>
      <c r="Y294" s="342">
        <v>3219671.0</v>
      </c>
      <c r="Z294" s="268"/>
      <c r="AA294" s="364" t="s">
        <v>498</v>
      </c>
      <c r="AB294" s="369" t="s">
        <v>1882</v>
      </c>
      <c r="AC294" s="305">
        <v>2724347.0</v>
      </c>
      <c r="AD294" s="306"/>
      <c r="AE294" s="308"/>
      <c r="AF294" s="308"/>
      <c r="AG294" s="308"/>
      <c r="AH294" s="308"/>
      <c r="AI294" s="308"/>
      <c r="AJ294" s="368"/>
      <c r="AK294" s="300"/>
      <c r="AL294" s="275">
        <f>MATCH(B294,'Key Findings'!B:B,0)</f>
        <v>48</v>
      </c>
      <c r="AM294" s="274" t="b">
        <f t="shared" si="1"/>
        <v>0</v>
      </c>
      <c r="AN294" s="294"/>
    </row>
    <row r="295">
      <c r="A295" s="169">
        <f t="array" ref="A295">INDEX('Federal Tax, Stock Buybacks, &amp; '!D:D,match(B295,'Federal Tax, Stock Buybacks, &amp; '!E:E,0))</f>
        <v>271</v>
      </c>
      <c r="B295" s="300" t="s">
        <v>26</v>
      </c>
      <c r="C295" s="362"/>
      <c r="D295" s="363"/>
      <c r="E295" s="342"/>
      <c r="F295" s="268"/>
      <c r="G295" s="362"/>
      <c r="H295" s="363"/>
      <c r="I295" s="342"/>
      <c r="J295" s="268"/>
      <c r="K295" s="362" t="s">
        <v>554</v>
      </c>
      <c r="L295" s="363" t="s">
        <v>1883</v>
      </c>
      <c r="M295" s="342">
        <v>2503745.0</v>
      </c>
      <c r="N295" s="268"/>
      <c r="O295" s="364" t="s">
        <v>554</v>
      </c>
      <c r="P295" s="365" t="s">
        <v>1883</v>
      </c>
      <c r="Q295" s="342">
        <v>2104178.0</v>
      </c>
      <c r="R295" s="268"/>
      <c r="S295" s="364" t="s">
        <v>554</v>
      </c>
      <c r="T295" s="365" t="s">
        <v>1883</v>
      </c>
      <c r="U295" s="342">
        <v>1801297.0</v>
      </c>
      <c r="V295" s="268"/>
      <c r="W295" s="364" t="s">
        <v>589</v>
      </c>
      <c r="X295" s="369" t="s">
        <v>1884</v>
      </c>
      <c r="Y295" s="342">
        <v>2429083.0</v>
      </c>
      <c r="Z295" s="268"/>
      <c r="AA295" s="364" t="s">
        <v>589</v>
      </c>
      <c r="AB295" s="369" t="s">
        <v>1884</v>
      </c>
      <c r="AC295" s="305">
        <v>2242186.0</v>
      </c>
      <c r="AD295" s="306"/>
      <c r="AE295" s="308"/>
      <c r="AF295" s="308"/>
      <c r="AG295" s="308"/>
      <c r="AH295" s="308"/>
      <c r="AI295" s="308"/>
      <c r="AJ295" s="368"/>
      <c r="AK295" s="300"/>
      <c r="AL295" s="275">
        <f>MATCH(B295,'Key Findings'!B:B,0)</f>
        <v>48</v>
      </c>
      <c r="AM295" s="274" t="b">
        <f t="shared" si="1"/>
        <v>0</v>
      </c>
      <c r="AN295" s="294"/>
    </row>
    <row r="296">
      <c r="A296" s="169">
        <f t="array" ref="A296">INDEX('Federal Tax, Stock Buybacks, &amp; '!D:D,match(B296,'Federal Tax, Stock Buybacks, &amp; '!E:E,0))</f>
        <v>271</v>
      </c>
      <c r="B296" s="300" t="s">
        <v>26</v>
      </c>
      <c r="C296" s="362"/>
      <c r="D296" s="363"/>
      <c r="E296" s="342"/>
      <c r="F296" s="268"/>
      <c r="G296" s="362"/>
      <c r="H296" s="363"/>
      <c r="I296" s="342"/>
      <c r="J296" s="268"/>
      <c r="K296" s="362" t="s">
        <v>496</v>
      </c>
      <c r="L296" s="363" t="s">
        <v>1885</v>
      </c>
      <c r="M296" s="342">
        <v>4285186.0</v>
      </c>
      <c r="N296" s="268"/>
      <c r="O296" s="364" t="s">
        <v>496</v>
      </c>
      <c r="P296" s="365" t="s">
        <v>1885</v>
      </c>
      <c r="Q296" s="342">
        <v>2915854.0</v>
      </c>
      <c r="R296" s="268"/>
      <c r="S296" s="364" t="s">
        <v>496</v>
      </c>
      <c r="T296" s="365" t="s">
        <v>1885</v>
      </c>
      <c r="U296" s="342">
        <v>2460145.0</v>
      </c>
      <c r="V296" s="268"/>
      <c r="W296" s="364" t="s">
        <v>319</v>
      </c>
      <c r="X296" s="401" t="s">
        <v>1664</v>
      </c>
      <c r="Y296" s="342">
        <v>1.6898798E7</v>
      </c>
      <c r="Z296" s="268"/>
      <c r="AA296" s="364" t="s">
        <v>319</v>
      </c>
      <c r="AB296" s="401" t="s">
        <v>1664</v>
      </c>
      <c r="AC296" s="305">
        <v>1.2147768E7</v>
      </c>
      <c r="AD296" s="306"/>
      <c r="AE296" s="308"/>
      <c r="AF296" s="308"/>
      <c r="AG296" s="308"/>
      <c r="AH296" s="308"/>
      <c r="AI296" s="308"/>
      <c r="AJ296" s="368"/>
      <c r="AK296" s="300"/>
      <c r="AL296" s="275">
        <f>MATCH(B296,'Key Findings'!B:B,0)</f>
        <v>48</v>
      </c>
      <c r="AM296" s="274" t="b">
        <f t="shared" si="1"/>
        <v>0</v>
      </c>
      <c r="AN296" s="294"/>
    </row>
    <row r="297">
      <c r="A297" s="169">
        <f t="array" ref="A297">INDEX('Federal Tax, Stock Buybacks, &amp; '!D:D,match(B297,'Federal Tax, Stock Buybacks, &amp; '!E:E,0))</f>
        <v>271</v>
      </c>
      <c r="B297" s="300" t="s">
        <v>26</v>
      </c>
      <c r="C297" s="279"/>
      <c r="D297" s="280"/>
      <c r="E297" s="267"/>
      <c r="F297" s="268"/>
      <c r="G297" s="279"/>
      <c r="H297" s="280"/>
      <c r="I297" s="267"/>
      <c r="J297" s="268"/>
      <c r="K297" s="279" t="s">
        <v>711</v>
      </c>
      <c r="L297" s="280" t="s">
        <v>711</v>
      </c>
      <c r="M297" s="267" t="s">
        <v>711</v>
      </c>
      <c r="N297" s="268"/>
      <c r="O297" s="364" t="s">
        <v>319</v>
      </c>
      <c r="P297" s="401" t="s">
        <v>1676</v>
      </c>
      <c r="Q297" s="342">
        <v>1.2785442E7</v>
      </c>
      <c r="R297" s="268"/>
      <c r="S297" s="364" t="s">
        <v>319</v>
      </c>
      <c r="T297" s="401" t="s">
        <v>1664</v>
      </c>
      <c r="U297" s="342">
        <v>1.6805589E7</v>
      </c>
      <c r="V297" s="268"/>
      <c r="W297" s="280" t="s">
        <v>711</v>
      </c>
      <c r="X297" s="280" t="s">
        <v>711</v>
      </c>
      <c r="Y297" s="267" t="s">
        <v>711</v>
      </c>
      <c r="Z297" s="268"/>
      <c r="AA297" s="280" t="s">
        <v>711</v>
      </c>
      <c r="AB297" s="280" t="s">
        <v>711</v>
      </c>
      <c r="AC297" s="267" t="s">
        <v>711</v>
      </c>
      <c r="AD297" s="306"/>
      <c r="AE297" s="308"/>
      <c r="AF297" s="308"/>
      <c r="AG297" s="308"/>
      <c r="AH297" s="308"/>
      <c r="AI297" s="308"/>
      <c r="AJ297" s="368"/>
      <c r="AK297" s="300"/>
      <c r="AL297" s="275">
        <f>MATCH(B297,'Key Findings'!B:B,0)</f>
        <v>48</v>
      </c>
      <c r="AM297" s="274" t="b">
        <f t="shared" si="1"/>
        <v>0</v>
      </c>
      <c r="AN297" s="294"/>
    </row>
    <row r="298">
      <c r="A298" s="169">
        <f t="array" ref="A298">INDEX('Federal Tax, Stock Buybacks, &amp; '!D:D,match(B298,'Federal Tax, Stock Buybacks, &amp; '!E:E,0))</f>
        <v>271</v>
      </c>
      <c r="B298" s="300" t="s">
        <v>26</v>
      </c>
      <c r="C298" s="279"/>
      <c r="D298" s="280"/>
      <c r="E298" s="267"/>
      <c r="F298" s="268"/>
      <c r="G298" s="279"/>
      <c r="H298" s="280"/>
      <c r="I298" s="267"/>
      <c r="J298" s="268"/>
      <c r="K298" s="279" t="s">
        <v>711</v>
      </c>
      <c r="L298" s="280" t="s">
        <v>711</v>
      </c>
      <c r="M298" s="267" t="s">
        <v>711</v>
      </c>
      <c r="N298" s="268"/>
      <c r="O298" s="280" t="s">
        <v>711</v>
      </c>
      <c r="P298" s="280" t="s">
        <v>711</v>
      </c>
      <c r="Q298" s="267" t="s">
        <v>711</v>
      </c>
      <c r="R298" s="268"/>
      <c r="S298" s="364" t="s">
        <v>498</v>
      </c>
      <c r="T298" s="369" t="s">
        <v>1886</v>
      </c>
      <c r="U298" s="342">
        <v>3621511.0</v>
      </c>
      <c r="V298" s="268"/>
      <c r="W298" s="280" t="s">
        <v>711</v>
      </c>
      <c r="X298" s="280" t="s">
        <v>711</v>
      </c>
      <c r="Y298" s="267" t="s">
        <v>711</v>
      </c>
      <c r="Z298" s="268"/>
      <c r="AA298" s="280" t="s">
        <v>711</v>
      </c>
      <c r="AB298" s="280" t="s">
        <v>711</v>
      </c>
      <c r="AC298" s="267" t="s">
        <v>711</v>
      </c>
      <c r="AD298" s="306"/>
      <c r="AE298" s="308"/>
      <c r="AF298" s="308"/>
      <c r="AG298" s="308"/>
      <c r="AH298" s="308"/>
      <c r="AI298" s="308"/>
      <c r="AJ298" s="368"/>
      <c r="AK298" s="300"/>
      <c r="AL298" s="275">
        <f>MATCH(B298,'Key Findings'!B:B,0)</f>
        <v>48</v>
      </c>
      <c r="AM298" s="274" t="b">
        <f t="shared" si="1"/>
        <v>0</v>
      </c>
      <c r="AN298" s="294"/>
    </row>
    <row r="299">
      <c r="A299" s="299">
        <f t="array" ref="A299">INDEX('Federal Tax, Stock Buybacks, &amp; '!D:D,match(B299,'Federal Tax, Stock Buybacks, &amp; '!E:E,0))</f>
        <v>212</v>
      </c>
      <c r="B299" s="281" t="s">
        <v>30</v>
      </c>
      <c r="C299" s="457"/>
      <c r="D299" s="373"/>
      <c r="E299" s="284"/>
      <c r="F299" s="268"/>
      <c r="G299" s="457"/>
      <c r="H299" s="373"/>
      <c r="I299" s="284"/>
      <c r="J299" s="268"/>
      <c r="K299" s="457" t="s">
        <v>170</v>
      </c>
      <c r="L299" s="373" t="s">
        <v>1815</v>
      </c>
      <c r="M299" s="284">
        <v>1.0458218E7</v>
      </c>
      <c r="N299" s="268"/>
      <c r="O299" s="390" t="s">
        <v>170</v>
      </c>
      <c r="P299" s="424" t="s">
        <v>1815</v>
      </c>
      <c r="Q299" s="284">
        <v>1.1128277E7</v>
      </c>
      <c r="R299" s="268"/>
      <c r="S299" s="390" t="s">
        <v>170</v>
      </c>
      <c r="T299" s="424" t="s">
        <v>1815</v>
      </c>
      <c r="U299" s="284">
        <v>1.0605622E7</v>
      </c>
      <c r="V299" s="268"/>
      <c r="W299" s="390" t="s">
        <v>170</v>
      </c>
      <c r="X299" s="424" t="s">
        <v>1815</v>
      </c>
      <c r="Y299" s="284">
        <v>8228339.0</v>
      </c>
      <c r="Z299" s="268"/>
      <c r="AA299" s="390" t="s">
        <v>170</v>
      </c>
      <c r="AB299" s="424" t="s">
        <v>1815</v>
      </c>
      <c r="AC299" s="287">
        <v>5476877.0</v>
      </c>
      <c r="AD299" s="288"/>
      <c r="AE299" s="289">
        <v>2022.0</v>
      </c>
      <c r="AF299" s="289">
        <v>2021.0</v>
      </c>
      <c r="AG299" s="289">
        <v>2020.0</v>
      </c>
      <c r="AH299" s="289">
        <v>2019.0</v>
      </c>
      <c r="AI299" s="289">
        <v>2018.0</v>
      </c>
      <c r="AJ299" s="320" t="s">
        <v>1524</v>
      </c>
      <c r="AK299" s="260"/>
      <c r="AL299" s="259">
        <f>MATCH(B299,'Key Findings'!B:B,0)</f>
        <v>49</v>
      </c>
      <c r="AM299" s="260" t="b">
        <f t="shared" si="1"/>
        <v>1</v>
      </c>
      <c r="AN299" s="294"/>
    </row>
    <row r="300">
      <c r="A300" s="299">
        <f t="array" ref="A300">INDEX('Federal Tax, Stock Buybacks, &amp; '!D:D,match(B300,'Federal Tax, Stock Buybacks, &amp; '!E:E,0))</f>
        <v>212</v>
      </c>
      <c r="B300" s="281" t="s">
        <v>30</v>
      </c>
      <c r="C300" s="457"/>
      <c r="D300" s="373"/>
      <c r="E300" s="284"/>
      <c r="F300" s="268"/>
      <c r="G300" s="457"/>
      <c r="H300" s="373"/>
      <c r="I300" s="284"/>
      <c r="J300" s="268"/>
      <c r="K300" s="457" t="s">
        <v>512</v>
      </c>
      <c r="L300" s="373" t="s">
        <v>1647</v>
      </c>
      <c r="M300" s="284">
        <v>2811718.0</v>
      </c>
      <c r="N300" s="268"/>
      <c r="O300" s="390" t="s">
        <v>512</v>
      </c>
      <c r="P300" s="424" t="s">
        <v>1647</v>
      </c>
      <c r="Q300" s="284">
        <v>3245159.0</v>
      </c>
      <c r="R300" s="268"/>
      <c r="S300" s="390" t="s">
        <v>512</v>
      </c>
      <c r="T300" s="424" t="s">
        <v>1647</v>
      </c>
      <c r="U300" s="284">
        <v>2437638.0</v>
      </c>
      <c r="V300" s="268"/>
      <c r="W300" s="285" t="s">
        <v>645</v>
      </c>
      <c r="X300" s="295" t="s">
        <v>1705</v>
      </c>
      <c r="Y300" s="284">
        <v>2466611.0</v>
      </c>
      <c r="Z300" s="268"/>
      <c r="AA300" s="285" t="s">
        <v>362</v>
      </c>
      <c r="AB300" s="286" t="s">
        <v>1606</v>
      </c>
      <c r="AC300" s="287">
        <v>1.0986809E7</v>
      </c>
      <c r="AD300" s="288"/>
      <c r="AE300" s="292"/>
      <c r="AF300" s="292"/>
      <c r="AG300" s="292"/>
      <c r="AH300" s="292"/>
      <c r="AI300" s="292"/>
      <c r="AJ300" s="293"/>
      <c r="AK300" s="281"/>
      <c r="AL300" s="259">
        <f>MATCH(B300,'Key Findings'!B:B,0)</f>
        <v>49</v>
      </c>
      <c r="AM300" s="260" t="b">
        <f t="shared" si="1"/>
        <v>1</v>
      </c>
      <c r="AN300" s="294"/>
    </row>
    <row r="301">
      <c r="A301" s="299">
        <f t="array" ref="A301">INDEX('Federal Tax, Stock Buybacks, &amp; '!D:D,match(B301,'Federal Tax, Stock Buybacks, &amp; '!E:E,0))</f>
        <v>212</v>
      </c>
      <c r="B301" s="281" t="s">
        <v>30</v>
      </c>
      <c r="C301" s="457"/>
      <c r="D301" s="373"/>
      <c r="E301" s="284"/>
      <c r="F301" s="268"/>
      <c r="G301" s="457"/>
      <c r="H301" s="373"/>
      <c r="I301" s="284"/>
      <c r="J301" s="268"/>
      <c r="K301" s="457" t="s">
        <v>643</v>
      </c>
      <c r="L301" s="373" t="s">
        <v>1887</v>
      </c>
      <c r="M301" s="284">
        <v>2487192.0</v>
      </c>
      <c r="N301" s="268"/>
      <c r="O301" s="285" t="s">
        <v>412</v>
      </c>
      <c r="P301" s="286" t="s">
        <v>1888</v>
      </c>
      <c r="Q301" s="284">
        <v>4809501.0</v>
      </c>
      <c r="R301" s="268"/>
      <c r="S301" s="285" t="s">
        <v>412</v>
      </c>
      <c r="T301" s="286" t="s">
        <v>1888</v>
      </c>
      <c r="U301" s="284">
        <v>5050659.0</v>
      </c>
      <c r="V301" s="268"/>
      <c r="W301" s="285" t="s">
        <v>412</v>
      </c>
      <c r="X301" s="286" t="s">
        <v>1888</v>
      </c>
      <c r="Y301" s="284">
        <v>4347440.0</v>
      </c>
      <c r="Z301" s="268"/>
      <c r="AA301" s="285" t="s">
        <v>412</v>
      </c>
      <c r="AB301" s="286" t="s">
        <v>1888</v>
      </c>
      <c r="AC301" s="287">
        <v>3416488.0</v>
      </c>
      <c r="AD301" s="288"/>
      <c r="AE301" s="292"/>
      <c r="AF301" s="292"/>
      <c r="AG301" s="292"/>
      <c r="AH301" s="292"/>
      <c r="AI301" s="292"/>
      <c r="AJ301" s="293"/>
      <c r="AK301" s="281"/>
      <c r="AL301" s="259">
        <f>MATCH(B301,'Key Findings'!B:B,0)</f>
        <v>49</v>
      </c>
      <c r="AM301" s="260" t="b">
        <f t="shared" si="1"/>
        <v>1</v>
      </c>
      <c r="AN301" s="294"/>
    </row>
    <row r="302">
      <c r="A302" s="299">
        <f t="array" ref="A302">INDEX('Federal Tax, Stock Buybacks, &amp; '!D:D,match(B302,'Federal Tax, Stock Buybacks, &amp; '!E:E,0))</f>
        <v>212</v>
      </c>
      <c r="B302" s="281" t="s">
        <v>30</v>
      </c>
      <c r="C302" s="457"/>
      <c r="D302" s="373"/>
      <c r="E302" s="284"/>
      <c r="F302" s="268"/>
      <c r="G302" s="457"/>
      <c r="H302" s="373"/>
      <c r="I302" s="284"/>
      <c r="J302" s="268"/>
      <c r="K302" s="457" t="s">
        <v>210</v>
      </c>
      <c r="L302" s="373" t="s">
        <v>1889</v>
      </c>
      <c r="M302" s="284">
        <v>3152168.0</v>
      </c>
      <c r="N302" s="268"/>
      <c r="O302" s="390" t="s">
        <v>210</v>
      </c>
      <c r="P302" s="424" t="s">
        <v>1889</v>
      </c>
      <c r="Q302" s="284">
        <v>3269748.0</v>
      </c>
      <c r="R302" s="268"/>
      <c r="S302" s="390" t="s">
        <v>210</v>
      </c>
      <c r="T302" s="424" t="s">
        <v>1889</v>
      </c>
      <c r="U302" s="284">
        <v>3259383.0</v>
      </c>
      <c r="V302" s="268"/>
      <c r="W302" s="390" t="s">
        <v>210</v>
      </c>
      <c r="X302" s="424" t="s">
        <v>1889</v>
      </c>
      <c r="Y302" s="284">
        <v>3106171.0</v>
      </c>
      <c r="Z302" s="268"/>
      <c r="AA302" s="390" t="s">
        <v>210</v>
      </c>
      <c r="AB302" s="424" t="s">
        <v>1889</v>
      </c>
      <c r="AC302" s="287">
        <v>2402065.0</v>
      </c>
      <c r="AD302" s="288"/>
      <c r="AE302" s="292"/>
      <c r="AF302" s="292"/>
      <c r="AG302" s="292"/>
      <c r="AH302" s="292"/>
      <c r="AI302" s="292"/>
      <c r="AJ302" s="293"/>
      <c r="AK302" s="281"/>
      <c r="AL302" s="259">
        <f>MATCH(B302,'Key Findings'!B:B,0)</f>
        <v>49</v>
      </c>
      <c r="AM302" s="260" t="b">
        <f t="shared" si="1"/>
        <v>1</v>
      </c>
      <c r="AN302" s="294"/>
    </row>
    <row r="303">
      <c r="A303" s="299">
        <f t="array" ref="A303">INDEX('Federal Tax, Stock Buybacks, &amp; '!D:D,match(B303,'Federal Tax, Stock Buybacks, &amp; '!E:E,0))</f>
        <v>212</v>
      </c>
      <c r="B303" s="281" t="s">
        <v>30</v>
      </c>
      <c r="C303" s="457"/>
      <c r="D303" s="373"/>
      <c r="E303" s="284"/>
      <c r="F303" s="268"/>
      <c r="G303" s="457"/>
      <c r="H303" s="373"/>
      <c r="I303" s="284"/>
      <c r="J303" s="268"/>
      <c r="K303" s="457" t="s">
        <v>575</v>
      </c>
      <c r="L303" s="373" t="s">
        <v>1890</v>
      </c>
      <c r="M303" s="284">
        <v>2581551.0</v>
      </c>
      <c r="N303" s="268"/>
      <c r="O303" s="390" t="s">
        <v>575</v>
      </c>
      <c r="P303" s="424" t="s">
        <v>1890</v>
      </c>
      <c r="Q303" s="284">
        <v>2530192.0</v>
      </c>
      <c r="R303" s="268"/>
      <c r="S303" s="285" t="s">
        <v>457</v>
      </c>
      <c r="T303" s="286" t="s">
        <v>1891</v>
      </c>
      <c r="U303" s="284">
        <v>3970024.0</v>
      </c>
      <c r="V303" s="268"/>
      <c r="W303" s="285" t="s">
        <v>457</v>
      </c>
      <c r="X303" s="286" t="s">
        <v>1891</v>
      </c>
      <c r="Y303" s="284">
        <v>4183760.0</v>
      </c>
      <c r="Z303" s="268"/>
      <c r="AA303" s="285" t="s">
        <v>457</v>
      </c>
      <c r="AB303" s="286" t="s">
        <v>1891</v>
      </c>
      <c r="AC303" s="287">
        <v>3573455.0</v>
      </c>
      <c r="AD303" s="288"/>
      <c r="AE303" s="292"/>
      <c r="AF303" s="292"/>
      <c r="AG303" s="292"/>
      <c r="AH303" s="292"/>
      <c r="AI303" s="292"/>
      <c r="AJ303" s="293"/>
      <c r="AK303" s="281"/>
      <c r="AL303" s="259">
        <f>MATCH(B303,'Key Findings'!B:B,0)</f>
        <v>49</v>
      </c>
      <c r="AM303" s="260" t="b">
        <f t="shared" si="1"/>
        <v>1</v>
      </c>
      <c r="AN303" s="294"/>
    </row>
    <row r="304">
      <c r="A304" s="299">
        <f t="array" ref="A304">INDEX('Federal Tax, Stock Buybacks, &amp; '!D:D,match(B304,'Federal Tax, Stock Buybacks, &amp; '!E:E,0))</f>
        <v>212</v>
      </c>
      <c r="B304" s="281" t="s">
        <v>30</v>
      </c>
      <c r="C304" s="298"/>
      <c r="D304" s="296"/>
      <c r="E304" s="297"/>
      <c r="F304" s="268"/>
      <c r="G304" s="298"/>
      <c r="H304" s="296"/>
      <c r="I304" s="297"/>
      <c r="J304" s="268"/>
      <c r="K304" s="298" t="s">
        <v>711</v>
      </c>
      <c r="L304" s="296" t="s">
        <v>711</v>
      </c>
      <c r="M304" s="297" t="s">
        <v>711</v>
      </c>
      <c r="N304" s="268"/>
      <c r="O304" s="296" t="s">
        <v>711</v>
      </c>
      <c r="P304" s="296" t="s">
        <v>711</v>
      </c>
      <c r="Q304" s="297" t="s">
        <v>711</v>
      </c>
      <c r="R304" s="268"/>
      <c r="S304" s="285" t="s">
        <v>362</v>
      </c>
      <c r="T304" s="286" t="s">
        <v>1606</v>
      </c>
      <c r="U304" s="284">
        <v>7218993.0</v>
      </c>
      <c r="V304" s="268"/>
      <c r="W304" s="285" t="s">
        <v>362</v>
      </c>
      <c r="X304" s="286" t="s">
        <v>1606</v>
      </c>
      <c r="Y304" s="284">
        <v>1.2145179E7</v>
      </c>
      <c r="Z304" s="268"/>
      <c r="AA304" s="296" t="s">
        <v>711</v>
      </c>
      <c r="AB304" s="296" t="s">
        <v>711</v>
      </c>
      <c r="AC304" s="297" t="s">
        <v>711</v>
      </c>
      <c r="AD304" s="288"/>
      <c r="AE304" s="292"/>
      <c r="AF304" s="292"/>
      <c r="AG304" s="292"/>
      <c r="AH304" s="292"/>
      <c r="AI304" s="292"/>
      <c r="AJ304" s="293"/>
      <c r="AK304" s="281"/>
      <c r="AL304" s="259">
        <f>MATCH(B304,'Key Findings'!B:B,0)</f>
        <v>49</v>
      </c>
      <c r="AM304" s="260" t="b">
        <f t="shared" si="1"/>
        <v>1</v>
      </c>
      <c r="AN304" s="294"/>
    </row>
    <row r="305">
      <c r="A305" s="169">
        <f t="array" ref="A305">INDEX('Federal Tax, Stock Buybacks, &amp; '!D:D,match(B305,'Federal Tax, Stock Buybacks, &amp; '!E:E,0))</f>
        <v>232</v>
      </c>
      <c r="B305" s="434" t="s">
        <v>76</v>
      </c>
      <c r="C305" s="435"/>
      <c r="D305" s="436"/>
      <c r="E305" s="342"/>
      <c r="F305" s="268"/>
      <c r="G305" s="435"/>
      <c r="H305" s="436"/>
      <c r="I305" s="342"/>
      <c r="J305" s="268"/>
      <c r="K305" s="435" t="s">
        <v>297</v>
      </c>
      <c r="L305" s="436"/>
      <c r="M305" s="342">
        <v>8867377.0</v>
      </c>
      <c r="N305" s="268"/>
      <c r="O305" s="364" t="s">
        <v>297</v>
      </c>
      <c r="P305" s="437"/>
      <c r="Q305" s="342">
        <v>1.3199616E7</v>
      </c>
      <c r="R305" s="268"/>
      <c r="S305" s="364" t="s">
        <v>297</v>
      </c>
      <c r="T305" s="438"/>
      <c r="U305" s="342">
        <v>1.5903993E7</v>
      </c>
      <c r="V305" s="268"/>
      <c r="W305" s="364" t="s">
        <v>297</v>
      </c>
      <c r="X305" s="438"/>
      <c r="Y305" s="342">
        <v>1.5117938E7</v>
      </c>
      <c r="Z305" s="268"/>
      <c r="AA305" s="364" t="s">
        <v>297</v>
      </c>
      <c r="AB305" s="439"/>
      <c r="AC305" s="305">
        <v>1.1784404E7</v>
      </c>
      <c r="AD305" s="306"/>
      <c r="AE305" s="440">
        <v>2022.0</v>
      </c>
      <c r="AF305" s="440">
        <v>2021.0</v>
      </c>
      <c r="AG305" s="440">
        <v>2020.0</v>
      </c>
      <c r="AH305" s="440">
        <v>2019.0</v>
      </c>
      <c r="AI305" s="440">
        <v>2018.0</v>
      </c>
      <c r="AJ305" s="441" t="s">
        <v>1578</v>
      </c>
      <c r="AK305" s="464"/>
      <c r="AL305" s="275">
        <f>MATCH(B305,'Key Findings'!B:B,0)</f>
        <v>50</v>
      </c>
      <c r="AM305" s="274" t="b">
        <f t="shared" si="1"/>
        <v>0</v>
      </c>
      <c r="AN305" s="291" t="s">
        <v>1534</v>
      </c>
    </row>
    <row r="306">
      <c r="A306" s="169">
        <f t="array" ref="A306">INDEX('Federal Tax, Stock Buybacks, &amp; '!D:D,match(B306,'Federal Tax, Stock Buybacks, &amp; '!E:E,0))</f>
        <v>232</v>
      </c>
      <c r="B306" s="434" t="s">
        <v>76</v>
      </c>
      <c r="C306" s="435"/>
      <c r="D306" s="436"/>
      <c r="E306" s="342"/>
      <c r="F306" s="268"/>
      <c r="G306" s="435"/>
      <c r="H306" s="436"/>
      <c r="I306" s="342"/>
      <c r="J306" s="268"/>
      <c r="K306" s="435" t="s">
        <v>341</v>
      </c>
      <c r="L306" s="436"/>
      <c r="M306" s="342">
        <v>2861192.0</v>
      </c>
      <c r="N306" s="268"/>
      <c r="O306" s="364" t="s">
        <v>341</v>
      </c>
      <c r="P306" s="437"/>
      <c r="Q306" s="342">
        <v>3094708.0</v>
      </c>
      <c r="R306" s="268"/>
      <c r="S306" s="364" t="s">
        <v>341</v>
      </c>
      <c r="T306" s="438"/>
      <c r="U306" s="342">
        <v>4053263.0</v>
      </c>
      <c r="V306" s="268"/>
      <c r="W306" s="364" t="s">
        <v>341</v>
      </c>
      <c r="X306" s="438"/>
      <c r="Y306" s="342">
        <v>2114658.0</v>
      </c>
      <c r="Z306" s="268"/>
      <c r="AA306" s="364" t="s">
        <v>341</v>
      </c>
      <c r="AB306" s="439"/>
      <c r="AC306" s="305">
        <v>1935054.0</v>
      </c>
      <c r="AD306" s="306"/>
      <c r="AE306" s="272"/>
      <c r="AF306" s="272"/>
      <c r="AG306" s="272"/>
      <c r="AH306" s="272"/>
      <c r="AI306" s="272"/>
      <c r="AJ306" s="427"/>
      <c r="AK306" s="465"/>
      <c r="AL306" s="275">
        <f>MATCH(B306,'Key Findings'!B:B,0)</f>
        <v>50</v>
      </c>
      <c r="AM306" s="274" t="b">
        <f t="shared" si="1"/>
        <v>0</v>
      </c>
      <c r="AN306" s="294"/>
    </row>
    <row r="307">
      <c r="A307" s="169">
        <f t="array" ref="A307">INDEX('Federal Tax, Stock Buybacks, &amp; '!D:D,match(B307,'Federal Tax, Stock Buybacks, &amp; '!E:E,0))</f>
        <v>232</v>
      </c>
      <c r="B307" s="434" t="s">
        <v>76</v>
      </c>
      <c r="C307" s="435"/>
      <c r="D307" s="436"/>
      <c r="E307" s="342"/>
      <c r="F307" s="268"/>
      <c r="G307" s="435"/>
      <c r="H307" s="436"/>
      <c r="I307" s="342"/>
      <c r="J307" s="268"/>
      <c r="K307" s="435" t="s">
        <v>325</v>
      </c>
      <c r="L307" s="436"/>
      <c r="M307" s="342">
        <v>2745470.0</v>
      </c>
      <c r="N307" s="268"/>
      <c r="O307" s="364" t="s">
        <v>325</v>
      </c>
      <c r="P307" s="437"/>
      <c r="Q307" s="342">
        <v>3739616.0</v>
      </c>
      <c r="R307" s="268"/>
      <c r="S307" s="364" t="s">
        <v>325</v>
      </c>
      <c r="T307" s="438"/>
      <c r="U307" s="342">
        <v>4949859.0</v>
      </c>
      <c r="V307" s="268"/>
      <c r="W307" s="364" t="s">
        <v>325</v>
      </c>
      <c r="X307" s="438"/>
      <c r="Y307" s="342">
        <v>3800131.0</v>
      </c>
      <c r="Z307" s="268"/>
      <c r="AA307" s="364" t="s">
        <v>325</v>
      </c>
      <c r="AB307" s="439"/>
      <c r="AC307" s="305">
        <v>2336266.0</v>
      </c>
      <c r="AD307" s="306"/>
      <c r="AE307" s="272"/>
      <c r="AF307" s="272"/>
      <c r="AG307" s="272"/>
      <c r="AH307" s="272"/>
      <c r="AI307" s="272"/>
      <c r="AJ307" s="427"/>
      <c r="AK307" s="465"/>
      <c r="AL307" s="275">
        <f>MATCH(B307,'Key Findings'!B:B,0)</f>
        <v>50</v>
      </c>
      <c r="AM307" s="274" t="b">
        <f t="shared" si="1"/>
        <v>0</v>
      </c>
      <c r="AN307" s="294"/>
    </row>
    <row r="308">
      <c r="A308" s="169">
        <f t="array" ref="A308">INDEX('Federal Tax, Stock Buybacks, &amp; '!D:D,match(B308,'Federal Tax, Stock Buybacks, &amp; '!E:E,0))</f>
        <v>232</v>
      </c>
      <c r="B308" s="434" t="s">
        <v>76</v>
      </c>
      <c r="C308" s="435"/>
      <c r="D308" s="436"/>
      <c r="E308" s="342"/>
      <c r="F308" s="268"/>
      <c r="G308" s="435"/>
      <c r="H308" s="436"/>
      <c r="I308" s="342"/>
      <c r="J308" s="268"/>
      <c r="K308" s="435" t="s">
        <v>331</v>
      </c>
      <c r="L308" s="436"/>
      <c r="M308" s="342">
        <v>2466221.0</v>
      </c>
      <c r="N308" s="268"/>
      <c r="O308" s="364" t="s">
        <v>331</v>
      </c>
      <c r="P308" s="437"/>
      <c r="Q308" s="342">
        <v>3116976.0</v>
      </c>
      <c r="R308" s="268"/>
      <c r="S308" s="364" t="s">
        <v>331</v>
      </c>
      <c r="T308" s="438"/>
      <c r="U308" s="342">
        <v>2684153.0</v>
      </c>
      <c r="V308" s="268"/>
      <c r="W308" s="364" t="s">
        <v>331</v>
      </c>
      <c r="X308" s="438"/>
      <c r="Y308" s="342">
        <v>2114658.0</v>
      </c>
      <c r="Z308" s="268"/>
      <c r="AA308" s="364" t="s">
        <v>331</v>
      </c>
      <c r="AB308" s="439"/>
      <c r="AC308" s="305">
        <v>5679417.0</v>
      </c>
      <c r="AD308" s="306"/>
      <c r="AE308" s="272"/>
      <c r="AF308" s="272"/>
      <c r="AG308" s="272"/>
      <c r="AH308" s="272"/>
      <c r="AI308" s="272"/>
      <c r="AJ308" s="427"/>
      <c r="AK308" s="465"/>
      <c r="AL308" s="275">
        <f>MATCH(B308,'Key Findings'!B:B,0)</f>
        <v>50</v>
      </c>
      <c r="AM308" s="274" t="b">
        <f t="shared" si="1"/>
        <v>0</v>
      </c>
      <c r="AN308" s="294"/>
    </row>
    <row r="309">
      <c r="A309" s="169">
        <f t="array" ref="A309">INDEX('Federal Tax, Stock Buybacks, &amp; '!D:D,match(B309,'Federal Tax, Stock Buybacks, &amp; '!E:E,0))</f>
        <v>232</v>
      </c>
      <c r="B309" s="434" t="s">
        <v>76</v>
      </c>
      <c r="C309" s="435"/>
      <c r="D309" s="436"/>
      <c r="E309" s="342"/>
      <c r="F309" s="268"/>
      <c r="G309" s="435"/>
      <c r="H309" s="436"/>
      <c r="I309" s="342"/>
      <c r="J309" s="268"/>
      <c r="K309" s="435" t="s">
        <v>410</v>
      </c>
      <c r="L309" s="436"/>
      <c r="M309" s="342">
        <v>1246533.0</v>
      </c>
      <c r="N309" s="268"/>
      <c r="O309" s="364" t="s">
        <v>410</v>
      </c>
      <c r="P309" s="437"/>
      <c r="Q309" s="342">
        <v>2189053.0</v>
      </c>
      <c r="R309" s="268"/>
      <c r="S309" s="364" t="s">
        <v>410</v>
      </c>
      <c r="T309" s="438"/>
      <c r="U309" s="342">
        <v>2742320.0</v>
      </c>
      <c r="V309" s="268"/>
      <c r="W309" s="364" t="s">
        <v>567</v>
      </c>
      <c r="X309" s="438"/>
      <c r="Y309" s="342">
        <v>1945311.0</v>
      </c>
      <c r="Z309" s="268"/>
      <c r="AA309" s="364" t="s">
        <v>562</v>
      </c>
      <c r="AB309" s="439"/>
      <c r="AC309" s="305">
        <v>2071953.0</v>
      </c>
      <c r="AD309" s="306"/>
      <c r="AE309" s="272"/>
      <c r="AF309" s="272"/>
      <c r="AG309" s="272"/>
      <c r="AH309" s="272"/>
      <c r="AI309" s="272"/>
      <c r="AJ309" s="427"/>
      <c r="AK309" s="465"/>
      <c r="AL309" s="275">
        <f>MATCH(B309,'Key Findings'!B:B,0)</f>
        <v>50</v>
      </c>
      <c r="AM309" s="274" t="b">
        <f t="shared" si="1"/>
        <v>0</v>
      </c>
      <c r="AN309" s="294"/>
    </row>
    <row r="310">
      <c r="A310" s="169">
        <f t="array" ref="A310">INDEX('Federal Tax, Stock Buybacks, &amp; '!D:D,match(B310,'Federal Tax, Stock Buybacks, &amp; '!E:E,0))</f>
        <v>232</v>
      </c>
      <c r="B310" s="434" t="s">
        <v>76</v>
      </c>
      <c r="C310" s="435"/>
      <c r="D310" s="436"/>
      <c r="E310" s="342"/>
      <c r="F310" s="268"/>
      <c r="G310" s="435"/>
      <c r="H310" s="436"/>
      <c r="I310" s="342"/>
      <c r="J310" s="268"/>
      <c r="K310" s="435" t="s">
        <v>558</v>
      </c>
      <c r="L310" s="436"/>
      <c r="M310" s="342">
        <v>2082997.0</v>
      </c>
      <c r="N310" s="268"/>
      <c r="O310" s="303" t="s">
        <v>711</v>
      </c>
      <c r="P310" s="437" t="s">
        <v>711</v>
      </c>
      <c r="Q310" s="371" t="s">
        <v>711</v>
      </c>
      <c r="R310" s="268"/>
      <c r="S310" s="303" t="s">
        <v>711</v>
      </c>
      <c r="T310" s="437" t="s">
        <v>711</v>
      </c>
      <c r="U310" s="371" t="s">
        <v>711</v>
      </c>
      <c r="V310" s="268"/>
      <c r="W310" s="303" t="s">
        <v>711</v>
      </c>
      <c r="X310" s="437" t="s">
        <v>711</v>
      </c>
      <c r="Y310" s="371" t="s">
        <v>711</v>
      </c>
      <c r="Z310" s="268"/>
      <c r="AA310" s="303" t="s">
        <v>711</v>
      </c>
      <c r="AB310" s="437" t="s">
        <v>711</v>
      </c>
      <c r="AC310" s="371" t="s">
        <v>711</v>
      </c>
      <c r="AD310" s="306"/>
      <c r="AE310" s="272"/>
      <c r="AF310" s="272"/>
      <c r="AG310" s="272"/>
      <c r="AH310" s="272"/>
      <c r="AI310" s="272"/>
      <c r="AJ310" s="427"/>
      <c r="AK310" s="465"/>
      <c r="AL310" s="275">
        <f>MATCH(B310,'Key Findings'!B:B,0)</f>
        <v>50</v>
      </c>
      <c r="AM310" s="274" t="b">
        <f t="shared" si="1"/>
        <v>0</v>
      </c>
      <c r="AN310" s="294"/>
    </row>
    <row r="311">
      <c r="A311" s="299">
        <f t="array" ref="A311">INDEX('Federal Tax, Stock Buybacks, &amp; '!D:D,match(B311,'Federal Tax, Stock Buybacks, &amp; '!E:E,0))</f>
        <v>343</v>
      </c>
      <c r="B311" s="281" t="s">
        <v>27</v>
      </c>
      <c r="C311" s="316"/>
      <c r="D311" s="317"/>
      <c r="E311" s="318"/>
      <c r="F311" s="268"/>
      <c r="G311" s="316"/>
      <c r="H311" s="317"/>
      <c r="I311" s="318"/>
      <c r="J311" s="268"/>
      <c r="K311" s="316" t="s">
        <v>146</v>
      </c>
      <c r="L311" s="317" t="s">
        <v>1892</v>
      </c>
      <c r="M311" s="318">
        <v>8553297.0</v>
      </c>
      <c r="N311" s="268"/>
      <c r="O311" s="285" t="s">
        <v>146</v>
      </c>
      <c r="P311" s="317" t="s">
        <v>1533</v>
      </c>
      <c r="Q311" s="319">
        <v>8837858.0</v>
      </c>
      <c r="R311" s="268"/>
      <c r="S311" s="285" t="s">
        <v>146</v>
      </c>
      <c r="T311" s="317" t="s">
        <v>1533</v>
      </c>
      <c r="U311" s="284">
        <v>3264629.0</v>
      </c>
      <c r="V311" s="268"/>
      <c r="W311" s="285" t="s">
        <v>146</v>
      </c>
      <c r="X311" s="317" t="s">
        <v>1533</v>
      </c>
      <c r="Y311" s="284">
        <v>2844406.0</v>
      </c>
      <c r="Z311" s="268"/>
      <c r="AA311" s="285" t="s">
        <v>146</v>
      </c>
      <c r="AB311" s="317" t="s">
        <v>1533</v>
      </c>
      <c r="AC311" s="287">
        <v>2798523.0</v>
      </c>
      <c r="AD311" s="288"/>
      <c r="AE311" s="289">
        <v>2022.0</v>
      </c>
      <c r="AF311" s="289">
        <v>2021.0</v>
      </c>
      <c r="AG311" s="289">
        <v>2020.0</v>
      </c>
      <c r="AH311" s="289">
        <v>2019.0</v>
      </c>
      <c r="AI311" s="289">
        <v>2018.0</v>
      </c>
      <c r="AJ311" s="320" t="s">
        <v>1524</v>
      </c>
      <c r="AK311" s="260"/>
      <c r="AL311" s="259">
        <f>MATCH(B311,'Key Findings'!B:B,0)</f>
        <v>51</v>
      </c>
      <c r="AM311" s="260" t="b">
        <f t="shared" si="1"/>
        <v>1</v>
      </c>
      <c r="AN311" s="294"/>
    </row>
    <row r="312">
      <c r="A312" s="299">
        <f t="array" ref="A312">INDEX('Federal Tax, Stock Buybacks, &amp; '!D:D,match(B312,'Federal Tax, Stock Buybacks, &amp; '!E:E,0))</f>
        <v>343</v>
      </c>
      <c r="B312" s="281" t="s">
        <v>27</v>
      </c>
      <c r="C312" s="316"/>
      <c r="D312" s="317"/>
      <c r="E312" s="318"/>
      <c r="F312" s="268"/>
      <c r="G312" s="316"/>
      <c r="H312" s="317"/>
      <c r="I312" s="318"/>
      <c r="J312" s="268"/>
      <c r="K312" s="316" t="s">
        <v>249</v>
      </c>
      <c r="L312" s="317" t="s">
        <v>1893</v>
      </c>
      <c r="M312" s="318">
        <v>3162836.0</v>
      </c>
      <c r="N312" s="268"/>
      <c r="O312" s="285" t="s">
        <v>249</v>
      </c>
      <c r="P312" s="317" t="s">
        <v>1893</v>
      </c>
      <c r="Q312" s="319">
        <v>3520949.0</v>
      </c>
      <c r="R312" s="268"/>
      <c r="S312" s="285" t="s">
        <v>249</v>
      </c>
      <c r="T312" s="317" t="s">
        <v>1893</v>
      </c>
      <c r="U312" s="284">
        <v>2638271.0</v>
      </c>
      <c r="V312" s="268"/>
      <c r="W312" s="285" t="s">
        <v>249</v>
      </c>
      <c r="X312" s="317" t="s">
        <v>1893</v>
      </c>
      <c r="Y312" s="284">
        <v>2485536.0</v>
      </c>
      <c r="Z312" s="268"/>
      <c r="AA312" s="285" t="s">
        <v>249</v>
      </c>
      <c r="AB312" s="317" t="s">
        <v>1893</v>
      </c>
      <c r="AC312" s="287">
        <v>3004019.0</v>
      </c>
      <c r="AD312" s="288"/>
      <c r="AE312" s="321"/>
      <c r="AF312" s="321"/>
      <c r="AG312" s="321"/>
      <c r="AH312" s="321"/>
      <c r="AI312" s="321"/>
      <c r="AJ312" s="320"/>
      <c r="AK312" s="260"/>
      <c r="AL312" s="259">
        <f>MATCH(B312,'Key Findings'!B:B,0)</f>
        <v>51</v>
      </c>
      <c r="AM312" s="260" t="b">
        <f t="shared" si="1"/>
        <v>1</v>
      </c>
      <c r="AN312" s="294"/>
    </row>
    <row r="313">
      <c r="A313" s="299">
        <f t="array" ref="A313">INDEX('Federal Tax, Stock Buybacks, &amp; '!D:D,match(B313,'Federal Tax, Stock Buybacks, &amp; '!E:E,0))</f>
        <v>343</v>
      </c>
      <c r="B313" s="281" t="s">
        <v>27</v>
      </c>
      <c r="C313" s="316"/>
      <c r="D313" s="317"/>
      <c r="E313" s="318"/>
      <c r="F313" s="268"/>
      <c r="G313" s="316"/>
      <c r="H313" s="317"/>
      <c r="I313" s="318"/>
      <c r="J313" s="268"/>
      <c r="K313" s="316" t="s">
        <v>521</v>
      </c>
      <c r="L313" s="317" t="s">
        <v>1894</v>
      </c>
      <c r="M313" s="318">
        <v>3457813.0</v>
      </c>
      <c r="N313" s="268"/>
      <c r="O313" s="285" t="s">
        <v>521</v>
      </c>
      <c r="P313" s="317" t="s">
        <v>1894</v>
      </c>
      <c r="Q313" s="319">
        <v>4326215.0</v>
      </c>
      <c r="R313" s="268"/>
      <c r="S313" s="285" t="s">
        <v>521</v>
      </c>
      <c r="T313" s="317" t="s">
        <v>1894</v>
      </c>
      <c r="U313" s="284">
        <v>1653176.0</v>
      </c>
      <c r="V313" s="268"/>
      <c r="W313" s="285" t="s">
        <v>546</v>
      </c>
      <c r="X313" s="317" t="s">
        <v>1895</v>
      </c>
      <c r="Y313" s="284">
        <v>4080529.0</v>
      </c>
      <c r="Z313" s="268"/>
      <c r="AA313" s="285" t="s">
        <v>546</v>
      </c>
      <c r="AB313" s="317" t="s">
        <v>1895</v>
      </c>
      <c r="AC313" s="287">
        <v>3801639.0</v>
      </c>
      <c r="AD313" s="288"/>
      <c r="AE313" s="321"/>
      <c r="AF313" s="321"/>
      <c r="AG313" s="321"/>
      <c r="AH313" s="321"/>
      <c r="AI313" s="321"/>
      <c r="AJ313" s="320"/>
      <c r="AK313" s="260"/>
      <c r="AL313" s="259">
        <f>MATCH(B313,'Key Findings'!B:B,0)</f>
        <v>51</v>
      </c>
      <c r="AM313" s="260" t="b">
        <f t="shared" si="1"/>
        <v>1</v>
      </c>
      <c r="AN313" s="294"/>
    </row>
    <row r="314">
      <c r="A314" s="299">
        <f t="array" ref="A314">INDEX('Federal Tax, Stock Buybacks, &amp; '!D:D,match(B314,'Federal Tax, Stock Buybacks, &amp; '!E:E,0))</f>
        <v>343</v>
      </c>
      <c r="B314" s="281" t="s">
        <v>27</v>
      </c>
      <c r="C314" s="316"/>
      <c r="D314" s="317"/>
      <c r="E314" s="318"/>
      <c r="F314" s="268"/>
      <c r="G314" s="316"/>
      <c r="H314" s="317"/>
      <c r="I314" s="318"/>
      <c r="J314" s="268"/>
      <c r="K314" s="316" t="s">
        <v>608</v>
      </c>
      <c r="L314" s="317" t="s">
        <v>1896</v>
      </c>
      <c r="M314" s="318">
        <v>1401725.0</v>
      </c>
      <c r="N314" s="268"/>
      <c r="O314" s="285" t="s">
        <v>608</v>
      </c>
      <c r="P314" s="317" t="s">
        <v>1896</v>
      </c>
      <c r="Q314" s="319">
        <v>1512367.0</v>
      </c>
      <c r="R314" s="268"/>
      <c r="S314" s="285" t="s">
        <v>388</v>
      </c>
      <c r="T314" s="317" t="s">
        <v>1892</v>
      </c>
      <c r="U314" s="284">
        <v>7078005.0</v>
      </c>
      <c r="V314" s="268"/>
      <c r="W314" s="285" t="s">
        <v>388</v>
      </c>
      <c r="X314" s="317" t="s">
        <v>1533</v>
      </c>
      <c r="Y314" s="284">
        <v>9073076.0</v>
      </c>
      <c r="Z314" s="268"/>
      <c r="AA314" s="285" t="s">
        <v>388</v>
      </c>
      <c r="AB314" s="317" t="s">
        <v>1533</v>
      </c>
      <c r="AC314" s="287">
        <v>9858109.0</v>
      </c>
      <c r="AD314" s="288"/>
      <c r="AE314" s="321"/>
      <c r="AF314" s="321"/>
      <c r="AG314" s="321"/>
      <c r="AH314" s="321"/>
      <c r="AI314" s="321"/>
      <c r="AJ314" s="320"/>
      <c r="AK314" s="260"/>
      <c r="AL314" s="259">
        <f>MATCH(B314,'Key Findings'!B:B,0)</f>
        <v>51</v>
      </c>
      <c r="AM314" s="260" t="b">
        <f t="shared" si="1"/>
        <v>1</v>
      </c>
      <c r="AN314" s="291" t="s">
        <v>1897</v>
      </c>
    </row>
    <row r="315">
      <c r="A315" s="299">
        <f t="array" ref="A315">INDEX('Federal Tax, Stock Buybacks, &amp; '!D:D,match(B315,'Federal Tax, Stock Buybacks, &amp; '!E:E,0))</f>
        <v>343</v>
      </c>
      <c r="B315" s="281" t="s">
        <v>27</v>
      </c>
      <c r="C315" s="316"/>
      <c r="D315" s="317"/>
      <c r="E315" s="318"/>
      <c r="F315" s="268"/>
      <c r="G315" s="316"/>
      <c r="H315" s="317"/>
      <c r="I315" s="318"/>
      <c r="J315" s="268"/>
      <c r="K315" s="316" t="s">
        <v>547</v>
      </c>
      <c r="L315" s="317" t="s">
        <v>1898</v>
      </c>
      <c r="M315" s="318">
        <v>2883472.0</v>
      </c>
      <c r="N315" s="268"/>
      <c r="O315" s="285" t="s">
        <v>547</v>
      </c>
      <c r="P315" s="317" t="s">
        <v>1898</v>
      </c>
      <c r="Q315" s="319">
        <v>4695434.0</v>
      </c>
      <c r="R315" s="268"/>
      <c r="S315" s="285" t="s">
        <v>622</v>
      </c>
      <c r="T315" s="317" t="s">
        <v>1899</v>
      </c>
      <c r="U315" s="284">
        <v>1687667.0</v>
      </c>
      <c r="V315" s="268"/>
      <c r="W315" s="285" t="s">
        <v>622</v>
      </c>
      <c r="X315" s="317" t="s">
        <v>1898</v>
      </c>
      <c r="Y315" s="284">
        <v>1988848.0</v>
      </c>
      <c r="Z315" s="268"/>
      <c r="AA315" s="285" t="s">
        <v>670</v>
      </c>
      <c r="AB315" s="317" t="s">
        <v>1900</v>
      </c>
      <c r="AC315" s="287">
        <v>1442149.0</v>
      </c>
      <c r="AD315" s="288"/>
      <c r="AE315" s="321"/>
      <c r="AF315" s="321"/>
      <c r="AG315" s="321"/>
      <c r="AH315" s="321"/>
      <c r="AI315" s="321"/>
      <c r="AJ315" s="320"/>
      <c r="AK315" s="260"/>
      <c r="AL315" s="259">
        <f>MATCH(B315,'Key Findings'!B:B,0)</f>
        <v>51</v>
      </c>
      <c r="AM315" s="260" t="b">
        <f t="shared" si="1"/>
        <v>1</v>
      </c>
      <c r="AN315" s="294"/>
    </row>
    <row r="316">
      <c r="A316" s="299">
        <f t="array" ref="A316">INDEX('Federal Tax, Stock Buybacks, &amp; '!D:D,match(B316,'Federal Tax, Stock Buybacks, &amp; '!E:E,0))</f>
        <v>343</v>
      </c>
      <c r="B316" s="281" t="s">
        <v>27</v>
      </c>
      <c r="C316" s="316"/>
      <c r="D316" s="317"/>
      <c r="E316" s="318"/>
      <c r="F316" s="268"/>
      <c r="G316" s="316"/>
      <c r="H316" s="317"/>
      <c r="I316" s="318"/>
      <c r="J316" s="268"/>
      <c r="K316" s="316" t="s">
        <v>543</v>
      </c>
      <c r="L316" s="317" t="s">
        <v>1901</v>
      </c>
      <c r="M316" s="318">
        <v>3539303.0</v>
      </c>
      <c r="N316" s="268"/>
      <c r="O316" s="285" t="s">
        <v>543</v>
      </c>
      <c r="P316" s="317" t="s">
        <v>1901</v>
      </c>
      <c r="Q316" s="319">
        <v>4374264.0</v>
      </c>
      <c r="R316" s="268"/>
      <c r="S316" s="285" t="s">
        <v>608</v>
      </c>
      <c r="T316" s="317" t="s">
        <v>1902</v>
      </c>
      <c r="U316" s="284">
        <v>1185693.0</v>
      </c>
      <c r="V316" s="268"/>
      <c r="W316" s="285" t="s">
        <v>544</v>
      </c>
      <c r="X316" s="317" t="s">
        <v>1903</v>
      </c>
      <c r="Y316" s="284">
        <v>4058927.0</v>
      </c>
      <c r="Z316" s="268"/>
      <c r="AA316" s="285" t="s">
        <v>544</v>
      </c>
      <c r="AB316" s="317" t="s">
        <v>1904</v>
      </c>
      <c r="AC316" s="287">
        <v>3840576.0</v>
      </c>
      <c r="AD316" s="288"/>
      <c r="AE316" s="321"/>
      <c r="AF316" s="321"/>
      <c r="AG316" s="321"/>
      <c r="AH316" s="321"/>
      <c r="AI316" s="321"/>
      <c r="AJ316" s="320"/>
      <c r="AK316" s="260"/>
      <c r="AL316" s="259">
        <f>MATCH(B316,'Key Findings'!B:B,0)</f>
        <v>51</v>
      </c>
      <c r="AM316" s="260" t="b">
        <f t="shared" si="1"/>
        <v>1</v>
      </c>
      <c r="AN316" s="294"/>
    </row>
    <row r="317">
      <c r="A317" s="299">
        <f t="array" ref="A317">INDEX('Federal Tax, Stock Buybacks, &amp; '!D:D,match(B317,'Federal Tax, Stock Buybacks, &amp; '!E:E,0))</f>
        <v>343</v>
      </c>
      <c r="B317" s="281" t="s">
        <v>27</v>
      </c>
      <c r="C317" s="298"/>
      <c r="D317" s="296"/>
      <c r="E317" s="297"/>
      <c r="F317" s="268"/>
      <c r="G317" s="298"/>
      <c r="H317" s="296"/>
      <c r="I317" s="297"/>
      <c r="J317" s="268"/>
      <c r="K317" s="298" t="s">
        <v>711</v>
      </c>
      <c r="L317" s="296" t="s">
        <v>711</v>
      </c>
      <c r="M317" s="297" t="s">
        <v>711</v>
      </c>
      <c r="N317" s="268"/>
      <c r="O317" s="296" t="s">
        <v>711</v>
      </c>
      <c r="P317" s="296" t="s">
        <v>711</v>
      </c>
      <c r="Q317" s="297" t="s">
        <v>711</v>
      </c>
      <c r="R317" s="268"/>
      <c r="S317" s="285" t="s">
        <v>673</v>
      </c>
      <c r="T317" s="317" t="s">
        <v>1905</v>
      </c>
      <c r="U317" s="284">
        <v>1387915.0</v>
      </c>
      <c r="V317" s="268"/>
      <c r="W317" s="296" t="s">
        <v>711</v>
      </c>
      <c r="X317" s="296" t="s">
        <v>711</v>
      </c>
      <c r="Y317" s="297" t="s">
        <v>711</v>
      </c>
      <c r="Z317" s="268"/>
      <c r="AA317" s="285" t="s">
        <v>639</v>
      </c>
      <c r="AB317" s="317" t="s">
        <v>1906</v>
      </c>
      <c r="AC317" s="287">
        <v>2942609.0</v>
      </c>
      <c r="AD317" s="288"/>
      <c r="AE317" s="321"/>
      <c r="AF317" s="321"/>
      <c r="AG317" s="321"/>
      <c r="AH317" s="321"/>
      <c r="AI317" s="321"/>
      <c r="AJ317" s="320"/>
      <c r="AK317" s="260"/>
      <c r="AL317" s="259">
        <f>MATCH(B317,'Key Findings'!B:B,0)</f>
        <v>51</v>
      </c>
      <c r="AM317" s="260" t="b">
        <f t="shared" si="1"/>
        <v>1</v>
      </c>
      <c r="AN317" s="294"/>
    </row>
    <row r="318">
      <c r="A318" s="169">
        <f t="array" ref="A318">INDEX('Federal Tax, Stock Buybacks, &amp; '!D:D,match(B318,'Federal Tax, Stock Buybacks, &amp; '!E:E,0))</f>
        <v>480</v>
      </c>
      <c r="B318" s="422" t="s">
        <v>31</v>
      </c>
      <c r="C318" s="466"/>
      <c r="D318" s="398"/>
      <c r="E318" s="342"/>
      <c r="F318" s="268"/>
      <c r="G318" s="466"/>
      <c r="H318" s="398"/>
      <c r="I318" s="342"/>
      <c r="J318" s="268"/>
      <c r="K318" s="466" t="s">
        <v>279</v>
      </c>
      <c r="L318" s="398" t="s">
        <v>1907</v>
      </c>
      <c r="M318" s="342">
        <v>5864935.0</v>
      </c>
      <c r="N318" s="268"/>
      <c r="O318" s="303" t="s">
        <v>279</v>
      </c>
      <c r="P318" s="364" t="s">
        <v>1907</v>
      </c>
      <c r="Q318" s="342">
        <v>9807836.0</v>
      </c>
      <c r="R318" s="268"/>
      <c r="S318" s="303" t="s">
        <v>279</v>
      </c>
      <c r="T318" s="364" t="s">
        <v>1907</v>
      </c>
      <c r="U318" s="342">
        <v>1.0058353E7</v>
      </c>
      <c r="V318" s="268"/>
      <c r="W318" s="303" t="s">
        <v>279</v>
      </c>
      <c r="X318" s="364" t="s">
        <v>1907</v>
      </c>
      <c r="Y318" s="342">
        <v>9718998.0</v>
      </c>
      <c r="Z318" s="268"/>
      <c r="AA318" s="303" t="s">
        <v>279</v>
      </c>
      <c r="AB318" s="364" t="s">
        <v>1907</v>
      </c>
      <c r="AC318" s="305">
        <v>8454460.0</v>
      </c>
      <c r="AD318" s="306"/>
      <c r="AE318" s="366">
        <v>2022.0</v>
      </c>
      <c r="AF318" s="366">
        <v>2021.0</v>
      </c>
      <c r="AG318" s="366">
        <v>2020.0</v>
      </c>
      <c r="AH318" s="366">
        <v>2019.0</v>
      </c>
      <c r="AI318" s="366">
        <v>2018.0</v>
      </c>
      <c r="AJ318" s="325" t="s">
        <v>1578</v>
      </c>
      <c r="AK318" s="300"/>
      <c r="AL318" s="275">
        <f>MATCH(B318,'Key Findings'!B:B,0)</f>
        <v>52</v>
      </c>
      <c r="AM318" s="274" t="b">
        <f t="shared" si="1"/>
        <v>0</v>
      </c>
      <c r="AN318" s="294"/>
    </row>
    <row r="319">
      <c r="A319" s="169">
        <f t="array" ref="A319">INDEX('Federal Tax, Stock Buybacks, &amp; '!D:D,match(B319,'Federal Tax, Stock Buybacks, &amp; '!E:E,0))</f>
        <v>480</v>
      </c>
      <c r="B319" s="422" t="s">
        <v>31</v>
      </c>
      <c r="C319" s="398"/>
      <c r="D319" s="398"/>
      <c r="E319" s="342"/>
      <c r="F319" s="268"/>
      <c r="G319" s="398"/>
      <c r="H319" s="398"/>
      <c r="I319" s="342"/>
      <c r="J319" s="268"/>
      <c r="K319" s="398" t="s">
        <v>174</v>
      </c>
      <c r="L319" s="398" t="s">
        <v>1908</v>
      </c>
      <c r="M319" s="342">
        <v>7357331.0</v>
      </c>
      <c r="N319" s="268"/>
      <c r="O319" s="364" t="s">
        <v>174</v>
      </c>
      <c r="P319" s="364" t="s">
        <v>1908</v>
      </c>
      <c r="Q319" s="342">
        <v>4305713.0</v>
      </c>
      <c r="R319" s="268"/>
      <c r="S319" s="364" t="s">
        <v>174</v>
      </c>
      <c r="T319" s="364" t="s">
        <v>1908</v>
      </c>
      <c r="U319" s="342">
        <v>6065768.0</v>
      </c>
      <c r="V319" s="268"/>
      <c r="W319" s="364" t="s">
        <v>174</v>
      </c>
      <c r="X319" s="364" t="s">
        <v>1908</v>
      </c>
      <c r="Y319" s="342">
        <v>3779709.0</v>
      </c>
      <c r="Z319" s="268"/>
      <c r="AA319" s="364" t="s">
        <v>174</v>
      </c>
      <c r="AB319" s="364" t="s">
        <v>1908</v>
      </c>
      <c r="AC319" s="305">
        <v>4154209.0</v>
      </c>
      <c r="AD319" s="306"/>
      <c r="AE319" s="308"/>
      <c r="AF319" s="308"/>
      <c r="AG319" s="308"/>
      <c r="AH319" s="308"/>
      <c r="AI319" s="308"/>
      <c r="AJ319" s="368"/>
      <c r="AK319" s="300"/>
      <c r="AL319" s="275">
        <f>MATCH(B319,'Key Findings'!B:B,0)</f>
        <v>52</v>
      </c>
      <c r="AM319" s="274" t="b">
        <f t="shared" si="1"/>
        <v>0</v>
      </c>
      <c r="AN319" s="294"/>
    </row>
    <row r="320">
      <c r="A320" s="169">
        <f t="array" ref="A320">INDEX('Federal Tax, Stock Buybacks, &amp; '!D:D,match(B320,'Federal Tax, Stock Buybacks, &amp; '!E:E,0))</f>
        <v>480</v>
      </c>
      <c r="B320" s="422" t="s">
        <v>31</v>
      </c>
      <c r="C320" s="398"/>
      <c r="D320" s="398"/>
      <c r="E320" s="342"/>
      <c r="F320" s="268"/>
      <c r="G320" s="398"/>
      <c r="H320" s="398"/>
      <c r="I320" s="342"/>
      <c r="J320" s="268"/>
      <c r="K320" s="398" t="s">
        <v>204</v>
      </c>
      <c r="L320" s="398" t="s">
        <v>1909</v>
      </c>
      <c r="M320" s="342">
        <v>4303166.0</v>
      </c>
      <c r="N320" s="268"/>
      <c r="O320" s="364" t="s">
        <v>204</v>
      </c>
      <c r="P320" s="364" t="s">
        <v>1909</v>
      </c>
      <c r="Q320" s="342">
        <v>4061881.0</v>
      </c>
      <c r="R320" s="268"/>
      <c r="S320" s="364" t="s">
        <v>204</v>
      </c>
      <c r="T320" s="364" t="s">
        <v>1909</v>
      </c>
      <c r="U320" s="342">
        <v>5667754.0</v>
      </c>
      <c r="V320" s="268"/>
      <c r="W320" s="364" t="s">
        <v>204</v>
      </c>
      <c r="X320" s="364" t="s">
        <v>1909</v>
      </c>
      <c r="Y320" s="342">
        <v>2972537.0</v>
      </c>
      <c r="Z320" s="268"/>
      <c r="AA320" s="364" t="s">
        <v>204</v>
      </c>
      <c r="AB320" s="364" t="s">
        <v>1909</v>
      </c>
      <c r="AC320" s="305">
        <v>3182788.0</v>
      </c>
      <c r="AD320" s="306"/>
      <c r="AE320" s="308"/>
      <c r="AF320" s="308"/>
      <c r="AG320" s="308"/>
      <c r="AH320" s="308"/>
      <c r="AI320" s="308"/>
      <c r="AJ320" s="368"/>
      <c r="AK320" s="300"/>
      <c r="AL320" s="275">
        <f>MATCH(B320,'Key Findings'!B:B,0)</f>
        <v>52</v>
      </c>
      <c r="AM320" s="274" t="b">
        <f t="shared" si="1"/>
        <v>0</v>
      </c>
      <c r="AN320" s="294"/>
    </row>
    <row r="321">
      <c r="A321" s="169">
        <f t="array" ref="A321">INDEX('Federal Tax, Stock Buybacks, &amp; '!D:D,match(B321,'Federal Tax, Stock Buybacks, &amp; '!E:E,0))</f>
        <v>480</v>
      </c>
      <c r="B321" s="422" t="s">
        <v>31</v>
      </c>
      <c r="C321" s="398"/>
      <c r="D321" s="398"/>
      <c r="E321" s="342"/>
      <c r="F321" s="268"/>
      <c r="G321" s="398"/>
      <c r="H321" s="398"/>
      <c r="I321" s="342"/>
      <c r="J321" s="268"/>
      <c r="K321" s="398" t="s">
        <v>653</v>
      </c>
      <c r="L321" s="398" t="s">
        <v>1910</v>
      </c>
      <c r="M321" s="342">
        <v>2376562.0</v>
      </c>
      <c r="N321" s="268"/>
      <c r="O321" s="364" t="s">
        <v>530</v>
      </c>
      <c r="P321" s="401" t="s">
        <v>1911</v>
      </c>
      <c r="Q321" s="342">
        <v>2249197.0</v>
      </c>
      <c r="R321" s="268"/>
      <c r="S321" s="364" t="s">
        <v>530</v>
      </c>
      <c r="T321" s="401" t="s">
        <v>1911</v>
      </c>
      <c r="U321" s="342">
        <v>2289486.0</v>
      </c>
      <c r="V321" s="268"/>
      <c r="W321" s="364" t="s">
        <v>530</v>
      </c>
      <c r="X321" s="401" t="s">
        <v>1911</v>
      </c>
      <c r="Y321" s="342">
        <v>2303767.0</v>
      </c>
      <c r="Z321" s="268"/>
      <c r="AA321" s="364" t="s">
        <v>530</v>
      </c>
      <c r="AB321" s="401" t="s">
        <v>1911</v>
      </c>
      <c r="AC321" s="305">
        <v>1907050.0</v>
      </c>
      <c r="AD321" s="306"/>
      <c r="AE321" s="308"/>
      <c r="AF321" s="308"/>
      <c r="AG321" s="308"/>
      <c r="AH321" s="308"/>
      <c r="AI321" s="308"/>
      <c r="AJ321" s="368"/>
      <c r="AK321" s="300"/>
      <c r="AL321" s="275">
        <f>MATCH(B321,'Key Findings'!B:B,0)</f>
        <v>52</v>
      </c>
      <c r="AM321" s="274" t="b">
        <f t="shared" si="1"/>
        <v>0</v>
      </c>
      <c r="AN321" s="291" t="s">
        <v>1912</v>
      </c>
    </row>
    <row r="322">
      <c r="A322" s="169">
        <f t="array" ref="A322">INDEX('Federal Tax, Stock Buybacks, &amp; '!D:D,match(B322,'Federal Tax, Stock Buybacks, &amp; '!E:E,0))</f>
        <v>480</v>
      </c>
      <c r="B322" s="422" t="s">
        <v>31</v>
      </c>
      <c r="C322" s="466"/>
      <c r="D322" s="466"/>
      <c r="E322" s="342"/>
      <c r="F322" s="268"/>
      <c r="G322" s="466"/>
      <c r="H322" s="466"/>
      <c r="I322" s="342"/>
      <c r="J322" s="268"/>
      <c r="K322" s="466" t="s">
        <v>644</v>
      </c>
      <c r="L322" s="466" t="s">
        <v>1913</v>
      </c>
      <c r="M322" s="342">
        <v>2878175.0</v>
      </c>
      <c r="N322" s="268"/>
      <c r="O322" s="364" t="s">
        <v>501</v>
      </c>
      <c r="P322" s="401" t="s">
        <v>1914</v>
      </c>
      <c r="Q322" s="342">
        <v>2499003.0</v>
      </c>
      <c r="R322" s="268"/>
      <c r="S322" s="364" t="s">
        <v>501</v>
      </c>
      <c r="T322" s="401" t="s">
        <v>1914</v>
      </c>
      <c r="U322" s="342">
        <v>2456931.0</v>
      </c>
      <c r="V322" s="268"/>
      <c r="W322" s="364" t="s">
        <v>501</v>
      </c>
      <c r="X322" s="401" t="s">
        <v>1914</v>
      </c>
      <c r="Y322" s="342">
        <v>2460369.0</v>
      </c>
      <c r="Z322" s="268"/>
      <c r="AA322" s="364" t="s">
        <v>501</v>
      </c>
      <c r="AB322" s="401" t="s">
        <v>1914</v>
      </c>
      <c r="AC322" s="305">
        <v>3037905.0</v>
      </c>
      <c r="AD322" s="306"/>
      <c r="AE322" s="308"/>
      <c r="AF322" s="308"/>
      <c r="AG322" s="308"/>
      <c r="AH322" s="308"/>
      <c r="AI322" s="308"/>
      <c r="AJ322" s="368"/>
      <c r="AK322" s="300"/>
      <c r="AL322" s="275">
        <f>MATCH(B322,'Key Findings'!B:B,0)</f>
        <v>52</v>
      </c>
      <c r="AM322" s="274" t="b">
        <f t="shared" si="1"/>
        <v>0</v>
      </c>
      <c r="AN322" s="294"/>
    </row>
    <row r="323">
      <c r="A323" s="169">
        <f t="array" ref="A323">INDEX('Federal Tax, Stock Buybacks, &amp; '!D:D,match(B323,'Federal Tax, Stock Buybacks, &amp; '!E:E,0))</f>
        <v>480</v>
      </c>
      <c r="B323" s="422" t="s">
        <v>31</v>
      </c>
      <c r="C323" s="279"/>
      <c r="D323" s="280"/>
      <c r="E323" s="267"/>
      <c r="F323" s="268"/>
      <c r="G323" s="279"/>
      <c r="H323" s="280"/>
      <c r="I323" s="267"/>
      <c r="J323" s="268"/>
      <c r="K323" s="279" t="s">
        <v>711</v>
      </c>
      <c r="L323" s="280" t="s">
        <v>711</v>
      </c>
      <c r="M323" s="267" t="s">
        <v>711</v>
      </c>
      <c r="N323" s="268"/>
      <c r="O323" s="280" t="s">
        <v>711</v>
      </c>
      <c r="P323" s="280" t="s">
        <v>711</v>
      </c>
      <c r="Q323" s="267" t="s">
        <v>711</v>
      </c>
      <c r="R323" s="268"/>
      <c r="S323" s="280" t="s">
        <v>711</v>
      </c>
      <c r="T323" s="280" t="s">
        <v>711</v>
      </c>
      <c r="U323" s="267" t="s">
        <v>711</v>
      </c>
      <c r="V323" s="268"/>
      <c r="W323" s="364" t="s">
        <v>636</v>
      </c>
      <c r="X323" s="369" t="s">
        <v>1915</v>
      </c>
      <c r="Y323" s="342">
        <v>1473245.0</v>
      </c>
      <c r="Z323" s="268"/>
      <c r="AA323" s="364" t="s">
        <v>636</v>
      </c>
      <c r="AB323" s="369" t="s">
        <v>1915</v>
      </c>
      <c r="AC323" s="305">
        <v>1570764.0</v>
      </c>
      <c r="AD323" s="306"/>
      <c r="AE323" s="308"/>
      <c r="AF323" s="308"/>
      <c r="AG323" s="308"/>
      <c r="AH323" s="308"/>
      <c r="AI323" s="308"/>
      <c r="AJ323" s="368"/>
      <c r="AK323" s="300"/>
      <c r="AL323" s="275">
        <f>MATCH(B323,'Key Findings'!B:B,0)</f>
        <v>52</v>
      </c>
      <c r="AM323" s="274" t="b">
        <f t="shared" si="1"/>
        <v>0</v>
      </c>
      <c r="AN323" s="291" t="s">
        <v>1916</v>
      </c>
    </row>
    <row r="324">
      <c r="A324" s="169">
        <f t="array" ref="A324">INDEX('Federal Tax, Stock Buybacks, &amp; '!D:D,match(B324,'Federal Tax, Stock Buybacks, &amp; '!E:E,0))</f>
        <v>480</v>
      </c>
      <c r="B324" s="422" t="s">
        <v>31</v>
      </c>
      <c r="C324" s="279"/>
      <c r="D324" s="280"/>
      <c r="E324" s="267"/>
      <c r="F324" s="268"/>
      <c r="G324" s="279"/>
      <c r="H324" s="280"/>
      <c r="I324" s="267"/>
      <c r="J324" s="268"/>
      <c r="K324" s="279" t="s">
        <v>711</v>
      </c>
      <c r="L324" s="280" t="s">
        <v>711</v>
      </c>
      <c r="M324" s="267" t="s">
        <v>711</v>
      </c>
      <c r="N324" s="268"/>
      <c r="O324" s="280" t="s">
        <v>711</v>
      </c>
      <c r="P324" s="280" t="s">
        <v>711</v>
      </c>
      <c r="Q324" s="267" t="s">
        <v>711</v>
      </c>
      <c r="R324" s="268"/>
      <c r="S324" s="280" t="s">
        <v>711</v>
      </c>
      <c r="T324" s="280" t="s">
        <v>711</v>
      </c>
      <c r="U324" s="267" t="s">
        <v>711</v>
      </c>
      <c r="V324" s="268"/>
      <c r="W324" s="364" t="s">
        <v>606</v>
      </c>
      <c r="X324" s="369" t="s">
        <v>1917</v>
      </c>
      <c r="Y324" s="342">
        <v>2064255.0</v>
      </c>
      <c r="Z324" s="268"/>
      <c r="AA324" s="364" t="s">
        <v>606</v>
      </c>
      <c r="AB324" s="369" t="s">
        <v>1918</v>
      </c>
      <c r="AC324" s="305">
        <v>2056522.0</v>
      </c>
      <c r="AD324" s="306"/>
      <c r="AE324" s="417"/>
      <c r="AF324" s="417"/>
      <c r="AG324" s="417"/>
      <c r="AH324" s="417"/>
      <c r="AI324" s="417"/>
      <c r="AJ324" s="368"/>
      <c r="AK324" s="300"/>
      <c r="AL324" s="275">
        <f>MATCH(B324,'Key Findings'!B:B,0)</f>
        <v>52</v>
      </c>
      <c r="AM324" s="274" t="b">
        <f t="shared" si="1"/>
        <v>0</v>
      </c>
      <c r="AN324" s="294"/>
    </row>
    <row r="325">
      <c r="A325" s="169">
        <f t="array" ref="A325">INDEX('Federal Tax, Stock Buybacks, &amp; '!D:D,match(B325,'Federal Tax, Stock Buybacks, &amp; '!E:E,0))</f>
        <v>402</v>
      </c>
      <c r="B325" s="135" t="s">
        <v>41</v>
      </c>
      <c r="C325" s="444"/>
      <c r="D325" s="445"/>
      <c r="E325" s="284"/>
      <c r="F325" s="268"/>
      <c r="G325" s="444"/>
      <c r="H325" s="445"/>
      <c r="I325" s="284"/>
      <c r="J325" s="268"/>
      <c r="K325" s="444" t="s">
        <v>300</v>
      </c>
      <c r="L325" s="445"/>
      <c r="M325" s="284">
        <v>8500029.0</v>
      </c>
      <c r="N325" s="268"/>
      <c r="O325" s="285" t="s">
        <v>300</v>
      </c>
      <c r="P325" s="446"/>
      <c r="Q325" s="284">
        <v>4709282.0</v>
      </c>
      <c r="R325" s="268"/>
      <c r="S325" s="285" t="s">
        <v>300</v>
      </c>
      <c r="T325" s="447"/>
      <c r="U325" s="284">
        <v>3756954.0</v>
      </c>
      <c r="V325" s="268"/>
      <c r="W325" s="285" t="s">
        <v>300</v>
      </c>
      <c r="X325" s="447"/>
      <c r="Y325" s="284">
        <v>3204365.0</v>
      </c>
      <c r="Z325" s="268"/>
      <c r="AA325" s="285" t="s">
        <v>300</v>
      </c>
      <c r="AB325" s="448"/>
      <c r="AC325" s="287">
        <v>3426733.0</v>
      </c>
      <c r="AD325" s="288"/>
      <c r="AE325" s="449">
        <v>2022.0</v>
      </c>
      <c r="AF325" s="449">
        <v>2021.0</v>
      </c>
      <c r="AG325" s="449">
        <v>2020.0</v>
      </c>
      <c r="AH325" s="449">
        <v>2019.0</v>
      </c>
      <c r="AI325" s="449">
        <v>2018.0</v>
      </c>
      <c r="AJ325" s="382" t="s">
        <v>1919</v>
      </c>
      <c r="AK325" s="467"/>
      <c r="AL325" s="259">
        <f>MATCH(B325,'Key Findings'!B:B,0)</f>
        <v>53</v>
      </c>
      <c r="AM325" s="260" t="b">
        <f t="shared" si="1"/>
        <v>1</v>
      </c>
      <c r="AN325" s="291" t="s">
        <v>1920</v>
      </c>
    </row>
    <row r="326">
      <c r="A326" s="169">
        <f t="array" ref="A326">INDEX('Federal Tax, Stock Buybacks, &amp; '!D:D,match(B326,'Federal Tax, Stock Buybacks, &amp; '!E:E,0))</f>
        <v>402</v>
      </c>
      <c r="B326" s="135" t="s">
        <v>41</v>
      </c>
      <c r="C326" s="444"/>
      <c r="D326" s="445"/>
      <c r="E326" s="284"/>
      <c r="F326" s="268"/>
      <c r="G326" s="444"/>
      <c r="H326" s="445"/>
      <c r="I326" s="284"/>
      <c r="J326" s="268"/>
      <c r="K326" s="444" t="s">
        <v>336</v>
      </c>
      <c r="L326" s="445"/>
      <c r="M326" s="284">
        <v>3355329.0</v>
      </c>
      <c r="N326" s="268"/>
      <c r="O326" s="285" t="s">
        <v>336</v>
      </c>
      <c r="P326" s="446"/>
      <c r="Q326" s="284">
        <v>2865517.0</v>
      </c>
      <c r="R326" s="268"/>
      <c r="S326" s="285" t="s">
        <v>336</v>
      </c>
      <c r="T326" s="447"/>
      <c r="U326" s="284">
        <v>1204291.0</v>
      </c>
      <c r="V326" s="268"/>
      <c r="W326" s="285" t="s">
        <v>309</v>
      </c>
      <c r="X326" s="447"/>
      <c r="Y326" s="284">
        <v>2719627.0</v>
      </c>
      <c r="Z326" s="268"/>
      <c r="AA326" s="285" t="s">
        <v>309</v>
      </c>
      <c r="AB326" s="448"/>
      <c r="AC326" s="287">
        <v>2800855.0</v>
      </c>
      <c r="AD326" s="288"/>
      <c r="AE326" s="356"/>
      <c r="AF326" s="356"/>
      <c r="AG326" s="356"/>
      <c r="AH326" s="356"/>
      <c r="AI326" s="356"/>
      <c r="AJ326" s="382"/>
      <c r="AK326" s="452"/>
      <c r="AL326" s="259">
        <f>MATCH(B326,'Key Findings'!B:B,0)</f>
        <v>53</v>
      </c>
      <c r="AM326" s="260" t="b">
        <f t="shared" si="1"/>
        <v>1</v>
      </c>
      <c r="AN326" s="291" t="s">
        <v>1921</v>
      </c>
    </row>
    <row r="327">
      <c r="A327" s="169">
        <f t="array" ref="A327">INDEX('Federal Tax, Stock Buybacks, &amp; '!D:D,match(B327,'Federal Tax, Stock Buybacks, &amp; '!E:E,0))</f>
        <v>402</v>
      </c>
      <c r="B327" s="135" t="s">
        <v>41</v>
      </c>
      <c r="C327" s="444"/>
      <c r="D327" s="445"/>
      <c r="E327" s="284"/>
      <c r="F327" s="268"/>
      <c r="G327" s="444"/>
      <c r="H327" s="445"/>
      <c r="I327" s="284"/>
      <c r="J327" s="268"/>
      <c r="K327" s="444" t="s">
        <v>309</v>
      </c>
      <c r="L327" s="445"/>
      <c r="M327" s="284">
        <v>3026160.0</v>
      </c>
      <c r="N327" s="268"/>
      <c r="O327" s="285" t="s">
        <v>309</v>
      </c>
      <c r="P327" s="446"/>
      <c r="Q327" s="284">
        <v>3102699.0</v>
      </c>
      <c r="R327" s="268"/>
      <c r="S327" s="285" t="s">
        <v>309</v>
      </c>
      <c r="T327" s="447"/>
      <c r="U327" s="284">
        <v>2693769.0</v>
      </c>
      <c r="V327" s="268"/>
      <c r="W327" s="285" t="s">
        <v>311</v>
      </c>
      <c r="X327" s="447"/>
      <c r="Y327" s="284">
        <v>2165563.0</v>
      </c>
      <c r="Z327" s="268"/>
      <c r="AA327" s="285" t="s">
        <v>311</v>
      </c>
      <c r="AB327" s="448"/>
      <c r="AC327" s="287">
        <v>2280469.0</v>
      </c>
      <c r="AD327" s="288"/>
      <c r="AE327" s="356"/>
      <c r="AF327" s="356"/>
      <c r="AG327" s="356"/>
      <c r="AH327" s="356"/>
      <c r="AI327" s="356"/>
      <c r="AJ327" s="382"/>
      <c r="AK327" s="452"/>
      <c r="AL327" s="259">
        <f>MATCH(B327,'Key Findings'!B:B,0)</f>
        <v>53</v>
      </c>
      <c r="AM327" s="260" t="b">
        <f t="shared" si="1"/>
        <v>1</v>
      </c>
      <c r="AN327" s="468" t="s">
        <v>1922</v>
      </c>
    </row>
    <row r="328">
      <c r="A328" s="169">
        <f t="array" ref="A328">INDEX('Federal Tax, Stock Buybacks, &amp; '!D:D,match(B328,'Federal Tax, Stock Buybacks, &amp; '!E:E,0))</f>
        <v>402</v>
      </c>
      <c r="B328" s="135" t="s">
        <v>41</v>
      </c>
      <c r="C328" s="444"/>
      <c r="D328" s="445"/>
      <c r="E328" s="284"/>
      <c r="F328" s="268"/>
      <c r="G328" s="444"/>
      <c r="H328" s="445"/>
      <c r="I328" s="284"/>
      <c r="J328" s="268"/>
      <c r="K328" s="444" t="s">
        <v>311</v>
      </c>
      <c r="L328" s="445"/>
      <c r="M328" s="284">
        <v>3268719.0</v>
      </c>
      <c r="N328" s="268"/>
      <c r="O328" s="285" t="s">
        <v>311</v>
      </c>
      <c r="P328" s="446"/>
      <c r="Q328" s="284">
        <v>2928556.0</v>
      </c>
      <c r="R328" s="268"/>
      <c r="S328" s="285" t="s">
        <v>311</v>
      </c>
      <c r="T328" s="447"/>
      <c r="U328" s="284">
        <v>2594115.0</v>
      </c>
      <c r="V328" s="268"/>
      <c r="W328" s="285" t="s">
        <v>296</v>
      </c>
      <c r="X328" s="447"/>
      <c r="Y328" s="284">
        <v>8688707.0</v>
      </c>
      <c r="Z328" s="268"/>
      <c r="AA328" s="285" t="s">
        <v>296</v>
      </c>
      <c r="AB328" s="448"/>
      <c r="AC328" s="287">
        <v>1.0710578E7</v>
      </c>
      <c r="AD328" s="288"/>
      <c r="AE328" s="356"/>
      <c r="AF328" s="356"/>
      <c r="AG328" s="356"/>
      <c r="AH328" s="356"/>
      <c r="AI328" s="356"/>
      <c r="AJ328" s="382"/>
      <c r="AK328" s="452"/>
      <c r="AL328" s="259">
        <f>MATCH(B328,'Key Findings'!B:B,0)</f>
        <v>53</v>
      </c>
      <c r="AM328" s="260" t="b">
        <f t="shared" si="1"/>
        <v>1</v>
      </c>
      <c r="AN328" s="291" t="s">
        <v>1923</v>
      </c>
    </row>
    <row r="329">
      <c r="A329" s="169">
        <f t="array" ref="A329">INDEX('Federal Tax, Stock Buybacks, &amp; '!D:D,match(B329,'Federal Tax, Stock Buybacks, &amp; '!E:E,0))</f>
        <v>402</v>
      </c>
      <c r="B329" s="135" t="s">
        <v>41</v>
      </c>
      <c r="C329" s="444"/>
      <c r="D329" s="445"/>
      <c r="E329" s="284"/>
      <c r="F329" s="268"/>
      <c r="G329" s="444"/>
      <c r="H329" s="445"/>
      <c r="I329" s="284"/>
      <c r="J329" s="268"/>
      <c r="K329" s="444" t="s">
        <v>321</v>
      </c>
      <c r="L329" s="445"/>
      <c r="M329" s="284">
        <v>3171076.0</v>
      </c>
      <c r="N329" s="268"/>
      <c r="O329" s="285" t="s">
        <v>321</v>
      </c>
      <c r="P329" s="446"/>
      <c r="Q329" s="284">
        <v>3391306.0</v>
      </c>
      <c r="R329" s="268"/>
      <c r="S329" s="285" t="s">
        <v>321</v>
      </c>
      <c r="T329" s="447"/>
      <c r="U329" s="284">
        <v>2887332.0</v>
      </c>
      <c r="V329" s="268"/>
      <c r="W329" s="285" t="s">
        <v>316</v>
      </c>
      <c r="X329" s="447"/>
      <c r="Y329" s="284">
        <v>3443969.0</v>
      </c>
      <c r="Z329" s="268"/>
      <c r="AA329" s="285" t="s">
        <v>316</v>
      </c>
      <c r="AB329" s="448"/>
      <c r="AC329" s="287">
        <v>3990398.0</v>
      </c>
      <c r="AD329" s="288"/>
      <c r="AE329" s="356"/>
      <c r="AF329" s="356"/>
      <c r="AG329" s="356"/>
      <c r="AH329" s="356"/>
      <c r="AI329" s="356"/>
      <c r="AJ329" s="382"/>
      <c r="AK329" s="452"/>
      <c r="AL329" s="259">
        <f>MATCH(B329,'Key Findings'!B:B,0)</f>
        <v>53</v>
      </c>
      <c r="AM329" s="260" t="b">
        <f t="shared" si="1"/>
        <v>1</v>
      </c>
      <c r="AN329" s="294"/>
    </row>
    <row r="330">
      <c r="A330" s="169">
        <f t="array" ref="A330">INDEX('Federal Tax, Stock Buybacks, &amp; '!D:D,match(B330,'Federal Tax, Stock Buybacks, &amp; '!E:E,0))</f>
        <v>402</v>
      </c>
      <c r="B330" s="135" t="s">
        <v>41</v>
      </c>
      <c r="C330" s="390"/>
      <c r="D330" s="446"/>
      <c r="E330" s="297"/>
      <c r="F330" s="268"/>
      <c r="G330" s="390"/>
      <c r="H330" s="446"/>
      <c r="I330" s="297"/>
      <c r="J330" s="268"/>
      <c r="K330" s="390" t="s">
        <v>711</v>
      </c>
      <c r="L330" s="446" t="s">
        <v>711</v>
      </c>
      <c r="M330" s="297" t="s">
        <v>711</v>
      </c>
      <c r="N330" s="268"/>
      <c r="O330" s="285" t="s">
        <v>296</v>
      </c>
      <c r="P330" s="446"/>
      <c r="Q330" s="284">
        <v>1.1891841E7</v>
      </c>
      <c r="R330" s="268"/>
      <c r="S330" s="285" t="s">
        <v>296</v>
      </c>
      <c r="T330" s="447"/>
      <c r="U330" s="284">
        <v>1.0128186E7</v>
      </c>
      <c r="V330" s="268"/>
      <c r="W330" s="390" t="s">
        <v>711</v>
      </c>
      <c r="X330" s="446" t="s">
        <v>711</v>
      </c>
      <c r="Y330" s="297" t="s">
        <v>711</v>
      </c>
      <c r="Z330" s="268"/>
      <c r="AA330" s="390" t="s">
        <v>711</v>
      </c>
      <c r="AB330" s="446" t="s">
        <v>711</v>
      </c>
      <c r="AC330" s="297" t="s">
        <v>711</v>
      </c>
      <c r="AD330" s="288"/>
      <c r="AE330" s="356"/>
      <c r="AF330" s="356"/>
      <c r="AG330" s="356"/>
      <c r="AH330" s="356"/>
      <c r="AI330" s="356"/>
      <c r="AJ330" s="382"/>
      <c r="AK330" s="452"/>
      <c r="AL330" s="259">
        <f>MATCH(B330,'Key Findings'!B:B,0)</f>
        <v>53</v>
      </c>
      <c r="AM330" s="260" t="b">
        <f t="shared" si="1"/>
        <v>1</v>
      </c>
      <c r="AN330" s="294"/>
    </row>
    <row r="331">
      <c r="A331" s="169">
        <f t="array" ref="A331">INDEX('Federal Tax, Stock Buybacks, &amp; '!D:D,match(B331,'Federal Tax, Stock Buybacks, &amp; '!E:E,0))</f>
        <v>402</v>
      </c>
      <c r="B331" s="135" t="s">
        <v>41</v>
      </c>
      <c r="C331" s="390"/>
      <c r="D331" s="446"/>
      <c r="E331" s="297"/>
      <c r="F331" s="268"/>
      <c r="G331" s="390"/>
      <c r="H331" s="446"/>
      <c r="I331" s="297"/>
      <c r="J331" s="268"/>
      <c r="K331" s="390" t="s">
        <v>711</v>
      </c>
      <c r="L331" s="446" t="s">
        <v>711</v>
      </c>
      <c r="M331" s="297" t="s">
        <v>711</v>
      </c>
      <c r="N331" s="268"/>
      <c r="O331" s="390" t="s">
        <v>711</v>
      </c>
      <c r="P331" s="446" t="s">
        <v>711</v>
      </c>
      <c r="Q331" s="297" t="s">
        <v>711</v>
      </c>
      <c r="R331" s="268"/>
      <c r="S331" s="285" t="s">
        <v>316</v>
      </c>
      <c r="T331" s="447"/>
      <c r="U331" s="284">
        <v>3157676.0</v>
      </c>
      <c r="V331" s="268"/>
      <c r="W331" s="390" t="s">
        <v>711</v>
      </c>
      <c r="X331" s="446" t="s">
        <v>711</v>
      </c>
      <c r="Y331" s="297" t="s">
        <v>711</v>
      </c>
      <c r="Z331" s="268"/>
      <c r="AA331" s="390" t="s">
        <v>711</v>
      </c>
      <c r="AB331" s="446" t="s">
        <v>711</v>
      </c>
      <c r="AC331" s="297" t="s">
        <v>711</v>
      </c>
      <c r="AD331" s="288"/>
      <c r="AE331" s="356"/>
      <c r="AF331" s="356"/>
      <c r="AG331" s="356"/>
      <c r="AH331" s="356"/>
      <c r="AI331" s="356"/>
      <c r="AJ331" s="382"/>
      <c r="AK331" s="452"/>
      <c r="AL331" s="259">
        <f>MATCH(B331,'Key Findings'!B:B,0)</f>
        <v>53</v>
      </c>
      <c r="AM331" s="260" t="b">
        <f t="shared" si="1"/>
        <v>1</v>
      </c>
      <c r="AN331" s="291" t="s">
        <v>1924</v>
      </c>
    </row>
    <row r="332">
      <c r="A332" s="169">
        <f t="array" ref="A332">INDEX('Federal Tax, Stock Buybacks, &amp; '!D:D,match(B332,'Federal Tax, Stock Buybacks, &amp; '!E:E,0))</f>
        <v>257</v>
      </c>
      <c r="B332" s="434" t="s">
        <v>74</v>
      </c>
      <c r="C332" s="435"/>
      <c r="D332" s="436"/>
      <c r="E332" s="342"/>
      <c r="F332" s="268"/>
      <c r="G332" s="435"/>
      <c r="H332" s="436"/>
      <c r="I332" s="342"/>
      <c r="J332" s="268"/>
      <c r="K332" s="435" t="s">
        <v>327</v>
      </c>
      <c r="L332" s="436"/>
      <c r="M332" s="342">
        <v>1.1354662E7</v>
      </c>
      <c r="N332" s="268"/>
      <c r="O332" s="364" t="s">
        <v>327</v>
      </c>
      <c r="P332" s="437"/>
      <c r="Q332" s="342">
        <v>1.6109515E7</v>
      </c>
      <c r="R332" s="268"/>
      <c r="S332" s="364" t="s">
        <v>327</v>
      </c>
      <c r="T332" s="438"/>
      <c r="U332" s="342">
        <v>9044233.0</v>
      </c>
      <c r="V332" s="268"/>
      <c r="W332" s="364" t="s">
        <v>327</v>
      </c>
      <c r="X332" s="438"/>
      <c r="Y332" s="342">
        <v>8116275.0</v>
      </c>
      <c r="Z332" s="268"/>
      <c r="AA332" s="364" t="s">
        <v>327</v>
      </c>
      <c r="AB332" s="439"/>
      <c r="AC332" s="305">
        <v>6700422.0</v>
      </c>
      <c r="AD332" s="306"/>
      <c r="AE332" s="440">
        <v>2022.0</v>
      </c>
      <c r="AF332" s="440">
        <v>2021.0</v>
      </c>
      <c r="AG332" s="440">
        <v>2020.0</v>
      </c>
      <c r="AH332" s="440">
        <v>2019.0</v>
      </c>
      <c r="AI332" s="440">
        <v>2018.0</v>
      </c>
      <c r="AJ332" s="441" t="s">
        <v>1578</v>
      </c>
      <c r="AK332" s="464"/>
      <c r="AL332" s="275">
        <f>MATCH(B332,'Key Findings'!B:B,0)</f>
        <v>9</v>
      </c>
      <c r="AM332" s="274" t="b">
        <f t="shared" si="1"/>
        <v>1</v>
      </c>
      <c r="AN332" s="291" t="s">
        <v>1534</v>
      </c>
    </row>
    <row r="333">
      <c r="A333" s="169">
        <f t="array" ref="A333">INDEX('Federal Tax, Stock Buybacks, &amp; '!D:D,match(B333,'Federal Tax, Stock Buybacks, &amp; '!E:E,0))</f>
        <v>257</v>
      </c>
      <c r="B333" s="434" t="s">
        <v>74</v>
      </c>
      <c r="C333" s="435"/>
      <c r="D333" s="436"/>
      <c r="E333" s="342"/>
      <c r="F333" s="268"/>
      <c r="G333" s="435"/>
      <c r="H333" s="436"/>
      <c r="I333" s="342"/>
      <c r="J333" s="268"/>
      <c r="K333" s="435" t="s">
        <v>428</v>
      </c>
      <c r="L333" s="436"/>
      <c r="M333" s="342">
        <v>3912745.0</v>
      </c>
      <c r="N333" s="268"/>
      <c r="O333" s="364" t="s">
        <v>428</v>
      </c>
      <c r="P333" s="437"/>
      <c r="Q333" s="342">
        <v>4428125.0</v>
      </c>
      <c r="R333" s="268"/>
      <c r="S333" s="364" t="s">
        <v>428</v>
      </c>
      <c r="T333" s="438"/>
      <c r="U333" s="342">
        <v>2913763.0</v>
      </c>
      <c r="V333" s="268"/>
      <c r="W333" s="364" t="s">
        <v>428</v>
      </c>
      <c r="X333" s="438"/>
      <c r="Y333" s="342">
        <v>2806837.0</v>
      </c>
      <c r="Z333" s="268"/>
      <c r="AA333" s="364" t="s">
        <v>428</v>
      </c>
      <c r="AB333" s="439"/>
      <c r="AC333" s="305">
        <v>2334342.0</v>
      </c>
      <c r="AD333" s="306"/>
      <c r="AE333" s="272"/>
      <c r="AF333" s="272"/>
      <c r="AG333" s="272"/>
      <c r="AH333" s="272"/>
      <c r="AI333" s="272"/>
      <c r="AJ333" s="427"/>
      <c r="AK333" s="465"/>
      <c r="AL333" s="275">
        <f>MATCH(B333,'Key Findings'!B:B,0)</f>
        <v>9</v>
      </c>
      <c r="AM333" s="274" t="b">
        <f t="shared" si="1"/>
        <v>1</v>
      </c>
      <c r="AN333" s="294"/>
    </row>
    <row r="334">
      <c r="A334" s="169">
        <f t="array" ref="A334">INDEX('Federal Tax, Stock Buybacks, &amp; '!D:D,match(B334,'Federal Tax, Stock Buybacks, &amp; '!E:E,0))</f>
        <v>257</v>
      </c>
      <c r="B334" s="434" t="s">
        <v>74</v>
      </c>
      <c r="C334" s="435"/>
      <c r="D334" s="436"/>
      <c r="E334" s="342"/>
      <c r="F334" s="268"/>
      <c r="G334" s="435"/>
      <c r="H334" s="436"/>
      <c r="I334" s="342"/>
      <c r="J334" s="268"/>
      <c r="K334" s="435" t="s">
        <v>499</v>
      </c>
      <c r="L334" s="436"/>
      <c r="M334" s="342">
        <v>2769612.0</v>
      </c>
      <c r="N334" s="268"/>
      <c r="O334" s="364" t="s">
        <v>499</v>
      </c>
      <c r="P334" s="437"/>
      <c r="Q334" s="342">
        <v>2474653.0</v>
      </c>
      <c r="R334" s="268"/>
      <c r="S334" s="364" t="s">
        <v>499</v>
      </c>
      <c r="T334" s="438"/>
      <c r="U334" s="342">
        <v>1785336.0</v>
      </c>
      <c r="V334" s="268"/>
      <c r="W334" s="364" t="s">
        <v>499</v>
      </c>
      <c r="X334" s="438"/>
      <c r="Y334" s="342">
        <v>2602602.0</v>
      </c>
      <c r="Z334" s="268"/>
      <c r="AA334" s="364" t="s">
        <v>659</v>
      </c>
      <c r="AB334" s="439"/>
      <c r="AC334" s="305">
        <v>1740674.0</v>
      </c>
      <c r="AD334" s="306"/>
      <c r="AE334" s="272"/>
      <c r="AF334" s="272"/>
      <c r="AG334" s="272"/>
      <c r="AH334" s="272"/>
      <c r="AI334" s="272"/>
      <c r="AJ334" s="427"/>
      <c r="AK334" s="465"/>
      <c r="AL334" s="275">
        <f>MATCH(B334,'Key Findings'!B:B,0)</f>
        <v>9</v>
      </c>
      <c r="AM334" s="274" t="b">
        <f t="shared" si="1"/>
        <v>1</v>
      </c>
      <c r="AN334" s="294"/>
    </row>
    <row r="335">
      <c r="A335" s="169">
        <f t="array" ref="A335">INDEX('Federal Tax, Stock Buybacks, &amp; '!D:D,match(B335,'Federal Tax, Stock Buybacks, &amp; '!E:E,0))</f>
        <v>257</v>
      </c>
      <c r="B335" s="434" t="s">
        <v>74</v>
      </c>
      <c r="C335" s="435"/>
      <c r="D335" s="436"/>
      <c r="E335" s="342"/>
      <c r="F335" s="268"/>
      <c r="G335" s="435"/>
      <c r="H335" s="436"/>
      <c r="I335" s="342"/>
      <c r="J335" s="268"/>
      <c r="K335" s="435" t="s">
        <v>527</v>
      </c>
      <c r="L335" s="436"/>
      <c r="M335" s="342">
        <v>3197745.0</v>
      </c>
      <c r="N335" s="268"/>
      <c r="O335" s="364" t="s">
        <v>527</v>
      </c>
      <c r="P335" s="437"/>
      <c r="Q335" s="342">
        <v>2701998.0</v>
      </c>
      <c r="R335" s="268"/>
      <c r="S335" s="364" t="s">
        <v>527</v>
      </c>
      <c r="T335" s="438"/>
      <c r="U335" s="342">
        <v>2122711.0</v>
      </c>
      <c r="V335" s="268"/>
      <c r="W335" s="364" t="s">
        <v>518</v>
      </c>
      <c r="X335" s="438"/>
      <c r="Y335" s="342">
        <v>3834659.0</v>
      </c>
      <c r="Z335" s="268"/>
      <c r="AA335" s="364" t="s">
        <v>518</v>
      </c>
      <c r="AB335" s="439"/>
      <c r="AC335" s="305">
        <v>2569521.0</v>
      </c>
      <c r="AD335" s="306"/>
      <c r="AE335" s="272"/>
      <c r="AF335" s="272"/>
      <c r="AG335" s="272"/>
      <c r="AH335" s="272"/>
      <c r="AI335" s="272"/>
      <c r="AJ335" s="427"/>
      <c r="AK335" s="465"/>
      <c r="AL335" s="275">
        <f>MATCH(B335,'Key Findings'!B:B,0)</f>
        <v>9</v>
      </c>
      <c r="AM335" s="274" t="b">
        <f t="shared" si="1"/>
        <v>1</v>
      </c>
      <c r="AN335" s="294"/>
    </row>
    <row r="336">
      <c r="A336" s="169">
        <f t="array" ref="A336">INDEX('Federal Tax, Stock Buybacks, &amp; '!D:D,match(B336,'Federal Tax, Stock Buybacks, &amp; '!E:E,0))</f>
        <v>257</v>
      </c>
      <c r="B336" s="434" t="s">
        <v>74</v>
      </c>
      <c r="C336" s="435"/>
      <c r="D336" s="436"/>
      <c r="E336" s="342"/>
      <c r="F336" s="268"/>
      <c r="G336" s="435"/>
      <c r="H336" s="436"/>
      <c r="I336" s="342"/>
      <c r="J336" s="268"/>
      <c r="K336" s="435" t="s">
        <v>590</v>
      </c>
      <c r="L336" s="436"/>
      <c r="M336" s="342">
        <v>2577353.0</v>
      </c>
      <c r="N336" s="268"/>
      <c r="O336" s="364" t="s">
        <v>590</v>
      </c>
      <c r="P336" s="437"/>
      <c r="Q336" s="342">
        <v>2049230.0</v>
      </c>
      <c r="R336" s="268"/>
      <c r="S336" s="364" t="s">
        <v>437</v>
      </c>
      <c r="T336" s="438"/>
      <c r="U336" s="342">
        <v>3412231.0</v>
      </c>
      <c r="V336" s="268"/>
      <c r="W336" s="364" t="s">
        <v>437</v>
      </c>
      <c r="X336" s="438"/>
      <c r="Y336" s="342">
        <v>4625890.0</v>
      </c>
      <c r="Z336" s="268"/>
      <c r="AA336" s="364" t="s">
        <v>437</v>
      </c>
      <c r="AB336" s="439"/>
      <c r="AC336" s="305">
        <v>2804339.0</v>
      </c>
      <c r="AD336" s="306"/>
      <c r="AE336" s="272"/>
      <c r="AF336" s="272"/>
      <c r="AG336" s="272"/>
      <c r="AH336" s="272"/>
      <c r="AI336" s="272"/>
      <c r="AJ336" s="427"/>
      <c r="AK336" s="465"/>
      <c r="AL336" s="275">
        <f>MATCH(B336,'Key Findings'!B:B,0)</f>
        <v>9</v>
      </c>
      <c r="AM336" s="274" t="b">
        <f t="shared" si="1"/>
        <v>1</v>
      </c>
      <c r="AN336" s="294"/>
    </row>
    <row r="337">
      <c r="A337" s="169">
        <f t="array" ref="A337">INDEX('Federal Tax, Stock Buybacks, &amp; '!D:D,match(B337,'Federal Tax, Stock Buybacks, &amp; '!E:E,0))</f>
        <v>257</v>
      </c>
      <c r="B337" s="434" t="s">
        <v>74</v>
      </c>
      <c r="C337" s="303"/>
      <c r="D337" s="437"/>
      <c r="E337" s="371"/>
      <c r="F337" s="268"/>
      <c r="G337" s="303"/>
      <c r="H337" s="437"/>
      <c r="I337" s="371"/>
      <c r="J337" s="268"/>
      <c r="K337" s="303" t="s">
        <v>711</v>
      </c>
      <c r="L337" s="437" t="s">
        <v>711</v>
      </c>
      <c r="M337" s="371" t="s">
        <v>711</v>
      </c>
      <c r="N337" s="268"/>
      <c r="O337" s="364" t="s">
        <v>437</v>
      </c>
      <c r="P337" s="437"/>
      <c r="Q337" s="342">
        <v>4595249.0</v>
      </c>
      <c r="R337" s="268"/>
      <c r="S337" s="364" t="s">
        <v>518</v>
      </c>
      <c r="T337" s="438"/>
      <c r="U337" s="342">
        <v>2223533.0</v>
      </c>
      <c r="V337" s="268"/>
      <c r="W337" s="303" t="s">
        <v>711</v>
      </c>
      <c r="X337" s="437" t="s">
        <v>711</v>
      </c>
      <c r="Y337" s="371" t="s">
        <v>711</v>
      </c>
      <c r="Z337" s="268"/>
      <c r="AA337" s="303" t="s">
        <v>711</v>
      </c>
      <c r="AB337" s="437" t="s">
        <v>711</v>
      </c>
      <c r="AC337" s="371" t="s">
        <v>711</v>
      </c>
      <c r="AD337" s="306"/>
      <c r="AE337" s="272"/>
      <c r="AF337" s="272"/>
      <c r="AG337" s="272"/>
      <c r="AH337" s="272"/>
      <c r="AI337" s="272"/>
      <c r="AJ337" s="427"/>
      <c r="AK337" s="465"/>
      <c r="AL337" s="275">
        <f>MATCH(B337,'Key Findings'!B:B,0)</f>
        <v>9</v>
      </c>
      <c r="AM337" s="274" t="b">
        <f t="shared" si="1"/>
        <v>1</v>
      </c>
      <c r="AN337" s="294"/>
    </row>
    <row r="338">
      <c r="A338" s="299">
        <f t="array" ref="A338">INDEX('Federal Tax, Stock Buybacks, &amp; '!D:D,match(B338,'Federal Tax, Stock Buybacks, &amp; '!E:E,0))</f>
        <v>173</v>
      </c>
      <c r="B338" s="281" t="s">
        <v>23</v>
      </c>
      <c r="C338" s="316"/>
      <c r="D338" s="317"/>
      <c r="E338" s="318"/>
      <c r="F338" s="268"/>
      <c r="G338" s="316"/>
      <c r="H338" s="317"/>
      <c r="I338" s="318"/>
      <c r="J338" s="268"/>
      <c r="K338" s="316" t="s">
        <v>439</v>
      </c>
      <c r="L338" s="317" t="s">
        <v>1588</v>
      </c>
      <c r="M338" s="318">
        <v>8139024.0</v>
      </c>
      <c r="N338" s="268"/>
      <c r="O338" s="285" t="s">
        <v>439</v>
      </c>
      <c r="P338" s="317" t="s">
        <v>1588</v>
      </c>
      <c r="Q338" s="284">
        <v>7246578.0</v>
      </c>
      <c r="R338" s="268"/>
      <c r="S338" s="285" t="s">
        <v>234</v>
      </c>
      <c r="T338" s="317" t="s">
        <v>1925</v>
      </c>
      <c r="U338" s="284">
        <v>1911229.0</v>
      </c>
      <c r="V338" s="268"/>
      <c r="W338" s="285" t="s">
        <v>354</v>
      </c>
      <c r="X338" s="317" t="s">
        <v>1926</v>
      </c>
      <c r="Y338" s="284">
        <v>1.0945741E7</v>
      </c>
      <c r="Z338" s="268"/>
      <c r="AA338" s="285" t="s">
        <v>354</v>
      </c>
      <c r="AB338" s="317" t="s">
        <v>1926</v>
      </c>
      <c r="AC338" s="287">
        <v>7096869.0</v>
      </c>
      <c r="AD338" s="288"/>
      <c r="AE338" s="289">
        <v>2022.0</v>
      </c>
      <c r="AF338" s="289">
        <v>2021.0</v>
      </c>
      <c r="AG338" s="289">
        <v>2020.0</v>
      </c>
      <c r="AH338" s="289">
        <v>2019.0</v>
      </c>
      <c r="AI338" s="289">
        <v>2018.0</v>
      </c>
      <c r="AJ338" s="320" t="s">
        <v>1524</v>
      </c>
      <c r="AK338" s="260"/>
      <c r="AL338" s="259">
        <f>MATCH(B338,'Key Findings'!B:B,0)</f>
        <v>55</v>
      </c>
      <c r="AM338" s="260" t="b">
        <f t="shared" si="1"/>
        <v>1</v>
      </c>
      <c r="AN338" s="385" t="s">
        <v>1927</v>
      </c>
    </row>
    <row r="339">
      <c r="A339" s="299">
        <f t="array" ref="A339">INDEX('Federal Tax, Stock Buybacks, &amp; '!D:D,match(B339,'Federal Tax, Stock Buybacks, &amp; '!E:E,0))</f>
        <v>173</v>
      </c>
      <c r="B339" s="281" t="s">
        <v>23</v>
      </c>
      <c r="C339" s="316"/>
      <c r="D339" s="317"/>
      <c r="E339" s="318"/>
      <c r="F339" s="268"/>
      <c r="G339" s="316"/>
      <c r="H339" s="317"/>
      <c r="I339" s="318"/>
      <c r="J339" s="268"/>
      <c r="K339" s="316" t="s">
        <v>234</v>
      </c>
      <c r="L339" s="317" t="s">
        <v>1928</v>
      </c>
      <c r="M339" s="318">
        <v>2450459.0</v>
      </c>
      <c r="N339" s="268"/>
      <c r="O339" s="285" t="s">
        <v>234</v>
      </c>
      <c r="P339" s="317" t="s">
        <v>1925</v>
      </c>
      <c r="Q339" s="319">
        <v>2551867.0</v>
      </c>
      <c r="R339" s="268"/>
      <c r="S339" s="285" t="s">
        <v>202</v>
      </c>
      <c r="T339" s="317" t="s">
        <v>1929</v>
      </c>
      <c r="U339" s="319">
        <v>2989300.0</v>
      </c>
      <c r="V339" s="268"/>
      <c r="W339" s="285" t="s">
        <v>234</v>
      </c>
      <c r="X339" s="317" t="s">
        <v>1925</v>
      </c>
      <c r="Y339" s="284">
        <v>2049619.0</v>
      </c>
      <c r="Z339" s="268"/>
      <c r="AA339" s="285" t="s">
        <v>234</v>
      </c>
      <c r="AB339" s="317" t="s">
        <v>1925</v>
      </c>
      <c r="AC339" s="287">
        <v>2128986.0</v>
      </c>
      <c r="AD339" s="288"/>
      <c r="AE339" s="321"/>
      <c r="AF339" s="321"/>
      <c r="AG339" s="321"/>
      <c r="AH339" s="321"/>
      <c r="AI339" s="321"/>
      <c r="AJ339" s="320"/>
      <c r="AK339" s="260"/>
      <c r="AL339" s="259">
        <f>MATCH(B339,'Key Findings'!B:B,0)</f>
        <v>55</v>
      </c>
      <c r="AM339" s="260" t="b">
        <f t="shared" si="1"/>
        <v>1</v>
      </c>
      <c r="AN339" s="291" t="s">
        <v>1930</v>
      </c>
    </row>
    <row r="340">
      <c r="A340" s="299">
        <f t="array" ref="A340">INDEX('Federal Tax, Stock Buybacks, &amp; '!D:D,match(B340,'Federal Tax, Stock Buybacks, &amp; '!E:E,0))</f>
        <v>173</v>
      </c>
      <c r="B340" s="281" t="s">
        <v>23</v>
      </c>
      <c r="C340" s="316"/>
      <c r="D340" s="317"/>
      <c r="E340" s="284"/>
      <c r="F340" s="268"/>
      <c r="G340" s="316"/>
      <c r="H340" s="317"/>
      <c r="I340" s="284"/>
      <c r="J340" s="268"/>
      <c r="K340" s="316" t="s">
        <v>202</v>
      </c>
      <c r="L340" s="317" t="s">
        <v>1929</v>
      </c>
      <c r="M340" s="284">
        <v>2749806.0</v>
      </c>
      <c r="N340" s="268"/>
      <c r="O340" s="285" t="s">
        <v>202</v>
      </c>
      <c r="P340" s="317" t="s">
        <v>1929</v>
      </c>
      <c r="Q340" s="318">
        <v>2952624.0</v>
      </c>
      <c r="R340" s="268"/>
      <c r="S340" s="285" t="s">
        <v>212</v>
      </c>
      <c r="T340" s="317" t="s">
        <v>1931</v>
      </c>
      <c r="U340" s="319">
        <v>2609060.0</v>
      </c>
      <c r="V340" s="268"/>
      <c r="W340" s="285" t="s">
        <v>202</v>
      </c>
      <c r="X340" s="317" t="s">
        <v>1929</v>
      </c>
      <c r="Y340" s="284">
        <v>2351341.0</v>
      </c>
      <c r="Z340" s="268"/>
      <c r="AA340" s="285" t="s">
        <v>202</v>
      </c>
      <c r="AB340" s="317" t="s">
        <v>1929</v>
      </c>
      <c r="AC340" s="287">
        <v>2004818.0</v>
      </c>
      <c r="AD340" s="288"/>
      <c r="AE340" s="321"/>
      <c r="AF340" s="321"/>
      <c r="AG340" s="321"/>
      <c r="AH340" s="321"/>
      <c r="AI340" s="321"/>
      <c r="AJ340" s="320"/>
      <c r="AK340" s="260"/>
      <c r="AL340" s="259">
        <f>MATCH(B340,'Key Findings'!B:B,0)</f>
        <v>55</v>
      </c>
      <c r="AM340" s="260" t="b">
        <f t="shared" si="1"/>
        <v>1</v>
      </c>
      <c r="AN340" s="294"/>
    </row>
    <row r="341">
      <c r="A341" s="299">
        <f t="array" ref="A341">INDEX('Federal Tax, Stock Buybacks, &amp; '!D:D,match(B341,'Federal Tax, Stock Buybacks, &amp; '!E:E,0))</f>
        <v>173</v>
      </c>
      <c r="B341" s="281" t="s">
        <v>23</v>
      </c>
      <c r="C341" s="316"/>
      <c r="D341" s="317"/>
      <c r="E341" s="284"/>
      <c r="F341" s="268"/>
      <c r="G341" s="316"/>
      <c r="H341" s="317"/>
      <c r="I341" s="284"/>
      <c r="J341" s="268"/>
      <c r="K341" s="316" t="s">
        <v>212</v>
      </c>
      <c r="L341" s="317" t="s">
        <v>1931</v>
      </c>
      <c r="M341" s="284">
        <v>3691412.0</v>
      </c>
      <c r="N341" s="268"/>
      <c r="O341" s="285" t="s">
        <v>212</v>
      </c>
      <c r="P341" s="317" t="s">
        <v>1931</v>
      </c>
      <c r="Q341" s="318">
        <v>3733623.0</v>
      </c>
      <c r="R341" s="268"/>
      <c r="S341" s="285" t="s">
        <v>224</v>
      </c>
      <c r="T341" s="317" t="s">
        <v>1932</v>
      </c>
      <c r="U341" s="319">
        <v>2593460.0</v>
      </c>
      <c r="V341" s="268"/>
      <c r="W341" s="285" t="s">
        <v>212</v>
      </c>
      <c r="X341" s="317" t="s">
        <v>1931</v>
      </c>
      <c r="Y341" s="284">
        <v>2674042.0</v>
      </c>
      <c r="Z341" s="268"/>
      <c r="AA341" s="285" t="s">
        <v>212</v>
      </c>
      <c r="AB341" s="317" t="s">
        <v>1931</v>
      </c>
      <c r="AC341" s="287">
        <v>2837944.0</v>
      </c>
      <c r="AD341" s="288"/>
      <c r="AE341" s="321"/>
      <c r="AF341" s="321"/>
      <c r="AG341" s="321"/>
      <c r="AH341" s="321"/>
      <c r="AI341" s="321"/>
      <c r="AJ341" s="320"/>
      <c r="AK341" s="260"/>
      <c r="AL341" s="259">
        <f>MATCH(B341,'Key Findings'!B:B,0)</f>
        <v>55</v>
      </c>
      <c r="AM341" s="260" t="b">
        <f t="shared" si="1"/>
        <v>1</v>
      </c>
      <c r="AN341" s="294"/>
    </row>
    <row r="342">
      <c r="A342" s="299">
        <f t="array" ref="A342">INDEX('Federal Tax, Stock Buybacks, &amp; '!D:D,match(B342,'Federal Tax, Stock Buybacks, &amp; '!E:E,0))</f>
        <v>173</v>
      </c>
      <c r="B342" s="281" t="s">
        <v>23</v>
      </c>
      <c r="C342" s="316"/>
      <c r="D342" s="317"/>
      <c r="E342" s="284"/>
      <c r="F342" s="268"/>
      <c r="G342" s="316"/>
      <c r="H342" s="317"/>
      <c r="I342" s="284"/>
      <c r="J342" s="268"/>
      <c r="K342" s="316" t="s">
        <v>224</v>
      </c>
      <c r="L342" s="317" t="s">
        <v>1932</v>
      </c>
      <c r="M342" s="284">
        <v>3269613.0</v>
      </c>
      <c r="N342" s="268"/>
      <c r="O342" s="285" t="s">
        <v>224</v>
      </c>
      <c r="P342" s="317" t="s">
        <v>1932</v>
      </c>
      <c r="Q342" s="318">
        <v>3416525.0</v>
      </c>
      <c r="R342" s="268"/>
      <c r="S342" s="285" t="s">
        <v>354</v>
      </c>
      <c r="T342" s="317" t="s">
        <v>1926</v>
      </c>
      <c r="U342" s="284">
        <v>1.0143927E7</v>
      </c>
      <c r="V342" s="268"/>
      <c r="W342" s="285" t="s">
        <v>224</v>
      </c>
      <c r="X342" s="317" t="s">
        <v>1932</v>
      </c>
      <c r="Y342" s="284">
        <v>2656819.0</v>
      </c>
      <c r="Z342" s="268"/>
      <c r="AA342" s="285" t="s">
        <v>224</v>
      </c>
      <c r="AB342" s="317" t="s">
        <v>1932</v>
      </c>
      <c r="AC342" s="287">
        <v>2717544.0</v>
      </c>
      <c r="AD342" s="288"/>
      <c r="AE342" s="321"/>
      <c r="AF342" s="321"/>
      <c r="AG342" s="321"/>
      <c r="AH342" s="321"/>
      <c r="AI342" s="321"/>
      <c r="AJ342" s="320"/>
      <c r="AK342" s="260"/>
      <c r="AL342" s="259">
        <f>MATCH(B342,'Key Findings'!B:B,0)</f>
        <v>55</v>
      </c>
      <c r="AM342" s="260" t="b">
        <f t="shared" si="1"/>
        <v>1</v>
      </c>
      <c r="AN342" s="294"/>
    </row>
    <row r="343">
      <c r="A343" s="299">
        <f t="array" ref="A343">INDEX('Federal Tax, Stock Buybacks, &amp; '!D:D,match(B343,'Federal Tax, Stock Buybacks, &amp; '!E:E,0))</f>
        <v>173</v>
      </c>
      <c r="B343" s="281" t="s">
        <v>23</v>
      </c>
      <c r="C343" s="298"/>
      <c r="D343" s="296"/>
      <c r="E343" s="297"/>
      <c r="F343" s="268"/>
      <c r="G343" s="298"/>
      <c r="H343" s="296"/>
      <c r="I343" s="297"/>
      <c r="J343" s="268"/>
      <c r="K343" s="298" t="s">
        <v>711</v>
      </c>
      <c r="L343" s="296" t="s">
        <v>711</v>
      </c>
      <c r="M343" s="297" t="s">
        <v>711</v>
      </c>
      <c r="N343" s="268"/>
      <c r="O343" s="285" t="s">
        <v>354</v>
      </c>
      <c r="P343" s="317" t="s">
        <v>1926</v>
      </c>
      <c r="Q343" s="318">
        <v>9287113.0</v>
      </c>
      <c r="R343" s="268"/>
      <c r="S343" s="296" t="s">
        <v>711</v>
      </c>
      <c r="T343" s="296" t="s">
        <v>711</v>
      </c>
      <c r="U343" s="297" t="s">
        <v>711</v>
      </c>
      <c r="V343" s="268"/>
      <c r="W343" s="296" t="s">
        <v>711</v>
      </c>
      <c r="X343" s="296" t="s">
        <v>711</v>
      </c>
      <c r="Y343" s="297" t="s">
        <v>711</v>
      </c>
      <c r="Z343" s="268"/>
      <c r="AA343" s="296" t="s">
        <v>711</v>
      </c>
      <c r="AB343" s="296" t="s">
        <v>711</v>
      </c>
      <c r="AC343" s="297" t="s">
        <v>711</v>
      </c>
      <c r="AD343" s="288"/>
      <c r="AE343" s="321"/>
      <c r="AF343" s="321"/>
      <c r="AG343" s="321"/>
      <c r="AH343" s="321"/>
      <c r="AI343" s="321"/>
      <c r="AJ343" s="320"/>
      <c r="AK343" s="260"/>
      <c r="AL343" s="259">
        <f>MATCH(B343,'Key Findings'!B:B,0)</f>
        <v>55</v>
      </c>
      <c r="AM343" s="260" t="b">
        <f t="shared" si="1"/>
        <v>1</v>
      </c>
      <c r="AN343" s="294"/>
    </row>
    <row r="344">
      <c r="A344" s="299">
        <f t="array" ref="A344">INDEX('Federal Tax, Stock Buybacks, &amp; '!D:D,match(B344,'Federal Tax, Stock Buybacks, &amp; '!E:E,0))</f>
        <v>130</v>
      </c>
      <c r="B344" s="422" t="s">
        <v>28</v>
      </c>
      <c r="C344" s="398"/>
      <c r="D344" s="398"/>
      <c r="E344" s="342"/>
      <c r="F344" s="268"/>
      <c r="G344" s="398"/>
      <c r="H344" s="398"/>
      <c r="I344" s="342"/>
      <c r="J344" s="268"/>
      <c r="K344" s="398" t="s">
        <v>237</v>
      </c>
      <c r="L344" s="398" t="s">
        <v>1588</v>
      </c>
      <c r="M344" s="342">
        <v>1.0151847E7</v>
      </c>
      <c r="N344" s="268"/>
      <c r="O344" s="364" t="s">
        <v>237</v>
      </c>
      <c r="P344" s="364" t="s">
        <v>1588</v>
      </c>
      <c r="Q344" s="342">
        <v>1.0854224E7</v>
      </c>
      <c r="R344" s="268"/>
      <c r="S344" s="364" t="s">
        <v>237</v>
      </c>
      <c r="T344" s="364" t="s">
        <v>1588</v>
      </c>
      <c r="U344" s="342">
        <v>9879276.0</v>
      </c>
      <c r="V344" s="268"/>
      <c r="W344" s="364" t="s">
        <v>237</v>
      </c>
      <c r="X344" s="364" t="s">
        <v>1588</v>
      </c>
      <c r="Y344" s="342">
        <v>9146053.0</v>
      </c>
      <c r="Z344" s="268"/>
      <c r="AA344" s="364" t="s">
        <v>237</v>
      </c>
      <c r="AB344" s="364" t="s">
        <v>1588</v>
      </c>
      <c r="AC344" s="305">
        <v>8914948.0</v>
      </c>
      <c r="AD344" s="306"/>
      <c r="AE344" s="366">
        <v>2022.0</v>
      </c>
      <c r="AF344" s="366">
        <v>2021.0</v>
      </c>
      <c r="AG344" s="366">
        <v>2020.0</v>
      </c>
      <c r="AH344" s="366">
        <v>2019.0</v>
      </c>
      <c r="AI344" s="366">
        <v>2018.0</v>
      </c>
      <c r="AJ344" s="325" t="s">
        <v>1578</v>
      </c>
      <c r="AK344" s="300"/>
      <c r="AL344" s="275">
        <f>MATCH(B344,'Key Findings'!B:B,0)</f>
        <v>56</v>
      </c>
      <c r="AM344" s="274" t="b">
        <f t="shared" si="1"/>
        <v>0</v>
      </c>
      <c r="AN344" s="294"/>
    </row>
    <row r="345">
      <c r="A345" s="299">
        <f t="array" ref="A345">INDEX('Federal Tax, Stock Buybacks, &amp; '!D:D,match(B345,'Federal Tax, Stock Buybacks, &amp; '!E:E,0))</f>
        <v>130</v>
      </c>
      <c r="B345" s="422" t="s">
        <v>28</v>
      </c>
      <c r="C345" s="466"/>
      <c r="D345" s="398"/>
      <c r="E345" s="342"/>
      <c r="F345" s="268"/>
      <c r="G345" s="466"/>
      <c r="H345" s="398"/>
      <c r="I345" s="342"/>
      <c r="J345" s="268"/>
      <c r="K345" s="466" t="s">
        <v>244</v>
      </c>
      <c r="L345" s="398" t="s">
        <v>1933</v>
      </c>
      <c r="M345" s="342">
        <v>2332900.0</v>
      </c>
      <c r="N345" s="268"/>
      <c r="O345" s="303" t="s">
        <v>244</v>
      </c>
      <c r="P345" s="364" t="s">
        <v>1933</v>
      </c>
      <c r="Q345" s="342">
        <v>2567086.0</v>
      </c>
      <c r="R345" s="268"/>
      <c r="S345" s="303" t="s">
        <v>244</v>
      </c>
      <c r="T345" s="364" t="s">
        <v>1933</v>
      </c>
      <c r="U345" s="342">
        <v>2423775.0</v>
      </c>
      <c r="V345" s="268"/>
      <c r="W345" s="364" t="s">
        <v>244</v>
      </c>
      <c r="X345" s="364" t="s">
        <v>1933</v>
      </c>
      <c r="Y345" s="342">
        <v>2207319.0</v>
      </c>
      <c r="Z345" s="268"/>
      <c r="AA345" s="364" t="s">
        <v>244</v>
      </c>
      <c r="AB345" s="364" t="s">
        <v>1933</v>
      </c>
      <c r="AC345" s="305">
        <v>2171145.0</v>
      </c>
      <c r="AD345" s="306"/>
      <c r="AE345" s="308"/>
      <c r="AF345" s="308"/>
      <c r="AG345" s="308"/>
      <c r="AH345" s="308"/>
      <c r="AI345" s="308"/>
      <c r="AJ345" s="368"/>
      <c r="AK345" s="300"/>
      <c r="AL345" s="275">
        <f>MATCH(B345,'Key Findings'!B:B,0)</f>
        <v>56</v>
      </c>
      <c r="AM345" s="274" t="b">
        <f t="shared" si="1"/>
        <v>0</v>
      </c>
      <c r="AN345" s="294"/>
    </row>
    <row r="346">
      <c r="A346" s="299">
        <f t="array" ref="A346">INDEX('Federal Tax, Stock Buybacks, &amp; '!D:D,match(B346,'Federal Tax, Stock Buybacks, &amp; '!E:E,0))</f>
        <v>130</v>
      </c>
      <c r="B346" s="422" t="s">
        <v>28</v>
      </c>
      <c r="C346" s="398"/>
      <c r="D346" s="398"/>
      <c r="E346" s="342"/>
      <c r="F346" s="268"/>
      <c r="G346" s="398"/>
      <c r="H346" s="398"/>
      <c r="I346" s="342"/>
      <c r="J346" s="268"/>
      <c r="K346" s="398" t="s">
        <v>264</v>
      </c>
      <c r="L346" s="398" t="s">
        <v>1934</v>
      </c>
      <c r="M346" s="342">
        <v>2107527.0</v>
      </c>
      <c r="N346" s="268"/>
      <c r="O346" s="364" t="s">
        <v>264</v>
      </c>
      <c r="P346" s="364" t="s">
        <v>1934</v>
      </c>
      <c r="Q346" s="342">
        <v>2567086.0</v>
      </c>
      <c r="R346" s="268"/>
      <c r="S346" s="364" t="s">
        <v>264</v>
      </c>
      <c r="T346" s="364" t="s">
        <v>1934</v>
      </c>
      <c r="U346" s="342">
        <v>2423775.0</v>
      </c>
      <c r="V346" s="268"/>
      <c r="W346" s="364" t="s">
        <v>264</v>
      </c>
      <c r="X346" s="364" t="s">
        <v>1934</v>
      </c>
      <c r="Y346" s="342">
        <v>2233090.0</v>
      </c>
      <c r="Z346" s="268"/>
      <c r="AA346" s="364" t="s">
        <v>264</v>
      </c>
      <c r="AB346" s="364" t="s">
        <v>1934</v>
      </c>
      <c r="AC346" s="305">
        <v>2195789.0</v>
      </c>
      <c r="AD346" s="306"/>
      <c r="AE346" s="308"/>
      <c r="AF346" s="308"/>
      <c r="AG346" s="308"/>
      <c r="AH346" s="308"/>
      <c r="AI346" s="308"/>
      <c r="AJ346" s="368"/>
      <c r="AK346" s="300"/>
      <c r="AL346" s="275">
        <f>MATCH(B346,'Key Findings'!B:B,0)</f>
        <v>56</v>
      </c>
      <c r="AM346" s="274" t="b">
        <f t="shared" si="1"/>
        <v>0</v>
      </c>
      <c r="AN346" s="294"/>
    </row>
    <row r="347">
      <c r="A347" s="299">
        <f t="array" ref="A347">INDEX('Federal Tax, Stock Buybacks, &amp; '!D:D,match(B347,'Federal Tax, Stock Buybacks, &amp; '!E:E,0))</f>
        <v>130</v>
      </c>
      <c r="B347" s="422" t="s">
        <v>28</v>
      </c>
      <c r="C347" s="466"/>
      <c r="D347" s="398"/>
      <c r="E347" s="342"/>
      <c r="F347" s="268"/>
      <c r="G347" s="466"/>
      <c r="H347" s="398"/>
      <c r="I347" s="342"/>
      <c r="J347" s="268"/>
      <c r="K347" s="466" t="s">
        <v>617</v>
      </c>
      <c r="L347" s="398" t="s">
        <v>1935</v>
      </c>
      <c r="M347" s="342">
        <v>2027696.0</v>
      </c>
      <c r="N347" s="268"/>
      <c r="O347" s="364" t="s">
        <v>557</v>
      </c>
      <c r="P347" s="401" t="s">
        <v>1585</v>
      </c>
      <c r="Q347" s="342">
        <v>1868002.0</v>
      </c>
      <c r="R347" s="268"/>
      <c r="S347" s="364" t="s">
        <v>557</v>
      </c>
      <c r="T347" s="401" t="s">
        <v>1585</v>
      </c>
      <c r="U347" s="342">
        <v>1627004.0</v>
      </c>
      <c r="V347" s="268"/>
      <c r="W347" s="364" t="s">
        <v>557</v>
      </c>
      <c r="X347" s="401" t="s">
        <v>1585</v>
      </c>
      <c r="Y347" s="342">
        <v>1440203.0</v>
      </c>
      <c r="Z347" s="268"/>
      <c r="AA347" s="364" t="s">
        <v>557</v>
      </c>
      <c r="AB347" s="401" t="s">
        <v>1585</v>
      </c>
      <c r="AC347" s="305">
        <v>1484835.0</v>
      </c>
      <c r="AD347" s="306"/>
      <c r="AE347" s="308"/>
      <c r="AF347" s="308"/>
      <c r="AG347" s="308"/>
      <c r="AH347" s="308"/>
      <c r="AI347" s="308"/>
      <c r="AJ347" s="368"/>
      <c r="AK347" s="300"/>
      <c r="AL347" s="275">
        <f>MATCH(B347,'Key Findings'!B:B,0)</f>
        <v>56</v>
      </c>
      <c r="AM347" s="274" t="b">
        <f t="shared" si="1"/>
        <v>0</v>
      </c>
      <c r="AN347" s="291" t="s">
        <v>1936</v>
      </c>
    </row>
    <row r="348">
      <c r="A348" s="299">
        <f t="array" ref="A348">INDEX('Federal Tax, Stock Buybacks, &amp; '!D:D,match(B348,'Federal Tax, Stock Buybacks, &amp; '!E:E,0))</f>
        <v>130</v>
      </c>
      <c r="B348" s="422" t="s">
        <v>28</v>
      </c>
      <c r="C348" s="466"/>
      <c r="D348" s="398"/>
      <c r="E348" s="342"/>
      <c r="F348" s="268"/>
      <c r="G348" s="466"/>
      <c r="H348" s="398"/>
      <c r="I348" s="342"/>
      <c r="J348" s="268"/>
      <c r="K348" s="466" t="s">
        <v>569</v>
      </c>
      <c r="L348" s="398" t="s">
        <v>1585</v>
      </c>
      <c r="M348" s="342">
        <v>3470725.0</v>
      </c>
      <c r="N348" s="268"/>
      <c r="O348" s="303" t="s">
        <v>569</v>
      </c>
      <c r="P348" s="364" t="s">
        <v>1585</v>
      </c>
      <c r="Q348" s="342">
        <v>2244188.0</v>
      </c>
      <c r="R348" s="268"/>
      <c r="S348" s="364" t="s">
        <v>495</v>
      </c>
      <c r="T348" s="401" t="s">
        <v>1585</v>
      </c>
      <c r="U348" s="342">
        <v>2164402.0</v>
      </c>
      <c r="V348" s="268"/>
      <c r="W348" s="364" t="s">
        <v>495</v>
      </c>
      <c r="X348" s="401" t="s">
        <v>1585</v>
      </c>
      <c r="Y348" s="342">
        <v>3018068.0</v>
      </c>
      <c r="Z348" s="268"/>
      <c r="AA348" s="364" t="s">
        <v>495</v>
      </c>
      <c r="AB348" s="401" t="s">
        <v>1585</v>
      </c>
      <c r="AC348" s="305">
        <v>3001107.0</v>
      </c>
      <c r="AD348" s="306"/>
      <c r="AE348" s="308"/>
      <c r="AF348" s="308"/>
      <c r="AG348" s="308"/>
      <c r="AH348" s="308"/>
      <c r="AI348" s="308"/>
      <c r="AJ348" s="368"/>
      <c r="AK348" s="300"/>
      <c r="AL348" s="275">
        <f>MATCH(B348,'Key Findings'!B:B,0)</f>
        <v>56</v>
      </c>
      <c r="AM348" s="274" t="b">
        <f t="shared" si="1"/>
        <v>0</v>
      </c>
      <c r="AN348" s="294"/>
    </row>
    <row r="349">
      <c r="A349" s="299">
        <f t="array" ref="A349">INDEX('Federal Tax, Stock Buybacks, &amp; '!D:D,match(B349,'Federal Tax, Stock Buybacks, &amp; '!E:E,0))</f>
        <v>130</v>
      </c>
      <c r="B349" s="422" t="s">
        <v>28</v>
      </c>
      <c r="C349" s="279"/>
      <c r="D349" s="280"/>
      <c r="E349" s="267"/>
      <c r="F349" s="268"/>
      <c r="G349" s="279"/>
      <c r="H349" s="280"/>
      <c r="I349" s="267"/>
      <c r="J349" s="268"/>
      <c r="K349" s="279" t="s">
        <v>711</v>
      </c>
      <c r="L349" s="280" t="s">
        <v>711</v>
      </c>
      <c r="M349" s="267" t="s">
        <v>711</v>
      </c>
      <c r="N349" s="268"/>
      <c r="O349" s="364" t="s">
        <v>668</v>
      </c>
      <c r="P349" s="401" t="s">
        <v>1937</v>
      </c>
      <c r="Q349" s="342">
        <v>1397825.0</v>
      </c>
      <c r="R349" s="268"/>
      <c r="S349" s="280" t="s">
        <v>711</v>
      </c>
      <c r="T349" s="280" t="s">
        <v>711</v>
      </c>
      <c r="U349" s="267" t="s">
        <v>711</v>
      </c>
      <c r="V349" s="268"/>
      <c r="W349" s="364" t="s">
        <v>617</v>
      </c>
      <c r="X349" s="369" t="s">
        <v>1705</v>
      </c>
      <c r="Y349" s="342">
        <v>1467760.0</v>
      </c>
      <c r="Z349" s="268"/>
      <c r="AA349" s="364" t="s">
        <v>640</v>
      </c>
      <c r="AB349" s="302" t="s">
        <v>1938</v>
      </c>
      <c r="AC349" s="305">
        <v>2641328.0</v>
      </c>
      <c r="AD349" s="306"/>
      <c r="AE349" s="308"/>
      <c r="AF349" s="308"/>
      <c r="AG349" s="308"/>
      <c r="AH349" s="308"/>
      <c r="AI349" s="308"/>
      <c r="AJ349" s="368"/>
      <c r="AK349" s="300"/>
      <c r="AL349" s="275">
        <f>MATCH(B349,'Key Findings'!B:B,0)</f>
        <v>56</v>
      </c>
      <c r="AM349" s="274" t="b">
        <f t="shared" si="1"/>
        <v>0</v>
      </c>
      <c r="AN349" s="294"/>
    </row>
    <row r="350">
      <c r="A350" s="299">
        <f t="array" ref="A350">INDEX('Federal Tax, Stock Buybacks, &amp; '!D:D,match(B350,'Federal Tax, Stock Buybacks, &amp; '!E:E,0))</f>
        <v>130</v>
      </c>
      <c r="B350" s="422" t="s">
        <v>28</v>
      </c>
      <c r="C350" s="279"/>
      <c r="D350" s="280"/>
      <c r="E350" s="267"/>
      <c r="F350" s="268"/>
      <c r="G350" s="279"/>
      <c r="H350" s="280"/>
      <c r="I350" s="267"/>
      <c r="J350" s="268"/>
      <c r="K350" s="279" t="s">
        <v>711</v>
      </c>
      <c r="L350" s="280" t="s">
        <v>711</v>
      </c>
      <c r="M350" s="267" t="s">
        <v>711</v>
      </c>
      <c r="N350" s="268"/>
      <c r="O350" s="364" t="s">
        <v>495</v>
      </c>
      <c r="P350" s="401" t="s">
        <v>1686</v>
      </c>
      <c r="Q350" s="342">
        <v>1611231.0</v>
      </c>
      <c r="R350" s="268"/>
      <c r="S350" s="280" t="s">
        <v>711</v>
      </c>
      <c r="T350" s="280" t="s">
        <v>711</v>
      </c>
      <c r="U350" s="267" t="s">
        <v>711</v>
      </c>
      <c r="V350" s="268"/>
      <c r="W350" s="280" t="s">
        <v>711</v>
      </c>
      <c r="X350" s="280" t="s">
        <v>711</v>
      </c>
      <c r="Y350" s="267" t="s">
        <v>711</v>
      </c>
      <c r="Z350" s="268"/>
      <c r="AA350" s="364" t="s">
        <v>637</v>
      </c>
      <c r="AB350" s="463" t="s">
        <v>1538</v>
      </c>
      <c r="AC350" s="305">
        <v>2682896.0</v>
      </c>
      <c r="AD350" s="306"/>
      <c r="AE350" s="417"/>
      <c r="AF350" s="417"/>
      <c r="AG350" s="417"/>
      <c r="AH350" s="417"/>
      <c r="AI350" s="417"/>
      <c r="AJ350" s="368"/>
      <c r="AK350" s="300"/>
      <c r="AL350" s="275">
        <f>MATCH(B350,'Key Findings'!B:B,0)</f>
        <v>56</v>
      </c>
      <c r="AM350" s="274" t="b">
        <f t="shared" si="1"/>
        <v>0</v>
      </c>
      <c r="AN350" s="385" t="s">
        <v>1939</v>
      </c>
    </row>
    <row r="351">
      <c r="A351" s="169">
        <f t="array" ref="A351">INDEX('Federal Tax, Stock Buybacks, &amp; '!D:D,match(B351,'Federal Tax, Stock Buybacks, &amp; '!E:E,0))</f>
        <v>584</v>
      </c>
      <c r="B351" s="130" t="s">
        <v>39</v>
      </c>
      <c r="C351" s="282"/>
      <c r="D351" s="373"/>
      <c r="E351" s="284"/>
      <c r="F351" s="268"/>
      <c r="G351" s="282"/>
      <c r="H351" s="373"/>
      <c r="I351" s="284"/>
      <c r="J351" s="268"/>
      <c r="K351" s="282" t="s">
        <v>434</v>
      </c>
      <c r="L351" s="373"/>
      <c r="M351" s="284">
        <v>6888316.0</v>
      </c>
      <c r="N351" s="268"/>
      <c r="O351" s="285" t="s">
        <v>434</v>
      </c>
      <c r="P351" s="374"/>
      <c r="Q351" s="284">
        <v>1.1138082E7</v>
      </c>
      <c r="R351" s="268"/>
      <c r="S351" s="285" t="s">
        <v>269</v>
      </c>
      <c r="T351" s="295"/>
      <c r="U351" s="284">
        <v>2842848.0</v>
      </c>
      <c r="V351" s="268"/>
      <c r="W351" s="285" t="s">
        <v>269</v>
      </c>
      <c r="X351" s="295"/>
      <c r="Y351" s="284">
        <v>2053703.0</v>
      </c>
      <c r="Z351" s="268"/>
      <c r="AA351" s="285" t="s">
        <v>269</v>
      </c>
      <c r="AB351" s="334"/>
      <c r="AC351" s="287">
        <v>2976375.0</v>
      </c>
      <c r="AD351" s="288"/>
      <c r="AE351" s="391">
        <v>2022.0</v>
      </c>
      <c r="AF351" s="391">
        <v>2021.0</v>
      </c>
      <c r="AG351" s="391">
        <v>2020.0</v>
      </c>
      <c r="AH351" s="391">
        <v>2019.0</v>
      </c>
      <c r="AI351" s="391">
        <v>2018.0</v>
      </c>
      <c r="AJ351" s="357" t="s">
        <v>1578</v>
      </c>
      <c r="AK351" s="281"/>
      <c r="AL351" s="259">
        <f>MATCH(B351,'Key Findings'!B:B,0)</f>
        <v>57</v>
      </c>
      <c r="AM351" s="260" t="b">
        <f t="shared" si="1"/>
        <v>1</v>
      </c>
      <c r="AN351" s="294"/>
    </row>
    <row r="352">
      <c r="A352" s="169">
        <f t="array" ref="A352">INDEX('Federal Tax, Stock Buybacks, &amp; '!D:D,match(B352,'Federal Tax, Stock Buybacks, &amp; '!E:E,0))</f>
        <v>584</v>
      </c>
      <c r="B352" s="130" t="s">
        <v>39</v>
      </c>
      <c r="C352" s="282"/>
      <c r="D352" s="373"/>
      <c r="E352" s="284"/>
      <c r="F352" s="268"/>
      <c r="G352" s="282"/>
      <c r="H352" s="373"/>
      <c r="I352" s="284"/>
      <c r="J352" s="268"/>
      <c r="K352" s="282" t="s">
        <v>517</v>
      </c>
      <c r="L352" s="373"/>
      <c r="M352" s="284">
        <v>3053393.0</v>
      </c>
      <c r="N352" s="268"/>
      <c r="O352" s="285" t="s">
        <v>517</v>
      </c>
      <c r="P352" s="374"/>
      <c r="Q352" s="284">
        <v>6896928.0</v>
      </c>
      <c r="R352" s="268"/>
      <c r="S352" s="285" t="s">
        <v>282</v>
      </c>
      <c r="T352" s="295"/>
      <c r="U352" s="284">
        <v>2285694.0</v>
      </c>
      <c r="V352" s="268"/>
      <c r="W352" s="285" t="s">
        <v>282</v>
      </c>
      <c r="X352" s="295"/>
      <c r="Y352" s="284">
        <v>1696978.0</v>
      </c>
      <c r="Z352" s="268"/>
      <c r="AA352" s="285" t="s">
        <v>282</v>
      </c>
      <c r="AB352" s="334"/>
      <c r="AC352" s="287">
        <v>2635446.0</v>
      </c>
      <c r="AD352" s="288"/>
      <c r="AE352" s="292"/>
      <c r="AF352" s="292"/>
      <c r="AG352" s="292"/>
      <c r="AH352" s="292"/>
      <c r="AI352" s="292"/>
      <c r="AJ352" s="293"/>
      <c r="AK352" s="281"/>
      <c r="AL352" s="259">
        <f>MATCH(B352,'Key Findings'!B:B,0)</f>
        <v>57</v>
      </c>
      <c r="AM352" s="260" t="b">
        <f t="shared" si="1"/>
        <v>1</v>
      </c>
      <c r="AN352" s="291" t="s">
        <v>1940</v>
      </c>
    </row>
    <row r="353">
      <c r="A353" s="169">
        <f t="array" ref="A353">INDEX('Federal Tax, Stock Buybacks, &amp; '!D:D,match(B353,'Federal Tax, Stock Buybacks, &amp; '!E:E,0))</f>
        <v>584</v>
      </c>
      <c r="B353" s="130" t="s">
        <v>39</v>
      </c>
      <c r="C353" s="282"/>
      <c r="D353" s="373"/>
      <c r="E353" s="284"/>
      <c r="F353" s="268"/>
      <c r="G353" s="282"/>
      <c r="H353" s="373"/>
      <c r="I353" s="284"/>
      <c r="J353" s="268"/>
      <c r="K353" s="282" t="s">
        <v>269</v>
      </c>
      <c r="L353" s="373"/>
      <c r="M353" s="284">
        <v>2532467.0</v>
      </c>
      <c r="N353" s="268"/>
      <c r="O353" s="285" t="s">
        <v>269</v>
      </c>
      <c r="P353" s="374"/>
      <c r="Q353" s="284">
        <v>2755867.0</v>
      </c>
      <c r="R353" s="268"/>
      <c r="S353" s="285" t="s">
        <v>259</v>
      </c>
      <c r="T353" s="295"/>
      <c r="U353" s="284">
        <v>2864429.0</v>
      </c>
      <c r="V353" s="268"/>
      <c r="W353" s="285" t="s">
        <v>259</v>
      </c>
      <c r="X353" s="295"/>
      <c r="Y353" s="284">
        <v>2208528.0</v>
      </c>
      <c r="Z353" s="268"/>
      <c r="AA353" s="285" t="s">
        <v>259</v>
      </c>
      <c r="AB353" s="334"/>
      <c r="AC353" s="287">
        <v>2610577.0</v>
      </c>
      <c r="AD353" s="288"/>
      <c r="AE353" s="292"/>
      <c r="AF353" s="292"/>
      <c r="AG353" s="292"/>
      <c r="AH353" s="292"/>
      <c r="AI353" s="292"/>
      <c r="AJ353" s="293"/>
      <c r="AK353" s="281"/>
      <c r="AL353" s="259">
        <f>MATCH(B353,'Key Findings'!B:B,0)</f>
        <v>57</v>
      </c>
      <c r="AM353" s="260" t="b">
        <f t="shared" si="1"/>
        <v>1</v>
      </c>
      <c r="AN353" s="294"/>
    </row>
    <row r="354">
      <c r="A354" s="169">
        <f t="array" ref="A354">INDEX('Federal Tax, Stock Buybacks, &amp; '!D:D,match(B354,'Federal Tax, Stock Buybacks, &amp; '!E:E,0))</f>
        <v>584</v>
      </c>
      <c r="B354" s="130" t="s">
        <v>39</v>
      </c>
      <c r="C354" s="282"/>
      <c r="D354" s="373"/>
      <c r="E354" s="284"/>
      <c r="F354" s="268"/>
      <c r="G354" s="282"/>
      <c r="H354" s="373"/>
      <c r="I354" s="284"/>
      <c r="J354" s="268"/>
      <c r="K354" s="282" t="s">
        <v>612</v>
      </c>
      <c r="L354" s="373"/>
      <c r="M354" s="284">
        <v>1698257.0</v>
      </c>
      <c r="N354" s="268"/>
      <c r="O354" s="285" t="s">
        <v>612</v>
      </c>
      <c r="P354" s="374"/>
      <c r="Q354" s="284">
        <v>2339884.0</v>
      </c>
      <c r="R354" s="268"/>
      <c r="S354" s="285" t="s">
        <v>408</v>
      </c>
      <c r="T354" s="295"/>
      <c r="U354" s="284">
        <v>8999456.0</v>
      </c>
      <c r="V354" s="268"/>
      <c r="W354" s="285" t="s">
        <v>408</v>
      </c>
      <c r="X354" s="295"/>
      <c r="Y354" s="284">
        <v>5793975.0</v>
      </c>
      <c r="Z354" s="268"/>
      <c r="AA354" s="285" t="s">
        <v>408</v>
      </c>
      <c r="AB354" s="334"/>
      <c r="AC354" s="287">
        <v>6843344.0</v>
      </c>
      <c r="AD354" s="288"/>
      <c r="AE354" s="292"/>
      <c r="AF354" s="292"/>
      <c r="AG354" s="292"/>
      <c r="AH354" s="292"/>
      <c r="AI354" s="292"/>
      <c r="AJ354" s="293"/>
      <c r="AK354" s="281"/>
      <c r="AL354" s="259">
        <f>MATCH(B354,'Key Findings'!B:B,0)</f>
        <v>57</v>
      </c>
      <c r="AM354" s="260" t="b">
        <f t="shared" si="1"/>
        <v>1</v>
      </c>
      <c r="AN354" s="294"/>
    </row>
    <row r="355">
      <c r="A355" s="169">
        <f t="array" ref="A355">INDEX('Federal Tax, Stock Buybacks, &amp; '!D:D,match(B355,'Federal Tax, Stock Buybacks, &amp; '!E:E,0))</f>
        <v>584</v>
      </c>
      <c r="B355" s="130" t="s">
        <v>39</v>
      </c>
      <c r="C355" s="282"/>
      <c r="D355" s="373"/>
      <c r="E355" s="284"/>
      <c r="F355" s="268"/>
      <c r="G355" s="282"/>
      <c r="H355" s="373"/>
      <c r="I355" s="284"/>
      <c r="J355" s="268"/>
      <c r="K355" s="282" t="s">
        <v>282</v>
      </c>
      <c r="L355" s="373"/>
      <c r="M355" s="284">
        <v>1762046.0</v>
      </c>
      <c r="N355" s="268"/>
      <c r="O355" s="285" t="s">
        <v>282</v>
      </c>
      <c r="P355" s="374"/>
      <c r="Q355" s="284">
        <v>2015544.0</v>
      </c>
      <c r="R355" s="268"/>
      <c r="S355" s="285" t="s">
        <v>507</v>
      </c>
      <c r="T355" s="295"/>
      <c r="U355" s="284">
        <v>2849424.0</v>
      </c>
      <c r="V355" s="268"/>
      <c r="W355" s="285" t="s">
        <v>507</v>
      </c>
      <c r="X355" s="295"/>
      <c r="Y355" s="284">
        <v>1991581.0</v>
      </c>
      <c r="Z355" s="268"/>
      <c r="AA355" s="285" t="s">
        <v>507</v>
      </c>
      <c r="AB355" s="334"/>
      <c r="AC355" s="287">
        <v>2475442.0</v>
      </c>
      <c r="AD355" s="288"/>
      <c r="AE355" s="292"/>
      <c r="AF355" s="292"/>
      <c r="AG355" s="292"/>
      <c r="AH355" s="292"/>
      <c r="AI355" s="292"/>
      <c r="AJ355" s="293"/>
      <c r="AK355" s="281"/>
      <c r="AL355" s="259">
        <f>MATCH(B355,'Key Findings'!B:B,0)</f>
        <v>57</v>
      </c>
      <c r="AM355" s="260" t="b">
        <f t="shared" si="1"/>
        <v>1</v>
      </c>
      <c r="AN355" s="294"/>
    </row>
    <row r="356">
      <c r="A356" s="169">
        <f t="array" ref="A356">INDEX('Federal Tax, Stock Buybacks, &amp; '!D:D,match(B356,'Federal Tax, Stock Buybacks, &amp; '!E:E,0))</f>
        <v>584</v>
      </c>
      <c r="B356" s="130" t="s">
        <v>39</v>
      </c>
      <c r="C356" s="282"/>
      <c r="D356" s="373"/>
      <c r="E356" s="284"/>
      <c r="F356" s="268"/>
      <c r="G356" s="282"/>
      <c r="H356" s="373"/>
      <c r="I356" s="284"/>
      <c r="J356" s="268"/>
      <c r="K356" s="282" t="s">
        <v>259</v>
      </c>
      <c r="L356" s="373"/>
      <c r="M356" s="284">
        <v>2608121.0</v>
      </c>
      <c r="N356" s="268"/>
      <c r="O356" s="285" t="s">
        <v>259</v>
      </c>
      <c r="P356" s="374"/>
      <c r="Q356" s="284">
        <v>2146478.0</v>
      </c>
      <c r="R356" s="268"/>
      <c r="S356" s="375" t="s">
        <v>711</v>
      </c>
      <c r="T356" s="375" t="s">
        <v>711</v>
      </c>
      <c r="U356" s="360" t="s">
        <v>711</v>
      </c>
      <c r="V356" s="268"/>
      <c r="W356" s="375" t="s">
        <v>711</v>
      </c>
      <c r="X356" s="375" t="s">
        <v>711</v>
      </c>
      <c r="Y356" s="360" t="s">
        <v>711</v>
      </c>
      <c r="Z356" s="268"/>
      <c r="AA356" s="375" t="s">
        <v>711</v>
      </c>
      <c r="AB356" s="375" t="s">
        <v>711</v>
      </c>
      <c r="AC356" s="360" t="s">
        <v>711</v>
      </c>
      <c r="AD356" s="288"/>
      <c r="AE356" s="292"/>
      <c r="AF356" s="292"/>
      <c r="AG356" s="292"/>
      <c r="AH356" s="292"/>
      <c r="AI356" s="292"/>
      <c r="AJ356" s="293"/>
      <c r="AK356" s="281"/>
      <c r="AL356" s="259">
        <f>MATCH(B356,'Key Findings'!B:B,0)</f>
        <v>57</v>
      </c>
      <c r="AM356" s="260" t="b">
        <f t="shared" si="1"/>
        <v>1</v>
      </c>
      <c r="AN356" s="294"/>
    </row>
    <row r="357">
      <c r="A357" s="169">
        <f t="array" ref="A357">INDEX('Federal Tax, Stock Buybacks, &amp; '!D:D,match(B357,'Federal Tax, Stock Buybacks, &amp; '!E:E,0))</f>
        <v>584</v>
      </c>
      <c r="B357" s="130" t="s">
        <v>39</v>
      </c>
      <c r="C357" s="376"/>
      <c r="D357" s="375"/>
      <c r="E357" s="360"/>
      <c r="F357" s="268"/>
      <c r="G357" s="376"/>
      <c r="H357" s="375"/>
      <c r="I357" s="360"/>
      <c r="J357" s="268"/>
      <c r="K357" s="376" t="s">
        <v>711</v>
      </c>
      <c r="L357" s="375" t="s">
        <v>711</v>
      </c>
      <c r="M357" s="360" t="s">
        <v>711</v>
      </c>
      <c r="N357" s="268"/>
      <c r="O357" s="285" t="s">
        <v>408</v>
      </c>
      <c r="P357" s="374"/>
      <c r="Q357" s="284">
        <v>43763.0</v>
      </c>
      <c r="R357" s="268"/>
      <c r="S357" s="375" t="s">
        <v>711</v>
      </c>
      <c r="T357" s="375" t="s">
        <v>711</v>
      </c>
      <c r="U357" s="360" t="s">
        <v>711</v>
      </c>
      <c r="V357" s="268"/>
      <c r="W357" s="375" t="s">
        <v>711</v>
      </c>
      <c r="X357" s="375" t="s">
        <v>711</v>
      </c>
      <c r="Y357" s="360" t="s">
        <v>711</v>
      </c>
      <c r="Z357" s="268"/>
      <c r="AA357" s="375" t="s">
        <v>711</v>
      </c>
      <c r="AB357" s="375" t="s">
        <v>711</v>
      </c>
      <c r="AC357" s="360" t="s">
        <v>711</v>
      </c>
      <c r="AD357" s="288"/>
      <c r="AE357" s="256"/>
      <c r="AF357" s="256"/>
      <c r="AG357" s="256"/>
      <c r="AH357" s="256"/>
      <c r="AI357" s="256"/>
      <c r="AJ357" s="293"/>
      <c r="AK357" s="281"/>
      <c r="AL357" s="259">
        <f>MATCH(B357,'Key Findings'!B:B,0)</f>
        <v>57</v>
      </c>
      <c r="AM357" s="260" t="b">
        <f t="shared" si="1"/>
        <v>1</v>
      </c>
      <c r="AN357" s="294"/>
    </row>
    <row r="358">
      <c r="A358" s="169">
        <f t="array" ref="A358">INDEX('Federal Tax, Stock Buybacks, &amp; '!D:D,match(B358,'Federal Tax, Stock Buybacks, &amp; '!E:E,0))</f>
        <v>584</v>
      </c>
      <c r="B358" s="130" t="s">
        <v>39</v>
      </c>
      <c r="C358" s="376"/>
      <c r="D358" s="375"/>
      <c r="E358" s="360"/>
      <c r="F358" s="268"/>
      <c r="G358" s="376"/>
      <c r="H358" s="375"/>
      <c r="I358" s="360"/>
      <c r="J358" s="268"/>
      <c r="K358" s="376" t="s">
        <v>711</v>
      </c>
      <c r="L358" s="375" t="s">
        <v>711</v>
      </c>
      <c r="M358" s="360" t="s">
        <v>711</v>
      </c>
      <c r="N358" s="268"/>
      <c r="O358" s="285" t="s">
        <v>507</v>
      </c>
      <c r="P358" s="374"/>
      <c r="Q358" s="284">
        <v>3142098.0</v>
      </c>
      <c r="R358" s="268"/>
      <c r="S358" s="375" t="s">
        <v>711</v>
      </c>
      <c r="T358" s="375" t="s">
        <v>711</v>
      </c>
      <c r="U358" s="360" t="s">
        <v>711</v>
      </c>
      <c r="V358" s="268"/>
      <c r="W358" s="375" t="s">
        <v>711</v>
      </c>
      <c r="X358" s="375" t="s">
        <v>711</v>
      </c>
      <c r="Y358" s="360" t="s">
        <v>711</v>
      </c>
      <c r="Z358" s="268"/>
      <c r="AA358" s="375" t="s">
        <v>711</v>
      </c>
      <c r="AB358" s="375" t="s">
        <v>711</v>
      </c>
      <c r="AC358" s="360" t="s">
        <v>711</v>
      </c>
      <c r="AD358" s="288"/>
      <c r="AE358" s="256"/>
      <c r="AF358" s="256"/>
      <c r="AG358" s="256"/>
      <c r="AH358" s="256"/>
      <c r="AI358" s="256"/>
      <c r="AJ358" s="293"/>
      <c r="AK358" s="281"/>
      <c r="AL358" s="259">
        <f>MATCH(B358,'Key Findings'!B:B,0)</f>
        <v>57</v>
      </c>
      <c r="AM358" s="260" t="b">
        <f t="shared" si="1"/>
        <v>1</v>
      </c>
      <c r="AN358" s="294"/>
    </row>
    <row r="359">
      <c r="A359" s="169">
        <f t="array" ref="A359">INDEX('Federal Tax, Stock Buybacks, &amp; '!D:D,match(B359,'Federal Tax, Stock Buybacks, &amp; '!E:E,0))</f>
        <v>395</v>
      </c>
      <c r="B359" s="412" t="s">
        <v>71</v>
      </c>
      <c r="C359" s="362"/>
      <c r="D359" s="413"/>
      <c r="E359" s="342"/>
      <c r="F359" s="268"/>
      <c r="G359" s="362"/>
      <c r="H359" s="413"/>
      <c r="I359" s="342"/>
      <c r="J359" s="268"/>
      <c r="K359" s="362" t="s">
        <v>136</v>
      </c>
      <c r="L359" s="413"/>
      <c r="M359" s="342">
        <v>1.0979854E7</v>
      </c>
      <c r="N359" s="268"/>
      <c r="O359" s="364" t="s">
        <v>136</v>
      </c>
      <c r="P359" s="414"/>
      <c r="Q359" s="342">
        <v>9782143.0</v>
      </c>
      <c r="R359" s="268"/>
      <c r="S359" s="364" t="s">
        <v>136</v>
      </c>
      <c r="T359" s="369"/>
      <c r="U359" s="342">
        <v>7549789.0</v>
      </c>
      <c r="V359" s="268"/>
      <c r="W359" s="364" t="s">
        <v>136</v>
      </c>
      <c r="X359" s="369"/>
      <c r="Y359" s="342">
        <v>6086329.0</v>
      </c>
      <c r="Z359" s="268"/>
      <c r="AA359" s="364" t="s">
        <v>136</v>
      </c>
      <c r="AB359" s="302"/>
      <c r="AC359" s="305">
        <v>2650390.0</v>
      </c>
      <c r="AD359" s="306"/>
      <c r="AE359" s="366">
        <v>2022.0</v>
      </c>
      <c r="AF359" s="366">
        <v>2021.0</v>
      </c>
      <c r="AG359" s="366">
        <v>2020.0</v>
      </c>
      <c r="AH359" s="366">
        <v>2019.0</v>
      </c>
      <c r="AI359" s="366">
        <v>2018.0</v>
      </c>
      <c r="AJ359" s="415" t="s">
        <v>1578</v>
      </c>
      <c r="AK359" s="416"/>
      <c r="AL359" s="275">
        <f>MATCH(B359,'Key Findings'!B:B,0)</f>
        <v>58</v>
      </c>
      <c r="AM359" s="274" t="b">
        <f t="shared" si="1"/>
        <v>0</v>
      </c>
      <c r="AN359" s="294"/>
    </row>
    <row r="360">
      <c r="A360" s="169">
        <f t="array" ref="A360">INDEX('Federal Tax, Stock Buybacks, &amp; '!D:D,match(B360,'Federal Tax, Stock Buybacks, &amp; '!E:E,0))</f>
        <v>395</v>
      </c>
      <c r="B360" s="412" t="s">
        <v>71</v>
      </c>
      <c r="C360" s="362"/>
      <c r="D360" s="413"/>
      <c r="E360" s="342"/>
      <c r="F360" s="268"/>
      <c r="G360" s="362"/>
      <c r="H360" s="413"/>
      <c r="I360" s="342"/>
      <c r="J360" s="268"/>
      <c r="K360" s="362" t="s">
        <v>406</v>
      </c>
      <c r="L360" s="413"/>
      <c r="M360" s="342">
        <v>3686659.0</v>
      </c>
      <c r="N360" s="268"/>
      <c r="O360" s="364" t="s">
        <v>406</v>
      </c>
      <c r="P360" s="414"/>
      <c r="Q360" s="342">
        <v>3589911.0</v>
      </c>
      <c r="R360" s="268"/>
      <c r="S360" s="364" t="s">
        <v>406</v>
      </c>
      <c r="T360" s="369"/>
      <c r="U360" s="342">
        <v>2621215.0</v>
      </c>
      <c r="V360" s="268"/>
      <c r="W360" s="364" t="s">
        <v>414</v>
      </c>
      <c r="X360" s="369"/>
      <c r="Y360" s="342">
        <v>1804781.0</v>
      </c>
      <c r="Z360" s="268"/>
      <c r="AA360" s="364" t="s">
        <v>248</v>
      </c>
      <c r="AB360" s="302"/>
      <c r="AC360" s="305">
        <v>2534622.0</v>
      </c>
      <c r="AD360" s="306"/>
      <c r="AE360" s="308"/>
      <c r="AF360" s="308"/>
      <c r="AG360" s="308"/>
      <c r="AH360" s="308"/>
      <c r="AI360" s="308"/>
      <c r="AJ360" s="368"/>
      <c r="AK360" s="368"/>
      <c r="AL360" s="275">
        <f>MATCH(B360,'Key Findings'!B:B,0)</f>
        <v>58</v>
      </c>
      <c r="AM360" s="274" t="b">
        <f t="shared" si="1"/>
        <v>0</v>
      </c>
      <c r="AN360" s="294"/>
    </row>
    <row r="361">
      <c r="A361" s="169">
        <f t="array" ref="A361">INDEX('Federal Tax, Stock Buybacks, &amp; '!D:D,match(B361,'Federal Tax, Stock Buybacks, &amp; '!E:E,0))</f>
        <v>395</v>
      </c>
      <c r="B361" s="412" t="s">
        <v>71</v>
      </c>
      <c r="C361" s="362"/>
      <c r="D361" s="413"/>
      <c r="E361" s="342"/>
      <c r="F361" s="268"/>
      <c r="G361" s="362"/>
      <c r="H361" s="413"/>
      <c r="I361" s="342"/>
      <c r="J361" s="268"/>
      <c r="K361" s="362" t="s">
        <v>414</v>
      </c>
      <c r="L361" s="413"/>
      <c r="M361" s="342">
        <v>2799861.0</v>
      </c>
      <c r="N361" s="268"/>
      <c r="O361" s="364" t="s">
        <v>414</v>
      </c>
      <c r="P361" s="414"/>
      <c r="Q361" s="342">
        <v>2575973.0</v>
      </c>
      <c r="R361" s="268"/>
      <c r="S361" s="364" t="s">
        <v>414</v>
      </c>
      <c r="T361" s="369"/>
      <c r="U361" s="342">
        <v>2055217.0</v>
      </c>
      <c r="V361" s="268"/>
      <c r="W361" s="364" t="s">
        <v>248</v>
      </c>
      <c r="X361" s="369"/>
      <c r="Y361" s="342">
        <v>2103639.0</v>
      </c>
      <c r="Z361" s="268"/>
      <c r="AA361" s="364" t="s">
        <v>386</v>
      </c>
      <c r="AB361" s="302"/>
      <c r="AC361" s="305">
        <v>8737460.0</v>
      </c>
      <c r="AD361" s="306"/>
      <c r="AE361" s="308"/>
      <c r="AF361" s="308"/>
      <c r="AG361" s="308"/>
      <c r="AH361" s="308"/>
      <c r="AI361" s="308"/>
      <c r="AJ361" s="368"/>
      <c r="AK361" s="368"/>
      <c r="AL361" s="275">
        <f>MATCH(B361,'Key Findings'!B:B,0)</f>
        <v>58</v>
      </c>
      <c r="AM361" s="274" t="b">
        <f t="shared" si="1"/>
        <v>0</v>
      </c>
      <c r="AN361" s="294"/>
    </row>
    <row r="362">
      <c r="A362" s="169">
        <f t="array" ref="A362">INDEX('Federal Tax, Stock Buybacks, &amp; '!D:D,match(B362,'Federal Tax, Stock Buybacks, &amp; '!E:E,0))</f>
        <v>395</v>
      </c>
      <c r="B362" s="412" t="s">
        <v>71</v>
      </c>
      <c r="C362" s="362"/>
      <c r="D362" s="413"/>
      <c r="E362" s="342"/>
      <c r="F362" s="268"/>
      <c r="G362" s="362"/>
      <c r="H362" s="413"/>
      <c r="I362" s="342"/>
      <c r="J362" s="268"/>
      <c r="K362" s="362" t="s">
        <v>248</v>
      </c>
      <c r="L362" s="413"/>
      <c r="M362" s="342">
        <v>2669869.0</v>
      </c>
      <c r="N362" s="268"/>
      <c r="O362" s="364" t="s">
        <v>248</v>
      </c>
      <c r="P362" s="414"/>
      <c r="Q362" s="342">
        <v>2603415.0</v>
      </c>
      <c r="R362" s="268"/>
      <c r="S362" s="364" t="s">
        <v>248</v>
      </c>
      <c r="T362" s="369"/>
      <c r="U362" s="342">
        <v>2232977.0</v>
      </c>
      <c r="V362" s="268"/>
      <c r="W362" s="364" t="s">
        <v>588</v>
      </c>
      <c r="X362" s="369"/>
      <c r="Y362" s="342">
        <v>1063336.0</v>
      </c>
      <c r="Z362" s="268"/>
      <c r="AA362" s="364" t="s">
        <v>490</v>
      </c>
      <c r="AB362" s="302"/>
      <c r="AC362" s="305">
        <v>2993338.0</v>
      </c>
      <c r="AD362" s="306"/>
      <c r="AE362" s="308"/>
      <c r="AF362" s="308"/>
      <c r="AG362" s="308"/>
      <c r="AH362" s="308"/>
      <c r="AI362" s="308"/>
      <c r="AJ362" s="368"/>
      <c r="AK362" s="368"/>
      <c r="AL362" s="275">
        <f>MATCH(B362,'Key Findings'!B:B,0)</f>
        <v>58</v>
      </c>
      <c r="AM362" s="274" t="b">
        <f t="shared" si="1"/>
        <v>0</v>
      </c>
      <c r="AN362" s="294"/>
    </row>
    <row r="363">
      <c r="A363" s="169">
        <f t="array" ref="A363">INDEX('Federal Tax, Stock Buybacks, &amp; '!D:D,match(B363,'Federal Tax, Stock Buybacks, &amp; '!E:E,0))</f>
        <v>395</v>
      </c>
      <c r="B363" s="412" t="s">
        <v>71</v>
      </c>
      <c r="C363" s="362"/>
      <c r="D363" s="413"/>
      <c r="E363" s="342"/>
      <c r="F363" s="268"/>
      <c r="G363" s="362"/>
      <c r="H363" s="413"/>
      <c r="I363" s="342"/>
      <c r="J363" s="268"/>
      <c r="K363" s="362" t="s">
        <v>579</v>
      </c>
      <c r="L363" s="413"/>
      <c r="M363" s="342">
        <v>2627957.0</v>
      </c>
      <c r="N363" s="268"/>
      <c r="O363" s="364" t="s">
        <v>573</v>
      </c>
      <c r="P363" s="414"/>
      <c r="Q363" s="342">
        <v>2807678.0</v>
      </c>
      <c r="R363" s="268"/>
      <c r="S363" s="364" t="s">
        <v>607</v>
      </c>
      <c r="T363" s="369"/>
      <c r="U363" s="342">
        <v>1885127.0</v>
      </c>
      <c r="V363" s="268"/>
      <c r="W363" s="364" t="s">
        <v>386</v>
      </c>
      <c r="X363" s="369"/>
      <c r="Y363" s="342">
        <v>3360662.0</v>
      </c>
      <c r="Z363" s="268"/>
      <c r="AA363" s="453" t="s">
        <v>571</v>
      </c>
      <c r="AB363" s="469"/>
      <c r="AC363" s="453">
        <v>2879931.0</v>
      </c>
      <c r="AD363" s="306"/>
      <c r="AE363" s="308"/>
      <c r="AF363" s="308"/>
      <c r="AG363" s="308"/>
      <c r="AH363" s="308"/>
      <c r="AI363" s="308"/>
      <c r="AJ363" s="368"/>
      <c r="AK363" s="368"/>
      <c r="AL363" s="275">
        <f>MATCH(B363,'Key Findings'!B:B,0)</f>
        <v>58</v>
      </c>
      <c r="AM363" s="274" t="b">
        <f t="shared" si="1"/>
        <v>0</v>
      </c>
      <c r="AN363" s="294"/>
    </row>
    <row r="364">
      <c r="A364" s="169">
        <f t="array" ref="A364">INDEX('Federal Tax, Stock Buybacks, &amp; '!D:D,match(B364,'Federal Tax, Stock Buybacks, &amp; '!E:E,0))</f>
        <v>395</v>
      </c>
      <c r="B364" s="412" t="s">
        <v>71</v>
      </c>
      <c r="C364" s="372"/>
      <c r="D364" s="370"/>
      <c r="E364" s="371"/>
      <c r="F364" s="268"/>
      <c r="G364" s="372"/>
      <c r="H364" s="370"/>
      <c r="I364" s="371"/>
      <c r="J364" s="268"/>
      <c r="K364" s="372" t="s">
        <v>711</v>
      </c>
      <c r="L364" s="370" t="s">
        <v>711</v>
      </c>
      <c r="M364" s="371" t="s">
        <v>711</v>
      </c>
      <c r="N364" s="268"/>
      <c r="O364" s="370" t="s">
        <v>711</v>
      </c>
      <c r="P364" s="370" t="s">
        <v>711</v>
      </c>
      <c r="Q364" s="371" t="s">
        <v>711</v>
      </c>
      <c r="R364" s="268"/>
      <c r="S364" s="364" t="s">
        <v>588</v>
      </c>
      <c r="T364" s="369"/>
      <c r="U364" s="342">
        <v>1352857.0</v>
      </c>
      <c r="V364" s="268"/>
      <c r="W364" s="453" t="s">
        <v>615</v>
      </c>
      <c r="X364" s="469"/>
      <c r="Y364" s="453">
        <v>1796076.0</v>
      </c>
      <c r="Z364" s="268"/>
      <c r="AA364" s="370" t="s">
        <v>711</v>
      </c>
      <c r="AB364" s="370" t="s">
        <v>711</v>
      </c>
      <c r="AC364" s="371" t="s">
        <v>711</v>
      </c>
      <c r="AD364" s="306"/>
      <c r="AE364" s="308"/>
      <c r="AF364" s="308"/>
      <c r="AG364" s="308"/>
      <c r="AH364" s="308"/>
      <c r="AI364" s="308"/>
      <c r="AJ364" s="368"/>
      <c r="AK364" s="368"/>
      <c r="AL364" s="275">
        <f>MATCH(B364,'Key Findings'!B:B,0)</f>
        <v>58</v>
      </c>
      <c r="AM364" s="274" t="b">
        <f t="shared" si="1"/>
        <v>0</v>
      </c>
      <c r="AN364" s="294"/>
    </row>
    <row r="365">
      <c r="A365" s="169">
        <f t="array" ref="A365">INDEX('Federal Tax, Stock Buybacks, &amp; '!D:D,match(B365,'Federal Tax, Stock Buybacks, &amp; '!E:E,0))</f>
        <v>395</v>
      </c>
      <c r="B365" s="412" t="s">
        <v>71</v>
      </c>
      <c r="C365" s="372"/>
      <c r="D365" s="370"/>
      <c r="E365" s="371"/>
      <c r="F365" s="268"/>
      <c r="G365" s="372"/>
      <c r="H365" s="370"/>
      <c r="I365" s="371"/>
      <c r="J365" s="268"/>
      <c r="K365" s="372" t="s">
        <v>711</v>
      </c>
      <c r="L365" s="370" t="s">
        <v>711</v>
      </c>
      <c r="M365" s="371" t="s">
        <v>711</v>
      </c>
      <c r="N365" s="268"/>
      <c r="O365" s="370" t="s">
        <v>711</v>
      </c>
      <c r="P365" s="370" t="s">
        <v>711</v>
      </c>
      <c r="Q365" s="371" t="s">
        <v>711</v>
      </c>
      <c r="R365" s="268"/>
      <c r="S365" s="370" t="s">
        <v>711</v>
      </c>
      <c r="T365" s="370" t="s">
        <v>711</v>
      </c>
      <c r="U365" s="371" t="s">
        <v>711</v>
      </c>
      <c r="V365" s="268"/>
      <c r="W365" s="364" t="s">
        <v>490</v>
      </c>
      <c r="X365" s="369"/>
      <c r="Y365" s="342">
        <v>2170527.0</v>
      </c>
      <c r="Z365" s="268"/>
      <c r="AA365" s="370" t="s">
        <v>711</v>
      </c>
      <c r="AB365" s="370" t="s">
        <v>711</v>
      </c>
      <c r="AC365" s="371" t="s">
        <v>711</v>
      </c>
      <c r="AD365" s="306"/>
      <c r="AE365" s="308"/>
      <c r="AF365" s="308"/>
      <c r="AG365" s="308"/>
      <c r="AH365" s="308"/>
      <c r="AI365" s="308"/>
      <c r="AJ365" s="368"/>
      <c r="AK365" s="368"/>
      <c r="AL365" s="275">
        <f>MATCH(B365,'Key Findings'!B:B,0)</f>
        <v>58</v>
      </c>
      <c r="AM365" s="274" t="b">
        <f t="shared" si="1"/>
        <v>0</v>
      </c>
      <c r="AN365" s="294"/>
    </row>
    <row r="366">
      <c r="A366" s="169">
        <f t="array" ref="A366">INDEX('Federal Tax, Stock Buybacks, &amp; '!D:D,match(B366,'Federal Tax, Stock Buybacks, &amp; '!E:E,0))</f>
        <v>264</v>
      </c>
      <c r="B366" s="281" t="s">
        <v>64</v>
      </c>
      <c r="C366" s="282"/>
      <c r="D366" s="283"/>
      <c r="E366" s="284"/>
      <c r="F366" s="268"/>
      <c r="G366" s="282"/>
      <c r="H366" s="283"/>
      <c r="I366" s="284"/>
      <c r="J366" s="268"/>
      <c r="K366" s="282" t="s">
        <v>137</v>
      </c>
      <c r="L366" s="283" t="s">
        <v>1941</v>
      </c>
      <c r="M366" s="284">
        <v>9592297.0</v>
      </c>
      <c r="N366" s="268"/>
      <c r="O366" s="285" t="s">
        <v>137</v>
      </c>
      <c r="P366" s="286" t="s">
        <v>1941</v>
      </c>
      <c r="Q366" s="284">
        <v>8841587.0</v>
      </c>
      <c r="R366" s="268"/>
      <c r="S366" s="285" t="s">
        <v>137</v>
      </c>
      <c r="T366" s="286" t="s">
        <v>1941</v>
      </c>
      <c r="U366" s="284">
        <v>2766656.0</v>
      </c>
      <c r="V366" s="268"/>
      <c r="W366" s="285" t="s">
        <v>137</v>
      </c>
      <c r="X366" s="286" t="s">
        <v>1941</v>
      </c>
      <c r="Y366" s="284">
        <v>2626232.0</v>
      </c>
      <c r="Z366" s="268"/>
      <c r="AA366" s="285" t="s">
        <v>137</v>
      </c>
      <c r="AB366" s="286" t="s">
        <v>1941</v>
      </c>
      <c r="AC366" s="287">
        <v>2385654.0</v>
      </c>
      <c r="AD366" s="288"/>
      <c r="AE366" s="289">
        <v>2022.0</v>
      </c>
      <c r="AF366" s="289">
        <v>2021.0</v>
      </c>
      <c r="AG366" s="289">
        <v>2020.0</v>
      </c>
      <c r="AH366" s="289">
        <v>2019.0</v>
      </c>
      <c r="AI366" s="289">
        <v>2018.0</v>
      </c>
      <c r="AJ366" s="290" t="s">
        <v>1524</v>
      </c>
      <c r="AK366" s="281"/>
      <c r="AL366" s="259">
        <f>MATCH(B366,'Key Findings'!B:B,0)</f>
        <v>59</v>
      </c>
      <c r="AM366" s="260" t="b">
        <f t="shared" si="1"/>
        <v>1</v>
      </c>
      <c r="AN366" s="291" t="s">
        <v>1534</v>
      </c>
    </row>
    <row r="367">
      <c r="A367" s="169">
        <f t="array" ref="A367">INDEX('Federal Tax, Stock Buybacks, &amp; '!D:D,match(B367,'Federal Tax, Stock Buybacks, &amp; '!E:E,0))</f>
        <v>264</v>
      </c>
      <c r="B367" s="281" t="s">
        <v>64</v>
      </c>
      <c r="C367" s="282"/>
      <c r="D367" s="283"/>
      <c r="E367" s="284"/>
      <c r="F367" s="268"/>
      <c r="G367" s="282"/>
      <c r="H367" s="283"/>
      <c r="I367" s="284"/>
      <c r="J367" s="268"/>
      <c r="K367" s="282" t="s">
        <v>196</v>
      </c>
      <c r="L367" s="283" t="s">
        <v>1942</v>
      </c>
      <c r="M367" s="284">
        <v>3643718.0</v>
      </c>
      <c r="N367" s="268"/>
      <c r="O367" s="285" t="s">
        <v>196</v>
      </c>
      <c r="P367" s="286" t="s">
        <v>1942</v>
      </c>
      <c r="Q367" s="284">
        <v>3449763.0</v>
      </c>
      <c r="R367" s="268"/>
      <c r="S367" s="285" t="s">
        <v>196</v>
      </c>
      <c r="T367" s="286" t="s">
        <v>1942</v>
      </c>
      <c r="U367" s="284">
        <v>3061602.0</v>
      </c>
      <c r="V367" s="268"/>
      <c r="W367" s="285" t="s">
        <v>196</v>
      </c>
      <c r="X367" s="286" t="s">
        <v>1942</v>
      </c>
      <c r="Y367" s="284">
        <v>3443888.0</v>
      </c>
      <c r="Z367" s="268"/>
      <c r="AA367" s="285" t="s">
        <v>196</v>
      </c>
      <c r="AB367" s="286" t="s">
        <v>1942</v>
      </c>
      <c r="AC367" s="287">
        <v>2567720.0</v>
      </c>
      <c r="AD367" s="288"/>
      <c r="AE367" s="292"/>
      <c r="AF367" s="292"/>
      <c r="AG367" s="292"/>
      <c r="AH367" s="292"/>
      <c r="AI367" s="292"/>
      <c r="AJ367" s="293"/>
      <c r="AK367" s="281"/>
      <c r="AL367" s="259">
        <f>MATCH(B367,'Key Findings'!B:B,0)</f>
        <v>59</v>
      </c>
      <c r="AM367" s="260" t="b">
        <f t="shared" si="1"/>
        <v>1</v>
      </c>
      <c r="AN367" s="294"/>
    </row>
    <row r="368">
      <c r="A368" s="169">
        <f t="array" ref="A368">INDEX('Federal Tax, Stock Buybacks, &amp; '!D:D,match(B368,'Federal Tax, Stock Buybacks, &amp; '!E:E,0))</f>
        <v>264</v>
      </c>
      <c r="B368" s="281" t="s">
        <v>64</v>
      </c>
      <c r="C368" s="282"/>
      <c r="D368" s="283"/>
      <c r="E368" s="284"/>
      <c r="F368" s="268"/>
      <c r="G368" s="282"/>
      <c r="H368" s="283"/>
      <c r="I368" s="284"/>
      <c r="J368" s="268"/>
      <c r="K368" s="282" t="s">
        <v>598</v>
      </c>
      <c r="L368" s="283" t="s">
        <v>1943</v>
      </c>
      <c r="M368" s="284">
        <v>3111099.0</v>
      </c>
      <c r="N368" s="268"/>
      <c r="O368" s="285" t="s">
        <v>598</v>
      </c>
      <c r="P368" s="286" t="s">
        <v>1943</v>
      </c>
      <c r="Q368" s="284">
        <v>2927898.0</v>
      </c>
      <c r="R368" s="268"/>
      <c r="S368" s="285" t="s">
        <v>413</v>
      </c>
      <c r="T368" s="286" t="s">
        <v>1944</v>
      </c>
      <c r="U368" s="284">
        <v>9366284.0</v>
      </c>
      <c r="V368" s="268"/>
      <c r="W368" s="285" t="s">
        <v>413</v>
      </c>
      <c r="X368" s="286" t="s">
        <v>1944</v>
      </c>
      <c r="Y368" s="284">
        <v>8946840.0</v>
      </c>
      <c r="Z368" s="268"/>
      <c r="AA368" s="285" t="s">
        <v>413</v>
      </c>
      <c r="AB368" s="286" t="s">
        <v>1944</v>
      </c>
      <c r="AC368" s="287">
        <v>8015654.0</v>
      </c>
      <c r="AD368" s="288"/>
      <c r="AE368" s="292"/>
      <c r="AF368" s="292"/>
      <c r="AG368" s="292"/>
      <c r="AH368" s="292"/>
      <c r="AI368" s="292"/>
      <c r="AJ368" s="293"/>
      <c r="AK368" s="281"/>
      <c r="AL368" s="259">
        <f>MATCH(B368,'Key Findings'!B:B,0)</f>
        <v>59</v>
      </c>
      <c r="AM368" s="260" t="b">
        <f t="shared" si="1"/>
        <v>1</v>
      </c>
      <c r="AN368" s="294"/>
    </row>
    <row r="369">
      <c r="A369" s="169">
        <f t="array" ref="A369">INDEX('Federal Tax, Stock Buybacks, &amp; '!D:D,match(B369,'Federal Tax, Stock Buybacks, &amp; '!E:E,0))</f>
        <v>264</v>
      </c>
      <c r="B369" s="281" t="s">
        <v>64</v>
      </c>
      <c r="C369" s="282"/>
      <c r="D369" s="283"/>
      <c r="E369" s="284"/>
      <c r="F369" s="268"/>
      <c r="G369" s="282"/>
      <c r="H369" s="283"/>
      <c r="I369" s="284"/>
      <c r="J369" s="268"/>
      <c r="K369" s="282" t="s">
        <v>587</v>
      </c>
      <c r="L369" s="283" t="s">
        <v>1945</v>
      </c>
      <c r="M369" s="284">
        <v>2709463.0</v>
      </c>
      <c r="N369" s="268"/>
      <c r="O369" s="285" t="s">
        <v>587</v>
      </c>
      <c r="P369" s="286" t="s">
        <v>1945</v>
      </c>
      <c r="Q369" s="284">
        <v>2240453.0</v>
      </c>
      <c r="R369" s="268"/>
      <c r="S369" s="285" t="s">
        <v>587</v>
      </c>
      <c r="T369" s="286" t="s">
        <v>1945</v>
      </c>
      <c r="U369" s="284">
        <v>1972794.0</v>
      </c>
      <c r="V369" s="268"/>
      <c r="W369" s="285" t="s">
        <v>641</v>
      </c>
      <c r="X369" s="295" t="s">
        <v>1705</v>
      </c>
      <c r="Y369" s="284">
        <v>1963695.0</v>
      </c>
      <c r="Z369" s="268"/>
      <c r="AA369" s="285" t="s">
        <v>641</v>
      </c>
      <c r="AB369" s="295" t="s">
        <v>1705</v>
      </c>
      <c r="AC369" s="287">
        <v>1815692.0</v>
      </c>
      <c r="AD369" s="288"/>
      <c r="AE369" s="292"/>
      <c r="AF369" s="292"/>
      <c r="AG369" s="292"/>
      <c r="AH369" s="292"/>
      <c r="AI369" s="292"/>
      <c r="AJ369" s="293"/>
      <c r="AK369" s="281"/>
      <c r="AL369" s="259">
        <f>MATCH(B369,'Key Findings'!B:B,0)</f>
        <v>59</v>
      </c>
      <c r="AM369" s="260" t="b">
        <f t="shared" si="1"/>
        <v>1</v>
      </c>
      <c r="AN369" s="294"/>
    </row>
    <row r="370">
      <c r="A370" s="169">
        <f t="array" ref="A370">INDEX('Federal Tax, Stock Buybacks, &amp; '!D:D,match(B370,'Federal Tax, Stock Buybacks, &amp; '!E:E,0))</f>
        <v>264</v>
      </c>
      <c r="B370" s="281" t="s">
        <v>64</v>
      </c>
      <c r="C370" s="282"/>
      <c r="D370" s="283"/>
      <c r="E370" s="284"/>
      <c r="F370" s="268"/>
      <c r="G370" s="282"/>
      <c r="H370" s="283"/>
      <c r="I370" s="284"/>
      <c r="J370" s="268"/>
      <c r="K370" s="282" t="s">
        <v>190</v>
      </c>
      <c r="L370" s="283" t="s">
        <v>1946</v>
      </c>
      <c r="M370" s="284">
        <v>2313217.0</v>
      </c>
      <c r="N370" s="268"/>
      <c r="O370" s="285" t="s">
        <v>190</v>
      </c>
      <c r="P370" s="286" t="s">
        <v>1946</v>
      </c>
      <c r="Q370" s="284">
        <v>2086318.0</v>
      </c>
      <c r="R370" s="268"/>
      <c r="S370" s="285" t="s">
        <v>190</v>
      </c>
      <c r="T370" s="286" t="s">
        <v>1947</v>
      </c>
      <c r="U370" s="284">
        <v>1895933.0</v>
      </c>
      <c r="V370" s="268"/>
      <c r="W370" s="285" t="s">
        <v>190</v>
      </c>
      <c r="X370" s="286" t="s">
        <v>1946</v>
      </c>
      <c r="Y370" s="284">
        <v>1825582.0</v>
      </c>
      <c r="Z370" s="268"/>
      <c r="AA370" s="285" t="s">
        <v>190</v>
      </c>
      <c r="AB370" s="286" t="s">
        <v>1946</v>
      </c>
      <c r="AC370" s="287">
        <v>1591282.0</v>
      </c>
      <c r="AD370" s="288"/>
      <c r="AE370" s="292"/>
      <c r="AF370" s="292"/>
      <c r="AG370" s="292"/>
      <c r="AH370" s="292"/>
      <c r="AI370" s="292"/>
      <c r="AJ370" s="293"/>
      <c r="AK370" s="281"/>
      <c r="AL370" s="259">
        <f>MATCH(B370,'Key Findings'!B:B,0)</f>
        <v>59</v>
      </c>
      <c r="AM370" s="260" t="b">
        <f t="shared" si="1"/>
        <v>1</v>
      </c>
      <c r="AN370" s="294"/>
    </row>
    <row r="371">
      <c r="A371" s="169">
        <f t="array" ref="A371">INDEX('Federal Tax, Stock Buybacks, &amp; '!D:D,match(B371,'Federal Tax, Stock Buybacks, &amp; '!E:E,0))</f>
        <v>264</v>
      </c>
      <c r="B371" s="281" t="s">
        <v>64</v>
      </c>
      <c r="C371" s="376"/>
      <c r="D371" s="375"/>
      <c r="E371" s="360"/>
      <c r="F371" s="268"/>
      <c r="G371" s="376"/>
      <c r="H371" s="375"/>
      <c r="I371" s="360"/>
      <c r="J371" s="268"/>
      <c r="K371" s="376" t="s">
        <v>711</v>
      </c>
      <c r="L371" s="375" t="s">
        <v>711</v>
      </c>
      <c r="M371" s="360" t="s">
        <v>711</v>
      </c>
      <c r="N371" s="268"/>
      <c r="O371" s="375" t="s">
        <v>711</v>
      </c>
      <c r="P371" s="375" t="s">
        <v>711</v>
      </c>
      <c r="Q371" s="360" t="s">
        <v>711</v>
      </c>
      <c r="R371" s="268"/>
      <c r="S371" s="285" t="s">
        <v>672</v>
      </c>
      <c r="T371" s="295" t="s">
        <v>1948</v>
      </c>
      <c r="U371" s="284">
        <v>1798290.0</v>
      </c>
      <c r="V371" s="268"/>
      <c r="W371" s="375" t="s">
        <v>711</v>
      </c>
      <c r="X371" s="375" t="s">
        <v>711</v>
      </c>
      <c r="Y371" s="360" t="s">
        <v>711</v>
      </c>
      <c r="Z371" s="268"/>
      <c r="AA371" s="375" t="s">
        <v>711</v>
      </c>
      <c r="AB371" s="375" t="s">
        <v>711</v>
      </c>
      <c r="AC371" s="360" t="s">
        <v>711</v>
      </c>
      <c r="AD371" s="288"/>
      <c r="AE371" s="292"/>
      <c r="AF371" s="292"/>
      <c r="AG371" s="292"/>
      <c r="AH371" s="292"/>
      <c r="AI371" s="292"/>
      <c r="AJ371" s="293"/>
      <c r="AK371" s="281"/>
      <c r="AL371" s="259">
        <f>MATCH(B371,'Key Findings'!B:B,0)</f>
        <v>59</v>
      </c>
      <c r="AM371" s="260" t="b">
        <f t="shared" si="1"/>
        <v>1</v>
      </c>
      <c r="AN371" s="294"/>
    </row>
    <row r="372">
      <c r="A372" s="169">
        <f t="array" ref="A372">INDEX('Federal Tax, Stock Buybacks, &amp; '!D:D,match(B372,'Federal Tax, Stock Buybacks, &amp; '!E:E,0))</f>
        <v>388</v>
      </c>
      <c r="B372" s="422" t="s">
        <v>45</v>
      </c>
      <c r="C372" s="362"/>
      <c r="D372" s="413"/>
      <c r="E372" s="342"/>
      <c r="F372" s="268"/>
      <c r="G372" s="362"/>
      <c r="H372" s="413"/>
      <c r="I372" s="342"/>
      <c r="J372" s="268"/>
      <c r="K372" s="362" t="s">
        <v>143</v>
      </c>
      <c r="L372" s="413"/>
      <c r="M372" s="342">
        <v>6060694.0</v>
      </c>
      <c r="N372" s="268"/>
      <c r="O372" s="364" t="s">
        <v>143</v>
      </c>
      <c r="P372" s="414"/>
      <c r="Q372" s="342">
        <v>4107789.0</v>
      </c>
      <c r="R372" s="268"/>
      <c r="S372" s="364" t="s">
        <v>143</v>
      </c>
      <c r="T372" s="369"/>
      <c r="U372" s="342">
        <v>2385873.0</v>
      </c>
      <c r="V372" s="268"/>
      <c r="W372" s="364" t="s">
        <v>143</v>
      </c>
      <c r="X372" s="369"/>
      <c r="Y372" s="342">
        <v>2272717.0</v>
      </c>
      <c r="Z372" s="268"/>
      <c r="AA372" s="364" t="s">
        <v>143</v>
      </c>
      <c r="AB372" s="302"/>
      <c r="AC372" s="305">
        <v>1896684.0</v>
      </c>
      <c r="AD372" s="306"/>
      <c r="AE372" s="366">
        <v>2022.0</v>
      </c>
      <c r="AF372" s="366">
        <v>2021.0</v>
      </c>
      <c r="AG372" s="366">
        <v>2020.0</v>
      </c>
      <c r="AH372" s="366">
        <v>2019.0</v>
      </c>
      <c r="AI372" s="366">
        <v>2018.0</v>
      </c>
      <c r="AJ372" s="367" t="s">
        <v>1865</v>
      </c>
      <c r="AK372" s="300"/>
      <c r="AL372" s="275">
        <f>MATCH(B372,'Key Findings'!B:B,0)</f>
        <v>60</v>
      </c>
      <c r="AM372" s="274" t="b">
        <f t="shared" si="1"/>
        <v>0</v>
      </c>
      <c r="AN372" s="294"/>
    </row>
    <row r="373">
      <c r="A373" s="169">
        <f t="array" ref="A373">INDEX('Federal Tax, Stock Buybacks, &amp; '!D:D,match(B373,'Federal Tax, Stock Buybacks, &amp; '!E:E,0))</f>
        <v>388</v>
      </c>
      <c r="B373" s="422" t="s">
        <v>45</v>
      </c>
      <c r="C373" s="362"/>
      <c r="D373" s="413"/>
      <c r="E373" s="342"/>
      <c r="F373" s="268"/>
      <c r="G373" s="362"/>
      <c r="H373" s="413"/>
      <c r="I373" s="342"/>
      <c r="J373" s="268"/>
      <c r="K373" s="362" t="s">
        <v>281</v>
      </c>
      <c r="L373" s="413"/>
      <c r="M373" s="342">
        <v>2504003.0</v>
      </c>
      <c r="N373" s="268"/>
      <c r="O373" s="364" t="s">
        <v>281</v>
      </c>
      <c r="P373" s="414"/>
      <c r="Q373" s="342">
        <v>2692704.0</v>
      </c>
      <c r="R373" s="268"/>
      <c r="S373" s="364" t="s">
        <v>281</v>
      </c>
      <c r="T373" s="369"/>
      <c r="U373" s="342">
        <v>2432145.0</v>
      </c>
      <c r="V373" s="268"/>
      <c r="W373" s="364" t="s">
        <v>281</v>
      </c>
      <c r="X373" s="369"/>
      <c r="Y373" s="342">
        <v>2375349.0</v>
      </c>
      <c r="Z373" s="268"/>
      <c r="AA373" s="364" t="s">
        <v>281</v>
      </c>
      <c r="AB373" s="302"/>
      <c r="AC373" s="305">
        <v>3715020.0</v>
      </c>
      <c r="AD373" s="306"/>
      <c r="AE373" s="308"/>
      <c r="AF373" s="308"/>
      <c r="AG373" s="308"/>
      <c r="AH373" s="308"/>
      <c r="AI373" s="308"/>
      <c r="AJ373" s="368"/>
      <c r="AK373" s="300"/>
      <c r="AL373" s="275">
        <f>MATCH(B373,'Key Findings'!B:B,0)</f>
        <v>60</v>
      </c>
      <c r="AM373" s="274" t="b">
        <f t="shared" si="1"/>
        <v>0</v>
      </c>
      <c r="AN373" s="294"/>
    </row>
    <row r="374">
      <c r="A374" s="169">
        <f t="array" ref="A374">INDEX('Federal Tax, Stock Buybacks, &amp; '!D:D,match(B374,'Federal Tax, Stock Buybacks, &amp; '!E:E,0))</f>
        <v>388</v>
      </c>
      <c r="B374" s="422" t="s">
        <v>45</v>
      </c>
      <c r="C374" s="362"/>
      <c r="D374" s="413"/>
      <c r="E374" s="342"/>
      <c r="F374" s="268"/>
      <c r="G374" s="362"/>
      <c r="H374" s="413"/>
      <c r="I374" s="342"/>
      <c r="J374" s="268"/>
      <c r="K374" s="362" t="s">
        <v>166</v>
      </c>
      <c r="L374" s="413"/>
      <c r="M374" s="342">
        <v>2196356.0</v>
      </c>
      <c r="N374" s="268"/>
      <c r="O374" s="364" t="s">
        <v>166</v>
      </c>
      <c r="P374" s="414"/>
      <c r="Q374" s="342">
        <v>1847679.0</v>
      </c>
      <c r="R374" s="268"/>
      <c r="S374" s="364" t="s">
        <v>166</v>
      </c>
      <c r="T374" s="369"/>
      <c r="U374" s="342">
        <v>2471012.0</v>
      </c>
      <c r="V374" s="268"/>
      <c r="W374" s="364" t="s">
        <v>166</v>
      </c>
      <c r="X374" s="369"/>
      <c r="Y374" s="342">
        <v>2211761.0</v>
      </c>
      <c r="Z374" s="268"/>
      <c r="AA374" s="364" t="s">
        <v>166</v>
      </c>
      <c r="AB374" s="302"/>
      <c r="AC374" s="305">
        <v>1120991.0</v>
      </c>
      <c r="AD374" s="306"/>
      <c r="AE374" s="308"/>
      <c r="AF374" s="308"/>
      <c r="AG374" s="308"/>
      <c r="AH374" s="308"/>
      <c r="AI374" s="308"/>
      <c r="AJ374" s="368"/>
      <c r="AK374" s="300"/>
      <c r="AL374" s="275">
        <f>MATCH(B374,'Key Findings'!B:B,0)</f>
        <v>60</v>
      </c>
      <c r="AM374" s="274" t="b">
        <f t="shared" si="1"/>
        <v>0</v>
      </c>
      <c r="AN374" s="294"/>
    </row>
    <row r="375">
      <c r="A375" s="169">
        <f t="array" ref="A375">INDEX('Federal Tax, Stock Buybacks, &amp; '!D:D,match(B375,'Federal Tax, Stock Buybacks, &amp; '!E:E,0))</f>
        <v>388</v>
      </c>
      <c r="B375" s="422" t="s">
        <v>45</v>
      </c>
      <c r="C375" s="362"/>
      <c r="D375" s="413"/>
      <c r="E375" s="342"/>
      <c r="F375" s="268"/>
      <c r="G375" s="362"/>
      <c r="H375" s="413"/>
      <c r="I375" s="342"/>
      <c r="J375" s="268"/>
      <c r="K375" s="362" t="s">
        <v>262</v>
      </c>
      <c r="L375" s="413"/>
      <c r="M375" s="342">
        <v>1792380.0</v>
      </c>
      <c r="N375" s="268"/>
      <c r="O375" s="364" t="s">
        <v>262</v>
      </c>
      <c r="P375" s="414"/>
      <c r="Q375" s="342">
        <v>1889278.0</v>
      </c>
      <c r="R375" s="268"/>
      <c r="S375" s="364" t="s">
        <v>262</v>
      </c>
      <c r="T375" s="369"/>
      <c r="U375" s="342">
        <v>1690856.0</v>
      </c>
      <c r="V375" s="268"/>
      <c r="W375" s="364" t="s">
        <v>262</v>
      </c>
      <c r="X375" s="369"/>
      <c r="Y375" s="342">
        <v>1609101.0</v>
      </c>
      <c r="Z375" s="268"/>
      <c r="AA375" s="364" t="s">
        <v>262</v>
      </c>
      <c r="AB375" s="302"/>
      <c r="AC375" s="305">
        <v>1843957.0</v>
      </c>
      <c r="AD375" s="306"/>
      <c r="AE375" s="308"/>
      <c r="AF375" s="308"/>
      <c r="AG375" s="308"/>
      <c r="AH375" s="308"/>
      <c r="AI375" s="308"/>
      <c r="AJ375" s="368"/>
      <c r="AK375" s="300"/>
      <c r="AL375" s="275">
        <f>MATCH(B375,'Key Findings'!B:B,0)</f>
        <v>60</v>
      </c>
      <c r="AM375" s="274" t="b">
        <f t="shared" si="1"/>
        <v>0</v>
      </c>
      <c r="AN375" s="294"/>
    </row>
    <row r="376">
      <c r="A376" s="169">
        <f t="array" ref="A376">INDEX('Federal Tax, Stock Buybacks, &amp; '!D:D,match(B376,'Federal Tax, Stock Buybacks, &amp; '!E:E,0))</f>
        <v>388</v>
      </c>
      <c r="B376" s="422" t="s">
        <v>45</v>
      </c>
      <c r="C376" s="362"/>
      <c r="D376" s="413"/>
      <c r="E376" s="342"/>
      <c r="F376" s="268"/>
      <c r="G376" s="362"/>
      <c r="H376" s="413"/>
      <c r="I376" s="342"/>
      <c r="J376" s="268"/>
      <c r="K376" s="362" t="s">
        <v>559</v>
      </c>
      <c r="L376" s="413"/>
      <c r="M376" s="342">
        <v>1651988.0</v>
      </c>
      <c r="N376" s="268"/>
      <c r="O376" s="364" t="s">
        <v>559</v>
      </c>
      <c r="P376" s="414"/>
      <c r="Q376" s="342">
        <v>1776974.0</v>
      </c>
      <c r="R376" s="268"/>
      <c r="S376" s="364" t="s">
        <v>460</v>
      </c>
      <c r="T376" s="369"/>
      <c r="U376" s="342">
        <v>1644830.0</v>
      </c>
      <c r="V376" s="268"/>
      <c r="W376" s="364" t="s">
        <v>460</v>
      </c>
      <c r="X376" s="369"/>
      <c r="Y376" s="342">
        <v>1592352.0</v>
      </c>
      <c r="Z376" s="268"/>
      <c r="AA376" s="364" t="s">
        <v>638</v>
      </c>
      <c r="AB376" s="302"/>
      <c r="AC376" s="305">
        <v>1455053.0</v>
      </c>
      <c r="AD376" s="306"/>
      <c r="AE376" s="308"/>
      <c r="AF376" s="308"/>
      <c r="AG376" s="308"/>
      <c r="AH376" s="308"/>
      <c r="AI376" s="308"/>
      <c r="AJ376" s="368"/>
      <c r="AK376" s="300"/>
      <c r="AL376" s="275">
        <f>MATCH(B376,'Key Findings'!B:B,0)</f>
        <v>60</v>
      </c>
      <c r="AM376" s="274" t="b">
        <f t="shared" si="1"/>
        <v>0</v>
      </c>
      <c r="AN376" s="294"/>
    </row>
    <row r="377">
      <c r="A377" s="169">
        <f t="array" ref="A377">INDEX('Federal Tax, Stock Buybacks, &amp; '!D:D,match(B377,'Federal Tax, Stock Buybacks, &amp; '!E:E,0))</f>
        <v>388</v>
      </c>
      <c r="B377" s="422" t="s">
        <v>45</v>
      </c>
      <c r="C377" s="279"/>
      <c r="D377" s="280"/>
      <c r="E377" s="267"/>
      <c r="F377" s="268"/>
      <c r="G377" s="279"/>
      <c r="H377" s="280"/>
      <c r="I377" s="267"/>
      <c r="J377" s="268"/>
      <c r="K377" s="279" t="s">
        <v>711</v>
      </c>
      <c r="L377" s="280" t="s">
        <v>711</v>
      </c>
      <c r="M377" s="267" t="s">
        <v>711</v>
      </c>
      <c r="N377" s="268"/>
      <c r="O377" s="364" t="s">
        <v>460</v>
      </c>
      <c r="P377" s="414"/>
      <c r="Q377" s="342">
        <v>3426858.0</v>
      </c>
      <c r="R377" s="268"/>
      <c r="S377" s="364" t="s">
        <v>324</v>
      </c>
      <c r="T377" s="369"/>
      <c r="U377" s="342">
        <v>7468264.0</v>
      </c>
      <c r="V377" s="268"/>
      <c r="W377" s="364" t="s">
        <v>324</v>
      </c>
      <c r="X377" s="369"/>
      <c r="Y377" s="342">
        <v>8551149.0</v>
      </c>
      <c r="Z377" s="268"/>
      <c r="AA377" s="364" t="s">
        <v>324</v>
      </c>
      <c r="AB377" s="302"/>
      <c r="AC377" s="305">
        <v>7446659.0</v>
      </c>
      <c r="AD377" s="306"/>
      <c r="AE377" s="308"/>
      <c r="AF377" s="308"/>
      <c r="AG377" s="308"/>
      <c r="AH377" s="308"/>
      <c r="AI377" s="308"/>
      <c r="AJ377" s="368"/>
      <c r="AK377" s="300"/>
      <c r="AL377" s="275">
        <f>MATCH(B377,'Key Findings'!B:B,0)</f>
        <v>60</v>
      </c>
      <c r="AM377" s="274" t="b">
        <f t="shared" si="1"/>
        <v>0</v>
      </c>
      <c r="AN377" s="294"/>
    </row>
    <row r="378">
      <c r="A378" s="169">
        <f t="array" ref="A378">INDEX('Federal Tax, Stock Buybacks, &amp; '!D:D,match(B378,'Federal Tax, Stock Buybacks, &amp; '!E:E,0))</f>
        <v>388</v>
      </c>
      <c r="B378" s="422" t="s">
        <v>45</v>
      </c>
      <c r="C378" s="279"/>
      <c r="D378" s="280"/>
      <c r="E378" s="267"/>
      <c r="F378" s="268"/>
      <c r="G378" s="279"/>
      <c r="H378" s="280"/>
      <c r="I378" s="267"/>
      <c r="J378" s="268"/>
      <c r="K378" s="279" t="s">
        <v>711</v>
      </c>
      <c r="L378" s="280" t="s">
        <v>711</v>
      </c>
      <c r="M378" s="267" t="s">
        <v>711</v>
      </c>
      <c r="N378" s="268"/>
      <c r="O378" s="364" t="s">
        <v>324</v>
      </c>
      <c r="P378" s="414"/>
      <c r="Q378" s="342">
        <v>6853838.0</v>
      </c>
      <c r="R378" s="268"/>
      <c r="S378" s="280" t="s">
        <v>711</v>
      </c>
      <c r="T378" s="280" t="s">
        <v>711</v>
      </c>
      <c r="U378" s="267" t="s">
        <v>711</v>
      </c>
      <c r="V378" s="268"/>
      <c r="W378" s="280" t="s">
        <v>711</v>
      </c>
      <c r="X378" s="280" t="s">
        <v>711</v>
      </c>
      <c r="Y378" s="267" t="s">
        <v>711</v>
      </c>
      <c r="Z378" s="268"/>
      <c r="AA378" s="364" t="s">
        <v>595</v>
      </c>
      <c r="AB378" s="302"/>
      <c r="AC378" s="305">
        <v>2399888.0</v>
      </c>
      <c r="AD378" s="306"/>
      <c r="AE378" s="417"/>
      <c r="AF378" s="417"/>
      <c r="AG378" s="417"/>
      <c r="AH378" s="417"/>
      <c r="AI378" s="417"/>
      <c r="AJ378" s="368"/>
      <c r="AK378" s="300"/>
      <c r="AL378" s="275">
        <f>MATCH(B378,'Key Findings'!B:B,0)</f>
        <v>60</v>
      </c>
      <c r="AM378" s="274" t="b">
        <f t="shared" si="1"/>
        <v>0</v>
      </c>
      <c r="AN378" s="294"/>
    </row>
    <row r="379">
      <c r="A379" s="299">
        <f t="array" ref="A379">INDEX('Federal Tax, Stock Buybacks, &amp; '!D:D,match(B379,'Federal Tax, Stock Buybacks, &amp; '!E:E,0))</f>
        <v>722</v>
      </c>
      <c r="B379" s="130" t="s">
        <v>42</v>
      </c>
      <c r="C379" s="282"/>
      <c r="D379" s="373"/>
      <c r="E379" s="284"/>
      <c r="F379" s="268"/>
      <c r="G379" s="282"/>
      <c r="H379" s="373"/>
      <c r="I379" s="284"/>
      <c r="J379" s="268"/>
      <c r="K379" s="282" t="s">
        <v>149</v>
      </c>
      <c r="L379" s="373"/>
      <c r="M379" s="284">
        <v>4839562.0</v>
      </c>
      <c r="N379" s="268"/>
      <c r="O379" s="285" t="s">
        <v>149</v>
      </c>
      <c r="P379" s="374"/>
      <c r="Q379" s="284">
        <v>6467314.0</v>
      </c>
      <c r="R379" s="268"/>
      <c r="S379" s="285" t="s">
        <v>149</v>
      </c>
      <c r="T379" s="295"/>
      <c r="U379" s="284">
        <v>9826659.0</v>
      </c>
      <c r="V379" s="268"/>
      <c r="W379" s="285" t="s">
        <v>149</v>
      </c>
      <c r="X379" s="295"/>
      <c r="Y379" s="284">
        <v>7855539.0</v>
      </c>
      <c r="Z379" s="268"/>
      <c r="AA379" s="285" t="s">
        <v>149</v>
      </c>
      <c r="AB379" s="334"/>
      <c r="AC379" s="287">
        <v>1736610.0</v>
      </c>
      <c r="AD379" s="288"/>
      <c r="AE379" s="391">
        <v>2022.0</v>
      </c>
      <c r="AF379" s="391">
        <v>2021.0</v>
      </c>
      <c r="AG379" s="391">
        <v>2020.0</v>
      </c>
      <c r="AH379" s="391">
        <v>2019.0</v>
      </c>
      <c r="AI379" s="391">
        <v>2018.0</v>
      </c>
      <c r="AJ379" s="290" t="s">
        <v>1865</v>
      </c>
      <c r="AK379" s="281"/>
      <c r="AL379" s="259">
        <f>MATCH(B379,'Key Findings'!B:B,0)</f>
        <v>61</v>
      </c>
      <c r="AM379" s="260" t="b">
        <f t="shared" si="1"/>
        <v>1</v>
      </c>
      <c r="AN379" s="294"/>
    </row>
    <row r="380">
      <c r="A380" s="299">
        <f t="array" ref="A380">INDEX('Federal Tax, Stock Buybacks, &amp; '!D:D,match(B380,'Federal Tax, Stock Buybacks, &amp; '!E:E,0))</f>
        <v>722</v>
      </c>
      <c r="B380" s="130" t="s">
        <v>42</v>
      </c>
      <c r="C380" s="282"/>
      <c r="D380" s="373"/>
      <c r="E380" s="284"/>
      <c r="F380" s="268"/>
      <c r="G380" s="282"/>
      <c r="H380" s="373"/>
      <c r="I380" s="284"/>
      <c r="J380" s="268"/>
      <c r="K380" s="282" t="s">
        <v>220</v>
      </c>
      <c r="L380" s="373"/>
      <c r="M380" s="284">
        <v>1959099.0</v>
      </c>
      <c r="N380" s="268"/>
      <c r="O380" s="285" t="s">
        <v>220</v>
      </c>
      <c r="P380" s="374"/>
      <c r="Q380" s="284">
        <v>2022245.0</v>
      </c>
      <c r="R380" s="268"/>
      <c r="S380" s="285" t="s">
        <v>220</v>
      </c>
      <c r="T380" s="295"/>
      <c r="U380" s="284">
        <v>2009733.0</v>
      </c>
      <c r="V380" s="268"/>
      <c r="W380" s="285" t="s">
        <v>220</v>
      </c>
      <c r="X380" s="295"/>
      <c r="Y380" s="284">
        <v>2161275.0</v>
      </c>
      <c r="Z380" s="268"/>
      <c r="AA380" s="285" t="s">
        <v>220</v>
      </c>
      <c r="AB380" s="334"/>
      <c r="AC380" s="287">
        <v>1567038.0</v>
      </c>
      <c r="AD380" s="288"/>
      <c r="AE380" s="292"/>
      <c r="AF380" s="292"/>
      <c r="AG380" s="292"/>
      <c r="AH380" s="292"/>
      <c r="AI380" s="292"/>
      <c r="AJ380" s="293"/>
      <c r="AK380" s="281"/>
      <c r="AL380" s="259">
        <f>MATCH(B380,'Key Findings'!B:B,0)</f>
        <v>61</v>
      </c>
      <c r="AM380" s="260" t="b">
        <f t="shared" si="1"/>
        <v>1</v>
      </c>
      <c r="AN380" s="470" t="s">
        <v>1949</v>
      </c>
    </row>
    <row r="381">
      <c r="A381" s="299">
        <f t="array" ref="A381">INDEX('Federal Tax, Stock Buybacks, &amp; '!D:D,match(B381,'Federal Tax, Stock Buybacks, &amp; '!E:E,0))</f>
        <v>722</v>
      </c>
      <c r="B381" s="130" t="s">
        <v>42</v>
      </c>
      <c r="C381" s="282"/>
      <c r="D381" s="373"/>
      <c r="E381" s="284"/>
      <c r="F381" s="268"/>
      <c r="G381" s="282"/>
      <c r="H381" s="373"/>
      <c r="I381" s="284"/>
      <c r="J381" s="268"/>
      <c r="K381" s="282" t="s">
        <v>550</v>
      </c>
      <c r="L381" s="373"/>
      <c r="M381" s="284">
        <v>1629865.0</v>
      </c>
      <c r="N381" s="268"/>
      <c r="O381" s="285" t="s">
        <v>550</v>
      </c>
      <c r="P381" s="374"/>
      <c r="Q381" s="284">
        <v>1582793.0</v>
      </c>
      <c r="R381" s="268"/>
      <c r="S381" s="285" t="s">
        <v>550</v>
      </c>
      <c r="T381" s="295"/>
      <c r="U381" s="284">
        <v>1401356.0</v>
      </c>
      <c r="V381" s="268"/>
      <c r="W381" s="285" t="s">
        <v>366</v>
      </c>
      <c r="X381" s="295"/>
      <c r="Y381" s="284">
        <v>1.0395993E7</v>
      </c>
      <c r="Z381" s="268"/>
      <c r="AA381" s="285" t="s">
        <v>366</v>
      </c>
      <c r="AB381" s="334"/>
      <c r="AC381" s="287">
        <v>1.0989838E7</v>
      </c>
      <c r="AD381" s="288"/>
      <c r="AE381" s="292"/>
      <c r="AF381" s="292"/>
      <c r="AG381" s="292"/>
      <c r="AH381" s="292"/>
      <c r="AI381" s="292"/>
      <c r="AJ381" s="293"/>
      <c r="AK381" s="281"/>
      <c r="AL381" s="259">
        <f>MATCH(B381,'Key Findings'!B:B,0)</f>
        <v>61</v>
      </c>
      <c r="AM381" s="260" t="b">
        <f t="shared" si="1"/>
        <v>1</v>
      </c>
      <c r="AN381" s="291" t="s">
        <v>1950</v>
      </c>
    </row>
    <row r="382">
      <c r="A382" s="299">
        <f t="array" ref="A382">INDEX('Federal Tax, Stock Buybacks, &amp; '!D:D,match(B382,'Federal Tax, Stock Buybacks, &amp; '!E:E,0))</f>
        <v>722</v>
      </c>
      <c r="B382" s="130" t="s">
        <v>42</v>
      </c>
      <c r="C382" s="282"/>
      <c r="D382" s="373"/>
      <c r="E382" s="284"/>
      <c r="F382" s="268"/>
      <c r="G382" s="282"/>
      <c r="H382" s="373"/>
      <c r="I382" s="284"/>
      <c r="J382" s="268"/>
      <c r="K382" s="282" t="s">
        <v>652</v>
      </c>
      <c r="L382" s="373"/>
      <c r="M382" s="284">
        <v>1539374.0</v>
      </c>
      <c r="N382" s="268"/>
      <c r="O382" s="285" t="s">
        <v>505</v>
      </c>
      <c r="P382" s="374"/>
      <c r="Q382" s="284">
        <v>1688448.0</v>
      </c>
      <c r="R382" s="268"/>
      <c r="S382" s="285" t="s">
        <v>505</v>
      </c>
      <c r="T382" s="295"/>
      <c r="U382" s="284">
        <v>1520056.0</v>
      </c>
      <c r="V382" s="268"/>
      <c r="W382" s="285" t="s">
        <v>505</v>
      </c>
      <c r="X382" s="295"/>
      <c r="Y382" s="284">
        <v>1670935.0</v>
      </c>
      <c r="Z382" s="268"/>
      <c r="AA382" s="285" t="s">
        <v>505</v>
      </c>
      <c r="AB382" s="334"/>
      <c r="AC382" s="287">
        <v>1526522.0</v>
      </c>
      <c r="AD382" s="288"/>
      <c r="AE382" s="292"/>
      <c r="AF382" s="292"/>
      <c r="AG382" s="292"/>
      <c r="AH382" s="292"/>
      <c r="AI382" s="292"/>
      <c r="AJ382" s="293"/>
      <c r="AK382" s="281"/>
      <c r="AL382" s="259">
        <f>MATCH(B382,'Key Findings'!B:B,0)</f>
        <v>61</v>
      </c>
      <c r="AM382" s="260" t="b">
        <f t="shared" si="1"/>
        <v>1</v>
      </c>
      <c r="AN382" s="291" t="s">
        <v>1951</v>
      </c>
    </row>
    <row r="383">
      <c r="A383" s="299">
        <f t="array" ref="A383">INDEX('Federal Tax, Stock Buybacks, &amp; '!D:D,match(B383,'Federal Tax, Stock Buybacks, &amp; '!E:E,0))</f>
        <v>722</v>
      </c>
      <c r="B383" s="130" t="s">
        <v>42</v>
      </c>
      <c r="C383" s="282"/>
      <c r="D383" s="373"/>
      <c r="E383" s="284"/>
      <c r="F383" s="268"/>
      <c r="G383" s="282"/>
      <c r="H383" s="373"/>
      <c r="I383" s="284"/>
      <c r="J383" s="268"/>
      <c r="K383" s="282" t="s">
        <v>602</v>
      </c>
      <c r="L383" s="373"/>
      <c r="M383" s="284">
        <v>1384907.0</v>
      </c>
      <c r="N383" s="268"/>
      <c r="O383" s="285" t="s">
        <v>602</v>
      </c>
      <c r="P383" s="374"/>
      <c r="Q383" s="284">
        <v>1372275.0</v>
      </c>
      <c r="R383" s="268"/>
      <c r="S383" s="285" t="s">
        <v>394</v>
      </c>
      <c r="T383" s="295"/>
      <c r="U383" s="284">
        <v>4900927.0</v>
      </c>
      <c r="V383" s="268"/>
      <c r="W383" s="285" t="s">
        <v>394</v>
      </c>
      <c r="X383" s="295"/>
      <c r="Y383" s="284">
        <v>5877434.0</v>
      </c>
      <c r="Z383" s="268"/>
      <c r="AA383" s="285" t="s">
        <v>394</v>
      </c>
      <c r="AB383" s="334"/>
      <c r="AC383" s="287">
        <v>4345620.0</v>
      </c>
      <c r="AD383" s="288"/>
      <c r="AE383" s="292"/>
      <c r="AF383" s="292"/>
      <c r="AG383" s="292"/>
      <c r="AH383" s="292"/>
      <c r="AI383" s="292"/>
      <c r="AJ383" s="293"/>
      <c r="AK383" s="281"/>
      <c r="AL383" s="259">
        <f>MATCH(B383,'Key Findings'!B:B,0)</f>
        <v>61</v>
      </c>
      <c r="AM383" s="260" t="b">
        <f t="shared" si="1"/>
        <v>1</v>
      </c>
      <c r="AN383" s="291" t="s">
        <v>1952</v>
      </c>
    </row>
    <row r="384">
      <c r="A384" s="169">
        <f t="array" ref="A384">INDEX('Federal Tax, Stock Buybacks, &amp; '!D:D,match(B384,'Federal Tax, Stock Buybacks, &amp; '!E:E,0))</f>
        <v>441</v>
      </c>
      <c r="B384" s="422" t="s">
        <v>38</v>
      </c>
      <c r="C384" s="362"/>
      <c r="D384" s="413"/>
      <c r="E384" s="342"/>
      <c r="F384" s="268"/>
      <c r="G384" s="362"/>
      <c r="H384" s="413"/>
      <c r="I384" s="342"/>
      <c r="J384" s="268"/>
      <c r="K384" s="362" t="s">
        <v>134</v>
      </c>
      <c r="L384" s="413"/>
      <c r="M384" s="342">
        <v>8706194.0</v>
      </c>
      <c r="N384" s="268"/>
      <c r="O384" s="364" t="s">
        <v>134</v>
      </c>
      <c r="P384" s="414"/>
      <c r="Q384" s="342">
        <v>6871068.0</v>
      </c>
      <c r="R384" s="268"/>
      <c r="S384" s="364" t="s">
        <v>134</v>
      </c>
      <c r="T384" s="369"/>
      <c r="U384" s="342">
        <v>2615131.0</v>
      </c>
      <c r="V384" s="268"/>
      <c r="W384" s="364" t="s">
        <v>134</v>
      </c>
      <c r="X384" s="369"/>
      <c r="Y384" s="342">
        <v>2003514.0</v>
      </c>
      <c r="Z384" s="268"/>
      <c r="AA384" s="364" t="s">
        <v>134</v>
      </c>
      <c r="AB384" s="302"/>
      <c r="AC384" s="305">
        <v>1854912.0</v>
      </c>
      <c r="AD384" s="306"/>
      <c r="AE384" s="366">
        <v>2022.0</v>
      </c>
      <c r="AF384" s="366">
        <v>2021.0</v>
      </c>
      <c r="AG384" s="366">
        <v>2020.0</v>
      </c>
      <c r="AH384" s="366">
        <v>2019.0</v>
      </c>
      <c r="AI384" s="366">
        <v>2018.0</v>
      </c>
      <c r="AJ384" s="325" t="s">
        <v>1578</v>
      </c>
      <c r="AK384" s="300"/>
      <c r="AL384" s="275">
        <f>MATCH(B384,'Key Findings'!B:B,0)</f>
        <v>62</v>
      </c>
      <c r="AM384" s="274" t="b">
        <f t="shared" si="1"/>
        <v>0</v>
      </c>
      <c r="AN384" s="291" t="s">
        <v>1953</v>
      </c>
    </row>
    <row r="385">
      <c r="A385" s="169">
        <f t="array" ref="A385">INDEX('Federal Tax, Stock Buybacks, &amp; '!D:D,match(B385,'Federal Tax, Stock Buybacks, &amp; '!E:E,0))</f>
        <v>441</v>
      </c>
      <c r="B385" s="422" t="s">
        <v>38</v>
      </c>
      <c r="C385" s="362"/>
      <c r="D385" s="413"/>
      <c r="E385" s="342"/>
      <c r="F385" s="268"/>
      <c r="G385" s="362"/>
      <c r="H385" s="413"/>
      <c r="I385" s="342"/>
      <c r="J385" s="268"/>
      <c r="K385" s="362" t="s">
        <v>194</v>
      </c>
      <c r="L385" s="413"/>
      <c r="M385" s="342">
        <v>3586679.0</v>
      </c>
      <c r="N385" s="268"/>
      <c r="O385" s="364" t="s">
        <v>194</v>
      </c>
      <c r="P385" s="414"/>
      <c r="Q385" s="342">
        <v>3642758.0</v>
      </c>
      <c r="R385" s="268"/>
      <c r="S385" s="364" t="s">
        <v>194</v>
      </c>
      <c r="T385" s="369"/>
      <c r="U385" s="342">
        <v>3093249.0</v>
      </c>
      <c r="V385" s="268"/>
      <c r="W385" s="364" t="s">
        <v>194</v>
      </c>
      <c r="X385" s="369"/>
      <c r="Y385" s="342">
        <v>2831910.0</v>
      </c>
      <c r="Z385" s="268"/>
      <c r="AA385" s="364" t="s">
        <v>194</v>
      </c>
      <c r="AB385" s="302"/>
      <c r="AC385" s="305">
        <v>2508673.0</v>
      </c>
      <c r="AD385" s="306"/>
      <c r="AE385" s="308"/>
      <c r="AF385" s="308"/>
      <c r="AG385" s="308"/>
      <c r="AH385" s="308"/>
      <c r="AI385" s="308"/>
      <c r="AJ385" s="368"/>
      <c r="AK385" s="300"/>
      <c r="AL385" s="275">
        <f>MATCH(B385,'Key Findings'!B:B,0)</f>
        <v>62</v>
      </c>
      <c r="AM385" s="274" t="b">
        <f t="shared" si="1"/>
        <v>0</v>
      </c>
      <c r="AN385" s="294"/>
    </row>
    <row r="386">
      <c r="A386" s="169">
        <f t="array" ref="A386">INDEX('Federal Tax, Stock Buybacks, &amp; '!D:D,match(B386,'Federal Tax, Stock Buybacks, &amp; '!E:E,0))</f>
        <v>441</v>
      </c>
      <c r="B386" s="422" t="s">
        <v>38</v>
      </c>
      <c r="C386" s="362"/>
      <c r="D386" s="413"/>
      <c r="E386" s="342"/>
      <c r="F386" s="268"/>
      <c r="G386" s="362"/>
      <c r="H386" s="413"/>
      <c r="I386" s="342"/>
      <c r="J386" s="268"/>
      <c r="K386" s="362" t="s">
        <v>657</v>
      </c>
      <c r="L386" s="413"/>
      <c r="M386" s="342">
        <v>1940679.0</v>
      </c>
      <c r="N386" s="268"/>
      <c r="O386" s="364" t="s">
        <v>586</v>
      </c>
      <c r="P386" s="414"/>
      <c r="Q386" s="342">
        <v>1656800.0</v>
      </c>
      <c r="R386" s="268"/>
      <c r="S386" s="364" t="s">
        <v>586</v>
      </c>
      <c r="T386" s="369"/>
      <c r="U386" s="342">
        <v>1868330.0</v>
      </c>
      <c r="V386" s="268"/>
      <c r="W386" s="364" t="s">
        <v>586</v>
      </c>
      <c r="X386" s="369"/>
      <c r="Y386" s="342">
        <v>1613828.0</v>
      </c>
      <c r="Z386" s="268"/>
      <c r="AA386" s="364" t="s">
        <v>387</v>
      </c>
      <c r="AB386" s="302"/>
      <c r="AC386" s="305">
        <v>8091185.0</v>
      </c>
      <c r="AD386" s="306"/>
      <c r="AE386" s="308"/>
      <c r="AF386" s="308"/>
      <c r="AG386" s="308"/>
      <c r="AH386" s="308"/>
      <c r="AI386" s="308"/>
      <c r="AJ386" s="368"/>
      <c r="AK386" s="300"/>
      <c r="AL386" s="275">
        <f>MATCH(B386,'Key Findings'!B:B,0)</f>
        <v>62</v>
      </c>
      <c r="AM386" s="274" t="b">
        <f t="shared" si="1"/>
        <v>0</v>
      </c>
      <c r="AN386" s="294"/>
    </row>
    <row r="387">
      <c r="A387" s="169">
        <f t="array" ref="A387">INDEX('Federal Tax, Stock Buybacks, &amp; '!D:D,match(B387,'Federal Tax, Stock Buybacks, &amp; '!E:E,0))</f>
        <v>441</v>
      </c>
      <c r="B387" s="422" t="s">
        <v>38</v>
      </c>
      <c r="C387" s="362"/>
      <c r="D387" s="413"/>
      <c r="E387" s="342"/>
      <c r="F387" s="268"/>
      <c r="G387" s="362"/>
      <c r="H387" s="413"/>
      <c r="I387" s="342"/>
      <c r="J387" s="268"/>
      <c r="K387" s="362" t="s">
        <v>621</v>
      </c>
      <c r="L387" s="413"/>
      <c r="M387" s="342">
        <v>2051110.0</v>
      </c>
      <c r="N387" s="268"/>
      <c r="O387" s="364" t="s">
        <v>621</v>
      </c>
      <c r="P387" s="414"/>
      <c r="Q387" s="342">
        <v>1526361.0</v>
      </c>
      <c r="R387" s="268"/>
      <c r="S387" s="364" t="s">
        <v>387</v>
      </c>
      <c r="T387" s="369"/>
      <c r="U387" s="342">
        <v>7898536.0</v>
      </c>
      <c r="V387" s="268"/>
      <c r="W387" s="364" t="s">
        <v>387</v>
      </c>
      <c r="X387" s="369"/>
      <c r="Y387" s="342">
        <v>8986702.0</v>
      </c>
      <c r="Z387" s="268"/>
      <c r="AA387" s="364" t="s">
        <v>216</v>
      </c>
      <c r="AB387" s="302"/>
      <c r="AC387" s="305">
        <v>1490135.0</v>
      </c>
      <c r="AD387" s="306"/>
      <c r="AE387" s="308"/>
      <c r="AF387" s="308"/>
      <c r="AG387" s="308"/>
      <c r="AH387" s="308"/>
      <c r="AI387" s="308"/>
      <c r="AJ387" s="368"/>
      <c r="AK387" s="300"/>
      <c r="AL387" s="275">
        <f>MATCH(B387,'Key Findings'!B:B,0)</f>
        <v>62</v>
      </c>
      <c r="AM387" s="274" t="b">
        <f t="shared" si="1"/>
        <v>0</v>
      </c>
      <c r="AN387" s="294"/>
    </row>
    <row r="388">
      <c r="A388" s="169">
        <f t="array" ref="A388">INDEX('Federal Tax, Stock Buybacks, &amp; '!D:D,match(B388,'Federal Tax, Stock Buybacks, &amp; '!E:E,0))</f>
        <v>441</v>
      </c>
      <c r="B388" s="422" t="s">
        <v>38</v>
      </c>
      <c r="C388" s="362"/>
      <c r="D388" s="413"/>
      <c r="E388" s="342"/>
      <c r="F388" s="268"/>
      <c r="G388" s="362"/>
      <c r="H388" s="413"/>
      <c r="I388" s="342"/>
      <c r="J388" s="268"/>
      <c r="K388" s="362" t="s">
        <v>216</v>
      </c>
      <c r="L388" s="413"/>
      <c r="M388" s="342">
        <v>1916706.0</v>
      </c>
      <c r="N388" s="268"/>
      <c r="O388" s="364" t="s">
        <v>216</v>
      </c>
      <c r="P388" s="414"/>
      <c r="Q388" s="342">
        <v>1701984.0</v>
      </c>
      <c r="R388" s="268"/>
      <c r="S388" s="364" t="s">
        <v>216</v>
      </c>
      <c r="T388" s="369"/>
      <c r="U388" s="342">
        <v>1910339.0</v>
      </c>
      <c r="V388" s="268"/>
      <c r="W388" s="364" t="s">
        <v>216</v>
      </c>
      <c r="X388" s="369"/>
      <c r="Y388" s="342">
        <v>1639331.0</v>
      </c>
      <c r="Z388" s="268"/>
      <c r="AA388" s="364" t="s">
        <v>561</v>
      </c>
      <c r="AB388" s="302"/>
      <c r="AC388" s="305">
        <v>3069242.0</v>
      </c>
      <c r="AD388" s="306"/>
      <c r="AE388" s="308"/>
      <c r="AF388" s="308"/>
      <c r="AG388" s="308"/>
      <c r="AH388" s="308"/>
      <c r="AI388" s="308"/>
      <c r="AJ388" s="368"/>
      <c r="AK388" s="300"/>
      <c r="AL388" s="275">
        <f>MATCH(B388,'Key Findings'!B:B,0)</f>
        <v>62</v>
      </c>
      <c r="AM388" s="274" t="b">
        <f t="shared" si="1"/>
        <v>0</v>
      </c>
      <c r="AN388" s="294"/>
    </row>
    <row r="389">
      <c r="A389" s="169">
        <f t="array" ref="A389">INDEX('Federal Tax, Stock Buybacks, &amp; '!D:D,match(B389,'Federal Tax, Stock Buybacks, &amp; '!E:E,0))</f>
        <v>441</v>
      </c>
      <c r="B389" s="422" t="s">
        <v>38</v>
      </c>
      <c r="C389" s="279"/>
      <c r="D389" s="280"/>
      <c r="E389" s="267"/>
      <c r="F389" s="268"/>
      <c r="G389" s="279"/>
      <c r="H389" s="280"/>
      <c r="I389" s="267"/>
      <c r="J389" s="268"/>
      <c r="K389" s="279" t="s">
        <v>711</v>
      </c>
      <c r="L389" s="280" t="s">
        <v>711</v>
      </c>
      <c r="M389" s="267" t="s">
        <v>711</v>
      </c>
      <c r="N389" s="268"/>
      <c r="O389" s="280" t="s">
        <v>711</v>
      </c>
      <c r="P389" s="280" t="s">
        <v>711</v>
      </c>
      <c r="Q389" s="267" t="s">
        <v>711</v>
      </c>
      <c r="R389" s="268"/>
      <c r="S389" s="364" t="s">
        <v>660</v>
      </c>
      <c r="T389" s="369"/>
      <c r="U389" s="342">
        <v>1824975.0</v>
      </c>
      <c r="V389" s="268"/>
      <c r="W389" s="364" t="s">
        <v>561</v>
      </c>
      <c r="X389" s="369"/>
      <c r="Y389" s="342">
        <v>3521984.0</v>
      </c>
      <c r="Z389" s="268"/>
      <c r="AA389" s="280" t="s">
        <v>711</v>
      </c>
      <c r="AB389" s="280" t="s">
        <v>711</v>
      </c>
      <c r="AC389" s="267" t="s">
        <v>711</v>
      </c>
      <c r="AD389" s="306"/>
      <c r="AE389" s="308"/>
      <c r="AF389" s="308"/>
      <c r="AG389" s="308"/>
      <c r="AH389" s="308"/>
      <c r="AI389" s="308"/>
      <c r="AJ389" s="368"/>
      <c r="AK389" s="300"/>
      <c r="AL389" s="275">
        <f>MATCH(B389,'Key Findings'!B:B,0)</f>
        <v>62</v>
      </c>
      <c r="AM389" s="274" t="b">
        <f t="shared" si="1"/>
        <v>0</v>
      </c>
      <c r="AN389" s="294"/>
    </row>
    <row r="390">
      <c r="A390" s="169">
        <f t="array" ref="A390">INDEX('Federal Tax, Stock Buybacks, &amp; '!D:D,match(B390,'Federal Tax, Stock Buybacks, &amp; '!E:E,0))</f>
        <v>721</v>
      </c>
      <c r="B390" s="130" t="s">
        <v>43</v>
      </c>
      <c r="C390" s="282"/>
      <c r="D390" s="373"/>
      <c r="E390" s="284"/>
      <c r="F390" s="268"/>
      <c r="G390" s="282"/>
      <c r="H390" s="373"/>
      <c r="I390" s="284"/>
      <c r="J390" s="268"/>
      <c r="K390" s="282" t="s">
        <v>147</v>
      </c>
      <c r="L390" s="373"/>
      <c r="M390" s="284">
        <v>7286977.0</v>
      </c>
      <c r="N390" s="268"/>
      <c r="O390" s="285" t="s">
        <v>147</v>
      </c>
      <c r="P390" s="374"/>
      <c r="Q390" s="284">
        <v>1.044926E7</v>
      </c>
      <c r="R390" s="268"/>
      <c r="S390" s="285" t="s">
        <v>147</v>
      </c>
      <c r="T390" s="295"/>
      <c r="U390" s="284">
        <v>1.1020134E7</v>
      </c>
      <c r="V390" s="268"/>
      <c r="W390" s="285" t="s">
        <v>147</v>
      </c>
      <c r="X390" s="295"/>
      <c r="Y390" s="284">
        <v>7619999.0</v>
      </c>
      <c r="Z390" s="268"/>
      <c r="AA390" s="285" t="s">
        <v>147</v>
      </c>
      <c r="AB390" s="334"/>
      <c r="AC390" s="287">
        <v>2452950.0</v>
      </c>
      <c r="AD390" s="288"/>
      <c r="AE390" s="391">
        <v>2022.0</v>
      </c>
      <c r="AF390" s="391">
        <v>2021.0</v>
      </c>
      <c r="AG390" s="391">
        <v>2020.0</v>
      </c>
      <c r="AH390" s="391">
        <v>2019.0</v>
      </c>
      <c r="AI390" s="391">
        <v>2018.0</v>
      </c>
      <c r="AJ390" s="357" t="s">
        <v>1578</v>
      </c>
      <c r="AK390" s="281"/>
      <c r="AL390" s="259">
        <f>MATCH(B390,'Key Findings'!B:B,0)</f>
        <v>63</v>
      </c>
      <c r="AM390" s="260" t="b">
        <f t="shared" si="1"/>
        <v>1</v>
      </c>
      <c r="AN390" s="294"/>
    </row>
    <row r="391">
      <c r="A391" s="169">
        <f t="array" ref="A391">INDEX('Federal Tax, Stock Buybacks, &amp; '!D:D,match(B391,'Federal Tax, Stock Buybacks, &amp; '!E:E,0))</f>
        <v>721</v>
      </c>
      <c r="B391" s="130" t="s">
        <v>43</v>
      </c>
      <c r="C391" s="282"/>
      <c r="D391" s="373"/>
      <c r="E391" s="284"/>
      <c r="F391" s="268"/>
      <c r="G391" s="282"/>
      <c r="H391" s="373"/>
      <c r="I391" s="284"/>
      <c r="J391" s="268"/>
      <c r="K391" s="282" t="s">
        <v>197</v>
      </c>
      <c r="L391" s="373"/>
      <c r="M391" s="284">
        <v>2580416.0</v>
      </c>
      <c r="N391" s="268"/>
      <c r="O391" s="285" t="s">
        <v>197</v>
      </c>
      <c r="P391" s="374"/>
      <c r="Q391" s="284">
        <v>2329735.0</v>
      </c>
      <c r="R391" s="268"/>
      <c r="S391" s="285" t="s">
        <v>197</v>
      </c>
      <c r="T391" s="295"/>
      <c r="U391" s="284">
        <v>2332855.0</v>
      </c>
      <c r="V391" s="268"/>
      <c r="W391" s="285" t="s">
        <v>197</v>
      </c>
      <c r="X391" s="295"/>
      <c r="Y391" s="284">
        <v>2088964.0</v>
      </c>
      <c r="Z391" s="268"/>
      <c r="AA391" s="285" t="s">
        <v>197</v>
      </c>
      <c r="AB391" s="334"/>
      <c r="AC391" s="287">
        <v>1837158.0</v>
      </c>
      <c r="AD391" s="288"/>
      <c r="AE391" s="292"/>
      <c r="AF391" s="292"/>
      <c r="AG391" s="292"/>
      <c r="AH391" s="292"/>
      <c r="AI391" s="292"/>
      <c r="AJ391" s="293"/>
      <c r="AK391" s="281"/>
      <c r="AL391" s="259">
        <f>MATCH(B391,'Key Findings'!B:B,0)</f>
        <v>63</v>
      </c>
      <c r="AM391" s="260" t="b">
        <f t="shared" si="1"/>
        <v>1</v>
      </c>
      <c r="AN391" s="294"/>
    </row>
    <row r="392">
      <c r="A392" s="169">
        <f t="array" ref="A392">INDEX('Federal Tax, Stock Buybacks, &amp; '!D:D,match(B392,'Federal Tax, Stock Buybacks, &amp; '!E:E,0))</f>
        <v>721</v>
      </c>
      <c r="B392" s="130" t="s">
        <v>43</v>
      </c>
      <c r="C392" s="282"/>
      <c r="D392" s="373"/>
      <c r="E392" s="284"/>
      <c r="F392" s="268"/>
      <c r="G392" s="282"/>
      <c r="H392" s="373"/>
      <c r="I392" s="284"/>
      <c r="J392" s="268"/>
      <c r="K392" s="282" t="s">
        <v>604</v>
      </c>
      <c r="L392" s="373"/>
      <c r="M392" s="284">
        <v>1226831.0</v>
      </c>
      <c r="N392" s="268"/>
      <c r="O392" s="285" t="s">
        <v>604</v>
      </c>
      <c r="P392" s="374"/>
      <c r="Q392" s="284">
        <v>1029610.0</v>
      </c>
      <c r="R392" s="268"/>
      <c r="S392" s="285" t="s">
        <v>604</v>
      </c>
      <c r="T392" s="295"/>
      <c r="U392" s="284">
        <v>1069798.0</v>
      </c>
      <c r="V392" s="268"/>
      <c r="W392" s="285" t="s">
        <v>604</v>
      </c>
      <c r="X392" s="295"/>
      <c r="Y392" s="284">
        <v>817883.0</v>
      </c>
      <c r="Z392" s="268"/>
      <c r="AA392" s="285" t="s">
        <v>150</v>
      </c>
      <c r="AB392" s="334"/>
      <c r="AC392" s="287">
        <v>1788846.0</v>
      </c>
      <c r="AD392" s="288"/>
      <c r="AE392" s="292"/>
      <c r="AF392" s="292"/>
      <c r="AG392" s="292"/>
      <c r="AH392" s="292"/>
      <c r="AI392" s="292"/>
      <c r="AJ392" s="293"/>
      <c r="AK392" s="281"/>
      <c r="AL392" s="259">
        <f>MATCH(B392,'Key Findings'!B:B,0)</f>
        <v>63</v>
      </c>
      <c r="AM392" s="260" t="b">
        <f t="shared" si="1"/>
        <v>1</v>
      </c>
      <c r="AN392" s="294"/>
    </row>
    <row r="393">
      <c r="A393" s="169">
        <f t="array" ref="A393">INDEX('Federal Tax, Stock Buybacks, &amp; '!D:D,match(B393,'Federal Tax, Stock Buybacks, &amp; '!E:E,0))</f>
        <v>721</v>
      </c>
      <c r="B393" s="130" t="s">
        <v>43</v>
      </c>
      <c r="C393" s="282"/>
      <c r="D393" s="373"/>
      <c r="E393" s="284"/>
      <c r="F393" s="268"/>
      <c r="G393" s="282"/>
      <c r="H393" s="373"/>
      <c r="I393" s="284"/>
      <c r="J393" s="268"/>
      <c r="K393" s="282" t="s">
        <v>603</v>
      </c>
      <c r="L393" s="373"/>
      <c r="M393" s="284">
        <v>1226813.0</v>
      </c>
      <c r="N393" s="268"/>
      <c r="O393" s="285" t="s">
        <v>603</v>
      </c>
      <c r="P393" s="374"/>
      <c r="Q393" s="284">
        <v>1031300.0</v>
      </c>
      <c r="R393" s="268"/>
      <c r="S393" s="285" t="s">
        <v>603</v>
      </c>
      <c r="T393" s="295"/>
      <c r="U393" s="284">
        <v>1092249.0</v>
      </c>
      <c r="V393" s="268"/>
      <c r="W393" s="285" t="s">
        <v>603</v>
      </c>
      <c r="X393" s="295"/>
      <c r="Y393" s="284">
        <v>847147.0</v>
      </c>
      <c r="Z393" s="268"/>
      <c r="AA393" s="285" t="s">
        <v>476</v>
      </c>
      <c r="AB393" s="334"/>
      <c r="AC393" s="287">
        <v>6520709.0</v>
      </c>
      <c r="AD393" s="288"/>
      <c r="AE393" s="292"/>
      <c r="AF393" s="292"/>
      <c r="AG393" s="292"/>
      <c r="AH393" s="292"/>
      <c r="AI393" s="292"/>
      <c r="AJ393" s="293"/>
      <c r="AK393" s="281"/>
      <c r="AL393" s="259">
        <f>MATCH(B393,'Key Findings'!B:B,0)</f>
        <v>63</v>
      </c>
      <c r="AM393" s="260" t="b">
        <f t="shared" si="1"/>
        <v>1</v>
      </c>
      <c r="AN393" s="294"/>
    </row>
    <row r="394">
      <c r="A394" s="169">
        <f t="array" ref="A394">INDEX('Federal Tax, Stock Buybacks, &amp; '!D:D,match(B394,'Federal Tax, Stock Buybacks, &amp; '!E:E,0))</f>
        <v>721</v>
      </c>
      <c r="B394" s="130" t="s">
        <v>43</v>
      </c>
      <c r="C394" s="282"/>
      <c r="D394" s="373"/>
      <c r="E394" s="284"/>
      <c r="F394" s="268"/>
      <c r="G394" s="282"/>
      <c r="H394" s="373"/>
      <c r="I394" s="284"/>
      <c r="J394" s="268"/>
      <c r="K394" s="282" t="s">
        <v>150</v>
      </c>
      <c r="L394" s="373"/>
      <c r="M394" s="284">
        <v>1349406.0</v>
      </c>
      <c r="N394" s="268"/>
      <c r="O394" s="285" t="s">
        <v>150</v>
      </c>
      <c r="P394" s="374"/>
      <c r="Q394" s="284">
        <v>2129552.0</v>
      </c>
      <c r="R394" s="268"/>
      <c r="S394" s="285" t="s">
        <v>150</v>
      </c>
      <c r="T394" s="295"/>
      <c r="U394" s="284">
        <v>2062273.0</v>
      </c>
      <c r="V394" s="268"/>
      <c r="W394" s="285" t="s">
        <v>150</v>
      </c>
      <c r="X394" s="295"/>
      <c r="Y394" s="284">
        <v>1928911.0</v>
      </c>
      <c r="Z394" s="268"/>
      <c r="AA394" s="285" t="s">
        <v>674</v>
      </c>
      <c r="AB394" s="334"/>
      <c r="AC394" s="287">
        <v>1327938.0</v>
      </c>
      <c r="AD394" s="288"/>
      <c r="AE394" s="292"/>
      <c r="AF394" s="292"/>
      <c r="AG394" s="292"/>
      <c r="AH394" s="292"/>
      <c r="AI394" s="292"/>
      <c r="AJ394" s="293"/>
      <c r="AK394" s="281"/>
      <c r="AL394" s="259">
        <f>MATCH(B394,'Key Findings'!B:B,0)</f>
        <v>63</v>
      </c>
      <c r="AM394" s="260" t="b">
        <f t="shared" si="1"/>
        <v>1</v>
      </c>
      <c r="AN394" s="294"/>
    </row>
    <row r="395">
      <c r="A395" s="169">
        <f t="array" ref="A395">INDEX('Federal Tax, Stock Buybacks, &amp; '!D:D,match(B395,'Federal Tax, Stock Buybacks, &amp; '!E:E,0))</f>
        <v>721</v>
      </c>
      <c r="B395" s="130" t="s">
        <v>43</v>
      </c>
      <c r="C395" s="282"/>
      <c r="D395" s="373"/>
      <c r="E395" s="284"/>
      <c r="F395" s="268"/>
      <c r="G395" s="282"/>
      <c r="H395" s="373"/>
      <c r="I395" s="284"/>
      <c r="J395" s="268"/>
      <c r="K395" s="282" t="s">
        <v>671</v>
      </c>
      <c r="L395" s="373"/>
      <c r="M395" s="284">
        <v>1407835.0</v>
      </c>
      <c r="N395" s="268"/>
      <c r="O395" s="375" t="s">
        <v>711</v>
      </c>
      <c r="P395" s="375" t="s">
        <v>711</v>
      </c>
      <c r="Q395" s="360" t="s">
        <v>711</v>
      </c>
      <c r="R395" s="268"/>
      <c r="S395" s="375" t="s">
        <v>711</v>
      </c>
      <c r="T395" s="375" t="s">
        <v>711</v>
      </c>
      <c r="U395" s="360" t="s">
        <v>711</v>
      </c>
      <c r="V395" s="268"/>
      <c r="W395" s="285" t="s">
        <v>476</v>
      </c>
      <c r="X395" s="295"/>
      <c r="Y395" s="284">
        <v>5508114.0</v>
      </c>
      <c r="Z395" s="268"/>
      <c r="AA395" s="375" t="s">
        <v>711</v>
      </c>
      <c r="AB395" s="375" t="s">
        <v>711</v>
      </c>
      <c r="AC395" s="360" t="s">
        <v>711</v>
      </c>
      <c r="AD395" s="288"/>
      <c r="AE395" s="292"/>
      <c r="AF395" s="292"/>
      <c r="AG395" s="292"/>
      <c r="AH395" s="292"/>
      <c r="AI395" s="292"/>
      <c r="AJ395" s="293"/>
      <c r="AK395" s="281"/>
      <c r="AL395" s="259">
        <f>MATCH(B395,'Key Findings'!B:B,0)</f>
        <v>63</v>
      </c>
      <c r="AM395" s="260" t="b">
        <f t="shared" si="1"/>
        <v>1</v>
      </c>
      <c r="AN395" s="294"/>
    </row>
    <row r="396">
      <c r="A396" s="169">
        <f t="array" ref="A396">INDEX('Federal Tax, Stock Buybacks, &amp; '!D:D,match(B396,'Federal Tax, Stock Buybacks, &amp; '!E:E,0))</f>
        <v>774</v>
      </c>
      <c r="B396" s="422" t="s">
        <v>67</v>
      </c>
      <c r="C396" s="362"/>
      <c r="D396" s="363"/>
      <c r="E396" s="342"/>
      <c r="F396" s="268"/>
      <c r="G396" s="362"/>
      <c r="H396" s="363"/>
      <c r="I396" s="342"/>
      <c r="J396" s="268"/>
      <c r="K396" s="362" t="s">
        <v>275</v>
      </c>
      <c r="L396" s="363" t="s">
        <v>1954</v>
      </c>
      <c r="M396" s="342">
        <v>1522833.0</v>
      </c>
      <c r="N396" s="268"/>
      <c r="O396" s="364" t="s">
        <v>275</v>
      </c>
      <c r="P396" s="365" t="s">
        <v>1954</v>
      </c>
      <c r="Q396" s="342">
        <v>7398128.0</v>
      </c>
      <c r="R396" s="268"/>
      <c r="S396" s="364" t="s">
        <v>275</v>
      </c>
      <c r="T396" s="365" t="s">
        <v>1954</v>
      </c>
      <c r="U396" s="342">
        <v>5675833.0</v>
      </c>
      <c r="V396" s="268"/>
      <c r="W396" s="364" t="s">
        <v>275</v>
      </c>
      <c r="X396" s="365" t="s">
        <v>1954</v>
      </c>
      <c r="Y396" s="342">
        <v>3023155.0</v>
      </c>
      <c r="Z396" s="268"/>
      <c r="AA396" s="364" t="s">
        <v>275</v>
      </c>
      <c r="AB396" s="365" t="s">
        <v>1954</v>
      </c>
      <c r="AC396" s="309">
        <v>2038118.0</v>
      </c>
      <c r="AD396" s="306"/>
      <c r="AE396" s="366">
        <v>2022.0</v>
      </c>
      <c r="AF396" s="366">
        <v>2021.0</v>
      </c>
      <c r="AG396" s="366">
        <v>2020.0</v>
      </c>
      <c r="AH396" s="366">
        <v>2019.0</v>
      </c>
      <c r="AI396" s="366">
        <v>2018.0</v>
      </c>
      <c r="AJ396" s="325" t="s">
        <v>1578</v>
      </c>
      <c r="AK396" s="300"/>
      <c r="AL396" s="275">
        <f>MATCH(B396,'Key Findings'!B:B,0)</f>
        <v>64</v>
      </c>
      <c r="AM396" s="274" t="b">
        <f t="shared" si="1"/>
        <v>0</v>
      </c>
      <c r="AN396" s="294"/>
    </row>
    <row r="397">
      <c r="A397" s="169">
        <f t="array" ref="A397">INDEX('Federal Tax, Stock Buybacks, &amp; '!D:D,match(B397,'Federal Tax, Stock Buybacks, &amp; '!E:E,0))</f>
        <v>774</v>
      </c>
      <c r="B397" s="422" t="s">
        <v>67</v>
      </c>
      <c r="C397" s="362"/>
      <c r="D397" s="363"/>
      <c r="E397" s="342"/>
      <c r="F397" s="268"/>
      <c r="G397" s="362"/>
      <c r="H397" s="363"/>
      <c r="I397" s="342"/>
      <c r="J397" s="268"/>
      <c r="K397" s="362" t="s">
        <v>423</v>
      </c>
      <c r="L397" s="363" t="s">
        <v>1588</v>
      </c>
      <c r="M397" s="342">
        <v>6720753.0</v>
      </c>
      <c r="N397" s="268"/>
      <c r="O397" s="364" t="s">
        <v>423</v>
      </c>
      <c r="P397" s="365" t="s">
        <v>1588</v>
      </c>
      <c r="Q397" s="342">
        <v>2408687.0</v>
      </c>
      <c r="R397" s="268"/>
      <c r="S397" s="364" t="s">
        <v>423</v>
      </c>
      <c r="T397" s="365" t="s">
        <v>1588</v>
      </c>
      <c r="U397" s="342">
        <v>2097292.0</v>
      </c>
      <c r="V397" s="268"/>
      <c r="W397" s="364" t="s">
        <v>423</v>
      </c>
      <c r="X397" s="365" t="s">
        <v>1588</v>
      </c>
      <c r="Y397" s="342">
        <v>1336977.0</v>
      </c>
      <c r="Z397" s="268"/>
      <c r="AA397" s="364" t="s">
        <v>403</v>
      </c>
      <c r="AB397" s="369" t="s">
        <v>1954</v>
      </c>
      <c r="AC397" s="305">
        <v>4983114.0</v>
      </c>
      <c r="AD397" s="306"/>
      <c r="AE397" s="308"/>
      <c r="AF397" s="308"/>
      <c r="AG397" s="308"/>
      <c r="AH397" s="308"/>
      <c r="AI397" s="308"/>
      <c r="AJ397" s="368"/>
      <c r="AK397" s="300"/>
      <c r="AL397" s="275">
        <f>MATCH(B397,'Key Findings'!B:B,0)</f>
        <v>64</v>
      </c>
      <c r="AM397" s="274" t="b">
        <f t="shared" si="1"/>
        <v>0</v>
      </c>
      <c r="AN397" s="294"/>
    </row>
    <row r="398">
      <c r="A398" s="169">
        <f t="array" ref="A398">INDEX('Federal Tax, Stock Buybacks, &amp; '!D:D,match(B398,'Federal Tax, Stock Buybacks, &amp; '!E:E,0))</f>
        <v>774</v>
      </c>
      <c r="B398" s="422" t="s">
        <v>67</v>
      </c>
      <c r="C398" s="362"/>
      <c r="D398" s="363"/>
      <c r="E398" s="342"/>
      <c r="F398" s="268"/>
      <c r="G398" s="362"/>
      <c r="H398" s="363"/>
      <c r="I398" s="342"/>
      <c r="J398" s="268"/>
      <c r="K398" s="362" t="s">
        <v>553</v>
      </c>
      <c r="L398" s="363" t="s">
        <v>1832</v>
      </c>
      <c r="M398" s="342">
        <v>2309419.0</v>
      </c>
      <c r="N398" s="268"/>
      <c r="O398" s="364" t="s">
        <v>553</v>
      </c>
      <c r="P398" s="365" t="s">
        <v>1832</v>
      </c>
      <c r="Q398" s="342">
        <v>2582061.0</v>
      </c>
      <c r="R398" s="268"/>
      <c r="S398" s="364" t="s">
        <v>403</v>
      </c>
      <c r="T398" s="369" t="s">
        <v>1954</v>
      </c>
      <c r="U398" s="342">
        <v>4072322.0</v>
      </c>
      <c r="V398" s="268"/>
      <c r="W398" s="364" t="s">
        <v>403</v>
      </c>
      <c r="X398" s="369" t="s">
        <v>1954</v>
      </c>
      <c r="Y398" s="342">
        <v>5918455.0</v>
      </c>
      <c r="Z398" s="268"/>
      <c r="AA398" s="364" t="s">
        <v>578</v>
      </c>
      <c r="AB398" s="369" t="s">
        <v>1955</v>
      </c>
      <c r="AC398" s="305">
        <v>1165991.0</v>
      </c>
      <c r="AD398" s="306"/>
      <c r="AE398" s="308"/>
      <c r="AF398" s="308"/>
      <c r="AG398" s="308"/>
      <c r="AH398" s="308"/>
      <c r="AI398" s="308"/>
      <c r="AJ398" s="368"/>
      <c r="AK398" s="300"/>
      <c r="AL398" s="275">
        <f>MATCH(B398,'Key Findings'!B:B,0)</f>
        <v>64</v>
      </c>
      <c r="AM398" s="274" t="b">
        <f t="shared" si="1"/>
        <v>0</v>
      </c>
      <c r="AN398" s="294"/>
    </row>
    <row r="399">
      <c r="A399" s="169">
        <f t="array" ref="A399">INDEX('Federal Tax, Stock Buybacks, &amp; '!D:D,match(B399,'Federal Tax, Stock Buybacks, &amp; '!E:E,0))</f>
        <v>774</v>
      </c>
      <c r="B399" s="422" t="s">
        <v>67</v>
      </c>
      <c r="C399" s="362"/>
      <c r="D399" s="363"/>
      <c r="E399" s="342"/>
      <c r="F399" s="268"/>
      <c r="G399" s="362"/>
      <c r="H399" s="363"/>
      <c r="I399" s="342"/>
      <c r="J399" s="268"/>
      <c r="K399" s="362" t="s">
        <v>613</v>
      </c>
      <c r="L399" s="363" t="s">
        <v>1956</v>
      </c>
      <c r="M399" s="342">
        <v>1417024.0</v>
      </c>
      <c r="N399" s="268"/>
      <c r="O399" s="364" t="s">
        <v>613</v>
      </c>
      <c r="P399" s="365" t="s">
        <v>1956</v>
      </c>
      <c r="Q399" s="342">
        <v>1229106.0</v>
      </c>
      <c r="R399" s="268"/>
      <c r="S399" s="364" t="s">
        <v>578</v>
      </c>
      <c r="T399" s="369" t="s">
        <v>1955</v>
      </c>
      <c r="U399" s="342">
        <v>1426106.0</v>
      </c>
      <c r="V399" s="268"/>
      <c r="W399" s="364" t="s">
        <v>578</v>
      </c>
      <c r="X399" s="369" t="s">
        <v>1955</v>
      </c>
      <c r="Y399" s="342">
        <v>1273716.0</v>
      </c>
      <c r="Z399" s="268"/>
      <c r="AA399" s="364" t="s">
        <v>455</v>
      </c>
      <c r="AB399" s="401" t="s">
        <v>1957</v>
      </c>
      <c r="AC399" s="309">
        <v>1771759.0</v>
      </c>
      <c r="AD399" s="306"/>
      <c r="AE399" s="308"/>
      <c r="AF399" s="308"/>
      <c r="AG399" s="308"/>
      <c r="AH399" s="308"/>
      <c r="AI399" s="308"/>
      <c r="AJ399" s="368"/>
      <c r="AK399" s="300"/>
      <c r="AL399" s="275">
        <f>MATCH(B399,'Key Findings'!B:B,0)</f>
        <v>64</v>
      </c>
      <c r="AM399" s="274" t="b">
        <f t="shared" si="1"/>
        <v>0</v>
      </c>
      <c r="AN399" s="294"/>
    </row>
    <row r="400">
      <c r="A400" s="169">
        <f t="array" ref="A400">INDEX('Federal Tax, Stock Buybacks, &amp; '!D:D,match(B400,'Federal Tax, Stock Buybacks, &amp; '!E:E,0))</f>
        <v>774</v>
      </c>
      <c r="B400" s="422" t="s">
        <v>67</v>
      </c>
      <c r="C400" s="362"/>
      <c r="D400" s="462"/>
      <c r="E400" s="342"/>
      <c r="F400" s="268"/>
      <c r="G400" s="362"/>
      <c r="H400" s="462"/>
      <c r="I400" s="342"/>
      <c r="J400" s="268"/>
      <c r="K400" s="362" t="s">
        <v>150</v>
      </c>
      <c r="L400" s="462" t="s">
        <v>1538</v>
      </c>
      <c r="M400" s="342">
        <v>3567103.0</v>
      </c>
      <c r="N400" s="268"/>
      <c r="O400" s="364" t="s">
        <v>455</v>
      </c>
      <c r="P400" s="401" t="s">
        <v>1957</v>
      </c>
      <c r="Q400" s="342">
        <v>1903093.0</v>
      </c>
      <c r="R400" s="268"/>
      <c r="S400" s="364" t="s">
        <v>455</v>
      </c>
      <c r="T400" s="401" t="s">
        <v>1957</v>
      </c>
      <c r="U400" s="342">
        <v>2583731.0</v>
      </c>
      <c r="V400" s="268"/>
      <c r="W400" s="364" t="s">
        <v>455</v>
      </c>
      <c r="X400" s="401" t="s">
        <v>1957</v>
      </c>
      <c r="Y400" s="342">
        <v>3088192.0</v>
      </c>
      <c r="Z400" s="268"/>
      <c r="AA400" s="364" t="s">
        <v>601</v>
      </c>
      <c r="AB400" s="369" t="s">
        <v>1958</v>
      </c>
      <c r="AC400" s="305">
        <v>1710865.0</v>
      </c>
      <c r="AD400" s="306"/>
      <c r="AE400" s="308"/>
      <c r="AF400" s="308"/>
      <c r="AG400" s="308"/>
      <c r="AH400" s="308"/>
      <c r="AI400" s="308"/>
      <c r="AJ400" s="368"/>
      <c r="AK400" s="300"/>
      <c r="AL400" s="275">
        <f>MATCH(B400,'Key Findings'!B:B,0)</f>
        <v>64</v>
      </c>
      <c r="AM400" s="274" t="b">
        <f t="shared" si="1"/>
        <v>0</v>
      </c>
      <c r="AN400" s="294"/>
    </row>
    <row r="401">
      <c r="A401" s="169">
        <f t="array" ref="A401">INDEX('Federal Tax, Stock Buybacks, &amp; '!D:D,match(B401,'Federal Tax, Stock Buybacks, &amp; '!E:E,0))</f>
        <v>774</v>
      </c>
      <c r="B401" s="422" t="s">
        <v>67</v>
      </c>
      <c r="C401" s="362"/>
      <c r="D401" s="363"/>
      <c r="E401" s="342"/>
      <c r="F401" s="268"/>
      <c r="G401" s="362"/>
      <c r="H401" s="363"/>
      <c r="I401" s="342"/>
      <c r="J401" s="268"/>
      <c r="K401" s="362" t="s">
        <v>576</v>
      </c>
      <c r="L401" s="363" t="s">
        <v>1585</v>
      </c>
      <c r="M401" s="342">
        <v>4011837.0</v>
      </c>
      <c r="N401" s="268"/>
      <c r="O401" s="364" t="s">
        <v>667</v>
      </c>
      <c r="P401" s="401" t="s">
        <v>1959</v>
      </c>
      <c r="Q401" s="342">
        <v>1075467.0</v>
      </c>
      <c r="R401" s="268"/>
      <c r="S401" s="364" t="s">
        <v>664</v>
      </c>
      <c r="T401" s="369" t="s">
        <v>1960</v>
      </c>
      <c r="U401" s="342">
        <v>1209299.0</v>
      </c>
      <c r="V401" s="268"/>
      <c r="W401" s="364" t="s">
        <v>601</v>
      </c>
      <c r="X401" s="369" t="s">
        <v>1958</v>
      </c>
      <c r="Y401" s="342">
        <v>1298370.0</v>
      </c>
      <c r="Z401" s="268"/>
      <c r="AA401" s="280" t="s">
        <v>711</v>
      </c>
      <c r="AB401" s="280" t="s">
        <v>711</v>
      </c>
      <c r="AC401" s="267" t="s">
        <v>711</v>
      </c>
      <c r="AD401" s="306"/>
      <c r="AE401" s="308"/>
      <c r="AF401" s="308"/>
      <c r="AG401" s="308"/>
      <c r="AH401" s="308"/>
      <c r="AI401" s="308"/>
      <c r="AJ401" s="368"/>
      <c r="AK401" s="300"/>
      <c r="AL401" s="275">
        <f>MATCH(B401,'Key Findings'!B:B,0)</f>
        <v>64</v>
      </c>
      <c r="AM401" s="274" t="b">
        <f t="shared" si="1"/>
        <v>0</v>
      </c>
      <c r="AN401" s="294"/>
    </row>
    <row r="402">
      <c r="A402" s="169">
        <f t="array" ref="A402">INDEX('Federal Tax, Stock Buybacks, &amp; '!D:D,match(B402,'Federal Tax, Stock Buybacks, &amp; '!E:E,0))</f>
        <v>774</v>
      </c>
      <c r="B402" s="422" t="s">
        <v>67</v>
      </c>
      <c r="C402" s="279"/>
      <c r="D402" s="280"/>
      <c r="E402" s="267"/>
      <c r="F402" s="268"/>
      <c r="G402" s="279"/>
      <c r="H402" s="280"/>
      <c r="I402" s="267"/>
      <c r="J402" s="268"/>
      <c r="K402" s="279" t="s">
        <v>711</v>
      </c>
      <c r="L402" s="280" t="s">
        <v>711</v>
      </c>
      <c r="M402" s="267" t="s">
        <v>711</v>
      </c>
      <c r="N402" s="268"/>
      <c r="O402" s="280" t="s">
        <v>711</v>
      </c>
      <c r="P402" s="280" t="s">
        <v>711</v>
      </c>
      <c r="Q402" s="267" t="s">
        <v>711</v>
      </c>
      <c r="R402" s="268"/>
      <c r="S402" s="364" t="s">
        <v>662</v>
      </c>
      <c r="T402" s="369" t="s">
        <v>1961</v>
      </c>
      <c r="U402" s="342">
        <v>1261668.0</v>
      </c>
      <c r="V402" s="268"/>
      <c r="W402" s="280" t="s">
        <v>711</v>
      </c>
      <c r="X402" s="280" t="s">
        <v>711</v>
      </c>
      <c r="Y402" s="267" t="s">
        <v>711</v>
      </c>
      <c r="Z402" s="268"/>
      <c r="AA402" s="280" t="s">
        <v>711</v>
      </c>
      <c r="AB402" s="280" t="s">
        <v>711</v>
      </c>
      <c r="AC402" s="267" t="s">
        <v>711</v>
      </c>
      <c r="AD402" s="306"/>
      <c r="AE402" s="417"/>
      <c r="AF402" s="417"/>
      <c r="AG402" s="417"/>
      <c r="AH402" s="417"/>
      <c r="AI402" s="417"/>
      <c r="AJ402" s="368"/>
      <c r="AK402" s="300"/>
      <c r="AL402" s="275">
        <f>MATCH(B402,'Key Findings'!B:B,0)</f>
        <v>64</v>
      </c>
      <c r="AM402" s="274" t="b">
        <f t="shared" si="1"/>
        <v>0</v>
      </c>
      <c r="AN402" s="294"/>
    </row>
    <row r="403">
      <c r="A403" s="169">
        <f t="array" ref="A403">INDEX('Federal Tax, Stock Buybacks, &amp; '!D:D,match(B403,'Federal Tax, Stock Buybacks, &amp; '!E:E,0))</f>
        <v>457</v>
      </c>
      <c r="B403" s="138" t="s">
        <v>70</v>
      </c>
      <c r="C403" s="282"/>
      <c r="D403" s="373"/>
      <c r="E403" s="284"/>
      <c r="F403" s="268"/>
      <c r="G403" s="282"/>
      <c r="H403" s="373"/>
      <c r="I403" s="284"/>
      <c r="J403" s="268"/>
      <c r="K403" s="282" t="s">
        <v>214</v>
      </c>
      <c r="L403" s="373"/>
      <c r="M403" s="284">
        <v>8795572.0</v>
      </c>
      <c r="N403" s="268"/>
      <c r="O403" s="285" t="s">
        <v>214</v>
      </c>
      <c r="P403" s="374"/>
      <c r="Q403" s="284">
        <v>1.2063477E7</v>
      </c>
      <c r="R403" s="268"/>
      <c r="S403" s="285" t="s">
        <v>214</v>
      </c>
      <c r="T403" s="295"/>
      <c r="U403" s="284">
        <v>1.0377789E7</v>
      </c>
      <c r="V403" s="268"/>
      <c r="W403" s="285" t="s">
        <v>214</v>
      </c>
      <c r="X403" s="295"/>
      <c r="Y403" s="284">
        <v>8304888.0</v>
      </c>
      <c r="Z403" s="268"/>
      <c r="AA403" s="285" t="s">
        <v>214</v>
      </c>
      <c r="AB403" s="334"/>
      <c r="AC403" s="287">
        <v>6772865.0</v>
      </c>
      <c r="AD403" s="288"/>
      <c r="AE403" s="391">
        <v>2022.0</v>
      </c>
      <c r="AF403" s="391">
        <v>2021.0</v>
      </c>
      <c r="AG403" s="391">
        <v>2020.0</v>
      </c>
      <c r="AH403" s="391">
        <v>2019.0</v>
      </c>
      <c r="AI403" s="391">
        <v>2018.0</v>
      </c>
      <c r="AJ403" s="425" t="s">
        <v>1578</v>
      </c>
      <c r="AK403" s="426"/>
      <c r="AL403" s="259">
        <f>MATCH(B403,'Key Findings'!B:B,0)</f>
        <v>65</v>
      </c>
      <c r="AM403" s="260" t="b">
        <f t="shared" si="1"/>
        <v>1</v>
      </c>
      <c r="AN403" s="294"/>
    </row>
    <row r="404">
      <c r="A404" s="169">
        <f t="array" ref="A404">INDEX('Federal Tax, Stock Buybacks, &amp; '!D:D,match(B404,'Federal Tax, Stock Buybacks, &amp; '!E:E,0))</f>
        <v>457</v>
      </c>
      <c r="B404" s="138" t="s">
        <v>70</v>
      </c>
      <c r="C404" s="282"/>
      <c r="D404" s="373"/>
      <c r="E404" s="284"/>
      <c r="F404" s="268"/>
      <c r="G404" s="282"/>
      <c r="H404" s="373"/>
      <c r="I404" s="284"/>
      <c r="J404" s="268"/>
      <c r="K404" s="282" t="s">
        <v>628</v>
      </c>
      <c r="L404" s="373"/>
      <c r="M404" s="284">
        <v>2684266.0</v>
      </c>
      <c r="N404" s="268"/>
      <c r="O404" s="285" t="s">
        <v>443</v>
      </c>
      <c r="P404" s="374"/>
      <c r="Q404" s="284">
        <v>4264518.0</v>
      </c>
      <c r="R404" s="268"/>
      <c r="S404" s="285" t="s">
        <v>443</v>
      </c>
      <c r="T404" s="295"/>
      <c r="U404" s="284">
        <v>2806504.0</v>
      </c>
      <c r="V404" s="268"/>
      <c r="W404" s="285" t="s">
        <v>443</v>
      </c>
      <c r="X404" s="295"/>
      <c r="Y404" s="284">
        <v>3167932.0</v>
      </c>
      <c r="Z404" s="268"/>
      <c r="AA404" s="285" t="s">
        <v>443</v>
      </c>
      <c r="AB404" s="334"/>
      <c r="AC404" s="287">
        <v>2360014.0</v>
      </c>
      <c r="AD404" s="288"/>
      <c r="AE404" s="292"/>
      <c r="AF404" s="292"/>
      <c r="AG404" s="292"/>
      <c r="AH404" s="292"/>
      <c r="AI404" s="292"/>
      <c r="AJ404" s="293"/>
      <c r="AK404" s="293"/>
      <c r="AL404" s="259">
        <f>MATCH(B404,'Key Findings'!B:B,0)</f>
        <v>65</v>
      </c>
      <c r="AM404" s="260" t="b">
        <f t="shared" si="1"/>
        <v>1</v>
      </c>
      <c r="AN404" s="294"/>
    </row>
    <row r="405">
      <c r="A405" s="169">
        <f t="array" ref="A405">INDEX('Federal Tax, Stock Buybacks, &amp; '!D:D,match(B405,'Federal Tax, Stock Buybacks, &amp; '!E:E,0))</f>
        <v>457</v>
      </c>
      <c r="B405" s="138" t="s">
        <v>70</v>
      </c>
      <c r="C405" s="282"/>
      <c r="D405" s="373"/>
      <c r="E405" s="284"/>
      <c r="F405" s="268"/>
      <c r="G405" s="282"/>
      <c r="H405" s="373"/>
      <c r="I405" s="284"/>
      <c r="J405" s="268"/>
      <c r="K405" s="282" t="s">
        <v>230</v>
      </c>
      <c r="L405" s="373"/>
      <c r="M405" s="284">
        <v>1996882.0</v>
      </c>
      <c r="N405" s="268"/>
      <c r="O405" s="285" t="s">
        <v>230</v>
      </c>
      <c r="P405" s="374"/>
      <c r="Q405" s="284">
        <v>3388186.0</v>
      </c>
      <c r="R405" s="268"/>
      <c r="S405" s="285" t="s">
        <v>230</v>
      </c>
      <c r="T405" s="295"/>
      <c r="U405" s="284">
        <v>2127301.0</v>
      </c>
      <c r="V405" s="268"/>
      <c r="W405" s="285" t="s">
        <v>230</v>
      </c>
      <c r="X405" s="295"/>
      <c r="Y405" s="284">
        <v>2415874.0</v>
      </c>
      <c r="Z405" s="268"/>
      <c r="AA405" s="285" t="s">
        <v>230</v>
      </c>
      <c r="AB405" s="334"/>
      <c r="AC405" s="287">
        <v>1713605.0</v>
      </c>
      <c r="AD405" s="288"/>
      <c r="AE405" s="292"/>
      <c r="AF405" s="292"/>
      <c r="AG405" s="292"/>
      <c r="AH405" s="292"/>
      <c r="AI405" s="292"/>
      <c r="AJ405" s="293"/>
      <c r="AK405" s="293"/>
      <c r="AL405" s="259">
        <f>MATCH(B405,'Key Findings'!B:B,0)</f>
        <v>65</v>
      </c>
      <c r="AM405" s="260" t="b">
        <f t="shared" si="1"/>
        <v>1</v>
      </c>
      <c r="AN405" s="294"/>
    </row>
    <row r="406">
      <c r="A406" s="169">
        <f t="array" ref="A406">INDEX('Federal Tax, Stock Buybacks, &amp; '!D:D,match(B406,'Federal Tax, Stock Buybacks, &amp; '!E:E,0))</f>
        <v>147</v>
      </c>
      <c r="B406" s="412" t="s">
        <v>68</v>
      </c>
      <c r="C406" s="362"/>
      <c r="D406" s="413"/>
      <c r="E406" s="342"/>
      <c r="F406" s="268"/>
      <c r="G406" s="362"/>
      <c r="H406" s="413"/>
      <c r="I406" s="342"/>
      <c r="J406" s="268"/>
      <c r="K406" s="362" t="s">
        <v>245</v>
      </c>
      <c r="L406" s="413"/>
      <c r="M406" s="342">
        <v>7300613.0</v>
      </c>
      <c r="N406" s="268"/>
      <c r="O406" s="364" t="s">
        <v>245</v>
      </c>
      <c r="P406" s="414"/>
      <c r="Q406" s="342">
        <v>6981685.0</v>
      </c>
      <c r="R406" s="268"/>
      <c r="S406" s="364" t="s">
        <v>245</v>
      </c>
      <c r="T406" s="369"/>
      <c r="U406" s="342">
        <v>5979555.0</v>
      </c>
      <c r="V406" s="268"/>
      <c r="W406" s="364" t="s">
        <v>245</v>
      </c>
      <c r="X406" s="369"/>
      <c r="Y406" s="342">
        <v>6893752.0</v>
      </c>
      <c r="Z406" s="268"/>
      <c r="AA406" s="364" t="s">
        <v>245</v>
      </c>
      <c r="AB406" s="302"/>
      <c r="AC406" s="305">
        <v>6824351.0</v>
      </c>
      <c r="AD406" s="306"/>
      <c r="AE406" s="366">
        <v>2022.0</v>
      </c>
      <c r="AF406" s="366">
        <v>2021.0</v>
      </c>
      <c r="AG406" s="366">
        <v>2020.0</v>
      </c>
      <c r="AH406" s="366">
        <v>2019.0</v>
      </c>
      <c r="AI406" s="366">
        <v>2018.0</v>
      </c>
      <c r="AJ406" s="415" t="s">
        <v>1578</v>
      </c>
      <c r="AK406" s="416"/>
      <c r="AL406" s="275">
        <f>MATCH(B406,'Key Findings'!B:B,0)</f>
        <v>66</v>
      </c>
      <c r="AM406" s="274" t="b">
        <f t="shared" si="1"/>
        <v>0</v>
      </c>
      <c r="AN406" s="294"/>
    </row>
    <row r="407">
      <c r="A407" s="169">
        <f t="array" ref="A407">INDEX('Federal Tax, Stock Buybacks, &amp; '!D:D,match(B407,'Federal Tax, Stock Buybacks, &amp; '!E:E,0))</f>
        <v>147</v>
      </c>
      <c r="B407" s="412" t="s">
        <v>68</v>
      </c>
      <c r="C407" s="362"/>
      <c r="D407" s="413"/>
      <c r="E407" s="342"/>
      <c r="F407" s="268"/>
      <c r="G407" s="362"/>
      <c r="H407" s="413"/>
      <c r="I407" s="342"/>
      <c r="J407" s="268"/>
      <c r="K407" s="362" t="s">
        <v>243</v>
      </c>
      <c r="L407" s="413"/>
      <c r="M407" s="342">
        <v>2117834.0</v>
      </c>
      <c r="N407" s="268"/>
      <c r="O407" s="364" t="s">
        <v>243</v>
      </c>
      <c r="P407" s="414"/>
      <c r="Q407" s="342">
        <v>1994036.0</v>
      </c>
      <c r="R407" s="268"/>
      <c r="S407" s="364" t="s">
        <v>243</v>
      </c>
      <c r="T407" s="369"/>
      <c r="U407" s="342">
        <v>1533581.0</v>
      </c>
      <c r="V407" s="268"/>
      <c r="W407" s="364" t="s">
        <v>243</v>
      </c>
      <c r="X407" s="369"/>
      <c r="Y407" s="342">
        <v>1976315.0</v>
      </c>
      <c r="Z407" s="268"/>
      <c r="AA407" s="364" t="s">
        <v>243</v>
      </c>
      <c r="AB407" s="302"/>
      <c r="AC407" s="305">
        <v>1962890.0</v>
      </c>
      <c r="AD407" s="306"/>
      <c r="AE407" s="308"/>
      <c r="AF407" s="308"/>
      <c r="AG407" s="308"/>
      <c r="AH407" s="308"/>
      <c r="AI407" s="308"/>
      <c r="AJ407" s="368"/>
      <c r="AK407" s="368"/>
      <c r="AL407" s="275">
        <f>MATCH(B407,'Key Findings'!B:B,0)</f>
        <v>66</v>
      </c>
      <c r="AM407" s="274" t="b">
        <f t="shared" si="1"/>
        <v>0</v>
      </c>
      <c r="AN407" s="294"/>
    </row>
    <row r="408">
      <c r="A408" s="169">
        <f t="array" ref="A408">INDEX('Federal Tax, Stock Buybacks, &amp; '!D:D,match(B408,'Federal Tax, Stock Buybacks, &amp; '!E:E,0))</f>
        <v>147</v>
      </c>
      <c r="B408" s="412" t="s">
        <v>68</v>
      </c>
      <c r="C408" s="362"/>
      <c r="D408" s="413"/>
      <c r="E408" s="342"/>
      <c r="F408" s="268"/>
      <c r="G408" s="362"/>
      <c r="H408" s="413"/>
      <c r="I408" s="342"/>
      <c r="J408" s="268"/>
      <c r="K408" s="362" t="s">
        <v>473</v>
      </c>
      <c r="L408" s="413"/>
      <c r="M408" s="342">
        <v>2287447.0</v>
      </c>
      <c r="N408" s="268"/>
      <c r="O408" s="364" t="s">
        <v>473</v>
      </c>
      <c r="P408" s="414"/>
      <c r="Q408" s="342">
        <v>1097181.0</v>
      </c>
      <c r="R408" s="268"/>
      <c r="S408" s="364" t="s">
        <v>400</v>
      </c>
      <c r="T408" s="369"/>
      <c r="U408" s="342">
        <v>1507808.0</v>
      </c>
      <c r="V408" s="268"/>
      <c r="W408" s="364" t="s">
        <v>400</v>
      </c>
      <c r="X408" s="369"/>
      <c r="Y408" s="342">
        <v>1467659.0</v>
      </c>
      <c r="Z408" s="268"/>
      <c r="AA408" s="364" t="s">
        <v>400</v>
      </c>
      <c r="AB408" s="302"/>
      <c r="AC408" s="305">
        <v>1789140.0</v>
      </c>
      <c r="AD408" s="306"/>
      <c r="AE408" s="308"/>
      <c r="AF408" s="308"/>
      <c r="AG408" s="308"/>
      <c r="AH408" s="308"/>
      <c r="AI408" s="308"/>
      <c r="AJ408" s="368"/>
      <c r="AK408" s="368"/>
      <c r="AL408" s="275">
        <f>MATCH(B408,'Key Findings'!B:B,0)</f>
        <v>66</v>
      </c>
      <c r="AM408" s="274" t="b">
        <f t="shared" si="1"/>
        <v>0</v>
      </c>
      <c r="AN408" s="294"/>
    </row>
    <row r="409">
      <c r="A409" s="169">
        <f t="array" ref="A409">INDEX('Federal Tax, Stock Buybacks, &amp; '!D:D,match(B409,'Federal Tax, Stock Buybacks, &amp; '!E:E,0))</f>
        <v>147</v>
      </c>
      <c r="B409" s="412" t="s">
        <v>68</v>
      </c>
      <c r="C409" s="362"/>
      <c r="D409" s="413"/>
      <c r="E409" s="342"/>
      <c r="F409" s="268"/>
      <c r="G409" s="362"/>
      <c r="H409" s="413"/>
      <c r="I409" s="342"/>
      <c r="J409" s="268"/>
      <c r="K409" s="362" t="s">
        <v>255</v>
      </c>
      <c r="L409" s="413"/>
      <c r="M409" s="342">
        <v>1789732.0</v>
      </c>
      <c r="N409" s="268"/>
      <c r="O409" s="364" t="s">
        <v>255</v>
      </c>
      <c r="P409" s="414"/>
      <c r="Q409" s="342">
        <v>1710752.0</v>
      </c>
      <c r="R409" s="268"/>
      <c r="S409" s="364" t="s">
        <v>255</v>
      </c>
      <c r="T409" s="369"/>
      <c r="U409" s="342">
        <v>1468446.0</v>
      </c>
      <c r="V409" s="268"/>
      <c r="W409" s="364" t="s">
        <v>255</v>
      </c>
      <c r="X409" s="369"/>
      <c r="Y409" s="342">
        <v>1424649.0</v>
      </c>
      <c r="Z409" s="268"/>
      <c r="AA409" s="364" t="s">
        <v>255</v>
      </c>
      <c r="AB409" s="302"/>
      <c r="AC409" s="305">
        <v>1747083.0</v>
      </c>
      <c r="AD409" s="306"/>
      <c r="AE409" s="308"/>
      <c r="AF409" s="308"/>
      <c r="AG409" s="308"/>
      <c r="AH409" s="308"/>
      <c r="AI409" s="308"/>
      <c r="AJ409" s="368"/>
      <c r="AK409" s="368"/>
      <c r="AL409" s="275">
        <f>MATCH(B409,'Key Findings'!B:B,0)</f>
        <v>66</v>
      </c>
      <c r="AM409" s="274" t="b">
        <f t="shared" si="1"/>
        <v>0</v>
      </c>
      <c r="AN409" s="294"/>
    </row>
    <row r="410">
      <c r="A410" s="169">
        <f t="array" ref="A410">INDEX('Federal Tax, Stock Buybacks, &amp; '!D:D,match(B410,'Federal Tax, Stock Buybacks, &amp; '!E:E,0))</f>
        <v>147</v>
      </c>
      <c r="B410" s="412" t="s">
        <v>68</v>
      </c>
      <c r="C410" s="362"/>
      <c r="D410" s="413"/>
      <c r="E410" s="342"/>
      <c r="F410" s="268"/>
      <c r="G410" s="362"/>
      <c r="H410" s="413"/>
      <c r="I410" s="342"/>
      <c r="J410" s="268"/>
      <c r="K410" s="362" t="s">
        <v>256</v>
      </c>
      <c r="L410" s="413"/>
      <c r="M410" s="342">
        <v>1841637.0</v>
      </c>
      <c r="N410" s="268"/>
      <c r="O410" s="364" t="s">
        <v>256</v>
      </c>
      <c r="P410" s="414"/>
      <c r="Q410" s="342">
        <v>1767474.0</v>
      </c>
      <c r="R410" s="268"/>
      <c r="S410" s="364" t="s">
        <v>256</v>
      </c>
      <c r="T410" s="369"/>
      <c r="U410" s="342">
        <v>1513352.0</v>
      </c>
      <c r="V410" s="268"/>
      <c r="W410" s="364" t="s">
        <v>256</v>
      </c>
      <c r="X410" s="369"/>
      <c r="Y410" s="342">
        <v>1479597.0</v>
      </c>
      <c r="Z410" s="268"/>
      <c r="AA410" s="364" t="s">
        <v>256</v>
      </c>
      <c r="AB410" s="302"/>
      <c r="AC410" s="305">
        <v>1799417.0</v>
      </c>
      <c r="AD410" s="306"/>
      <c r="AE410" s="308"/>
      <c r="AF410" s="308"/>
      <c r="AG410" s="308"/>
      <c r="AH410" s="308"/>
      <c r="AI410" s="308"/>
      <c r="AJ410" s="368"/>
      <c r="AK410" s="368"/>
      <c r="AL410" s="275">
        <f>MATCH(B410,'Key Findings'!B:B,0)</f>
        <v>66</v>
      </c>
      <c r="AM410" s="274" t="b">
        <f t="shared" si="1"/>
        <v>0</v>
      </c>
      <c r="AN410" s="294"/>
    </row>
    <row r="411">
      <c r="A411" s="169">
        <f t="array" ref="A411">INDEX('Federal Tax, Stock Buybacks, &amp; '!D:D,match(B411,'Federal Tax, Stock Buybacks, &amp; '!E:E,0))</f>
        <v>147</v>
      </c>
      <c r="B411" s="412" t="s">
        <v>68</v>
      </c>
      <c r="C411" s="372"/>
      <c r="D411" s="370"/>
      <c r="E411" s="371"/>
      <c r="F411" s="268"/>
      <c r="G411" s="372"/>
      <c r="H411" s="370"/>
      <c r="I411" s="371"/>
      <c r="J411" s="268"/>
      <c r="K411" s="372" t="s">
        <v>711</v>
      </c>
      <c r="L411" s="370" t="s">
        <v>711</v>
      </c>
      <c r="M411" s="371" t="s">
        <v>711</v>
      </c>
      <c r="N411" s="268"/>
      <c r="O411" s="364" t="s">
        <v>473</v>
      </c>
      <c r="P411" s="414"/>
      <c r="Q411" s="342">
        <v>1097181.0</v>
      </c>
      <c r="R411" s="268"/>
      <c r="S411" s="370" t="s">
        <v>711</v>
      </c>
      <c r="T411" s="370" t="s">
        <v>711</v>
      </c>
      <c r="U411" s="371" t="s">
        <v>711</v>
      </c>
      <c r="V411" s="268"/>
      <c r="W411" s="370" t="s">
        <v>711</v>
      </c>
      <c r="X411" s="370" t="s">
        <v>711</v>
      </c>
      <c r="Y411" s="371" t="s">
        <v>711</v>
      </c>
      <c r="Z411" s="268"/>
      <c r="AA411" s="370" t="s">
        <v>711</v>
      </c>
      <c r="AB411" s="370" t="s">
        <v>711</v>
      </c>
      <c r="AC411" s="371" t="s">
        <v>711</v>
      </c>
      <c r="AD411" s="306"/>
      <c r="AE411" s="308"/>
      <c r="AF411" s="308"/>
      <c r="AG411" s="308"/>
      <c r="AH411" s="308"/>
      <c r="AI411" s="308"/>
      <c r="AJ411" s="368"/>
      <c r="AK411" s="368"/>
      <c r="AL411" s="275">
        <f>MATCH(B411,'Key Findings'!B:B,0)</f>
        <v>66</v>
      </c>
      <c r="AM411" s="274" t="b">
        <f t="shared" si="1"/>
        <v>0</v>
      </c>
      <c r="AN411" s="294"/>
    </row>
    <row r="412">
      <c r="A412" s="169">
        <f t="array" ref="A412">INDEX('Federal Tax, Stock Buybacks, &amp; '!D:D,match(B412,'Federal Tax, Stock Buybacks, &amp; '!E:E,0))</f>
        <v>147</v>
      </c>
      <c r="B412" s="412" t="s">
        <v>68</v>
      </c>
      <c r="C412" s="372"/>
      <c r="D412" s="370"/>
      <c r="E412" s="371"/>
      <c r="F412" s="268"/>
      <c r="G412" s="372"/>
      <c r="H412" s="370"/>
      <c r="I412" s="371"/>
      <c r="J412" s="268"/>
      <c r="K412" s="372" t="s">
        <v>711</v>
      </c>
      <c r="L412" s="370" t="s">
        <v>711</v>
      </c>
      <c r="M412" s="371" t="s">
        <v>711</v>
      </c>
      <c r="N412" s="268"/>
      <c r="O412" s="364" t="s">
        <v>400</v>
      </c>
      <c r="P412" s="414"/>
      <c r="Q412" s="342">
        <v>3345175.0</v>
      </c>
      <c r="R412" s="268"/>
      <c r="S412" s="370" t="s">
        <v>711</v>
      </c>
      <c r="T412" s="370" t="s">
        <v>711</v>
      </c>
      <c r="U412" s="371" t="s">
        <v>711</v>
      </c>
      <c r="V412" s="268"/>
      <c r="W412" s="370" t="s">
        <v>711</v>
      </c>
      <c r="X412" s="370" t="s">
        <v>711</v>
      </c>
      <c r="Y412" s="371" t="s">
        <v>711</v>
      </c>
      <c r="Z412" s="268"/>
      <c r="AA412" s="370" t="s">
        <v>711</v>
      </c>
      <c r="AB412" s="370" t="s">
        <v>711</v>
      </c>
      <c r="AC412" s="371" t="s">
        <v>711</v>
      </c>
      <c r="AD412" s="306"/>
      <c r="AE412" s="308"/>
      <c r="AF412" s="308"/>
      <c r="AG412" s="308"/>
      <c r="AH412" s="308"/>
      <c r="AI412" s="308"/>
      <c r="AJ412" s="368"/>
      <c r="AK412" s="368"/>
      <c r="AL412" s="275">
        <f>MATCH(B412,'Key Findings'!B:B,0)</f>
        <v>66</v>
      </c>
      <c r="AM412" s="274" t="b">
        <f t="shared" si="1"/>
        <v>0</v>
      </c>
      <c r="AN412" s="294"/>
    </row>
    <row r="413">
      <c r="A413" s="196">
        <f t="array" ref="A413">INDEX('Federal Tax, Stock Buybacks, &amp; '!D:D,match(B413,'Federal Tax, Stock Buybacks, &amp; '!E:E,0))</f>
        <v>515</v>
      </c>
      <c r="B413" s="130" t="s">
        <v>75</v>
      </c>
      <c r="C413" s="282"/>
      <c r="D413" s="373"/>
      <c r="E413" s="284"/>
      <c r="F413" s="268"/>
      <c r="G413" s="282"/>
      <c r="H413" s="373"/>
      <c r="I413" s="284"/>
      <c r="J413" s="268"/>
      <c r="K413" s="282" t="s">
        <v>219</v>
      </c>
      <c r="L413" s="373"/>
      <c r="M413" s="284">
        <v>5257289.0</v>
      </c>
      <c r="N413" s="268"/>
      <c r="O413" s="285" t="s">
        <v>219</v>
      </c>
      <c r="P413" s="374"/>
      <c r="Q413" s="284">
        <v>5210467.0</v>
      </c>
      <c r="R413" s="268"/>
      <c r="S413" s="285" t="s">
        <v>219</v>
      </c>
      <c r="T413" s="295"/>
      <c r="U413" s="284">
        <v>6423410.0</v>
      </c>
      <c r="V413" s="268"/>
      <c r="W413" s="285" t="s">
        <v>219</v>
      </c>
      <c r="X413" s="295"/>
      <c r="Y413" s="284">
        <v>6144355.0</v>
      </c>
      <c r="Z413" s="268"/>
      <c r="AA413" s="285" t="s">
        <v>219</v>
      </c>
      <c r="AB413" s="334"/>
      <c r="AC413" s="287">
        <v>4155255.0</v>
      </c>
      <c r="AD413" s="288"/>
      <c r="AE413" s="391">
        <v>2022.0</v>
      </c>
      <c r="AF413" s="391">
        <v>2021.0</v>
      </c>
      <c r="AG413" s="391">
        <v>2020.0</v>
      </c>
      <c r="AH413" s="391">
        <v>2019.0</v>
      </c>
      <c r="AI413" s="391">
        <v>2018.0</v>
      </c>
      <c r="AJ413" s="357" t="s">
        <v>1578</v>
      </c>
      <c r="AK413" s="281"/>
      <c r="AL413" s="259">
        <f>MATCH(B413,'Key Findings'!B:B,0)</f>
        <v>67</v>
      </c>
      <c r="AM413" s="260" t="b">
        <f t="shared" si="1"/>
        <v>1</v>
      </c>
      <c r="AN413" s="291" t="s">
        <v>1962</v>
      </c>
    </row>
    <row r="414">
      <c r="A414" s="196">
        <f t="array" ref="A414">INDEX('Federal Tax, Stock Buybacks, &amp; '!D:D,match(B414,'Federal Tax, Stock Buybacks, &amp; '!E:E,0))</f>
        <v>515</v>
      </c>
      <c r="B414" s="130" t="s">
        <v>75</v>
      </c>
      <c r="C414" s="282"/>
      <c r="D414" s="373"/>
      <c r="E414" s="284"/>
      <c r="F414" s="268"/>
      <c r="G414" s="282"/>
      <c r="H414" s="373"/>
      <c r="I414" s="284"/>
      <c r="J414" s="268"/>
      <c r="K414" s="282" t="s">
        <v>183</v>
      </c>
      <c r="L414" s="373"/>
      <c r="M414" s="284">
        <v>1766989.0</v>
      </c>
      <c r="N414" s="268"/>
      <c r="O414" s="285" t="s">
        <v>183</v>
      </c>
      <c r="P414" s="374"/>
      <c r="Q414" s="284">
        <v>1664273.0</v>
      </c>
      <c r="R414" s="268"/>
      <c r="S414" s="285" t="s">
        <v>183</v>
      </c>
      <c r="T414" s="295"/>
      <c r="U414" s="284">
        <v>1707146.0</v>
      </c>
      <c r="V414" s="268"/>
      <c r="W414" s="285" t="s">
        <v>183</v>
      </c>
      <c r="X414" s="295"/>
      <c r="Y414" s="284">
        <v>1589981.0</v>
      </c>
      <c r="Z414" s="268"/>
      <c r="AA414" s="285" t="s">
        <v>183</v>
      </c>
      <c r="AB414" s="334"/>
      <c r="AC414" s="287">
        <v>1138379.0</v>
      </c>
      <c r="AD414" s="288"/>
      <c r="AE414" s="292"/>
      <c r="AF414" s="292"/>
      <c r="AG414" s="292"/>
      <c r="AH414" s="292"/>
      <c r="AI414" s="292"/>
      <c r="AJ414" s="293"/>
      <c r="AK414" s="281"/>
      <c r="AL414" s="259">
        <f>MATCH(B414,'Key Findings'!B:B,0)</f>
        <v>67</v>
      </c>
      <c r="AM414" s="260" t="b">
        <f t="shared" si="1"/>
        <v>1</v>
      </c>
      <c r="AN414" s="294"/>
    </row>
    <row r="415">
      <c r="A415" s="196">
        <f t="array" ref="A415">INDEX('Federal Tax, Stock Buybacks, &amp; '!D:D,match(B415,'Federal Tax, Stock Buybacks, &amp; '!E:E,0))</f>
        <v>515</v>
      </c>
      <c r="B415" s="130" t="s">
        <v>75</v>
      </c>
      <c r="C415" s="282"/>
      <c r="D415" s="373"/>
      <c r="E415" s="284"/>
      <c r="F415" s="268"/>
      <c r="G415" s="282"/>
      <c r="H415" s="373"/>
      <c r="I415" s="284"/>
      <c r="J415" s="268"/>
      <c r="K415" s="282" t="s">
        <v>266</v>
      </c>
      <c r="L415" s="373"/>
      <c r="M415" s="284">
        <v>1931645.0</v>
      </c>
      <c r="N415" s="268"/>
      <c r="O415" s="285" t="s">
        <v>266</v>
      </c>
      <c r="P415" s="374"/>
      <c r="Q415" s="284">
        <v>1926900.0</v>
      </c>
      <c r="R415" s="268"/>
      <c r="S415" s="285" t="s">
        <v>266</v>
      </c>
      <c r="T415" s="295"/>
      <c r="U415" s="284">
        <v>2323718.0</v>
      </c>
      <c r="V415" s="268"/>
      <c r="W415" s="285" t="s">
        <v>266</v>
      </c>
      <c r="X415" s="295"/>
      <c r="Y415" s="284">
        <v>2426077.0</v>
      </c>
      <c r="Z415" s="268"/>
      <c r="AA415" s="285" t="s">
        <v>266</v>
      </c>
      <c r="AB415" s="334"/>
      <c r="AC415" s="287">
        <v>2049254.0</v>
      </c>
      <c r="AD415" s="288"/>
      <c r="AE415" s="292"/>
      <c r="AF415" s="292"/>
      <c r="AG415" s="292"/>
      <c r="AH415" s="292"/>
      <c r="AI415" s="292"/>
      <c r="AJ415" s="293"/>
      <c r="AK415" s="281"/>
      <c r="AL415" s="259">
        <f>MATCH(B415,'Key Findings'!B:B,0)</f>
        <v>67</v>
      </c>
      <c r="AM415" s="260" t="b">
        <f t="shared" si="1"/>
        <v>1</v>
      </c>
      <c r="AN415" s="294"/>
    </row>
    <row r="416">
      <c r="A416" s="196">
        <f t="array" ref="A416">INDEX('Federal Tax, Stock Buybacks, &amp; '!D:D,match(B416,'Federal Tax, Stock Buybacks, &amp; '!E:E,0))</f>
        <v>515</v>
      </c>
      <c r="B416" s="130" t="s">
        <v>75</v>
      </c>
      <c r="C416" s="282"/>
      <c r="D416" s="373"/>
      <c r="E416" s="284"/>
      <c r="F416" s="268"/>
      <c r="G416" s="282"/>
      <c r="H416" s="373"/>
      <c r="I416" s="284"/>
      <c r="J416" s="268"/>
      <c r="K416" s="282" t="s">
        <v>242</v>
      </c>
      <c r="L416" s="373"/>
      <c r="M416" s="284">
        <v>2170462.0</v>
      </c>
      <c r="N416" s="268"/>
      <c r="O416" s="285" t="s">
        <v>242</v>
      </c>
      <c r="P416" s="374"/>
      <c r="Q416" s="284">
        <v>1848932.0</v>
      </c>
      <c r="R416" s="268"/>
      <c r="S416" s="285" t="s">
        <v>242</v>
      </c>
      <c r="T416" s="295"/>
      <c r="U416" s="284">
        <v>2234520.0</v>
      </c>
      <c r="V416" s="268"/>
      <c r="W416" s="285" t="s">
        <v>242</v>
      </c>
      <c r="X416" s="295"/>
      <c r="Y416" s="284">
        <v>2201940.0</v>
      </c>
      <c r="Z416" s="268"/>
      <c r="AA416" s="285" t="s">
        <v>242</v>
      </c>
      <c r="AB416" s="334"/>
      <c r="AC416" s="287">
        <v>1991476.0</v>
      </c>
      <c r="AD416" s="288"/>
      <c r="AE416" s="292"/>
      <c r="AF416" s="292"/>
      <c r="AG416" s="292"/>
      <c r="AH416" s="292"/>
      <c r="AI416" s="292"/>
      <c r="AJ416" s="293"/>
      <c r="AK416" s="281"/>
      <c r="AL416" s="259">
        <f>MATCH(B416,'Key Findings'!B:B,0)</f>
        <v>67</v>
      </c>
      <c r="AM416" s="260" t="b">
        <f t="shared" si="1"/>
        <v>1</v>
      </c>
      <c r="AN416" s="294"/>
    </row>
    <row r="417">
      <c r="A417" s="196">
        <f t="array" ref="A417">INDEX('Federal Tax, Stock Buybacks, &amp; '!D:D,match(B417,'Federal Tax, Stock Buybacks, &amp; '!E:E,0))</f>
        <v>515</v>
      </c>
      <c r="B417" s="130" t="s">
        <v>75</v>
      </c>
      <c r="C417" s="282"/>
      <c r="D417" s="373"/>
      <c r="E417" s="284"/>
      <c r="F417" s="268"/>
      <c r="G417" s="282"/>
      <c r="H417" s="373"/>
      <c r="I417" s="284"/>
      <c r="J417" s="268"/>
      <c r="K417" s="282" t="s">
        <v>208</v>
      </c>
      <c r="L417" s="373"/>
      <c r="M417" s="284">
        <v>1737461.0</v>
      </c>
      <c r="N417" s="268"/>
      <c r="O417" s="285" t="s">
        <v>208</v>
      </c>
      <c r="P417" s="374"/>
      <c r="Q417" s="284">
        <v>1802231.0</v>
      </c>
      <c r="R417" s="268"/>
      <c r="S417" s="285" t="s">
        <v>208</v>
      </c>
      <c r="T417" s="295"/>
      <c r="U417" s="284">
        <v>1906301.0</v>
      </c>
      <c r="V417" s="268"/>
      <c r="W417" s="285" t="s">
        <v>208</v>
      </c>
      <c r="X417" s="295"/>
      <c r="Y417" s="284">
        <v>1972052.0</v>
      </c>
      <c r="Z417" s="268"/>
      <c r="AA417" s="285" t="s">
        <v>208</v>
      </c>
      <c r="AB417" s="334"/>
      <c r="AC417" s="287">
        <v>1306986.0</v>
      </c>
      <c r="AD417" s="288"/>
      <c r="AE417" s="292"/>
      <c r="AF417" s="292"/>
      <c r="AG417" s="292"/>
      <c r="AH417" s="292"/>
      <c r="AI417" s="292"/>
      <c r="AJ417" s="293"/>
      <c r="AK417" s="281"/>
      <c r="AL417" s="259">
        <f>MATCH(B417,'Key Findings'!B:B,0)</f>
        <v>67</v>
      </c>
      <c r="AM417" s="260" t="b">
        <f t="shared" si="1"/>
        <v>1</v>
      </c>
      <c r="AN417" s="294"/>
    </row>
    <row r="418">
      <c r="A418" s="196"/>
      <c r="B418" s="281"/>
      <c r="C418" s="457"/>
      <c r="D418" s="373"/>
      <c r="E418" s="471"/>
      <c r="F418" s="254"/>
      <c r="G418" s="457"/>
      <c r="H418" s="373"/>
      <c r="I418" s="471"/>
      <c r="J418" s="254"/>
      <c r="K418" s="457"/>
      <c r="L418" s="373"/>
      <c r="M418" s="471"/>
      <c r="N418" s="254"/>
      <c r="O418" s="457"/>
      <c r="P418" s="373"/>
      <c r="Q418" s="471"/>
      <c r="R418" s="254"/>
      <c r="S418" s="457"/>
      <c r="T418" s="373"/>
      <c r="U418" s="471"/>
      <c r="V418" s="254"/>
      <c r="W418" s="457"/>
      <c r="X418" s="373"/>
      <c r="Y418" s="471"/>
      <c r="Z418" s="254"/>
      <c r="AA418" s="457"/>
      <c r="AB418" s="373"/>
      <c r="AC418" s="472"/>
      <c r="AD418" s="288"/>
      <c r="AE418" s="321"/>
      <c r="AF418" s="321"/>
      <c r="AG418" s="321"/>
      <c r="AH418" s="321"/>
      <c r="AI418" s="321"/>
      <c r="AJ418" s="290"/>
      <c r="AK418" s="281"/>
      <c r="AL418" s="259"/>
      <c r="AM418" s="260"/>
      <c r="AN418" s="294"/>
    </row>
    <row r="419">
      <c r="A419" s="196"/>
      <c r="B419" s="281"/>
      <c r="C419" s="457"/>
      <c r="D419" s="373"/>
      <c r="E419" s="471"/>
      <c r="F419" s="254"/>
      <c r="G419" s="457"/>
      <c r="H419" s="373"/>
      <c r="I419" s="471"/>
      <c r="J419" s="254"/>
      <c r="K419" s="457"/>
      <c r="L419" s="373"/>
      <c r="M419" s="471"/>
      <c r="N419" s="254"/>
      <c r="O419" s="457"/>
      <c r="P419" s="373"/>
      <c r="Q419" s="471"/>
      <c r="R419" s="254"/>
      <c r="S419" s="457"/>
      <c r="T419" s="373"/>
      <c r="U419" s="471"/>
      <c r="V419" s="254"/>
      <c r="W419" s="457"/>
      <c r="X419" s="373"/>
      <c r="Y419" s="471"/>
      <c r="Z419" s="254"/>
      <c r="AA419" s="457"/>
      <c r="AB419" s="373"/>
      <c r="AC419" s="472"/>
      <c r="AD419" s="288"/>
      <c r="AE419" s="321"/>
      <c r="AF419" s="321"/>
      <c r="AG419" s="321"/>
      <c r="AH419" s="321"/>
      <c r="AI419" s="321"/>
      <c r="AJ419" s="290"/>
      <c r="AK419" s="281"/>
      <c r="AL419" s="259"/>
      <c r="AM419" s="260"/>
      <c r="AN419" s="294"/>
    </row>
    <row r="420">
      <c r="A420" s="473"/>
      <c r="B420" s="474"/>
      <c r="C420" s="475"/>
      <c r="D420" s="476"/>
      <c r="E420" s="477"/>
      <c r="F420" s="254"/>
      <c r="G420" s="475"/>
      <c r="H420" s="476"/>
      <c r="I420" s="477"/>
      <c r="J420" s="254"/>
      <c r="K420" s="475"/>
      <c r="L420" s="476"/>
      <c r="M420" s="477"/>
      <c r="N420" s="254"/>
      <c r="O420" s="475"/>
      <c r="P420" s="476"/>
      <c r="Q420" s="477"/>
      <c r="R420" s="254"/>
      <c r="S420" s="475"/>
      <c r="T420" s="476"/>
      <c r="U420" s="477"/>
      <c r="V420" s="254"/>
      <c r="W420" s="475"/>
      <c r="X420" s="476"/>
      <c r="Y420" s="477"/>
      <c r="Z420" s="254"/>
      <c r="AA420" s="475"/>
      <c r="AB420" s="476"/>
      <c r="AC420" s="478"/>
      <c r="AD420" s="479"/>
      <c r="AE420" s="480"/>
      <c r="AF420" s="480"/>
      <c r="AG420" s="480"/>
      <c r="AH420" s="480"/>
      <c r="AI420" s="480"/>
      <c r="AJ420" s="481"/>
      <c r="AK420" s="474"/>
      <c r="AL420" s="482"/>
      <c r="AM420" s="483"/>
      <c r="AN420" s="484"/>
    </row>
    <row r="421">
      <c r="A421" s="473"/>
      <c r="B421" s="474"/>
      <c r="C421" s="475"/>
      <c r="D421" s="476"/>
      <c r="E421" s="477"/>
      <c r="F421" s="254"/>
      <c r="G421" s="475"/>
      <c r="H421" s="476"/>
      <c r="I421" s="477"/>
      <c r="J421" s="254"/>
      <c r="K421" s="475"/>
      <c r="L421" s="476"/>
      <c r="M421" s="477"/>
      <c r="N421" s="254"/>
      <c r="O421" s="475"/>
      <c r="P421" s="476"/>
      <c r="Q421" s="477"/>
      <c r="R421" s="254"/>
      <c r="S421" s="475"/>
      <c r="T421" s="476"/>
      <c r="U421" s="477"/>
      <c r="V421" s="254"/>
      <c r="W421" s="475"/>
      <c r="X421" s="476"/>
      <c r="Y421" s="477"/>
      <c r="Z421" s="254"/>
      <c r="AA421" s="475"/>
      <c r="AB421" s="476"/>
      <c r="AC421" s="478"/>
      <c r="AD421" s="479"/>
      <c r="AE421" s="480"/>
      <c r="AF421" s="480"/>
      <c r="AG421" s="480"/>
      <c r="AH421" s="480"/>
      <c r="AI421" s="480"/>
      <c r="AJ421" s="481"/>
      <c r="AK421" s="474"/>
      <c r="AL421" s="482"/>
      <c r="AM421" s="483"/>
      <c r="AN421" s="484"/>
    </row>
    <row r="422">
      <c r="A422" s="196"/>
      <c r="B422" s="281"/>
      <c r="C422" s="457"/>
      <c r="D422" s="373"/>
      <c r="E422" s="471"/>
      <c r="F422" s="254"/>
      <c r="G422" s="457"/>
      <c r="H422" s="373"/>
      <c r="I422" s="471"/>
      <c r="J422" s="254"/>
      <c r="K422" s="457"/>
      <c r="L422" s="373"/>
      <c r="M422" s="471"/>
      <c r="N422" s="254"/>
      <c r="O422" s="457"/>
      <c r="P422" s="373"/>
      <c r="Q422" s="471"/>
      <c r="R422" s="254"/>
      <c r="S422" s="457"/>
      <c r="T422" s="373"/>
      <c r="U422" s="471"/>
      <c r="V422" s="254"/>
      <c r="W422" s="457"/>
      <c r="X422" s="373"/>
      <c r="Y422" s="471"/>
      <c r="Z422" s="254"/>
      <c r="AA422" s="457"/>
      <c r="AB422" s="373"/>
      <c r="AC422" s="472"/>
      <c r="AD422" s="288"/>
      <c r="AE422" s="321"/>
      <c r="AF422" s="321"/>
      <c r="AG422" s="321"/>
      <c r="AH422" s="321"/>
      <c r="AI422" s="321"/>
      <c r="AJ422" s="290"/>
      <c r="AK422" s="281"/>
      <c r="AL422" s="259"/>
      <c r="AM422" s="260"/>
      <c r="AN422" s="294"/>
    </row>
    <row r="423">
      <c r="A423" s="196"/>
      <c r="B423" s="281"/>
      <c r="C423" s="457"/>
      <c r="D423" s="373"/>
      <c r="E423" s="471"/>
      <c r="F423" s="254"/>
      <c r="G423" s="457"/>
      <c r="H423" s="373"/>
      <c r="I423" s="471"/>
      <c r="J423" s="254"/>
      <c r="K423" s="457"/>
      <c r="L423" s="373"/>
      <c r="M423" s="471"/>
      <c r="N423" s="254"/>
      <c r="O423" s="457"/>
      <c r="P423" s="373"/>
      <c r="Q423" s="471"/>
      <c r="R423" s="254"/>
      <c r="S423" s="457"/>
      <c r="T423" s="373"/>
      <c r="U423" s="471"/>
      <c r="V423" s="254"/>
      <c r="W423" s="457"/>
      <c r="X423" s="373"/>
      <c r="Y423" s="471"/>
      <c r="Z423" s="254"/>
      <c r="AA423" s="457"/>
      <c r="AB423" s="373"/>
      <c r="AC423" s="472"/>
      <c r="AD423" s="288"/>
      <c r="AE423" s="321"/>
      <c r="AF423" s="321"/>
      <c r="AG423" s="321"/>
      <c r="AH423" s="321"/>
      <c r="AI423" s="321"/>
      <c r="AJ423" s="290"/>
      <c r="AK423" s="281"/>
      <c r="AL423" s="259"/>
      <c r="AM423" s="260"/>
      <c r="AN423" s="294"/>
    </row>
    <row r="424">
      <c r="A424" s="169">
        <f t="array" ref="A424">INDEX('Federal Tax, Stock Buybacks, &amp; '!D:D,match(B424,'Federal Tax, Stock Buybacks, &amp; '!E:E,0))</f>
        <v>8</v>
      </c>
      <c r="B424" s="404" t="s">
        <v>1480</v>
      </c>
      <c r="C424" s="387"/>
      <c r="D424" s="334"/>
      <c r="E424" s="472"/>
      <c r="F424" s="254"/>
      <c r="G424" s="387"/>
      <c r="H424" s="334"/>
      <c r="I424" s="472"/>
      <c r="J424" s="254"/>
      <c r="K424" s="387" t="s">
        <v>1479</v>
      </c>
      <c r="L424" s="334" t="s">
        <v>1963</v>
      </c>
      <c r="M424" s="472">
        <v>2.25985145E8</v>
      </c>
      <c r="N424" s="254"/>
      <c r="O424" s="387" t="s">
        <v>1479</v>
      </c>
      <c r="P424" s="387" t="s">
        <v>1963</v>
      </c>
      <c r="Q424" s="472">
        <v>6322599.0</v>
      </c>
      <c r="R424" s="254"/>
      <c r="S424" s="387" t="s">
        <v>1479</v>
      </c>
      <c r="T424" s="387" t="s">
        <v>1963</v>
      </c>
      <c r="U424" s="472">
        <v>7425547.0</v>
      </c>
      <c r="V424" s="254"/>
      <c r="W424" s="387" t="s">
        <v>1487</v>
      </c>
      <c r="X424" s="387" t="s">
        <v>1964</v>
      </c>
      <c r="Y424" s="472">
        <v>1.0</v>
      </c>
      <c r="Z424" s="254"/>
      <c r="AA424" s="387" t="s">
        <v>1486</v>
      </c>
      <c r="AB424" s="387" t="s">
        <v>1965</v>
      </c>
      <c r="AC424" s="472">
        <v>1612016.0</v>
      </c>
      <c r="AD424" s="407"/>
      <c r="AE424" s="408">
        <v>2022.0</v>
      </c>
      <c r="AF424" s="408">
        <v>2021.0</v>
      </c>
      <c r="AG424" s="408">
        <v>2020.0</v>
      </c>
      <c r="AH424" s="408">
        <v>2019.0</v>
      </c>
      <c r="AI424" s="408">
        <v>2018.0</v>
      </c>
      <c r="AJ424" s="382" t="s">
        <v>1524</v>
      </c>
      <c r="AK424" s="260"/>
      <c r="AL424" s="259" t="str">
        <f>MATCH(B424,'Key Findings'!B:B,0)</f>
        <v>#N/A</v>
      </c>
      <c r="AM424" s="260" t="b">
        <f t="shared" ref="AM424:AM916" si="2">ISODD(A424)</f>
        <v>0</v>
      </c>
      <c r="AN424" s="485"/>
    </row>
    <row r="425">
      <c r="A425" s="169">
        <f t="array" ref="A425">INDEX('Federal Tax, Stock Buybacks, &amp; '!D:D,match(B425,'Federal Tax, Stock Buybacks, &amp; '!E:E,0))</f>
        <v>8</v>
      </c>
      <c r="B425" s="404" t="s">
        <v>1480</v>
      </c>
      <c r="C425" s="387"/>
      <c r="D425" s="334"/>
      <c r="E425" s="472"/>
      <c r="F425" s="254"/>
      <c r="G425" s="387"/>
      <c r="H425" s="334"/>
      <c r="I425" s="472"/>
      <c r="J425" s="254"/>
      <c r="K425" s="387" t="s">
        <v>1481</v>
      </c>
      <c r="L425" s="334" t="s">
        <v>1966</v>
      </c>
      <c r="M425" s="472">
        <v>2.4453769E7</v>
      </c>
      <c r="N425" s="254"/>
      <c r="O425" s="387" t="s">
        <v>1481</v>
      </c>
      <c r="P425" s="387" t="s">
        <v>1966</v>
      </c>
      <c r="Q425" s="472">
        <v>1.4662476E7</v>
      </c>
      <c r="R425" s="254"/>
      <c r="S425" s="387" t="s">
        <v>1481</v>
      </c>
      <c r="T425" s="387" t="s">
        <v>1966</v>
      </c>
      <c r="U425" s="472">
        <v>5.0890683E7</v>
      </c>
      <c r="V425" s="254"/>
      <c r="W425" s="387" t="s">
        <v>1479</v>
      </c>
      <c r="X425" s="387" t="s">
        <v>1963</v>
      </c>
      <c r="Y425" s="472">
        <v>2.80621552E8</v>
      </c>
      <c r="Z425" s="254"/>
      <c r="AA425" s="387" t="s">
        <v>1487</v>
      </c>
      <c r="AB425" s="387" t="s">
        <v>1967</v>
      </c>
      <c r="AC425" s="472">
        <v>1.0</v>
      </c>
      <c r="AD425" s="407"/>
      <c r="AE425" s="409"/>
      <c r="AF425" s="486"/>
      <c r="AG425" s="486"/>
      <c r="AH425" s="486"/>
      <c r="AI425" s="486"/>
      <c r="AJ425" s="487"/>
      <c r="AK425" s="260"/>
      <c r="AL425" s="259" t="str">
        <f>MATCH(B425,'Key Findings'!B:B,0)</f>
        <v>#N/A</v>
      </c>
      <c r="AM425" s="260" t="b">
        <f t="shared" si="2"/>
        <v>0</v>
      </c>
      <c r="AN425" s="485"/>
    </row>
    <row r="426">
      <c r="A426" s="169">
        <f t="array" ref="A426">INDEX('Federal Tax, Stock Buybacks, &amp; '!D:D,match(B426,'Federal Tax, Stock Buybacks, &amp; '!E:E,0))</f>
        <v>8</v>
      </c>
      <c r="B426" s="404" t="s">
        <v>1480</v>
      </c>
      <c r="C426" s="387"/>
      <c r="D426" s="334"/>
      <c r="E426" s="472"/>
      <c r="F426" s="254"/>
      <c r="G426" s="387"/>
      <c r="H426" s="334"/>
      <c r="I426" s="472"/>
      <c r="J426" s="254"/>
      <c r="K426" s="387" t="s">
        <v>1483</v>
      </c>
      <c r="L426" s="334" t="s">
        <v>1968</v>
      </c>
      <c r="M426" s="472">
        <v>3.7080825E7</v>
      </c>
      <c r="N426" s="254"/>
      <c r="O426" s="387" t="s">
        <v>1483</v>
      </c>
      <c r="P426" s="387" t="s">
        <v>1968</v>
      </c>
      <c r="Q426" s="472">
        <v>2.8648009E7</v>
      </c>
      <c r="R426" s="254"/>
      <c r="S426" s="387" t="s">
        <v>1483</v>
      </c>
      <c r="T426" s="387" t="s">
        <v>1968</v>
      </c>
      <c r="U426" s="472">
        <v>5.525061E7</v>
      </c>
      <c r="V426" s="254"/>
      <c r="W426" s="387" t="s">
        <v>1481</v>
      </c>
      <c r="X426" s="387" t="s">
        <v>1966</v>
      </c>
      <c r="Y426" s="472">
        <v>664052.0</v>
      </c>
      <c r="Z426" s="254"/>
      <c r="AA426" s="387" t="s">
        <v>1479</v>
      </c>
      <c r="AB426" s="387" t="s">
        <v>1969</v>
      </c>
      <c r="AC426" s="472">
        <v>1881066.0</v>
      </c>
      <c r="AD426" s="407"/>
      <c r="AE426" s="409"/>
      <c r="AF426" s="486"/>
      <c r="AG426" s="486"/>
      <c r="AH426" s="486"/>
      <c r="AI426" s="486"/>
      <c r="AJ426" s="487"/>
      <c r="AK426" s="260"/>
      <c r="AL426" s="259" t="str">
        <f>MATCH(B426,'Key Findings'!B:B,0)</f>
        <v>#N/A</v>
      </c>
      <c r="AM426" s="260" t="b">
        <f t="shared" si="2"/>
        <v>0</v>
      </c>
      <c r="AN426" s="485"/>
    </row>
    <row r="427">
      <c r="A427" s="169">
        <f t="array" ref="A427">INDEX('Federal Tax, Stock Buybacks, &amp; '!D:D,match(B427,'Federal Tax, Stock Buybacks, &amp; '!E:E,0))</f>
        <v>8</v>
      </c>
      <c r="B427" s="404" t="s">
        <v>1480</v>
      </c>
      <c r="C427" s="387"/>
      <c r="D427" s="334"/>
      <c r="E427" s="472"/>
      <c r="F427" s="254"/>
      <c r="G427" s="387"/>
      <c r="H427" s="334"/>
      <c r="I427" s="472"/>
      <c r="J427" s="254"/>
      <c r="K427" s="387" t="s">
        <v>1484</v>
      </c>
      <c r="L427" s="334" t="s">
        <v>1970</v>
      </c>
      <c r="M427" s="472">
        <v>2.4451264E7</v>
      </c>
      <c r="N427" s="254"/>
      <c r="O427" s="387" t="s">
        <v>1484</v>
      </c>
      <c r="P427" s="387" t="s">
        <v>1970</v>
      </c>
      <c r="Q427" s="472">
        <v>1.4657762E7</v>
      </c>
      <c r="R427" s="254"/>
      <c r="S427" s="387" t="s">
        <v>1484</v>
      </c>
      <c r="T427" s="387" t="s">
        <v>1970</v>
      </c>
      <c r="U427" s="472">
        <v>5.0882663E7</v>
      </c>
      <c r="V427" s="254"/>
      <c r="W427" s="387" t="s">
        <v>1488</v>
      </c>
      <c r="X427" s="387" t="s">
        <v>1964</v>
      </c>
      <c r="Y427" s="472">
        <v>1.0</v>
      </c>
      <c r="Z427" s="254"/>
      <c r="AA427" s="387" t="s">
        <v>1481</v>
      </c>
      <c r="AB427" s="387" t="s">
        <v>1966</v>
      </c>
      <c r="AC427" s="472">
        <v>4.7292004E7</v>
      </c>
      <c r="AD427" s="407"/>
      <c r="AE427" s="409"/>
      <c r="AF427" s="486"/>
      <c r="AG427" s="486"/>
      <c r="AH427" s="486"/>
      <c r="AI427" s="486"/>
      <c r="AJ427" s="487"/>
      <c r="AK427" s="260"/>
      <c r="AL427" s="259" t="str">
        <f>MATCH(B427,'Key Findings'!B:B,0)</f>
        <v>#N/A</v>
      </c>
      <c r="AM427" s="260" t="b">
        <f t="shared" si="2"/>
        <v>0</v>
      </c>
      <c r="AN427" s="485"/>
    </row>
    <row r="428">
      <c r="A428" s="169">
        <f t="array" ref="A428">INDEX('Federal Tax, Stock Buybacks, &amp; '!D:D,match(B428,'Federal Tax, Stock Buybacks, &amp; '!E:E,0))</f>
        <v>8</v>
      </c>
      <c r="B428" s="404" t="s">
        <v>1480</v>
      </c>
      <c r="C428" s="387"/>
      <c r="D428" s="334"/>
      <c r="E428" s="472"/>
      <c r="F428" s="254"/>
      <c r="G428" s="387"/>
      <c r="H428" s="334"/>
      <c r="I428" s="472"/>
      <c r="J428" s="254"/>
      <c r="K428" s="387" t="s">
        <v>1482</v>
      </c>
      <c r="L428" s="334" t="s">
        <v>1971</v>
      </c>
      <c r="M428" s="472">
        <v>3.708131E7</v>
      </c>
      <c r="N428" s="254"/>
      <c r="O428" s="387" t="s">
        <v>1482</v>
      </c>
      <c r="P428" s="387" t="s">
        <v>1971</v>
      </c>
      <c r="Q428" s="472">
        <v>2.8661983E7</v>
      </c>
      <c r="R428" s="254"/>
      <c r="S428" s="387" t="s">
        <v>1482</v>
      </c>
      <c r="T428" s="387" t="s">
        <v>1971</v>
      </c>
      <c r="U428" s="472">
        <v>6.63835E7</v>
      </c>
      <c r="V428" s="254"/>
      <c r="W428" s="387" t="s">
        <v>1485</v>
      </c>
      <c r="X428" s="387" t="s">
        <v>1972</v>
      </c>
      <c r="Y428" s="472">
        <v>660860.0</v>
      </c>
      <c r="Z428" s="254"/>
      <c r="AA428" s="387" t="s">
        <v>1488</v>
      </c>
      <c r="AB428" s="387" t="s">
        <v>1973</v>
      </c>
      <c r="AC428" s="472">
        <v>1.0</v>
      </c>
      <c r="AD428" s="407"/>
      <c r="AE428" s="409"/>
      <c r="AF428" s="486"/>
      <c r="AG428" s="486"/>
      <c r="AH428" s="486"/>
      <c r="AI428" s="486"/>
      <c r="AJ428" s="487"/>
      <c r="AK428" s="260"/>
      <c r="AL428" s="259" t="str">
        <f>MATCH(B428,'Key Findings'!B:B,0)</f>
        <v>#N/A</v>
      </c>
      <c r="AM428" s="260" t="b">
        <f t="shared" si="2"/>
        <v>0</v>
      </c>
      <c r="AN428" s="485"/>
    </row>
    <row r="429">
      <c r="A429" s="169">
        <f t="array" ref="A429">INDEX('Federal Tax, Stock Buybacks, &amp; '!D:D,match(B429,'Federal Tax, Stock Buybacks, &amp; '!E:E,0))</f>
        <v>8</v>
      </c>
      <c r="B429" s="404" t="s">
        <v>1480</v>
      </c>
      <c r="C429" s="411"/>
      <c r="D429" s="411"/>
      <c r="E429" s="472"/>
      <c r="F429" s="254"/>
      <c r="G429" s="411"/>
      <c r="H429" s="411"/>
      <c r="I429" s="472"/>
      <c r="J429" s="254"/>
      <c r="K429" s="411" t="s">
        <v>711</v>
      </c>
      <c r="L429" s="411" t="s">
        <v>711</v>
      </c>
      <c r="M429" s="472" t="s">
        <v>711</v>
      </c>
      <c r="N429" s="254"/>
      <c r="O429" s="411" t="s">
        <v>711</v>
      </c>
      <c r="P429" s="411" t="s">
        <v>711</v>
      </c>
      <c r="Q429" s="472" t="s">
        <v>711</v>
      </c>
      <c r="R429" s="254"/>
      <c r="S429" s="411" t="s">
        <v>711</v>
      </c>
      <c r="T429" s="411" t="s">
        <v>711</v>
      </c>
      <c r="U429" s="472" t="s">
        <v>711</v>
      </c>
      <c r="V429" s="254"/>
      <c r="W429" s="411" t="s">
        <v>711</v>
      </c>
      <c r="X429" s="411" t="s">
        <v>711</v>
      </c>
      <c r="Y429" s="472" t="s">
        <v>711</v>
      </c>
      <c r="Z429" s="254"/>
      <c r="AA429" s="387" t="s">
        <v>1485</v>
      </c>
      <c r="AB429" s="387" t="s">
        <v>1972</v>
      </c>
      <c r="AC429" s="472">
        <v>4.7282232E7</v>
      </c>
      <c r="AD429" s="407"/>
      <c r="AE429" s="409"/>
      <c r="AF429" s="486"/>
      <c r="AG429" s="486"/>
      <c r="AH429" s="486"/>
      <c r="AI429" s="486"/>
      <c r="AJ429" s="487"/>
      <c r="AK429" s="260"/>
      <c r="AL429" s="259" t="str">
        <f>MATCH(B429,'Key Findings'!B:B,0)</f>
        <v>#N/A</v>
      </c>
      <c r="AM429" s="260" t="b">
        <f t="shared" si="2"/>
        <v>0</v>
      </c>
      <c r="AN429" s="485"/>
    </row>
    <row r="430">
      <c r="A430" s="169">
        <f t="array" ref="A430">INDEX('Federal Tax, Stock Buybacks, &amp; '!D:D,match(B430,'Federal Tax, Stock Buybacks, &amp; '!E:E,0))</f>
        <v>23</v>
      </c>
      <c r="B430" s="338" t="s">
        <v>1120</v>
      </c>
      <c r="C430" s="301"/>
      <c r="D430" s="349"/>
      <c r="E430" s="488"/>
      <c r="F430" s="254"/>
      <c r="G430" s="301"/>
      <c r="H430" s="349"/>
      <c r="I430" s="488"/>
      <c r="J430" s="254"/>
      <c r="K430" s="301" t="s">
        <v>1119</v>
      </c>
      <c r="L430" s="349" t="s">
        <v>1664</v>
      </c>
      <c r="M430" s="488">
        <v>3.4848606E7</v>
      </c>
      <c r="N430" s="254"/>
      <c r="O430" s="301" t="s">
        <v>1119</v>
      </c>
      <c r="P430" s="301" t="s">
        <v>1664</v>
      </c>
      <c r="Q430" s="488">
        <v>8.4428145E7</v>
      </c>
      <c r="R430" s="254"/>
      <c r="S430" s="301" t="s">
        <v>1119</v>
      </c>
      <c r="T430" s="301" t="s">
        <v>1664</v>
      </c>
      <c r="U430" s="488">
        <v>3.1664554E7</v>
      </c>
      <c r="V430" s="254"/>
      <c r="W430" s="301" t="s">
        <v>1119</v>
      </c>
      <c r="X430" s="301" t="s">
        <v>1664</v>
      </c>
      <c r="Y430" s="488">
        <v>3.1612616E7</v>
      </c>
      <c r="Z430" s="254"/>
      <c r="AA430" s="301" t="s">
        <v>1119</v>
      </c>
      <c r="AB430" s="301" t="s">
        <v>1664</v>
      </c>
      <c r="AC430" s="488">
        <v>3.0033745E7</v>
      </c>
      <c r="AD430" s="343"/>
      <c r="AE430" s="379">
        <v>2022.0</v>
      </c>
      <c r="AF430" s="344">
        <v>2021.0</v>
      </c>
      <c r="AG430" s="344">
        <v>2020.0</v>
      </c>
      <c r="AH430" s="344">
        <v>2019.0</v>
      </c>
      <c r="AI430" s="344">
        <v>2018.0</v>
      </c>
      <c r="AJ430" s="367" t="s">
        <v>1524</v>
      </c>
      <c r="AK430" s="274"/>
      <c r="AL430" s="259" t="str">
        <f>MATCH(B430,'Key Findings'!B:B,0)</f>
        <v>#N/A</v>
      </c>
      <c r="AM430" s="274" t="b">
        <f t="shared" si="2"/>
        <v>1</v>
      </c>
      <c r="AN430" s="294"/>
    </row>
    <row r="431">
      <c r="A431" s="169">
        <f t="array" ref="A431">INDEX('Federal Tax, Stock Buybacks, &amp; '!D:D,match(B431,'Federal Tax, Stock Buybacks, &amp; '!E:E,0))</f>
        <v>23</v>
      </c>
      <c r="B431" s="338" t="s">
        <v>1120</v>
      </c>
      <c r="C431" s="301"/>
      <c r="D431" s="349"/>
      <c r="E431" s="488"/>
      <c r="F431" s="254"/>
      <c r="G431" s="301"/>
      <c r="H431" s="349"/>
      <c r="I431" s="488"/>
      <c r="J431" s="254"/>
      <c r="K431" s="301" t="s">
        <v>1122</v>
      </c>
      <c r="L431" s="349" t="s">
        <v>1974</v>
      </c>
      <c r="M431" s="488">
        <v>2.2505E7</v>
      </c>
      <c r="N431" s="254"/>
      <c r="O431" s="301" t="s">
        <v>1122</v>
      </c>
      <c r="P431" s="301" t="s">
        <v>1974</v>
      </c>
      <c r="Q431" s="488">
        <v>2.0805E7</v>
      </c>
      <c r="R431" s="254"/>
      <c r="S431" s="301" t="s">
        <v>1122</v>
      </c>
      <c r="T431" s="301" t="s">
        <v>1974</v>
      </c>
      <c r="U431" s="488">
        <v>2.1057633E7</v>
      </c>
      <c r="V431" s="254"/>
      <c r="W431" s="301" t="s">
        <v>1122</v>
      </c>
      <c r="X431" s="301" t="s">
        <v>1974</v>
      </c>
      <c r="Y431" s="488">
        <v>2.0754269E7</v>
      </c>
      <c r="Z431" s="254"/>
      <c r="AA431" s="301" t="s">
        <v>1122</v>
      </c>
      <c r="AB431" s="301" t="s">
        <v>1974</v>
      </c>
      <c r="AC431" s="488">
        <v>1.99E7</v>
      </c>
      <c r="AD431" s="343"/>
      <c r="AE431" s="489"/>
      <c r="AF431" s="489"/>
      <c r="AG431" s="489"/>
      <c r="AH431" s="489"/>
      <c r="AI431" s="489"/>
      <c r="AJ431" s="368"/>
      <c r="AK431" s="274"/>
      <c r="AL431" s="259" t="str">
        <f>MATCH(B431,'Key Findings'!B:B,0)</f>
        <v>#N/A</v>
      </c>
      <c r="AM431" s="274" t="b">
        <f t="shared" si="2"/>
        <v>1</v>
      </c>
      <c r="AN431" s="294"/>
    </row>
    <row r="432">
      <c r="A432" s="169">
        <f t="array" ref="A432">INDEX('Federal Tax, Stock Buybacks, &amp; '!D:D,match(B432,'Federal Tax, Stock Buybacks, &amp; '!E:E,0))</f>
        <v>23</v>
      </c>
      <c r="B432" s="338" t="s">
        <v>1120</v>
      </c>
      <c r="C432" s="301"/>
      <c r="D432" s="349"/>
      <c r="E432" s="488"/>
      <c r="F432" s="254"/>
      <c r="G432" s="301"/>
      <c r="H432" s="349"/>
      <c r="I432" s="488"/>
      <c r="J432" s="254"/>
      <c r="K432" s="301" t="s">
        <v>1125</v>
      </c>
      <c r="L432" s="349" t="s">
        <v>1975</v>
      </c>
      <c r="M432" s="488">
        <v>1.6970688E7</v>
      </c>
      <c r="N432" s="254"/>
      <c r="O432" s="301" t="s">
        <v>1121</v>
      </c>
      <c r="P432" s="301" t="s">
        <v>1976</v>
      </c>
      <c r="Q432" s="488">
        <v>5.3329247E7</v>
      </c>
      <c r="R432" s="254"/>
      <c r="S432" s="301" t="s">
        <v>1121</v>
      </c>
      <c r="T432" s="301" t="s">
        <v>1976</v>
      </c>
      <c r="U432" s="488">
        <v>2.2547186E7</v>
      </c>
      <c r="V432" s="254"/>
      <c r="W432" s="301" t="s">
        <v>1125</v>
      </c>
      <c r="X432" s="301" t="s">
        <v>1977</v>
      </c>
      <c r="Y432" s="488">
        <v>1.5198165E7</v>
      </c>
      <c r="Z432" s="254"/>
      <c r="AA432" s="301" t="s">
        <v>1125</v>
      </c>
      <c r="AB432" s="301" t="s">
        <v>1532</v>
      </c>
      <c r="AC432" s="488">
        <v>1.4160501E7</v>
      </c>
      <c r="AD432" s="343"/>
      <c r="AE432" s="347"/>
      <c r="AF432" s="313"/>
      <c r="AG432" s="313"/>
      <c r="AH432" s="313"/>
      <c r="AI432" s="313"/>
      <c r="AJ432" s="368"/>
      <c r="AK432" s="274"/>
      <c r="AL432" s="259" t="str">
        <f>MATCH(B432,'Key Findings'!B:B,0)</f>
        <v>#N/A</v>
      </c>
      <c r="AM432" s="274" t="b">
        <f t="shared" si="2"/>
        <v>1</v>
      </c>
      <c r="AN432" s="294"/>
    </row>
    <row r="433">
      <c r="A433" s="169">
        <f t="array" ref="A433">INDEX('Federal Tax, Stock Buybacks, &amp; '!D:D,match(B433,'Federal Tax, Stock Buybacks, &amp; '!E:E,0))</f>
        <v>23</v>
      </c>
      <c r="B433" s="338" t="s">
        <v>1120</v>
      </c>
      <c r="C433" s="301"/>
      <c r="D433" s="349"/>
      <c r="E433" s="488"/>
      <c r="F433" s="254"/>
      <c r="G433" s="301"/>
      <c r="H433" s="349"/>
      <c r="I433" s="488"/>
      <c r="J433" s="254"/>
      <c r="K433" s="301" t="s">
        <v>1121</v>
      </c>
      <c r="L433" s="349" t="s">
        <v>1976</v>
      </c>
      <c r="M433" s="488">
        <v>2.6606453E7</v>
      </c>
      <c r="N433" s="254"/>
      <c r="O433" s="301" t="s">
        <v>1123</v>
      </c>
      <c r="P433" s="301" t="s">
        <v>1978</v>
      </c>
      <c r="Q433" s="488">
        <v>2.2550506E7</v>
      </c>
      <c r="R433" s="254"/>
      <c r="S433" s="301" t="s">
        <v>1123</v>
      </c>
      <c r="T433" s="301" t="s">
        <v>1978</v>
      </c>
      <c r="U433" s="488">
        <v>2.2508135E7</v>
      </c>
      <c r="V433" s="254"/>
      <c r="W433" s="301" t="s">
        <v>1121</v>
      </c>
      <c r="X433" s="301" t="s">
        <v>1979</v>
      </c>
      <c r="Y433" s="488">
        <v>2.2035442E7</v>
      </c>
      <c r="Z433" s="254"/>
      <c r="AA433" s="301" t="s">
        <v>1121</v>
      </c>
      <c r="AB433" s="301" t="s">
        <v>1979</v>
      </c>
      <c r="AC433" s="488">
        <v>2.1105946E7</v>
      </c>
      <c r="AD433" s="343"/>
      <c r="AE433" s="347"/>
      <c r="AF433" s="313"/>
      <c r="AG433" s="313"/>
      <c r="AH433" s="313"/>
      <c r="AI433" s="313"/>
      <c r="AJ433" s="368"/>
      <c r="AK433" s="274"/>
      <c r="AL433" s="259" t="str">
        <f>MATCH(B433,'Key Findings'!B:B,0)</f>
        <v>#N/A</v>
      </c>
      <c r="AM433" s="274" t="b">
        <f t="shared" si="2"/>
        <v>1</v>
      </c>
      <c r="AN433" s="294"/>
    </row>
    <row r="434">
      <c r="A434" s="169">
        <f t="array" ref="A434">INDEX('Federal Tax, Stock Buybacks, &amp; '!D:D,match(B434,'Federal Tax, Stock Buybacks, &amp; '!E:E,0))</f>
        <v>23</v>
      </c>
      <c r="B434" s="338" t="s">
        <v>1120</v>
      </c>
      <c r="C434" s="301"/>
      <c r="D434" s="349"/>
      <c r="E434" s="488"/>
      <c r="F434" s="254"/>
      <c r="G434" s="301"/>
      <c r="H434" s="349"/>
      <c r="I434" s="488"/>
      <c r="J434" s="254"/>
      <c r="K434" s="301" t="s">
        <v>1124</v>
      </c>
      <c r="L434" s="349" t="s">
        <v>1975</v>
      </c>
      <c r="M434" s="488">
        <v>1.6905E7</v>
      </c>
      <c r="N434" s="254"/>
      <c r="O434" s="301" t="s">
        <v>1124</v>
      </c>
      <c r="P434" s="301" t="s">
        <v>1975</v>
      </c>
      <c r="Q434" s="488">
        <v>1.3805E7</v>
      </c>
      <c r="R434" s="254"/>
      <c r="S434" s="301" t="s">
        <v>1124</v>
      </c>
      <c r="T434" s="301" t="s">
        <v>1975</v>
      </c>
      <c r="U434" s="488">
        <v>1.0900851E7</v>
      </c>
      <c r="V434" s="254"/>
      <c r="W434" s="301" t="s">
        <v>1123</v>
      </c>
      <c r="X434" s="301" t="s">
        <v>1978</v>
      </c>
      <c r="Y434" s="488">
        <v>2.2209071E7</v>
      </c>
      <c r="Z434" s="254"/>
      <c r="AA434" s="301" t="s">
        <v>1123</v>
      </c>
      <c r="AB434" s="301" t="s">
        <v>1978</v>
      </c>
      <c r="AC434" s="488">
        <v>2.0804089E7</v>
      </c>
      <c r="AD434" s="343"/>
      <c r="AE434" s="347"/>
      <c r="AF434" s="313"/>
      <c r="AG434" s="313"/>
      <c r="AH434" s="313"/>
      <c r="AI434" s="313"/>
      <c r="AJ434" s="368"/>
      <c r="AK434" s="274"/>
      <c r="AL434" s="259" t="str">
        <f>MATCH(B434,'Key Findings'!B:B,0)</f>
        <v>#N/A</v>
      </c>
      <c r="AM434" s="274" t="b">
        <f t="shared" si="2"/>
        <v>1</v>
      </c>
      <c r="AN434" s="294"/>
    </row>
    <row r="435">
      <c r="A435" s="169">
        <f t="array" ref="A435">INDEX('Federal Tax, Stock Buybacks, &amp; '!D:D,match(B435,'Federal Tax, Stock Buybacks, &amp; '!E:E,0))</f>
        <v>23</v>
      </c>
      <c r="B435" s="338" t="s">
        <v>1120</v>
      </c>
      <c r="C435" s="301"/>
      <c r="D435" s="349"/>
      <c r="E435" s="488"/>
      <c r="F435" s="254"/>
      <c r="G435" s="301"/>
      <c r="H435" s="349"/>
      <c r="I435" s="488"/>
      <c r="J435" s="254"/>
      <c r="K435" s="301" t="s">
        <v>1126</v>
      </c>
      <c r="L435" s="349" t="s">
        <v>1532</v>
      </c>
      <c r="M435" s="488">
        <v>1.083875E7</v>
      </c>
      <c r="N435" s="254"/>
      <c r="O435" s="301" t="s">
        <v>1126</v>
      </c>
      <c r="P435" s="301" t="s">
        <v>1532</v>
      </c>
      <c r="Q435" s="488">
        <v>6871250.0</v>
      </c>
      <c r="R435" s="254"/>
      <c r="S435" s="350" t="s">
        <v>711</v>
      </c>
      <c r="T435" s="350" t="s">
        <v>711</v>
      </c>
      <c r="U435" s="488" t="s">
        <v>711</v>
      </c>
      <c r="V435" s="254"/>
      <c r="W435" s="301" t="s">
        <v>1124</v>
      </c>
      <c r="X435" s="301" t="s">
        <v>1532</v>
      </c>
      <c r="Y435" s="488">
        <v>7746527.0</v>
      </c>
      <c r="Z435" s="254"/>
      <c r="AA435" s="350" t="s">
        <v>711</v>
      </c>
      <c r="AB435" s="350" t="s">
        <v>711</v>
      </c>
      <c r="AC435" s="488" t="s">
        <v>711</v>
      </c>
      <c r="AD435" s="343"/>
      <c r="AE435" s="347"/>
      <c r="AF435" s="313"/>
      <c r="AG435" s="313"/>
      <c r="AH435" s="313"/>
      <c r="AI435" s="313"/>
      <c r="AJ435" s="368"/>
      <c r="AK435" s="274"/>
      <c r="AL435" s="259" t="str">
        <f>MATCH(B435,'Key Findings'!B:B,0)</f>
        <v>#N/A</v>
      </c>
      <c r="AM435" s="274" t="b">
        <f t="shared" si="2"/>
        <v>1</v>
      </c>
      <c r="AN435" s="294"/>
    </row>
    <row r="436">
      <c r="A436" s="169">
        <f t="array" ref="A436">INDEX('Federal Tax, Stock Buybacks, &amp; '!D:D,match(B436,'Federal Tax, Stock Buybacks, &amp; '!E:E,0))</f>
        <v>13</v>
      </c>
      <c r="B436" s="404" t="s">
        <v>1030</v>
      </c>
      <c r="C436" s="405"/>
      <c r="D436" s="406"/>
      <c r="E436" s="472"/>
      <c r="F436" s="254"/>
      <c r="G436" s="405"/>
      <c r="H436" s="406"/>
      <c r="I436" s="472"/>
      <c r="J436" s="254"/>
      <c r="K436" s="405" t="s">
        <v>1031</v>
      </c>
      <c r="L436" s="406" t="s">
        <v>1585</v>
      </c>
      <c r="M436" s="472">
        <v>2.6319581E7</v>
      </c>
      <c r="N436" s="254"/>
      <c r="O436" s="405" t="s">
        <v>1031</v>
      </c>
      <c r="P436" s="405" t="s">
        <v>1585</v>
      </c>
      <c r="Q436" s="472">
        <v>2.3466141E7</v>
      </c>
      <c r="R436" s="254"/>
      <c r="S436" s="405" t="s">
        <v>1031</v>
      </c>
      <c r="T436" s="405" t="s">
        <v>1585</v>
      </c>
      <c r="U436" s="472">
        <v>1.9626234E7</v>
      </c>
      <c r="V436" s="254"/>
      <c r="W436" s="405" t="s">
        <v>1031</v>
      </c>
      <c r="X436" s="405" t="s">
        <v>1585</v>
      </c>
      <c r="Y436" s="472">
        <v>2.0227634E7</v>
      </c>
      <c r="Z436" s="254"/>
      <c r="AA436" s="405" t="s">
        <v>1031</v>
      </c>
      <c r="AB436" s="405" t="s">
        <v>1585</v>
      </c>
      <c r="AC436" s="472">
        <v>1.4924457E7</v>
      </c>
      <c r="AD436" s="407"/>
      <c r="AE436" s="408">
        <v>2022.0</v>
      </c>
      <c r="AF436" s="408">
        <v>2021.0</v>
      </c>
      <c r="AG436" s="408">
        <v>2020.0</v>
      </c>
      <c r="AH436" s="408">
        <v>2019.0</v>
      </c>
      <c r="AI436" s="408">
        <v>2018.0</v>
      </c>
      <c r="AJ436" s="382" t="s">
        <v>1980</v>
      </c>
      <c r="AK436" s="260"/>
      <c r="AL436" s="259" t="str">
        <f>MATCH(B436,'Key Findings'!B:B,0)</f>
        <v>#N/A</v>
      </c>
      <c r="AM436" s="260" t="b">
        <f t="shared" si="2"/>
        <v>1</v>
      </c>
      <c r="AN436" s="294"/>
    </row>
    <row r="437">
      <c r="A437" s="169">
        <f t="array" ref="A437">INDEX('Federal Tax, Stock Buybacks, &amp; '!D:D,match(B437,'Federal Tax, Stock Buybacks, &amp; '!E:E,0))</f>
        <v>13</v>
      </c>
      <c r="B437" s="404" t="s">
        <v>1030</v>
      </c>
      <c r="C437" s="405"/>
      <c r="D437" s="406"/>
      <c r="E437" s="472"/>
      <c r="F437" s="254"/>
      <c r="G437" s="405"/>
      <c r="H437" s="406"/>
      <c r="I437" s="472"/>
      <c r="J437" s="254"/>
      <c r="K437" s="405" t="s">
        <v>1029</v>
      </c>
      <c r="L437" s="406" t="s">
        <v>1674</v>
      </c>
      <c r="M437" s="472">
        <v>5.494631E7</v>
      </c>
      <c r="N437" s="254"/>
      <c r="O437" s="405" t="s">
        <v>1029</v>
      </c>
      <c r="P437" s="406" t="s">
        <v>1674</v>
      </c>
      <c r="Q437" s="472">
        <v>4.985828E7</v>
      </c>
      <c r="R437" s="254"/>
      <c r="S437" s="405" t="s">
        <v>1029</v>
      </c>
      <c r="T437" s="405" t="s">
        <v>1981</v>
      </c>
      <c r="U437" s="472">
        <v>4.4321788E7</v>
      </c>
      <c r="V437" s="254"/>
      <c r="W437" s="405" t="s">
        <v>1029</v>
      </c>
      <c r="X437" s="405" t="s">
        <v>1981</v>
      </c>
      <c r="Y437" s="472">
        <v>4.2910215E7</v>
      </c>
      <c r="Z437" s="254"/>
      <c r="AA437" s="405" t="s">
        <v>1029</v>
      </c>
      <c r="AB437" s="405" t="s">
        <v>1981</v>
      </c>
      <c r="AC437" s="472">
        <v>2.5843263E7</v>
      </c>
      <c r="AD437" s="407"/>
      <c r="AE437" s="409"/>
      <c r="AF437" s="410"/>
      <c r="AG437" s="410"/>
      <c r="AH437" s="410"/>
      <c r="AI437" s="410"/>
      <c r="AJ437" s="382"/>
      <c r="AK437" s="260"/>
      <c r="AL437" s="259" t="str">
        <f>MATCH(B437,'Key Findings'!B:B,0)</f>
        <v>#N/A</v>
      </c>
      <c r="AM437" s="260" t="b">
        <f t="shared" si="2"/>
        <v>1</v>
      </c>
      <c r="AN437" s="294"/>
    </row>
    <row r="438">
      <c r="A438" s="169">
        <f t="array" ref="A438">INDEX('Federal Tax, Stock Buybacks, &amp; '!D:D,match(B438,'Federal Tax, Stock Buybacks, &amp; '!E:E,0))</f>
        <v>13</v>
      </c>
      <c r="B438" s="404" t="s">
        <v>1030</v>
      </c>
      <c r="C438" s="405"/>
      <c r="D438" s="406"/>
      <c r="E438" s="472"/>
      <c r="F438" s="254"/>
      <c r="G438" s="405"/>
      <c r="H438" s="406"/>
      <c r="I438" s="472"/>
      <c r="J438" s="254"/>
      <c r="K438" s="405" t="s">
        <v>1032</v>
      </c>
      <c r="L438" s="406" t="s">
        <v>1982</v>
      </c>
      <c r="M438" s="472">
        <v>2.3408739E7</v>
      </c>
      <c r="N438" s="254"/>
      <c r="O438" s="405" t="s">
        <v>1032</v>
      </c>
      <c r="P438" s="405" t="s">
        <v>1983</v>
      </c>
      <c r="Q438" s="472">
        <v>2.0455896E7</v>
      </c>
      <c r="R438" s="254"/>
      <c r="S438" s="405" t="s">
        <v>1032</v>
      </c>
      <c r="T438" s="405" t="s">
        <v>1983</v>
      </c>
      <c r="U438" s="472">
        <v>1.6667713E7</v>
      </c>
      <c r="V438" s="254"/>
      <c r="W438" s="405" t="s">
        <v>1032</v>
      </c>
      <c r="X438" s="406" t="s">
        <v>1983</v>
      </c>
      <c r="Y438" s="472">
        <v>1.7372997E7</v>
      </c>
      <c r="Z438" s="254"/>
      <c r="AA438" s="405" t="s">
        <v>1032</v>
      </c>
      <c r="AB438" s="405" t="s">
        <v>1983</v>
      </c>
      <c r="AC438" s="472">
        <v>1.3511623E7</v>
      </c>
      <c r="AD438" s="407"/>
      <c r="AE438" s="409"/>
      <c r="AF438" s="410"/>
      <c r="AG438" s="410"/>
      <c r="AH438" s="410"/>
      <c r="AI438" s="410"/>
      <c r="AJ438" s="382"/>
      <c r="AK438" s="260"/>
      <c r="AL438" s="259" t="str">
        <f>MATCH(B438,'Key Findings'!B:B,0)</f>
        <v>#N/A</v>
      </c>
      <c r="AM438" s="260" t="b">
        <f t="shared" si="2"/>
        <v>1</v>
      </c>
      <c r="AN438" s="294"/>
    </row>
    <row r="439">
      <c r="A439" s="169">
        <f t="array" ref="A439">INDEX('Federal Tax, Stock Buybacks, &amp; '!D:D,match(B439,'Federal Tax, Stock Buybacks, &amp; '!E:E,0))</f>
        <v>13</v>
      </c>
      <c r="B439" s="404" t="s">
        <v>1030</v>
      </c>
      <c r="C439" s="405"/>
      <c r="D439" s="406"/>
      <c r="E439" s="472"/>
      <c r="F439" s="254"/>
      <c r="G439" s="405"/>
      <c r="H439" s="406"/>
      <c r="I439" s="472"/>
      <c r="J439" s="254"/>
      <c r="K439" s="405" t="s">
        <v>1034</v>
      </c>
      <c r="L439" s="406" t="s">
        <v>1984</v>
      </c>
      <c r="M439" s="472">
        <v>1.1720458E7</v>
      </c>
      <c r="N439" s="254"/>
      <c r="O439" s="405" t="s">
        <v>1033</v>
      </c>
      <c r="P439" s="405" t="s">
        <v>1985</v>
      </c>
      <c r="Q439" s="472">
        <v>1.6809865E7</v>
      </c>
      <c r="R439" s="254"/>
      <c r="S439" s="405" t="s">
        <v>1035</v>
      </c>
      <c r="T439" s="405" t="s">
        <v>1986</v>
      </c>
      <c r="U439" s="472">
        <v>9575482.0</v>
      </c>
      <c r="V439" s="254"/>
      <c r="W439" s="405" t="s">
        <v>1035</v>
      </c>
      <c r="X439" s="405" t="s">
        <v>1986</v>
      </c>
      <c r="Y439" s="472">
        <v>1.0432649E7</v>
      </c>
      <c r="Z439" s="254"/>
      <c r="AA439" s="405" t="s">
        <v>1035</v>
      </c>
      <c r="AB439" s="405" t="s">
        <v>1986</v>
      </c>
      <c r="AC439" s="472">
        <v>8758015.0</v>
      </c>
      <c r="AD439" s="407"/>
      <c r="AE439" s="409"/>
      <c r="AF439" s="410"/>
      <c r="AG439" s="410"/>
      <c r="AH439" s="410"/>
      <c r="AI439" s="410"/>
      <c r="AJ439" s="382"/>
      <c r="AK439" s="260"/>
      <c r="AL439" s="259" t="str">
        <f>MATCH(B439,'Key Findings'!B:B,0)</f>
        <v>#N/A</v>
      </c>
      <c r="AM439" s="260" t="b">
        <f t="shared" si="2"/>
        <v>1</v>
      </c>
      <c r="AN439" s="294"/>
    </row>
    <row r="440">
      <c r="A440" s="169">
        <f t="array" ref="A440">INDEX('Federal Tax, Stock Buybacks, &amp; '!D:D,match(B440,'Federal Tax, Stock Buybacks, &amp; '!E:E,0))</f>
        <v>13</v>
      </c>
      <c r="B440" s="404" t="s">
        <v>1030</v>
      </c>
      <c r="C440" s="405"/>
      <c r="D440" s="406"/>
      <c r="E440" s="472"/>
      <c r="F440" s="254"/>
      <c r="G440" s="405"/>
      <c r="H440" s="406"/>
      <c r="I440" s="472"/>
      <c r="J440" s="254"/>
      <c r="K440" s="405" t="s">
        <v>1036</v>
      </c>
      <c r="L440" s="406" t="s">
        <v>1632</v>
      </c>
      <c r="M440" s="472">
        <v>1.8848998E7</v>
      </c>
      <c r="N440" s="254"/>
      <c r="O440" s="405" t="s">
        <v>1034</v>
      </c>
      <c r="P440" s="405" t="s">
        <v>1984</v>
      </c>
      <c r="Q440" s="472">
        <v>2.8495083E7</v>
      </c>
      <c r="R440" s="254"/>
      <c r="S440" s="405" t="s">
        <v>1033</v>
      </c>
      <c r="T440" s="405" t="s">
        <v>1985</v>
      </c>
      <c r="U440" s="472">
        <v>1.3949304E7</v>
      </c>
      <c r="V440" s="254"/>
      <c r="W440" s="405" t="s">
        <v>1033</v>
      </c>
      <c r="X440" s="405" t="s">
        <v>1985</v>
      </c>
      <c r="Y440" s="472">
        <v>1.5084754E7</v>
      </c>
      <c r="Z440" s="254"/>
      <c r="AA440" s="405" t="s">
        <v>1033</v>
      </c>
      <c r="AB440" s="405" t="s">
        <v>1985</v>
      </c>
      <c r="AC440" s="472">
        <v>1.1126249E7</v>
      </c>
      <c r="AD440" s="407"/>
      <c r="AE440" s="409"/>
      <c r="AF440" s="410"/>
      <c r="AG440" s="410"/>
      <c r="AH440" s="410"/>
      <c r="AI440" s="410"/>
      <c r="AJ440" s="382"/>
      <c r="AK440" s="260"/>
      <c r="AL440" s="259" t="str">
        <f>MATCH(B440,'Key Findings'!B:B,0)</f>
        <v>#N/A</v>
      </c>
      <c r="AM440" s="260" t="b">
        <f t="shared" si="2"/>
        <v>1</v>
      </c>
      <c r="AN440" s="294"/>
    </row>
    <row r="441">
      <c r="A441" s="169">
        <f t="array" ref="A441">INDEX('Federal Tax, Stock Buybacks, &amp; '!D:D,match(B441,'Federal Tax, Stock Buybacks, &amp; '!E:E,0))</f>
        <v>4</v>
      </c>
      <c r="B441" s="338" t="s">
        <v>1454</v>
      </c>
      <c r="C441" s="490"/>
      <c r="D441" s="419"/>
      <c r="E441" s="488"/>
      <c r="F441" s="254"/>
      <c r="G441" s="490"/>
      <c r="H441" s="419"/>
      <c r="I441" s="488"/>
      <c r="J441" s="254"/>
      <c r="K441" s="490" t="s">
        <v>1457</v>
      </c>
      <c r="L441" s="419" t="s">
        <v>1703</v>
      </c>
      <c r="M441" s="488">
        <v>2.7151798E7</v>
      </c>
      <c r="N441" s="254"/>
      <c r="O441" s="490" t="s">
        <v>1457</v>
      </c>
      <c r="P441" s="304" t="s">
        <v>1703</v>
      </c>
      <c r="Q441" s="488">
        <v>2.6978503E7</v>
      </c>
      <c r="R441" s="254"/>
      <c r="S441" s="490" t="s">
        <v>1457</v>
      </c>
      <c r="T441" s="304" t="s">
        <v>1703</v>
      </c>
      <c r="U441" s="488">
        <v>2.625327E7</v>
      </c>
      <c r="V441" s="254"/>
      <c r="W441" s="490" t="s">
        <v>1457</v>
      </c>
      <c r="X441" s="304" t="s">
        <v>1703</v>
      </c>
      <c r="Y441" s="488">
        <v>2.5209637E7</v>
      </c>
      <c r="Z441" s="254"/>
      <c r="AA441" s="490" t="s">
        <v>1457</v>
      </c>
      <c r="AB441" s="301" t="s">
        <v>1703</v>
      </c>
      <c r="AC441" s="488">
        <v>2.6509692E7</v>
      </c>
      <c r="AD441" s="491"/>
      <c r="AE441" s="379">
        <v>2022.0</v>
      </c>
      <c r="AF441" s="379">
        <v>2021.0</v>
      </c>
      <c r="AG441" s="379">
        <v>2020.0</v>
      </c>
      <c r="AH441" s="379">
        <v>2019.0</v>
      </c>
      <c r="AI441" s="379">
        <v>2018.0</v>
      </c>
      <c r="AJ441" s="427" t="s">
        <v>1524</v>
      </c>
      <c r="AK441" s="274"/>
      <c r="AL441" s="259" t="str">
        <f>MATCH(B441,'Key Findings'!B:B,0)</f>
        <v>#N/A</v>
      </c>
      <c r="AM441" s="274" t="b">
        <f t="shared" si="2"/>
        <v>0</v>
      </c>
      <c r="AN441" s="492"/>
    </row>
    <row r="442">
      <c r="A442" s="169">
        <f t="array" ref="A442">INDEX('Federal Tax, Stock Buybacks, &amp; '!D:D,match(B442,'Federal Tax, Stock Buybacks, &amp; '!E:E,0))</f>
        <v>4</v>
      </c>
      <c r="B442" s="338" t="s">
        <v>1454</v>
      </c>
      <c r="C442" s="301"/>
      <c r="D442" s="349"/>
      <c r="E442" s="488"/>
      <c r="F442" s="254"/>
      <c r="G442" s="301"/>
      <c r="H442" s="349"/>
      <c r="I442" s="488"/>
      <c r="J442" s="254"/>
      <c r="K442" s="301" t="s">
        <v>1456</v>
      </c>
      <c r="L442" s="349" t="s">
        <v>1662</v>
      </c>
      <c r="M442" s="488">
        <v>2.7150352E7</v>
      </c>
      <c r="N442" s="254"/>
      <c r="O442" s="490" t="s">
        <v>1456</v>
      </c>
      <c r="P442" s="302" t="s">
        <v>1662</v>
      </c>
      <c r="Q442" s="488">
        <v>2.6977057E7</v>
      </c>
      <c r="R442" s="254"/>
      <c r="S442" s="490" t="s">
        <v>1456</v>
      </c>
      <c r="T442" s="304" t="s">
        <v>1662</v>
      </c>
      <c r="U442" s="488">
        <v>2.6251824E7</v>
      </c>
      <c r="V442" s="254"/>
      <c r="W442" s="490" t="s">
        <v>1459</v>
      </c>
      <c r="X442" s="304" t="s">
        <v>1987</v>
      </c>
      <c r="Y442" s="488">
        <v>2.2278242E7</v>
      </c>
      <c r="Z442" s="254"/>
      <c r="AA442" s="490" t="s">
        <v>1459</v>
      </c>
      <c r="AB442" s="301" t="s">
        <v>1988</v>
      </c>
      <c r="AC442" s="488">
        <v>2.653883E7</v>
      </c>
      <c r="AD442" s="343"/>
      <c r="AE442" s="347"/>
      <c r="AF442" s="313"/>
      <c r="AG442" s="313"/>
      <c r="AH442" s="313"/>
      <c r="AI442" s="313"/>
      <c r="AJ442" s="427"/>
      <c r="AK442" s="274"/>
      <c r="AL442" s="259" t="str">
        <f>MATCH(B442,'Key Findings'!B:B,0)</f>
        <v>#N/A</v>
      </c>
      <c r="AM442" s="274" t="b">
        <f t="shared" si="2"/>
        <v>0</v>
      </c>
      <c r="AN442" s="294"/>
    </row>
    <row r="443">
      <c r="A443" s="169">
        <f t="array" ref="A443">INDEX('Federal Tax, Stock Buybacks, &amp; '!D:D,match(B443,'Federal Tax, Stock Buybacks, &amp; '!E:E,0))</f>
        <v>4</v>
      </c>
      <c r="B443" s="338" t="s">
        <v>1454</v>
      </c>
      <c r="C443" s="301"/>
      <c r="D443" s="349"/>
      <c r="E443" s="488"/>
      <c r="F443" s="254"/>
      <c r="G443" s="301"/>
      <c r="H443" s="349"/>
      <c r="I443" s="488"/>
      <c r="J443" s="254"/>
      <c r="K443" s="301" t="s">
        <v>1453</v>
      </c>
      <c r="L443" s="349" t="s">
        <v>1523</v>
      </c>
      <c r="M443" s="488">
        <v>9.9420097E7</v>
      </c>
      <c r="N443" s="254"/>
      <c r="O443" s="490" t="s">
        <v>1453</v>
      </c>
      <c r="P443" s="304" t="s">
        <v>1523</v>
      </c>
      <c r="Q443" s="488">
        <v>9.8734394E7</v>
      </c>
      <c r="R443" s="254"/>
      <c r="S443" s="490" t="s">
        <v>1453</v>
      </c>
      <c r="T443" s="302" t="s">
        <v>1523</v>
      </c>
      <c r="U443" s="488">
        <v>1.4769259E7</v>
      </c>
      <c r="V443" s="254"/>
      <c r="W443" s="490" t="s">
        <v>1456</v>
      </c>
      <c r="X443" s="304" t="s">
        <v>1662</v>
      </c>
      <c r="Y443" s="488">
        <v>2.5207919E7</v>
      </c>
      <c r="Z443" s="254"/>
      <c r="AA443" s="490" t="s">
        <v>1456</v>
      </c>
      <c r="AB443" s="301" t="s">
        <v>1662</v>
      </c>
      <c r="AC443" s="488">
        <v>2.6543706E7</v>
      </c>
      <c r="AD443" s="343"/>
      <c r="AE443" s="347"/>
      <c r="AF443" s="313"/>
      <c r="AG443" s="313"/>
      <c r="AH443" s="313"/>
      <c r="AI443" s="313"/>
      <c r="AJ443" s="427"/>
      <c r="AK443" s="274"/>
      <c r="AL443" s="259" t="str">
        <f>MATCH(B443,'Key Findings'!B:B,0)</f>
        <v>#N/A</v>
      </c>
      <c r="AM443" s="274" t="b">
        <f t="shared" si="2"/>
        <v>0</v>
      </c>
      <c r="AN443" s="294"/>
    </row>
    <row r="444">
      <c r="A444" s="169">
        <f t="array" ref="A444">INDEX('Federal Tax, Stock Buybacks, &amp; '!D:D,match(B444,'Federal Tax, Stock Buybacks, &amp; '!E:E,0))</f>
        <v>4</v>
      </c>
      <c r="B444" s="338" t="s">
        <v>1454</v>
      </c>
      <c r="C444" s="301"/>
      <c r="D444" s="349"/>
      <c r="E444" s="488"/>
      <c r="F444" s="254"/>
      <c r="G444" s="301"/>
      <c r="H444" s="349"/>
      <c r="I444" s="488"/>
      <c r="J444" s="254"/>
      <c r="K444" s="301" t="s">
        <v>1455</v>
      </c>
      <c r="L444" s="349" t="s">
        <v>1989</v>
      </c>
      <c r="M444" s="488">
        <v>2.7147223E7</v>
      </c>
      <c r="N444" s="254"/>
      <c r="O444" s="490" t="s">
        <v>1455</v>
      </c>
      <c r="P444" s="304" t="s">
        <v>1989</v>
      </c>
      <c r="Q444" s="488">
        <v>2.6974153E7</v>
      </c>
      <c r="R444" s="254"/>
      <c r="S444" s="490" t="s">
        <v>1455</v>
      </c>
      <c r="T444" s="304" t="s">
        <v>1989</v>
      </c>
      <c r="U444" s="488">
        <v>2.6248997E7</v>
      </c>
      <c r="V444" s="254"/>
      <c r="W444" s="490" t="s">
        <v>1453</v>
      </c>
      <c r="X444" s="304" t="s">
        <v>1523</v>
      </c>
      <c r="Y444" s="488">
        <v>1.1555466E7</v>
      </c>
      <c r="Z444" s="254"/>
      <c r="AA444" s="490" t="s">
        <v>1453</v>
      </c>
      <c r="AB444" s="301" t="s">
        <v>1523</v>
      </c>
      <c r="AC444" s="488">
        <v>1.5682219E7</v>
      </c>
      <c r="AD444" s="343"/>
      <c r="AE444" s="347"/>
      <c r="AF444" s="313"/>
      <c r="AG444" s="313"/>
      <c r="AH444" s="313"/>
      <c r="AI444" s="313"/>
      <c r="AJ444" s="427"/>
      <c r="AK444" s="274"/>
      <c r="AL444" s="259" t="str">
        <f>MATCH(B444,'Key Findings'!B:B,0)</f>
        <v>#N/A</v>
      </c>
      <c r="AM444" s="274" t="b">
        <f t="shared" si="2"/>
        <v>0</v>
      </c>
      <c r="AN444" s="294"/>
    </row>
    <row r="445">
      <c r="A445" s="169">
        <f t="array" ref="A445">INDEX('Federal Tax, Stock Buybacks, &amp; '!D:D,match(B445,'Federal Tax, Stock Buybacks, &amp; '!E:E,0))</f>
        <v>4</v>
      </c>
      <c r="B445" s="338" t="s">
        <v>1454</v>
      </c>
      <c r="C445" s="301"/>
      <c r="D445" s="349"/>
      <c r="E445" s="488"/>
      <c r="F445" s="254"/>
      <c r="G445" s="301"/>
      <c r="H445" s="349"/>
      <c r="I445" s="488"/>
      <c r="J445" s="254"/>
      <c r="K445" s="301" t="s">
        <v>1458</v>
      </c>
      <c r="L445" s="349" t="s">
        <v>1990</v>
      </c>
      <c r="M445" s="488">
        <v>2.7151798E7</v>
      </c>
      <c r="N445" s="254"/>
      <c r="O445" s="490" t="s">
        <v>1458</v>
      </c>
      <c r="P445" s="302" t="s">
        <v>1990</v>
      </c>
      <c r="Q445" s="488">
        <v>2.7020811E7</v>
      </c>
      <c r="R445" s="254"/>
      <c r="S445" s="490" t="s">
        <v>1458</v>
      </c>
      <c r="T445" s="304" t="s">
        <v>1990</v>
      </c>
      <c r="U445" s="488">
        <v>2.6272371E7</v>
      </c>
      <c r="V445" s="254"/>
      <c r="W445" s="490" t="s">
        <v>1455</v>
      </c>
      <c r="X445" s="301" t="s">
        <v>1989</v>
      </c>
      <c r="Y445" s="488">
        <v>2.52318E7</v>
      </c>
      <c r="Z445" s="254"/>
      <c r="AA445" s="490" t="s">
        <v>1455</v>
      </c>
      <c r="AB445" s="301" t="s">
        <v>1989</v>
      </c>
      <c r="AC445" s="488">
        <v>2.670066E7</v>
      </c>
      <c r="AD445" s="343"/>
      <c r="AE445" s="347"/>
      <c r="AF445" s="313"/>
      <c r="AG445" s="313"/>
      <c r="AH445" s="313"/>
      <c r="AI445" s="313"/>
      <c r="AJ445" s="427"/>
      <c r="AK445" s="274"/>
      <c r="AL445" s="259" t="str">
        <f>MATCH(B445,'Key Findings'!B:B,0)</f>
        <v>#N/A</v>
      </c>
      <c r="AM445" s="274" t="b">
        <f t="shared" si="2"/>
        <v>0</v>
      </c>
      <c r="AN445" s="294"/>
    </row>
    <row r="446">
      <c r="A446" s="169">
        <f t="array" ref="A446">INDEX('Federal Tax, Stock Buybacks, &amp; '!D:D,match(B446,'Federal Tax, Stock Buybacks, &amp; '!E:E,0))</f>
        <v>4</v>
      </c>
      <c r="B446" s="338" t="s">
        <v>1454</v>
      </c>
      <c r="C446" s="493"/>
      <c r="D446" s="493"/>
      <c r="E446" s="488"/>
      <c r="F446" s="254"/>
      <c r="G446" s="493"/>
      <c r="H446" s="493"/>
      <c r="I446" s="488"/>
      <c r="J446" s="254"/>
      <c r="K446" s="493" t="s">
        <v>711</v>
      </c>
      <c r="L446" s="493" t="s">
        <v>711</v>
      </c>
      <c r="M446" s="488" t="s">
        <v>711</v>
      </c>
      <c r="N446" s="254"/>
      <c r="O446" s="493" t="s">
        <v>711</v>
      </c>
      <c r="P446" s="493" t="s">
        <v>711</v>
      </c>
      <c r="Q446" s="488" t="s">
        <v>711</v>
      </c>
      <c r="R446" s="254"/>
      <c r="S446" s="493" t="s">
        <v>711</v>
      </c>
      <c r="T446" s="493" t="s">
        <v>711</v>
      </c>
      <c r="U446" s="488" t="s">
        <v>711</v>
      </c>
      <c r="V446" s="254"/>
      <c r="W446" s="301" t="s">
        <v>1458</v>
      </c>
      <c r="X446" s="301" t="s">
        <v>1990</v>
      </c>
      <c r="Y446" s="488">
        <v>1.915978E7</v>
      </c>
      <c r="Z446" s="254"/>
      <c r="AA446" s="493" t="s">
        <v>711</v>
      </c>
      <c r="AB446" s="493" t="s">
        <v>711</v>
      </c>
      <c r="AC446" s="488" t="s">
        <v>711</v>
      </c>
      <c r="AD446" s="343"/>
      <c r="AE446" s="347"/>
      <c r="AF446" s="313"/>
      <c r="AG446" s="313"/>
      <c r="AH446" s="313"/>
      <c r="AI446" s="313"/>
      <c r="AJ446" s="427"/>
      <c r="AK446" s="274"/>
      <c r="AL446" s="259" t="str">
        <f>MATCH(B446,'Key Findings'!B:B,0)</f>
        <v>#N/A</v>
      </c>
      <c r="AM446" s="274" t="b">
        <f t="shared" si="2"/>
        <v>0</v>
      </c>
      <c r="AN446" s="294"/>
    </row>
    <row r="447">
      <c r="A447" s="169">
        <f t="array" ref="A447">INDEX('Federal Tax, Stock Buybacks, &amp; '!D:D,match(B447,'Federal Tax, Stock Buybacks, &amp; '!E:E,0))</f>
        <v>32</v>
      </c>
      <c r="B447" s="404" t="s">
        <v>1432</v>
      </c>
      <c r="C447" s="405"/>
      <c r="D447" s="494"/>
      <c r="E447" s="472"/>
      <c r="F447" s="254"/>
      <c r="G447" s="405"/>
      <c r="H447" s="494"/>
      <c r="I447" s="472"/>
      <c r="J447" s="254"/>
      <c r="K447" s="405" t="s">
        <v>1431</v>
      </c>
      <c r="L447" s="494" t="s">
        <v>1684</v>
      </c>
      <c r="M447" s="472">
        <v>3.0177503E7</v>
      </c>
      <c r="N447" s="254"/>
      <c r="O447" s="405" t="s">
        <v>1431</v>
      </c>
      <c r="P447" s="495" t="s">
        <v>1684</v>
      </c>
      <c r="Q447" s="472">
        <v>2.3729169E7</v>
      </c>
      <c r="R447" s="254"/>
      <c r="S447" s="405" t="s">
        <v>1431</v>
      </c>
      <c r="T447" s="495" t="s">
        <v>1684</v>
      </c>
      <c r="U447" s="472">
        <v>2.5940571E7</v>
      </c>
      <c r="V447" s="254"/>
      <c r="W447" s="405" t="s">
        <v>1431</v>
      </c>
      <c r="X447" s="495" t="s">
        <v>1684</v>
      </c>
      <c r="Y447" s="472">
        <v>2.6039213E7</v>
      </c>
      <c r="Z447" s="254"/>
      <c r="AA447" s="405" t="s">
        <v>1431</v>
      </c>
      <c r="AB447" s="495" t="s">
        <v>1684</v>
      </c>
      <c r="AC447" s="472">
        <v>2.275451E7</v>
      </c>
      <c r="AD447" s="407"/>
      <c r="AE447" s="408">
        <v>2022.0</v>
      </c>
      <c r="AF447" s="408">
        <v>2021.0</v>
      </c>
      <c r="AG447" s="408">
        <v>2020.0</v>
      </c>
      <c r="AH447" s="408">
        <v>2019.0</v>
      </c>
      <c r="AI447" s="408">
        <v>2018.0</v>
      </c>
      <c r="AJ447" s="290" t="s">
        <v>1524</v>
      </c>
      <c r="AK447" s="260"/>
      <c r="AL447" s="259" t="str">
        <f>MATCH(B447,'Key Findings'!B:B,0)</f>
        <v>#N/A</v>
      </c>
      <c r="AM447" s="260" t="b">
        <f t="shared" si="2"/>
        <v>0</v>
      </c>
      <c r="AN447" s="294"/>
    </row>
    <row r="448">
      <c r="A448" s="169">
        <f t="array" ref="A448">INDEX('Federal Tax, Stock Buybacks, &amp; '!D:D,match(B448,'Federal Tax, Stock Buybacks, &amp; '!E:E,0))</f>
        <v>32</v>
      </c>
      <c r="B448" s="404" t="s">
        <v>1432</v>
      </c>
      <c r="C448" s="405"/>
      <c r="D448" s="494"/>
      <c r="E448" s="472"/>
      <c r="F448" s="254"/>
      <c r="G448" s="405"/>
      <c r="H448" s="494"/>
      <c r="I448" s="472"/>
      <c r="J448" s="254"/>
      <c r="K448" s="405" t="s">
        <v>1434</v>
      </c>
      <c r="L448" s="494" t="s">
        <v>1991</v>
      </c>
      <c r="M448" s="472">
        <v>2.0660643E7</v>
      </c>
      <c r="N448" s="254"/>
      <c r="O448" s="405" t="s">
        <v>1433</v>
      </c>
      <c r="P448" s="495" t="s">
        <v>1992</v>
      </c>
      <c r="Q448" s="472">
        <v>1.9093952E7</v>
      </c>
      <c r="R448" s="254"/>
      <c r="S448" s="405" t="s">
        <v>1433</v>
      </c>
      <c r="T448" s="495" t="s">
        <v>1662</v>
      </c>
      <c r="U448" s="472">
        <v>1.8892429E7</v>
      </c>
      <c r="V448" s="254"/>
      <c r="W448" s="405" t="s">
        <v>1433</v>
      </c>
      <c r="X448" s="495" t="s">
        <v>1662</v>
      </c>
      <c r="Y448" s="472">
        <v>1.9494788E7</v>
      </c>
      <c r="Z448" s="254"/>
      <c r="AA448" s="405" t="s">
        <v>1433</v>
      </c>
      <c r="AB448" s="495" t="s">
        <v>1662</v>
      </c>
      <c r="AC448" s="472">
        <v>1.878932E7</v>
      </c>
      <c r="AD448" s="407"/>
      <c r="AE448" s="409"/>
      <c r="AF448" s="410"/>
      <c r="AG448" s="410"/>
      <c r="AH448" s="410"/>
      <c r="AI448" s="410"/>
      <c r="AJ448" s="293"/>
      <c r="AK448" s="260"/>
      <c r="AL448" s="259" t="str">
        <f>MATCH(B448,'Key Findings'!B:B,0)</f>
        <v>#N/A</v>
      </c>
      <c r="AM448" s="260" t="b">
        <f t="shared" si="2"/>
        <v>0</v>
      </c>
      <c r="AN448" s="294"/>
    </row>
    <row r="449">
      <c r="A449" s="169">
        <f t="array" ref="A449">INDEX('Federal Tax, Stock Buybacks, &amp; '!D:D,match(B449,'Federal Tax, Stock Buybacks, &amp; '!E:E,0))</f>
        <v>32</v>
      </c>
      <c r="B449" s="404" t="s">
        <v>1432</v>
      </c>
      <c r="C449" s="405"/>
      <c r="D449" s="494"/>
      <c r="E449" s="472"/>
      <c r="F449" s="254"/>
      <c r="G449" s="405"/>
      <c r="H449" s="494"/>
      <c r="I449" s="472"/>
      <c r="J449" s="254"/>
      <c r="K449" s="405" t="s">
        <v>1435</v>
      </c>
      <c r="L449" s="494" t="s">
        <v>1993</v>
      </c>
      <c r="M449" s="472">
        <v>2.0652107E7</v>
      </c>
      <c r="N449" s="254"/>
      <c r="O449" s="405" t="s">
        <v>1434</v>
      </c>
      <c r="P449" s="495" t="s">
        <v>1994</v>
      </c>
      <c r="Q449" s="472">
        <v>1.2669214E7</v>
      </c>
      <c r="R449" s="254"/>
      <c r="S449" s="405" t="s">
        <v>1434</v>
      </c>
      <c r="T449" s="495" t="s">
        <v>1532</v>
      </c>
      <c r="U449" s="472">
        <v>1.2173284E7</v>
      </c>
      <c r="V449" s="254"/>
      <c r="W449" s="405" t="s">
        <v>1434</v>
      </c>
      <c r="X449" s="495" t="s">
        <v>1532</v>
      </c>
      <c r="Y449" s="472">
        <v>1.2595312E7</v>
      </c>
      <c r="Z449" s="254"/>
      <c r="AA449" s="405" t="s">
        <v>1434</v>
      </c>
      <c r="AB449" s="495" t="s">
        <v>1532</v>
      </c>
      <c r="AC449" s="472">
        <v>1.1929459E7</v>
      </c>
      <c r="AD449" s="407"/>
      <c r="AE449" s="409"/>
      <c r="AF449" s="410"/>
      <c r="AG449" s="410"/>
      <c r="AH449" s="410"/>
      <c r="AI449" s="410"/>
      <c r="AJ449" s="293"/>
      <c r="AK449" s="260"/>
      <c r="AL449" s="259" t="str">
        <f>MATCH(B449,'Key Findings'!B:B,0)</f>
        <v>#N/A</v>
      </c>
      <c r="AM449" s="260" t="b">
        <f t="shared" si="2"/>
        <v>0</v>
      </c>
      <c r="AN449" s="294"/>
    </row>
    <row r="450">
      <c r="A450" s="169">
        <f t="array" ref="A450">INDEX('Federal Tax, Stock Buybacks, &amp; '!D:D,match(B450,'Federal Tax, Stock Buybacks, &amp; '!E:E,0))</f>
        <v>32</v>
      </c>
      <c r="B450" s="404" t="s">
        <v>1432</v>
      </c>
      <c r="C450" s="405"/>
      <c r="D450" s="494"/>
      <c r="E450" s="472"/>
      <c r="F450" s="254"/>
      <c r="G450" s="405"/>
      <c r="H450" s="494"/>
      <c r="I450" s="472"/>
      <c r="J450" s="254"/>
      <c r="K450" s="405" t="s">
        <v>1436</v>
      </c>
      <c r="L450" s="494" t="s">
        <v>1995</v>
      </c>
      <c r="M450" s="472">
        <v>2.0650361E7</v>
      </c>
      <c r="N450" s="254"/>
      <c r="O450" s="405" t="s">
        <v>1440</v>
      </c>
      <c r="P450" s="495" t="s">
        <v>1996</v>
      </c>
      <c r="Q450" s="472">
        <v>1.621985E7</v>
      </c>
      <c r="R450" s="254"/>
      <c r="S450" s="405" t="s">
        <v>1435</v>
      </c>
      <c r="T450" s="495" t="s">
        <v>1993</v>
      </c>
      <c r="U450" s="472">
        <v>1.2001602E7</v>
      </c>
      <c r="V450" s="254"/>
      <c r="W450" s="405" t="s">
        <v>1435</v>
      </c>
      <c r="X450" s="495" t="s">
        <v>1993</v>
      </c>
      <c r="Y450" s="472">
        <v>1.2425107E7</v>
      </c>
      <c r="Z450" s="254"/>
      <c r="AA450" s="405" t="s">
        <v>1435</v>
      </c>
      <c r="AB450" s="495" t="s">
        <v>1993</v>
      </c>
      <c r="AC450" s="472">
        <v>1.1657077E7</v>
      </c>
      <c r="AD450" s="407"/>
      <c r="AE450" s="409"/>
      <c r="AF450" s="410"/>
      <c r="AG450" s="410"/>
      <c r="AH450" s="410"/>
      <c r="AI450" s="410"/>
      <c r="AJ450" s="293"/>
      <c r="AK450" s="260"/>
      <c r="AL450" s="259" t="str">
        <f>MATCH(B450,'Key Findings'!B:B,0)</f>
        <v>#N/A</v>
      </c>
      <c r="AM450" s="260" t="b">
        <f t="shared" si="2"/>
        <v>0</v>
      </c>
      <c r="AN450" s="294"/>
    </row>
    <row r="451">
      <c r="A451" s="169">
        <f t="array" ref="A451">INDEX('Federal Tax, Stock Buybacks, &amp; '!D:D,match(B451,'Federal Tax, Stock Buybacks, &amp; '!E:E,0))</f>
        <v>32</v>
      </c>
      <c r="B451" s="404" t="s">
        <v>1432</v>
      </c>
      <c r="C451" s="405"/>
      <c r="D451" s="494"/>
      <c r="E451" s="472"/>
      <c r="F451" s="254"/>
      <c r="G451" s="405"/>
      <c r="H451" s="494"/>
      <c r="I451" s="472"/>
      <c r="J451" s="254"/>
      <c r="K451" s="405" t="s">
        <v>1438</v>
      </c>
      <c r="L451" s="494" t="s">
        <v>1532</v>
      </c>
      <c r="M451" s="472">
        <v>1.2601937E7</v>
      </c>
      <c r="N451" s="254"/>
      <c r="O451" s="405" t="s">
        <v>1437</v>
      </c>
      <c r="P451" s="495" t="s">
        <v>1997</v>
      </c>
      <c r="Q451" s="472">
        <v>2.5712024E7</v>
      </c>
      <c r="R451" s="254"/>
      <c r="S451" s="405" t="s">
        <v>1436</v>
      </c>
      <c r="T451" s="495" t="s">
        <v>1998</v>
      </c>
      <c r="U451" s="472">
        <v>1.161344E7</v>
      </c>
      <c r="V451" s="254"/>
      <c r="W451" s="405" t="s">
        <v>1436</v>
      </c>
      <c r="X451" s="495" t="s">
        <v>1998</v>
      </c>
      <c r="Y451" s="472">
        <v>1.1659225E7</v>
      </c>
      <c r="Z451" s="254"/>
      <c r="AA451" s="405" t="s">
        <v>1439</v>
      </c>
      <c r="AB451" s="495" t="s">
        <v>1999</v>
      </c>
      <c r="AC451" s="472">
        <v>1.7796226E7</v>
      </c>
      <c r="AD451" s="407"/>
      <c r="AE451" s="409"/>
      <c r="AF451" s="410"/>
      <c r="AG451" s="410"/>
      <c r="AH451" s="410"/>
      <c r="AI451" s="410"/>
      <c r="AJ451" s="293"/>
      <c r="AK451" s="260"/>
      <c r="AL451" s="259" t="str">
        <f>MATCH(B451,'Key Findings'!B:B,0)</f>
        <v>#N/A</v>
      </c>
      <c r="AM451" s="260" t="b">
        <f t="shared" si="2"/>
        <v>0</v>
      </c>
      <c r="AN451" s="294"/>
    </row>
    <row r="452">
      <c r="A452" s="169">
        <f t="array" ref="A452">INDEX('Federal Tax, Stock Buybacks, &amp; '!D:D,match(B452,'Federal Tax, Stock Buybacks, &amp; '!E:E,0))</f>
        <v>32</v>
      </c>
      <c r="B452" s="404" t="s">
        <v>1432</v>
      </c>
      <c r="C452" s="298"/>
      <c r="D452" s="496"/>
      <c r="E452" s="471"/>
      <c r="F452" s="254"/>
      <c r="G452" s="298"/>
      <c r="H452" s="496"/>
      <c r="I452" s="471"/>
      <c r="J452" s="254"/>
      <c r="K452" s="298" t="s">
        <v>711</v>
      </c>
      <c r="L452" s="496" t="s">
        <v>711</v>
      </c>
      <c r="M452" s="471" t="s">
        <v>711</v>
      </c>
      <c r="N452" s="254"/>
      <c r="O452" s="405" t="s">
        <v>1438</v>
      </c>
      <c r="P452" s="495" t="s">
        <v>1532</v>
      </c>
      <c r="Q452" s="472">
        <v>1.0956873E7</v>
      </c>
      <c r="R452" s="254"/>
      <c r="S452" s="298" t="s">
        <v>711</v>
      </c>
      <c r="T452" s="496" t="s">
        <v>711</v>
      </c>
      <c r="U452" s="471" t="s">
        <v>711</v>
      </c>
      <c r="V452" s="254"/>
      <c r="W452" s="298" t="s">
        <v>711</v>
      </c>
      <c r="X452" s="496" t="s">
        <v>711</v>
      </c>
      <c r="Y452" s="471" t="s">
        <v>711</v>
      </c>
      <c r="Z452" s="254"/>
      <c r="AA452" s="405" t="s">
        <v>1436</v>
      </c>
      <c r="AB452" s="495" t="s">
        <v>1998</v>
      </c>
      <c r="AC452" s="472">
        <v>1.0145343E7</v>
      </c>
      <c r="AD452" s="407"/>
      <c r="AE452" s="409"/>
      <c r="AF452" s="410"/>
      <c r="AG452" s="410"/>
      <c r="AH452" s="410"/>
      <c r="AI452" s="410"/>
      <c r="AJ452" s="293"/>
      <c r="AK452" s="260"/>
      <c r="AL452" s="259" t="str">
        <f>MATCH(B452,'Key Findings'!B:B,0)</f>
        <v>#N/A</v>
      </c>
      <c r="AM452" s="260" t="b">
        <f t="shared" si="2"/>
        <v>0</v>
      </c>
      <c r="AN452" s="294"/>
    </row>
    <row r="453">
      <c r="A453" s="169">
        <f t="array" ref="A453">INDEX('Federal Tax, Stock Buybacks, &amp; '!D:D,match(B453,'Federal Tax, Stock Buybacks, &amp; '!E:E,0))</f>
        <v>32</v>
      </c>
      <c r="B453" s="404" t="s">
        <v>1432</v>
      </c>
      <c r="C453" s="298"/>
      <c r="D453" s="496"/>
      <c r="E453" s="471"/>
      <c r="F453" s="254"/>
      <c r="G453" s="298"/>
      <c r="H453" s="496"/>
      <c r="I453" s="471"/>
      <c r="J453" s="254"/>
      <c r="K453" s="298" t="s">
        <v>711</v>
      </c>
      <c r="L453" s="496" t="s">
        <v>711</v>
      </c>
      <c r="M453" s="471" t="s">
        <v>711</v>
      </c>
      <c r="N453" s="254"/>
      <c r="O453" s="405" t="s">
        <v>1436</v>
      </c>
      <c r="P453" s="495" t="s">
        <v>1995</v>
      </c>
      <c r="Q453" s="497">
        <v>1.2262492E7</v>
      </c>
      <c r="R453" s="254"/>
      <c r="S453" s="298" t="s">
        <v>711</v>
      </c>
      <c r="T453" s="496" t="s">
        <v>711</v>
      </c>
      <c r="U453" s="471" t="s">
        <v>711</v>
      </c>
      <c r="V453" s="254"/>
      <c r="W453" s="298" t="s">
        <v>711</v>
      </c>
      <c r="X453" s="496" t="s">
        <v>711</v>
      </c>
      <c r="Y453" s="471" t="s">
        <v>711</v>
      </c>
      <c r="Z453" s="254"/>
      <c r="AA453" s="405" t="s">
        <v>1441</v>
      </c>
      <c r="AB453" s="495" t="s">
        <v>2000</v>
      </c>
      <c r="AC453" s="472">
        <v>1.0149958E7</v>
      </c>
      <c r="AD453" s="407"/>
      <c r="AE453" s="409"/>
      <c r="AF453" s="410"/>
      <c r="AG453" s="410"/>
      <c r="AH453" s="410"/>
      <c r="AI453" s="410"/>
      <c r="AJ453" s="293"/>
      <c r="AK453" s="260"/>
      <c r="AL453" s="259" t="str">
        <f>MATCH(B453,'Key Findings'!B:B,0)</f>
        <v>#N/A</v>
      </c>
      <c r="AM453" s="260" t="b">
        <f t="shared" si="2"/>
        <v>0</v>
      </c>
      <c r="AN453" s="294"/>
    </row>
    <row r="454">
      <c r="A454" s="169">
        <f t="array" ref="A454">INDEX('Federal Tax, Stock Buybacks, &amp; '!D:D,match(B454,'Federal Tax, Stock Buybacks, &amp; '!E:E,0))</f>
        <v>32</v>
      </c>
      <c r="B454" s="404" t="s">
        <v>1432</v>
      </c>
      <c r="C454" s="298"/>
      <c r="D454" s="496"/>
      <c r="E454" s="471"/>
      <c r="F454" s="254"/>
      <c r="G454" s="298"/>
      <c r="H454" s="496"/>
      <c r="I454" s="471"/>
      <c r="J454" s="254"/>
      <c r="K454" s="298" t="s">
        <v>711</v>
      </c>
      <c r="L454" s="496" t="s">
        <v>711</v>
      </c>
      <c r="M454" s="471" t="s">
        <v>711</v>
      </c>
      <c r="N454" s="254"/>
      <c r="O454" s="405" t="s">
        <v>1435</v>
      </c>
      <c r="P454" s="495" t="s">
        <v>1993</v>
      </c>
      <c r="Q454" s="497">
        <v>1.2474933E7</v>
      </c>
      <c r="R454" s="254"/>
      <c r="S454" s="298" t="s">
        <v>711</v>
      </c>
      <c r="T454" s="496" t="s">
        <v>711</v>
      </c>
      <c r="U454" s="471" t="s">
        <v>711</v>
      </c>
      <c r="V454" s="254"/>
      <c r="W454" s="298" t="s">
        <v>711</v>
      </c>
      <c r="X454" s="496" t="s">
        <v>711</v>
      </c>
      <c r="Y454" s="471" t="s">
        <v>711</v>
      </c>
      <c r="Z454" s="254"/>
      <c r="AA454" s="298" t="s">
        <v>711</v>
      </c>
      <c r="AB454" s="496" t="s">
        <v>711</v>
      </c>
      <c r="AC454" s="471" t="s">
        <v>711</v>
      </c>
      <c r="AD454" s="407"/>
      <c r="AE454" s="409"/>
      <c r="AF454" s="410"/>
      <c r="AG454" s="410"/>
      <c r="AH454" s="410"/>
      <c r="AI454" s="410"/>
      <c r="AJ454" s="293"/>
      <c r="AK454" s="260"/>
      <c r="AL454" s="259" t="str">
        <f>MATCH(B454,'Key Findings'!B:B,0)</f>
        <v>#N/A</v>
      </c>
      <c r="AM454" s="260" t="b">
        <f t="shared" si="2"/>
        <v>0</v>
      </c>
      <c r="AN454" s="294"/>
    </row>
    <row r="455">
      <c r="A455" s="169">
        <f t="array" ref="A455">INDEX('Federal Tax, Stock Buybacks, &amp; '!D:D,match(B455,'Federal Tax, Stock Buybacks, &amp; '!E:E,0))</f>
        <v>26</v>
      </c>
      <c r="B455" s="338" t="s">
        <v>809</v>
      </c>
      <c r="C455" s="301"/>
      <c r="D455" s="349"/>
      <c r="E455" s="488"/>
      <c r="F455" s="254"/>
      <c r="G455" s="301"/>
      <c r="H455" s="349"/>
      <c r="I455" s="488"/>
      <c r="J455" s="254"/>
      <c r="K455" s="301" t="s">
        <v>810</v>
      </c>
      <c r="L455" s="349" t="s">
        <v>1585</v>
      </c>
      <c r="M455" s="488">
        <v>9379303.0</v>
      </c>
      <c r="N455" s="254"/>
      <c r="O455" s="498" t="s">
        <v>810</v>
      </c>
      <c r="P455" s="301" t="s">
        <v>1585</v>
      </c>
      <c r="Q455" s="499">
        <v>9111889.0</v>
      </c>
      <c r="R455" s="254"/>
      <c r="S455" s="498" t="s">
        <v>810</v>
      </c>
      <c r="T455" s="301" t="s">
        <v>1585</v>
      </c>
      <c r="U455" s="488">
        <v>8826268.0</v>
      </c>
      <c r="V455" s="254"/>
      <c r="W455" s="301" t="s">
        <v>810</v>
      </c>
      <c r="X455" s="301" t="s">
        <v>1585</v>
      </c>
      <c r="Y455" s="488">
        <v>8448917.0</v>
      </c>
      <c r="Z455" s="254"/>
      <c r="AA455" s="301" t="s">
        <v>814</v>
      </c>
      <c r="AB455" s="301" t="s">
        <v>2001</v>
      </c>
      <c r="AC455" s="488">
        <v>1.8637867E7</v>
      </c>
      <c r="AD455" s="343"/>
      <c r="AE455" s="344">
        <v>2022.0</v>
      </c>
      <c r="AF455" s="344">
        <v>2021.0</v>
      </c>
      <c r="AG455" s="344">
        <v>2020.0</v>
      </c>
      <c r="AH455" s="344">
        <v>2019.0</v>
      </c>
      <c r="AI455" s="344">
        <v>2018.0</v>
      </c>
      <c r="AJ455" s="367" t="s">
        <v>1524</v>
      </c>
      <c r="AK455" s="274"/>
      <c r="AL455" s="259" t="str">
        <f>MATCH(B455,'Key Findings'!B:B,0)</f>
        <v>#N/A</v>
      </c>
      <c r="AM455" s="274" t="b">
        <f t="shared" si="2"/>
        <v>0</v>
      </c>
      <c r="AN455" s="294"/>
    </row>
    <row r="456">
      <c r="A456" s="169">
        <f t="array" ref="A456">INDEX('Federal Tax, Stock Buybacks, &amp; '!D:D,match(B456,'Federal Tax, Stock Buybacks, &amp; '!E:E,0))</f>
        <v>26</v>
      </c>
      <c r="B456" s="338" t="s">
        <v>809</v>
      </c>
      <c r="C456" s="301"/>
      <c r="D456" s="349"/>
      <c r="E456" s="488"/>
      <c r="F456" s="254"/>
      <c r="G456" s="301"/>
      <c r="H456" s="349"/>
      <c r="I456" s="488"/>
      <c r="J456" s="254"/>
      <c r="K456" s="301" t="s">
        <v>808</v>
      </c>
      <c r="L456" s="349" t="s">
        <v>1674</v>
      </c>
      <c r="M456" s="488">
        <v>1.983275E7</v>
      </c>
      <c r="N456" s="254"/>
      <c r="O456" s="301" t="s">
        <v>808</v>
      </c>
      <c r="P456" s="301" t="s">
        <v>1674</v>
      </c>
      <c r="Q456" s="499">
        <v>2.0342871E7</v>
      </c>
      <c r="R456" s="254"/>
      <c r="S456" s="301" t="s">
        <v>808</v>
      </c>
      <c r="T456" s="301" t="s">
        <v>1674</v>
      </c>
      <c r="U456" s="488">
        <v>1.9097582E7</v>
      </c>
      <c r="V456" s="254"/>
      <c r="W456" s="301" t="s">
        <v>808</v>
      </c>
      <c r="X456" s="301" t="s">
        <v>1674</v>
      </c>
      <c r="Y456" s="488">
        <v>1.8095355E7</v>
      </c>
      <c r="Z456" s="254"/>
      <c r="AA456" s="301" t="s">
        <v>816</v>
      </c>
      <c r="AB456" s="301" t="s">
        <v>2002</v>
      </c>
      <c r="AC456" s="488">
        <v>1.5646852E7</v>
      </c>
      <c r="AD456" s="343"/>
      <c r="AE456" s="347"/>
      <c r="AF456" s="313"/>
      <c r="AG456" s="313"/>
      <c r="AH456" s="313"/>
      <c r="AI456" s="313"/>
      <c r="AJ456" s="368"/>
      <c r="AK456" s="274"/>
      <c r="AL456" s="259" t="str">
        <f>MATCH(B456,'Key Findings'!B:B,0)</f>
        <v>#N/A</v>
      </c>
      <c r="AM456" s="274" t="b">
        <f t="shared" si="2"/>
        <v>0</v>
      </c>
      <c r="AN456" s="294"/>
    </row>
    <row r="457">
      <c r="A457" s="169">
        <f t="array" ref="A457">INDEX('Federal Tax, Stock Buybacks, &amp; '!D:D,match(B457,'Federal Tax, Stock Buybacks, &amp; '!E:E,0))</f>
        <v>26</v>
      </c>
      <c r="B457" s="338" t="s">
        <v>809</v>
      </c>
      <c r="C457" s="301"/>
      <c r="D457" s="349"/>
      <c r="E457" s="488"/>
      <c r="F457" s="254"/>
      <c r="G457" s="301"/>
      <c r="H457" s="349"/>
      <c r="I457" s="488"/>
      <c r="J457" s="254"/>
      <c r="K457" s="301" t="s">
        <v>815</v>
      </c>
      <c r="L457" s="349" t="s">
        <v>2003</v>
      </c>
      <c r="M457" s="488">
        <v>8771116.0</v>
      </c>
      <c r="N457" s="254"/>
      <c r="O457" s="498" t="s">
        <v>813</v>
      </c>
      <c r="P457" s="301" t="s">
        <v>2004</v>
      </c>
      <c r="Q457" s="499">
        <v>1.079205E7</v>
      </c>
      <c r="R457" s="254"/>
      <c r="S457" s="498" t="s">
        <v>813</v>
      </c>
      <c r="T457" s="301" t="s">
        <v>2004</v>
      </c>
      <c r="U457" s="488">
        <v>9247881.0</v>
      </c>
      <c r="V457" s="254"/>
      <c r="W457" s="301" t="s">
        <v>813</v>
      </c>
      <c r="X457" s="301" t="s">
        <v>2004</v>
      </c>
      <c r="Y457" s="488">
        <v>8953471.0</v>
      </c>
      <c r="Z457" s="254"/>
      <c r="AA457" s="301" t="s">
        <v>821</v>
      </c>
      <c r="AB457" s="301" t="s">
        <v>2005</v>
      </c>
      <c r="AC457" s="488">
        <v>7352470.0</v>
      </c>
      <c r="AD457" s="343"/>
      <c r="AE457" s="347"/>
      <c r="AF457" s="313"/>
      <c r="AG457" s="313"/>
      <c r="AH457" s="313"/>
      <c r="AI457" s="313"/>
      <c r="AJ457" s="368"/>
      <c r="AK457" s="274"/>
      <c r="AL457" s="259" t="str">
        <f>MATCH(B457,'Key Findings'!B:B,0)</f>
        <v>#N/A</v>
      </c>
      <c r="AM457" s="274" t="b">
        <f t="shared" si="2"/>
        <v>0</v>
      </c>
      <c r="AN457" s="294"/>
    </row>
    <row r="458">
      <c r="A458" s="169">
        <f t="array" ref="A458">INDEX('Federal Tax, Stock Buybacks, &amp; '!D:D,match(B458,'Federal Tax, Stock Buybacks, &amp; '!E:E,0))</f>
        <v>26</v>
      </c>
      <c r="B458" s="338" t="s">
        <v>809</v>
      </c>
      <c r="C458" s="301"/>
      <c r="D458" s="349"/>
      <c r="E458" s="488"/>
      <c r="F458" s="254"/>
      <c r="G458" s="301"/>
      <c r="H458" s="349"/>
      <c r="I458" s="488"/>
      <c r="J458" s="254"/>
      <c r="K458" s="301" t="s">
        <v>811</v>
      </c>
      <c r="L458" s="349" t="s">
        <v>2006</v>
      </c>
      <c r="M458" s="488">
        <v>1.3870203E7</v>
      </c>
      <c r="N458" s="254"/>
      <c r="O458" s="498" t="s">
        <v>812</v>
      </c>
      <c r="P458" s="301" t="s">
        <v>2007</v>
      </c>
      <c r="Q458" s="499">
        <v>9964442.0</v>
      </c>
      <c r="R458" s="254"/>
      <c r="S458" s="301" t="s">
        <v>812</v>
      </c>
      <c r="T458" s="301" t="s">
        <v>2008</v>
      </c>
      <c r="U458" s="488">
        <v>7842875.0</v>
      </c>
      <c r="V458" s="254"/>
      <c r="W458" s="301" t="s">
        <v>812</v>
      </c>
      <c r="X458" s="301" t="s">
        <v>2008</v>
      </c>
      <c r="Y458" s="488">
        <v>7885938.0</v>
      </c>
      <c r="Z458" s="254"/>
      <c r="AA458" s="301" t="s">
        <v>810</v>
      </c>
      <c r="AB458" s="301" t="s">
        <v>1585</v>
      </c>
      <c r="AC458" s="488">
        <v>7060676.0</v>
      </c>
      <c r="AD458" s="343"/>
      <c r="AE458" s="347"/>
      <c r="AF458" s="313"/>
      <c r="AG458" s="313"/>
      <c r="AH458" s="313"/>
      <c r="AI458" s="313"/>
      <c r="AJ458" s="368"/>
      <c r="AK458" s="274"/>
      <c r="AL458" s="259" t="str">
        <f>MATCH(B458,'Key Findings'!B:B,0)</f>
        <v>#N/A</v>
      </c>
      <c r="AM458" s="274" t="b">
        <f t="shared" si="2"/>
        <v>0</v>
      </c>
      <c r="AN458" s="294"/>
    </row>
    <row r="459">
      <c r="A459" s="169">
        <f t="array" ref="A459">INDEX('Federal Tax, Stock Buybacks, &amp; '!D:D,match(B459,'Federal Tax, Stock Buybacks, &amp; '!E:E,0))</f>
        <v>26</v>
      </c>
      <c r="B459" s="338" t="s">
        <v>809</v>
      </c>
      <c r="C459" s="301"/>
      <c r="D459" s="349"/>
      <c r="E459" s="488"/>
      <c r="F459" s="254"/>
      <c r="G459" s="301"/>
      <c r="H459" s="349"/>
      <c r="I459" s="488"/>
      <c r="J459" s="254"/>
      <c r="K459" s="301" t="s">
        <v>818</v>
      </c>
      <c r="L459" s="349" t="s">
        <v>2009</v>
      </c>
      <c r="M459" s="488">
        <v>9283602.0</v>
      </c>
      <c r="N459" s="254"/>
      <c r="O459" s="498" t="s">
        <v>811</v>
      </c>
      <c r="P459" s="301" t="s">
        <v>2003</v>
      </c>
      <c r="Q459" s="499">
        <v>8868479.0</v>
      </c>
      <c r="R459" s="254"/>
      <c r="S459" s="301" t="s">
        <v>811</v>
      </c>
      <c r="T459" s="301" t="s">
        <v>2003</v>
      </c>
      <c r="U459" s="488">
        <v>8267794.0</v>
      </c>
      <c r="V459" s="254"/>
      <c r="W459" s="301" t="s">
        <v>811</v>
      </c>
      <c r="X459" s="301" t="s">
        <v>2003</v>
      </c>
      <c r="Y459" s="488">
        <v>7711293.0</v>
      </c>
      <c r="Z459" s="254"/>
      <c r="AA459" s="301" t="s">
        <v>808</v>
      </c>
      <c r="AB459" s="301" t="s">
        <v>1674</v>
      </c>
      <c r="AC459" s="488">
        <v>2.2206086E7</v>
      </c>
      <c r="AD459" s="343"/>
      <c r="AE459" s="347"/>
      <c r="AF459" s="313"/>
      <c r="AG459" s="313"/>
      <c r="AH459" s="313"/>
      <c r="AI459" s="313"/>
      <c r="AJ459" s="368"/>
      <c r="AK459" s="274"/>
      <c r="AL459" s="259" t="str">
        <f>MATCH(B459,'Key Findings'!B:B,0)</f>
        <v>#N/A</v>
      </c>
      <c r="AM459" s="274" t="b">
        <f t="shared" si="2"/>
        <v>0</v>
      </c>
      <c r="AN459" s="294"/>
    </row>
    <row r="460">
      <c r="A460" s="169">
        <f t="array" ref="A460">INDEX('Federal Tax, Stock Buybacks, &amp; '!D:D,match(B460,'Federal Tax, Stock Buybacks, &amp; '!E:E,0))</f>
        <v>26</v>
      </c>
      <c r="B460" s="338" t="s">
        <v>809</v>
      </c>
      <c r="C460" s="301"/>
      <c r="D460" s="349"/>
      <c r="E460" s="488"/>
      <c r="F460" s="254"/>
      <c r="G460" s="301"/>
      <c r="H460" s="349"/>
      <c r="I460" s="488"/>
      <c r="J460" s="254"/>
      <c r="K460" s="301" t="s">
        <v>820</v>
      </c>
      <c r="L460" s="349" t="s">
        <v>2010</v>
      </c>
      <c r="M460" s="488">
        <v>8634497.0</v>
      </c>
      <c r="N460" s="254"/>
      <c r="O460" s="498" t="s">
        <v>815</v>
      </c>
      <c r="P460" s="301" t="s">
        <v>2011</v>
      </c>
      <c r="Q460" s="499">
        <v>7674702.0</v>
      </c>
      <c r="R460" s="254"/>
      <c r="S460" s="350" t="s">
        <v>711</v>
      </c>
      <c r="T460" s="350" t="s">
        <v>711</v>
      </c>
      <c r="U460" s="488" t="s">
        <v>711</v>
      </c>
      <c r="V460" s="254"/>
      <c r="W460" s="350" t="s">
        <v>711</v>
      </c>
      <c r="X460" s="350" t="s">
        <v>711</v>
      </c>
      <c r="Y460" s="488" t="s">
        <v>711</v>
      </c>
      <c r="Z460" s="254"/>
      <c r="AA460" s="301" t="s">
        <v>813</v>
      </c>
      <c r="AB460" s="301" t="s">
        <v>2012</v>
      </c>
      <c r="AC460" s="488">
        <v>6714126.0</v>
      </c>
      <c r="AD460" s="343"/>
      <c r="AE460" s="347"/>
      <c r="AF460" s="313"/>
      <c r="AG460" s="313"/>
      <c r="AH460" s="313"/>
      <c r="AI460" s="313"/>
      <c r="AJ460" s="368"/>
      <c r="AK460" s="274"/>
      <c r="AL460" s="259" t="str">
        <f>MATCH(B460,'Key Findings'!B:B,0)</f>
        <v>#N/A</v>
      </c>
      <c r="AM460" s="274" t="b">
        <f t="shared" si="2"/>
        <v>0</v>
      </c>
      <c r="AN460" s="294"/>
    </row>
    <row r="461">
      <c r="A461" s="169">
        <f t="array" ref="A461">INDEX('Federal Tax, Stock Buybacks, &amp; '!D:D,match(B461,'Federal Tax, Stock Buybacks, &amp; '!E:E,0))</f>
        <v>26</v>
      </c>
      <c r="B461" s="338" t="s">
        <v>809</v>
      </c>
      <c r="C461" s="301"/>
      <c r="D461" s="349"/>
      <c r="E461" s="488"/>
      <c r="F461" s="254"/>
      <c r="G461" s="301"/>
      <c r="H461" s="349"/>
      <c r="I461" s="488"/>
      <c r="J461" s="254"/>
      <c r="K461" s="301" t="s">
        <v>819</v>
      </c>
      <c r="L461" s="349" t="s">
        <v>2004</v>
      </c>
      <c r="M461" s="488">
        <v>8754126.0</v>
      </c>
      <c r="N461" s="254"/>
      <c r="O461" s="350" t="s">
        <v>711</v>
      </c>
      <c r="P461" s="350" t="s">
        <v>711</v>
      </c>
      <c r="Q461" s="488" t="s">
        <v>711</v>
      </c>
      <c r="R461" s="254"/>
      <c r="S461" s="350" t="s">
        <v>711</v>
      </c>
      <c r="T461" s="350" t="s">
        <v>711</v>
      </c>
      <c r="U461" s="488" t="s">
        <v>711</v>
      </c>
      <c r="V461" s="254"/>
      <c r="W461" s="350" t="s">
        <v>711</v>
      </c>
      <c r="X461" s="350" t="s">
        <v>711</v>
      </c>
      <c r="Y461" s="488" t="s">
        <v>711</v>
      </c>
      <c r="Z461" s="254"/>
      <c r="AA461" s="301" t="s">
        <v>812</v>
      </c>
      <c r="AB461" s="301" t="s">
        <v>2013</v>
      </c>
      <c r="AC461" s="488">
        <v>1.2752938E7</v>
      </c>
      <c r="AD461" s="343"/>
      <c r="AE461" s="347"/>
      <c r="AF461" s="313"/>
      <c r="AG461" s="313"/>
      <c r="AH461" s="313"/>
      <c r="AI461" s="313"/>
      <c r="AJ461" s="368"/>
      <c r="AK461" s="274"/>
      <c r="AL461" s="259" t="str">
        <f>MATCH(B461,'Key Findings'!B:B,0)</f>
        <v>#N/A</v>
      </c>
      <c r="AM461" s="274" t="b">
        <f t="shared" si="2"/>
        <v>0</v>
      </c>
      <c r="AN461" s="294"/>
    </row>
    <row r="462">
      <c r="A462" s="169">
        <f t="array" ref="A462">INDEX('Federal Tax, Stock Buybacks, &amp; '!D:D,match(B462,'Federal Tax, Stock Buybacks, &amp; '!E:E,0))</f>
        <v>26</v>
      </c>
      <c r="B462" s="338" t="s">
        <v>809</v>
      </c>
      <c r="C462" s="350"/>
      <c r="D462" s="350"/>
      <c r="E462" s="488"/>
      <c r="F462" s="254"/>
      <c r="G462" s="350"/>
      <c r="H462" s="350"/>
      <c r="I462" s="488"/>
      <c r="J462" s="254"/>
      <c r="K462" s="350" t="s">
        <v>711</v>
      </c>
      <c r="L462" s="350" t="s">
        <v>711</v>
      </c>
      <c r="M462" s="488" t="s">
        <v>711</v>
      </c>
      <c r="N462" s="254"/>
      <c r="O462" s="350" t="s">
        <v>711</v>
      </c>
      <c r="P462" s="350" t="s">
        <v>711</v>
      </c>
      <c r="Q462" s="488" t="s">
        <v>711</v>
      </c>
      <c r="R462" s="254"/>
      <c r="S462" s="350" t="s">
        <v>711</v>
      </c>
      <c r="T462" s="350" t="s">
        <v>711</v>
      </c>
      <c r="U462" s="488" t="s">
        <v>711</v>
      </c>
      <c r="V462" s="254"/>
      <c r="W462" s="350" t="s">
        <v>711</v>
      </c>
      <c r="X462" s="350" t="s">
        <v>711</v>
      </c>
      <c r="Y462" s="488" t="s">
        <v>711</v>
      </c>
      <c r="Z462" s="254"/>
      <c r="AA462" s="301" t="s">
        <v>817</v>
      </c>
      <c r="AB462" s="301" t="s">
        <v>2014</v>
      </c>
      <c r="AC462" s="488">
        <v>1.2488942E7</v>
      </c>
      <c r="AD462" s="343"/>
      <c r="AE462" s="347"/>
      <c r="AF462" s="313"/>
      <c r="AG462" s="313"/>
      <c r="AH462" s="313"/>
      <c r="AI462" s="313"/>
      <c r="AJ462" s="368"/>
      <c r="AK462" s="274"/>
      <c r="AL462" s="259" t="str">
        <f>MATCH(B462,'Key Findings'!B:B,0)</f>
        <v>#N/A</v>
      </c>
      <c r="AM462" s="274" t="b">
        <f t="shared" si="2"/>
        <v>0</v>
      </c>
      <c r="AN462" s="294"/>
    </row>
    <row r="463">
      <c r="A463" s="169">
        <f t="array" ref="A463">INDEX('Federal Tax, Stock Buybacks, &amp; '!D:D,match(B463,'Federal Tax, Stock Buybacks, &amp; '!E:E,0))</f>
        <v>31</v>
      </c>
      <c r="B463" s="500" t="s">
        <v>1038</v>
      </c>
      <c r="C463" s="405"/>
      <c r="D463" s="494"/>
      <c r="E463" s="472"/>
      <c r="F463" s="254"/>
      <c r="G463" s="405"/>
      <c r="H463" s="494"/>
      <c r="I463" s="472"/>
      <c r="J463" s="254"/>
      <c r="K463" s="405" t="s">
        <v>1037</v>
      </c>
      <c r="L463" s="494" t="s">
        <v>1992</v>
      </c>
      <c r="M463" s="472">
        <v>3.3399764E7</v>
      </c>
      <c r="N463" s="254"/>
      <c r="O463" s="405" t="s">
        <v>1037</v>
      </c>
      <c r="P463" s="495" t="s">
        <v>1662</v>
      </c>
      <c r="Q463" s="472">
        <v>3.5248901E7</v>
      </c>
      <c r="R463" s="254"/>
      <c r="S463" s="405" t="s">
        <v>1042</v>
      </c>
      <c r="T463" s="501" t="s">
        <v>1529</v>
      </c>
      <c r="U463" s="472">
        <v>1.6053375E7</v>
      </c>
      <c r="V463" s="254"/>
      <c r="W463" s="405" t="s">
        <v>1042</v>
      </c>
      <c r="X463" s="501" t="s">
        <v>1529</v>
      </c>
      <c r="Y463" s="472">
        <v>2.1812977E7</v>
      </c>
      <c r="Z463" s="254"/>
      <c r="AA463" s="405" t="s">
        <v>1042</v>
      </c>
      <c r="AB463" s="501" t="s">
        <v>1529</v>
      </c>
      <c r="AC463" s="472">
        <v>1.9757363E7</v>
      </c>
      <c r="AD463" s="407"/>
      <c r="AE463" s="331">
        <v>2022.0</v>
      </c>
      <c r="AF463" s="331">
        <v>2021.0</v>
      </c>
      <c r="AG463" s="331">
        <v>2020.0</v>
      </c>
      <c r="AH463" s="331">
        <v>2019.0</v>
      </c>
      <c r="AI463" s="331">
        <v>2018.0</v>
      </c>
      <c r="AJ463" s="290" t="s">
        <v>1524</v>
      </c>
      <c r="AK463" s="260"/>
      <c r="AL463" s="259" t="str">
        <f>MATCH(B463,'Key Findings'!B:B,0)</f>
        <v>#N/A</v>
      </c>
      <c r="AM463" s="260" t="b">
        <f t="shared" si="2"/>
        <v>1</v>
      </c>
      <c r="AN463" s="294"/>
    </row>
    <row r="464">
      <c r="A464" s="169">
        <f t="array" ref="A464">INDEX('Federal Tax, Stock Buybacks, &amp; '!D:D,match(B464,'Federal Tax, Stock Buybacks, &amp; '!E:E,0))</f>
        <v>31</v>
      </c>
      <c r="B464" s="500" t="s">
        <v>1038</v>
      </c>
      <c r="C464" s="405"/>
      <c r="D464" s="501"/>
      <c r="E464" s="472"/>
      <c r="F464" s="254"/>
      <c r="G464" s="405"/>
      <c r="H464" s="501"/>
      <c r="I464" s="472"/>
      <c r="J464" s="254"/>
      <c r="K464" s="405" t="s">
        <v>1040</v>
      </c>
      <c r="L464" s="501" t="s">
        <v>1523</v>
      </c>
      <c r="M464" s="472">
        <v>2.7110418E7</v>
      </c>
      <c r="N464" s="254"/>
      <c r="O464" s="405" t="s">
        <v>1040</v>
      </c>
      <c r="P464" s="501" t="s">
        <v>1523</v>
      </c>
      <c r="Q464" s="472">
        <v>2.6823061E7</v>
      </c>
      <c r="R464" s="254"/>
      <c r="S464" s="405" t="s">
        <v>1037</v>
      </c>
      <c r="T464" s="495" t="s">
        <v>1662</v>
      </c>
      <c r="U464" s="472">
        <v>2.4754004E7</v>
      </c>
      <c r="V464" s="254"/>
      <c r="W464" s="405" t="s">
        <v>1037</v>
      </c>
      <c r="X464" s="495" t="s">
        <v>1662</v>
      </c>
      <c r="Y464" s="472">
        <v>2.7144147E7</v>
      </c>
      <c r="Z464" s="254"/>
      <c r="AA464" s="405" t="s">
        <v>1037</v>
      </c>
      <c r="AB464" s="495" t="s">
        <v>1662</v>
      </c>
      <c r="AC464" s="472">
        <v>2.3728418E7</v>
      </c>
      <c r="AD464" s="407"/>
      <c r="AE464" s="502"/>
      <c r="AF464" s="502"/>
      <c r="AG464" s="502"/>
      <c r="AH464" s="502"/>
      <c r="AI464" s="502"/>
      <c r="AJ464" s="293"/>
      <c r="AK464" s="260"/>
      <c r="AL464" s="259" t="str">
        <f>MATCH(B464,'Key Findings'!B:B,0)</f>
        <v>#N/A</v>
      </c>
      <c r="AM464" s="260" t="b">
        <f t="shared" si="2"/>
        <v>1</v>
      </c>
      <c r="AN464" s="294"/>
    </row>
    <row r="465">
      <c r="A465" s="169">
        <f t="array" ref="A465">INDEX('Federal Tax, Stock Buybacks, &amp; '!D:D,match(B465,'Federal Tax, Stock Buybacks, &amp; '!E:E,0))</f>
        <v>31</v>
      </c>
      <c r="B465" s="500" t="s">
        <v>1038</v>
      </c>
      <c r="C465" s="405"/>
      <c r="D465" s="494"/>
      <c r="E465" s="472"/>
      <c r="F465" s="254"/>
      <c r="G465" s="405"/>
      <c r="H465" s="494"/>
      <c r="I465" s="472"/>
      <c r="J465" s="254"/>
      <c r="K465" s="405" t="s">
        <v>1041</v>
      </c>
      <c r="L465" s="494" t="s">
        <v>1528</v>
      </c>
      <c r="M465" s="472">
        <v>2.0130081E7</v>
      </c>
      <c r="N465" s="254"/>
      <c r="O465" s="405" t="s">
        <v>1041</v>
      </c>
      <c r="P465" s="495" t="s">
        <v>1532</v>
      </c>
      <c r="Q465" s="472">
        <v>2.4352502E7</v>
      </c>
      <c r="R465" s="254"/>
      <c r="S465" s="405" t="s">
        <v>1040</v>
      </c>
      <c r="T465" s="501" t="s">
        <v>1523</v>
      </c>
      <c r="U465" s="472">
        <v>2.5288265E7</v>
      </c>
      <c r="V465" s="254"/>
      <c r="W465" s="405" t="s">
        <v>1040</v>
      </c>
      <c r="X465" s="501" t="s">
        <v>1523</v>
      </c>
      <c r="Y465" s="472">
        <v>2.3415973E7</v>
      </c>
      <c r="Z465" s="254"/>
      <c r="AA465" s="405" t="s">
        <v>1040</v>
      </c>
      <c r="AB465" s="501" t="s">
        <v>1523</v>
      </c>
      <c r="AC465" s="472">
        <v>2.2554543E7</v>
      </c>
      <c r="AD465" s="407"/>
      <c r="AE465" s="409"/>
      <c r="AF465" s="410"/>
      <c r="AG465" s="410"/>
      <c r="AH465" s="410"/>
      <c r="AI465" s="410"/>
      <c r="AJ465" s="293"/>
      <c r="AK465" s="260"/>
      <c r="AL465" s="259" t="str">
        <f>MATCH(B465,'Key Findings'!B:B,0)</f>
        <v>#N/A</v>
      </c>
      <c r="AM465" s="260" t="b">
        <f t="shared" si="2"/>
        <v>1</v>
      </c>
      <c r="AN465" s="294"/>
    </row>
    <row r="466">
      <c r="A466" s="169">
        <f t="array" ref="A466">INDEX('Federal Tax, Stock Buybacks, &amp; '!D:D,match(B466,'Federal Tax, Stock Buybacks, &amp; '!E:E,0))</f>
        <v>31</v>
      </c>
      <c r="B466" s="500" t="s">
        <v>1038</v>
      </c>
      <c r="C466" s="405"/>
      <c r="D466" s="494"/>
      <c r="E466" s="472"/>
      <c r="F466" s="254"/>
      <c r="G466" s="405"/>
      <c r="H466" s="494"/>
      <c r="I466" s="472"/>
      <c r="J466" s="254"/>
      <c r="K466" s="405" t="s">
        <v>1039</v>
      </c>
      <c r="L466" s="494" t="s">
        <v>2015</v>
      </c>
      <c r="M466" s="472">
        <v>2.2591304E7</v>
      </c>
      <c r="N466" s="254"/>
      <c r="O466" s="405" t="s">
        <v>1039</v>
      </c>
      <c r="P466" s="495" t="s">
        <v>2015</v>
      </c>
      <c r="Q466" s="472">
        <v>2.9076694E7</v>
      </c>
      <c r="R466" s="254"/>
      <c r="S466" s="405" t="s">
        <v>1041</v>
      </c>
      <c r="T466" s="495" t="s">
        <v>1532</v>
      </c>
      <c r="U466" s="472">
        <v>1.6141237E7</v>
      </c>
      <c r="V466" s="254"/>
      <c r="W466" s="405" t="s">
        <v>1041</v>
      </c>
      <c r="X466" s="495" t="s">
        <v>1532</v>
      </c>
      <c r="Y466" s="472">
        <v>2.1334036E7</v>
      </c>
      <c r="Z466" s="254"/>
      <c r="AA466" s="405" t="s">
        <v>1041</v>
      </c>
      <c r="AB466" s="495" t="s">
        <v>1532</v>
      </c>
      <c r="AC466" s="472">
        <v>1.9686113E7</v>
      </c>
      <c r="AD466" s="407"/>
      <c r="AE466" s="409"/>
      <c r="AF466" s="410"/>
      <c r="AG466" s="410"/>
      <c r="AH466" s="410"/>
      <c r="AI466" s="410"/>
      <c r="AJ466" s="293"/>
      <c r="AK466" s="260"/>
      <c r="AL466" s="259" t="str">
        <f>MATCH(B466,'Key Findings'!B:B,0)</f>
        <v>#N/A</v>
      </c>
      <c r="AM466" s="260" t="b">
        <f t="shared" si="2"/>
        <v>1</v>
      </c>
      <c r="AN466" s="294"/>
    </row>
    <row r="467">
      <c r="A467" s="169">
        <f t="array" ref="A467">INDEX('Federal Tax, Stock Buybacks, &amp; '!D:D,match(B467,'Federal Tax, Stock Buybacks, &amp; '!E:E,0))</f>
        <v>31</v>
      </c>
      <c r="B467" s="500" t="s">
        <v>1038</v>
      </c>
      <c r="C467" s="405"/>
      <c r="D467" s="494"/>
      <c r="E467" s="472"/>
      <c r="F467" s="254"/>
      <c r="G467" s="405"/>
      <c r="H467" s="494"/>
      <c r="I467" s="472"/>
      <c r="J467" s="254"/>
      <c r="K467" s="405" t="s">
        <v>1044</v>
      </c>
      <c r="L467" s="494" t="s">
        <v>1662</v>
      </c>
      <c r="M467" s="472">
        <v>2.1267164E7</v>
      </c>
      <c r="N467" s="254"/>
      <c r="O467" s="405" t="s">
        <v>1043</v>
      </c>
      <c r="P467" s="495" t="s">
        <v>2016</v>
      </c>
      <c r="Q467" s="472">
        <v>2.6390568E7</v>
      </c>
      <c r="R467" s="254"/>
      <c r="S467" s="405" t="s">
        <v>1039</v>
      </c>
      <c r="T467" s="495" t="s">
        <v>2015</v>
      </c>
      <c r="U467" s="472">
        <v>6.9682654E7</v>
      </c>
      <c r="V467" s="254"/>
      <c r="W467" s="405" t="s">
        <v>1046</v>
      </c>
      <c r="X467" s="501" t="s">
        <v>1729</v>
      </c>
      <c r="Y467" s="472">
        <v>1.9136745E7</v>
      </c>
      <c r="Z467" s="254"/>
      <c r="AA467" s="405" t="s">
        <v>1039</v>
      </c>
      <c r="AB467" s="495" t="s">
        <v>2015</v>
      </c>
      <c r="AC467" s="472">
        <v>1.9686113E7</v>
      </c>
      <c r="AD467" s="407"/>
      <c r="AE467" s="409"/>
      <c r="AF467" s="410"/>
      <c r="AG467" s="410"/>
      <c r="AH467" s="410"/>
      <c r="AI467" s="410"/>
      <c r="AJ467" s="293"/>
      <c r="AK467" s="260"/>
      <c r="AL467" s="259" t="str">
        <f>MATCH(B467,'Key Findings'!B:B,0)</f>
        <v>#N/A</v>
      </c>
      <c r="AM467" s="260" t="b">
        <f t="shared" si="2"/>
        <v>1</v>
      </c>
      <c r="AN467" s="294"/>
    </row>
    <row r="468">
      <c r="A468" s="169">
        <f t="array" ref="A468">INDEX('Federal Tax, Stock Buybacks, &amp; '!D:D,match(B468,'Federal Tax, Stock Buybacks, &amp; '!E:E,0))</f>
        <v>31</v>
      </c>
      <c r="B468" s="500" t="s">
        <v>1038</v>
      </c>
      <c r="C468" s="405"/>
      <c r="D468" s="494"/>
      <c r="E468" s="472"/>
      <c r="F468" s="254"/>
      <c r="G468" s="405"/>
      <c r="H468" s="494"/>
      <c r="I468" s="472"/>
      <c r="J468" s="254"/>
      <c r="K468" s="405" t="s">
        <v>1045</v>
      </c>
      <c r="L468" s="494" t="s">
        <v>1529</v>
      </c>
      <c r="M468" s="472">
        <v>2.0261878E7</v>
      </c>
      <c r="N468" s="254"/>
      <c r="O468" s="298" t="s">
        <v>711</v>
      </c>
      <c r="P468" s="496" t="s">
        <v>711</v>
      </c>
      <c r="Q468" s="471" t="s">
        <v>711</v>
      </c>
      <c r="R468" s="254"/>
      <c r="S468" s="298" t="s">
        <v>711</v>
      </c>
      <c r="T468" s="496" t="s">
        <v>711</v>
      </c>
      <c r="U468" s="471" t="s">
        <v>711</v>
      </c>
      <c r="V468" s="254"/>
      <c r="W468" s="405" t="s">
        <v>1039</v>
      </c>
      <c r="X468" s="495" t="s">
        <v>2015</v>
      </c>
      <c r="Y468" s="471">
        <v>418481.0</v>
      </c>
      <c r="Z468" s="254"/>
      <c r="AA468" s="298" t="s">
        <v>711</v>
      </c>
      <c r="AB468" s="496" t="s">
        <v>711</v>
      </c>
      <c r="AC468" s="471" t="s">
        <v>711</v>
      </c>
      <c r="AD468" s="407"/>
      <c r="AE468" s="409"/>
      <c r="AF468" s="410"/>
      <c r="AG468" s="410"/>
      <c r="AH468" s="410"/>
      <c r="AI468" s="410"/>
      <c r="AJ468" s="293"/>
      <c r="AK468" s="260"/>
      <c r="AL468" s="259" t="str">
        <f>MATCH(B468,'Key Findings'!B:B,0)</f>
        <v>#N/A</v>
      </c>
      <c r="AM468" s="260" t="b">
        <f t="shared" si="2"/>
        <v>1</v>
      </c>
      <c r="AN468" s="294"/>
    </row>
    <row r="469">
      <c r="A469" s="169">
        <f t="array" ref="A469">INDEX('Federal Tax, Stock Buybacks, &amp; '!D:D,match(B469,'Federal Tax, Stock Buybacks, &amp; '!E:E,0))</f>
        <v>31</v>
      </c>
      <c r="B469" s="500" t="s">
        <v>1038</v>
      </c>
      <c r="C469" s="405"/>
      <c r="D469" s="494"/>
      <c r="E469" s="472"/>
      <c r="F469" s="254"/>
      <c r="G469" s="405"/>
      <c r="H469" s="494"/>
      <c r="I469" s="472"/>
      <c r="J469" s="254"/>
      <c r="K469" s="405" t="s">
        <v>1047</v>
      </c>
      <c r="L469" s="494" t="s">
        <v>1532</v>
      </c>
      <c r="M469" s="472">
        <v>1.5209487E7</v>
      </c>
      <c r="N469" s="254"/>
      <c r="O469" s="298" t="s">
        <v>711</v>
      </c>
      <c r="P469" s="496" t="s">
        <v>711</v>
      </c>
      <c r="Q469" s="471" t="s">
        <v>711</v>
      </c>
      <c r="R469" s="254"/>
      <c r="S469" s="298" t="s">
        <v>711</v>
      </c>
      <c r="T469" s="496" t="s">
        <v>711</v>
      </c>
      <c r="U469" s="471" t="s">
        <v>711</v>
      </c>
      <c r="V469" s="254"/>
      <c r="W469" s="298" t="s">
        <v>711</v>
      </c>
      <c r="X469" s="496" t="s">
        <v>711</v>
      </c>
      <c r="Y469" s="471" t="s">
        <v>711</v>
      </c>
      <c r="Z469" s="254"/>
      <c r="AA469" s="298" t="s">
        <v>711</v>
      </c>
      <c r="AB469" s="496" t="s">
        <v>711</v>
      </c>
      <c r="AC469" s="471" t="s">
        <v>711</v>
      </c>
      <c r="AD469" s="407"/>
      <c r="AE469" s="409"/>
      <c r="AF469" s="410"/>
      <c r="AG469" s="410"/>
      <c r="AH469" s="410"/>
      <c r="AI469" s="410"/>
      <c r="AJ469" s="293"/>
      <c r="AK469" s="260"/>
      <c r="AL469" s="259" t="str">
        <f>MATCH(B469,'Key Findings'!B:B,0)</f>
        <v>#N/A</v>
      </c>
      <c r="AM469" s="260" t="b">
        <f t="shared" si="2"/>
        <v>1</v>
      </c>
      <c r="AN469" s="294"/>
    </row>
    <row r="470">
      <c r="A470" s="196" t="str">
        <f t="array" ref="A470">INDEX('Federal Tax, Stock Buybacks, &amp; '!D:D,match(B470,'Federal Tax, Stock Buybacks, &amp; '!E:E,0))</f>
        <v>#N/A</v>
      </c>
      <c r="B470" s="418" t="s">
        <v>767</v>
      </c>
      <c r="C470" s="301"/>
      <c r="D470" s="421"/>
      <c r="E470" s="488"/>
      <c r="F470" s="254"/>
      <c r="G470" s="301"/>
      <c r="H470" s="421"/>
      <c r="I470" s="488"/>
      <c r="J470" s="254"/>
      <c r="K470" s="301" t="s">
        <v>773</v>
      </c>
      <c r="L470" s="421" t="s">
        <v>2017</v>
      </c>
      <c r="M470" s="488">
        <v>1.3844049E7</v>
      </c>
      <c r="N470" s="254"/>
      <c r="O470" s="301" t="s">
        <v>773</v>
      </c>
      <c r="P470" s="503" t="s">
        <v>2017</v>
      </c>
      <c r="Q470" s="488">
        <v>9015828.0</v>
      </c>
      <c r="R470" s="254"/>
      <c r="S470" s="301" t="s">
        <v>771</v>
      </c>
      <c r="T470" s="419" t="s">
        <v>2018</v>
      </c>
      <c r="U470" s="488">
        <v>7958347.0</v>
      </c>
      <c r="V470" s="254"/>
      <c r="W470" s="301" t="s">
        <v>769</v>
      </c>
      <c r="X470" s="503" t="s">
        <v>2019</v>
      </c>
      <c r="Y470" s="488">
        <v>1.6697686E7</v>
      </c>
      <c r="Z470" s="254"/>
      <c r="AA470" s="301" t="s">
        <v>769</v>
      </c>
      <c r="AB470" s="503" t="s">
        <v>1663</v>
      </c>
      <c r="AC470" s="488">
        <v>1.8426734E7</v>
      </c>
      <c r="AD470" s="343"/>
      <c r="AE470" s="379">
        <v>2022.0</v>
      </c>
      <c r="AF470" s="379">
        <v>2021.0</v>
      </c>
      <c r="AG470" s="379">
        <v>2020.0</v>
      </c>
      <c r="AH470" s="379">
        <v>2019.0</v>
      </c>
      <c r="AI470" s="379">
        <v>2018.0</v>
      </c>
      <c r="AJ470" s="367" t="s">
        <v>1524</v>
      </c>
      <c r="AK470" s="274"/>
      <c r="AL470" s="259" t="str">
        <f>MATCH(B470,'Key Findings'!B:B,0)</f>
        <v>#N/A</v>
      </c>
      <c r="AM470" s="274" t="str">
        <f t="shared" si="2"/>
        <v>#N/A</v>
      </c>
      <c r="AN470" s="294"/>
    </row>
    <row r="471">
      <c r="A471" s="196" t="str">
        <f t="array" ref="A471">INDEX('Federal Tax, Stock Buybacks, &amp; '!D:D,match(B471,'Federal Tax, Stock Buybacks, &amp; '!E:E,0))</f>
        <v>#N/A</v>
      </c>
      <c r="B471" s="418" t="s">
        <v>767</v>
      </c>
      <c r="C471" s="301"/>
      <c r="D471" s="421"/>
      <c r="E471" s="488"/>
      <c r="F471" s="254"/>
      <c r="G471" s="301"/>
      <c r="H471" s="421"/>
      <c r="I471" s="488"/>
      <c r="J471" s="254"/>
      <c r="K471" s="301" t="s">
        <v>768</v>
      </c>
      <c r="L471" s="421" t="s">
        <v>2020</v>
      </c>
      <c r="M471" s="488">
        <v>1.1772312E7</v>
      </c>
      <c r="N471" s="254"/>
      <c r="O471" s="301" t="s">
        <v>766</v>
      </c>
      <c r="P471" s="419" t="s">
        <v>1663</v>
      </c>
      <c r="Q471" s="488">
        <v>2.1350906E7</v>
      </c>
      <c r="R471" s="254"/>
      <c r="S471" s="301" t="s">
        <v>768</v>
      </c>
      <c r="T471" s="503" t="s">
        <v>2021</v>
      </c>
      <c r="U471" s="488">
        <v>8537861.0</v>
      </c>
      <c r="V471" s="254"/>
      <c r="W471" s="301" t="s">
        <v>771</v>
      </c>
      <c r="X471" s="419" t="s">
        <v>2022</v>
      </c>
      <c r="Y471" s="488">
        <v>1.2436548E7</v>
      </c>
      <c r="Z471" s="254"/>
      <c r="AA471" s="301" t="s">
        <v>776</v>
      </c>
      <c r="AB471" s="419" t="s">
        <v>2023</v>
      </c>
      <c r="AC471" s="488">
        <v>1.0387246E7</v>
      </c>
      <c r="AD471" s="343"/>
      <c r="AE471" s="347"/>
      <c r="AF471" s="313"/>
      <c r="AG471" s="313"/>
      <c r="AH471" s="313"/>
      <c r="AI471" s="313"/>
      <c r="AJ471" s="368"/>
      <c r="AK471" s="274"/>
      <c r="AL471" s="259" t="str">
        <f>MATCH(B471,'Key Findings'!B:B,0)</f>
        <v>#N/A</v>
      </c>
      <c r="AM471" s="274" t="str">
        <f t="shared" si="2"/>
        <v>#N/A</v>
      </c>
      <c r="AN471" s="294"/>
    </row>
    <row r="472">
      <c r="A472" s="196" t="str">
        <f t="array" ref="A472">INDEX('Federal Tax, Stock Buybacks, &amp; '!D:D,match(B472,'Federal Tax, Stock Buybacks, &amp; '!E:E,0))</f>
        <v>#N/A</v>
      </c>
      <c r="B472" s="418" t="s">
        <v>767</v>
      </c>
      <c r="C472" s="301"/>
      <c r="D472" s="421"/>
      <c r="E472" s="488"/>
      <c r="F472" s="254"/>
      <c r="G472" s="301"/>
      <c r="H472" s="421"/>
      <c r="I472" s="488"/>
      <c r="J472" s="254"/>
      <c r="K472" s="301" t="s">
        <v>766</v>
      </c>
      <c r="L472" s="421" t="s">
        <v>1663</v>
      </c>
      <c r="M472" s="488">
        <v>2.4642526E7</v>
      </c>
      <c r="N472" s="254"/>
      <c r="O472" s="301" t="s">
        <v>772</v>
      </c>
      <c r="P472" s="419" t="s">
        <v>2024</v>
      </c>
      <c r="Q472" s="488">
        <v>1.1987508E7</v>
      </c>
      <c r="R472" s="254"/>
      <c r="S472" s="301" t="s">
        <v>766</v>
      </c>
      <c r="T472" s="419" t="s">
        <v>1663</v>
      </c>
      <c r="U472" s="488">
        <v>2.0392046E7</v>
      </c>
      <c r="V472" s="254"/>
      <c r="W472" s="301" t="s">
        <v>774</v>
      </c>
      <c r="X472" s="503" t="s">
        <v>2025</v>
      </c>
      <c r="Y472" s="488">
        <v>1.0450624E7</v>
      </c>
      <c r="Z472" s="254"/>
      <c r="AA472" s="301" t="s">
        <v>771</v>
      </c>
      <c r="AB472" s="419" t="s">
        <v>2022</v>
      </c>
      <c r="AC472" s="488">
        <v>1.2528858E7</v>
      </c>
      <c r="AD472" s="343"/>
      <c r="AE472" s="347"/>
      <c r="AF472" s="313"/>
      <c r="AG472" s="313"/>
      <c r="AH472" s="313"/>
      <c r="AI472" s="313"/>
      <c r="AJ472" s="368"/>
      <c r="AK472" s="274"/>
      <c r="AL472" s="259" t="str">
        <f>MATCH(B472,'Key Findings'!B:B,0)</f>
        <v>#N/A</v>
      </c>
      <c r="AM472" s="274" t="str">
        <f t="shared" si="2"/>
        <v>#N/A</v>
      </c>
      <c r="AN472" s="294"/>
    </row>
    <row r="473">
      <c r="A473" s="196" t="str">
        <f t="array" ref="A473">INDEX('Federal Tax, Stock Buybacks, &amp; '!D:D,match(B473,'Federal Tax, Stock Buybacks, &amp; '!E:E,0))</f>
        <v>#N/A</v>
      </c>
      <c r="B473" s="418" t="s">
        <v>767</v>
      </c>
      <c r="C473" s="301"/>
      <c r="D473" s="421"/>
      <c r="E473" s="488"/>
      <c r="F473" s="254"/>
      <c r="G473" s="301"/>
      <c r="H473" s="421"/>
      <c r="I473" s="488"/>
      <c r="J473" s="254"/>
      <c r="K473" s="301" t="s">
        <v>772</v>
      </c>
      <c r="L473" s="421" t="s">
        <v>2026</v>
      </c>
      <c r="M473" s="488">
        <v>1.2808167E7</v>
      </c>
      <c r="N473" s="254"/>
      <c r="O473" s="301" t="s">
        <v>770</v>
      </c>
      <c r="P473" s="503" t="s">
        <v>2027</v>
      </c>
      <c r="Q473" s="488">
        <v>9304908.0</v>
      </c>
      <c r="R473" s="254"/>
      <c r="S473" s="301" t="s">
        <v>772</v>
      </c>
      <c r="T473" s="419" t="s">
        <v>2024</v>
      </c>
      <c r="U473" s="488">
        <v>8107710.0</v>
      </c>
      <c r="V473" s="254"/>
      <c r="W473" s="301" t="s">
        <v>768</v>
      </c>
      <c r="X473" s="419" t="s">
        <v>2028</v>
      </c>
      <c r="Y473" s="488">
        <v>1.0530626E7</v>
      </c>
      <c r="Z473" s="254"/>
      <c r="AA473" s="301" t="s">
        <v>774</v>
      </c>
      <c r="AB473" s="503" t="s">
        <v>2029</v>
      </c>
      <c r="AC473" s="488">
        <v>8986708.0</v>
      </c>
      <c r="AD473" s="343"/>
      <c r="AE473" s="347"/>
      <c r="AF473" s="313"/>
      <c r="AG473" s="313"/>
      <c r="AH473" s="313"/>
      <c r="AI473" s="313"/>
      <c r="AJ473" s="368"/>
      <c r="AK473" s="274"/>
      <c r="AL473" s="259" t="str">
        <f>MATCH(B473,'Key Findings'!B:B,0)</f>
        <v>#N/A</v>
      </c>
      <c r="AM473" s="274" t="str">
        <f t="shared" si="2"/>
        <v>#N/A</v>
      </c>
      <c r="AN473" s="294"/>
    </row>
    <row r="474">
      <c r="A474" s="196" t="str">
        <f t="array" ref="A474">INDEX('Federal Tax, Stock Buybacks, &amp; '!D:D,match(B474,'Federal Tax, Stock Buybacks, &amp; '!E:E,0))</f>
        <v>#N/A</v>
      </c>
      <c r="B474" s="418" t="s">
        <v>767</v>
      </c>
      <c r="C474" s="301"/>
      <c r="D474" s="419"/>
      <c r="E474" s="488"/>
      <c r="F474" s="254"/>
      <c r="G474" s="301"/>
      <c r="H474" s="419"/>
      <c r="I474" s="488"/>
      <c r="J474" s="254"/>
      <c r="K474" s="301" t="s">
        <v>770</v>
      </c>
      <c r="L474" s="419" t="s">
        <v>2030</v>
      </c>
      <c r="M474" s="488">
        <v>1.0445661E7</v>
      </c>
      <c r="N474" s="254"/>
      <c r="O474" s="301" t="s">
        <v>779</v>
      </c>
      <c r="P474" s="503" t="s">
        <v>2031</v>
      </c>
      <c r="Q474" s="488">
        <v>9100008.0</v>
      </c>
      <c r="R474" s="254"/>
      <c r="S474" s="301" t="s">
        <v>775</v>
      </c>
      <c r="T474" s="503" t="s">
        <v>2032</v>
      </c>
      <c r="U474" s="488">
        <v>1.3639888E7</v>
      </c>
      <c r="V474" s="254"/>
      <c r="W474" s="301" t="s">
        <v>766</v>
      </c>
      <c r="X474" s="419" t="s">
        <v>1663</v>
      </c>
      <c r="Y474" s="488">
        <v>3.4286574E7</v>
      </c>
      <c r="Z474" s="254"/>
      <c r="AA474" s="301" t="s">
        <v>768</v>
      </c>
      <c r="AB474" s="419" t="s">
        <v>2033</v>
      </c>
      <c r="AC474" s="488">
        <v>8600493.0</v>
      </c>
      <c r="AD474" s="343"/>
      <c r="AE474" s="347"/>
      <c r="AF474" s="313"/>
      <c r="AG474" s="313"/>
      <c r="AH474" s="313"/>
      <c r="AI474" s="313"/>
      <c r="AJ474" s="368"/>
      <c r="AK474" s="274"/>
      <c r="AL474" s="259" t="str">
        <f>MATCH(B474,'Key Findings'!B:B,0)</f>
        <v>#N/A</v>
      </c>
      <c r="AM474" s="274" t="str">
        <f t="shared" si="2"/>
        <v>#N/A</v>
      </c>
      <c r="AN474" s="294"/>
    </row>
    <row r="475">
      <c r="A475" s="196" t="str">
        <f t="array" ref="A475">INDEX('Federal Tax, Stock Buybacks, &amp; '!D:D,match(B475,'Federal Tax, Stock Buybacks, &amp; '!E:E,0))</f>
        <v>#N/A</v>
      </c>
      <c r="B475" s="418" t="s">
        <v>767</v>
      </c>
      <c r="C475" s="372"/>
      <c r="D475" s="428"/>
      <c r="E475" s="499"/>
      <c r="F475" s="254"/>
      <c r="G475" s="372"/>
      <c r="H475" s="428"/>
      <c r="I475" s="499"/>
      <c r="J475" s="254"/>
      <c r="K475" s="372" t="s">
        <v>711</v>
      </c>
      <c r="L475" s="428" t="s">
        <v>711</v>
      </c>
      <c r="M475" s="499" t="s">
        <v>711</v>
      </c>
      <c r="N475" s="254"/>
      <c r="O475" s="301" t="s">
        <v>768</v>
      </c>
      <c r="P475" s="503" t="s">
        <v>2020</v>
      </c>
      <c r="Q475" s="504">
        <v>7995693.0</v>
      </c>
      <c r="R475" s="254"/>
      <c r="S475" s="301" t="s">
        <v>770</v>
      </c>
      <c r="T475" s="503" t="s">
        <v>2027</v>
      </c>
      <c r="U475" s="488">
        <v>1.4622488E7</v>
      </c>
      <c r="V475" s="254"/>
      <c r="W475" s="301" t="s">
        <v>777</v>
      </c>
      <c r="X475" s="503" t="s">
        <v>2034</v>
      </c>
      <c r="Y475" s="488">
        <v>1.0369876E7</v>
      </c>
      <c r="Z475" s="254"/>
      <c r="AA475" s="372" t="s">
        <v>711</v>
      </c>
      <c r="AB475" s="428" t="s">
        <v>711</v>
      </c>
      <c r="AC475" s="499" t="s">
        <v>711</v>
      </c>
      <c r="AD475" s="343"/>
      <c r="AE475" s="347"/>
      <c r="AF475" s="313"/>
      <c r="AG475" s="313"/>
      <c r="AH475" s="313"/>
      <c r="AI475" s="313"/>
      <c r="AJ475" s="368"/>
      <c r="AK475" s="274"/>
      <c r="AL475" s="259" t="str">
        <f>MATCH(B475,'Key Findings'!B:B,0)</f>
        <v>#N/A</v>
      </c>
      <c r="AM475" s="274" t="str">
        <f t="shared" si="2"/>
        <v>#N/A</v>
      </c>
      <c r="AN475" s="294"/>
    </row>
    <row r="476">
      <c r="A476" s="196" t="str">
        <f t="array" ref="A476">INDEX('Federal Tax, Stock Buybacks, &amp; '!D:D,match(B476,'Federal Tax, Stock Buybacks, &amp; '!E:E,0))</f>
        <v>#N/A</v>
      </c>
      <c r="B476" s="418" t="s">
        <v>767</v>
      </c>
      <c r="C476" s="372"/>
      <c r="D476" s="428"/>
      <c r="E476" s="499"/>
      <c r="F476" s="254"/>
      <c r="G476" s="372"/>
      <c r="H476" s="428"/>
      <c r="I476" s="499"/>
      <c r="J476" s="254"/>
      <c r="K476" s="372" t="s">
        <v>711</v>
      </c>
      <c r="L476" s="428" t="s">
        <v>711</v>
      </c>
      <c r="M476" s="499" t="s">
        <v>711</v>
      </c>
      <c r="N476" s="254"/>
      <c r="O476" s="372" t="s">
        <v>711</v>
      </c>
      <c r="P476" s="428" t="s">
        <v>711</v>
      </c>
      <c r="Q476" s="499" t="s">
        <v>711</v>
      </c>
      <c r="R476" s="254"/>
      <c r="S476" s="372" t="s">
        <v>711</v>
      </c>
      <c r="T476" s="428" t="s">
        <v>711</v>
      </c>
      <c r="U476" s="499" t="s">
        <v>711</v>
      </c>
      <c r="V476" s="254"/>
      <c r="W476" s="301" t="s">
        <v>778</v>
      </c>
      <c r="X476" s="419" t="s">
        <v>2035</v>
      </c>
      <c r="Y476" s="488">
        <v>9600292.0</v>
      </c>
      <c r="Z476" s="254"/>
      <c r="AA476" s="372" t="s">
        <v>711</v>
      </c>
      <c r="AB476" s="428" t="s">
        <v>711</v>
      </c>
      <c r="AC476" s="499" t="s">
        <v>711</v>
      </c>
      <c r="AD476" s="343"/>
      <c r="AE476" s="347"/>
      <c r="AF476" s="313"/>
      <c r="AG476" s="313"/>
      <c r="AH476" s="313"/>
      <c r="AI476" s="313"/>
      <c r="AJ476" s="368"/>
      <c r="AK476" s="274"/>
      <c r="AL476" s="259" t="str">
        <f>MATCH(B476,'Key Findings'!B:B,0)</f>
        <v>#N/A</v>
      </c>
      <c r="AM476" s="274" t="str">
        <f t="shared" si="2"/>
        <v>#N/A</v>
      </c>
      <c r="AN476" s="294"/>
    </row>
    <row r="477">
      <c r="A477" s="169">
        <f t="array" ref="A477">INDEX('Federal Tax, Stock Buybacks, &amp; '!D:D,match(B477,'Federal Tax, Stock Buybacks, &amp; '!E:E,0))</f>
        <v>29</v>
      </c>
      <c r="B477" s="338" t="s">
        <v>1308</v>
      </c>
      <c r="C477" s="301"/>
      <c r="D477" s="421"/>
      <c r="E477" s="488"/>
      <c r="F477" s="254"/>
      <c r="G477" s="301"/>
      <c r="H477" s="421"/>
      <c r="I477" s="488"/>
      <c r="J477" s="254"/>
      <c r="K477" s="301" t="s">
        <v>1307</v>
      </c>
      <c r="L477" s="421" t="s">
        <v>2036</v>
      </c>
      <c r="M477" s="488">
        <v>3.206985E7</v>
      </c>
      <c r="N477" s="254"/>
      <c r="O477" s="301" t="s">
        <v>1307</v>
      </c>
      <c r="P477" s="503" t="s">
        <v>1620</v>
      </c>
      <c r="Q477" s="488">
        <v>3.3978581E7</v>
      </c>
      <c r="R477" s="254"/>
      <c r="S477" s="301" t="s">
        <v>1307</v>
      </c>
      <c r="T477" s="503" t="s">
        <v>1620</v>
      </c>
      <c r="U477" s="488">
        <v>3.2713267E7</v>
      </c>
      <c r="V477" s="254"/>
      <c r="W477" s="301" t="s">
        <v>1307</v>
      </c>
      <c r="X477" s="503" t="s">
        <v>1620</v>
      </c>
      <c r="Y477" s="488">
        <v>3.6370183E7</v>
      </c>
      <c r="Z477" s="254"/>
      <c r="AA477" s="301" t="s">
        <v>1307</v>
      </c>
      <c r="AB477" s="503" t="s">
        <v>1620</v>
      </c>
      <c r="AC477" s="488">
        <v>3.5026207E7</v>
      </c>
      <c r="AD477" s="343"/>
      <c r="AE477" s="344">
        <v>2022.0</v>
      </c>
      <c r="AF477" s="344">
        <v>2021.0</v>
      </c>
      <c r="AG477" s="344">
        <v>2020.0</v>
      </c>
      <c r="AH477" s="344">
        <v>2019.0</v>
      </c>
      <c r="AI477" s="344">
        <v>2018.0</v>
      </c>
      <c r="AJ477" s="367" t="s">
        <v>1524</v>
      </c>
      <c r="AK477" s="274"/>
      <c r="AL477" s="259" t="str">
        <f>MATCH(B477,'Key Findings'!B:B,0)</f>
        <v>#N/A</v>
      </c>
      <c r="AM477" s="274" t="b">
        <f t="shared" si="2"/>
        <v>1</v>
      </c>
      <c r="AN477" s="294"/>
    </row>
    <row r="478">
      <c r="A478" s="169">
        <f t="array" ref="A478">INDEX('Federal Tax, Stock Buybacks, &amp; '!D:D,match(B478,'Federal Tax, Stock Buybacks, &amp; '!E:E,0))</f>
        <v>29</v>
      </c>
      <c r="B478" s="338" t="s">
        <v>1308</v>
      </c>
      <c r="C478" s="301"/>
      <c r="D478" s="421"/>
      <c r="E478" s="488"/>
      <c r="F478" s="254"/>
      <c r="G478" s="301"/>
      <c r="H478" s="421"/>
      <c r="I478" s="488"/>
      <c r="J478" s="254"/>
      <c r="K478" s="301" t="s">
        <v>1309</v>
      </c>
      <c r="L478" s="421" t="s">
        <v>2037</v>
      </c>
      <c r="M478" s="488">
        <v>4.0481722E7</v>
      </c>
      <c r="N478" s="254"/>
      <c r="O478" s="301" t="s">
        <v>1309</v>
      </c>
      <c r="P478" s="503" t="s">
        <v>1532</v>
      </c>
      <c r="Q478" s="488">
        <v>2.7356996E7</v>
      </c>
      <c r="R478" s="254"/>
      <c r="S478" s="301" t="s">
        <v>1309</v>
      </c>
      <c r="T478" s="503" t="s">
        <v>1532</v>
      </c>
      <c r="U478" s="488">
        <v>2.525079E7</v>
      </c>
      <c r="V478" s="254"/>
      <c r="W478" s="301" t="s">
        <v>1311</v>
      </c>
      <c r="X478" s="503" t="s">
        <v>2038</v>
      </c>
      <c r="Y478" s="488">
        <v>4.257631E7</v>
      </c>
      <c r="Z478" s="254"/>
      <c r="AA478" s="301" t="s">
        <v>1311</v>
      </c>
      <c r="AB478" s="503" t="s">
        <v>2038</v>
      </c>
      <c r="AC478" s="488">
        <v>3.9959015E7</v>
      </c>
      <c r="AD478" s="343"/>
      <c r="AE478" s="347"/>
      <c r="AF478" s="313"/>
      <c r="AG478" s="313"/>
      <c r="AH478" s="313"/>
      <c r="AI478" s="313"/>
      <c r="AJ478" s="368"/>
      <c r="AK478" s="274"/>
      <c r="AL478" s="259" t="str">
        <f>MATCH(B478,'Key Findings'!B:B,0)</f>
        <v>#N/A</v>
      </c>
      <c r="AM478" s="274" t="b">
        <f t="shared" si="2"/>
        <v>1</v>
      </c>
      <c r="AN478" s="294"/>
    </row>
    <row r="479">
      <c r="A479" s="169">
        <f t="array" ref="A479">INDEX('Federal Tax, Stock Buybacks, &amp; '!D:D,match(B479,'Federal Tax, Stock Buybacks, &amp; '!E:E,0))</f>
        <v>29</v>
      </c>
      <c r="B479" s="338" t="s">
        <v>1308</v>
      </c>
      <c r="C479" s="301"/>
      <c r="D479" s="421"/>
      <c r="E479" s="488"/>
      <c r="F479" s="254"/>
      <c r="G479" s="301"/>
      <c r="H479" s="421"/>
      <c r="I479" s="488"/>
      <c r="J479" s="254"/>
      <c r="K479" s="301" t="s">
        <v>1310</v>
      </c>
      <c r="L479" s="421" t="s">
        <v>2039</v>
      </c>
      <c r="M479" s="488">
        <v>2.1944406E7</v>
      </c>
      <c r="N479" s="254"/>
      <c r="O479" s="301" t="s">
        <v>1310</v>
      </c>
      <c r="P479" s="503" t="s">
        <v>2039</v>
      </c>
      <c r="Q479" s="488">
        <v>2.2731941E7</v>
      </c>
      <c r="R479" s="254"/>
      <c r="S479" s="301" t="s">
        <v>1310</v>
      </c>
      <c r="T479" s="503" t="s">
        <v>2039</v>
      </c>
      <c r="U479" s="488">
        <v>1.9689131E7</v>
      </c>
      <c r="V479" s="254"/>
      <c r="W479" s="301" t="s">
        <v>1313</v>
      </c>
      <c r="X479" s="503" t="s">
        <v>1698</v>
      </c>
      <c r="Y479" s="488">
        <v>2.0020519E7</v>
      </c>
      <c r="Z479" s="254"/>
      <c r="AA479" s="301" t="s">
        <v>1313</v>
      </c>
      <c r="AB479" s="503" t="s">
        <v>1698</v>
      </c>
      <c r="AC479" s="488">
        <v>1.9115476E7</v>
      </c>
      <c r="AD479" s="343"/>
      <c r="AE479" s="347"/>
      <c r="AF479" s="313"/>
      <c r="AG479" s="313"/>
      <c r="AH479" s="313"/>
      <c r="AI479" s="313"/>
      <c r="AJ479" s="368"/>
      <c r="AK479" s="274"/>
      <c r="AL479" s="259" t="str">
        <f>MATCH(B479,'Key Findings'!B:B,0)</f>
        <v>#N/A</v>
      </c>
      <c r="AM479" s="274" t="b">
        <f t="shared" si="2"/>
        <v>1</v>
      </c>
      <c r="AN479" s="294"/>
    </row>
    <row r="480">
      <c r="A480" s="169">
        <f t="array" ref="A480">INDEX('Federal Tax, Stock Buybacks, &amp; '!D:D,match(B480,'Federal Tax, Stock Buybacks, &amp; '!E:E,0))</f>
        <v>29</v>
      </c>
      <c r="B480" s="338" t="s">
        <v>1308</v>
      </c>
      <c r="C480" s="301"/>
      <c r="D480" s="421"/>
      <c r="E480" s="488"/>
      <c r="F480" s="254"/>
      <c r="G480" s="301"/>
      <c r="H480" s="421"/>
      <c r="I480" s="488"/>
      <c r="J480" s="254"/>
      <c r="K480" s="301" t="s">
        <v>1312</v>
      </c>
      <c r="L480" s="421" t="s">
        <v>2040</v>
      </c>
      <c r="M480" s="488">
        <v>2.1018189E7</v>
      </c>
      <c r="N480" s="254"/>
      <c r="O480" s="301" t="s">
        <v>1312</v>
      </c>
      <c r="P480" s="503" t="s">
        <v>2041</v>
      </c>
      <c r="Q480" s="488">
        <v>2.1559935E7</v>
      </c>
      <c r="R480" s="254"/>
      <c r="S480" s="301" t="s">
        <v>1315</v>
      </c>
      <c r="T480" s="503" t="s">
        <v>2042</v>
      </c>
      <c r="U480" s="488">
        <v>9292066.0</v>
      </c>
      <c r="V480" s="254"/>
      <c r="W480" s="301" t="s">
        <v>1309</v>
      </c>
      <c r="X480" s="503" t="s">
        <v>1532</v>
      </c>
      <c r="Y480" s="488">
        <v>2.6799477E7</v>
      </c>
      <c r="Z480" s="254"/>
      <c r="AA480" s="301" t="s">
        <v>1309</v>
      </c>
      <c r="AB480" s="503" t="s">
        <v>1532</v>
      </c>
      <c r="AC480" s="488">
        <v>2.1701699E7</v>
      </c>
      <c r="AD480" s="343"/>
      <c r="AE480" s="347"/>
      <c r="AF480" s="313"/>
      <c r="AG480" s="313"/>
      <c r="AH480" s="313"/>
      <c r="AI480" s="313"/>
      <c r="AJ480" s="368"/>
      <c r="AK480" s="274"/>
      <c r="AL480" s="259" t="str">
        <f>MATCH(B480,'Key Findings'!B:B,0)</f>
        <v>#N/A</v>
      </c>
      <c r="AM480" s="274" t="b">
        <f t="shared" si="2"/>
        <v>1</v>
      </c>
      <c r="AN480" s="294"/>
    </row>
    <row r="481">
      <c r="A481" s="169">
        <f t="array" ref="A481">INDEX('Federal Tax, Stock Buybacks, &amp; '!D:D,match(B481,'Federal Tax, Stock Buybacks, &amp; '!E:E,0))</f>
        <v>29</v>
      </c>
      <c r="B481" s="338" t="s">
        <v>1308</v>
      </c>
      <c r="C481" s="301"/>
      <c r="D481" s="421"/>
      <c r="E481" s="488"/>
      <c r="F481" s="254"/>
      <c r="G481" s="301"/>
      <c r="H481" s="421"/>
      <c r="I481" s="488"/>
      <c r="J481" s="254"/>
      <c r="K481" s="301" t="s">
        <v>1314</v>
      </c>
      <c r="L481" s="421" t="s">
        <v>2043</v>
      </c>
      <c r="M481" s="488">
        <v>1.5244683E7</v>
      </c>
      <c r="N481" s="254"/>
      <c r="O481" s="301" t="s">
        <v>1314</v>
      </c>
      <c r="P481" s="503" t="s">
        <v>2043</v>
      </c>
      <c r="Q481" s="488">
        <v>1.5972022E7</v>
      </c>
      <c r="R481" s="254"/>
      <c r="S481" s="301" t="s">
        <v>1312</v>
      </c>
      <c r="T481" s="503" t="s">
        <v>2041</v>
      </c>
      <c r="U481" s="488">
        <v>1.6548156E7</v>
      </c>
      <c r="V481" s="254"/>
      <c r="W481" s="301" t="s">
        <v>1310</v>
      </c>
      <c r="X481" s="503" t="s">
        <v>2044</v>
      </c>
      <c r="Y481" s="488">
        <v>1.6939478E7</v>
      </c>
      <c r="Z481" s="254"/>
      <c r="AA481" s="301" t="s">
        <v>1310</v>
      </c>
      <c r="AB481" s="503" t="s">
        <v>2044</v>
      </c>
      <c r="AC481" s="488">
        <v>1.4752999E7</v>
      </c>
      <c r="AD481" s="343"/>
      <c r="AE481" s="347"/>
      <c r="AF481" s="313"/>
      <c r="AG481" s="313"/>
      <c r="AH481" s="313"/>
      <c r="AI481" s="313"/>
      <c r="AJ481" s="368"/>
      <c r="AK481" s="274"/>
      <c r="AL481" s="259" t="str">
        <f>MATCH(B481,'Key Findings'!B:B,0)</f>
        <v>#N/A</v>
      </c>
      <c r="AM481" s="274" t="b">
        <f t="shared" si="2"/>
        <v>1</v>
      </c>
      <c r="AN481" s="294"/>
    </row>
    <row r="482">
      <c r="A482" s="169">
        <f t="array" ref="A482">INDEX('Federal Tax, Stock Buybacks, &amp; '!D:D,match(B482,'Federal Tax, Stock Buybacks, &amp; '!E:E,0))</f>
        <v>20</v>
      </c>
      <c r="B482" s="404" t="s">
        <v>1162</v>
      </c>
      <c r="C482" s="405"/>
      <c r="D482" s="406"/>
      <c r="E482" s="472"/>
      <c r="F482" s="254"/>
      <c r="G482" s="405"/>
      <c r="H482" s="406"/>
      <c r="I482" s="472"/>
      <c r="J482" s="254"/>
      <c r="K482" s="405" t="s">
        <v>1163</v>
      </c>
      <c r="L482" s="406" t="s">
        <v>2045</v>
      </c>
      <c r="M482" s="472">
        <v>9020862.0</v>
      </c>
      <c r="N482" s="254"/>
      <c r="O482" s="405" t="s">
        <v>1163</v>
      </c>
      <c r="P482" s="405" t="s">
        <v>1674</v>
      </c>
      <c r="Q482" s="472">
        <v>1.3059751E7</v>
      </c>
      <c r="R482" s="254"/>
      <c r="S482" s="405" t="s">
        <v>1163</v>
      </c>
      <c r="T482" s="405" t="s">
        <v>1579</v>
      </c>
      <c r="U482" s="472">
        <v>1.3995092E7</v>
      </c>
      <c r="V482" s="254"/>
      <c r="W482" s="405" t="s">
        <v>1163</v>
      </c>
      <c r="X482" s="405" t="s">
        <v>2046</v>
      </c>
      <c r="Y482" s="472">
        <v>1.0889833E7</v>
      </c>
      <c r="Z482" s="254"/>
      <c r="AA482" s="405" t="s">
        <v>1163</v>
      </c>
      <c r="AB482" s="405" t="s">
        <v>2046</v>
      </c>
      <c r="AC482" s="472">
        <v>1.1366662E7</v>
      </c>
      <c r="AD482" s="407"/>
      <c r="AE482" s="408">
        <v>2022.0</v>
      </c>
      <c r="AF482" s="408">
        <v>2021.0</v>
      </c>
      <c r="AG482" s="408">
        <v>2020.0</v>
      </c>
      <c r="AH482" s="408">
        <v>2019.0</v>
      </c>
      <c r="AI482" s="408">
        <v>2018.0</v>
      </c>
      <c r="AJ482" s="290" t="s">
        <v>1524</v>
      </c>
      <c r="AK482" s="260"/>
      <c r="AL482" s="259" t="str">
        <f>MATCH(B482,'Key Findings'!B:B,0)</f>
        <v>#N/A</v>
      </c>
      <c r="AM482" s="260" t="b">
        <f t="shared" si="2"/>
        <v>0</v>
      </c>
      <c r="AN482" s="294"/>
    </row>
    <row r="483">
      <c r="A483" s="169">
        <f t="array" ref="A483">INDEX('Federal Tax, Stock Buybacks, &amp; '!D:D,match(B483,'Federal Tax, Stock Buybacks, &amp; '!E:E,0))</f>
        <v>20</v>
      </c>
      <c r="B483" s="404" t="s">
        <v>1162</v>
      </c>
      <c r="C483" s="405"/>
      <c r="D483" s="406"/>
      <c r="E483" s="472"/>
      <c r="F483" s="254"/>
      <c r="G483" s="405"/>
      <c r="H483" s="406"/>
      <c r="I483" s="472"/>
      <c r="J483" s="254"/>
      <c r="K483" s="405" t="s">
        <v>1165</v>
      </c>
      <c r="L483" s="406" t="s">
        <v>2047</v>
      </c>
      <c r="M483" s="472">
        <v>4435634.0</v>
      </c>
      <c r="N483" s="254"/>
      <c r="O483" s="405" t="s">
        <v>1165</v>
      </c>
      <c r="P483" s="405" t="s">
        <v>2048</v>
      </c>
      <c r="Q483" s="472">
        <v>4472091.0</v>
      </c>
      <c r="R483" s="254"/>
      <c r="S483" s="405" t="s">
        <v>1168</v>
      </c>
      <c r="T483" s="405" t="s">
        <v>2049</v>
      </c>
      <c r="U483" s="472">
        <v>4874550.0</v>
      </c>
      <c r="V483" s="254"/>
      <c r="W483" s="405" t="s">
        <v>1168</v>
      </c>
      <c r="X483" s="405" t="s">
        <v>2049</v>
      </c>
      <c r="Y483" s="472">
        <v>3779711.0</v>
      </c>
      <c r="Z483" s="254"/>
      <c r="AA483" s="405" t="s">
        <v>1165</v>
      </c>
      <c r="AB483" s="405" t="s">
        <v>2048</v>
      </c>
      <c r="AC483" s="472">
        <v>3884170.0</v>
      </c>
      <c r="AD483" s="407"/>
      <c r="AE483" s="409"/>
      <c r="AF483" s="410"/>
      <c r="AG483" s="410"/>
      <c r="AH483" s="410"/>
      <c r="AI483" s="410"/>
      <c r="AJ483" s="293"/>
      <c r="AK483" s="260"/>
      <c r="AL483" s="259" t="str">
        <f>MATCH(B483,'Key Findings'!B:B,0)</f>
        <v>#N/A</v>
      </c>
      <c r="AM483" s="260" t="b">
        <f t="shared" si="2"/>
        <v>0</v>
      </c>
      <c r="AN483" s="294"/>
    </row>
    <row r="484">
      <c r="A484" s="169">
        <f t="array" ref="A484">INDEX('Federal Tax, Stock Buybacks, &amp; '!D:D,match(B484,'Federal Tax, Stock Buybacks, &amp; '!E:E,0))</f>
        <v>20</v>
      </c>
      <c r="B484" s="404" t="s">
        <v>1162</v>
      </c>
      <c r="C484" s="405"/>
      <c r="D484" s="406"/>
      <c r="E484" s="472"/>
      <c r="F484" s="254"/>
      <c r="G484" s="405"/>
      <c r="H484" s="406"/>
      <c r="I484" s="472"/>
      <c r="J484" s="254"/>
      <c r="K484" s="405" t="s">
        <v>1166</v>
      </c>
      <c r="L484" s="406" t="s">
        <v>2050</v>
      </c>
      <c r="M484" s="472">
        <v>4751692.0</v>
      </c>
      <c r="N484" s="254"/>
      <c r="O484" s="405" t="s">
        <v>1166</v>
      </c>
      <c r="P484" s="405" t="s">
        <v>2050</v>
      </c>
      <c r="Q484" s="472">
        <v>5106812.0</v>
      </c>
      <c r="R484" s="254"/>
      <c r="S484" s="405" t="s">
        <v>1166</v>
      </c>
      <c r="T484" s="405" t="s">
        <v>2050</v>
      </c>
      <c r="U484" s="472">
        <v>5286752.0</v>
      </c>
      <c r="V484" s="254"/>
      <c r="W484" s="405" t="s">
        <v>1166</v>
      </c>
      <c r="X484" s="405" t="s">
        <v>2051</v>
      </c>
      <c r="Y484" s="472">
        <v>3719409.0</v>
      </c>
      <c r="Z484" s="254"/>
      <c r="AA484" s="405" t="s">
        <v>1168</v>
      </c>
      <c r="AB484" s="405" t="s">
        <v>2049</v>
      </c>
      <c r="AC484" s="472">
        <v>4005796.0</v>
      </c>
      <c r="AD484" s="407"/>
      <c r="AE484" s="409"/>
      <c r="AF484" s="410"/>
      <c r="AG484" s="410"/>
      <c r="AH484" s="410"/>
      <c r="AI484" s="410"/>
      <c r="AJ484" s="293"/>
      <c r="AK484" s="260"/>
      <c r="AL484" s="259" t="str">
        <f>MATCH(B484,'Key Findings'!B:B,0)</f>
        <v>#N/A</v>
      </c>
      <c r="AM484" s="260" t="b">
        <f t="shared" si="2"/>
        <v>0</v>
      </c>
      <c r="AN484" s="294"/>
    </row>
    <row r="485">
      <c r="A485" s="169">
        <f t="array" ref="A485">INDEX('Federal Tax, Stock Buybacks, &amp; '!D:D,match(B485,'Federal Tax, Stock Buybacks, &amp; '!E:E,0))</f>
        <v>20</v>
      </c>
      <c r="B485" s="404" t="s">
        <v>1162</v>
      </c>
      <c r="C485" s="405"/>
      <c r="D485" s="406"/>
      <c r="E485" s="472"/>
      <c r="F485" s="254"/>
      <c r="G485" s="405"/>
      <c r="H485" s="406"/>
      <c r="I485" s="472"/>
      <c r="J485" s="254"/>
      <c r="K485" s="405" t="s">
        <v>1164</v>
      </c>
      <c r="L485" s="406" t="s">
        <v>1833</v>
      </c>
      <c r="M485" s="472">
        <v>1.4619789E7</v>
      </c>
      <c r="N485" s="254"/>
      <c r="O485" s="405" t="s">
        <v>1164</v>
      </c>
      <c r="P485" s="405" t="s">
        <v>1697</v>
      </c>
      <c r="Q485" s="472">
        <v>8154153.0</v>
      </c>
      <c r="R485" s="254"/>
      <c r="S485" s="405" t="s">
        <v>1164</v>
      </c>
      <c r="T485" s="405" t="s">
        <v>1697</v>
      </c>
      <c r="U485" s="472">
        <v>5929279.0</v>
      </c>
      <c r="V485" s="254"/>
      <c r="W485" s="405" t="s">
        <v>1164</v>
      </c>
      <c r="X485" s="405" t="s">
        <v>2052</v>
      </c>
      <c r="Y485" s="472">
        <v>3778167.0</v>
      </c>
      <c r="Z485" s="254"/>
      <c r="AA485" s="405" t="s">
        <v>1164</v>
      </c>
      <c r="AB485" s="405" t="s">
        <v>2052</v>
      </c>
      <c r="AC485" s="472">
        <v>3987299.0</v>
      </c>
      <c r="AD485" s="407"/>
      <c r="AE485" s="409"/>
      <c r="AF485" s="410"/>
      <c r="AG485" s="410"/>
      <c r="AH485" s="410"/>
      <c r="AI485" s="410"/>
      <c r="AJ485" s="293"/>
      <c r="AK485" s="260"/>
      <c r="AL485" s="259" t="str">
        <f>MATCH(B485,'Key Findings'!B:B,0)</f>
        <v>#N/A</v>
      </c>
      <c r="AM485" s="260" t="b">
        <f t="shared" si="2"/>
        <v>0</v>
      </c>
      <c r="AN485" s="294"/>
    </row>
    <row r="486">
      <c r="A486" s="169">
        <f t="array" ref="A486">INDEX('Federal Tax, Stock Buybacks, &amp; '!D:D,match(B486,'Federal Tax, Stock Buybacks, &amp; '!E:E,0))</f>
        <v>20</v>
      </c>
      <c r="B486" s="404" t="s">
        <v>1162</v>
      </c>
      <c r="C486" s="405"/>
      <c r="D486" s="406"/>
      <c r="E486" s="472"/>
      <c r="F486" s="254"/>
      <c r="G486" s="405"/>
      <c r="H486" s="406"/>
      <c r="I486" s="472"/>
      <c r="J486" s="254"/>
      <c r="K486" s="405" t="s">
        <v>1167</v>
      </c>
      <c r="L486" s="406" t="s">
        <v>1585</v>
      </c>
      <c r="M486" s="472">
        <v>4661157.0</v>
      </c>
      <c r="N486" s="254"/>
      <c r="O486" s="405" t="s">
        <v>1167</v>
      </c>
      <c r="P486" s="405" t="s">
        <v>1535</v>
      </c>
      <c r="Q486" s="472">
        <v>4541638.0</v>
      </c>
      <c r="R486" s="254"/>
      <c r="S486" s="405" t="s">
        <v>1167</v>
      </c>
      <c r="T486" s="405" t="s">
        <v>1535</v>
      </c>
      <c r="U486" s="472">
        <v>4954489.0</v>
      </c>
      <c r="V486" s="254"/>
      <c r="W486" s="405" t="s">
        <v>1161</v>
      </c>
      <c r="X486" s="406" t="s">
        <v>2053</v>
      </c>
      <c r="Y486" s="472">
        <v>5226840.0</v>
      </c>
      <c r="Z486" s="254"/>
      <c r="AA486" s="405" t="s">
        <v>1161</v>
      </c>
      <c r="AB486" s="405" t="s">
        <v>2054</v>
      </c>
      <c r="AC486" s="472">
        <v>6553425.0</v>
      </c>
      <c r="AD486" s="407"/>
      <c r="AE486" s="409"/>
      <c r="AF486" s="410"/>
      <c r="AG486" s="410"/>
      <c r="AH486" s="410"/>
      <c r="AI486" s="410"/>
      <c r="AJ486" s="293"/>
      <c r="AK486" s="260"/>
      <c r="AL486" s="259" t="str">
        <f>MATCH(B486,'Key Findings'!B:B,0)</f>
        <v>#N/A</v>
      </c>
      <c r="AM486" s="260" t="b">
        <f t="shared" si="2"/>
        <v>0</v>
      </c>
      <c r="AN486" s="294"/>
    </row>
    <row r="487">
      <c r="A487" s="169">
        <f t="array" ref="A487">INDEX('Federal Tax, Stock Buybacks, &amp; '!D:D,match(B487,'Federal Tax, Stock Buybacks, &amp; '!E:E,0))</f>
        <v>20</v>
      </c>
      <c r="B487" s="404" t="s">
        <v>1162</v>
      </c>
      <c r="C487" s="405"/>
      <c r="D487" s="406"/>
      <c r="E487" s="472"/>
      <c r="F487" s="254"/>
      <c r="G487" s="405"/>
      <c r="H487" s="406"/>
      <c r="I487" s="472"/>
      <c r="J487" s="254"/>
      <c r="K487" s="405" t="s">
        <v>1169</v>
      </c>
      <c r="L487" s="406" t="s">
        <v>2055</v>
      </c>
      <c r="M487" s="472">
        <v>3714397.0</v>
      </c>
      <c r="N487" s="254"/>
      <c r="O487" s="411" t="s">
        <v>711</v>
      </c>
      <c r="P487" s="411" t="s">
        <v>711</v>
      </c>
      <c r="Q487" s="472" t="s">
        <v>711</v>
      </c>
      <c r="R487" s="254"/>
      <c r="S487" s="334" t="s">
        <v>1165</v>
      </c>
      <c r="T487" s="405" t="s">
        <v>2048</v>
      </c>
      <c r="U487" s="497">
        <v>4714660.0</v>
      </c>
      <c r="V487" s="254"/>
      <c r="W487" s="405" t="s">
        <v>1167</v>
      </c>
      <c r="X487" s="405" t="s">
        <v>1535</v>
      </c>
      <c r="Y487" s="472">
        <v>2285979.0</v>
      </c>
      <c r="Z487" s="254"/>
      <c r="AA487" s="411" t="s">
        <v>711</v>
      </c>
      <c r="AB487" s="411" t="s">
        <v>711</v>
      </c>
      <c r="AC487" s="472" t="s">
        <v>711</v>
      </c>
      <c r="AD487" s="407"/>
      <c r="AE487" s="409"/>
      <c r="AF487" s="410"/>
      <c r="AG487" s="410"/>
      <c r="AH487" s="410"/>
      <c r="AI487" s="410"/>
      <c r="AJ487" s="293"/>
      <c r="AK487" s="260"/>
      <c r="AL487" s="259" t="str">
        <f>MATCH(B487,'Key Findings'!B:B,0)</f>
        <v>#N/A</v>
      </c>
      <c r="AM487" s="260" t="b">
        <f t="shared" si="2"/>
        <v>0</v>
      </c>
      <c r="AN487" s="294"/>
    </row>
    <row r="488">
      <c r="A488" s="169">
        <f t="array" ref="A488">INDEX('Federal Tax, Stock Buybacks, &amp; '!D:D,match(B488,'Federal Tax, Stock Buybacks, &amp; '!E:E,0))</f>
        <v>20</v>
      </c>
      <c r="B488" s="404" t="s">
        <v>1162</v>
      </c>
      <c r="C488" s="411"/>
      <c r="D488" s="411"/>
      <c r="E488" s="472"/>
      <c r="F488" s="254"/>
      <c r="G488" s="411"/>
      <c r="H488" s="411"/>
      <c r="I488" s="472"/>
      <c r="J488" s="254"/>
      <c r="K488" s="411" t="s">
        <v>711</v>
      </c>
      <c r="L488" s="411" t="s">
        <v>711</v>
      </c>
      <c r="M488" s="472" t="s">
        <v>711</v>
      </c>
      <c r="N488" s="254"/>
      <c r="O488" s="411" t="s">
        <v>711</v>
      </c>
      <c r="P488" s="411" t="s">
        <v>711</v>
      </c>
      <c r="Q488" s="472" t="s">
        <v>711</v>
      </c>
      <c r="R488" s="254"/>
      <c r="S488" s="411" t="s">
        <v>711</v>
      </c>
      <c r="T488" s="411" t="s">
        <v>711</v>
      </c>
      <c r="U488" s="472" t="s">
        <v>711</v>
      </c>
      <c r="V488" s="254"/>
      <c r="W488" s="334" t="s">
        <v>1165</v>
      </c>
      <c r="X488" s="405" t="s">
        <v>2048</v>
      </c>
      <c r="Y488" s="497">
        <v>3695542.0</v>
      </c>
      <c r="Z488" s="254"/>
      <c r="AA488" s="411" t="s">
        <v>711</v>
      </c>
      <c r="AB488" s="411" t="s">
        <v>711</v>
      </c>
      <c r="AC488" s="472" t="s">
        <v>711</v>
      </c>
      <c r="AD488" s="407"/>
      <c r="AE488" s="409"/>
      <c r="AF488" s="410"/>
      <c r="AG488" s="410"/>
      <c r="AH488" s="410"/>
      <c r="AI488" s="410"/>
      <c r="AJ488" s="293"/>
      <c r="AK488" s="260"/>
      <c r="AL488" s="259" t="str">
        <f>MATCH(B488,'Key Findings'!B:B,0)</f>
        <v>#N/A</v>
      </c>
      <c r="AM488" s="260" t="b">
        <f t="shared" si="2"/>
        <v>0</v>
      </c>
      <c r="AN488" s="294"/>
    </row>
    <row r="489">
      <c r="A489" s="169">
        <f t="array" ref="A489">INDEX('Federal Tax, Stock Buybacks, &amp; '!D:D,match(B489,'Federal Tax, Stock Buybacks, &amp; '!E:E,0))</f>
        <v>1</v>
      </c>
      <c r="B489" s="338" t="s">
        <v>793</v>
      </c>
      <c r="C489" s="349"/>
      <c r="D489" s="349"/>
      <c r="E489" s="488"/>
      <c r="F489" s="254"/>
      <c r="G489" s="349"/>
      <c r="H489" s="349"/>
      <c r="I489" s="488"/>
      <c r="J489" s="254"/>
      <c r="K489" s="349" t="s">
        <v>792</v>
      </c>
      <c r="L489" s="349" t="s">
        <v>1714</v>
      </c>
      <c r="M489" s="488">
        <v>2.5306714E7</v>
      </c>
      <c r="N489" s="254"/>
      <c r="O489" s="349" t="s">
        <v>792</v>
      </c>
      <c r="P489" s="301" t="s">
        <v>1714</v>
      </c>
      <c r="Q489" s="488">
        <v>2.5670673E7</v>
      </c>
      <c r="R489" s="254"/>
      <c r="S489" s="301" t="s">
        <v>792</v>
      </c>
      <c r="T489" s="301" t="s">
        <v>1714</v>
      </c>
      <c r="U489" s="488">
        <v>2.2574358E7</v>
      </c>
      <c r="V489" s="254"/>
      <c r="W489" s="301" t="s">
        <v>792</v>
      </c>
      <c r="X489" s="490" t="s">
        <v>1714</v>
      </c>
      <c r="Y489" s="488">
        <v>2.210535E7</v>
      </c>
      <c r="Z489" s="254"/>
      <c r="AA489" s="304" t="s">
        <v>792</v>
      </c>
      <c r="AB489" s="490" t="s">
        <v>1714</v>
      </c>
      <c r="AC489" s="488">
        <v>2.3618233E7</v>
      </c>
      <c r="AD489" s="311"/>
      <c r="AE489" s="379">
        <v>2022.0</v>
      </c>
      <c r="AF489" s="379">
        <v>2021.0</v>
      </c>
      <c r="AG489" s="379">
        <v>2020.0</v>
      </c>
      <c r="AH489" s="379">
        <v>2019.0</v>
      </c>
      <c r="AI489" s="379">
        <v>2018.0</v>
      </c>
      <c r="AJ489" s="367" t="s">
        <v>2056</v>
      </c>
      <c r="AK489" s="274"/>
      <c r="AL489" s="259" t="str">
        <f>MATCH(B489,'Key Findings'!B:B,0)</f>
        <v>#N/A</v>
      </c>
      <c r="AM489" s="274" t="b">
        <f t="shared" si="2"/>
        <v>1</v>
      </c>
      <c r="AN489" s="291"/>
    </row>
    <row r="490">
      <c r="A490" s="169">
        <f t="array" ref="A490">INDEX('Federal Tax, Stock Buybacks, &amp; '!D:D,match(B490,'Federal Tax, Stock Buybacks, &amp; '!E:E,0))</f>
        <v>1</v>
      </c>
      <c r="B490" s="338" t="s">
        <v>793</v>
      </c>
      <c r="C490" s="349"/>
      <c r="D490" s="349"/>
      <c r="E490" s="488"/>
      <c r="F490" s="254"/>
      <c r="G490" s="349"/>
      <c r="H490" s="349"/>
      <c r="I490" s="488"/>
      <c r="J490" s="254"/>
      <c r="K490" s="349" t="s">
        <v>799</v>
      </c>
      <c r="L490" s="349" t="s">
        <v>1532</v>
      </c>
      <c r="M490" s="488">
        <v>2029988.0</v>
      </c>
      <c r="N490" s="254"/>
      <c r="O490" s="349" t="s">
        <v>799</v>
      </c>
      <c r="P490" s="349" t="s">
        <v>1532</v>
      </c>
      <c r="Q490" s="488">
        <v>3478626.0</v>
      </c>
      <c r="R490" s="254"/>
      <c r="S490" s="301" t="s">
        <v>799</v>
      </c>
      <c r="T490" s="301" t="s">
        <v>1532</v>
      </c>
      <c r="U490" s="488">
        <v>9123103.0</v>
      </c>
      <c r="V490" s="254"/>
      <c r="W490" s="301" t="s">
        <v>799</v>
      </c>
      <c r="X490" s="490" t="s">
        <v>1631</v>
      </c>
      <c r="Y490" s="488">
        <v>8798491.0</v>
      </c>
      <c r="Z490" s="254"/>
      <c r="AA490" s="304" t="s">
        <v>800</v>
      </c>
      <c r="AB490" s="490" t="s">
        <v>1838</v>
      </c>
      <c r="AC490" s="488">
        <v>1.3466127E7</v>
      </c>
      <c r="AD490" s="311"/>
      <c r="AE490" s="505"/>
      <c r="AF490" s="505"/>
      <c r="AG490" s="505"/>
      <c r="AH490" s="505"/>
      <c r="AI490" s="505"/>
      <c r="AJ490" s="367"/>
      <c r="AK490" s="274"/>
      <c r="AL490" s="259" t="str">
        <f>MATCH(B490,'Key Findings'!B:B,0)</f>
        <v>#N/A</v>
      </c>
      <c r="AM490" s="274" t="b">
        <f t="shared" si="2"/>
        <v>1</v>
      </c>
      <c r="AN490" s="291"/>
    </row>
    <row r="491">
      <c r="A491" s="169">
        <f t="array" ref="A491">INDEX('Federal Tax, Stock Buybacks, &amp; '!D:D,match(B491,'Federal Tax, Stock Buybacks, &amp; '!E:E,0))</f>
        <v>1</v>
      </c>
      <c r="B491" s="338" t="s">
        <v>793</v>
      </c>
      <c r="C491" s="349"/>
      <c r="D491" s="349"/>
      <c r="E491" s="488"/>
      <c r="F491" s="254"/>
      <c r="G491" s="349"/>
      <c r="H491" s="349"/>
      <c r="I491" s="488"/>
      <c r="J491" s="254"/>
      <c r="K491" s="349" t="s">
        <v>796</v>
      </c>
      <c r="L491" s="349" t="s">
        <v>2057</v>
      </c>
      <c r="M491" s="488">
        <v>1.4115663E7</v>
      </c>
      <c r="N491" s="254"/>
      <c r="O491" s="301" t="s">
        <v>796</v>
      </c>
      <c r="P491" s="349" t="s">
        <v>2057</v>
      </c>
      <c r="Q491" s="488">
        <v>1.4695375E7</v>
      </c>
      <c r="R491" s="254"/>
      <c r="S491" s="301" t="s">
        <v>796</v>
      </c>
      <c r="T491" s="301" t="s">
        <v>2057</v>
      </c>
      <c r="U491" s="488">
        <v>1.1331882E7</v>
      </c>
      <c r="V491" s="254"/>
      <c r="W491" s="301" t="s">
        <v>796</v>
      </c>
      <c r="X491" s="490" t="s">
        <v>1838</v>
      </c>
      <c r="Y491" s="488">
        <v>9874824.0</v>
      </c>
      <c r="Z491" s="254"/>
      <c r="AA491" s="304" t="s">
        <v>799</v>
      </c>
      <c r="AB491" s="490" t="s">
        <v>1631</v>
      </c>
      <c r="AC491" s="488">
        <v>9420414.0</v>
      </c>
      <c r="AD491" s="311"/>
      <c r="AE491" s="505"/>
      <c r="AF491" s="505"/>
      <c r="AG491" s="505"/>
      <c r="AH491" s="505"/>
      <c r="AI491" s="505"/>
      <c r="AJ491" s="367"/>
      <c r="AK491" s="274"/>
      <c r="AL491" s="259" t="str">
        <f>MATCH(B491,'Key Findings'!B:B,0)</f>
        <v>#N/A</v>
      </c>
      <c r="AM491" s="274" t="b">
        <f t="shared" si="2"/>
        <v>1</v>
      </c>
      <c r="AN491" s="291"/>
    </row>
    <row r="492">
      <c r="A492" s="169">
        <f t="array" ref="A492">INDEX('Federal Tax, Stock Buybacks, &amp; '!D:D,match(B492,'Federal Tax, Stock Buybacks, &amp; '!E:E,0))</f>
        <v>1</v>
      </c>
      <c r="B492" s="338" t="s">
        <v>793</v>
      </c>
      <c r="C492" s="349"/>
      <c r="D492" s="349"/>
      <c r="E492" s="488"/>
      <c r="F492" s="254"/>
      <c r="G492" s="349"/>
      <c r="H492" s="349"/>
      <c r="I492" s="488"/>
      <c r="J492" s="254"/>
      <c r="K492" s="349" t="s">
        <v>795</v>
      </c>
      <c r="L492" s="349" t="s">
        <v>2058</v>
      </c>
      <c r="M492" s="488">
        <v>1.3873842E7</v>
      </c>
      <c r="N492" s="254"/>
      <c r="O492" s="301" t="s">
        <v>795</v>
      </c>
      <c r="P492" s="349" t="s">
        <v>2058</v>
      </c>
      <c r="Q492" s="488">
        <v>1.3900433E7</v>
      </c>
      <c r="R492" s="254"/>
      <c r="S492" s="301" t="s">
        <v>795</v>
      </c>
      <c r="T492" s="301" t="s">
        <v>2058</v>
      </c>
      <c r="U492" s="488">
        <v>1.2012919E7</v>
      </c>
      <c r="V492" s="254"/>
      <c r="W492" s="301" t="s">
        <v>795</v>
      </c>
      <c r="X492" s="490" t="s">
        <v>1838</v>
      </c>
      <c r="Y492" s="488">
        <v>1.2206289E7</v>
      </c>
      <c r="Z492" s="254"/>
      <c r="AA492" s="304" t="s">
        <v>796</v>
      </c>
      <c r="AB492" s="490" t="s">
        <v>1838</v>
      </c>
      <c r="AC492" s="488">
        <v>9286777.0</v>
      </c>
      <c r="AD492" s="311"/>
      <c r="AE492" s="505"/>
      <c r="AF492" s="505"/>
      <c r="AG492" s="505"/>
      <c r="AH492" s="505"/>
      <c r="AI492" s="505"/>
      <c r="AJ492" s="367"/>
      <c r="AK492" s="274"/>
      <c r="AL492" s="259" t="str">
        <f>MATCH(B492,'Key Findings'!B:B,0)</f>
        <v>#N/A</v>
      </c>
      <c r="AM492" s="274" t="b">
        <f t="shared" si="2"/>
        <v>1</v>
      </c>
      <c r="AN492" s="291"/>
    </row>
    <row r="493">
      <c r="A493" s="169">
        <f t="array" ref="A493">INDEX('Federal Tax, Stock Buybacks, &amp; '!D:D,match(B493,'Federal Tax, Stock Buybacks, &amp; '!E:E,0))</f>
        <v>1</v>
      </c>
      <c r="B493" s="338" t="s">
        <v>793</v>
      </c>
      <c r="C493" s="301"/>
      <c r="D493" s="349"/>
      <c r="E493" s="488"/>
      <c r="F493" s="254"/>
      <c r="G493" s="301"/>
      <c r="H493" s="349"/>
      <c r="I493" s="488"/>
      <c r="J493" s="254"/>
      <c r="K493" s="301" t="s">
        <v>797</v>
      </c>
      <c r="L493" s="349" t="s">
        <v>2059</v>
      </c>
      <c r="M493" s="488">
        <v>1.1945883E7</v>
      </c>
      <c r="N493" s="254"/>
      <c r="O493" s="349" t="s">
        <v>797</v>
      </c>
      <c r="P493" s="349" t="s">
        <v>2060</v>
      </c>
      <c r="Q493" s="488">
        <v>1.1530221E7</v>
      </c>
      <c r="R493" s="254"/>
      <c r="S493" s="301" t="s">
        <v>797</v>
      </c>
      <c r="T493" s="301" t="s">
        <v>2060</v>
      </c>
      <c r="U493" s="488">
        <v>1.2957671E7</v>
      </c>
      <c r="V493" s="254"/>
      <c r="W493" s="301" t="s">
        <v>797</v>
      </c>
      <c r="X493" s="490" t="s">
        <v>1838</v>
      </c>
      <c r="Y493" s="488">
        <v>1.3508707E7</v>
      </c>
      <c r="Z493" s="254"/>
      <c r="AA493" s="304" t="s">
        <v>795</v>
      </c>
      <c r="AB493" s="490" t="s">
        <v>1838</v>
      </c>
      <c r="AC493" s="488">
        <v>1.2922324E7</v>
      </c>
      <c r="AD493" s="311"/>
      <c r="AE493" s="505"/>
      <c r="AF493" s="505"/>
      <c r="AG493" s="505"/>
      <c r="AH493" s="505"/>
      <c r="AI493" s="505"/>
      <c r="AJ493" s="367"/>
      <c r="AK493" s="274"/>
      <c r="AL493" s="259" t="str">
        <f>MATCH(B493,'Key Findings'!B:B,0)</f>
        <v>#N/A</v>
      </c>
      <c r="AM493" s="274" t="b">
        <f t="shared" si="2"/>
        <v>1</v>
      </c>
      <c r="AN493" s="291"/>
    </row>
    <row r="494">
      <c r="A494" s="169">
        <f t="array" ref="A494">INDEX('Federal Tax, Stock Buybacks, &amp; '!D:D,match(B494,'Federal Tax, Stock Buybacks, &amp; '!E:E,0))</f>
        <v>1</v>
      </c>
      <c r="B494" s="338" t="s">
        <v>793</v>
      </c>
      <c r="C494" s="301"/>
      <c r="D494" s="349"/>
      <c r="E494" s="488"/>
      <c r="F494" s="254"/>
      <c r="G494" s="301"/>
      <c r="H494" s="349"/>
      <c r="I494" s="488"/>
      <c r="J494" s="254"/>
      <c r="K494" s="301" t="s">
        <v>794</v>
      </c>
      <c r="L494" s="349" t="s">
        <v>2061</v>
      </c>
      <c r="M494" s="488">
        <v>1.6118709E7</v>
      </c>
      <c r="N494" s="254"/>
      <c r="O494" s="301" t="s">
        <v>794</v>
      </c>
      <c r="P494" s="301" t="s">
        <v>2061</v>
      </c>
      <c r="Q494" s="488">
        <v>1.6706359E7</v>
      </c>
      <c r="R494" s="254"/>
      <c r="S494" s="301" t="s">
        <v>794</v>
      </c>
      <c r="T494" s="301" t="s">
        <v>2061</v>
      </c>
      <c r="U494" s="488">
        <v>1.1736981E7</v>
      </c>
      <c r="V494" s="254"/>
      <c r="W494" s="301" t="s">
        <v>794</v>
      </c>
      <c r="X494" s="490" t="s">
        <v>2062</v>
      </c>
      <c r="Y494" s="488">
        <v>4.5898651E7</v>
      </c>
      <c r="Z494" s="254"/>
      <c r="AA494" s="493" t="s">
        <v>711</v>
      </c>
      <c r="AB494" s="493" t="s">
        <v>711</v>
      </c>
      <c r="AC494" s="488" t="s">
        <v>711</v>
      </c>
      <c r="AD494" s="506"/>
      <c r="AE494" s="505"/>
      <c r="AF494" s="505"/>
      <c r="AG494" s="505"/>
      <c r="AH494" s="505"/>
      <c r="AI494" s="505"/>
      <c r="AJ494" s="367"/>
      <c r="AK494" s="274"/>
      <c r="AL494" s="259" t="str">
        <f>MATCH(B494,'Key Findings'!B:B,0)</f>
        <v>#N/A</v>
      </c>
      <c r="AM494" s="274" t="b">
        <f t="shared" si="2"/>
        <v>1</v>
      </c>
      <c r="AN494" s="507"/>
    </row>
    <row r="495">
      <c r="A495" s="169">
        <f t="array" ref="A495">INDEX('Federal Tax, Stock Buybacks, &amp; '!D:D,match(B495,'Federal Tax, Stock Buybacks, &amp; '!E:E,0))</f>
        <v>1</v>
      </c>
      <c r="B495" s="338" t="s">
        <v>793</v>
      </c>
      <c r="C495" s="301"/>
      <c r="D495" s="349"/>
      <c r="E495" s="488"/>
      <c r="F495" s="254"/>
      <c r="G495" s="301"/>
      <c r="H495" s="349"/>
      <c r="I495" s="488"/>
      <c r="J495" s="254"/>
      <c r="K495" s="301" t="s">
        <v>798</v>
      </c>
      <c r="L495" s="349" t="s">
        <v>1532</v>
      </c>
      <c r="M495" s="488">
        <v>3.9725601E7</v>
      </c>
      <c r="N495" s="254"/>
      <c r="O495" s="493" t="s">
        <v>711</v>
      </c>
      <c r="P495" s="493" t="s">
        <v>711</v>
      </c>
      <c r="Q495" s="488" t="s">
        <v>711</v>
      </c>
      <c r="R495" s="254"/>
      <c r="S495" s="493" t="s">
        <v>711</v>
      </c>
      <c r="T495" s="493" t="s">
        <v>711</v>
      </c>
      <c r="U495" s="488" t="s">
        <v>711</v>
      </c>
      <c r="V495" s="254"/>
      <c r="W495" s="493" t="s">
        <v>711</v>
      </c>
      <c r="X495" s="493" t="s">
        <v>711</v>
      </c>
      <c r="Y495" s="488" t="s">
        <v>711</v>
      </c>
      <c r="Z495" s="254"/>
      <c r="AA495" s="493" t="s">
        <v>711</v>
      </c>
      <c r="AB495" s="493" t="s">
        <v>711</v>
      </c>
      <c r="AC495" s="488" t="s">
        <v>711</v>
      </c>
      <c r="AD495" s="506"/>
      <c r="AE495" s="505"/>
      <c r="AF495" s="505"/>
      <c r="AG495" s="505"/>
      <c r="AH495" s="505"/>
      <c r="AI495" s="505"/>
      <c r="AJ495" s="367"/>
      <c r="AK495" s="274"/>
      <c r="AL495" s="259" t="str">
        <f>MATCH(B495,'Key Findings'!B:B,0)</f>
        <v>#N/A</v>
      </c>
      <c r="AM495" s="274" t="b">
        <f t="shared" si="2"/>
        <v>1</v>
      </c>
      <c r="AN495" s="507"/>
    </row>
    <row r="496">
      <c r="A496" s="169">
        <f t="array" ref="A496">INDEX('Federal Tax, Stock Buybacks, &amp; '!D:D,match(B496,'Federal Tax, Stock Buybacks, &amp; '!E:E,0))</f>
        <v>2</v>
      </c>
      <c r="B496" s="500" t="s">
        <v>1470</v>
      </c>
      <c r="C496" s="508"/>
      <c r="D496" s="501"/>
      <c r="E496" s="472"/>
      <c r="F496" s="254"/>
      <c r="G496" s="508"/>
      <c r="H496" s="501"/>
      <c r="I496" s="472"/>
      <c r="J496" s="254"/>
      <c r="K496" s="508" t="s">
        <v>1478</v>
      </c>
      <c r="L496" s="501" t="s">
        <v>2063</v>
      </c>
      <c r="M496" s="472">
        <v>1681840.0</v>
      </c>
      <c r="N496" s="254"/>
      <c r="O496" s="508" t="s">
        <v>1478</v>
      </c>
      <c r="P496" s="387" t="s">
        <v>2063</v>
      </c>
      <c r="Q496" s="472">
        <v>1681840.0</v>
      </c>
      <c r="R496" s="254"/>
      <c r="S496" s="508" t="s">
        <v>1478</v>
      </c>
      <c r="T496" s="387" t="s">
        <v>2064</v>
      </c>
      <c r="U496" s="472">
        <v>1681840.0</v>
      </c>
      <c r="V496" s="254"/>
      <c r="W496" s="387" t="s">
        <v>1478</v>
      </c>
      <c r="X496" s="508" t="s">
        <v>2064</v>
      </c>
      <c r="Y496" s="472">
        <v>1681840.0</v>
      </c>
      <c r="Z496" s="254"/>
      <c r="AA496" s="508" t="s">
        <v>1478</v>
      </c>
      <c r="AB496" s="387" t="s">
        <v>2064</v>
      </c>
      <c r="AC496" s="472">
        <v>1681840.0</v>
      </c>
      <c r="AD496" s="286"/>
      <c r="AE496" s="331">
        <v>2022.0</v>
      </c>
      <c r="AF496" s="331">
        <v>2021.0</v>
      </c>
      <c r="AG496" s="331">
        <v>2020.0</v>
      </c>
      <c r="AH496" s="331">
        <v>2019.0</v>
      </c>
      <c r="AI496" s="331">
        <v>2018.0</v>
      </c>
      <c r="AJ496" s="382" t="s">
        <v>1524</v>
      </c>
      <c r="AK496" s="260"/>
      <c r="AL496" s="259" t="str">
        <f>MATCH(B496,'Key Findings'!B:B,0)</f>
        <v>#N/A</v>
      </c>
      <c r="AM496" s="260" t="b">
        <f t="shared" si="2"/>
        <v>0</v>
      </c>
      <c r="AN496" s="509"/>
    </row>
    <row r="497">
      <c r="A497" s="169">
        <f t="array" ref="A497">INDEX('Federal Tax, Stock Buybacks, &amp; '!D:D,match(B497,'Federal Tax, Stock Buybacks, &amp; '!E:E,0))</f>
        <v>2</v>
      </c>
      <c r="B497" s="500" t="s">
        <v>1470</v>
      </c>
      <c r="C497" s="508"/>
      <c r="D497" s="501"/>
      <c r="E497" s="472"/>
      <c r="F497" s="254"/>
      <c r="G497" s="508"/>
      <c r="H497" s="501"/>
      <c r="I497" s="472"/>
      <c r="J497" s="254"/>
      <c r="K497" s="508" t="s">
        <v>1469</v>
      </c>
      <c r="L497" s="501" t="s">
        <v>2065</v>
      </c>
      <c r="M497" s="472">
        <v>1298723.0</v>
      </c>
      <c r="N497" s="254"/>
      <c r="O497" s="508" t="s">
        <v>1469</v>
      </c>
      <c r="P497" s="387" t="s">
        <v>2065</v>
      </c>
      <c r="Q497" s="472">
        <v>2.12701169E8</v>
      </c>
      <c r="R497" s="254"/>
      <c r="S497" s="508" t="s">
        <v>1469</v>
      </c>
      <c r="T497" s="387" t="s">
        <v>2066</v>
      </c>
      <c r="U497" s="472">
        <v>3.5848449E7</v>
      </c>
      <c r="V497" s="254"/>
      <c r="W497" s="387" t="s">
        <v>1477</v>
      </c>
      <c r="X497" s="508" t="s">
        <v>2067</v>
      </c>
      <c r="Y497" s="472">
        <v>210725.0</v>
      </c>
      <c r="Z497" s="254"/>
      <c r="AA497" s="508" t="s">
        <v>1477</v>
      </c>
      <c r="AB497" s="406" t="s">
        <v>2067</v>
      </c>
      <c r="AC497" s="472">
        <v>1.9722047E7</v>
      </c>
      <c r="AD497" s="286"/>
      <c r="AE497" s="510"/>
      <c r="AF497" s="511"/>
      <c r="AG497" s="511"/>
      <c r="AH497" s="511"/>
      <c r="AI497" s="511"/>
      <c r="AJ497" s="382"/>
      <c r="AK497" s="260"/>
      <c r="AL497" s="259" t="str">
        <f>MATCH(B497,'Key Findings'!B:B,0)</f>
        <v>#N/A</v>
      </c>
      <c r="AM497" s="260" t="b">
        <f t="shared" si="2"/>
        <v>0</v>
      </c>
      <c r="AN497" s="395"/>
    </row>
    <row r="498">
      <c r="A498" s="169">
        <f t="array" ref="A498">INDEX('Federal Tax, Stock Buybacks, &amp; '!D:D,match(B498,'Federal Tax, Stock Buybacks, &amp; '!E:E,0))</f>
        <v>2</v>
      </c>
      <c r="B498" s="500" t="s">
        <v>1470</v>
      </c>
      <c r="C498" s="508"/>
      <c r="D498" s="501"/>
      <c r="E498" s="472"/>
      <c r="F498" s="254"/>
      <c r="G498" s="508"/>
      <c r="H498" s="501"/>
      <c r="I498" s="472"/>
      <c r="J498" s="254"/>
      <c r="K498" s="508" t="s">
        <v>1475</v>
      </c>
      <c r="L498" s="501" t="s">
        <v>1850</v>
      </c>
      <c r="M498" s="472">
        <v>1.8181043E7</v>
      </c>
      <c r="N498" s="254"/>
      <c r="O498" s="508" t="s">
        <v>1475</v>
      </c>
      <c r="P498" s="405" t="s">
        <v>1850</v>
      </c>
      <c r="Q498" s="472">
        <v>163200.0</v>
      </c>
      <c r="R498" s="254"/>
      <c r="S498" s="508" t="s">
        <v>1475</v>
      </c>
      <c r="T498" s="405" t="s">
        <v>1850</v>
      </c>
      <c r="U498" s="472">
        <v>1.7174185E7</v>
      </c>
      <c r="V498" s="254"/>
      <c r="W498" s="405" t="s">
        <v>1469</v>
      </c>
      <c r="X498" s="508" t="s">
        <v>2066</v>
      </c>
      <c r="Y498" s="472">
        <v>348809.0</v>
      </c>
      <c r="Z498" s="254"/>
      <c r="AA498" s="508" t="s">
        <v>1469</v>
      </c>
      <c r="AB498" s="387" t="s">
        <v>2066</v>
      </c>
      <c r="AC498" s="472">
        <v>1.9732666E7</v>
      </c>
      <c r="AD498" s="286"/>
      <c r="AE498" s="512"/>
      <c r="AF498" s="513"/>
      <c r="AG498" s="513"/>
      <c r="AH498" s="513"/>
      <c r="AI498" s="513"/>
      <c r="AJ498" s="382"/>
      <c r="AK498" s="260"/>
      <c r="AL498" s="259" t="str">
        <f>MATCH(B498,'Key Findings'!B:B,0)</f>
        <v>#N/A</v>
      </c>
      <c r="AM498" s="260" t="b">
        <f t="shared" si="2"/>
        <v>0</v>
      </c>
      <c r="AN498" s="509"/>
    </row>
    <row r="499">
      <c r="A499" s="169">
        <f t="array" ref="A499">INDEX('Federal Tax, Stock Buybacks, &amp; '!D:D,match(B499,'Federal Tax, Stock Buybacks, &amp; '!E:E,0))</f>
        <v>2</v>
      </c>
      <c r="B499" s="500" t="s">
        <v>1470</v>
      </c>
      <c r="C499" s="508"/>
      <c r="D499" s="406"/>
      <c r="E499" s="472"/>
      <c r="F499" s="254"/>
      <c r="G499" s="508"/>
      <c r="H499" s="406"/>
      <c r="I499" s="472"/>
      <c r="J499" s="254"/>
      <c r="K499" s="508" t="s">
        <v>1476</v>
      </c>
      <c r="L499" s="406" t="s">
        <v>2068</v>
      </c>
      <c r="M499" s="472">
        <v>1.8181043E7</v>
      </c>
      <c r="N499" s="254"/>
      <c r="O499" s="405" t="s">
        <v>1476</v>
      </c>
      <c r="P499" s="405" t="s">
        <v>2068</v>
      </c>
      <c r="Q499" s="472">
        <v>163200.0</v>
      </c>
      <c r="R499" s="254"/>
      <c r="S499" s="405" t="s">
        <v>1476</v>
      </c>
      <c r="T499" s="405" t="s">
        <v>2068</v>
      </c>
      <c r="U499" s="472">
        <v>1.7174185E7</v>
      </c>
      <c r="V499" s="254"/>
      <c r="W499" s="405" t="s">
        <v>1475</v>
      </c>
      <c r="X499" s="508" t="s">
        <v>1850</v>
      </c>
      <c r="Y499" s="472">
        <v>163200.0</v>
      </c>
      <c r="Z499" s="254"/>
      <c r="AA499" s="508" t="s">
        <v>1475</v>
      </c>
      <c r="AB499" s="405" t="s">
        <v>1850</v>
      </c>
      <c r="AC499" s="472">
        <v>6933349.0</v>
      </c>
      <c r="AD499" s="286"/>
      <c r="AE499" s="510"/>
      <c r="AF499" s="511"/>
      <c r="AG499" s="511"/>
      <c r="AH499" s="511"/>
      <c r="AI499" s="511"/>
      <c r="AJ499" s="382"/>
      <c r="AK499" s="260"/>
      <c r="AL499" s="259" t="str">
        <f>MATCH(B499,'Key Findings'!B:B,0)</f>
        <v>#N/A</v>
      </c>
      <c r="AM499" s="260" t="b">
        <f t="shared" si="2"/>
        <v>0</v>
      </c>
      <c r="AN499" s="395"/>
    </row>
    <row r="500">
      <c r="A500" s="169">
        <f t="array" ref="A500">INDEX('Federal Tax, Stock Buybacks, &amp; '!D:D,match(B500,'Federal Tax, Stock Buybacks, &amp; '!E:E,0))</f>
        <v>2</v>
      </c>
      <c r="B500" s="500" t="s">
        <v>1470</v>
      </c>
      <c r="C500" s="405"/>
      <c r="D500" s="406"/>
      <c r="E500" s="472"/>
      <c r="F500" s="254"/>
      <c r="G500" s="405"/>
      <c r="H500" s="406"/>
      <c r="I500" s="472"/>
      <c r="J500" s="254"/>
      <c r="K500" s="405" t="s">
        <v>1471</v>
      </c>
      <c r="L500" s="406" t="s">
        <v>2066</v>
      </c>
      <c r="M500" s="472">
        <v>4.1113295E7</v>
      </c>
      <c r="N500" s="254"/>
      <c r="O500" s="405" t="s">
        <v>1472</v>
      </c>
      <c r="P500" s="405" t="s">
        <v>2067</v>
      </c>
      <c r="Q500" s="472">
        <v>5.6074571E7</v>
      </c>
      <c r="R500" s="254"/>
      <c r="S500" s="405" t="s">
        <v>1472</v>
      </c>
      <c r="T500" s="405" t="s">
        <v>2067</v>
      </c>
      <c r="U500" s="472">
        <v>4.6288671E7</v>
      </c>
      <c r="V500" s="254"/>
      <c r="W500" s="405" t="s">
        <v>1473</v>
      </c>
      <c r="X500" s="508" t="s">
        <v>2069</v>
      </c>
      <c r="Y500" s="472">
        <v>5.7796739E7</v>
      </c>
      <c r="Z500" s="254"/>
      <c r="AA500" s="508" t="s">
        <v>1473</v>
      </c>
      <c r="AB500" s="387" t="s">
        <v>2069</v>
      </c>
      <c r="AC500" s="472">
        <v>1.0399662E7</v>
      </c>
      <c r="AD500" s="286"/>
      <c r="AE500" s="409"/>
      <c r="AF500" s="410"/>
      <c r="AG500" s="410"/>
      <c r="AH500" s="410"/>
      <c r="AI500" s="410"/>
      <c r="AJ500" s="382"/>
      <c r="AK500" s="260"/>
      <c r="AL500" s="259" t="str">
        <f>MATCH(B500,'Key Findings'!B:B,0)</f>
        <v>#N/A</v>
      </c>
      <c r="AM500" s="260" t="b">
        <f t="shared" si="2"/>
        <v>0</v>
      </c>
      <c r="AN500" s="294"/>
    </row>
    <row r="501">
      <c r="A501" s="169">
        <f t="array" ref="A501">INDEX('Federal Tax, Stock Buybacks, &amp; '!D:D,match(B501,'Federal Tax, Stock Buybacks, &amp; '!E:E,0))</f>
        <v>2</v>
      </c>
      <c r="B501" s="500" t="s">
        <v>1470</v>
      </c>
      <c r="C501" s="405"/>
      <c r="D501" s="406"/>
      <c r="E501" s="472"/>
      <c r="F501" s="254"/>
      <c r="G501" s="405"/>
      <c r="H501" s="406"/>
      <c r="I501" s="472"/>
      <c r="J501" s="254"/>
      <c r="K501" s="405" t="s">
        <v>1474</v>
      </c>
      <c r="L501" s="406" t="s">
        <v>2070</v>
      </c>
      <c r="M501" s="472">
        <v>4.3215779E7</v>
      </c>
      <c r="N501" s="254"/>
      <c r="O501" s="405" t="s">
        <v>1471</v>
      </c>
      <c r="P501" s="405" t="s">
        <v>2066</v>
      </c>
      <c r="Q501" s="472">
        <v>8.1453523E7</v>
      </c>
      <c r="R501" s="254"/>
      <c r="S501" s="514" t="s">
        <v>711</v>
      </c>
      <c r="T501" s="514" t="s">
        <v>711</v>
      </c>
      <c r="U501" s="472" t="s">
        <v>711</v>
      </c>
      <c r="V501" s="254"/>
      <c r="W501" s="514" t="s">
        <v>711</v>
      </c>
      <c r="X501" s="514" t="s">
        <v>711</v>
      </c>
      <c r="Y501" s="472" t="s">
        <v>711</v>
      </c>
      <c r="Z501" s="254"/>
      <c r="AA501" s="514" t="s">
        <v>711</v>
      </c>
      <c r="AB501" s="514" t="s">
        <v>711</v>
      </c>
      <c r="AC501" s="472" t="s">
        <v>711</v>
      </c>
      <c r="AD501" s="515"/>
      <c r="AE501" s="409"/>
      <c r="AF501" s="410"/>
      <c r="AG501" s="410"/>
      <c r="AH501" s="410"/>
      <c r="AI501" s="410"/>
      <c r="AJ501" s="382"/>
      <c r="AK501" s="260"/>
      <c r="AL501" s="259" t="str">
        <f>MATCH(B501,'Key Findings'!B:B,0)</f>
        <v>#N/A</v>
      </c>
      <c r="AM501" s="260" t="b">
        <f t="shared" si="2"/>
        <v>0</v>
      </c>
      <c r="AN501" s="294"/>
    </row>
    <row r="502">
      <c r="A502" s="169">
        <f t="array" ref="A502">INDEX('Federal Tax, Stock Buybacks, &amp; '!D:D,match(B502,'Federal Tax, Stock Buybacks, &amp; '!E:E,0))</f>
        <v>61</v>
      </c>
      <c r="B502" s="418" t="s">
        <v>1020</v>
      </c>
      <c r="C502" s="516"/>
      <c r="D502" s="369"/>
      <c r="E502" s="499"/>
      <c r="F502" s="254"/>
      <c r="G502" s="516"/>
      <c r="H502" s="369"/>
      <c r="I502" s="499"/>
      <c r="J502" s="254"/>
      <c r="K502" s="516" t="s">
        <v>1021</v>
      </c>
      <c r="L502" s="369" t="s">
        <v>2071</v>
      </c>
      <c r="M502" s="499">
        <v>2.0548324E7</v>
      </c>
      <c r="N502" s="254"/>
      <c r="O502" s="516" t="s">
        <v>1019</v>
      </c>
      <c r="P502" s="369" t="s">
        <v>1674</v>
      </c>
      <c r="Q502" s="499">
        <v>3.4941635E7</v>
      </c>
      <c r="R502" s="254"/>
      <c r="S502" s="516" t="s">
        <v>1019</v>
      </c>
      <c r="T502" s="369" t="s">
        <v>1674</v>
      </c>
      <c r="U502" s="499">
        <v>2.9558524E7</v>
      </c>
      <c r="V502" s="254"/>
      <c r="W502" s="516" t="s">
        <v>1025</v>
      </c>
      <c r="X502" s="369" t="s">
        <v>2072</v>
      </c>
      <c r="Y502" s="499">
        <v>1.9703187E7</v>
      </c>
      <c r="Z502" s="254"/>
      <c r="AA502" s="516" t="s">
        <v>1025</v>
      </c>
      <c r="AB502" s="369" t="s">
        <v>1649</v>
      </c>
      <c r="AC502" s="499">
        <v>2.4118368E7</v>
      </c>
      <c r="AD502" s="306"/>
      <c r="AE502" s="307">
        <v>2022.0</v>
      </c>
      <c r="AF502" s="307">
        <v>2021.0</v>
      </c>
      <c r="AG502" s="307">
        <v>2020.0</v>
      </c>
      <c r="AH502" s="307">
        <v>2019.0</v>
      </c>
      <c r="AI502" s="307">
        <v>2018.0</v>
      </c>
      <c r="AJ502" s="273" t="s">
        <v>1524</v>
      </c>
      <c r="AK502" s="274"/>
      <c r="AL502" s="259" t="str">
        <f>MATCH(B502,'Key Findings'!B:B,0)</f>
        <v>#N/A</v>
      </c>
      <c r="AM502" s="274" t="b">
        <f t="shared" si="2"/>
        <v>1</v>
      </c>
      <c r="AN502" s="294"/>
    </row>
    <row r="503">
      <c r="A503" s="169">
        <f t="array" ref="A503">INDEX('Federal Tax, Stock Buybacks, &amp; '!D:D,match(B503,'Federal Tax, Stock Buybacks, &amp; '!E:E,0))</f>
        <v>61</v>
      </c>
      <c r="B503" s="418" t="s">
        <v>1020</v>
      </c>
      <c r="C503" s="516"/>
      <c r="D503" s="369"/>
      <c r="E503" s="499"/>
      <c r="F503" s="254"/>
      <c r="G503" s="516"/>
      <c r="H503" s="369"/>
      <c r="I503" s="499"/>
      <c r="J503" s="254"/>
      <c r="K503" s="516" t="s">
        <v>1024</v>
      </c>
      <c r="L503" s="369" t="s">
        <v>2073</v>
      </c>
      <c r="M503" s="499">
        <v>2.2711116E7</v>
      </c>
      <c r="N503" s="254"/>
      <c r="O503" s="516" t="s">
        <v>1021</v>
      </c>
      <c r="P503" s="369" t="s">
        <v>2071</v>
      </c>
      <c r="Q503" s="499">
        <v>1.8765946E7</v>
      </c>
      <c r="R503" s="254"/>
      <c r="S503" s="516" t="s">
        <v>1021</v>
      </c>
      <c r="T503" s="369" t="s">
        <v>2071</v>
      </c>
      <c r="U503" s="499">
        <v>1.3597924E7</v>
      </c>
      <c r="V503" s="254"/>
      <c r="W503" s="516" t="s">
        <v>1019</v>
      </c>
      <c r="X503" s="369" t="s">
        <v>1674</v>
      </c>
      <c r="Y503" s="499">
        <v>3.1642395E7</v>
      </c>
      <c r="Z503" s="254"/>
      <c r="AA503" s="516" t="s">
        <v>1019</v>
      </c>
      <c r="AB503" s="369" t="s">
        <v>1674</v>
      </c>
      <c r="AC503" s="499">
        <v>2.8168639E7</v>
      </c>
      <c r="AD503" s="306"/>
      <c r="AE503" s="308"/>
      <c r="AF503" s="308"/>
      <c r="AG503" s="308"/>
      <c r="AH503" s="308"/>
      <c r="AI503" s="308"/>
      <c r="AJ503" s="278"/>
      <c r="AK503" s="274"/>
      <c r="AL503" s="259" t="str">
        <f>MATCH(B503,'Key Findings'!B:B,0)</f>
        <v>#N/A</v>
      </c>
      <c r="AM503" s="274" t="b">
        <f t="shared" si="2"/>
        <v>1</v>
      </c>
      <c r="AN503" s="294"/>
    </row>
    <row r="504">
      <c r="A504" s="169">
        <f t="array" ref="A504">INDEX('Federal Tax, Stock Buybacks, &amp; '!D:D,match(B504,'Federal Tax, Stock Buybacks, &amp; '!E:E,0))</f>
        <v>61</v>
      </c>
      <c r="B504" s="418" t="s">
        <v>1020</v>
      </c>
      <c r="C504" s="516"/>
      <c r="D504" s="369"/>
      <c r="E504" s="499"/>
      <c r="F504" s="254"/>
      <c r="G504" s="516"/>
      <c r="H504" s="369"/>
      <c r="I504" s="499"/>
      <c r="J504" s="254"/>
      <c r="K504" s="516" t="s">
        <v>1022</v>
      </c>
      <c r="L504" s="369" t="s">
        <v>2074</v>
      </c>
      <c r="M504" s="499">
        <v>2.8192424E7</v>
      </c>
      <c r="N504" s="254"/>
      <c r="O504" s="516" t="s">
        <v>1024</v>
      </c>
      <c r="P504" s="369" t="s">
        <v>2073</v>
      </c>
      <c r="Q504" s="499">
        <v>1.9217923E7</v>
      </c>
      <c r="R504" s="254"/>
      <c r="S504" s="516" t="s">
        <v>1024</v>
      </c>
      <c r="T504" s="369" t="s">
        <v>2075</v>
      </c>
      <c r="U504" s="499">
        <v>1.3258026E7</v>
      </c>
      <c r="V504" s="254"/>
      <c r="W504" s="516" t="s">
        <v>1023</v>
      </c>
      <c r="X504" s="369" t="s">
        <v>1585</v>
      </c>
      <c r="Y504" s="499">
        <v>1.3301403E7</v>
      </c>
      <c r="Z504" s="254"/>
      <c r="AA504" s="516" t="s">
        <v>1023</v>
      </c>
      <c r="AB504" s="369" t="s">
        <v>1585</v>
      </c>
      <c r="AC504" s="499">
        <v>1.4712435E7</v>
      </c>
      <c r="AD504" s="306"/>
      <c r="AE504" s="308"/>
      <c r="AF504" s="308"/>
      <c r="AG504" s="308"/>
      <c r="AH504" s="308"/>
      <c r="AI504" s="308"/>
      <c r="AJ504" s="278"/>
      <c r="AK504" s="274"/>
      <c r="AL504" s="259" t="str">
        <f>MATCH(B504,'Key Findings'!B:B,0)</f>
        <v>#N/A</v>
      </c>
      <c r="AM504" s="274" t="b">
        <f t="shared" si="2"/>
        <v>1</v>
      </c>
      <c r="AN504" s="294"/>
    </row>
    <row r="505">
      <c r="A505" s="169">
        <f t="array" ref="A505">INDEX('Federal Tax, Stock Buybacks, &amp; '!D:D,match(B505,'Federal Tax, Stock Buybacks, &amp; '!E:E,0))</f>
        <v>61</v>
      </c>
      <c r="B505" s="418" t="s">
        <v>1020</v>
      </c>
      <c r="C505" s="516"/>
      <c r="D505" s="369"/>
      <c r="E505" s="499"/>
      <c r="F505" s="254"/>
      <c r="G505" s="516"/>
      <c r="H505" s="369"/>
      <c r="I505" s="499"/>
      <c r="J505" s="254"/>
      <c r="K505" s="516" t="s">
        <v>1027</v>
      </c>
      <c r="L505" s="369" t="s">
        <v>1585</v>
      </c>
      <c r="M505" s="499">
        <v>1.0014902E7</v>
      </c>
      <c r="N505" s="254"/>
      <c r="O505" s="516" t="s">
        <v>1022</v>
      </c>
      <c r="P505" s="369" t="s">
        <v>2074</v>
      </c>
      <c r="Q505" s="499">
        <v>2.7639626E7</v>
      </c>
      <c r="R505" s="254"/>
      <c r="S505" s="516" t="s">
        <v>1022</v>
      </c>
      <c r="T505" s="369" t="s">
        <v>2076</v>
      </c>
      <c r="U505" s="499">
        <v>1.9708318E7</v>
      </c>
      <c r="V505" s="254"/>
      <c r="W505" s="516" t="s">
        <v>1021</v>
      </c>
      <c r="X505" s="369" t="s">
        <v>2071</v>
      </c>
      <c r="Y505" s="499">
        <v>1.4457481E7</v>
      </c>
      <c r="Z505" s="254"/>
      <c r="AA505" s="516" t="s">
        <v>1021</v>
      </c>
      <c r="AB505" s="369" t="s">
        <v>2071</v>
      </c>
      <c r="AC505" s="499">
        <v>1.5272567E7</v>
      </c>
      <c r="AD505" s="306"/>
      <c r="AE505" s="308"/>
      <c r="AF505" s="308"/>
      <c r="AG505" s="308"/>
      <c r="AH505" s="308"/>
      <c r="AI505" s="308"/>
      <c r="AJ505" s="278"/>
      <c r="AK505" s="274"/>
      <c r="AL505" s="259" t="str">
        <f>MATCH(B505,'Key Findings'!B:B,0)</f>
        <v>#N/A</v>
      </c>
      <c r="AM505" s="274" t="b">
        <f t="shared" si="2"/>
        <v>1</v>
      </c>
      <c r="AN505" s="294"/>
    </row>
    <row r="506">
      <c r="A506" s="169">
        <f t="array" ref="A506">INDEX('Federal Tax, Stock Buybacks, &amp; '!D:D,match(B506,'Federal Tax, Stock Buybacks, &amp; '!E:E,0))</f>
        <v>61</v>
      </c>
      <c r="B506" s="418" t="s">
        <v>1020</v>
      </c>
      <c r="C506" s="516"/>
      <c r="D506" s="369"/>
      <c r="E506" s="499"/>
      <c r="F506" s="254"/>
      <c r="G506" s="516"/>
      <c r="H506" s="369"/>
      <c r="I506" s="499"/>
      <c r="J506" s="254"/>
      <c r="K506" s="516" t="s">
        <v>1019</v>
      </c>
      <c r="L506" s="369" t="s">
        <v>1674</v>
      </c>
      <c r="M506" s="499">
        <v>3.9398905E7</v>
      </c>
      <c r="N506" s="254"/>
      <c r="O506" s="516" t="s">
        <v>1023</v>
      </c>
      <c r="P506" s="369" t="s">
        <v>2077</v>
      </c>
      <c r="Q506" s="499">
        <v>1.7049994E7</v>
      </c>
      <c r="R506" s="254"/>
      <c r="S506" s="516" t="s">
        <v>1023</v>
      </c>
      <c r="T506" s="369" t="s">
        <v>1585</v>
      </c>
      <c r="U506" s="499">
        <v>1.2096401E7</v>
      </c>
      <c r="V506" s="254"/>
      <c r="W506" s="516" t="s">
        <v>1026</v>
      </c>
      <c r="X506" s="369" t="s">
        <v>1867</v>
      </c>
      <c r="Y506" s="499">
        <v>1.0943395E7</v>
      </c>
      <c r="Z506" s="254"/>
      <c r="AA506" s="516" t="s">
        <v>1026</v>
      </c>
      <c r="AB506" s="369" t="s">
        <v>1867</v>
      </c>
      <c r="AC506" s="499">
        <v>1.2696431E7</v>
      </c>
      <c r="AD506" s="306"/>
      <c r="AE506" s="308"/>
      <c r="AF506" s="308"/>
      <c r="AG506" s="308"/>
      <c r="AH506" s="308"/>
      <c r="AI506" s="308"/>
      <c r="AJ506" s="278"/>
      <c r="AK506" s="274"/>
      <c r="AL506" s="259" t="str">
        <f>MATCH(B506,'Key Findings'!B:B,0)</f>
        <v>#N/A</v>
      </c>
      <c r="AM506" s="274" t="b">
        <f t="shared" si="2"/>
        <v>1</v>
      </c>
      <c r="AN506" s="294"/>
    </row>
    <row r="507">
      <c r="A507" s="169">
        <f t="array" ref="A507">INDEX('Federal Tax, Stock Buybacks, &amp; '!D:D,match(B507,'Federal Tax, Stock Buybacks, &amp; '!E:E,0))</f>
        <v>61</v>
      </c>
      <c r="B507" s="418" t="s">
        <v>1020</v>
      </c>
      <c r="C507" s="372"/>
      <c r="D507" s="370"/>
      <c r="E507" s="517"/>
      <c r="F507" s="254"/>
      <c r="G507" s="372"/>
      <c r="H507" s="370"/>
      <c r="I507" s="517"/>
      <c r="J507" s="254"/>
      <c r="K507" s="372" t="s">
        <v>711</v>
      </c>
      <c r="L507" s="370" t="s">
        <v>711</v>
      </c>
      <c r="M507" s="517" t="s">
        <v>711</v>
      </c>
      <c r="N507" s="254"/>
      <c r="O507" s="516" t="s">
        <v>1027</v>
      </c>
      <c r="P507" s="369" t="s">
        <v>1585</v>
      </c>
      <c r="Q507" s="499">
        <v>5279039.0</v>
      </c>
      <c r="R507" s="254"/>
      <c r="S507" s="372" t="s">
        <v>711</v>
      </c>
      <c r="T507" s="370" t="s">
        <v>711</v>
      </c>
      <c r="U507" s="517" t="s">
        <v>711</v>
      </c>
      <c r="V507" s="254"/>
      <c r="W507" s="516" t="s">
        <v>1028</v>
      </c>
      <c r="X507" s="369" t="s">
        <v>2078</v>
      </c>
      <c r="Y507" s="499">
        <v>9723963.0</v>
      </c>
      <c r="Z507" s="254"/>
      <c r="AA507" s="372" t="s">
        <v>711</v>
      </c>
      <c r="AB507" s="370" t="s">
        <v>711</v>
      </c>
      <c r="AC507" s="517" t="s">
        <v>711</v>
      </c>
      <c r="AD507" s="306"/>
      <c r="AE507" s="308"/>
      <c r="AF507" s="308"/>
      <c r="AG507" s="308"/>
      <c r="AH507" s="308"/>
      <c r="AI507" s="308"/>
      <c r="AJ507" s="278"/>
      <c r="AK507" s="274"/>
      <c r="AL507" s="259" t="str">
        <f>MATCH(B507,'Key Findings'!B:B,0)</f>
        <v>#N/A</v>
      </c>
      <c r="AM507" s="274" t="b">
        <f t="shared" si="2"/>
        <v>1</v>
      </c>
      <c r="AN507" s="294"/>
    </row>
    <row r="508">
      <c r="A508" s="169">
        <f t="array" ref="A508">INDEX('Federal Tax, Stock Buybacks, &amp; '!D:D,match(B508,'Federal Tax, Stock Buybacks, &amp; '!E:E,0))</f>
        <v>62</v>
      </c>
      <c r="B508" s="500" t="s">
        <v>1138</v>
      </c>
      <c r="C508" s="405"/>
      <c r="D508" s="501"/>
      <c r="E508" s="472"/>
      <c r="F508" s="254"/>
      <c r="G508" s="405"/>
      <c r="H508" s="501"/>
      <c r="I508" s="472"/>
      <c r="J508" s="254"/>
      <c r="K508" s="405" t="s">
        <v>1142</v>
      </c>
      <c r="L508" s="501" t="s">
        <v>2079</v>
      </c>
      <c r="M508" s="472">
        <v>762500.0</v>
      </c>
      <c r="N508" s="254"/>
      <c r="O508" s="405" t="s">
        <v>1139</v>
      </c>
      <c r="P508" s="495" t="s">
        <v>1860</v>
      </c>
      <c r="Q508" s="472">
        <v>605300.0</v>
      </c>
      <c r="R508" s="254"/>
      <c r="S508" s="405" t="s">
        <v>1139</v>
      </c>
      <c r="T508" s="501" t="s">
        <v>1523</v>
      </c>
      <c r="U508" s="472">
        <v>2.23895E7</v>
      </c>
      <c r="V508" s="254"/>
      <c r="W508" s="405" t="s">
        <v>1139</v>
      </c>
      <c r="X508" s="501" t="s">
        <v>1523</v>
      </c>
      <c r="Y508" s="472">
        <v>6.69351E7</v>
      </c>
      <c r="Z508" s="254"/>
      <c r="AA508" s="405" t="s">
        <v>1147</v>
      </c>
      <c r="AB508" s="501" t="s">
        <v>1539</v>
      </c>
      <c r="AC508" s="472">
        <v>1.80503E7</v>
      </c>
      <c r="AD508" s="407"/>
      <c r="AE508" s="331">
        <v>2022.0</v>
      </c>
      <c r="AF508" s="331">
        <v>2021.0</v>
      </c>
      <c r="AG508" s="331">
        <v>2020.0</v>
      </c>
      <c r="AH508" s="331">
        <v>2019.0</v>
      </c>
      <c r="AI508" s="331">
        <v>2018.0</v>
      </c>
      <c r="AJ508" s="290" t="s">
        <v>1524</v>
      </c>
      <c r="AK508" s="260"/>
      <c r="AL508" s="259" t="str">
        <f>MATCH(B508,'Key Findings'!B:B,0)</f>
        <v>#N/A</v>
      </c>
      <c r="AM508" s="260" t="b">
        <f t="shared" si="2"/>
        <v>0</v>
      </c>
      <c r="AN508" s="294"/>
    </row>
    <row r="509">
      <c r="A509" s="169">
        <f t="array" ref="A509">INDEX('Federal Tax, Stock Buybacks, &amp; '!D:D,match(B509,'Federal Tax, Stock Buybacks, &amp; '!E:E,0))</f>
        <v>62</v>
      </c>
      <c r="B509" s="500" t="s">
        <v>1138</v>
      </c>
      <c r="C509" s="405"/>
      <c r="D509" s="501"/>
      <c r="E509" s="472"/>
      <c r="F509" s="254"/>
      <c r="G509" s="405"/>
      <c r="H509" s="501"/>
      <c r="I509" s="472"/>
      <c r="J509" s="254"/>
      <c r="K509" s="405" t="s">
        <v>1137</v>
      </c>
      <c r="L509" s="501" t="s">
        <v>1655</v>
      </c>
      <c r="M509" s="472">
        <v>1.16147E7</v>
      </c>
      <c r="N509" s="254"/>
      <c r="O509" s="405" t="s">
        <v>1140</v>
      </c>
      <c r="P509" s="495" t="s">
        <v>2080</v>
      </c>
      <c r="Q509" s="472">
        <v>1.10958E7</v>
      </c>
      <c r="R509" s="254"/>
      <c r="S509" s="405" t="s">
        <v>1140</v>
      </c>
      <c r="T509" s="501" t="s">
        <v>2081</v>
      </c>
      <c r="U509" s="472">
        <v>1.1514E7</v>
      </c>
      <c r="V509" s="254"/>
      <c r="W509" s="405" t="s">
        <v>1140</v>
      </c>
      <c r="X509" s="501" t="s">
        <v>2081</v>
      </c>
      <c r="Y509" s="472">
        <v>2.47811E7</v>
      </c>
      <c r="Z509" s="254"/>
      <c r="AA509" s="405" t="s">
        <v>1139</v>
      </c>
      <c r="AB509" s="501" t="s">
        <v>2082</v>
      </c>
      <c r="AC509" s="472">
        <v>1.67067E7</v>
      </c>
      <c r="AD509" s="407"/>
      <c r="AE509" s="409"/>
      <c r="AF509" s="410"/>
      <c r="AG509" s="410"/>
      <c r="AH509" s="410"/>
      <c r="AI509" s="410"/>
      <c r="AJ509" s="293"/>
      <c r="AK509" s="260"/>
      <c r="AL509" s="259" t="str">
        <f>MATCH(B509,'Key Findings'!B:B,0)</f>
        <v>#N/A</v>
      </c>
      <c r="AM509" s="260" t="b">
        <f t="shared" si="2"/>
        <v>0</v>
      </c>
      <c r="AN509" s="294"/>
    </row>
    <row r="510">
      <c r="A510" s="169">
        <f t="array" ref="A510">INDEX('Federal Tax, Stock Buybacks, &amp; '!D:D,match(B510,'Federal Tax, Stock Buybacks, &amp; '!E:E,0))</f>
        <v>62</v>
      </c>
      <c r="B510" s="500" t="s">
        <v>1138</v>
      </c>
      <c r="C510" s="405"/>
      <c r="D510" s="501"/>
      <c r="E510" s="472"/>
      <c r="F510" s="254"/>
      <c r="G510" s="405"/>
      <c r="H510" s="501"/>
      <c r="I510" s="472"/>
      <c r="J510" s="254"/>
      <c r="K510" s="405" t="s">
        <v>1148</v>
      </c>
      <c r="L510" s="501" t="s">
        <v>2083</v>
      </c>
      <c r="M510" s="472">
        <v>7660100.0</v>
      </c>
      <c r="N510" s="254"/>
      <c r="O510" s="405" t="s">
        <v>1143</v>
      </c>
      <c r="P510" s="495" t="s">
        <v>2084</v>
      </c>
      <c r="Q510" s="472">
        <v>1.04426E7</v>
      </c>
      <c r="R510" s="254"/>
      <c r="S510" s="405" t="s">
        <v>1143</v>
      </c>
      <c r="T510" s="501" t="s">
        <v>1538</v>
      </c>
      <c r="U510" s="472">
        <v>1.03602E7</v>
      </c>
      <c r="V510" s="254"/>
      <c r="W510" s="405" t="s">
        <v>1141</v>
      </c>
      <c r="X510" s="495" t="s">
        <v>2085</v>
      </c>
      <c r="Y510" s="472">
        <v>2.68854E7</v>
      </c>
      <c r="Z510" s="254"/>
      <c r="AA510" s="405" t="s">
        <v>1140</v>
      </c>
      <c r="AB510" s="501" t="s">
        <v>2081</v>
      </c>
      <c r="AC510" s="472">
        <v>1.03653E7</v>
      </c>
      <c r="AD510" s="407"/>
      <c r="AE510" s="409"/>
      <c r="AF510" s="410"/>
      <c r="AG510" s="410"/>
      <c r="AH510" s="410"/>
      <c r="AI510" s="410"/>
      <c r="AJ510" s="293"/>
      <c r="AK510" s="260"/>
      <c r="AL510" s="259" t="str">
        <f>MATCH(B510,'Key Findings'!B:B,0)</f>
        <v>#N/A</v>
      </c>
      <c r="AM510" s="260" t="b">
        <f t="shared" si="2"/>
        <v>0</v>
      </c>
      <c r="AN510" s="294"/>
    </row>
    <row r="511">
      <c r="A511" s="169">
        <f t="array" ref="A511">INDEX('Federal Tax, Stock Buybacks, &amp; '!D:D,match(B511,'Federal Tax, Stock Buybacks, &amp; '!E:E,0))</f>
        <v>62</v>
      </c>
      <c r="B511" s="500" t="s">
        <v>1138</v>
      </c>
      <c r="C511" s="405"/>
      <c r="D511" s="494"/>
      <c r="E511" s="472"/>
      <c r="F511" s="254"/>
      <c r="G511" s="405"/>
      <c r="H511" s="494"/>
      <c r="I511" s="472"/>
      <c r="J511" s="254"/>
      <c r="K511" s="405" t="s">
        <v>1149</v>
      </c>
      <c r="L511" s="494" t="s">
        <v>2086</v>
      </c>
      <c r="M511" s="472">
        <v>7633900.0</v>
      </c>
      <c r="N511" s="254"/>
      <c r="O511" s="405" t="s">
        <v>1144</v>
      </c>
      <c r="P511" s="501" t="s">
        <v>2087</v>
      </c>
      <c r="Q511" s="472">
        <v>1.04325E7</v>
      </c>
      <c r="R511" s="254"/>
      <c r="S511" s="405" t="s">
        <v>1142</v>
      </c>
      <c r="T511" s="501" t="s">
        <v>2088</v>
      </c>
      <c r="U511" s="472">
        <v>1.0778E7</v>
      </c>
      <c r="V511" s="254"/>
      <c r="W511" s="405" t="s">
        <v>1142</v>
      </c>
      <c r="X511" s="501" t="s">
        <v>2088</v>
      </c>
      <c r="Y511" s="472">
        <v>2.92191E7</v>
      </c>
      <c r="Z511" s="254"/>
      <c r="AA511" s="405" t="s">
        <v>1141</v>
      </c>
      <c r="AB511" s="495" t="s">
        <v>2089</v>
      </c>
      <c r="AC511" s="472">
        <v>1.31322E7</v>
      </c>
      <c r="AD511" s="407"/>
      <c r="AE511" s="409"/>
      <c r="AF511" s="410"/>
      <c r="AG511" s="410"/>
      <c r="AH511" s="410"/>
      <c r="AI511" s="410"/>
      <c r="AJ511" s="293"/>
      <c r="AK511" s="260"/>
      <c r="AL511" s="259" t="str">
        <f>MATCH(B511,'Key Findings'!B:B,0)</f>
        <v>#N/A</v>
      </c>
      <c r="AM511" s="260" t="b">
        <f t="shared" si="2"/>
        <v>0</v>
      </c>
      <c r="AN511" s="294"/>
    </row>
    <row r="512">
      <c r="A512" s="169">
        <f t="array" ref="A512">INDEX('Federal Tax, Stock Buybacks, &amp; '!D:D,match(B512,'Federal Tax, Stock Buybacks, &amp; '!E:E,0))</f>
        <v>62</v>
      </c>
      <c r="B512" s="500" t="s">
        <v>1138</v>
      </c>
      <c r="C512" s="405"/>
      <c r="D512" s="501"/>
      <c r="E512" s="472"/>
      <c r="F512" s="254"/>
      <c r="G512" s="405"/>
      <c r="H512" s="501"/>
      <c r="I512" s="472"/>
      <c r="J512" s="254"/>
      <c r="K512" s="405" t="s">
        <v>1146</v>
      </c>
      <c r="L512" s="501" t="s">
        <v>2090</v>
      </c>
      <c r="M512" s="472">
        <v>2.03266E7</v>
      </c>
      <c r="N512" s="254"/>
      <c r="O512" s="405" t="s">
        <v>1142</v>
      </c>
      <c r="P512" s="495" t="s">
        <v>2091</v>
      </c>
      <c r="Q512" s="472">
        <v>1.0925E7</v>
      </c>
      <c r="R512" s="254"/>
      <c r="S512" s="405" t="s">
        <v>1144</v>
      </c>
      <c r="T512" s="501" t="s">
        <v>2092</v>
      </c>
      <c r="U512" s="472">
        <v>9750600.0</v>
      </c>
      <c r="V512" s="254"/>
      <c r="W512" s="405" t="s">
        <v>1144</v>
      </c>
      <c r="X512" s="501" t="s">
        <v>2092</v>
      </c>
      <c r="Y512" s="472">
        <v>1.37716E7</v>
      </c>
      <c r="Z512" s="254"/>
      <c r="AA512" s="405" t="s">
        <v>1143</v>
      </c>
      <c r="AB512" s="501" t="s">
        <v>1538</v>
      </c>
      <c r="AC512" s="472">
        <v>1.62119E7</v>
      </c>
      <c r="AD512" s="407"/>
      <c r="AE512" s="409"/>
      <c r="AF512" s="410"/>
      <c r="AG512" s="410"/>
      <c r="AH512" s="410"/>
      <c r="AI512" s="410"/>
      <c r="AJ512" s="293"/>
      <c r="AK512" s="260"/>
      <c r="AL512" s="259" t="str">
        <f>MATCH(B512,'Key Findings'!B:B,0)</f>
        <v>#N/A</v>
      </c>
      <c r="AM512" s="260" t="b">
        <f t="shared" si="2"/>
        <v>0</v>
      </c>
      <c r="AN512" s="294"/>
    </row>
    <row r="513">
      <c r="A513" s="169">
        <f t="array" ref="A513">INDEX('Federal Tax, Stock Buybacks, &amp; '!D:D,match(B513,'Federal Tax, Stock Buybacks, &amp; '!E:E,0))</f>
        <v>62</v>
      </c>
      <c r="B513" s="500" t="s">
        <v>1138</v>
      </c>
      <c r="C513" s="405"/>
      <c r="D513" s="501"/>
      <c r="E513" s="472"/>
      <c r="F513" s="254"/>
      <c r="G513" s="405"/>
      <c r="H513" s="501"/>
      <c r="I513" s="472"/>
      <c r="J513" s="254"/>
      <c r="K513" s="405" t="s">
        <v>1145</v>
      </c>
      <c r="L513" s="501" t="s">
        <v>2093</v>
      </c>
      <c r="M513" s="472">
        <v>2.76788E7</v>
      </c>
      <c r="N513" s="254"/>
      <c r="O513" s="405" t="s">
        <v>1137</v>
      </c>
      <c r="P513" s="501" t="s">
        <v>1655</v>
      </c>
      <c r="Q513" s="472">
        <v>1.785904E8</v>
      </c>
      <c r="R513" s="254"/>
      <c r="S513" s="405" t="s">
        <v>1141</v>
      </c>
      <c r="T513" s="495" t="s">
        <v>2094</v>
      </c>
      <c r="U513" s="472">
        <v>1.20779E7</v>
      </c>
      <c r="V513" s="254"/>
      <c r="W513" s="405" t="s">
        <v>1150</v>
      </c>
      <c r="X513" s="495" t="s">
        <v>2095</v>
      </c>
      <c r="Y513" s="472">
        <v>6428100.0</v>
      </c>
      <c r="Z513" s="254"/>
      <c r="AA513" s="298" t="s">
        <v>711</v>
      </c>
      <c r="AB513" s="496" t="s">
        <v>711</v>
      </c>
      <c r="AC513" s="471" t="s">
        <v>711</v>
      </c>
      <c r="AD513" s="407"/>
      <c r="AE513" s="409"/>
      <c r="AF513" s="410"/>
      <c r="AG513" s="410"/>
      <c r="AH513" s="410"/>
      <c r="AI513" s="410"/>
      <c r="AJ513" s="293"/>
      <c r="AK513" s="260"/>
      <c r="AL513" s="259" t="str">
        <f>MATCH(B513,'Key Findings'!B:B,0)</f>
        <v>#N/A</v>
      </c>
      <c r="AM513" s="260" t="b">
        <f t="shared" si="2"/>
        <v>0</v>
      </c>
      <c r="AN513" s="294"/>
    </row>
    <row r="514">
      <c r="A514" s="169">
        <f t="array" ref="A514">INDEX('Federal Tax, Stock Buybacks, &amp; '!D:D,match(B514,'Federal Tax, Stock Buybacks, &amp; '!E:E,0))</f>
        <v>62</v>
      </c>
      <c r="B514" s="500" t="s">
        <v>1138</v>
      </c>
      <c r="C514" s="298"/>
      <c r="D514" s="496"/>
      <c r="E514" s="471"/>
      <c r="F514" s="254"/>
      <c r="G514" s="298"/>
      <c r="H514" s="496"/>
      <c r="I514" s="471"/>
      <c r="J514" s="254"/>
      <c r="K514" s="298" t="s">
        <v>711</v>
      </c>
      <c r="L514" s="496" t="s">
        <v>711</v>
      </c>
      <c r="M514" s="471" t="s">
        <v>711</v>
      </c>
      <c r="N514" s="254"/>
      <c r="O514" s="405" t="s">
        <v>1148</v>
      </c>
      <c r="P514" s="495" t="s">
        <v>2083</v>
      </c>
      <c r="Q514" s="472">
        <v>9798100.0</v>
      </c>
      <c r="R514" s="254"/>
      <c r="S514" s="298" t="s">
        <v>711</v>
      </c>
      <c r="T514" s="496" t="s">
        <v>711</v>
      </c>
      <c r="U514" s="471" t="s">
        <v>711</v>
      </c>
      <c r="V514" s="254"/>
      <c r="W514" s="405" t="s">
        <v>1143</v>
      </c>
      <c r="X514" s="501" t="s">
        <v>1538</v>
      </c>
      <c r="Y514" s="497">
        <v>9788600.0</v>
      </c>
      <c r="Z514" s="254"/>
      <c r="AA514" s="298" t="s">
        <v>711</v>
      </c>
      <c r="AB514" s="496" t="s">
        <v>711</v>
      </c>
      <c r="AC514" s="471" t="s">
        <v>711</v>
      </c>
      <c r="AD514" s="407"/>
      <c r="AE514" s="409"/>
      <c r="AF514" s="410"/>
      <c r="AG514" s="410"/>
      <c r="AH514" s="410"/>
      <c r="AI514" s="410"/>
      <c r="AJ514" s="293"/>
      <c r="AK514" s="260"/>
      <c r="AL514" s="259" t="str">
        <f>MATCH(B514,'Key Findings'!B:B,0)</f>
        <v>#N/A</v>
      </c>
      <c r="AM514" s="260" t="b">
        <f t="shared" si="2"/>
        <v>0</v>
      </c>
      <c r="AN514" s="294"/>
    </row>
    <row r="515">
      <c r="A515" s="169">
        <f t="array" ref="A515">INDEX('Federal Tax, Stock Buybacks, &amp; '!D:D,match(B515,'Federal Tax, Stock Buybacks, &amp; '!E:E,0))</f>
        <v>51</v>
      </c>
      <c r="B515" s="418" t="s">
        <v>936</v>
      </c>
      <c r="C515" s="301"/>
      <c r="D515" s="419"/>
      <c r="E515" s="488"/>
      <c r="F515" s="254"/>
      <c r="G515" s="301"/>
      <c r="H515" s="419"/>
      <c r="I515" s="488"/>
      <c r="J515" s="254"/>
      <c r="K515" s="301" t="s">
        <v>937</v>
      </c>
      <c r="L515" s="419" t="s">
        <v>1588</v>
      </c>
      <c r="M515" s="488">
        <v>1.7716015E7</v>
      </c>
      <c r="N515" s="254"/>
      <c r="O515" s="301" t="s">
        <v>937</v>
      </c>
      <c r="P515" s="419" t="s">
        <v>2096</v>
      </c>
      <c r="Q515" s="488">
        <v>1.2263176E7</v>
      </c>
      <c r="R515" s="254"/>
      <c r="S515" s="301" t="s">
        <v>937</v>
      </c>
      <c r="T515" s="503" t="s">
        <v>2097</v>
      </c>
      <c r="U515" s="488">
        <v>1.1606022E7</v>
      </c>
      <c r="V515" s="254"/>
      <c r="W515" s="301" t="s">
        <v>937</v>
      </c>
      <c r="X515" s="419" t="s">
        <v>2098</v>
      </c>
      <c r="Y515" s="488">
        <v>9477328.0</v>
      </c>
      <c r="Z515" s="254"/>
      <c r="AA515" s="398" t="s">
        <v>937</v>
      </c>
      <c r="AB515" s="435" t="s">
        <v>2098</v>
      </c>
      <c r="AC515" s="454">
        <v>7959356.0</v>
      </c>
      <c r="AD515" s="343"/>
      <c r="AE515" s="379">
        <v>2022.0</v>
      </c>
      <c r="AF515" s="379">
        <v>2021.0</v>
      </c>
      <c r="AG515" s="379">
        <v>2020.0</v>
      </c>
      <c r="AH515" s="379">
        <v>2019.0</v>
      </c>
      <c r="AI515" s="344">
        <v>2018.0</v>
      </c>
      <c r="AJ515" s="518" t="s">
        <v>1980</v>
      </c>
      <c r="AK515" s="274"/>
      <c r="AL515" s="259" t="str">
        <f>MATCH(B515,'Key Findings'!B:B,0)</f>
        <v>#N/A</v>
      </c>
      <c r="AM515" s="274" t="b">
        <f t="shared" si="2"/>
        <v>1</v>
      </c>
      <c r="AN515" s="294"/>
    </row>
    <row r="516">
      <c r="A516" s="169">
        <f t="array" ref="A516">INDEX('Federal Tax, Stock Buybacks, &amp; '!D:D,match(B516,'Federal Tax, Stock Buybacks, &amp; '!E:E,0))</f>
        <v>51</v>
      </c>
      <c r="B516" s="418" t="s">
        <v>936</v>
      </c>
      <c r="C516" s="301"/>
      <c r="D516" s="421"/>
      <c r="E516" s="488"/>
      <c r="F516" s="254"/>
      <c r="G516" s="301"/>
      <c r="H516" s="421"/>
      <c r="I516" s="488"/>
      <c r="J516" s="254"/>
      <c r="K516" s="301" t="s">
        <v>935</v>
      </c>
      <c r="L516" s="421" t="s">
        <v>2099</v>
      </c>
      <c r="M516" s="488">
        <v>1.8595382E7</v>
      </c>
      <c r="N516" s="254"/>
      <c r="O516" s="301" t="s">
        <v>935</v>
      </c>
      <c r="P516" s="419" t="s">
        <v>1620</v>
      </c>
      <c r="Q516" s="488">
        <v>2.3900381E7</v>
      </c>
      <c r="R516" s="254"/>
      <c r="S516" s="301" t="s">
        <v>935</v>
      </c>
      <c r="T516" s="419" t="s">
        <v>1620</v>
      </c>
      <c r="U516" s="488">
        <v>2.2905128E7</v>
      </c>
      <c r="V516" s="254"/>
      <c r="W516" s="301" t="s">
        <v>935</v>
      </c>
      <c r="X516" s="419" t="s">
        <v>1620</v>
      </c>
      <c r="Y516" s="488">
        <v>2.0498812E7</v>
      </c>
      <c r="Z516" s="254"/>
      <c r="AA516" s="398" t="s">
        <v>945</v>
      </c>
      <c r="AB516" s="435" t="s">
        <v>2100</v>
      </c>
      <c r="AC516" s="454">
        <v>6001459.0</v>
      </c>
      <c r="AD516" s="343"/>
      <c r="AE516" s="519"/>
      <c r="AF516" s="519"/>
      <c r="AG516" s="519"/>
      <c r="AH516" s="519"/>
      <c r="AI516" s="519"/>
      <c r="AJ516" s="427"/>
      <c r="AK516" s="274"/>
      <c r="AL516" s="259" t="str">
        <f>MATCH(B516,'Key Findings'!B:B,0)</f>
        <v>#N/A</v>
      </c>
      <c r="AM516" s="274" t="b">
        <f t="shared" si="2"/>
        <v>1</v>
      </c>
      <c r="AN516" s="294"/>
    </row>
    <row r="517">
      <c r="A517" s="169">
        <f t="array" ref="A517">INDEX('Federal Tax, Stock Buybacks, &amp; '!D:D,match(B517,'Federal Tax, Stock Buybacks, &amp; '!E:E,0))</f>
        <v>51</v>
      </c>
      <c r="B517" s="418" t="s">
        <v>936</v>
      </c>
      <c r="C517" s="301"/>
      <c r="D517" s="419"/>
      <c r="E517" s="488"/>
      <c r="F517" s="254"/>
      <c r="G517" s="301"/>
      <c r="H517" s="419"/>
      <c r="I517" s="488"/>
      <c r="J517" s="254"/>
      <c r="K517" s="301" t="s">
        <v>938</v>
      </c>
      <c r="L517" s="419" t="s">
        <v>2101</v>
      </c>
      <c r="M517" s="488">
        <v>6310868.0</v>
      </c>
      <c r="N517" s="254"/>
      <c r="O517" s="301" t="s">
        <v>940</v>
      </c>
      <c r="P517" s="419" t="s">
        <v>2102</v>
      </c>
      <c r="Q517" s="488">
        <v>6440866.0</v>
      </c>
      <c r="R517" s="254"/>
      <c r="S517" s="301" t="s">
        <v>940</v>
      </c>
      <c r="T517" s="419" t="s">
        <v>2102</v>
      </c>
      <c r="U517" s="488">
        <v>6248679.0</v>
      </c>
      <c r="V517" s="254"/>
      <c r="W517" s="301" t="s">
        <v>939</v>
      </c>
      <c r="X517" s="419" t="s">
        <v>2103</v>
      </c>
      <c r="Y517" s="488">
        <v>5697091.0</v>
      </c>
      <c r="Z517" s="254"/>
      <c r="AA517" s="398" t="s">
        <v>935</v>
      </c>
      <c r="AB517" s="435" t="s">
        <v>1620</v>
      </c>
      <c r="AC517" s="454">
        <v>1.7354256E7</v>
      </c>
      <c r="AD517" s="343"/>
      <c r="AE517" s="347"/>
      <c r="AF517" s="313"/>
      <c r="AG517" s="313"/>
      <c r="AH517" s="313"/>
      <c r="AI517" s="313"/>
      <c r="AJ517" s="427"/>
      <c r="AK517" s="274"/>
      <c r="AL517" s="259" t="str">
        <f>MATCH(B517,'Key Findings'!B:B,0)</f>
        <v>#N/A</v>
      </c>
      <c r="AM517" s="274" t="b">
        <f t="shared" si="2"/>
        <v>1</v>
      </c>
      <c r="AN517" s="294"/>
    </row>
    <row r="518">
      <c r="A518" s="169">
        <f t="array" ref="A518">INDEX('Federal Tax, Stock Buybacks, &amp; '!D:D,match(B518,'Federal Tax, Stock Buybacks, &amp; '!E:E,0))</f>
        <v>51</v>
      </c>
      <c r="B518" s="418" t="s">
        <v>936</v>
      </c>
      <c r="C518" s="301"/>
      <c r="D518" s="421"/>
      <c r="E518" s="488"/>
      <c r="F518" s="254"/>
      <c r="G518" s="301"/>
      <c r="H518" s="421"/>
      <c r="I518" s="488"/>
      <c r="J518" s="254"/>
      <c r="K518" s="301" t="s">
        <v>941</v>
      </c>
      <c r="L518" s="421" t="s">
        <v>1662</v>
      </c>
      <c r="M518" s="488">
        <v>7038273.0</v>
      </c>
      <c r="N518" s="254"/>
      <c r="O518" s="301" t="s">
        <v>939</v>
      </c>
      <c r="P518" s="503" t="s">
        <v>2104</v>
      </c>
      <c r="Q518" s="488">
        <v>6194247.0</v>
      </c>
      <c r="R518" s="254"/>
      <c r="S518" s="301" t="s">
        <v>939</v>
      </c>
      <c r="T518" s="503" t="s">
        <v>2105</v>
      </c>
      <c r="U518" s="488">
        <v>6407459.0</v>
      </c>
      <c r="V518" s="254"/>
      <c r="W518" s="301" t="s">
        <v>946</v>
      </c>
      <c r="X518" s="419" t="s">
        <v>2042</v>
      </c>
      <c r="Y518" s="488">
        <v>5428022.0</v>
      </c>
      <c r="Z518" s="254"/>
      <c r="AA518" s="398" t="s">
        <v>940</v>
      </c>
      <c r="AB518" s="435" t="s">
        <v>2106</v>
      </c>
      <c r="AC518" s="454">
        <v>4795221.0</v>
      </c>
      <c r="AD518" s="343"/>
      <c r="AE518" s="347"/>
      <c r="AF518" s="313"/>
      <c r="AG518" s="313"/>
      <c r="AH518" s="313"/>
      <c r="AI518" s="313"/>
      <c r="AJ518" s="427"/>
      <c r="AK518" s="274"/>
      <c r="AL518" s="259" t="str">
        <f>MATCH(B518,'Key Findings'!B:B,0)</f>
        <v>#N/A</v>
      </c>
      <c r="AM518" s="274" t="b">
        <f t="shared" si="2"/>
        <v>1</v>
      </c>
      <c r="AN518" s="294"/>
    </row>
    <row r="519">
      <c r="A519" s="169">
        <f t="array" ref="A519">INDEX('Federal Tax, Stock Buybacks, &amp; '!D:D,match(B519,'Federal Tax, Stock Buybacks, &amp; '!E:E,0))</f>
        <v>51</v>
      </c>
      <c r="B519" s="418" t="s">
        <v>936</v>
      </c>
      <c r="C519" s="301"/>
      <c r="D519" s="419"/>
      <c r="E519" s="488"/>
      <c r="F519" s="254"/>
      <c r="G519" s="301"/>
      <c r="H519" s="419"/>
      <c r="I519" s="488"/>
      <c r="J519" s="254"/>
      <c r="K519" s="301" t="s">
        <v>942</v>
      </c>
      <c r="L519" s="419" t="s">
        <v>1532</v>
      </c>
      <c r="M519" s="488">
        <v>6064181.0</v>
      </c>
      <c r="N519" s="254"/>
      <c r="O519" s="301" t="s">
        <v>941</v>
      </c>
      <c r="P519" s="419" t="s">
        <v>2107</v>
      </c>
      <c r="Q519" s="488">
        <v>6223473.0</v>
      </c>
      <c r="R519" s="254"/>
      <c r="S519" s="301" t="s">
        <v>938</v>
      </c>
      <c r="T519" s="419" t="s">
        <v>2108</v>
      </c>
      <c r="U519" s="488">
        <v>6851057.0</v>
      </c>
      <c r="V519" s="254"/>
      <c r="W519" s="301" t="s">
        <v>938</v>
      </c>
      <c r="X519" s="419" t="s">
        <v>2109</v>
      </c>
      <c r="Y519" s="488">
        <v>5988555.0</v>
      </c>
      <c r="Z519" s="254"/>
      <c r="AA519" s="398" t="s">
        <v>939</v>
      </c>
      <c r="AB519" s="364" t="s">
        <v>2110</v>
      </c>
      <c r="AC519" s="454">
        <v>4977656.0</v>
      </c>
      <c r="AD519" s="343"/>
      <c r="AE519" s="347"/>
      <c r="AF519" s="313"/>
      <c r="AG519" s="313"/>
      <c r="AH519" s="313"/>
      <c r="AI519" s="313"/>
      <c r="AJ519" s="427"/>
      <c r="AK519" s="274"/>
      <c r="AL519" s="259" t="str">
        <f>MATCH(B519,'Key Findings'!B:B,0)</f>
        <v>#N/A</v>
      </c>
      <c r="AM519" s="274" t="b">
        <f t="shared" si="2"/>
        <v>1</v>
      </c>
      <c r="AN519" s="294"/>
    </row>
    <row r="520">
      <c r="A520" s="169">
        <f t="array" ref="A520">INDEX('Federal Tax, Stock Buybacks, &amp; '!D:D,match(B520,'Federal Tax, Stock Buybacks, &amp; '!E:E,0))</f>
        <v>51</v>
      </c>
      <c r="B520" s="418" t="s">
        <v>936</v>
      </c>
      <c r="C520" s="301"/>
      <c r="D520" s="419"/>
      <c r="E520" s="488"/>
      <c r="F520" s="254"/>
      <c r="G520" s="301"/>
      <c r="H520" s="419"/>
      <c r="I520" s="488"/>
      <c r="J520" s="254"/>
      <c r="K520" s="301" t="s">
        <v>944</v>
      </c>
      <c r="L520" s="419" t="s">
        <v>2111</v>
      </c>
      <c r="M520" s="488">
        <v>6156645.0</v>
      </c>
      <c r="N520" s="254"/>
      <c r="O520" s="301" t="s">
        <v>942</v>
      </c>
      <c r="P520" s="419" t="s">
        <v>1532</v>
      </c>
      <c r="Q520" s="488">
        <v>2298115.0</v>
      </c>
      <c r="R520" s="254"/>
      <c r="S520" s="372" t="s">
        <v>711</v>
      </c>
      <c r="T520" s="428" t="s">
        <v>711</v>
      </c>
      <c r="U520" s="499" t="s">
        <v>711</v>
      </c>
      <c r="V520" s="254"/>
      <c r="W520" s="372" t="s">
        <v>711</v>
      </c>
      <c r="X520" s="428" t="s">
        <v>711</v>
      </c>
      <c r="Y520" s="499" t="s">
        <v>711</v>
      </c>
      <c r="Z520" s="254"/>
      <c r="AA520" s="372" t="s">
        <v>711</v>
      </c>
      <c r="AB520" s="428" t="s">
        <v>711</v>
      </c>
      <c r="AC520" s="499" t="s">
        <v>711</v>
      </c>
      <c r="AD520" s="343"/>
      <c r="AE520" s="347"/>
      <c r="AF520" s="313"/>
      <c r="AG520" s="313"/>
      <c r="AH520" s="313"/>
      <c r="AI520" s="313"/>
      <c r="AJ520" s="427"/>
      <c r="AK520" s="274"/>
      <c r="AL520" s="259" t="str">
        <f>MATCH(B520,'Key Findings'!B:B,0)</f>
        <v>#N/A</v>
      </c>
      <c r="AM520" s="274" t="b">
        <f t="shared" si="2"/>
        <v>1</v>
      </c>
      <c r="AN520" s="294"/>
    </row>
    <row r="521">
      <c r="A521" s="169">
        <f t="array" ref="A521">INDEX('Federal Tax, Stock Buybacks, &amp; '!D:D,match(B521,'Federal Tax, Stock Buybacks, &amp; '!E:E,0))</f>
        <v>51</v>
      </c>
      <c r="B521" s="418" t="s">
        <v>936</v>
      </c>
      <c r="C521" s="301"/>
      <c r="D521" s="419"/>
      <c r="E521" s="488"/>
      <c r="F521" s="254"/>
      <c r="G521" s="301"/>
      <c r="H521" s="419"/>
      <c r="I521" s="488"/>
      <c r="J521" s="254"/>
      <c r="K521" s="301" t="s">
        <v>943</v>
      </c>
      <c r="L521" s="419" t="s">
        <v>2112</v>
      </c>
      <c r="M521" s="488">
        <v>8348748.0</v>
      </c>
      <c r="N521" s="254"/>
      <c r="O521" s="498" t="s">
        <v>938</v>
      </c>
      <c r="P521" s="419" t="s">
        <v>2101</v>
      </c>
      <c r="Q521" s="504">
        <v>5718164.0</v>
      </c>
      <c r="R521" s="254"/>
      <c r="S521" s="372" t="s">
        <v>711</v>
      </c>
      <c r="T521" s="428" t="s">
        <v>711</v>
      </c>
      <c r="U521" s="499" t="s">
        <v>711</v>
      </c>
      <c r="V521" s="254"/>
      <c r="W521" s="372" t="s">
        <v>711</v>
      </c>
      <c r="X521" s="428" t="s">
        <v>711</v>
      </c>
      <c r="Y521" s="499" t="s">
        <v>711</v>
      </c>
      <c r="Z521" s="254"/>
      <c r="AA521" s="372" t="s">
        <v>711</v>
      </c>
      <c r="AB521" s="428" t="s">
        <v>711</v>
      </c>
      <c r="AC521" s="499" t="s">
        <v>711</v>
      </c>
      <c r="AD521" s="343"/>
      <c r="AE521" s="347"/>
      <c r="AF521" s="313"/>
      <c r="AG521" s="313"/>
      <c r="AH521" s="313"/>
      <c r="AI521" s="313"/>
      <c r="AJ521" s="427"/>
      <c r="AK521" s="274"/>
      <c r="AL521" s="259" t="str">
        <f>MATCH(B521,'Key Findings'!B:B,0)</f>
        <v>#N/A</v>
      </c>
      <c r="AM521" s="274" t="b">
        <f t="shared" si="2"/>
        <v>1</v>
      </c>
      <c r="AN521" s="294"/>
    </row>
    <row r="522">
      <c r="A522" s="169">
        <f t="array" ref="A522">INDEX('Federal Tax, Stock Buybacks, &amp; '!D:D,match(B522,'Federal Tax, Stock Buybacks, &amp; '!E:E,0))</f>
        <v>137</v>
      </c>
      <c r="B522" s="281" t="s">
        <v>802</v>
      </c>
      <c r="C522" s="142"/>
      <c r="D522" s="283"/>
      <c r="E522" s="520"/>
      <c r="F522" s="254"/>
      <c r="G522" s="142"/>
      <c r="H522" s="283"/>
      <c r="I522" s="520"/>
      <c r="J522" s="254"/>
      <c r="K522" s="142" t="s">
        <v>803</v>
      </c>
      <c r="L522" s="283" t="s">
        <v>1649</v>
      </c>
      <c r="M522" s="520">
        <v>1.7107835E7</v>
      </c>
      <c r="N522" s="254"/>
      <c r="O522" s="142" t="s">
        <v>803</v>
      </c>
      <c r="P522" s="283" t="s">
        <v>1649</v>
      </c>
      <c r="Q522" s="471">
        <v>1.7817692E7</v>
      </c>
      <c r="R522" s="254"/>
      <c r="S522" s="142" t="s">
        <v>803</v>
      </c>
      <c r="T522" s="283" t="s">
        <v>1649</v>
      </c>
      <c r="U522" s="471">
        <v>1.4955272E7</v>
      </c>
      <c r="V522" s="254"/>
      <c r="W522" s="142" t="s">
        <v>803</v>
      </c>
      <c r="X522" s="283" t="s">
        <v>1649</v>
      </c>
      <c r="Y522" s="471">
        <v>1.181057E7</v>
      </c>
      <c r="Z522" s="254"/>
      <c r="AA522" s="142" t="s">
        <v>803</v>
      </c>
      <c r="AB522" s="283" t="s">
        <v>1649</v>
      </c>
      <c r="AC522" s="472">
        <v>1.3154517E7</v>
      </c>
      <c r="AD522" s="288"/>
      <c r="AE522" s="391">
        <v>2022.0</v>
      </c>
      <c r="AF522" s="391">
        <v>2021.0</v>
      </c>
      <c r="AG522" s="391">
        <v>2020.0</v>
      </c>
      <c r="AH522" s="391">
        <v>2019.0</v>
      </c>
      <c r="AI522" s="391">
        <v>2018.0</v>
      </c>
      <c r="AJ522" s="290" t="s">
        <v>2113</v>
      </c>
      <c r="AK522" s="260"/>
      <c r="AL522" s="259" t="str">
        <f>MATCH(B522,'Key Findings'!B:B,0)</f>
        <v>#N/A</v>
      </c>
      <c r="AM522" s="260" t="b">
        <f t="shared" si="2"/>
        <v>1</v>
      </c>
      <c r="AN522" s="294"/>
    </row>
    <row r="523">
      <c r="A523" s="169">
        <f t="array" ref="A523">INDEX('Federal Tax, Stock Buybacks, &amp; '!D:D,match(B523,'Federal Tax, Stock Buybacks, &amp; '!E:E,0))</f>
        <v>137</v>
      </c>
      <c r="B523" s="281" t="s">
        <v>802</v>
      </c>
      <c r="C523" s="142"/>
      <c r="D523" s="283"/>
      <c r="E523" s="521"/>
      <c r="F523" s="254"/>
      <c r="G523" s="142"/>
      <c r="H523" s="283"/>
      <c r="I523" s="521"/>
      <c r="J523" s="254"/>
      <c r="K523" s="142" t="s">
        <v>801</v>
      </c>
      <c r="L523" s="283" t="s">
        <v>1674</v>
      </c>
      <c r="M523" s="521">
        <v>2.8103602E7</v>
      </c>
      <c r="N523" s="254"/>
      <c r="O523" s="142" t="s">
        <v>801</v>
      </c>
      <c r="P523" s="283" t="s">
        <v>1674</v>
      </c>
      <c r="Q523" s="471">
        <v>3.0944838E7</v>
      </c>
      <c r="R523" s="254"/>
      <c r="S523" s="142" t="s">
        <v>801</v>
      </c>
      <c r="T523" s="283" t="s">
        <v>1674</v>
      </c>
      <c r="U523" s="471">
        <v>2.6364928E7</v>
      </c>
      <c r="V523" s="254"/>
      <c r="W523" s="142" t="s">
        <v>801</v>
      </c>
      <c r="X523" s="283" t="s">
        <v>1674</v>
      </c>
      <c r="Y523" s="471">
        <v>2.4265771E7</v>
      </c>
      <c r="Z523" s="254"/>
      <c r="AA523" s="142" t="s">
        <v>801</v>
      </c>
      <c r="AB523" s="283" t="s">
        <v>1674</v>
      </c>
      <c r="AC523" s="472">
        <v>1.9493946E7</v>
      </c>
      <c r="AD523" s="288"/>
      <c r="AE523" s="292"/>
      <c r="AF523" s="292"/>
      <c r="AG523" s="292"/>
      <c r="AH523" s="292"/>
      <c r="AI523" s="292"/>
      <c r="AJ523" s="293"/>
      <c r="AK523" s="260"/>
      <c r="AL523" s="259" t="str">
        <f>MATCH(B523,'Key Findings'!B:B,0)</f>
        <v>#N/A</v>
      </c>
      <c r="AM523" s="260" t="b">
        <f t="shared" si="2"/>
        <v>1</v>
      </c>
      <c r="AN523" s="294"/>
    </row>
    <row r="524">
      <c r="A524" s="169">
        <f t="array" ref="A524">INDEX('Federal Tax, Stock Buybacks, &amp; '!D:D,match(B524,'Federal Tax, Stock Buybacks, &amp; '!E:E,0))</f>
        <v>137</v>
      </c>
      <c r="B524" s="281" t="s">
        <v>802</v>
      </c>
      <c r="C524" s="142"/>
      <c r="D524" s="283"/>
      <c r="E524" s="520"/>
      <c r="F524" s="254"/>
      <c r="G524" s="142"/>
      <c r="H524" s="283"/>
      <c r="I524" s="520"/>
      <c r="J524" s="254"/>
      <c r="K524" s="142" t="s">
        <v>804</v>
      </c>
      <c r="L524" s="283" t="s">
        <v>1536</v>
      </c>
      <c r="M524" s="520">
        <v>1.6356415E7</v>
      </c>
      <c r="N524" s="254"/>
      <c r="O524" s="142" t="s">
        <v>804</v>
      </c>
      <c r="P524" s="283" t="s">
        <v>1536</v>
      </c>
      <c r="Q524" s="471">
        <v>1.7131764E7</v>
      </c>
      <c r="R524" s="254"/>
      <c r="S524" s="142" t="s">
        <v>804</v>
      </c>
      <c r="T524" s="283" t="s">
        <v>1536</v>
      </c>
      <c r="U524" s="471">
        <v>1.4322301E7</v>
      </c>
      <c r="V524" s="254"/>
      <c r="W524" s="142" t="s">
        <v>804</v>
      </c>
      <c r="X524" s="283" t="s">
        <v>1536</v>
      </c>
      <c r="Y524" s="471">
        <v>1.2088417E7</v>
      </c>
      <c r="Z524" s="254"/>
      <c r="AA524" s="142" t="s">
        <v>804</v>
      </c>
      <c r="AB524" s="283" t="s">
        <v>1536</v>
      </c>
      <c r="AC524" s="472">
        <v>1.3286026E7</v>
      </c>
      <c r="AD524" s="288"/>
      <c r="AE524" s="292"/>
      <c r="AF524" s="292"/>
      <c r="AG524" s="292"/>
      <c r="AH524" s="292"/>
      <c r="AI524" s="292"/>
      <c r="AJ524" s="293"/>
      <c r="AK524" s="260"/>
      <c r="AL524" s="259" t="str">
        <f>MATCH(B524,'Key Findings'!B:B,0)</f>
        <v>#N/A</v>
      </c>
      <c r="AM524" s="260" t="b">
        <f t="shared" si="2"/>
        <v>1</v>
      </c>
      <c r="AN524" s="294"/>
    </row>
    <row r="525">
      <c r="A525" s="169">
        <f t="array" ref="A525">INDEX('Federal Tax, Stock Buybacks, &amp; '!D:D,match(B525,'Federal Tax, Stock Buybacks, &amp; '!E:E,0))</f>
        <v>137</v>
      </c>
      <c r="B525" s="281" t="s">
        <v>802</v>
      </c>
      <c r="C525" s="142"/>
      <c r="D525" s="336"/>
      <c r="E525" s="520"/>
      <c r="F525" s="254"/>
      <c r="G525" s="142"/>
      <c r="H525" s="336"/>
      <c r="I525" s="520"/>
      <c r="J525" s="254"/>
      <c r="K525" s="142" t="s">
        <v>805</v>
      </c>
      <c r="L525" s="336" t="s">
        <v>2114</v>
      </c>
      <c r="M525" s="520">
        <v>1.4537263E7</v>
      </c>
      <c r="N525" s="254"/>
      <c r="O525" s="142" t="s">
        <v>805</v>
      </c>
      <c r="P525" s="336" t="s">
        <v>2114</v>
      </c>
      <c r="Q525" s="471">
        <v>1.5574416E7</v>
      </c>
      <c r="R525" s="254"/>
      <c r="S525" s="142" t="s">
        <v>805</v>
      </c>
      <c r="T525" s="336" t="s">
        <v>2114</v>
      </c>
      <c r="U525" s="471">
        <v>1.3049853E7</v>
      </c>
      <c r="V525" s="254"/>
      <c r="W525" s="142" t="s">
        <v>805</v>
      </c>
      <c r="X525" s="336" t="s">
        <v>2114</v>
      </c>
      <c r="Y525" s="471">
        <v>1.1586718E7</v>
      </c>
      <c r="Z525" s="254"/>
      <c r="AA525" s="142" t="s">
        <v>805</v>
      </c>
      <c r="AB525" s="336" t="s">
        <v>2114</v>
      </c>
      <c r="AC525" s="472">
        <v>1.256994E7</v>
      </c>
      <c r="AD525" s="288"/>
      <c r="AE525" s="292"/>
      <c r="AF525" s="292"/>
      <c r="AG525" s="292"/>
      <c r="AH525" s="292"/>
      <c r="AI525" s="292"/>
      <c r="AJ525" s="293"/>
      <c r="AK525" s="260"/>
      <c r="AL525" s="259" t="str">
        <f>MATCH(B525,'Key Findings'!B:B,0)</f>
        <v>#N/A</v>
      </c>
      <c r="AM525" s="260" t="b">
        <f t="shared" si="2"/>
        <v>1</v>
      </c>
      <c r="AN525" s="294"/>
    </row>
    <row r="526">
      <c r="A526" s="169">
        <f t="array" ref="A526">INDEX('Federal Tax, Stock Buybacks, &amp; '!D:D,match(B526,'Federal Tax, Stock Buybacks, &amp; '!E:E,0))</f>
        <v>137</v>
      </c>
      <c r="B526" s="281" t="s">
        <v>802</v>
      </c>
      <c r="C526" s="142"/>
      <c r="D526" s="283"/>
      <c r="E526" s="520"/>
      <c r="F526" s="254"/>
      <c r="G526" s="142"/>
      <c r="H526" s="283"/>
      <c r="I526" s="520"/>
      <c r="J526" s="254"/>
      <c r="K526" s="142" t="s">
        <v>806</v>
      </c>
      <c r="L526" s="283" t="s">
        <v>2115</v>
      </c>
      <c r="M526" s="520">
        <v>9343213.0</v>
      </c>
      <c r="N526" s="254"/>
      <c r="O526" s="142" t="s">
        <v>806</v>
      </c>
      <c r="P526" s="283" t="s">
        <v>2115</v>
      </c>
      <c r="Q526" s="471">
        <v>8181312.0</v>
      </c>
      <c r="R526" s="254"/>
      <c r="S526" s="142" t="s">
        <v>806</v>
      </c>
      <c r="T526" s="283" t="s">
        <v>2115</v>
      </c>
      <c r="U526" s="471">
        <v>6725466.0</v>
      </c>
      <c r="V526" s="254"/>
      <c r="W526" s="142" t="s">
        <v>806</v>
      </c>
      <c r="X526" s="283" t="s">
        <v>2115</v>
      </c>
      <c r="Y526" s="471">
        <v>6343064.0</v>
      </c>
      <c r="Z526" s="254"/>
      <c r="AA526" s="282" t="s">
        <v>806</v>
      </c>
      <c r="AB526" s="522" t="s">
        <v>1864</v>
      </c>
      <c r="AC526" s="472">
        <v>6422617.0</v>
      </c>
      <c r="AD526" s="288"/>
      <c r="AE526" s="292"/>
      <c r="AF526" s="292"/>
      <c r="AG526" s="292"/>
      <c r="AH526" s="292"/>
      <c r="AI526" s="292"/>
      <c r="AJ526" s="293"/>
      <c r="AK526" s="260"/>
      <c r="AL526" s="259" t="str">
        <f>MATCH(B526,'Key Findings'!B:B,0)</f>
        <v>#N/A</v>
      </c>
      <c r="AM526" s="260" t="b">
        <f t="shared" si="2"/>
        <v>1</v>
      </c>
      <c r="AN526" s="294"/>
    </row>
    <row r="527">
      <c r="A527" s="169">
        <f t="array" ref="A527">INDEX('Federal Tax, Stock Buybacks, &amp; '!D:D,match(B527,'Federal Tax, Stock Buybacks, &amp; '!E:E,0))</f>
        <v>137</v>
      </c>
      <c r="B527" s="281" t="s">
        <v>802</v>
      </c>
      <c r="C527" s="298"/>
      <c r="D527" s="296"/>
      <c r="E527" s="523"/>
      <c r="F527" s="254"/>
      <c r="G527" s="298"/>
      <c r="H527" s="296"/>
      <c r="I527" s="523"/>
      <c r="J527" s="254"/>
      <c r="K527" s="298" t="s">
        <v>711</v>
      </c>
      <c r="L527" s="296" t="s">
        <v>711</v>
      </c>
      <c r="M527" s="523" t="s">
        <v>711</v>
      </c>
      <c r="N527" s="254"/>
      <c r="O527" s="298" t="s">
        <v>711</v>
      </c>
      <c r="P527" s="296" t="s">
        <v>711</v>
      </c>
      <c r="Q527" s="523" t="s">
        <v>711</v>
      </c>
      <c r="R527" s="254"/>
      <c r="S527" s="282" t="s">
        <v>807</v>
      </c>
      <c r="T527" s="524" t="s">
        <v>2116</v>
      </c>
      <c r="U527" s="471">
        <v>2.3059878E7</v>
      </c>
      <c r="V527" s="254"/>
      <c r="W527" s="298" t="s">
        <v>711</v>
      </c>
      <c r="X527" s="296" t="s">
        <v>711</v>
      </c>
      <c r="Y527" s="523" t="s">
        <v>711</v>
      </c>
      <c r="Z527" s="254"/>
      <c r="AA527" s="298" t="s">
        <v>711</v>
      </c>
      <c r="AB527" s="296" t="s">
        <v>711</v>
      </c>
      <c r="AC527" s="523" t="s">
        <v>711</v>
      </c>
      <c r="AD527" s="288"/>
      <c r="AE527" s="292"/>
      <c r="AF527" s="292"/>
      <c r="AG527" s="292"/>
      <c r="AH527" s="292"/>
      <c r="AI527" s="292"/>
      <c r="AJ527" s="293"/>
      <c r="AK527" s="260"/>
      <c r="AL527" s="259" t="str">
        <f>MATCH(B527,'Key Findings'!B:B,0)</f>
        <v>#N/A</v>
      </c>
      <c r="AM527" s="260" t="b">
        <f t="shared" si="2"/>
        <v>1</v>
      </c>
      <c r="AN527" s="294"/>
    </row>
    <row r="528">
      <c r="A528" s="169">
        <f t="array" ref="A528">INDEX('Federal Tax, Stock Buybacks, &amp; '!D:D,match(B528,'Federal Tax, Stock Buybacks, &amp; '!E:E,0))</f>
        <v>82</v>
      </c>
      <c r="B528" s="418" t="s">
        <v>1340</v>
      </c>
      <c r="C528" s="398"/>
      <c r="D528" s="365"/>
      <c r="E528" s="488"/>
      <c r="F528" s="254"/>
      <c r="G528" s="398"/>
      <c r="H528" s="365"/>
      <c r="I528" s="488"/>
      <c r="J528" s="254"/>
      <c r="K528" s="398" t="s">
        <v>1339</v>
      </c>
      <c r="L528" s="365" t="s">
        <v>1684</v>
      </c>
      <c r="M528" s="488">
        <v>2.9283936E7</v>
      </c>
      <c r="N528" s="254"/>
      <c r="O528" s="398" t="s">
        <v>1339</v>
      </c>
      <c r="P528" s="364" t="s">
        <v>1684</v>
      </c>
      <c r="Q528" s="488">
        <v>2.5446695E7</v>
      </c>
      <c r="R528" s="254"/>
      <c r="S528" s="398" t="s">
        <v>1339</v>
      </c>
      <c r="T528" s="364" t="s">
        <v>1684</v>
      </c>
      <c r="U528" s="488">
        <v>2.3171957E7</v>
      </c>
      <c r="V528" s="254"/>
      <c r="W528" s="398" t="s">
        <v>1339</v>
      </c>
      <c r="X528" s="364" t="s">
        <v>1684</v>
      </c>
      <c r="Y528" s="488">
        <v>2.5829833E7</v>
      </c>
      <c r="Z528" s="254"/>
      <c r="AA528" s="301" t="s">
        <v>1343</v>
      </c>
      <c r="AB528" s="302" t="s">
        <v>1585</v>
      </c>
      <c r="AC528" s="525">
        <v>2.1284464E7</v>
      </c>
      <c r="AD528" s="303"/>
      <c r="AE528" s="366">
        <v>2022.0</v>
      </c>
      <c r="AF528" s="307">
        <v>2021.0</v>
      </c>
      <c r="AG528" s="307">
        <v>2020.0</v>
      </c>
      <c r="AH528" s="307">
        <v>2019.0</v>
      </c>
      <c r="AI528" s="307">
        <v>2018.0</v>
      </c>
      <c r="AJ528" s="273" t="s">
        <v>2117</v>
      </c>
      <c r="AK528" s="274"/>
      <c r="AL528" s="259" t="str">
        <f>MATCH(B528,'Key Findings'!B:B,0)</f>
        <v>#N/A</v>
      </c>
      <c r="AM528" s="274" t="b">
        <f t="shared" si="2"/>
        <v>0</v>
      </c>
      <c r="AN528" s="395"/>
    </row>
    <row r="529">
      <c r="A529" s="169">
        <f t="array" ref="A529">INDEX('Federal Tax, Stock Buybacks, &amp; '!D:D,match(B529,'Federal Tax, Stock Buybacks, &amp; '!E:E,0))</f>
        <v>82</v>
      </c>
      <c r="B529" s="418" t="s">
        <v>1340</v>
      </c>
      <c r="C529" s="398"/>
      <c r="D529" s="365"/>
      <c r="E529" s="488"/>
      <c r="F529" s="254"/>
      <c r="G529" s="398"/>
      <c r="H529" s="365"/>
      <c r="I529" s="488"/>
      <c r="J529" s="254"/>
      <c r="K529" s="398" t="s">
        <v>1341</v>
      </c>
      <c r="L529" s="365" t="s">
        <v>1832</v>
      </c>
      <c r="M529" s="488">
        <v>1.2547482E7</v>
      </c>
      <c r="N529" s="254"/>
      <c r="O529" s="301" t="s">
        <v>1343</v>
      </c>
      <c r="P529" s="302" t="s">
        <v>1686</v>
      </c>
      <c r="Q529" s="488">
        <v>2527028.0</v>
      </c>
      <c r="R529" s="254"/>
      <c r="S529" s="301" t="s">
        <v>1343</v>
      </c>
      <c r="T529" s="302" t="s">
        <v>1585</v>
      </c>
      <c r="U529" s="488">
        <v>1.2020069E7</v>
      </c>
      <c r="V529" s="254"/>
      <c r="W529" s="301" t="s">
        <v>1343</v>
      </c>
      <c r="X529" s="302" t="s">
        <v>1585</v>
      </c>
      <c r="Y529" s="488">
        <v>1.363441E7</v>
      </c>
      <c r="Z529" s="254"/>
      <c r="AA529" s="398" t="s">
        <v>1339</v>
      </c>
      <c r="AB529" s="364" t="s">
        <v>1684</v>
      </c>
      <c r="AC529" s="525">
        <v>1.1463371E7</v>
      </c>
      <c r="AD529" s="303"/>
      <c r="AE529" s="526"/>
      <c r="AF529" s="308"/>
      <c r="AG529" s="308"/>
      <c r="AH529" s="308"/>
      <c r="AI529" s="308"/>
      <c r="AJ529" s="278"/>
      <c r="AK529" s="274"/>
      <c r="AL529" s="259" t="str">
        <f>MATCH(B529,'Key Findings'!B:B,0)</f>
        <v>#N/A</v>
      </c>
      <c r="AM529" s="274" t="b">
        <f t="shared" si="2"/>
        <v>0</v>
      </c>
      <c r="AN529" s="395"/>
    </row>
    <row r="530">
      <c r="A530" s="169">
        <f t="array" ref="A530">INDEX('Federal Tax, Stock Buybacks, &amp; '!D:D,match(B530,'Federal Tax, Stock Buybacks, &amp; '!E:E,0))</f>
        <v>82</v>
      </c>
      <c r="B530" s="418" t="s">
        <v>1340</v>
      </c>
      <c r="C530" s="398"/>
      <c r="D530" s="365"/>
      <c r="E530" s="488"/>
      <c r="F530" s="254"/>
      <c r="G530" s="398"/>
      <c r="H530" s="365"/>
      <c r="I530" s="488"/>
      <c r="J530" s="254"/>
      <c r="K530" s="398" t="s">
        <v>1342</v>
      </c>
      <c r="L530" s="365" t="s">
        <v>2118</v>
      </c>
      <c r="M530" s="488">
        <v>1.2937842E7</v>
      </c>
      <c r="N530" s="254"/>
      <c r="O530" s="398" t="s">
        <v>1341</v>
      </c>
      <c r="P530" s="364" t="s">
        <v>1832</v>
      </c>
      <c r="Q530" s="488">
        <v>1.1818731E7</v>
      </c>
      <c r="R530" s="254"/>
      <c r="S530" s="527" t="s">
        <v>1345</v>
      </c>
      <c r="T530" s="302" t="s">
        <v>2119</v>
      </c>
      <c r="U530" s="488">
        <v>1.0619295E7</v>
      </c>
      <c r="V530" s="254"/>
      <c r="W530" s="527" t="s">
        <v>1345</v>
      </c>
      <c r="X530" s="302" t="s">
        <v>2120</v>
      </c>
      <c r="Y530" s="488">
        <v>1.2328973E7</v>
      </c>
      <c r="Z530" s="254"/>
      <c r="AA530" s="527" t="s">
        <v>1345</v>
      </c>
      <c r="AB530" s="302" t="s">
        <v>2121</v>
      </c>
      <c r="AC530" s="525">
        <v>1.1084154E7</v>
      </c>
      <c r="AD530" s="303"/>
      <c r="AE530" s="526"/>
      <c r="AF530" s="308"/>
      <c r="AG530" s="308"/>
      <c r="AH530" s="308"/>
      <c r="AI530" s="308"/>
      <c r="AJ530" s="278"/>
      <c r="AK530" s="274"/>
      <c r="AL530" s="259" t="str">
        <f>MATCH(B530,'Key Findings'!B:B,0)</f>
        <v>#N/A</v>
      </c>
      <c r="AM530" s="274" t="b">
        <f t="shared" si="2"/>
        <v>0</v>
      </c>
      <c r="AN530" s="395"/>
    </row>
    <row r="531">
      <c r="A531" s="169">
        <f t="array" ref="A531">INDEX('Federal Tax, Stock Buybacks, &amp; '!D:D,match(B531,'Federal Tax, Stock Buybacks, &amp; '!E:E,0))</f>
        <v>82</v>
      </c>
      <c r="B531" s="418" t="s">
        <v>1340</v>
      </c>
      <c r="C531" s="398"/>
      <c r="D531" s="365"/>
      <c r="E531" s="488"/>
      <c r="F531" s="254"/>
      <c r="G531" s="398"/>
      <c r="H531" s="365"/>
      <c r="I531" s="488"/>
      <c r="J531" s="254"/>
      <c r="K531" s="398" t="s">
        <v>1344</v>
      </c>
      <c r="L531" s="365" t="s">
        <v>1585</v>
      </c>
      <c r="M531" s="488">
        <v>1.4608279E7</v>
      </c>
      <c r="N531" s="254"/>
      <c r="O531" s="301" t="s">
        <v>1342</v>
      </c>
      <c r="P531" s="302" t="s">
        <v>2122</v>
      </c>
      <c r="Q531" s="488">
        <v>1.2411373E7</v>
      </c>
      <c r="R531" s="254"/>
      <c r="S531" s="528" t="s">
        <v>1341</v>
      </c>
      <c r="T531" s="306" t="s">
        <v>2123</v>
      </c>
      <c r="U531" s="488">
        <v>8283449.0</v>
      </c>
      <c r="V531" s="254"/>
      <c r="W531" s="528" t="s">
        <v>1341</v>
      </c>
      <c r="X531" s="306" t="s">
        <v>2123</v>
      </c>
      <c r="Y531" s="488">
        <v>1.498142E7</v>
      </c>
      <c r="Z531" s="254"/>
      <c r="AA531" s="528" t="s">
        <v>1341</v>
      </c>
      <c r="AB531" s="306" t="s">
        <v>2123</v>
      </c>
      <c r="AC531" s="525">
        <v>1.9344905E7</v>
      </c>
      <c r="AD531" s="303"/>
      <c r="AE531" s="526"/>
      <c r="AF531" s="308"/>
      <c r="AG531" s="308"/>
      <c r="AH531" s="308"/>
      <c r="AI531" s="308"/>
      <c r="AJ531" s="278"/>
      <c r="AK531" s="274"/>
      <c r="AL531" s="259" t="str">
        <f>MATCH(B531,'Key Findings'!B:B,0)</f>
        <v>#N/A</v>
      </c>
      <c r="AM531" s="274" t="b">
        <f t="shared" si="2"/>
        <v>0</v>
      </c>
      <c r="AN531" s="395"/>
    </row>
    <row r="532">
      <c r="A532" s="169">
        <f t="array" ref="A532">INDEX('Federal Tax, Stock Buybacks, &amp; '!D:D,match(B532,'Federal Tax, Stock Buybacks, &amp; '!E:E,0))</f>
        <v>82</v>
      </c>
      <c r="B532" s="418" t="s">
        <v>1340</v>
      </c>
      <c r="C532" s="398"/>
      <c r="D532" s="365"/>
      <c r="E532" s="488"/>
      <c r="F532" s="254"/>
      <c r="G532" s="398"/>
      <c r="H532" s="365"/>
      <c r="I532" s="488"/>
      <c r="J532" s="254"/>
      <c r="K532" s="398" t="s">
        <v>1347</v>
      </c>
      <c r="L532" s="365" t="s">
        <v>2124</v>
      </c>
      <c r="M532" s="488">
        <v>1.3277746E7</v>
      </c>
      <c r="N532" s="254"/>
      <c r="O532" s="301" t="s">
        <v>1346</v>
      </c>
      <c r="P532" s="302" t="s">
        <v>2125</v>
      </c>
      <c r="Q532" s="488">
        <v>9402902.0</v>
      </c>
      <c r="R532" s="254"/>
      <c r="S532" s="301" t="s">
        <v>1342</v>
      </c>
      <c r="T532" s="302" t="s">
        <v>2122</v>
      </c>
      <c r="U532" s="488">
        <v>1.0007367E7</v>
      </c>
      <c r="V532" s="254"/>
      <c r="W532" s="527" t="s">
        <v>1342</v>
      </c>
      <c r="X532" s="302" t="s">
        <v>2126</v>
      </c>
      <c r="Y532" s="488">
        <v>1.2937451E7</v>
      </c>
      <c r="Z532" s="254"/>
      <c r="AA532" s="527" t="s">
        <v>1342</v>
      </c>
      <c r="AB532" s="302" t="s">
        <v>2126</v>
      </c>
      <c r="AC532" s="525">
        <v>1.6848424E7</v>
      </c>
      <c r="AD532" s="303"/>
      <c r="AE532" s="526"/>
      <c r="AF532" s="308"/>
      <c r="AG532" s="308"/>
      <c r="AH532" s="308"/>
      <c r="AI532" s="308"/>
      <c r="AJ532" s="278"/>
      <c r="AK532" s="274"/>
      <c r="AL532" s="259" t="str">
        <f>MATCH(B532,'Key Findings'!B:B,0)</f>
        <v>#N/A</v>
      </c>
      <c r="AM532" s="274" t="b">
        <f t="shared" si="2"/>
        <v>0</v>
      </c>
      <c r="AN532" s="395"/>
    </row>
    <row r="533">
      <c r="A533" s="169">
        <f t="array" ref="A533">INDEX('Federal Tax, Stock Buybacks, &amp; '!D:D,match(B533,'Federal Tax, Stock Buybacks, &amp; '!E:E,0))</f>
        <v>82</v>
      </c>
      <c r="B533" s="418" t="s">
        <v>1340</v>
      </c>
      <c r="C533" s="398"/>
      <c r="D533" s="365"/>
      <c r="E533" s="488"/>
      <c r="F533" s="254"/>
      <c r="G533" s="398"/>
      <c r="H533" s="365"/>
      <c r="I533" s="488"/>
      <c r="J533" s="254"/>
      <c r="K533" s="398" t="s">
        <v>1348</v>
      </c>
      <c r="L533" s="365" t="s">
        <v>2122</v>
      </c>
      <c r="M533" s="488">
        <v>7242213.0</v>
      </c>
      <c r="N533" s="254"/>
      <c r="O533" s="301" t="s">
        <v>1349</v>
      </c>
      <c r="P533" s="302" t="s">
        <v>2127</v>
      </c>
      <c r="Q533" s="488">
        <v>5764416.0</v>
      </c>
      <c r="R533" s="254"/>
      <c r="S533" s="301" t="s">
        <v>1346</v>
      </c>
      <c r="T533" s="302" t="s">
        <v>2128</v>
      </c>
      <c r="U533" s="488">
        <v>7677694.0</v>
      </c>
      <c r="V533" s="254"/>
      <c r="W533" s="372" t="s">
        <v>711</v>
      </c>
      <c r="X533" s="370" t="s">
        <v>711</v>
      </c>
      <c r="Y533" s="517" t="s">
        <v>711</v>
      </c>
      <c r="Z533" s="254"/>
      <c r="AA533" s="372" t="s">
        <v>711</v>
      </c>
      <c r="AB533" s="370" t="s">
        <v>711</v>
      </c>
      <c r="AC533" s="517" t="s">
        <v>711</v>
      </c>
      <c r="AD533" s="303"/>
      <c r="AE533" s="526"/>
      <c r="AF533" s="308"/>
      <c r="AG533" s="308"/>
      <c r="AH533" s="308"/>
      <c r="AI533" s="308"/>
      <c r="AJ533" s="278"/>
      <c r="AK533" s="274"/>
      <c r="AL533" s="259" t="str">
        <f>MATCH(B533,'Key Findings'!B:B,0)</f>
        <v>#N/A</v>
      </c>
      <c r="AM533" s="274" t="b">
        <f t="shared" si="2"/>
        <v>0</v>
      </c>
      <c r="AN533" s="395"/>
    </row>
    <row r="534">
      <c r="A534" s="169">
        <f t="array" ref="A534">INDEX('Federal Tax, Stock Buybacks, &amp; '!D:D,match(B534,'Federal Tax, Stock Buybacks, &amp; '!E:E,0))</f>
        <v>82</v>
      </c>
      <c r="B534" s="418" t="s">
        <v>1340</v>
      </c>
      <c r="C534" s="372"/>
      <c r="D534" s="370"/>
      <c r="E534" s="517"/>
      <c r="F534" s="254"/>
      <c r="G534" s="372"/>
      <c r="H534" s="370"/>
      <c r="I534" s="517"/>
      <c r="J534" s="254"/>
      <c r="K534" s="372" t="s">
        <v>711</v>
      </c>
      <c r="L534" s="370" t="s">
        <v>711</v>
      </c>
      <c r="M534" s="517" t="s">
        <v>711</v>
      </c>
      <c r="N534" s="254"/>
      <c r="O534" s="301" t="s">
        <v>1344</v>
      </c>
      <c r="P534" s="302" t="s">
        <v>1585</v>
      </c>
      <c r="Q534" s="488">
        <v>1.9868715E7</v>
      </c>
      <c r="R534" s="254"/>
      <c r="S534" s="372" t="s">
        <v>711</v>
      </c>
      <c r="T534" s="370" t="s">
        <v>711</v>
      </c>
      <c r="U534" s="517" t="s">
        <v>711</v>
      </c>
      <c r="V534" s="254"/>
      <c r="W534" s="372" t="s">
        <v>711</v>
      </c>
      <c r="X534" s="370" t="s">
        <v>711</v>
      </c>
      <c r="Y534" s="517" t="s">
        <v>711</v>
      </c>
      <c r="Z534" s="254"/>
      <c r="AA534" s="372" t="s">
        <v>711</v>
      </c>
      <c r="AB534" s="370" t="s">
        <v>711</v>
      </c>
      <c r="AC534" s="517" t="s">
        <v>711</v>
      </c>
      <c r="AD534" s="303"/>
      <c r="AE534" s="526"/>
      <c r="AF534" s="308"/>
      <c r="AG534" s="308"/>
      <c r="AH534" s="308"/>
      <c r="AI534" s="308"/>
      <c r="AJ534" s="278"/>
      <c r="AK534" s="274"/>
      <c r="AL534" s="259" t="str">
        <f>MATCH(B534,'Key Findings'!B:B,0)</f>
        <v>#N/A</v>
      </c>
      <c r="AM534" s="274" t="b">
        <f t="shared" si="2"/>
        <v>0</v>
      </c>
      <c r="AN534" s="395"/>
    </row>
    <row r="535">
      <c r="A535" s="169">
        <f t="array" ref="A535">INDEX('Federal Tax, Stock Buybacks, &amp; '!D:D,match(B535,'Federal Tax, Stock Buybacks, &amp; '!E:E,0))</f>
        <v>6</v>
      </c>
      <c r="B535" s="404" t="s">
        <v>1288</v>
      </c>
      <c r="C535" s="508"/>
      <c r="D535" s="406"/>
      <c r="E535" s="472"/>
      <c r="F535" s="254"/>
      <c r="G535" s="508"/>
      <c r="H535" s="406"/>
      <c r="I535" s="472"/>
      <c r="J535" s="254"/>
      <c r="K535" s="508" t="s">
        <v>1293</v>
      </c>
      <c r="L535" s="406" t="s">
        <v>2129</v>
      </c>
      <c r="M535" s="472">
        <v>1.098375E7</v>
      </c>
      <c r="N535" s="254"/>
      <c r="O535" s="508" t="s">
        <v>1287</v>
      </c>
      <c r="P535" s="405" t="s">
        <v>1610</v>
      </c>
      <c r="Q535" s="472">
        <v>3784072.0</v>
      </c>
      <c r="R535" s="254"/>
      <c r="S535" s="508" t="s">
        <v>1287</v>
      </c>
      <c r="T535" s="405" t="s">
        <v>1588</v>
      </c>
      <c r="U535" s="472">
        <v>2.3043822E7</v>
      </c>
      <c r="V535" s="254"/>
      <c r="W535" s="405" t="s">
        <v>1287</v>
      </c>
      <c r="X535" s="405" t="s">
        <v>1588</v>
      </c>
      <c r="Y535" s="472">
        <v>3.6451749E7</v>
      </c>
      <c r="Z535" s="254"/>
      <c r="AA535" s="508" t="s">
        <v>1287</v>
      </c>
      <c r="AB535" s="405" t="s">
        <v>1588</v>
      </c>
      <c r="AC535" s="472">
        <v>2.1939098E7</v>
      </c>
      <c r="AD535" s="407"/>
      <c r="AE535" s="331">
        <v>2022.0</v>
      </c>
      <c r="AF535" s="331">
        <v>2021.0</v>
      </c>
      <c r="AG535" s="331">
        <v>2020.0</v>
      </c>
      <c r="AH535" s="331">
        <v>2019.0</v>
      </c>
      <c r="AI535" s="331">
        <v>2018.0</v>
      </c>
      <c r="AJ535" s="382" t="s">
        <v>1524</v>
      </c>
      <c r="AK535" s="260"/>
      <c r="AL535" s="259" t="str">
        <f>MATCH(B535,'Key Findings'!B:B,0)</f>
        <v>#N/A</v>
      </c>
      <c r="AM535" s="260" t="b">
        <f t="shared" si="2"/>
        <v>0</v>
      </c>
      <c r="AN535" s="294"/>
    </row>
    <row r="536">
      <c r="A536" s="169">
        <f t="array" ref="A536">INDEX('Federal Tax, Stock Buybacks, &amp; '!D:D,match(B536,'Federal Tax, Stock Buybacks, &amp; '!E:E,0))</f>
        <v>6</v>
      </c>
      <c r="B536" s="404" t="s">
        <v>1288</v>
      </c>
      <c r="C536" s="508"/>
      <c r="D536" s="406"/>
      <c r="E536" s="472"/>
      <c r="F536" s="254"/>
      <c r="G536" s="508"/>
      <c r="H536" s="406"/>
      <c r="I536" s="472"/>
      <c r="J536" s="254"/>
      <c r="K536" s="508" t="s">
        <v>1290</v>
      </c>
      <c r="L536" s="406" t="s">
        <v>1588</v>
      </c>
      <c r="M536" s="472">
        <v>2.1317055E7</v>
      </c>
      <c r="N536" s="254"/>
      <c r="O536" s="508" t="s">
        <v>1298</v>
      </c>
      <c r="P536" s="406" t="s">
        <v>2130</v>
      </c>
      <c r="Q536" s="472">
        <v>8793264.0</v>
      </c>
      <c r="R536" s="254"/>
      <c r="S536" s="508" t="s">
        <v>1289</v>
      </c>
      <c r="T536" s="405" t="s">
        <v>1832</v>
      </c>
      <c r="U536" s="472">
        <v>1.3001212E7</v>
      </c>
      <c r="V536" s="254"/>
      <c r="W536" s="405" t="s">
        <v>1289</v>
      </c>
      <c r="X536" s="405" t="s">
        <v>1832</v>
      </c>
      <c r="Y536" s="472">
        <v>1.504838E7</v>
      </c>
      <c r="Z536" s="254"/>
      <c r="AA536" s="508" t="s">
        <v>753</v>
      </c>
      <c r="AB536" s="405" t="s">
        <v>1686</v>
      </c>
      <c r="AC536" s="472">
        <v>5564551.0</v>
      </c>
      <c r="AD536" s="407"/>
      <c r="AE536" s="409"/>
      <c r="AF536" s="410"/>
      <c r="AG536" s="410"/>
      <c r="AH536" s="410"/>
      <c r="AI536" s="410"/>
      <c r="AJ536" s="293"/>
      <c r="AK536" s="260"/>
      <c r="AL536" s="259" t="str">
        <f>MATCH(B536,'Key Findings'!B:B,0)</f>
        <v>#N/A</v>
      </c>
      <c r="AM536" s="260" t="b">
        <f t="shared" si="2"/>
        <v>0</v>
      </c>
      <c r="AN536" s="294"/>
    </row>
    <row r="537">
      <c r="A537" s="169">
        <f t="array" ref="A537">INDEX('Federal Tax, Stock Buybacks, &amp; '!D:D,match(B537,'Federal Tax, Stock Buybacks, &amp; '!E:E,0))</f>
        <v>6</v>
      </c>
      <c r="B537" s="404" t="s">
        <v>1288</v>
      </c>
      <c r="C537" s="508"/>
      <c r="D537" s="406"/>
      <c r="E537" s="472"/>
      <c r="F537" s="254"/>
      <c r="G537" s="508"/>
      <c r="H537" s="406"/>
      <c r="I537" s="472"/>
      <c r="J537" s="254"/>
      <c r="K537" s="508" t="s">
        <v>1294</v>
      </c>
      <c r="L537" s="406" t="s">
        <v>1585</v>
      </c>
      <c r="M537" s="472">
        <v>1.4630713E7</v>
      </c>
      <c r="N537" s="254"/>
      <c r="O537" s="508" t="s">
        <v>1289</v>
      </c>
      <c r="P537" s="405" t="s">
        <v>1832</v>
      </c>
      <c r="Q537" s="472">
        <v>1.5354581E7</v>
      </c>
      <c r="R537" s="254"/>
      <c r="S537" s="508" t="s">
        <v>1291</v>
      </c>
      <c r="T537" s="405" t="s">
        <v>1585</v>
      </c>
      <c r="U537" s="472">
        <v>8921153.0</v>
      </c>
      <c r="V537" s="254"/>
      <c r="W537" s="405" t="s">
        <v>1292</v>
      </c>
      <c r="X537" s="405" t="s">
        <v>2131</v>
      </c>
      <c r="Y537" s="472">
        <v>2.3154934E7</v>
      </c>
      <c r="Z537" s="254"/>
      <c r="AA537" s="508" t="s">
        <v>1289</v>
      </c>
      <c r="AB537" s="405" t="s">
        <v>1832</v>
      </c>
      <c r="AC537" s="472">
        <v>1.6066968E7</v>
      </c>
      <c r="AD537" s="407"/>
      <c r="AE537" s="409"/>
      <c r="AF537" s="410"/>
      <c r="AG537" s="410"/>
      <c r="AH537" s="410"/>
      <c r="AI537" s="410"/>
      <c r="AJ537" s="293"/>
      <c r="AK537" s="260"/>
      <c r="AL537" s="259" t="str">
        <f>MATCH(B537,'Key Findings'!B:B,0)</f>
        <v>#N/A</v>
      </c>
      <c r="AM537" s="260" t="b">
        <f t="shared" si="2"/>
        <v>0</v>
      </c>
      <c r="AN537" s="294"/>
    </row>
    <row r="538">
      <c r="A538" s="169">
        <f t="array" ref="A538">INDEX('Federal Tax, Stock Buybacks, &amp; '!D:D,match(B538,'Federal Tax, Stock Buybacks, &amp; '!E:E,0))</f>
        <v>6</v>
      </c>
      <c r="B538" s="404" t="s">
        <v>1288</v>
      </c>
      <c r="C538" s="405"/>
      <c r="D538" s="406"/>
      <c r="E538" s="472"/>
      <c r="F538" s="254"/>
      <c r="G538" s="405"/>
      <c r="H538" s="406"/>
      <c r="I538" s="472"/>
      <c r="J538" s="254"/>
      <c r="K538" s="405" t="s">
        <v>1297</v>
      </c>
      <c r="L538" s="406" t="s">
        <v>2132</v>
      </c>
      <c r="M538" s="472">
        <v>9015218.0</v>
      </c>
      <c r="N538" s="254"/>
      <c r="O538" s="508" t="s">
        <v>1291</v>
      </c>
      <c r="P538" s="405" t="s">
        <v>1686</v>
      </c>
      <c r="Q538" s="472">
        <v>9885690.0</v>
      </c>
      <c r="R538" s="254"/>
      <c r="S538" s="508" t="s">
        <v>1293</v>
      </c>
      <c r="T538" s="405" t="s">
        <v>2133</v>
      </c>
      <c r="U538" s="472">
        <v>7472175.0</v>
      </c>
      <c r="V538" s="254"/>
      <c r="W538" s="405" t="s">
        <v>1291</v>
      </c>
      <c r="X538" s="405" t="s">
        <v>1585</v>
      </c>
      <c r="Y538" s="472">
        <v>9564223.0</v>
      </c>
      <c r="Z538" s="254"/>
      <c r="AA538" s="508" t="s">
        <v>1292</v>
      </c>
      <c r="AB538" s="405" t="s">
        <v>2134</v>
      </c>
      <c r="AC538" s="472">
        <v>1.0983856E7</v>
      </c>
      <c r="AD538" s="407"/>
      <c r="AE538" s="409"/>
      <c r="AF538" s="410"/>
      <c r="AG538" s="410"/>
      <c r="AH538" s="410"/>
      <c r="AI538" s="410"/>
      <c r="AJ538" s="293"/>
      <c r="AK538" s="260"/>
      <c r="AL538" s="259" t="str">
        <f>MATCH(B538,'Key Findings'!B:B,0)</f>
        <v>#N/A</v>
      </c>
      <c r="AM538" s="260" t="b">
        <f t="shared" si="2"/>
        <v>0</v>
      </c>
      <c r="AN538" s="294"/>
    </row>
    <row r="539">
      <c r="A539" s="169">
        <f t="array" ref="A539">INDEX('Federal Tax, Stock Buybacks, &amp; '!D:D,match(B539,'Federal Tax, Stock Buybacks, &amp; '!E:E,0))</f>
        <v>6</v>
      </c>
      <c r="B539" s="404" t="s">
        <v>1288</v>
      </c>
      <c r="C539" s="405"/>
      <c r="D539" s="406"/>
      <c r="E539" s="472"/>
      <c r="F539" s="254"/>
      <c r="G539" s="405"/>
      <c r="H539" s="406"/>
      <c r="I539" s="472"/>
      <c r="J539" s="254"/>
      <c r="K539" s="405" t="s">
        <v>1296</v>
      </c>
      <c r="L539" s="406" t="s">
        <v>2135</v>
      </c>
      <c r="M539" s="472">
        <v>1.3991858E7</v>
      </c>
      <c r="N539" s="254"/>
      <c r="O539" s="508" t="s">
        <v>1293</v>
      </c>
      <c r="P539" s="405" t="s">
        <v>2136</v>
      </c>
      <c r="Q539" s="472">
        <v>1.101156E7</v>
      </c>
      <c r="R539" s="254"/>
      <c r="S539" s="508" t="s">
        <v>1290</v>
      </c>
      <c r="T539" s="405" t="s">
        <v>2137</v>
      </c>
      <c r="U539" s="472">
        <v>1.1307916E7</v>
      </c>
      <c r="V539" s="254"/>
      <c r="W539" s="405" t="s">
        <v>1295</v>
      </c>
      <c r="X539" s="405" t="s">
        <v>2138</v>
      </c>
      <c r="Y539" s="472">
        <v>1.0626219E7</v>
      </c>
      <c r="Z539" s="254"/>
      <c r="AA539" s="405" t="s">
        <v>1291</v>
      </c>
      <c r="AB539" s="405" t="s">
        <v>1585</v>
      </c>
      <c r="AC539" s="472">
        <v>6972421.0</v>
      </c>
      <c r="AD539" s="407"/>
      <c r="AE539" s="409"/>
      <c r="AF539" s="410"/>
      <c r="AG539" s="410"/>
      <c r="AH539" s="410"/>
      <c r="AI539" s="410"/>
      <c r="AJ539" s="293"/>
      <c r="AK539" s="260"/>
      <c r="AL539" s="259" t="str">
        <f>MATCH(B539,'Key Findings'!B:B,0)</f>
        <v>#N/A</v>
      </c>
      <c r="AM539" s="260" t="b">
        <f t="shared" si="2"/>
        <v>0</v>
      </c>
      <c r="AN539" s="294"/>
    </row>
    <row r="540">
      <c r="A540" s="169">
        <f t="array" ref="A540">INDEX('Federal Tax, Stock Buybacks, &amp; '!D:D,match(B540,'Federal Tax, Stock Buybacks, &amp; '!E:E,0))</f>
        <v>6</v>
      </c>
      <c r="B540" s="404" t="s">
        <v>1288</v>
      </c>
      <c r="C540" s="514"/>
      <c r="D540" s="514"/>
      <c r="E540" s="472"/>
      <c r="F540" s="254"/>
      <c r="G540" s="514"/>
      <c r="H540" s="514"/>
      <c r="I540" s="472"/>
      <c r="J540" s="254"/>
      <c r="K540" s="514" t="s">
        <v>711</v>
      </c>
      <c r="L540" s="514" t="s">
        <v>711</v>
      </c>
      <c r="M540" s="472" t="s">
        <v>711</v>
      </c>
      <c r="N540" s="254"/>
      <c r="O540" s="405" t="s">
        <v>1290</v>
      </c>
      <c r="P540" s="405" t="s">
        <v>1588</v>
      </c>
      <c r="Q540" s="472">
        <v>2.0388412E7</v>
      </c>
      <c r="R540" s="254"/>
      <c r="S540" s="514" t="s">
        <v>711</v>
      </c>
      <c r="T540" s="514" t="s">
        <v>711</v>
      </c>
      <c r="U540" s="472" t="s">
        <v>711</v>
      </c>
      <c r="V540" s="254"/>
      <c r="W540" s="514" t="s">
        <v>711</v>
      </c>
      <c r="X540" s="514" t="s">
        <v>711</v>
      </c>
      <c r="Y540" s="472" t="s">
        <v>711</v>
      </c>
      <c r="Z540" s="254"/>
      <c r="AA540" s="405" t="s">
        <v>1295</v>
      </c>
      <c r="AB540" s="405" t="s">
        <v>2139</v>
      </c>
      <c r="AC540" s="472">
        <v>1.2806073E7</v>
      </c>
      <c r="AD540" s="407"/>
      <c r="AE540" s="409"/>
      <c r="AF540" s="410"/>
      <c r="AG540" s="410"/>
      <c r="AH540" s="410"/>
      <c r="AI540" s="410"/>
      <c r="AJ540" s="293"/>
      <c r="AK540" s="260"/>
      <c r="AL540" s="259" t="str">
        <f>MATCH(B540,'Key Findings'!B:B,0)</f>
        <v>#N/A</v>
      </c>
      <c r="AM540" s="260" t="b">
        <f t="shared" si="2"/>
        <v>0</v>
      </c>
      <c r="AN540" s="294"/>
    </row>
    <row r="541">
      <c r="A541" s="169">
        <f t="array" ref="A541">INDEX('Federal Tax, Stock Buybacks, &amp; '!D:D,match(B541,'Federal Tax, Stock Buybacks, &amp; '!E:E,0))</f>
        <v>6</v>
      </c>
      <c r="B541" s="404" t="s">
        <v>1288</v>
      </c>
      <c r="C541" s="514"/>
      <c r="D541" s="514"/>
      <c r="E541" s="472"/>
      <c r="F541" s="254"/>
      <c r="G541" s="514"/>
      <c r="H541" s="514"/>
      <c r="I541" s="472"/>
      <c r="J541" s="254"/>
      <c r="K541" s="514" t="s">
        <v>711</v>
      </c>
      <c r="L541" s="514" t="s">
        <v>711</v>
      </c>
      <c r="M541" s="472" t="s">
        <v>711</v>
      </c>
      <c r="N541" s="254"/>
      <c r="O541" s="405" t="s">
        <v>1294</v>
      </c>
      <c r="P541" s="405" t="s">
        <v>1585</v>
      </c>
      <c r="Q541" s="472">
        <v>1.433923E7</v>
      </c>
      <c r="R541" s="254"/>
      <c r="S541" s="514" t="s">
        <v>711</v>
      </c>
      <c r="T541" s="514" t="s">
        <v>711</v>
      </c>
      <c r="U541" s="472" t="s">
        <v>711</v>
      </c>
      <c r="V541" s="254"/>
      <c r="W541" s="514" t="s">
        <v>711</v>
      </c>
      <c r="X541" s="514" t="s">
        <v>711</v>
      </c>
      <c r="Y541" s="472" t="s">
        <v>711</v>
      </c>
      <c r="Z541" s="254"/>
      <c r="AA541" s="514" t="s">
        <v>711</v>
      </c>
      <c r="AB541" s="514" t="s">
        <v>711</v>
      </c>
      <c r="AC541" s="472" t="s">
        <v>711</v>
      </c>
      <c r="AD541" s="407"/>
      <c r="AE541" s="409"/>
      <c r="AF541" s="410"/>
      <c r="AG541" s="410"/>
      <c r="AH541" s="410"/>
      <c r="AI541" s="410"/>
      <c r="AJ541" s="293"/>
      <c r="AK541" s="260"/>
      <c r="AL541" s="259" t="str">
        <f>MATCH(B541,'Key Findings'!B:B,0)</f>
        <v>#N/A</v>
      </c>
      <c r="AM541" s="260" t="b">
        <f t="shared" si="2"/>
        <v>0</v>
      </c>
      <c r="AN541" s="294"/>
    </row>
    <row r="542">
      <c r="A542" s="169">
        <f t="array" ref="A542">INDEX('Federal Tax, Stock Buybacks, &amp; '!D:D,match(B542,'Federal Tax, Stock Buybacks, &amp; '!E:E,0))</f>
        <v>149</v>
      </c>
      <c r="B542" s="529" t="s">
        <v>846</v>
      </c>
      <c r="C542" s="529"/>
      <c r="D542" s="530"/>
      <c r="E542" s="499"/>
      <c r="F542" s="254"/>
      <c r="G542" s="529"/>
      <c r="H542" s="530"/>
      <c r="I542" s="499"/>
      <c r="J542" s="254"/>
      <c r="K542" s="529" t="s">
        <v>845</v>
      </c>
      <c r="L542" s="530" t="s">
        <v>1815</v>
      </c>
      <c r="M542" s="499">
        <v>1.6157514E7</v>
      </c>
      <c r="N542" s="254"/>
      <c r="O542" s="529" t="s">
        <v>845</v>
      </c>
      <c r="P542" s="530" t="s">
        <v>1815</v>
      </c>
      <c r="Q542" s="499">
        <v>1.9166276E7</v>
      </c>
      <c r="R542" s="254"/>
      <c r="S542" s="529" t="s">
        <v>845</v>
      </c>
      <c r="T542" s="530" t="s">
        <v>1815</v>
      </c>
      <c r="U542" s="499">
        <v>1.6752753E7</v>
      </c>
      <c r="V542" s="254"/>
      <c r="W542" s="529" t="s">
        <v>845</v>
      </c>
      <c r="X542" s="530" t="s">
        <v>1815</v>
      </c>
      <c r="Y542" s="499">
        <v>1.8785026E7</v>
      </c>
      <c r="Z542" s="254"/>
      <c r="AA542" s="529" t="s">
        <v>845</v>
      </c>
      <c r="AB542" s="530" t="s">
        <v>1815</v>
      </c>
      <c r="AC542" s="488">
        <v>1.3437128E7</v>
      </c>
      <c r="AD542" s="306"/>
      <c r="AE542" s="366">
        <v>2022.0</v>
      </c>
      <c r="AF542" s="366">
        <v>2021.0</v>
      </c>
      <c r="AG542" s="366">
        <v>2020.0</v>
      </c>
      <c r="AH542" s="366">
        <v>2019.0</v>
      </c>
      <c r="AI542" s="366">
        <v>2018.0</v>
      </c>
      <c r="AJ542" s="367" t="s">
        <v>1524</v>
      </c>
      <c r="AK542" s="274"/>
      <c r="AL542" s="259" t="str">
        <f>MATCH(B542,'Key Findings'!B:B,0)</f>
        <v>#N/A</v>
      </c>
      <c r="AM542" s="274" t="b">
        <f t="shared" si="2"/>
        <v>1</v>
      </c>
      <c r="AN542" s="294"/>
    </row>
    <row r="543">
      <c r="A543" s="169">
        <f t="array" ref="A543">INDEX('Federal Tax, Stock Buybacks, &amp; '!D:D,match(B543,'Federal Tax, Stock Buybacks, &amp; '!E:E,0))</f>
        <v>149</v>
      </c>
      <c r="B543" s="529" t="s">
        <v>846</v>
      </c>
      <c r="C543" s="529"/>
      <c r="D543" s="530"/>
      <c r="E543" s="499"/>
      <c r="F543" s="254"/>
      <c r="G543" s="529"/>
      <c r="H543" s="530"/>
      <c r="I543" s="499"/>
      <c r="J543" s="254"/>
      <c r="K543" s="529" t="s">
        <v>847</v>
      </c>
      <c r="L543" s="530" t="s">
        <v>2140</v>
      </c>
      <c r="M543" s="499">
        <v>6828538.0</v>
      </c>
      <c r="N543" s="254"/>
      <c r="O543" s="529" t="s">
        <v>847</v>
      </c>
      <c r="P543" s="530" t="s">
        <v>2140</v>
      </c>
      <c r="Q543" s="499">
        <v>7159658.0</v>
      </c>
      <c r="R543" s="254"/>
      <c r="S543" s="529" t="s">
        <v>847</v>
      </c>
      <c r="T543" s="530" t="s">
        <v>2140</v>
      </c>
      <c r="U543" s="499">
        <v>6586328.0</v>
      </c>
      <c r="V543" s="254"/>
      <c r="W543" s="529" t="s">
        <v>847</v>
      </c>
      <c r="X543" s="530" t="s">
        <v>2140</v>
      </c>
      <c r="Y543" s="499">
        <v>6511517.0</v>
      </c>
      <c r="Z543" s="254"/>
      <c r="AA543" s="529" t="s">
        <v>847</v>
      </c>
      <c r="AB543" s="530" t="s">
        <v>2140</v>
      </c>
      <c r="AC543" s="488">
        <v>5136722.0</v>
      </c>
      <c r="AD543" s="306"/>
      <c r="AE543" s="308"/>
      <c r="AF543" s="308"/>
      <c r="AG543" s="308"/>
      <c r="AH543" s="308"/>
      <c r="AI543" s="308"/>
      <c r="AJ543" s="368"/>
      <c r="AK543" s="274"/>
      <c r="AL543" s="259" t="str">
        <f>MATCH(B543,'Key Findings'!B:B,0)</f>
        <v>#N/A</v>
      </c>
      <c r="AM543" s="274" t="b">
        <f t="shared" si="2"/>
        <v>1</v>
      </c>
      <c r="AN543" s="294"/>
    </row>
    <row r="544">
      <c r="A544" s="169">
        <f t="array" ref="A544">INDEX('Federal Tax, Stock Buybacks, &amp; '!D:D,match(B544,'Federal Tax, Stock Buybacks, &amp; '!E:E,0))</f>
        <v>149</v>
      </c>
      <c r="B544" s="529" t="s">
        <v>846</v>
      </c>
      <c r="C544" s="529"/>
      <c r="D544" s="530"/>
      <c r="E544" s="499"/>
      <c r="F544" s="254"/>
      <c r="G544" s="529"/>
      <c r="H544" s="530"/>
      <c r="I544" s="499"/>
      <c r="J544" s="254"/>
      <c r="K544" s="529" t="s">
        <v>848</v>
      </c>
      <c r="L544" s="530" t="s">
        <v>2141</v>
      </c>
      <c r="M544" s="499">
        <v>5526512.0</v>
      </c>
      <c r="N544" s="254"/>
      <c r="O544" s="529" t="s">
        <v>848</v>
      </c>
      <c r="P544" s="530" t="s">
        <v>2141</v>
      </c>
      <c r="Q544" s="499">
        <v>5328895.0</v>
      </c>
      <c r="R544" s="254"/>
      <c r="S544" s="529" t="s">
        <v>848</v>
      </c>
      <c r="T544" s="530" t="s">
        <v>2141</v>
      </c>
      <c r="U544" s="499">
        <v>4444704.0</v>
      </c>
      <c r="V544" s="254"/>
      <c r="W544" s="529" t="s">
        <v>848</v>
      </c>
      <c r="X544" s="530" t="s">
        <v>2141</v>
      </c>
      <c r="Y544" s="499">
        <v>4356227.0</v>
      </c>
      <c r="Z544" s="254"/>
      <c r="AA544" s="529" t="s">
        <v>848</v>
      </c>
      <c r="AB544" s="530" t="s">
        <v>2141</v>
      </c>
      <c r="AC544" s="488">
        <v>3779216.0</v>
      </c>
      <c r="AD544" s="306"/>
      <c r="AE544" s="308"/>
      <c r="AF544" s="308"/>
      <c r="AG544" s="308"/>
      <c r="AH544" s="308"/>
      <c r="AI544" s="308"/>
      <c r="AJ544" s="368"/>
      <c r="AK544" s="274"/>
      <c r="AL544" s="259" t="str">
        <f>MATCH(B544,'Key Findings'!B:B,0)</f>
        <v>#N/A</v>
      </c>
      <c r="AM544" s="274" t="b">
        <f t="shared" si="2"/>
        <v>1</v>
      </c>
      <c r="AN544" s="294"/>
    </row>
    <row r="545">
      <c r="A545" s="169">
        <f t="array" ref="A545">INDEX('Federal Tax, Stock Buybacks, &amp; '!D:D,match(B545,'Federal Tax, Stock Buybacks, &amp; '!E:E,0))</f>
        <v>149</v>
      </c>
      <c r="B545" s="529" t="s">
        <v>846</v>
      </c>
      <c r="C545" s="529"/>
      <c r="D545" s="531"/>
      <c r="E545" s="499"/>
      <c r="F545" s="254"/>
      <c r="G545" s="529"/>
      <c r="H545" s="531"/>
      <c r="I545" s="499"/>
      <c r="J545" s="254"/>
      <c r="K545" s="529" t="s">
        <v>849</v>
      </c>
      <c r="L545" s="531" t="s">
        <v>2142</v>
      </c>
      <c r="M545" s="499">
        <v>5593632.0</v>
      </c>
      <c r="N545" s="254"/>
      <c r="O545" s="529" t="s">
        <v>849</v>
      </c>
      <c r="P545" s="531" t="s">
        <v>2142</v>
      </c>
      <c r="Q545" s="532">
        <v>5385388.0</v>
      </c>
      <c r="R545" s="254"/>
      <c r="S545" s="529" t="s">
        <v>849</v>
      </c>
      <c r="T545" s="531" t="s">
        <v>2142</v>
      </c>
      <c r="U545" s="532">
        <v>3953959.0</v>
      </c>
      <c r="V545" s="254"/>
      <c r="W545" s="529" t="s">
        <v>849</v>
      </c>
      <c r="X545" s="531" t="s">
        <v>2142</v>
      </c>
      <c r="Y545" s="499">
        <v>3566755.0</v>
      </c>
      <c r="Z545" s="254"/>
      <c r="AA545" s="529" t="s">
        <v>849</v>
      </c>
      <c r="AB545" s="531" t="s">
        <v>2142</v>
      </c>
      <c r="AC545" s="488">
        <v>3524892.0</v>
      </c>
      <c r="AD545" s="306"/>
      <c r="AE545" s="308"/>
      <c r="AF545" s="308"/>
      <c r="AG545" s="308"/>
      <c r="AH545" s="308"/>
      <c r="AI545" s="308"/>
      <c r="AJ545" s="368"/>
      <c r="AK545" s="274"/>
      <c r="AL545" s="259" t="str">
        <f>MATCH(B545,'Key Findings'!B:B,0)</f>
        <v>#N/A</v>
      </c>
      <c r="AM545" s="274" t="b">
        <f t="shared" si="2"/>
        <v>1</v>
      </c>
      <c r="AN545" s="294"/>
    </row>
    <row r="546">
      <c r="A546" s="169">
        <f t="array" ref="A546">INDEX('Federal Tax, Stock Buybacks, &amp; '!D:D,match(B546,'Federal Tax, Stock Buybacks, &amp; '!E:E,0))</f>
        <v>149</v>
      </c>
      <c r="B546" s="529" t="s">
        <v>846</v>
      </c>
      <c r="C546" s="529"/>
      <c r="D546" s="530"/>
      <c r="E546" s="499"/>
      <c r="F546" s="254"/>
      <c r="G546" s="529"/>
      <c r="H546" s="530"/>
      <c r="I546" s="499"/>
      <c r="J546" s="254"/>
      <c r="K546" s="529" t="s">
        <v>850</v>
      </c>
      <c r="L546" s="530" t="s">
        <v>2143</v>
      </c>
      <c r="M546" s="499">
        <v>5489843.0</v>
      </c>
      <c r="N546" s="254"/>
      <c r="O546" s="529" t="s">
        <v>850</v>
      </c>
      <c r="P546" s="530" t="s">
        <v>2143</v>
      </c>
      <c r="Q546" s="499">
        <v>4980515.0</v>
      </c>
      <c r="R546" s="254"/>
      <c r="S546" s="529" t="s">
        <v>850</v>
      </c>
      <c r="T546" s="530" t="s">
        <v>2143</v>
      </c>
      <c r="U546" s="499">
        <v>4006885.0</v>
      </c>
      <c r="V546" s="254"/>
      <c r="W546" s="529" t="s">
        <v>850</v>
      </c>
      <c r="X546" s="530" t="s">
        <v>2143</v>
      </c>
      <c r="Y546" s="499">
        <v>3573802.0</v>
      </c>
      <c r="Z546" s="254"/>
      <c r="AA546" s="529" t="s">
        <v>852</v>
      </c>
      <c r="AB546" s="530" t="s">
        <v>2144</v>
      </c>
      <c r="AC546" s="488">
        <v>4089639.0</v>
      </c>
      <c r="AD546" s="306"/>
      <c r="AE546" s="308"/>
      <c r="AF546" s="308"/>
      <c r="AG546" s="308"/>
      <c r="AH546" s="308"/>
      <c r="AI546" s="308"/>
      <c r="AJ546" s="368"/>
      <c r="AK546" s="274"/>
      <c r="AL546" s="259" t="str">
        <f>MATCH(B546,'Key Findings'!B:B,0)</f>
        <v>#N/A</v>
      </c>
      <c r="AM546" s="274" t="b">
        <f t="shared" si="2"/>
        <v>1</v>
      </c>
      <c r="AN546" s="294"/>
    </row>
    <row r="547">
      <c r="A547" s="169">
        <f t="array" ref="A547">INDEX('Federal Tax, Stock Buybacks, &amp; '!D:D,match(B547,'Federal Tax, Stock Buybacks, &amp; '!E:E,0))</f>
        <v>149</v>
      </c>
      <c r="B547" s="529" t="s">
        <v>846</v>
      </c>
      <c r="C547" s="372"/>
      <c r="D547" s="370"/>
      <c r="E547" s="517"/>
      <c r="F547" s="254"/>
      <c r="G547" s="372"/>
      <c r="H547" s="370"/>
      <c r="I547" s="517"/>
      <c r="J547" s="254"/>
      <c r="K547" s="372" t="s">
        <v>711</v>
      </c>
      <c r="L547" s="370" t="s">
        <v>711</v>
      </c>
      <c r="M547" s="517" t="s">
        <v>711</v>
      </c>
      <c r="N547" s="254"/>
      <c r="O547" s="529" t="s">
        <v>851</v>
      </c>
      <c r="P547" s="530" t="s">
        <v>2145</v>
      </c>
      <c r="Q547" s="499">
        <v>5367494.0</v>
      </c>
      <c r="R547" s="254"/>
      <c r="S547" s="529" t="s">
        <v>851</v>
      </c>
      <c r="T547" s="530" t="s">
        <v>2145</v>
      </c>
      <c r="U547" s="499">
        <v>3731832.0</v>
      </c>
      <c r="V547" s="254"/>
      <c r="W547" s="529" t="s">
        <v>851</v>
      </c>
      <c r="X547" s="530" t="s">
        <v>2145</v>
      </c>
      <c r="Y547" s="499">
        <v>3633329.0</v>
      </c>
      <c r="Z547" s="254"/>
      <c r="AA547" s="529" t="s">
        <v>851</v>
      </c>
      <c r="AB547" s="530" t="s">
        <v>2145</v>
      </c>
      <c r="AC547" s="499">
        <v>3471351.0</v>
      </c>
      <c r="AD547" s="306"/>
      <c r="AE547" s="308"/>
      <c r="AF547" s="308"/>
      <c r="AG547" s="308"/>
      <c r="AH547" s="308"/>
      <c r="AI547" s="308"/>
      <c r="AJ547" s="368"/>
      <c r="AK547" s="274"/>
      <c r="AL547" s="259" t="str">
        <f>MATCH(B547,'Key Findings'!B:B,0)</f>
        <v>#N/A</v>
      </c>
      <c r="AM547" s="274" t="b">
        <f t="shared" si="2"/>
        <v>1</v>
      </c>
      <c r="AN547" s="294"/>
    </row>
    <row r="548">
      <c r="A548" s="169">
        <f t="array" ref="A548">INDEX('Federal Tax, Stock Buybacks, &amp; '!D:D,match(B548,'Federal Tax, Stock Buybacks, &amp; '!E:E,0))</f>
        <v>48</v>
      </c>
      <c r="B548" s="500" t="s">
        <v>781</v>
      </c>
      <c r="C548" s="405"/>
      <c r="D548" s="501"/>
      <c r="E548" s="472"/>
      <c r="F548" s="254"/>
      <c r="G548" s="405"/>
      <c r="H548" s="501"/>
      <c r="I548" s="472"/>
      <c r="J548" s="254"/>
      <c r="K548" s="405" t="s">
        <v>780</v>
      </c>
      <c r="L548" s="501" t="s">
        <v>2146</v>
      </c>
      <c r="M548" s="472">
        <v>1.4998299E7</v>
      </c>
      <c r="N548" s="254"/>
      <c r="O548" s="405" t="s">
        <v>784</v>
      </c>
      <c r="P548" s="495" t="s">
        <v>2147</v>
      </c>
      <c r="Q548" s="472">
        <v>1.6660864E7</v>
      </c>
      <c r="R548" s="254"/>
      <c r="S548" s="405" t="s">
        <v>784</v>
      </c>
      <c r="T548" s="495" t="s">
        <v>2147</v>
      </c>
      <c r="U548" s="472">
        <v>9115736.0</v>
      </c>
      <c r="V548" s="254"/>
      <c r="W548" s="405" t="s">
        <v>784</v>
      </c>
      <c r="X548" s="495" t="s">
        <v>2147</v>
      </c>
      <c r="Y548" s="472">
        <v>1.371988E7</v>
      </c>
      <c r="Z548" s="254"/>
      <c r="AA548" s="405" t="s">
        <v>780</v>
      </c>
      <c r="AB548" s="495" t="s">
        <v>1674</v>
      </c>
      <c r="AC548" s="472">
        <v>6.5645214E7</v>
      </c>
      <c r="AD548" s="407"/>
      <c r="AE548" s="408">
        <v>2022.0</v>
      </c>
      <c r="AF548" s="408">
        <v>2021.0</v>
      </c>
      <c r="AG548" s="408">
        <v>2020.0</v>
      </c>
      <c r="AH548" s="408">
        <v>2019.0</v>
      </c>
      <c r="AI548" s="408">
        <v>2018.0</v>
      </c>
      <c r="AJ548" s="450" t="s">
        <v>1524</v>
      </c>
      <c r="AK548" s="260"/>
      <c r="AL548" s="259" t="str">
        <f>MATCH(B548,'Key Findings'!B:B,0)</f>
        <v>#N/A</v>
      </c>
      <c r="AM548" s="260" t="b">
        <f t="shared" si="2"/>
        <v>0</v>
      </c>
      <c r="AN548" s="294"/>
    </row>
    <row r="549">
      <c r="A549" s="169">
        <f t="array" ref="A549">INDEX('Federal Tax, Stock Buybacks, &amp; '!D:D,match(B549,'Federal Tax, Stock Buybacks, &amp; '!E:E,0))</f>
        <v>48</v>
      </c>
      <c r="B549" s="500" t="s">
        <v>781</v>
      </c>
      <c r="C549" s="405"/>
      <c r="D549" s="501"/>
      <c r="E549" s="472"/>
      <c r="F549" s="254"/>
      <c r="G549" s="405"/>
      <c r="H549" s="501"/>
      <c r="I549" s="472"/>
      <c r="J549" s="254"/>
      <c r="K549" s="405" t="s">
        <v>782</v>
      </c>
      <c r="L549" s="501" t="s">
        <v>2148</v>
      </c>
      <c r="M549" s="472">
        <v>2.0235669E7</v>
      </c>
      <c r="N549" s="254"/>
      <c r="O549" s="405" t="s">
        <v>780</v>
      </c>
      <c r="P549" s="501" t="s">
        <v>2149</v>
      </c>
      <c r="Q549" s="472">
        <v>4.5899796E7</v>
      </c>
      <c r="R549" s="254"/>
      <c r="S549" s="405" t="s">
        <v>780</v>
      </c>
      <c r="T549" s="501" t="s">
        <v>2149</v>
      </c>
      <c r="U549" s="472">
        <v>2.1031389E7</v>
      </c>
      <c r="V549" s="254"/>
      <c r="W549" s="405" t="s">
        <v>780</v>
      </c>
      <c r="X549" s="501" t="s">
        <v>2149</v>
      </c>
      <c r="Y549" s="472">
        <v>4.7517762E7</v>
      </c>
      <c r="Z549" s="254"/>
      <c r="AA549" s="405" t="s">
        <v>784</v>
      </c>
      <c r="AB549" s="495" t="s">
        <v>2147</v>
      </c>
      <c r="AC549" s="472">
        <v>1.041953E7</v>
      </c>
      <c r="AD549" s="407"/>
      <c r="AE549" s="409"/>
      <c r="AF549" s="410"/>
      <c r="AG549" s="410"/>
      <c r="AH549" s="410"/>
      <c r="AI549" s="410"/>
      <c r="AJ549" s="450"/>
      <c r="AK549" s="260"/>
      <c r="AL549" s="259" t="str">
        <f>MATCH(B549,'Key Findings'!B:B,0)</f>
        <v>#N/A</v>
      </c>
      <c r="AM549" s="260" t="b">
        <f t="shared" si="2"/>
        <v>0</v>
      </c>
      <c r="AN549" s="294"/>
    </row>
    <row r="550">
      <c r="A550" s="169">
        <f t="array" ref="A550">INDEX('Federal Tax, Stock Buybacks, &amp; '!D:D,match(B550,'Federal Tax, Stock Buybacks, &amp; '!E:E,0))</f>
        <v>48</v>
      </c>
      <c r="B550" s="500" t="s">
        <v>781</v>
      </c>
      <c r="C550" s="405"/>
      <c r="D550" s="501"/>
      <c r="E550" s="472"/>
      <c r="F550" s="254"/>
      <c r="G550" s="405"/>
      <c r="H550" s="501"/>
      <c r="I550" s="472"/>
      <c r="J550" s="254"/>
      <c r="K550" s="405" t="s">
        <v>783</v>
      </c>
      <c r="L550" s="501" t="s">
        <v>1523</v>
      </c>
      <c r="M550" s="472">
        <v>2.4183003E7</v>
      </c>
      <c r="N550" s="254"/>
      <c r="O550" s="405" t="s">
        <v>786</v>
      </c>
      <c r="P550" s="495" t="s">
        <v>2150</v>
      </c>
      <c r="Q550" s="472">
        <v>7148410.0</v>
      </c>
      <c r="R550" s="254"/>
      <c r="S550" s="405" t="s">
        <v>786</v>
      </c>
      <c r="T550" s="495" t="s">
        <v>2150</v>
      </c>
      <c r="U550" s="472">
        <v>4945851.0</v>
      </c>
      <c r="V550" s="254"/>
      <c r="W550" s="405" t="s">
        <v>786</v>
      </c>
      <c r="X550" s="495" t="s">
        <v>2150</v>
      </c>
      <c r="Y550" s="472">
        <v>7562791.0</v>
      </c>
      <c r="Z550" s="254"/>
      <c r="AA550" s="405" t="s">
        <v>782</v>
      </c>
      <c r="AB550" s="495" t="s">
        <v>2148</v>
      </c>
      <c r="AC550" s="472">
        <v>1.183975E7</v>
      </c>
      <c r="AD550" s="407"/>
      <c r="AE550" s="409"/>
      <c r="AF550" s="410"/>
      <c r="AG550" s="410"/>
      <c r="AH550" s="410"/>
      <c r="AI550" s="410"/>
      <c r="AJ550" s="450"/>
      <c r="AK550" s="260"/>
      <c r="AL550" s="259" t="str">
        <f>MATCH(B550,'Key Findings'!B:B,0)</f>
        <v>#N/A</v>
      </c>
      <c r="AM550" s="260" t="b">
        <f t="shared" si="2"/>
        <v>0</v>
      </c>
      <c r="AN550" s="294"/>
    </row>
    <row r="551">
      <c r="A551" s="169">
        <f t="array" ref="A551">INDEX('Federal Tax, Stock Buybacks, &amp; '!D:D,match(B551,'Federal Tax, Stock Buybacks, &amp; '!E:E,0))</f>
        <v>48</v>
      </c>
      <c r="B551" s="500" t="s">
        <v>781</v>
      </c>
      <c r="C551" s="405"/>
      <c r="D551" s="494"/>
      <c r="E551" s="472"/>
      <c r="F551" s="254"/>
      <c r="G551" s="405"/>
      <c r="H551" s="494"/>
      <c r="I551" s="472"/>
      <c r="J551" s="254"/>
      <c r="K551" s="405" t="s">
        <v>790</v>
      </c>
      <c r="L551" s="494" t="s">
        <v>2150</v>
      </c>
      <c r="M551" s="472">
        <v>6232347.0</v>
      </c>
      <c r="N551" s="254"/>
      <c r="O551" s="405" t="s">
        <v>782</v>
      </c>
      <c r="P551" s="501" t="s">
        <v>2148</v>
      </c>
      <c r="Q551" s="472">
        <v>2.1729215E7</v>
      </c>
      <c r="R551" s="254"/>
      <c r="S551" s="405" t="s">
        <v>782</v>
      </c>
      <c r="T551" s="495" t="s">
        <v>2148</v>
      </c>
      <c r="U551" s="472">
        <v>1.0997005E7</v>
      </c>
      <c r="V551" s="254"/>
      <c r="W551" s="405" t="s">
        <v>782</v>
      </c>
      <c r="X551" s="495" t="s">
        <v>2148</v>
      </c>
      <c r="Y551" s="472">
        <v>1.4974155E7</v>
      </c>
      <c r="Z551" s="254"/>
      <c r="AA551" s="405" t="s">
        <v>785</v>
      </c>
      <c r="AB551" s="495" t="s">
        <v>2151</v>
      </c>
      <c r="AC551" s="472">
        <v>6808045.0</v>
      </c>
      <c r="AD551" s="407"/>
      <c r="AE551" s="409"/>
      <c r="AF551" s="410"/>
      <c r="AG551" s="410"/>
      <c r="AH551" s="410"/>
      <c r="AI551" s="410"/>
      <c r="AJ551" s="450"/>
      <c r="AK551" s="260"/>
      <c r="AL551" s="259" t="str">
        <f>MATCH(B551,'Key Findings'!B:B,0)</f>
        <v>#N/A</v>
      </c>
      <c r="AM551" s="260" t="b">
        <f t="shared" si="2"/>
        <v>0</v>
      </c>
      <c r="AN551" s="294"/>
    </row>
    <row r="552">
      <c r="A552" s="169">
        <f t="array" ref="A552">INDEX('Federal Tax, Stock Buybacks, &amp; '!D:D,match(B552,'Federal Tax, Stock Buybacks, &amp; '!E:E,0))</f>
        <v>48</v>
      </c>
      <c r="B552" s="500" t="s">
        <v>781</v>
      </c>
      <c r="C552" s="405"/>
      <c r="D552" s="494"/>
      <c r="E552" s="472"/>
      <c r="F552" s="254"/>
      <c r="G552" s="405"/>
      <c r="H552" s="494"/>
      <c r="I552" s="472"/>
      <c r="J552" s="254"/>
      <c r="K552" s="405" t="s">
        <v>791</v>
      </c>
      <c r="L552" s="494" t="s">
        <v>2151</v>
      </c>
      <c r="M552" s="472">
        <v>5505489.0</v>
      </c>
      <c r="N552" s="254"/>
      <c r="O552" s="405" t="s">
        <v>785</v>
      </c>
      <c r="P552" s="495" t="s">
        <v>2152</v>
      </c>
      <c r="Q552" s="472">
        <v>8726568.0</v>
      </c>
      <c r="R552" s="254"/>
      <c r="S552" s="405" t="s">
        <v>785</v>
      </c>
      <c r="T552" s="495" t="s">
        <v>2151</v>
      </c>
      <c r="U552" s="472">
        <v>7291914.0</v>
      </c>
      <c r="V552" s="254"/>
      <c r="W552" s="405" t="s">
        <v>785</v>
      </c>
      <c r="X552" s="495" t="s">
        <v>2151</v>
      </c>
      <c r="Y552" s="472">
        <v>9020862.0</v>
      </c>
      <c r="Z552" s="254"/>
      <c r="AA552" s="405" t="s">
        <v>786</v>
      </c>
      <c r="AB552" s="495" t="s">
        <v>2150</v>
      </c>
      <c r="AC552" s="472">
        <v>5100779.0</v>
      </c>
      <c r="AD552" s="407"/>
      <c r="AE552" s="409"/>
      <c r="AF552" s="410"/>
      <c r="AG552" s="410"/>
      <c r="AH552" s="410"/>
      <c r="AI552" s="410"/>
      <c r="AJ552" s="450"/>
      <c r="AK552" s="260"/>
      <c r="AL552" s="259" t="str">
        <f>MATCH(B552,'Key Findings'!B:B,0)</f>
        <v>#N/A</v>
      </c>
      <c r="AM552" s="260" t="b">
        <f t="shared" si="2"/>
        <v>0</v>
      </c>
      <c r="AN552" s="294"/>
    </row>
    <row r="553">
      <c r="A553" s="169">
        <f t="array" ref="A553">INDEX('Federal Tax, Stock Buybacks, &amp; '!D:D,match(B553,'Federal Tax, Stock Buybacks, &amp; '!E:E,0))</f>
        <v>48</v>
      </c>
      <c r="B553" s="500" t="s">
        <v>781</v>
      </c>
      <c r="C553" s="405"/>
      <c r="D553" s="494"/>
      <c r="E553" s="472"/>
      <c r="F553" s="254"/>
      <c r="G553" s="405"/>
      <c r="H553" s="494"/>
      <c r="I553" s="472"/>
      <c r="J553" s="254"/>
      <c r="K553" s="405" t="s">
        <v>789</v>
      </c>
      <c r="L553" s="494" t="s">
        <v>2153</v>
      </c>
      <c r="M553" s="472">
        <v>8365403.0</v>
      </c>
      <c r="N553" s="254"/>
      <c r="O553" s="405" t="s">
        <v>783</v>
      </c>
      <c r="P553" s="501" t="s">
        <v>1523</v>
      </c>
      <c r="Q553" s="472">
        <v>3.2464293E7</v>
      </c>
      <c r="R553" s="254"/>
      <c r="S553" s="405" t="s">
        <v>783</v>
      </c>
      <c r="T553" s="501" t="s">
        <v>1523</v>
      </c>
      <c r="U553" s="472">
        <v>1.4163936E7</v>
      </c>
      <c r="V553" s="254"/>
      <c r="W553" s="298" t="s">
        <v>711</v>
      </c>
      <c r="X553" s="496" t="s">
        <v>711</v>
      </c>
      <c r="Y553" s="471" t="s">
        <v>711</v>
      </c>
      <c r="Z553" s="254"/>
      <c r="AA553" s="405" t="s">
        <v>788</v>
      </c>
      <c r="AB553" s="495" t="s">
        <v>2154</v>
      </c>
      <c r="AC553" s="472">
        <v>1.1620376E7</v>
      </c>
      <c r="AD553" s="407"/>
      <c r="AE553" s="409"/>
      <c r="AF553" s="410"/>
      <c r="AG553" s="410"/>
      <c r="AH553" s="410"/>
      <c r="AI553" s="410"/>
      <c r="AJ553" s="450"/>
      <c r="AK553" s="260"/>
      <c r="AL553" s="259" t="str">
        <f>MATCH(B553,'Key Findings'!B:B,0)</f>
        <v>#N/A</v>
      </c>
      <c r="AM553" s="260" t="b">
        <f t="shared" si="2"/>
        <v>0</v>
      </c>
      <c r="AN553" s="294"/>
    </row>
    <row r="554">
      <c r="A554" s="169">
        <f t="array" ref="A554">INDEX('Federal Tax, Stock Buybacks, &amp; '!D:D,match(B554,'Federal Tax, Stock Buybacks, &amp; '!E:E,0))</f>
        <v>48</v>
      </c>
      <c r="B554" s="500" t="s">
        <v>781</v>
      </c>
      <c r="C554" s="405"/>
      <c r="D554" s="494"/>
      <c r="E554" s="472"/>
      <c r="F554" s="254"/>
      <c r="G554" s="405"/>
      <c r="H554" s="494"/>
      <c r="I554" s="472"/>
      <c r="J554" s="254"/>
      <c r="K554" s="405" t="s">
        <v>787</v>
      </c>
      <c r="L554" s="494" t="s">
        <v>2155</v>
      </c>
      <c r="M554" s="472">
        <v>1.5198008E7</v>
      </c>
      <c r="N554" s="254"/>
      <c r="O554" s="298" t="s">
        <v>711</v>
      </c>
      <c r="P554" s="496" t="s">
        <v>711</v>
      </c>
      <c r="Q554" s="471" t="s">
        <v>711</v>
      </c>
      <c r="R554" s="254"/>
      <c r="S554" s="298" t="s">
        <v>711</v>
      </c>
      <c r="T554" s="496" t="s">
        <v>711</v>
      </c>
      <c r="U554" s="471" t="s">
        <v>711</v>
      </c>
      <c r="V554" s="254"/>
      <c r="W554" s="298" t="s">
        <v>711</v>
      </c>
      <c r="X554" s="496" t="s">
        <v>711</v>
      </c>
      <c r="Y554" s="471" t="s">
        <v>711</v>
      </c>
      <c r="Z554" s="254"/>
      <c r="AA554" s="496" t="s">
        <v>711</v>
      </c>
      <c r="AB554" s="296" t="s">
        <v>711</v>
      </c>
      <c r="AC554" s="471" t="s">
        <v>711</v>
      </c>
      <c r="AD554" s="407"/>
      <c r="AE554" s="409"/>
      <c r="AF554" s="410"/>
      <c r="AG554" s="410"/>
      <c r="AH554" s="410"/>
      <c r="AI554" s="410"/>
      <c r="AJ554" s="450"/>
      <c r="AK554" s="260"/>
      <c r="AL554" s="259" t="str">
        <f>MATCH(B554,'Key Findings'!B:B,0)</f>
        <v>#N/A</v>
      </c>
      <c r="AM554" s="260" t="b">
        <f t="shared" si="2"/>
        <v>0</v>
      </c>
      <c r="AN554" s="294"/>
    </row>
    <row r="555">
      <c r="A555" s="169">
        <f t="array" ref="A555">INDEX('Federal Tax, Stock Buybacks, &amp; '!D:D,match(B555,'Federal Tax, Stock Buybacks, &amp; '!E:E,0))</f>
        <v>159</v>
      </c>
      <c r="B555" s="533" t="s">
        <v>835</v>
      </c>
      <c r="C555" s="534"/>
      <c r="D555" s="311"/>
      <c r="E555" s="535"/>
      <c r="F555" s="254"/>
      <c r="G555" s="534"/>
      <c r="H555" s="311"/>
      <c r="I555" s="535"/>
      <c r="J555" s="254"/>
      <c r="K555" s="534" t="s">
        <v>834</v>
      </c>
      <c r="L555" s="311" t="s">
        <v>2156</v>
      </c>
      <c r="M555" s="535">
        <v>1.4326072E7</v>
      </c>
      <c r="N555" s="254"/>
      <c r="O555" s="534" t="s">
        <v>834</v>
      </c>
      <c r="P555" s="311" t="s">
        <v>2156</v>
      </c>
      <c r="Q555" s="536">
        <v>1.4523819E7</v>
      </c>
      <c r="R555" s="254"/>
      <c r="S555" s="534" t="s">
        <v>834</v>
      </c>
      <c r="T555" s="311" t="s">
        <v>2156</v>
      </c>
      <c r="U555" s="537">
        <v>1.6632099E7</v>
      </c>
      <c r="V555" s="254"/>
      <c r="W555" s="534" t="s">
        <v>834</v>
      </c>
      <c r="X555" s="311" t="s">
        <v>2156</v>
      </c>
      <c r="Y555" s="499">
        <v>1.50184E7</v>
      </c>
      <c r="Z555" s="254"/>
      <c r="AA555" s="534" t="s">
        <v>834</v>
      </c>
      <c r="AB555" s="311" t="s">
        <v>2156</v>
      </c>
      <c r="AC555" s="537">
        <v>1.3886953E7</v>
      </c>
      <c r="AD555" s="306"/>
      <c r="AE555" s="366">
        <v>2022.0</v>
      </c>
      <c r="AF555" s="366">
        <v>2021.0</v>
      </c>
      <c r="AG555" s="366">
        <v>2020.0</v>
      </c>
      <c r="AH555" s="366">
        <v>2019.0</v>
      </c>
      <c r="AI555" s="366">
        <v>2018.0</v>
      </c>
      <c r="AJ555" s="367" t="s">
        <v>1524</v>
      </c>
      <c r="AK555" s="274"/>
      <c r="AL555" s="259" t="str">
        <f>MATCH(B555,'Key Findings'!B:B,0)</f>
        <v>#N/A</v>
      </c>
      <c r="AM555" s="274" t="b">
        <f t="shared" si="2"/>
        <v>1</v>
      </c>
      <c r="AN555" s="294"/>
    </row>
    <row r="556">
      <c r="A556" s="169">
        <f t="array" ref="A556">INDEX('Federal Tax, Stock Buybacks, &amp; '!D:D,match(B556,'Federal Tax, Stock Buybacks, &amp; '!E:E,0))</f>
        <v>159</v>
      </c>
      <c r="B556" s="538" t="s">
        <v>835</v>
      </c>
      <c r="C556" s="529"/>
      <c r="D556" s="530"/>
      <c r="E556" s="535"/>
      <c r="F556" s="254"/>
      <c r="G556" s="529"/>
      <c r="H556" s="530"/>
      <c r="I556" s="535"/>
      <c r="J556" s="254"/>
      <c r="K556" s="529" t="s">
        <v>836</v>
      </c>
      <c r="L556" s="530" t="s">
        <v>2157</v>
      </c>
      <c r="M556" s="535">
        <v>2656680.0</v>
      </c>
      <c r="N556" s="254"/>
      <c r="O556" s="529" t="s">
        <v>836</v>
      </c>
      <c r="P556" s="530" t="s">
        <v>2157</v>
      </c>
      <c r="Q556" s="536">
        <v>4357586.0</v>
      </c>
      <c r="R556" s="254"/>
      <c r="S556" s="529" t="s">
        <v>836</v>
      </c>
      <c r="T556" s="530" t="s">
        <v>2157</v>
      </c>
      <c r="U556" s="499">
        <v>3721805.0</v>
      </c>
      <c r="V556" s="254"/>
      <c r="W556" s="529" t="s">
        <v>836</v>
      </c>
      <c r="X556" s="530" t="s">
        <v>2157</v>
      </c>
      <c r="Y556" s="499">
        <v>4282251.0</v>
      </c>
      <c r="Z556" s="254"/>
      <c r="AA556" s="529" t="s">
        <v>836</v>
      </c>
      <c r="AB556" s="530" t="s">
        <v>2157</v>
      </c>
      <c r="AC556" s="488">
        <v>3219535.0</v>
      </c>
      <c r="AD556" s="306"/>
      <c r="AE556" s="308"/>
      <c r="AF556" s="308"/>
      <c r="AG556" s="308"/>
      <c r="AH556" s="308"/>
      <c r="AI556" s="308"/>
      <c r="AJ556" s="368"/>
      <c r="AK556" s="274"/>
      <c r="AL556" s="259" t="str">
        <f>MATCH(B556,'Key Findings'!B:B,0)</f>
        <v>#N/A</v>
      </c>
      <c r="AM556" s="274" t="b">
        <f t="shared" si="2"/>
        <v>1</v>
      </c>
      <c r="AN556" s="294"/>
    </row>
    <row r="557">
      <c r="A557" s="169">
        <f t="array" ref="A557">INDEX('Federal Tax, Stock Buybacks, &amp; '!D:D,match(B557,'Federal Tax, Stock Buybacks, &amp; '!E:E,0))</f>
        <v>159</v>
      </c>
      <c r="B557" s="533" t="s">
        <v>835</v>
      </c>
      <c r="C557" s="529"/>
      <c r="D557" s="530"/>
      <c r="E557" s="535"/>
      <c r="F557" s="254"/>
      <c r="G557" s="529"/>
      <c r="H557" s="530"/>
      <c r="I557" s="535"/>
      <c r="J557" s="254"/>
      <c r="K557" s="529" t="s">
        <v>837</v>
      </c>
      <c r="L557" s="530" t="s">
        <v>2158</v>
      </c>
      <c r="M557" s="535">
        <v>2333875.0</v>
      </c>
      <c r="N557" s="254"/>
      <c r="O557" s="529" t="s">
        <v>837</v>
      </c>
      <c r="P557" s="530" t="s">
        <v>2158</v>
      </c>
      <c r="Q557" s="536">
        <v>2911929.0</v>
      </c>
      <c r="R557" s="254"/>
      <c r="S557" s="529" t="s">
        <v>837</v>
      </c>
      <c r="T557" s="530" t="s">
        <v>2158</v>
      </c>
      <c r="U557" s="499">
        <v>4628168.0</v>
      </c>
      <c r="V557" s="254"/>
      <c r="W557" s="529" t="s">
        <v>837</v>
      </c>
      <c r="X557" s="530" t="s">
        <v>2158</v>
      </c>
      <c r="Y557" s="499">
        <v>2644862.0</v>
      </c>
      <c r="Z557" s="254"/>
      <c r="AA557" s="529" t="s">
        <v>837</v>
      </c>
      <c r="AB557" s="530" t="s">
        <v>2158</v>
      </c>
      <c r="AC557" s="488">
        <v>1472869.0</v>
      </c>
      <c r="AD557" s="306"/>
      <c r="AE557" s="308"/>
      <c r="AF557" s="308"/>
      <c r="AG557" s="308"/>
      <c r="AH557" s="308"/>
      <c r="AI557" s="308"/>
      <c r="AJ557" s="368"/>
      <c r="AK557" s="274"/>
      <c r="AL557" s="259" t="str">
        <f>MATCH(B557,'Key Findings'!B:B,0)</f>
        <v>#N/A</v>
      </c>
      <c r="AM557" s="274" t="b">
        <f t="shared" si="2"/>
        <v>1</v>
      </c>
      <c r="AN557" s="294"/>
    </row>
    <row r="558">
      <c r="A558" s="169">
        <f t="array" ref="A558">INDEX('Federal Tax, Stock Buybacks, &amp; '!D:D,match(B558,'Federal Tax, Stock Buybacks, &amp; '!E:E,0))</f>
        <v>159</v>
      </c>
      <c r="B558" s="538" t="s">
        <v>835</v>
      </c>
      <c r="C558" s="529"/>
      <c r="D558" s="530"/>
      <c r="E558" s="535"/>
      <c r="F558" s="254"/>
      <c r="G558" s="529"/>
      <c r="H558" s="530"/>
      <c r="I558" s="535"/>
      <c r="J558" s="254"/>
      <c r="K558" s="529" t="s">
        <v>839</v>
      </c>
      <c r="L558" s="530" t="s">
        <v>2159</v>
      </c>
      <c r="M558" s="535">
        <v>3457787.0</v>
      </c>
      <c r="N558" s="254"/>
      <c r="O558" s="529" t="s">
        <v>839</v>
      </c>
      <c r="P558" s="530" t="s">
        <v>2159</v>
      </c>
      <c r="Q558" s="536">
        <v>3040276.0</v>
      </c>
      <c r="R558" s="254"/>
      <c r="S558" s="529" t="s">
        <v>839</v>
      </c>
      <c r="T558" s="530" t="s">
        <v>2159</v>
      </c>
      <c r="U558" s="499">
        <v>3226639.0</v>
      </c>
      <c r="V558" s="254"/>
      <c r="W558" s="529" t="s">
        <v>839</v>
      </c>
      <c r="X558" s="530" t="s">
        <v>2159</v>
      </c>
      <c r="Y558" s="499">
        <v>1672409.0</v>
      </c>
      <c r="Z558" s="254"/>
      <c r="AA558" s="529" t="s">
        <v>839</v>
      </c>
      <c r="AB558" s="530" t="s">
        <v>2159</v>
      </c>
      <c r="AC558" s="488">
        <v>960655.0</v>
      </c>
      <c r="AD558" s="306"/>
      <c r="AE558" s="308"/>
      <c r="AF558" s="308"/>
      <c r="AG558" s="308"/>
      <c r="AH558" s="308"/>
      <c r="AI558" s="308"/>
      <c r="AJ558" s="368"/>
      <c r="AK558" s="274"/>
      <c r="AL558" s="259" t="str">
        <f>MATCH(B558,'Key Findings'!B:B,0)</f>
        <v>#N/A</v>
      </c>
      <c r="AM558" s="274" t="b">
        <f t="shared" si="2"/>
        <v>1</v>
      </c>
      <c r="AN558" s="294"/>
    </row>
    <row r="559">
      <c r="A559" s="169">
        <f t="array" ref="A559">INDEX('Federal Tax, Stock Buybacks, &amp; '!D:D,match(B559,'Federal Tax, Stock Buybacks, &amp; '!E:E,0))</f>
        <v>159</v>
      </c>
      <c r="B559" s="538" t="s">
        <v>835</v>
      </c>
      <c r="C559" s="529"/>
      <c r="D559" s="530"/>
      <c r="E559" s="535"/>
      <c r="F559" s="254"/>
      <c r="G559" s="529"/>
      <c r="H559" s="530"/>
      <c r="I559" s="535"/>
      <c r="J559" s="254"/>
      <c r="K559" s="529" t="s">
        <v>841</v>
      </c>
      <c r="L559" s="530" t="s">
        <v>2160</v>
      </c>
      <c r="M559" s="535">
        <v>2315201.0</v>
      </c>
      <c r="N559" s="254"/>
      <c r="O559" s="529" t="s">
        <v>841</v>
      </c>
      <c r="P559" s="530" t="s">
        <v>2160</v>
      </c>
      <c r="Q559" s="536">
        <v>2442610.0</v>
      </c>
      <c r="R559" s="254"/>
      <c r="S559" s="529" t="s">
        <v>841</v>
      </c>
      <c r="T559" s="530" t="s">
        <v>2160</v>
      </c>
      <c r="U559" s="499">
        <v>1512425.0</v>
      </c>
      <c r="V559" s="254"/>
      <c r="W559" s="529" t="s">
        <v>838</v>
      </c>
      <c r="X559" s="530" t="s">
        <v>2161</v>
      </c>
      <c r="Y559" s="499">
        <v>7618687.0</v>
      </c>
      <c r="Z559" s="254"/>
      <c r="AA559" s="529" t="s">
        <v>838</v>
      </c>
      <c r="AB559" s="530" t="s">
        <v>2161</v>
      </c>
      <c r="AC559" s="488">
        <v>5070410.0</v>
      </c>
      <c r="AD559" s="306"/>
      <c r="AE559" s="308"/>
      <c r="AF559" s="308"/>
      <c r="AG559" s="308"/>
      <c r="AH559" s="308"/>
      <c r="AI559" s="308"/>
      <c r="AJ559" s="368"/>
      <c r="AK559" s="274"/>
      <c r="AL559" s="259" t="str">
        <f>MATCH(B559,'Key Findings'!B:B,0)</f>
        <v>#N/A</v>
      </c>
      <c r="AM559" s="274" t="b">
        <f t="shared" si="2"/>
        <v>1</v>
      </c>
      <c r="AN559" s="294"/>
    </row>
    <row r="560">
      <c r="A560" s="169">
        <f t="array" ref="A560">INDEX('Federal Tax, Stock Buybacks, &amp; '!D:D,match(B560,'Federal Tax, Stock Buybacks, &amp; '!E:E,0))</f>
        <v>159</v>
      </c>
      <c r="B560" s="538" t="s">
        <v>835</v>
      </c>
      <c r="C560" s="372"/>
      <c r="D560" s="370"/>
      <c r="E560" s="517"/>
      <c r="F560" s="254"/>
      <c r="G560" s="372"/>
      <c r="H560" s="370"/>
      <c r="I560" s="517"/>
      <c r="J560" s="254"/>
      <c r="K560" s="372" t="s">
        <v>711</v>
      </c>
      <c r="L560" s="370" t="s">
        <v>711</v>
      </c>
      <c r="M560" s="517" t="s">
        <v>711</v>
      </c>
      <c r="N560" s="254"/>
      <c r="O560" s="372" t="s">
        <v>711</v>
      </c>
      <c r="P560" s="370" t="s">
        <v>711</v>
      </c>
      <c r="Q560" s="517" t="s">
        <v>711</v>
      </c>
      <c r="R560" s="254"/>
      <c r="S560" s="398" t="s">
        <v>840</v>
      </c>
      <c r="T560" s="369" t="s">
        <v>2162</v>
      </c>
      <c r="U560" s="499">
        <v>5614276.0</v>
      </c>
      <c r="V560" s="254"/>
      <c r="W560" s="398" t="s">
        <v>840</v>
      </c>
      <c r="X560" s="369" t="s">
        <v>2162</v>
      </c>
      <c r="Y560" s="499">
        <v>5801027.0</v>
      </c>
      <c r="Z560" s="254"/>
      <c r="AA560" s="398" t="s">
        <v>844</v>
      </c>
      <c r="AB560" s="302" t="s">
        <v>2163</v>
      </c>
      <c r="AC560" s="488">
        <v>2193282.0</v>
      </c>
      <c r="AD560" s="306"/>
      <c r="AE560" s="308"/>
      <c r="AF560" s="308"/>
      <c r="AG560" s="308"/>
      <c r="AH560" s="308"/>
      <c r="AI560" s="308"/>
      <c r="AJ560" s="368"/>
      <c r="AK560" s="274"/>
      <c r="AL560" s="259" t="str">
        <f>MATCH(B560,'Key Findings'!B:B,0)</f>
        <v>#N/A</v>
      </c>
      <c r="AM560" s="274" t="b">
        <f t="shared" si="2"/>
        <v>1</v>
      </c>
      <c r="AN560" s="294"/>
    </row>
    <row r="561">
      <c r="A561" s="169">
        <f t="array" ref="A561">INDEX('Federal Tax, Stock Buybacks, &amp; '!D:D,match(B561,'Federal Tax, Stock Buybacks, &amp; '!E:E,0))</f>
        <v>159</v>
      </c>
      <c r="B561" s="538" t="s">
        <v>835</v>
      </c>
      <c r="C561" s="372"/>
      <c r="D561" s="370"/>
      <c r="E561" s="517"/>
      <c r="F561" s="254"/>
      <c r="G561" s="372"/>
      <c r="H561" s="370"/>
      <c r="I561" s="517"/>
      <c r="J561" s="254"/>
      <c r="K561" s="372" t="s">
        <v>711</v>
      </c>
      <c r="L561" s="370" t="s">
        <v>711</v>
      </c>
      <c r="M561" s="517" t="s">
        <v>711</v>
      </c>
      <c r="N561" s="254"/>
      <c r="O561" s="372" t="s">
        <v>711</v>
      </c>
      <c r="P561" s="370" t="s">
        <v>711</v>
      </c>
      <c r="Q561" s="517" t="s">
        <v>711</v>
      </c>
      <c r="R561" s="254"/>
      <c r="S561" s="372" t="s">
        <v>711</v>
      </c>
      <c r="T561" s="370" t="s">
        <v>711</v>
      </c>
      <c r="U561" s="517" t="s">
        <v>711</v>
      </c>
      <c r="V561" s="254"/>
      <c r="W561" s="398" t="s">
        <v>842</v>
      </c>
      <c r="X561" s="369" t="s">
        <v>2164</v>
      </c>
      <c r="Y561" s="499">
        <v>2315257.0</v>
      </c>
      <c r="Z561" s="254"/>
      <c r="AA561" s="398" t="s">
        <v>842</v>
      </c>
      <c r="AB561" s="369" t="s">
        <v>2164</v>
      </c>
      <c r="AC561" s="488">
        <v>2617921.0</v>
      </c>
      <c r="AD561" s="306"/>
      <c r="AE561" s="308"/>
      <c r="AF561" s="308"/>
      <c r="AG561" s="308"/>
      <c r="AH561" s="308"/>
      <c r="AI561" s="308"/>
      <c r="AJ561" s="368"/>
      <c r="AK561" s="274"/>
      <c r="AL561" s="259" t="str">
        <f>MATCH(B561,'Key Findings'!B:B,0)</f>
        <v>#N/A</v>
      </c>
      <c r="AM561" s="274" t="b">
        <f t="shared" si="2"/>
        <v>1</v>
      </c>
      <c r="AN561" s="294"/>
    </row>
    <row r="562">
      <c r="A562" s="169">
        <f t="array" ref="A562">INDEX('Federal Tax, Stock Buybacks, &amp; '!D:D,match(B562,'Federal Tax, Stock Buybacks, &amp; '!E:E,0))</f>
        <v>159</v>
      </c>
      <c r="B562" s="538" t="s">
        <v>835</v>
      </c>
      <c r="C562" s="372"/>
      <c r="D562" s="370"/>
      <c r="E562" s="517"/>
      <c r="F562" s="254"/>
      <c r="G562" s="372"/>
      <c r="H562" s="370"/>
      <c r="I562" s="517"/>
      <c r="J562" s="254"/>
      <c r="K562" s="372" t="s">
        <v>711</v>
      </c>
      <c r="L562" s="370" t="s">
        <v>711</v>
      </c>
      <c r="M562" s="517" t="s">
        <v>711</v>
      </c>
      <c r="N562" s="254"/>
      <c r="O562" s="372" t="s">
        <v>711</v>
      </c>
      <c r="P562" s="370" t="s">
        <v>711</v>
      </c>
      <c r="Q562" s="517" t="s">
        <v>711</v>
      </c>
      <c r="R562" s="254"/>
      <c r="S562" s="372" t="s">
        <v>711</v>
      </c>
      <c r="T562" s="370" t="s">
        <v>711</v>
      </c>
      <c r="U562" s="517" t="s">
        <v>711</v>
      </c>
      <c r="V562" s="254"/>
      <c r="W562" s="372" t="s">
        <v>711</v>
      </c>
      <c r="X562" s="370" t="s">
        <v>711</v>
      </c>
      <c r="Y562" s="517" t="s">
        <v>711</v>
      </c>
      <c r="Z562" s="254"/>
      <c r="AA562" s="398" t="s">
        <v>843</v>
      </c>
      <c r="AB562" s="302" t="s">
        <v>2165</v>
      </c>
      <c r="AC562" s="488">
        <v>3084613.0</v>
      </c>
      <c r="AD562" s="306"/>
      <c r="AE562" s="308"/>
      <c r="AF562" s="308"/>
      <c r="AG562" s="308"/>
      <c r="AH562" s="308"/>
      <c r="AI562" s="308"/>
      <c r="AJ562" s="368"/>
      <c r="AK562" s="274"/>
      <c r="AL562" s="259" t="str">
        <f>MATCH(B562,'Key Findings'!B:B,0)</f>
        <v>#N/A</v>
      </c>
      <c r="AM562" s="274" t="b">
        <f t="shared" si="2"/>
        <v>1</v>
      </c>
      <c r="AN562" s="294"/>
    </row>
    <row r="563">
      <c r="A563" s="169">
        <f t="array" ref="A563">INDEX('Federal Tax, Stock Buybacks, &amp; '!D:D,match(B563,'Federal Tax, Stock Buybacks, &amp; '!E:E,0))</f>
        <v>106</v>
      </c>
      <c r="B563" s="386" t="s">
        <v>1392</v>
      </c>
      <c r="C563" s="316"/>
      <c r="D563" s="317"/>
      <c r="E563" s="539"/>
      <c r="F563" s="254"/>
      <c r="G563" s="316"/>
      <c r="H563" s="317"/>
      <c r="I563" s="539"/>
      <c r="J563" s="254"/>
      <c r="K563" s="316" t="s">
        <v>1391</v>
      </c>
      <c r="L563" s="317" t="s">
        <v>1664</v>
      </c>
      <c r="M563" s="539">
        <v>2.7605311E7</v>
      </c>
      <c r="N563" s="254"/>
      <c r="O563" s="316" t="s">
        <v>1391</v>
      </c>
      <c r="P563" s="317" t="s">
        <v>1664</v>
      </c>
      <c r="Q563" s="540">
        <v>2.0457553E7</v>
      </c>
      <c r="R563" s="254"/>
      <c r="S563" s="316" t="s">
        <v>1391</v>
      </c>
      <c r="T563" s="295" t="s">
        <v>2166</v>
      </c>
      <c r="U563" s="471">
        <v>2.0119971E7</v>
      </c>
      <c r="V563" s="254"/>
      <c r="W563" s="316" t="s">
        <v>1391</v>
      </c>
      <c r="X563" s="295" t="s">
        <v>1665</v>
      </c>
      <c r="Y563" s="471">
        <v>7705792.0</v>
      </c>
      <c r="Z563" s="254"/>
      <c r="AA563" s="316" t="s">
        <v>1391</v>
      </c>
      <c r="AB563" s="295" t="s">
        <v>1665</v>
      </c>
      <c r="AC563" s="472">
        <v>1.7333796E7</v>
      </c>
      <c r="AD563" s="288"/>
      <c r="AE563" s="289">
        <v>2022.0</v>
      </c>
      <c r="AF563" s="289">
        <v>2021.0</v>
      </c>
      <c r="AG563" s="289">
        <v>2020.0</v>
      </c>
      <c r="AH563" s="289">
        <v>2019.0</v>
      </c>
      <c r="AI563" s="289">
        <v>2018.0</v>
      </c>
      <c r="AJ563" s="320" t="s">
        <v>1524</v>
      </c>
      <c r="AK563" s="260"/>
      <c r="AL563" s="259" t="str">
        <f>MATCH(B563,'Key Findings'!B:B,0)</f>
        <v>#N/A</v>
      </c>
      <c r="AM563" s="260" t="b">
        <f t="shared" si="2"/>
        <v>0</v>
      </c>
      <c r="AN563" s="294"/>
    </row>
    <row r="564">
      <c r="A564" s="169">
        <f t="array" ref="A564">INDEX('Federal Tax, Stock Buybacks, &amp; '!D:D,match(B564,'Federal Tax, Stock Buybacks, &amp; '!E:E,0))</f>
        <v>106</v>
      </c>
      <c r="B564" s="386" t="s">
        <v>1392</v>
      </c>
      <c r="C564" s="316"/>
      <c r="D564" s="286"/>
      <c r="E564" s="539"/>
      <c r="F564" s="254"/>
      <c r="G564" s="316"/>
      <c r="H564" s="286"/>
      <c r="I564" s="539"/>
      <c r="J564" s="254"/>
      <c r="K564" s="316" t="s">
        <v>1393</v>
      </c>
      <c r="L564" s="286" t="s">
        <v>2167</v>
      </c>
      <c r="M564" s="539">
        <v>6966027.0</v>
      </c>
      <c r="N564" s="254"/>
      <c r="O564" s="316" t="s">
        <v>1393</v>
      </c>
      <c r="P564" s="317" t="s">
        <v>2167</v>
      </c>
      <c r="Q564" s="541">
        <v>7028711.0</v>
      </c>
      <c r="R564" s="254"/>
      <c r="S564" s="316" t="s">
        <v>1393</v>
      </c>
      <c r="T564" s="295" t="s">
        <v>2167</v>
      </c>
      <c r="U564" s="471">
        <v>5607317.0</v>
      </c>
      <c r="V564" s="254"/>
      <c r="W564" s="316" t="s">
        <v>1393</v>
      </c>
      <c r="X564" s="295" t="s">
        <v>2167</v>
      </c>
      <c r="Y564" s="471">
        <v>6019588.0</v>
      </c>
      <c r="Z564" s="254"/>
      <c r="AA564" s="316" t="s">
        <v>1399</v>
      </c>
      <c r="AB564" s="334" t="s">
        <v>2168</v>
      </c>
      <c r="AC564" s="472">
        <v>6318140.0</v>
      </c>
      <c r="AD564" s="288"/>
      <c r="AE564" s="292"/>
      <c r="AF564" s="292"/>
      <c r="AG564" s="292"/>
      <c r="AH564" s="292"/>
      <c r="AI564" s="292"/>
      <c r="AJ564" s="394"/>
      <c r="AK564" s="260"/>
      <c r="AL564" s="259" t="str">
        <f>MATCH(B564,'Key Findings'!B:B,0)</f>
        <v>#N/A</v>
      </c>
      <c r="AM564" s="260" t="b">
        <f t="shared" si="2"/>
        <v>0</v>
      </c>
      <c r="AN564" s="294"/>
    </row>
    <row r="565">
      <c r="A565" s="169">
        <f t="array" ref="A565">INDEX('Federal Tax, Stock Buybacks, &amp; '!D:D,match(B565,'Federal Tax, Stock Buybacks, &amp; '!E:E,0))</f>
        <v>106</v>
      </c>
      <c r="B565" s="386" t="s">
        <v>1392</v>
      </c>
      <c r="C565" s="316"/>
      <c r="D565" s="286"/>
      <c r="E565" s="539"/>
      <c r="F565" s="254"/>
      <c r="G565" s="316"/>
      <c r="H565" s="286"/>
      <c r="I565" s="539"/>
      <c r="J565" s="254"/>
      <c r="K565" s="316" t="s">
        <v>1394</v>
      </c>
      <c r="L565" s="286" t="s">
        <v>2169</v>
      </c>
      <c r="M565" s="539">
        <v>7335463.0</v>
      </c>
      <c r="N565" s="254"/>
      <c r="O565" s="316" t="s">
        <v>1394</v>
      </c>
      <c r="P565" s="317" t="s">
        <v>2169</v>
      </c>
      <c r="Q565" s="541">
        <v>6601292.0</v>
      </c>
      <c r="R565" s="254"/>
      <c r="S565" s="316" t="s">
        <v>1394</v>
      </c>
      <c r="T565" s="295" t="s">
        <v>2169</v>
      </c>
      <c r="U565" s="471">
        <v>5251717.0</v>
      </c>
      <c r="V565" s="254"/>
      <c r="W565" s="316" t="s">
        <v>1394</v>
      </c>
      <c r="X565" s="295" t="s">
        <v>2170</v>
      </c>
      <c r="Y565" s="471">
        <v>5794024.0</v>
      </c>
      <c r="Z565" s="254"/>
      <c r="AA565" s="316" t="s">
        <v>1393</v>
      </c>
      <c r="AB565" s="295" t="s">
        <v>2167</v>
      </c>
      <c r="AC565" s="472">
        <v>6246864.0</v>
      </c>
      <c r="AD565" s="288"/>
      <c r="AE565" s="292"/>
      <c r="AF565" s="292"/>
      <c r="AG565" s="292"/>
      <c r="AH565" s="292"/>
      <c r="AI565" s="292"/>
      <c r="AJ565" s="394"/>
      <c r="AK565" s="260"/>
      <c r="AL565" s="259" t="str">
        <f>MATCH(B565,'Key Findings'!B:B,0)</f>
        <v>#N/A</v>
      </c>
      <c r="AM565" s="260" t="b">
        <f t="shared" si="2"/>
        <v>0</v>
      </c>
      <c r="AN565" s="294"/>
    </row>
    <row r="566">
      <c r="A566" s="169">
        <f t="array" ref="A566">INDEX('Federal Tax, Stock Buybacks, &amp; '!D:D,match(B566,'Federal Tax, Stock Buybacks, &amp; '!E:E,0))</f>
        <v>106</v>
      </c>
      <c r="B566" s="386" t="s">
        <v>1392</v>
      </c>
      <c r="C566" s="316"/>
      <c r="D566" s="286"/>
      <c r="E566" s="539"/>
      <c r="F566" s="254"/>
      <c r="G566" s="316"/>
      <c r="H566" s="286"/>
      <c r="I566" s="539"/>
      <c r="J566" s="254"/>
      <c r="K566" s="316" t="s">
        <v>1398</v>
      </c>
      <c r="L566" s="286" t="s">
        <v>1532</v>
      </c>
      <c r="M566" s="539">
        <v>5262486.0</v>
      </c>
      <c r="N566" s="254"/>
      <c r="O566" s="316" t="s">
        <v>1396</v>
      </c>
      <c r="P566" s="317" t="s">
        <v>1528</v>
      </c>
      <c r="Q566" s="541">
        <v>3228006.0</v>
      </c>
      <c r="R566" s="254"/>
      <c r="S566" s="316" t="s">
        <v>1396</v>
      </c>
      <c r="T566" s="295" t="s">
        <v>1532</v>
      </c>
      <c r="U566" s="471">
        <v>5705900.0</v>
      </c>
      <c r="V566" s="254"/>
      <c r="W566" s="316" t="s">
        <v>1396</v>
      </c>
      <c r="X566" s="295" t="s">
        <v>1532</v>
      </c>
      <c r="Y566" s="471">
        <v>5521671.0</v>
      </c>
      <c r="Z566" s="254"/>
      <c r="AA566" s="316" t="s">
        <v>1394</v>
      </c>
      <c r="AB566" s="295" t="s">
        <v>2170</v>
      </c>
      <c r="AC566" s="472">
        <v>6086124.0</v>
      </c>
      <c r="AD566" s="288"/>
      <c r="AE566" s="292"/>
      <c r="AF566" s="292"/>
      <c r="AG566" s="292"/>
      <c r="AH566" s="292"/>
      <c r="AI566" s="292"/>
      <c r="AJ566" s="394"/>
      <c r="AK566" s="260"/>
      <c r="AL566" s="259" t="str">
        <f>MATCH(B566,'Key Findings'!B:B,0)</f>
        <v>#N/A</v>
      </c>
      <c r="AM566" s="260" t="b">
        <f t="shared" si="2"/>
        <v>0</v>
      </c>
      <c r="AN566" s="294"/>
    </row>
    <row r="567">
      <c r="A567" s="169">
        <f t="array" ref="A567">INDEX('Federal Tax, Stock Buybacks, &amp; '!D:D,match(B567,'Federal Tax, Stock Buybacks, &amp; '!E:E,0))</f>
        <v>106</v>
      </c>
      <c r="B567" s="386" t="s">
        <v>1392</v>
      </c>
      <c r="C567" s="316"/>
      <c r="D567" s="286"/>
      <c r="E567" s="539"/>
      <c r="F567" s="254"/>
      <c r="G567" s="316"/>
      <c r="H567" s="286"/>
      <c r="I567" s="539"/>
      <c r="J567" s="254"/>
      <c r="K567" s="316" t="s">
        <v>1395</v>
      </c>
      <c r="L567" s="286" t="s">
        <v>2171</v>
      </c>
      <c r="M567" s="539">
        <v>2.5933232E7</v>
      </c>
      <c r="N567" s="254"/>
      <c r="O567" s="316" t="s">
        <v>1397</v>
      </c>
      <c r="P567" s="317" t="s">
        <v>2172</v>
      </c>
      <c r="Q567" s="540">
        <v>6798255.0</v>
      </c>
      <c r="R567" s="254"/>
      <c r="S567" s="316" t="s">
        <v>1397</v>
      </c>
      <c r="T567" s="295" t="s">
        <v>2172</v>
      </c>
      <c r="U567" s="471">
        <v>5748873.0</v>
      </c>
      <c r="V567" s="254"/>
      <c r="W567" s="316" t="s">
        <v>1397</v>
      </c>
      <c r="X567" s="295" t="s">
        <v>2173</v>
      </c>
      <c r="Y567" s="471">
        <v>5618232.0</v>
      </c>
      <c r="Z567" s="254"/>
      <c r="AA567" s="316" t="s">
        <v>1396</v>
      </c>
      <c r="AB567" s="334" t="s">
        <v>1532</v>
      </c>
      <c r="AC567" s="472">
        <v>5682378.0</v>
      </c>
      <c r="AD567" s="288"/>
      <c r="AE567" s="292"/>
      <c r="AF567" s="292"/>
      <c r="AG567" s="292"/>
      <c r="AH567" s="292"/>
      <c r="AI567" s="292"/>
      <c r="AJ567" s="394"/>
      <c r="AK567" s="260"/>
      <c r="AL567" s="259" t="str">
        <f>MATCH(B567,'Key Findings'!B:B,0)</f>
        <v>#N/A</v>
      </c>
      <c r="AM567" s="260" t="b">
        <f t="shared" si="2"/>
        <v>0</v>
      </c>
      <c r="AN567" s="294"/>
    </row>
    <row r="568">
      <c r="A568" s="169">
        <f t="array" ref="A568">INDEX('Federal Tax, Stock Buybacks, &amp; '!D:D,match(B568,'Federal Tax, Stock Buybacks, &amp; '!E:E,0))</f>
        <v>106</v>
      </c>
      <c r="B568" s="386" t="s">
        <v>1392</v>
      </c>
      <c r="C568" s="298"/>
      <c r="D568" s="296"/>
      <c r="E568" s="523"/>
      <c r="F568" s="254"/>
      <c r="G568" s="298"/>
      <c r="H568" s="296"/>
      <c r="I568" s="523"/>
      <c r="J568" s="254"/>
      <c r="K568" s="298" t="s">
        <v>711</v>
      </c>
      <c r="L568" s="296" t="s">
        <v>711</v>
      </c>
      <c r="M568" s="523" t="s">
        <v>711</v>
      </c>
      <c r="N568" s="254"/>
      <c r="O568" s="316" t="s">
        <v>1398</v>
      </c>
      <c r="P568" s="317" t="s">
        <v>1532</v>
      </c>
      <c r="Q568" s="540">
        <v>3366299.0</v>
      </c>
      <c r="R568" s="254"/>
      <c r="S568" s="298" t="s">
        <v>711</v>
      </c>
      <c r="T568" s="296" t="s">
        <v>711</v>
      </c>
      <c r="U568" s="523" t="s">
        <v>711</v>
      </c>
      <c r="V568" s="254"/>
      <c r="W568" s="298" t="s">
        <v>711</v>
      </c>
      <c r="X568" s="296" t="s">
        <v>711</v>
      </c>
      <c r="Y568" s="523" t="s">
        <v>711</v>
      </c>
      <c r="Z568" s="254"/>
      <c r="AA568" s="298" t="s">
        <v>711</v>
      </c>
      <c r="AB568" s="296" t="s">
        <v>711</v>
      </c>
      <c r="AC568" s="523" t="s">
        <v>711</v>
      </c>
      <c r="AD568" s="288"/>
      <c r="AE568" s="292"/>
      <c r="AF568" s="292"/>
      <c r="AG568" s="292"/>
      <c r="AH568" s="292"/>
      <c r="AI568" s="292"/>
      <c r="AJ568" s="394"/>
      <c r="AK568" s="260"/>
      <c r="AL568" s="259" t="str">
        <f>MATCH(B568,'Key Findings'!B:B,0)</f>
        <v>#N/A</v>
      </c>
      <c r="AM568" s="260" t="b">
        <f t="shared" si="2"/>
        <v>0</v>
      </c>
      <c r="AN568" s="294"/>
    </row>
    <row r="569">
      <c r="A569" s="169">
        <f t="array" ref="A569">INDEX('Federal Tax, Stock Buybacks, &amp; '!D:D,match(B569,'Federal Tax, Stock Buybacks, &amp; '!E:E,0))</f>
        <v>39</v>
      </c>
      <c r="B569" s="418" t="s">
        <v>1071</v>
      </c>
      <c r="C569" s="301"/>
      <c r="D569" s="421"/>
      <c r="E569" s="488"/>
      <c r="F569" s="254"/>
      <c r="G569" s="301"/>
      <c r="H569" s="421"/>
      <c r="I569" s="488"/>
      <c r="J569" s="254"/>
      <c r="K569" s="301" t="s">
        <v>1070</v>
      </c>
      <c r="L569" s="421" t="s">
        <v>1815</v>
      </c>
      <c r="M569" s="488">
        <v>1.7472005E7</v>
      </c>
      <c r="N569" s="254"/>
      <c r="O569" s="301" t="s">
        <v>1070</v>
      </c>
      <c r="P569" s="503" t="s">
        <v>1815</v>
      </c>
      <c r="Q569" s="488">
        <v>1.7871715E7</v>
      </c>
      <c r="R569" s="254"/>
      <c r="S569" s="301" t="s">
        <v>1070</v>
      </c>
      <c r="T569" s="503" t="s">
        <v>1815</v>
      </c>
      <c r="U569" s="488">
        <v>2.3075881E7</v>
      </c>
      <c r="V569" s="254"/>
      <c r="W569" s="301" t="s">
        <v>1070</v>
      </c>
      <c r="X569" s="503" t="s">
        <v>1815</v>
      </c>
      <c r="Y569" s="488">
        <v>1.1621369E7</v>
      </c>
      <c r="Z569" s="254"/>
      <c r="AA569" s="301" t="s">
        <v>1075</v>
      </c>
      <c r="AB569" s="503" t="s">
        <v>2174</v>
      </c>
      <c r="AC569" s="488">
        <v>1.0538492E7</v>
      </c>
      <c r="AD569" s="343"/>
      <c r="AE569" s="379">
        <v>2022.0</v>
      </c>
      <c r="AF569" s="379">
        <v>2021.0</v>
      </c>
      <c r="AG569" s="379">
        <v>2020.0</v>
      </c>
      <c r="AH569" s="379">
        <v>2019.0</v>
      </c>
      <c r="AI569" s="379">
        <v>2018.0</v>
      </c>
      <c r="AJ569" s="367" t="s">
        <v>1524</v>
      </c>
      <c r="AK569" s="274"/>
      <c r="AL569" s="259" t="str">
        <f>MATCH(B569,'Key Findings'!B:B,0)</f>
        <v>#N/A</v>
      </c>
      <c r="AM569" s="274" t="b">
        <f t="shared" si="2"/>
        <v>1</v>
      </c>
      <c r="AN569" s="294"/>
    </row>
    <row r="570">
      <c r="A570" s="169">
        <f t="array" ref="A570">INDEX('Federal Tax, Stock Buybacks, &amp; '!D:D,match(B570,'Federal Tax, Stock Buybacks, &amp; '!E:E,0))</f>
        <v>39</v>
      </c>
      <c r="B570" s="418" t="s">
        <v>1071</v>
      </c>
      <c r="C570" s="301"/>
      <c r="D570" s="421"/>
      <c r="E570" s="488"/>
      <c r="F570" s="254"/>
      <c r="G570" s="301"/>
      <c r="H570" s="421"/>
      <c r="I570" s="488"/>
      <c r="J570" s="254"/>
      <c r="K570" s="301" t="s">
        <v>1074</v>
      </c>
      <c r="L570" s="421" t="s">
        <v>2175</v>
      </c>
      <c r="M570" s="488">
        <v>5166033.0</v>
      </c>
      <c r="N570" s="254"/>
      <c r="O570" s="301" t="s">
        <v>1074</v>
      </c>
      <c r="P570" s="503" t="s">
        <v>2176</v>
      </c>
      <c r="Q570" s="488">
        <v>4708975.0</v>
      </c>
      <c r="R570" s="254"/>
      <c r="S570" s="301" t="s">
        <v>753</v>
      </c>
      <c r="T570" s="419" t="s">
        <v>1881</v>
      </c>
      <c r="U570" s="488">
        <v>1.0812068E7</v>
      </c>
      <c r="V570" s="254"/>
      <c r="W570" s="301" t="s">
        <v>1074</v>
      </c>
      <c r="X570" s="419" t="s">
        <v>2177</v>
      </c>
      <c r="Y570" s="488">
        <v>4013122.0</v>
      </c>
      <c r="Z570" s="254"/>
      <c r="AA570" s="301" t="s">
        <v>1081</v>
      </c>
      <c r="AB570" s="503" t="s">
        <v>1864</v>
      </c>
      <c r="AC570" s="488">
        <v>2830814.0</v>
      </c>
      <c r="AD570" s="343"/>
      <c r="AE570" s="347"/>
      <c r="AF570" s="313"/>
      <c r="AG570" s="313"/>
      <c r="AH570" s="313"/>
      <c r="AI570" s="313"/>
      <c r="AJ570" s="542"/>
      <c r="AK570" s="274"/>
      <c r="AL570" s="259" t="str">
        <f>MATCH(B570,'Key Findings'!B:B,0)</f>
        <v>#N/A</v>
      </c>
      <c r="AM570" s="274" t="b">
        <f t="shared" si="2"/>
        <v>1</v>
      </c>
      <c r="AN570" s="294"/>
    </row>
    <row r="571">
      <c r="A571" s="169">
        <f t="array" ref="A571">INDEX('Federal Tax, Stock Buybacks, &amp; '!D:D,match(B571,'Federal Tax, Stock Buybacks, &amp; '!E:E,0))</f>
        <v>39</v>
      </c>
      <c r="B571" s="418" t="s">
        <v>1071</v>
      </c>
      <c r="C571" s="301"/>
      <c r="D571" s="419"/>
      <c r="E571" s="488"/>
      <c r="F571" s="254"/>
      <c r="G571" s="301"/>
      <c r="H571" s="419"/>
      <c r="I571" s="488"/>
      <c r="J571" s="254"/>
      <c r="K571" s="301" t="s">
        <v>753</v>
      </c>
      <c r="L571" s="419" t="s">
        <v>2178</v>
      </c>
      <c r="M571" s="488">
        <v>4553902.0</v>
      </c>
      <c r="N571" s="254"/>
      <c r="O571" s="301" t="s">
        <v>753</v>
      </c>
      <c r="P571" s="503" t="s">
        <v>1881</v>
      </c>
      <c r="Q571" s="488">
        <v>7779201.0</v>
      </c>
      <c r="R571" s="254"/>
      <c r="S571" s="301" t="s">
        <v>1073</v>
      </c>
      <c r="T571" s="419" t="s">
        <v>2179</v>
      </c>
      <c r="U571" s="488">
        <v>7553558.0</v>
      </c>
      <c r="V571" s="254"/>
      <c r="W571" s="301" t="s">
        <v>753</v>
      </c>
      <c r="X571" s="419" t="s">
        <v>1881</v>
      </c>
      <c r="Y571" s="488">
        <v>5777182.0</v>
      </c>
      <c r="Z571" s="254"/>
      <c r="AA571" s="301" t="s">
        <v>1080</v>
      </c>
      <c r="AB571" s="419" t="s">
        <v>2180</v>
      </c>
      <c r="AC571" s="488">
        <v>2844379.0</v>
      </c>
      <c r="AD571" s="343"/>
      <c r="AE571" s="347"/>
      <c r="AF571" s="313"/>
      <c r="AG571" s="313"/>
      <c r="AH571" s="313"/>
      <c r="AI571" s="313"/>
      <c r="AJ571" s="542"/>
      <c r="AK571" s="274"/>
      <c r="AL571" s="259" t="str">
        <f>MATCH(B571,'Key Findings'!B:B,0)</f>
        <v>#N/A</v>
      </c>
      <c r="AM571" s="274" t="b">
        <f t="shared" si="2"/>
        <v>1</v>
      </c>
      <c r="AN571" s="294"/>
    </row>
    <row r="572">
      <c r="A572" s="169">
        <f t="array" ref="A572">INDEX('Federal Tax, Stock Buybacks, &amp; '!D:D,match(B572,'Federal Tax, Stock Buybacks, &amp; '!E:E,0))</f>
        <v>39</v>
      </c>
      <c r="B572" s="418" t="s">
        <v>1071</v>
      </c>
      <c r="C572" s="301"/>
      <c r="D572" s="419"/>
      <c r="E572" s="488"/>
      <c r="F572" s="254"/>
      <c r="G572" s="301"/>
      <c r="H572" s="419"/>
      <c r="I572" s="488"/>
      <c r="J572" s="254"/>
      <c r="K572" s="301" t="s">
        <v>1073</v>
      </c>
      <c r="L572" s="419" t="s">
        <v>2179</v>
      </c>
      <c r="M572" s="488">
        <v>5573501.0</v>
      </c>
      <c r="N572" s="254"/>
      <c r="O572" s="301" t="s">
        <v>1073</v>
      </c>
      <c r="P572" s="419" t="s">
        <v>2179</v>
      </c>
      <c r="Q572" s="488">
        <v>5593431.0</v>
      </c>
      <c r="R572" s="254"/>
      <c r="S572" s="301" t="s">
        <v>1072</v>
      </c>
      <c r="T572" s="503" t="s">
        <v>2181</v>
      </c>
      <c r="U572" s="488">
        <v>7846359.0</v>
      </c>
      <c r="V572" s="254"/>
      <c r="W572" s="301" t="s">
        <v>1073</v>
      </c>
      <c r="X572" s="419" t="s">
        <v>2179</v>
      </c>
      <c r="Y572" s="488">
        <v>4028771.0</v>
      </c>
      <c r="Z572" s="254"/>
      <c r="AA572" s="301" t="s">
        <v>1077</v>
      </c>
      <c r="AB572" s="503" t="s">
        <v>2182</v>
      </c>
      <c r="AC572" s="488">
        <v>4168995.0</v>
      </c>
      <c r="AD572" s="343"/>
      <c r="AE572" s="347"/>
      <c r="AF572" s="313"/>
      <c r="AG572" s="313"/>
      <c r="AH572" s="313"/>
      <c r="AI572" s="313"/>
      <c r="AJ572" s="542"/>
      <c r="AK572" s="274"/>
      <c r="AL572" s="259" t="str">
        <f>MATCH(B572,'Key Findings'!B:B,0)</f>
        <v>#N/A</v>
      </c>
      <c r="AM572" s="274" t="b">
        <f t="shared" si="2"/>
        <v>1</v>
      </c>
      <c r="AN572" s="294"/>
    </row>
    <row r="573">
      <c r="A573" s="169">
        <f t="array" ref="A573">INDEX('Federal Tax, Stock Buybacks, &amp; '!D:D,match(B573,'Federal Tax, Stock Buybacks, &amp; '!E:E,0))</f>
        <v>39</v>
      </c>
      <c r="B573" s="418" t="s">
        <v>1071</v>
      </c>
      <c r="C573" s="301"/>
      <c r="D573" s="421"/>
      <c r="E573" s="488"/>
      <c r="F573" s="254"/>
      <c r="G573" s="301"/>
      <c r="H573" s="421"/>
      <c r="I573" s="488"/>
      <c r="J573" s="254"/>
      <c r="K573" s="301" t="s">
        <v>1072</v>
      </c>
      <c r="L573" s="421" t="s">
        <v>2181</v>
      </c>
      <c r="M573" s="488">
        <v>5674301.0</v>
      </c>
      <c r="N573" s="254"/>
      <c r="O573" s="301" t="s">
        <v>1072</v>
      </c>
      <c r="P573" s="503" t="s">
        <v>2181</v>
      </c>
      <c r="Q573" s="488">
        <v>5737485.0</v>
      </c>
      <c r="R573" s="254"/>
      <c r="S573" s="301" t="s">
        <v>1076</v>
      </c>
      <c r="T573" s="503" t="s">
        <v>2181</v>
      </c>
      <c r="U573" s="488">
        <v>6574302.0</v>
      </c>
      <c r="V573" s="254"/>
      <c r="W573" s="301" t="s">
        <v>1072</v>
      </c>
      <c r="X573" s="503" t="s">
        <v>2181</v>
      </c>
      <c r="Y573" s="488">
        <v>4359171.0</v>
      </c>
      <c r="Z573" s="254"/>
      <c r="AA573" s="301" t="s">
        <v>1082</v>
      </c>
      <c r="AB573" s="503" t="s">
        <v>1528</v>
      </c>
      <c r="AC573" s="488">
        <v>2783841.0</v>
      </c>
      <c r="AD573" s="343"/>
      <c r="AE573" s="347"/>
      <c r="AF573" s="313"/>
      <c r="AG573" s="313"/>
      <c r="AH573" s="313"/>
      <c r="AI573" s="313"/>
      <c r="AJ573" s="542"/>
      <c r="AK573" s="274"/>
      <c r="AL573" s="259" t="str">
        <f>MATCH(B573,'Key Findings'!B:B,0)</f>
        <v>#N/A</v>
      </c>
      <c r="AM573" s="274" t="b">
        <f t="shared" si="2"/>
        <v>1</v>
      </c>
      <c r="AN573" s="294"/>
    </row>
    <row r="574">
      <c r="A574" s="169">
        <f t="array" ref="A574">INDEX('Federal Tax, Stock Buybacks, &amp; '!D:D,match(B574,'Federal Tax, Stock Buybacks, &amp; '!E:E,0))</f>
        <v>39</v>
      </c>
      <c r="B574" s="418" t="s">
        <v>1071</v>
      </c>
      <c r="C574" s="301"/>
      <c r="D574" s="421"/>
      <c r="E574" s="488"/>
      <c r="F574" s="254"/>
      <c r="G574" s="301"/>
      <c r="H574" s="421"/>
      <c r="I574" s="488"/>
      <c r="J574" s="254"/>
      <c r="K574" s="301" t="s">
        <v>1079</v>
      </c>
      <c r="L574" s="421" t="s">
        <v>1881</v>
      </c>
      <c r="M574" s="488">
        <v>3909832.0</v>
      </c>
      <c r="N574" s="254"/>
      <c r="O574" s="372" t="s">
        <v>711</v>
      </c>
      <c r="P574" s="428" t="s">
        <v>711</v>
      </c>
      <c r="Q574" s="499" t="s">
        <v>711</v>
      </c>
      <c r="R574" s="254"/>
      <c r="S574" s="301" t="s">
        <v>1074</v>
      </c>
      <c r="T574" s="503" t="s">
        <v>2176</v>
      </c>
      <c r="U574" s="504">
        <v>5703288.0</v>
      </c>
      <c r="V574" s="254"/>
      <c r="W574" s="372" t="s">
        <v>711</v>
      </c>
      <c r="X574" s="428" t="s">
        <v>711</v>
      </c>
      <c r="Y574" s="499" t="s">
        <v>711</v>
      </c>
      <c r="Z574" s="254"/>
      <c r="AA574" s="301" t="s">
        <v>753</v>
      </c>
      <c r="AB574" s="503" t="s">
        <v>1881</v>
      </c>
      <c r="AC574" s="488">
        <v>3106646.0</v>
      </c>
      <c r="AD574" s="343"/>
      <c r="AE574" s="347"/>
      <c r="AF574" s="313"/>
      <c r="AG574" s="313"/>
      <c r="AH574" s="313"/>
      <c r="AI574" s="313"/>
      <c r="AJ574" s="368"/>
      <c r="AK574" s="274"/>
      <c r="AL574" s="259" t="str">
        <f>MATCH(B574,'Key Findings'!B:B,0)</f>
        <v>#N/A</v>
      </c>
      <c r="AM574" s="274" t="b">
        <f t="shared" si="2"/>
        <v>1</v>
      </c>
      <c r="AN574" s="294"/>
    </row>
    <row r="575">
      <c r="A575" s="169">
        <f t="array" ref="A575">INDEX('Federal Tax, Stock Buybacks, &amp; '!D:D,match(B575,'Federal Tax, Stock Buybacks, &amp; '!E:E,0))</f>
        <v>39</v>
      </c>
      <c r="B575" s="418" t="s">
        <v>1071</v>
      </c>
      <c r="C575" s="372"/>
      <c r="D575" s="428"/>
      <c r="E575" s="499"/>
      <c r="F575" s="254"/>
      <c r="G575" s="372"/>
      <c r="H575" s="428"/>
      <c r="I575" s="499"/>
      <c r="J575" s="254"/>
      <c r="K575" s="372" t="s">
        <v>711</v>
      </c>
      <c r="L575" s="428" t="s">
        <v>711</v>
      </c>
      <c r="M575" s="499" t="s">
        <v>711</v>
      </c>
      <c r="N575" s="254"/>
      <c r="O575" s="372" t="s">
        <v>711</v>
      </c>
      <c r="P575" s="428" t="s">
        <v>711</v>
      </c>
      <c r="Q575" s="499" t="s">
        <v>711</v>
      </c>
      <c r="R575" s="254"/>
      <c r="S575" s="372" t="s">
        <v>711</v>
      </c>
      <c r="T575" s="428" t="s">
        <v>711</v>
      </c>
      <c r="U575" s="499" t="s">
        <v>711</v>
      </c>
      <c r="V575" s="254"/>
      <c r="W575" s="372" t="s">
        <v>711</v>
      </c>
      <c r="X575" s="428" t="s">
        <v>711</v>
      </c>
      <c r="Y575" s="499" t="s">
        <v>711</v>
      </c>
      <c r="Z575" s="254"/>
      <c r="AA575" s="301" t="s">
        <v>1078</v>
      </c>
      <c r="AB575" s="419" t="s">
        <v>1992</v>
      </c>
      <c r="AC575" s="488">
        <v>4006724.0</v>
      </c>
      <c r="AD575" s="343"/>
      <c r="AE575" s="347"/>
      <c r="AF575" s="313"/>
      <c r="AG575" s="313"/>
      <c r="AH575" s="313"/>
      <c r="AI575" s="313"/>
      <c r="AJ575" s="368"/>
      <c r="AK575" s="274"/>
      <c r="AL575" s="259" t="str">
        <f>MATCH(B575,'Key Findings'!B:B,0)</f>
        <v>#N/A</v>
      </c>
      <c r="AM575" s="274" t="b">
        <f t="shared" si="2"/>
        <v>1</v>
      </c>
      <c r="AN575" s="294"/>
    </row>
    <row r="576">
      <c r="A576" s="169">
        <f t="array" ref="A576">INDEX('Federal Tax, Stock Buybacks, &amp; '!D:D,match(B576,'Federal Tax, Stock Buybacks, &amp; '!E:E,0))</f>
        <v>39</v>
      </c>
      <c r="B576" s="418" t="s">
        <v>1071</v>
      </c>
      <c r="C576" s="372"/>
      <c r="D576" s="428"/>
      <c r="E576" s="499"/>
      <c r="F576" s="254"/>
      <c r="G576" s="372"/>
      <c r="H576" s="428"/>
      <c r="I576" s="499"/>
      <c r="J576" s="254"/>
      <c r="K576" s="372" t="s">
        <v>711</v>
      </c>
      <c r="L576" s="428" t="s">
        <v>711</v>
      </c>
      <c r="M576" s="499" t="s">
        <v>711</v>
      </c>
      <c r="N576" s="254"/>
      <c r="O576" s="372" t="s">
        <v>711</v>
      </c>
      <c r="P576" s="428" t="s">
        <v>711</v>
      </c>
      <c r="Q576" s="499" t="s">
        <v>711</v>
      </c>
      <c r="R576" s="254"/>
      <c r="S576" s="372" t="s">
        <v>711</v>
      </c>
      <c r="T576" s="428" t="s">
        <v>711</v>
      </c>
      <c r="U576" s="499" t="s">
        <v>711</v>
      </c>
      <c r="V576" s="254"/>
      <c r="W576" s="372" t="s">
        <v>711</v>
      </c>
      <c r="X576" s="428" t="s">
        <v>711</v>
      </c>
      <c r="Y576" s="499" t="s">
        <v>711</v>
      </c>
      <c r="Z576" s="254"/>
      <c r="AA576" s="301" t="s">
        <v>1072</v>
      </c>
      <c r="AB576" s="503" t="s">
        <v>2181</v>
      </c>
      <c r="AC576" s="488">
        <v>3735752.0</v>
      </c>
      <c r="AD576" s="343"/>
      <c r="AE576" s="347"/>
      <c r="AF576" s="313"/>
      <c r="AG576" s="313"/>
      <c r="AH576" s="313"/>
      <c r="AI576" s="313"/>
      <c r="AJ576" s="368"/>
      <c r="AK576" s="274"/>
      <c r="AL576" s="259" t="str">
        <f>MATCH(B576,'Key Findings'!B:B,0)</f>
        <v>#N/A</v>
      </c>
      <c r="AM576" s="274" t="b">
        <f t="shared" si="2"/>
        <v>1</v>
      </c>
      <c r="AN576" s="294"/>
    </row>
    <row r="577">
      <c r="A577" s="169">
        <f t="array" ref="A577">INDEX('Federal Tax, Stock Buybacks, &amp; '!D:D,match(B577,'Federal Tax, Stock Buybacks, &amp; '!E:E,0))</f>
        <v>39</v>
      </c>
      <c r="B577" s="418" t="s">
        <v>1071</v>
      </c>
      <c r="C577" s="372"/>
      <c r="D577" s="428"/>
      <c r="E577" s="499"/>
      <c r="F577" s="254"/>
      <c r="G577" s="372"/>
      <c r="H577" s="428"/>
      <c r="I577" s="499"/>
      <c r="J577" s="254"/>
      <c r="K577" s="372" t="s">
        <v>711</v>
      </c>
      <c r="L577" s="428" t="s">
        <v>711</v>
      </c>
      <c r="M577" s="499" t="s">
        <v>711</v>
      </c>
      <c r="N577" s="254"/>
      <c r="O577" s="372" t="s">
        <v>711</v>
      </c>
      <c r="P577" s="428" t="s">
        <v>711</v>
      </c>
      <c r="Q577" s="499" t="s">
        <v>711</v>
      </c>
      <c r="R577" s="254"/>
      <c r="S577" s="372" t="s">
        <v>711</v>
      </c>
      <c r="T577" s="428" t="s">
        <v>711</v>
      </c>
      <c r="U577" s="499" t="s">
        <v>711</v>
      </c>
      <c r="V577" s="254"/>
      <c r="W577" s="372" t="s">
        <v>711</v>
      </c>
      <c r="X577" s="428" t="s">
        <v>711</v>
      </c>
      <c r="Y577" s="499" t="s">
        <v>711</v>
      </c>
      <c r="Z577" s="254"/>
      <c r="AA577" s="301" t="s">
        <v>1083</v>
      </c>
      <c r="AB577" s="503" t="s">
        <v>2183</v>
      </c>
      <c r="AC577" s="488">
        <v>858531.0</v>
      </c>
      <c r="AD577" s="343"/>
      <c r="AE577" s="347"/>
      <c r="AF577" s="313"/>
      <c r="AG577" s="313"/>
      <c r="AH577" s="313"/>
      <c r="AI577" s="313"/>
      <c r="AJ577" s="368"/>
      <c r="AK577" s="274"/>
      <c r="AL577" s="259" t="str">
        <f>MATCH(B577,'Key Findings'!B:B,0)</f>
        <v>#N/A</v>
      </c>
      <c r="AM577" s="274" t="b">
        <f t="shared" si="2"/>
        <v>1</v>
      </c>
      <c r="AN577" s="294"/>
    </row>
    <row r="578">
      <c r="A578" s="169">
        <f t="array" ref="A578">INDEX('Federal Tax, Stock Buybacks, &amp; '!D:D,match(B578,'Federal Tax, Stock Buybacks, &amp; '!E:E,0))</f>
        <v>39</v>
      </c>
      <c r="B578" s="418" t="s">
        <v>1071</v>
      </c>
      <c r="C578" s="372"/>
      <c r="D578" s="428"/>
      <c r="E578" s="499"/>
      <c r="F578" s="254"/>
      <c r="G578" s="372"/>
      <c r="H578" s="428"/>
      <c r="I578" s="499"/>
      <c r="J578" s="254"/>
      <c r="K578" s="372" t="s">
        <v>711</v>
      </c>
      <c r="L578" s="428" t="s">
        <v>711</v>
      </c>
      <c r="M578" s="499" t="s">
        <v>711</v>
      </c>
      <c r="N578" s="254"/>
      <c r="O578" s="372" t="s">
        <v>711</v>
      </c>
      <c r="P578" s="428" t="s">
        <v>711</v>
      </c>
      <c r="Q578" s="499" t="s">
        <v>711</v>
      </c>
      <c r="R578" s="254"/>
      <c r="S578" s="372" t="s">
        <v>711</v>
      </c>
      <c r="T578" s="428" t="s">
        <v>711</v>
      </c>
      <c r="U578" s="499" t="s">
        <v>711</v>
      </c>
      <c r="V578" s="254"/>
      <c r="W578" s="372" t="s">
        <v>711</v>
      </c>
      <c r="X578" s="428" t="s">
        <v>711</v>
      </c>
      <c r="Y578" s="499" t="s">
        <v>711</v>
      </c>
      <c r="Z578" s="254"/>
      <c r="AA578" s="301" t="s">
        <v>1070</v>
      </c>
      <c r="AB578" s="503" t="s">
        <v>1815</v>
      </c>
      <c r="AC578" s="488">
        <v>1.4302791E7</v>
      </c>
      <c r="AD578" s="343"/>
      <c r="AE578" s="347"/>
      <c r="AF578" s="313"/>
      <c r="AG578" s="313"/>
      <c r="AH578" s="313"/>
      <c r="AI578" s="313"/>
      <c r="AJ578" s="368"/>
      <c r="AK578" s="274"/>
      <c r="AL578" s="259" t="str">
        <f>MATCH(B578,'Key Findings'!B:B,0)</f>
        <v>#N/A</v>
      </c>
      <c r="AM578" s="274" t="b">
        <f t="shared" si="2"/>
        <v>1</v>
      </c>
      <c r="AN578" s="294"/>
    </row>
    <row r="579">
      <c r="A579" s="169">
        <f t="array" ref="A579">INDEX('Federal Tax, Stock Buybacks, &amp; '!D:D,match(B579,'Federal Tax, Stock Buybacks, &amp; '!E:E,0))</f>
        <v>37</v>
      </c>
      <c r="B579" s="500" t="s">
        <v>823</v>
      </c>
      <c r="C579" s="405"/>
      <c r="D579" s="501"/>
      <c r="E579" s="472"/>
      <c r="F579" s="254"/>
      <c r="G579" s="405"/>
      <c r="H579" s="501"/>
      <c r="I579" s="472"/>
      <c r="J579" s="254"/>
      <c r="K579" s="405" t="s">
        <v>826</v>
      </c>
      <c r="L579" s="501" t="s">
        <v>2184</v>
      </c>
      <c r="M579" s="472">
        <v>5940142.0</v>
      </c>
      <c r="N579" s="254"/>
      <c r="O579" s="405" t="s">
        <v>1161</v>
      </c>
      <c r="P579" s="495" t="s">
        <v>1523</v>
      </c>
      <c r="Q579" s="472">
        <v>2.7620893E7</v>
      </c>
      <c r="R579" s="254"/>
      <c r="S579" s="405" t="s">
        <v>822</v>
      </c>
      <c r="T579" s="495" t="s">
        <v>2185</v>
      </c>
      <c r="U579" s="472">
        <v>5842130.0</v>
      </c>
      <c r="V579" s="254"/>
      <c r="W579" s="405" t="s">
        <v>822</v>
      </c>
      <c r="X579" s="495" t="s">
        <v>1523</v>
      </c>
      <c r="Y579" s="472">
        <v>1.8030925E7</v>
      </c>
      <c r="Z579" s="254"/>
      <c r="AA579" s="405" t="s">
        <v>822</v>
      </c>
      <c r="AB579" s="495" t="s">
        <v>1523</v>
      </c>
      <c r="AC579" s="472">
        <v>1.5060876E7</v>
      </c>
      <c r="AD579" s="407"/>
      <c r="AE579" s="331">
        <v>2022.0</v>
      </c>
      <c r="AF579" s="331">
        <v>2021.0</v>
      </c>
      <c r="AG579" s="331">
        <v>2020.0</v>
      </c>
      <c r="AH579" s="331">
        <v>2019.0</v>
      </c>
      <c r="AI579" s="331">
        <v>2018.0</v>
      </c>
      <c r="AJ579" s="290" t="s">
        <v>1524</v>
      </c>
      <c r="AK579" s="260"/>
      <c r="AL579" s="259" t="str">
        <f>MATCH(B579,'Key Findings'!B:B,0)</f>
        <v>#N/A</v>
      </c>
      <c r="AM579" s="260" t="b">
        <f t="shared" si="2"/>
        <v>1</v>
      </c>
      <c r="AN579" s="294"/>
    </row>
    <row r="580">
      <c r="A580" s="169">
        <f t="array" ref="A580">INDEX('Federal Tax, Stock Buybacks, &amp; '!D:D,match(B580,'Federal Tax, Stock Buybacks, &amp; '!E:E,0))</f>
        <v>37</v>
      </c>
      <c r="B580" s="500" t="s">
        <v>823</v>
      </c>
      <c r="C580" s="405"/>
      <c r="D580" s="494"/>
      <c r="E580" s="472"/>
      <c r="F580" s="254"/>
      <c r="G580" s="405"/>
      <c r="H580" s="494"/>
      <c r="I580" s="472"/>
      <c r="J580" s="254"/>
      <c r="K580" s="405" t="s">
        <v>1161</v>
      </c>
      <c r="L580" s="494" t="s">
        <v>1523</v>
      </c>
      <c r="M580" s="472">
        <v>1.8965201E7</v>
      </c>
      <c r="N580" s="254"/>
      <c r="O580" s="405" t="s">
        <v>825</v>
      </c>
      <c r="P580" s="495" t="s">
        <v>2186</v>
      </c>
      <c r="Q580" s="472">
        <v>9537807.0</v>
      </c>
      <c r="R580" s="254"/>
      <c r="S580" s="405" t="s">
        <v>1161</v>
      </c>
      <c r="T580" s="495" t="s">
        <v>1523</v>
      </c>
      <c r="U580" s="472">
        <v>3772910.0</v>
      </c>
      <c r="V580" s="254"/>
      <c r="W580" s="405" t="s">
        <v>829</v>
      </c>
      <c r="X580" s="501" t="s">
        <v>1532</v>
      </c>
      <c r="Y580" s="472">
        <v>5892708.0</v>
      </c>
      <c r="Z580" s="254"/>
      <c r="AA580" s="405" t="s">
        <v>829</v>
      </c>
      <c r="AB580" s="501" t="s">
        <v>1532</v>
      </c>
      <c r="AC580" s="472">
        <v>4635242.0</v>
      </c>
      <c r="AD580" s="407"/>
      <c r="AE580" s="409"/>
      <c r="AF580" s="410"/>
      <c r="AG580" s="410"/>
      <c r="AH580" s="410"/>
      <c r="AI580" s="410"/>
      <c r="AJ580" s="293"/>
      <c r="AK580" s="260"/>
      <c r="AL580" s="259" t="str">
        <f>MATCH(B580,'Key Findings'!B:B,0)</f>
        <v>#N/A</v>
      </c>
      <c r="AM580" s="260" t="b">
        <f t="shared" si="2"/>
        <v>1</v>
      </c>
      <c r="AN580" s="294"/>
    </row>
    <row r="581">
      <c r="A581" s="169">
        <f t="array" ref="A581">INDEX('Federal Tax, Stock Buybacks, &amp; '!D:D,match(B581,'Federal Tax, Stock Buybacks, &amp; '!E:E,0))</f>
        <v>37</v>
      </c>
      <c r="B581" s="500" t="s">
        <v>823</v>
      </c>
      <c r="C581" s="405"/>
      <c r="D581" s="494"/>
      <c r="E581" s="472"/>
      <c r="F581" s="254"/>
      <c r="G581" s="405"/>
      <c r="H581" s="494"/>
      <c r="I581" s="472"/>
      <c r="J581" s="254"/>
      <c r="K581" s="405" t="s">
        <v>827</v>
      </c>
      <c r="L581" s="494" t="s">
        <v>2187</v>
      </c>
      <c r="M581" s="472">
        <v>6218021.0</v>
      </c>
      <c r="N581" s="254"/>
      <c r="O581" s="405" t="s">
        <v>824</v>
      </c>
      <c r="P581" s="495" t="s">
        <v>1532</v>
      </c>
      <c r="Q581" s="472">
        <v>1.5253878E7</v>
      </c>
      <c r="R581" s="254"/>
      <c r="S581" s="405" t="s">
        <v>824</v>
      </c>
      <c r="T581" s="495" t="s">
        <v>1532</v>
      </c>
      <c r="U581" s="472">
        <v>5347444.0</v>
      </c>
      <c r="V581" s="254"/>
      <c r="W581" s="405" t="s">
        <v>828</v>
      </c>
      <c r="X581" s="495" t="s">
        <v>2188</v>
      </c>
      <c r="Y581" s="472">
        <v>8558281.0</v>
      </c>
      <c r="Z581" s="254"/>
      <c r="AA581" s="405" t="s">
        <v>828</v>
      </c>
      <c r="AB581" s="495" t="s">
        <v>1662</v>
      </c>
      <c r="AC581" s="472">
        <v>7045504.0</v>
      </c>
      <c r="AD581" s="407"/>
      <c r="AE581" s="409"/>
      <c r="AF581" s="410"/>
      <c r="AG581" s="410"/>
      <c r="AH581" s="410"/>
      <c r="AI581" s="410"/>
      <c r="AJ581" s="293"/>
      <c r="AK581" s="260"/>
      <c r="AL581" s="259" t="str">
        <f>MATCH(B581,'Key Findings'!B:B,0)</f>
        <v>#N/A</v>
      </c>
      <c r="AM581" s="260" t="b">
        <f t="shared" si="2"/>
        <v>1</v>
      </c>
      <c r="AN581" s="294"/>
    </row>
    <row r="582">
      <c r="A582" s="169">
        <f t="array" ref="A582">INDEX('Federal Tax, Stock Buybacks, &amp; '!D:D,match(B582,'Federal Tax, Stock Buybacks, &amp; '!E:E,0))</f>
        <v>37</v>
      </c>
      <c r="B582" s="500" t="s">
        <v>823</v>
      </c>
      <c r="C582" s="405"/>
      <c r="D582" s="494"/>
      <c r="E582" s="472"/>
      <c r="F582" s="254"/>
      <c r="G582" s="405"/>
      <c r="H582" s="494"/>
      <c r="I582" s="472"/>
      <c r="J582" s="254"/>
      <c r="K582" s="405" t="s">
        <v>824</v>
      </c>
      <c r="L582" s="494" t="s">
        <v>1532</v>
      </c>
      <c r="M582" s="472">
        <v>7189241.0</v>
      </c>
      <c r="N582" s="254"/>
      <c r="O582" s="405" t="s">
        <v>826</v>
      </c>
      <c r="P582" s="501" t="s">
        <v>2189</v>
      </c>
      <c r="Q582" s="472">
        <v>8837642.0</v>
      </c>
      <c r="R582" s="254"/>
      <c r="S582" s="405" t="s">
        <v>833</v>
      </c>
      <c r="T582" s="495" t="s">
        <v>2190</v>
      </c>
      <c r="U582" s="472">
        <v>5206506.0</v>
      </c>
      <c r="V582" s="254"/>
      <c r="W582" s="405" t="s">
        <v>825</v>
      </c>
      <c r="X582" s="495" t="s">
        <v>2191</v>
      </c>
      <c r="Y582" s="472">
        <v>7133906.0</v>
      </c>
      <c r="Z582" s="254"/>
      <c r="AA582" s="405" t="s">
        <v>825</v>
      </c>
      <c r="AB582" s="495" t="s">
        <v>2191</v>
      </c>
      <c r="AC582" s="472">
        <v>8480397.0</v>
      </c>
      <c r="AD582" s="407"/>
      <c r="AE582" s="409"/>
      <c r="AF582" s="410"/>
      <c r="AG582" s="410"/>
      <c r="AH582" s="410"/>
      <c r="AI582" s="410"/>
      <c r="AJ582" s="293"/>
      <c r="AK582" s="260"/>
      <c r="AL582" s="259" t="str">
        <f>MATCH(B582,'Key Findings'!B:B,0)</f>
        <v>#N/A</v>
      </c>
      <c r="AM582" s="260" t="b">
        <f t="shared" si="2"/>
        <v>1</v>
      </c>
      <c r="AN582" s="294"/>
    </row>
    <row r="583">
      <c r="A583" s="169">
        <f t="array" ref="A583">INDEX('Federal Tax, Stock Buybacks, &amp; '!D:D,match(B583,'Federal Tax, Stock Buybacks, &amp; '!E:E,0))</f>
        <v>37</v>
      </c>
      <c r="B583" s="500" t="s">
        <v>823</v>
      </c>
      <c r="C583" s="405"/>
      <c r="D583" s="494"/>
      <c r="E583" s="472"/>
      <c r="F583" s="254"/>
      <c r="G583" s="405"/>
      <c r="H583" s="494"/>
      <c r="I583" s="472"/>
      <c r="J583" s="254"/>
      <c r="K583" s="405" t="s">
        <v>831</v>
      </c>
      <c r="L583" s="494" t="s">
        <v>2192</v>
      </c>
      <c r="M583" s="472">
        <v>7510177.0</v>
      </c>
      <c r="N583" s="254"/>
      <c r="O583" s="405" t="s">
        <v>827</v>
      </c>
      <c r="P583" s="501" t="s">
        <v>2193</v>
      </c>
      <c r="Q583" s="472">
        <v>8327151.0</v>
      </c>
      <c r="R583" s="254"/>
      <c r="S583" s="405" t="s">
        <v>826</v>
      </c>
      <c r="T583" s="501" t="s">
        <v>2189</v>
      </c>
      <c r="U583" s="472">
        <v>5241683.0</v>
      </c>
      <c r="V583" s="254"/>
      <c r="W583" s="405" t="s">
        <v>830</v>
      </c>
      <c r="X583" s="495" t="s">
        <v>1553</v>
      </c>
      <c r="Y583" s="472">
        <v>4577950.0</v>
      </c>
      <c r="Z583" s="254"/>
      <c r="AA583" s="405" t="s">
        <v>830</v>
      </c>
      <c r="AB583" s="495" t="s">
        <v>1553</v>
      </c>
      <c r="AC583" s="472">
        <v>4424643.0</v>
      </c>
      <c r="AD583" s="407"/>
      <c r="AE583" s="409"/>
      <c r="AF583" s="410"/>
      <c r="AG583" s="410"/>
      <c r="AH583" s="410"/>
      <c r="AI583" s="410"/>
      <c r="AJ583" s="293"/>
      <c r="AK583" s="260"/>
      <c r="AL583" s="259" t="str">
        <f>MATCH(B583,'Key Findings'!B:B,0)</f>
        <v>#N/A</v>
      </c>
      <c r="AM583" s="260" t="b">
        <f t="shared" si="2"/>
        <v>1</v>
      </c>
      <c r="AN583" s="294"/>
    </row>
    <row r="584">
      <c r="A584" s="169">
        <f t="array" ref="A584">INDEX('Federal Tax, Stock Buybacks, &amp; '!D:D,match(B584,'Federal Tax, Stock Buybacks, &amp; '!E:E,0))</f>
        <v>37</v>
      </c>
      <c r="B584" s="500" t="s">
        <v>823</v>
      </c>
      <c r="C584" s="298"/>
      <c r="D584" s="496"/>
      <c r="E584" s="471"/>
      <c r="F584" s="254"/>
      <c r="G584" s="298"/>
      <c r="H584" s="496"/>
      <c r="I584" s="471"/>
      <c r="J584" s="254"/>
      <c r="K584" s="298" t="s">
        <v>711</v>
      </c>
      <c r="L584" s="496" t="s">
        <v>711</v>
      </c>
      <c r="M584" s="471" t="s">
        <v>711</v>
      </c>
      <c r="N584" s="254"/>
      <c r="O584" s="298" t="s">
        <v>711</v>
      </c>
      <c r="P584" s="496" t="s">
        <v>711</v>
      </c>
      <c r="Q584" s="471" t="s">
        <v>711</v>
      </c>
      <c r="R584" s="254"/>
      <c r="S584" s="405" t="s">
        <v>832</v>
      </c>
      <c r="T584" s="495" t="s">
        <v>2194</v>
      </c>
      <c r="U584" s="472">
        <v>6513508.0</v>
      </c>
      <c r="V584" s="254"/>
      <c r="W584" s="405" t="s">
        <v>824</v>
      </c>
      <c r="X584" s="495" t="s">
        <v>1532</v>
      </c>
      <c r="Y584" s="472">
        <v>5740121.0</v>
      </c>
      <c r="Z584" s="254"/>
      <c r="AA584" s="298" t="s">
        <v>711</v>
      </c>
      <c r="AB584" s="496" t="s">
        <v>711</v>
      </c>
      <c r="AC584" s="471" t="s">
        <v>711</v>
      </c>
      <c r="AD584" s="407"/>
      <c r="AE584" s="409"/>
      <c r="AF584" s="410"/>
      <c r="AG584" s="410"/>
      <c r="AH584" s="410"/>
      <c r="AI584" s="410"/>
      <c r="AJ584" s="293"/>
      <c r="AK584" s="260"/>
      <c r="AL584" s="259" t="str">
        <f>MATCH(B584,'Key Findings'!B:B,0)</f>
        <v>#N/A</v>
      </c>
      <c r="AM584" s="260" t="b">
        <f t="shared" si="2"/>
        <v>1</v>
      </c>
      <c r="AN584" s="294"/>
    </row>
    <row r="585">
      <c r="A585" s="169">
        <f t="array" ref="A585">INDEX('Federal Tax, Stock Buybacks, &amp; '!D:D,match(B585,'Federal Tax, Stock Buybacks, &amp; '!E:E,0))</f>
        <v>37</v>
      </c>
      <c r="B585" s="500" t="s">
        <v>823</v>
      </c>
      <c r="C585" s="298"/>
      <c r="D585" s="496"/>
      <c r="E585" s="471"/>
      <c r="F585" s="254"/>
      <c r="G585" s="298"/>
      <c r="H585" s="496"/>
      <c r="I585" s="471"/>
      <c r="J585" s="254"/>
      <c r="K585" s="298" t="s">
        <v>711</v>
      </c>
      <c r="L585" s="496" t="s">
        <v>711</v>
      </c>
      <c r="M585" s="471" t="s">
        <v>711</v>
      </c>
      <c r="N585" s="254"/>
      <c r="O585" s="298" t="s">
        <v>711</v>
      </c>
      <c r="P585" s="496" t="s">
        <v>711</v>
      </c>
      <c r="Q585" s="471" t="s">
        <v>711</v>
      </c>
      <c r="R585" s="254"/>
      <c r="S585" s="405" t="s">
        <v>827</v>
      </c>
      <c r="T585" s="501" t="s">
        <v>2193</v>
      </c>
      <c r="U585" s="472">
        <v>4961821.0</v>
      </c>
      <c r="V585" s="254"/>
      <c r="W585" s="298" t="s">
        <v>711</v>
      </c>
      <c r="X585" s="496" t="s">
        <v>711</v>
      </c>
      <c r="Y585" s="471" t="s">
        <v>711</v>
      </c>
      <c r="Z585" s="254"/>
      <c r="AA585" s="298" t="s">
        <v>711</v>
      </c>
      <c r="AB585" s="496" t="s">
        <v>711</v>
      </c>
      <c r="AC585" s="471" t="s">
        <v>711</v>
      </c>
      <c r="AD585" s="407"/>
      <c r="AE585" s="409"/>
      <c r="AF585" s="410"/>
      <c r="AG585" s="410"/>
      <c r="AH585" s="410"/>
      <c r="AI585" s="410"/>
      <c r="AJ585" s="293"/>
      <c r="AK585" s="260"/>
      <c r="AL585" s="259" t="str">
        <f>MATCH(B585,'Key Findings'!B:B,0)</f>
        <v>#N/A</v>
      </c>
      <c r="AM585" s="260" t="b">
        <f t="shared" si="2"/>
        <v>1</v>
      </c>
      <c r="AN585" s="294"/>
    </row>
    <row r="586">
      <c r="A586" s="169">
        <f t="array" ref="A586">INDEX('Federal Tax, Stock Buybacks, &amp; '!D:D,match(B586,'Federal Tax, Stock Buybacks, &amp; '!E:E,0))</f>
        <v>37</v>
      </c>
      <c r="B586" s="500" t="s">
        <v>823</v>
      </c>
      <c r="C586" s="298"/>
      <c r="D586" s="496"/>
      <c r="E586" s="471"/>
      <c r="F586" s="254"/>
      <c r="G586" s="298"/>
      <c r="H586" s="496"/>
      <c r="I586" s="471"/>
      <c r="J586" s="254"/>
      <c r="K586" s="298" t="s">
        <v>711</v>
      </c>
      <c r="L586" s="496" t="s">
        <v>711</v>
      </c>
      <c r="M586" s="471" t="s">
        <v>711</v>
      </c>
      <c r="N586" s="254"/>
      <c r="O586" s="298" t="s">
        <v>711</v>
      </c>
      <c r="P586" s="496" t="s">
        <v>711</v>
      </c>
      <c r="Q586" s="471" t="s">
        <v>711</v>
      </c>
      <c r="R586" s="254"/>
      <c r="S586" s="405" t="s">
        <v>825</v>
      </c>
      <c r="T586" s="495" t="s">
        <v>2186</v>
      </c>
      <c r="U586" s="497">
        <v>4252068.0</v>
      </c>
      <c r="V586" s="254"/>
      <c r="W586" s="298" t="s">
        <v>711</v>
      </c>
      <c r="X586" s="496" t="s">
        <v>711</v>
      </c>
      <c r="Y586" s="471" t="s">
        <v>711</v>
      </c>
      <c r="Z586" s="254"/>
      <c r="AA586" s="298" t="s">
        <v>711</v>
      </c>
      <c r="AB586" s="496" t="s">
        <v>711</v>
      </c>
      <c r="AC586" s="471" t="s">
        <v>711</v>
      </c>
      <c r="AD586" s="407"/>
      <c r="AE586" s="409"/>
      <c r="AF586" s="410"/>
      <c r="AG586" s="410"/>
      <c r="AH586" s="410"/>
      <c r="AI586" s="410"/>
      <c r="AJ586" s="293"/>
      <c r="AK586" s="260"/>
      <c r="AL586" s="259" t="str">
        <f>MATCH(B586,'Key Findings'!B:B,0)</f>
        <v>#N/A</v>
      </c>
      <c r="AM586" s="260" t="b">
        <f t="shared" si="2"/>
        <v>1</v>
      </c>
      <c r="AN586" s="294"/>
    </row>
    <row r="587">
      <c r="A587" s="169">
        <f t="array" ref="A587">INDEX('Federal Tax, Stock Buybacks, &amp; '!D:D,match(B587,'Federal Tax, Stock Buybacks, &amp; '!E:E,0))</f>
        <v>36</v>
      </c>
      <c r="B587" s="418" t="s">
        <v>1327</v>
      </c>
      <c r="C587" s="301"/>
      <c r="D587" s="421"/>
      <c r="E587" s="488"/>
      <c r="F587" s="254"/>
      <c r="G587" s="301"/>
      <c r="H587" s="421"/>
      <c r="I587" s="488"/>
      <c r="J587" s="254"/>
      <c r="K587" s="301" t="s">
        <v>1328</v>
      </c>
      <c r="L587" s="421" t="s">
        <v>1655</v>
      </c>
      <c r="M587" s="488">
        <v>2.2064065E7</v>
      </c>
      <c r="N587" s="254"/>
      <c r="O587" s="301" t="s">
        <v>1326</v>
      </c>
      <c r="P587" s="503" t="s">
        <v>1860</v>
      </c>
      <c r="Q587" s="488">
        <v>1.4054614E7</v>
      </c>
      <c r="R587" s="254"/>
      <c r="S587" s="301" t="s">
        <v>1326</v>
      </c>
      <c r="T587" s="503" t="s">
        <v>1655</v>
      </c>
      <c r="U587" s="488">
        <v>2.298409E7</v>
      </c>
      <c r="V587" s="254"/>
      <c r="W587" s="301" t="s">
        <v>1331</v>
      </c>
      <c r="X587" s="503" t="s">
        <v>2195</v>
      </c>
      <c r="Y587" s="488">
        <v>1.3103973E7</v>
      </c>
      <c r="Z587" s="254"/>
      <c r="AA587" s="301" t="s">
        <v>1331</v>
      </c>
      <c r="AB587" s="503" t="s">
        <v>2196</v>
      </c>
      <c r="AC587" s="488">
        <v>2.0691295E7</v>
      </c>
      <c r="AD587" s="343"/>
      <c r="AE587" s="344">
        <v>2022.0</v>
      </c>
      <c r="AF587" s="344">
        <v>2021.0</v>
      </c>
      <c r="AG587" s="344">
        <v>2020.0</v>
      </c>
      <c r="AH587" s="344">
        <v>2019.0</v>
      </c>
      <c r="AI587" s="344">
        <v>2018.0</v>
      </c>
      <c r="AJ587" s="367" t="s">
        <v>1524</v>
      </c>
      <c r="AK587" s="274"/>
      <c r="AL587" s="259" t="str">
        <f>MATCH(B587,'Key Findings'!B:B,0)</f>
        <v>#N/A</v>
      </c>
      <c r="AM587" s="274" t="b">
        <f t="shared" si="2"/>
        <v>0</v>
      </c>
      <c r="AN587" s="294"/>
    </row>
    <row r="588">
      <c r="A588" s="169">
        <f t="array" ref="A588">INDEX('Federal Tax, Stock Buybacks, &amp; '!D:D,match(B588,'Federal Tax, Stock Buybacks, &amp; '!E:E,0))</f>
        <v>36</v>
      </c>
      <c r="B588" s="418" t="s">
        <v>1327</v>
      </c>
      <c r="C588" s="301"/>
      <c r="D588" s="419"/>
      <c r="E588" s="488"/>
      <c r="F588" s="254"/>
      <c r="G588" s="301"/>
      <c r="H588" s="419"/>
      <c r="I588" s="488"/>
      <c r="J588" s="254"/>
      <c r="K588" s="301" t="s">
        <v>1330</v>
      </c>
      <c r="L588" s="419" t="s">
        <v>2197</v>
      </c>
      <c r="M588" s="488">
        <v>1.5046165E7</v>
      </c>
      <c r="N588" s="254"/>
      <c r="O588" s="301" t="s">
        <v>1328</v>
      </c>
      <c r="P588" s="503" t="s">
        <v>1655</v>
      </c>
      <c r="Q588" s="488">
        <v>2.0541324E7</v>
      </c>
      <c r="R588" s="254"/>
      <c r="S588" s="301" t="s">
        <v>1328</v>
      </c>
      <c r="T588" s="503" t="s">
        <v>2198</v>
      </c>
      <c r="U588" s="488">
        <v>1.6710724E7</v>
      </c>
      <c r="V588" s="254"/>
      <c r="W588" s="301" t="s">
        <v>1334</v>
      </c>
      <c r="X588" s="503" t="s">
        <v>2197</v>
      </c>
      <c r="Y588" s="488">
        <v>7772097.0</v>
      </c>
      <c r="Z588" s="254"/>
      <c r="AA588" s="301" t="s">
        <v>1334</v>
      </c>
      <c r="AB588" s="503" t="s">
        <v>2197</v>
      </c>
      <c r="AC588" s="488">
        <v>1.1777616E7</v>
      </c>
      <c r="AD588" s="343"/>
      <c r="AE588" s="347"/>
      <c r="AF588" s="313"/>
      <c r="AG588" s="313"/>
      <c r="AH588" s="313"/>
      <c r="AI588" s="313"/>
      <c r="AJ588" s="368"/>
      <c r="AK588" s="274"/>
      <c r="AL588" s="259" t="str">
        <f>MATCH(B588,'Key Findings'!B:B,0)</f>
        <v>#N/A</v>
      </c>
      <c r="AM588" s="274" t="b">
        <f t="shared" si="2"/>
        <v>0</v>
      </c>
      <c r="AN588" s="294"/>
    </row>
    <row r="589">
      <c r="A589" s="169">
        <f t="array" ref="A589">INDEX('Federal Tax, Stock Buybacks, &amp; '!D:D,match(B589,'Federal Tax, Stock Buybacks, &amp; '!E:E,0))</f>
        <v>36</v>
      </c>
      <c r="B589" s="418" t="s">
        <v>1327</v>
      </c>
      <c r="C589" s="301"/>
      <c r="D589" s="421"/>
      <c r="E589" s="488"/>
      <c r="F589" s="254"/>
      <c r="G589" s="301"/>
      <c r="H589" s="421"/>
      <c r="I589" s="488"/>
      <c r="J589" s="254"/>
      <c r="K589" s="301" t="s">
        <v>1329</v>
      </c>
      <c r="L589" s="421" t="s">
        <v>2199</v>
      </c>
      <c r="M589" s="488">
        <v>1.8927065E7</v>
      </c>
      <c r="N589" s="254"/>
      <c r="O589" s="301" t="s">
        <v>1330</v>
      </c>
      <c r="P589" s="419" t="s">
        <v>2197</v>
      </c>
      <c r="Q589" s="488">
        <v>1.3362425E7</v>
      </c>
      <c r="R589" s="254"/>
      <c r="S589" s="301" t="s">
        <v>1330</v>
      </c>
      <c r="T589" s="419" t="s">
        <v>2197</v>
      </c>
      <c r="U589" s="488">
        <v>1.2164624E7</v>
      </c>
      <c r="V589" s="254"/>
      <c r="W589" s="301" t="s">
        <v>1326</v>
      </c>
      <c r="X589" s="503" t="s">
        <v>1655</v>
      </c>
      <c r="Y589" s="488">
        <v>2.5508761E7</v>
      </c>
      <c r="Z589" s="254"/>
      <c r="AA589" s="301" t="s">
        <v>1326</v>
      </c>
      <c r="AB589" s="503" t="s">
        <v>1655</v>
      </c>
      <c r="AC589" s="488">
        <v>2.4183714E7</v>
      </c>
      <c r="AD589" s="343"/>
      <c r="AE589" s="347"/>
      <c r="AF589" s="313"/>
      <c r="AG589" s="313"/>
      <c r="AH589" s="313"/>
      <c r="AI589" s="313"/>
      <c r="AJ589" s="368"/>
      <c r="AK589" s="274"/>
      <c r="AL589" s="259" t="str">
        <f>MATCH(B589,'Key Findings'!B:B,0)</f>
        <v>#N/A</v>
      </c>
      <c r="AM589" s="274" t="b">
        <f t="shared" si="2"/>
        <v>0</v>
      </c>
      <c r="AN589" s="294"/>
    </row>
    <row r="590">
      <c r="A590" s="169">
        <f t="array" ref="A590">INDEX('Federal Tax, Stock Buybacks, &amp; '!D:D,match(B590,'Federal Tax, Stock Buybacks, &amp; '!E:E,0))</f>
        <v>36</v>
      </c>
      <c r="B590" s="418" t="s">
        <v>1327</v>
      </c>
      <c r="C590" s="301"/>
      <c r="D590" s="421"/>
      <c r="E590" s="488"/>
      <c r="F590" s="254"/>
      <c r="G590" s="301"/>
      <c r="H590" s="421"/>
      <c r="I590" s="488"/>
      <c r="J590" s="254"/>
      <c r="K590" s="301" t="s">
        <v>1332</v>
      </c>
      <c r="L590" s="421" t="s">
        <v>2200</v>
      </c>
      <c r="M590" s="488">
        <v>1.3957166E7</v>
      </c>
      <c r="N590" s="254"/>
      <c r="O590" s="301" t="s">
        <v>1329</v>
      </c>
      <c r="P590" s="503" t="s">
        <v>2199</v>
      </c>
      <c r="Q590" s="488">
        <v>1.8491535E7</v>
      </c>
      <c r="R590" s="254"/>
      <c r="S590" s="301" t="s">
        <v>1329</v>
      </c>
      <c r="T590" s="503" t="s">
        <v>2199</v>
      </c>
      <c r="U590" s="488">
        <v>1.7773327E7</v>
      </c>
      <c r="V590" s="254"/>
      <c r="W590" s="301" t="s">
        <v>1333</v>
      </c>
      <c r="X590" s="503" t="s">
        <v>2201</v>
      </c>
      <c r="Y590" s="488">
        <v>1.2479972E7</v>
      </c>
      <c r="Z590" s="254"/>
      <c r="AA590" s="301" t="s">
        <v>1333</v>
      </c>
      <c r="AB590" s="503" t="s">
        <v>2201</v>
      </c>
      <c r="AC590" s="488">
        <v>1.126042E7</v>
      </c>
      <c r="AD590" s="343"/>
      <c r="AE590" s="347"/>
      <c r="AF590" s="313"/>
      <c r="AG590" s="313"/>
      <c r="AH590" s="313"/>
      <c r="AI590" s="313"/>
      <c r="AJ590" s="368"/>
      <c r="AK590" s="274"/>
      <c r="AL590" s="259" t="str">
        <f>MATCH(B590,'Key Findings'!B:B,0)</f>
        <v>#N/A</v>
      </c>
      <c r="AM590" s="274" t="b">
        <f t="shared" si="2"/>
        <v>0</v>
      </c>
      <c r="AN590" s="294"/>
    </row>
    <row r="591">
      <c r="A591" s="169">
        <f t="array" ref="A591">INDEX('Federal Tax, Stock Buybacks, &amp; '!D:D,match(B591,'Federal Tax, Stock Buybacks, &amp; '!E:E,0))</f>
        <v>36</v>
      </c>
      <c r="B591" s="418" t="s">
        <v>1327</v>
      </c>
      <c r="C591" s="301"/>
      <c r="D591" s="421"/>
      <c r="E591" s="488"/>
      <c r="F591" s="254"/>
      <c r="G591" s="301"/>
      <c r="H591" s="421"/>
      <c r="I591" s="488"/>
      <c r="J591" s="254"/>
      <c r="K591" s="301" t="s">
        <v>1335</v>
      </c>
      <c r="L591" s="421" t="s">
        <v>2202</v>
      </c>
      <c r="M591" s="488">
        <v>1.450452E7</v>
      </c>
      <c r="N591" s="254"/>
      <c r="O591" s="301" t="s">
        <v>1332</v>
      </c>
      <c r="P591" s="503" t="s">
        <v>2203</v>
      </c>
      <c r="Q591" s="488">
        <v>1.1143362E7</v>
      </c>
      <c r="R591" s="254"/>
      <c r="S591" s="301" t="s">
        <v>1337</v>
      </c>
      <c r="T591" s="503" t="s">
        <v>2204</v>
      </c>
      <c r="U591" s="488">
        <v>9376758.0</v>
      </c>
      <c r="V591" s="254"/>
      <c r="W591" s="301" t="s">
        <v>1328</v>
      </c>
      <c r="X591" s="503" t="s">
        <v>2198</v>
      </c>
      <c r="Y591" s="488">
        <v>1.7313781E7</v>
      </c>
      <c r="Z591" s="254"/>
      <c r="AA591" s="301" t="s">
        <v>1328</v>
      </c>
      <c r="AB591" s="503" t="s">
        <v>2205</v>
      </c>
      <c r="AC591" s="488">
        <v>9490490.0</v>
      </c>
      <c r="AD591" s="343"/>
      <c r="AE591" s="347"/>
      <c r="AF591" s="313"/>
      <c r="AG591" s="313"/>
      <c r="AH591" s="313"/>
      <c r="AI591" s="313"/>
      <c r="AJ591" s="368"/>
      <c r="AK591" s="274"/>
      <c r="AL591" s="259" t="str">
        <f>MATCH(B591,'Key Findings'!B:B,0)</f>
        <v>#N/A</v>
      </c>
      <c r="AM591" s="274" t="b">
        <f t="shared" si="2"/>
        <v>0</v>
      </c>
      <c r="AN591" s="294"/>
    </row>
    <row r="592">
      <c r="A592" s="169">
        <f t="array" ref="A592">INDEX('Federal Tax, Stock Buybacks, &amp; '!D:D,match(B592,'Federal Tax, Stock Buybacks, &amp; '!E:E,0))</f>
        <v>36</v>
      </c>
      <c r="B592" s="418" t="s">
        <v>1327</v>
      </c>
      <c r="C592" s="372"/>
      <c r="D592" s="428"/>
      <c r="E592" s="499"/>
      <c r="F592" s="254"/>
      <c r="G592" s="372"/>
      <c r="H592" s="428"/>
      <c r="I592" s="499"/>
      <c r="J592" s="254"/>
      <c r="K592" s="372" t="s">
        <v>711</v>
      </c>
      <c r="L592" s="428" t="s">
        <v>711</v>
      </c>
      <c r="M592" s="499" t="s">
        <v>711</v>
      </c>
      <c r="N592" s="254"/>
      <c r="O592" s="301" t="s">
        <v>1336</v>
      </c>
      <c r="P592" s="503" t="s">
        <v>2206</v>
      </c>
      <c r="Q592" s="488">
        <v>1.0438415E7</v>
      </c>
      <c r="R592" s="254"/>
      <c r="S592" s="372" t="s">
        <v>711</v>
      </c>
      <c r="T592" s="428" t="s">
        <v>711</v>
      </c>
      <c r="U592" s="499" t="s">
        <v>711</v>
      </c>
      <c r="V592" s="254"/>
      <c r="W592" s="301" t="s">
        <v>1330</v>
      </c>
      <c r="X592" s="419" t="s">
        <v>2197</v>
      </c>
      <c r="Y592" s="488">
        <v>7751607.0</v>
      </c>
      <c r="Z592" s="254"/>
      <c r="AA592" s="372" t="s">
        <v>711</v>
      </c>
      <c r="AB592" s="428" t="s">
        <v>711</v>
      </c>
      <c r="AC592" s="499" t="s">
        <v>711</v>
      </c>
      <c r="AD592" s="343"/>
      <c r="AE592" s="347"/>
      <c r="AF592" s="313"/>
      <c r="AG592" s="313"/>
      <c r="AH592" s="313"/>
      <c r="AI592" s="313"/>
      <c r="AJ592" s="368"/>
      <c r="AK592" s="274"/>
      <c r="AL592" s="259" t="str">
        <f>MATCH(B592,'Key Findings'!B:B,0)</f>
        <v>#N/A</v>
      </c>
      <c r="AM592" s="274" t="b">
        <f t="shared" si="2"/>
        <v>0</v>
      </c>
      <c r="AN592" s="294"/>
    </row>
    <row r="593">
      <c r="A593" s="169">
        <f t="array" ref="A593">INDEX('Federal Tax, Stock Buybacks, &amp; '!D:D,match(B593,'Federal Tax, Stock Buybacks, &amp; '!E:E,0))</f>
        <v>36</v>
      </c>
      <c r="B593" s="418" t="s">
        <v>1327</v>
      </c>
      <c r="C593" s="372"/>
      <c r="D593" s="428"/>
      <c r="E593" s="499"/>
      <c r="F593" s="254"/>
      <c r="G593" s="372"/>
      <c r="H593" s="428"/>
      <c r="I593" s="499"/>
      <c r="J593" s="254"/>
      <c r="K593" s="372" t="s">
        <v>711</v>
      </c>
      <c r="L593" s="428" t="s">
        <v>711</v>
      </c>
      <c r="M593" s="499" t="s">
        <v>711</v>
      </c>
      <c r="N593" s="254"/>
      <c r="O593" s="372" t="s">
        <v>711</v>
      </c>
      <c r="P593" s="428" t="s">
        <v>711</v>
      </c>
      <c r="Q593" s="499" t="s">
        <v>711</v>
      </c>
      <c r="R593" s="254"/>
      <c r="S593" s="372" t="s">
        <v>711</v>
      </c>
      <c r="T593" s="428" t="s">
        <v>711</v>
      </c>
      <c r="U593" s="499" t="s">
        <v>711</v>
      </c>
      <c r="V593" s="254"/>
      <c r="W593" s="301" t="s">
        <v>1338</v>
      </c>
      <c r="X593" s="503" t="s">
        <v>1993</v>
      </c>
      <c r="Y593" s="488">
        <v>8442303.0</v>
      </c>
      <c r="Z593" s="254"/>
      <c r="AA593" s="372" t="s">
        <v>711</v>
      </c>
      <c r="AB593" s="428" t="s">
        <v>711</v>
      </c>
      <c r="AC593" s="499" t="s">
        <v>711</v>
      </c>
      <c r="AD593" s="343"/>
      <c r="AE593" s="347"/>
      <c r="AF593" s="313"/>
      <c r="AG593" s="313"/>
      <c r="AH593" s="313"/>
      <c r="AI593" s="313"/>
      <c r="AJ593" s="368"/>
      <c r="AK593" s="274"/>
      <c r="AL593" s="259" t="str">
        <f>MATCH(B593,'Key Findings'!B:B,0)</f>
        <v>#N/A</v>
      </c>
      <c r="AM593" s="274" t="b">
        <f t="shared" si="2"/>
        <v>0</v>
      </c>
      <c r="AN593" s="294"/>
    </row>
    <row r="594">
      <c r="A594" s="169">
        <f t="array" ref="A594">INDEX('Federal Tax, Stock Buybacks, &amp; '!D:D,match(B594,'Federal Tax, Stock Buybacks, &amp; '!E:E,0))</f>
        <v>36</v>
      </c>
      <c r="B594" s="418" t="s">
        <v>1327</v>
      </c>
      <c r="C594" s="372"/>
      <c r="D594" s="428"/>
      <c r="E594" s="499"/>
      <c r="F594" s="254"/>
      <c r="G594" s="372"/>
      <c r="H594" s="428"/>
      <c r="I594" s="499"/>
      <c r="J594" s="254"/>
      <c r="K594" s="372" t="s">
        <v>711</v>
      </c>
      <c r="L594" s="428" t="s">
        <v>711</v>
      </c>
      <c r="M594" s="499" t="s">
        <v>711</v>
      </c>
      <c r="N594" s="254"/>
      <c r="O594" s="372" t="s">
        <v>711</v>
      </c>
      <c r="P594" s="428" t="s">
        <v>711</v>
      </c>
      <c r="Q594" s="499" t="s">
        <v>711</v>
      </c>
      <c r="R594" s="254"/>
      <c r="S594" s="372" t="s">
        <v>711</v>
      </c>
      <c r="T594" s="428" t="s">
        <v>711</v>
      </c>
      <c r="U594" s="499" t="s">
        <v>711</v>
      </c>
      <c r="V594" s="254"/>
      <c r="W594" s="301" t="s">
        <v>1329</v>
      </c>
      <c r="X594" s="503" t="s">
        <v>2199</v>
      </c>
      <c r="Y594" s="488">
        <v>1.3814026E7</v>
      </c>
      <c r="Z594" s="254"/>
      <c r="AA594" s="372" t="s">
        <v>711</v>
      </c>
      <c r="AB594" s="428" t="s">
        <v>711</v>
      </c>
      <c r="AC594" s="499" t="s">
        <v>711</v>
      </c>
      <c r="AD594" s="343"/>
      <c r="AE594" s="347"/>
      <c r="AF594" s="313"/>
      <c r="AG594" s="313"/>
      <c r="AH594" s="313"/>
      <c r="AI594" s="313"/>
      <c r="AJ594" s="368"/>
      <c r="AK594" s="274"/>
      <c r="AL594" s="259" t="str">
        <f>MATCH(B594,'Key Findings'!B:B,0)</f>
        <v>#N/A</v>
      </c>
      <c r="AM594" s="274" t="b">
        <f t="shared" si="2"/>
        <v>0</v>
      </c>
      <c r="AN594" s="294"/>
    </row>
    <row r="595">
      <c r="A595" s="196" t="str">
        <f t="array" ref="A595">INDEX('Federal Tax, Stock Buybacks, &amp; '!D:D,match(B595,'Federal Tax, Stock Buybacks, &amp; '!E:E,0))</f>
        <v>#N/A</v>
      </c>
      <c r="B595" s="386" t="s">
        <v>1461</v>
      </c>
      <c r="C595" s="316"/>
      <c r="D595" s="374"/>
      <c r="E595" s="539"/>
      <c r="F595" s="254"/>
      <c r="G595" s="316"/>
      <c r="H595" s="374"/>
      <c r="I595" s="539"/>
      <c r="J595" s="254"/>
      <c r="K595" s="316" t="s">
        <v>1460</v>
      </c>
      <c r="L595" s="374" t="s">
        <v>1664</v>
      </c>
      <c r="M595" s="539">
        <v>4.8029631E7</v>
      </c>
      <c r="N595" s="254"/>
      <c r="O595" s="316" t="s">
        <v>1460</v>
      </c>
      <c r="P595" s="374" t="s">
        <v>1664</v>
      </c>
      <c r="Q595" s="540">
        <v>2.5513922E7</v>
      </c>
      <c r="R595" s="254"/>
      <c r="S595" s="316" t="s">
        <v>1460</v>
      </c>
      <c r="T595" s="374" t="s">
        <v>1664</v>
      </c>
      <c r="U595" s="471">
        <v>2.4221319E7</v>
      </c>
      <c r="V595" s="254"/>
      <c r="W595" s="316" t="s">
        <v>1460</v>
      </c>
      <c r="X595" s="374" t="s">
        <v>1664</v>
      </c>
      <c r="Y595" s="471">
        <v>2.3796002E7</v>
      </c>
      <c r="Z595" s="254"/>
      <c r="AA595" s="316" t="s">
        <v>1466</v>
      </c>
      <c r="AB595" s="334" t="s">
        <v>2207</v>
      </c>
      <c r="AC595" s="472">
        <v>2.3775941E7</v>
      </c>
      <c r="AD595" s="288"/>
      <c r="AE595" s="289">
        <v>2022.0</v>
      </c>
      <c r="AF595" s="289">
        <v>2021.0</v>
      </c>
      <c r="AG595" s="289">
        <v>2020.0</v>
      </c>
      <c r="AH595" s="289">
        <v>2019.0</v>
      </c>
      <c r="AI595" s="289">
        <v>2018.0</v>
      </c>
      <c r="AJ595" s="320" t="s">
        <v>1524</v>
      </c>
      <c r="AK595" s="260"/>
      <c r="AL595" s="259" t="str">
        <f>MATCH(B595,'Key Findings'!B:B,0)</f>
        <v>#N/A</v>
      </c>
      <c r="AM595" s="260" t="str">
        <f t="shared" si="2"/>
        <v>#N/A</v>
      </c>
      <c r="AN595" s="294"/>
    </row>
    <row r="596">
      <c r="A596" s="196" t="str">
        <f t="array" ref="A596">INDEX('Federal Tax, Stock Buybacks, &amp; '!D:D,match(B596,'Federal Tax, Stock Buybacks, &amp; '!E:E,0))</f>
        <v>#N/A</v>
      </c>
      <c r="B596" s="386" t="s">
        <v>1461</v>
      </c>
      <c r="C596" s="316"/>
      <c r="D596" s="286"/>
      <c r="E596" s="539"/>
      <c r="F596" s="254"/>
      <c r="G596" s="316"/>
      <c r="H596" s="286"/>
      <c r="I596" s="539"/>
      <c r="J596" s="254"/>
      <c r="K596" s="316" t="s">
        <v>1463</v>
      </c>
      <c r="L596" s="286" t="s">
        <v>2098</v>
      </c>
      <c r="M596" s="539">
        <v>1.483864E7</v>
      </c>
      <c r="N596" s="254"/>
      <c r="O596" s="316" t="s">
        <v>1463</v>
      </c>
      <c r="P596" s="285" t="s">
        <v>2098</v>
      </c>
      <c r="Q596" s="540">
        <v>1.3353632E7</v>
      </c>
      <c r="R596" s="254"/>
      <c r="S596" s="316" t="s">
        <v>1463</v>
      </c>
      <c r="T596" s="295" t="s">
        <v>1532</v>
      </c>
      <c r="U596" s="471">
        <v>1.1699407E7</v>
      </c>
      <c r="V596" s="254"/>
      <c r="W596" s="316" t="s">
        <v>1463</v>
      </c>
      <c r="X596" s="295" t="s">
        <v>1532</v>
      </c>
      <c r="Y596" s="471">
        <v>1.3745491E7</v>
      </c>
      <c r="Z596" s="254"/>
      <c r="AA596" s="316" t="s">
        <v>1460</v>
      </c>
      <c r="AB596" s="374" t="s">
        <v>1664</v>
      </c>
      <c r="AC596" s="472">
        <v>1.7341442E7</v>
      </c>
      <c r="AD596" s="288"/>
      <c r="AE596" s="292"/>
      <c r="AF596" s="292"/>
      <c r="AG596" s="292"/>
      <c r="AH596" s="292"/>
      <c r="AI596" s="292"/>
      <c r="AJ596" s="394"/>
      <c r="AK596" s="260"/>
      <c r="AL596" s="259" t="str">
        <f>MATCH(B596,'Key Findings'!B:B,0)</f>
        <v>#N/A</v>
      </c>
      <c r="AM596" s="260" t="str">
        <f t="shared" si="2"/>
        <v>#N/A</v>
      </c>
      <c r="AN596" s="294"/>
    </row>
    <row r="597">
      <c r="A597" s="196" t="str">
        <f t="array" ref="A597">INDEX('Federal Tax, Stock Buybacks, &amp; '!D:D,match(B597,'Federal Tax, Stock Buybacks, &amp; '!E:E,0))</f>
        <v>#N/A</v>
      </c>
      <c r="B597" s="386" t="s">
        <v>1461</v>
      </c>
      <c r="C597" s="316"/>
      <c r="D597" s="286"/>
      <c r="E597" s="539"/>
      <c r="F597" s="254"/>
      <c r="G597" s="316"/>
      <c r="H597" s="286"/>
      <c r="I597" s="539"/>
      <c r="J597" s="254"/>
      <c r="K597" s="316" t="s">
        <v>1462</v>
      </c>
      <c r="L597" s="286" t="s">
        <v>1696</v>
      </c>
      <c r="M597" s="539">
        <v>1.6183149E7</v>
      </c>
      <c r="N597" s="254"/>
      <c r="O597" s="316" t="s">
        <v>1462</v>
      </c>
      <c r="P597" s="317" t="s">
        <v>2208</v>
      </c>
      <c r="Q597" s="540">
        <v>1.4733675E7</v>
      </c>
      <c r="R597" s="254"/>
      <c r="S597" s="316" t="s">
        <v>1462</v>
      </c>
      <c r="T597" s="295" t="s">
        <v>2209</v>
      </c>
      <c r="U597" s="471">
        <v>1.2564387E7</v>
      </c>
      <c r="V597" s="254"/>
      <c r="W597" s="316" t="s">
        <v>1462</v>
      </c>
      <c r="X597" s="295" t="s">
        <v>2209</v>
      </c>
      <c r="Y597" s="471">
        <v>1.3670672E7</v>
      </c>
      <c r="Z597" s="254"/>
      <c r="AA597" s="316" t="s">
        <v>1463</v>
      </c>
      <c r="AB597" s="295" t="s">
        <v>1532</v>
      </c>
      <c r="AC597" s="472">
        <v>1.1864652E7</v>
      </c>
      <c r="AD597" s="288"/>
      <c r="AE597" s="292"/>
      <c r="AF597" s="292"/>
      <c r="AG597" s="292"/>
      <c r="AH597" s="292"/>
      <c r="AI597" s="292"/>
      <c r="AJ597" s="394"/>
      <c r="AK597" s="260"/>
      <c r="AL597" s="259" t="str">
        <f>MATCH(B597,'Key Findings'!B:B,0)</f>
        <v>#N/A</v>
      </c>
      <c r="AM597" s="260" t="str">
        <f t="shared" si="2"/>
        <v>#N/A</v>
      </c>
      <c r="AN597" s="294"/>
    </row>
    <row r="598">
      <c r="A598" s="196" t="str">
        <f t="array" ref="A598">INDEX('Federal Tax, Stock Buybacks, &amp; '!D:D,match(B598,'Federal Tax, Stock Buybacks, &amp; '!E:E,0))</f>
        <v>#N/A</v>
      </c>
      <c r="B598" s="386" t="s">
        <v>1461</v>
      </c>
      <c r="C598" s="316"/>
      <c r="D598" s="286"/>
      <c r="E598" s="539"/>
      <c r="F598" s="254"/>
      <c r="G598" s="316"/>
      <c r="H598" s="286"/>
      <c r="I598" s="539"/>
      <c r="J598" s="254"/>
      <c r="K598" s="316" t="s">
        <v>1464</v>
      </c>
      <c r="L598" s="286" t="s">
        <v>2210</v>
      </c>
      <c r="M598" s="539">
        <v>1.8244778E7</v>
      </c>
      <c r="N598" s="254"/>
      <c r="O598" s="316" t="s">
        <v>1465</v>
      </c>
      <c r="P598" s="317" t="s">
        <v>1554</v>
      </c>
      <c r="Q598" s="541">
        <v>1.0574682E7</v>
      </c>
      <c r="R598" s="254"/>
      <c r="S598" s="316" t="s">
        <v>1465</v>
      </c>
      <c r="T598" s="317" t="s">
        <v>1554</v>
      </c>
      <c r="U598" s="471">
        <v>9139038.0</v>
      </c>
      <c r="V598" s="254"/>
      <c r="W598" s="316" t="s">
        <v>1465</v>
      </c>
      <c r="X598" s="317" t="s">
        <v>1554</v>
      </c>
      <c r="Y598" s="471">
        <v>8513758.0</v>
      </c>
      <c r="Z598" s="254"/>
      <c r="AA598" s="316" t="s">
        <v>1462</v>
      </c>
      <c r="AB598" s="295" t="s">
        <v>2209</v>
      </c>
      <c r="AC598" s="472">
        <v>1.032775E7</v>
      </c>
      <c r="AD598" s="288"/>
      <c r="AE598" s="292"/>
      <c r="AF598" s="292"/>
      <c r="AG598" s="292"/>
      <c r="AH598" s="292"/>
      <c r="AI598" s="292"/>
      <c r="AJ598" s="394"/>
      <c r="AK598" s="260"/>
      <c r="AL598" s="259" t="str">
        <f>MATCH(B598,'Key Findings'!B:B,0)</f>
        <v>#N/A</v>
      </c>
      <c r="AM598" s="260" t="str">
        <f t="shared" si="2"/>
        <v>#N/A</v>
      </c>
      <c r="AN598" s="294"/>
    </row>
    <row r="599">
      <c r="A599" s="196" t="str">
        <f t="array" ref="A599">INDEX('Federal Tax, Stock Buybacks, &amp; '!D:D,match(B599,'Federal Tax, Stock Buybacks, &amp; '!E:E,0))</f>
        <v>#N/A</v>
      </c>
      <c r="B599" s="386" t="s">
        <v>1461</v>
      </c>
      <c r="C599" s="316"/>
      <c r="D599" s="286"/>
      <c r="E599" s="539"/>
      <c r="F599" s="254"/>
      <c r="G599" s="316"/>
      <c r="H599" s="286"/>
      <c r="I599" s="539"/>
      <c r="J599" s="254"/>
      <c r="K599" s="316" t="s">
        <v>1467</v>
      </c>
      <c r="L599" s="286" t="s">
        <v>2211</v>
      </c>
      <c r="M599" s="539">
        <v>1.53918E7</v>
      </c>
      <c r="N599" s="254"/>
      <c r="O599" s="316" t="s">
        <v>1464</v>
      </c>
      <c r="P599" s="285" t="s">
        <v>2210</v>
      </c>
      <c r="Q599" s="541">
        <v>1.3362708E7</v>
      </c>
      <c r="R599" s="254"/>
      <c r="S599" s="316" t="s">
        <v>1464</v>
      </c>
      <c r="T599" s="285" t="s">
        <v>2210</v>
      </c>
      <c r="U599" s="471">
        <v>1.0268841E7</v>
      </c>
      <c r="V599" s="254"/>
      <c r="W599" s="316" t="s">
        <v>1464</v>
      </c>
      <c r="X599" s="374" t="s">
        <v>2212</v>
      </c>
      <c r="Y599" s="471">
        <v>1.1528808E7</v>
      </c>
      <c r="Z599" s="254"/>
      <c r="AA599" s="316" t="s">
        <v>1468</v>
      </c>
      <c r="AB599" s="374" t="s">
        <v>2213</v>
      </c>
      <c r="AC599" s="472">
        <v>8895693.0</v>
      </c>
      <c r="AD599" s="288"/>
      <c r="AE599" s="292"/>
      <c r="AF599" s="292"/>
      <c r="AG599" s="292"/>
      <c r="AH599" s="292"/>
      <c r="AI599" s="292"/>
      <c r="AJ599" s="394"/>
      <c r="AK599" s="260"/>
      <c r="AL599" s="259" t="str">
        <f>MATCH(B599,'Key Findings'!B:B,0)</f>
        <v>#N/A</v>
      </c>
      <c r="AM599" s="260" t="str">
        <f t="shared" si="2"/>
        <v>#N/A</v>
      </c>
      <c r="AN599" s="294"/>
    </row>
    <row r="600">
      <c r="A600" s="196" t="str">
        <f t="array" ref="A600">INDEX('Federal Tax, Stock Buybacks, &amp; '!D:D,match(B600,'Federal Tax, Stock Buybacks, &amp; '!E:E,0))</f>
        <v>#N/A</v>
      </c>
      <c r="B600" s="386" t="s">
        <v>1461</v>
      </c>
      <c r="C600" s="298"/>
      <c r="D600" s="296"/>
      <c r="E600" s="543"/>
      <c r="F600" s="254"/>
      <c r="G600" s="298"/>
      <c r="H600" s="296"/>
      <c r="I600" s="543"/>
      <c r="J600" s="254"/>
      <c r="K600" s="298" t="s">
        <v>711</v>
      </c>
      <c r="L600" s="296" t="s">
        <v>711</v>
      </c>
      <c r="M600" s="543" t="s">
        <v>711</v>
      </c>
      <c r="N600" s="254"/>
      <c r="O600" s="298" t="s">
        <v>711</v>
      </c>
      <c r="P600" s="296" t="s">
        <v>711</v>
      </c>
      <c r="Q600" s="543" t="s">
        <v>711</v>
      </c>
      <c r="R600" s="254"/>
      <c r="S600" s="298" t="s">
        <v>711</v>
      </c>
      <c r="T600" s="296" t="s">
        <v>711</v>
      </c>
      <c r="U600" s="543" t="s">
        <v>711</v>
      </c>
      <c r="V600" s="254"/>
      <c r="W600" s="298" t="s">
        <v>711</v>
      </c>
      <c r="X600" s="296" t="s">
        <v>711</v>
      </c>
      <c r="Y600" s="543" t="s">
        <v>711</v>
      </c>
      <c r="Z600" s="254"/>
      <c r="AA600" s="316" t="s">
        <v>1464</v>
      </c>
      <c r="AB600" s="374" t="s">
        <v>2212</v>
      </c>
      <c r="AC600" s="472">
        <v>8539360.0</v>
      </c>
      <c r="AD600" s="288"/>
      <c r="AE600" s="292"/>
      <c r="AF600" s="292"/>
      <c r="AG600" s="292"/>
      <c r="AH600" s="292"/>
      <c r="AI600" s="292"/>
      <c r="AJ600" s="394"/>
      <c r="AK600" s="260"/>
      <c r="AL600" s="259" t="str">
        <f>MATCH(B600,'Key Findings'!B:B,0)</f>
        <v>#N/A</v>
      </c>
      <c r="AM600" s="260" t="str">
        <f t="shared" si="2"/>
        <v>#N/A</v>
      </c>
      <c r="AN600" s="294"/>
    </row>
    <row r="601">
      <c r="A601" s="169">
        <f t="array" ref="A601">INDEX('Federal Tax, Stock Buybacks, &amp; '!D:D,match(B601,'Federal Tax, Stock Buybacks, &amp; '!E:E,0))</f>
        <v>60</v>
      </c>
      <c r="B601" s="418" t="s">
        <v>1085</v>
      </c>
      <c r="C601" s="421"/>
      <c r="D601" s="369"/>
      <c r="E601" s="499"/>
      <c r="F601" s="254"/>
      <c r="G601" s="421"/>
      <c r="H601" s="369"/>
      <c r="I601" s="499"/>
      <c r="J601" s="254"/>
      <c r="K601" s="421" t="s">
        <v>1096</v>
      </c>
      <c r="L601" s="369" t="s">
        <v>2214</v>
      </c>
      <c r="M601" s="499">
        <v>6433289.0</v>
      </c>
      <c r="N601" s="254"/>
      <c r="O601" s="516" t="s">
        <v>1084</v>
      </c>
      <c r="P601" s="369" t="s">
        <v>2215</v>
      </c>
      <c r="Q601" s="499">
        <v>6446191.0</v>
      </c>
      <c r="R601" s="254"/>
      <c r="S601" s="516" t="s">
        <v>1084</v>
      </c>
      <c r="T601" s="369" t="s">
        <v>2216</v>
      </c>
      <c r="U601" s="499">
        <v>2.8499825E7</v>
      </c>
      <c r="V601" s="254"/>
      <c r="W601" s="516" t="s">
        <v>1090</v>
      </c>
      <c r="X601" s="369" t="s">
        <v>1958</v>
      </c>
      <c r="Y601" s="499">
        <v>1.0508643E7</v>
      </c>
      <c r="Z601" s="254"/>
      <c r="AA601" s="516" t="s">
        <v>1090</v>
      </c>
      <c r="AB601" s="369" t="s">
        <v>1585</v>
      </c>
      <c r="AC601" s="499">
        <v>8025792.0</v>
      </c>
      <c r="AD601" s="306"/>
      <c r="AE601" s="307">
        <v>2022.0</v>
      </c>
      <c r="AF601" s="307">
        <v>2021.0</v>
      </c>
      <c r="AG601" s="307">
        <v>2020.0</v>
      </c>
      <c r="AH601" s="307">
        <v>2019.0</v>
      </c>
      <c r="AI601" s="307">
        <v>2018.0</v>
      </c>
      <c r="AJ601" s="273" t="s">
        <v>1524</v>
      </c>
      <c r="AK601" s="274"/>
      <c r="AL601" s="259" t="str">
        <f>MATCH(B601,'Key Findings'!B:B,0)</f>
        <v>#N/A</v>
      </c>
      <c r="AM601" s="274" t="b">
        <f t="shared" si="2"/>
        <v>0</v>
      </c>
      <c r="AN601" s="294"/>
    </row>
    <row r="602">
      <c r="A602" s="169">
        <f t="array" ref="A602">INDEX('Federal Tax, Stock Buybacks, &amp; '!D:D,match(B602,'Federal Tax, Stock Buybacks, &amp; '!E:E,0))</f>
        <v>60</v>
      </c>
      <c r="B602" s="418" t="s">
        <v>1085</v>
      </c>
      <c r="C602" s="421"/>
      <c r="D602" s="369"/>
      <c r="E602" s="499"/>
      <c r="F602" s="254"/>
      <c r="G602" s="421"/>
      <c r="H602" s="369"/>
      <c r="I602" s="499"/>
      <c r="J602" s="254"/>
      <c r="K602" s="421" t="s">
        <v>1087</v>
      </c>
      <c r="L602" s="369" t="s">
        <v>1662</v>
      </c>
      <c r="M602" s="499">
        <v>1.0072343E7</v>
      </c>
      <c r="N602" s="254"/>
      <c r="O602" s="421" t="s">
        <v>1087</v>
      </c>
      <c r="P602" s="369" t="s">
        <v>1662</v>
      </c>
      <c r="Q602" s="499">
        <v>8634964.0</v>
      </c>
      <c r="R602" s="254"/>
      <c r="S602" s="421" t="s">
        <v>1087</v>
      </c>
      <c r="T602" s="369" t="s">
        <v>1662</v>
      </c>
      <c r="U602" s="499">
        <v>9519105.0</v>
      </c>
      <c r="V602" s="254"/>
      <c r="W602" s="516" t="s">
        <v>1084</v>
      </c>
      <c r="X602" s="369" t="s">
        <v>1815</v>
      </c>
      <c r="Y602" s="499">
        <v>3.0913982E7</v>
      </c>
      <c r="Z602" s="254"/>
      <c r="AA602" s="516" t="s">
        <v>1084</v>
      </c>
      <c r="AB602" s="369" t="s">
        <v>1815</v>
      </c>
      <c r="AC602" s="499">
        <v>2.1516613E7</v>
      </c>
      <c r="AD602" s="306"/>
      <c r="AE602" s="308"/>
      <c r="AF602" s="308"/>
      <c r="AG602" s="308"/>
      <c r="AH602" s="308"/>
      <c r="AI602" s="308"/>
      <c r="AJ602" s="278"/>
      <c r="AK602" s="274"/>
      <c r="AL602" s="259" t="str">
        <f>MATCH(B602,'Key Findings'!B:B,0)</f>
        <v>#N/A</v>
      </c>
      <c r="AM602" s="274" t="b">
        <f t="shared" si="2"/>
        <v>0</v>
      </c>
      <c r="AN602" s="294"/>
    </row>
    <row r="603">
      <c r="A603" s="169">
        <f t="array" ref="A603">INDEX('Federal Tax, Stock Buybacks, &amp; '!D:D,match(B603,'Federal Tax, Stock Buybacks, &amp; '!E:E,0))</f>
        <v>60</v>
      </c>
      <c r="B603" s="418" t="s">
        <v>1085</v>
      </c>
      <c r="C603" s="421"/>
      <c r="D603" s="369"/>
      <c r="E603" s="499"/>
      <c r="F603" s="254"/>
      <c r="G603" s="421"/>
      <c r="H603" s="369"/>
      <c r="I603" s="499"/>
      <c r="J603" s="254"/>
      <c r="K603" s="421" t="s">
        <v>1086</v>
      </c>
      <c r="L603" s="369" t="s">
        <v>1815</v>
      </c>
      <c r="M603" s="499">
        <v>2.4810545E7</v>
      </c>
      <c r="N603" s="254"/>
      <c r="O603" s="516" t="s">
        <v>1088</v>
      </c>
      <c r="P603" s="369" t="s">
        <v>2217</v>
      </c>
      <c r="Q603" s="499">
        <v>6846698.0</v>
      </c>
      <c r="R603" s="254"/>
      <c r="S603" s="516" t="s">
        <v>1088</v>
      </c>
      <c r="T603" s="369" t="s">
        <v>2218</v>
      </c>
      <c r="U603" s="499">
        <v>8253314.0</v>
      </c>
      <c r="V603" s="254"/>
      <c r="W603" s="516" t="s">
        <v>1091</v>
      </c>
      <c r="X603" s="369" t="s">
        <v>2219</v>
      </c>
      <c r="Y603" s="499">
        <v>9667544.0</v>
      </c>
      <c r="Z603" s="254"/>
      <c r="AA603" s="516" t="s">
        <v>1097</v>
      </c>
      <c r="AB603" s="414" t="s">
        <v>2220</v>
      </c>
      <c r="AC603" s="499">
        <v>6426126.0</v>
      </c>
      <c r="AD603" s="306"/>
      <c r="AE603" s="308"/>
      <c r="AF603" s="308"/>
      <c r="AG603" s="308"/>
      <c r="AH603" s="308"/>
      <c r="AI603" s="308"/>
      <c r="AJ603" s="278"/>
      <c r="AK603" s="274"/>
      <c r="AL603" s="259" t="str">
        <f>MATCH(B603,'Key Findings'!B:B,0)</f>
        <v>#N/A</v>
      </c>
      <c r="AM603" s="274" t="b">
        <f t="shared" si="2"/>
        <v>0</v>
      </c>
      <c r="AN603" s="294"/>
    </row>
    <row r="604">
      <c r="A604" s="169">
        <f t="array" ref="A604">INDEX('Federal Tax, Stock Buybacks, &amp; '!D:D,match(B604,'Federal Tax, Stock Buybacks, &amp; '!E:E,0))</f>
        <v>60</v>
      </c>
      <c r="B604" s="418" t="s">
        <v>1085</v>
      </c>
      <c r="C604" s="516"/>
      <c r="D604" s="369"/>
      <c r="E604" s="499"/>
      <c r="F604" s="254"/>
      <c r="G604" s="516"/>
      <c r="H604" s="369"/>
      <c r="I604" s="499"/>
      <c r="J604" s="254"/>
      <c r="K604" s="516" t="s">
        <v>1100</v>
      </c>
      <c r="L604" s="369" t="s">
        <v>2221</v>
      </c>
      <c r="M604" s="499">
        <v>2457429.0</v>
      </c>
      <c r="N604" s="254"/>
      <c r="O604" s="516" t="s">
        <v>1089</v>
      </c>
      <c r="P604" s="369" t="s">
        <v>1528</v>
      </c>
      <c r="Q604" s="499">
        <v>7347292.0</v>
      </c>
      <c r="R604" s="254"/>
      <c r="S604" s="516" t="s">
        <v>1092</v>
      </c>
      <c r="T604" s="369" t="s">
        <v>2222</v>
      </c>
      <c r="U604" s="499">
        <v>8368103.0</v>
      </c>
      <c r="V604" s="254"/>
      <c r="W604" s="516" t="s">
        <v>1087</v>
      </c>
      <c r="X604" s="414" t="s">
        <v>2223</v>
      </c>
      <c r="Y604" s="499">
        <v>8519819.0</v>
      </c>
      <c r="Z604" s="254"/>
      <c r="AA604" s="516" t="s">
        <v>1091</v>
      </c>
      <c r="AB604" s="369" t="s">
        <v>2224</v>
      </c>
      <c r="AC604" s="499">
        <v>6686455.0</v>
      </c>
      <c r="AD604" s="306"/>
      <c r="AE604" s="308"/>
      <c r="AF604" s="308"/>
      <c r="AG604" s="308"/>
      <c r="AH604" s="308"/>
      <c r="AI604" s="308"/>
      <c r="AJ604" s="278"/>
      <c r="AK604" s="274"/>
      <c r="AL604" s="259" t="str">
        <f>MATCH(B604,'Key Findings'!B:B,0)</f>
        <v>#N/A</v>
      </c>
      <c r="AM604" s="274" t="b">
        <f t="shared" si="2"/>
        <v>0</v>
      </c>
      <c r="AN604" s="294"/>
    </row>
    <row r="605">
      <c r="A605" s="169">
        <f t="array" ref="A605">INDEX('Federal Tax, Stock Buybacks, &amp; '!D:D,match(B605,'Federal Tax, Stock Buybacks, &amp; '!E:E,0))</f>
        <v>60</v>
      </c>
      <c r="B605" s="418" t="s">
        <v>1085</v>
      </c>
      <c r="C605" s="516"/>
      <c r="D605" s="369"/>
      <c r="E605" s="499"/>
      <c r="F605" s="254"/>
      <c r="G605" s="516"/>
      <c r="H605" s="369"/>
      <c r="I605" s="499"/>
      <c r="J605" s="254"/>
      <c r="K605" s="516" t="s">
        <v>1094</v>
      </c>
      <c r="L605" s="369" t="s">
        <v>2225</v>
      </c>
      <c r="M605" s="499">
        <v>7270105.0</v>
      </c>
      <c r="N605" s="254"/>
      <c r="O605" s="421" t="s">
        <v>1086</v>
      </c>
      <c r="P605" s="369" t="s">
        <v>1815</v>
      </c>
      <c r="Q605" s="499">
        <v>1.8111211E7</v>
      </c>
      <c r="R605" s="254"/>
      <c r="S605" s="516" t="s">
        <v>1089</v>
      </c>
      <c r="T605" s="414" t="s">
        <v>1532</v>
      </c>
      <c r="U605" s="499">
        <v>8006723.0</v>
      </c>
      <c r="V605" s="254"/>
      <c r="W605" s="516" t="s">
        <v>1088</v>
      </c>
      <c r="X605" s="369" t="s">
        <v>2218</v>
      </c>
      <c r="Y605" s="499">
        <v>8583507.0</v>
      </c>
      <c r="Z605" s="254"/>
      <c r="AA605" s="516" t="s">
        <v>1087</v>
      </c>
      <c r="AB605" s="414" t="s">
        <v>2223</v>
      </c>
      <c r="AC605" s="499">
        <v>6065648.0</v>
      </c>
      <c r="AD605" s="306"/>
      <c r="AE605" s="308"/>
      <c r="AF605" s="308"/>
      <c r="AG605" s="308"/>
      <c r="AH605" s="308"/>
      <c r="AI605" s="308"/>
      <c r="AJ605" s="278"/>
      <c r="AK605" s="274"/>
      <c r="AL605" s="259" t="str">
        <f>MATCH(B605,'Key Findings'!B:B,0)</f>
        <v>#N/A</v>
      </c>
      <c r="AM605" s="274" t="b">
        <f t="shared" si="2"/>
        <v>0</v>
      </c>
      <c r="AN605" s="294"/>
    </row>
    <row r="606">
      <c r="A606" s="169">
        <f t="array" ref="A606">INDEX('Federal Tax, Stock Buybacks, &amp; '!D:D,match(B606,'Federal Tax, Stock Buybacks, &amp; '!E:E,0))</f>
        <v>60</v>
      </c>
      <c r="B606" s="418" t="s">
        <v>1085</v>
      </c>
      <c r="C606" s="516"/>
      <c r="D606" s="369"/>
      <c r="E606" s="499"/>
      <c r="F606" s="254"/>
      <c r="G606" s="516"/>
      <c r="H606" s="369"/>
      <c r="I606" s="499"/>
      <c r="J606" s="254"/>
      <c r="K606" s="516" t="s">
        <v>1095</v>
      </c>
      <c r="L606" s="369" t="s">
        <v>2226</v>
      </c>
      <c r="M606" s="499">
        <v>6555483.0</v>
      </c>
      <c r="N606" s="254"/>
      <c r="O606" s="516" t="s">
        <v>1100</v>
      </c>
      <c r="P606" s="369" t="s">
        <v>2227</v>
      </c>
      <c r="Q606" s="499">
        <v>2428883.0</v>
      </c>
      <c r="R606" s="254"/>
      <c r="S606" s="421" t="s">
        <v>1086</v>
      </c>
      <c r="T606" s="369" t="s">
        <v>1815</v>
      </c>
      <c r="U606" s="499">
        <v>2.3360369E7</v>
      </c>
      <c r="V606" s="254"/>
      <c r="W606" s="516" t="s">
        <v>1092</v>
      </c>
      <c r="X606" s="414" t="s">
        <v>2226</v>
      </c>
      <c r="Y606" s="499">
        <v>7886815.0</v>
      </c>
      <c r="Z606" s="254"/>
      <c r="AA606" s="516" t="s">
        <v>1088</v>
      </c>
      <c r="AB606" s="369" t="s">
        <v>2228</v>
      </c>
      <c r="AC606" s="499">
        <v>6293501.0</v>
      </c>
      <c r="AD606" s="306"/>
      <c r="AE606" s="308"/>
      <c r="AF606" s="308"/>
      <c r="AG606" s="308"/>
      <c r="AH606" s="308"/>
      <c r="AI606" s="308"/>
      <c r="AJ606" s="278"/>
      <c r="AK606" s="274"/>
      <c r="AL606" s="259" t="str">
        <f>MATCH(B606,'Key Findings'!B:B,0)</f>
        <v>#N/A</v>
      </c>
      <c r="AM606" s="274" t="b">
        <f t="shared" si="2"/>
        <v>0</v>
      </c>
      <c r="AN606" s="294"/>
    </row>
    <row r="607">
      <c r="A607" s="169">
        <f t="array" ref="A607">INDEX('Federal Tax, Stock Buybacks, &amp; '!D:D,match(B607,'Federal Tax, Stock Buybacks, &amp; '!E:E,0))</f>
        <v>60</v>
      </c>
      <c r="B607" s="418" t="s">
        <v>1085</v>
      </c>
      <c r="C607" s="516"/>
      <c r="D607" s="369"/>
      <c r="E607" s="499"/>
      <c r="F607" s="254"/>
      <c r="G607" s="516"/>
      <c r="H607" s="369"/>
      <c r="I607" s="499"/>
      <c r="J607" s="254"/>
      <c r="K607" s="516" t="s">
        <v>1093</v>
      </c>
      <c r="L607" s="369" t="s">
        <v>1532</v>
      </c>
      <c r="M607" s="499">
        <v>1.4564251E7</v>
      </c>
      <c r="N607" s="254"/>
      <c r="O607" s="516" t="s">
        <v>1099</v>
      </c>
      <c r="P607" s="369" t="s">
        <v>2229</v>
      </c>
      <c r="Q607" s="499">
        <v>6204240.0</v>
      </c>
      <c r="R607" s="254"/>
      <c r="S607" s="372" t="s">
        <v>711</v>
      </c>
      <c r="T607" s="370" t="s">
        <v>711</v>
      </c>
      <c r="U607" s="517" t="s">
        <v>711</v>
      </c>
      <c r="V607" s="254"/>
      <c r="W607" s="516" t="s">
        <v>1089</v>
      </c>
      <c r="X607" s="369" t="s">
        <v>1585</v>
      </c>
      <c r="Y607" s="499">
        <v>9262230.0</v>
      </c>
      <c r="Z607" s="254"/>
      <c r="AA607" s="516" t="s">
        <v>1098</v>
      </c>
      <c r="AB607" s="369" t="s">
        <v>2230</v>
      </c>
      <c r="AC607" s="499">
        <v>6400147.0</v>
      </c>
      <c r="AD607" s="306"/>
      <c r="AE607" s="308"/>
      <c r="AF607" s="308"/>
      <c r="AG607" s="308"/>
      <c r="AH607" s="308"/>
      <c r="AI607" s="308"/>
      <c r="AJ607" s="278"/>
      <c r="AK607" s="274"/>
      <c r="AL607" s="259" t="str">
        <f>MATCH(B607,'Key Findings'!B:B,0)</f>
        <v>#N/A</v>
      </c>
      <c r="AM607" s="274" t="b">
        <f t="shared" si="2"/>
        <v>0</v>
      </c>
      <c r="AN607" s="294"/>
    </row>
    <row r="608">
      <c r="A608" s="169">
        <f t="array" ref="A608">INDEX('Federal Tax, Stock Buybacks, &amp; '!D:D,match(B608,'Federal Tax, Stock Buybacks, &amp; '!E:E,0))</f>
        <v>200</v>
      </c>
      <c r="B608" s="529" t="s">
        <v>878</v>
      </c>
      <c r="C608" s="498"/>
      <c r="D608" s="369"/>
      <c r="E608" s="499"/>
      <c r="F608" s="254"/>
      <c r="G608" s="498"/>
      <c r="H608" s="369"/>
      <c r="I608" s="499"/>
      <c r="J608" s="254"/>
      <c r="K608" s="498" t="s">
        <v>877</v>
      </c>
      <c r="L608" s="369" t="s">
        <v>2231</v>
      </c>
      <c r="M608" s="499">
        <v>2.1629586E7</v>
      </c>
      <c r="N608" s="254"/>
      <c r="O608" s="498" t="s">
        <v>877</v>
      </c>
      <c r="P608" s="369" t="s">
        <v>2231</v>
      </c>
      <c r="Q608" s="499">
        <v>1.9195411E7</v>
      </c>
      <c r="R608" s="254"/>
      <c r="S608" s="498" t="s">
        <v>877</v>
      </c>
      <c r="T608" s="369" t="s">
        <v>2231</v>
      </c>
      <c r="U608" s="499">
        <v>1.9056652E7</v>
      </c>
      <c r="V608" s="254"/>
      <c r="W608" s="498" t="s">
        <v>877</v>
      </c>
      <c r="X608" s="369" t="s">
        <v>2231</v>
      </c>
      <c r="Y608" s="499">
        <v>1.8633807E7</v>
      </c>
      <c r="Z608" s="254"/>
      <c r="AA608" s="498" t="s">
        <v>877</v>
      </c>
      <c r="AB608" s="369" t="s">
        <v>2231</v>
      </c>
      <c r="AC608" s="499">
        <v>1.7576224E7</v>
      </c>
      <c r="AD608" s="306"/>
      <c r="AE608" s="307">
        <v>2022.0</v>
      </c>
      <c r="AF608" s="307">
        <v>2021.0</v>
      </c>
      <c r="AG608" s="307">
        <v>2020.0</v>
      </c>
      <c r="AH608" s="307">
        <v>2019.0</v>
      </c>
      <c r="AI608" s="307">
        <v>2018.0</v>
      </c>
      <c r="AJ608" s="367" t="s">
        <v>1524</v>
      </c>
      <c r="AK608" s="274"/>
      <c r="AL608" s="259" t="str">
        <f>MATCH(B608,'Key Findings'!B:B,0)</f>
        <v>#N/A</v>
      </c>
      <c r="AM608" s="274" t="b">
        <f t="shared" si="2"/>
        <v>0</v>
      </c>
      <c r="AN608" s="294"/>
    </row>
    <row r="609">
      <c r="A609" s="169">
        <f t="array" ref="A609">INDEX('Federal Tax, Stock Buybacks, &amp; '!D:D,match(B609,'Federal Tax, Stock Buybacks, &amp; '!E:E,0))</f>
        <v>200</v>
      </c>
      <c r="B609" s="529" t="s">
        <v>878</v>
      </c>
      <c r="C609" s="498"/>
      <c r="D609" s="369"/>
      <c r="E609" s="499"/>
      <c r="F609" s="254"/>
      <c r="G609" s="498"/>
      <c r="H609" s="369"/>
      <c r="I609" s="499"/>
      <c r="J609" s="254"/>
      <c r="K609" s="498" t="s">
        <v>880</v>
      </c>
      <c r="L609" s="369" t="s">
        <v>2232</v>
      </c>
      <c r="M609" s="499">
        <v>6055305.0</v>
      </c>
      <c r="N609" s="254"/>
      <c r="O609" s="498" t="s">
        <v>880</v>
      </c>
      <c r="P609" s="369" t="s">
        <v>2232</v>
      </c>
      <c r="Q609" s="499">
        <v>5396970.0</v>
      </c>
      <c r="R609" s="254"/>
      <c r="S609" s="498" t="s">
        <v>880</v>
      </c>
      <c r="T609" s="369" t="s">
        <v>2232</v>
      </c>
      <c r="U609" s="499">
        <v>5253033.0</v>
      </c>
      <c r="V609" s="254"/>
      <c r="W609" s="498" t="s">
        <v>880</v>
      </c>
      <c r="X609" s="369" t="s">
        <v>2232</v>
      </c>
      <c r="Y609" s="499">
        <v>4861735.0</v>
      </c>
      <c r="Z609" s="254"/>
      <c r="AA609" s="498" t="s">
        <v>880</v>
      </c>
      <c r="AB609" s="369" t="s">
        <v>2232</v>
      </c>
      <c r="AC609" s="499">
        <v>4187169.0</v>
      </c>
      <c r="AD609" s="306"/>
      <c r="AE609" s="308"/>
      <c r="AF609" s="308"/>
      <c r="AG609" s="308"/>
      <c r="AH609" s="308"/>
      <c r="AI609" s="308"/>
      <c r="AJ609" s="368"/>
      <c r="AK609" s="274"/>
      <c r="AL609" s="259" t="str">
        <f>MATCH(B609,'Key Findings'!B:B,0)</f>
        <v>#N/A</v>
      </c>
      <c r="AM609" s="274" t="b">
        <f t="shared" si="2"/>
        <v>0</v>
      </c>
      <c r="AN609" s="294"/>
    </row>
    <row r="610">
      <c r="A610" s="169">
        <f t="array" ref="A610">INDEX('Federal Tax, Stock Buybacks, &amp; '!D:D,match(B610,'Federal Tax, Stock Buybacks, &amp; '!E:E,0))</f>
        <v>200</v>
      </c>
      <c r="B610" s="300" t="s">
        <v>878</v>
      </c>
      <c r="C610" s="363"/>
      <c r="D610" s="363"/>
      <c r="E610" s="499"/>
      <c r="F610" s="254"/>
      <c r="G610" s="363"/>
      <c r="H610" s="363"/>
      <c r="I610" s="499"/>
      <c r="J610" s="254"/>
      <c r="K610" s="363" t="s">
        <v>879</v>
      </c>
      <c r="L610" s="363" t="s">
        <v>2233</v>
      </c>
      <c r="M610" s="499">
        <v>1.2291996E7</v>
      </c>
      <c r="N610" s="254"/>
      <c r="O610" s="363" t="s">
        <v>879</v>
      </c>
      <c r="P610" s="363" t="s">
        <v>2233</v>
      </c>
      <c r="Q610" s="499">
        <v>1.0028318E7</v>
      </c>
      <c r="R610" s="254"/>
      <c r="S610" s="363" t="s">
        <v>879</v>
      </c>
      <c r="T610" s="363" t="s">
        <v>2233</v>
      </c>
      <c r="U610" s="499">
        <v>7222501.0</v>
      </c>
      <c r="V610" s="254"/>
      <c r="W610" s="363" t="s">
        <v>879</v>
      </c>
      <c r="X610" s="363" t="s">
        <v>2233</v>
      </c>
      <c r="Y610" s="499">
        <v>5862215.0</v>
      </c>
      <c r="Z610" s="254"/>
      <c r="AA610" s="363" t="s">
        <v>879</v>
      </c>
      <c r="AB610" s="363" t="s">
        <v>2233</v>
      </c>
      <c r="AC610" s="488">
        <v>5854416.0</v>
      </c>
      <c r="AD610" s="306"/>
      <c r="AE610" s="308"/>
      <c r="AF610" s="308"/>
      <c r="AG610" s="308"/>
      <c r="AH610" s="308"/>
      <c r="AI610" s="308"/>
      <c r="AJ610" s="368"/>
      <c r="AK610" s="274"/>
      <c r="AL610" s="259" t="str">
        <f>MATCH(B610,'Key Findings'!B:B,0)</f>
        <v>#N/A</v>
      </c>
      <c r="AM610" s="274" t="b">
        <f t="shared" si="2"/>
        <v>0</v>
      </c>
      <c r="AN610" s="294"/>
    </row>
    <row r="611">
      <c r="A611" s="169">
        <f t="array" ref="A611">INDEX('Federal Tax, Stock Buybacks, &amp; '!D:D,match(B611,'Federal Tax, Stock Buybacks, &amp; '!E:E,0))</f>
        <v>200</v>
      </c>
      <c r="B611" s="300" t="s">
        <v>878</v>
      </c>
      <c r="C611" s="363"/>
      <c r="D611" s="363"/>
      <c r="E611" s="499"/>
      <c r="F611" s="254"/>
      <c r="G611" s="363"/>
      <c r="H611" s="363"/>
      <c r="I611" s="499"/>
      <c r="J611" s="254"/>
      <c r="K611" s="363" t="s">
        <v>882</v>
      </c>
      <c r="L611" s="363" t="s">
        <v>1891</v>
      </c>
      <c r="M611" s="499">
        <v>6817226.0</v>
      </c>
      <c r="N611" s="254"/>
      <c r="O611" s="363" t="s">
        <v>882</v>
      </c>
      <c r="P611" s="363" t="s">
        <v>1891</v>
      </c>
      <c r="Q611" s="499">
        <v>6217934.0</v>
      </c>
      <c r="R611" s="254"/>
      <c r="S611" s="363" t="s">
        <v>882</v>
      </c>
      <c r="T611" s="363" t="s">
        <v>1891</v>
      </c>
      <c r="U611" s="499">
        <v>4960494.0</v>
      </c>
      <c r="V611" s="254"/>
      <c r="W611" s="362" t="s">
        <v>884</v>
      </c>
      <c r="X611" s="516" t="s">
        <v>1891</v>
      </c>
      <c r="Y611" s="499">
        <v>7414651.0</v>
      </c>
      <c r="Z611" s="254"/>
      <c r="AA611" s="362" t="s">
        <v>884</v>
      </c>
      <c r="AB611" s="516" t="s">
        <v>1891</v>
      </c>
      <c r="AC611" s="488">
        <v>5613956.0</v>
      </c>
      <c r="AD611" s="306"/>
      <c r="AE611" s="308"/>
      <c r="AF611" s="308"/>
      <c r="AG611" s="308"/>
      <c r="AH611" s="308"/>
      <c r="AI611" s="308"/>
      <c r="AJ611" s="368"/>
      <c r="AK611" s="274"/>
      <c r="AL611" s="259" t="str">
        <f>MATCH(B611,'Key Findings'!B:B,0)</f>
        <v>#N/A</v>
      </c>
      <c r="AM611" s="274" t="b">
        <f t="shared" si="2"/>
        <v>0</v>
      </c>
      <c r="AN611" s="294"/>
    </row>
    <row r="612">
      <c r="A612" s="169">
        <f t="array" ref="A612">INDEX('Federal Tax, Stock Buybacks, &amp; '!D:D,match(B612,'Federal Tax, Stock Buybacks, &amp; '!E:E,0))</f>
        <v>200</v>
      </c>
      <c r="B612" s="300" t="s">
        <v>878</v>
      </c>
      <c r="C612" s="363"/>
      <c r="D612" s="363"/>
      <c r="E612" s="499"/>
      <c r="F612" s="254"/>
      <c r="G612" s="363"/>
      <c r="H612" s="363"/>
      <c r="I612" s="499"/>
      <c r="J612" s="254"/>
      <c r="K612" s="363" t="s">
        <v>881</v>
      </c>
      <c r="L612" s="363" t="s">
        <v>1891</v>
      </c>
      <c r="M612" s="499">
        <v>6672375.0</v>
      </c>
      <c r="N612" s="254"/>
      <c r="O612" s="363" t="s">
        <v>881</v>
      </c>
      <c r="P612" s="363" t="s">
        <v>1891</v>
      </c>
      <c r="Q612" s="499">
        <v>5970023.0</v>
      </c>
      <c r="R612" s="254"/>
      <c r="S612" s="363" t="s">
        <v>881</v>
      </c>
      <c r="T612" s="363" t="s">
        <v>1891</v>
      </c>
      <c r="U612" s="499">
        <v>5698340.0</v>
      </c>
      <c r="V612" s="254"/>
      <c r="W612" s="362" t="s">
        <v>883</v>
      </c>
      <c r="X612" s="516" t="s">
        <v>1891</v>
      </c>
      <c r="Y612" s="499">
        <v>5897960.0</v>
      </c>
      <c r="Z612" s="254"/>
      <c r="AA612" s="362" t="s">
        <v>883</v>
      </c>
      <c r="AB612" s="516" t="s">
        <v>1891</v>
      </c>
      <c r="AC612" s="488">
        <v>5892061.0</v>
      </c>
      <c r="AD612" s="306"/>
      <c r="AE612" s="308"/>
      <c r="AF612" s="308"/>
      <c r="AG612" s="308"/>
      <c r="AH612" s="308"/>
      <c r="AI612" s="308"/>
      <c r="AJ612" s="368"/>
      <c r="AK612" s="274"/>
      <c r="AL612" s="259" t="str">
        <f>MATCH(B612,'Key Findings'!B:B,0)</f>
        <v>#N/A</v>
      </c>
      <c r="AM612" s="274" t="b">
        <f t="shared" si="2"/>
        <v>0</v>
      </c>
      <c r="AN612" s="294"/>
    </row>
    <row r="613">
      <c r="A613" s="169">
        <f t="array" ref="A613">INDEX('Federal Tax, Stock Buybacks, &amp; '!D:D,match(B613,'Federal Tax, Stock Buybacks, &amp; '!E:E,0))</f>
        <v>200</v>
      </c>
      <c r="B613" s="300" t="s">
        <v>878</v>
      </c>
      <c r="C613" s="372"/>
      <c r="D613" s="370"/>
      <c r="E613" s="517"/>
      <c r="F613" s="254"/>
      <c r="G613" s="372"/>
      <c r="H613" s="370"/>
      <c r="I613" s="517"/>
      <c r="J613" s="254"/>
      <c r="K613" s="372" t="s">
        <v>711</v>
      </c>
      <c r="L613" s="370" t="s">
        <v>711</v>
      </c>
      <c r="M613" s="517" t="s">
        <v>711</v>
      </c>
      <c r="N613" s="254"/>
      <c r="O613" s="372" t="s">
        <v>711</v>
      </c>
      <c r="P613" s="370" t="s">
        <v>711</v>
      </c>
      <c r="Q613" s="517" t="s">
        <v>711</v>
      </c>
      <c r="R613" s="254"/>
      <c r="S613" s="362" t="s">
        <v>883</v>
      </c>
      <c r="T613" s="516" t="s">
        <v>1891</v>
      </c>
      <c r="U613" s="499">
        <v>6004708.0</v>
      </c>
      <c r="V613" s="254"/>
      <c r="W613" s="372" t="s">
        <v>711</v>
      </c>
      <c r="X613" s="370" t="s">
        <v>711</v>
      </c>
      <c r="Y613" s="517" t="s">
        <v>711</v>
      </c>
      <c r="Z613" s="254"/>
      <c r="AA613" s="544" t="s">
        <v>885</v>
      </c>
      <c r="AB613" s="544" t="s">
        <v>1539</v>
      </c>
      <c r="AC613" s="532">
        <v>1.0726599E7</v>
      </c>
      <c r="AD613" s="306"/>
      <c r="AE613" s="308"/>
      <c r="AF613" s="308"/>
      <c r="AG613" s="308"/>
      <c r="AH613" s="308"/>
      <c r="AI613" s="308"/>
      <c r="AJ613" s="368"/>
      <c r="AK613" s="274"/>
      <c r="AL613" s="259" t="str">
        <f>MATCH(B613,'Key Findings'!B:B,0)</f>
        <v>#N/A</v>
      </c>
      <c r="AM613" s="274" t="b">
        <f t="shared" si="2"/>
        <v>0</v>
      </c>
      <c r="AN613" s="294"/>
    </row>
    <row r="614">
      <c r="A614" s="169">
        <f t="array" ref="A614">INDEX('Federal Tax, Stock Buybacks, &amp; '!D:D,match(B614,'Federal Tax, Stock Buybacks, &amp; '!E:E,0))</f>
        <v>15</v>
      </c>
      <c r="B614" s="404" t="s">
        <v>1351</v>
      </c>
      <c r="C614" s="405"/>
      <c r="D614" s="406"/>
      <c r="E614" s="472"/>
      <c r="F614" s="254"/>
      <c r="G614" s="405"/>
      <c r="H614" s="406"/>
      <c r="I614" s="472"/>
      <c r="J614" s="254"/>
      <c r="K614" s="405" t="s">
        <v>1354</v>
      </c>
      <c r="L614" s="406" t="s">
        <v>1884</v>
      </c>
      <c r="M614" s="472">
        <v>5232747.0</v>
      </c>
      <c r="N614" s="254"/>
      <c r="O614" s="405" t="s">
        <v>1352</v>
      </c>
      <c r="P614" s="405" t="s">
        <v>2234</v>
      </c>
      <c r="Q614" s="472">
        <v>1.056336E7</v>
      </c>
      <c r="R614" s="254"/>
      <c r="S614" s="405" t="s">
        <v>1352</v>
      </c>
      <c r="T614" s="405" t="s">
        <v>2235</v>
      </c>
      <c r="U614" s="472">
        <v>1.0780189E7</v>
      </c>
      <c r="V614" s="254"/>
      <c r="W614" s="405" t="s">
        <v>1352</v>
      </c>
      <c r="X614" s="405" t="s">
        <v>2236</v>
      </c>
      <c r="Y614" s="472">
        <v>2.3544332E7</v>
      </c>
      <c r="Z614" s="254"/>
      <c r="AA614" s="405" t="s">
        <v>1352</v>
      </c>
      <c r="AB614" s="405" t="s">
        <v>2237</v>
      </c>
      <c r="AC614" s="472">
        <v>8875346.0</v>
      </c>
      <c r="AD614" s="407"/>
      <c r="AE614" s="408">
        <v>2022.0</v>
      </c>
      <c r="AF614" s="408">
        <v>2021.0</v>
      </c>
      <c r="AG614" s="408">
        <v>2020.0</v>
      </c>
      <c r="AH614" s="408">
        <v>2019.0</v>
      </c>
      <c r="AI614" s="408">
        <v>2018.0</v>
      </c>
      <c r="AJ614" s="290" t="s">
        <v>1524</v>
      </c>
      <c r="AK614" s="260"/>
      <c r="AL614" s="259" t="str">
        <f>MATCH(B614,'Key Findings'!B:B,0)</f>
        <v>#N/A</v>
      </c>
      <c r="AM614" s="260" t="b">
        <f t="shared" si="2"/>
        <v>1</v>
      </c>
      <c r="AN614" s="294"/>
    </row>
    <row r="615">
      <c r="A615" s="169">
        <f t="array" ref="A615">INDEX('Federal Tax, Stock Buybacks, &amp; '!D:D,match(B615,'Federal Tax, Stock Buybacks, &amp; '!E:E,0))</f>
        <v>15</v>
      </c>
      <c r="B615" s="404" t="s">
        <v>1351</v>
      </c>
      <c r="C615" s="405"/>
      <c r="D615" s="406"/>
      <c r="E615" s="472"/>
      <c r="F615" s="254"/>
      <c r="G615" s="405"/>
      <c r="H615" s="406"/>
      <c r="I615" s="472"/>
      <c r="J615" s="254"/>
      <c r="K615" s="405" t="s">
        <v>1350</v>
      </c>
      <c r="L615" s="406" t="s">
        <v>1674</v>
      </c>
      <c r="M615" s="472">
        <v>2.0965504E7</v>
      </c>
      <c r="N615" s="254"/>
      <c r="O615" s="405" t="s">
        <v>1354</v>
      </c>
      <c r="P615" s="405" t="s">
        <v>1884</v>
      </c>
      <c r="Q615" s="472">
        <v>5272598.0</v>
      </c>
      <c r="R615" s="254"/>
      <c r="S615" s="405" t="s">
        <v>1354</v>
      </c>
      <c r="T615" s="405" t="s">
        <v>1884</v>
      </c>
      <c r="U615" s="472">
        <v>4981845.0</v>
      </c>
      <c r="V615" s="254"/>
      <c r="W615" s="405" t="s">
        <v>1354</v>
      </c>
      <c r="X615" s="405" t="s">
        <v>1884</v>
      </c>
      <c r="Y615" s="472">
        <v>4564463.0</v>
      </c>
      <c r="Z615" s="254"/>
      <c r="AA615" s="405" t="s">
        <v>1354</v>
      </c>
      <c r="AB615" s="405" t="s">
        <v>1884</v>
      </c>
      <c r="AC615" s="472">
        <v>4009355.0</v>
      </c>
      <c r="AD615" s="407"/>
      <c r="AE615" s="409"/>
      <c r="AF615" s="410"/>
      <c r="AG615" s="410"/>
      <c r="AH615" s="410"/>
      <c r="AI615" s="410"/>
      <c r="AJ615" s="293"/>
      <c r="AK615" s="260"/>
      <c r="AL615" s="259" t="str">
        <f>MATCH(B615,'Key Findings'!B:B,0)</f>
        <v>#N/A</v>
      </c>
      <c r="AM615" s="260" t="b">
        <f t="shared" si="2"/>
        <v>1</v>
      </c>
      <c r="AN615" s="294"/>
    </row>
    <row r="616">
      <c r="A616" s="169">
        <f t="array" ref="A616">INDEX('Federal Tax, Stock Buybacks, &amp; '!D:D,match(B616,'Federal Tax, Stock Buybacks, &amp; '!E:E,0))</f>
        <v>15</v>
      </c>
      <c r="B616" s="404" t="s">
        <v>1351</v>
      </c>
      <c r="C616" s="405"/>
      <c r="D616" s="406"/>
      <c r="E616" s="472"/>
      <c r="F616" s="254"/>
      <c r="G616" s="405"/>
      <c r="H616" s="406"/>
      <c r="I616" s="472"/>
      <c r="J616" s="254"/>
      <c r="K616" s="405" t="s">
        <v>1353</v>
      </c>
      <c r="L616" s="406" t="s">
        <v>2238</v>
      </c>
      <c r="M616" s="472">
        <v>8562793.0</v>
      </c>
      <c r="N616" s="254"/>
      <c r="O616" s="405" t="s">
        <v>1350</v>
      </c>
      <c r="P616" s="405" t="s">
        <v>1674</v>
      </c>
      <c r="Q616" s="472">
        <v>1.9872266E7</v>
      </c>
      <c r="R616" s="254"/>
      <c r="S616" s="405" t="s">
        <v>1350</v>
      </c>
      <c r="T616" s="405" t="s">
        <v>1588</v>
      </c>
      <c r="U616" s="472">
        <v>1.9929493E7</v>
      </c>
      <c r="V616" s="254"/>
      <c r="W616" s="405" t="s">
        <v>1350</v>
      </c>
      <c r="X616" s="405" t="s">
        <v>1588</v>
      </c>
      <c r="Y616" s="472">
        <v>1.9303032E7</v>
      </c>
      <c r="Z616" s="254"/>
      <c r="AA616" s="405" t="s">
        <v>1361</v>
      </c>
      <c r="AB616" s="405" t="s">
        <v>2239</v>
      </c>
      <c r="AC616" s="472">
        <v>3526008.0</v>
      </c>
      <c r="AD616" s="407"/>
      <c r="AE616" s="409"/>
      <c r="AF616" s="410"/>
      <c r="AG616" s="410"/>
      <c r="AH616" s="410"/>
      <c r="AI616" s="410"/>
      <c r="AJ616" s="293"/>
      <c r="AK616" s="260"/>
      <c r="AL616" s="259" t="str">
        <f>MATCH(B616,'Key Findings'!B:B,0)</f>
        <v>#N/A</v>
      </c>
      <c r="AM616" s="260" t="b">
        <f t="shared" si="2"/>
        <v>1</v>
      </c>
      <c r="AN616" s="294"/>
    </row>
    <row r="617">
      <c r="A617" s="169">
        <f t="array" ref="A617">INDEX('Federal Tax, Stock Buybacks, &amp; '!D:D,match(B617,'Federal Tax, Stock Buybacks, &amp; '!E:E,0))</f>
        <v>15</v>
      </c>
      <c r="B617" s="404" t="s">
        <v>1351</v>
      </c>
      <c r="C617" s="405"/>
      <c r="D617" s="406"/>
      <c r="E617" s="472"/>
      <c r="F617" s="254"/>
      <c r="G617" s="405"/>
      <c r="H617" s="406"/>
      <c r="I617" s="472"/>
      <c r="J617" s="254"/>
      <c r="K617" s="405" t="s">
        <v>1356</v>
      </c>
      <c r="L617" s="406" t="s">
        <v>1881</v>
      </c>
      <c r="M617" s="472">
        <v>6965681.0</v>
      </c>
      <c r="N617" s="254"/>
      <c r="O617" s="405" t="s">
        <v>1353</v>
      </c>
      <c r="P617" s="405" t="s">
        <v>2240</v>
      </c>
      <c r="Q617" s="472">
        <v>7645681.0</v>
      </c>
      <c r="R617" s="254"/>
      <c r="S617" s="405" t="s">
        <v>1353</v>
      </c>
      <c r="T617" s="405" t="s">
        <v>2241</v>
      </c>
      <c r="U617" s="472">
        <v>6336563.0</v>
      </c>
      <c r="V617" s="254"/>
      <c r="W617" s="405" t="s">
        <v>1353</v>
      </c>
      <c r="X617" s="405" t="s">
        <v>1881</v>
      </c>
      <c r="Y617" s="472">
        <v>6140264.0</v>
      </c>
      <c r="Z617" s="254"/>
      <c r="AA617" s="405" t="s">
        <v>1350</v>
      </c>
      <c r="AB617" s="405" t="s">
        <v>1588</v>
      </c>
      <c r="AC617" s="472">
        <v>1.8944045E7</v>
      </c>
      <c r="AD617" s="407"/>
      <c r="AE617" s="409"/>
      <c r="AF617" s="410"/>
      <c r="AG617" s="410"/>
      <c r="AH617" s="410"/>
      <c r="AI617" s="410"/>
      <c r="AJ617" s="293"/>
      <c r="AK617" s="260"/>
      <c r="AL617" s="259" t="str">
        <f>MATCH(B617,'Key Findings'!B:B,0)</f>
        <v>#N/A</v>
      </c>
      <c r="AM617" s="260" t="b">
        <f t="shared" si="2"/>
        <v>1</v>
      </c>
      <c r="AN617" s="294"/>
    </row>
    <row r="618">
      <c r="A618" s="169">
        <f t="array" ref="A618">INDEX('Federal Tax, Stock Buybacks, &amp; '!D:D,match(B618,'Federal Tax, Stock Buybacks, &amp; '!E:E,0))</f>
        <v>15</v>
      </c>
      <c r="B618" s="404" t="s">
        <v>1351</v>
      </c>
      <c r="C618" s="405"/>
      <c r="D618" s="406"/>
      <c r="E618" s="472"/>
      <c r="F618" s="254"/>
      <c r="G618" s="405"/>
      <c r="H618" s="406"/>
      <c r="I618" s="472"/>
      <c r="J618" s="254"/>
      <c r="K618" s="405" t="s">
        <v>1359</v>
      </c>
      <c r="L618" s="406" t="s">
        <v>2242</v>
      </c>
      <c r="M618" s="472">
        <v>4624985.0</v>
      </c>
      <c r="N618" s="254"/>
      <c r="O618" s="405" t="s">
        <v>1355</v>
      </c>
      <c r="P618" s="406" t="s">
        <v>2243</v>
      </c>
      <c r="Q618" s="472">
        <v>7042927.0</v>
      </c>
      <c r="R618" s="254"/>
      <c r="S618" s="405" t="s">
        <v>1355</v>
      </c>
      <c r="T618" s="405" t="s">
        <v>2244</v>
      </c>
      <c r="U618" s="472">
        <v>6204451.0</v>
      </c>
      <c r="V618" s="254"/>
      <c r="W618" s="405" t="s">
        <v>1360</v>
      </c>
      <c r="X618" s="405" t="s">
        <v>2245</v>
      </c>
      <c r="Y618" s="472">
        <v>4611345.0</v>
      </c>
      <c r="Z618" s="254"/>
      <c r="AA618" s="405" t="s">
        <v>1357</v>
      </c>
      <c r="AB618" s="405" t="s">
        <v>2246</v>
      </c>
      <c r="AC618" s="472">
        <v>5862659.0</v>
      </c>
      <c r="AD618" s="407"/>
      <c r="AE618" s="409"/>
      <c r="AF618" s="410"/>
      <c r="AG618" s="410"/>
      <c r="AH618" s="410"/>
      <c r="AI618" s="410"/>
      <c r="AJ618" s="293"/>
      <c r="AK618" s="260"/>
      <c r="AL618" s="259" t="str">
        <f>MATCH(B618,'Key Findings'!B:B,0)</f>
        <v>#N/A</v>
      </c>
      <c r="AM618" s="260" t="b">
        <f t="shared" si="2"/>
        <v>1</v>
      </c>
      <c r="AN618" s="294"/>
    </row>
    <row r="619">
      <c r="A619" s="169">
        <f t="array" ref="A619">INDEX('Federal Tax, Stock Buybacks, &amp; '!D:D,match(B619,'Federal Tax, Stock Buybacks, &amp; '!E:E,0))</f>
        <v>15</v>
      </c>
      <c r="B619" s="404" t="s">
        <v>1351</v>
      </c>
      <c r="C619" s="411"/>
      <c r="D619" s="411"/>
      <c r="E619" s="472"/>
      <c r="F619" s="254"/>
      <c r="G619" s="411"/>
      <c r="H619" s="411"/>
      <c r="I619" s="472"/>
      <c r="J619" s="254"/>
      <c r="K619" s="411" t="s">
        <v>711</v>
      </c>
      <c r="L619" s="411" t="s">
        <v>711</v>
      </c>
      <c r="M619" s="472" t="s">
        <v>711</v>
      </c>
      <c r="N619" s="254"/>
      <c r="O619" s="405" t="s">
        <v>1356</v>
      </c>
      <c r="P619" s="405" t="s">
        <v>1881</v>
      </c>
      <c r="Q619" s="472">
        <v>5296507.0</v>
      </c>
      <c r="R619" s="254"/>
      <c r="S619" s="411" t="s">
        <v>711</v>
      </c>
      <c r="T619" s="411" t="s">
        <v>711</v>
      </c>
      <c r="U619" s="472" t="s">
        <v>711</v>
      </c>
      <c r="V619" s="254"/>
      <c r="W619" s="405" t="s">
        <v>1355</v>
      </c>
      <c r="X619" s="405" t="s">
        <v>2247</v>
      </c>
      <c r="Y619" s="472">
        <v>6199848.0</v>
      </c>
      <c r="Z619" s="254"/>
      <c r="AA619" s="405" t="s">
        <v>1358</v>
      </c>
      <c r="AB619" s="405" t="s">
        <v>2248</v>
      </c>
      <c r="AC619" s="472">
        <v>5352336.0</v>
      </c>
      <c r="AD619" s="407"/>
      <c r="AE619" s="409"/>
      <c r="AF619" s="410"/>
      <c r="AG619" s="410"/>
      <c r="AH619" s="410"/>
      <c r="AI619" s="410"/>
      <c r="AJ619" s="293"/>
      <c r="AK619" s="260"/>
      <c r="AL619" s="259" t="str">
        <f>MATCH(B619,'Key Findings'!B:B,0)</f>
        <v>#N/A</v>
      </c>
      <c r="AM619" s="260" t="b">
        <f t="shared" si="2"/>
        <v>1</v>
      </c>
      <c r="AN619" s="294"/>
    </row>
    <row r="620">
      <c r="A620" s="169">
        <f t="array" ref="A620">INDEX('Federal Tax, Stock Buybacks, &amp; '!D:D,match(B620,'Federal Tax, Stock Buybacks, &amp; '!E:E,0))</f>
        <v>15</v>
      </c>
      <c r="B620" s="404" t="s">
        <v>1351</v>
      </c>
      <c r="C620" s="411"/>
      <c r="D620" s="411"/>
      <c r="E620" s="472"/>
      <c r="F620" s="254"/>
      <c r="G620" s="411"/>
      <c r="H620" s="411"/>
      <c r="I620" s="472"/>
      <c r="J620" s="254"/>
      <c r="K620" s="411" t="s">
        <v>711</v>
      </c>
      <c r="L620" s="411" t="s">
        <v>711</v>
      </c>
      <c r="M620" s="472" t="s">
        <v>711</v>
      </c>
      <c r="N620" s="254"/>
      <c r="O620" s="411" t="s">
        <v>711</v>
      </c>
      <c r="P620" s="411" t="s">
        <v>711</v>
      </c>
      <c r="Q620" s="472" t="s">
        <v>711</v>
      </c>
      <c r="R620" s="254"/>
      <c r="S620" s="411" t="s">
        <v>711</v>
      </c>
      <c r="T620" s="411" t="s">
        <v>711</v>
      </c>
      <c r="U620" s="472" t="s">
        <v>711</v>
      </c>
      <c r="V620" s="254"/>
      <c r="W620" s="411" t="s">
        <v>711</v>
      </c>
      <c r="X620" s="411" t="s">
        <v>711</v>
      </c>
      <c r="Y620" s="472" t="s">
        <v>711</v>
      </c>
      <c r="Z620" s="254"/>
      <c r="AA620" s="405" t="s">
        <v>1353</v>
      </c>
      <c r="AB620" s="405" t="s">
        <v>1585</v>
      </c>
      <c r="AC620" s="472">
        <v>4770408.0</v>
      </c>
      <c r="AD620" s="407"/>
      <c r="AE620" s="409"/>
      <c r="AF620" s="410"/>
      <c r="AG620" s="410"/>
      <c r="AH620" s="410"/>
      <c r="AI620" s="410"/>
      <c r="AJ620" s="293"/>
      <c r="AK620" s="260"/>
      <c r="AL620" s="259" t="str">
        <f>MATCH(B620,'Key Findings'!B:B,0)</f>
        <v>#N/A</v>
      </c>
      <c r="AM620" s="260" t="b">
        <f t="shared" si="2"/>
        <v>1</v>
      </c>
      <c r="AN620" s="294"/>
    </row>
    <row r="621">
      <c r="A621" s="169">
        <f t="array" ref="A621">INDEX('Federal Tax, Stock Buybacks, &amp; '!D:D,match(B621,'Federal Tax, Stock Buybacks, &amp; '!E:E,0))</f>
        <v>66</v>
      </c>
      <c r="B621" s="418" t="s">
        <v>1171</v>
      </c>
      <c r="C621" s="516"/>
      <c r="D621" s="369"/>
      <c r="E621" s="499"/>
      <c r="F621" s="254"/>
      <c r="G621" s="516"/>
      <c r="H621" s="369"/>
      <c r="I621" s="499"/>
      <c r="J621" s="254"/>
      <c r="K621" s="516" t="s">
        <v>1170</v>
      </c>
      <c r="L621" s="369" t="s">
        <v>1523</v>
      </c>
      <c r="M621" s="499">
        <v>1.4637726E7</v>
      </c>
      <c r="N621" s="254"/>
      <c r="O621" s="516" t="s">
        <v>1170</v>
      </c>
      <c r="P621" s="369" t="s">
        <v>1523</v>
      </c>
      <c r="Q621" s="499">
        <v>2.063526E7</v>
      </c>
      <c r="R621" s="254"/>
      <c r="S621" s="516" t="s">
        <v>1170</v>
      </c>
      <c r="T621" s="369" t="s">
        <v>1523</v>
      </c>
      <c r="U621" s="499">
        <v>3.0397771E7</v>
      </c>
      <c r="V621" s="254"/>
      <c r="W621" s="516" t="s">
        <v>1170</v>
      </c>
      <c r="X621" s="369" t="s">
        <v>1523</v>
      </c>
      <c r="Y621" s="499">
        <v>2.6788251E7</v>
      </c>
      <c r="Z621" s="254"/>
      <c r="AA621" s="516" t="s">
        <v>1170</v>
      </c>
      <c r="AB621" s="369" t="s">
        <v>1697</v>
      </c>
      <c r="AC621" s="499">
        <v>1.000695E7</v>
      </c>
      <c r="AD621" s="306"/>
      <c r="AE621" s="307">
        <v>2022.0</v>
      </c>
      <c r="AF621" s="307">
        <v>2021.0</v>
      </c>
      <c r="AG621" s="307">
        <v>2020.0</v>
      </c>
      <c r="AH621" s="307">
        <v>2019.0</v>
      </c>
      <c r="AI621" s="307">
        <v>2018.0</v>
      </c>
      <c r="AJ621" s="273" t="s">
        <v>1524</v>
      </c>
      <c r="AK621" s="274"/>
      <c r="AL621" s="259" t="str">
        <f>MATCH(B621,'Key Findings'!B:B,0)</f>
        <v>#N/A</v>
      </c>
      <c r="AM621" s="274" t="b">
        <f t="shared" si="2"/>
        <v>0</v>
      </c>
      <c r="AN621" s="294"/>
    </row>
    <row r="622">
      <c r="A622" s="169">
        <f t="array" ref="A622">INDEX('Federal Tax, Stock Buybacks, &amp; '!D:D,match(B622,'Federal Tax, Stock Buybacks, &amp; '!E:E,0))</f>
        <v>66</v>
      </c>
      <c r="B622" s="418" t="s">
        <v>1171</v>
      </c>
      <c r="C622" s="516"/>
      <c r="D622" s="369"/>
      <c r="E622" s="499"/>
      <c r="F622" s="254"/>
      <c r="G622" s="516"/>
      <c r="H622" s="369"/>
      <c r="I622" s="499"/>
      <c r="J622" s="254"/>
      <c r="K622" s="516" t="s">
        <v>1173</v>
      </c>
      <c r="L622" s="369" t="s">
        <v>2249</v>
      </c>
      <c r="M622" s="499">
        <v>4148211.0</v>
      </c>
      <c r="N622" s="254"/>
      <c r="O622" s="516" t="s">
        <v>1173</v>
      </c>
      <c r="P622" s="369" t="s">
        <v>2249</v>
      </c>
      <c r="Q622" s="499">
        <v>6046102.0</v>
      </c>
      <c r="R622" s="254"/>
      <c r="S622" s="516" t="s">
        <v>1173</v>
      </c>
      <c r="T622" s="369" t="s">
        <v>2249</v>
      </c>
      <c r="U622" s="499">
        <v>8556247.0</v>
      </c>
      <c r="V622" s="254"/>
      <c r="W622" s="516" t="s">
        <v>1175</v>
      </c>
      <c r="X622" s="369" t="s">
        <v>2250</v>
      </c>
      <c r="Y622" s="499">
        <v>4313240.0</v>
      </c>
      <c r="Z622" s="254"/>
      <c r="AA622" s="516" t="s">
        <v>1175</v>
      </c>
      <c r="AB622" s="369" t="s">
        <v>1674</v>
      </c>
      <c r="AC622" s="499">
        <v>2.1419906E7</v>
      </c>
      <c r="AD622" s="306"/>
      <c r="AE622" s="308"/>
      <c r="AF622" s="308"/>
      <c r="AG622" s="308"/>
      <c r="AH622" s="308"/>
      <c r="AI622" s="308"/>
      <c r="AJ622" s="278"/>
      <c r="AK622" s="274"/>
      <c r="AL622" s="259" t="str">
        <f>MATCH(B622,'Key Findings'!B:B,0)</f>
        <v>#N/A</v>
      </c>
      <c r="AM622" s="274" t="b">
        <f t="shared" si="2"/>
        <v>0</v>
      </c>
      <c r="AN622" s="294"/>
    </row>
    <row r="623">
      <c r="A623" s="169">
        <f t="array" ref="A623">INDEX('Federal Tax, Stock Buybacks, &amp; '!D:D,match(B623,'Federal Tax, Stock Buybacks, &amp; '!E:E,0))</f>
        <v>66</v>
      </c>
      <c r="B623" s="418" t="s">
        <v>1171</v>
      </c>
      <c r="C623" s="516"/>
      <c r="D623" s="369"/>
      <c r="E623" s="499"/>
      <c r="F623" s="254"/>
      <c r="G623" s="516"/>
      <c r="H623" s="369"/>
      <c r="I623" s="499"/>
      <c r="J623" s="254"/>
      <c r="K623" s="516" t="s">
        <v>1174</v>
      </c>
      <c r="L623" s="369" t="s">
        <v>2251</v>
      </c>
      <c r="M623" s="499">
        <v>4996051.0</v>
      </c>
      <c r="N623" s="254"/>
      <c r="O623" s="516" t="s">
        <v>1174</v>
      </c>
      <c r="P623" s="369" t="s">
        <v>2251</v>
      </c>
      <c r="Q623" s="499">
        <v>5631206.0</v>
      </c>
      <c r="R623" s="254"/>
      <c r="S623" s="516" t="s">
        <v>1174</v>
      </c>
      <c r="T623" s="369" t="s">
        <v>2251</v>
      </c>
      <c r="U623" s="499">
        <v>6971868.0</v>
      </c>
      <c r="V623" s="254"/>
      <c r="W623" s="516" t="s">
        <v>1173</v>
      </c>
      <c r="X623" s="369" t="s">
        <v>2249</v>
      </c>
      <c r="Y623" s="499">
        <v>7761079.0</v>
      </c>
      <c r="Z623" s="254"/>
      <c r="AA623" s="516" t="s">
        <v>1173</v>
      </c>
      <c r="AB623" s="369" t="s">
        <v>2249</v>
      </c>
      <c r="AC623" s="499">
        <v>4531843.0</v>
      </c>
      <c r="AD623" s="306"/>
      <c r="AE623" s="308"/>
      <c r="AF623" s="308"/>
      <c r="AG623" s="308"/>
      <c r="AH623" s="308"/>
      <c r="AI623" s="308"/>
      <c r="AJ623" s="278"/>
      <c r="AK623" s="274"/>
      <c r="AL623" s="259" t="str">
        <f>MATCH(B623,'Key Findings'!B:B,0)</f>
        <v>#N/A</v>
      </c>
      <c r="AM623" s="274" t="b">
        <f t="shared" si="2"/>
        <v>0</v>
      </c>
      <c r="AN623" s="294"/>
    </row>
    <row r="624">
      <c r="A624" s="169">
        <f t="array" ref="A624">INDEX('Federal Tax, Stock Buybacks, &amp; '!D:D,match(B624,'Federal Tax, Stock Buybacks, &amp; '!E:E,0))</f>
        <v>66</v>
      </c>
      <c r="B624" s="418" t="s">
        <v>1171</v>
      </c>
      <c r="C624" s="516"/>
      <c r="D624" s="369"/>
      <c r="E624" s="499"/>
      <c r="F624" s="254"/>
      <c r="G624" s="516"/>
      <c r="H624" s="369"/>
      <c r="I624" s="499"/>
      <c r="J624" s="254"/>
      <c r="K624" s="516" t="s">
        <v>1172</v>
      </c>
      <c r="L624" s="369" t="s">
        <v>1585</v>
      </c>
      <c r="M624" s="499">
        <v>5058078.0</v>
      </c>
      <c r="N624" s="254"/>
      <c r="O624" s="516" t="s">
        <v>1172</v>
      </c>
      <c r="P624" s="369" t="s">
        <v>1585</v>
      </c>
      <c r="Q624" s="499">
        <v>7163022.0</v>
      </c>
      <c r="R624" s="254"/>
      <c r="S624" s="516" t="s">
        <v>1176</v>
      </c>
      <c r="T624" s="369" t="s">
        <v>2252</v>
      </c>
      <c r="U624" s="499">
        <v>6502366.0</v>
      </c>
      <c r="V624" s="254"/>
      <c r="W624" s="516" t="s">
        <v>1174</v>
      </c>
      <c r="X624" s="369" t="s">
        <v>2251</v>
      </c>
      <c r="Y624" s="499">
        <v>6508152.0</v>
      </c>
      <c r="Z624" s="254"/>
      <c r="AA624" s="516" t="s">
        <v>1174</v>
      </c>
      <c r="AB624" s="369" t="s">
        <v>2251</v>
      </c>
      <c r="AC624" s="499">
        <v>4149792.0</v>
      </c>
      <c r="AD624" s="306"/>
      <c r="AE624" s="308"/>
      <c r="AF624" s="308"/>
      <c r="AG624" s="308"/>
      <c r="AH624" s="308"/>
      <c r="AI624" s="308"/>
      <c r="AJ624" s="278"/>
      <c r="AK624" s="274"/>
      <c r="AL624" s="259" t="str">
        <f>MATCH(B624,'Key Findings'!B:B,0)</f>
        <v>#N/A</v>
      </c>
      <c r="AM624" s="274" t="b">
        <f t="shared" si="2"/>
        <v>0</v>
      </c>
      <c r="AN624" s="294"/>
    </row>
    <row r="625">
      <c r="A625" s="169">
        <f t="array" ref="A625">INDEX('Federal Tax, Stock Buybacks, &amp; '!D:D,match(B625,'Federal Tax, Stock Buybacks, &amp; '!E:E,0))</f>
        <v>66</v>
      </c>
      <c r="B625" s="418" t="s">
        <v>1171</v>
      </c>
      <c r="C625" s="516"/>
      <c r="D625" s="369"/>
      <c r="E625" s="499"/>
      <c r="F625" s="254"/>
      <c r="G625" s="516"/>
      <c r="H625" s="369"/>
      <c r="I625" s="499"/>
      <c r="J625" s="254"/>
      <c r="K625" s="516" t="s">
        <v>1177</v>
      </c>
      <c r="L625" s="369" t="s">
        <v>1887</v>
      </c>
      <c r="M625" s="499">
        <v>6465633.0</v>
      </c>
      <c r="N625" s="254"/>
      <c r="O625" s="516" t="s">
        <v>1178</v>
      </c>
      <c r="P625" s="369" t="s">
        <v>2253</v>
      </c>
      <c r="Q625" s="499">
        <v>5157924.0</v>
      </c>
      <c r="R625" s="254"/>
      <c r="S625" s="516" t="s">
        <v>1172</v>
      </c>
      <c r="T625" s="369" t="s">
        <v>1585</v>
      </c>
      <c r="U625" s="499">
        <v>6134778.0</v>
      </c>
      <c r="V625" s="254"/>
      <c r="W625" s="516" t="s">
        <v>1176</v>
      </c>
      <c r="X625" s="369" t="s">
        <v>2254</v>
      </c>
      <c r="Y625" s="499">
        <v>5991256.0</v>
      </c>
      <c r="Z625" s="254"/>
      <c r="AA625" s="516" t="s">
        <v>1172</v>
      </c>
      <c r="AB625" s="369" t="s">
        <v>1585</v>
      </c>
      <c r="AC625" s="499">
        <v>6801384.0</v>
      </c>
      <c r="AD625" s="306"/>
      <c r="AE625" s="308"/>
      <c r="AF625" s="308"/>
      <c r="AG625" s="308"/>
      <c r="AH625" s="308"/>
      <c r="AI625" s="308"/>
      <c r="AJ625" s="278"/>
      <c r="AK625" s="274"/>
      <c r="AL625" s="259" t="str">
        <f>MATCH(B625,'Key Findings'!B:B,0)</f>
        <v>#N/A</v>
      </c>
      <c r="AM625" s="274" t="b">
        <f t="shared" si="2"/>
        <v>0</v>
      </c>
      <c r="AN625" s="294"/>
    </row>
    <row r="626">
      <c r="A626" s="169">
        <f t="array" ref="A626">INDEX('Federal Tax, Stock Buybacks, &amp; '!D:D,match(B626,'Federal Tax, Stock Buybacks, &amp; '!E:E,0))</f>
        <v>66</v>
      </c>
      <c r="B626" s="418" t="s">
        <v>1171</v>
      </c>
      <c r="C626" s="372"/>
      <c r="D626" s="370"/>
      <c r="E626" s="517"/>
      <c r="F626" s="254"/>
      <c r="G626" s="372"/>
      <c r="H626" s="370"/>
      <c r="I626" s="517"/>
      <c r="J626" s="254"/>
      <c r="K626" s="372" t="s">
        <v>711</v>
      </c>
      <c r="L626" s="370" t="s">
        <v>711</v>
      </c>
      <c r="M626" s="517" t="s">
        <v>711</v>
      </c>
      <c r="N626" s="254"/>
      <c r="O626" s="372" t="s">
        <v>711</v>
      </c>
      <c r="P626" s="370" t="s">
        <v>711</v>
      </c>
      <c r="Q626" s="517" t="s">
        <v>711</v>
      </c>
      <c r="R626" s="254"/>
      <c r="S626" s="372" t="s">
        <v>711</v>
      </c>
      <c r="T626" s="370" t="s">
        <v>711</v>
      </c>
      <c r="U626" s="517" t="s">
        <v>711</v>
      </c>
      <c r="V626" s="254"/>
      <c r="W626" s="516" t="s">
        <v>1172</v>
      </c>
      <c r="X626" s="369" t="s">
        <v>1585</v>
      </c>
      <c r="Y626" s="499">
        <v>6323179.0</v>
      </c>
      <c r="Z626" s="254"/>
      <c r="AA626" s="372" t="s">
        <v>711</v>
      </c>
      <c r="AB626" s="370" t="s">
        <v>711</v>
      </c>
      <c r="AC626" s="517" t="s">
        <v>711</v>
      </c>
      <c r="AD626" s="306"/>
      <c r="AE626" s="308"/>
      <c r="AF626" s="308"/>
      <c r="AG626" s="308"/>
      <c r="AH626" s="308"/>
      <c r="AI626" s="308"/>
      <c r="AJ626" s="278"/>
      <c r="AK626" s="274"/>
      <c r="AL626" s="259" t="str">
        <f>MATCH(B626,'Key Findings'!B:B,0)</f>
        <v>#N/A</v>
      </c>
      <c r="AM626" s="274" t="b">
        <f t="shared" si="2"/>
        <v>0</v>
      </c>
      <c r="AN626" s="294"/>
    </row>
    <row r="627">
      <c r="A627" s="169">
        <f t="array" ref="A627">INDEX('Federal Tax, Stock Buybacks, &amp; '!D:D,match(B627,'Federal Tax, Stock Buybacks, &amp; '!E:E,0))</f>
        <v>22</v>
      </c>
      <c r="B627" s="404" t="s">
        <v>1231</v>
      </c>
      <c r="C627" s="405"/>
      <c r="D627" s="406"/>
      <c r="E627" s="472"/>
      <c r="F627" s="254"/>
      <c r="G627" s="405"/>
      <c r="H627" s="406"/>
      <c r="I627" s="472"/>
      <c r="J627" s="254"/>
      <c r="K627" s="405" t="s">
        <v>1234</v>
      </c>
      <c r="L627" s="406" t="s">
        <v>2255</v>
      </c>
      <c r="M627" s="472">
        <v>6426376.0</v>
      </c>
      <c r="N627" s="254"/>
      <c r="O627" s="405" t="s">
        <v>1234</v>
      </c>
      <c r="P627" s="405" t="s">
        <v>2255</v>
      </c>
      <c r="Q627" s="472">
        <v>5923134.0</v>
      </c>
      <c r="R627" s="254"/>
      <c r="S627" s="405" t="s">
        <v>1234</v>
      </c>
      <c r="T627" s="405" t="s">
        <v>2255</v>
      </c>
      <c r="U627" s="472">
        <v>5530661.0</v>
      </c>
      <c r="V627" s="254"/>
      <c r="W627" s="405" t="s">
        <v>1234</v>
      </c>
      <c r="X627" s="405" t="s">
        <v>2255</v>
      </c>
      <c r="Y627" s="472">
        <v>5247126.0</v>
      </c>
      <c r="Z627" s="254"/>
      <c r="AA627" s="405" t="s">
        <v>1234</v>
      </c>
      <c r="AB627" s="405" t="s">
        <v>2255</v>
      </c>
      <c r="AC627" s="472">
        <v>5436787.0</v>
      </c>
      <c r="AD627" s="407"/>
      <c r="AE627" s="408">
        <v>2022.0</v>
      </c>
      <c r="AF627" s="408">
        <v>2021.0</v>
      </c>
      <c r="AG627" s="408">
        <v>2020.0</v>
      </c>
      <c r="AH627" s="408">
        <v>2019.0</v>
      </c>
      <c r="AI627" s="408">
        <v>2018.0</v>
      </c>
      <c r="AJ627" s="290" t="s">
        <v>1524</v>
      </c>
      <c r="AK627" s="260"/>
      <c r="AL627" s="259" t="str">
        <f>MATCH(B627,'Key Findings'!B:B,0)</f>
        <v>#N/A</v>
      </c>
      <c r="AM627" s="260" t="b">
        <f t="shared" si="2"/>
        <v>0</v>
      </c>
      <c r="AN627" s="294"/>
    </row>
    <row r="628">
      <c r="A628" s="169">
        <f t="array" ref="A628">INDEX('Federal Tax, Stock Buybacks, &amp; '!D:D,match(B628,'Federal Tax, Stock Buybacks, &amp; '!E:E,0))</f>
        <v>22</v>
      </c>
      <c r="B628" s="404" t="s">
        <v>1231</v>
      </c>
      <c r="C628" s="405"/>
      <c r="D628" s="406"/>
      <c r="E628" s="472"/>
      <c r="F628" s="254"/>
      <c r="G628" s="405"/>
      <c r="H628" s="406"/>
      <c r="I628" s="472"/>
      <c r="J628" s="254"/>
      <c r="K628" s="405" t="s">
        <v>1232</v>
      </c>
      <c r="L628" s="406" t="s">
        <v>2256</v>
      </c>
      <c r="M628" s="472">
        <v>6387729.0</v>
      </c>
      <c r="N628" s="254"/>
      <c r="O628" s="405" t="s">
        <v>1232</v>
      </c>
      <c r="P628" s="405" t="s">
        <v>2257</v>
      </c>
      <c r="Q628" s="472">
        <v>7888858.0</v>
      </c>
      <c r="R628" s="254"/>
      <c r="S628" s="405" t="s">
        <v>1232</v>
      </c>
      <c r="T628" s="405" t="s">
        <v>2257</v>
      </c>
      <c r="U628" s="472">
        <v>5387111.0</v>
      </c>
      <c r="V628" s="254"/>
      <c r="W628" s="405" t="s">
        <v>1232</v>
      </c>
      <c r="X628" s="405" t="s">
        <v>2257</v>
      </c>
      <c r="Y628" s="472">
        <v>5076966.0</v>
      </c>
      <c r="Z628" s="254"/>
      <c r="AA628" s="405" t="s">
        <v>1232</v>
      </c>
      <c r="AB628" s="405" t="s">
        <v>2257</v>
      </c>
      <c r="AC628" s="472">
        <v>5936543.0</v>
      </c>
      <c r="AD628" s="407"/>
      <c r="AE628" s="409"/>
      <c r="AF628" s="410"/>
      <c r="AG628" s="410"/>
      <c r="AH628" s="410"/>
      <c r="AI628" s="410"/>
      <c r="AJ628" s="293"/>
      <c r="AK628" s="260"/>
      <c r="AL628" s="259" t="str">
        <f>MATCH(B628,'Key Findings'!B:B,0)</f>
        <v>#N/A</v>
      </c>
      <c r="AM628" s="260" t="b">
        <f t="shared" si="2"/>
        <v>0</v>
      </c>
      <c r="AN628" s="294"/>
    </row>
    <row r="629">
      <c r="A629" s="169">
        <f t="array" ref="A629">INDEX('Federal Tax, Stock Buybacks, &amp; '!D:D,match(B629,'Federal Tax, Stock Buybacks, &amp; '!E:E,0))</f>
        <v>22</v>
      </c>
      <c r="B629" s="404" t="s">
        <v>1231</v>
      </c>
      <c r="C629" s="405"/>
      <c r="D629" s="406"/>
      <c r="E629" s="472"/>
      <c r="F629" s="254"/>
      <c r="G629" s="405"/>
      <c r="H629" s="406"/>
      <c r="I629" s="472"/>
      <c r="J629" s="254"/>
      <c r="K629" s="405" t="s">
        <v>1233</v>
      </c>
      <c r="L629" s="406" t="s">
        <v>2258</v>
      </c>
      <c r="M629" s="472">
        <v>7641837.0</v>
      </c>
      <c r="N629" s="254"/>
      <c r="O629" s="405" t="s">
        <v>1233</v>
      </c>
      <c r="P629" s="405" t="s">
        <v>2258</v>
      </c>
      <c r="Q629" s="472">
        <v>6141280.0</v>
      </c>
      <c r="R629" s="254"/>
      <c r="S629" s="405" t="s">
        <v>1233</v>
      </c>
      <c r="T629" s="405" t="s">
        <v>2258</v>
      </c>
      <c r="U629" s="472">
        <v>5401735.0</v>
      </c>
      <c r="V629" s="254"/>
      <c r="W629" s="405" t="s">
        <v>1233</v>
      </c>
      <c r="X629" s="405" t="s">
        <v>2258</v>
      </c>
      <c r="Y629" s="472">
        <v>5109053.0</v>
      </c>
      <c r="Z629" s="254"/>
      <c r="AA629" s="405" t="s">
        <v>1233</v>
      </c>
      <c r="AB629" s="405" t="s">
        <v>2258</v>
      </c>
      <c r="AC629" s="472">
        <v>5153866.0</v>
      </c>
      <c r="AD629" s="407"/>
      <c r="AE629" s="409"/>
      <c r="AF629" s="410"/>
      <c r="AG629" s="410"/>
      <c r="AH629" s="410"/>
      <c r="AI629" s="410"/>
      <c r="AJ629" s="293"/>
      <c r="AK629" s="260"/>
      <c r="AL629" s="259" t="str">
        <f>MATCH(B629,'Key Findings'!B:B,0)</f>
        <v>#N/A</v>
      </c>
      <c r="AM629" s="260" t="b">
        <f t="shared" si="2"/>
        <v>0</v>
      </c>
      <c r="AN629" s="294"/>
    </row>
    <row r="630">
      <c r="A630" s="169">
        <f t="array" ref="A630">INDEX('Federal Tax, Stock Buybacks, &amp; '!D:D,match(B630,'Federal Tax, Stock Buybacks, &amp; '!E:E,0))</f>
        <v>22</v>
      </c>
      <c r="B630" s="404" t="s">
        <v>1231</v>
      </c>
      <c r="C630" s="405"/>
      <c r="D630" s="406"/>
      <c r="E630" s="472"/>
      <c r="F630" s="254"/>
      <c r="G630" s="405"/>
      <c r="H630" s="406"/>
      <c r="I630" s="472"/>
      <c r="J630" s="254"/>
      <c r="K630" s="405" t="s">
        <v>1230</v>
      </c>
      <c r="L630" s="406" t="s">
        <v>1855</v>
      </c>
      <c r="M630" s="472">
        <v>2.0931081E7</v>
      </c>
      <c r="N630" s="254"/>
      <c r="O630" s="405" t="s">
        <v>1230</v>
      </c>
      <c r="P630" s="405" t="s">
        <v>1855</v>
      </c>
      <c r="Q630" s="472">
        <v>1.9348241E7</v>
      </c>
      <c r="R630" s="254"/>
      <c r="S630" s="405" t="s">
        <v>1230</v>
      </c>
      <c r="T630" s="405" t="s">
        <v>1855</v>
      </c>
      <c r="U630" s="472">
        <v>1.7109952E7</v>
      </c>
      <c r="V630" s="254"/>
      <c r="W630" s="405" t="s">
        <v>1230</v>
      </c>
      <c r="X630" s="405" t="s">
        <v>1855</v>
      </c>
      <c r="Y630" s="472">
        <v>1.5473139E7</v>
      </c>
      <c r="Z630" s="254"/>
      <c r="AA630" s="405" t="s">
        <v>1236</v>
      </c>
      <c r="AB630" s="405" t="s">
        <v>2259</v>
      </c>
      <c r="AC630" s="472">
        <v>6066160.0</v>
      </c>
      <c r="AD630" s="407"/>
      <c r="AE630" s="409"/>
      <c r="AF630" s="410"/>
      <c r="AG630" s="410"/>
      <c r="AH630" s="410"/>
      <c r="AI630" s="410"/>
      <c r="AJ630" s="293"/>
      <c r="AK630" s="260"/>
      <c r="AL630" s="259" t="str">
        <f>MATCH(B630,'Key Findings'!B:B,0)</f>
        <v>#N/A</v>
      </c>
      <c r="AM630" s="260" t="b">
        <f t="shared" si="2"/>
        <v>0</v>
      </c>
      <c r="AN630" s="294"/>
    </row>
    <row r="631">
      <c r="A631" s="169">
        <f t="array" ref="A631">INDEX('Federal Tax, Stock Buybacks, &amp; '!D:D,match(B631,'Federal Tax, Stock Buybacks, &amp; '!E:E,0))</f>
        <v>22</v>
      </c>
      <c r="B631" s="404" t="s">
        <v>1231</v>
      </c>
      <c r="C631" s="405"/>
      <c r="D631" s="406"/>
      <c r="E631" s="472"/>
      <c r="F631" s="254"/>
      <c r="G631" s="405"/>
      <c r="H631" s="406"/>
      <c r="I631" s="472"/>
      <c r="J631" s="254"/>
      <c r="K631" s="405" t="s">
        <v>1235</v>
      </c>
      <c r="L631" s="406" t="s">
        <v>2260</v>
      </c>
      <c r="M631" s="472">
        <v>6386987.0</v>
      </c>
      <c r="N631" s="254"/>
      <c r="O631" s="405" t="s">
        <v>1235</v>
      </c>
      <c r="P631" s="405" t="s">
        <v>2260</v>
      </c>
      <c r="Q631" s="472">
        <v>5833937.0</v>
      </c>
      <c r="R631" s="254"/>
      <c r="S631" s="405" t="s">
        <v>1235</v>
      </c>
      <c r="T631" s="405" t="s">
        <v>2260</v>
      </c>
      <c r="U631" s="472">
        <v>5236403.0</v>
      </c>
      <c r="V631" s="254"/>
      <c r="W631" s="405" t="s">
        <v>1235</v>
      </c>
      <c r="X631" s="405" t="s">
        <v>2260</v>
      </c>
      <c r="Y631" s="472">
        <v>7922755.0</v>
      </c>
      <c r="Z631" s="254"/>
      <c r="AA631" s="405" t="s">
        <v>1230</v>
      </c>
      <c r="AB631" s="405" t="s">
        <v>1588</v>
      </c>
      <c r="AC631" s="472">
        <v>1.4184276E7</v>
      </c>
      <c r="AD631" s="407"/>
      <c r="AE631" s="409"/>
      <c r="AF631" s="410"/>
      <c r="AG631" s="410"/>
      <c r="AH631" s="410"/>
      <c r="AI631" s="410"/>
      <c r="AJ631" s="293"/>
      <c r="AK631" s="260"/>
      <c r="AL631" s="259" t="str">
        <f>MATCH(B631,'Key Findings'!B:B,0)</f>
        <v>#N/A</v>
      </c>
      <c r="AM631" s="260" t="b">
        <f t="shared" si="2"/>
        <v>0</v>
      </c>
      <c r="AN631" s="294"/>
    </row>
    <row r="632">
      <c r="A632" s="169">
        <f t="array" ref="A632">INDEX('Federal Tax, Stock Buybacks, &amp; '!D:D,match(B632,'Federal Tax, Stock Buybacks, &amp; '!E:E,0))</f>
        <v>22</v>
      </c>
      <c r="B632" s="404" t="s">
        <v>1231</v>
      </c>
      <c r="C632" s="411"/>
      <c r="D632" s="411"/>
      <c r="E632" s="472"/>
      <c r="F632" s="254"/>
      <c r="G632" s="411"/>
      <c r="H632" s="411"/>
      <c r="I632" s="472"/>
      <c r="J632" s="254"/>
      <c r="K632" s="411" t="s">
        <v>711</v>
      </c>
      <c r="L632" s="411" t="s">
        <v>711</v>
      </c>
      <c r="M632" s="472" t="s">
        <v>711</v>
      </c>
      <c r="N632" s="254"/>
      <c r="O632" s="411" t="s">
        <v>711</v>
      </c>
      <c r="P632" s="411" t="s">
        <v>711</v>
      </c>
      <c r="Q632" s="472" t="s">
        <v>711</v>
      </c>
      <c r="R632" s="254"/>
      <c r="S632" s="411" t="s">
        <v>711</v>
      </c>
      <c r="T632" s="411" t="s">
        <v>711</v>
      </c>
      <c r="U632" s="472" t="s">
        <v>711</v>
      </c>
      <c r="V632" s="254"/>
      <c r="W632" s="411" t="s">
        <v>711</v>
      </c>
      <c r="X632" s="411" t="s">
        <v>711</v>
      </c>
      <c r="Y632" s="472" t="s">
        <v>711</v>
      </c>
      <c r="Z632" s="254"/>
      <c r="AA632" s="405" t="s">
        <v>1237</v>
      </c>
      <c r="AB632" s="405" t="s">
        <v>2261</v>
      </c>
      <c r="AC632" s="472">
        <v>3977639.0</v>
      </c>
      <c r="AD632" s="407"/>
      <c r="AE632" s="409"/>
      <c r="AF632" s="410"/>
      <c r="AG632" s="410"/>
      <c r="AH632" s="410"/>
      <c r="AI632" s="410"/>
      <c r="AJ632" s="293"/>
      <c r="AK632" s="260"/>
      <c r="AL632" s="259" t="str">
        <f>MATCH(B632,'Key Findings'!B:B,0)</f>
        <v>#N/A</v>
      </c>
      <c r="AM632" s="260" t="b">
        <f t="shared" si="2"/>
        <v>0</v>
      </c>
      <c r="AN632" s="294"/>
    </row>
    <row r="633">
      <c r="A633" s="169">
        <f t="array" ref="A633">INDEX('Federal Tax, Stock Buybacks, &amp; '!D:D,match(B633,'Federal Tax, Stock Buybacks, &amp; '!E:E,0))</f>
        <v>168</v>
      </c>
      <c r="B633" s="300" t="s">
        <v>948</v>
      </c>
      <c r="C633" s="362"/>
      <c r="D633" s="363"/>
      <c r="E633" s="499"/>
      <c r="F633" s="254"/>
      <c r="G633" s="362"/>
      <c r="H633" s="363"/>
      <c r="I633" s="499"/>
      <c r="J633" s="254"/>
      <c r="K633" s="362" t="s">
        <v>947</v>
      </c>
      <c r="L633" s="363" t="s">
        <v>2231</v>
      </c>
      <c r="M633" s="499">
        <v>1.947349E7</v>
      </c>
      <c r="N633" s="254"/>
      <c r="O633" s="362" t="s">
        <v>947</v>
      </c>
      <c r="P633" s="363" t="s">
        <v>2231</v>
      </c>
      <c r="Q633" s="499">
        <v>1.750627E7</v>
      </c>
      <c r="R633" s="254"/>
      <c r="S633" s="362" t="s">
        <v>947</v>
      </c>
      <c r="T633" s="363" t="s">
        <v>2231</v>
      </c>
      <c r="U633" s="499">
        <v>1.5879053E7</v>
      </c>
      <c r="V633" s="254"/>
      <c r="W633" s="362" t="s">
        <v>947</v>
      </c>
      <c r="X633" s="363" t="s">
        <v>2231</v>
      </c>
      <c r="Y633" s="499">
        <v>1.653581E7</v>
      </c>
      <c r="Z633" s="254"/>
      <c r="AA633" s="362" t="s">
        <v>947</v>
      </c>
      <c r="AB633" s="363" t="s">
        <v>2231</v>
      </c>
      <c r="AC633" s="488">
        <v>1.5676294E7</v>
      </c>
      <c r="AD633" s="306"/>
      <c r="AE633" s="307">
        <v>2022.0</v>
      </c>
      <c r="AF633" s="307">
        <v>2021.0</v>
      </c>
      <c r="AG633" s="307">
        <v>2020.0</v>
      </c>
      <c r="AH633" s="307">
        <v>2019.0</v>
      </c>
      <c r="AI633" s="307">
        <v>2018.0</v>
      </c>
      <c r="AJ633" s="367" t="s">
        <v>1524</v>
      </c>
      <c r="AK633" s="274"/>
      <c r="AL633" s="259" t="str">
        <f>MATCH(B633,'Key Findings'!B:B,0)</f>
        <v>#N/A</v>
      </c>
      <c r="AM633" s="274" t="b">
        <f t="shared" si="2"/>
        <v>0</v>
      </c>
      <c r="AN633" s="294"/>
    </row>
    <row r="634">
      <c r="A634" s="169">
        <f t="array" ref="A634">INDEX('Federal Tax, Stock Buybacks, &amp; '!D:D,match(B634,'Federal Tax, Stock Buybacks, &amp; '!E:E,0))</f>
        <v>168</v>
      </c>
      <c r="B634" s="300" t="s">
        <v>948</v>
      </c>
      <c r="C634" s="362"/>
      <c r="D634" s="363"/>
      <c r="E634" s="499"/>
      <c r="F634" s="254"/>
      <c r="G634" s="362"/>
      <c r="H634" s="363"/>
      <c r="I634" s="499"/>
      <c r="J634" s="254"/>
      <c r="K634" s="362" t="s">
        <v>951</v>
      </c>
      <c r="L634" s="363" t="s">
        <v>2159</v>
      </c>
      <c r="M634" s="499">
        <v>1.16151E7</v>
      </c>
      <c r="N634" s="254"/>
      <c r="O634" s="362" t="s">
        <v>951</v>
      </c>
      <c r="P634" s="363" t="s">
        <v>2159</v>
      </c>
      <c r="Q634" s="499">
        <v>6290878.0</v>
      </c>
      <c r="R634" s="254"/>
      <c r="S634" s="362" t="s">
        <v>951</v>
      </c>
      <c r="T634" s="363" t="s">
        <v>2159</v>
      </c>
      <c r="U634" s="499">
        <v>5480048.0</v>
      </c>
      <c r="V634" s="254"/>
      <c r="W634" s="362" t="s">
        <v>951</v>
      </c>
      <c r="X634" s="363" t="s">
        <v>2159</v>
      </c>
      <c r="Y634" s="499">
        <v>5508119.0</v>
      </c>
      <c r="Z634" s="254"/>
      <c r="AA634" s="362" t="s">
        <v>951</v>
      </c>
      <c r="AB634" s="363" t="s">
        <v>2159</v>
      </c>
      <c r="AC634" s="488">
        <v>4907419.0</v>
      </c>
      <c r="AD634" s="306"/>
      <c r="AE634" s="308"/>
      <c r="AF634" s="308"/>
      <c r="AG634" s="308"/>
      <c r="AH634" s="308"/>
      <c r="AI634" s="308"/>
      <c r="AJ634" s="368"/>
      <c r="AK634" s="274"/>
      <c r="AL634" s="259" t="str">
        <f>MATCH(B634,'Key Findings'!B:B,0)</f>
        <v>#N/A</v>
      </c>
      <c r="AM634" s="274" t="b">
        <f t="shared" si="2"/>
        <v>0</v>
      </c>
      <c r="AN634" s="294"/>
    </row>
    <row r="635">
      <c r="A635" s="169">
        <f t="array" ref="A635">INDEX('Federal Tax, Stock Buybacks, &amp; '!D:D,match(B635,'Federal Tax, Stock Buybacks, &amp; '!E:E,0))</f>
        <v>168</v>
      </c>
      <c r="B635" s="300" t="s">
        <v>948</v>
      </c>
      <c r="C635" s="362"/>
      <c r="D635" s="363"/>
      <c r="E635" s="499"/>
      <c r="F635" s="254"/>
      <c r="G635" s="362"/>
      <c r="H635" s="363"/>
      <c r="I635" s="499"/>
      <c r="J635" s="254"/>
      <c r="K635" s="362" t="s">
        <v>949</v>
      </c>
      <c r="L635" s="363" t="s">
        <v>2262</v>
      </c>
      <c r="M635" s="499">
        <v>2.1225369E7</v>
      </c>
      <c r="N635" s="254"/>
      <c r="O635" s="362" t="s">
        <v>949</v>
      </c>
      <c r="P635" s="363" t="s">
        <v>2262</v>
      </c>
      <c r="Q635" s="499">
        <v>9972905.0</v>
      </c>
      <c r="R635" s="254"/>
      <c r="S635" s="362" t="s">
        <v>949</v>
      </c>
      <c r="T635" s="363" t="s">
        <v>2262</v>
      </c>
      <c r="U635" s="499">
        <v>8427581.0</v>
      </c>
      <c r="V635" s="254"/>
      <c r="W635" s="362" t="s">
        <v>949</v>
      </c>
      <c r="X635" s="363" t="s">
        <v>2262</v>
      </c>
      <c r="Y635" s="499">
        <v>8893740.0</v>
      </c>
      <c r="Z635" s="254"/>
      <c r="AA635" s="362" t="s">
        <v>949</v>
      </c>
      <c r="AB635" s="363" t="s">
        <v>2262</v>
      </c>
      <c r="AC635" s="488">
        <v>8645741.0</v>
      </c>
      <c r="AD635" s="306"/>
      <c r="AE635" s="308"/>
      <c r="AF635" s="308"/>
      <c r="AG635" s="308"/>
      <c r="AH635" s="308"/>
      <c r="AI635" s="308"/>
      <c r="AJ635" s="368"/>
      <c r="AK635" s="274"/>
      <c r="AL635" s="259" t="str">
        <f>MATCH(B635,'Key Findings'!B:B,0)</f>
        <v>#N/A</v>
      </c>
      <c r="AM635" s="274" t="b">
        <f t="shared" si="2"/>
        <v>0</v>
      </c>
      <c r="AN635" s="294"/>
    </row>
    <row r="636">
      <c r="A636" s="169">
        <f t="array" ref="A636">INDEX('Federal Tax, Stock Buybacks, &amp; '!D:D,match(B636,'Federal Tax, Stock Buybacks, &amp; '!E:E,0))</f>
        <v>168</v>
      </c>
      <c r="B636" s="300" t="s">
        <v>948</v>
      </c>
      <c r="C636" s="362"/>
      <c r="D636" s="363"/>
      <c r="E636" s="499"/>
      <c r="F636" s="254"/>
      <c r="G636" s="362"/>
      <c r="H636" s="363"/>
      <c r="I636" s="499"/>
      <c r="J636" s="254"/>
      <c r="K636" s="362" t="s">
        <v>950</v>
      </c>
      <c r="L636" s="363" t="s">
        <v>2263</v>
      </c>
      <c r="M636" s="499">
        <v>2.0053911E7</v>
      </c>
      <c r="N636" s="254"/>
      <c r="O636" s="362" t="s">
        <v>950</v>
      </c>
      <c r="P636" s="363" t="s">
        <v>2263</v>
      </c>
      <c r="Q636" s="499">
        <v>9813729.0</v>
      </c>
      <c r="R636" s="254"/>
      <c r="S636" s="362" t="s">
        <v>950</v>
      </c>
      <c r="T636" s="363" t="s">
        <v>2263</v>
      </c>
      <c r="U636" s="499">
        <v>8643245.0</v>
      </c>
      <c r="V636" s="254"/>
      <c r="W636" s="362" t="s">
        <v>950</v>
      </c>
      <c r="X636" s="363" t="s">
        <v>2263</v>
      </c>
      <c r="Y636" s="499">
        <v>9142075.0</v>
      </c>
      <c r="Z636" s="254"/>
      <c r="AA636" s="362" t="s">
        <v>950</v>
      </c>
      <c r="AB636" s="363" t="s">
        <v>2263</v>
      </c>
      <c r="AC636" s="488">
        <v>9276559.0</v>
      </c>
      <c r="AD636" s="306"/>
      <c r="AE636" s="308"/>
      <c r="AF636" s="308"/>
      <c r="AG636" s="308"/>
      <c r="AH636" s="308"/>
      <c r="AI636" s="308"/>
      <c r="AJ636" s="368"/>
      <c r="AK636" s="274"/>
      <c r="AL636" s="259" t="str">
        <f>MATCH(B636,'Key Findings'!B:B,0)</f>
        <v>#N/A</v>
      </c>
      <c r="AM636" s="274" t="b">
        <f t="shared" si="2"/>
        <v>0</v>
      </c>
      <c r="AN636" s="294"/>
    </row>
    <row r="637">
      <c r="A637" s="169">
        <f t="array" ref="A637">INDEX('Federal Tax, Stock Buybacks, &amp; '!D:D,match(B637,'Federal Tax, Stock Buybacks, &amp; '!E:E,0))</f>
        <v>168</v>
      </c>
      <c r="B637" s="300" t="s">
        <v>948</v>
      </c>
      <c r="C637" s="362"/>
      <c r="D637" s="363"/>
      <c r="E637" s="499"/>
      <c r="F637" s="254"/>
      <c r="G637" s="362"/>
      <c r="H637" s="363"/>
      <c r="I637" s="499"/>
      <c r="J637" s="254"/>
      <c r="K637" s="362" t="s">
        <v>952</v>
      </c>
      <c r="L637" s="363" t="s">
        <v>2264</v>
      </c>
      <c r="M637" s="499">
        <v>4494608.0</v>
      </c>
      <c r="N637" s="254"/>
      <c r="O637" s="362" t="s">
        <v>952</v>
      </c>
      <c r="P637" s="363" t="s">
        <v>2265</v>
      </c>
      <c r="Q637" s="499">
        <v>5683803.0</v>
      </c>
      <c r="R637" s="254"/>
      <c r="S637" s="362" t="s">
        <v>952</v>
      </c>
      <c r="T637" s="363" t="s">
        <v>2265</v>
      </c>
      <c r="U637" s="499">
        <v>5009693.0</v>
      </c>
      <c r="V637" s="254"/>
      <c r="W637" s="362" t="s">
        <v>952</v>
      </c>
      <c r="X637" s="363" t="s">
        <v>2265</v>
      </c>
      <c r="Y637" s="499">
        <v>4755772.0</v>
      </c>
      <c r="Z637" s="254"/>
      <c r="AA637" s="362" t="s">
        <v>953</v>
      </c>
      <c r="AB637" s="363" t="s">
        <v>2266</v>
      </c>
      <c r="AC637" s="488">
        <v>4287374.0</v>
      </c>
      <c r="AD637" s="306"/>
      <c r="AE637" s="308"/>
      <c r="AF637" s="308"/>
      <c r="AG637" s="308"/>
      <c r="AH637" s="308"/>
      <c r="AI637" s="308"/>
      <c r="AJ637" s="368"/>
      <c r="AK637" s="274"/>
      <c r="AL637" s="259" t="str">
        <f>MATCH(B637,'Key Findings'!B:B,0)</f>
        <v>#N/A</v>
      </c>
      <c r="AM637" s="274" t="b">
        <f t="shared" si="2"/>
        <v>0</v>
      </c>
      <c r="AN637" s="294"/>
    </row>
    <row r="638">
      <c r="A638" s="169">
        <f t="array" ref="A638">INDEX('Federal Tax, Stock Buybacks, &amp; '!D:D,match(B638,'Federal Tax, Stock Buybacks, &amp; '!E:E,0))</f>
        <v>168</v>
      </c>
      <c r="B638" s="300" t="s">
        <v>948</v>
      </c>
      <c r="C638" s="362"/>
      <c r="D638" s="363"/>
      <c r="E638" s="499"/>
      <c r="F638" s="254"/>
      <c r="G638" s="362"/>
      <c r="H638" s="363"/>
      <c r="I638" s="499"/>
      <c r="J638" s="254"/>
      <c r="K638" s="362" t="s">
        <v>954</v>
      </c>
      <c r="L638" s="363" t="s">
        <v>2267</v>
      </c>
      <c r="M638" s="499">
        <v>4160831.0</v>
      </c>
      <c r="N638" s="254"/>
      <c r="O638" s="372" t="s">
        <v>711</v>
      </c>
      <c r="P638" s="370" t="s">
        <v>711</v>
      </c>
      <c r="Q638" s="517" t="s">
        <v>711</v>
      </c>
      <c r="R638" s="254"/>
      <c r="S638" s="372" t="s">
        <v>711</v>
      </c>
      <c r="T638" s="370" t="s">
        <v>711</v>
      </c>
      <c r="U638" s="517" t="s">
        <v>711</v>
      </c>
      <c r="V638" s="254"/>
      <c r="W638" s="372" t="s">
        <v>711</v>
      </c>
      <c r="X638" s="370" t="s">
        <v>711</v>
      </c>
      <c r="Y638" s="517" t="s">
        <v>711</v>
      </c>
      <c r="Z638" s="254"/>
      <c r="AA638" s="372" t="s">
        <v>711</v>
      </c>
      <c r="AB638" s="370" t="s">
        <v>711</v>
      </c>
      <c r="AC638" s="517" t="s">
        <v>711</v>
      </c>
      <c r="AD638" s="306"/>
      <c r="AE638" s="308"/>
      <c r="AF638" s="308"/>
      <c r="AG638" s="308"/>
      <c r="AH638" s="308"/>
      <c r="AI638" s="308"/>
      <c r="AJ638" s="368"/>
      <c r="AK638" s="274"/>
      <c r="AL638" s="259" t="str">
        <f>MATCH(B638,'Key Findings'!B:B,0)</f>
        <v>#N/A</v>
      </c>
      <c r="AM638" s="274" t="b">
        <f t="shared" si="2"/>
        <v>0</v>
      </c>
      <c r="AN638" s="294"/>
    </row>
    <row r="639">
      <c r="A639" s="169">
        <f t="array" ref="A639">INDEX('Federal Tax, Stock Buybacks, &amp; '!D:D,match(B639,'Federal Tax, Stock Buybacks, &amp; '!E:E,0))</f>
        <v>113</v>
      </c>
      <c r="B639" s="386" t="s">
        <v>988</v>
      </c>
      <c r="C639" s="316"/>
      <c r="D639" s="286"/>
      <c r="E639" s="539"/>
      <c r="F639" s="254"/>
      <c r="G639" s="316"/>
      <c r="H639" s="286"/>
      <c r="I639" s="539"/>
      <c r="J639" s="254"/>
      <c r="K639" s="316" t="s">
        <v>987</v>
      </c>
      <c r="L639" s="286" t="s">
        <v>2268</v>
      </c>
      <c r="M639" s="539">
        <v>2.0672072E7</v>
      </c>
      <c r="N639" s="254"/>
      <c r="O639" s="316" t="s">
        <v>987</v>
      </c>
      <c r="P639" s="285" t="s">
        <v>2268</v>
      </c>
      <c r="Q639" s="540">
        <v>1.9876767E7</v>
      </c>
      <c r="R639" s="254"/>
      <c r="S639" s="316" t="s">
        <v>987</v>
      </c>
      <c r="T639" s="285" t="s">
        <v>2268</v>
      </c>
      <c r="U639" s="471">
        <v>2.0807144E7</v>
      </c>
      <c r="V639" s="254"/>
      <c r="W639" s="316" t="s">
        <v>987</v>
      </c>
      <c r="X639" s="285" t="s">
        <v>2268</v>
      </c>
      <c r="Y639" s="471">
        <v>2.030872E7</v>
      </c>
      <c r="Z639" s="254"/>
      <c r="AA639" s="316" t="s">
        <v>991</v>
      </c>
      <c r="AB639" s="334" t="s">
        <v>1674</v>
      </c>
      <c r="AC639" s="472">
        <v>2.4185259E7</v>
      </c>
      <c r="AD639" s="288"/>
      <c r="AE639" s="289">
        <v>2022.0</v>
      </c>
      <c r="AF639" s="289">
        <v>2021.0</v>
      </c>
      <c r="AG639" s="289">
        <v>2020.0</v>
      </c>
      <c r="AH639" s="289">
        <v>2019.0</v>
      </c>
      <c r="AI639" s="289">
        <v>2018.0</v>
      </c>
      <c r="AJ639" s="320" t="s">
        <v>1524</v>
      </c>
      <c r="AK639" s="260"/>
      <c r="AL639" s="259" t="str">
        <f>MATCH(B639,'Key Findings'!B:B,0)</f>
        <v>#N/A</v>
      </c>
      <c r="AM639" s="260" t="b">
        <f t="shared" si="2"/>
        <v>1</v>
      </c>
      <c r="AN639" s="294"/>
    </row>
    <row r="640">
      <c r="A640" s="169">
        <f t="array" ref="A640">INDEX('Federal Tax, Stock Buybacks, &amp; '!D:D,match(B640,'Federal Tax, Stock Buybacks, &amp; '!E:E,0))</f>
        <v>113</v>
      </c>
      <c r="B640" s="386" t="s">
        <v>988</v>
      </c>
      <c r="C640" s="316"/>
      <c r="D640" s="286"/>
      <c r="E640" s="539"/>
      <c r="F640" s="254"/>
      <c r="G640" s="316"/>
      <c r="H640" s="286"/>
      <c r="I640" s="539"/>
      <c r="J640" s="254"/>
      <c r="K640" s="316" t="s">
        <v>989</v>
      </c>
      <c r="L640" s="286" t="s">
        <v>2269</v>
      </c>
      <c r="M640" s="539">
        <v>5129172.0</v>
      </c>
      <c r="N640" s="254"/>
      <c r="O640" s="316" t="s">
        <v>990</v>
      </c>
      <c r="P640" s="317" t="s">
        <v>2270</v>
      </c>
      <c r="Q640" s="540">
        <v>5773833.0</v>
      </c>
      <c r="R640" s="254"/>
      <c r="S640" s="316" t="s">
        <v>994</v>
      </c>
      <c r="T640" s="295" t="s">
        <v>2271</v>
      </c>
      <c r="U640" s="471">
        <v>3218101.0</v>
      </c>
      <c r="V640" s="254"/>
      <c r="W640" s="316" t="s">
        <v>994</v>
      </c>
      <c r="X640" s="295" t="s">
        <v>2272</v>
      </c>
      <c r="Y640" s="471">
        <v>6031920.0</v>
      </c>
      <c r="Z640" s="254"/>
      <c r="AA640" s="316" t="s">
        <v>987</v>
      </c>
      <c r="AB640" s="334" t="s">
        <v>1697</v>
      </c>
      <c r="AC640" s="472">
        <v>1.3342307E7</v>
      </c>
      <c r="AD640" s="288"/>
      <c r="AE640" s="292"/>
      <c r="AF640" s="292"/>
      <c r="AG640" s="292"/>
      <c r="AH640" s="292"/>
      <c r="AI640" s="292"/>
      <c r="AJ640" s="394"/>
      <c r="AK640" s="260"/>
      <c r="AL640" s="259" t="str">
        <f>MATCH(B640,'Key Findings'!B:B,0)</f>
        <v>#N/A</v>
      </c>
      <c r="AM640" s="260" t="b">
        <f t="shared" si="2"/>
        <v>1</v>
      </c>
      <c r="AN640" s="294"/>
    </row>
    <row r="641">
      <c r="A641" s="169">
        <f t="array" ref="A641">INDEX('Federal Tax, Stock Buybacks, &amp; '!D:D,match(B641,'Federal Tax, Stock Buybacks, &amp; '!E:E,0))</f>
        <v>113</v>
      </c>
      <c r="B641" s="386" t="s">
        <v>988</v>
      </c>
      <c r="C641" s="316"/>
      <c r="D641" s="286"/>
      <c r="E641" s="539"/>
      <c r="F641" s="254"/>
      <c r="G641" s="316"/>
      <c r="H641" s="286"/>
      <c r="I641" s="539"/>
      <c r="J641" s="254"/>
      <c r="K641" s="316" t="s">
        <v>993</v>
      </c>
      <c r="L641" s="286" t="s">
        <v>2272</v>
      </c>
      <c r="M641" s="539">
        <v>5334936.0</v>
      </c>
      <c r="N641" s="254"/>
      <c r="O641" s="316" t="s">
        <v>989</v>
      </c>
      <c r="P641" s="285" t="s">
        <v>2269</v>
      </c>
      <c r="Q641" s="540">
        <v>5311558.0</v>
      </c>
      <c r="R641" s="254"/>
      <c r="S641" s="316" t="s">
        <v>992</v>
      </c>
      <c r="T641" s="295" t="s">
        <v>2273</v>
      </c>
      <c r="U641" s="471">
        <v>6679277.0</v>
      </c>
      <c r="V641" s="254"/>
      <c r="W641" s="316" t="s">
        <v>992</v>
      </c>
      <c r="X641" s="295" t="s">
        <v>2274</v>
      </c>
      <c r="Y641" s="471">
        <v>7222256.0</v>
      </c>
      <c r="Z641" s="254"/>
      <c r="AA641" s="316" t="s">
        <v>994</v>
      </c>
      <c r="AB641" s="295" t="s">
        <v>2272</v>
      </c>
      <c r="AC641" s="472">
        <v>5917430.0</v>
      </c>
      <c r="AD641" s="288"/>
      <c r="AE641" s="292"/>
      <c r="AF641" s="292"/>
      <c r="AG641" s="292"/>
      <c r="AH641" s="292"/>
      <c r="AI641" s="292"/>
      <c r="AJ641" s="394"/>
      <c r="AK641" s="260"/>
      <c r="AL641" s="259" t="str">
        <f>MATCH(B641,'Key Findings'!B:B,0)</f>
        <v>#N/A</v>
      </c>
      <c r="AM641" s="260" t="b">
        <f t="shared" si="2"/>
        <v>1</v>
      </c>
      <c r="AN641" s="294"/>
    </row>
    <row r="642">
      <c r="A642" s="169">
        <f t="array" ref="A642">INDEX('Federal Tax, Stock Buybacks, &amp; '!D:D,match(B642,'Federal Tax, Stock Buybacks, &amp; '!E:E,0))</f>
        <v>113</v>
      </c>
      <c r="B642" s="386" t="s">
        <v>988</v>
      </c>
      <c r="C642" s="316"/>
      <c r="D642" s="286"/>
      <c r="E642" s="539"/>
      <c r="F642" s="254"/>
      <c r="G642" s="316"/>
      <c r="H642" s="286"/>
      <c r="I642" s="539"/>
      <c r="J642" s="254"/>
      <c r="K642" s="316" t="s">
        <v>997</v>
      </c>
      <c r="L642" s="286" t="s">
        <v>2273</v>
      </c>
      <c r="M642" s="539">
        <v>5069230.0</v>
      </c>
      <c r="N642" s="254"/>
      <c r="O642" s="316" t="s">
        <v>993</v>
      </c>
      <c r="P642" s="285" t="s">
        <v>2272</v>
      </c>
      <c r="Q642" s="541">
        <v>5025765.0</v>
      </c>
      <c r="R642" s="254"/>
      <c r="S642" s="316" t="s">
        <v>990</v>
      </c>
      <c r="T642" s="295" t="s">
        <v>2275</v>
      </c>
      <c r="U642" s="471">
        <v>6006814.0</v>
      </c>
      <c r="V642" s="254"/>
      <c r="W642" s="316" t="s">
        <v>989</v>
      </c>
      <c r="X642" s="285" t="s">
        <v>2269</v>
      </c>
      <c r="Y642" s="471">
        <v>6794344.0</v>
      </c>
      <c r="Z642" s="254"/>
      <c r="AA642" s="316" t="s">
        <v>990</v>
      </c>
      <c r="AB642" s="334" t="s">
        <v>2276</v>
      </c>
      <c r="AC642" s="472">
        <v>8094153.0</v>
      </c>
      <c r="AD642" s="288"/>
      <c r="AE642" s="292"/>
      <c r="AF642" s="292"/>
      <c r="AG642" s="292"/>
      <c r="AH642" s="292"/>
      <c r="AI642" s="292"/>
      <c r="AJ642" s="394"/>
      <c r="AK642" s="260"/>
      <c r="AL642" s="259" t="str">
        <f>MATCH(B642,'Key Findings'!B:B,0)</f>
        <v>#N/A</v>
      </c>
      <c r="AM642" s="260" t="b">
        <f t="shared" si="2"/>
        <v>1</v>
      </c>
      <c r="AN642" s="294"/>
    </row>
    <row r="643">
      <c r="A643" s="169">
        <f t="array" ref="A643">INDEX('Federal Tax, Stock Buybacks, &amp; '!D:D,match(B643,'Federal Tax, Stock Buybacks, &amp; '!E:E,0))</f>
        <v>113</v>
      </c>
      <c r="B643" s="386" t="s">
        <v>988</v>
      </c>
      <c r="C643" s="316"/>
      <c r="D643" s="286"/>
      <c r="E643" s="539"/>
      <c r="F643" s="254"/>
      <c r="G643" s="316"/>
      <c r="H643" s="286"/>
      <c r="I643" s="539"/>
      <c r="J643" s="254"/>
      <c r="K643" s="316" t="s">
        <v>996</v>
      </c>
      <c r="L643" s="286" t="s">
        <v>2277</v>
      </c>
      <c r="M643" s="539">
        <v>6022337.0</v>
      </c>
      <c r="N643" s="254"/>
      <c r="O643" s="316" t="s">
        <v>998</v>
      </c>
      <c r="P643" s="317" t="s">
        <v>2278</v>
      </c>
      <c r="Q643" s="541">
        <v>4988734.0</v>
      </c>
      <c r="R643" s="254"/>
      <c r="S643" s="316" t="s">
        <v>989</v>
      </c>
      <c r="T643" s="285" t="s">
        <v>2269</v>
      </c>
      <c r="U643" s="471">
        <v>6093745.0</v>
      </c>
      <c r="V643" s="254"/>
      <c r="W643" s="316" t="s">
        <v>995</v>
      </c>
      <c r="X643" s="295" t="s">
        <v>2279</v>
      </c>
      <c r="Y643" s="471">
        <v>6028032.0</v>
      </c>
      <c r="Z643" s="254"/>
      <c r="AA643" s="316" t="s">
        <v>989</v>
      </c>
      <c r="AB643" s="285" t="s">
        <v>2269</v>
      </c>
      <c r="AC643" s="472">
        <v>6145690.0</v>
      </c>
      <c r="AD643" s="288"/>
      <c r="AE643" s="292"/>
      <c r="AF643" s="292"/>
      <c r="AG643" s="292"/>
      <c r="AH643" s="292"/>
      <c r="AI643" s="292"/>
      <c r="AJ643" s="394"/>
      <c r="AK643" s="260"/>
      <c r="AL643" s="259" t="str">
        <f>MATCH(B643,'Key Findings'!B:B,0)</f>
        <v>#N/A</v>
      </c>
      <c r="AM643" s="260" t="b">
        <f t="shared" si="2"/>
        <v>1</v>
      </c>
      <c r="AN643" s="294"/>
    </row>
    <row r="644">
      <c r="A644" s="169">
        <f t="array" ref="A644">INDEX('Federal Tax, Stock Buybacks, &amp; '!D:D,match(B644,'Federal Tax, Stock Buybacks, &amp; '!E:E,0))</f>
        <v>113</v>
      </c>
      <c r="B644" s="386" t="s">
        <v>988</v>
      </c>
      <c r="C644" s="298"/>
      <c r="D644" s="296"/>
      <c r="E644" s="523"/>
      <c r="F644" s="254"/>
      <c r="G644" s="298"/>
      <c r="H644" s="296"/>
      <c r="I644" s="523"/>
      <c r="J644" s="254"/>
      <c r="K644" s="298" t="s">
        <v>711</v>
      </c>
      <c r="L644" s="296" t="s">
        <v>711</v>
      </c>
      <c r="M644" s="523" t="s">
        <v>711</v>
      </c>
      <c r="N644" s="254"/>
      <c r="O644" s="298" t="s">
        <v>711</v>
      </c>
      <c r="P644" s="296" t="s">
        <v>711</v>
      </c>
      <c r="Q644" s="523" t="s">
        <v>711</v>
      </c>
      <c r="R644" s="254"/>
      <c r="S644" s="316" t="s">
        <v>993</v>
      </c>
      <c r="T644" s="285" t="s">
        <v>2272</v>
      </c>
      <c r="U644" s="471">
        <v>5634212.0</v>
      </c>
      <c r="V644" s="254"/>
      <c r="W644" s="316" t="s">
        <v>990</v>
      </c>
      <c r="X644" s="295" t="s">
        <v>2275</v>
      </c>
      <c r="Y644" s="471">
        <v>5602143.0</v>
      </c>
      <c r="Z644" s="254"/>
      <c r="AA644" s="316" t="s">
        <v>992</v>
      </c>
      <c r="AB644" s="295" t="s">
        <v>2274</v>
      </c>
      <c r="AC644" s="472">
        <v>5895480.0</v>
      </c>
      <c r="AD644" s="288"/>
      <c r="AE644" s="292"/>
      <c r="AF644" s="292"/>
      <c r="AG644" s="292"/>
      <c r="AH644" s="292"/>
      <c r="AI644" s="292"/>
      <c r="AJ644" s="394"/>
      <c r="AK644" s="260"/>
      <c r="AL644" s="259" t="str">
        <f>MATCH(B644,'Key Findings'!B:B,0)</f>
        <v>#N/A</v>
      </c>
      <c r="AM644" s="260" t="b">
        <f t="shared" si="2"/>
        <v>1</v>
      </c>
      <c r="AN644" s="294"/>
    </row>
    <row r="645">
      <c r="A645" s="169">
        <f t="array" ref="A645">INDEX('Federal Tax, Stock Buybacks, &amp; '!D:D,match(B645,'Federal Tax, Stock Buybacks, &amp; '!E:E,0))</f>
        <v>150</v>
      </c>
      <c r="B645" s="300" t="s">
        <v>1180</v>
      </c>
      <c r="C645" s="362"/>
      <c r="D645" s="363"/>
      <c r="E645" s="499"/>
      <c r="F645" s="254"/>
      <c r="G645" s="362"/>
      <c r="H645" s="363"/>
      <c r="I645" s="499"/>
      <c r="J645" s="254"/>
      <c r="K645" s="362" t="s">
        <v>1181</v>
      </c>
      <c r="L645" s="363" t="s">
        <v>1532</v>
      </c>
      <c r="M645" s="499">
        <v>8402698.0</v>
      </c>
      <c r="N645" s="254"/>
      <c r="O645" s="362" t="s">
        <v>1181</v>
      </c>
      <c r="P645" s="363" t="s">
        <v>1532</v>
      </c>
      <c r="Q645" s="545">
        <v>6459795.0</v>
      </c>
      <c r="R645" s="254"/>
      <c r="S645" s="362" t="s">
        <v>1181</v>
      </c>
      <c r="T645" s="363" t="s">
        <v>1532</v>
      </c>
      <c r="U645" s="499">
        <v>5841755.0</v>
      </c>
      <c r="V645" s="254"/>
      <c r="W645" s="362" t="s">
        <v>1181</v>
      </c>
      <c r="X645" s="363" t="s">
        <v>1532</v>
      </c>
      <c r="Y645" s="499">
        <v>2.9107854E7</v>
      </c>
      <c r="Z645" s="254"/>
      <c r="AA645" s="362" t="s">
        <v>1187</v>
      </c>
      <c r="AB645" s="546" t="s">
        <v>2280</v>
      </c>
      <c r="AC645" s="499">
        <v>4906863.0</v>
      </c>
      <c r="AD645" s="306"/>
      <c r="AE645" s="307">
        <v>2022.0</v>
      </c>
      <c r="AF645" s="307">
        <v>2021.0</v>
      </c>
      <c r="AG645" s="307">
        <v>2020.0</v>
      </c>
      <c r="AH645" s="307">
        <v>2019.0</v>
      </c>
      <c r="AI645" s="307">
        <v>2018.0</v>
      </c>
      <c r="AJ645" s="367" t="s">
        <v>1524</v>
      </c>
      <c r="AK645" s="274"/>
      <c r="AL645" s="259" t="str">
        <f>MATCH(B645,'Key Findings'!B:B,0)</f>
        <v>#N/A</v>
      </c>
      <c r="AM645" s="274" t="b">
        <f t="shared" si="2"/>
        <v>0</v>
      </c>
      <c r="AN645" s="294"/>
    </row>
    <row r="646">
      <c r="A646" s="169">
        <f t="array" ref="A646">INDEX('Federal Tax, Stock Buybacks, &amp; '!D:D,match(B646,'Federal Tax, Stock Buybacks, &amp; '!E:E,0))</f>
        <v>150</v>
      </c>
      <c r="B646" s="300" t="s">
        <v>1180</v>
      </c>
      <c r="C646" s="362"/>
      <c r="D646" s="363"/>
      <c r="E646" s="499"/>
      <c r="F646" s="254"/>
      <c r="G646" s="362"/>
      <c r="H646" s="363"/>
      <c r="I646" s="499"/>
      <c r="J646" s="254"/>
      <c r="K646" s="362" t="s">
        <v>1179</v>
      </c>
      <c r="L646" s="363" t="s">
        <v>1674</v>
      </c>
      <c r="M646" s="499">
        <v>2.1621253E7</v>
      </c>
      <c r="N646" s="254"/>
      <c r="O646" s="362" t="s">
        <v>1179</v>
      </c>
      <c r="P646" s="363" t="s">
        <v>1674</v>
      </c>
      <c r="Q646" s="545">
        <v>1.9229466E7</v>
      </c>
      <c r="R646" s="254"/>
      <c r="S646" s="362" t="s">
        <v>1179</v>
      </c>
      <c r="T646" s="363" t="s">
        <v>1674</v>
      </c>
      <c r="U646" s="499">
        <v>1.8998095E7</v>
      </c>
      <c r="V646" s="254"/>
      <c r="W646" s="362" t="s">
        <v>1179</v>
      </c>
      <c r="X646" s="363" t="s">
        <v>1674</v>
      </c>
      <c r="Y646" s="499">
        <v>5609471.0</v>
      </c>
      <c r="Z646" s="254"/>
      <c r="AA646" s="362" t="s">
        <v>1189</v>
      </c>
      <c r="AB646" s="516" t="s">
        <v>1881</v>
      </c>
      <c r="AC646" s="499">
        <v>6342671.0</v>
      </c>
      <c r="AD646" s="306"/>
      <c r="AE646" s="308"/>
      <c r="AF646" s="308"/>
      <c r="AG646" s="308"/>
      <c r="AH646" s="308"/>
      <c r="AI646" s="308"/>
      <c r="AJ646" s="368"/>
      <c r="AK646" s="274"/>
      <c r="AL646" s="259" t="str">
        <f>MATCH(B646,'Key Findings'!B:B,0)</f>
        <v>#N/A</v>
      </c>
      <c r="AM646" s="274" t="b">
        <f t="shared" si="2"/>
        <v>0</v>
      </c>
      <c r="AN646" s="294"/>
    </row>
    <row r="647">
      <c r="A647" s="169">
        <f t="array" ref="A647">INDEX('Federal Tax, Stock Buybacks, &amp; '!D:D,match(B647,'Federal Tax, Stock Buybacks, &amp; '!E:E,0))</f>
        <v>150</v>
      </c>
      <c r="B647" s="300" t="s">
        <v>1180</v>
      </c>
      <c r="C647" s="362"/>
      <c r="D647" s="363"/>
      <c r="E647" s="499"/>
      <c r="F647" s="254"/>
      <c r="G647" s="362"/>
      <c r="H647" s="363"/>
      <c r="I647" s="499"/>
      <c r="J647" s="254"/>
      <c r="K647" s="362" t="s">
        <v>1182</v>
      </c>
      <c r="L647" s="363" t="s">
        <v>2281</v>
      </c>
      <c r="M647" s="499">
        <v>9236453.0</v>
      </c>
      <c r="N647" s="254"/>
      <c r="O647" s="362" t="s">
        <v>1182</v>
      </c>
      <c r="P647" s="363" t="s">
        <v>2281</v>
      </c>
      <c r="Q647" s="545">
        <v>6552597.0</v>
      </c>
      <c r="R647" s="254"/>
      <c r="S647" s="362" t="s">
        <v>1182</v>
      </c>
      <c r="T647" s="363" t="s">
        <v>2281</v>
      </c>
      <c r="U647" s="499">
        <v>7776911.0</v>
      </c>
      <c r="V647" s="254"/>
      <c r="W647" s="362" t="s">
        <v>1182</v>
      </c>
      <c r="X647" s="363" t="s">
        <v>2281</v>
      </c>
      <c r="Y647" s="499">
        <v>8049386.0</v>
      </c>
      <c r="Z647" s="254"/>
      <c r="AA647" s="362" t="s">
        <v>1185</v>
      </c>
      <c r="AB647" s="516" t="s">
        <v>2282</v>
      </c>
      <c r="AC647" s="499">
        <v>1.0337826E7</v>
      </c>
      <c r="AD647" s="306"/>
      <c r="AE647" s="308"/>
      <c r="AF647" s="308"/>
      <c r="AG647" s="308"/>
      <c r="AH647" s="308"/>
      <c r="AI647" s="308"/>
      <c r="AJ647" s="368"/>
      <c r="AK647" s="274"/>
      <c r="AL647" s="259" t="str">
        <f>MATCH(B647,'Key Findings'!B:B,0)</f>
        <v>#N/A</v>
      </c>
      <c r="AM647" s="274" t="b">
        <f t="shared" si="2"/>
        <v>0</v>
      </c>
      <c r="AN647" s="294"/>
    </row>
    <row r="648">
      <c r="A648" s="169">
        <f t="array" ref="A648">INDEX('Federal Tax, Stock Buybacks, &amp; '!D:D,match(B648,'Federal Tax, Stock Buybacks, &amp; '!E:E,0))</f>
        <v>150</v>
      </c>
      <c r="B648" s="300" t="s">
        <v>1180</v>
      </c>
      <c r="C648" s="362"/>
      <c r="D648" s="363"/>
      <c r="E648" s="499"/>
      <c r="F648" s="254"/>
      <c r="G648" s="362"/>
      <c r="H648" s="363"/>
      <c r="I648" s="499"/>
      <c r="J648" s="254"/>
      <c r="K648" s="362" t="s">
        <v>1184</v>
      </c>
      <c r="L648" s="363" t="s">
        <v>2283</v>
      </c>
      <c r="M648" s="499">
        <v>9037214.0</v>
      </c>
      <c r="N648" s="254"/>
      <c r="O648" s="362" t="s">
        <v>1184</v>
      </c>
      <c r="P648" s="363" t="s">
        <v>2283</v>
      </c>
      <c r="Q648" s="545">
        <v>6516679.0</v>
      </c>
      <c r="R648" s="254"/>
      <c r="S648" s="362" t="s">
        <v>1184</v>
      </c>
      <c r="T648" s="363" t="s">
        <v>2283</v>
      </c>
      <c r="U648" s="499">
        <v>7180355.0</v>
      </c>
      <c r="V648" s="254"/>
      <c r="W648" s="362" t="s">
        <v>1184</v>
      </c>
      <c r="X648" s="363" t="s">
        <v>2283</v>
      </c>
      <c r="Y648" s="499">
        <v>3119553.0</v>
      </c>
      <c r="Z648" s="254"/>
      <c r="AA648" s="547" t="s">
        <v>1188</v>
      </c>
      <c r="AB648" s="516" t="s">
        <v>2284</v>
      </c>
      <c r="AC648" s="499">
        <v>7274972.0</v>
      </c>
      <c r="AD648" s="306"/>
      <c r="AE648" s="308"/>
      <c r="AF648" s="308"/>
      <c r="AG648" s="308"/>
      <c r="AH648" s="308"/>
      <c r="AI648" s="308"/>
      <c r="AJ648" s="368"/>
      <c r="AK648" s="274"/>
      <c r="AL648" s="259" t="str">
        <f>MATCH(B648,'Key Findings'!B:B,0)</f>
        <v>#N/A</v>
      </c>
      <c r="AM648" s="274" t="b">
        <f t="shared" si="2"/>
        <v>0</v>
      </c>
      <c r="AN648" s="294"/>
    </row>
    <row r="649">
      <c r="A649" s="169">
        <f t="array" ref="A649">INDEX('Federal Tax, Stock Buybacks, &amp; '!D:D,match(B649,'Federal Tax, Stock Buybacks, &amp; '!E:E,0))</f>
        <v>150</v>
      </c>
      <c r="B649" s="300" t="s">
        <v>1180</v>
      </c>
      <c r="C649" s="362"/>
      <c r="D649" s="363"/>
      <c r="E649" s="499"/>
      <c r="F649" s="254"/>
      <c r="G649" s="362"/>
      <c r="H649" s="363"/>
      <c r="I649" s="499"/>
      <c r="J649" s="254"/>
      <c r="K649" s="362" t="s">
        <v>1190</v>
      </c>
      <c r="L649" s="363" t="s">
        <v>2285</v>
      </c>
      <c r="M649" s="499">
        <v>4822949.0</v>
      </c>
      <c r="N649" s="254"/>
      <c r="O649" s="362" t="s">
        <v>1186</v>
      </c>
      <c r="P649" s="363" t="s">
        <v>2285</v>
      </c>
      <c r="Q649" s="545">
        <v>5590031.0</v>
      </c>
      <c r="R649" s="254"/>
      <c r="S649" s="362" t="s">
        <v>1186</v>
      </c>
      <c r="T649" s="363" t="s">
        <v>2285</v>
      </c>
      <c r="U649" s="499">
        <v>5668051.0</v>
      </c>
      <c r="V649" s="254"/>
      <c r="W649" s="362" t="s">
        <v>1186</v>
      </c>
      <c r="X649" s="363" t="s">
        <v>2285</v>
      </c>
      <c r="Y649" s="499">
        <v>5032680.0</v>
      </c>
      <c r="Z649" s="254"/>
      <c r="AA649" s="362" t="s">
        <v>1183</v>
      </c>
      <c r="AB649" s="548" t="s">
        <v>1588</v>
      </c>
      <c r="AC649" s="488">
        <v>2.5961831E7</v>
      </c>
      <c r="AD649" s="306"/>
      <c r="AE649" s="308"/>
      <c r="AF649" s="308"/>
      <c r="AG649" s="308"/>
      <c r="AH649" s="308"/>
      <c r="AI649" s="308"/>
      <c r="AJ649" s="368"/>
      <c r="AK649" s="274"/>
      <c r="AL649" s="259" t="str">
        <f>MATCH(B649,'Key Findings'!B:B,0)</f>
        <v>#N/A</v>
      </c>
      <c r="AM649" s="274" t="b">
        <f t="shared" si="2"/>
        <v>0</v>
      </c>
      <c r="AN649" s="294"/>
    </row>
    <row r="650">
      <c r="A650" s="169">
        <f t="array" ref="A650">INDEX('Federal Tax, Stock Buybacks, &amp; '!D:D,match(B650,'Federal Tax, Stock Buybacks, &amp; '!E:E,0))</f>
        <v>150</v>
      </c>
      <c r="B650" s="300" t="s">
        <v>1180</v>
      </c>
      <c r="C650" s="372"/>
      <c r="D650" s="370"/>
      <c r="E650" s="517"/>
      <c r="F650" s="254"/>
      <c r="G650" s="372"/>
      <c r="H650" s="370"/>
      <c r="I650" s="517"/>
      <c r="J650" s="254"/>
      <c r="K650" s="372" t="s">
        <v>711</v>
      </c>
      <c r="L650" s="370" t="s">
        <v>711</v>
      </c>
      <c r="M650" s="517" t="s">
        <v>711</v>
      </c>
      <c r="N650" s="254"/>
      <c r="O650" s="372" t="s">
        <v>711</v>
      </c>
      <c r="P650" s="370" t="s">
        <v>711</v>
      </c>
      <c r="Q650" s="517" t="s">
        <v>711</v>
      </c>
      <c r="R650" s="254"/>
      <c r="S650" s="372" t="s">
        <v>711</v>
      </c>
      <c r="T650" s="370" t="s">
        <v>711</v>
      </c>
      <c r="U650" s="517" t="s">
        <v>711</v>
      </c>
      <c r="V650" s="254"/>
      <c r="W650" s="362" t="s">
        <v>1187</v>
      </c>
      <c r="X650" s="462" t="s">
        <v>2286</v>
      </c>
      <c r="Y650" s="499">
        <v>7843788.0</v>
      </c>
      <c r="Z650" s="254"/>
      <c r="AA650" s="372" t="s">
        <v>711</v>
      </c>
      <c r="AB650" s="370" t="s">
        <v>711</v>
      </c>
      <c r="AC650" s="517" t="s">
        <v>711</v>
      </c>
      <c r="AD650" s="306"/>
      <c r="AE650" s="308"/>
      <c r="AF650" s="308"/>
      <c r="AG650" s="308"/>
      <c r="AH650" s="308"/>
      <c r="AI650" s="308"/>
      <c r="AJ650" s="368"/>
      <c r="AK650" s="274"/>
      <c r="AL650" s="259" t="str">
        <f>MATCH(B650,'Key Findings'!B:B,0)</f>
        <v>#N/A</v>
      </c>
      <c r="AM650" s="274" t="b">
        <f t="shared" si="2"/>
        <v>0</v>
      </c>
      <c r="AN650" s="294"/>
    </row>
    <row r="651">
      <c r="A651" s="169">
        <f t="array" ref="A651">INDEX('Federal Tax, Stock Buybacks, &amp; '!D:D,match(B651,'Federal Tax, Stock Buybacks, &amp; '!E:E,0))</f>
        <v>150</v>
      </c>
      <c r="B651" s="300" t="s">
        <v>1180</v>
      </c>
      <c r="C651" s="372"/>
      <c r="D651" s="370"/>
      <c r="E651" s="517"/>
      <c r="F651" s="254"/>
      <c r="G651" s="372"/>
      <c r="H651" s="370"/>
      <c r="I651" s="517"/>
      <c r="J651" s="254"/>
      <c r="K651" s="372" t="s">
        <v>711</v>
      </c>
      <c r="L651" s="370" t="s">
        <v>711</v>
      </c>
      <c r="M651" s="517" t="s">
        <v>711</v>
      </c>
      <c r="N651" s="254"/>
      <c r="O651" s="372" t="s">
        <v>711</v>
      </c>
      <c r="P651" s="370" t="s">
        <v>711</v>
      </c>
      <c r="Q651" s="517" t="s">
        <v>711</v>
      </c>
      <c r="R651" s="254"/>
      <c r="S651" s="372" t="s">
        <v>711</v>
      </c>
      <c r="T651" s="370" t="s">
        <v>711</v>
      </c>
      <c r="U651" s="517" t="s">
        <v>711</v>
      </c>
      <c r="V651" s="254"/>
      <c r="W651" s="362" t="s">
        <v>1189</v>
      </c>
      <c r="X651" s="516" t="s">
        <v>2178</v>
      </c>
      <c r="Y651" s="499">
        <v>6341005.0</v>
      </c>
      <c r="Z651" s="254"/>
      <c r="AA651" s="372" t="s">
        <v>711</v>
      </c>
      <c r="AB651" s="370" t="s">
        <v>711</v>
      </c>
      <c r="AC651" s="517" t="s">
        <v>711</v>
      </c>
      <c r="AD651" s="306"/>
      <c r="AE651" s="308"/>
      <c r="AF651" s="308"/>
      <c r="AG651" s="308"/>
      <c r="AH651" s="308"/>
      <c r="AI651" s="308"/>
      <c r="AJ651" s="368"/>
      <c r="AK651" s="274"/>
      <c r="AL651" s="259" t="str">
        <f>MATCH(B651,'Key Findings'!B:B,0)</f>
        <v>#N/A</v>
      </c>
      <c r="AM651" s="274" t="b">
        <f t="shared" si="2"/>
        <v>0</v>
      </c>
      <c r="AN651" s="294"/>
    </row>
    <row r="652">
      <c r="A652" s="169">
        <f t="array" ref="A652">INDEX('Federal Tax, Stock Buybacks, &amp; '!D:D,match(B652,'Federal Tax, Stock Buybacks, &amp; '!E:E,0))</f>
        <v>150</v>
      </c>
      <c r="B652" s="300" t="s">
        <v>1180</v>
      </c>
      <c r="C652" s="372"/>
      <c r="D652" s="370"/>
      <c r="E652" s="517"/>
      <c r="F652" s="254"/>
      <c r="G652" s="372"/>
      <c r="H652" s="370"/>
      <c r="I652" s="517"/>
      <c r="J652" s="254"/>
      <c r="K652" s="372" t="s">
        <v>711</v>
      </c>
      <c r="L652" s="370" t="s">
        <v>711</v>
      </c>
      <c r="M652" s="517" t="s">
        <v>711</v>
      </c>
      <c r="N652" s="254"/>
      <c r="O652" s="372" t="s">
        <v>711</v>
      </c>
      <c r="P652" s="370" t="s">
        <v>711</v>
      </c>
      <c r="Q652" s="517" t="s">
        <v>711</v>
      </c>
      <c r="R652" s="254"/>
      <c r="S652" s="372" t="s">
        <v>711</v>
      </c>
      <c r="T652" s="370" t="s">
        <v>711</v>
      </c>
      <c r="U652" s="517" t="s">
        <v>711</v>
      </c>
      <c r="V652" s="254"/>
      <c r="W652" s="362" t="s">
        <v>1185</v>
      </c>
      <c r="X652" s="516" t="s">
        <v>2287</v>
      </c>
      <c r="Y652" s="499">
        <v>7672442.0</v>
      </c>
      <c r="Z652" s="254"/>
      <c r="AA652" s="372" t="s">
        <v>711</v>
      </c>
      <c r="AB652" s="370" t="s">
        <v>711</v>
      </c>
      <c r="AC652" s="517" t="s">
        <v>711</v>
      </c>
      <c r="AD652" s="306"/>
      <c r="AE652" s="308"/>
      <c r="AF652" s="308"/>
      <c r="AG652" s="308"/>
      <c r="AH652" s="308"/>
      <c r="AI652" s="308"/>
      <c r="AJ652" s="368"/>
      <c r="AK652" s="274"/>
      <c r="AL652" s="259" t="str">
        <f>MATCH(B652,'Key Findings'!B:B,0)</f>
        <v>#N/A</v>
      </c>
      <c r="AM652" s="274" t="b">
        <f t="shared" si="2"/>
        <v>0</v>
      </c>
      <c r="AN652" s="294"/>
    </row>
    <row r="653">
      <c r="A653" s="169">
        <f t="array" ref="A653">INDEX('Federal Tax, Stock Buybacks, &amp; '!D:D,match(B653,'Federal Tax, Stock Buybacks, &amp; '!E:E,0))</f>
        <v>150</v>
      </c>
      <c r="B653" s="300" t="s">
        <v>1180</v>
      </c>
      <c r="C653" s="372"/>
      <c r="D653" s="370"/>
      <c r="E653" s="517"/>
      <c r="F653" s="254"/>
      <c r="G653" s="372"/>
      <c r="H653" s="370"/>
      <c r="I653" s="517"/>
      <c r="J653" s="254"/>
      <c r="K653" s="372" t="s">
        <v>711</v>
      </c>
      <c r="L653" s="370" t="s">
        <v>711</v>
      </c>
      <c r="M653" s="517" t="s">
        <v>711</v>
      </c>
      <c r="N653" s="254"/>
      <c r="O653" s="372" t="s">
        <v>711</v>
      </c>
      <c r="P653" s="370" t="s">
        <v>711</v>
      </c>
      <c r="Q653" s="517" t="s">
        <v>711</v>
      </c>
      <c r="R653" s="254"/>
      <c r="S653" s="372" t="s">
        <v>711</v>
      </c>
      <c r="T653" s="370" t="s">
        <v>711</v>
      </c>
      <c r="U653" s="517" t="s">
        <v>711</v>
      </c>
      <c r="V653" s="254"/>
      <c r="W653" s="547" t="s">
        <v>1188</v>
      </c>
      <c r="X653" s="516" t="s">
        <v>2288</v>
      </c>
      <c r="Y653" s="499">
        <v>5435962.0</v>
      </c>
      <c r="Z653" s="254"/>
      <c r="AA653" s="372" t="s">
        <v>711</v>
      </c>
      <c r="AB653" s="370" t="s">
        <v>711</v>
      </c>
      <c r="AC653" s="517" t="s">
        <v>711</v>
      </c>
      <c r="AD653" s="306"/>
      <c r="AE653" s="308"/>
      <c r="AF653" s="308"/>
      <c r="AG653" s="308"/>
      <c r="AH653" s="308"/>
      <c r="AI653" s="308"/>
      <c r="AJ653" s="368"/>
      <c r="AK653" s="274"/>
      <c r="AL653" s="259" t="str">
        <f>MATCH(B653,'Key Findings'!B:B,0)</f>
        <v>#N/A</v>
      </c>
      <c r="AM653" s="274" t="b">
        <f t="shared" si="2"/>
        <v>0</v>
      </c>
      <c r="AN653" s="294"/>
    </row>
    <row r="654">
      <c r="A654" s="169">
        <f t="array" ref="A654">INDEX('Federal Tax, Stock Buybacks, &amp; '!D:D,match(B654,'Federal Tax, Stock Buybacks, &amp; '!E:E,0))</f>
        <v>102</v>
      </c>
      <c r="B654" s="281" t="s">
        <v>973</v>
      </c>
      <c r="C654" s="282"/>
      <c r="D654" s="283"/>
      <c r="E654" s="471"/>
      <c r="F654" s="254"/>
      <c r="G654" s="282"/>
      <c r="H654" s="283"/>
      <c r="I654" s="471"/>
      <c r="J654" s="254"/>
      <c r="K654" s="282" t="s">
        <v>975</v>
      </c>
      <c r="L654" s="283" t="s">
        <v>2289</v>
      </c>
      <c r="M654" s="471">
        <v>6267708.0</v>
      </c>
      <c r="N654" s="254"/>
      <c r="O654" s="282" t="s">
        <v>975</v>
      </c>
      <c r="P654" s="283" t="s">
        <v>2290</v>
      </c>
      <c r="Q654" s="471">
        <v>4972161.0</v>
      </c>
      <c r="R654" s="254"/>
      <c r="S654" s="282" t="s">
        <v>975</v>
      </c>
      <c r="T654" s="283" t="s">
        <v>2290</v>
      </c>
      <c r="U654" s="471">
        <v>8263420.0</v>
      </c>
      <c r="V654" s="254"/>
      <c r="W654" s="282" t="s">
        <v>975</v>
      </c>
      <c r="X654" s="283" t="s">
        <v>2290</v>
      </c>
      <c r="Y654" s="471">
        <v>6145811.0</v>
      </c>
      <c r="Z654" s="254"/>
      <c r="AA654" s="282" t="s">
        <v>975</v>
      </c>
      <c r="AB654" s="283" t="s">
        <v>2290</v>
      </c>
      <c r="AC654" s="472">
        <v>5431903.0</v>
      </c>
      <c r="AD654" s="288"/>
      <c r="AE654" s="289">
        <v>2022.0</v>
      </c>
      <c r="AF654" s="289">
        <v>2021.0</v>
      </c>
      <c r="AG654" s="289">
        <v>2020.0</v>
      </c>
      <c r="AH654" s="289">
        <v>2019.0</v>
      </c>
      <c r="AI654" s="289">
        <v>2018.0</v>
      </c>
      <c r="AJ654" s="290" t="s">
        <v>1524</v>
      </c>
      <c r="AK654" s="260"/>
      <c r="AL654" s="259" t="str">
        <f>MATCH(B654,'Key Findings'!B:B,0)</f>
        <v>#N/A</v>
      </c>
      <c r="AM654" s="260" t="b">
        <f t="shared" si="2"/>
        <v>0</v>
      </c>
      <c r="AN654" s="294"/>
    </row>
    <row r="655">
      <c r="A655" s="169">
        <f t="array" ref="A655">INDEX('Federal Tax, Stock Buybacks, &amp; '!D:D,match(B655,'Federal Tax, Stock Buybacks, &amp; '!E:E,0))</f>
        <v>102</v>
      </c>
      <c r="B655" s="281" t="s">
        <v>973</v>
      </c>
      <c r="C655" s="282"/>
      <c r="D655" s="283"/>
      <c r="E655" s="471"/>
      <c r="F655" s="254"/>
      <c r="G655" s="282"/>
      <c r="H655" s="283"/>
      <c r="I655" s="471"/>
      <c r="J655" s="254"/>
      <c r="K655" s="282" t="s">
        <v>976</v>
      </c>
      <c r="L655" s="283" t="s">
        <v>1838</v>
      </c>
      <c r="M655" s="471">
        <v>7123625.0</v>
      </c>
      <c r="N655" s="254"/>
      <c r="O655" s="282" t="s">
        <v>976</v>
      </c>
      <c r="P655" s="283" t="s">
        <v>1838</v>
      </c>
      <c r="Q655" s="471">
        <v>4420154.0</v>
      </c>
      <c r="R655" s="254"/>
      <c r="S655" s="282" t="s">
        <v>976</v>
      </c>
      <c r="T655" s="283" t="s">
        <v>1838</v>
      </c>
      <c r="U655" s="471">
        <v>6896298.0</v>
      </c>
      <c r="V655" s="254"/>
      <c r="W655" s="282" t="s">
        <v>976</v>
      </c>
      <c r="X655" s="283" t="s">
        <v>1838</v>
      </c>
      <c r="Y655" s="471">
        <v>5533046.0</v>
      </c>
      <c r="Z655" s="254"/>
      <c r="AA655" s="282" t="s">
        <v>974</v>
      </c>
      <c r="AB655" s="283" t="s">
        <v>1674</v>
      </c>
      <c r="AC655" s="472">
        <v>1.5559469E7</v>
      </c>
      <c r="AD655" s="288"/>
      <c r="AE655" s="292"/>
      <c r="AF655" s="292"/>
      <c r="AG655" s="292"/>
      <c r="AH655" s="292"/>
      <c r="AI655" s="292"/>
      <c r="AJ655" s="293"/>
      <c r="AK655" s="260"/>
      <c r="AL655" s="259" t="str">
        <f>MATCH(B655,'Key Findings'!B:B,0)</f>
        <v>#N/A</v>
      </c>
      <c r="AM655" s="260" t="b">
        <f t="shared" si="2"/>
        <v>0</v>
      </c>
      <c r="AN655" s="294"/>
    </row>
    <row r="656">
      <c r="A656" s="169">
        <f t="array" ref="A656">INDEX('Federal Tax, Stock Buybacks, &amp; '!D:D,match(B656,'Federal Tax, Stock Buybacks, &amp; '!E:E,0))</f>
        <v>102</v>
      </c>
      <c r="B656" s="281" t="s">
        <v>973</v>
      </c>
      <c r="C656" s="282"/>
      <c r="D656" s="283"/>
      <c r="E656" s="471"/>
      <c r="F656" s="254"/>
      <c r="G656" s="282"/>
      <c r="H656" s="283"/>
      <c r="I656" s="471"/>
      <c r="J656" s="254"/>
      <c r="K656" s="282" t="s">
        <v>972</v>
      </c>
      <c r="L656" s="283" t="s">
        <v>1630</v>
      </c>
      <c r="M656" s="471">
        <v>2.3073171E7</v>
      </c>
      <c r="N656" s="254"/>
      <c r="O656" s="282" t="s">
        <v>972</v>
      </c>
      <c r="P656" s="283" t="s">
        <v>1630</v>
      </c>
      <c r="Q656" s="471">
        <v>1.1618019E7</v>
      </c>
      <c r="R656" s="254"/>
      <c r="S656" s="282" t="s">
        <v>972</v>
      </c>
      <c r="T656" s="283" t="s">
        <v>1630</v>
      </c>
      <c r="U656" s="471">
        <v>1.1265538E7</v>
      </c>
      <c r="V656" s="254"/>
      <c r="W656" s="282" t="s">
        <v>972</v>
      </c>
      <c r="X656" s="283" t="s">
        <v>1630</v>
      </c>
      <c r="Y656" s="471">
        <v>5487963.0</v>
      </c>
      <c r="Z656" s="254"/>
      <c r="AA656" s="282" t="s">
        <v>985</v>
      </c>
      <c r="AB656" s="283" t="s">
        <v>2291</v>
      </c>
      <c r="AC656" s="472">
        <v>6408100.0</v>
      </c>
      <c r="AD656" s="288"/>
      <c r="AE656" s="292"/>
      <c r="AF656" s="292"/>
      <c r="AG656" s="292"/>
      <c r="AH656" s="292"/>
      <c r="AI656" s="292"/>
      <c r="AJ656" s="293"/>
      <c r="AK656" s="260"/>
      <c r="AL656" s="259" t="str">
        <f>MATCH(B656,'Key Findings'!B:B,0)</f>
        <v>#N/A</v>
      </c>
      <c r="AM656" s="260" t="b">
        <f t="shared" si="2"/>
        <v>0</v>
      </c>
      <c r="AN656" s="294"/>
    </row>
    <row r="657">
      <c r="A657" s="169">
        <f t="array" ref="A657">INDEX('Federal Tax, Stock Buybacks, &amp; '!D:D,match(B657,'Federal Tax, Stock Buybacks, &amp; '!E:E,0))</f>
        <v>102</v>
      </c>
      <c r="B657" s="281" t="s">
        <v>973</v>
      </c>
      <c r="C657" s="282"/>
      <c r="D657" s="283"/>
      <c r="E657" s="471"/>
      <c r="F657" s="254"/>
      <c r="G657" s="282"/>
      <c r="H657" s="283"/>
      <c r="I657" s="471"/>
      <c r="J657" s="254"/>
      <c r="K657" s="282" t="s">
        <v>986</v>
      </c>
      <c r="L657" s="283" t="s">
        <v>2290</v>
      </c>
      <c r="M657" s="471">
        <v>3544940.0</v>
      </c>
      <c r="N657" s="254"/>
      <c r="O657" s="282" t="s">
        <v>978</v>
      </c>
      <c r="P657" s="549" t="s">
        <v>1662</v>
      </c>
      <c r="Q657" s="471">
        <v>5159629.0</v>
      </c>
      <c r="R657" s="254"/>
      <c r="S657" s="282" t="s">
        <v>978</v>
      </c>
      <c r="T657" s="549" t="s">
        <v>1662</v>
      </c>
      <c r="U657" s="471">
        <v>6737926.0</v>
      </c>
      <c r="V657" s="254"/>
      <c r="W657" s="282" t="s">
        <v>978</v>
      </c>
      <c r="X657" s="549" t="s">
        <v>1662</v>
      </c>
      <c r="Y657" s="471">
        <v>5533046.0</v>
      </c>
      <c r="Z657" s="254"/>
      <c r="AA657" s="282" t="s">
        <v>979</v>
      </c>
      <c r="AB657" s="283" t="s">
        <v>1838</v>
      </c>
      <c r="AC657" s="472">
        <v>4574115.0</v>
      </c>
      <c r="AD657" s="288"/>
      <c r="AE657" s="292"/>
      <c r="AF657" s="292"/>
      <c r="AG657" s="292"/>
      <c r="AH657" s="292"/>
      <c r="AI657" s="292"/>
      <c r="AJ657" s="293"/>
      <c r="AK657" s="260"/>
      <c r="AL657" s="259" t="str">
        <f>MATCH(B657,'Key Findings'!B:B,0)</f>
        <v>#N/A</v>
      </c>
      <c r="AM657" s="260" t="b">
        <f t="shared" si="2"/>
        <v>0</v>
      </c>
      <c r="AN657" s="294"/>
    </row>
    <row r="658">
      <c r="A658" s="169">
        <f t="array" ref="A658">INDEX('Federal Tax, Stock Buybacks, &amp; '!D:D,match(B658,'Federal Tax, Stock Buybacks, &amp; '!E:E,0))</f>
        <v>102</v>
      </c>
      <c r="B658" s="281" t="s">
        <v>973</v>
      </c>
      <c r="C658" s="282"/>
      <c r="D658" s="549"/>
      <c r="E658" s="471"/>
      <c r="F658" s="254"/>
      <c r="G658" s="282"/>
      <c r="H658" s="549"/>
      <c r="I658" s="471"/>
      <c r="J658" s="254"/>
      <c r="K658" s="282" t="s">
        <v>981</v>
      </c>
      <c r="L658" s="549" t="s">
        <v>2291</v>
      </c>
      <c r="M658" s="471">
        <v>7734204.0</v>
      </c>
      <c r="N658" s="254"/>
      <c r="O658" s="282" t="s">
        <v>984</v>
      </c>
      <c r="P658" s="283" t="s">
        <v>1838</v>
      </c>
      <c r="Q658" s="471">
        <v>6435825.0</v>
      </c>
      <c r="R658" s="254"/>
      <c r="S658" s="282" t="s">
        <v>979</v>
      </c>
      <c r="T658" s="283" t="s">
        <v>1838</v>
      </c>
      <c r="U658" s="471">
        <v>7198548.0</v>
      </c>
      <c r="V658" s="254"/>
      <c r="W658" s="282" t="s">
        <v>979</v>
      </c>
      <c r="X658" s="283" t="s">
        <v>1838</v>
      </c>
      <c r="Y658" s="471">
        <v>5566412.0</v>
      </c>
      <c r="Z658" s="254"/>
      <c r="AA658" s="282" t="s">
        <v>977</v>
      </c>
      <c r="AB658" s="283" t="s">
        <v>1838</v>
      </c>
      <c r="AC658" s="471">
        <v>4860715.0</v>
      </c>
      <c r="AD658" s="288"/>
      <c r="AE658" s="292"/>
      <c r="AF658" s="292"/>
      <c r="AG658" s="292"/>
      <c r="AH658" s="292"/>
      <c r="AI658" s="292"/>
      <c r="AJ658" s="293"/>
      <c r="AK658" s="260"/>
      <c r="AL658" s="259" t="str">
        <f>MATCH(B658,'Key Findings'!B:B,0)</f>
        <v>#N/A</v>
      </c>
      <c r="AM658" s="260" t="b">
        <f t="shared" si="2"/>
        <v>0</v>
      </c>
      <c r="AN658" s="294"/>
    </row>
    <row r="659">
      <c r="A659" s="169">
        <f t="array" ref="A659">INDEX('Federal Tax, Stock Buybacks, &amp; '!D:D,match(B659,'Federal Tax, Stock Buybacks, &amp; '!E:E,0))</f>
        <v>102</v>
      </c>
      <c r="B659" s="281" t="s">
        <v>973</v>
      </c>
      <c r="C659" s="282"/>
      <c r="D659" s="283"/>
      <c r="E659" s="471"/>
      <c r="F659" s="254"/>
      <c r="G659" s="282"/>
      <c r="H659" s="283"/>
      <c r="I659" s="471"/>
      <c r="J659" s="254"/>
      <c r="K659" s="282" t="s">
        <v>982</v>
      </c>
      <c r="L659" s="283" t="s">
        <v>1838</v>
      </c>
      <c r="M659" s="471">
        <v>7191915.0</v>
      </c>
      <c r="N659" s="254"/>
      <c r="O659" s="298" t="s">
        <v>711</v>
      </c>
      <c r="P659" s="296" t="s">
        <v>711</v>
      </c>
      <c r="Q659" s="523" t="s">
        <v>711</v>
      </c>
      <c r="R659" s="254"/>
      <c r="S659" s="282" t="s">
        <v>977</v>
      </c>
      <c r="T659" s="283" t="s">
        <v>2291</v>
      </c>
      <c r="U659" s="471">
        <v>7385442.0</v>
      </c>
      <c r="V659" s="254"/>
      <c r="W659" s="282" t="s">
        <v>977</v>
      </c>
      <c r="X659" s="283" t="s">
        <v>1838</v>
      </c>
      <c r="Y659" s="471">
        <v>5812703.0</v>
      </c>
      <c r="Z659" s="254"/>
      <c r="AA659" s="282" t="s">
        <v>980</v>
      </c>
      <c r="AB659" s="295" t="s">
        <v>2292</v>
      </c>
      <c r="AC659" s="471">
        <v>5012908.0</v>
      </c>
      <c r="AD659" s="288"/>
      <c r="AE659" s="292"/>
      <c r="AF659" s="292"/>
      <c r="AG659" s="292"/>
      <c r="AH659" s="292"/>
      <c r="AI659" s="292"/>
      <c r="AJ659" s="293"/>
      <c r="AK659" s="260"/>
      <c r="AL659" s="259" t="str">
        <f>MATCH(B659,'Key Findings'!B:B,0)</f>
        <v>#N/A</v>
      </c>
      <c r="AM659" s="260" t="b">
        <f t="shared" si="2"/>
        <v>0</v>
      </c>
      <c r="AN659" s="294"/>
    </row>
    <row r="660">
      <c r="A660" s="169">
        <f t="array" ref="A660">INDEX('Federal Tax, Stock Buybacks, &amp; '!D:D,match(B660,'Federal Tax, Stock Buybacks, &amp; '!E:E,0))</f>
        <v>102</v>
      </c>
      <c r="B660" s="281" t="s">
        <v>973</v>
      </c>
      <c r="C660" s="282"/>
      <c r="D660" s="283"/>
      <c r="E660" s="471"/>
      <c r="F660" s="254"/>
      <c r="G660" s="282"/>
      <c r="H660" s="283"/>
      <c r="I660" s="471"/>
      <c r="J660" s="254"/>
      <c r="K660" s="282" t="s">
        <v>983</v>
      </c>
      <c r="L660" s="283" t="s">
        <v>1838</v>
      </c>
      <c r="M660" s="471">
        <v>7131890.0</v>
      </c>
      <c r="N660" s="254"/>
      <c r="O660" s="298" t="s">
        <v>711</v>
      </c>
      <c r="P660" s="296" t="s">
        <v>711</v>
      </c>
      <c r="Q660" s="523" t="s">
        <v>711</v>
      </c>
      <c r="R660" s="254"/>
      <c r="S660" s="298" t="s">
        <v>711</v>
      </c>
      <c r="T660" s="296" t="s">
        <v>711</v>
      </c>
      <c r="U660" s="523" t="s">
        <v>711</v>
      </c>
      <c r="V660" s="254"/>
      <c r="W660" s="282" t="s">
        <v>980</v>
      </c>
      <c r="X660" s="295" t="s">
        <v>2293</v>
      </c>
      <c r="Y660" s="471">
        <v>7493158.0</v>
      </c>
      <c r="Z660" s="254"/>
      <c r="AA660" s="298" t="s">
        <v>711</v>
      </c>
      <c r="AB660" s="296" t="s">
        <v>711</v>
      </c>
      <c r="AC660" s="523" t="s">
        <v>711</v>
      </c>
      <c r="AD660" s="288"/>
      <c r="AE660" s="292"/>
      <c r="AF660" s="292"/>
      <c r="AG660" s="292"/>
      <c r="AH660" s="292"/>
      <c r="AI660" s="292"/>
      <c r="AJ660" s="293"/>
      <c r="AK660" s="260"/>
      <c r="AL660" s="259" t="str">
        <f>MATCH(B660,'Key Findings'!B:B,0)</f>
        <v>#N/A</v>
      </c>
      <c r="AM660" s="260" t="b">
        <f t="shared" si="2"/>
        <v>0</v>
      </c>
      <c r="AN660" s="294"/>
    </row>
    <row r="661">
      <c r="A661" s="169">
        <f t="array" ref="A661">INDEX('Federal Tax, Stock Buybacks, &amp; '!D:D,match(B661,'Federal Tax, Stock Buybacks, &amp; '!E:E,0))</f>
        <v>102</v>
      </c>
      <c r="B661" s="281" t="s">
        <v>973</v>
      </c>
      <c r="C661" s="298"/>
      <c r="D661" s="296"/>
      <c r="E661" s="523"/>
      <c r="F661" s="254"/>
      <c r="G661" s="298"/>
      <c r="H661" s="296"/>
      <c r="I661" s="523"/>
      <c r="J661" s="254"/>
      <c r="K661" s="298" t="s">
        <v>711</v>
      </c>
      <c r="L661" s="296" t="s">
        <v>711</v>
      </c>
      <c r="M661" s="523" t="s">
        <v>711</v>
      </c>
      <c r="N661" s="254"/>
      <c r="O661" s="298" t="s">
        <v>711</v>
      </c>
      <c r="P661" s="296" t="s">
        <v>711</v>
      </c>
      <c r="Q661" s="523" t="s">
        <v>711</v>
      </c>
      <c r="R661" s="254"/>
      <c r="S661" s="298" t="s">
        <v>711</v>
      </c>
      <c r="T661" s="296" t="s">
        <v>711</v>
      </c>
      <c r="U661" s="523" t="s">
        <v>711</v>
      </c>
      <c r="V661" s="254"/>
      <c r="W661" s="282" t="s">
        <v>974</v>
      </c>
      <c r="X661" s="283" t="s">
        <v>1674</v>
      </c>
      <c r="Y661" s="471">
        <v>1.9099582E7</v>
      </c>
      <c r="Z661" s="254"/>
      <c r="AA661" s="298" t="s">
        <v>711</v>
      </c>
      <c r="AB661" s="296" t="s">
        <v>711</v>
      </c>
      <c r="AC661" s="523" t="s">
        <v>711</v>
      </c>
      <c r="AD661" s="288"/>
      <c r="AE661" s="292"/>
      <c r="AF661" s="292"/>
      <c r="AG661" s="292"/>
      <c r="AH661" s="292"/>
      <c r="AI661" s="292"/>
      <c r="AJ661" s="293"/>
      <c r="AK661" s="260"/>
      <c r="AL661" s="259" t="str">
        <f>MATCH(B661,'Key Findings'!B:B,0)</f>
        <v>#N/A</v>
      </c>
      <c r="AM661" s="260" t="b">
        <f t="shared" si="2"/>
        <v>0</v>
      </c>
      <c r="AN661" s="294"/>
    </row>
    <row r="662">
      <c r="A662" s="169">
        <f t="array" ref="A662">INDEX('Federal Tax, Stock Buybacks, &amp; '!D:D,match(B662,'Federal Tax, Stock Buybacks, &amp; '!E:E,0))</f>
        <v>46</v>
      </c>
      <c r="B662" s="418" t="s">
        <v>956</v>
      </c>
      <c r="C662" s="301"/>
      <c r="D662" s="419"/>
      <c r="E662" s="488"/>
      <c r="F662" s="254"/>
      <c r="G662" s="301"/>
      <c r="H662" s="419"/>
      <c r="I662" s="488"/>
      <c r="J662" s="254"/>
      <c r="K662" s="301" t="s">
        <v>957</v>
      </c>
      <c r="L662" s="419" t="s">
        <v>2294</v>
      </c>
      <c r="M662" s="488">
        <v>1.3395304E7</v>
      </c>
      <c r="N662" s="254"/>
      <c r="O662" s="301" t="s">
        <v>957</v>
      </c>
      <c r="P662" s="419" t="s">
        <v>2294</v>
      </c>
      <c r="Q662" s="488">
        <v>1.3204365E7</v>
      </c>
      <c r="R662" s="254"/>
      <c r="S662" s="301" t="s">
        <v>957</v>
      </c>
      <c r="T662" s="419" t="s">
        <v>2294</v>
      </c>
      <c r="U662" s="488">
        <v>1.2380088E7</v>
      </c>
      <c r="V662" s="254"/>
      <c r="W662" s="301" t="s">
        <v>957</v>
      </c>
      <c r="X662" s="419" t="s">
        <v>2294</v>
      </c>
      <c r="Y662" s="488">
        <v>1.1292017E7</v>
      </c>
      <c r="Z662" s="254"/>
      <c r="AA662" s="301" t="s">
        <v>960</v>
      </c>
      <c r="AB662" s="503" t="s">
        <v>2295</v>
      </c>
      <c r="AC662" s="488">
        <v>2.4491117E7</v>
      </c>
      <c r="AD662" s="343"/>
      <c r="AE662" s="379">
        <v>2022.0</v>
      </c>
      <c r="AF662" s="379">
        <v>2021.0</v>
      </c>
      <c r="AG662" s="379">
        <v>2020.0</v>
      </c>
      <c r="AH662" s="379">
        <v>2019.0</v>
      </c>
      <c r="AI662" s="379">
        <v>2018.0</v>
      </c>
      <c r="AJ662" s="367" t="s">
        <v>1524</v>
      </c>
      <c r="AK662" s="274"/>
      <c r="AL662" s="259" t="str">
        <f>MATCH(B662,'Key Findings'!B:B,0)</f>
        <v>#N/A</v>
      </c>
      <c r="AM662" s="274" t="b">
        <f t="shared" si="2"/>
        <v>0</v>
      </c>
      <c r="AN662" s="294"/>
    </row>
    <row r="663">
      <c r="A663" s="169">
        <f t="array" ref="A663">INDEX('Federal Tax, Stock Buybacks, &amp; '!D:D,match(B663,'Federal Tax, Stock Buybacks, &amp; '!E:E,0))</f>
        <v>46</v>
      </c>
      <c r="B663" s="418" t="s">
        <v>956</v>
      </c>
      <c r="C663" s="301"/>
      <c r="D663" s="419"/>
      <c r="E663" s="488"/>
      <c r="F663" s="254"/>
      <c r="G663" s="301"/>
      <c r="H663" s="419"/>
      <c r="I663" s="488"/>
      <c r="J663" s="254"/>
      <c r="K663" s="301" t="s">
        <v>955</v>
      </c>
      <c r="L663" s="419" t="s">
        <v>2296</v>
      </c>
      <c r="M663" s="488">
        <v>2.8388228E7</v>
      </c>
      <c r="N663" s="254"/>
      <c r="O663" s="301" t="s">
        <v>955</v>
      </c>
      <c r="P663" s="419" t="s">
        <v>2296</v>
      </c>
      <c r="Q663" s="488">
        <v>2.5506607E7</v>
      </c>
      <c r="R663" s="254"/>
      <c r="S663" s="301" t="s">
        <v>955</v>
      </c>
      <c r="T663" s="419" t="s">
        <v>2296</v>
      </c>
      <c r="U663" s="488">
        <v>2.1486982E7</v>
      </c>
      <c r="V663" s="254"/>
      <c r="W663" s="301" t="s">
        <v>955</v>
      </c>
      <c r="X663" s="419" t="s">
        <v>2296</v>
      </c>
      <c r="Y663" s="488">
        <v>1.6870817E7</v>
      </c>
      <c r="Z663" s="254"/>
      <c r="AA663" s="301" t="s">
        <v>963</v>
      </c>
      <c r="AB663" s="419" t="s">
        <v>2297</v>
      </c>
      <c r="AC663" s="488">
        <v>7868118.0</v>
      </c>
      <c r="AD663" s="343"/>
      <c r="AE663" s="347"/>
      <c r="AF663" s="313"/>
      <c r="AG663" s="313"/>
      <c r="AH663" s="313"/>
      <c r="AI663" s="313"/>
      <c r="AJ663" s="368"/>
      <c r="AK663" s="274"/>
      <c r="AL663" s="259" t="str">
        <f>MATCH(B663,'Key Findings'!B:B,0)</f>
        <v>#N/A</v>
      </c>
      <c r="AM663" s="274" t="b">
        <f t="shared" si="2"/>
        <v>0</v>
      </c>
      <c r="AN663" s="294"/>
    </row>
    <row r="664">
      <c r="A664" s="169">
        <f t="array" ref="A664">INDEX('Federal Tax, Stock Buybacks, &amp; '!D:D,match(B664,'Federal Tax, Stock Buybacks, &amp; '!E:E,0))</f>
        <v>46</v>
      </c>
      <c r="B664" s="418" t="s">
        <v>956</v>
      </c>
      <c r="C664" s="301"/>
      <c r="D664" s="419"/>
      <c r="E664" s="488"/>
      <c r="F664" s="254"/>
      <c r="G664" s="301"/>
      <c r="H664" s="419"/>
      <c r="I664" s="488"/>
      <c r="J664" s="254"/>
      <c r="K664" s="301" t="s">
        <v>958</v>
      </c>
      <c r="L664" s="419" t="s">
        <v>2298</v>
      </c>
      <c r="M664" s="488">
        <v>9384058.0</v>
      </c>
      <c r="N664" s="254"/>
      <c r="O664" s="301" t="s">
        <v>958</v>
      </c>
      <c r="P664" s="419" t="s">
        <v>2298</v>
      </c>
      <c r="Q664" s="488">
        <v>8475770.0</v>
      </c>
      <c r="R664" s="254"/>
      <c r="S664" s="301" t="s">
        <v>958</v>
      </c>
      <c r="T664" s="419" t="s">
        <v>2298</v>
      </c>
      <c r="U664" s="488">
        <v>8049614.0</v>
      </c>
      <c r="V664" s="254"/>
      <c r="W664" s="301" t="s">
        <v>958</v>
      </c>
      <c r="X664" s="419" t="s">
        <v>2298</v>
      </c>
      <c r="Y664" s="488">
        <v>6132014.0</v>
      </c>
      <c r="Z664" s="254"/>
      <c r="AA664" s="301" t="s">
        <v>957</v>
      </c>
      <c r="AB664" s="419" t="s">
        <v>2294</v>
      </c>
      <c r="AC664" s="488">
        <v>9142066.0</v>
      </c>
      <c r="AD664" s="343"/>
      <c r="AE664" s="347"/>
      <c r="AF664" s="313"/>
      <c r="AG664" s="313"/>
      <c r="AH664" s="313"/>
      <c r="AI664" s="313"/>
      <c r="AJ664" s="368"/>
      <c r="AK664" s="274"/>
      <c r="AL664" s="259" t="str">
        <f>MATCH(B664,'Key Findings'!B:B,0)</f>
        <v>#N/A</v>
      </c>
      <c r="AM664" s="274" t="b">
        <f t="shared" si="2"/>
        <v>0</v>
      </c>
      <c r="AN664" s="294"/>
    </row>
    <row r="665">
      <c r="A665" s="169">
        <f t="array" ref="A665">INDEX('Federal Tax, Stock Buybacks, &amp; '!D:D,match(B665,'Federal Tax, Stock Buybacks, &amp; '!E:E,0))</f>
        <v>46</v>
      </c>
      <c r="B665" s="418" t="s">
        <v>956</v>
      </c>
      <c r="C665" s="301"/>
      <c r="D665" s="419"/>
      <c r="E665" s="488"/>
      <c r="F665" s="254"/>
      <c r="G665" s="301"/>
      <c r="H665" s="419"/>
      <c r="I665" s="488"/>
      <c r="J665" s="254"/>
      <c r="K665" s="301" t="s">
        <v>959</v>
      </c>
      <c r="L665" s="419" t="s">
        <v>2299</v>
      </c>
      <c r="M665" s="488">
        <v>6748506.0</v>
      </c>
      <c r="N665" s="254"/>
      <c r="O665" s="301" t="s">
        <v>959</v>
      </c>
      <c r="P665" s="419" t="s">
        <v>2299</v>
      </c>
      <c r="Q665" s="488">
        <v>8390706.0</v>
      </c>
      <c r="R665" s="254"/>
      <c r="S665" s="301" t="s">
        <v>959</v>
      </c>
      <c r="T665" s="419" t="s">
        <v>2299</v>
      </c>
      <c r="U665" s="488">
        <v>8692878.0</v>
      </c>
      <c r="V665" s="254"/>
      <c r="W665" s="301" t="s">
        <v>964</v>
      </c>
      <c r="X665" s="419" t="s">
        <v>2300</v>
      </c>
      <c r="Y665" s="488">
        <v>5763361.0</v>
      </c>
      <c r="Z665" s="254"/>
      <c r="AA665" s="301" t="s">
        <v>955</v>
      </c>
      <c r="AB665" s="419" t="s">
        <v>2296</v>
      </c>
      <c r="AC665" s="488">
        <v>1.0827396E7</v>
      </c>
      <c r="AD665" s="343"/>
      <c r="AE665" s="347"/>
      <c r="AF665" s="313"/>
      <c r="AG665" s="313"/>
      <c r="AH665" s="313"/>
      <c r="AI665" s="313"/>
      <c r="AJ665" s="368"/>
      <c r="AK665" s="274"/>
      <c r="AL665" s="259" t="str">
        <f>MATCH(B665,'Key Findings'!B:B,0)</f>
        <v>#N/A</v>
      </c>
      <c r="AM665" s="274" t="b">
        <f t="shared" si="2"/>
        <v>0</v>
      </c>
      <c r="AN665" s="294"/>
    </row>
    <row r="666">
      <c r="A666" s="169">
        <f t="array" ref="A666">INDEX('Federal Tax, Stock Buybacks, &amp; '!D:D,match(B666,'Federal Tax, Stock Buybacks, &amp; '!E:E,0))</f>
        <v>46</v>
      </c>
      <c r="B666" s="418" t="s">
        <v>956</v>
      </c>
      <c r="C666" s="301"/>
      <c r="D666" s="419"/>
      <c r="E666" s="488"/>
      <c r="F666" s="254"/>
      <c r="G666" s="301"/>
      <c r="H666" s="419"/>
      <c r="I666" s="488"/>
      <c r="J666" s="254"/>
      <c r="K666" s="301" t="s">
        <v>962</v>
      </c>
      <c r="L666" s="419" t="s">
        <v>2301</v>
      </c>
      <c r="M666" s="488">
        <v>8112490.0</v>
      </c>
      <c r="N666" s="254"/>
      <c r="O666" s="301" t="s">
        <v>962</v>
      </c>
      <c r="P666" s="419" t="s">
        <v>2301</v>
      </c>
      <c r="Q666" s="488">
        <v>6314621.0</v>
      </c>
      <c r="R666" s="254"/>
      <c r="S666" s="301" t="s">
        <v>965</v>
      </c>
      <c r="T666" s="419" t="s">
        <v>2302</v>
      </c>
      <c r="U666" s="488">
        <v>4714703.0</v>
      </c>
      <c r="V666" s="254"/>
      <c r="W666" s="301" t="s">
        <v>959</v>
      </c>
      <c r="X666" s="419" t="s">
        <v>2299</v>
      </c>
      <c r="Y666" s="488">
        <v>6836737.0</v>
      </c>
      <c r="Z666" s="254"/>
      <c r="AA666" s="301" t="s">
        <v>958</v>
      </c>
      <c r="AB666" s="503" t="s">
        <v>2303</v>
      </c>
      <c r="AC666" s="488">
        <v>6151034.0</v>
      </c>
      <c r="AD666" s="343"/>
      <c r="AE666" s="347"/>
      <c r="AF666" s="313"/>
      <c r="AG666" s="313"/>
      <c r="AH666" s="313"/>
      <c r="AI666" s="313"/>
      <c r="AJ666" s="368"/>
      <c r="AK666" s="274"/>
      <c r="AL666" s="259" t="str">
        <f>MATCH(B666,'Key Findings'!B:B,0)</f>
        <v>#N/A</v>
      </c>
      <c r="AM666" s="274" t="b">
        <f t="shared" si="2"/>
        <v>0</v>
      </c>
      <c r="AN666" s="294"/>
    </row>
    <row r="667">
      <c r="A667" s="169">
        <f t="array" ref="A667">INDEX('Federal Tax, Stock Buybacks, &amp; '!D:D,match(B667,'Federal Tax, Stock Buybacks, &amp; '!E:E,0))</f>
        <v>46</v>
      </c>
      <c r="B667" s="418" t="s">
        <v>956</v>
      </c>
      <c r="C667" s="372"/>
      <c r="D667" s="428"/>
      <c r="E667" s="499"/>
      <c r="F667" s="254"/>
      <c r="G667" s="372"/>
      <c r="H667" s="428"/>
      <c r="I667" s="499"/>
      <c r="J667" s="254"/>
      <c r="K667" s="372" t="s">
        <v>711</v>
      </c>
      <c r="L667" s="428" t="s">
        <v>711</v>
      </c>
      <c r="M667" s="499" t="s">
        <v>711</v>
      </c>
      <c r="N667" s="254"/>
      <c r="O667" s="372" t="s">
        <v>711</v>
      </c>
      <c r="P667" s="428" t="s">
        <v>711</v>
      </c>
      <c r="Q667" s="499" t="s">
        <v>711</v>
      </c>
      <c r="R667" s="254"/>
      <c r="S667" s="372" t="s">
        <v>711</v>
      </c>
      <c r="T667" s="428" t="s">
        <v>711</v>
      </c>
      <c r="U667" s="499" t="s">
        <v>711</v>
      </c>
      <c r="V667" s="254"/>
      <c r="W667" s="372" t="s">
        <v>711</v>
      </c>
      <c r="X667" s="428" t="s">
        <v>711</v>
      </c>
      <c r="Y667" s="499" t="s">
        <v>711</v>
      </c>
      <c r="Z667" s="254"/>
      <c r="AA667" s="301" t="s">
        <v>961</v>
      </c>
      <c r="AB667" s="503" t="s">
        <v>2304</v>
      </c>
      <c r="AC667" s="488">
        <v>7009990.0</v>
      </c>
      <c r="AD667" s="343"/>
      <c r="AE667" s="347"/>
      <c r="AF667" s="313"/>
      <c r="AG667" s="313"/>
      <c r="AH667" s="313"/>
      <c r="AI667" s="313"/>
      <c r="AJ667" s="368"/>
      <c r="AK667" s="274"/>
      <c r="AL667" s="259" t="str">
        <f>MATCH(B667,'Key Findings'!B:B,0)</f>
        <v>#N/A</v>
      </c>
      <c r="AM667" s="274" t="b">
        <f t="shared" si="2"/>
        <v>0</v>
      </c>
      <c r="AN667" s="294"/>
    </row>
    <row r="668">
      <c r="A668" s="169">
        <f t="array" ref="A668">INDEX('Federal Tax, Stock Buybacks, &amp; '!D:D,match(B668,'Federal Tax, Stock Buybacks, &amp; '!E:E,0))</f>
        <v>88</v>
      </c>
      <c r="B668" s="397" t="s">
        <v>925</v>
      </c>
      <c r="C668" s="398"/>
      <c r="D668" s="365"/>
      <c r="E668" s="550"/>
      <c r="F668" s="254"/>
      <c r="G668" s="398"/>
      <c r="H668" s="365"/>
      <c r="I668" s="550"/>
      <c r="J668" s="254"/>
      <c r="K668" s="398" t="s">
        <v>924</v>
      </c>
      <c r="L668" s="365" t="s">
        <v>2305</v>
      </c>
      <c r="M668" s="550">
        <v>1.2748826E7</v>
      </c>
      <c r="N668" s="254"/>
      <c r="O668" s="398" t="s">
        <v>924</v>
      </c>
      <c r="P668" s="364" t="s">
        <v>2305</v>
      </c>
      <c r="Q668" s="551">
        <v>1.4462961E7</v>
      </c>
      <c r="R668" s="254"/>
      <c r="S668" s="398" t="s">
        <v>924</v>
      </c>
      <c r="T668" s="364" t="s">
        <v>2305</v>
      </c>
      <c r="U668" s="499">
        <v>1.5220523E7</v>
      </c>
      <c r="V668" s="254"/>
      <c r="W668" s="398" t="s">
        <v>932</v>
      </c>
      <c r="X668" s="414" t="s">
        <v>2306</v>
      </c>
      <c r="Y668" s="499">
        <v>2718803.0</v>
      </c>
      <c r="Z668" s="254"/>
      <c r="AA668" s="398" t="s">
        <v>932</v>
      </c>
      <c r="AB668" s="414" t="s">
        <v>2306</v>
      </c>
      <c r="AC668" s="488">
        <v>2803554.0</v>
      </c>
      <c r="AD668" s="306"/>
      <c r="AE668" s="307">
        <v>2022.0</v>
      </c>
      <c r="AF668" s="307">
        <v>2021.0</v>
      </c>
      <c r="AG668" s="307">
        <v>2020.0</v>
      </c>
      <c r="AH668" s="307">
        <v>2019.0</v>
      </c>
      <c r="AI668" s="307">
        <v>2018.0</v>
      </c>
      <c r="AJ668" s="273" t="s">
        <v>1524</v>
      </c>
      <c r="AK668" s="274"/>
      <c r="AL668" s="259" t="str">
        <f>MATCH(B668,'Key Findings'!B:B,0)</f>
        <v>#N/A</v>
      </c>
      <c r="AM668" s="274" t="b">
        <f t="shared" si="2"/>
        <v>0</v>
      </c>
      <c r="AN668" s="294"/>
    </row>
    <row r="669">
      <c r="A669" s="169">
        <f t="array" ref="A669">INDEX('Federal Tax, Stock Buybacks, &amp; '!D:D,match(B669,'Federal Tax, Stock Buybacks, &amp; '!E:E,0))</f>
        <v>88</v>
      </c>
      <c r="B669" s="397" t="s">
        <v>925</v>
      </c>
      <c r="C669" s="398"/>
      <c r="D669" s="365"/>
      <c r="E669" s="550"/>
      <c r="F669" s="254"/>
      <c r="G669" s="398"/>
      <c r="H669" s="365"/>
      <c r="I669" s="550"/>
      <c r="J669" s="254"/>
      <c r="K669" s="398" t="s">
        <v>926</v>
      </c>
      <c r="L669" s="365" t="s">
        <v>1651</v>
      </c>
      <c r="M669" s="550">
        <v>4082590.0</v>
      </c>
      <c r="N669" s="254"/>
      <c r="O669" s="398" t="s">
        <v>926</v>
      </c>
      <c r="P669" s="364" t="s">
        <v>1651</v>
      </c>
      <c r="Q669" s="552">
        <v>4679143.0</v>
      </c>
      <c r="R669" s="254"/>
      <c r="S669" s="398" t="s">
        <v>926</v>
      </c>
      <c r="T669" s="364" t="s">
        <v>1651</v>
      </c>
      <c r="U669" s="499">
        <v>4895694.0</v>
      </c>
      <c r="V669" s="254"/>
      <c r="W669" s="398" t="s">
        <v>924</v>
      </c>
      <c r="X669" s="364" t="s">
        <v>2305</v>
      </c>
      <c r="Y669" s="499">
        <v>1.4041272E7</v>
      </c>
      <c r="Z669" s="254"/>
      <c r="AA669" s="398" t="s">
        <v>924</v>
      </c>
      <c r="AB669" s="364" t="s">
        <v>2305</v>
      </c>
      <c r="AC669" s="488">
        <v>1.4172925E7</v>
      </c>
      <c r="AD669" s="306"/>
      <c r="AE669" s="308"/>
      <c r="AF669" s="308"/>
      <c r="AG669" s="308"/>
      <c r="AH669" s="308"/>
      <c r="AI669" s="308"/>
      <c r="AJ669" s="278"/>
      <c r="AK669" s="274"/>
      <c r="AL669" s="259" t="str">
        <f>MATCH(B669,'Key Findings'!B:B,0)</f>
        <v>#N/A</v>
      </c>
      <c r="AM669" s="274" t="b">
        <f t="shared" si="2"/>
        <v>0</v>
      </c>
      <c r="AN669" s="294"/>
    </row>
    <row r="670">
      <c r="A670" s="169">
        <f t="array" ref="A670">INDEX('Federal Tax, Stock Buybacks, &amp; '!D:D,match(B670,'Federal Tax, Stock Buybacks, &amp; '!E:E,0))</f>
        <v>88</v>
      </c>
      <c r="B670" s="397" t="s">
        <v>925</v>
      </c>
      <c r="C670" s="398"/>
      <c r="D670" s="365"/>
      <c r="E670" s="550"/>
      <c r="F670" s="254"/>
      <c r="G670" s="398"/>
      <c r="H670" s="365"/>
      <c r="I670" s="550"/>
      <c r="J670" s="254"/>
      <c r="K670" s="398" t="s">
        <v>927</v>
      </c>
      <c r="L670" s="365" t="s">
        <v>2307</v>
      </c>
      <c r="M670" s="550">
        <v>3780982.0</v>
      </c>
      <c r="N670" s="254"/>
      <c r="O670" s="398" t="s">
        <v>927</v>
      </c>
      <c r="P670" s="364" t="s">
        <v>2307</v>
      </c>
      <c r="Q670" s="552">
        <v>4150307.0</v>
      </c>
      <c r="R670" s="254"/>
      <c r="S670" s="398" t="s">
        <v>929</v>
      </c>
      <c r="T670" s="369" t="s">
        <v>2308</v>
      </c>
      <c r="U670" s="499">
        <v>2806630.0</v>
      </c>
      <c r="V670" s="254"/>
      <c r="W670" s="398" t="s">
        <v>926</v>
      </c>
      <c r="X670" s="364" t="s">
        <v>1651</v>
      </c>
      <c r="Y670" s="499">
        <v>4568450.0</v>
      </c>
      <c r="Z670" s="254"/>
      <c r="AA670" s="398" t="s">
        <v>926</v>
      </c>
      <c r="AB670" s="364" t="s">
        <v>1651</v>
      </c>
      <c r="AC670" s="488">
        <v>7134820.0</v>
      </c>
      <c r="AD670" s="306"/>
      <c r="AE670" s="308"/>
      <c r="AF670" s="308"/>
      <c r="AG670" s="308"/>
      <c r="AH670" s="308"/>
      <c r="AI670" s="308"/>
      <c r="AJ670" s="278"/>
      <c r="AK670" s="274"/>
      <c r="AL670" s="259" t="str">
        <f>MATCH(B670,'Key Findings'!B:B,0)</f>
        <v>#N/A</v>
      </c>
      <c r="AM670" s="274" t="b">
        <f t="shared" si="2"/>
        <v>0</v>
      </c>
      <c r="AN670" s="294"/>
    </row>
    <row r="671">
      <c r="A671" s="169">
        <f t="array" ref="A671">INDEX('Federal Tax, Stock Buybacks, &amp; '!D:D,match(B671,'Federal Tax, Stock Buybacks, &amp; '!E:E,0))</f>
        <v>88</v>
      </c>
      <c r="B671" s="397" t="s">
        <v>925</v>
      </c>
      <c r="C671" s="398"/>
      <c r="D671" s="365"/>
      <c r="E671" s="550"/>
      <c r="F671" s="254"/>
      <c r="G671" s="398"/>
      <c r="H671" s="365"/>
      <c r="I671" s="550"/>
      <c r="J671" s="254"/>
      <c r="K671" s="398" t="s">
        <v>930</v>
      </c>
      <c r="L671" s="365" t="s">
        <v>2309</v>
      </c>
      <c r="M671" s="550">
        <v>2410774.0</v>
      </c>
      <c r="N671" s="254"/>
      <c r="O671" s="398" t="s">
        <v>928</v>
      </c>
      <c r="P671" s="401" t="s">
        <v>2310</v>
      </c>
      <c r="Q671" s="552">
        <v>2832171.0</v>
      </c>
      <c r="R671" s="254"/>
      <c r="S671" s="398" t="s">
        <v>927</v>
      </c>
      <c r="T671" s="364" t="s">
        <v>2307</v>
      </c>
      <c r="U671" s="499">
        <v>3855814.0</v>
      </c>
      <c r="V671" s="254"/>
      <c r="W671" s="398" t="s">
        <v>929</v>
      </c>
      <c r="X671" s="414" t="s">
        <v>2308</v>
      </c>
      <c r="Y671" s="499">
        <v>2612838.0</v>
      </c>
      <c r="Z671" s="254"/>
      <c r="AA671" s="398" t="s">
        <v>934</v>
      </c>
      <c r="AB671" s="414" t="s">
        <v>1553</v>
      </c>
      <c r="AC671" s="488">
        <v>2413751.0</v>
      </c>
      <c r="AD671" s="306"/>
      <c r="AE671" s="308"/>
      <c r="AF671" s="308"/>
      <c r="AG671" s="308"/>
      <c r="AH671" s="308"/>
      <c r="AI671" s="308"/>
      <c r="AJ671" s="278"/>
      <c r="AK671" s="274"/>
      <c r="AL671" s="259" t="str">
        <f>MATCH(B671,'Key Findings'!B:B,0)</f>
        <v>#N/A</v>
      </c>
      <c r="AM671" s="274" t="b">
        <f t="shared" si="2"/>
        <v>0</v>
      </c>
      <c r="AN671" s="294"/>
    </row>
    <row r="672">
      <c r="A672" s="169">
        <f t="array" ref="A672">INDEX('Federal Tax, Stock Buybacks, &amp; '!D:D,match(B672,'Federal Tax, Stock Buybacks, &amp; '!E:E,0))</f>
        <v>88</v>
      </c>
      <c r="B672" s="397" t="s">
        <v>925</v>
      </c>
      <c r="C672" s="398"/>
      <c r="D672" s="365"/>
      <c r="E672" s="550"/>
      <c r="F672" s="254"/>
      <c r="G672" s="398"/>
      <c r="H672" s="365"/>
      <c r="I672" s="550"/>
      <c r="J672" s="254"/>
      <c r="K672" s="398" t="s">
        <v>931</v>
      </c>
      <c r="L672" s="365" t="s">
        <v>2308</v>
      </c>
      <c r="M672" s="550">
        <v>2410024.0</v>
      </c>
      <c r="N672" s="254"/>
      <c r="O672" s="398" t="s">
        <v>933</v>
      </c>
      <c r="P672" s="414" t="s">
        <v>1553</v>
      </c>
      <c r="Q672" s="552">
        <v>3012772.0</v>
      </c>
      <c r="R672" s="254"/>
      <c r="S672" s="398" t="s">
        <v>928</v>
      </c>
      <c r="T672" s="414" t="s">
        <v>2309</v>
      </c>
      <c r="U672" s="499">
        <v>2770575.0</v>
      </c>
      <c r="V672" s="254"/>
      <c r="W672" s="398" t="s">
        <v>927</v>
      </c>
      <c r="X672" s="364" t="s">
        <v>2307</v>
      </c>
      <c r="Y672" s="499">
        <v>3229832.0</v>
      </c>
      <c r="Z672" s="254"/>
      <c r="AA672" s="398" t="s">
        <v>929</v>
      </c>
      <c r="AB672" s="414" t="s">
        <v>2308</v>
      </c>
      <c r="AC672" s="488">
        <v>2510945.0</v>
      </c>
      <c r="AD672" s="306"/>
      <c r="AE672" s="308"/>
      <c r="AF672" s="308"/>
      <c r="AG672" s="308"/>
      <c r="AH672" s="308"/>
      <c r="AI672" s="308"/>
      <c r="AJ672" s="278"/>
      <c r="AK672" s="274"/>
      <c r="AL672" s="259" t="str">
        <f>MATCH(B672,'Key Findings'!B:B,0)</f>
        <v>#N/A</v>
      </c>
      <c r="AM672" s="274" t="b">
        <f t="shared" si="2"/>
        <v>0</v>
      </c>
      <c r="AN672" s="294"/>
    </row>
    <row r="673">
      <c r="A673" s="169">
        <f t="array" ref="A673">INDEX('Federal Tax, Stock Buybacks, &amp; '!D:D,match(B673,'Federal Tax, Stock Buybacks, &amp; '!E:E,0))</f>
        <v>88</v>
      </c>
      <c r="B673" s="397" t="s">
        <v>925</v>
      </c>
      <c r="C673" s="372"/>
      <c r="D673" s="370"/>
      <c r="E673" s="553"/>
      <c r="F673" s="254"/>
      <c r="G673" s="372"/>
      <c r="H673" s="370"/>
      <c r="I673" s="553"/>
      <c r="J673" s="254"/>
      <c r="K673" s="372" t="s">
        <v>711</v>
      </c>
      <c r="L673" s="370" t="s">
        <v>711</v>
      </c>
      <c r="M673" s="553" t="s">
        <v>711</v>
      </c>
      <c r="N673" s="254"/>
      <c r="O673" s="398" t="s">
        <v>930</v>
      </c>
      <c r="P673" s="364" t="s">
        <v>2309</v>
      </c>
      <c r="Q673" s="551">
        <v>2437051.0</v>
      </c>
      <c r="R673" s="254"/>
      <c r="S673" s="398" t="s">
        <v>930</v>
      </c>
      <c r="T673" s="364" t="s">
        <v>2309</v>
      </c>
      <c r="U673" s="499">
        <v>2372265.0</v>
      </c>
      <c r="V673" s="254"/>
      <c r="W673" s="398" t="s">
        <v>928</v>
      </c>
      <c r="X673" s="414" t="s">
        <v>2309</v>
      </c>
      <c r="Y673" s="499">
        <v>2565080.0</v>
      </c>
      <c r="Z673" s="254"/>
      <c r="AA673" s="398" t="s">
        <v>928</v>
      </c>
      <c r="AB673" s="414" t="s">
        <v>2309</v>
      </c>
      <c r="AC673" s="488">
        <v>2165314.0</v>
      </c>
      <c r="AD673" s="306"/>
      <c r="AE673" s="308"/>
      <c r="AF673" s="308"/>
      <c r="AG673" s="308"/>
      <c r="AH673" s="308"/>
      <c r="AI673" s="308"/>
      <c r="AJ673" s="278"/>
      <c r="AK673" s="274"/>
      <c r="AL673" s="259" t="str">
        <f>MATCH(B673,'Key Findings'!B:B,0)</f>
        <v>#N/A</v>
      </c>
      <c r="AM673" s="274" t="b">
        <f t="shared" si="2"/>
        <v>0</v>
      </c>
      <c r="AN673" s="294"/>
    </row>
    <row r="674">
      <c r="A674" s="169">
        <f t="array" ref="A674">INDEX('Federal Tax, Stock Buybacks, &amp; '!D:D,match(B674,'Federal Tax, Stock Buybacks, &amp; '!E:E,0))</f>
        <v>88</v>
      </c>
      <c r="B674" s="397" t="s">
        <v>925</v>
      </c>
      <c r="C674" s="372"/>
      <c r="D674" s="370"/>
      <c r="E674" s="553"/>
      <c r="F674" s="254"/>
      <c r="G674" s="372"/>
      <c r="H674" s="370"/>
      <c r="I674" s="553"/>
      <c r="J674" s="254"/>
      <c r="K674" s="372" t="s">
        <v>711</v>
      </c>
      <c r="L674" s="370" t="s">
        <v>711</v>
      </c>
      <c r="M674" s="553" t="s">
        <v>711</v>
      </c>
      <c r="N674" s="254"/>
      <c r="O674" s="398" t="s">
        <v>931</v>
      </c>
      <c r="P674" s="364" t="s">
        <v>2308</v>
      </c>
      <c r="Q674" s="551">
        <v>1960157.0</v>
      </c>
      <c r="R674" s="254"/>
      <c r="S674" s="398" t="s">
        <v>931</v>
      </c>
      <c r="T674" s="364" t="s">
        <v>2308</v>
      </c>
      <c r="U674" s="499">
        <v>1703302.0</v>
      </c>
      <c r="V674" s="254"/>
      <c r="W674" s="372" t="s">
        <v>711</v>
      </c>
      <c r="X674" s="370" t="s">
        <v>711</v>
      </c>
      <c r="Y674" s="553" t="s">
        <v>711</v>
      </c>
      <c r="Z674" s="254"/>
      <c r="AA674" s="398" t="s">
        <v>927</v>
      </c>
      <c r="AB674" s="364" t="s">
        <v>2307</v>
      </c>
      <c r="AC674" s="488">
        <v>2165314.0</v>
      </c>
      <c r="AD674" s="306"/>
      <c r="AE674" s="308"/>
      <c r="AF674" s="308"/>
      <c r="AG674" s="308"/>
      <c r="AH674" s="308"/>
      <c r="AI674" s="308"/>
      <c r="AJ674" s="278"/>
      <c r="AK674" s="274"/>
      <c r="AL674" s="259" t="str">
        <f>MATCH(B674,'Key Findings'!B:B,0)</f>
        <v>#N/A</v>
      </c>
      <c r="AM674" s="274" t="b">
        <f t="shared" si="2"/>
        <v>0</v>
      </c>
      <c r="AN674" s="294"/>
    </row>
    <row r="675">
      <c r="A675" s="169">
        <f t="array" ref="A675">INDEX('Federal Tax, Stock Buybacks, &amp; '!D:D,match(B675,'Federal Tax, Stock Buybacks, &amp; '!E:E,0))</f>
        <v>273</v>
      </c>
      <c r="B675" s="281" t="s">
        <v>1260</v>
      </c>
      <c r="C675" s="282"/>
      <c r="D675" s="283"/>
      <c r="E675" s="471"/>
      <c r="F675" s="254"/>
      <c r="G675" s="282"/>
      <c r="H675" s="283"/>
      <c r="I675" s="471"/>
      <c r="J675" s="254"/>
      <c r="K675" s="282" t="s">
        <v>1261</v>
      </c>
      <c r="L675" s="283" t="s">
        <v>2311</v>
      </c>
      <c r="M675" s="471">
        <v>5390813.0</v>
      </c>
      <c r="N675" s="254"/>
      <c r="O675" s="282" t="s">
        <v>1261</v>
      </c>
      <c r="P675" s="283" t="s">
        <v>2311</v>
      </c>
      <c r="Q675" s="471">
        <v>5540371.0</v>
      </c>
      <c r="R675" s="254"/>
      <c r="S675" s="282" t="s">
        <v>1261</v>
      </c>
      <c r="T675" s="283" t="s">
        <v>2311</v>
      </c>
      <c r="U675" s="471">
        <v>4043187.0</v>
      </c>
      <c r="V675" s="254"/>
      <c r="W675" s="282" t="s">
        <v>1261</v>
      </c>
      <c r="X675" s="283" t="s">
        <v>2311</v>
      </c>
      <c r="Y675" s="471">
        <v>3876233.0</v>
      </c>
      <c r="Z675" s="254"/>
      <c r="AA675" s="282" t="s">
        <v>1261</v>
      </c>
      <c r="AB675" s="283" t="s">
        <v>2311</v>
      </c>
      <c r="AC675" s="472">
        <v>3902633.0</v>
      </c>
      <c r="AD675" s="288"/>
      <c r="AE675" s="289">
        <v>2022.0</v>
      </c>
      <c r="AF675" s="289">
        <v>2021.0</v>
      </c>
      <c r="AG675" s="289">
        <v>2020.0</v>
      </c>
      <c r="AH675" s="289">
        <v>2019.0</v>
      </c>
      <c r="AI675" s="289">
        <v>2018.0</v>
      </c>
      <c r="AJ675" s="290" t="s">
        <v>1524</v>
      </c>
      <c r="AK675" s="260"/>
      <c r="AL675" s="259" t="str">
        <f>MATCH(B675,'Key Findings'!B:B,0)</f>
        <v>#N/A</v>
      </c>
      <c r="AM675" s="260" t="b">
        <f t="shared" si="2"/>
        <v>1</v>
      </c>
      <c r="AN675" s="294"/>
    </row>
    <row r="676">
      <c r="A676" s="169">
        <f t="array" ref="A676">INDEX('Federal Tax, Stock Buybacks, &amp; '!D:D,match(B676,'Federal Tax, Stock Buybacks, &amp; '!E:E,0))</f>
        <v>273</v>
      </c>
      <c r="B676" s="281" t="s">
        <v>1260</v>
      </c>
      <c r="C676" s="282"/>
      <c r="D676" s="283"/>
      <c r="E676" s="471"/>
      <c r="F676" s="254"/>
      <c r="G676" s="282"/>
      <c r="H676" s="283"/>
      <c r="I676" s="471"/>
      <c r="J676" s="254"/>
      <c r="K676" s="282" t="s">
        <v>1259</v>
      </c>
      <c r="L676" s="283" t="s">
        <v>2312</v>
      </c>
      <c r="M676" s="471">
        <v>1.0642075E7</v>
      </c>
      <c r="N676" s="254"/>
      <c r="O676" s="282" t="s">
        <v>1259</v>
      </c>
      <c r="P676" s="283" t="s">
        <v>2312</v>
      </c>
      <c r="Q676" s="471">
        <v>1.2087218E7</v>
      </c>
      <c r="R676" s="254"/>
      <c r="S676" s="282" t="s">
        <v>1259</v>
      </c>
      <c r="T676" s="283" t="s">
        <v>2312</v>
      </c>
      <c r="U676" s="471">
        <v>1.0357259E7</v>
      </c>
      <c r="V676" s="254"/>
      <c r="W676" s="282" t="s">
        <v>1259</v>
      </c>
      <c r="X676" s="283" t="s">
        <v>2312</v>
      </c>
      <c r="Y676" s="471">
        <v>9250436.0</v>
      </c>
      <c r="Z676" s="254"/>
      <c r="AA676" s="282" t="s">
        <v>1259</v>
      </c>
      <c r="AB676" s="283" t="s">
        <v>2312</v>
      </c>
      <c r="AC676" s="472">
        <v>5664102.0</v>
      </c>
      <c r="AD676" s="288"/>
      <c r="AE676" s="292"/>
      <c r="AF676" s="292"/>
      <c r="AG676" s="292"/>
      <c r="AH676" s="292"/>
      <c r="AI676" s="292"/>
      <c r="AJ676" s="293"/>
      <c r="AK676" s="260"/>
      <c r="AL676" s="259" t="str">
        <f>MATCH(B676,'Key Findings'!B:B,0)</f>
        <v>#N/A</v>
      </c>
      <c r="AM676" s="260" t="b">
        <f t="shared" si="2"/>
        <v>1</v>
      </c>
      <c r="AN676" s="294"/>
    </row>
    <row r="677">
      <c r="A677" s="169">
        <f t="array" ref="A677">INDEX('Federal Tax, Stock Buybacks, &amp; '!D:D,match(B677,'Federal Tax, Stock Buybacks, &amp; '!E:E,0))</f>
        <v>273</v>
      </c>
      <c r="B677" s="281" t="s">
        <v>1260</v>
      </c>
      <c r="C677" s="282"/>
      <c r="D677" s="283"/>
      <c r="E677" s="471"/>
      <c r="F677" s="254"/>
      <c r="G677" s="282"/>
      <c r="H677" s="283"/>
      <c r="I677" s="471"/>
      <c r="J677" s="254"/>
      <c r="K677" s="282" t="s">
        <v>1263</v>
      </c>
      <c r="L677" s="283" t="s">
        <v>1805</v>
      </c>
      <c r="M677" s="471">
        <v>4528276.0</v>
      </c>
      <c r="N677" s="254"/>
      <c r="O677" s="282" t="s">
        <v>1263</v>
      </c>
      <c r="P677" s="283" t="s">
        <v>1805</v>
      </c>
      <c r="Q677" s="471">
        <v>4540308.0</v>
      </c>
      <c r="R677" s="254"/>
      <c r="S677" s="282" t="s">
        <v>1263</v>
      </c>
      <c r="T677" s="283" t="s">
        <v>1805</v>
      </c>
      <c r="U677" s="471">
        <v>3993629.0</v>
      </c>
      <c r="V677" s="254"/>
      <c r="W677" s="282" t="s">
        <v>1263</v>
      </c>
      <c r="X677" s="283" t="s">
        <v>1805</v>
      </c>
      <c r="Y677" s="471">
        <v>1508181.0</v>
      </c>
      <c r="Z677" s="254"/>
      <c r="AA677" s="282" t="s">
        <v>1269</v>
      </c>
      <c r="AB677" s="283" t="s">
        <v>1805</v>
      </c>
      <c r="AC677" s="472">
        <v>3766283.0</v>
      </c>
      <c r="AD677" s="288"/>
      <c r="AE677" s="292"/>
      <c r="AF677" s="292"/>
      <c r="AG677" s="292"/>
      <c r="AH677" s="292"/>
      <c r="AI677" s="292"/>
      <c r="AJ677" s="293"/>
      <c r="AK677" s="260"/>
      <c r="AL677" s="259" t="str">
        <f>MATCH(B677,'Key Findings'!B:B,0)</f>
        <v>#N/A</v>
      </c>
      <c r="AM677" s="260" t="b">
        <f t="shared" si="2"/>
        <v>1</v>
      </c>
      <c r="AN677" s="294"/>
    </row>
    <row r="678">
      <c r="A678" s="169">
        <f t="array" ref="A678">INDEX('Federal Tax, Stock Buybacks, &amp; '!D:D,match(B678,'Federal Tax, Stock Buybacks, &amp; '!E:E,0))</f>
        <v>273</v>
      </c>
      <c r="B678" s="281" t="s">
        <v>1260</v>
      </c>
      <c r="C678" s="282"/>
      <c r="D678" s="283"/>
      <c r="E678" s="471"/>
      <c r="F678" s="254"/>
      <c r="G678" s="282"/>
      <c r="H678" s="283"/>
      <c r="I678" s="471"/>
      <c r="J678" s="254"/>
      <c r="K678" s="282" t="s">
        <v>1267</v>
      </c>
      <c r="L678" s="283" t="s">
        <v>2313</v>
      </c>
      <c r="M678" s="471">
        <v>4892025.0</v>
      </c>
      <c r="N678" s="254"/>
      <c r="O678" s="282" t="s">
        <v>1267</v>
      </c>
      <c r="P678" s="283" t="s">
        <v>2313</v>
      </c>
      <c r="Q678" s="471">
        <v>4538608.0</v>
      </c>
      <c r="R678" s="254"/>
      <c r="S678" s="282" t="s">
        <v>1264</v>
      </c>
      <c r="T678" s="549" t="s">
        <v>2313</v>
      </c>
      <c r="U678" s="471">
        <v>4294080.0</v>
      </c>
      <c r="V678" s="254"/>
      <c r="W678" s="282" t="s">
        <v>1264</v>
      </c>
      <c r="X678" s="549" t="s">
        <v>2313</v>
      </c>
      <c r="Y678" s="471">
        <v>3877826.0</v>
      </c>
      <c r="Z678" s="254"/>
      <c r="AA678" s="282" t="s">
        <v>1264</v>
      </c>
      <c r="AB678" s="549" t="s">
        <v>2313</v>
      </c>
      <c r="AC678" s="472">
        <v>3467178.0</v>
      </c>
      <c r="AD678" s="288"/>
      <c r="AE678" s="292"/>
      <c r="AF678" s="292"/>
      <c r="AG678" s="292"/>
      <c r="AH678" s="292"/>
      <c r="AI678" s="292"/>
      <c r="AJ678" s="293"/>
      <c r="AK678" s="260"/>
      <c r="AL678" s="259" t="str">
        <f>MATCH(B678,'Key Findings'!B:B,0)</f>
        <v>#N/A</v>
      </c>
      <c r="AM678" s="260" t="b">
        <f t="shared" si="2"/>
        <v>1</v>
      </c>
      <c r="AN678" s="294"/>
    </row>
    <row r="679">
      <c r="A679" s="169">
        <f t="array" ref="A679">INDEX('Federal Tax, Stock Buybacks, &amp; '!D:D,match(B679,'Federal Tax, Stock Buybacks, &amp; '!E:E,0))</f>
        <v>273</v>
      </c>
      <c r="B679" s="281" t="s">
        <v>1260</v>
      </c>
      <c r="C679" s="282"/>
      <c r="D679" s="549"/>
      <c r="E679" s="471"/>
      <c r="F679" s="254"/>
      <c r="G679" s="282"/>
      <c r="H679" s="549"/>
      <c r="I679" s="471"/>
      <c r="J679" s="254"/>
      <c r="K679" s="282" t="s">
        <v>1268</v>
      </c>
      <c r="L679" s="549" t="s">
        <v>2314</v>
      </c>
      <c r="M679" s="471">
        <v>4282776.0</v>
      </c>
      <c r="N679" s="254"/>
      <c r="O679" s="282" t="s">
        <v>1262</v>
      </c>
      <c r="P679" s="283" t="s">
        <v>2315</v>
      </c>
      <c r="Q679" s="471">
        <v>4540146.0</v>
      </c>
      <c r="R679" s="254"/>
      <c r="S679" s="282" t="s">
        <v>1262</v>
      </c>
      <c r="T679" s="283" t="s">
        <v>2315</v>
      </c>
      <c r="U679" s="471">
        <v>4106435.0</v>
      </c>
      <c r="V679" s="254"/>
      <c r="W679" s="282" t="s">
        <v>1262</v>
      </c>
      <c r="X679" s="283" t="s">
        <v>2315</v>
      </c>
      <c r="Y679" s="471">
        <v>3701907.0</v>
      </c>
      <c r="Z679" s="254"/>
      <c r="AA679" s="282" t="s">
        <v>1262</v>
      </c>
      <c r="AB679" s="283" t="s">
        <v>2315</v>
      </c>
      <c r="AC679" s="471">
        <v>3724033.0</v>
      </c>
      <c r="AD679" s="288"/>
      <c r="AE679" s="292"/>
      <c r="AF679" s="292"/>
      <c r="AG679" s="292"/>
      <c r="AH679" s="292"/>
      <c r="AI679" s="292"/>
      <c r="AJ679" s="293"/>
      <c r="AK679" s="260"/>
      <c r="AL679" s="259" t="str">
        <f>MATCH(B679,'Key Findings'!B:B,0)</f>
        <v>#N/A</v>
      </c>
      <c r="AM679" s="260" t="b">
        <f t="shared" si="2"/>
        <v>1</v>
      </c>
      <c r="AN679" s="294"/>
    </row>
    <row r="680">
      <c r="A680" s="169">
        <f t="array" ref="A680">INDEX('Federal Tax, Stock Buybacks, &amp; '!D:D,match(B680,'Federal Tax, Stock Buybacks, &amp; '!E:E,0))</f>
        <v>273</v>
      </c>
      <c r="B680" s="281" t="s">
        <v>1260</v>
      </c>
      <c r="C680" s="298"/>
      <c r="D680" s="296"/>
      <c r="E680" s="523"/>
      <c r="F680" s="254"/>
      <c r="G680" s="298"/>
      <c r="H680" s="296"/>
      <c r="I680" s="523"/>
      <c r="J680" s="254"/>
      <c r="K680" s="298" t="s">
        <v>711</v>
      </c>
      <c r="L680" s="296" t="s">
        <v>711</v>
      </c>
      <c r="M680" s="523" t="s">
        <v>711</v>
      </c>
      <c r="N680" s="254"/>
      <c r="O680" s="298" t="s">
        <v>711</v>
      </c>
      <c r="P680" s="296" t="s">
        <v>711</v>
      </c>
      <c r="Q680" s="523" t="s">
        <v>711</v>
      </c>
      <c r="R680" s="254"/>
      <c r="S680" s="298" t="s">
        <v>711</v>
      </c>
      <c r="T680" s="296" t="s">
        <v>711</v>
      </c>
      <c r="U680" s="523" t="s">
        <v>711</v>
      </c>
      <c r="V680" s="254"/>
      <c r="W680" s="282" t="s">
        <v>1265</v>
      </c>
      <c r="X680" s="283" t="s">
        <v>2316</v>
      </c>
      <c r="Y680" s="471">
        <v>1.0402501E7</v>
      </c>
      <c r="Z680" s="254"/>
      <c r="AA680" s="282" t="s">
        <v>1266</v>
      </c>
      <c r="AB680" s="283" t="s">
        <v>1606</v>
      </c>
      <c r="AC680" s="471">
        <v>1.0168771E7</v>
      </c>
      <c r="AD680" s="288"/>
      <c r="AE680" s="292"/>
      <c r="AF680" s="292"/>
      <c r="AG680" s="292"/>
      <c r="AH680" s="292"/>
      <c r="AI680" s="292"/>
      <c r="AJ680" s="293"/>
      <c r="AK680" s="260"/>
      <c r="AL680" s="259" t="str">
        <f>MATCH(B680,'Key Findings'!B:B,0)</f>
        <v>#N/A</v>
      </c>
      <c r="AM680" s="260" t="b">
        <f t="shared" si="2"/>
        <v>1</v>
      </c>
      <c r="AN680" s="294"/>
    </row>
    <row r="681">
      <c r="A681" s="169">
        <f t="array" ref="A681">INDEX('Federal Tax, Stock Buybacks, &amp; '!D:D,match(B681,'Federal Tax, Stock Buybacks, &amp; '!E:E,0))</f>
        <v>12</v>
      </c>
      <c r="B681" s="338" t="s">
        <v>1300</v>
      </c>
      <c r="C681" s="301"/>
      <c r="D681" s="349"/>
      <c r="E681" s="488"/>
      <c r="F681" s="254"/>
      <c r="G681" s="301"/>
      <c r="H681" s="349"/>
      <c r="I681" s="488"/>
      <c r="J681" s="254"/>
      <c r="K681" s="301" t="s">
        <v>1301</v>
      </c>
      <c r="L681" s="349" t="s">
        <v>1881</v>
      </c>
      <c r="M681" s="488">
        <v>5817233.0</v>
      </c>
      <c r="N681" s="254"/>
      <c r="O681" s="301" t="s">
        <v>1301</v>
      </c>
      <c r="P681" s="301" t="s">
        <v>1881</v>
      </c>
      <c r="Q681" s="488">
        <v>4971346.0</v>
      </c>
      <c r="R681" s="254"/>
      <c r="S681" s="339" t="s">
        <v>1299</v>
      </c>
      <c r="T681" s="339" t="s">
        <v>1588</v>
      </c>
      <c r="U681" s="499">
        <v>8279552.0</v>
      </c>
      <c r="V681" s="254"/>
      <c r="W681" s="339" t="s">
        <v>1301</v>
      </c>
      <c r="X681" s="339" t="s">
        <v>1881</v>
      </c>
      <c r="Y681" s="488">
        <v>4441971.0</v>
      </c>
      <c r="Z681" s="254"/>
      <c r="AA681" s="339" t="s">
        <v>1301</v>
      </c>
      <c r="AB681" s="339" t="s">
        <v>1881</v>
      </c>
      <c r="AC681" s="488">
        <v>4286893.0</v>
      </c>
      <c r="AD681" s="343"/>
      <c r="AE681" s="379">
        <v>2022.0</v>
      </c>
      <c r="AF681" s="379">
        <v>2021.0</v>
      </c>
      <c r="AG681" s="379">
        <v>2020.0</v>
      </c>
      <c r="AH681" s="379">
        <v>2019.0</v>
      </c>
      <c r="AI681" s="379">
        <v>2018.0</v>
      </c>
      <c r="AJ681" s="345" t="s">
        <v>2317</v>
      </c>
      <c r="AK681" s="274"/>
      <c r="AL681" s="259" t="str">
        <f>MATCH(B681,'Key Findings'!B:B,0)</f>
        <v>#N/A</v>
      </c>
      <c r="AM681" s="274" t="b">
        <f t="shared" si="2"/>
        <v>0</v>
      </c>
      <c r="AN681" s="294"/>
    </row>
    <row r="682">
      <c r="A682" s="169">
        <f t="array" ref="A682">INDEX('Federal Tax, Stock Buybacks, &amp; '!D:D,match(B682,'Federal Tax, Stock Buybacks, &amp; '!E:E,0))</f>
        <v>12</v>
      </c>
      <c r="B682" s="338" t="s">
        <v>1300</v>
      </c>
      <c r="C682" s="301"/>
      <c r="D682" s="349"/>
      <c r="E682" s="488"/>
      <c r="F682" s="254"/>
      <c r="G682" s="301"/>
      <c r="H682" s="349"/>
      <c r="I682" s="488"/>
      <c r="J682" s="254"/>
      <c r="K682" s="301" t="s">
        <v>1299</v>
      </c>
      <c r="L682" s="349" t="s">
        <v>1523</v>
      </c>
      <c r="M682" s="488">
        <v>9905070.0</v>
      </c>
      <c r="N682" s="254"/>
      <c r="O682" s="301" t="s">
        <v>1304</v>
      </c>
      <c r="P682" s="301" t="s">
        <v>2318</v>
      </c>
      <c r="Q682" s="488">
        <v>4689043.0</v>
      </c>
      <c r="R682" s="254"/>
      <c r="S682" s="339" t="s">
        <v>1301</v>
      </c>
      <c r="T682" s="339" t="s">
        <v>1881</v>
      </c>
      <c r="U682" s="499">
        <v>4952158.0</v>
      </c>
      <c r="V682" s="254"/>
      <c r="W682" s="339" t="s">
        <v>1304</v>
      </c>
      <c r="X682" s="339" t="s">
        <v>2318</v>
      </c>
      <c r="Y682" s="488">
        <v>4147856.0</v>
      </c>
      <c r="Z682" s="254"/>
      <c r="AA682" s="339" t="s">
        <v>1304</v>
      </c>
      <c r="AB682" s="339" t="s">
        <v>2318</v>
      </c>
      <c r="AC682" s="488">
        <v>4100211.0</v>
      </c>
      <c r="AD682" s="343"/>
      <c r="AE682" s="347"/>
      <c r="AF682" s="313"/>
      <c r="AG682" s="313"/>
      <c r="AH682" s="313"/>
      <c r="AI682" s="313"/>
      <c r="AJ682" s="345"/>
      <c r="AK682" s="274"/>
      <c r="AL682" s="259" t="str">
        <f>MATCH(B682,'Key Findings'!B:B,0)</f>
        <v>#N/A</v>
      </c>
      <c r="AM682" s="274" t="b">
        <f t="shared" si="2"/>
        <v>0</v>
      </c>
      <c r="AN682" s="294"/>
    </row>
    <row r="683">
      <c r="A683" s="169">
        <f t="array" ref="A683">INDEX('Federal Tax, Stock Buybacks, &amp; '!D:D,match(B683,'Federal Tax, Stock Buybacks, &amp; '!E:E,0))</f>
        <v>12</v>
      </c>
      <c r="B683" s="338" t="s">
        <v>1300</v>
      </c>
      <c r="C683" s="490"/>
      <c r="D683" s="349"/>
      <c r="E683" s="488"/>
      <c r="F683" s="254"/>
      <c r="G683" s="490"/>
      <c r="H683" s="349"/>
      <c r="I683" s="488"/>
      <c r="J683" s="254"/>
      <c r="K683" s="490" t="s">
        <v>1303</v>
      </c>
      <c r="L683" s="349" t="s">
        <v>2319</v>
      </c>
      <c r="M683" s="488">
        <v>4993772.0</v>
      </c>
      <c r="N683" s="254"/>
      <c r="O683" s="301" t="s">
        <v>1299</v>
      </c>
      <c r="P683" s="301" t="s">
        <v>1588</v>
      </c>
      <c r="Q683" s="488">
        <v>8752252.0</v>
      </c>
      <c r="R683" s="254"/>
      <c r="S683" s="339" t="s">
        <v>1304</v>
      </c>
      <c r="T683" s="339" t="s">
        <v>2318</v>
      </c>
      <c r="U683" s="499">
        <v>4620412.0</v>
      </c>
      <c r="V683" s="254"/>
      <c r="W683" s="339" t="s">
        <v>1299</v>
      </c>
      <c r="X683" s="339" t="s">
        <v>1588</v>
      </c>
      <c r="Y683" s="488">
        <v>8016200.0</v>
      </c>
      <c r="Z683" s="254"/>
      <c r="AA683" s="339" t="s">
        <v>1299</v>
      </c>
      <c r="AB683" s="339" t="s">
        <v>1588</v>
      </c>
      <c r="AC683" s="488">
        <v>7408513.0</v>
      </c>
      <c r="AD683" s="343"/>
      <c r="AE683" s="347"/>
      <c r="AF683" s="313"/>
      <c r="AG683" s="313"/>
      <c r="AH683" s="313"/>
      <c r="AI683" s="313"/>
      <c r="AJ683" s="345"/>
      <c r="AK683" s="274"/>
      <c r="AL683" s="259" t="str">
        <f>MATCH(B683,'Key Findings'!B:B,0)</f>
        <v>#N/A</v>
      </c>
      <c r="AM683" s="274" t="b">
        <f t="shared" si="2"/>
        <v>0</v>
      </c>
      <c r="AN683" s="294"/>
    </row>
    <row r="684">
      <c r="A684" s="169">
        <f t="array" ref="A684">INDEX('Federal Tax, Stock Buybacks, &amp; '!D:D,match(B684,'Federal Tax, Stock Buybacks, &amp; '!E:E,0))</f>
        <v>12</v>
      </c>
      <c r="B684" s="338" t="s">
        <v>1300</v>
      </c>
      <c r="C684" s="490"/>
      <c r="D684" s="349"/>
      <c r="E684" s="488"/>
      <c r="F684" s="254"/>
      <c r="G684" s="490"/>
      <c r="H684" s="349"/>
      <c r="I684" s="488"/>
      <c r="J684" s="254"/>
      <c r="K684" s="490" t="s">
        <v>1302</v>
      </c>
      <c r="L684" s="349" t="s">
        <v>2320</v>
      </c>
      <c r="M684" s="488">
        <v>7408644.0</v>
      </c>
      <c r="N684" s="254"/>
      <c r="O684" s="301" t="s">
        <v>1303</v>
      </c>
      <c r="P684" s="301" t="s">
        <v>2319</v>
      </c>
      <c r="Q684" s="488">
        <v>4536741.0</v>
      </c>
      <c r="R684" s="254"/>
      <c r="S684" s="339" t="s">
        <v>1302</v>
      </c>
      <c r="T684" s="339" t="s">
        <v>2321</v>
      </c>
      <c r="U684" s="499">
        <v>4490527.0</v>
      </c>
      <c r="V684" s="254"/>
      <c r="W684" s="301" t="s">
        <v>1306</v>
      </c>
      <c r="X684" s="301" t="s">
        <v>2177</v>
      </c>
      <c r="Y684" s="488">
        <v>4074826.0</v>
      </c>
      <c r="Z684" s="254"/>
      <c r="AA684" s="301" t="s">
        <v>1306</v>
      </c>
      <c r="AB684" s="301" t="s">
        <v>2177</v>
      </c>
      <c r="AC684" s="488">
        <v>4023066.0</v>
      </c>
      <c r="AD684" s="343"/>
      <c r="AE684" s="347"/>
      <c r="AF684" s="313"/>
      <c r="AG684" s="313"/>
      <c r="AH684" s="313"/>
      <c r="AI684" s="313"/>
      <c r="AJ684" s="345"/>
      <c r="AK684" s="274"/>
      <c r="AL684" s="259" t="str">
        <f>MATCH(B684,'Key Findings'!B:B,0)</f>
        <v>#N/A</v>
      </c>
      <c r="AM684" s="274" t="b">
        <f t="shared" si="2"/>
        <v>0</v>
      </c>
      <c r="AN684" s="294"/>
    </row>
    <row r="685">
      <c r="A685" s="169">
        <f t="array" ref="A685">INDEX('Federal Tax, Stock Buybacks, &amp; '!D:D,match(B685,'Federal Tax, Stock Buybacks, &amp; '!E:E,0))</f>
        <v>12</v>
      </c>
      <c r="B685" s="338" t="s">
        <v>1300</v>
      </c>
      <c r="C685" s="490"/>
      <c r="D685" s="349"/>
      <c r="E685" s="488"/>
      <c r="F685" s="254"/>
      <c r="G685" s="490"/>
      <c r="H685" s="349"/>
      <c r="I685" s="488"/>
      <c r="J685" s="254"/>
      <c r="K685" s="490" t="s">
        <v>1305</v>
      </c>
      <c r="L685" s="349" t="s">
        <v>2322</v>
      </c>
      <c r="M685" s="488">
        <v>5004441.0</v>
      </c>
      <c r="N685" s="254"/>
      <c r="O685" s="301" t="s">
        <v>1302</v>
      </c>
      <c r="P685" s="301" t="s">
        <v>2321</v>
      </c>
      <c r="Q685" s="488">
        <v>4688513.0</v>
      </c>
      <c r="R685" s="254"/>
      <c r="S685" s="339" t="s">
        <v>1303</v>
      </c>
      <c r="T685" s="339" t="s">
        <v>2319</v>
      </c>
      <c r="U685" s="499">
        <v>4462092.0</v>
      </c>
      <c r="V685" s="254"/>
      <c r="W685" s="339" t="s">
        <v>1303</v>
      </c>
      <c r="X685" s="339" t="s">
        <v>2319</v>
      </c>
      <c r="Y685" s="488">
        <v>4039893.0</v>
      </c>
      <c r="Z685" s="254"/>
      <c r="AA685" s="339" t="s">
        <v>1303</v>
      </c>
      <c r="AB685" s="339" t="s">
        <v>2319</v>
      </c>
      <c r="AC685" s="488">
        <v>3984802.0</v>
      </c>
      <c r="AD685" s="343"/>
      <c r="AE685" s="347"/>
      <c r="AF685" s="313"/>
      <c r="AG685" s="313"/>
      <c r="AH685" s="313"/>
      <c r="AI685" s="313"/>
      <c r="AJ685" s="345"/>
      <c r="AK685" s="274"/>
      <c r="AL685" s="259" t="str">
        <f>MATCH(B685,'Key Findings'!B:B,0)</f>
        <v>#N/A</v>
      </c>
      <c r="AM685" s="274" t="b">
        <f t="shared" si="2"/>
        <v>0</v>
      </c>
      <c r="AN685" s="294"/>
    </row>
    <row r="686">
      <c r="A686" s="169">
        <f t="array" ref="A686">INDEX('Federal Tax, Stock Buybacks, &amp; '!D:D,match(B686,'Federal Tax, Stock Buybacks, &amp; '!E:E,0))</f>
        <v>12</v>
      </c>
      <c r="B686" s="338" t="s">
        <v>1300</v>
      </c>
      <c r="C686" s="350"/>
      <c r="D686" s="350"/>
      <c r="E686" s="488"/>
      <c r="F686" s="254"/>
      <c r="G686" s="350"/>
      <c r="H686" s="350"/>
      <c r="I686" s="488"/>
      <c r="J686" s="254"/>
      <c r="K686" s="350" t="s">
        <v>711</v>
      </c>
      <c r="L686" s="350" t="s">
        <v>711</v>
      </c>
      <c r="M686" s="488" t="s">
        <v>711</v>
      </c>
      <c r="N686" s="254"/>
      <c r="O686" s="301" t="s">
        <v>1305</v>
      </c>
      <c r="P686" s="301" t="s">
        <v>2322</v>
      </c>
      <c r="Q686" s="504">
        <v>4144662.0</v>
      </c>
      <c r="R686" s="254"/>
      <c r="S686" s="301" t="s">
        <v>1305</v>
      </c>
      <c r="T686" s="301" t="s">
        <v>2322</v>
      </c>
      <c r="U686" s="504">
        <v>4060778.0</v>
      </c>
      <c r="V686" s="254"/>
      <c r="W686" s="339" t="s">
        <v>1302</v>
      </c>
      <c r="X686" s="339" t="s">
        <v>2321</v>
      </c>
      <c r="Y686" s="504">
        <v>3994532.0</v>
      </c>
      <c r="Z686" s="254"/>
      <c r="AA686" s="339" t="s">
        <v>1302</v>
      </c>
      <c r="AB686" s="339" t="s">
        <v>2321</v>
      </c>
      <c r="AC686" s="504">
        <v>3876861.0</v>
      </c>
      <c r="AD686" s="343"/>
      <c r="AE686" s="347"/>
      <c r="AF686" s="313"/>
      <c r="AG686" s="313"/>
      <c r="AH686" s="313"/>
      <c r="AI686" s="313"/>
      <c r="AJ686" s="345"/>
      <c r="AK686" s="274"/>
      <c r="AL686" s="259" t="str">
        <f>MATCH(B686,'Key Findings'!B:B,0)</f>
        <v>#N/A</v>
      </c>
      <c r="AM686" s="274" t="b">
        <f t="shared" si="2"/>
        <v>0</v>
      </c>
      <c r="AN686" s="294"/>
    </row>
    <row r="687">
      <c r="A687" s="169">
        <f t="array" ref="A687">INDEX('Federal Tax, Stock Buybacks, &amp; '!D:D,match(B687,'Federal Tax, Stock Buybacks, &amp; '!E:E,0))</f>
        <v>33</v>
      </c>
      <c r="B687" s="500" t="s">
        <v>897</v>
      </c>
      <c r="C687" s="405"/>
      <c r="D687" s="494"/>
      <c r="E687" s="472"/>
      <c r="F687" s="254"/>
      <c r="G687" s="405"/>
      <c r="H687" s="494"/>
      <c r="I687" s="472"/>
      <c r="J687" s="254"/>
      <c r="K687" s="405" t="s">
        <v>898</v>
      </c>
      <c r="L687" s="494" t="s">
        <v>2323</v>
      </c>
      <c r="M687" s="472">
        <v>7319173.0</v>
      </c>
      <c r="N687" s="254"/>
      <c r="O687" s="405" t="s">
        <v>898</v>
      </c>
      <c r="P687" s="495" t="s">
        <v>2323</v>
      </c>
      <c r="Q687" s="472">
        <v>9224603.0</v>
      </c>
      <c r="R687" s="254"/>
      <c r="S687" s="405" t="s">
        <v>898</v>
      </c>
      <c r="T687" s="495" t="s">
        <v>2323</v>
      </c>
      <c r="U687" s="472">
        <v>1.1356711E7</v>
      </c>
      <c r="V687" s="254"/>
      <c r="W687" s="405" t="s">
        <v>898</v>
      </c>
      <c r="X687" s="495" t="s">
        <v>2323</v>
      </c>
      <c r="Y687" s="472">
        <v>1.0491554E7</v>
      </c>
      <c r="Z687" s="254"/>
      <c r="AA687" s="405" t="s">
        <v>898</v>
      </c>
      <c r="AB687" s="495" t="s">
        <v>2323</v>
      </c>
      <c r="AC687" s="472">
        <v>8575733.0</v>
      </c>
      <c r="AD687" s="407"/>
      <c r="AE687" s="408">
        <v>2022.0</v>
      </c>
      <c r="AF687" s="408">
        <v>2021.0</v>
      </c>
      <c r="AG687" s="408">
        <v>2020.0</v>
      </c>
      <c r="AH687" s="408">
        <v>2019.0</v>
      </c>
      <c r="AI687" s="408">
        <v>2018.0</v>
      </c>
      <c r="AJ687" s="290" t="s">
        <v>1524</v>
      </c>
      <c r="AK687" s="260"/>
      <c r="AL687" s="259" t="str">
        <f>MATCH(B687,'Key Findings'!B:B,0)</f>
        <v>#N/A</v>
      </c>
      <c r="AM687" s="260" t="b">
        <f t="shared" si="2"/>
        <v>1</v>
      </c>
      <c r="AN687" s="294"/>
    </row>
    <row r="688">
      <c r="A688" s="169">
        <f t="array" ref="A688">INDEX('Federal Tax, Stock Buybacks, &amp; '!D:D,match(B688,'Federal Tax, Stock Buybacks, &amp; '!E:E,0))</f>
        <v>33</v>
      </c>
      <c r="B688" s="500" t="s">
        <v>897</v>
      </c>
      <c r="C688" s="405"/>
      <c r="D688" s="494"/>
      <c r="E688" s="472"/>
      <c r="F688" s="254"/>
      <c r="G688" s="405"/>
      <c r="H688" s="494"/>
      <c r="I688" s="472"/>
      <c r="J688" s="254"/>
      <c r="K688" s="405" t="s">
        <v>896</v>
      </c>
      <c r="L688" s="494" t="s">
        <v>2324</v>
      </c>
      <c r="M688" s="472">
        <v>1.7664896E7</v>
      </c>
      <c r="N688" s="254"/>
      <c r="O688" s="405" t="s">
        <v>896</v>
      </c>
      <c r="P688" s="495" t="s">
        <v>2324</v>
      </c>
      <c r="Q688" s="472">
        <v>1.9758766E7</v>
      </c>
      <c r="R688" s="254"/>
      <c r="S688" s="405" t="s">
        <v>896</v>
      </c>
      <c r="T688" s="495" t="s">
        <v>2324</v>
      </c>
      <c r="U688" s="472">
        <v>1.9755188E7</v>
      </c>
      <c r="V688" s="254"/>
      <c r="W688" s="405" t="s">
        <v>896</v>
      </c>
      <c r="X688" s="495" t="s">
        <v>2324</v>
      </c>
      <c r="Y688" s="472">
        <v>1.8938363E7</v>
      </c>
      <c r="Z688" s="254"/>
      <c r="AA688" s="405" t="s">
        <v>896</v>
      </c>
      <c r="AB688" s="495" t="s">
        <v>2324</v>
      </c>
      <c r="AC688" s="472">
        <v>1.7204069E7</v>
      </c>
      <c r="AD688" s="407"/>
      <c r="AE688" s="409"/>
      <c r="AF688" s="410"/>
      <c r="AG688" s="410"/>
      <c r="AH688" s="410"/>
      <c r="AI688" s="410"/>
      <c r="AJ688" s="293"/>
      <c r="AK688" s="260"/>
      <c r="AL688" s="259" t="str">
        <f>MATCH(B688,'Key Findings'!B:B,0)</f>
        <v>#N/A</v>
      </c>
      <c r="AM688" s="260" t="b">
        <f t="shared" si="2"/>
        <v>1</v>
      </c>
      <c r="AN688" s="294"/>
    </row>
    <row r="689">
      <c r="A689" s="169">
        <f t="array" ref="A689">INDEX('Federal Tax, Stock Buybacks, &amp; '!D:D,match(B689,'Federal Tax, Stock Buybacks, &amp; '!E:E,0))</f>
        <v>33</v>
      </c>
      <c r="B689" s="500" t="s">
        <v>897</v>
      </c>
      <c r="C689" s="405"/>
      <c r="D689" s="494"/>
      <c r="E689" s="472"/>
      <c r="F689" s="254"/>
      <c r="G689" s="405"/>
      <c r="H689" s="494"/>
      <c r="I689" s="472"/>
      <c r="J689" s="254"/>
      <c r="K689" s="405" t="s">
        <v>900</v>
      </c>
      <c r="L689" s="494" t="s">
        <v>2325</v>
      </c>
      <c r="M689" s="472">
        <v>3831167.0</v>
      </c>
      <c r="N689" s="254"/>
      <c r="O689" s="405" t="s">
        <v>899</v>
      </c>
      <c r="P689" s="495" t="s">
        <v>2048</v>
      </c>
      <c r="Q689" s="472">
        <v>5374118.0</v>
      </c>
      <c r="R689" s="254"/>
      <c r="S689" s="405" t="s">
        <v>899</v>
      </c>
      <c r="T689" s="495" t="s">
        <v>2048</v>
      </c>
      <c r="U689" s="472">
        <v>5788962.0</v>
      </c>
      <c r="V689" s="254"/>
      <c r="W689" s="405" t="s">
        <v>899</v>
      </c>
      <c r="X689" s="495" t="s">
        <v>2048</v>
      </c>
      <c r="Y689" s="472">
        <v>6593014.0</v>
      </c>
      <c r="Z689" s="254"/>
      <c r="AA689" s="405" t="s">
        <v>899</v>
      </c>
      <c r="AB689" s="495" t="s">
        <v>2048</v>
      </c>
      <c r="AC689" s="472">
        <v>5356168.0</v>
      </c>
      <c r="AD689" s="407"/>
      <c r="AE689" s="409"/>
      <c r="AF689" s="410"/>
      <c r="AG689" s="410"/>
      <c r="AH689" s="410"/>
      <c r="AI689" s="410"/>
      <c r="AJ689" s="293"/>
      <c r="AK689" s="260"/>
      <c r="AL689" s="259" t="str">
        <f>MATCH(B689,'Key Findings'!B:B,0)</f>
        <v>#N/A</v>
      </c>
      <c r="AM689" s="260" t="b">
        <f t="shared" si="2"/>
        <v>1</v>
      </c>
      <c r="AN689" s="294"/>
    </row>
    <row r="690">
      <c r="A690" s="169">
        <f t="array" ref="A690">INDEX('Federal Tax, Stock Buybacks, &amp; '!D:D,match(B690,'Federal Tax, Stock Buybacks, &amp; '!E:E,0))</f>
        <v>33</v>
      </c>
      <c r="B690" s="500" t="s">
        <v>897</v>
      </c>
      <c r="C690" s="405"/>
      <c r="D690" s="494"/>
      <c r="E690" s="472"/>
      <c r="F690" s="254"/>
      <c r="G690" s="405"/>
      <c r="H690" s="494"/>
      <c r="I690" s="472"/>
      <c r="J690" s="254"/>
      <c r="K690" s="405" t="s">
        <v>901</v>
      </c>
      <c r="L690" s="494" t="s">
        <v>1535</v>
      </c>
      <c r="M690" s="472">
        <v>4330602.0</v>
      </c>
      <c r="N690" s="254"/>
      <c r="O690" s="405" t="s">
        <v>900</v>
      </c>
      <c r="P690" s="495" t="s">
        <v>2325</v>
      </c>
      <c r="Q690" s="472">
        <v>4307295.0</v>
      </c>
      <c r="R690" s="254"/>
      <c r="S690" s="405" t="s">
        <v>900</v>
      </c>
      <c r="T690" s="495" t="s">
        <v>2325</v>
      </c>
      <c r="U690" s="472">
        <v>4681423.0</v>
      </c>
      <c r="V690" s="254"/>
      <c r="W690" s="405" t="s">
        <v>900</v>
      </c>
      <c r="X690" s="495" t="s">
        <v>2325</v>
      </c>
      <c r="Y690" s="472">
        <v>5200633.0</v>
      </c>
      <c r="Z690" s="254"/>
      <c r="AA690" s="405" t="s">
        <v>900</v>
      </c>
      <c r="AB690" s="495" t="s">
        <v>2325</v>
      </c>
      <c r="AC690" s="472">
        <v>4331364.0</v>
      </c>
      <c r="AD690" s="407"/>
      <c r="AE690" s="409"/>
      <c r="AF690" s="410"/>
      <c r="AG690" s="410"/>
      <c r="AH690" s="410"/>
      <c r="AI690" s="410"/>
      <c r="AJ690" s="293"/>
      <c r="AK690" s="260"/>
      <c r="AL690" s="259" t="str">
        <f>MATCH(B690,'Key Findings'!B:B,0)</f>
        <v>#N/A</v>
      </c>
      <c r="AM690" s="260" t="b">
        <f t="shared" si="2"/>
        <v>1</v>
      </c>
      <c r="AN690" s="294"/>
    </row>
    <row r="691">
      <c r="A691" s="169">
        <f t="array" ref="A691">INDEX('Federal Tax, Stock Buybacks, &amp; '!D:D,match(B691,'Federal Tax, Stock Buybacks, &amp; '!E:E,0))</f>
        <v>33</v>
      </c>
      <c r="B691" s="500" t="s">
        <v>897</v>
      </c>
      <c r="C691" s="405"/>
      <c r="D691" s="494"/>
      <c r="E691" s="472"/>
      <c r="F691" s="254"/>
      <c r="G691" s="405"/>
      <c r="H691" s="494"/>
      <c r="I691" s="472"/>
      <c r="J691" s="254"/>
      <c r="K691" s="405" t="s">
        <v>903</v>
      </c>
      <c r="L691" s="494" t="s">
        <v>2326</v>
      </c>
      <c r="M691" s="472">
        <v>3756681.0</v>
      </c>
      <c r="N691" s="254"/>
      <c r="O691" s="405" t="s">
        <v>901</v>
      </c>
      <c r="P691" s="495" t="s">
        <v>1535</v>
      </c>
      <c r="Q691" s="472">
        <v>4226734.0</v>
      </c>
      <c r="R691" s="254"/>
      <c r="S691" s="405" t="s">
        <v>901</v>
      </c>
      <c r="T691" s="495" t="s">
        <v>1535</v>
      </c>
      <c r="U691" s="472">
        <v>3705282.0</v>
      </c>
      <c r="V691" s="254"/>
      <c r="W691" s="405" t="s">
        <v>902</v>
      </c>
      <c r="X691" s="501" t="s">
        <v>2327</v>
      </c>
      <c r="Y691" s="472">
        <v>1950106.0</v>
      </c>
      <c r="Z691" s="254"/>
      <c r="AA691" s="405" t="s">
        <v>902</v>
      </c>
      <c r="AB691" s="495" t="s">
        <v>1535</v>
      </c>
      <c r="AC691" s="472">
        <v>5580695.0</v>
      </c>
      <c r="AD691" s="407"/>
      <c r="AE691" s="409"/>
      <c r="AF691" s="410"/>
      <c r="AG691" s="410"/>
      <c r="AH691" s="410"/>
      <c r="AI691" s="410"/>
      <c r="AJ691" s="293"/>
      <c r="AK691" s="260"/>
      <c r="AL691" s="259" t="str">
        <f>MATCH(B691,'Key Findings'!B:B,0)</f>
        <v>#N/A</v>
      </c>
      <c r="AM691" s="260" t="b">
        <f t="shared" si="2"/>
        <v>1</v>
      </c>
      <c r="AN691" s="294"/>
    </row>
    <row r="692">
      <c r="A692" s="169">
        <f t="array" ref="A692">INDEX('Federal Tax, Stock Buybacks, &amp; '!D:D,match(B692,'Federal Tax, Stock Buybacks, &amp; '!E:E,0))</f>
        <v>33</v>
      </c>
      <c r="B692" s="500" t="s">
        <v>897</v>
      </c>
      <c r="C692" s="298"/>
      <c r="D692" s="496"/>
      <c r="E692" s="471"/>
      <c r="F692" s="254"/>
      <c r="G692" s="298"/>
      <c r="H692" s="496"/>
      <c r="I692" s="471"/>
      <c r="J692" s="254"/>
      <c r="K692" s="298" t="s">
        <v>711</v>
      </c>
      <c r="L692" s="496" t="s">
        <v>711</v>
      </c>
      <c r="M692" s="471" t="s">
        <v>711</v>
      </c>
      <c r="N692" s="254"/>
      <c r="O692" s="298" t="s">
        <v>711</v>
      </c>
      <c r="P692" s="496" t="s">
        <v>711</v>
      </c>
      <c r="Q692" s="471" t="s">
        <v>711</v>
      </c>
      <c r="R692" s="254"/>
      <c r="S692" s="298" t="s">
        <v>711</v>
      </c>
      <c r="T692" s="496" t="s">
        <v>711</v>
      </c>
      <c r="U692" s="471" t="s">
        <v>711</v>
      </c>
      <c r="V692" s="254"/>
      <c r="W692" s="405" t="s">
        <v>901</v>
      </c>
      <c r="X692" s="495" t="s">
        <v>1535</v>
      </c>
      <c r="Y692" s="472">
        <v>3314480.0</v>
      </c>
      <c r="Z692" s="254"/>
      <c r="AA692" s="298" t="s">
        <v>711</v>
      </c>
      <c r="AB692" s="496" t="s">
        <v>711</v>
      </c>
      <c r="AC692" s="471" t="s">
        <v>711</v>
      </c>
      <c r="AD692" s="407"/>
      <c r="AE692" s="409"/>
      <c r="AF692" s="410"/>
      <c r="AG692" s="410"/>
      <c r="AH692" s="410"/>
      <c r="AI692" s="410"/>
      <c r="AJ692" s="293"/>
      <c r="AK692" s="260"/>
      <c r="AL692" s="259" t="str">
        <f>MATCH(B692,'Key Findings'!B:B,0)</f>
        <v>#N/A</v>
      </c>
      <c r="AM692" s="260" t="b">
        <f t="shared" si="2"/>
        <v>1</v>
      </c>
      <c r="AN692" s="294"/>
    </row>
    <row r="693">
      <c r="A693" s="169">
        <f t="array" ref="A693">INDEX('Federal Tax, Stock Buybacks, &amp; '!D:D,match(B693,'Federal Tax, Stock Buybacks, &amp; '!E:E,0))</f>
        <v>229</v>
      </c>
      <c r="B693" s="300" t="s">
        <v>1410</v>
      </c>
      <c r="C693" s="362"/>
      <c r="D693" s="363"/>
      <c r="E693" s="499"/>
      <c r="F693" s="254"/>
      <c r="G693" s="362"/>
      <c r="H693" s="363"/>
      <c r="I693" s="499"/>
      <c r="J693" s="254"/>
      <c r="K693" s="362" t="s">
        <v>1409</v>
      </c>
      <c r="L693" s="363" t="s">
        <v>1674</v>
      </c>
      <c r="M693" s="499">
        <v>3.2726109E7</v>
      </c>
      <c r="N693" s="254"/>
      <c r="O693" s="362" t="s">
        <v>1409</v>
      </c>
      <c r="P693" s="363" t="s">
        <v>1674</v>
      </c>
      <c r="Q693" s="499">
        <v>3.2587335E7</v>
      </c>
      <c r="R693" s="254"/>
      <c r="S693" s="362" t="s">
        <v>1409</v>
      </c>
      <c r="T693" s="363" t="s">
        <v>1674</v>
      </c>
      <c r="U693" s="499">
        <v>2.7356432E7</v>
      </c>
      <c r="V693" s="254"/>
      <c r="W693" s="362" t="s">
        <v>1409</v>
      </c>
      <c r="X693" s="363" t="s">
        <v>1674</v>
      </c>
      <c r="Y693" s="499">
        <v>2.4308254E7</v>
      </c>
      <c r="Z693" s="254"/>
      <c r="AA693" s="362" t="s">
        <v>1409</v>
      </c>
      <c r="AB693" s="363" t="s">
        <v>1674</v>
      </c>
      <c r="AC693" s="488">
        <v>2.6543344E7</v>
      </c>
      <c r="AD693" s="306"/>
      <c r="AE693" s="307">
        <v>2022.0</v>
      </c>
      <c r="AF693" s="307">
        <v>2021.0</v>
      </c>
      <c r="AG693" s="307">
        <v>2020.0</v>
      </c>
      <c r="AH693" s="307">
        <v>2019.0</v>
      </c>
      <c r="AI693" s="307">
        <v>2018.0</v>
      </c>
      <c r="AJ693" s="367" t="s">
        <v>1524</v>
      </c>
      <c r="AK693" s="274"/>
      <c r="AL693" s="259" t="str">
        <f>MATCH(B693,'Key Findings'!B:B,0)</f>
        <v>#N/A</v>
      </c>
      <c r="AM693" s="274" t="b">
        <f t="shared" si="2"/>
        <v>1</v>
      </c>
      <c r="AN693" s="294"/>
    </row>
    <row r="694">
      <c r="A694" s="169">
        <f t="array" ref="A694">INDEX('Federal Tax, Stock Buybacks, &amp; '!D:D,match(B694,'Federal Tax, Stock Buybacks, &amp; '!E:E,0))</f>
        <v>229</v>
      </c>
      <c r="B694" s="300" t="s">
        <v>1410</v>
      </c>
      <c r="C694" s="362"/>
      <c r="D694" s="363"/>
      <c r="E694" s="499"/>
      <c r="F694" s="254"/>
      <c r="G694" s="362"/>
      <c r="H694" s="363"/>
      <c r="I694" s="499"/>
      <c r="J694" s="254"/>
      <c r="K694" s="362" t="s">
        <v>1411</v>
      </c>
      <c r="L694" s="363" t="s">
        <v>1649</v>
      </c>
      <c r="M694" s="499">
        <v>2.4933089E7</v>
      </c>
      <c r="N694" s="254"/>
      <c r="O694" s="362" t="s">
        <v>1411</v>
      </c>
      <c r="P694" s="363" t="s">
        <v>1649</v>
      </c>
      <c r="Q694" s="499">
        <v>2.675078E7</v>
      </c>
      <c r="R694" s="254"/>
      <c r="S694" s="362" t="s">
        <v>1411</v>
      </c>
      <c r="T694" s="363" t="s">
        <v>1649</v>
      </c>
      <c r="U694" s="499">
        <v>2.2115203E7</v>
      </c>
      <c r="V694" s="254"/>
      <c r="W694" s="362" t="s">
        <v>1411</v>
      </c>
      <c r="X694" s="363" t="s">
        <v>1649</v>
      </c>
      <c r="Y694" s="499">
        <v>1.925705E7</v>
      </c>
      <c r="Z694" s="254"/>
      <c r="AA694" s="362" t="s">
        <v>1411</v>
      </c>
      <c r="AB694" s="363" t="s">
        <v>1649</v>
      </c>
      <c r="AC694" s="488">
        <v>2.0841969E7</v>
      </c>
      <c r="AD694" s="306"/>
      <c r="AE694" s="308"/>
      <c r="AF694" s="308"/>
      <c r="AG694" s="308"/>
      <c r="AH694" s="308"/>
      <c r="AI694" s="308"/>
      <c r="AJ694" s="368"/>
      <c r="AK694" s="274"/>
      <c r="AL694" s="259" t="str">
        <f>MATCH(B694,'Key Findings'!B:B,0)</f>
        <v>#N/A</v>
      </c>
      <c r="AM694" s="274" t="b">
        <f t="shared" si="2"/>
        <v>1</v>
      </c>
      <c r="AN694" s="294"/>
    </row>
    <row r="695">
      <c r="A695" s="169">
        <f t="array" ref="A695">INDEX('Federal Tax, Stock Buybacks, &amp; '!D:D,match(B695,'Federal Tax, Stock Buybacks, &amp; '!E:E,0))</f>
        <v>229</v>
      </c>
      <c r="B695" s="300" t="s">
        <v>1410</v>
      </c>
      <c r="C695" s="362"/>
      <c r="D695" s="363"/>
      <c r="E695" s="499"/>
      <c r="F695" s="254"/>
      <c r="G695" s="362"/>
      <c r="H695" s="363"/>
      <c r="I695" s="499"/>
      <c r="J695" s="254"/>
      <c r="K695" s="362" t="s">
        <v>1414</v>
      </c>
      <c r="L695" s="363" t="s">
        <v>2328</v>
      </c>
      <c r="M695" s="499">
        <v>8129985.0</v>
      </c>
      <c r="N695" s="254"/>
      <c r="O695" s="362" t="s">
        <v>1414</v>
      </c>
      <c r="P695" s="363" t="s">
        <v>2328</v>
      </c>
      <c r="Q695" s="499">
        <v>9119557.0</v>
      </c>
      <c r="R695" s="254"/>
      <c r="S695" s="362" t="s">
        <v>1414</v>
      </c>
      <c r="T695" s="363" t="s">
        <v>2328</v>
      </c>
      <c r="U695" s="499">
        <v>7583556.0</v>
      </c>
      <c r="V695" s="254"/>
      <c r="W695" s="362" t="s">
        <v>1414</v>
      </c>
      <c r="X695" s="363" t="s">
        <v>2328</v>
      </c>
      <c r="Y695" s="499">
        <v>7895933.0</v>
      </c>
      <c r="Z695" s="254"/>
      <c r="AA695" s="362" t="s">
        <v>1414</v>
      </c>
      <c r="AB695" s="363" t="s">
        <v>2328</v>
      </c>
      <c r="AC695" s="488">
        <v>6593226.0</v>
      </c>
      <c r="AD695" s="306"/>
      <c r="AE695" s="308"/>
      <c r="AF695" s="308"/>
      <c r="AG695" s="308"/>
      <c r="AH695" s="308"/>
      <c r="AI695" s="308"/>
      <c r="AJ695" s="368"/>
      <c r="AK695" s="274"/>
      <c r="AL695" s="259" t="str">
        <f>MATCH(B695,'Key Findings'!B:B,0)</f>
        <v>#N/A</v>
      </c>
      <c r="AM695" s="274" t="b">
        <f t="shared" si="2"/>
        <v>1</v>
      </c>
      <c r="AN695" s="294"/>
    </row>
    <row r="696">
      <c r="A696" s="169">
        <f t="array" ref="A696">INDEX('Federal Tax, Stock Buybacks, &amp; '!D:D,match(B696,'Federal Tax, Stock Buybacks, &amp; '!E:E,0))</f>
        <v>229</v>
      </c>
      <c r="B696" s="300" t="s">
        <v>1410</v>
      </c>
      <c r="C696" s="362"/>
      <c r="D696" s="363"/>
      <c r="E696" s="499"/>
      <c r="F696" s="254"/>
      <c r="G696" s="362"/>
      <c r="H696" s="363"/>
      <c r="I696" s="499"/>
      <c r="J696" s="254"/>
      <c r="K696" s="362" t="s">
        <v>1412</v>
      </c>
      <c r="L696" s="363" t="s">
        <v>2329</v>
      </c>
      <c r="M696" s="499">
        <v>1.2228683E7</v>
      </c>
      <c r="N696" s="254"/>
      <c r="O696" s="362" t="s">
        <v>1412</v>
      </c>
      <c r="P696" s="363" t="s">
        <v>2329</v>
      </c>
      <c r="Q696" s="499">
        <v>1.2589041E7</v>
      </c>
      <c r="R696" s="254"/>
      <c r="S696" s="362" t="s">
        <v>1412</v>
      </c>
      <c r="T696" s="363" t="s">
        <v>2329</v>
      </c>
      <c r="U696" s="499">
        <v>1.0121854E7</v>
      </c>
      <c r="V696" s="254"/>
      <c r="W696" s="362" t="s">
        <v>1412</v>
      </c>
      <c r="X696" s="363" t="s">
        <v>2329</v>
      </c>
      <c r="Y696" s="499">
        <v>6463208.0</v>
      </c>
      <c r="Z696" s="254"/>
      <c r="AA696" s="362" t="s">
        <v>1412</v>
      </c>
      <c r="AB696" s="363" t="s">
        <v>2329</v>
      </c>
      <c r="AC696" s="488">
        <v>7930309.0</v>
      </c>
      <c r="AD696" s="306"/>
      <c r="AE696" s="308"/>
      <c r="AF696" s="308"/>
      <c r="AG696" s="308"/>
      <c r="AH696" s="308"/>
      <c r="AI696" s="308"/>
      <c r="AJ696" s="368"/>
      <c r="AK696" s="274"/>
      <c r="AL696" s="259" t="str">
        <f>MATCH(B696,'Key Findings'!B:B,0)</f>
        <v>#N/A</v>
      </c>
      <c r="AM696" s="274" t="b">
        <f t="shared" si="2"/>
        <v>1</v>
      </c>
      <c r="AN696" s="294"/>
    </row>
    <row r="697">
      <c r="A697" s="169">
        <f t="array" ref="A697">INDEX('Federal Tax, Stock Buybacks, &amp; '!D:D,match(B697,'Federal Tax, Stock Buybacks, &amp; '!E:E,0))</f>
        <v>229</v>
      </c>
      <c r="B697" s="300" t="s">
        <v>1410</v>
      </c>
      <c r="C697" s="362"/>
      <c r="D697" s="363"/>
      <c r="E697" s="499"/>
      <c r="F697" s="254"/>
      <c r="G697" s="362"/>
      <c r="H697" s="363"/>
      <c r="I697" s="499"/>
      <c r="J697" s="254"/>
      <c r="K697" s="362" t="s">
        <v>1413</v>
      </c>
      <c r="L697" s="363" t="s">
        <v>2330</v>
      </c>
      <c r="M697" s="499">
        <v>9839883.0</v>
      </c>
      <c r="N697" s="254"/>
      <c r="O697" s="362" t="s">
        <v>1413</v>
      </c>
      <c r="P697" s="363" t="s">
        <v>2330</v>
      </c>
      <c r="Q697" s="499">
        <v>1.0797999E7</v>
      </c>
      <c r="R697" s="254"/>
      <c r="S697" s="362" t="s">
        <v>1413</v>
      </c>
      <c r="T697" s="363" t="s">
        <v>2330</v>
      </c>
      <c r="U697" s="499">
        <v>8424738.0</v>
      </c>
      <c r="V697" s="254"/>
      <c r="W697" s="362" t="s">
        <v>1413</v>
      </c>
      <c r="X697" s="363" t="s">
        <v>2330</v>
      </c>
      <c r="Y697" s="499">
        <v>6620863.0</v>
      </c>
      <c r="Z697" s="254"/>
      <c r="AA697" s="362" t="s">
        <v>1413</v>
      </c>
      <c r="AB697" s="363" t="s">
        <v>2330</v>
      </c>
      <c r="AC697" s="488">
        <v>6863248.0</v>
      </c>
      <c r="AD697" s="306"/>
      <c r="AE697" s="308"/>
      <c r="AF697" s="308"/>
      <c r="AG697" s="308"/>
      <c r="AH697" s="308"/>
      <c r="AI697" s="308"/>
      <c r="AJ697" s="368"/>
      <c r="AK697" s="274"/>
      <c r="AL697" s="259" t="str">
        <f>MATCH(B697,'Key Findings'!B:B,0)</f>
        <v>#N/A</v>
      </c>
      <c r="AM697" s="274" t="b">
        <f t="shared" si="2"/>
        <v>1</v>
      </c>
      <c r="AN697" s="294"/>
    </row>
    <row r="698">
      <c r="A698" s="169">
        <f t="array" ref="A698">INDEX('Federal Tax, Stock Buybacks, &amp; '!D:D,match(B698,'Federal Tax, Stock Buybacks, &amp; '!E:E,0))</f>
        <v>229</v>
      </c>
      <c r="B698" s="300" t="s">
        <v>1410</v>
      </c>
      <c r="C698" s="372"/>
      <c r="D698" s="370"/>
      <c r="E698" s="517"/>
      <c r="F698" s="254"/>
      <c r="G698" s="372"/>
      <c r="H698" s="370"/>
      <c r="I698" s="517"/>
      <c r="J698" s="254"/>
      <c r="K698" s="372" t="s">
        <v>711</v>
      </c>
      <c r="L698" s="370" t="s">
        <v>711</v>
      </c>
      <c r="M698" s="517" t="s">
        <v>711</v>
      </c>
      <c r="N698" s="254"/>
      <c r="O698" s="372" t="s">
        <v>711</v>
      </c>
      <c r="P698" s="370" t="s">
        <v>711</v>
      </c>
      <c r="Q698" s="517" t="s">
        <v>711</v>
      </c>
      <c r="R698" s="254"/>
      <c r="S698" s="362" t="s">
        <v>1415</v>
      </c>
      <c r="T698" s="516" t="s">
        <v>2331</v>
      </c>
      <c r="U698" s="499">
        <v>8663465.0</v>
      </c>
      <c r="V698" s="254"/>
      <c r="W698" s="372" t="s">
        <v>711</v>
      </c>
      <c r="X698" s="370" t="s">
        <v>711</v>
      </c>
      <c r="Y698" s="517" t="s">
        <v>711</v>
      </c>
      <c r="Z698" s="254"/>
      <c r="AA698" s="372" t="s">
        <v>711</v>
      </c>
      <c r="AB698" s="370" t="s">
        <v>711</v>
      </c>
      <c r="AC698" s="517" t="s">
        <v>711</v>
      </c>
      <c r="AD698" s="306"/>
      <c r="AE698" s="308"/>
      <c r="AF698" s="308"/>
      <c r="AG698" s="308"/>
      <c r="AH698" s="308"/>
      <c r="AI698" s="308"/>
      <c r="AJ698" s="368"/>
      <c r="AK698" s="274"/>
      <c r="AL698" s="259" t="str">
        <f>MATCH(B698,'Key Findings'!B:B,0)</f>
        <v>#N/A</v>
      </c>
      <c r="AM698" s="274" t="b">
        <f t="shared" si="2"/>
        <v>1</v>
      </c>
      <c r="AN698" s="294"/>
    </row>
    <row r="699">
      <c r="A699" s="169">
        <f t="array" ref="A699">INDEX('Federal Tax, Stock Buybacks, &amp; '!D:D,match(B699,'Federal Tax, Stock Buybacks, &amp; '!E:E,0))</f>
        <v>120</v>
      </c>
      <c r="B699" s="281" t="s">
        <v>1282</v>
      </c>
      <c r="C699" s="282"/>
      <c r="D699" s="283"/>
      <c r="E699" s="471"/>
      <c r="F699" s="254"/>
      <c r="G699" s="282"/>
      <c r="H699" s="283"/>
      <c r="I699" s="471"/>
      <c r="J699" s="254"/>
      <c r="K699" s="282" t="s">
        <v>1281</v>
      </c>
      <c r="L699" s="283" t="s">
        <v>1606</v>
      </c>
      <c r="M699" s="471">
        <v>3.0583692E7</v>
      </c>
      <c r="N699" s="254"/>
      <c r="O699" s="282" t="s">
        <v>1281</v>
      </c>
      <c r="P699" s="283" t="s">
        <v>1606</v>
      </c>
      <c r="Q699" s="471">
        <v>5.0553869E7</v>
      </c>
      <c r="R699" s="254"/>
      <c r="S699" s="282" t="s">
        <v>1281</v>
      </c>
      <c r="T699" s="283" t="s">
        <v>1606</v>
      </c>
      <c r="U699" s="471">
        <v>3.253652E7</v>
      </c>
      <c r="V699" s="254"/>
      <c r="W699" s="282" t="s">
        <v>1281</v>
      </c>
      <c r="X699" s="283" t="s">
        <v>1606</v>
      </c>
      <c r="Y699" s="471">
        <v>2.4611837E7</v>
      </c>
      <c r="Z699" s="254"/>
      <c r="AA699" s="282" t="s">
        <v>1281</v>
      </c>
      <c r="AB699" s="283" t="s">
        <v>1606</v>
      </c>
      <c r="AC699" s="472">
        <v>2.5749848E7</v>
      </c>
      <c r="AD699" s="288"/>
      <c r="AE699" s="289">
        <v>2022.0</v>
      </c>
      <c r="AF699" s="289">
        <v>2021.0</v>
      </c>
      <c r="AG699" s="289">
        <v>2020.0</v>
      </c>
      <c r="AH699" s="289">
        <v>2019.0</v>
      </c>
      <c r="AI699" s="289">
        <v>2018.0</v>
      </c>
      <c r="AJ699" s="290" t="s">
        <v>1524</v>
      </c>
      <c r="AK699" s="260"/>
      <c r="AL699" s="259" t="str">
        <f>MATCH(B699,'Key Findings'!B:B,0)</f>
        <v>#N/A</v>
      </c>
      <c r="AM699" s="260" t="b">
        <f t="shared" si="2"/>
        <v>0</v>
      </c>
      <c r="AN699" s="294"/>
    </row>
    <row r="700">
      <c r="A700" s="169">
        <f t="array" ref="A700">INDEX('Federal Tax, Stock Buybacks, &amp; '!D:D,match(B700,'Federal Tax, Stock Buybacks, &amp; '!E:E,0))</f>
        <v>120</v>
      </c>
      <c r="B700" s="281" t="s">
        <v>1282</v>
      </c>
      <c r="C700" s="282"/>
      <c r="D700" s="283"/>
      <c r="E700" s="471"/>
      <c r="F700" s="254"/>
      <c r="G700" s="282"/>
      <c r="H700" s="283"/>
      <c r="I700" s="471"/>
      <c r="J700" s="254"/>
      <c r="K700" s="282" t="s">
        <v>1285</v>
      </c>
      <c r="L700" s="283" t="s">
        <v>1585</v>
      </c>
      <c r="M700" s="471">
        <v>7056711.0</v>
      </c>
      <c r="N700" s="254"/>
      <c r="O700" s="282" t="s">
        <v>1285</v>
      </c>
      <c r="P700" s="283" t="s">
        <v>1585</v>
      </c>
      <c r="Q700" s="471">
        <v>6731413.0</v>
      </c>
      <c r="R700" s="254"/>
      <c r="S700" s="282" t="s">
        <v>1285</v>
      </c>
      <c r="T700" s="283" t="s">
        <v>1585</v>
      </c>
      <c r="U700" s="471">
        <v>5120912.0</v>
      </c>
      <c r="V700" s="254"/>
      <c r="W700" s="282" t="s">
        <v>1285</v>
      </c>
      <c r="X700" s="283" t="s">
        <v>1585</v>
      </c>
      <c r="Y700" s="471">
        <v>4511523.0</v>
      </c>
      <c r="Z700" s="254"/>
      <c r="AA700" s="282" t="s">
        <v>1285</v>
      </c>
      <c r="AB700" s="283" t="s">
        <v>1585</v>
      </c>
      <c r="AC700" s="472">
        <v>4825571.0</v>
      </c>
      <c r="AD700" s="288"/>
      <c r="AE700" s="321"/>
      <c r="AF700" s="321"/>
      <c r="AG700" s="321"/>
      <c r="AH700" s="321"/>
      <c r="AI700" s="321"/>
      <c r="AJ700" s="293"/>
      <c r="AK700" s="260"/>
      <c r="AL700" s="259" t="str">
        <f>MATCH(B700,'Key Findings'!B:B,0)</f>
        <v>#N/A</v>
      </c>
      <c r="AM700" s="260" t="b">
        <f t="shared" si="2"/>
        <v>0</v>
      </c>
      <c r="AN700" s="294"/>
    </row>
    <row r="701">
      <c r="A701" s="169">
        <f t="array" ref="A701">INDEX('Federal Tax, Stock Buybacks, &amp; '!D:D,match(B701,'Federal Tax, Stock Buybacks, &amp; '!E:E,0))</f>
        <v>120</v>
      </c>
      <c r="B701" s="281" t="s">
        <v>1282</v>
      </c>
      <c r="C701" s="282"/>
      <c r="D701" s="283"/>
      <c r="E701" s="471"/>
      <c r="F701" s="254"/>
      <c r="G701" s="282"/>
      <c r="H701" s="283"/>
      <c r="I701" s="471"/>
      <c r="J701" s="254"/>
      <c r="K701" s="282" t="s">
        <v>1283</v>
      </c>
      <c r="L701" s="283" t="s">
        <v>1588</v>
      </c>
      <c r="M701" s="471">
        <v>2.9996862E7</v>
      </c>
      <c r="N701" s="254"/>
      <c r="O701" s="282" t="s">
        <v>1283</v>
      </c>
      <c r="P701" s="283" t="s">
        <v>1588</v>
      </c>
      <c r="Q701" s="471">
        <v>3.0571596E7</v>
      </c>
      <c r="R701" s="254"/>
      <c r="S701" s="282" t="s">
        <v>1283</v>
      </c>
      <c r="T701" s="283" t="s">
        <v>1588</v>
      </c>
      <c r="U701" s="471">
        <v>1.9197322E7</v>
      </c>
      <c r="V701" s="254"/>
      <c r="W701" s="282" t="s">
        <v>1283</v>
      </c>
      <c r="X701" s="283" t="s">
        <v>1588</v>
      </c>
      <c r="Y701" s="471">
        <v>1.4351631E7</v>
      </c>
      <c r="Z701" s="254"/>
      <c r="AA701" s="282" t="s">
        <v>1283</v>
      </c>
      <c r="AB701" s="283" t="s">
        <v>1588</v>
      </c>
      <c r="AC701" s="472">
        <v>1.4860487E7</v>
      </c>
      <c r="AD701" s="288"/>
      <c r="AE701" s="321"/>
      <c r="AF701" s="321"/>
      <c r="AG701" s="321"/>
      <c r="AH701" s="321"/>
      <c r="AI701" s="321"/>
      <c r="AJ701" s="293"/>
      <c r="AK701" s="260"/>
      <c r="AL701" s="259" t="str">
        <f>MATCH(B701,'Key Findings'!B:B,0)</f>
        <v>#N/A</v>
      </c>
      <c r="AM701" s="260" t="b">
        <f t="shared" si="2"/>
        <v>0</v>
      </c>
      <c r="AN701" s="294"/>
    </row>
    <row r="702">
      <c r="A702" s="169">
        <f t="array" ref="A702">INDEX('Federal Tax, Stock Buybacks, &amp; '!D:D,match(B702,'Federal Tax, Stock Buybacks, &amp; '!E:E,0))</f>
        <v>120</v>
      </c>
      <c r="B702" s="281" t="s">
        <v>1282</v>
      </c>
      <c r="C702" s="282"/>
      <c r="D702" s="283"/>
      <c r="E702" s="471"/>
      <c r="F702" s="254"/>
      <c r="G702" s="282"/>
      <c r="H702" s="283"/>
      <c r="I702" s="471"/>
      <c r="J702" s="254"/>
      <c r="K702" s="282" t="s">
        <v>1284</v>
      </c>
      <c r="L702" s="283" t="s">
        <v>2332</v>
      </c>
      <c r="M702" s="471">
        <v>1.3728866E7</v>
      </c>
      <c r="N702" s="254"/>
      <c r="O702" s="282" t="s">
        <v>1284</v>
      </c>
      <c r="P702" s="283" t="s">
        <v>2332</v>
      </c>
      <c r="Q702" s="471">
        <v>1.17249E7</v>
      </c>
      <c r="R702" s="254"/>
      <c r="S702" s="282" t="s">
        <v>1284</v>
      </c>
      <c r="T702" s="283" t="s">
        <v>2332</v>
      </c>
      <c r="U702" s="471">
        <v>7561759.0</v>
      </c>
      <c r="V702" s="254"/>
      <c r="W702" s="282" t="s">
        <v>1284</v>
      </c>
      <c r="X702" s="283" t="s">
        <v>2332</v>
      </c>
      <c r="Y702" s="471">
        <v>5924121.0</v>
      </c>
      <c r="Z702" s="254"/>
      <c r="AA702" s="282" t="s">
        <v>1284</v>
      </c>
      <c r="AB702" s="283" t="s">
        <v>2332</v>
      </c>
      <c r="AC702" s="472">
        <v>6025892.0</v>
      </c>
      <c r="AD702" s="288"/>
      <c r="AE702" s="321"/>
      <c r="AF702" s="321"/>
      <c r="AG702" s="321"/>
      <c r="AH702" s="321"/>
      <c r="AI702" s="321"/>
      <c r="AJ702" s="293"/>
      <c r="AK702" s="260"/>
      <c r="AL702" s="259" t="str">
        <f>MATCH(B702,'Key Findings'!B:B,0)</f>
        <v>#N/A</v>
      </c>
      <c r="AM702" s="260" t="b">
        <f t="shared" si="2"/>
        <v>0</v>
      </c>
      <c r="AN702" s="294"/>
    </row>
    <row r="703">
      <c r="A703" s="169">
        <f t="array" ref="A703">INDEX('Federal Tax, Stock Buybacks, &amp; '!D:D,match(B703,'Federal Tax, Stock Buybacks, &amp; '!E:E,0))</f>
        <v>120</v>
      </c>
      <c r="B703" s="281" t="s">
        <v>1282</v>
      </c>
      <c r="C703" s="282"/>
      <c r="D703" s="283"/>
      <c r="E703" s="471"/>
      <c r="F703" s="254"/>
      <c r="G703" s="282"/>
      <c r="H703" s="283"/>
      <c r="I703" s="471"/>
      <c r="J703" s="254"/>
      <c r="K703" s="282" t="s">
        <v>1286</v>
      </c>
      <c r="L703" s="283" t="s">
        <v>2332</v>
      </c>
      <c r="M703" s="471">
        <v>1.3747278E7</v>
      </c>
      <c r="N703" s="254"/>
      <c r="O703" s="298" t="s">
        <v>711</v>
      </c>
      <c r="P703" s="296" t="s">
        <v>711</v>
      </c>
      <c r="Q703" s="523" t="s">
        <v>711</v>
      </c>
      <c r="R703" s="254"/>
      <c r="S703" s="298" t="s">
        <v>711</v>
      </c>
      <c r="T703" s="296" t="s">
        <v>711</v>
      </c>
      <c r="U703" s="523" t="s">
        <v>711</v>
      </c>
      <c r="V703" s="254"/>
      <c r="W703" s="298" t="s">
        <v>711</v>
      </c>
      <c r="X703" s="296" t="s">
        <v>711</v>
      </c>
      <c r="Y703" s="523" t="s">
        <v>711</v>
      </c>
      <c r="Z703" s="254"/>
      <c r="AA703" s="298" t="s">
        <v>711</v>
      </c>
      <c r="AB703" s="296" t="s">
        <v>711</v>
      </c>
      <c r="AC703" s="523" t="s">
        <v>711</v>
      </c>
      <c r="AD703" s="288"/>
      <c r="AE703" s="321"/>
      <c r="AF703" s="321"/>
      <c r="AG703" s="321"/>
      <c r="AH703" s="321"/>
      <c r="AI703" s="321"/>
      <c r="AJ703" s="293"/>
      <c r="AK703" s="260"/>
      <c r="AL703" s="259" t="str">
        <f>MATCH(B703,'Key Findings'!B:B,0)</f>
        <v>#N/A</v>
      </c>
      <c r="AM703" s="260" t="b">
        <f t="shared" si="2"/>
        <v>0</v>
      </c>
      <c r="AN703" s="294"/>
    </row>
    <row r="704">
      <c r="A704" s="169">
        <f t="array" ref="A704">INDEX('Federal Tax, Stock Buybacks, &amp; '!D:D,match(B704,'Federal Tax, Stock Buybacks, &amp; '!E:E,0))</f>
        <v>93</v>
      </c>
      <c r="B704" s="397" t="s">
        <v>1009</v>
      </c>
      <c r="C704" s="398"/>
      <c r="D704" s="365"/>
      <c r="E704" s="550"/>
      <c r="F704" s="254"/>
      <c r="G704" s="398"/>
      <c r="H704" s="365"/>
      <c r="I704" s="550"/>
      <c r="J704" s="254"/>
      <c r="K704" s="398" t="s">
        <v>1008</v>
      </c>
      <c r="L704" s="365" t="s">
        <v>1588</v>
      </c>
      <c r="M704" s="550">
        <v>3.2789885E7</v>
      </c>
      <c r="N704" s="254"/>
      <c r="O704" s="398" t="s">
        <v>1008</v>
      </c>
      <c r="P704" s="364" t="s">
        <v>1588</v>
      </c>
      <c r="Q704" s="550">
        <v>2.883806E7</v>
      </c>
      <c r="R704" s="254"/>
      <c r="S704" s="398" t="s">
        <v>1008</v>
      </c>
      <c r="T704" s="364" t="s">
        <v>1588</v>
      </c>
      <c r="U704" s="550">
        <v>3.2920708E7</v>
      </c>
      <c r="V704" s="254"/>
      <c r="W704" s="398" t="s">
        <v>1008</v>
      </c>
      <c r="X704" s="364" t="s">
        <v>1588</v>
      </c>
      <c r="Y704" s="550">
        <v>5.349998E7</v>
      </c>
      <c r="Z704" s="254"/>
      <c r="AA704" s="398" t="s">
        <v>1015</v>
      </c>
      <c r="AB704" s="369" t="s">
        <v>2333</v>
      </c>
      <c r="AC704" s="488">
        <v>5389429.0</v>
      </c>
      <c r="AD704" s="306"/>
      <c r="AE704" s="307">
        <v>2022.0</v>
      </c>
      <c r="AF704" s="307">
        <v>2021.0</v>
      </c>
      <c r="AG704" s="307">
        <v>2020.0</v>
      </c>
      <c r="AH704" s="307">
        <v>2019.0</v>
      </c>
      <c r="AI704" s="307">
        <v>2018.0</v>
      </c>
      <c r="AJ704" s="273" t="s">
        <v>1783</v>
      </c>
      <c r="AK704" s="274"/>
      <c r="AL704" s="259" t="str">
        <f>MATCH(B704,'Key Findings'!B:B,0)</f>
        <v>#N/A</v>
      </c>
      <c r="AM704" s="274" t="b">
        <f t="shared" si="2"/>
        <v>1</v>
      </c>
      <c r="AN704" s="294"/>
    </row>
    <row r="705">
      <c r="A705" s="169">
        <f t="array" ref="A705">INDEX('Federal Tax, Stock Buybacks, &amp; '!D:D,match(B705,'Federal Tax, Stock Buybacks, &amp; '!E:E,0))</f>
        <v>93</v>
      </c>
      <c r="B705" s="397" t="s">
        <v>1009</v>
      </c>
      <c r="C705" s="398"/>
      <c r="D705" s="365"/>
      <c r="E705" s="550"/>
      <c r="F705" s="254"/>
      <c r="G705" s="398"/>
      <c r="H705" s="365"/>
      <c r="I705" s="550"/>
      <c r="J705" s="254"/>
      <c r="K705" s="398" t="s">
        <v>1012</v>
      </c>
      <c r="L705" s="365" t="s">
        <v>1585</v>
      </c>
      <c r="M705" s="550">
        <v>1.0157239E7</v>
      </c>
      <c r="N705" s="254"/>
      <c r="O705" s="398" t="s">
        <v>1012</v>
      </c>
      <c r="P705" s="364" t="s">
        <v>1585</v>
      </c>
      <c r="Q705" s="551">
        <v>7739210.0</v>
      </c>
      <c r="R705" s="254"/>
      <c r="S705" s="398" t="s">
        <v>1012</v>
      </c>
      <c r="T705" s="364" t="s">
        <v>1585</v>
      </c>
      <c r="U705" s="499">
        <v>1.1951087E7</v>
      </c>
      <c r="V705" s="254"/>
      <c r="W705" s="398" t="s">
        <v>1012</v>
      </c>
      <c r="X705" s="364" t="s">
        <v>1585</v>
      </c>
      <c r="Y705" s="499">
        <v>3311570.0</v>
      </c>
      <c r="Z705" s="254"/>
      <c r="AA705" s="398" t="s">
        <v>1014</v>
      </c>
      <c r="AB705" s="369" t="s">
        <v>1992</v>
      </c>
      <c r="AC705" s="488">
        <v>5375413.0</v>
      </c>
      <c r="AD705" s="306"/>
      <c r="AE705" s="308"/>
      <c r="AF705" s="308"/>
      <c r="AG705" s="308"/>
      <c r="AH705" s="308"/>
      <c r="AI705" s="308"/>
      <c r="AJ705" s="278"/>
      <c r="AK705" s="274"/>
      <c r="AL705" s="259" t="str">
        <f>MATCH(B705,'Key Findings'!B:B,0)</f>
        <v>#N/A</v>
      </c>
      <c r="AM705" s="274" t="b">
        <f t="shared" si="2"/>
        <v>1</v>
      </c>
      <c r="AN705" s="294"/>
    </row>
    <row r="706">
      <c r="A706" s="169">
        <f t="array" ref="A706">INDEX('Federal Tax, Stock Buybacks, &amp; '!D:D,match(B706,'Federal Tax, Stock Buybacks, &amp; '!E:E,0))</f>
        <v>93</v>
      </c>
      <c r="B706" s="397" t="s">
        <v>1009</v>
      </c>
      <c r="C706" s="398"/>
      <c r="D706" s="365"/>
      <c r="E706" s="550"/>
      <c r="F706" s="254"/>
      <c r="G706" s="398"/>
      <c r="H706" s="365"/>
      <c r="I706" s="550"/>
      <c r="J706" s="254"/>
      <c r="K706" s="398" t="s">
        <v>1011</v>
      </c>
      <c r="L706" s="365" t="s">
        <v>1662</v>
      </c>
      <c r="M706" s="550">
        <v>1.0186085E7</v>
      </c>
      <c r="N706" s="254"/>
      <c r="O706" s="398" t="s">
        <v>1011</v>
      </c>
      <c r="P706" s="364" t="s">
        <v>1662</v>
      </c>
      <c r="Q706" s="551">
        <v>8577745.0</v>
      </c>
      <c r="R706" s="254"/>
      <c r="S706" s="398" t="s">
        <v>1011</v>
      </c>
      <c r="T706" s="364" t="s">
        <v>1662</v>
      </c>
      <c r="U706" s="499">
        <v>1.6500102E7</v>
      </c>
      <c r="V706" s="254"/>
      <c r="W706" s="398" t="s">
        <v>1011</v>
      </c>
      <c r="X706" s="364" t="s">
        <v>1662</v>
      </c>
      <c r="Y706" s="499">
        <v>5938477.0</v>
      </c>
      <c r="Z706" s="254"/>
      <c r="AA706" s="398" t="s">
        <v>1011</v>
      </c>
      <c r="AB706" s="364" t="s">
        <v>1662</v>
      </c>
      <c r="AC706" s="499">
        <v>4882708.0</v>
      </c>
      <c r="AD706" s="306"/>
      <c r="AE706" s="308"/>
      <c r="AF706" s="308"/>
      <c r="AG706" s="308"/>
      <c r="AH706" s="308"/>
      <c r="AI706" s="308"/>
      <c r="AJ706" s="278"/>
      <c r="AK706" s="274"/>
      <c r="AL706" s="259" t="str">
        <f>MATCH(B706,'Key Findings'!B:B,0)</f>
        <v>#N/A</v>
      </c>
      <c r="AM706" s="274" t="b">
        <f t="shared" si="2"/>
        <v>1</v>
      </c>
      <c r="AN706" s="294"/>
    </row>
    <row r="707">
      <c r="A707" s="169">
        <f t="array" ref="A707">INDEX('Federal Tax, Stock Buybacks, &amp; '!D:D,match(B707,'Federal Tax, Stock Buybacks, &amp; '!E:E,0))</f>
        <v>93</v>
      </c>
      <c r="B707" s="397" t="s">
        <v>1009</v>
      </c>
      <c r="C707" s="398"/>
      <c r="D707" s="365"/>
      <c r="E707" s="550"/>
      <c r="F707" s="254"/>
      <c r="G707" s="398"/>
      <c r="H707" s="365"/>
      <c r="I707" s="550"/>
      <c r="J707" s="254"/>
      <c r="K707" s="398" t="s">
        <v>1013</v>
      </c>
      <c r="L707" s="365" t="s">
        <v>2334</v>
      </c>
      <c r="M707" s="550">
        <v>1.0186085E7</v>
      </c>
      <c r="N707" s="254"/>
      <c r="O707" s="398" t="s">
        <v>1013</v>
      </c>
      <c r="P707" s="364" t="s">
        <v>2334</v>
      </c>
      <c r="Q707" s="551">
        <v>8589122.0</v>
      </c>
      <c r="R707" s="254"/>
      <c r="S707" s="398" t="s">
        <v>1013</v>
      </c>
      <c r="T707" s="364" t="s">
        <v>2334</v>
      </c>
      <c r="U707" s="499">
        <v>1.2500087E7</v>
      </c>
      <c r="V707" s="254"/>
      <c r="W707" s="398" t="s">
        <v>1016</v>
      </c>
      <c r="X707" s="364" t="s">
        <v>2335</v>
      </c>
      <c r="Y707" s="499">
        <v>5943102.0</v>
      </c>
      <c r="Z707" s="254"/>
      <c r="AA707" s="398" t="s">
        <v>1016</v>
      </c>
      <c r="AB707" s="364" t="s">
        <v>2335</v>
      </c>
      <c r="AC707" s="488">
        <v>4856892.0</v>
      </c>
      <c r="AD707" s="306"/>
      <c r="AE707" s="308"/>
      <c r="AF707" s="308"/>
      <c r="AG707" s="308"/>
      <c r="AH707" s="308"/>
      <c r="AI707" s="308"/>
      <c r="AJ707" s="278"/>
      <c r="AK707" s="274"/>
      <c r="AL707" s="259" t="str">
        <f>MATCH(B707,'Key Findings'!B:B,0)</f>
        <v>#N/A</v>
      </c>
      <c r="AM707" s="274" t="b">
        <f t="shared" si="2"/>
        <v>1</v>
      </c>
      <c r="AN707" s="294"/>
    </row>
    <row r="708">
      <c r="A708" s="169">
        <f t="array" ref="A708">INDEX('Federal Tax, Stock Buybacks, &amp; '!D:D,match(B708,'Federal Tax, Stock Buybacks, &amp; '!E:E,0))</f>
        <v>93</v>
      </c>
      <c r="B708" s="397" t="s">
        <v>1009</v>
      </c>
      <c r="C708" s="398"/>
      <c r="D708" s="365"/>
      <c r="E708" s="550"/>
      <c r="F708" s="254"/>
      <c r="G708" s="398"/>
      <c r="H708" s="365"/>
      <c r="I708" s="550"/>
      <c r="J708" s="254"/>
      <c r="K708" s="398" t="s">
        <v>1010</v>
      </c>
      <c r="L708" s="365" t="s">
        <v>1606</v>
      </c>
      <c r="M708" s="550">
        <v>9938812.0</v>
      </c>
      <c r="N708" s="254"/>
      <c r="O708" s="398" t="s">
        <v>1010</v>
      </c>
      <c r="P708" s="364" t="s">
        <v>1606</v>
      </c>
      <c r="Q708" s="551">
        <v>1.1834368E7</v>
      </c>
      <c r="R708" s="254"/>
      <c r="S708" s="398" t="s">
        <v>1010</v>
      </c>
      <c r="T708" s="364" t="s">
        <v>1606</v>
      </c>
      <c r="U708" s="499">
        <v>2.4477982E7</v>
      </c>
      <c r="V708" s="254"/>
      <c r="W708" s="398" t="s">
        <v>1010</v>
      </c>
      <c r="X708" s="364" t="s">
        <v>1606</v>
      </c>
      <c r="Y708" s="499">
        <v>1.8196273E7</v>
      </c>
      <c r="Z708" s="254"/>
      <c r="AA708" s="398" t="s">
        <v>1010</v>
      </c>
      <c r="AB708" s="364" t="s">
        <v>1606</v>
      </c>
      <c r="AC708" s="499">
        <v>1.3968022E7</v>
      </c>
      <c r="AD708" s="306"/>
      <c r="AE708" s="308"/>
      <c r="AF708" s="308"/>
      <c r="AG708" s="308"/>
      <c r="AH708" s="308"/>
      <c r="AI708" s="308"/>
      <c r="AJ708" s="278"/>
      <c r="AK708" s="274"/>
      <c r="AL708" s="259" t="str">
        <f>MATCH(B708,'Key Findings'!B:B,0)</f>
        <v>#N/A</v>
      </c>
      <c r="AM708" s="274" t="b">
        <f t="shared" si="2"/>
        <v>1</v>
      </c>
      <c r="AN708" s="294"/>
    </row>
    <row r="709">
      <c r="A709" s="169">
        <f t="array" ref="A709">INDEX('Federal Tax, Stock Buybacks, &amp; '!D:D,match(B709,'Federal Tax, Stock Buybacks, &amp; '!E:E,0))</f>
        <v>93</v>
      </c>
      <c r="B709" s="397" t="s">
        <v>1009</v>
      </c>
      <c r="C709" s="372"/>
      <c r="D709" s="370"/>
      <c r="E709" s="553"/>
      <c r="F709" s="254"/>
      <c r="G709" s="372"/>
      <c r="H709" s="370"/>
      <c r="I709" s="553"/>
      <c r="J709" s="254"/>
      <c r="K709" s="372" t="s">
        <v>711</v>
      </c>
      <c r="L709" s="370" t="s">
        <v>711</v>
      </c>
      <c r="M709" s="553" t="s">
        <v>711</v>
      </c>
      <c r="N709" s="254"/>
      <c r="O709" s="372" t="s">
        <v>711</v>
      </c>
      <c r="P709" s="370" t="s">
        <v>711</v>
      </c>
      <c r="Q709" s="553" t="s">
        <v>711</v>
      </c>
      <c r="R709" s="254"/>
      <c r="S709" s="372" t="s">
        <v>711</v>
      </c>
      <c r="T709" s="370" t="s">
        <v>711</v>
      </c>
      <c r="U709" s="553" t="s">
        <v>711</v>
      </c>
      <c r="V709" s="254"/>
      <c r="W709" s="398" t="s">
        <v>1018</v>
      </c>
      <c r="X709" s="369" t="s">
        <v>2336</v>
      </c>
      <c r="Y709" s="499">
        <v>5923871.0</v>
      </c>
      <c r="Z709" s="254"/>
      <c r="AA709" s="398" t="s">
        <v>1017</v>
      </c>
      <c r="AB709" s="369" t="s">
        <v>2337</v>
      </c>
      <c r="AC709" s="488">
        <v>4236897.0</v>
      </c>
      <c r="AD709" s="306"/>
      <c r="AE709" s="308"/>
      <c r="AF709" s="308"/>
      <c r="AG709" s="308"/>
      <c r="AH709" s="308"/>
      <c r="AI709" s="308"/>
      <c r="AJ709" s="278"/>
      <c r="AK709" s="274"/>
      <c r="AL709" s="259" t="str">
        <f>MATCH(B709,'Key Findings'!B:B,0)</f>
        <v>#N/A</v>
      </c>
      <c r="AM709" s="274" t="b">
        <f t="shared" si="2"/>
        <v>1</v>
      </c>
      <c r="AN709" s="294"/>
    </row>
    <row r="710">
      <c r="A710" s="169">
        <f t="array" ref="A710">INDEX('Federal Tax, Stock Buybacks, &amp; '!D:D,match(B710,'Federal Tax, Stock Buybacks, &amp; '!E:E,0))</f>
        <v>93</v>
      </c>
      <c r="B710" s="397" t="s">
        <v>1009</v>
      </c>
      <c r="C710" s="372"/>
      <c r="D710" s="370"/>
      <c r="E710" s="553"/>
      <c r="F710" s="254"/>
      <c r="G710" s="372"/>
      <c r="H710" s="370"/>
      <c r="I710" s="553"/>
      <c r="J710" s="254"/>
      <c r="K710" s="372" t="s">
        <v>711</v>
      </c>
      <c r="L710" s="370" t="s">
        <v>711</v>
      </c>
      <c r="M710" s="553" t="s">
        <v>711</v>
      </c>
      <c r="N710" s="254"/>
      <c r="O710" s="372" t="s">
        <v>711</v>
      </c>
      <c r="P710" s="370" t="s">
        <v>711</v>
      </c>
      <c r="Q710" s="553" t="s">
        <v>711</v>
      </c>
      <c r="R710" s="254"/>
      <c r="S710" s="372" t="s">
        <v>711</v>
      </c>
      <c r="T710" s="370" t="s">
        <v>711</v>
      </c>
      <c r="U710" s="553" t="s">
        <v>711</v>
      </c>
      <c r="V710" s="254"/>
      <c r="W710" s="398" t="s">
        <v>1017</v>
      </c>
      <c r="X710" s="369" t="s">
        <v>2337</v>
      </c>
      <c r="Y710" s="499">
        <v>5923871.0</v>
      </c>
      <c r="Z710" s="254"/>
      <c r="AA710" s="372" t="s">
        <v>711</v>
      </c>
      <c r="AB710" s="370" t="s">
        <v>711</v>
      </c>
      <c r="AC710" s="553" t="s">
        <v>711</v>
      </c>
      <c r="AD710" s="306"/>
      <c r="AE710" s="308"/>
      <c r="AF710" s="308"/>
      <c r="AG710" s="308"/>
      <c r="AH710" s="308"/>
      <c r="AI710" s="308"/>
      <c r="AJ710" s="278"/>
      <c r="AK710" s="274"/>
      <c r="AL710" s="259" t="str">
        <f>MATCH(B710,'Key Findings'!B:B,0)</f>
        <v>#N/A</v>
      </c>
      <c r="AM710" s="274" t="b">
        <f t="shared" si="2"/>
        <v>1</v>
      </c>
      <c r="AN710" s="294"/>
    </row>
    <row r="711">
      <c r="A711" s="169">
        <f t="array" ref="A711">INDEX('Federal Tax, Stock Buybacks, &amp; '!D:D,match(B711,'Federal Tax, Stock Buybacks, &amp; '!E:E,0))</f>
        <v>93</v>
      </c>
      <c r="B711" s="397" t="s">
        <v>1009</v>
      </c>
      <c r="C711" s="372"/>
      <c r="D711" s="370"/>
      <c r="E711" s="553"/>
      <c r="F711" s="254"/>
      <c r="G711" s="372"/>
      <c r="H711" s="370"/>
      <c r="I711" s="553"/>
      <c r="J711" s="254"/>
      <c r="K711" s="372" t="s">
        <v>711</v>
      </c>
      <c r="L711" s="370" t="s">
        <v>711</v>
      </c>
      <c r="M711" s="553" t="s">
        <v>711</v>
      </c>
      <c r="N711" s="254"/>
      <c r="O711" s="372" t="s">
        <v>711</v>
      </c>
      <c r="P711" s="370" t="s">
        <v>711</v>
      </c>
      <c r="Q711" s="553" t="s">
        <v>711</v>
      </c>
      <c r="R711" s="254"/>
      <c r="S711" s="372" t="s">
        <v>711</v>
      </c>
      <c r="T711" s="370" t="s">
        <v>711</v>
      </c>
      <c r="U711" s="553" t="s">
        <v>711</v>
      </c>
      <c r="V711" s="254"/>
      <c r="W711" s="398" t="s">
        <v>1015</v>
      </c>
      <c r="X711" s="369" t="s">
        <v>2333</v>
      </c>
      <c r="Y711" s="499">
        <v>6497072.0</v>
      </c>
      <c r="Z711" s="254"/>
      <c r="AA711" s="372" t="s">
        <v>711</v>
      </c>
      <c r="AB711" s="370" t="s">
        <v>711</v>
      </c>
      <c r="AC711" s="553" t="s">
        <v>711</v>
      </c>
      <c r="AD711" s="306"/>
      <c r="AE711" s="308"/>
      <c r="AF711" s="308"/>
      <c r="AG711" s="308"/>
      <c r="AH711" s="308"/>
      <c r="AI711" s="308"/>
      <c r="AJ711" s="278"/>
      <c r="AK711" s="274"/>
      <c r="AL711" s="259" t="str">
        <f>MATCH(B711,'Key Findings'!B:B,0)</f>
        <v>#N/A</v>
      </c>
      <c r="AM711" s="274" t="b">
        <f t="shared" si="2"/>
        <v>1</v>
      </c>
      <c r="AN711" s="294"/>
    </row>
    <row r="712">
      <c r="A712" s="169">
        <f t="array" ref="A712">INDEX('Federal Tax, Stock Buybacks, &amp; '!D:D,match(B712,'Federal Tax, Stock Buybacks, &amp; '!E:E,0))</f>
        <v>93</v>
      </c>
      <c r="B712" s="397" t="s">
        <v>1009</v>
      </c>
      <c r="C712" s="372"/>
      <c r="D712" s="370"/>
      <c r="E712" s="553"/>
      <c r="F712" s="254"/>
      <c r="G712" s="372"/>
      <c r="H712" s="370"/>
      <c r="I712" s="553"/>
      <c r="J712" s="254"/>
      <c r="K712" s="372" t="s">
        <v>711</v>
      </c>
      <c r="L712" s="370" t="s">
        <v>711</v>
      </c>
      <c r="M712" s="553" t="s">
        <v>711</v>
      </c>
      <c r="N712" s="254"/>
      <c r="O712" s="372" t="s">
        <v>711</v>
      </c>
      <c r="P712" s="370" t="s">
        <v>711</v>
      </c>
      <c r="Q712" s="553" t="s">
        <v>711</v>
      </c>
      <c r="R712" s="254"/>
      <c r="S712" s="372" t="s">
        <v>711</v>
      </c>
      <c r="T712" s="370" t="s">
        <v>711</v>
      </c>
      <c r="U712" s="553" t="s">
        <v>711</v>
      </c>
      <c r="V712" s="254"/>
      <c r="W712" s="398" t="s">
        <v>1014</v>
      </c>
      <c r="X712" s="369" t="s">
        <v>1992</v>
      </c>
      <c r="Y712" s="499">
        <v>6516578.0</v>
      </c>
      <c r="Z712" s="254"/>
      <c r="AA712" s="372" t="s">
        <v>711</v>
      </c>
      <c r="AB712" s="370" t="s">
        <v>711</v>
      </c>
      <c r="AC712" s="553" t="s">
        <v>711</v>
      </c>
      <c r="AD712" s="306"/>
      <c r="AE712" s="308"/>
      <c r="AF712" s="308"/>
      <c r="AG712" s="308"/>
      <c r="AH712" s="308"/>
      <c r="AI712" s="308"/>
      <c r="AJ712" s="278"/>
      <c r="AK712" s="274"/>
      <c r="AL712" s="259" t="str">
        <f>MATCH(B712,'Key Findings'!B:B,0)</f>
        <v>#N/A</v>
      </c>
      <c r="AM712" s="274" t="b">
        <f t="shared" si="2"/>
        <v>1</v>
      </c>
      <c r="AN712" s="294"/>
    </row>
    <row r="713">
      <c r="A713" s="169">
        <f t="array" ref="A713">INDEX('Federal Tax, Stock Buybacks, &amp; '!D:D,match(B713,'Federal Tax, Stock Buybacks, &amp; '!E:E,0))</f>
        <v>177</v>
      </c>
      <c r="B713" s="281" t="s">
        <v>1061</v>
      </c>
      <c r="C713" s="282"/>
      <c r="D713" s="554"/>
      <c r="E713" s="555"/>
      <c r="F713" s="254"/>
      <c r="G713" s="282"/>
      <c r="H713" s="554"/>
      <c r="I713" s="555"/>
      <c r="J713" s="254"/>
      <c r="K713" s="282" t="s">
        <v>1063</v>
      </c>
      <c r="L713" s="554" t="s">
        <v>2015</v>
      </c>
      <c r="M713" s="555">
        <v>7412239.0</v>
      </c>
      <c r="N713" s="254"/>
      <c r="O713" s="282" t="s">
        <v>1063</v>
      </c>
      <c r="P713" s="554" t="s">
        <v>2015</v>
      </c>
      <c r="Q713" s="471">
        <v>6395226.0</v>
      </c>
      <c r="R713" s="254"/>
      <c r="S713" s="282" t="s">
        <v>1063</v>
      </c>
      <c r="T713" s="554" t="s">
        <v>2015</v>
      </c>
      <c r="U713" s="471">
        <v>7893062.0</v>
      </c>
      <c r="V713" s="254"/>
      <c r="W713" s="282" t="s">
        <v>1063</v>
      </c>
      <c r="X713" s="554" t="s">
        <v>2015</v>
      </c>
      <c r="Y713" s="471">
        <v>5162810.0</v>
      </c>
      <c r="Z713" s="254"/>
      <c r="AA713" s="282" t="s">
        <v>1063</v>
      </c>
      <c r="AB713" s="554" t="s">
        <v>2015</v>
      </c>
      <c r="AC713" s="472">
        <v>4719165.0</v>
      </c>
      <c r="AD713" s="288"/>
      <c r="AE713" s="289">
        <v>2022.0</v>
      </c>
      <c r="AF713" s="289">
        <v>2021.0</v>
      </c>
      <c r="AG713" s="289">
        <v>2020.0</v>
      </c>
      <c r="AH713" s="289">
        <v>2019.0</v>
      </c>
      <c r="AI713" s="289">
        <v>2018.0</v>
      </c>
      <c r="AJ713" s="290" t="s">
        <v>1524</v>
      </c>
      <c r="AK713" s="260"/>
      <c r="AL713" s="259" t="str">
        <f>MATCH(B713,'Key Findings'!B:B,0)</f>
        <v>#N/A</v>
      </c>
      <c r="AM713" s="260" t="b">
        <f t="shared" si="2"/>
        <v>1</v>
      </c>
      <c r="AN713" s="294"/>
    </row>
    <row r="714">
      <c r="A714" s="169">
        <f t="array" ref="A714">INDEX('Federal Tax, Stock Buybacks, &amp; '!D:D,match(B714,'Federal Tax, Stock Buybacks, &amp; '!E:E,0))</f>
        <v>177</v>
      </c>
      <c r="B714" s="281" t="s">
        <v>1061</v>
      </c>
      <c r="C714" s="282"/>
      <c r="D714" s="283"/>
      <c r="E714" s="555"/>
      <c r="F714" s="254"/>
      <c r="G714" s="282"/>
      <c r="H714" s="283"/>
      <c r="I714" s="555"/>
      <c r="J714" s="254"/>
      <c r="K714" s="282" t="s">
        <v>1064</v>
      </c>
      <c r="L714" s="283" t="s">
        <v>2338</v>
      </c>
      <c r="M714" s="555">
        <v>6977598.0</v>
      </c>
      <c r="N714" s="254"/>
      <c r="O714" s="282" t="s">
        <v>1064</v>
      </c>
      <c r="P714" s="283" t="s">
        <v>2338</v>
      </c>
      <c r="Q714" s="471">
        <v>5553768.0</v>
      </c>
      <c r="R714" s="254"/>
      <c r="S714" s="282" t="s">
        <v>1064</v>
      </c>
      <c r="T714" s="283" t="s">
        <v>1729</v>
      </c>
      <c r="U714" s="471">
        <v>7603704.0</v>
      </c>
      <c r="V714" s="254"/>
      <c r="W714" s="282" t="s">
        <v>1064</v>
      </c>
      <c r="X714" s="283" t="s">
        <v>1729</v>
      </c>
      <c r="Y714" s="471">
        <v>4875981.0</v>
      </c>
      <c r="Z714" s="254"/>
      <c r="AA714" s="282" t="s">
        <v>1064</v>
      </c>
      <c r="AB714" s="283" t="s">
        <v>1729</v>
      </c>
      <c r="AC714" s="472">
        <v>4471481.0</v>
      </c>
      <c r="AD714" s="288"/>
      <c r="AE714" s="292"/>
      <c r="AF714" s="292"/>
      <c r="AG714" s="292"/>
      <c r="AH714" s="292"/>
      <c r="AI714" s="292"/>
      <c r="AJ714" s="293"/>
      <c r="AK714" s="260"/>
      <c r="AL714" s="259" t="str">
        <f>MATCH(B714,'Key Findings'!B:B,0)</f>
        <v>#N/A</v>
      </c>
      <c r="AM714" s="260" t="b">
        <f t="shared" si="2"/>
        <v>1</v>
      </c>
      <c r="AN714" s="294"/>
    </row>
    <row r="715">
      <c r="A715" s="169">
        <f t="array" ref="A715">INDEX('Federal Tax, Stock Buybacks, &amp; '!D:D,match(B715,'Federal Tax, Stock Buybacks, &amp; '!E:E,0))</f>
        <v>177</v>
      </c>
      <c r="B715" s="281" t="s">
        <v>1061</v>
      </c>
      <c r="C715" s="282"/>
      <c r="D715" s="283"/>
      <c r="E715" s="555"/>
      <c r="F715" s="254"/>
      <c r="G715" s="282"/>
      <c r="H715" s="283"/>
      <c r="I715" s="555"/>
      <c r="J715" s="254"/>
      <c r="K715" s="282" t="s">
        <v>1065</v>
      </c>
      <c r="L715" s="283" t="s">
        <v>1532</v>
      </c>
      <c r="M715" s="555">
        <v>9508959.0</v>
      </c>
      <c r="N715" s="254"/>
      <c r="O715" s="282" t="s">
        <v>1065</v>
      </c>
      <c r="P715" s="283" t="s">
        <v>1532</v>
      </c>
      <c r="Q715" s="471">
        <v>6807582.0</v>
      </c>
      <c r="R715" s="254"/>
      <c r="S715" s="282" t="s">
        <v>1065</v>
      </c>
      <c r="T715" s="283" t="s">
        <v>1532</v>
      </c>
      <c r="U715" s="471">
        <v>5061394.0</v>
      </c>
      <c r="V715" s="254"/>
      <c r="W715" s="282" t="s">
        <v>1065</v>
      </c>
      <c r="X715" s="283" t="s">
        <v>1532</v>
      </c>
      <c r="Y715" s="471">
        <v>4026373.0</v>
      </c>
      <c r="Z715" s="254"/>
      <c r="AA715" s="282" t="s">
        <v>1069</v>
      </c>
      <c r="AB715" s="522" t="s">
        <v>2339</v>
      </c>
      <c r="AC715" s="472">
        <v>3852273.0</v>
      </c>
      <c r="AD715" s="288"/>
      <c r="AE715" s="292"/>
      <c r="AF715" s="292"/>
      <c r="AG715" s="292"/>
      <c r="AH715" s="292"/>
      <c r="AI715" s="292"/>
      <c r="AJ715" s="293"/>
      <c r="AK715" s="260"/>
      <c r="AL715" s="259" t="str">
        <f>MATCH(B715,'Key Findings'!B:B,0)</f>
        <v>#N/A</v>
      </c>
      <c r="AM715" s="260" t="b">
        <f t="shared" si="2"/>
        <v>1</v>
      </c>
      <c r="AN715" s="294"/>
    </row>
    <row r="716">
      <c r="A716" s="169">
        <f t="array" ref="A716">INDEX('Federal Tax, Stock Buybacks, &amp; '!D:D,match(B716,'Federal Tax, Stock Buybacks, &amp; '!E:E,0))</f>
        <v>177</v>
      </c>
      <c r="B716" s="281" t="s">
        <v>1061</v>
      </c>
      <c r="C716" s="282"/>
      <c r="D716" s="283"/>
      <c r="E716" s="555"/>
      <c r="F716" s="254"/>
      <c r="G716" s="282"/>
      <c r="H716" s="283"/>
      <c r="I716" s="555"/>
      <c r="J716" s="254"/>
      <c r="K716" s="282" t="s">
        <v>1066</v>
      </c>
      <c r="L716" s="283" t="s">
        <v>2340</v>
      </c>
      <c r="M716" s="555">
        <v>6857804.0</v>
      </c>
      <c r="N716" s="254"/>
      <c r="O716" s="282" t="s">
        <v>1066</v>
      </c>
      <c r="P716" s="283" t="s">
        <v>2340</v>
      </c>
      <c r="Q716" s="471">
        <v>5667000.0</v>
      </c>
      <c r="R716" s="254"/>
      <c r="S716" s="282" t="s">
        <v>1066</v>
      </c>
      <c r="T716" s="283" t="s">
        <v>2340</v>
      </c>
      <c r="U716" s="471">
        <v>6811913.0</v>
      </c>
      <c r="V716" s="254"/>
      <c r="W716" s="282" t="s">
        <v>1066</v>
      </c>
      <c r="X716" s="283" t="s">
        <v>2340</v>
      </c>
      <c r="Y716" s="471">
        <v>5572124.0</v>
      </c>
      <c r="Z716" s="254"/>
      <c r="AA716" s="282" t="s">
        <v>1068</v>
      </c>
      <c r="AB716" s="522" t="s">
        <v>2341</v>
      </c>
      <c r="AC716" s="472">
        <v>4502727.0</v>
      </c>
      <c r="AD716" s="288"/>
      <c r="AE716" s="292"/>
      <c r="AF716" s="292"/>
      <c r="AG716" s="292"/>
      <c r="AH716" s="292"/>
      <c r="AI716" s="292"/>
      <c r="AJ716" s="293"/>
      <c r="AK716" s="260"/>
      <c r="AL716" s="259" t="str">
        <f>MATCH(B716,'Key Findings'!B:B,0)</f>
        <v>#N/A</v>
      </c>
      <c r="AM716" s="260" t="b">
        <f t="shared" si="2"/>
        <v>1</v>
      </c>
      <c r="AN716" s="294"/>
    </row>
    <row r="717">
      <c r="A717" s="169">
        <f t="array" ref="A717">INDEX('Federal Tax, Stock Buybacks, &amp; '!D:D,match(B717,'Federal Tax, Stock Buybacks, &amp; '!E:E,0))</f>
        <v>177</v>
      </c>
      <c r="B717" s="281" t="s">
        <v>1061</v>
      </c>
      <c r="C717" s="282"/>
      <c r="D717" s="283"/>
      <c r="E717" s="555"/>
      <c r="F717" s="254"/>
      <c r="G717" s="282"/>
      <c r="H717" s="283"/>
      <c r="I717" s="555"/>
      <c r="J717" s="254"/>
      <c r="K717" s="282" t="s">
        <v>1062</v>
      </c>
      <c r="L717" s="283" t="s">
        <v>1588</v>
      </c>
      <c r="M717" s="555">
        <v>2.1058543E7</v>
      </c>
      <c r="N717" s="254"/>
      <c r="O717" s="282" t="s">
        <v>1062</v>
      </c>
      <c r="P717" s="283" t="s">
        <v>1588</v>
      </c>
      <c r="Q717" s="471">
        <v>1.6120055E7</v>
      </c>
      <c r="R717" s="254"/>
      <c r="S717" s="282" t="s">
        <v>1062</v>
      </c>
      <c r="T717" s="283" t="s">
        <v>1588</v>
      </c>
      <c r="U717" s="471">
        <v>9220476.0</v>
      </c>
      <c r="V717" s="254"/>
      <c r="W717" s="282" t="s">
        <v>1062</v>
      </c>
      <c r="X717" s="283" t="s">
        <v>1588</v>
      </c>
      <c r="Y717" s="471">
        <v>5570195.0</v>
      </c>
      <c r="Z717" s="254"/>
      <c r="AA717" s="282" t="s">
        <v>1060</v>
      </c>
      <c r="AB717" s="556" t="s">
        <v>1606</v>
      </c>
      <c r="AC717" s="472">
        <v>2.0379353E7</v>
      </c>
      <c r="AD717" s="288"/>
      <c r="AE717" s="292"/>
      <c r="AF717" s="292"/>
      <c r="AG717" s="292"/>
      <c r="AH717" s="292"/>
      <c r="AI717" s="292"/>
      <c r="AJ717" s="293"/>
      <c r="AK717" s="260"/>
      <c r="AL717" s="259" t="str">
        <f>MATCH(B717,'Key Findings'!B:B,0)</f>
        <v>#N/A</v>
      </c>
      <c r="AM717" s="260" t="b">
        <f t="shared" si="2"/>
        <v>1</v>
      </c>
      <c r="AN717" s="294"/>
    </row>
    <row r="718">
      <c r="A718" s="169">
        <f t="array" ref="A718">INDEX('Federal Tax, Stock Buybacks, &amp; '!D:D,match(B718,'Federal Tax, Stock Buybacks, &amp; '!E:E,0))</f>
        <v>177</v>
      </c>
      <c r="B718" s="281" t="s">
        <v>1061</v>
      </c>
      <c r="C718" s="298"/>
      <c r="D718" s="296"/>
      <c r="E718" s="523"/>
      <c r="F718" s="254"/>
      <c r="G718" s="298"/>
      <c r="H718" s="296"/>
      <c r="I718" s="523"/>
      <c r="J718" s="254"/>
      <c r="K718" s="298" t="s">
        <v>711</v>
      </c>
      <c r="L718" s="296" t="s">
        <v>711</v>
      </c>
      <c r="M718" s="523" t="s">
        <v>711</v>
      </c>
      <c r="N718" s="254"/>
      <c r="O718" s="282" t="s">
        <v>1060</v>
      </c>
      <c r="P718" s="556" t="s">
        <v>1606</v>
      </c>
      <c r="Q718" s="471">
        <v>1.736987E7</v>
      </c>
      <c r="R718" s="254"/>
      <c r="S718" s="282" t="s">
        <v>1060</v>
      </c>
      <c r="T718" s="556" t="s">
        <v>1606</v>
      </c>
      <c r="U718" s="471">
        <v>2.7774448E7</v>
      </c>
      <c r="V718" s="254"/>
      <c r="W718" s="282" t="s">
        <v>1060</v>
      </c>
      <c r="X718" s="556" t="s">
        <v>1606</v>
      </c>
      <c r="Y718" s="471">
        <v>2.3249977E7</v>
      </c>
      <c r="Z718" s="254"/>
      <c r="AA718" s="282" t="s">
        <v>1067</v>
      </c>
      <c r="AB718" s="522" t="s">
        <v>1532</v>
      </c>
      <c r="AC718" s="472">
        <v>7494585.0</v>
      </c>
      <c r="AD718" s="288"/>
      <c r="AE718" s="292"/>
      <c r="AF718" s="292"/>
      <c r="AG718" s="292"/>
      <c r="AH718" s="292"/>
      <c r="AI718" s="292"/>
      <c r="AJ718" s="293"/>
      <c r="AK718" s="260"/>
      <c r="AL718" s="259" t="str">
        <f>MATCH(B718,'Key Findings'!B:B,0)</f>
        <v>#N/A</v>
      </c>
      <c r="AM718" s="260" t="b">
        <f t="shared" si="2"/>
        <v>1</v>
      </c>
      <c r="AN718" s="294"/>
    </row>
    <row r="719">
      <c r="A719" s="169">
        <f t="array" ref="A719">INDEX('Federal Tax, Stock Buybacks, &amp; '!D:D,match(B719,'Federal Tax, Stock Buybacks, &amp; '!E:E,0))</f>
        <v>177</v>
      </c>
      <c r="B719" s="281" t="s">
        <v>1061</v>
      </c>
      <c r="C719" s="298"/>
      <c r="D719" s="296"/>
      <c r="E719" s="523"/>
      <c r="F719" s="254"/>
      <c r="G719" s="298"/>
      <c r="H719" s="296"/>
      <c r="I719" s="523"/>
      <c r="J719" s="254"/>
      <c r="K719" s="298" t="s">
        <v>711</v>
      </c>
      <c r="L719" s="296" t="s">
        <v>711</v>
      </c>
      <c r="M719" s="523" t="s">
        <v>711</v>
      </c>
      <c r="N719" s="254"/>
      <c r="O719" s="298" t="s">
        <v>711</v>
      </c>
      <c r="P719" s="296" t="s">
        <v>711</v>
      </c>
      <c r="Q719" s="523" t="s">
        <v>711</v>
      </c>
      <c r="R719" s="254"/>
      <c r="S719" s="298" t="s">
        <v>711</v>
      </c>
      <c r="T719" s="296" t="s">
        <v>711</v>
      </c>
      <c r="U719" s="523" t="s">
        <v>711</v>
      </c>
      <c r="V719" s="254"/>
      <c r="W719" s="282" t="s">
        <v>1067</v>
      </c>
      <c r="X719" s="522" t="s">
        <v>1528</v>
      </c>
      <c r="Y719" s="472">
        <v>6658222.0</v>
      </c>
      <c r="Z719" s="254"/>
      <c r="AA719" s="298" t="s">
        <v>711</v>
      </c>
      <c r="AB719" s="296" t="s">
        <v>711</v>
      </c>
      <c r="AC719" s="523" t="s">
        <v>711</v>
      </c>
      <c r="AD719" s="288"/>
      <c r="AE719" s="292"/>
      <c r="AF719" s="292"/>
      <c r="AG719" s="292"/>
      <c r="AH719" s="292"/>
      <c r="AI719" s="292"/>
      <c r="AJ719" s="293"/>
      <c r="AK719" s="260"/>
      <c r="AL719" s="259" t="str">
        <f>MATCH(B719,'Key Findings'!B:B,0)</f>
        <v>#N/A</v>
      </c>
      <c r="AM719" s="260" t="b">
        <f t="shared" si="2"/>
        <v>1</v>
      </c>
      <c r="AN719" s="294"/>
    </row>
    <row r="720">
      <c r="A720" s="169">
        <f t="array" ref="A720">INDEX('Federal Tax, Stock Buybacks, &amp; '!D:D,match(B720,'Federal Tax, Stock Buybacks, &amp; '!E:E,0))</f>
        <v>235</v>
      </c>
      <c r="B720" s="281" t="s">
        <v>905</v>
      </c>
      <c r="C720" s="282"/>
      <c r="D720" s="283"/>
      <c r="E720" s="555"/>
      <c r="F720" s="254"/>
      <c r="G720" s="282"/>
      <c r="H720" s="283"/>
      <c r="I720" s="555"/>
      <c r="J720" s="254"/>
      <c r="K720" s="282" t="s">
        <v>906</v>
      </c>
      <c r="L720" s="283" t="s">
        <v>1714</v>
      </c>
      <c r="M720" s="555">
        <v>1.3701941E7</v>
      </c>
      <c r="N720" s="254"/>
      <c r="O720" s="282" t="s">
        <v>906</v>
      </c>
      <c r="P720" s="283" t="s">
        <v>1714</v>
      </c>
      <c r="Q720" s="555">
        <v>8880347.0</v>
      </c>
      <c r="R720" s="254"/>
      <c r="S720" s="282" t="s">
        <v>906</v>
      </c>
      <c r="T720" s="283" t="s">
        <v>1714</v>
      </c>
      <c r="U720" s="471">
        <v>5181711.0</v>
      </c>
      <c r="V720" s="254"/>
      <c r="W720" s="282" t="s">
        <v>906</v>
      </c>
      <c r="X720" s="283" t="s">
        <v>1714</v>
      </c>
      <c r="Y720" s="471">
        <v>4616381.0</v>
      </c>
      <c r="Z720" s="254"/>
      <c r="AA720" s="282" t="s">
        <v>906</v>
      </c>
      <c r="AB720" s="283" t="s">
        <v>1714</v>
      </c>
      <c r="AC720" s="472">
        <v>3868638.0</v>
      </c>
      <c r="AD720" s="288"/>
      <c r="AE720" s="391">
        <v>2022.0</v>
      </c>
      <c r="AF720" s="391">
        <v>2021.0</v>
      </c>
      <c r="AG720" s="391">
        <v>2020.0</v>
      </c>
      <c r="AH720" s="391">
        <v>2019.0</v>
      </c>
      <c r="AI720" s="391">
        <v>2018.0</v>
      </c>
      <c r="AJ720" s="290" t="s">
        <v>1524</v>
      </c>
      <c r="AK720" s="260"/>
      <c r="AL720" s="259" t="str">
        <f>MATCH(B720,'Key Findings'!B:B,0)</f>
        <v>#N/A</v>
      </c>
      <c r="AM720" s="260" t="b">
        <f t="shared" si="2"/>
        <v>1</v>
      </c>
      <c r="AN720" s="294"/>
    </row>
    <row r="721">
      <c r="A721" s="169">
        <f t="array" ref="A721">INDEX('Federal Tax, Stock Buybacks, &amp; '!D:D,match(B721,'Federal Tax, Stock Buybacks, &amp; '!E:E,0))</f>
        <v>235</v>
      </c>
      <c r="B721" s="281" t="s">
        <v>905</v>
      </c>
      <c r="C721" s="282"/>
      <c r="D721" s="283"/>
      <c r="E721" s="555"/>
      <c r="F721" s="254"/>
      <c r="G721" s="282"/>
      <c r="H721" s="283"/>
      <c r="I721" s="555"/>
      <c r="J721" s="254"/>
      <c r="K721" s="282" t="s">
        <v>907</v>
      </c>
      <c r="L721" s="283" t="s">
        <v>2342</v>
      </c>
      <c r="M721" s="555">
        <v>5206378.0</v>
      </c>
      <c r="N721" s="254"/>
      <c r="O721" s="282" t="s">
        <v>907</v>
      </c>
      <c r="P721" s="283" t="s">
        <v>2342</v>
      </c>
      <c r="Q721" s="555">
        <v>4609666.0</v>
      </c>
      <c r="R721" s="254"/>
      <c r="S721" s="282" t="s">
        <v>907</v>
      </c>
      <c r="T721" s="283" t="s">
        <v>2342</v>
      </c>
      <c r="U721" s="471">
        <v>4244519.0</v>
      </c>
      <c r="V721" s="254"/>
      <c r="W721" s="282" t="s">
        <v>907</v>
      </c>
      <c r="X721" s="283" t="s">
        <v>2342</v>
      </c>
      <c r="Y721" s="471">
        <v>3400744.0</v>
      </c>
      <c r="Z721" s="254"/>
      <c r="AA721" s="282" t="s">
        <v>907</v>
      </c>
      <c r="AB721" s="283" t="s">
        <v>2342</v>
      </c>
      <c r="AC721" s="472">
        <v>3471126.0</v>
      </c>
      <c r="AD721" s="288"/>
      <c r="AE721" s="292"/>
      <c r="AF721" s="292"/>
      <c r="AG721" s="292"/>
      <c r="AH721" s="292"/>
      <c r="AI721" s="292"/>
      <c r="AJ721" s="293"/>
      <c r="AK721" s="260"/>
      <c r="AL721" s="259" t="str">
        <f>MATCH(B721,'Key Findings'!B:B,0)</f>
        <v>#N/A</v>
      </c>
      <c r="AM721" s="260" t="b">
        <f t="shared" si="2"/>
        <v>1</v>
      </c>
      <c r="AN721" s="294"/>
    </row>
    <row r="722">
      <c r="A722" s="169">
        <f t="array" ref="A722">INDEX('Federal Tax, Stock Buybacks, &amp; '!D:D,match(B722,'Federal Tax, Stock Buybacks, &amp; '!E:E,0))</f>
        <v>235</v>
      </c>
      <c r="B722" s="281" t="s">
        <v>905</v>
      </c>
      <c r="C722" s="282"/>
      <c r="D722" s="283"/>
      <c r="E722" s="555"/>
      <c r="F722" s="254"/>
      <c r="G722" s="282"/>
      <c r="H722" s="283"/>
      <c r="I722" s="555"/>
      <c r="J722" s="254"/>
      <c r="K722" s="282" t="s">
        <v>904</v>
      </c>
      <c r="L722" s="283" t="s">
        <v>2343</v>
      </c>
      <c r="M722" s="555">
        <v>1.0951356E7</v>
      </c>
      <c r="N722" s="254"/>
      <c r="O722" s="282" t="s">
        <v>904</v>
      </c>
      <c r="P722" s="283" t="s">
        <v>1605</v>
      </c>
      <c r="Q722" s="555">
        <v>1.3500981E7</v>
      </c>
      <c r="R722" s="254"/>
      <c r="S722" s="282" t="s">
        <v>904</v>
      </c>
      <c r="T722" s="283" t="s">
        <v>1605</v>
      </c>
      <c r="U722" s="471">
        <v>1.2940513E7</v>
      </c>
      <c r="V722" s="254"/>
      <c r="W722" s="282" t="s">
        <v>904</v>
      </c>
      <c r="X722" s="283" t="s">
        <v>1605</v>
      </c>
      <c r="Y722" s="471">
        <v>1.2169308E7</v>
      </c>
      <c r="Z722" s="254"/>
      <c r="AA722" s="282" t="s">
        <v>904</v>
      </c>
      <c r="AB722" s="283" t="s">
        <v>1605</v>
      </c>
      <c r="AC722" s="472">
        <v>1.2449138E7</v>
      </c>
      <c r="AD722" s="288"/>
      <c r="AE722" s="292"/>
      <c r="AF722" s="292"/>
      <c r="AG722" s="292"/>
      <c r="AH722" s="292"/>
      <c r="AI722" s="292"/>
      <c r="AJ722" s="293"/>
      <c r="AK722" s="260"/>
      <c r="AL722" s="259" t="str">
        <f>MATCH(B722,'Key Findings'!B:B,0)</f>
        <v>#N/A</v>
      </c>
      <c r="AM722" s="260" t="b">
        <f t="shared" si="2"/>
        <v>1</v>
      </c>
      <c r="AN722" s="294"/>
    </row>
    <row r="723">
      <c r="A723" s="169">
        <f t="array" ref="A723">INDEX('Federal Tax, Stock Buybacks, &amp; '!D:D,match(B723,'Federal Tax, Stock Buybacks, &amp; '!E:E,0))</f>
        <v>235</v>
      </c>
      <c r="B723" s="281" t="s">
        <v>905</v>
      </c>
      <c r="C723" s="282"/>
      <c r="D723" s="283"/>
      <c r="E723" s="555"/>
      <c r="F723" s="254"/>
      <c r="G723" s="282"/>
      <c r="H723" s="283"/>
      <c r="I723" s="555"/>
      <c r="J723" s="254"/>
      <c r="K723" s="282" t="s">
        <v>908</v>
      </c>
      <c r="L723" s="283" t="s">
        <v>2344</v>
      </c>
      <c r="M723" s="555">
        <v>5160727.0</v>
      </c>
      <c r="N723" s="254"/>
      <c r="O723" s="282" t="s">
        <v>908</v>
      </c>
      <c r="P723" s="283" t="s">
        <v>2344</v>
      </c>
      <c r="Q723" s="555">
        <v>4430151.0</v>
      </c>
      <c r="R723" s="254"/>
      <c r="S723" s="282" t="s">
        <v>908</v>
      </c>
      <c r="T723" s="283" t="s">
        <v>2344</v>
      </c>
      <c r="U723" s="471">
        <v>3264378.0</v>
      </c>
      <c r="V723" s="254"/>
      <c r="W723" s="282" t="s">
        <v>908</v>
      </c>
      <c r="X723" s="283" t="s">
        <v>2344</v>
      </c>
      <c r="Y723" s="471">
        <v>2591022.0</v>
      </c>
      <c r="Z723" s="254"/>
      <c r="AA723" s="282" t="s">
        <v>909</v>
      </c>
      <c r="AB723" s="283" t="s">
        <v>1881</v>
      </c>
      <c r="AC723" s="472">
        <v>3338852.0</v>
      </c>
      <c r="AD723" s="288"/>
      <c r="AE723" s="292"/>
      <c r="AF723" s="292"/>
      <c r="AG723" s="292"/>
      <c r="AH723" s="292"/>
      <c r="AI723" s="292"/>
      <c r="AJ723" s="293"/>
      <c r="AK723" s="260"/>
      <c r="AL723" s="259" t="str">
        <f>MATCH(B723,'Key Findings'!B:B,0)</f>
        <v>#N/A</v>
      </c>
      <c r="AM723" s="260" t="b">
        <f t="shared" si="2"/>
        <v>1</v>
      </c>
      <c r="AN723" s="294"/>
    </row>
    <row r="724">
      <c r="A724" s="169">
        <f t="array" ref="A724">INDEX('Federal Tax, Stock Buybacks, &amp; '!D:D,match(B724,'Federal Tax, Stock Buybacks, &amp; '!E:E,0))</f>
        <v>235</v>
      </c>
      <c r="B724" s="281" t="s">
        <v>905</v>
      </c>
      <c r="C724" s="282"/>
      <c r="D724" s="283"/>
      <c r="E724" s="555"/>
      <c r="F724" s="254"/>
      <c r="G724" s="282"/>
      <c r="H724" s="283"/>
      <c r="I724" s="555"/>
      <c r="J724" s="254"/>
      <c r="K724" s="282" t="s">
        <v>910</v>
      </c>
      <c r="L724" s="283" t="s">
        <v>2345</v>
      </c>
      <c r="M724" s="555">
        <v>4746347.0</v>
      </c>
      <c r="N724" s="254"/>
      <c r="O724" s="282" t="s">
        <v>910</v>
      </c>
      <c r="P724" s="283" t="s">
        <v>2345</v>
      </c>
      <c r="Q724" s="555">
        <v>3710355.0</v>
      </c>
      <c r="R724" s="254"/>
      <c r="S724" s="282" t="s">
        <v>909</v>
      </c>
      <c r="T724" s="283" t="s">
        <v>1881</v>
      </c>
      <c r="U724" s="471">
        <v>3837066.0</v>
      </c>
      <c r="V724" s="254"/>
      <c r="W724" s="282" t="s">
        <v>909</v>
      </c>
      <c r="X724" s="283" t="s">
        <v>1881</v>
      </c>
      <c r="Y724" s="471">
        <v>3295237.0</v>
      </c>
      <c r="Z724" s="254"/>
      <c r="AA724" s="282" t="s">
        <v>911</v>
      </c>
      <c r="AB724" s="524" t="s">
        <v>2346</v>
      </c>
      <c r="AC724" s="472">
        <v>2761241.0</v>
      </c>
      <c r="AD724" s="288"/>
      <c r="AE724" s="292"/>
      <c r="AF724" s="292"/>
      <c r="AG724" s="292"/>
      <c r="AH724" s="292"/>
      <c r="AI724" s="292"/>
      <c r="AJ724" s="293"/>
      <c r="AK724" s="260"/>
      <c r="AL724" s="259" t="str">
        <f>MATCH(B724,'Key Findings'!B:B,0)</f>
        <v>#N/A</v>
      </c>
      <c r="AM724" s="260" t="b">
        <f t="shared" si="2"/>
        <v>1</v>
      </c>
      <c r="AN724" s="294"/>
    </row>
    <row r="725">
      <c r="A725" s="169">
        <f t="array" ref="A725">INDEX('Federal Tax, Stock Buybacks, &amp; '!D:D,match(B725,'Federal Tax, Stock Buybacks, &amp; '!E:E,0))</f>
        <v>235</v>
      </c>
      <c r="B725" s="281" t="s">
        <v>905</v>
      </c>
      <c r="C725" s="298"/>
      <c r="D725" s="296"/>
      <c r="E725" s="523"/>
      <c r="F725" s="254"/>
      <c r="G725" s="298"/>
      <c r="H725" s="296"/>
      <c r="I725" s="523"/>
      <c r="J725" s="254"/>
      <c r="K725" s="298" t="s">
        <v>711</v>
      </c>
      <c r="L725" s="296" t="s">
        <v>711</v>
      </c>
      <c r="M725" s="523" t="s">
        <v>711</v>
      </c>
      <c r="N725" s="254"/>
      <c r="O725" s="282" t="s">
        <v>912</v>
      </c>
      <c r="P725" s="556" t="s">
        <v>2347</v>
      </c>
      <c r="Q725" s="557">
        <v>3749018.0</v>
      </c>
      <c r="R725" s="254"/>
      <c r="S725" s="298" t="s">
        <v>711</v>
      </c>
      <c r="T725" s="296" t="s">
        <v>711</v>
      </c>
      <c r="U725" s="523" t="s">
        <v>711</v>
      </c>
      <c r="V725" s="254"/>
      <c r="W725" s="282" t="s">
        <v>911</v>
      </c>
      <c r="X725" s="524" t="s">
        <v>2346</v>
      </c>
      <c r="Y725" s="471">
        <v>2772226.0</v>
      </c>
      <c r="Z725" s="254"/>
      <c r="AA725" s="298" t="s">
        <v>711</v>
      </c>
      <c r="AB725" s="296" t="s">
        <v>711</v>
      </c>
      <c r="AC725" s="523" t="s">
        <v>711</v>
      </c>
      <c r="AD725" s="288"/>
      <c r="AE725" s="292"/>
      <c r="AF725" s="292"/>
      <c r="AG725" s="292"/>
      <c r="AH725" s="292"/>
      <c r="AI725" s="292"/>
      <c r="AJ725" s="293"/>
      <c r="AK725" s="260"/>
      <c r="AL725" s="259" t="str">
        <f>MATCH(B725,'Key Findings'!B:B,0)</f>
        <v>#N/A</v>
      </c>
      <c r="AM725" s="260" t="b">
        <f t="shared" si="2"/>
        <v>1</v>
      </c>
      <c r="AN725" s="294"/>
    </row>
    <row r="726">
      <c r="A726" s="169">
        <f t="array" ref="A726">INDEX('Federal Tax, Stock Buybacks, &amp; '!D:D,match(B726,'Federal Tax, Stock Buybacks, &amp; '!E:E,0))</f>
        <v>119</v>
      </c>
      <c r="B726" s="300" t="s">
        <v>1102</v>
      </c>
      <c r="C726" s="362"/>
      <c r="D726" s="363"/>
      <c r="E726" s="499"/>
      <c r="F726" s="254"/>
      <c r="G726" s="362"/>
      <c r="H726" s="363"/>
      <c r="I726" s="499"/>
      <c r="J726" s="254"/>
      <c r="K726" s="362" t="s">
        <v>1101</v>
      </c>
      <c r="L726" s="363" t="s">
        <v>1606</v>
      </c>
      <c r="M726" s="499">
        <v>3.4927094E7</v>
      </c>
      <c r="N726" s="254"/>
      <c r="O726" s="362" t="s">
        <v>1101</v>
      </c>
      <c r="P726" s="363" t="s">
        <v>1606</v>
      </c>
      <c r="Q726" s="499">
        <v>3.8852076E7</v>
      </c>
      <c r="R726" s="254"/>
      <c r="S726" s="362" t="s">
        <v>1101</v>
      </c>
      <c r="T726" s="363" t="s">
        <v>1606</v>
      </c>
      <c r="U726" s="499">
        <v>2.5169936E7</v>
      </c>
      <c r="V726" s="254"/>
      <c r="W726" s="362" t="s">
        <v>1101</v>
      </c>
      <c r="X726" s="363" t="s">
        <v>1606</v>
      </c>
      <c r="Y726" s="499">
        <v>2.0878518E7</v>
      </c>
      <c r="Z726" s="254"/>
      <c r="AA726" s="362" t="s">
        <v>1101</v>
      </c>
      <c r="AB726" s="363" t="s">
        <v>1606</v>
      </c>
      <c r="AC726" s="488">
        <v>2.0071171E7</v>
      </c>
      <c r="AD726" s="306"/>
      <c r="AE726" s="307">
        <v>2022.0</v>
      </c>
      <c r="AF726" s="307">
        <v>2021.0</v>
      </c>
      <c r="AG726" s="307">
        <v>2020.0</v>
      </c>
      <c r="AH726" s="307">
        <v>2019.0</v>
      </c>
      <c r="AI726" s="307">
        <v>2018.0</v>
      </c>
      <c r="AJ726" s="367" t="s">
        <v>1524</v>
      </c>
      <c r="AK726" s="274"/>
      <c r="AL726" s="259" t="str">
        <f>MATCH(B726,'Key Findings'!B:B,0)</f>
        <v>#N/A</v>
      </c>
      <c r="AM726" s="274" t="b">
        <f t="shared" si="2"/>
        <v>1</v>
      </c>
      <c r="AN726" s="294"/>
    </row>
    <row r="727">
      <c r="A727" s="169">
        <f t="array" ref="A727">INDEX('Federal Tax, Stock Buybacks, &amp; '!D:D,match(B727,'Federal Tax, Stock Buybacks, &amp; '!E:E,0))</f>
        <v>119</v>
      </c>
      <c r="B727" s="300" t="s">
        <v>1102</v>
      </c>
      <c r="C727" s="362"/>
      <c r="D727" s="363"/>
      <c r="E727" s="499"/>
      <c r="F727" s="254"/>
      <c r="G727" s="362"/>
      <c r="H727" s="363"/>
      <c r="I727" s="499"/>
      <c r="J727" s="254"/>
      <c r="K727" s="362" t="s">
        <v>1104</v>
      </c>
      <c r="L727" s="363" t="s">
        <v>2348</v>
      </c>
      <c r="M727" s="499">
        <v>3.0032983E7</v>
      </c>
      <c r="N727" s="254"/>
      <c r="O727" s="362" t="s">
        <v>1104</v>
      </c>
      <c r="P727" s="363" t="s">
        <v>2348</v>
      </c>
      <c r="Q727" s="499">
        <v>3.4045217E7</v>
      </c>
      <c r="R727" s="254"/>
      <c r="S727" s="362" t="s">
        <v>1104</v>
      </c>
      <c r="T727" s="363" t="s">
        <v>2348</v>
      </c>
      <c r="U727" s="499">
        <v>1.9352016E7</v>
      </c>
      <c r="V727" s="254"/>
      <c r="W727" s="362" t="s">
        <v>1104</v>
      </c>
      <c r="X727" s="363" t="s">
        <v>2348</v>
      </c>
      <c r="Y727" s="499">
        <v>1.6118722E7</v>
      </c>
      <c r="Z727" s="254"/>
      <c r="AA727" s="362" t="s">
        <v>1104</v>
      </c>
      <c r="AB727" s="363" t="s">
        <v>2348</v>
      </c>
      <c r="AC727" s="488">
        <v>1.5511237E7</v>
      </c>
      <c r="AD727" s="306"/>
      <c r="AE727" s="377"/>
      <c r="AF727" s="377"/>
      <c r="AG727" s="377"/>
      <c r="AH727" s="377"/>
      <c r="AI727" s="377"/>
      <c r="AJ727" s="368"/>
      <c r="AK727" s="274"/>
      <c r="AL727" s="259" t="str">
        <f>MATCH(B727,'Key Findings'!B:B,0)</f>
        <v>#N/A</v>
      </c>
      <c r="AM727" s="274" t="b">
        <f t="shared" si="2"/>
        <v>1</v>
      </c>
      <c r="AN727" s="294"/>
    </row>
    <row r="728">
      <c r="A728" s="169">
        <f t="array" ref="A728">INDEX('Federal Tax, Stock Buybacks, &amp; '!D:D,match(B728,'Federal Tax, Stock Buybacks, &amp; '!E:E,0))</f>
        <v>119</v>
      </c>
      <c r="B728" s="300" t="s">
        <v>1102</v>
      </c>
      <c r="C728" s="362"/>
      <c r="D728" s="363"/>
      <c r="E728" s="499"/>
      <c r="F728" s="254"/>
      <c r="G728" s="362"/>
      <c r="H728" s="363"/>
      <c r="I728" s="499"/>
      <c r="J728" s="254"/>
      <c r="K728" s="362" t="s">
        <v>1103</v>
      </c>
      <c r="L728" s="363" t="s">
        <v>2348</v>
      </c>
      <c r="M728" s="499">
        <v>3.0447048E7</v>
      </c>
      <c r="N728" s="254"/>
      <c r="O728" s="362" t="s">
        <v>1103</v>
      </c>
      <c r="P728" s="363" t="s">
        <v>2348</v>
      </c>
      <c r="Q728" s="499">
        <v>3.4045217E7</v>
      </c>
      <c r="R728" s="254"/>
      <c r="S728" s="362" t="s">
        <v>1103</v>
      </c>
      <c r="T728" s="363" t="s">
        <v>2348</v>
      </c>
      <c r="U728" s="499">
        <v>2.1983118E7</v>
      </c>
      <c r="V728" s="254"/>
      <c r="W728" s="362" t="s">
        <v>1103</v>
      </c>
      <c r="X728" s="363" t="s">
        <v>2348</v>
      </c>
      <c r="Y728" s="499">
        <v>1.8279581E7</v>
      </c>
      <c r="Z728" s="254"/>
      <c r="AA728" s="362" t="s">
        <v>1103</v>
      </c>
      <c r="AB728" s="363" t="s">
        <v>2348</v>
      </c>
      <c r="AC728" s="488">
        <v>1.7583466E7</v>
      </c>
      <c r="AD728" s="306"/>
      <c r="AE728" s="377"/>
      <c r="AF728" s="377"/>
      <c r="AG728" s="377"/>
      <c r="AH728" s="377"/>
      <c r="AI728" s="377"/>
      <c r="AJ728" s="368"/>
      <c r="AK728" s="274"/>
      <c r="AL728" s="259" t="str">
        <f>MATCH(B728,'Key Findings'!B:B,0)</f>
        <v>#N/A</v>
      </c>
      <c r="AM728" s="274" t="b">
        <f t="shared" si="2"/>
        <v>1</v>
      </c>
      <c r="AN728" s="294"/>
    </row>
    <row r="729">
      <c r="A729" s="169">
        <f t="array" ref="A729">INDEX('Federal Tax, Stock Buybacks, &amp; '!D:D,match(B729,'Federal Tax, Stock Buybacks, &amp; '!E:E,0))</f>
        <v>119</v>
      </c>
      <c r="B729" s="300" t="s">
        <v>1102</v>
      </c>
      <c r="C729" s="362"/>
      <c r="D729" s="363"/>
      <c r="E729" s="499"/>
      <c r="F729" s="254"/>
      <c r="G729" s="362"/>
      <c r="H729" s="363"/>
      <c r="I729" s="499"/>
      <c r="J729" s="254"/>
      <c r="K729" s="362" t="s">
        <v>1106</v>
      </c>
      <c r="L729" s="363" t="s">
        <v>2349</v>
      </c>
      <c r="M729" s="499">
        <v>6020830.0</v>
      </c>
      <c r="N729" s="254"/>
      <c r="O729" s="362" t="s">
        <v>1106</v>
      </c>
      <c r="P729" s="363" t="s">
        <v>2349</v>
      </c>
      <c r="Q729" s="499">
        <v>5542142.0</v>
      </c>
      <c r="R729" s="254"/>
      <c r="S729" s="362" t="s">
        <v>1106</v>
      </c>
      <c r="T729" s="363" t="s">
        <v>2349</v>
      </c>
      <c r="U729" s="499">
        <v>4516566.0</v>
      </c>
      <c r="V729" s="254"/>
      <c r="W729" s="362" t="s">
        <v>1106</v>
      </c>
      <c r="X729" s="363" t="s">
        <v>2349</v>
      </c>
      <c r="Y729" s="499">
        <v>3766432.0</v>
      </c>
      <c r="Z729" s="254"/>
      <c r="AA729" s="362" t="s">
        <v>1106</v>
      </c>
      <c r="AB729" s="363" t="s">
        <v>2349</v>
      </c>
      <c r="AC729" s="488">
        <v>3016630.0</v>
      </c>
      <c r="AD729" s="306"/>
      <c r="AE729" s="377"/>
      <c r="AF729" s="377"/>
      <c r="AG729" s="377"/>
      <c r="AH729" s="377"/>
      <c r="AI729" s="377"/>
      <c r="AJ729" s="368"/>
      <c r="AK729" s="274"/>
      <c r="AL729" s="259" t="str">
        <f>MATCH(B729,'Key Findings'!B:B,0)</f>
        <v>#N/A</v>
      </c>
      <c r="AM729" s="274" t="b">
        <f t="shared" si="2"/>
        <v>1</v>
      </c>
      <c r="AN729" s="294"/>
    </row>
    <row r="730">
      <c r="A730" s="169">
        <f t="array" ref="A730">INDEX('Federal Tax, Stock Buybacks, &amp; '!D:D,match(B730,'Federal Tax, Stock Buybacks, &amp; '!E:E,0))</f>
        <v>119</v>
      </c>
      <c r="B730" s="300" t="s">
        <v>1102</v>
      </c>
      <c r="C730" s="362"/>
      <c r="D730" s="363"/>
      <c r="E730" s="499"/>
      <c r="F730" s="254"/>
      <c r="G730" s="362"/>
      <c r="H730" s="363"/>
      <c r="I730" s="499"/>
      <c r="J730" s="254"/>
      <c r="K730" s="362" t="s">
        <v>1107</v>
      </c>
      <c r="L730" s="363" t="s">
        <v>2350</v>
      </c>
      <c r="M730" s="499">
        <v>3063482.0</v>
      </c>
      <c r="N730" s="254"/>
      <c r="O730" s="362" t="s">
        <v>1107</v>
      </c>
      <c r="P730" s="363" t="s">
        <v>2350</v>
      </c>
      <c r="Q730" s="499">
        <v>2837740.0</v>
      </c>
      <c r="R730" s="254"/>
      <c r="S730" s="362" t="s">
        <v>1107</v>
      </c>
      <c r="T730" s="363" t="s">
        <v>2350</v>
      </c>
      <c r="U730" s="499">
        <v>2571076.0</v>
      </c>
      <c r="V730" s="254"/>
      <c r="W730" s="362" t="s">
        <v>1107</v>
      </c>
      <c r="X730" s="363" t="s">
        <v>2350</v>
      </c>
      <c r="Y730" s="499">
        <v>2564225.0</v>
      </c>
      <c r="Z730" s="254"/>
      <c r="AA730" s="362" t="s">
        <v>1107</v>
      </c>
      <c r="AB730" s="363" t="s">
        <v>2350</v>
      </c>
      <c r="AC730" s="488">
        <v>2463826.0</v>
      </c>
      <c r="AD730" s="306"/>
      <c r="AE730" s="377"/>
      <c r="AF730" s="377"/>
      <c r="AG730" s="377"/>
      <c r="AH730" s="377"/>
      <c r="AI730" s="377"/>
      <c r="AJ730" s="368"/>
      <c r="AK730" s="274"/>
      <c r="AL730" s="259" t="str">
        <f>MATCH(B730,'Key Findings'!B:B,0)</f>
        <v>#N/A</v>
      </c>
      <c r="AM730" s="274" t="b">
        <f t="shared" si="2"/>
        <v>1</v>
      </c>
      <c r="AN730" s="294"/>
    </row>
    <row r="731">
      <c r="A731" s="169">
        <f t="array" ref="A731">INDEX('Federal Tax, Stock Buybacks, &amp; '!D:D,match(B731,'Federal Tax, Stock Buybacks, &amp; '!E:E,0))</f>
        <v>119</v>
      </c>
      <c r="B731" s="300" t="s">
        <v>1102</v>
      </c>
      <c r="C731" s="362"/>
      <c r="D731" s="363"/>
      <c r="E731" s="499"/>
      <c r="F731" s="254"/>
      <c r="G731" s="362"/>
      <c r="H731" s="363"/>
      <c r="I731" s="499"/>
      <c r="J731" s="254"/>
      <c r="K731" s="362" t="s">
        <v>1105</v>
      </c>
      <c r="L731" s="363" t="s">
        <v>1838</v>
      </c>
      <c r="M731" s="499">
        <v>5138897.0</v>
      </c>
      <c r="N731" s="254"/>
      <c r="O731" s="362" t="s">
        <v>1105</v>
      </c>
      <c r="P731" s="363" t="s">
        <v>1838</v>
      </c>
      <c r="Q731" s="499">
        <v>4884704.0</v>
      </c>
      <c r="R731" s="254"/>
      <c r="S731" s="362" t="s">
        <v>1105</v>
      </c>
      <c r="T731" s="363" t="s">
        <v>1838</v>
      </c>
      <c r="U731" s="499">
        <v>4259317.0</v>
      </c>
      <c r="V731" s="254"/>
      <c r="W731" s="362" t="s">
        <v>1105</v>
      </c>
      <c r="X731" s="363" t="s">
        <v>1838</v>
      </c>
      <c r="Y731" s="499">
        <v>3509211.0</v>
      </c>
      <c r="Z731" s="254"/>
      <c r="AA731" s="362" t="s">
        <v>1105</v>
      </c>
      <c r="AB731" s="363" t="s">
        <v>1838</v>
      </c>
      <c r="AC731" s="488">
        <v>5471342.0</v>
      </c>
      <c r="AD731" s="306"/>
      <c r="AE731" s="377"/>
      <c r="AF731" s="377"/>
      <c r="AG731" s="377"/>
      <c r="AH731" s="377"/>
      <c r="AI731" s="377"/>
      <c r="AJ731" s="368"/>
      <c r="AK731" s="274"/>
      <c r="AL731" s="259" t="str">
        <f>MATCH(B731,'Key Findings'!B:B,0)</f>
        <v>#N/A</v>
      </c>
      <c r="AM731" s="274" t="b">
        <f t="shared" si="2"/>
        <v>1</v>
      </c>
      <c r="AN731" s="294"/>
    </row>
    <row r="732">
      <c r="A732" s="169">
        <f t="array" ref="A732">INDEX('Federal Tax, Stock Buybacks, &amp; '!D:D,match(B732,'Federal Tax, Stock Buybacks, &amp; '!E:E,0))</f>
        <v>119</v>
      </c>
      <c r="B732" s="300" t="s">
        <v>1102</v>
      </c>
      <c r="C732" s="372"/>
      <c r="D732" s="370"/>
      <c r="E732" s="517"/>
      <c r="F732" s="254"/>
      <c r="G732" s="372"/>
      <c r="H732" s="370"/>
      <c r="I732" s="517"/>
      <c r="J732" s="254"/>
      <c r="K732" s="372" t="s">
        <v>711</v>
      </c>
      <c r="L732" s="370" t="s">
        <v>711</v>
      </c>
      <c r="M732" s="517" t="s">
        <v>711</v>
      </c>
      <c r="N732" s="254"/>
      <c r="O732" s="372" t="s">
        <v>711</v>
      </c>
      <c r="P732" s="370" t="s">
        <v>711</v>
      </c>
      <c r="Q732" s="517" t="s">
        <v>711</v>
      </c>
      <c r="R732" s="254"/>
      <c r="S732" s="372" t="s">
        <v>711</v>
      </c>
      <c r="T732" s="370" t="s">
        <v>711</v>
      </c>
      <c r="U732" s="517" t="s">
        <v>711</v>
      </c>
      <c r="V732" s="254"/>
      <c r="W732" s="372" t="s">
        <v>711</v>
      </c>
      <c r="X732" s="370" t="s">
        <v>711</v>
      </c>
      <c r="Y732" s="517" t="s">
        <v>711</v>
      </c>
      <c r="Z732" s="254"/>
      <c r="AA732" s="362" t="s">
        <v>1108</v>
      </c>
      <c r="AB732" s="363" t="s">
        <v>2351</v>
      </c>
      <c r="AC732" s="488">
        <v>4517876.0</v>
      </c>
      <c r="AD732" s="306"/>
      <c r="AE732" s="377"/>
      <c r="AF732" s="377"/>
      <c r="AG732" s="377"/>
      <c r="AH732" s="377"/>
      <c r="AI732" s="377"/>
      <c r="AJ732" s="368"/>
      <c r="AK732" s="274"/>
      <c r="AL732" s="259" t="str">
        <f>MATCH(B732,'Key Findings'!B:B,0)</f>
        <v>#N/A</v>
      </c>
      <c r="AM732" s="274" t="b">
        <f t="shared" si="2"/>
        <v>1</v>
      </c>
      <c r="AN732" s="294"/>
    </row>
    <row r="733">
      <c r="A733" s="169">
        <f t="array" ref="A733">INDEX('Federal Tax, Stock Buybacks, &amp; '!D:D,match(B733,'Federal Tax, Stock Buybacks, &amp; '!E:E,0))</f>
        <v>116</v>
      </c>
      <c r="B733" s="500" t="s">
        <v>1501</v>
      </c>
      <c r="C733" s="316"/>
      <c r="D733" s="286"/>
      <c r="E733" s="539"/>
      <c r="F733" s="254"/>
      <c r="G733" s="316"/>
      <c r="H733" s="286"/>
      <c r="I733" s="539"/>
      <c r="J733" s="254"/>
      <c r="K733" s="316" t="s">
        <v>1503</v>
      </c>
      <c r="L733" s="286" t="s">
        <v>2352</v>
      </c>
      <c r="M733" s="539">
        <v>4548911.0</v>
      </c>
      <c r="N733" s="254"/>
      <c r="O733" s="316" t="s">
        <v>1503</v>
      </c>
      <c r="P733" s="285" t="s">
        <v>2352</v>
      </c>
      <c r="Q733" s="540">
        <v>4274852.0</v>
      </c>
      <c r="R733" s="254"/>
      <c r="S733" s="316" t="s">
        <v>1504</v>
      </c>
      <c r="T733" s="295" t="s">
        <v>2353</v>
      </c>
      <c r="U733" s="471">
        <v>6571370.0</v>
      </c>
      <c r="V733" s="254"/>
      <c r="W733" s="316" t="s">
        <v>1505</v>
      </c>
      <c r="X733" s="295" t="s">
        <v>2354</v>
      </c>
      <c r="Y733" s="471">
        <v>8207073.0</v>
      </c>
      <c r="Z733" s="254"/>
      <c r="AA733" s="316" t="s">
        <v>1505</v>
      </c>
      <c r="AB733" s="334" t="s">
        <v>2355</v>
      </c>
      <c r="AC733" s="472">
        <v>1.3530086E7</v>
      </c>
      <c r="AD733" s="288"/>
      <c r="AE733" s="289">
        <v>2022.0</v>
      </c>
      <c r="AF733" s="289">
        <v>2021.0</v>
      </c>
      <c r="AG733" s="289">
        <v>2020.0</v>
      </c>
      <c r="AH733" s="289">
        <v>2019.0</v>
      </c>
      <c r="AI733" s="289">
        <v>2018.0</v>
      </c>
      <c r="AJ733" s="320" t="s">
        <v>1524</v>
      </c>
      <c r="AK733" s="260"/>
      <c r="AL733" s="259" t="str">
        <f>MATCH(B733,'Key Findings'!B:B,0)</f>
        <v>#N/A</v>
      </c>
      <c r="AM733" s="260" t="b">
        <f t="shared" si="2"/>
        <v>0</v>
      </c>
      <c r="AN733" s="294"/>
    </row>
    <row r="734">
      <c r="A734" s="169">
        <f t="array" ref="A734">INDEX('Federal Tax, Stock Buybacks, &amp; '!D:D,match(B734,'Federal Tax, Stock Buybacks, &amp; '!E:E,0))</f>
        <v>116</v>
      </c>
      <c r="B734" s="500" t="s">
        <v>1501</v>
      </c>
      <c r="C734" s="316"/>
      <c r="D734" s="286"/>
      <c r="E734" s="539"/>
      <c r="F734" s="254"/>
      <c r="G734" s="316"/>
      <c r="H734" s="286"/>
      <c r="I734" s="539"/>
      <c r="J734" s="254"/>
      <c r="K734" s="316" t="s">
        <v>1500</v>
      </c>
      <c r="L734" s="286" t="s">
        <v>2296</v>
      </c>
      <c r="M734" s="539">
        <v>1.4031387E7</v>
      </c>
      <c r="N734" s="254"/>
      <c r="O734" s="316" t="s">
        <v>1500</v>
      </c>
      <c r="P734" s="285" t="s">
        <v>2296</v>
      </c>
      <c r="Q734" s="540">
        <v>1.8200584E7</v>
      </c>
      <c r="R734" s="254"/>
      <c r="S734" s="316" t="s">
        <v>1503</v>
      </c>
      <c r="T734" s="295" t="s">
        <v>2356</v>
      </c>
      <c r="U734" s="471">
        <v>5825196.0</v>
      </c>
      <c r="V734" s="254"/>
      <c r="W734" s="316" t="s">
        <v>1509</v>
      </c>
      <c r="X734" s="295" t="s">
        <v>2357</v>
      </c>
      <c r="Y734" s="471">
        <v>4735012.0</v>
      </c>
      <c r="Z734" s="254"/>
      <c r="AA734" s="316" t="s">
        <v>1510</v>
      </c>
      <c r="AB734" s="334" t="s">
        <v>2358</v>
      </c>
      <c r="AC734" s="472">
        <v>6253185.0</v>
      </c>
      <c r="AD734" s="288"/>
      <c r="AE734" s="292"/>
      <c r="AF734" s="292"/>
      <c r="AG734" s="292"/>
      <c r="AH734" s="292"/>
      <c r="AI734" s="292"/>
      <c r="AJ734" s="394"/>
      <c r="AK734" s="260"/>
      <c r="AL734" s="259" t="str">
        <f>MATCH(B734,'Key Findings'!B:B,0)</f>
        <v>#N/A</v>
      </c>
      <c r="AM734" s="260" t="b">
        <f t="shared" si="2"/>
        <v>0</v>
      </c>
      <c r="AN734" s="294"/>
    </row>
    <row r="735">
      <c r="A735" s="169">
        <f t="array" ref="A735">INDEX('Federal Tax, Stock Buybacks, &amp; '!D:D,match(B735,'Federal Tax, Stock Buybacks, &amp; '!E:E,0))</f>
        <v>116</v>
      </c>
      <c r="B735" s="500" t="s">
        <v>1501</v>
      </c>
      <c r="C735" s="316"/>
      <c r="D735" s="286"/>
      <c r="E735" s="539"/>
      <c r="F735" s="254"/>
      <c r="G735" s="316"/>
      <c r="H735" s="286"/>
      <c r="I735" s="539"/>
      <c r="J735" s="254"/>
      <c r="K735" s="316" t="s">
        <v>1507</v>
      </c>
      <c r="L735" s="286" t="s">
        <v>2359</v>
      </c>
      <c r="M735" s="539">
        <v>4626154.0</v>
      </c>
      <c r="N735" s="254"/>
      <c r="O735" s="316" t="s">
        <v>1506</v>
      </c>
      <c r="P735" s="317" t="s">
        <v>2360</v>
      </c>
      <c r="Q735" s="540">
        <v>4166661.0</v>
      </c>
      <c r="R735" s="254"/>
      <c r="S735" s="316" t="s">
        <v>1500</v>
      </c>
      <c r="T735" s="285" t="s">
        <v>2296</v>
      </c>
      <c r="U735" s="471">
        <v>2.0700347E7</v>
      </c>
      <c r="V735" s="254"/>
      <c r="W735" s="316" t="s">
        <v>1508</v>
      </c>
      <c r="X735" s="295" t="s">
        <v>2361</v>
      </c>
      <c r="Y735" s="471">
        <v>5650968.0</v>
      </c>
      <c r="Z735" s="254"/>
      <c r="AA735" s="316" t="s">
        <v>1508</v>
      </c>
      <c r="AB735" s="334" t="s">
        <v>2361</v>
      </c>
      <c r="AC735" s="472">
        <v>5339351.0</v>
      </c>
      <c r="AD735" s="288"/>
      <c r="AE735" s="292"/>
      <c r="AF735" s="292"/>
      <c r="AG735" s="292"/>
      <c r="AH735" s="292"/>
      <c r="AI735" s="292"/>
      <c r="AJ735" s="394"/>
      <c r="AK735" s="260"/>
      <c r="AL735" s="259" t="str">
        <f>MATCH(B735,'Key Findings'!B:B,0)</f>
        <v>#N/A</v>
      </c>
      <c r="AM735" s="260" t="b">
        <f t="shared" si="2"/>
        <v>0</v>
      </c>
      <c r="AN735" s="294"/>
    </row>
    <row r="736">
      <c r="A736" s="169">
        <f t="array" ref="A736">INDEX('Federal Tax, Stock Buybacks, &amp; '!D:D,match(B736,'Federal Tax, Stock Buybacks, &amp; '!E:E,0))</f>
        <v>116</v>
      </c>
      <c r="B736" s="500" t="s">
        <v>1501</v>
      </c>
      <c r="C736" s="316"/>
      <c r="D736" s="286"/>
      <c r="E736" s="539"/>
      <c r="F736" s="254"/>
      <c r="G736" s="316"/>
      <c r="H736" s="286"/>
      <c r="I736" s="539"/>
      <c r="J736" s="254"/>
      <c r="K736" s="316" t="s">
        <v>1502</v>
      </c>
      <c r="L736" s="286" t="s">
        <v>2362</v>
      </c>
      <c r="M736" s="539">
        <v>7677163.0</v>
      </c>
      <c r="N736" s="254"/>
      <c r="O736" s="316" t="s">
        <v>1507</v>
      </c>
      <c r="P736" s="317" t="s">
        <v>2363</v>
      </c>
      <c r="Q736" s="541">
        <v>4216571.0</v>
      </c>
      <c r="R736" s="254"/>
      <c r="S736" s="316" t="s">
        <v>1507</v>
      </c>
      <c r="T736" s="295" t="s">
        <v>2364</v>
      </c>
      <c r="U736" s="471">
        <v>3427357.0</v>
      </c>
      <c r="V736" s="254"/>
      <c r="W736" s="316" t="s">
        <v>1504</v>
      </c>
      <c r="X736" s="295" t="s">
        <v>1647</v>
      </c>
      <c r="Y736" s="471">
        <v>7582996.0</v>
      </c>
      <c r="Z736" s="254"/>
      <c r="AA736" s="316" t="s">
        <v>1504</v>
      </c>
      <c r="AB736" s="334" t="s">
        <v>1647</v>
      </c>
      <c r="AC736" s="472">
        <v>7739464.0</v>
      </c>
      <c r="AD736" s="288"/>
      <c r="AE736" s="292"/>
      <c r="AF736" s="292"/>
      <c r="AG736" s="292"/>
      <c r="AH736" s="292"/>
      <c r="AI736" s="292"/>
      <c r="AJ736" s="394"/>
      <c r="AK736" s="260"/>
      <c r="AL736" s="259" t="str">
        <f>MATCH(B736,'Key Findings'!B:B,0)</f>
        <v>#N/A</v>
      </c>
      <c r="AM736" s="260" t="b">
        <f t="shared" si="2"/>
        <v>0</v>
      </c>
      <c r="AN736" s="294"/>
    </row>
    <row r="737">
      <c r="A737" s="169">
        <f t="array" ref="A737">INDEX('Federal Tax, Stock Buybacks, &amp; '!D:D,match(B737,'Federal Tax, Stock Buybacks, &amp; '!E:E,0))</f>
        <v>116</v>
      </c>
      <c r="B737" s="500" t="s">
        <v>1501</v>
      </c>
      <c r="C737" s="316"/>
      <c r="D737" s="286"/>
      <c r="E737" s="539"/>
      <c r="F737" s="254"/>
      <c r="G737" s="316"/>
      <c r="H737" s="286"/>
      <c r="I737" s="539"/>
      <c r="J737" s="254"/>
      <c r="K737" s="316" t="s">
        <v>1512</v>
      </c>
      <c r="L737" s="286" t="s">
        <v>2365</v>
      </c>
      <c r="M737" s="539">
        <v>5420237.0</v>
      </c>
      <c r="N737" s="254"/>
      <c r="O737" s="316" t="s">
        <v>1502</v>
      </c>
      <c r="P737" s="285" t="s">
        <v>2362</v>
      </c>
      <c r="Q737" s="541">
        <v>9416851.0</v>
      </c>
      <c r="R737" s="254"/>
      <c r="S737" s="316" t="s">
        <v>1513</v>
      </c>
      <c r="T737" s="295" t="s">
        <v>2366</v>
      </c>
      <c r="U737" s="471">
        <v>5204947.0</v>
      </c>
      <c r="V737" s="254"/>
      <c r="W737" s="316" t="s">
        <v>1503</v>
      </c>
      <c r="X737" s="295" t="s">
        <v>2356</v>
      </c>
      <c r="Y737" s="471">
        <v>5082462.0</v>
      </c>
      <c r="Z737" s="254"/>
      <c r="AA737" s="316" t="s">
        <v>1500</v>
      </c>
      <c r="AB737" s="334" t="s">
        <v>1523</v>
      </c>
      <c r="AC737" s="472">
        <v>1.2864739E7</v>
      </c>
      <c r="AD737" s="288"/>
      <c r="AE737" s="292"/>
      <c r="AF737" s="292"/>
      <c r="AG737" s="292"/>
      <c r="AH737" s="292"/>
      <c r="AI737" s="292"/>
      <c r="AJ737" s="394"/>
      <c r="AK737" s="260"/>
      <c r="AL737" s="259" t="str">
        <f>MATCH(B737,'Key Findings'!B:B,0)</f>
        <v>#N/A</v>
      </c>
      <c r="AM737" s="260" t="b">
        <f t="shared" si="2"/>
        <v>0</v>
      </c>
      <c r="AN737" s="294"/>
    </row>
    <row r="738">
      <c r="A738" s="169">
        <f t="array" ref="A738">INDEX('Federal Tax, Stock Buybacks, &amp; '!D:D,match(B738,'Federal Tax, Stock Buybacks, &amp; '!E:E,0))</f>
        <v>116</v>
      </c>
      <c r="B738" s="500" t="s">
        <v>1501</v>
      </c>
      <c r="C738" s="316"/>
      <c r="D738" s="286"/>
      <c r="E738" s="539"/>
      <c r="F738" s="254"/>
      <c r="G738" s="316"/>
      <c r="H738" s="286"/>
      <c r="I738" s="539"/>
      <c r="J738" s="254"/>
      <c r="K738" s="316" t="s">
        <v>1515</v>
      </c>
      <c r="L738" s="286" t="s">
        <v>2367</v>
      </c>
      <c r="M738" s="539">
        <v>4354066.0</v>
      </c>
      <c r="N738" s="254"/>
      <c r="O738" s="410" t="s">
        <v>711</v>
      </c>
      <c r="P738" s="486" t="s">
        <v>711</v>
      </c>
      <c r="Q738" s="558" t="s">
        <v>711</v>
      </c>
      <c r="R738" s="254"/>
      <c r="S738" s="316" t="s">
        <v>1502</v>
      </c>
      <c r="T738" s="295" t="s">
        <v>1647</v>
      </c>
      <c r="U738" s="471">
        <v>8024230.0</v>
      </c>
      <c r="V738" s="254"/>
      <c r="W738" s="316" t="s">
        <v>1500</v>
      </c>
      <c r="X738" s="295" t="s">
        <v>1620</v>
      </c>
      <c r="Y738" s="471">
        <v>1.8321566E7</v>
      </c>
      <c r="Z738" s="254"/>
      <c r="AA738" s="316" t="s">
        <v>1514</v>
      </c>
      <c r="AB738" s="334" t="s">
        <v>2368</v>
      </c>
      <c r="AC738" s="472">
        <v>4912660.0</v>
      </c>
      <c r="AD738" s="288"/>
      <c r="AE738" s="292"/>
      <c r="AF738" s="292"/>
      <c r="AG738" s="292"/>
      <c r="AH738" s="292"/>
      <c r="AI738" s="292"/>
      <c r="AJ738" s="394"/>
      <c r="AK738" s="260"/>
      <c r="AL738" s="259" t="str">
        <f>MATCH(B738,'Key Findings'!B:B,0)</f>
        <v>#N/A</v>
      </c>
      <c r="AM738" s="260" t="b">
        <f t="shared" si="2"/>
        <v>0</v>
      </c>
      <c r="AN738" s="294"/>
    </row>
    <row r="739">
      <c r="A739" s="169">
        <f t="array" ref="A739">INDEX('Federal Tax, Stock Buybacks, &amp; '!D:D,match(B739,'Federal Tax, Stock Buybacks, &amp; '!E:E,0))</f>
        <v>116</v>
      </c>
      <c r="B739" s="500" t="s">
        <v>1501</v>
      </c>
      <c r="C739" s="410"/>
      <c r="D739" s="486"/>
      <c r="E739" s="558"/>
      <c r="F739" s="254"/>
      <c r="G739" s="410"/>
      <c r="H739" s="486"/>
      <c r="I739" s="558"/>
      <c r="J739" s="254"/>
      <c r="K739" s="410" t="s">
        <v>711</v>
      </c>
      <c r="L739" s="486" t="s">
        <v>711</v>
      </c>
      <c r="M739" s="558" t="s">
        <v>711</v>
      </c>
      <c r="N739" s="254"/>
      <c r="O739" s="410" t="s">
        <v>711</v>
      </c>
      <c r="P739" s="486" t="s">
        <v>711</v>
      </c>
      <c r="Q739" s="558" t="s">
        <v>711</v>
      </c>
      <c r="R739" s="254"/>
      <c r="S739" s="316" t="s">
        <v>1506</v>
      </c>
      <c r="T739" s="515" t="s">
        <v>2360</v>
      </c>
      <c r="U739" s="559">
        <v>5324639.0</v>
      </c>
      <c r="V739" s="254"/>
      <c r="W739" s="316" t="s">
        <v>1506</v>
      </c>
      <c r="X739" s="515" t="s">
        <v>2360</v>
      </c>
      <c r="Y739" s="471">
        <v>4551675.0</v>
      </c>
      <c r="Z739" s="254"/>
      <c r="AA739" s="316" t="s">
        <v>1511</v>
      </c>
      <c r="AB739" s="334" t="s">
        <v>2369</v>
      </c>
      <c r="AC739" s="472">
        <v>5588663.0</v>
      </c>
      <c r="AD739" s="288"/>
      <c r="AE739" s="292"/>
      <c r="AF739" s="292"/>
      <c r="AG739" s="292"/>
      <c r="AH739" s="292"/>
      <c r="AI739" s="292"/>
      <c r="AJ739" s="394"/>
      <c r="AK739" s="260"/>
      <c r="AL739" s="259" t="str">
        <f>MATCH(B739,'Key Findings'!B:B,0)</f>
        <v>#N/A</v>
      </c>
      <c r="AM739" s="260" t="b">
        <f t="shared" si="2"/>
        <v>0</v>
      </c>
      <c r="AN739" s="294"/>
    </row>
    <row r="740">
      <c r="A740" s="169">
        <f t="array" ref="A740">INDEX('Federal Tax, Stock Buybacks, &amp; '!D:D,match(B740,'Federal Tax, Stock Buybacks, &amp; '!E:E,0))</f>
        <v>116</v>
      </c>
      <c r="B740" s="500" t="s">
        <v>1501</v>
      </c>
      <c r="C740" s="410"/>
      <c r="D740" s="486"/>
      <c r="E740" s="558"/>
      <c r="F740" s="254"/>
      <c r="G740" s="410"/>
      <c r="H740" s="486"/>
      <c r="I740" s="558"/>
      <c r="J740" s="254"/>
      <c r="K740" s="410" t="s">
        <v>711</v>
      </c>
      <c r="L740" s="486" t="s">
        <v>711</v>
      </c>
      <c r="M740" s="558" t="s">
        <v>711</v>
      </c>
      <c r="N740" s="254"/>
      <c r="O740" s="410" t="s">
        <v>711</v>
      </c>
      <c r="P740" s="486" t="s">
        <v>711</v>
      </c>
      <c r="Q740" s="558" t="s">
        <v>711</v>
      </c>
      <c r="R740" s="254"/>
      <c r="S740" s="410" t="s">
        <v>711</v>
      </c>
      <c r="T740" s="486" t="s">
        <v>711</v>
      </c>
      <c r="U740" s="558" t="s">
        <v>711</v>
      </c>
      <c r="V740" s="254"/>
      <c r="W740" s="410" t="s">
        <v>711</v>
      </c>
      <c r="X740" s="486" t="s">
        <v>711</v>
      </c>
      <c r="Y740" s="558" t="s">
        <v>711</v>
      </c>
      <c r="Z740" s="254"/>
      <c r="AA740" s="316" t="s">
        <v>1503</v>
      </c>
      <c r="AB740" s="295" t="s">
        <v>2356</v>
      </c>
      <c r="AC740" s="472">
        <v>3575451.0</v>
      </c>
      <c r="AD740" s="288"/>
      <c r="AE740" s="292"/>
      <c r="AF740" s="292"/>
      <c r="AG740" s="292"/>
      <c r="AH740" s="292"/>
      <c r="AI740" s="292"/>
      <c r="AJ740" s="394"/>
      <c r="AK740" s="260"/>
      <c r="AL740" s="259" t="str">
        <f>MATCH(B740,'Key Findings'!B:B,0)</f>
        <v>#N/A</v>
      </c>
      <c r="AM740" s="260" t="b">
        <f t="shared" si="2"/>
        <v>0</v>
      </c>
      <c r="AN740" s="294"/>
    </row>
    <row r="741">
      <c r="A741" s="169">
        <f t="array" ref="A741">INDEX('Federal Tax, Stock Buybacks, &amp; '!D:D,match(B741,'Federal Tax, Stock Buybacks, &amp; '!E:E,0))</f>
        <v>116</v>
      </c>
      <c r="B741" s="500" t="s">
        <v>1501</v>
      </c>
      <c r="C741" s="410"/>
      <c r="D741" s="486"/>
      <c r="E741" s="558"/>
      <c r="F741" s="254"/>
      <c r="G741" s="410"/>
      <c r="H741" s="486"/>
      <c r="I741" s="558"/>
      <c r="J741" s="254"/>
      <c r="K741" s="410" t="s">
        <v>711</v>
      </c>
      <c r="L741" s="486" t="s">
        <v>711</v>
      </c>
      <c r="M741" s="558" t="s">
        <v>711</v>
      </c>
      <c r="N741" s="254"/>
      <c r="O741" s="410" t="s">
        <v>711</v>
      </c>
      <c r="P741" s="486" t="s">
        <v>711</v>
      </c>
      <c r="Q741" s="558" t="s">
        <v>711</v>
      </c>
      <c r="R741" s="254"/>
      <c r="S741" s="410" t="s">
        <v>711</v>
      </c>
      <c r="T741" s="486" t="s">
        <v>711</v>
      </c>
      <c r="U741" s="558" t="s">
        <v>711</v>
      </c>
      <c r="V741" s="254"/>
      <c r="W741" s="410" t="s">
        <v>711</v>
      </c>
      <c r="X741" s="486" t="s">
        <v>711</v>
      </c>
      <c r="Y741" s="558" t="s">
        <v>711</v>
      </c>
      <c r="Z741" s="254"/>
      <c r="AA741" s="316" t="s">
        <v>1509</v>
      </c>
      <c r="AB741" s="334" t="s">
        <v>2357</v>
      </c>
      <c r="AC741" s="472">
        <v>4297387.0</v>
      </c>
      <c r="AD741" s="288"/>
      <c r="AE741" s="292"/>
      <c r="AF741" s="292"/>
      <c r="AG741" s="292"/>
      <c r="AH741" s="292"/>
      <c r="AI741" s="292"/>
      <c r="AJ741" s="394"/>
      <c r="AK741" s="260"/>
      <c r="AL741" s="259" t="str">
        <f>MATCH(B741,'Key Findings'!B:B,0)</f>
        <v>#N/A</v>
      </c>
      <c r="AM741" s="260" t="b">
        <f t="shared" si="2"/>
        <v>0</v>
      </c>
      <c r="AN741" s="294"/>
    </row>
    <row r="742">
      <c r="A742" s="169">
        <f t="array" ref="A742">INDEX('Federal Tax, Stock Buybacks, &amp; '!D:D,match(B742,'Federal Tax, Stock Buybacks, &amp; '!E:E,0))</f>
        <v>320</v>
      </c>
      <c r="B742" s="560" t="s">
        <v>1000</v>
      </c>
      <c r="C742" s="561"/>
      <c r="D742" s="562"/>
      <c r="E742" s="471"/>
      <c r="F742" s="254"/>
      <c r="G742" s="561"/>
      <c r="H742" s="562"/>
      <c r="I742" s="471"/>
      <c r="J742" s="254"/>
      <c r="K742" s="561" t="s">
        <v>999</v>
      </c>
      <c r="L742" s="562" t="s">
        <v>2001</v>
      </c>
      <c r="M742" s="471">
        <v>9615456.0</v>
      </c>
      <c r="N742" s="254"/>
      <c r="O742" s="316" t="s">
        <v>999</v>
      </c>
      <c r="P742" s="317" t="s">
        <v>1674</v>
      </c>
      <c r="Q742" s="471">
        <v>1.4016942E7</v>
      </c>
      <c r="R742" s="254"/>
      <c r="S742" s="316" t="s">
        <v>999</v>
      </c>
      <c r="T742" s="317" t="s">
        <v>1674</v>
      </c>
      <c r="U742" s="471">
        <v>1.4125279E7</v>
      </c>
      <c r="V742" s="254"/>
      <c r="W742" s="316" t="s">
        <v>999</v>
      </c>
      <c r="X742" s="317" t="s">
        <v>1674</v>
      </c>
      <c r="Y742" s="471">
        <v>1.6636674E7</v>
      </c>
      <c r="Z742" s="254"/>
      <c r="AA742" s="316" t="s">
        <v>999</v>
      </c>
      <c r="AB742" s="317" t="s">
        <v>1674</v>
      </c>
      <c r="AC742" s="472">
        <v>1.4271985E7</v>
      </c>
      <c r="AD742" s="288"/>
      <c r="AE742" s="391">
        <v>2022.0</v>
      </c>
      <c r="AF742" s="391">
        <v>2021.0</v>
      </c>
      <c r="AG742" s="391">
        <v>2020.0</v>
      </c>
      <c r="AH742" s="391">
        <v>2019.0</v>
      </c>
      <c r="AI742" s="391">
        <v>2018.0</v>
      </c>
      <c r="AJ742" s="290" t="s">
        <v>1524</v>
      </c>
      <c r="AK742" s="260"/>
      <c r="AL742" s="259" t="str">
        <f>MATCH(B742,'Key Findings'!B:B,0)</f>
        <v>#N/A</v>
      </c>
      <c r="AM742" s="260" t="b">
        <f t="shared" si="2"/>
        <v>0</v>
      </c>
      <c r="AN742" s="294"/>
    </row>
    <row r="743">
      <c r="A743" s="169">
        <f t="array" ref="A743">INDEX('Federal Tax, Stock Buybacks, &amp; '!D:D,match(B743,'Federal Tax, Stock Buybacks, &amp; '!E:E,0))</f>
        <v>320</v>
      </c>
      <c r="B743" s="560" t="s">
        <v>1000</v>
      </c>
      <c r="C743" s="561"/>
      <c r="D743" s="562"/>
      <c r="E743" s="471"/>
      <c r="F743" s="254"/>
      <c r="G743" s="561"/>
      <c r="H743" s="562"/>
      <c r="I743" s="471"/>
      <c r="J743" s="254"/>
      <c r="K743" s="561" t="s">
        <v>1001</v>
      </c>
      <c r="L743" s="562" t="s">
        <v>1588</v>
      </c>
      <c r="M743" s="471">
        <v>9770910.0</v>
      </c>
      <c r="N743" s="254"/>
      <c r="O743" s="561" t="s">
        <v>1001</v>
      </c>
      <c r="P743" s="562" t="s">
        <v>1649</v>
      </c>
      <c r="Q743" s="471">
        <v>4362800.0</v>
      </c>
      <c r="R743" s="254"/>
      <c r="S743" s="561" t="s">
        <v>1001</v>
      </c>
      <c r="T743" s="562" t="s">
        <v>1649</v>
      </c>
      <c r="U743" s="471">
        <v>4341785.0</v>
      </c>
      <c r="V743" s="254"/>
      <c r="W743" s="561" t="s">
        <v>1001</v>
      </c>
      <c r="X743" s="562" t="s">
        <v>1649</v>
      </c>
      <c r="Y743" s="471">
        <v>4744678.0</v>
      </c>
      <c r="Z743" s="254"/>
      <c r="AA743" s="561" t="s">
        <v>1001</v>
      </c>
      <c r="AB743" s="562" t="s">
        <v>1649</v>
      </c>
      <c r="AC743" s="472">
        <v>3926183.0</v>
      </c>
      <c r="AD743" s="288"/>
      <c r="AE743" s="292"/>
      <c r="AF743" s="292"/>
      <c r="AG743" s="292"/>
      <c r="AH743" s="292"/>
      <c r="AI743" s="292"/>
      <c r="AJ743" s="293"/>
      <c r="AK743" s="260"/>
      <c r="AL743" s="259" t="str">
        <f>MATCH(B743,'Key Findings'!B:B,0)</f>
        <v>#N/A</v>
      </c>
      <c r="AM743" s="260" t="b">
        <f t="shared" si="2"/>
        <v>0</v>
      </c>
      <c r="AN743" s="294"/>
    </row>
    <row r="744">
      <c r="A744" s="169">
        <f t="array" ref="A744">INDEX('Federal Tax, Stock Buybacks, &amp; '!D:D,match(B744,'Federal Tax, Stock Buybacks, &amp; '!E:E,0))</f>
        <v>320</v>
      </c>
      <c r="B744" s="560" t="s">
        <v>1000</v>
      </c>
      <c r="C744" s="561"/>
      <c r="D744" s="562"/>
      <c r="E744" s="471"/>
      <c r="F744" s="254"/>
      <c r="G744" s="561"/>
      <c r="H744" s="562"/>
      <c r="I744" s="471"/>
      <c r="J744" s="254"/>
      <c r="K744" s="561" t="s">
        <v>1004</v>
      </c>
      <c r="L744" s="562" t="s">
        <v>1585</v>
      </c>
      <c r="M744" s="471">
        <v>4902491.0</v>
      </c>
      <c r="N744" s="254"/>
      <c r="O744" s="561" t="s">
        <v>1004</v>
      </c>
      <c r="P744" s="562" t="s">
        <v>1585</v>
      </c>
      <c r="Q744" s="471">
        <v>3774977.0</v>
      </c>
      <c r="R744" s="254"/>
      <c r="S744" s="561" t="s">
        <v>1004</v>
      </c>
      <c r="T744" s="562" t="s">
        <v>1585</v>
      </c>
      <c r="U744" s="471">
        <v>2737397.0</v>
      </c>
      <c r="V744" s="254"/>
      <c r="W744" s="561" t="s">
        <v>1004</v>
      </c>
      <c r="X744" s="562" t="s">
        <v>1585</v>
      </c>
      <c r="Y744" s="471">
        <v>1584461.0</v>
      </c>
      <c r="Z744" s="254"/>
      <c r="AA744" s="561" t="s">
        <v>1002</v>
      </c>
      <c r="AB744" s="563" t="s">
        <v>1832</v>
      </c>
      <c r="AC744" s="472">
        <v>4507528.0</v>
      </c>
      <c r="AD744" s="288"/>
      <c r="AE744" s="292"/>
      <c r="AF744" s="292"/>
      <c r="AG744" s="292"/>
      <c r="AH744" s="292"/>
      <c r="AI744" s="292"/>
      <c r="AJ744" s="293"/>
      <c r="AK744" s="260"/>
      <c r="AL744" s="259" t="str">
        <f>MATCH(B744,'Key Findings'!B:B,0)</f>
        <v>#N/A</v>
      </c>
      <c r="AM744" s="260" t="b">
        <f t="shared" si="2"/>
        <v>0</v>
      </c>
      <c r="AN744" s="294"/>
    </row>
    <row r="745">
      <c r="A745" s="169">
        <f t="array" ref="A745">INDEX('Federal Tax, Stock Buybacks, &amp; '!D:D,match(B745,'Federal Tax, Stock Buybacks, &amp; '!E:E,0))</f>
        <v>320</v>
      </c>
      <c r="B745" s="560" t="s">
        <v>1000</v>
      </c>
      <c r="C745" s="561"/>
      <c r="D745" s="562"/>
      <c r="E745" s="471"/>
      <c r="F745" s="254"/>
      <c r="G745" s="561"/>
      <c r="H745" s="562"/>
      <c r="I745" s="471"/>
      <c r="J745" s="254"/>
      <c r="K745" s="561" t="s">
        <v>1002</v>
      </c>
      <c r="L745" s="562" t="s">
        <v>2370</v>
      </c>
      <c r="M745" s="471">
        <v>3750740.0</v>
      </c>
      <c r="N745" s="254"/>
      <c r="O745" s="561" t="s">
        <v>1002</v>
      </c>
      <c r="P745" s="563" t="s">
        <v>1832</v>
      </c>
      <c r="Q745" s="564">
        <v>4061989.0</v>
      </c>
      <c r="R745" s="254"/>
      <c r="S745" s="561" t="s">
        <v>1002</v>
      </c>
      <c r="T745" s="563" t="s">
        <v>1832</v>
      </c>
      <c r="U745" s="564">
        <v>2889628.0</v>
      </c>
      <c r="V745" s="254"/>
      <c r="W745" s="561" t="s">
        <v>1002</v>
      </c>
      <c r="X745" s="563" t="s">
        <v>1832</v>
      </c>
      <c r="Y745" s="471">
        <v>6208629.0</v>
      </c>
      <c r="Z745" s="254"/>
      <c r="AA745" s="316" t="s">
        <v>1006</v>
      </c>
      <c r="AB745" s="295" t="s">
        <v>2371</v>
      </c>
      <c r="AC745" s="472">
        <v>2658252.0</v>
      </c>
      <c r="AD745" s="288"/>
      <c r="AE745" s="292"/>
      <c r="AF745" s="292"/>
      <c r="AG745" s="292"/>
      <c r="AH745" s="292"/>
      <c r="AI745" s="292"/>
      <c r="AJ745" s="293"/>
      <c r="AK745" s="260"/>
      <c r="AL745" s="259" t="str">
        <f>MATCH(B745,'Key Findings'!B:B,0)</f>
        <v>#N/A</v>
      </c>
      <c r="AM745" s="260" t="b">
        <f t="shared" si="2"/>
        <v>0</v>
      </c>
      <c r="AN745" s="294"/>
    </row>
    <row r="746">
      <c r="A746" s="169">
        <f t="array" ref="A746">INDEX('Federal Tax, Stock Buybacks, &amp; '!D:D,match(B746,'Federal Tax, Stock Buybacks, &amp; '!E:E,0))</f>
        <v>320</v>
      </c>
      <c r="B746" s="560" t="s">
        <v>1000</v>
      </c>
      <c r="C746" s="561"/>
      <c r="D746" s="562"/>
      <c r="E746" s="471"/>
      <c r="F746" s="254"/>
      <c r="G746" s="561"/>
      <c r="H746" s="562"/>
      <c r="I746" s="471"/>
      <c r="J746" s="254"/>
      <c r="K746" s="561" t="s">
        <v>1007</v>
      </c>
      <c r="L746" s="562" t="s">
        <v>2372</v>
      </c>
      <c r="M746" s="471">
        <v>3580486.0</v>
      </c>
      <c r="N746" s="254"/>
      <c r="O746" s="561" t="s">
        <v>1007</v>
      </c>
      <c r="P746" s="562" t="s">
        <v>2372</v>
      </c>
      <c r="Q746" s="471">
        <v>4039148.0</v>
      </c>
      <c r="R746" s="254"/>
      <c r="S746" s="561" t="s">
        <v>1007</v>
      </c>
      <c r="T746" s="562" t="s">
        <v>2372</v>
      </c>
      <c r="U746" s="471">
        <v>3342198.0</v>
      </c>
      <c r="V746" s="254"/>
      <c r="W746" s="316" t="s">
        <v>1006</v>
      </c>
      <c r="X746" s="295" t="s">
        <v>2371</v>
      </c>
      <c r="Y746" s="471">
        <v>3360071.0</v>
      </c>
      <c r="Z746" s="254"/>
      <c r="AA746" s="316" t="s">
        <v>1003</v>
      </c>
      <c r="AB746" s="295" t="s">
        <v>1832</v>
      </c>
      <c r="AC746" s="472">
        <v>4856166.0</v>
      </c>
      <c r="AD746" s="288"/>
      <c r="AE746" s="292"/>
      <c r="AF746" s="292"/>
      <c r="AG746" s="292"/>
      <c r="AH746" s="292"/>
      <c r="AI746" s="292"/>
      <c r="AJ746" s="293"/>
      <c r="AK746" s="260"/>
      <c r="AL746" s="259" t="str">
        <f>MATCH(B746,'Key Findings'!B:B,0)</f>
        <v>#N/A</v>
      </c>
      <c r="AM746" s="260" t="b">
        <f t="shared" si="2"/>
        <v>0</v>
      </c>
      <c r="AN746" s="294"/>
    </row>
    <row r="747">
      <c r="A747" s="169">
        <f t="array" ref="A747">INDEX('Federal Tax, Stock Buybacks, &amp; '!D:D,match(B747,'Federal Tax, Stock Buybacks, &amp; '!E:E,0))</f>
        <v>320</v>
      </c>
      <c r="B747" s="560" t="s">
        <v>1000</v>
      </c>
      <c r="C747" s="561"/>
      <c r="D747" s="562"/>
      <c r="E747" s="471"/>
      <c r="F747" s="254"/>
      <c r="G747" s="561"/>
      <c r="H747" s="562"/>
      <c r="I747" s="471"/>
      <c r="J747" s="254"/>
      <c r="K747" s="561" t="s">
        <v>1005</v>
      </c>
      <c r="L747" s="562" t="s">
        <v>2373</v>
      </c>
      <c r="M747" s="471">
        <v>4723491.0</v>
      </c>
      <c r="N747" s="254"/>
      <c r="O747" s="561" t="s">
        <v>1005</v>
      </c>
      <c r="P747" s="562" t="s">
        <v>2373</v>
      </c>
      <c r="Q747" s="471">
        <v>4061989.0</v>
      </c>
      <c r="R747" s="254"/>
      <c r="S747" s="561" t="s">
        <v>1005</v>
      </c>
      <c r="T747" s="562" t="s">
        <v>2373</v>
      </c>
      <c r="U747" s="471">
        <v>2889628.0</v>
      </c>
      <c r="V747" s="254"/>
      <c r="W747" s="316" t="s">
        <v>1003</v>
      </c>
      <c r="X747" s="295" t="s">
        <v>1832</v>
      </c>
      <c r="Y747" s="471">
        <v>6098627.0</v>
      </c>
      <c r="Z747" s="254"/>
      <c r="AA747" s="298" t="s">
        <v>711</v>
      </c>
      <c r="AB747" s="296" t="s">
        <v>711</v>
      </c>
      <c r="AC747" s="523" t="s">
        <v>711</v>
      </c>
      <c r="AD747" s="288"/>
      <c r="AE747" s="292"/>
      <c r="AF747" s="292"/>
      <c r="AG747" s="292"/>
      <c r="AH747" s="292"/>
      <c r="AI747" s="292"/>
      <c r="AJ747" s="293"/>
      <c r="AK747" s="260"/>
      <c r="AL747" s="259" t="str">
        <f>MATCH(B747,'Key Findings'!B:B,0)</f>
        <v>#N/A</v>
      </c>
      <c r="AM747" s="260" t="b">
        <f t="shared" si="2"/>
        <v>0</v>
      </c>
      <c r="AN747" s="294"/>
    </row>
    <row r="748">
      <c r="A748" s="169">
        <f t="array" ref="A748">INDEX('Federal Tax, Stock Buybacks, &amp; '!D:D,match(B748,'Federal Tax, Stock Buybacks, &amp; '!E:E,0))</f>
        <v>320</v>
      </c>
      <c r="B748" s="560" t="s">
        <v>1000</v>
      </c>
      <c r="C748" s="298"/>
      <c r="D748" s="296"/>
      <c r="E748" s="523"/>
      <c r="F748" s="254"/>
      <c r="G748" s="298"/>
      <c r="H748" s="296"/>
      <c r="I748" s="523"/>
      <c r="J748" s="254"/>
      <c r="K748" s="298" t="s">
        <v>711</v>
      </c>
      <c r="L748" s="296" t="s">
        <v>711</v>
      </c>
      <c r="M748" s="523" t="s">
        <v>711</v>
      </c>
      <c r="N748" s="254"/>
      <c r="O748" s="298" t="s">
        <v>711</v>
      </c>
      <c r="P748" s="296" t="s">
        <v>711</v>
      </c>
      <c r="Q748" s="523" t="s">
        <v>711</v>
      </c>
      <c r="R748" s="254"/>
      <c r="S748" s="316" t="s">
        <v>1006</v>
      </c>
      <c r="T748" s="295" t="s">
        <v>2374</v>
      </c>
      <c r="U748" s="471">
        <v>5285197.0</v>
      </c>
      <c r="V748" s="254"/>
      <c r="W748" s="298" t="s">
        <v>711</v>
      </c>
      <c r="X748" s="296" t="s">
        <v>711</v>
      </c>
      <c r="Y748" s="523" t="s">
        <v>711</v>
      </c>
      <c r="Z748" s="254"/>
      <c r="AA748" s="298" t="s">
        <v>711</v>
      </c>
      <c r="AB748" s="296" t="s">
        <v>711</v>
      </c>
      <c r="AC748" s="523" t="s">
        <v>711</v>
      </c>
      <c r="AD748" s="288"/>
      <c r="AE748" s="292"/>
      <c r="AF748" s="292"/>
      <c r="AG748" s="292"/>
      <c r="AH748" s="292"/>
      <c r="AI748" s="292"/>
      <c r="AJ748" s="293"/>
      <c r="AK748" s="260"/>
      <c r="AL748" s="259" t="str">
        <f>MATCH(B748,'Key Findings'!B:B,0)</f>
        <v>#N/A</v>
      </c>
      <c r="AM748" s="260" t="b">
        <f t="shared" si="2"/>
        <v>0</v>
      </c>
      <c r="AN748" s="294"/>
    </row>
    <row r="749">
      <c r="A749" s="169">
        <f t="array" ref="A749">INDEX('Federal Tax, Stock Buybacks, &amp; '!D:D,match(B749,'Federal Tax, Stock Buybacks, &amp; '!E:E,0))</f>
        <v>320</v>
      </c>
      <c r="B749" s="560" t="s">
        <v>1000</v>
      </c>
      <c r="C749" s="298"/>
      <c r="D749" s="296"/>
      <c r="E749" s="523"/>
      <c r="F749" s="254"/>
      <c r="G749" s="298"/>
      <c r="H749" s="296"/>
      <c r="I749" s="523"/>
      <c r="J749" s="254"/>
      <c r="K749" s="298" t="s">
        <v>711</v>
      </c>
      <c r="L749" s="296" t="s">
        <v>711</v>
      </c>
      <c r="M749" s="523" t="s">
        <v>711</v>
      </c>
      <c r="N749" s="254"/>
      <c r="O749" s="298" t="s">
        <v>711</v>
      </c>
      <c r="P749" s="296" t="s">
        <v>711</v>
      </c>
      <c r="Q749" s="523" t="s">
        <v>711</v>
      </c>
      <c r="R749" s="254"/>
      <c r="S749" s="316" t="s">
        <v>1003</v>
      </c>
      <c r="T749" s="295" t="s">
        <v>2370</v>
      </c>
      <c r="U749" s="471">
        <v>5262835.0</v>
      </c>
      <c r="V749" s="254"/>
      <c r="W749" s="298" t="s">
        <v>711</v>
      </c>
      <c r="X749" s="296" t="s">
        <v>711</v>
      </c>
      <c r="Y749" s="523" t="s">
        <v>711</v>
      </c>
      <c r="Z749" s="254"/>
      <c r="AA749" s="298" t="s">
        <v>711</v>
      </c>
      <c r="AB749" s="296" t="s">
        <v>711</v>
      </c>
      <c r="AC749" s="523" t="s">
        <v>711</v>
      </c>
      <c r="AD749" s="288"/>
      <c r="AE749" s="292"/>
      <c r="AF749" s="292"/>
      <c r="AG749" s="292"/>
      <c r="AH749" s="292"/>
      <c r="AI749" s="292"/>
      <c r="AJ749" s="293"/>
      <c r="AK749" s="260"/>
      <c r="AL749" s="259" t="str">
        <f>MATCH(B749,'Key Findings'!B:B,0)</f>
        <v>#N/A</v>
      </c>
      <c r="AM749" s="260" t="b">
        <f t="shared" si="2"/>
        <v>0</v>
      </c>
      <c r="AN749" s="294"/>
    </row>
    <row r="750">
      <c r="A750" s="169">
        <f t="array" ref="A750">INDEX('Federal Tax, Stock Buybacks, &amp; '!D:D,match(B750,'Federal Tax, Stock Buybacks, &amp; '!E:E,0))</f>
        <v>105</v>
      </c>
      <c r="B750" s="397" t="s">
        <v>1192</v>
      </c>
      <c r="C750" s="398"/>
      <c r="D750" s="414"/>
      <c r="E750" s="550"/>
      <c r="F750" s="254"/>
      <c r="G750" s="398"/>
      <c r="H750" s="414"/>
      <c r="I750" s="550"/>
      <c r="J750" s="254"/>
      <c r="K750" s="398" t="s">
        <v>1191</v>
      </c>
      <c r="L750" s="414" t="s">
        <v>1674</v>
      </c>
      <c r="M750" s="550">
        <v>2.1478167E7</v>
      </c>
      <c r="N750" s="254"/>
      <c r="O750" s="398" t="s">
        <v>1191</v>
      </c>
      <c r="P750" s="414" t="s">
        <v>1674</v>
      </c>
      <c r="Q750" s="552">
        <v>2.3553862E7</v>
      </c>
      <c r="R750" s="254"/>
      <c r="S750" s="398" t="s">
        <v>1191</v>
      </c>
      <c r="T750" s="414" t="s">
        <v>1674</v>
      </c>
      <c r="U750" s="499">
        <v>1.9328499E7</v>
      </c>
      <c r="V750" s="254"/>
      <c r="W750" s="398" t="s">
        <v>1191</v>
      </c>
      <c r="X750" s="414" t="s">
        <v>1674</v>
      </c>
      <c r="Y750" s="499">
        <v>1.8313204E7</v>
      </c>
      <c r="Z750" s="254"/>
      <c r="AA750" s="398" t="s">
        <v>1191</v>
      </c>
      <c r="AB750" s="414" t="s">
        <v>1674</v>
      </c>
      <c r="AC750" s="488">
        <v>2.0720254E7</v>
      </c>
      <c r="AD750" s="306"/>
      <c r="AE750" s="307">
        <v>2022.0</v>
      </c>
      <c r="AF750" s="307">
        <v>2021.0</v>
      </c>
      <c r="AG750" s="307">
        <v>2020.0</v>
      </c>
      <c r="AH750" s="307">
        <v>2019.0</v>
      </c>
      <c r="AI750" s="307">
        <v>2018.0</v>
      </c>
      <c r="AJ750" s="273" t="s">
        <v>1524</v>
      </c>
      <c r="AK750" s="274"/>
      <c r="AL750" s="259" t="str">
        <f>MATCH(B750,'Key Findings'!B:B,0)</f>
        <v>#N/A</v>
      </c>
      <c r="AM750" s="274" t="b">
        <f t="shared" si="2"/>
        <v>1</v>
      </c>
      <c r="AN750" s="294"/>
    </row>
    <row r="751">
      <c r="A751" s="169">
        <f t="array" ref="A751">INDEX('Federal Tax, Stock Buybacks, &amp; '!D:D,match(B751,'Federal Tax, Stock Buybacks, &amp; '!E:E,0))</f>
        <v>105</v>
      </c>
      <c r="B751" s="397" t="s">
        <v>1192</v>
      </c>
      <c r="C751" s="398"/>
      <c r="D751" s="401"/>
      <c r="E751" s="550"/>
      <c r="F751" s="254"/>
      <c r="G751" s="398"/>
      <c r="H751" s="401"/>
      <c r="I751" s="550"/>
      <c r="J751" s="254"/>
      <c r="K751" s="398" t="s">
        <v>1194</v>
      </c>
      <c r="L751" s="401" t="s">
        <v>2375</v>
      </c>
      <c r="M751" s="550">
        <v>5760136.0</v>
      </c>
      <c r="N751" s="254"/>
      <c r="O751" s="398" t="s">
        <v>1194</v>
      </c>
      <c r="P751" s="401" t="s">
        <v>2375</v>
      </c>
      <c r="Q751" s="552">
        <v>6025077.0</v>
      </c>
      <c r="R751" s="254"/>
      <c r="S751" s="398" t="s">
        <v>1194</v>
      </c>
      <c r="T751" s="401" t="s">
        <v>2375</v>
      </c>
      <c r="U751" s="499">
        <v>5348172.0</v>
      </c>
      <c r="V751" s="254"/>
      <c r="W751" s="398" t="s">
        <v>1194</v>
      </c>
      <c r="X751" s="401" t="s">
        <v>2375</v>
      </c>
      <c r="Y751" s="499">
        <v>5306674.0</v>
      </c>
      <c r="Z751" s="254"/>
      <c r="AA751" s="398" t="s">
        <v>1194</v>
      </c>
      <c r="AB751" s="401" t="s">
        <v>2375</v>
      </c>
      <c r="AC751" s="488">
        <v>5380934.0</v>
      </c>
      <c r="AD751" s="306"/>
      <c r="AE751" s="308"/>
      <c r="AF751" s="308"/>
      <c r="AG751" s="308"/>
      <c r="AH751" s="308"/>
      <c r="AI751" s="308"/>
      <c r="AJ751" s="278"/>
      <c r="AK751" s="274"/>
      <c r="AL751" s="259" t="str">
        <f>MATCH(B751,'Key Findings'!B:B,0)</f>
        <v>#N/A</v>
      </c>
      <c r="AM751" s="274" t="b">
        <f t="shared" si="2"/>
        <v>1</v>
      </c>
      <c r="AN751" s="294"/>
    </row>
    <row r="752">
      <c r="A752" s="169">
        <f t="array" ref="A752">INDEX('Federal Tax, Stock Buybacks, &amp; '!D:D,match(B752,'Federal Tax, Stock Buybacks, &amp; '!E:E,0))</f>
        <v>105</v>
      </c>
      <c r="B752" s="397" t="s">
        <v>1192</v>
      </c>
      <c r="C752" s="398"/>
      <c r="D752" s="414"/>
      <c r="E752" s="550"/>
      <c r="F752" s="254"/>
      <c r="G752" s="398"/>
      <c r="H752" s="414"/>
      <c r="I752" s="550"/>
      <c r="J752" s="254"/>
      <c r="K752" s="398" t="s">
        <v>1193</v>
      </c>
      <c r="L752" s="414" t="s">
        <v>2376</v>
      </c>
      <c r="M752" s="550">
        <v>6901579.0</v>
      </c>
      <c r="N752" s="254"/>
      <c r="O752" s="398" t="s">
        <v>1193</v>
      </c>
      <c r="P752" s="401" t="s">
        <v>1647</v>
      </c>
      <c r="Q752" s="552">
        <v>7580239.0</v>
      </c>
      <c r="R752" s="254"/>
      <c r="S752" s="398" t="s">
        <v>1193</v>
      </c>
      <c r="T752" s="401" t="s">
        <v>1647</v>
      </c>
      <c r="U752" s="499">
        <v>6176520.0</v>
      </c>
      <c r="V752" s="254"/>
      <c r="W752" s="398" t="s">
        <v>1193</v>
      </c>
      <c r="X752" s="401" t="s">
        <v>1647</v>
      </c>
      <c r="Y752" s="499">
        <v>5123309.0</v>
      </c>
      <c r="Z752" s="254"/>
      <c r="AA752" s="398" t="s">
        <v>1197</v>
      </c>
      <c r="AB752" s="302" t="s">
        <v>2377</v>
      </c>
      <c r="AC752" s="488">
        <v>5421161.0</v>
      </c>
      <c r="AD752" s="306"/>
      <c r="AE752" s="308"/>
      <c r="AF752" s="308"/>
      <c r="AG752" s="308"/>
      <c r="AH752" s="308"/>
      <c r="AI752" s="308"/>
      <c r="AJ752" s="278"/>
      <c r="AK752" s="274"/>
      <c r="AL752" s="259" t="str">
        <f>MATCH(B752,'Key Findings'!B:B,0)</f>
        <v>#N/A</v>
      </c>
      <c r="AM752" s="274" t="b">
        <f t="shared" si="2"/>
        <v>1</v>
      </c>
      <c r="AN752" s="294"/>
    </row>
    <row r="753">
      <c r="A753" s="169">
        <f t="array" ref="A753">INDEX('Federal Tax, Stock Buybacks, &amp; '!D:D,match(B753,'Federal Tax, Stock Buybacks, &amp; '!E:E,0))</f>
        <v>105</v>
      </c>
      <c r="B753" s="397" t="s">
        <v>1192</v>
      </c>
      <c r="C753" s="398"/>
      <c r="D753" s="365"/>
      <c r="E753" s="550"/>
      <c r="F753" s="254"/>
      <c r="G753" s="398"/>
      <c r="H753" s="365"/>
      <c r="I753" s="550"/>
      <c r="J753" s="254"/>
      <c r="K753" s="398" t="s">
        <v>1195</v>
      </c>
      <c r="L753" s="365" t="s">
        <v>2378</v>
      </c>
      <c r="M753" s="550">
        <v>6269571.0</v>
      </c>
      <c r="N753" s="254"/>
      <c r="O753" s="398" t="s">
        <v>1195</v>
      </c>
      <c r="P753" s="364" t="s">
        <v>2378</v>
      </c>
      <c r="Q753" s="552">
        <v>6295420.0</v>
      </c>
      <c r="R753" s="254"/>
      <c r="S753" s="398" t="s">
        <v>1195</v>
      </c>
      <c r="T753" s="364" t="s">
        <v>2378</v>
      </c>
      <c r="U753" s="499">
        <v>4657673.0</v>
      </c>
      <c r="V753" s="254"/>
      <c r="W753" s="398" t="s">
        <v>1199</v>
      </c>
      <c r="X753" s="414" t="s">
        <v>1705</v>
      </c>
      <c r="Y753" s="499">
        <v>4209491.0</v>
      </c>
      <c r="Z753" s="254"/>
      <c r="AA753" s="398" t="s">
        <v>1193</v>
      </c>
      <c r="AB753" s="414" t="s">
        <v>1647</v>
      </c>
      <c r="AC753" s="488">
        <v>5471030.0</v>
      </c>
      <c r="AD753" s="306"/>
      <c r="AE753" s="308"/>
      <c r="AF753" s="308"/>
      <c r="AG753" s="308"/>
      <c r="AH753" s="308"/>
      <c r="AI753" s="308"/>
      <c r="AJ753" s="278"/>
      <c r="AK753" s="274"/>
      <c r="AL753" s="259" t="str">
        <f>MATCH(B753,'Key Findings'!B:B,0)</f>
        <v>#N/A</v>
      </c>
      <c r="AM753" s="274" t="b">
        <f t="shared" si="2"/>
        <v>1</v>
      </c>
      <c r="AN753" s="294"/>
    </row>
    <row r="754">
      <c r="A754" s="169">
        <f t="array" ref="A754">INDEX('Federal Tax, Stock Buybacks, &amp; '!D:D,match(B754,'Federal Tax, Stock Buybacks, &amp; '!E:E,0))</f>
        <v>105</v>
      </c>
      <c r="B754" s="397" t="s">
        <v>1192</v>
      </c>
      <c r="C754" s="398"/>
      <c r="D754" s="414"/>
      <c r="E754" s="550"/>
      <c r="F754" s="254"/>
      <c r="G754" s="398"/>
      <c r="H754" s="414"/>
      <c r="I754" s="550"/>
      <c r="J754" s="254"/>
      <c r="K754" s="398" t="s">
        <v>1196</v>
      </c>
      <c r="L754" s="414" t="s">
        <v>2377</v>
      </c>
      <c r="M754" s="550">
        <v>5955715.0</v>
      </c>
      <c r="N754" s="254"/>
      <c r="O754" s="398" t="s">
        <v>1196</v>
      </c>
      <c r="P754" s="414" t="s">
        <v>2377</v>
      </c>
      <c r="Q754" s="552">
        <v>6104373.0</v>
      </c>
      <c r="R754" s="254"/>
      <c r="S754" s="398" t="s">
        <v>1196</v>
      </c>
      <c r="T754" s="369" t="s">
        <v>2377</v>
      </c>
      <c r="U754" s="499">
        <v>4993023.0</v>
      </c>
      <c r="V754" s="254"/>
      <c r="W754" s="398" t="s">
        <v>1195</v>
      </c>
      <c r="X754" s="364" t="s">
        <v>2378</v>
      </c>
      <c r="Y754" s="499">
        <v>4372485.0</v>
      </c>
      <c r="Z754" s="254"/>
      <c r="AA754" s="398" t="s">
        <v>1198</v>
      </c>
      <c r="AB754" s="302" t="s">
        <v>2379</v>
      </c>
      <c r="AC754" s="488">
        <v>4987829.0</v>
      </c>
      <c r="AD754" s="306"/>
      <c r="AE754" s="308"/>
      <c r="AF754" s="308"/>
      <c r="AG754" s="308"/>
      <c r="AH754" s="308"/>
      <c r="AI754" s="308"/>
      <c r="AJ754" s="278"/>
      <c r="AK754" s="274"/>
      <c r="AL754" s="259" t="str">
        <f>MATCH(B754,'Key Findings'!B:B,0)</f>
        <v>#N/A</v>
      </c>
      <c r="AM754" s="274" t="b">
        <f t="shared" si="2"/>
        <v>1</v>
      </c>
      <c r="AN754" s="294"/>
    </row>
    <row r="755">
      <c r="A755" s="169">
        <f t="array" ref="A755">INDEX('Federal Tax, Stock Buybacks, &amp; '!D:D,match(B755,'Federal Tax, Stock Buybacks, &amp; '!E:E,0))</f>
        <v>42</v>
      </c>
      <c r="B755" s="500" t="s">
        <v>1152</v>
      </c>
      <c r="C755" s="405"/>
      <c r="D755" s="494"/>
      <c r="E755" s="472"/>
      <c r="F755" s="254"/>
      <c r="G755" s="405"/>
      <c r="H755" s="494"/>
      <c r="I755" s="472"/>
      <c r="J755" s="254"/>
      <c r="K755" s="405" t="s">
        <v>1151</v>
      </c>
      <c r="L755" s="494" t="s">
        <v>1588</v>
      </c>
      <c r="M755" s="472">
        <v>1.7198844E7</v>
      </c>
      <c r="N755" s="254"/>
      <c r="O755" s="405" t="s">
        <v>1151</v>
      </c>
      <c r="P755" s="501" t="s">
        <v>1588</v>
      </c>
      <c r="Q755" s="472">
        <v>1.6528036E7</v>
      </c>
      <c r="R755" s="254"/>
      <c r="S755" s="405" t="s">
        <v>1151</v>
      </c>
      <c r="T755" s="501" t="s">
        <v>1588</v>
      </c>
      <c r="U755" s="472">
        <v>1.6489639E7</v>
      </c>
      <c r="V755" s="254"/>
      <c r="W755" s="405" t="s">
        <v>1151</v>
      </c>
      <c r="X755" s="501" t="s">
        <v>1588</v>
      </c>
      <c r="Y755" s="472">
        <v>1.6726455E7</v>
      </c>
      <c r="Z755" s="254"/>
      <c r="AA755" s="405" t="s">
        <v>1151</v>
      </c>
      <c r="AB755" s="501" t="s">
        <v>1588</v>
      </c>
      <c r="AC755" s="472">
        <v>1.6312517E7</v>
      </c>
      <c r="AD755" s="407"/>
      <c r="AE755" s="331">
        <v>2022.0</v>
      </c>
      <c r="AF755" s="331">
        <v>2021.0</v>
      </c>
      <c r="AG755" s="331">
        <v>2020.0</v>
      </c>
      <c r="AH755" s="331">
        <v>2019.0</v>
      </c>
      <c r="AI755" s="331">
        <v>2018.0</v>
      </c>
      <c r="AJ755" s="290" t="s">
        <v>1524</v>
      </c>
      <c r="AK755" s="260"/>
      <c r="AL755" s="259" t="str">
        <f>MATCH(B755,'Key Findings'!B:B,0)</f>
        <v>#N/A</v>
      </c>
      <c r="AM755" s="260" t="b">
        <f t="shared" si="2"/>
        <v>0</v>
      </c>
      <c r="AN755" s="294"/>
    </row>
    <row r="756">
      <c r="A756" s="169">
        <f t="array" ref="A756">INDEX('Federal Tax, Stock Buybacks, &amp; '!D:D,match(B756,'Federal Tax, Stock Buybacks, &amp; '!E:E,0))</f>
        <v>42</v>
      </c>
      <c r="B756" s="500" t="s">
        <v>1152</v>
      </c>
      <c r="C756" s="405"/>
      <c r="D756" s="501"/>
      <c r="E756" s="472"/>
      <c r="F756" s="254"/>
      <c r="G756" s="405"/>
      <c r="H756" s="501"/>
      <c r="I756" s="472"/>
      <c r="J756" s="254"/>
      <c r="K756" s="405" t="s">
        <v>1158</v>
      </c>
      <c r="L756" s="501" t="s">
        <v>2380</v>
      </c>
      <c r="M756" s="472">
        <v>3734570.0</v>
      </c>
      <c r="N756" s="254"/>
      <c r="O756" s="405" t="s">
        <v>1155</v>
      </c>
      <c r="P756" s="495" t="s">
        <v>2338</v>
      </c>
      <c r="Q756" s="472">
        <v>3502023.0</v>
      </c>
      <c r="R756" s="254"/>
      <c r="S756" s="405" t="s">
        <v>1155</v>
      </c>
      <c r="T756" s="495" t="s">
        <v>2338</v>
      </c>
      <c r="U756" s="472">
        <v>3472435.0</v>
      </c>
      <c r="V756" s="254"/>
      <c r="W756" s="405" t="s">
        <v>1155</v>
      </c>
      <c r="X756" s="495" t="s">
        <v>2338</v>
      </c>
      <c r="Y756" s="472">
        <v>3510125.0</v>
      </c>
      <c r="Z756" s="254"/>
      <c r="AA756" s="405" t="s">
        <v>1160</v>
      </c>
      <c r="AB756" s="495" t="s">
        <v>2381</v>
      </c>
      <c r="AC756" s="472">
        <v>3204946.0</v>
      </c>
      <c r="AD756" s="407"/>
      <c r="AE756" s="409"/>
      <c r="AF756" s="410"/>
      <c r="AG756" s="410"/>
      <c r="AH756" s="410"/>
      <c r="AI756" s="410"/>
      <c r="AJ756" s="293"/>
      <c r="AK756" s="260"/>
      <c r="AL756" s="259" t="str">
        <f>MATCH(B756,'Key Findings'!B:B,0)</f>
        <v>#N/A</v>
      </c>
      <c r="AM756" s="260" t="b">
        <f t="shared" si="2"/>
        <v>0</v>
      </c>
      <c r="AN756" s="294"/>
    </row>
    <row r="757">
      <c r="A757" s="169">
        <f t="array" ref="A757">INDEX('Federal Tax, Stock Buybacks, &amp; '!D:D,match(B757,'Federal Tax, Stock Buybacks, &amp; '!E:E,0))</f>
        <v>42</v>
      </c>
      <c r="B757" s="500" t="s">
        <v>1152</v>
      </c>
      <c r="C757" s="405"/>
      <c r="D757" s="501"/>
      <c r="E757" s="472"/>
      <c r="F757" s="254"/>
      <c r="G757" s="405"/>
      <c r="H757" s="501"/>
      <c r="I757" s="472"/>
      <c r="J757" s="254"/>
      <c r="K757" s="405" t="s">
        <v>1154</v>
      </c>
      <c r="L757" s="501" t="s">
        <v>2382</v>
      </c>
      <c r="M757" s="472">
        <v>4472138.0</v>
      </c>
      <c r="N757" s="254"/>
      <c r="O757" s="405" t="s">
        <v>1153</v>
      </c>
      <c r="P757" s="495" t="s">
        <v>1528</v>
      </c>
      <c r="Q757" s="472">
        <v>5562172.0</v>
      </c>
      <c r="R757" s="254"/>
      <c r="S757" s="405" t="s">
        <v>1153</v>
      </c>
      <c r="T757" s="501" t="s">
        <v>1532</v>
      </c>
      <c r="U757" s="472">
        <v>5543558.0</v>
      </c>
      <c r="V757" s="254"/>
      <c r="W757" s="405" t="s">
        <v>1153</v>
      </c>
      <c r="X757" s="495" t="s">
        <v>1532</v>
      </c>
      <c r="Y757" s="472">
        <v>5381124.0</v>
      </c>
      <c r="Z757" s="254"/>
      <c r="AA757" s="405" t="s">
        <v>1155</v>
      </c>
      <c r="AB757" s="501" t="s">
        <v>2383</v>
      </c>
      <c r="AC757" s="472">
        <v>3313436.0</v>
      </c>
      <c r="AD757" s="407"/>
      <c r="AE757" s="409"/>
      <c r="AF757" s="410"/>
      <c r="AG757" s="410"/>
      <c r="AH757" s="410"/>
      <c r="AI757" s="410"/>
      <c r="AJ757" s="293"/>
      <c r="AK757" s="260"/>
      <c r="AL757" s="259" t="str">
        <f>MATCH(B757,'Key Findings'!B:B,0)</f>
        <v>#N/A</v>
      </c>
      <c r="AM757" s="260" t="b">
        <f t="shared" si="2"/>
        <v>0</v>
      </c>
      <c r="AN757" s="294"/>
    </row>
    <row r="758">
      <c r="A758" s="169">
        <f t="array" ref="A758">INDEX('Federal Tax, Stock Buybacks, &amp; '!D:D,match(B758,'Federal Tax, Stock Buybacks, &amp; '!E:E,0))</f>
        <v>42</v>
      </c>
      <c r="B758" s="500" t="s">
        <v>1152</v>
      </c>
      <c r="C758" s="405"/>
      <c r="D758" s="501"/>
      <c r="E758" s="472"/>
      <c r="F758" s="254"/>
      <c r="G758" s="405"/>
      <c r="H758" s="501"/>
      <c r="I758" s="472"/>
      <c r="J758" s="254"/>
      <c r="K758" s="405" t="s">
        <v>1157</v>
      </c>
      <c r="L758" s="501" t="s">
        <v>1532</v>
      </c>
      <c r="M758" s="472">
        <v>4810998.0</v>
      </c>
      <c r="N758" s="254"/>
      <c r="O758" s="405" t="s">
        <v>1156</v>
      </c>
      <c r="P758" s="495" t="s">
        <v>2384</v>
      </c>
      <c r="Q758" s="472">
        <v>3207357.0</v>
      </c>
      <c r="R758" s="254"/>
      <c r="S758" s="405" t="s">
        <v>1156</v>
      </c>
      <c r="T758" s="501" t="s">
        <v>2385</v>
      </c>
      <c r="U758" s="472">
        <v>3314065.0</v>
      </c>
      <c r="V758" s="254"/>
      <c r="W758" s="405" t="s">
        <v>1156</v>
      </c>
      <c r="X758" s="501" t="s">
        <v>2385</v>
      </c>
      <c r="Y758" s="472">
        <v>3495998.0</v>
      </c>
      <c r="Z758" s="254"/>
      <c r="AA758" s="405" t="s">
        <v>1153</v>
      </c>
      <c r="AB758" s="501" t="s">
        <v>1532</v>
      </c>
      <c r="AC758" s="472">
        <v>5005025.0</v>
      </c>
      <c r="AD758" s="407"/>
      <c r="AE758" s="409"/>
      <c r="AF758" s="410"/>
      <c r="AG758" s="410"/>
      <c r="AH758" s="410"/>
      <c r="AI758" s="410"/>
      <c r="AJ758" s="293"/>
      <c r="AK758" s="260"/>
      <c r="AL758" s="259" t="str">
        <f>MATCH(B758,'Key Findings'!B:B,0)</f>
        <v>#N/A</v>
      </c>
      <c r="AM758" s="260" t="b">
        <f t="shared" si="2"/>
        <v>0</v>
      </c>
      <c r="AN758" s="294"/>
    </row>
    <row r="759">
      <c r="A759" s="169">
        <f t="array" ref="A759">INDEX('Federal Tax, Stock Buybacks, &amp; '!D:D,match(B759,'Federal Tax, Stock Buybacks, &amp; '!E:E,0))</f>
        <v>42</v>
      </c>
      <c r="B759" s="500" t="s">
        <v>1152</v>
      </c>
      <c r="C759" s="405"/>
      <c r="D759" s="494"/>
      <c r="E759" s="472"/>
      <c r="F759" s="254"/>
      <c r="G759" s="405"/>
      <c r="H759" s="494"/>
      <c r="I759" s="472"/>
      <c r="J759" s="254"/>
      <c r="K759" s="405" t="s">
        <v>1159</v>
      </c>
      <c r="L759" s="494" t="s">
        <v>1554</v>
      </c>
      <c r="M759" s="472">
        <v>3598797.0</v>
      </c>
      <c r="N759" s="254"/>
      <c r="O759" s="405" t="s">
        <v>1154</v>
      </c>
      <c r="P759" s="501" t="s">
        <v>2382</v>
      </c>
      <c r="Q759" s="472">
        <v>4222224.0</v>
      </c>
      <c r="R759" s="254"/>
      <c r="S759" s="405" t="s">
        <v>1154</v>
      </c>
      <c r="T759" s="501" t="s">
        <v>2382</v>
      </c>
      <c r="U759" s="472">
        <v>4080206.0</v>
      </c>
      <c r="V759" s="254"/>
      <c r="W759" s="405" t="s">
        <v>1154</v>
      </c>
      <c r="X759" s="501" t="s">
        <v>2382</v>
      </c>
      <c r="Y759" s="472">
        <v>3841589.0</v>
      </c>
      <c r="Z759" s="254"/>
      <c r="AA759" s="405" t="s">
        <v>1156</v>
      </c>
      <c r="AB759" s="501" t="s">
        <v>2386</v>
      </c>
      <c r="AC759" s="472">
        <v>3156678.0</v>
      </c>
      <c r="AD759" s="407"/>
      <c r="AE759" s="409"/>
      <c r="AF759" s="410"/>
      <c r="AG759" s="410"/>
      <c r="AH759" s="410"/>
      <c r="AI759" s="410"/>
      <c r="AJ759" s="293"/>
      <c r="AK759" s="260"/>
      <c r="AL759" s="259" t="str">
        <f>MATCH(B759,'Key Findings'!B:B,0)</f>
        <v>#N/A</v>
      </c>
      <c r="AM759" s="260" t="b">
        <f t="shared" si="2"/>
        <v>0</v>
      </c>
      <c r="AN759" s="294"/>
    </row>
    <row r="760">
      <c r="A760" s="169">
        <f t="array" ref="A760">INDEX('Federal Tax, Stock Buybacks, &amp; '!D:D,match(B760,'Federal Tax, Stock Buybacks, &amp; '!E:E,0))</f>
        <v>42</v>
      </c>
      <c r="B760" s="500" t="s">
        <v>1152</v>
      </c>
      <c r="C760" s="298"/>
      <c r="D760" s="496"/>
      <c r="E760" s="471"/>
      <c r="F760" s="254"/>
      <c r="G760" s="298"/>
      <c r="H760" s="496"/>
      <c r="I760" s="471"/>
      <c r="J760" s="254"/>
      <c r="K760" s="298" t="s">
        <v>711</v>
      </c>
      <c r="L760" s="496" t="s">
        <v>711</v>
      </c>
      <c r="M760" s="471" t="s">
        <v>711</v>
      </c>
      <c r="N760" s="254"/>
      <c r="O760" s="405" t="s">
        <v>1157</v>
      </c>
      <c r="P760" s="501" t="s">
        <v>1532</v>
      </c>
      <c r="Q760" s="472">
        <v>4061481.0</v>
      </c>
      <c r="R760" s="254"/>
      <c r="S760" s="298" t="s">
        <v>711</v>
      </c>
      <c r="T760" s="496" t="s">
        <v>711</v>
      </c>
      <c r="U760" s="471" t="s">
        <v>711</v>
      </c>
      <c r="V760" s="254"/>
      <c r="W760" s="298" t="s">
        <v>711</v>
      </c>
      <c r="X760" s="496" t="s">
        <v>711</v>
      </c>
      <c r="Y760" s="471" t="s">
        <v>711</v>
      </c>
      <c r="Z760" s="254"/>
      <c r="AA760" s="298" t="s">
        <v>711</v>
      </c>
      <c r="AB760" s="496" t="s">
        <v>711</v>
      </c>
      <c r="AC760" s="471" t="s">
        <v>711</v>
      </c>
      <c r="AD760" s="407"/>
      <c r="AE760" s="409"/>
      <c r="AF760" s="410"/>
      <c r="AG760" s="410"/>
      <c r="AH760" s="410"/>
      <c r="AI760" s="410"/>
      <c r="AJ760" s="293"/>
      <c r="AK760" s="260"/>
      <c r="AL760" s="259" t="str">
        <f>MATCH(B760,'Key Findings'!B:B,0)</f>
        <v>#N/A</v>
      </c>
      <c r="AM760" s="260" t="b">
        <f t="shared" si="2"/>
        <v>0</v>
      </c>
      <c r="AN760" s="294"/>
    </row>
    <row r="761">
      <c r="A761" s="169">
        <f t="array" ref="A761">INDEX('Federal Tax, Stock Buybacks, &amp; '!D:D,match(B761,'Federal Tax, Stock Buybacks, &amp; '!E:E,0))</f>
        <v>112</v>
      </c>
      <c r="B761" s="397" t="s">
        <v>854</v>
      </c>
      <c r="C761" s="398"/>
      <c r="D761" s="414"/>
      <c r="E761" s="550"/>
      <c r="F761" s="254"/>
      <c r="G761" s="398"/>
      <c r="H761" s="414"/>
      <c r="I761" s="550"/>
      <c r="J761" s="254"/>
      <c r="K761" s="398" t="s">
        <v>853</v>
      </c>
      <c r="L761" s="414" t="s">
        <v>1674</v>
      </c>
      <c r="M761" s="550">
        <v>2.1072397E7</v>
      </c>
      <c r="N761" s="254"/>
      <c r="O761" s="398" t="s">
        <v>853</v>
      </c>
      <c r="P761" s="414" t="s">
        <v>1674</v>
      </c>
      <c r="Q761" s="551">
        <v>1.9853697E7</v>
      </c>
      <c r="R761" s="254"/>
      <c r="S761" s="398" t="s">
        <v>853</v>
      </c>
      <c r="T761" s="414" t="s">
        <v>1674</v>
      </c>
      <c r="U761" s="499">
        <v>1.899027E7</v>
      </c>
      <c r="V761" s="254"/>
      <c r="W761" s="398" t="s">
        <v>859</v>
      </c>
      <c r="X761" s="369" t="s">
        <v>2387</v>
      </c>
      <c r="Y761" s="499">
        <v>6123164.0</v>
      </c>
      <c r="Z761" s="254"/>
      <c r="AA761" s="398" t="s">
        <v>859</v>
      </c>
      <c r="AB761" s="369" t="s">
        <v>2387</v>
      </c>
      <c r="AC761" s="488">
        <v>6621541.0</v>
      </c>
      <c r="AD761" s="306"/>
      <c r="AE761" s="307">
        <v>2022.0</v>
      </c>
      <c r="AF761" s="307">
        <v>2021.0</v>
      </c>
      <c r="AG761" s="307">
        <v>2020.0</v>
      </c>
      <c r="AH761" s="307">
        <v>2019.0</v>
      </c>
      <c r="AI761" s="307">
        <v>2018.0</v>
      </c>
      <c r="AJ761" s="273" t="s">
        <v>1524</v>
      </c>
      <c r="AK761" s="274"/>
      <c r="AL761" s="259" t="str">
        <f>MATCH(B761,'Key Findings'!B:B,0)</f>
        <v>#N/A</v>
      </c>
      <c r="AM761" s="274" t="b">
        <f t="shared" si="2"/>
        <v>0</v>
      </c>
      <c r="AN761" s="294"/>
    </row>
    <row r="762">
      <c r="A762" s="169">
        <f t="array" ref="A762">INDEX('Federal Tax, Stock Buybacks, &amp; '!D:D,match(B762,'Federal Tax, Stock Buybacks, &amp; '!E:E,0))</f>
        <v>112</v>
      </c>
      <c r="B762" s="397" t="s">
        <v>854</v>
      </c>
      <c r="C762" s="398"/>
      <c r="D762" s="365"/>
      <c r="E762" s="550"/>
      <c r="F762" s="254"/>
      <c r="G762" s="398"/>
      <c r="H762" s="365"/>
      <c r="I762" s="550"/>
      <c r="J762" s="254"/>
      <c r="K762" s="398" t="s">
        <v>855</v>
      </c>
      <c r="L762" s="365" t="s">
        <v>2388</v>
      </c>
      <c r="M762" s="550">
        <v>6818623.0</v>
      </c>
      <c r="N762" s="254"/>
      <c r="O762" s="398" t="s">
        <v>855</v>
      </c>
      <c r="P762" s="364" t="s">
        <v>2388</v>
      </c>
      <c r="Q762" s="551">
        <v>6764176.0</v>
      </c>
      <c r="R762" s="254"/>
      <c r="S762" s="398" t="s">
        <v>855</v>
      </c>
      <c r="T762" s="364" t="s">
        <v>2388</v>
      </c>
      <c r="U762" s="499">
        <v>6576439.0</v>
      </c>
      <c r="V762" s="254"/>
      <c r="W762" s="398" t="s">
        <v>853</v>
      </c>
      <c r="X762" s="414" t="s">
        <v>1674</v>
      </c>
      <c r="Y762" s="499">
        <v>1.6778809E7</v>
      </c>
      <c r="Z762" s="254"/>
      <c r="AA762" s="398" t="s">
        <v>860</v>
      </c>
      <c r="AB762" s="302" t="s">
        <v>2389</v>
      </c>
      <c r="AC762" s="488">
        <v>5896441.0</v>
      </c>
      <c r="AD762" s="306"/>
      <c r="AE762" s="308"/>
      <c r="AF762" s="308"/>
      <c r="AG762" s="308"/>
      <c r="AH762" s="308"/>
      <c r="AI762" s="308"/>
      <c r="AJ762" s="278"/>
      <c r="AK762" s="274"/>
      <c r="AL762" s="259" t="str">
        <f>MATCH(B762,'Key Findings'!B:B,0)</f>
        <v>#N/A</v>
      </c>
      <c r="AM762" s="274" t="b">
        <f t="shared" si="2"/>
        <v>0</v>
      </c>
      <c r="AN762" s="294"/>
    </row>
    <row r="763">
      <c r="A763" s="169">
        <f t="array" ref="A763">INDEX('Federal Tax, Stock Buybacks, &amp; '!D:D,match(B763,'Federal Tax, Stock Buybacks, &amp; '!E:E,0))</f>
        <v>112</v>
      </c>
      <c r="B763" s="397" t="s">
        <v>854</v>
      </c>
      <c r="C763" s="398"/>
      <c r="D763" s="365"/>
      <c r="E763" s="550"/>
      <c r="F763" s="254"/>
      <c r="G763" s="398"/>
      <c r="H763" s="365"/>
      <c r="I763" s="550"/>
      <c r="J763" s="254"/>
      <c r="K763" s="398" t="s">
        <v>857</v>
      </c>
      <c r="L763" s="365" t="s">
        <v>1585</v>
      </c>
      <c r="M763" s="550">
        <v>5521735.0</v>
      </c>
      <c r="N763" s="254"/>
      <c r="O763" s="398" t="s">
        <v>857</v>
      </c>
      <c r="P763" s="364" t="s">
        <v>1585</v>
      </c>
      <c r="Q763" s="551">
        <v>5328252.0</v>
      </c>
      <c r="R763" s="254"/>
      <c r="S763" s="398" t="s">
        <v>857</v>
      </c>
      <c r="T763" s="364" t="s">
        <v>1585</v>
      </c>
      <c r="U763" s="499">
        <v>5122446.0</v>
      </c>
      <c r="V763" s="254"/>
      <c r="W763" s="398" t="s">
        <v>855</v>
      </c>
      <c r="X763" s="364" t="s">
        <v>2388</v>
      </c>
      <c r="Y763" s="499">
        <v>6303440.0</v>
      </c>
      <c r="Z763" s="254"/>
      <c r="AA763" s="398" t="s">
        <v>853</v>
      </c>
      <c r="AB763" s="414" t="s">
        <v>1674</v>
      </c>
      <c r="AC763" s="488">
        <v>1.4648213E7</v>
      </c>
      <c r="AD763" s="306"/>
      <c r="AE763" s="308"/>
      <c r="AF763" s="308"/>
      <c r="AG763" s="308"/>
      <c r="AH763" s="308"/>
      <c r="AI763" s="308"/>
      <c r="AJ763" s="278"/>
      <c r="AK763" s="274"/>
      <c r="AL763" s="259" t="str">
        <f>MATCH(B763,'Key Findings'!B:B,0)</f>
        <v>#N/A</v>
      </c>
      <c r="AM763" s="274" t="b">
        <f t="shared" si="2"/>
        <v>0</v>
      </c>
      <c r="AN763" s="294"/>
    </row>
    <row r="764">
      <c r="A764" s="169">
        <f t="array" ref="A764">INDEX('Federal Tax, Stock Buybacks, &amp; '!D:D,match(B764,'Federal Tax, Stock Buybacks, &amp; '!E:E,0))</f>
        <v>112</v>
      </c>
      <c r="B764" s="397" t="s">
        <v>854</v>
      </c>
      <c r="C764" s="398"/>
      <c r="D764" s="365"/>
      <c r="E764" s="550"/>
      <c r="F764" s="254"/>
      <c r="G764" s="398"/>
      <c r="H764" s="365"/>
      <c r="I764" s="550"/>
      <c r="J764" s="254"/>
      <c r="K764" s="398" t="s">
        <v>856</v>
      </c>
      <c r="L764" s="365" t="s">
        <v>2390</v>
      </c>
      <c r="M764" s="550">
        <v>6767092.0</v>
      </c>
      <c r="N764" s="254"/>
      <c r="O764" s="398" t="s">
        <v>856</v>
      </c>
      <c r="P764" s="364" t="s">
        <v>2390</v>
      </c>
      <c r="Q764" s="551">
        <v>5925653.0</v>
      </c>
      <c r="R764" s="254"/>
      <c r="S764" s="398" t="s">
        <v>856</v>
      </c>
      <c r="T764" s="364" t="s">
        <v>2390</v>
      </c>
      <c r="U764" s="499">
        <v>5446367.0</v>
      </c>
      <c r="V764" s="254"/>
      <c r="W764" s="398" t="s">
        <v>857</v>
      </c>
      <c r="X764" s="364" t="s">
        <v>1585</v>
      </c>
      <c r="Y764" s="499">
        <v>4230571.0</v>
      </c>
      <c r="Z764" s="254"/>
      <c r="AA764" s="398" t="s">
        <v>855</v>
      </c>
      <c r="AB764" s="364" t="s">
        <v>2388</v>
      </c>
      <c r="AC764" s="488">
        <v>6009603.0</v>
      </c>
      <c r="AD764" s="306"/>
      <c r="AE764" s="308"/>
      <c r="AF764" s="308"/>
      <c r="AG764" s="308"/>
      <c r="AH764" s="308"/>
      <c r="AI764" s="308"/>
      <c r="AJ764" s="278"/>
      <c r="AK764" s="274"/>
      <c r="AL764" s="259" t="str">
        <f>MATCH(B764,'Key Findings'!B:B,0)</f>
        <v>#N/A</v>
      </c>
      <c r="AM764" s="274" t="b">
        <f t="shared" si="2"/>
        <v>0</v>
      </c>
      <c r="AN764" s="294"/>
    </row>
    <row r="765">
      <c r="A765" s="169">
        <f t="array" ref="A765">INDEX('Federal Tax, Stock Buybacks, &amp; '!D:D,match(B765,'Federal Tax, Stock Buybacks, &amp; '!E:E,0))</f>
        <v>112</v>
      </c>
      <c r="B765" s="397" t="s">
        <v>854</v>
      </c>
      <c r="C765" s="398"/>
      <c r="D765" s="365"/>
      <c r="E765" s="550"/>
      <c r="F765" s="254"/>
      <c r="G765" s="398"/>
      <c r="H765" s="365"/>
      <c r="I765" s="550"/>
      <c r="J765" s="254"/>
      <c r="K765" s="398" t="s">
        <v>858</v>
      </c>
      <c r="L765" s="365" t="s">
        <v>2391</v>
      </c>
      <c r="M765" s="550">
        <v>6208386.0</v>
      </c>
      <c r="N765" s="254"/>
      <c r="O765" s="398" t="s">
        <v>858</v>
      </c>
      <c r="P765" s="364" t="s">
        <v>2391</v>
      </c>
      <c r="Q765" s="551">
        <v>5486379.0</v>
      </c>
      <c r="R765" s="254"/>
      <c r="S765" s="398" t="s">
        <v>858</v>
      </c>
      <c r="T765" s="364" t="s">
        <v>2391</v>
      </c>
      <c r="U765" s="499">
        <v>5136598.0</v>
      </c>
      <c r="V765" s="254"/>
      <c r="W765" s="398" t="s">
        <v>856</v>
      </c>
      <c r="X765" s="364" t="s">
        <v>2390</v>
      </c>
      <c r="Y765" s="499">
        <v>5257621.0</v>
      </c>
      <c r="Z765" s="254"/>
      <c r="AA765" s="398" t="s">
        <v>857</v>
      </c>
      <c r="AB765" s="364" t="s">
        <v>1585</v>
      </c>
      <c r="AC765" s="488">
        <v>1806900.0</v>
      </c>
      <c r="AD765" s="306"/>
      <c r="AE765" s="308"/>
      <c r="AF765" s="308"/>
      <c r="AG765" s="308"/>
      <c r="AH765" s="308"/>
      <c r="AI765" s="308"/>
      <c r="AJ765" s="278"/>
      <c r="AK765" s="274"/>
      <c r="AL765" s="259" t="str">
        <f>MATCH(B765,'Key Findings'!B:B,0)</f>
        <v>#N/A</v>
      </c>
      <c r="AM765" s="274" t="b">
        <f t="shared" si="2"/>
        <v>0</v>
      </c>
      <c r="AN765" s="294"/>
    </row>
    <row r="766">
      <c r="A766" s="169">
        <f t="array" ref="A766">INDEX('Federal Tax, Stock Buybacks, &amp; '!D:D,match(B766,'Federal Tax, Stock Buybacks, &amp; '!E:E,0))</f>
        <v>112</v>
      </c>
      <c r="B766" s="397" t="s">
        <v>854</v>
      </c>
      <c r="C766" s="313"/>
      <c r="D766" s="314"/>
      <c r="E766" s="565"/>
      <c r="F766" s="254"/>
      <c r="G766" s="313"/>
      <c r="H766" s="314"/>
      <c r="I766" s="565"/>
      <c r="J766" s="254"/>
      <c r="K766" s="313" t="s">
        <v>711</v>
      </c>
      <c r="L766" s="314" t="s">
        <v>711</v>
      </c>
      <c r="M766" s="565" t="s">
        <v>711</v>
      </c>
      <c r="N766" s="254"/>
      <c r="O766" s="313" t="s">
        <v>711</v>
      </c>
      <c r="P766" s="314" t="s">
        <v>711</v>
      </c>
      <c r="Q766" s="565" t="s">
        <v>711</v>
      </c>
      <c r="R766" s="254"/>
      <c r="S766" s="313" t="s">
        <v>711</v>
      </c>
      <c r="T766" s="314" t="s">
        <v>711</v>
      </c>
      <c r="U766" s="565" t="s">
        <v>711</v>
      </c>
      <c r="V766" s="254"/>
      <c r="W766" s="313" t="s">
        <v>711</v>
      </c>
      <c r="X766" s="314" t="s">
        <v>711</v>
      </c>
      <c r="Y766" s="565" t="s">
        <v>711</v>
      </c>
      <c r="Z766" s="254"/>
      <c r="AA766" s="398" t="s">
        <v>856</v>
      </c>
      <c r="AB766" s="364" t="s">
        <v>2390</v>
      </c>
      <c r="AC766" s="488">
        <v>4855275.0</v>
      </c>
      <c r="AD766" s="306"/>
      <c r="AE766" s="308"/>
      <c r="AF766" s="308"/>
      <c r="AG766" s="308"/>
      <c r="AH766" s="308"/>
      <c r="AI766" s="308"/>
      <c r="AJ766" s="278"/>
      <c r="AK766" s="274"/>
      <c r="AL766" s="259" t="str">
        <f>MATCH(B766,'Key Findings'!B:B,0)</f>
        <v>#N/A</v>
      </c>
      <c r="AM766" s="274" t="b">
        <f t="shared" si="2"/>
        <v>0</v>
      </c>
      <c r="AN766" s="294"/>
    </row>
    <row r="767">
      <c r="A767" s="169">
        <f t="array" ref="A767">INDEX('Federal Tax, Stock Buybacks, &amp; '!D:D,match(B767,'Federal Tax, Stock Buybacks, &amp; '!E:E,0))</f>
        <v>125</v>
      </c>
      <c r="B767" s="300" t="s">
        <v>914</v>
      </c>
      <c r="C767" s="398"/>
      <c r="D767" s="365"/>
      <c r="E767" s="499"/>
      <c r="F767" s="254"/>
      <c r="G767" s="398"/>
      <c r="H767" s="365"/>
      <c r="I767" s="499"/>
      <c r="J767" s="254"/>
      <c r="K767" s="398" t="s">
        <v>916</v>
      </c>
      <c r="L767" s="365" t="s">
        <v>2392</v>
      </c>
      <c r="M767" s="499">
        <v>374558.0</v>
      </c>
      <c r="N767" s="254"/>
      <c r="O767" s="398" t="s">
        <v>918</v>
      </c>
      <c r="P767" s="401" t="s">
        <v>2393</v>
      </c>
      <c r="Q767" s="499">
        <v>4940454.0</v>
      </c>
      <c r="R767" s="254"/>
      <c r="S767" s="398" t="s">
        <v>918</v>
      </c>
      <c r="T767" s="401" t="s">
        <v>2394</v>
      </c>
      <c r="U767" s="551">
        <v>4284900.0</v>
      </c>
      <c r="V767" s="254"/>
      <c r="W767" s="398" t="s">
        <v>918</v>
      </c>
      <c r="X767" s="401" t="s">
        <v>2394</v>
      </c>
      <c r="Y767" s="551">
        <v>1.1208751E7</v>
      </c>
      <c r="Z767" s="254"/>
      <c r="AA767" s="498" t="s">
        <v>922</v>
      </c>
      <c r="AB767" s="369" t="s">
        <v>2395</v>
      </c>
      <c r="AC767" s="499">
        <v>5980769.0</v>
      </c>
      <c r="AD767" s="306"/>
      <c r="AE767" s="307">
        <v>2022.0</v>
      </c>
      <c r="AF767" s="307">
        <v>2021.0</v>
      </c>
      <c r="AG767" s="307">
        <v>2020.0</v>
      </c>
      <c r="AH767" s="307">
        <v>2019.0</v>
      </c>
      <c r="AI767" s="307">
        <v>2018.0</v>
      </c>
      <c r="AJ767" s="273" t="s">
        <v>1524</v>
      </c>
      <c r="AK767" s="274"/>
      <c r="AL767" s="259" t="str">
        <f>MATCH(B767,'Key Findings'!B:B,0)</f>
        <v>#N/A</v>
      </c>
      <c r="AM767" s="274" t="b">
        <f t="shared" si="2"/>
        <v>1</v>
      </c>
      <c r="AN767" s="294"/>
    </row>
    <row r="768">
      <c r="A768" s="169">
        <f t="array" ref="A768">INDEX('Federal Tax, Stock Buybacks, &amp; '!D:D,match(B768,'Federal Tax, Stock Buybacks, &amp; '!E:E,0))</f>
        <v>125</v>
      </c>
      <c r="B768" s="300" t="s">
        <v>914</v>
      </c>
      <c r="C768" s="398"/>
      <c r="D768" s="365"/>
      <c r="E768" s="499"/>
      <c r="F768" s="254"/>
      <c r="G768" s="398"/>
      <c r="H768" s="365"/>
      <c r="I768" s="499"/>
      <c r="J768" s="254"/>
      <c r="K768" s="398" t="s">
        <v>923</v>
      </c>
      <c r="L768" s="365" t="s">
        <v>2396</v>
      </c>
      <c r="M768" s="499">
        <v>3796396.0</v>
      </c>
      <c r="N768" s="254"/>
      <c r="O768" s="398" t="s">
        <v>923</v>
      </c>
      <c r="P768" s="364" t="s">
        <v>2396</v>
      </c>
      <c r="Q768" s="499">
        <v>3329440.0</v>
      </c>
      <c r="R768" s="254"/>
      <c r="S768" s="398" t="s">
        <v>917</v>
      </c>
      <c r="T768" s="401" t="s">
        <v>2397</v>
      </c>
      <c r="U768" s="499">
        <v>7207934.0</v>
      </c>
      <c r="V768" s="254"/>
      <c r="W768" s="398" t="s">
        <v>917</v>
      </c>
      <c r="X768" s="401" t="s">
        <v>2397</v>
      </c>
      <c r="Y768" s="499">
        <v>8016496.0</v>
      </c>
      <c r="Z768" s="254"/>
      <c r="AA768" s="398" t="s">
        <v>917</v>
      </c>
      <c r="AB768" s="401" t="s">
        <v>2397</v>
      </c>
      <c r="AC768" s="488">
        <v>9152082.0</v>
      </c>
      <c r="AD768" s="306"/>
      <c r="AE768" s="308"/>
      <c r="AF768" s="308"/>
      <c r="AG768" s="308"/>
      <c r="AH768" s="308"/>
      <c r="AI768" s="308"/>
      <c r="AJ768" s="278"/>
      <c r="AK768" s="274"/>
      <c r="AL768" s="259" t="str">
        <f>MATCH(B768,'Key Findings'!B:B,0)</f>
        <v>#N/A</v>
      </c>
      <c r="AM768" s="274" t="b">
        <f t="shared" si="2"/>
        <v>1</v>
      </c>
      <c r="AN768" s="294"/>
    </row>
    <row r="769">
      <c r="A769" s="169">
        <f t="array" ref="A769">INDEX('Federal Tax, Stock Buybacks, &amp; '!D:D,match(B769,'Federal Tax, Stock Buybacks, &amp; '!E:E,0))</f>
        <v>125</v>
      </c>
      <c r="B769" s="300" t="s">
        <v>914</v>
      </c>
      <c r="C769" s="398"/>
      <c r="D769" s="365"/>
      <c r="E769" s="499"/>
      <c r="F769" s="254"/>
      <c r="G769" s="398"/>
      <c r="H769" s="365"/>
      <c r="I769" s="499"/>
      <c r="J769" s="254"/>
      <c r="K769" s="398" t="s">
        <v>961</v>
      </c>
      <c r="L769" s="365" t="s">
        <v>2398</v>
      </c>
      <c r="M769" s="499">
        <v>8793825.0</v>
      </c>
      <c r="N769" s="254"/>
      <c r="O769" s="398" t="s">
        <v>917</v>
      </c>
      <c r="P769" s="401" t="s">
        <v>2399</v>
      </c>
      <c r="Q769" s="499">
        <v>5992199.0</v>
      </c>
      <c r="R769" s="254"/>
      <c r="S769" s="398" t="s">
        <v>913</v>
      </c>
      <c r="T769" s="364" t="s">
        <v>2400</v>
      </c>
      <c r="U769" s="499">
        <v>1.4665575E7</v>
      </c>
      <c r="V769" s="254"/>
      <c r="W769" s="398" t="s">
        <v>913</v>
      </c>
      <c r="X769" s="364" t="s">
        <v>2400</v>
      </c>
      <c r="Y769" s="499">
        <v>1.924195E7</v>
      </c>
      <c r="Z769" s="254"/>
      <c r="AA769" s="398" t="s">
        <v>913</v>
      </c>
      <c r="AB769" s="364" t="s">
        <v>2400</v>
      </c>
      <c r="AC769" s="488">
        <v>1.338248E7</v>
      </c>
      <c r="AD769" s="306"/>
      <c r="AE769" s="308"/>
      <c r="AF769" s="308"/>
      <c r="AG769" s="308"/>
      <c r="AH769" s="308"/>
      <c r="AI769" s="308"/>
      <c r="AJ769" s="278"/>
      <c r="AK769" s="274"/>
      <c r="AL769" s="259" t="str">
        <f>MATCH(B769,'Key Findings'!B:B,0)</f>
        <v>#N/A</v>
      </c>
      <c r="AM769" s="274" t="b">
        <f t="shared" si="2"/>
        <v>1</v>
      </c>
      <c r="AN769" s="294"/>
    </row>
    <row r="770">
      <c r="A770" s="169">
        <f t="array" ref="A770">INDEX('Federal Tax, Stock Buybacks, &amp; '!D:D,match(B770,'Federal Tax, Stock Buybacks, &amp; '!E:E,0))</f>
        <v>125</v>
      </c>
      <c r="B770" s="300" t="s">
        <v>914</v>
      </c>
      <c r="C770" s="398"/>
      <c r="D770" s="365"/>
      <c r="E770" s="499"/>
      <c r="F770" s="254"/>
      <c r="G770" s="398"/>
      <c r="H770" s="365"/>
      <c r="I770" s="499"/>
      <c r="J770" s="254"/>
      <c r="K770" s="398" t="s">
        <v>920</v>
      </c>
      <c r="L770" s="365" t="s">
        <v>2401</v>
      </c>
      <c r="M770" s="499">
        <v>5961593.0</v>
      </c>
      <c r="N770" s="254"/>
      <c r="O770" s="398" t="s">
        <v>920</v>
      </c>
      <c r="P770" s="364" t="s">
        <v>2401</v>
      </c>
      <c r="Q770" s="499">
        <v>6456887.0</v>
      </c>
      <c r="R770" s="254"/>
      <c r="S770" s="498" t="s">
        <v>915</v>
      </c>
      <c r="T770" s="369" t="s">
        <v>2402</v>
      </c>
      <c r="U770" s="499">
        <v>6466455.0</v>
      </c>
      <c r="V770" s="254"/>
      <c r="W770" s="498" t="s">
        <v>915</v>
      </c>
      <c r="X770" s="369" t="s">
        <v>2402</v>
      </c>
      <c r="Y770" s="499">
        <v>6744324.0</v>
      </c>
      <c r="Z770" s="254"/>
      <c r="AA770" s="498" t="s">
        <v>915</v>
      </c>
      <c r="AB770" s="369" t="s">
        <v>2402</v>
      </c>
      <c r="AC770" s="488">
        <v>5907186.0</v>
      </c>
      <c r="AD770" s="306"/>
      <c r="AE770" s="308"/>
      <c r="AF770" s="308"/>
      <c r="AG770" s="308"/>
      <c r="AH770" s="308"/>
      <c r="AI770" s="308"/>
      <c r="AJ770" s="278"/>
      <c r="AK770" s="274"/>
      <c r="AL770" s="259" t="str">
        <f>MATCH(B770,'Key Findings'!B:B,0)</f>
        <v>#N/A</v>
      </c>
      <c r="AM770" s="274" t="b">
        <f t="shared" si="2"/>
        <v>1</v>
      </c>
      <c r="AN770" s="294"/>
    </row>
    <row r="771">
      <c r="A771" s="169">
        <f t="array" ref="A771">INDEX('Federal Tax, Stock Buybacks, &amp; '!D:D,match(B771,'Federal Tax, Stock Buybacks, &amp; '!E:E,0))</f>
        <v>125</v>
      </c>
      <c r="B771" s="300" t="s">
        <v>914</v>
      </c>
      <c r="C771" s="398"/>
      <c r="D771" s="365"/>
      <c r="E771" s="499"/>
      <c r="F771" s="254"/>
      <c r="G771" s="398"/>
      <c r="H771" s="365"/>
      <c r="I771" s="499"/>
      <c r="J771" s="254"/>
      <c r="K771" s="398" t="s">
        <v>913</v>
      </c>
      <c r="L771" s="365" t="s">
        <v>2403</v>
      </c>
      <c r="M771" s="499">
        <v>1.6718154E7</v>
      </c>
      <c r="N771" s="254"/>
      <c r="O771" s="398" t="s">
        <v>913</v>
      </c>
      <c r="P771" s="364" t="s">
        <v>2400</v>
      </c>
      <c r="Q771" s="499">
        <v>2.0425162E7</v>
      </c>
      <c r="R771" s="254"/>
      <c r="S771" s="498" t="s">
        <v>921</v>
      </c>
      <c r="T771" s="369" t="s">
        <v>2404</v>
      </c>
      <c r="U771" s="499">
        <v>4421693.0</v>
      </c>
      <c r="V771" s="254"/>
      <c r="W771" s="498" t="s">
        <v>921</v>
      </c>
      <c r="X771" s="369" t="s">
        <v>2404</v>
      </c>
      <c r="Y771" s="499">
        <v>4206515.0</v>
      </c>
      <c r="Z771" s="254"/>
      <c r="AA771" s="498" t="s">
        <v>921</v>
      </c>
      <c r="AB771" s="369" t="s">
        <v>2404</v>
      </c>
      <c r="AC771" s="488">
        <v>3387951.0</v>
      </c>
      <c r="AD771" s="306"/>
      <c r="AE771" s="308"/>
      <c r="AF771" s="308"/>
      <c r="AG771" s="308"/>
      <c r="AH771" s="308"/>
      <c r="AI771" s="308"/>
      <c r="AJ771" s="278"/>
      <c r="AK771" s="274"/>
      <c r="AL771" s="259" t="str">
        <f>MATCH(B771,'Key Findings'!B:B,0)</f>
        <v>#N/A</v>
      </c>
      <c r="AM771" s="274" t="b">
        <f t="shared" si="2"/>
        <v>1</v>
      </c>
      <c r="AN771" s="294"/>
    </row>
    <row r="772">
      <c r="A772" s="169">
        <f t="array" ref="A772">INDEX('Federal Tax, Stock Buybacks, &amp; '!D:D,match(B772,'Federal Tax, Stock Buybacks, &amp; '!E:E,0))</f>
        <v>125</v>
      </c>
      <c r="B772" s="300" t="s">
        <v>914</v>
      </c>
      <c r="C772" s="498"/>
      <c r="D772" s="369"/>
      <c r="E772" s="499"/>
      <c r="F772" s="254"/>
      <c r="G772" s="498"/>
      <c r="H772" s="369"/>
      <c r="I772" s="499"/>
      <c r="J772" s="254"/>
      <c r="K772" s="498" t="s">
        <v>915</v>
      </c>
      <c r="L772" s="369" t="s">
        <v>2405</v>
      </c>
      <c r="M772" s="499">
        <v>7071589.0</v>
      </c>
      <c r="N772" s="254"/>
      <c r="O772" s="498" t="s">
        <v>915</v>
      </c>
      <c r="P772" s="369" t="s">
        <v>2402</v>
      </c>
      <c r="Q772" s="499">
        <v>9367441.0</v>
      </c>
      <c r="R772" s="254"/>
      <c r="S772" s="372" t="s">
        <v>711</v>
      </c>
      <c r="T772" s="370" t="s">
        <v>711</v>
      </c>
      <c r="U772" s="517" t="s">
        <v>711</v>
      </c>
      <c r="V772" s="254"/>
      <c r="W772" s="498" t="s">
        <v>922</v>
      </c>
      <c r="X772" s="369" t="s">
        <v>2395</v>
      </c>
      <c r="Y772" s="499">
        <v>1570343.0</v>
      </c>
      <c r="Z772" s="254"/>
      <c r="AA772" s="398" t="s">
        <v>916</v>
      </c>
      <c r="AB772" s="364" t="s">
        <v>2406</v>
      </c>
      <c r="AC772" s="499">
        <v>3.018161E7</v>
      </c>
      <c r="AD772" s="306"/>
      <c r="AE772" s="308"/>
      <c r="AF772" s="308"/>
      <c r="AG772" s="308"/>
      <c r="AH772" s="308"/>
      <c r="AI772" s="308"/>
      <c r="AJ772" s="278"/>
      <c r="AK772" s="274"/>
      <c r="AL772" s="259" t="str">
        <f>MATCH(B772,'Key Findings'!B:B,0)</f>
        <v>#N/A</v>
      </c>
      <c r="AM772" s="274" t="b">
        <f t="shared" si="2"/>
        <v>1</v>
      </c>
      <c r="AN772" s="294"/>
    </row>
    <row r="773">
      <c r="A773" s="169">
        <f t="array" ref="A773">INDEX('Federal Tax, Stock Buybacks, &amp; '!D:D,match(B773,'Federal Tax, Stock Buybacks, &amp; '!E:E,0))</f>
        <v>125</v>
      </c>
      <c r="B773" s="300" t="s">
        <v>914</v>
      </c>
      <c r="C773" s="498"/>
      <c r="D773" s="369"/>
      <c r="E773" s="499"/>
      <c r="F773" s="254"/>
      <c r="G773" s="498"/>
      <c r="H773" s="369"/>
      <c r="I773" s="499"/>
      <c r="J773" s="254"/>
      <c r="K773" s="498" t="s">
        <v>919</v>
      </c>
      <c r="L773" s="369" t="s">
        <v>2407</v>
      </c>
      <c r="M773" s="499">
        <v>1.1680097E7</v>
      </c>
      <c r="N773" s="254"/>
      <c r="O773" s="498" t="s">
        <v>919</v>
      </c>
      <c r="P773" s="369" t="s">
        <v>2408</v>
      </c>
      <c r="Q773" s="499">
        <v>5323904.0</v>
      </c>
      <c r="R773" s="254"/>
      <c r="S773" s="372" t="s">
        <v>711</v>
      </c>
      <c r="T773" s="370" t="s">
        <v>711</v>
      </c>
      <c r="U773" s="517" t="s">
        <v>711</v>
      </c>
      <c r="V773" s="254"/>
      <c r="W773" s="372" t="s">
        <v>711</v>
      </c>
      <c r="X773" s="370" t="s">
        <v>711</v>
      </c>
      <c r="Y773" s="517" t="s">
        <v>711</v>
      </c>
      <c r="Z773" s="254"/>
      <c r="AA773" s="372" t="s">
        <v>711</v>
      </c>
      <c r="AB773" s="370" t="s">
        <v>711</v>
      </c>
      <c r="AC773" s="517" t="s">
        <v>711</v>
      </c>
      <c r="AD773" s="306"/>
      <c r="AE773" s="308"/>
      <c r="AF773" s="308"/>
      <c r="AG773" s="308"/>
      <c r="AH773" s="308"/>
      <c r="AI773" s="308"/>
      <c r="AJ773" s="278"/>
      <c r="AK773" s="274"/>
      <c r="AL773" s="259" t="str">
        <f>MATCH(B773,'Key Findings'!B:B,0)</f>
        <v>#N/A</v>
      </c>
      <c r="AM773" s="274" t="b">
        <f t="shared" si="2"/>
        <v>1</v>
      </c>
      <c r="AN773" s="294"/>
    </row>
    <row r="774">
      <c r="A774" s="169">
        <f t="array" ref="A774">INDEX('Federal Tax, Stock Buybacks, &amp; '!D:D,match(B774,'Federal Tax, Stock Buybacks, &amp; '!E:E,0))</f>
        <v>152</v>
      </c>
      <c r="B774" s="281" t="s">
        <v>967</v>
      </c>
      <c r="C774" s="282"/>
      <c r="D774" s="283"/>
      <c r="E774" s="471"/>
      <c r="F774" s="254"/>
      <c r="G774" s="282"/>
      <c r="H774" s="283"/>
      <c r="I774" s="471"/>
      <c r="J774" s="254"/>
      <c r="K774" s="282" t="s">
        <v>966</v>
      </c>
      <c r="L774" s="283" t="s">
        <v>1714</v>
      </c>
      <c r="M774" s="471">
        <v>2.1356924E7</v>
      </c>
      <c r="N774" s="254"/>
      <c r="O774" s="282" t="s">
        <v>966</v>
      </c>
      <c r="P774" s="283" t="s">
        <v>1714</v>
      </c>
      <c r="Q774" s="471">
        <v>2.3737661E7</v>
      </c>
      <c r="R774" s="254"/>
      <c r="S774" s="282" t="s">
        <v>966</v>
      </c>
      <c r="T774" s="283" t="s">
        <v>1714</v>
      </c>
      <c r="U774" s="471">
        <v>1.9316401E7</v>
      </c>
      <c r="V774" s="254"/>
      <c r="W774" s="282" t="s">
        <v>966</v>
      </c>
      <c r="X774" s="283" t="s">
        <v>1714</v>
      </c>
      <c r="Y774" s="471">
        <v>1.149228E7</v>
      </c>
      <c r="Z774" s="254"/>
      <c r="AA774" s="282" t="s">
        <v>966</v>
      </c>
      <c r="AB774" s="283" t="s">
        <v>1714</v>
      </c>
      <c r="AC774" s="472">
        <v>1.3642838E7</v>
      </c>
      <c r="AD774" s="288"/>
      <c r="AE774" s="289">
        <v>2022.0</v>
      </c>
      <c r="AF774" s="289">
        <v>2021.0</v>
      </c>
      <c r="AG774" s="289">
        <v>2020.0</v>
      </c>
      <c r="AH774" s="289">
        <v>2019.0</v>
      </c>
      <c r="AI774" s="289">
        <v>2018.0</v>
      </c>
      <c r="AJ774" s="290" t="s">
        <v>2409</v>
      </c>
      <c r="AK774" s="260"/>
      <c r="AL774" s="259" t="str">
        <f>MATCH(B774,'Key Findings'!B:B,0)</f>
        <v>#N/A</v>
      </c>
      <c r="AM774" s="260" t="b">
        <f t="shared" si="2"/>
        <v>0</v>
      </c>
      <c r="AN774" s="294"/>
    </row>
    <row r="775">
      <c r="A775" s="169">
        <f t="array" ref="A775">INDEX('Federal Tax, Stock Buybacks, &amp; '!D:D,match(B775,'Federal Tax, Stock Buybacks, &amp; '!E:E,0))</f>
        <v>152</v>
      </c>
      <c r="B775" s="281" t="s">
        <v>967</v>
      </c>
      <c r="C775" s="282"/>
      <c r="D775" s="283"/>
      <c r="E775" s="471"/>
      <c r="F775" s="254"/>
      <c r="G775" s="282"/>
      <c r="H775" s="283"/>
      <c r="I775" s="471"/>
      <c r="J775" s="254"/>
      <c r="K775" s="282" t="s">
        <v>969</v>
      </c>
      <c r="L775" s="283" t="s">
        <v>1631</v>
      </c>
      <c r="M775" s="471">
        <v>1.0917228E7</v>
      </c>
      <c r="N775" s="254"/>
      <c r="O775" s="282" t="s">
        <v>969</v>
      </c>
      <c r="P775" s="283" t="s">
        <v>1631</v>
      </c>
      <c r="Q775" s="471">
        <v>9775927.0</v>
      </c>
      <c r="R775" s="254"/>
      <c r="S775" s="282" t="s">
        <v>969</v>
      </c>
      <c r="T775" s="283" t="s">
        <v>1631</v>
      </c>
      <c r="U775" s="471">
        <v>8121042.0</v>
      </c>
      <c r="V775" s="254"/>
      <c r="W775" s="282" t="s">
        <v>969</v>
      </c>
      <c r="X775" s="283" t="s">
        <v>1631</v>
      </c>
      <c r="Y775" s="471">
        <v>4432840.0</v>
      </c>
      <c r="Z775" s="254"/>
      <c r="AA775" s="282" t="s">
        <v>969</v>
      </c>
      <c r="AB775" s="283" t="s">
        <v>1631</v>
      </c>
      <c r="AC775" s="472">
        <v>4975388.0</v>
      </c>
      <c r="AD775" s="288"/>
      <c r="AE775" s="321"/>
      <c r="AF775" s="321"/>
      <c r="AG775" s="321"/>
      <c r="AH775" s="321"/>
      <c r="AI775" s="321"/>
      <c r="AJ775" s="293"/>
      <c r="AK775" s="260"/>
      <c r="AL775" s="259" t="str">
        <f>MATCH(B775,'Key Findings'!B:B,0)</f>
        <v>#N/A</v>
      </c>
      <c r="AM775" s="260" t="b">
        <f t="shared" si="2"/>
        <v>0</v>
      </c>
      <c r="AN775" s="294"/>
    </row>
    <row r="776">
      <c r="A776" s="169">
        <f t="array" ref="A776">INDEX('Federal Tax, Stock Buybacks, &amp; '!D:D,match(B776,'Federal Tax, Stock Buybacks, &amp; '!E:E,0))</f>
        <v>152</v>
      </c>
      <c r="B776" s="281" t="s">
        <v>967</v>
      </c>
      <c r="C776" s="282"/>
      <c r="D776" s="283"/>
      <c r="E776" s="471"/>
      <c r="F776" s="254"/>
      <c r="G776" s="282"/>
      <c r="H776" s="283"/>
      <c r="I776" s="471"/>
      <c r="J776" s="254"/>
      <c r="K776" s="282" t="s">
        <v>968</v>
      </c>
      <c r="L776" s="283" t="s">
        <v>2410</v>
      </c>
      <c r="M776" s="471">
        <v>1.0627698E7</v>
      </c>
      <c r="N776" s="254"/>
      <c r="O776" s="282" t="s">
        <v>968</v>
      </c>
      <c r="P776" s="283" t="s">
        <v>2410</v>
      </c>
      <c r="Q776" s="471">
        <v>1.0172718E7</v>
      </c>
      <c r="R776" s="254"/>
      <c r="S776" s="282" t="s">
        <v>968</v>
      </c>
      <c r="T776" s="283" t="s">
        <v>2410</v>
      </c>
      <c r="U776" s="471">
        <v>8507927.0</v>
      </c>
      <c r="V776" s="254"/>
      <c r="W776" s="282" t="s">
        <v>968</v>
      </c>
      <c r="X776" s="283" t="s">
        <v>2410</v>
      </c>
      <c r="Y776" s="471">
        <v>4856705.0</v>
      </c>
      <c r="Z776" s="254"/>
      <c r="AA776" s="282" t="s">
        <v>968</v>
      </c>
      <c r="AB776" s="283" t="s">
        <v>2410</v>
      </c>
      <c r="AC776" s="472">
        <v>5464566.0</v>
      </c>
      <c r="AD776" s="288"/>
      <c r="AE776" s="321"/>
      <c r="AF776" s="321"/>
      <c r="AG776" s="321"/>
      <c r="AH776" s="321"/>
      <c r="AI776" s="321"/>
      <c r="AJ776" s="293"/>
      <c r="AK776" s="260"/>
      <c r="AL776" s="259" t="str">
        <f>MATCH(B776,'Key Findings'!B:B,0)</f>
        <v>#N/A</v>
      </c>
      <c r="AM776" s="260" t="b">
        <f t="shared" si="2"/>
        <v>0</v>
      </c>
      <c r="AN776" s="294"/>
    </row>
    <row r="777">
      <c r="A777" s="169">
        <f t="array" ref="A777">INDEX('Federal Tax, Stock Buybacks, &amp; '!D:D,match(B777,'Federal Tax, Stock Buybacks, &amp; '!E:E,0))</f>
        <v>152</v>
      </c>
      <c r="B777" s="281" t="s">
        <v>967</v>
      </c>
      <c r="C777" s="282"/>
      <c r="D777" s="283"/>
      <c r="E777" s="471"/>
      <c r="F777" s="254"/>
      <c r="G777" s="282"/>
      <c r="H777" s="283"/>
      <c r="I777" s="471"/>
      <c r="J777" s="254"/>
      <c r="K777" s="282" t="s">
        <v>970</v>
      </c>
      <c r="L777" s="283" t="s">
        <v>2411</v>
      </c>
      <c r="M777" s="471">
        <v>9115250.0</v>
      </c>
      <c r="N777" s="254"/>
      <c r="O777" s="282" t="s">
        <v>970</v>
      </c>
      <c r="P777" s="283" t="s">
        <v>2411</v>
      </c>
      <c r="Q777" s="471">
        <v>7851819.0</v>
      </c>
      <c r="R777" s="254"/>
      <c r="S777" s="282" t="s">
        <v>970</v>
      </c>
      <c r="T777" s="283" t="s">
        <v>2411</v>
      </c>
      <c r="U777" s="471">
        <v>7109237.0</v>
      </c>
      <c r="V777" s="254"/>
      <c r="W777" s="282" t="s">
        <v>970</v>
      </c>
      <c r="X777" s="283" t="s">
        <v>2411</v>
      </c>
      <c r="Y777" s="471">
        <v>3457771.0</v>
      </c>
      <c r="Z777" s="254"/>
      <c r="AA777" s="282" t="s">
        <v>970</v>
      </c>
      <c r="AB777" s="283" t="s">
        <v>2411</v>
      </c>
      <c r="AC777" s="472">
        <v>3869871.0</v>
      </c>
      <c r="AD777" s="288"/>
      <c r="AE777" s="321"/>
      <c r="AF777" s="321"/>
      <c r="AG777" s="321"/>
      <c r="AH777" s="321"/>
      <c r="AI777" s="321"/>
      <c r="AJ777" s="293"/>
      <c r="AK777" s="260"/>
      <c r="AL777" s="259" t="str">
        <f>MATCH(B777,'Key Findings'!B:B,0)</f>
        <v>#N/A</v>
      </c>
      <c r="AM777" s="260" t="b">
        <f t="shared" si="2"/>
        <v>0</v>
      </c>
      <c r="AN777" s="294"/>
    </row>
    <row r="778">
      <c r="A778" s="169">
        <f t="array" ref="A778">INDEX('Federal Tax, Stock Buybacks, &amp; '!D:D,match(B778,'Federal Tax, Stock Buybacks, &amp; '!E:E,0))</f>
        <v>152</v>
      </c>
      <c r="B778" s="281" t="s">
        <v>967</v>
      </c>
      <c r="C778" s="282"/>
      <c r="D778" s="283"/>
      <c r="E778" s="471"/>
      <c r="F778" s="254"/>
      <c r="G778" s="282"/>
      <c r="H778" s="283"/>
      <c r="I778" s="471"/>
      <c r="J778" s="254"/>
      <c r="K778" s="282" t="s">
        <v>971</v>
      </c>
      <c r="L778" s="283" t="s">
        <v>1545</v>
      </c>
      <c r="M778" s="471">
        <v>9107174.0</v>
      </c>
      <c r="N778" s="254"/>
      <c r="O778" s="282" t="s">
        <v>971</v>
      </c>
      <c r="P778" s="283" t="s">
        <v>1545</v>
      </c>
      <c r="Q778" s="471">
        <v>7842743.0</v>
      </c>
      <c r="R778" s="254"/>
      <c r="S778" s="282" t="s">
        <v>971</v>
      </c>
      <c r="T778" s="283" t="s">
        <v>1545</v>
      </c>
      <c r="U778" s="471">
        <v>5157864.0</v>
      </c>
      <c r="V778" s="254"/>
      <c r="W778" s="282" t="s">
        <v>971</v>
      </c>
      <c r="X778" s="283" t="s">
        <v>1545</v>
      </c>
      <c r="Y778" s="471">
        <v>2957388.0</v>
      </c>
      <c r="Z778" s="254"/>
      <c r="AA778" s="282" t="s">
        <v>971</v>
      </c>
      <c r="AB778" s="283" t="s">
        <v>1545</v>
      </c>
      <c r="AC778" s="472">
        <v>3766024.0</v>
      </c>
      <c r="AD778" s="288"/>
      <c r="AE778" s="321"/>
      <c r="AF778" s="321"/>
      <c r="AG778" s="321"/>
      <c r="AH778" s="321"/>
      <c r="AI778" s="321"/>
      <c r="AJ778" s="293"/>
      <c r="AK778" s="260"/>
      <c r="AL778" s="259" t="str">
        <f>MATCH(B778,'Key Findings'!B:B,0)</f>
        <v>#N/A</v>
      </c>
      <c r="AM778" s="260" t="b">
        <f t="shared" si="2"/>
        <v>0</v>
      </c>
      <c r="AN778" s="294"/>
    </row>
    <row r="779">
      <c r="A779" s="169">
        <f t="array" ref="A779">INDEX('Federal Tax, Stock Buybacks, &amp; '!D:D,match(B779,'Federal Tax, Stock Buybacks, &amp; '!E:E,0))</f>
        <v>251</v>
      </c>
      <c r="B779" s="281" t="s">
        <v>1443</v>
      </c>
      <c r="C779" s="282"/>
      <c r="D779" s="283"/>
      <c r="E779" s="471"/>
      <c r="F779" s="254"/>
      <c r="G779" s="282"/>
      <c r="H779" s="283"/>
      <c r="I779" s="471"/>
      <c r="J779" s="254"/>
      <c r="K779" s="282" t="s">
        <v>1444</v>
      </c>
      <c r="L779" s="283" t="s">
        <v>1588</v>
      </c>
      <c r="M779" s="471">
        <v>1.0682318E7</v>
      </c>
      <c r="N779" s="254"/>
      <c r="O779" s="282" t="s">
        <v>1444</v>
      </c>
      <c r="P779" s="283" t="s">
        <v>1588</v>
      </c>
      <c r="Q779" s="471">
        <v>6879280.0</v>
      </c>
      <c r="R779" s="254"/>
      <c r="S779" s="282" t="s">
        <v>1444</v>
      </c>
      <c r="T779" s="283" t="s">
        <v>1588</v>
      </c>
      <c r="U779" s="471">
        <v>4950264.0</v>
      </c>
      <c r="V779" s="254"/>
      <c r="W779" s="282" t="s">
        <v>1444</v>
      </c>
      <c r="X779" s="283" t="s">
        <v>1588</v>
      </c>
      <c r="Y779" s="471">
        <v>5640401.0</v>
      </c>
      <c r="Z779" s="254"/>
      <c r="AA779" s="282" t="s">
        <v>1444</v>
      </c>
      <c r="AB779" s="283" t="s">
        <v>1588</v>
      </c>
      <c r="AC779" s="472">
        <v>3747578.0</v>
      </c>
      <c r="AD779" s="288"/>
      <c r="AE779" s="289">
        <v>2022.0</v>
      </c>
      <c r="AF779" s="289">
        <v>2021.0</v>
      </c>
      <c r="AG779" s="289">
        <v>2020.0</v>
      </c>
      <c r="AH779" s="289">
        <v>2019.0</v>
      </c>
      <c r="AI779" s="289">
        <v>2018.0</v>
      </c>
      <c r="AJ779" s="290" t="s">
        <v>1783</v>
      </c>
      <c r="AK779" s="260"/>
      <c r="AL779" s="259" t="str">
        <f>MATCH(B779,'Key Findings'!B:B,0)</f>
        <v>#N/A</v>
      </c>
      <c r="AM779" s="260" t="b">
        <f t="shared" si="2"/>
        <v>1</v>
      </c>
      <c r="AN779" s="294"/>
    </row>
    <row r="780">
      <c r="A780" s="169">
        <f t="array" ref="A780">INDEX('Federal Tax, Stock Buybacks, &amp; '!D:D,match(B780,'Federal Tax, Stock Buybacks, &amp; '!E:E,0))</f>
        <v>251</v>
      </c>
      <c r="B780" s="281" t="s">
        <v>1443</v>
      </c>
      <c r="C780" s="282"/>
      <c r="D780" s="283"/>
      <c r="E780" s="471"/>
      <c r="F780" s="254"/>
      <c r="G780" s="282"/>
      <c r="H780" s="283"/>
      <c r="I780" s="471"/>
      <c r="J780" s="254"/>
      <c r="K780" s="282" t="s">
        <v>1442</v>
      </c>
      <c r="L780" s="283" t="s">
        <v>1807</v>
      </c>
      <c r="M780" s="471">
        <v>1.9364071E7</v>
      </c>
      <c r="N780" s="254"/>
      <c r="O780" s="282" t="s">
        <v>1442</v>
      </c>
      <c r="P780" s="283" t="s">
        <v>1807</v>
      </c>
      <c r="Q780" s="471">
        <v>2.0827092E7</v>
      </c>
      <c r="R780" s="254"/>
      <c r="S780" s="282" t="s">
        <v>1442</v>
      </c>
      <c r="T780" s="283" t="s">
        <v>1807</v>
      </c>
      <c r="U780" s="471">
        <v>1.6985259E7</v>
      </c>
      <c r="V780" s="254"/>
      <c r="W780" s="282" t="s">
        <v>1442</v>
      </c>
      <c r="X780" s="283" t="s">
        <v>1807</v>
      </c>
      <c r="Y780" s="471">
        <v>1.7645648E7</v>
      </c>
      <c r="Z780" s="254"/>
      <c r="AA780" s="282" t="s">
        <v>1442</v>
      </c>
      <c r="AB780" s="283" t="s">
        <v>1807</v>
      </c>
      <c r="AC780" s="472">
        <v>1.9000187E7</v>
      </c>
      <c r="AD780" s="288"/>
      <c r="AE780" s="321"/>
      <c r="AF780" s="321"/>
      <c r="AG780" s="321"/>
      <c r="AH780" s="321"/>
      <c r="AI780" s="321"/>
      <c r="AJ780" s="293"/>
      <c r="AK780" s="260"/>
      <c r="AL780" s="259" t="str">
        <f>MATCH(B780,'Key Findings'!B:B,0)</f>
        <v>#N/A</v>
      </c>
      <c r="AM780" s="260" t="b">
        <f t="shared" si="2"/>
        <v>1</v>
      </c>
      <c r="AN780" s="294"/>
    </row>
    <row r="781">
      <c r="A781" s="169">
        <f t="array" ref="A781">INDEX('Federal Tax, Stock Buybacks, &amp; '!D:D,match(B781,'Federal Tax, Stock Buybacks, &amp; '!E:E,0))</f>
        <v>251</v>
      </c>
      <c r="B781" s="281" t="s">
        <v>1443</v>
      </c>
      <c r="C781" s="282"/>
      <c r="D781" s="283"/>
      <c r="E781" s="471"/>
      <c r="F781" s="254"/>
      <c r="G781" s="282"/>
      <c r="H781" s="283"/>
      <c r="I781" s="471"/>
      <c r="J781" s="254"/>
      <c r="K781" s="282" t="s">
        <v>1448</v>
      </c>
      <c r="L781" s="283" t="s">
        <v>1532</v>
      </c>
      <c r="M781" s="471">
        <v>5595112.0</v>
      </c>
      <c r="N781" s="254"/>
      <c r="O781" s="282" t="s">
        <v>1448</v>
      </c>
      <c r="P781" s="283" t="s">
        <v>1532</v>
      </c>
      <c r="Q781" s="471">
        <v>7460417.0</v>
      </c>
      <c r="R781" s="254"/>
      <c r="S781" s="282" t="s">
        <v>1445</v>
      </c>
      <c r="T781" s="283" t="s">
        <v>2412</v>
      </c>
      <c r="U781" s="471">
        <v>4613573.0</v>
      </c>
      <c r="V781" s="254"/>
      <c r="W781" s="282" t="s">
        <v>1445</v>
      </c>
      <c r="X781" s="283" t="s">
        <v>2412</v>
      </c>
      <c r="Y781" s="471">
        <v>6030701.0</v>
      </c>
      <c r="Z781" s="254"/>
      <c r="AA781" s="282" t="s">
        <v>1452</v>
      </c>
      <c r="AB781" s="283" t="s">
        <v>2413</v>
      </c>
      <c r="AC781" s="472">
        <v>3774238.0</v>
      </c>
      <c r="AD781" s="288"/>
      <c r="AE781" s="321"/>
      <c r="AF781" s="321"/>
      <c r="AG781" s="321"/>
      <c r="AH781" s="321"/>
      <c r="AI781" s="321"/>
      <c r="AJ781" s="293"/>
      <c r="AK781" s="260"/>
      <c r="AL781" s="259" t="str">
        <f>MATCH(B781,'Key Findings'!B:B,0)</f>
        <v>#N/A</v>
      </c>
      <c r="AM781" s="260" t="b">
        <f t="shared" si="2"/>
        <v>1</v>
      </c>
      <c r="AN781" s="294"/>
    </row>
    <row r="782">
      <c r="A782" s="169">
        <f t="array" ref="A782">INDEX('Federal Tax, Stock Buybacks, &amp; '!D:D,match(B782,'Federal Tax, Stock Buybacks, &amp; '!E:E,0))</f>
        <v>251</v>
      </c>
      <c r="B782" s="281" t="s">
        <v>1443</v>
      </c>
      <c r="C782" s="282"/>
      <c r="D782" s="283"/>
      <c r="E782" s="471"/>
      <c r="F782" s="254"/>
      <c r="G782" s="282"/>
      <c r="H782" s="283"/>
      <c r="I782" s="471"/>
      <c r="J782" s="254"/>
      <c r="K782" s="282" t="s">
        <v>1445</v>
      </c>
      <c r="L782" s="283" t="s">
        <v>2412</v>
      </c>
      <c r="M782" s="471">
        <v>7014269.0</v>
      </c>
      <c r="N782" s="254"/>
      <c r="O782" s="282" t="s">
        <v>1445</v>
      </c>
      <c r="P782" s="283" t="s">
        <v>2412</v>
      </c>
      <c r="Q782" s="471">
        <v>6248987.0</v>
      </c>
      <c r="R782" s="254"/>
      <c r="S782" s="282" t="s">
        <v>1447</v>
      </c>
      <c r="T782" s="283" t="s">
        <v>1532</v>
      </c>
      <c r="U782" s="471">
        <v>4918880.0</v>
      </c>
      <c r="V782" s="254"/>
      <c r="W782" s="282" t="s">
        <v>1447</v>
      </c>
      <c r="X782" s="283" t="s">
        <v>1532</v>
      </c>
      <c r="Y782" s="471">
        <v>4132593.0</v>
      </c>
      <c r="Z782" s="254"/>
      <c r="AA782" s="282" t="s">
        <v>1447</v>
      </c>
      <c r="AB782" s="283" t="s">
        <v>1532</v>
      </c>
      <c r="AC782" s="472">
        <v>1613318.0</v>
      </c>
      <c r="AD782" s="288"/>
      <c r="AE782" s="321"/>
      <c r="AF782" s="321"/>
      <c r="AG782" s="321"/>
      <c r="AH782" s="321"/>
      <c r="AI782" s="321"/>
      <c r="AJ782" s="293"/>
      <c r="AK782" s="260"/>
      <c r="AL782" s="259" t="str">
        <f>MATCH(B782,'Key Findings'!B:B,0)</f>
        <v>#N/A</v>
      </c>
      <c r="AM782" s="260" t="b">
        <f t="shared" si="2"/>
        <v>1</v>
      </c>
      <c r="AN782" s="294"/>
    </row>
    <row r="783">
      <c r="A783" s="169">
        <f t="array" ref="A783">INDEX('Federal Tax, Stock Buybacks, &amp; '!D:D,match(B783,'Federal Tax, Stock Buybacks, &amp; '!E:E,0))</f>
        <v>251</v>
      </c>
      <c r="B783" s="281" t="s">
        <v>1443</v>
      </c>
      <c r="C783" s="282"/>
      <c r="D783" s="283"/>
      <c r="E783" s="471"/>
      <c r="F783" s="254"/>
      <c r="G783" s="282"/>
      <c r="H783" s="283"/>
      <c r="I783" s="471"/>
      <c r="J783" s="254"/>
      <c r="K783" s="282" t="s">
        <v>1449</v>
      </c>
      <c r="L783" s="283" t="s">
        <v>2338</v>
      </c>
      <c r="M783" s="471">
        <v>5177547.0</v>
      </c>
      <c r="N783" s="254"/>
      <c r="O783" s="282" t="s">
        <v>1447</v>
      </c>
      <c r="P783" s="283" t="s">
        <v>1528</v>
      </c>
      <c r="Q783" s="471">
        <v>4033100.0</v>
      </c>
      <c r="R783" s="254"/>
      <c r="S783" s="282" t="s">
        <v>1446</v>
      </c>
      <c r="T783" s="283" t="s">
        <v>2414</v>
      </c>
      <c r="U783" s="471">
        <v>4420390.0</v>
      </c>
      <c r="V783" s="254"/>
      <c r="W783" s="282" t="s">
        <v>1446</v>
      </c>
      <c r="X783" s="283" t="s">
        <v>2414</v>
      </c>
      <c r="Y783" s="471">
        <v>4962795.0</v>
      </c>
      <c r="Z783" s="254"/>
      <c r="AA783" s="282" t="s">
        <v>1449</v>
      </c>
      <c r="AB783" s="283" t="s">
        <v>2415</v>
      </c>
      <c r="AC783" s="472">
        <v>4397284.0</v>
      </c>
      <c r="AD783" s="288"/>
      <c r="AE783" s="321"/>
      <c r="AF783" s="321"/>
      <c r="AG783" s="321"/>
      <c r="AH783" s="321"/>
      <c r="AI783" s="321"/>
      <c r="AJ783" s="293"/>
      <c r="AK783" s="260"/>
      <c r="AL783" s="259" t="str">
        <f>MATCH(B783,'Key Findings'!B:B,0)</f>
        <v>#N/A</v>
      </c>
      <c r="AM783" s="260" t="b">
        <f t="shared" si="2"/>
        <v>1</v>
      </c>
      <c r="AN783" s="294"/>
    </row>
    <row r="784">
      <c r="A784" s="169">
        <f t="array" ref="A784">INDEX('Federal Tax, Stock Buybacks, &amp; '!D:D,match(B784,'Federal Tax, Stock Buybacks, &amp; '!E:E,0))</f>
        <v>251</v>
      </c>
      <c r="B784" s="281" t="s">
        <v>1443</v>
      </c>
      <c r="C784" s="282"/>
      <c r="D784" s="283"/>
      <c r="E784" s="471"/>
      <c r="F784" s="254"/>
      <c r="G784" s="282"/>
      <c r="H784" s="283"/>
      <c r="I784" s="471"/>
      <c r="J784" s="254"/>
      <c r="K784" s="282" t="s">
        <v>1451</v>
      </c>
      <c r="L784" s="283" t="s">
        <v>2416</v>
      </c>
      <c r="M784" s="471">
        <v>3893127.0</v>
      </c>
      <c r="N784" s="254"/>
      <c r="O784" s="282" t="s">
        <v>1446</v>
      </c>
      <c r="P784" s="283" t="s">
        <v>2417</v>
      </c>
      <c r="Q784" s="471">
        <v>5374898.0</v>
      </c>
      <c r="R784" s="254"/>
      <c r="S784" s="298" t="s">
        <v>711</v>
      </c>
      <c r="T784" s="296" t="s">
        <v>711</v>
      </c>
      <c r="U784" s="523" t="s">
        <v>711</v>
      </c>
      <c r="V784" s="254"/>
      <c r="W784" s="298" t="s">
        <v>711</v>
      </c>
      <c r="X784" s="296" t="s">
        <v>711</v>
      </c>
      <c r="Y784" s="523" t="s">
        <v>711</v>
      </c>
      <c r="Z784" s="254"/>
      <c r="AA784" s="282" t="s">
        <v>1450</v>
      </c>
      <c r="AB784" s="283" t="s">
        <v>1528</v>
      </c>
      <c r="AC784" s="472">
        <v>6356699.0</v>
      </c>
      <c r="AD784" s="288"/>
      <c r="AE784" s="321"/>
      <c r="AF784" s="321"/>
      <c r="AG784" s="321"/>
      <c r="AH784" s="321"/>
      <c r="AI784" s="321"/>
      <c r="AJ784" s="293"/>
      <c r="AK784" s="260"/>
      <c r="AL784" s="259" t="str">
        <f>MATCH(B784,'Key Findings'!B:B,0)</f>
        <v>#N/A</v>
      </c>
      <c r="AM784" s="260" t="b">
        <f t="shared" si="2"/>
        <v>1</v>
      </c>
      <c r="AN784" s="294"/>
    </row>
    <row r="785">
      <c r="A785" s="169">
        <f t="array" ref="A785">INDEX('Federal Tax, Stock Buybacks, &amp; '!D:D,match(B785,'Federal Tax, Stock Buybacks, &amp; '!E:E,0))</f>
        <v>251</v>
      </c>
      <c r="B785" s="281" t="s">
        <v>1443</v>
      </c>
      <c r="C785" s="282"/>
      <c r="D785" s="283"/>
      <c r="E785" s="471"/>
      <c r="F785" s="254"/>
      <c r="G785" s="282"/>
      <c r="H785" s="283"/>
      <c r="I785" s="471"/>
      <c r="J785" s="254"/>
      <c r="K785" s="282" t="s">
        <v>1446</v>
      </c>
      <c r="L785" s="283" t="s">
        <v>2417</v>
      </c>
      <c r="M785" s="471">
        <v>5409733.0</v>
      </c>
      <c r="N785" s="254"/>
      <c r="O785" s="298" t="s">
        <v>711</v>
      </c>
      <c r="P785" s="296" t="s">
        <v>711</v>
      </c>
      <c r="Q785" s="523" t="s">
        <v>711</v>
      </c>
      <c r="R785" s="254"/>
      <c r="S785" s="298" t="s">
        <v>711</v>
      </c>
      <c r="T785" s="296" t="s">
        <v>711</v>
      </c>
      <c r="U785" s="523" t="s">
        <v>711</v>
      </c>
      <c r="V785" s="254"/>
      <c r="W785" s="298" t="s">
        <v>711</v>
      </c>
      <c r="X785" s="296" t="s">
        <v>711</v>
      </c>
      <c r="Y785" s="523" t="s">
        <v>711</v>
      </c>
      <c r="Z785" s="254"/>
      <c r="AA785" s="298" t="s">
        <v>711</v>
      </c>
      <c r="AB785" s="296" t="s">
        <v>711</v>
      </c>
      <c r="AC785" s="523" t="s">
        <v>711</v>
      </c>
      <c r="AD785" s="288"/>
      <c r="AE785" s="321"/>
      <c r="AF785" s="321"/>
      <c r="AG785" s="321"/>
      <c r="AH785" s="321"/>
      <c r="AI785" s="321"/>
      <c r="AJ785" s="293"/>
      <c r="AK785" s="260"/>
      <c r="AL785" s="259" t="str">
        <f>MATCH(B785,'Key Findings'!B:B,0)</f>
        <v>#N/A</v>
      </c>
      <c r="AM785" s="260" t="b">
        <f t="shared" si="2"/>
        <v>1</v>
      </c>
      <c r="AN785" s="294"/>
    </row>
    <row r="786">
      <c r="A786" s="169">
        <f t="array" ref="A786">INDEX('Federal Tax, Stock Buybacks, &amp; '!D:D,match(B786,'Federal Tax, Stock Buybacks, &amp; '!E:E,0))</f>
        <v>81</v>
      </c>
      <c r="B786" s="386" t="s">
        <v>1271</v>
      </c>
      <c r="C786" s="316"/>
      <c r="D786" s="374"/>
      <c r="E786" s="539"/>
      <c r="F786" s="254"/>
      <c r="G786" s="316"/>
      <c r="H786" s="374"/>
      <c r="I786" s="539"/>
      <c r="J786" s="254"/>
      <c r="K786" s="316" t="s">
        <v>1273</v>
      </c>
      <c r="L786" s="374" t="s">
        <v>2418</v>
      </c>
      <c r="M786" s="539">
        <v>5920894.0</v>
      </c>
      <c r="N786" s="254"/>
      <c r="O786" s="316" t="s">
        <v>1273</v>
      </c>
      <c r="P786" s="374" t="s">
        <v>2418</v>
      </c>
      <c r="Q786" s="540">
        <v>6307975.0</v>
      </c>
      <c r="R786" s="254"/>
      <c r="S786" s="316" t="s">
        <v>1275</v>
      </c>
      <c r="T786" s="295" t="s">
        <v>2419</v>
      </c>
      <c r="U786" s="471">
        <v>6812256.0</v>
      </c>
      <c r="V786" s="254"/>
      <c r="W786" s="316" t="s">
        <v>1272</v>
      </c>
      <c r="X786" s="374" t="s">
        <v>1674</v>
      </c>
      <c r="Y786" s="471">
        <v>2.1697885E7</v>
      </c>
      <c r="Z786" s="254"/>
      <c r="AA786" s="316" t="s">
        <v>1272</v>
      </c>
      <c r="AB786" s="374" t="s">
        <v>1674</v>
      </c>
      <c r="AC786" s="472">
        <v>1.8525667E7</v>
      </c>
      <c r="AD786" s="288"/>
      <c r="AE786" s="289">
        <v>2022.0</v>
      </c>
      <c r="AF786" s="289">
        <v>2021.0</v>
      </c>
      <c r="AG786" s="289">
        <v>2020.0</v>
      </c>
      <c r="AH786" s="289">
        <v>2019.0</v>
      </c>
      <c r="AI786" s="289">
        <v>2018.0</v>
      </c>
      <c r="AJ786" s="320" t="s">
        <v>1524</v>
      </c>
      <c r="AK786" s="260"/>
      <c r="AL786" s="259" t="str">
        <f>MATCH(B786,'Key Findings'!B:B,0)</f>
        <v>#N/A</v>
      </c>
      <c r="AM786" s="260" t="b">
        <f t="shared" si="2"/>
        <v>1</v>
      </c>
      <c r="AN786" s="294"/>
    </row>
    <row r="787">
      <c r="A787" s="169">
        <f t="array" ref="A787">INDEX('Federal Tax, Stock Buybacks, &amp; '!D:D,match(B787,'Federal Tax, Stock Buybacks, &amp; '!E:E,0))</f>
        <v>81</v>
      </c>
      <c r="B787" s="386" t="s">
        <v>1271</v>
      </c>
      <c r="C787" s="316"/>
      <c r="D787" s="374"/>
      <c r="E787" s="539"/>
      <c r="F787" s="254"/>
      <c r="G787" s="316"/>
      <c r="H787" s="374"/>
      <c r="I787" s="539"/>
      <c r="J787" s="254"/>
      <c r="K787" s="316" t="s">
        <v>1270</v>
      </c>
      <c r="L787" s="374" t="s">
        <v>1674</v>
      </c>
      <c r="M787" s="539">
        <v>2.0300151E7</v>
      </c>
      <c r="N787" s="254"/>
      <c r="O787" s="316" t="s">
        <v>1270</v>
      </c>
      <c r="P787" s="374" t="s">
        <v>1674</v>
      </c>
      <c r="Q787" s="540">
        <v>1.9912826E7</v>
      </c>
      <c r="R787" s="254"/>
      <c r="S787" s="316" t="s">
        <v>1273</v>
      </c>
      <c r="T787" s="374" t="s">
        <v>2418</v>
      </c>
      <c r="U787" s="471">
        <v>6512641.0</v>
      </c>
      <c r="V787" s="254"/>
      <c r="W787" s="316" t="s">
        <v>1275</v>
      </c>
      <c r="X787" s="295" t="s">
        <v>2420</v>
      </c>
      <c r="Y787" s="471">
        <v>1.0087141E7</v>
      </c>
      <c r="Z787" s="254"/>
      <c r="AA787" s="316" t="s">
        <v>1275</v>
      </c>
      <c r="AB787" s="334" t="s">
        <v>2421</v>
      </c>
      <c r="AC787" s="472">
        <v>4579597.0</v>
      </c>
      <c r="AD787" s="288"/>
      <c r="AE787" s="292"/>
      <c r="AF787" s="292"/>
      <c r="AG787" s="292"/>
      <c r="AH787" s="292"/>
      <c r="AI787" s="292"/>
      <c r="AJ787" s="394"/>
      <c r="AK787" s="260"/>
      <c r="AL787" s="259" t="str">
        <f>MATCH(B787,'Key Findings'!B:B,0)</f>
        <v>#N/A</v>
      </c>
      <c r="AM787" s="260" t="b">
        <f t="shared" si="2"/>
        <v>1</v>
      </c>
      <c r="AN787" s="294"/>
    </row>
    <row r="788">
      <c r="A788" s="169">
        <f t="array" ref="A788">INDEX('Federal Tax, Stock Buybacks, &amp; '!D:D,match(B788,'Federal Tax, Stock Buybacks, &amp; '!E:E,0))</f>
        <v>81</v>
      </c>
      <c r="B788" s="386" t="s">
        <v>1271</v>
      </c>
      <c r="C788" s="316"/>
      <c r="D788" s="286"/>
      <c r="E788" s="539"/>
      <c r="F788" s="254"/>
      <c r="G788" s="316"/>
      <c r="H788" s="286"/>
      <c r="I788" s="539"/>
      <c r="J788" s="254"/>
      <c r="K788" s="316" t="s">
        <v>1276</v>
      </c>
      <c r="L788" s="286" t="s">
        <v>2420</v>
      </c>
      <c r="M788" s="539">
        <v>6997172.0</v>
      </c>
      <c r="N788" s="254"/>
      <c r="O788" s="316" t="s">
        <v>1276</v>
      </c>
      <c r="P788" s="317" t="s">
        <v>1647</v>
      </c>
      <c r="Q788" s="541">
        <v>6461344.0</v>
      </c>
      <c r="R788" s="254"/>
      <c r="S788" s="316" t="s">
        <v>1270</v>
      </c>
      <c r="T788" s="374" t="s">
        <v>1674</v>
      </c>
      <c r="U788" s="471">
        <v>1.5588384E7</v>
      </c>
      <c r="V788" s="254"/>
      <c r="W788" s="316" t="s">
        <v>1273</v>
      </c>
      <c r="X788" s="374" t="s">
        <v>2418</v>
      </c>
      <c r="Y788" s="471">
        <v>5437459.0</v>
      </c>
      <c r="Z788" s="254"/>
      <c r="AA788" s="316" t="s">
        <v>1273</v>
      </c>
      <c r="AB788" s="334" t="s">
        <v>1647</v>
      </c>
      <c r="AC788" s="472">
        <v>4336851.0</v>
      </c>
      <c r="AD788" s="288"/>
      <c r="AE788" s="292"/>
      <c r="AF788" s="292"/>
      <c r="AG788" s="292"/>
      <c r="AH788" s="292"/>
      <c r="AI788" s="292"/>
      <c r="AJ788" s="394"/>
      <c r="AK788" s="260"/>
      <c r="AL788" s="259" t="str">
        <f>MATCH(B788,'Key Findings'!B:B,0)</f>
        <v>#N/A</v>
      </c>
      <c r="AM788" s="260" t="b">
        <f t="shared" si="2"/>
        <v>1</v>
      </c>
      <c r="AN788" s="294"/>
    </row>
    <row r="789">
      <c r="A789" s="169">
        <f t="array" ref="A789">INDEX('Federal Tax, Stock Buybacks, &amp; '!D:D,match(B789,'Federal Tax, Stock Buybacks, &amp; '!E:E,0))</f>
        <v>81</v>
      </c>
      <c r="B789" s="386" t="s">
        <v>1271</v>
      </c>
      <c r="C789" s="316"/>
      <c r="D789" s="286"/>
      <c r="E789" s="539"/>
      <c r="F789" s="254"/>
      <c r="G789" s="316"/>
      <c r="H789" s="286"/>
      <c r="I789" s="539"/>
      <c r="J789" s="254"/>
      <c r="K789" s="316" t="s">
        <v>1274</v>
      </c>
      <c r="L789" s="286" t="s">
        <v>2422</v>
      </c>
      <c r="M789" s="539">
        <v>5798454.0</v>
      </c>
      <c r="N789" s="254"/>
      <c r="O789" s="316" t="s">
        <v>1274</v>
      </c>
      <c r="P789" s="374" t="s">
        <v>2422</v>
      </c>
      <c r="Q789" s="540">
        <v>6436600.0</v>
      </c>
      <c r="R789" s="254"/>
      <c r="S789" s="316" t="s">
        <v>1276</v>
      </c>
      <c r="T789" s="295" t="s">
        <v>1647</v>
      </c>
      <c r="U789" s="471">
        <v>5617011.0</v>
      </c>
      <c r="V789" s="254"/>
      <c r="W789" s="316" t="s">
        <v>1270</v>
      </c>
      <c r="X789" s="295" t="s">
        <v>1697</v>
      </c>
      <c r="Y789" s="471">
        <v>6005692.0</v>
      </c>
      <c r="Z789" s="254"/>
      <c r="AA789" s="316" t="s">
        <v>1279</v>
      </c>
      <c r="AB789" s="334" t="s">
        <v>2423</v>
      </c>
      <c r="AC789" s="472">
        <v>4633762.0</v>
      </c>
      <c r="AD789" s="288"/>
      <c r="AE789" s="292"/>
      <c r="AF789" s="292"/>
      <c r="AG789" s="292"/>
      <c r="AH789" s="292"/>
      <c r="AI789" s="292"/>
      <c r="AJ789" s="394"/>
      <c r="AK789" s="260"/>
      <c r="AL789" s="259" t="str">
        <f>MATCH(B789,'Key Findings'!B:B,0)</f>
        <v>#N/A</v>
      </c>
      <c r="AM789" s="260" t="b">
        <f t="shared" si="2"/>
        <v>1</v>
      </c>
      <c r="AN789" s="294"/>
    </row>
    <row r="790">
      <c r="A790" s="169">
        <f t="array" ref="A790">INDEX('Federal Tax, Stock Buybacks, &amp; '!D:D,match(B790,'Federal Tax, Stock Buybacks, &amp; '!E:E,0))</f>
        <v>81</v>
      </c>
      <c r="B790" s="386" t="s">
        <v>1271</v>
      </c>
      <c r="C790" s="316"/>
      <c r="D790" s="286"/>
      <c r="E790" s="539"/>
      <c r="F790" s="254"/>
      <c r="G790" s="316"/>
      <c r="H790" s="286"/>
      <c r="I790" s="539"/>
      <c r="J790" s="254"/>
      <c r="K790" s="316" t="s">
        <v>1277</v>
      </c>
      <c r="L790" s="286" t="s">
        <v>2424</v>
      </c>
      <c r="M790" s="539">
        <v>5454772.0</v>
      </c>
      <c r="N790" s="254"/>
      <c r="O790" s="316" t="s">
        <v>1278</v>
      </c>
      <c r="P790" s="374" t="s">
        <v>2425</v>
      </c>
      <c r="Q790" s="540">
        <v>6793008.0</v>
      </c>
      <c r="R790" s="254"/>
      <c r="S790" s="316" t="s">
        <v>1274</v>
      </c>
      <c r="T790" s="295" t="s">
        <v>2422</v>
      </c>
      <c r="U790" s="471">
        <v>6192669.0</v>
      </c>
      <c r="V790" s="254"/>
      <c r="W790" s="316" t="s">
        <v>1276</v>
      </c>
      <c r="X790" s="374" t="s">
        <v>1647</v>
      </c>
      <c r="Y790" s="471">
        <v>1920982.0</v>
      </c>
      <c r="Z790" s="254"/>
      <c r="AA790" s="316" t="s">
        <v>1270</v>
      </c>
      <c r="AB790" s="334" t="s">
        <v>2426</v>
      </c>
      <c r="AC790" s="472">
        <v>4273996.0</v>
      </c>
      <c r="AD790" s="288"/>
      <c r="AE790" s="292"/>
      <c r="AF790" s="292"/>
      <c r="AG790" s="292"/>
      <c r="AH790" s="292"/>
      <c r="AI790" s="292"/>
      <c r="AJ790" s="394"/>
      <c r="AK790" s="260"/>
      <c r="AL790" s="259" t="str">
        <f>MATCH(B790,'Key Findings'!B:B,0)</f>
        <v>#N/A</v>
      </c>
      <c r="AM790" s="260" t="b">
        <f t="shared" si="2"/>
        <v>1</v>
      </c>
      <c r="AN790" s="294"/>
    </row>
    <row r="791">
      <c r="A791" s="169">
        <f t="array" ref="A791">INDEX('Federal Tax, Stock Buybacks, &amp; '!D:D,match(B791,'Federal Tax, Stock Buybacks, &amp; '!E:E,0))</f>
        <v>81</v>
      </c>
      <c r="B791" s="386" t="s">
        <v>1271</v>
      </c>
      <c r="C791" s="316"/>
      <c r="D791" s="286"/>
      <c r="E791" s="539"/>
      <c r="F791" s="254"/>
      <c r="G791" s="316"/>
      <c r="H791" s="286"/>
      <c r="I791" s="539"/>
      <c r="J791" s="254"/>
      <c r="K791" s="316" t="s">
        <v>1278</v>
      </c>
      <c r="L791" s="286" t="s">
        <v>2427</v>
      </c>
      <c r="M791" s="539">
        <v>5775163.0</v>
      </c>
      <c r="N791" s="254"/>
      <c r="O791" s="316" t="s">
        <v>1277</v>
      </c>
      <c r="P791" s="317" t="s">
        <v>2424</v>
      </c>
      <c r="Q791" s="540">
        <v>6287358.0</v>
      </c>
      <c r="R791" s="254"/>
      <c r="S791" s="316" t="s">
        <v>1277</v>
      </c>
      <c r="T791" s="295" t="s">
        <v>2428</v>
      </c>
      <c r="U791" s="471">
        <v>6397093.0</v>
      </c>
      <c r="V791" s="254"/>
      <c r="W791" s="316" t="s">
        <v>1274</v>
      </c>
      <c r="X791" s="295" t="s">
        <v>2422</v>
      </c>
      <c r="Y791" s="471">
        <v>5091923.0</v>
      </c>
      <c r="Z791" s="254"/>
      <c r="AA791" s="298" t="s">
        <v>711</v>
      </c>
      <c r="AB791" s="296" t="s">
        <v>711</v>
      </c>
      <c r="AC791" s="523" t="s">
        <v>711</v>
      </c>
      <c r="AD791" s="288"/>
      <c r="AE791" s="292"/>
      <c r="AF791" s="292"/>
      <c r="AG791" s="292"/>
      <c r="AH791" s="292"/>
      <c r="AI791" s="292"/>
      <c r="AJ791" s="394"/>
      <c r="AK791" s="260"/>
      <c r="AL791" s="259" t="str">
        <f>MATCH(B791,'Key Findings'!B:B,0)</f>
        <v>#N/A</v>
      </c>
      <c r="AM791" s="260" t="b">
        <f t="shared" si="2"/>
        <v>1</v>
      </c>
      <c r="AN791" s="294"/>
    </row>
    <row r="792">
      <c r="A792" s="169">
        <f t="array" ref="A792">INDEX('Federal Tax, Stock Buybacks, &amp; '!D:D,match(B792,'Federal Tax, Stock Buybacks, &amp; '!E:E,0))</f>
        <v>81</v>
      </c>
      <c r="B792" s="386" t="s">
        <v>1271</v>
      </c>
      <c r="C792" s="316"/>
      <c r="D792" s="286"/>
      <c r="E792" s="539"/>
      <c r="F792" s="254"/>
      <c r="G792" s="316"/>
      <c r="H792" s="286"/>
      <c r="I792" s="539"/>
      <c r="J792" s="254"/>
      <c r="K792" s="316" t="s">
        <v>1280</v>
      </c>
      <c r="L792" s="286" t="s">
        <v>1647</v>
      </c>
      <c r="M792" s="539">
        <v>1515747.0</v>
      </c>
      <c r="N792" s="254"/>
      <c r="O792" s="298" t="s">
        <v>711</v>
      </c>
      <c r="P792" s="296" t="s">
        <v>711</v>
      </c>
      <c r="Q792" s="523" t="s">
        <v>711</v>
      </c>
      <c r="R792" s="254"/>
      <c r="S792" s="298" t="s">
        <v>711</v>
      </c>
      <c r="T792" s="296" t="s">
        <v>711</v>
      </c>
      <c r="U792" s="523" t="s">
        <v>711</v>
      </c>
      <c r="V792" s="254"/>
      <c r="W792" s="298" t="s">
        <v>711</v>
      </c>
      <c r="X792" s="296" t="s">
        <v>711</v>
      </c>
      <c r="Y792" s="523" t="s">
        <v>711</v>
      </c>
      <c r="Z792" s="254"/>
      <c r="AA792" s="298" t="s">
        <v>711</v>
      </c>
      <c r="AB792" s="296" t="s">
        <v>711</v>
      </c>
      <c r="AC792" s="523" t="s">
        <v>711</v>
      </c>
      <c r="AD792" s="288"/>
      <c r="AE792" s="292"/>
      <c r="AF792" s="292"/>
      <c r="AG792" s="292"/>
      <c r="AH792" s="292"/>
      <c r="AI792" s="292"/>
      <c r="AJ792" s="394"/>
      <c r="AK792" s="260"/>
      <c r="AL792" s="259" t="str">
        <f>MATCH(B792,'Key Findings'!B:B,0)</f>
        <v>#N/A</v>
      </c>
      <c r="AM792" s="260" t="b">
        <f t="shared" si="2"/>
        <v>1</v>
      </c>
      <c r="AN792" s="294"/>
    </row>
    <row r="793">
      <c r="A793" s="169">
        <f t="array" ref="A793">INDEX('Federal Tax, Stock Buybacks, &amp; '!D:D,match(B793,'Federal Tax, Stock Buybacks, &amp; '!E:E,0))</f>
        <v>97</v>
      </c>
      <c r="B793" s="397" t="s">
        <v>868</v>
      </c>
      <c r="C793" s="398"/>
      <c r="D793" s="365"/>
      <c r="E793" s="550"/>
      <c r="F793" s="254"/>
      <c r="G793" s="398"/>
      <c r="H793" s="365"/>
      <c r="I793" s="550"/>
      <c r="J793" s="254"/>
      <c r="K793" s="398" t="s">
        <v>867</v>
      </c>
      <c r="L793" s="365" t="s">
        <v>1815</v>
      </c>
      <c r="M793" s="550">
        <v>2.8208909E7</v>
      </c>
      <c r="N793" s="254"/>
      <c r="O793" s="398" t="s">
        <v>869</v>
      </c>
      <c r="P793" s="401" t="s">
        <v>2370</v>
      </c>
      <c r="Q793" s="552">
        <v>9399356.0</v>
      </c>
      <c r="R793" s="254"/>
      <c r="S793" s="398" t="s">
        <v>867</v>
      </c>
      <c r="T793" s="364" t="s">
        <v>1815</v>
      </c>
      <c r="U793" s="499">
        <v>2.6390073E7</v>
      </c>
      <c r="V793" s="254"/>
      <c r="W793" s="398" t="s">
        <v>867</v>
      </c>
      <c r="X793" s="364" t="s">
        <v>1815</v>
      </c>
      <c r="Y793" s="499">
        <v>1.9023145E7</v>
      </c>
      <c r="Z793" s="254"/>
      <c r="AA793" s="398" t="s">
        <v>867</v>
      </c>
      <c r="AB793" s="302" t="s">
        <v>1588</v>
      </c>
      <c r="AC793" s="488">
        <v>1.8607103E7</v>
      </c>
      <c r="AD793" s="306"/>
      <c r="AE793" s="307">
        <v>2022.0</v>
      </c>
      <c r="AF793" s="307">
        <v>2021.0</v>
      </c>
      <c r="AG793" s="307">
        <v>2020.0</v>
      </c>
      <c r="AH793" s="307">
        <v>2019.0</v>
      </c>
      <c r="AI793" s="307">
        <v>2018.0</v>
      </c>
      <c r="AJ793" s="273" t="s">
        <v>1524</v>
      </c>
      <c r="AK793" s="274"/>
      <c r="AL793" s="259" t="str">
        <f>MATCH(B793,'Key Findings'!B:B,0)</f>
        <v>#N/A</v>
      </c>
      <c r="AM793" s="274" t="b">
        <f t="shared" si="2"/>
        <v>1</v>
      </c>
      <c r="AN793" s="294"/>
    </row>
    <row r="794">
      <c r="A794" s="169">
        <f t="array" ref="A794">INDEX('Federal Tax, Stock Buybacks, &amp; '!D:D,match(B794,'Federal Tax, Stock Buybacks, &amp; '!E:E,0))</f>
        <v>97</v>
      </c>
      <c r="B794" s="397" t="s">
        <v>868</v>
      </c>
      <c r="C794" s="398"/>
      <c r="D794" s="365"/>
      <c r="E794" s="550"/>
      <c r="F794" s="254"/>
      <c r="G794" s="398"/>
      <c r="H794" s="365"/>
      <c r="I794" s="550"/>
      <c r="J794" s="254"/>
      <c r="K794" s="398" t="s">
        <v>871</v>
      </c>
      <c r="L794" s="365" t="s">
        <v>1647</v>
      </c>
      <c r="M794" s="550">
        <v>6853073.0</v>
      </c>
      <c r="N794" s="254"/>
      <c r="O794" s="398" t="s">
        <v>871</v>
      </c>
      <c r="P794" s="364" t="s">
        <v>1647</v>
      </c>
      <c r="Q794" s="552">
        <v>6952326.0</v>
      </c>
      <c r="R794" s="254"/>
      <c r="S794" s="398" t="s">
        <v>869</v>
      </c>
      <c r="T794" s="369" t="s">
        <v>1832</v>
      </c>
      <c r="U794" s="499">
        <v>1.2528306E7</v>
      </c>
      <c r="V794" s="254"/>
      <c r="W794" s="398" t="s">
        <v>875</v>
      </c>
      <c r="X794" s="369" t="s">
        <v>1891</v>
      </c>
      <c r="Y794" s="499">
        <v>4332407.0</v>
      </c>
      <c r="Z794" s="254"/>
      <c r="AA794" s="398" t="s">
        <v>875</v>
      </c>
      <c r="AB794" s="302" t="s">
        <v>1891</v>
      </c>
      <c r="AC794" s="488">
        <v>4301485.0</v>
      </c>
      <c r="AD794" s="306"/>
      <c r="AE794" s="308"/>
      <c r="AF794" s="308"/>
      <c r="AG794" s="308"/>
      <c r="AH794" s="308"/>
      <c r="AI794" s="308"/>
      <c r="AJ794" s="278"/>
      <c r="AK794" s="274"/>
      <c r="AL794" s="259" t="str">
        <f>MATCH(B794,'Key Findings'!B:B,0)</f>
        <v>#N/A</v>
      </c>
      <c r="AM794" s="274" t="b">
        <f t="shared" si="2"/>
        <v>1</v>
      </c>
      <c r="AN794" s="294"/>
    </row>
    <row r="795">
      <c r="A795" s="169">
        <f t="array" ref="A795">INDEX('Federal Tax, Stock Buybacks, &amp; '!D:D,match(B795,'Federal Tax, Stock Buybacks, &amp; '!E:E,0))</f>
        <v>97</v>
      </c>
      <c r="B795" s="397" t="s">
        <v>868</v>
      </c>
      <c r="C795" s="398"/>
      <c r="D795" s="365"/>
      <c r="E795" s="550"/>
      <c r="F795" s="254"/>
      <c r="G795" s="398"/>
      <c r="H795" s="365"/>
      <c r="I795" s="550"/>
      <c r="J795" s="254"/>
      <c r="K795" s="398" t="s">
        <v>870</v>
      </c>
      <c r="L795" s="365" t="s">
        <v>1832</v>
      </c>
      <c r="M795" s="550">
        <v>8063523.0</v>
      </c>
      <c r="N795" s="254"/>
      <c r="O795" s="398" t="s">
        <v>870</v>
      </c>
      <c r="P795" s="364" t="s">
        <v>1832</v>
      </c>
      <c r="Q795" s="552">
        <v>9983906.0</v>
      </c>
      <c r="R795" s="254"/>
      <c r="S795" s="398" t="s">
        <v>871</v>
      </c>
      <c r="T795" s="364" t="s">
        <v>1647</v>
      </c>
      <c r="U795" s="499">
        <v>9056406.0</v>
      </c>
      <c r="V795" s="254"/>
      <c r="W795" s="398" t="s">
        <v>869</v>
      </c>
      <c r="X795" s="369" t="s">
        <v>1832</v>
      </c>
      <c r="Y795" s="499">
        <v>9409356.0</v>
      </c>
      <c r="Z795" s="254"/>
      <c r="AA795" s="398" t="s">
        <v>869</v>
      </c>
      <c r="AB795" s="369" t="s">
        <v>1832</v>
      </c>
      <c r="AC795" s="488">
        <v>8426577.0</v>
      </c>
      <c r="AD795" s="306"/>
      <c r="AE795" s="308"/>
      <c r="AF795" s="308"/>
      <c r="AG795" s="308"/>
      <c r="AH795" s="308"/>
      <c r="AI795" s="308"/>
      <c r="AJ795" s="278"/>
      <c r="AK795" s="274"/>
      <c r="AL795" s="259" t="str">
        <f>MATCH(B795,'Key Findings'!B:B,0)</f>
        <v>#N/A</v>
      </c>
      <c r="AM795" s="274" t="b">
        <f t="shared" si="2"/>
        <v>1</v>
      </c>
      <c r="AN795" s="294"/>
    </row>
    <row r="796">
      <c r="A796" s="169">
        <f t="array" ref="A796">INDEX('Federal Tax, Stock Buybacks, &amp; '!D:D,match(B796,'Federal Tax, Stock Buybacks, &amp; '!E:E,0))</f>
        <v>97</v>
      </c>
      <c r="B796" s="397" t="s">
        <v>868</v>
      </c>
      <c r="C796" s="398"/>
      <c r="D796" s="365"/>
      <c r="E796" s="550"/>
      <c r="F796" s="254"/>
      <c r="G796" s="398"/>
      <c r="H796" s="365"/>
      <c r="I796" s="550"/>
      <c r="J796" s="254"/>
      <c r="K796" s="398" t="s">
        <v>872</v>
      </c>
      <c r="L796" s="365" t="s">
        <v>1838</v>
      </c>
      <c r="M796" s="550">
        <v>5740707.0</v>
      </c>
      <c r="N796" s="254"/>
      <c r="O796" s="398" t="s">
        <v>872</v>
      </c>
      <c r="P796" s="364" t="s">
        <v>1838</v>
      </c>
      <c r="Q796" s="552">
        <v>6605884.0</v>
      </c>
      <c r="R796" s="254"/>
      <c r="S796" s="398" t="s">
        <v>870</v>
      </c>
      <c r="T796" s="364" t="s">
        <v>1832</v>
      </c>
      <c r="U796" s="499">
        <v>9427251.0</v>
      </c>
      <c r="V796" s="254"/>
      <c r="W796" s="398" t="s">
        <v>871</v>
      </c>
      <c r="X796" s="364" t="s">
        <v>1647</v>
      </c>
      <c r="Y796" s="499">
        <v>5196145.0</v>
      </c>
      <c r="Z796" s="254"/>
      <c r="AA796" s="398" t="s">
        <v>871</v>
      </c>
      <c r="AB796" s="364" t="s">
        <v>1647</v>
      </c>
      <c r="AC796" s="488">
        <v>4796160.0</v>
      </c>
      <c r="AD796" s="306"/>
      <c r="AE796" s="308"/>
      <c r="AF796" s="308"/>
      <c r="AG796" s="308"/>
      <c r="AH796" s="308"/>
      <c r="AI796" s="308"/>
      <c r="AJ796" s="278"/>
      <c r="AK796" s="274"/>
      <c r="AL796" s="259" t="str">
        <f>MATCH(B796,'Key Findings'!B:B,0)</f>
        <v>#N/A</v>
      </c>
      <c r="AM796" s="274" t="b">
        <f t="shared" si="2"/>
        <v>1</v>
      </c>
      <c r="AN796" s="294"/>
    </row>
    <row r="797">
      <c r="A797" s="169">
        <f t="array" ref="A797">INDEX('Federal Tax, Stock Buybacks, &amp; '!D:D,match(B797,'Federal Tax, Stock Buybacks, &amp; '!E:E,0))</f>
        <v>97</v>
      </c>
      <c r="B797" s="397" t="s">
        <v>868</v>
      </c>
      <c r="C797" s="398"/>
      <c r="D797" s="365"/>
      <c r="E797" s="550"/>
      <c r="F797" s="254"/>
      <c r="G797" s="398"/>
      <c r="H797" s="365"/>
      <c r="I797" s="550"/>
      <c r="J797" s="254"/>
      <c r="K797" s="398" t="s">
        <v>876</v>
      </c>
      <c r="L797" s="365" t="s">
        <v>1705</v>
      </c>
      <c r="M797" s="550">
        <v>3118848.0</v>
      </c>
      <c r="N797" s="254"/>
      <c r="O797" s="398" t="s">
        <v>867</v>
      </c>
      <c r="P797" s="364" t="s">
        <v>1815</v>
      </c>
      <c r="Q797" s="552">
        <v>2.1234358E7</v>
      </c>
      <c r="R797" s="254"/>
      <c r="S797" s="398" t="s">
        <v>874</v>
      </c>
      <c r="T797" s="369" t="s">
        <v>1891</v>
      </c>
      <c r="U797" s="499">
        <v>4912825.0</v>
      </c>
      <c r="V797" s="254"/>
      <c r="W797" s="398" t="s">
        <v>873</v>
      </c>
      <c r="X797" s="369" t="s">
        <v>2429</v>
      </c>
      <c r="Y797" s="499">
        <v>5081207.0</v>
      </c>
      <c r="Z797" s="254"/>
      <c r="AA797" s="398" t="s">
        <v>873</v>
      </c>
      <c r="AB797" s="302" t="s">
        <v>1891</v>
      </c>
      <c r="AC797" s="488">
        <v>3926501.0</v>
      </c>
      <c r="AD797" s="306"/>
      <c r="AE797" s="308"/>
      <c r="AF797" s="308"/>
      <c r="AG797" s="308"/>
      <c r="AH797" s="308"/>
      <c r="AI797" s="308"/>
      <c r="AJ797" s="278"/>
      <c r="AK797" s="274"/>
      <c r="AL797" s="259" t="str">
        <f>MATCH(B797,'Key Findings'!B:B,0)</f>
        <v>#N/A</v>
      </c>
      <c r="AM797" s="274" t="b">
        <f t="shared" si="2"/>
        <v>1</v>
      </c>
      <c r="AN797" s="294"/>
    </row>
    <row r="798">
      <c r="A798" s="169">
        <f t="array" ref="A798">INDEX('Federal Tax, Stock Buybacks, &amp; '!D:D,match(B798,'Federal Tax, Stock Buybacks, &amp; '!E:E,0))</f>
        <v>97</v>
      </c>
      <c r="B798" s="397" t="s">
        <v>868</v>
      </c>
      <c r="C798" s="372"/>
      <c r="D798" s="370"/>
      <c r="E798" s="517"/>
      <c r="F798" s="254"/>
      <c r="G798" s="372"/>
      <c r="H798" s="370"/>
      <c r="I798" s="517"/>
      <c r="J798" s="254"/>
      <c r="K798" s="372" t="s">
        <v>711</v>
      </c>
      <c r="L798" s="370" t="s">
        <v>711</v>
      </c>
      <c r="M798" s="517" t="s">
        <v>711</v>
      </c>
      <c r="N798" s="254"/>
      <c r="O798" s="372" t="s">
        <v>711</v>
      </c>
      <c r="P798" s="370" t="s">
        <v>711</v>
      </c>
      <c r="Q798" s="517" t="s">
        <v>711</v>
      </c>
      <c r="R798" s="254"/>
      <c r="S798" s="372" t="s">
        <v>711</v>
      </c>
      <c r="T798" s="370" t="s">
        <v>711</v>
      </c>
      <c r="U798" s="517" t="s">
        <v>711</v>
      </c>
      <c r="V798" s="254"/>
      <c r="W798" s="398" t="s">
        <v>870</v>
      </c>
      <c r="X798" s="364" t="s">
        <v>1832</v>
      </c>
      <c r="Y798" s="499">
        <v>6005861.0</v>
      </c>
      <c r="Z798" s="254"/>
      <c r="AA798" s="372" t="s">
        <v>711</v>
      </c>
      <c r="AB798" s="370" t="s">
        <v>711</v>
      </c>
      <c r="AC798" s="517" t="s">
        <v>711</v>
      </c>
      <c r="AD798" s="306"/>
      <c r="AE798" s="308"/>
      <c r="AF798" s="308"/>
      <c r="AG798" s="308"/>
      <c r="AH798" s="308"/>
      <c r="AI798" s="308"/>
      <c r="AJ798" s="278"/>
      <c r="AK798" s="274"/>
      <c r="AL798" s="259" t="str">
        <f>MATCH(B798,'Key Findings'!B:B,0)</f>
        <v>#N/A</v>
      </c>
      <c r="AM798" s="274" t="b">
        <f t="shared" si="2"/>
        <v>1</v>
      </c>
      <c r="AN798" s="294"/>
    </row>
    <row r="799">
      <c r="A799" s="169">
        <f t="array" ref="A799">INDEX('Federal Tax, Stock Buybacks, &amp; '!D:D,match(B799,'Federal Tax, Stock Buybacks, &amp; '!E:E,0))</f>
        <v>97</v>
      </c>
      <c r="B799" s="397" t="s">
        <v>868</v>
      </c>
      <c r="C799" s="372"/>
      <c r="D799" s="370"/>
      <c r="E799" s="517"/>
      <c r="F799" s="254"/>
      <c r="G799" s="372"/>
      <c r="H799" s="370"/>
      <c r="I799" s="517"/>
      <c r="J799" s="254"/>
      <c r="K799" s="372" t="s">
        <v>711</v>
      </c>
      <c r="L799" s="370" t="s">
        <v>711</v>
      </c>
      <c r="M799" s="517" t="s">
        <v>711</v>
      </c>
      <c r="N799" s="254"/>
      <c r="O799" s="372" t="s">
        <v>711</v>
      </c>
      <c r="P799" s="370" t="s">
        <v>711</v>
      </c>
      <c r="Q799" s="517" t="s">
        <v>711</v>
      </c>
      <c r="R799" s="254"/>
      <c r="S799" s="372" t="s">
        <v>711</v>
      </c>
      <c r="T799" s="370" t="s">
        <v>711</v>
      </c>
      <c r="U799" s="517" t="s">
        <v>711</v>
      </c>
      <c r="V799" s="254"/>
      <c r="W799" s="398" t="s">
        <v>874</v>
      </c>
      <c r="X799" s="369" t="s">
        <v>1891</v>
      </c>
      <c r="Y799" s="499">
        <v>3972934.0</v>
      </c>
      <c r="Z799" s="254"/>
      <c r="AA799" s="372" t="s">
        <v>711</v>
      </c>
      <c r="AB799" s="370" t="s">
        <v>711</v>
      </c>
      <c r="AC799" s="517" t="s">
        <v>711</v>
      </c>
      <c r="AD799" s="306"/>
      <c r="AE799" s="308"/>
      <c r="AF799" s="308"/>
      <c r="AG799" s="308"/>
      <c r="AH799" s="308"/>
      <c r="AI799" s="308"/>
      <c r="AJ799" s="278"/>
      <c r="AK799" s="274"/>
      <c r="AL799" s="259" t="str">
        <f>MATCH(B799,'Key Findings'!B:B,0)</f>
        <v>#N/A</v>
      </c>
      <c r="AM799" s="274" t="b">
        <f t="shared" si="2"/>
        <v>1</v>
      </c>
      <c r="AN799" s="294"/>
    </row>
    <row r="800">
      <c r="A800" s="169">
        <f t="array" ref="A800">INDEX('Federal Tax, Stock Buybacks, &amp; '!D:D,match(B800,'Federal Tax, Stock Buybacks, &amp; '!E:E,0))</f>
        <v>3</v>
      </c>
      <c r="B800" s="352" t="s">
        <v>1222</v>
      </c>
      <c r="C800" s="383"/>
      <c r="D800" s="352"/>
      <c r="E800" s="555"/>
      <c r="F800" s="254"/>
      <c r="G800" s="383"/>
      <c r="H800" s="352"/>
      <c r="I800" s="555"/>
      <c r="J800" s="254"/>
      <c r="K800" s="383" t="s">
        <v>1221</v>
      </c>
      <c r="L800" s="352" t="s">
        <v>1664</v>
      </c>
      <c r="M800" s="555">
        <v>3.5909231E7</v>
      </c>
      <c r="N800" s="254"/>
      <c r="O800" s="383" t="s">
        <v>1225</v>
      </c>
      <c r="P800" s="352" t="s">
        <v>2430</v>
      </c>
      <c r="Q800" s="555">
        <v>7797395.0</v>
      </c>
      <c r="R800" s="254"/>
      <c r="S800" s="383" t="s">
        <v>1225</v>
      </c>
      <c r="T800" s="352" t="s">
        <v>2430</v>
      </c>
      <c r="U800" s="555">
        <v>9842972.0</v>
      </c>
      <c r="V800" s="254"/>
      <c r="W800" s="352" t="s">
        <v>1225</v>
      </c>
      <c r="X800" s="352" t="s">
        <v>2431</v>
      </c>
      <c r="Y800" s="555">
        <v>1.233284E7</v>
      </c>
      <c r="Z800" s="254"/>
      <c r="AA800" s="383" t="s">
        <v>1225</v>
      </c>
      <c r="AB800" s="352" t="s">
        <v>2430</v>
      </c>
      <c r="AC800" s="555">
        <v>1.2068878E7</v>
      </c>
      <c r="AD800" s="355"/>
      <c r="AE800" s="381">
        <v>2022.0</v>
      </c>
      <c r="AF800" s="381">
        <v>2021.0</v>
      </c>
      <c r="AG800" s="381">
        <v>2020.0</v>
      </c>
      <c r="AH800" s="381">
        <v>2019.0</v>
      </c>
      <c r="AI800" s="381">
        <v>2018.0</v>
      </c>
      <c r="AJ800" s="382" t="s">
        <v>1524</v>
      </c>
      <c r="AK800" s="260"/>
      <c r="AL800" s="259" t="str">
        <f>MATCH(B800,'Key Findings'!B:B,0)</f>
        <v>#N/A</v>
      </c>
      <c r="AM800" s="260" t="b">
        <f t="shared" si="2"/>
        <v>1</v>
      </c>
      <c r="AN800" s="276"/>
    </row>
    <row r="801">
      <c r="A801" s="169">
        <f t="array" ref="A801">INDEX('Federal Tax, Stock Buybacks, &amp; '!D:D,match(B801,'Federal Tax, Stock Buybacks, &amp; '!E:E,0))</f>
        <v>3</v>
      </c>
      <c r="B801" s="352" t="s">
        <v>1222</v>
      </c>
      <c r="C801" s="383"/>
      <c r="D801" s="352"/>
      <c r="E801" s="555"/>
      <c r="F801" s="254"/>
      <c r="G801" s="383"/>
      <c r="H801" s="352"/>
      <c r="I801" s="555"/>
      <c r="J801" s="254"/>
      <c r="K801" s="383" t="s">
        <v>1223</v>
      </c>
      <c r="L801" s="352" t="s">
        <v>1891</v>
      </c>
      <c r="M801" s="555">
        <v>2.1184594E7</v>
      </c>
      <c r="N801" s="254"/>
      <c r="O801" s="383" t="s">
        <v>1221</v>
      </c>
      <c r="P801" s="352" t="s">
        <v>1664</v>
      </c>
      <c r="Q801" s="555">
        <v>2.3954574E7</v>
      </c>
      <c r="R801" s="254"/>
      <c r="S801" s="383" t="s">
        <v>1221</v>
      </c>
      <c r="T801" s="352" t="s">
        <v>1664</v>
      </c>
      <c r="U801" s="555">
        <v>1.5639061E7</v>
      </c>
      <c r="V801" s="254"/>
      <c r="W801" s="352" t="s">
        <v>1221</v>
      </c>
      <c r="X801" s="352" t="s">
        <v>1664</v>
      </c>
      <c r="Y801" s="555">
        <v>1.7279199E7</v>
      </c>
      <c r="Z801" s="254"/>
      <c r="AA801" s="383" t="s">
        <v>1221</v>
      </c>
      <c r="AB801" s="352" t="s">
        <v>1664</v>
      </c>
      <c r="AC801" s="555">
        <v>1.580029E7</v>
      </c>
      <c r="AD801" s="566"/>
      <c r="AE801" s="383"/>
      <c r="AF801" s="352"/>
      <c r="AG801" s="352"/>
      <c r="AH801" s="352"/>
      <c r="AI801" s="352"/>
      <c r="AJ801" s="382"/>
      <c r="AK801" s="260"/>
      <c r="AL801" s="259" t="str">
        <f>MATCH(B801,'Key Findings'!B:B,0)</f>
        <v>#N/A</v>
      </c>
      <c r="AM801" s="260" t="b">
        <f t="shared" si="2"/>
        <v>1</v>
      </c>
      <c r="AN801" s="276"/>
    </row>
    <row r="802">
      <c r="A802" s="169">
        <f t="array" ref="A802">INDEX('Federal Tax, Stock Buybacks, &amp; '!D:D,match(B802,'Federal Tax, Stock Buybacks, &amp; '!E:E,0))</f>
        <v>3</v>
      </c>
      <c r="B802" s="352" t="s">
        <v>1222</v>
      </c>
      <c r="C802" s="383"/>
      <c r="D802" s="352"/>
      <c r="E802" s="555"/>
      <c r="F802" s="254"/>
      <c r="G802" s="383"/>
      <c r="H802" s="352"/>
      <c r="I802" s="555"/>
      <c r="J802" s="254"/>
      <c r="K802" s="383" t="s">
        <v>1224</v>
      </c>
      <c r="L802" s="352" t="s">
        <v>1891</v>
      </c>
      <c r="M802" s="555">
        <v>2.2221894E7</v>
      </c>
      <c r="N802" s="254"/>
      <c r="O802" s="383" t="s">
        <v>1223</v>
      </c>
      <c r="P802" s="352" t="s">
        <v>1891</v>
      </c>
      <c r="Q802" s="555">
        <v>1.4209216E7</v>
      </c>
      <c r="R802" s="254"/>
      <c r="S802" s="383" t="s">
        <v>1223</v>
      </c>
      <c r="T802" s="352" t="s">
        <v>1891</v>
      </c>
      <c r="U802" s="555">
        <v>8356348.0</v>
      </c>
      <c r="V802" s="254"/>
      <c r="W802" s="352" t="s">
        <v>1227</v>
      </c>
      <c r="X802" s="352" t="s">
        <v>2432</v>
      </c>
      <c r="Y802" s="555">
        <v>1.4380078E7</v>
      </c>
      <c r="Z802" s="254"/>
      <c r="AA802" s="383" t="s">
        <v>1227</v>
      </c>
      <c r="AB802" s="352" t="s">
        <v>2433</v>
      </c>
      <c r="AC802" s="555">
        <v>1.0766039E7</v>
      </c>
      <c r="AD802" s="355"/>
      <c r="AE802" s="383"/>
      <c r="AF802" s="352"/>
      <c r="AG802" s="352"/>
      <c r="AH802" s="352"/>
      <c r="AI802" s="352"/>
      <c r="AJ802" s="382"/>
      <c r="AK802" s="260"/>
      <c r="AL802" s="259" t="str">
        <f>MATCH(B802,'Key Findings'!B:B,0)</f>
        <v>#N/A</v>
      </c>
      <c r="AM802" s="260" t="b">
        <f t="shared" si="2"/>
        <v>1</v>
      </c>
      <c r="AN802" s="276"/>
    </row>
    <row r="803">
      <c r="A803" s="169">
        <f t="array" ref="A803">INDEX('Federal Tax, Stock Buybacks, &amp; '!D:D,match(B803,'Federal Tax, Stock Buybacks, &amp; '!E:E,0))</f>
        <v>3</v>
      </c>
      <c r="B803" s="352" t="s">
        <v>1222</v>
      </c>
      <c r="C803" s="352"/>
      <c r="D803" s="352"/>
      <c r="E803" s="555"/>
      <c r="F803" s="254"/>
      <c r="G803" s="352"/>
      <c r="H803" s="352"/>
      <c r="I803" s="555"/>
      <c r="J803" s="254"/>
      <c r="K803" s="352" t="s">
        <v>1226</v>
      </c>
      <c r="L803" s="352" t="s">
        <v>2434</v>
      </c>
      <c r="M803" s="555">
        <v>2.0013825E7</v>
      </c>
      <c r="N803" s="254"/>
      <c r="O803" s="383" t="s">
        <v>1224</v>
      </c>
      <c r="P803" s="352" t="s">
        <v>1891</v>
      </c>
      <c r="Q803" s="555">
        <v>9893921.0</v>
      </c>
      <c r="R803" s="254"/>
      <c r="S803" s="383" t="s">
        <v>1224</v>
      </c>
      <c r="T803" s="352" t="s">
        <v>1891</v>
      </c>
      <c r="U803" s="555">
        <v>7949308.0</v>
      </c>
      <c r="V803" s="254"/>
      <c r="W803" s="352" t="s">
        <v>1223</v>
      </c>
      <c r="X803" s="352" t="s">
        <v>1891</v>
      </c>
      <c r="Y803" s="555">
        <v>1.33049E7</v>
      </c>
      <c r="Z803" s="254"/>
      <c r="AA803" s="352" t="s">
        <v>1223</v>
      </c>
      <c r="AB803" s="352" t="s">
        <v>1891</v>
      </c>
      <c r="AC803" s="555">
        <v>9603006.0</v>
      </c>
      <c r="AD803" s="355"/>
      <c r="AE803" s="383"/>
      <c r="AF803" s="352"/>
      <c r="AG803" s="352"/>
      <c r="AH803" s="352"/>
      <c r="AI803" s="352"/>
      <c r="AJ803" s="382"/>
      <c r="AK803" s="260"/>
      <c r="AL803" s="259" t="str">
        <f>MATCH(B803,'Key Findings'!B:B,0)</f>
        <v>#N/A</v>
      </c>
      <c r="AM803" s="260" t="b">
        <f t="shared" si="2"/>
        <v>1</v>
      </c>
      <c r="AN803" s="276"/>
    </row>
    <row r="804">
      <c r="A804" s="169">
        <f t="array" ref="A804">INDEX('Federal Tax, Stock Buybacks, &amp; '!D:D,match(B804,'Federal Tax, Stock Buybacks, &amp; '!E:E,0))</f>
        <v>3</v>
      </c>
      <c r="B804" s="352" t="s">
        <v>1222</v>
      </c>
      <c r="C804" s="352"/>
      <c r="D804" s="352"/>
      <c r="E804" s="555"/>
      <c r="F804" s="254"/>
      <c r="G804" s="352"/>
      <c r="H804" s="352"/>
      <c r="I804" s="555"/>
      <c r="J804" s="254"/>
      <c r="K804" s="352" t="s">
        <v>1228</v>
      </c>
      <c r="L804" s="352" t="s">
        <v>2435</v>
      </c>
      <c r="M804" s="555">
        <v>1.9955905E7</v>
      </c>
      <c r="N804" s="254"/>
      <c r="O804" s="383" t="s">
        <v>1226</v>
      </c>
      <c r="P804" s="352" t="s">
        <v>2434</v>
      </c>
      <c r="Q804" s="555">
        <v>1.3708184E7</v>
      </c>
      <c r="R804" s="254"/>
      <c r="S804" s="383" t="s">
        <v>1227</v>
      </c>
      <c r="T804" s="352" t="s">
        <v>2432</v>
      </c>
      <c r="U804" s="555">
        <v>7176637.0</v>
      </c>
      <c r="V804" s="254"/>
      <c r="W804" s="352" t="s">
        <v>1224</v>
      </c>
      <c r="X804" s="352" t="s">
        <v>1891</v>
      </c>
      <c r="Y804" s="555">
        <v>1.2044285E7</v>
      </c>
      <c r="Z804" s="254"/>
      <c r="AA804" s="352" t="s">
        <v>1224</v>
      </c>
      <c r="AB804" s="352" t="s">
        <v>1891</v>
      </c>
      <c r="AC804" s="555">
        <v>9362786.0</v>
      </c>
      <c r="AD804" s="355"/>
      <c r="AE804" s="383"/>
      <c r="AF804" s="352"/>
      <c r="AG804" s="352"/>
      <c r="AH804" s="352"/>
      <c r="AI804" s="352"/>
      <c r="AJ804" s="382"/>
      <c r="AK804" s="260"/>
      <c r="AL804" s="259" t="str">
        <f>MATCH(B804,'Key Findings'!B:B,0)</f>
        <v>#N/A</v>
      </c>
      <c r="AM804" s="260" t="b">
        <f t="shared" si="2"/>
        <v>1</v>
      </c>
      <c r="AN804" s="276"/>
    </row>
    <row r="805">
      <c r="A805" s="169">
        <f t="array" ref="A805">INDEX('Federal Tax, Stock Buybacks, &amp; '!D:D,match(B805,'Federal Tax, Stock Buybacks, &amp; '!E:E,0))</f>
        <v>3</v>
      </c>
      <c r="B805" s="352" t="s">
        <v>1222</v>
      </c>
      <c r="C805" s="567"/>
      <c r="D805" s="359"/>
      <c r="E805" s="555"/>
      <c r="F805" s="254"/>
      <c r="G805" s="567"/>
      <c r="H805" s="359"/>
      <c r="I805" s="555"/>
      <c r="J805" s="254"/>
      <c r="K805" s="567" t="s">
        <v>711</v>
      </c>
      <c r="L805" s="359" t="s">
        <v>711</v>
      </c>
      <c r="M805" s="555" t="s">
        <v>711</v>
      </c>
      <c r="N805" s="254"/>
      <c r="O805" s="352" t="s">
        <v>1229</v>
      </c>
      <c r="P805" s="352" t="s">
        <v>2436</v>
      </c>
      <c r="Q805" s="555">
        <v>1.0394783E7</v>
      </c>
      <c r="R805" s="254"/>
      <c r="S805" s="567" t="s">
        <v>711</v>
      </c>
      <c r="T805" s="359" t="s">
        <v>711</v>
      </c>
      <c r="U805" s="555" t="s">
        <v>711</v>
      </c>
      <c r="V805" s="254"/>
      <c r="W805" s="359" t="s">
        <v>711</v>
      </c>
      <c r="X805" s="359" t="s">
        <v>711</v>
      </c>
      <c r="Y805" s="555" t="s">
        <v>711</v>
      </c>
      <c r="Z805" s="254"/>
      <c r="AA805" s="567" t="s">
        <v>711</v>
      </c>
      <c r="AB805" s="359" t="s">
        <v>711</v>
      </c>
      <c r="AC805" s="555" t="s">
        <v>711</v>
      </c>
      <c r="AD805" s="355"/>
      <c r="AE805" s="383"/>
      <c r="AF805" s="352"/>
      <c r="AG805" s="352"/>
      <c r="AH805" s="352"/>
      <c r="AI805" s="352"/>
      <c r="AJ805" s="382"/>
      <c r="AK805" s="260"/>
      <c r="AL805" s="259" t="str">
        <f>MATCH(B805,'Key Findings'!B:B,0)</f>
        <v>#N/A</v>
      </c>
      <c r="AM805" s="260" t="b">
        <f t="shared" si="2"/>
        <v>1</v>
      </c>
      <c r="AN805" s="276"/>
    </row>
    <row r="806">
      <c r="A806" s="196" t="str">
        <f t="array" ref="A806">INDEX('Federal Tax, Stock Buybacks, &amp; '!D:D,match(B806,'Federal Tax, Stock Buybacks, &amp; '!E:E,0))</f>
        <v>#N/A</v>
      </c>
      <c r="B806" s="397" t="s">
        <v>862</v>
      </c>
      <c r="C806" s="527"/>
      <c r="D806" s="498"/>
      <c r="E806" s="568"/>
      <c r="F806" s="254"/>
      <c r="G806" s="527"/>
      <c r="H806" s="498"/>
      <c r="I806" s="568"/>
      <c r="J806" s="254"/>
      <c r="K806" s="527" t="s">
        <v>863</v>
      </c>
      <c r="L806" s="498" t="s">
        <v>1606</v>
      </c>
      <c r="M806" s="568">
        <v>1.0331992E7</v>
      </c>
      <c r="N806" s="254"/>
      <c r="O806" s="527" t="s">
        <v>863</v>
      </c>
      <c r="P806" s="527" t="s">
        <v>1606</v>
      </c>
      <c r="Q806" s="550">
        <v>1.6538421E7</v>
      </c>
      <c r="R806" s="254"/>
      <c r="S806" s="527" t="s">
        <v>863</v>
      </c>
      <c r="T806" s="527" t="s">
        <v>1606</v>
      </c>
      <c r="U806" s="568">
        <v>7983510.0</v>
      </c>
      <c r="V806" s="254"/>
      <c r="W806" s="527" t="s">
        <v>863</v>
      </c>
      <c r="X806" s="527" t="s">
        <v>1606</v>
      </c>
      <c r="Y806" s="499">
        <v>1.0495506E7</v>
      </c>
      <c r="Z806" s="254"/>
      <c r="AA806" s="527" t="s">
        <v>863</v>
      </c>
      <c r="AB806" s="527" t="s">
        <v>1606</v>
      </c>
      <c r="AC806" s="499">
        <v>1.1261077E7</v>
      </c>
      <c r="AD806" s="306"/>
      <c r="AE806" s="307">
        <v>2022.0</v>
      </c>
      <c r="AF806" s="307">
        <v>2021.0</v>
      </c>
      <c r="AG806" s="307">
        <v>2020.0</v>
      </c>
      <c r="AH806" s="307">
        <v>2019.0</v>
      </c>
      <c r="AI806" s="307">
        <v>2018.0</v>
      </c>
      <c r="AJ806" s="569" t="s">
        <v>2056</v>
      </c>
      <c r="AK806" s="274"/>
      <c r="AL806" s="259" t="str">
        <f>MATCH(B806,'Key Findings'!B:B,0)</f>
        <v>#N/A</v>
      </c>
      <c r="AM806" s="274" t="str">
        <f t="shared" si="2"/>
        <v>#N/A</v>
      </c>
      <c r="AN806" s="294"/>
    </row>
    <row r="807">
      <c r="A807" s="196" t="str">
        <f t="array" ref="A807">INDEX('Federal Tax, Stock Buybacks, &amp; '!D:D,match(B807,'Federal Tax, Stock Buybacks, &amp; '!E:E,0))</f>
        <v>#N/A</v>
      </c>
      <c r="B807" s="397" t="s">
        <v>862</v>
      </c>
      <c r="C807" s="527"/>
      <c r="D807" s="498"/>
      <c r="E807" s="568"/>
      <c r="F807" s="254"/>
      <c r="G807" s="527"/>
      <c r="H807" s="498"/>
      <c r="I807" s="568"/>
      <c r="J807" s="254"/>
      <c r="K807" s="527" t="s">
        <v>864</v>
      </c>
      <c r="L807" s="498" t="s">
        <v>2437</v>
      </c>
      <c r="M807" s="568">
        <v>7333136.0</v>
      </c>
      <c r="N807" s="254"/>
      <c r="O807" s="527" t="s">
        <v>864</v>
      </c>
      <c r="P807" s="527" t="s">
        <v>2437</v>
      </c>
      <c r="Q807" s="550">
        <v>1.2383585E7</v>
      </c>
      <c r="R807" s="254"/>
      <c r="S807" s="527" t="s">
        <v>864</v>
      </c>
      <c r="T807" s="527" t="s">
        <v>2437</v>
      </c>
      <c r="U807" s="551">
        <v>6065893.0</v>
      </c>
      <c r="V807" s="254"/>
      <c r="W807" s="527" t="s">
        <v>864</v>
      </c>
      <c r="X807" s="527" t="s">
        <v>2437</v>
      </c>
      <c r="Y807" s="499">
        <v>7596299.0</v>
      </c>
      <c r="Z807" s="254"/>
      <c r="AA807" s="527" t="s">
        <v>864</v>
      </c>
      <c r="AB807" s="527" t="s">
        <v>2437</v>
      </c>
      <c r="AC807" s="499">
        <v>6745040.0</v>
      </c>
      <c r="AD807" s="306"/>
      <c r="AE807" s="308"/>
      <c r="AF807" s="308"/>
      <c r="AG807" s="308"/>
      <c r="AH807" s="308"/>
      <c r="AI807" s="308"/>
      <c r="AJ807" s="278"/>
      <c r="AK807" s="274"/>
      <c r="AL807" s="259" t="str">
        <f>MATCH(B807,'Key Findings'!B:B,0)</f>
        <v>#N/A</v>
      </c>
      <c r="AM807" s="274" t="str">
        <f t="shared" si="2"/>
        <v>#N/A</v>
      </c>
      <c r="AN807" s="294"/>
    </row>
    <row r="808">
      <c r="A808" s="196" t="str">
        <f t="array" ref="A808">INDEX('Federal Tax, Stock Buybacks, &amp; '!D:D,match(B808,'Federal Tax, Stock Buybacks, &amp; '!E:E,0))</f>
        <v>#N/A</v>
      </c>
      <c r="B808" s="397" t="s">
        <v>862</v>
      </c>
      <c r="C808" s="527"/>
      <c r="D808" s="498"/>
      <c r="E808" s="568"/>
      <c r="F808" s="254"/>
      <c r="G808" s="527"/>
      <c r="H808" s="498"/>
      <c r="I808" s="568"/>
      <c r="J808" s="254"/>
      <c r="K808" s="527" t="s">
        <v>865</v>
      </c>
      <c r="L808" s="498" t="s">
        <v>2438</v>
      </c>
      <c r="M808" s="568">
        <v>7615564.0</v>
      </c>
      <c r="N808" s="254"/>
      <c r="O808" s="527" t="s">
        <v>865</v>
      </c>
      <c r="P808" s="527" t="s">
        <v>2438</v>
      </c>
      <c r="Q808" s="550">
        <v>1.1512086E7</v>
      </c>
      <c r="R808" s="254"/>
      <c r="S808" s="527" t="s">
        <v>865</v>
      </c>
      <c r="T808" s="527" t="s">
        <v>2438</v>
      </c>
      <c r="U808" s="551">
        <v>5131558.0</v>
      </c>
      <c r="V808" s="254"/>
      <c r="W808" s="527" t="s">
        <v>865</v>
      </c>
      <c r="X808" s="527" t="s">
        <v>2438</v>
      </c>
      <c r="Y808" s="499">
        <v>6672443.0</v>
      </c>
      <c r="Z808" s="254"/>
      <c r="AA808" s="527" t="s">
        <v>865</v>
      </c>
      <c r="AB808" s="527" t="s">
        <v>2438</v>
      </c>
      <c r="AC808" s="499">
        <v>6429952.0</v>
      </c>
      <c r="AD808" s="306"/>
      <c r="AE808" s="308"/>
      <c r="AF808" s="308"/>
      <c r="AG808" s="308"/>
      <c r="AH808" s="308"/>
      <c r="AI808" s="308"/>
      <c r="AJ808" s="278"/>
      <c r="AK808" s="274"/>
      <c r="AL808" s="259" t="str">
        <f>MATCH(B808,'Key Findings'!B:B,0)</f>
        <v>#N/A</v>
      </c>
      <c r="AM808" s="274" t="str">
        <f t="shared" si="2"/>
        <v>#N/A</v>
      </c>
      <c r="AN808" s="294"/>
    </row>
    <row r="809">
      <c r="A809" s="196" t="str">
        <f t="array" ref="A809">INDEX('Federal Tax, Stock Buybacks, &amp; '!D:D,match(B809,'Federal Tax, Stock Buybacks, &amp; '!E:E,0))</f>
        <v>#N/A</v>
      </c>
      <c r="B809" s="397" t="s">
        <v>862</v>
      </c>
      <c r="C809" s="398"/>
      <c r="D809" s="498"/>
      <c r="E809" s="568"/>
      <c r="F809" s="254"/>
      <c r="G809" s="398"/>
      <c r="H809" s="498"/>
      <c r="I809" s="568"/>
      <c r="J809" s="254"/>
      <c r="K809" s="398" t="s">
        <v>861</v>
      </c>
      <c r="L809" s="498" t="s">
        <v>2439</v>
      </c>
      <c r="M809" s="568">
        <v>2.0525368E7</v>
      </c>
      <c r="N809" s="254"/>
      <c r="O809" s="398" t="s">
        <v>861</v>
      </c>
      <c r="P809" s="414" t="s">
        <v>2439</v>
      </c>
      <c r="Q809" s="550">
        <v>3.1802E7</v>
      </c>
      <c r="R809" s="254"/>
      <c r="S809" s="398" t="s">
        <v>861</v>
      </c>
      <c r="T809" s="414" t="s">
        <v>2439</v>
      </c>
      <c r="U809" s="551">
        <v>1.4541737E7</v>
      </c>
      <c r="V809" s="254"/>
      <c r="W809" s="398" t="s">
        <v>861</v>
      </c>
      <c r="X809" s="414" t="s">
        <v>2439</v>
      </c>
      <c r="Y809" s="499">
        <v>1.9083676E7</v>
      </c>
      <c r="Z809" s="254"/>
      <c r="AA809" s="398" t="s">
        <v>861</v>
      </c>
      <c r="AB809" s="414" t="s">
        <v>2439</v>
      </c>
      <c r="AC809" s="499">
        <v>1.882277E7</v>
      </c>
      <c r="AD809" s="306"/>
      <c r="AE809" s="308"/>
      <c r="AF809" s="308"/>
      <c r="AG809" s="308"/>
      <c r="AH809" s="308"/>
      <c r="AI809" s="308"/>
      <c r="AJ809" s="278"/>
      <c r="AK809" s="274"/>
      <c r="AL809" s="259" t="str">
        <f>MATCH(B809,'Key Findings'!B:B,0)</f>
        <v>#N/A</v>
      </c>
      <c r="AM809" s="274" t="str">
        <f t="shared" si="2"/>
        <v>#N/A</v>
      </c>
      <c r="AN809" s="294"/>
    </row>
    <row r="810">
      <c r="A810" s="196" t="str">
        <f t="array" ref="A810">INDEX('Federal Tax, Stock Buybacks, &amp; '!D:D,match(B810,'Federal Tax, Stock Buybacks, &amp; '!E:E,0))</f>
        <v>#N/A</v>
      </c>
      <c r="B810" s="397" t="s">
        <v>862</v>
      </c>
      <c r="C810" s="527"/>
      <c r="D810" s="498"/>
      <c r="E810" s="568"/>
      <c r="F810" s="254"/>
      <c r="G810" s="527"/>
      <c r="H810" s="498"/>
      <c r="I810" s="568"/>
      <c r="J810" s="254"/>
      <c r="K810" s="527" t="s">
        <v>866</v>
      </c>
      <c r="L810" s="498" t="s">
        <v>2437</v>
      </c>
      <c r="M810" s="568">
        <v>6003773.0</v>
      </c>
      <c r="N810" s="254"/>
      <c r="O810" s="527" t="s">
        <v>866</v>
      </c>
      <c r="P810" s="527" t="s">
        <v>2437</v>
      </c>
      <c r="Q810" s="550">
        <v>9279713.0</v>
      </c>
      <c r="R810" s="254"/>
      <c r="S810" s="527" t="s">
        <v>866</v>
      </c>
      <c r="T810" s="527" t="s">
        <v>2437</v>
      </c>
      <c r="U810" s="551">
        <v>4368722.0</v>
      </c>
      <c r="V810" s="254"/>
      <c r="W810" s="527" t="s">
        <v>866</v>
      </c>
      <c r="X810" s="527" t="s">
        <v>2437</v>
      </c>
      <c r="Y810" s="499">
        <v>5603298.0</v>
      </c>
      <c r="Z810" s="254"/>
      <c r="AA810" s="527" t="s">
        <v>866</v>
      </c>
      <c r="AB810" s="527" t="s">
        <v>2437</v>
      </c>
      <c r="AC810" s="499">
        <v>5144089.0</v>
      </c>
      <c r="AD810" s="306"/>
      <c r="AE810" s="308"/>
      <c r="AF810" s="308"/>
      <c r="AG810" s="308"/>
      <c r="AH810" s="308"/>
      <c r="AI810" s="308"/>
      <c r="AJ810" s="278"/>
      <c r="AK810" s="274"/>
      <c r="AL810" s="259" t="str">
        <f>MATCH(B810,'Key Findings'!B:B,0)</f>
        <v>#N/A</v>
      </c>
      <c r="AM810" s="274" t="str">
        <f t="shared" si="2"/>
        <v>#N/A</v>
      </c>
      <c r="AN810" s="294"/>
    </row>
    <row r="811">
      <c r="A811" s="169">
        <f t="array" ref="A811">INDEX('Federal Tax, Stock Buybacks, &amp; '!D:D,match(B811,'Federal Tax, Stock Buybacks, &amp; '!E:E,0))</f>
        <v>411</v>
      </c>
      <c r="B811" s="281" t="s">
        <v>1211</v>
      </c>
      <c r="C811" s="570"/>
      <c r="D811" s="570"/>
      <c r="E811" s="471"/>
      <c r="F811" s="254"/>
      <c r="G811" s="570"/>
      <c r="H811" s="570"/>
      <c r="I811" s="471"/>
      <c r="J811" s="254"/>
      <c r="K811" s="570" t="s">
        <v>1212</v>
      </c>
      <c r="L811" s="570" t="s">
        <v>2440</v>
      </c>
      <c r="M811" s="471">
        <v>8138659.0</v>
      </c>
      <c r="N811" s="254"/>
      <c r="O811" s="570" t="s">
        <v>1212</v>
      </c>
      <c r="P811" s="570" t="s">
        <v>2440</v>
      </c>
      <c r="Q811" s="471">
        <v>3572570.0</v>
      </c>
      <c r="R811" s="254"/>
      <c r="S811" s="570" t="s">
        <v>1212</v>
      </c>
      <c r="T811" s="570" t="s">
        <v>2440</v>
      </c>
      <c r="U811" s="471">
        <v>2717280.0</v>
      </c>
      <c r="V811" s="254"/>
      <c r="W811" s="570" t="s">
        <v>1212</v>
      </c>
      <c r="X811" s="570" t="s">
        <v>2440</v>
      </c>
      <c r="Y811" s="471">
        <v>2605605.0</v>
      </c>
      <c r="Z811" s="254"/>
      <c r="AA811" s="570" t="s">
        <v>1212</v>
      </c>
      <c r="AB811" s="570" t="s">
        <v>2440</v>
      </c>
      <c r="AC811" s="472">
        <v>3038535.0</v>
      </c>
      <c r="AD811" s="288"/>
      <c r="AE811" s="289">
        <v>2022.0</v>
      </c>
      <c r="AF811" s="289">
        <v>2021.0</v>
      </c>
      <c r="AG811" s="289">
        <v>2020.0</v>
      </c>
      <c r="AH811" s="289">
        <v>2019.0</v>
      </c>
      <c r="AI811" s="289">
        <v>2018.0</v>
      </c>
      <c r="AJ811" s="290" t="s">
        <v>1524</v>
      </c>
      <c r="AK811" s="260"/>
      <c r="AL811" s="259" t="str">
        <f>MATCH(B811,'Key Findings'!B:B,0)</f>
        <v>#N/A</v>
      </c>
      <c r="AM811" s="260" t="b">
        <f t="shared" si="2"/>
        <v>1</v>
      </c>
      <c r="AN811" s="294"/>
    </row>
    <row r="812">
      <c r="A812" s="169">
        <f t="array" ref="A812">INDEX('Federal Tax, Stock Buybacks, &amp; '!D:D,match(B812,'Federal Tax, Stock Buybacks, &amp; '!E:E,0))</f>
        <v>411</v>
      </c>
      <c r="B812" s="281" t="s">
        <v>1211</v>
      </c>
      <c r="C812" s="570"/>
      <c r="D812" s="570"/>
      <c r="E812" s="471"/>
      <c r="F812" s="254"/>
      <c r="G812" s="570"/>
      <c r="H812" s="570"/>
      <c r="I812" s="471"/>
      <c r="J812" s="254"/>
      <c r="K812" s="570" t="s">
        <v>1210</v>
      </c>
      <c r="L812" s="570" t="s">
        <v>2441</v>
      </c>
      <c r="M812" s="471">
        <v>1.1020287E7</v>
      </c>
      <c r="N812" s="254"/>
      <c r="O812" s="570" t="s">
        <v>1210</v>
      </c>
      <c r="P812" s="570" t="s">
        <v>2441</v>
      </c>
      <c r="Q812" s="471">
        <v>1.0531649E7</v>
      </c>
      <c r="R812" s="254"/>
      <c r="S812" s="570" t="s">
        <v>1210</v>
      </c>
      <c r="T812" s="570" t="s">
        <v>2441</v>
      </c>
      <c r="U812" s="471">
        <v>9797589.0</v>
      </c>
      <c r="V812" s="254"/>
      <c r="W812" s="570" t="s">
        <v>1210</v>
      </c>
      <c r="X812" s="570" t="s">
        <v>2441</v>
      </c>
      <c r="Y812" s="471">
        <v>8999237.0</v>
      </c>
      <c r="Z812" s="254"/>
      <c r="AA812" s="570" t="s">
        <v>1210</v>
      </c>
      <c r="AB812" s="570" t="s">
        <v>2441</v>
      </c>
      <c r="AC812" s="472">
        <v>1.1173652E7</v>
      </c>
      <c r="AD812" s="288"/>
      <c r="AE812" s="292"/>
      <c r="AF812" s="292"/>
      <c r="AG812" s="292"/>
      <c r="AH812" s="292"/>
      <c r="AI812" s="292"/>
      <c r="AJ812" s="293"/>
      <c r="AK812" s="260"/>
      <c r="AL812" s="259" t="str">
        <f>MATCH(B812,'Key Findings'!B:B,0)</f>
        <v>#N/A</v>
      </c>
      <c r="AM812" s="260" t="b">
        <f t="shared" si="2"/>
        <v>1</v>
      </c>
      <c r="AN812" s="294"/>
    </row>
    <row r="813">
      <c r="A813" s="169">
        <f t="array" ref="A813">INDEX('Federal Tax, Stock Buybacks, &amp; '!D:D,match(B813,'Federal Tax, Stock Buybacks, &amp; '!E:E,0))</f>
        <v>411</v>
      </c>
      <c r="B813" s="281" t="s">
        <v>1211</v>
      </c>
      <c r="C813" s="570"/>
      <c r="D813" s="570"/>
      <c r="E813" s="471"/>
      <c r="F813" s="254"/>
      <c r="G813" s="570"/>
      <c r="H813" s="570"/>
      <c r="I813" s="471"/>
      <c r="J813" s="254"/>
      <c r="K813" s="570" t="s">
        <v>1216</v>
      </c>
      <c r="L813" s="570" t="s">
        <v>1585</v>
      </c>
      <c r="M813" s="471">
        <v>3349119.0</v>
      </c>
      <c r="N813" s="254"/>
      <c r="O813" s="570" t="s">
        <v>1216</v>
      </c>
      <c r="P813" s="570" t="s">
        <v>1585</v>
      </c>
      <c r="Q813" s="471">
        <v>2721041.0</v>
      </c>
      <c r="R813" s="254"/>
      <c r="S813" s="570" t="s">
        <v>1216</v>
      </c>
      <c r="T813" s="570" t="s">
        <v>1585</v>
      </c>
      <c r="U813" s="471">
        <v>1616844.0</v>
      </c>
      <c r="V813" s="254"/>
      <c r="W813" s="282" t="s">
        <v>1215</v>
      </c>
      <c r="X813" s="524" t="s">
        <v>1585</v>
      </c>
      <c r="Y813" s="471">
        <v>2797182.0</v>
      </c>
      <c r="Z813" s="254"/>
      <c r="AA813" s="282" t="s">
        <v>1215</v>
      </c>
      <c r="AB813" s="524" t="s">
        <v>1585</v>
      </c>
      <c r="AC813" s="472">
        <v>3022286.0</v>
      </c>
      <c r="AD813" s="288"/>
      <c r="AE813" s="292"/>
      <c r="AF813" s="292"/>
      <c r="AG813" s="292"/>
      <c r="AH813" s="292"/>
      <c r="AI813" s="292"/>
      <c r="AJ813" s="293"/>
      <c r="AK813" s="260"/>
      <c r="AL813" s="259" t="str">
        <f>MATCH(B813,'Key Findings'!B:B,0)</f>
        <v>#N/A</v>
      </c>
      <c r="AM813" s="260" t="b">
        <f t="shared" si="2"/>
        <v>1</v>
      </c>
      <c r="AN813" s="294"/>
    </row>
    <row r="814">
      <c r="A814" s="169">
        <f t="array" ref="A814">INDEX('Federal Tax, Stock Buybacks, &amp; '!D:D,match(B814,'Federal Tax, Stock Buybacks, &amp; '!E:E,0))</f>
        <v>411</v>
      </c>
      <c r="B814" s="281" t="s">
        <v>1211</v>
      </c>
      <c r="C814" s="570"/>
      <c r="D814" s="570"/>
      <c r="E814" s="471"/>
      <c r="F814" s="254"/>
      <c r="G814" s="570"/>
      <c r="H814" s="570"/>
      <c r="I814" s="471"/>
      <c r="J814" s="254"/>
      <c r="K814" s="570" t="s">
        <v>1217</v>
      </c>
      <c r="L814" s="570" t="s">
        <v>2116</v>
      </c>
      <c r="M814" s="471">
        <v>2737708.0</v>
      </c>
      <c r="N814" s="254"/>
      <c r="O814" s="570" t="s">
        <v>1217</v>
      </c>
      <c r="P814" s="570" t="s">
        <v>2116</v>
      </c>
      <c r="Q814" s="471">
        <v>2367102.0</v>
      </c>
      <c r="R814" s="254"/>
      <c r="S814" s="570" t="s">
        <v>1217</v>
      </c>
      <c r="T814" s="570" t="s">
        <v>2116</v>
      </c>
      <c r="U814" s="471">
        <v>1859340.0</v>
      </c>
      <c r="V814" s="254"/>
      <c r="W814" s="282" t="s">
        <v>1213</v>
      </c>
      <c r="X814" s="524" t="s">
        <v>2442</v>
      </c>
      <c r="Y814" s="472">
        <v>3306706.0</v>
      </c>
      <c r="Z814" s="254"/>
      <c r="AA814" s="282" t="s">
        <v>1213</v>
      </c>
      <c r="AB814" s="524" t="s">
        <v>2442</v>
      </c>
      <c r="AC814" s="472">
        <v>3897661.0</v>
      </c>
      <c r="AD814" s="288"/>
      <c r="AE814" s="292"/>
      <c r="AF814" s="292"/>
      <c r="AG814" s="292"/>
      <c r="AH814" s="292"/>
      <c r="AI814" s="292"/>
      <c r="AJ814" s="293"/>
      <c r="AK814" s="260"/>
      <c r="AL814" s="259" t="str">
        <f>MATCH(B814,'Key Findings'!B:B,0)</f>
        <v>#N/A</v>
      </c>
      <c r="AM814" s="260" t="b">
        <f t="shared" si="2"/>
        <v>1</v>
      </c>
      <c r="AN814" s="294"/>
    </row>
    <row r="815">
      <c r="A815" s="169">
        <f t="array" ref="A815">INDEX('Federal Tax, Stock Buybacks, &amp; '!D:D,match(B815,'Federal Tax, Stock Buybacks, &amp; '!E:E,0))</f>
        <v>411</v>
      </c>
      <c r="B815" s="281" t="s">
        <v>1211</v>
      </c>
      <c r="C815" s="570"/>
      <c r="D815" s="570"/>
      <c r="E815" s="471"/>
      <c r="F815" s="254"/>
      <c r="G815" s="570"/>
      <c r="H815" s="570"/>
      <c r="I815" s="471"/>
      <c r="J815" s="254"/>
      <c r="K815" s="570" t="s">
        <v>1218</v>
      </c>
      <c r="L815" s="570" t="s">
        <v>2443</v>
      </c>
      <c r="M815" s="471">
        <v>2572351.0</v>
      </c>
      <c r="N815" s="254"/>
      <c r="O815" s="570" t="s">
        <v>1218</v>
      </c>
      <c r="P815" s="570" t="s">
        <v>2443</v>
      </c>
      <c r="Q815" s="471">
        <v>2465829.0</v>
      </c>
      <c r="R815" s="254"/>
      <c r="S815" s="282" t="s">
        <v>1215</v>
      </c>
      <c r="T815" s="524" t="s">
        <v>1686</v>
      </c>
      <c r="U815" s="471">
        <v>1949621.0</v>
      </c>
      <c r="V815" s="254"/>
      <c r="W815" s="282" t="s">
        <v>1214</v>
      </c>
      <c r="X815" s="524" t="s">
        <v>2116</v>
      </c>
      <c r="Y815" s="471">
        <v>2495628.0</v>
      </c>
      <c r="Z815" s="254"/>
      <c r="AA815" s="282" t="s">
        <v>1214</v>
      </c>
      <c r="AB815" s="524" t="s">
        <v>2116</v>
      </c>
      <c r="AC815" s="472">
        <v>2894579.0</v>
      </c>
      <c r="AD815" s="288"/>
      <c r="AE815" s="292"/>
      <c r="AF815" s="292"/>
      <c r="AG815" s="292"/>
      <c r="AH815" s="292"/>
      <c r="AI815" s="292"/>
      <c r="AJ815" s="293"/>
      <c r="AK815" s="260"/>
      <c r="AL815" s="259" t="str">
        <f>MATCH(B815,'Key Findings'!B:B,0)</f>
        <v>#N/A</v>
      </c>
      <c r="AM815" s="260" t="b">
        <f t="shared" si="2"/>
        <v>1</v>
      </c>
      <c r="AN815" s="294"/>
    </row>
    <row r="816">
      <c r="A816" s="169">
        <f t="array" ref="A816">INDEX('Federal Tax, Stock Buybacks, &amp; '!D:D,match(B816,'Federal Tax, Stock Buybacks, &amp; '!E:E,0))</f>
        <v>411</v>
      </c>
      <c r="B816" s="281" t="s">
        <v>1211</v>
      </c>
      <c r="C816" s="570"/>
      <c r="D816" s="570"/>
      <c r="E816" s="471"/>
      <c r="F816" s="254"/>
      <c r="G816" s="570"/>
      <c r="H816" s="570"/>
      <c r="I816" s="471"/>
      <c r="J816" s="254"/>
      <c r="K816" s="570" t="s">
        <v>1220</v>
      </c>
      <c r="L816" s="570" t="s">
        <v>2444</v>
      </c>
      <c r="M816" s="471">
        <v>2367904.0</v>
      </c>
      <c r="N816" s="254"/>
      <c r="O816" s="282" t="s">
        <v>1213</v>
      </c>
      <c r="P816" s="524" t="s">
        <v>2442</v>
      </c>
      <c r="Q816" s="471">
        <v>3486151.0</v>
      </c>
      <c r="R816" s="254"/>
      <c r="S816" s="282" t="s">
        <v>1213</v>
      </c>
      <c r="T816" s="524" t="s">
        <v>2442</v>
      </c>
      <c r="U816" s="471">
        <v>3342317.0</v>
      </c>
      <c r="V816" s="254"/>
      <c r="W816" s="298" t="s">
        <v>711</v>
      </c>
      <c r="X816" s="296" t="s">
        <v>711</v>
      </c>
      <c r="Y816" s="523" t="s">
        <v>711</v>
      </c>
      <c r="Z816" s="254"/>
      <c r="AA816" s="282" t="s">
        <v>1219</v>
      </c>
      <c r="AB816" s="524" t="s">
        <v>2005</v>
      </c>
      <c r="AC816" s="472">
        <v>3595164.0</v>
      </c>
      <c r="AD816" s="288"/>
      <c r="AE816" s="292"/>
      <c r="AF816" s="292"/>
      <c r="AG816" s="292"/>
      <c r="AH816" s="292"/>
      <c r="AI816" s="292"/>
      <c r="AJ816" s="293"/>
      <c r="AK816" s="260"/>
      <c r="AL816" s="259" t="str">
        <f>MATCH(B816,'Key Findings'!B:B,0)</f>
        <v>#N/A</v>
      </c>
      <c r="AM816" s="260" t="b">
        <f t="shared" si="2"/>
        <v>1</v>
      </c>
      <c r="AN816" s="294"/>
    </row>
    <row r="817">
      <c r="A817" s="169">
        <f t="array" ref="A817">INDEX('Federal Tax, Stock Buybacks, &amp; '!D:D,match(B817,'Federal Tax, Stock Buybacks, &amp; '!E:E,0))</f>
        <v>411</v>
      </c>
      <c r="B817" s="281" t="s">
        <v>1211</v>
      </c>
      <c r="C817" s="298"/>
      <c r="D817" s="296"/>
      <c r="E817" s="523"/>
      <c r="F817" s="254"/>
      <c r="G817" s="298"/>
      <c r="H817" s="296"/>
      <c r="I817" s="523"/>
      <c r="J817" s="254"/>
      <c r="K817" s="298" t="s">
        <v>711</v>
      </c>
      <c r="L817" s="296" t="s">
        <v>711</v>
      </c>
      <c r="M817" s="523" t="s">
        <v>711</v>
      </c>
      <c r="N817" s="254"/>
      <c r="O817" s="298" t="s">
        <v>711</v>
      </c>
      <c r="P817" s="296" t="s">
        <v>711</v>
      </c>
      <c r="Q817" s="523" t="s">
        <v>711</v>
      </c>
      <c r="R817" s="254"/>
      <c r="S817" s="282" t="s">
        <v>1214</v>
      </c>
      <c r="T817" s="524" t="s">
        <v>2445</v>
      </c>
      <c r="U817" s="471">
        <v>2467069.0</v>
      </c>
      <c r="V817" s="254"/>
      <c r="W817" s="298" t="s">
        <v>711</v>
      </c>
      <c r="X817" s="296" t="s">
        <v>711</v>
      </c>
      <c r="Y817" s="523" t="s">
        <v>711</v>
      </c>
      <c r="Z817" s="254"/>
      <c r="AA817" s="298" t="s">
        <v>711</v>
      </c>
      <c r="AB817" s="296" t="s">
        <v>711</v>
      </c>
      <c r="AC817" s="523" t="s">
        <v>711</v>
      </c>
      <c r="AD817" s="288"/>
      <c r="AE817" s="292"/>
      <c r="AF817" s="292"/>
      <c r="AG817" s="292"/>
      <c r="AH817" s="292"/>
      <c r="AI817" s="292"/>
      <c r="AJ817" s="293"/>
      <c r="AK817" s="260"/>
      <c r="AL817" s="259" t="str">
        <f>MATCH(B817,'Key Findings'!B:B,0)</f>
        <v>#N/A</v>
      </c>
      <c r="AM817" s="260" t="b">
        <f t="shared" si="2"/>
        <v>1</v>
      </c>
      <c r="AN817" s="294"/>
    </row>
    <row r="818">
      <c r="A818" s="169">
        <f t="array" ref="A818">INDEX('Federal Tax, Stock Buybacks, &amp; '!D:D,match(B818,'Federal Tax, Stock Buybacks, &amp; '!E:E,0))</f>
        <v>24</v>
      </c>
      <c r="B818" s="404" t="s">
        <v>1110</v>
      </c>
      <c r="C818" s="405"/>
      <c r="D818" s="406"/>
      <c r="E818" s="472"/>
      <c r="F818" s="254"/>
      <c r="G818" s="405"/>
      <c r="H818" s="406"/>
      <c r="I818" s="472"/>
      <c r="J818" s="254"/>
      <c r="K818" s="405" t="s">
        <v>1109</v>
      </c>
      <c r="L818" s="406" t="s">
        <v>1674</v>
      </c>
      <c r="M818" s="472">
        <v>1.9209843E7</v>
      </c>
      <c r="N818" s="254"/>
      <c r="O818" s="405" t="s">
        <v>1109</v>
      </c>
      <c r="P818" s="405" t="s">
        <v>1674</v>
      </c>
      <c r="Q818" s="472">
        <v>1.816873E7</v>
      </c>
      <c r="R818" s="254"/>
      <c r="S818" s="405" t="s">
        <v>1109</v>
      </c>
      <c r="T818" s="405" t="s">
        <v>1674</v>
      </c>
      <c r="U818" s="472">
        <v>2.2373574E7</v>
      </c>
      <c r="V818" s="254"/>
      <c r="W818" s="405" t="s">
        <v>1109</v>
      </c>
      <c r="X818" s="405" t="s">
        <v>1674</v>
      </c>
      <c r="Y818" s="472">
        <v>1.4167163E7</v>
      </c>
      <c r="Z818" s="254"/>
      <c r="AA818" s="405" t="s">
        <v>1109</v>
      </c>
      <c r="AB818" s="405" t="s">
        <v>1674</v>
      </c>
      <c r="AC818" s="472">
        <v>1.2037872E7</v>
      </c>
      <c r="AD818" s="407"/>
      <c r="AE818" s="408">
        <v>2022.0</v>
      </c>
      <c r="AF818" s="408">
        <v>2021.0</v>
      </c>
      <c r="AG818" s="408">
        <v>2020.0</v>
      </c>
      <c r="AH818" s="408">
        <v>2019.0</v>
      </c>
      <c r="AI818" s="408">
        <v>2018.0</v>
      </c>
      <c r="AJ818" s="332" t="s">
        <v>1524</v>
      </c>
      <c r="AK818" s="260"/>
      <c r="AL818" s="259" t="str">
        <f>MATCH(B818,'Key Findings'!B:B,0)</f>
        <v>#N/A</v>
      </c>
      <c r="AM818" s="260" t="b">
        <f t="shared" si="2"/>
        <v>0</v>
      </c>
      <c r="AN818" s="294"/>
    </row>
    <row r="819">
      <c r="A819" s="169">
        <f t="array" ref="A819">INDEX('Federal Tax, Stock Buybacks, &amp; '!D:D,match(B819,'Federal Tax, Stock Buybacks, &amp; '!E:E,0))</f>
        <v>24</v>
      </c>
      <c r="B819" s="404" t="s">
        <v>1110</v>
      </c>
      <c r="C819" s="405"/>
      <c r="D819" s="406"/>
      <c r="E819" s="472"/>
      <c r="F819" s="254"/>
      <c r="G819" s="405"/>
      <c r="H819" s="406"/>
      <c r="I819" s="472"/>
      <c r="J819" s="254"/>
      <c r="K819" s="405" t="s">
        <v>1111</v>
      </c>
      <c r="L819" s="406" t="s">
        <v>2446</v>
      </c>
      <c r="M819" s="472">
        <v>6559274.0</v>
      </c>
      <c r="N819" s="254"/>
      <c r="O819" s="405" t="s">
        <v>1114</v>
      </c>
      <c r="P819" s="405" t="s">
        <v>1647</v>
      </c>
      <c r="Q819" s="472">
        <v>5986420.0</v>
      </c>
      <c r="R819" s="254"/>
      <c r="S819" s="405" t="s">
        <v>1113</v>
      </c>
      <c r="T819" s="405" t="s">
        <v>2447</v>
      </c>
      <c r="U819" s="472">
        <v>6000282.0</v>
      </c>
      <c r="V819" s="254"/>
      <c r="W819" s="405" t="s">
        <v>1115</v>
      </c>
      <c r="X819" s="405" t="s">
        <v>2448</v>
      </c>
      <c r="Y819" s="472">
        <v>8467423.0</v>
      </c>
      <c r="Z819" s="254"/>
      <c r="AA819" s="405" t="s">
        <v>1115</v>
      </c>
      <c r="AB819" s="405" t="s">
        <v>2448</v>
      </c>
      <c r="AC819" s="472">
        <v>5772122.0</v>
      </c>
      <c r="AD819" s="407"/>
      <c r="AE819" s="409"/>
      <c r="AF819" s="410"/>
      <c r="AG819" s="410"/>
      <c r="AH819" s="410"/>
      <c r="AI819" s="410"/>
      <c r="AJ819" s="332"/>
      <c r="AK819" s="260"/>
      <c r="AL819" s="259" t="str">
        <f>MATCH(B819,'Key Findings'!B:B,0)</f>
        <v>#N/A</v>
      </c>
      <c r="AM819" s="260" t="b">
        <f t="shared" si="2"/>
        <v>0</v>
      </c>
      <c r="AN819" s="294"/>
    </row>
    <row r="820">
      <c r="A820" s="169">
        <f t="array" ref="A820">INDEX('Federal Tax, Stock Buybacks, &amp; '!D:D,match(B820,'Federal Tax, Stock Buybacks, &amp; '!E:E,0))</f>
        <v>24</v>
      </c>
      <c r="B820" s="404" t="s">
        <v>1110</v>
      </c>
      <c r="C820" s="405"/>
      <c r="D820" s="406"/>
      <c r="E820" s="472"/>
      <c r="F820" s="254"/>
      <c r="G820" s="405"/>
      <c r="H820" s="406"/>
      <c r="I820" s="472"/>
      <c r="J820" s="254"/>
      <c r="K820" s="405" t="s">
        <v>1113</v>
      </c>
      <c r="L820" s="406" t="s">
        <v>2447</v>
      </c>
      <c r="M820" s="472">
        <v>6455329.0</v>
      </c>
      <c r="N820" s="254"/>
      <c r="O820" s="405" t="s">
        <v>1111</v>
      </c>
      <c r="P820" s="405" t="s">
        <v>2446</v>
      </c>
      <c r="Q820" s="472">
        <v>6205371.0</v>
      </c>
      <c r="R820" s="254"/>
      <c r="S820" s="405" t="s">
        <v>1114</v>
      </c>
      <c r="T820" s="405" t="s">
        <v>1647</v>
      </c>
      <c r="U820" s="472">
        <v>5167689.0</v>
      </c>
      <c r="V820" s="254"/>
      <c r="W820" s="405" t="s">
        <v>1112</v>
      </c>
      <c r="X820" s="405" t="s">
        <v>2449</v>
      </c>
      <c r="Y820" s="472">
        <v>1.0329684E7</v>
      </c>
      <c r="Z820" s="254"/>
      <c r="AA820" s="405" t="s">
        <v>1112</v>
      </c>
      <c r="AB820" s="405" t="s">
        <v>2449</v>
      </c>
      <c r="AC820" s="472">
        <v>5693293.0</v>
      </c>
      <c r="AD820" s="407"/>
      <c r="AE820" s="409"/>
      <c r="AF820" s="410"/>
      <c r="AG820" s="410"/>
      <c r="AH820" s="410"/>
      <c r="AI820" s="410"/>
      <c r="AJ820" s="332"/>
      <c r="AK820" s="260"/>
      <c r="AL820" s="259" t="str">
        <f>MATCH(B820,'Key Findings'!B:B,0)</f>
        <v>#N/A</v>
      </c>
      <c r="AM820" s="260" t="b">
        <f t="shared" si="2"/>
        <v>0</v>
      </c>
      <c r="AN820" s="294"/>
    </row>
    <row r="821">
      <c r="A821" s="169">
        <f t="array" ref="A821">INDEX('Federal Tax, Stock Buybacks, &amp; '!D:D,match(B821,'Federal Tax, Stock Buybacks, &amp; '!E:E,0))</f>
        <v>24</v>
      </c>
      <c r="B821" s="404" t="s">
        <v>1110</v>
      </c>
      <c r="C821" s="405"/>
      <c r="D821" s="406"/>
      <c r="E821" s="472"/>
      <c r="F821" s="254"/>
      <c r="G821" s="405"/>
      <c r="H821" s="406"/>
      <c r="I821" s="472"/>
      <c r="J821" s="254"/>
      <c r="K821" s="405" t="s">
        <v>1114</v>
      </c>
      <c r="L821" s="406" t="s">
        <v>1647</v>
      </c>
      <c r="M821" s="472">
        <v>6453123.0</v>
      </c>
      <c r="N821" s="254"/>
      <c r="O821" s="405" t="s">
        <v>1113</v>
      </c>
      <c r="P821" s="405" t="s">
        <v>2447</v>
      </c>
      <c r="Q821" s="472">
        <v>6002790.0</v>
      </c>
      <c r="R821" s="254"/>
      <c r="S821" s="405" t="s">
        <v>1111</v>
      </c>
      <c r="T821" s="405" t="s">
        <v>2446</v>
      </c>
      <c r="U821" s="472">
        <v>6487271.0</v>
      </c>
      <c r="V821" s="254"/>
      <c r="W821" s="405" t="s">
        <v>1111</v>
      </c>
      <c r="X821" s="405" t="s">
        <v>2450</v>
      </c>
      <c r="Y821" s="472">
        <v>4612783.0</v>
      </c>
      <c r="Z821" s="254"/>
      <c r="AA821" s="405" t="s">
        <v>1118</v>
      </c>
      <c r="AB821" s="405" t="s">
        <v>2211</v>
      </c>
      <c r="AC821" s="472">
        <v>4516275.0</v>
      </c>
      <c r="AD821" s="407"/>
      <c r="AE821" s="409"/>
      <c r="AF821" s="410"/>
      <c r="AG821" s="410"/>
      <c r="AH821" s="410"/>
      <c r="AI821" s="410"/>
      <c r="AJ821" s="332"/>
      <c r="AK821" s="260"/>
      <c r="AL821" s="259" t="str">
        <f>MATCH(B821,'Key Findings'!B:B,0)</f>
        <v>#N/A</v>
      </c>
      <c r="AM821" s="260" t="b">
        <f t="shared" si="2"/>
        <v>0</v>
      </c>
      <c r="AN821" s="294"/>
    </row>
    <row r="822">
      <c r="A822" s="169">
        <f t="array" ref="A822">INDEX('Federal Tax, Stock Buybacks, &amp; '!D:D,match(B822,'Federal Tax, Stock Buybacks, &amp; '!E:E,0))</f>
        <v>24</v>
      </c>
      <c r="B822" s="404" t="s">
        <v>1110</v>
      </c>
      <c r="C822" s="405"/>
      <c r="D822" s="406"/>
      <c r="E822" s="472"/>
      <c r="F822" s="254"/>
      <c r="G822" s="405"/>
      <c r="H822" s="406"/>
      <c r="I822" s="472"/>
      <c r="J822" s="254"/>
      <c r="K822" s="405" t="s">
        <v>1116</v>
      </c>
      <c r="L822" s="406" t="s">
        <v>2451</v>
      </c>
      <c r="M822" s="472">
        <v>5001964.0</v>
      </c>
      <c r="N822" s="254"/>
      <c r="O822" s="405" t="s">
        <v>1116</v>
      </c>
      <c r="P822" s="405" t="s">
        <v>2451</v>
      </c>
      <c r="Q822" s="472">
        <v>4385247.0</v>
      </c>
      <c r="R822" s="254"/>
      <c r="S822" s="405" t="s">
        <v>1112</v>
      </c>
      <c r="T822" s="405" t="s">
        <v>1832</v>
      </c>
      <c r="U822" s="472">
        <v>1.0094507E7</v>
      </c>
      <c r="V822" s="254"/>
      <c r="W822" s="405" t="s">
        <v>1113</v>
      </c>
      <c r="X822" s="405" t="s">
        <v>2447</v>
      </c>
      <c r="Y822" s="472">
        <v>3645812.0</v>
      </c>
      <c r="Z822" s="254"/>
      <c r="AA822" s="405" t="s">
        <v>1117</v>
      </c>
      <c r="AB822" s="405" t="s">
        <v>1891</v>
      </c>
      <c r="AC822" s="472">
        <v>4767315.0</v>
      </c>
      <c r="AD822" s="407"/>
      <c r="AE822" s="409"/>
      <c r="AF822" s="410"/>
      <c r="AG822" s="410"/>
      <c r="AH822" s="410"/>
      <c r="AI822" s="410"/>
      <c r="AJ822" s="332"/>
      <c r="AK822" s="260"/>
      <c r="AL822" s="259" t="str">
        <f>MATCH(B822,'Key Findings'!B:B,0)</f>
        <v>#N/A</v>
      </c>
      <c r="AM822" s="260" t="b">
        <f t="shared" si="2"/>
        <v>0</v>
      </c>
      <c r="AN822" s="294"/>
    </row>
    <row r="823">
      <c r="A823" s="169">
        <f t="array" ref="A823">INDEX('Federal Tax, Stock Buybacks, &amp; '!D:D,match(B823,'Federal Tax, Stock Buybacks, &amp; '!E:E,0))</f>
        <v>24</v>
      </c>
      <c r="B823" s="404" t="s">
        <v>1110</v>
      </c>
      <c r="C823" s="411"/>
      <c r="D823" s="411"/>
      <c r="E823" s="472"/>
      <c r="F823" s="254"/>
      <c r="G823" s="411"/>
      <c r="H823" s="411"/>
      <c r="I823" s="472"/>
      <c r="J823" s="254"/>
      <c r="K823" s="411" t="s">
        <v>711</v>
      </c>
      <c r="L823" s="411" t="s">
        <v>711</v>
      </c>
      <c r="M823" s="472" t="s">
        <v>711</v>
      </c>
      <c r="N823" s="254"/>
      <c r="O823" s="411" t="s">
        <v>711</v>
      </c>
      <c r="P823" s="411" t="s">
        <v>711</v>
      </c>
      <c r="Q823" s="472" t="s">
        <v>711</v>
      </c>
      <c r="R823" s="254"/>
      <c r="S823" s="411" t="s">
        <v>711</v>
      </c>
      <c r="T823" s="411" t="s">
        <v>711</v>
      </c>
      <c r="U823" s="472" t="s">
        <v>711</v>
      </c>
      <c r="V823" s="254"/>
      <c r="W823" s="405" t="s">
        <v>1114</v>
      </c>
      <c r="X823" s="405" t="s">
        <v>1647</v>
      </c>
      <c r="Y823" s="472">
        <v>4142280.0</v>
      </c>
      <c r="Z823" s="254"/>
      <c r="AA823" s="405" t="s">
        <v>1111</v>
      </c>
      <c r="AB823" s="405" t="s">
        <v>2450</v>
      </c>
      <c r="AC823" s="497">
        <v>2934218.0</v>
      </c>
      <c r="AD823" s="407"/>
      <c r="AE823" s="409"/>
      <c r="AF823" s="410"/>
      <c r="AG823" s="410"/>
      <c r="AH823" s="410"/>
      <c r="AI823" s="410"/>
      <c r="AJ823" s="332"/>
      <c r="AK823" s="260"/>
      <c r="AL823" s="259" t="str">
        <f>MATCH(B823,'Key Findings'!B:B,0)</f>
        <v>#N/A</v>
      </c>
      <c r="AM823" s="260" t="b">
        <f t="shared" si="2"/>
        <v>0</v>
      </c>
      <c r="AN823" s="294"/>
    </row>
    <row r="824">
      <c r="A824" s="169">
        <f t="array" ref="A824">INDEX('Federal Tax, Stock Buybacks, &amp; '!D:D,match(B824,'Federal Tax, Stock Buybacks, &amp; '!E:E,0))</f>
        <v>108</v>
      </c>
      <c r="B824" s="397" t="s">
        <v>1251</v>
      </c>
      <c r="C824" s="398"/>
      <c r="D824" s="365"/>
      <c r="E824" s="550"/>
      <c r="F824" s="254"/>
      <c r="G824" s="398"/>
      <c r="H824" s="365"/>
      <c r="I824" s="550"/>
      <c r="J824" s="254"/>
      <c r="K824" s="398" t="s">
        <v>1250</v>
      </c>
      <c r="L824" s="365" t="s">
        <v>2452</v>
      </c>
      <c r="M824" s="550">
        <v>1.5621406E7</v>
      </c>
      <c r="N824" s="254"/>
      <c r="O824" s="398" t="s">
        <v>1250</v>
      </c>
      <c r="P824" s="401" t="s">
        <v>1523</v>
      </c>
      <c r="Q824" s="552">
        <v>1.6618873E7</v>
      </c>
      <c r="R824" s="254"/>
      <c r="S824" s="398" t="s">
        <v>1250</v>
      </c>
      <c r="T824" s="401" t="s">
        <v>1523</v>
      </c>
      <c r="U824" s="499">
        <v>1.6452823E7</v>
      </c>
      <c r="V824" s="254"/>
      <c r="W824" s="398" t="s">
        <v>1250</v>
      </c>
      <c r="X824" s="401" t="s">
        <v>1523</v>
      </c>
      <c r="Y824" s="499">
        <v>1.2008059E7</v>
      </c>
      <c r="Z824" s="254"/>
      <c r="AA824" s="398" t="s">
        <v>1250</v>
      </c>
      <c r="AB824" s="401" t="s">
        <v>1523</v>
      </c>
      <c r="AC824" s="488">
        <v>1.0602517E7</v>
      </c>
      <c r="AD824" s="306"/>
      <c r="AE824" s="307">
        <v>2022.0</v>
      </c>
      <c r="AF824" s="307">
        <v>2021.0</v>
      </c>
      <c r="AG824" s="307">
        <v>2020.0</v>
      </c>
      <c r="AH824" s="307">
        <v>2019.0</v>
      </c>
      <c r="AI824" s="307">
        <v>2018.0</v>
      </c>
      <c r="AJ824" s="273" t="s">
        <v>1524</v>
      </c>
      <c r="AK824" s="274"/>
      <c r="AL824" s="259" t="str">
        <f>MATCH(B824,'Key Findings'!B:B,0)</f>
        <v>#N/A</v>
      </c>
      <c r="AM824" s="274" t="b">
        <f t="shared" si="2"/>
        <v>0</v>
      </c>
      <c r="AN824" s="294"/>
    </row>
    <row r="825">
      <c r="A825" s="169">
        <f t="array" ref="A825">INDEX('Federal Tax, Stock Buybacks, &amp; '!D:D,match(B825,'Federal Tax, Stock Buybacks, &amp; '!E:E,0))</f>
        <v>108</v>
      </c>
      <c r="B825" s="397" t="s">
        <v>1251</v>
      </c>
      <c r="C825" s="398"/>
      <c r="D825" s="365"/>
      <c r="E825" s="550"/>
      <c r="F825" s="254"/>
      <c r="G825" s="398"/>
      <c r="H825" s="365"/>
      <c r="I825" s="550"/>
      <c r="J825" s="254"/>
      <c r="K825" s="398" t="s">
        <v>1254</v>
      </c>
      <c r="L825" s="365" t="s">
        <v>2453</v>
      </c>
      <c r="M825" s="550">
        <v>3249391.0</v>
      </c>
      <c r="N825" s="254"/>
      <c r="O825" s="398" t="s">
        <v>1254</v>
      </c>
      <c r="P825" s="364" t="s">
        <v>2453</v>
      </c>
      <c r="Q825" s="552">
        <v>3436975.0</v>
      </c>
      <c r="R825" s="254"/>
      <c r="S825" s="398" t="s">
        <v>1254</v>
      </c>
      <c r="T825" s="364" t="s">
        <v>2453</v>
      </c>
      <c r="U825" s="499">
        <v>3588018.0</v>
      </c>
      <c r="V825" s="254"/>
      <c r="W825" s="398" t="s">
        <v>1254</v>
      </c>
      <c r="X825" s="364" t="s">
        <v>2453</v>
      </c>
      <c r="Y825" s="499">
        <v>2689302.0</v>
      </c>
      <c r="Z825" s="254"/>
      <c r="AA825" s="398" t="s">
        <v>1258</v>
      </c>
      <c r="AB825" s="302" t="s">
        <v>2454</v>
      </c>
      <c r="AC825" s="488">
        <v>2477377.0</v>
      </c>
      <c r="AD825" s="306"/>
      <c r="AE825" s="308"/>
      <c r="AF825" s="308"/>
      <c r="AG825" s="308"/>
      <c r="AH825" s="308"/>
      <c r="AI825" s="308"/>
      <c r="AJ825" s="278"/>
      <c r="AK825" s="274"/>
      <c r="AL825" s="259" t="str">
        <f>MATCH(B825,'Key Findings'!B:B,0)</f>
        <v>#N/A</v>
      </c>
      <c r="AM825" s="274" t="b">
        <f t="shared" si="2"/>
        <v>0</v>
      </c>
      <c r="AN825" s="294"/>
    </row>
    <row r="826">
      <c r="A826" s="169">
        <f t="array" ref="A826">INDEX('Federal Tax, Stock Buybacks, &amp; '!D:D,match(B826,'Federal Tax, Stock Buybacks, &amp; '!E:E,0))</f>
        <v>108</v>
      </c>
      <c r="B826" s="397" t="s">
        <v>1251</v>
      </c>
      <c r="C826" s="398"/>
      <c r="D826" s="365"/>
      <c r="E826" s="550"/>
      <c r="F826" s="254"/>
      <c r="G826" s="398"/>
      <c r="H826" s="365"/>
      <c r="I826" s="550"/>
      <c r="J826" s="254"/>
      <c r="K826" s="398" t="s">
        <v>1253</v>
      </c>
      <c r="L826" s="365" t="s">
        <v>2037</v>
      </c>
      <c r="M826" s="550">
        <v>4303436.0</v>
      </c>
      <c r="N826" s="254"/>
      <c r="O826" s="398" t="s">
        <v>1253</v>
      </c>
      <c r="P826" s="401" t="s">
        <v>1535</v>
      </c>
      <c r="Q826" s="552">
        <v>3872358.0</v>
      </c>
      <c r="R826" s="254"/>
      <c r="S826" s="398" t="s">
        <v>1253</v>
      </c>
      <c r="T826" s="401" t="s">
        <v>1535</v>
      </c>
      <c r="U826" s="499">
        <v>4157868.0</v>
      </c>
      <c r="V826" s="254"/>
      <c r="W826" s="398" t="s">
        <v>1253</v>
      </c>
      <c r="X826" s="401" t="s">
        <v>1535</v>
      </c>
      <c r="Y826" s="499">
        <v>2922464.0</v>
      </c>
      <c r="Z826" s="254"/>
      <c r="AA826" s="398" t="s">
        <v>1253</v>
      </c>
      <c r="AB826" s="401" t="s">
        <v>1535</v>
      </c>
      <c r="AC826" s="488">
        <v>2618341.0</v>
      </c>
      <c r="AD826" s="306"/>
      <c r="AE826" s="308"/>
      <c r="AF826" s="308"/>
      <c r="AG826" s="308"/>
      <c r="AH826" s="308"/>
      <c r="AI826" s="308"/>
      <c r="AJ826" s="278"/>
      <c r="AK826" s="274"/>
      <c r="AL826" s="259" t="str">
        <f>MATCH(B826,'Key Findings'!B:B,0)</f>
        <v>#N/A</v>
      </c>
      <c r="AM826" s="274" t="b">
        <f t="shared" si="2"/>
        <v>0</v>
      </c>
      <c r="AN826" s="294"/>
    </row>
    <row r="827">
      <c r="A827" s="169">
        <f t="array" ref="A827">INDEX('Federal Tax, Stock Buybacks, &amp; '!D:D,match(B827,'Federal Tax, Stock Buybacks, &amp; '!E:E,0))</f>
        <v>108</v>
      </c>
      <c r="B827" s="397" t="s">
        <v>1251</v>
      </c>
      <c r="C827" s="398"/>
      <c r="D827" s="365"/>
      <c r="E827" s="550"/>
      <c r="F827" s="254"/>
      <c r="G827" s="398"/>
      <c r="H827" s="365"/>
      <c r="I827" s="550"/>
      <c r="J827" s="254"/>
      <c r="K827" s="398" t="s">
        <v>1252</v>
      </c>
      <c r="L827" s="365" t="s">
        <v>1523</v>
      </c>
      <c r="M827" s="550">
        <v>1.2032684E7</v>
      </c>
      <c r="N827" s="254"/>
      <c r="O827" s="398" t="s">
        <v>1252</v>
      </c>
      <c r="P827" s="401" t="s">
        <v>1662</v>
      </c>
      <c r="Q827" s="552">
        <v>4975694.0</v>
      </c>
      <c r="R827" s="254"/>
      <c r="S827" s="398" t="s">
        <v>1252</v>
      </c>
      <c r="T827" s="401" t="s">
        <v>1662</v>
      </c>
      <c r="U827" s="499">
        <v>5558857.0</v>
      </c>
      <c r="V827" s="254"/>
      <c r="W827" s="398" t="s">
        <v>1252</v>
      </c>
      <c r="X827" s="401" t="s">
        <v>1662</v>
      </c>
      <c r="Y827" s="499">
        <v>3505016.0</v>
      </c>
      <c r="Z827" s="254"/>
      <c r="AA827" s="398" t="s">
        <v>1252</v>
      </c>
      <c r="AB827" s="302" t="s">
        <v>2455</v>
      </c>
      <c r="AC827" s="488">
        <v>2607376.0</v>
      </c>
      <c r="AD827" s="306"/>
      <c r="AE827" s="308"/>
      <c r="AF827" s="308"/>
      <c r="AG827" s="308"/>
      <c r="AH827" s="308"/>
      <c r="AI827" s="308"/>
      <c r="AJ827" s="278"/>
      <c r="AK827" s="274"/>
      <c r="AL827" s="259" t="str">
        <f>MATCH(B827,'Key Findings'!B:B,0)</f>
        <v>#N/A</v>
      </c>
      <c r="AM827" s="274" t="b">
        <f t="shared" si="2"/>
        <v>0</v>
      </c>
      <c r="AN827" s="294"/>
    </row>
    <row r="828">
      <c r="A828" s="169">
        <f t="array" ref="A828">INDEX('Federal Tax, Stock Buybacks, &amp; '!D:D,match(B828,'Federal Tax, Stock Buybacks, &amp; '!E:E,0))</f>
        <v>108</v>
      </c>
      <c r="B828" s="397" t="s">
        <v>1251</v>
      </c>
      <c r="C828" s="398"/>
      <c r="D828" s="365"/>
      <c r="E828" s="550"/>
      <c r="F828" s="254"/>
      <c r="G828" s="398"/>
      <c r="H828" s="365"/>
      <c r="I828" s="550"/>
      <c r="J828" s="254"/>
      <c r="K828" s="398" t="s">
        <v>1255</v>
      </c>
      <c r="L828" s="365" t="s">
        <v>2048</v>
      </c>
      <c r="M828" s="550">
        <v>3177567.0</v>
      </c>
      <c r="N828" s="254"/>
      <c r="O828" s="398" t="s">
        <v>1255</v>
      </c>
      <c r="P828" s="364" t="s">
        <v>2048</v>
      </c>
      <c r="Q828" s="552">
        <v>3281360.0</v>
      </c>
      <c r="R828" s="254"/>
      <c r="S828" s="398" t="s">
        <v>1256</v>
      </c>
      <c r="T828" s="369" t="s">
        <v>2456</v>
      </c>
      <c r="U828" s="499">
        <v>3415957.0</v>
      </c>
      <c r="V828" s="254"/>
      <c r="W828" s="398" t="s">
        <v>1256</v>
      </c>
      <c r="X828" s="369" t="s">
        <v>2457</v>
      </c>
      <c r="Y828" s="499">
        <v>2795511.0</v>
      </c>
      <c r="Z828" s="254"/>
      <c r="AA828" s="398" t="s">
        <v>1256</v>
      </c>
      <c r="AB828" s="369" t="s">
        <v>2457</v>
      </c>
      <c r="AC828" s="488">
        <v>2545394.0</v>
      </c>
      <c r="AD828" s="306"/>
      <c r="AE828" s="308"/>
      <c r="AF828" s="308"/>
      <c r="AG828" s="308"/>
      <c r="AH828" s="308"/>
      <c r="AI828" s="308"/>
      <c r="AJ828" s="278"/>
      <c r="AK828" s="274"/>
      <c r="AL828" s="259" t="str">
        <f>MATCH(B828,'Key Findings'!B:B,0)</f>
        <v>#N/A</v>
      </c>
      <c r="AM828" s="274" t="b">
        <f t="shared" si="2"/>
        <v>0</v>
      </c>
      <c r="AN828" s="294"/>
    </row>
    <row r="829">
      <c r="A829" s="169">
        <f t="array" ref="A829">INDEX('Federal Tax, Stock Buybacks, &amp; '!D:D,match(B829,'Federal Tax, Stock Buybacks, &amp; '!E:E,0))</f>
        <v>108</v>
      </c>
      <c r="B829" s="397" t="s">
        <v>1251</v>
      </c>
      <c r="C829" s="398"/>
      <c r="D829" s="365"/>
      <c r="E829" s="550"/>
      <c r="F829" s="254"/>
      <c r="G829" s="398"/>
      <c r="H829" s="365"/>
      <c r="I829" s="550"/>
      <c r="J829" s="254"/>
      <c r="K829" s="398" t="s">
        <v>1257</v>
      </c>
      <c r="L829" s="365" t="s">
        <v>2457</v>
      </c>
      <c r="M829" s="550">
        <v>3318670.0</v>
      </c>
      <c r="N829" s="254"/>
      <c r="O829" s="313" t="s">
        <v>711</v>
      </c>
      <c r="P829" s="314" t="s">
        <v>711</v>
      </c>
      <c r="Q829" s="565" t="s">
        <v>711</v>
      </c>
      <c r="R829" s="254"/>
      <c r="S829" s="398" t="s">
        <v>1255</v>
      </c>
      <c r="T829" s="364" t="s">
        <v>2048</v>
      </c>
      <c r="U829" s="499">
        <v>3238425.0</v>
      </c>
      <c r="V829" s="254"/>
      <c r="W829" s="313" t="s">
        <v>711</v>
      </c>
      <c r="X829" s="314" t="s">
        <v>711</v>
      </c>
      <c r="Y829" s="565" t="s">
        <v>711</v>
      </c>
      <c r="Z829" s="254"/>
      <c r="AA829" s="313" t="s">
        <v>711</v>
      </c>
      <c r="AB829" s="314" t="s">
        <v>711</v>
      </c>
      <c r="AC829" s="565" t="s">
        <v>711</v>
      </c>
      <c r="AD829" s="306"/>
      <c r="AE829" s="308"/>
      <c r="AF829" s="308"/>
      <c r="AG829" s="308"/>
      <c r="AH829" s="308"/>
      <c r="AI829" s="308"/>
      <c r="AJ829" s="278"/>
      <c r="AK829" s="274"/>
      <c r="AL829" s="259" t="str">
        <f>MATCH(B829,'Key Findings'!B:B,0)</f>
        <v>#N/A</v>
      </c>
      <c r="AM829" s="274" t="b">
        <f t="shared" si="2"/>
        <v>0</v>
      </c>
      <c r="AN829" s="294"/>
    </row>
    <row r="830">
      <c r="A830" s="169">
        <f t="array" ref="A830">INDEX('Federal Tax, Stock Buybacks, &amp; '!D:D,match(B830,'Federal Tax, Stock Buybacks, &amp; '!E:E,0))</f>
        <v>100</v>
      </c>
      <c r="B830" s="386" t="s">
        <v>1317</v>
      </c>
      <c r="C830" s="316"/>
      <c r="D830" s="286"/>
      <c r="E830" s="539"/>
      <c r="F830" s="254"/>
      <c r="G830" s="316"/>
      <c r="H830" s="286"/>
      <c r="I830" s="539"/>
      <c r="J830" s="254"/>
      <c r="K830" s="316" t="s">
        <v>1316</v>
      </c>
      <c r="L830" s="286" t="s">
        <v>2296</v>
      </c>
      <c r="M830" s="539">
        <v>2.2822519E7</v>
      </c>
      <c r="N830" s="254"/>
      <c r="O830" s="316" t="s">
        <v>1316</v>
      </c>
      <c r="P830" s="285" t="s">
        <v>2296</v>
      </c>
      <c r="Q830" s="540">
        <v>2.4883878E7</v>
      </c>
      <c r="R830" s="254"/>
      <c r="S830" s="316" t="s">
        <v>1316</v>
      </c>
      <c r="T830" s="285" t="s">
        <v>2296</v>
      </c>
      <c r="U830" s="471">
        <v>1.8383474E7</v>
      </c>
      <c r="V830" s="254"/>
      <c r="W830" s="316" t="s">
        <v>1322</v>
      </c>
      <c r="X830" s="295" t="s">
        <v>1686</v>
      </c>
      <c r="Y830" s="471">
        <v>5742683.0</v>
      </c>
      <c r="Z830" s="254"/>
      <c r="AA830" s="316" t="s">
        <v>1324</v>
      </c>
      <c r="AB830" s="334" t="s">
        <v>2458</v>
      </c>
      <c r="AC830" s="472">
        <v>9848648.0</v>
      </c>
      <c r="AD830" s="288"/>
      <c r="AE830" s="289">
        <v>2022.0</v>
      </c>
      <c r="AF830" s="289">
        <v>2021.0</v>
      </c>
      <c r="AG830" s="289">
        <v>2020.0</v>
      </c>
      <c r="AH830" s="289">
        <v>2019.0</v>
      </c>
      <c r="AI830" s="289">
        <v>2018.0</v>
      </c>
      <c r="AJ830" s="320" t="s">
        <v>1524</v>
      </c>
      <c r="AK830" s="260"/>
      <c r="AL830" s="259" t="str">
        <f>MATCH(B830,'Key Findings'!B:B,0)</f>
        <v>#N/A</v>
      </c>
      <c r="AM830" s="260" t="b">
        <f t="shared" si="2"/>
        <v>0</v>
      </c>
      <c r="AN830" s="294"/>
    </row>
    <row r="831">
      <c r="A831" s="169">
        <f t="array" ref="A831">INDEX('Federal Tax, Stock Buybacks, &amp; '!D:D,match(B831,'Federal Tax, Stock Buybacks, &amp; '!E:E,0))</f>
        <v>100</v>
      </c>
      <c r="B831" s="386" t="s">
        <v>1317</v>
      </c>
      <c r="C831" s="316"/>
      <c r="D831" s="286"/>
      <c r="E831" s="539"/>
      <c r="F831" s="254"/>
      <c r="G831" s="316"/>
      <c r="H831" s="286"/>
      <c r="I831" s="539"/>
      <c r="J831" s="254"/>
      <c r="K831" s="316" t="s">
        <v>1318</v>
      </c>
      <c r="L831" s="286" t="s">
        <v>2459</v>
      </c>
      <c r="M831" s="539">
        <v>9826235.0</v>
      </c>
      <c r="N831" s="254"/>
      <c r="O831" s="316" t="s">
        <v>1318</v>
      </c>
      <c r="P831" s="317" t="s">
        <v>1697</v>
      </c>
      <c r="Q831" s="540">
        <v>1.0462128E7</v>
      </c>
      <c r="R831" s="254"/>
      <c r="S831" s="316" t="s">
        <v>1318</v>
      </c>
      <c r="T831" s="317" t="s">
        <v>1697</v>
      </c>
      <c r="U831" s="471">
        <v>7273535.0</v>
      </c>
      <c r="V831" s="254"/>
      <c r="W831" s="316" t="s">
        <v>1316</v>
      </c>
      <c r="X831" s="285" t="s">
        <v>2296</v>
      </c>
      <c r="Y831" s="471">
        <v>1.8701149E7</v>
      </c>
      <c r="Z831" s="254"/>
      <c r="AA831" s="316" t="s">
        <v>1322</v>
      </c>
      <c r="AB831" s="334" t="s">
        <v>2460</v>
      </c>
      <c r="AC831" s="472">
        <v>5946578.0</v>
      </c>
      <c r="AD831" s="288"/>
      <c r="AE831" s="292"/>
      <c r="AF831" s="292"/>
      <c r="AG831" s="292"/>
      <c r="AH831" s="292"/>
      <c r="AI831" s="292"/>
      <c r="AJ831" s="394"/>
      <c r="AK831" s="260"/>
      <c r="AL831" s="259" t="str">
        <f>MATCH(B831,'Key Findings'!B:B,0)</f>
        <v>#N/A</v>
      </c>
      <c r="AM831" s="260" t="b">
        <f t="shared" si="2"/>
        <v>0</v>
      </c>
      <c r="AN831" s="294"/>
    </row>
    <row r="832">
      <c r="A832" s="169">
        <f t="array" ref="A832">INDEX('Federal Tax, Stock Buybacks, &amp; '!D:D,match(B832,'Federal Tax, Stock Buybacks, &amp; '!E:E,0))</f>
        <v>100</v>
      </c>
      <c r="B832" s="386" t="s">
        <v>1317</v>
      </c>
      <c r="C832" s="316"/>
      <c r="D832" s="286"/>
      <c r="E832" s="539"/>
      <c r="F832" s="254"/>
      <c r="G832" s="316"/>
      <c r="H832" s="286"/>
      <c r="I832" s="539"/>
      <c r="J832" s="254"/>
      <c r="K832" s="316" t="s">
        <v>1319</v>
      </c>
      <c r="L832" s="286" t="s">
        <v>1788</v>
      </c>
      <c r="M832" s="539">
        <v>9056312.0</v>
      </c>
      <c r="N832" s="254"/>
      <c r="O832" s="316" t="s">
        <v>1319</v>
      </c>
      <c r="P832" s="285" t="s">
        <v>1788</v>
      </c>
      <c r="Q832" s="540">
        <v>9141857.0</v>
      </c>
      <c r="R832" s="254"/>
      <c r="S832" s="316" t="s">
        <v>1319</v>
      </c>
      <c r="T832" s="285" t="s">
        <v>1788</v>
      </c>
      <c r="U832" s="471">
        <v>7050823.0</v>
      </c>
      <c r="V832" s="254"/>
      <c r="W832" s="316" t="s">
        <v>1318</v>
      </c>
      <c r="X832" s="317" t="s">
        <v>1697</v>
      </c>
      <c r="Y832" s="471">
        <v>8538559.0</v>
      </c>
      <c r="Z832" s="254"/>
      <c r="AA832" s="316" t="s">
        <v>1316</v>
      </c>
      <c r="AB832" s="334" t="s">
        <v>1588</v>
      </c>
      <c r="AC832" s="472">
        <v>1.6701328E7</v>
      </c>
      <c r="AD832" s="288"/>
      <c r="AE832" s="292"/>
      <c r="AF832" s="292"/>
      <c r="AG832" s="292"/>
      <c r="AH832" s="292"/>
      <c r="AI832" s="292"/>
      <c r="AJ832" s="394"/>
      <c r="AK832" s="260"/>
      <c r="AL832" s="259" t="str">
        <f>MATCH(B832,'Key Findings'!B:B,0)</f>
        <v>#N/A</v>
      </c>
      <c r="AM832" s="260" t="b">
        <f t="shared" si="2"/>
        <v>0</v>
      </c>
      <c r="AN832" s="294"/>
    </row>
    <row r="833">
      <c r="A833" s="169">
        <f t="array" ref="A833">INDEX('Federal Tax, Stock Buybacks, &amp; '!D:D,match(B833,'Federal Tax, Stock Buybacks, &amp; '!E:E,0))</f>
        <v>100</v>
      </c>
      <c r="B833" s="386" t="s">
        <v>1317</v>
      </c>
      <c r="C833" s="316"/>
      <c r="D833" s="286"/>
      <c r="E833" s="539"/>
      <c r="F833" s="254"/>
      <c r="G833" s="316"/>
      <c r="H833" s="286"/>
      <c r="I833" s="539"/>
      <c r="J833" s="254"/>
      <c r="K833" s="316" t="s">
        <v>1320</v>
      </c>
      <c r="L833" s="286" t="s">
        <v>1553</v>
      </c>
      <c r="M833" s="539">
        <v>7351173.0</v>
      </c>
      <c r="N833" s="254"/>
      <c r="O833" s="316" t="s">
        <v>1320</v>
      </c>
      <c r="P833" s="285" t="s">
        <v>1553</v>
      </c>
      <c r="Q833" s="540">
        <v>7482488.0</v>
      </c>
      <c r="R833" s="254"/>
      <c r="S833" s="316" t="s">
        <v>1320</v>
      </c>
      <c r="T833" s="285" t="s">
        <v>1553</v>
      </c>
      <c r="U833" s="471">
        <v>5583502.0</v>
      </c>
      <c r="V833" s="254"/>
      <c r="W833" s="316" t="s">
        <v>1319</v>
      </c>
      <c r="X833" s="285" t="s">
        <v>1788</v>
      </c>
      <c r="Y833" s="471">
        <v>9128953.0</v>
      </c>
      <c r="Z833" s="254"/>
      <c r="AA833" s="316" t="s">
        <v>1318</v>
      </c>
      <c r="AB833" s="334" t="s">
        <v>2461</v>
      </c>
      <c r="AC833" s="472">
        <v>4995425.0</v>
      </c>
      <c r="AD833" s="288"/>
      <c r="AE833" s="292"/>
      <c r="AF833" s="292"/>
      <c r="AG833" s="292"/>
      <c r="AH833" s="292"/>
      <c r="AI833" s="292"/>
      <c r="AJ833" s="394"/>
      <c r="AK833" s="260"/>
      <c r="AL833" s="259" t="str">
        <f>MATCH(B833,'Key Findings'!B:B,0)</f>
        <v>#N/A</v>
      </c>
      <c r="AM833" s="260" t="b">
        <f t="shared" si="2"/>
        <v>0</v>
      </c>
      <c r="AN833" s="294"/>
    </row>
    <row r="834">
      <c r="A834" s="169">
        <f t="array" ref="A834">INDEX('Federal Tax, Stock Buybacks, &amp; '!D:D,match(B834,'Federal Tax, Stock Buybacks, &amp; '!E:E,0))</f>
        <v>100</v>
      </c>
      <c r="B834" s="386" t="s">
        <v>1317</v>
      </c>
      <c r="C834" s="316"/>
      <c r="D834" s="286"/>
      <c r="E834" s="539"/>
      <c r="F834" s="254"/>
      <c r="G834" s="316"/>
      <c r="H834" s="286"/>
      <c r="I834" s="539"/>
      <c r="J834" s="254"/>
      <c r="K834" s="316" t="s">
        <v>1323</v>
      </c>
      <c r="L834" s="286" t="s">
        <v>2462</v>
      </c>
      <c r="M834" s="539">
        <v>4694013.0</v>
      </c>
      <c r="N834" s="254"/>
      <c r="O834" s="316" t="s">
        <v>1321</v>
      </c>
      <c r="P834" s="317" t="s">
        <v>2463</v>
      </c>
      <c r="Q834" s="540">
        <v>1.1021144E7</v>
      </c>
      <c r="R834" s="254"/>
      <c r="S834" s="316" t="s">
        <v>1321</v>
      </c>
      <c r="T834" s="295" t="s">
        <v>1705</v>
      </c>
      <c r="U834" s="471">
        <v>4706267.0</v>
      </c>
      <c r="V834" s="254"/>
      <c r="W834" s="316" t="s">
        <v>1320</v>
      </c>
      <c r="X834" s="295" t="s">
        <v>2464</v>
      </c>
      <c r="Y834" s="471">
        <v>4969953.0</v>
      </c>
      <c r="Z834" s="254"/>
      <c r="AA834" s="316" t="s">
        <v>1319</v>
      </c>
      <c r="AB834" s="285" t="s">
        <v>1788</v>
      </c>
      <c r="AC834" s="472">
        <v>5927521.0</v>
      </c>
      <c r="AD834" s="288"/>
      <c r="AE834" s="292"/>
      <c r="AF834" s="292"/>
      <c r="AG834" s="292"/>
      <c r="AH834" s="292"/>
      <c r="AI834" s="292"/>
      <c r="AJ834" s="394"/>
      <c r="AK834" s="260"/>
      <c r="AL834" s="259" t="str">
        <f>MATCH(B834,'Key Findings'!B:B,0)</f>
        <v>#N/A</v>
      </c>
      <c r="AM834" s="260" t="b">
        <f t="shared" si="2"/>
        <v>0</v>
      </c>
      <c r="AN834" s="294"/>
    </row>
    <row r="835">
      <c r="A835" s="169">
        <f t="array" ref="A835">INDEX('Federal Tax, Stock Buybacks, &amp; '!D:D,match(B835,'Federal Tax, Stock Buybacks, &amp; '!E:E,0))</f>
        <v>100</v>
      </c>
      <c r="B835" s="386" t="s">
        <v>1317</v>
      </c>
      <c r="C835" s="410"/>
      <c r="D835" s="407"/>
      <c r="E835" s="558"/>
      <c r="F835" s="254"/>
      <c r="G835" s="410"/>
      <c r="H835" s="407"/>
      <c r="I835" s="558"/>
      <c r="J835" s="254"/>
      <c r="K835" s="410" t="s">
        <v>711</v>
      </c>
      <c r="L835" s="407" t="s">
        <v>711</v>
      </c>
      <c r="M835" s="558" t="s">
        <v>711</v>
      </c>
      <c r="N835" s="254"/>
      <c r="O835" s="316" t="s">
        <v>1323</v>
      </c>
      <c r="P835" s="285" t="s">
        <v>2462</v>
      </c>
      <c r="Q835" s="540">
        <v>5234908.0</v>
      </c>
      <c r="R835" s="254"/>
      <c r="S835" s="410" t="s">
        <v>711</v>
      </c>
      <c r="T835" s="486" t="s">
        <v>711</v>
      </c>
      <c r="U835" s="558" t="s">
        <v>711</v>
      </c>
      <c r="V835" s="254"/>
      <c r="W835" s="316" t="s">
        <v>1325</v>
      </c>
      <c r="X835" s="295" t="s">
        <v>2465</v>
      </c>
      <c r="Y835" s="471">
        <v>4779484.0</v>
      </c>
      <c r="Z835" s="254"/>
      <c r="AA835" s="410" t="s">
        <v>711</v>
      </c>
      <c r="AB835" s="486" t="s">
        <v>711</v>
      </c>
      <c r="AC835" s="558" t="s">
        <v>711</v>
      </c>
      <c r="AD835" s="288"/>
      <c r="AE835" s="292"/>
      <c r="AF835" s="292"/>
      <c r="AG835" s="292"/>
      <c r="AH835" s="292"/>
      <c r="AI835" s="292"/>
      <c r="AJ835" s="394"/>
      <c r="AK835" s="260"/>
      <c r="AL835" s="259" t="str">
        <f>MATCH(B835,'Key Findings'!B:B,0)</f>
        <v>#N/A</v>
      </c>
      <c r="AM835" s="260" t="b">
        <f t="shared" si="2"/>
        <v>0</v>
      </c>
      <c r="AN835" s="294"/>
    </row>
    <row r="836">
      <c r="A836" s="169">
        <f t="array" ref="A836">INDEX('Federal Tax, Stock Buybacks, &amp; '!D:D,match(B836,'Federal Tax, Stock Buybacks, &amp; '!E:E,0))</f>
        <v>68</v>
      </c>
      <c r="B836" s="418" t="s">
        <v>1381</v>
      </c>
      <c r="C836" s="398"/>
      <c r="D836" s="365"/>
      <c r="E836" s="488"/>
      <c r="F836" s="254"/>
      <c r="G836" s="398"/>
      <c r="H836" s="365"/>
      <c r="I836" s="488"/>
      <c r="J836" s="254"/>
      <c r="K836" s="398" t="s">
        <v>1380</v>
      </c>
      <c r="L836" s="365" t="s">
        <v>2466</v>
      </c>
      <c r="M836" s="488">
        <v>2.06076E7</v>
      </c>
      <c r="N836" s="254"/>
      <c r="O836" s="398" t="s">
        <v>1380</v>
      </c>
      <c r="P836" s="364" t="s">
        <v>2466</v>
      </c>
      <c r="Q836" s="488">
        <v>2.4298032E7</v>
      </c>
      <c r="R836" s="254"/>
      <c r="S836" s="398" t="s">
        <v>1380</v>
      </c>
      <c r="T836" s="364" t="s">
        <v>2466</v>
      </c>
      <c r="U836" s="488">
        <v>1.3676551E7</v>
      </c>
      <c r="V836" s="254"/>
      <c r="W836" s="398" t="s">
        <v>1380</v>
      </c>
      <c r="X836" s="364" t="s">
        <v>2466</v>
      </c>
      <c r="Y836" s="488">
        <v>3.4519129E7</v>
      </c>
      <c r="Z836" s="254"/>
      <c r="AA836" s="527" t="s">
        <v>1390</v>
      </c>
      <c r="AB836" s="302" t="s">
        <v>2467</v>
      </c>
      <c r="AC836" s="525">
        <v>5338654.0</v>
      </c>
      <c r="AD836" s="303"/>
      <c r="AE836" s="366">
        <v>2022.0</v>
      </c>
      <c r="AF836" s="307">
        <v>2021.0</v>
      </c>
      <c r="AG836" s="307">
        <v>2020.0</v>
      </c>
      <c r="AH836" s="307">
        <v>2019.0</v>
      </c>
      <c r="AI836" s="307">
        <v>2018.0</v>
      </c>
      <c r="AJ836" s="273" t="s">
        <v>1524</v>
      </c>
      <c r="AK836" s="274"/>
      <c r="AL836" s="259" t="str">
        <f>MATCH(B836,'Key Findings'!B:B,0)</f>
        <v>#N/A</v>
      </c>
      <c r="AM836" s="274" t="b">
        <f t="shared" si="2"/>
        <v>0</v>
      </c>
      <c r="AN836" s="395"/>
    </row>
    <row r="837">
      <c r="A837" s="169">
        <f t="array" ref="A837">INDEX('Federal Tax, Stock Buybacks, &amp; '!D:D,match(B837,'Federal Tax, Stock Buybacks, &amp; '!E:E,0))</f>
        <v>68</v>
      </c>
      <c r="B837" s="418" t="s">
        <v>1381</v>
      </c>
      <c r="C837" s="398"/>
      <c r="D837" s="365"/>
      <c r="E837" s="488"/>
      <c r="F837" s="254"/>
      <c r="G837" s="398"/>
      <c r="H837" s="365"/>
      <c r="I837" s="488"/>
      <c r="J837" s="254"/>
      <c r="K837" s="398" t="s">
        <v>1383</v>
      </c>
      <c r="L837" s="365" t="s">
        <v>2468</v>
      </c>
      <c r="M837" s="488">
        <v>6652296.0</v>
      </c>
      <c r="N837" s="254"/>
      <c r="O837" s="398" t="s">
        <v>1383</v>
      </c>
      <c r="P837" s="364" t="s">
        <v>2468</v>
      </c>
      <c r="Q837" s="488">
        <v>7706710.0</v>
      </c>
      <c r="R837" s="254"/>
      <c r="S837" s="398" t="s">
        <v>1383</v>
      </c>
      <c r="T837" s="364" t="s">
        <v>2468</v>
      </c>
      <c r="U837" s="488">
        <v>4680895.0</v>
      </c>
      <c r="V837" s="254"/>
      <c r="W837" s="398" t="s">
        <v>1383</v>
      </c>
      <c r="X837" s="364" t="s">
        <v>2468</v>
      </c>
      <c r="Y837" s="488">
        <v>5432179.0</v>
      </c>
      <c r="Z837" s="254"/>
      <c r="AA837" s="398" t="s">
        <v>1380</v>
      </c>
      <c r="AB837" s="364" t="s">
        <v>2466</v>
      </c>
      <c r="AC837" s="525">
        <v>2.7289513E7</v>
      </c>
      <c r="AD837" s="303"/>
      <c r="AE837" s="526"/>
      <c r="AF837" s="308"/>
      <c r="AG837" s="308"/>
      <c r="AH837" s="308"/>
      <c r="AI837" s="308"/>
      <c r="AJ837" s="278"/>
      <c r="AK837" s="274"/>
      <c r="AL837" s="259" t="str">
        <f>MATCH(B837,'Key Findings'!B:B,0)</f>
        <v>#N/A</v>
      </c>
      <c r="AM837" s="274" t="b">
        <f t="shared" si="2"/>
        <v>0</v>
      </c>
      <c r="AN837" s="395"/>
    </row>
    <row r="838">
      <c r="A838" s="169">
        <f t="array" ref="A838">INDEX('Federal Tax, Stock Buybacks, &amp; '!D:D,match(B838,'Federal Tax, Stock Buybacks, &amp; '!E:E,0))</f>
        <v>68</v>
      </c>
      <c r="B838" s="418" t="s">
        <v>1381</v>
      </c>
      <c r="C838" s="398"/>
      <c r="D838" s="365"/>
      <c r="E838" s="488"/>
      <c r="F838" s="254"/>
      <c r="G838" s="398"/>
      <c r="H838" s="365"/>
      <c r="I838" s="488"/>
      <c r="J838" s="254"/>
      <c r="K838" s="398" t="s">
        <v>1385</v>
      </c>
      <c r="L838" s="365" t="s">
        <v>2468</v>
      </c>
      <c r="M838" s="488">
        <v>5980925.0</v>
      </c>
      <c r="N838" s="254"/>
      <c r="O838" s="398" t="s">
        <v>1385</v>
      </c>
      <c r="P838" s="364" t="s">
        <v>2468</v>
      </c>
      <c r="Q838" s="488">
        <v>7182281.0</v>
      </c>
      <c r="R838" s="254"/>
      <c r="S838" s="301" t="s">
        <v>1384</v>
      </c>
      <c r="T838" s="302" t="s">
        <v>2468</v>
      </c>
      <c r="U838" s="488">
        <v>4742859.0</v>
      </c>
      <c r="V838" s="254"/>
      <c r="W838" s="301" t="s">
        <v>1384</v>
      </c>
      <c r="X838" s="302" t="s">
        <v>2468</v>
      </c>
      <c r="Y838" s="488">
        <v>5906970.0</v>
      </c>
      <c r="Z838" s="254"/>
      <c r="AA838" s="527" t="s">
        <v>1386</v>
      </c>
      <c r="AB838" s="302" t="s">
        <v>2468</v>
      </c>
      <c r="AC838" s="525">
        <v>1.2284102E7</v>
      </c>
      <c r="AD838" s="303"/>
      <c r="AE838" s="526"/>
      <c r="AF838" s="308"/>
      <c r="AG838" s="308"/>
      <c r="AH838" s="308"/>
      <c r="AI838" s="308"/>
      <c r="AJ838" s="278"/>
      <c r="AK838" s="274"/>
      <c r="AL838" s="259" t="str">
        <f>MATCH(B838,'Key Findings'!B:B,0)</f>
        <v>#N/A</v>
      </c>
      <c r="AM838" s="274" t="b">
        <f t="shared" si="2"/>
        <v>0</v>
      </c>
      <c r="AN838" s="395"/>
    </row>
    <row r="839">
      <c r="A839" s="169">
        <f t="array" ref="A839">INDEX('Federal Tax, Stock Buybacks, &amp; '!D:D,match(B839,'Federal Tax, Stock Buybacks, &amp; '!E:E,0))</f>
        <v>68</v>
      </c>
      <c r="B839" s="418" t="s">
        <v>1381</v>
      </c>
      <c r="C839" s="398"/>
      <c r="D839" s="365"/>
      <c r="E839" s="488"/>
      <c r="F839" s="254"/>
      <c r="G839" s="398"/>
      <c r="H839" s="365"/>
      <c r="I839" s="488"/>
      <c r="J839" s="254"/>
      <c r="K839" s="398" t="s">
        <v>1382</v>
      </c>
      <c r="L839" s="365" t="s">
        <v>2197</v>
      </c>
      <c r="M839" s="488">
        <v>7223543.0</v>
      </c>
      <c r="N839" s="254"/>
      <c r="O839" s="301" t="s">
        <v>1384</v>
      </c>
      <c r="P839" s="302" t="s">
        <v>2468</v>
      </c>
      <c r="Q839" s="488">
        <v>7856366.0</v>
      </c>
      <c r="R839" s="254"/>
      <c r="S839" s="398" t="s">
        <v>1382</v>
      </c>
      <c r="T839" s="364" t="s">
        <v>2197</v>
      </c>
      <c r="U839" s="488">
        <v>4584582.0</v>
      </c>
      <c r="V839" s="254"/>
      <c r="W839" s="398" t="s">
        <v>1382</v>
      </c>
      <c r="X839" s="364" t="s">
        <v>2197</v>
      </c>
      <c r="Y839" s="488">
        <v>6048143.0</v>
      </c>
      <c r="Z839" s="254"/>
      <c r="AA839" s="398" t="s">
        <v>1383</v>
      </c>
      <c r="AB839" s="364" t="s">
        <v>2468</v>
      </c>
      <c r="AC839" s="525">
        <v>7302619.0</v>
      </c>
      <c r="AD839" s="303"/>
      <c r="AE839" s="526"/>
      <c r="AF839" s="308"/>
      <c r="AG839" s="308"/>
      <c r="AH839" s="308"/>
      <c r="AI839" s="308"/>
      <c r="AJ839" s="278"/>
      <c r="AK839" s="274"/>
      <c r="AL839" s="259" t="str">
        <f>MATCH(B839,'Key Findings'!B:B,0)</f>
        <v>#N/A</v>
      </c>
      <c r="AM839" s="274" t="b">
        <f t="shared" si="2"/>
        <v>0</v>
      </c>
      <c r="AN839" s="395"/>
    </row>
    <row r="840">
      <c r="A840" s="169">
        <f t="array" ref="A840">INDEX('Federal Tax, Stock Buybacks, &amp; '!D:D,match(B840,'Federal Tax, Stock Buybacks, &amp; '!E:E,0))</f>
        <v>68</v>
      </c>
      <c r="B840" s="418" t="s">
        <v>1381</v>
      </c>
      <c r="C840" s="398"/>
      <c r="D840" s="365"/>
      <c r="E840" s="488"/>
      <c r="F840" s="254"/>
      <c r="G840" s="398"/>
      <c r="H840" s="365"/>
      <c r="I840" s="488"/>
      <c r="J840" s="254"/>
      <c r="K840" s="398" t="s">
        <v>1389</v>
      </c>
      <c r="L840" s="365" t="s">
        <v>2469</v>
      </c>
      <c r="M840" s="488">
        <v>6586543.0</v>
      </c>
      <c r="N840" s="254"/>
      <c r="O840" s="398" t="s">
        <v>1382</v>
      </c>
      <c r="P840" s="364" t="s">
        <v>2197</v>
      </c>
      <c r="Q840" s="488">
        <v>7695636.0</v>
      </c>
      <c r="R840" s="254"/>
      <c r="S840" s="527" t="s">
        <v>1387</v>
      </c>
      <c r="T840" s="302" t="s">
        <v>2468</v>
      </c>
      <c r="U840" s="488">
        <v>4988072.0</v>
      </c>
      <c r="V840" s="254"/>
      <c r="W840" s="527" t="s">
        <v>1387</v>
      </c>
      <c r="X840" s="302" t="s">
        <v>2468</v>
      </c>
      <c r="Y840" s="488">
        <v>5543160.0</v>
      </c>
      <c r="Z840" s="254"/>
      <c r="AA840" s="527" t="s">
        <v>1388</v>
      </c>
      <c r="AB840" s="302" t="s">
        <v>2468</v>
      </c>
      <c r="AC840" s="525">
        <v>9265389.0</v>
      </c>
      <c r="AD840" s="303"/>
      <c r="AE840" s="526"/>
      <c r="AF840" s="308"/>
      <c r="AG840" s="308"/>
      <c r="AH840" s="308"/>
      <c r="AI840" s="308"/>
      <c r="AJ840" s="278"/>
      <c r="AK840" s="274"/>
      <c r="AL840" s="259" t="str">
        <f>MATCH(B840,'Key Findings'!B:B,0)</f>
        <v>#N/A</v>
      </c>
      <c r="AM840" s="274" t="b">
        <f t="shared" si="2"/>
        <v>0</v>
      </c>
      <c r="AN840" s="395"/>
    </row>
    <row r="841">
      <c r="A841" s="169">
        <f t="array" ref="A841">INDEX('Federal Tax, Stock Buybacks, &amp; '!D:D,match(B841,'Federal Tax, Stock Buybacks, &amp; '!E:E,0))</f>
        <v>68</v>
      </c>
      <c r="B841" s="418" t="s">
        <v>1381</v>
      </c>
      <c r="C841" s="372"/>
      <c r="D841" s="370"/>
      <c r="E841" s="517"/>
      <c r="F841" s="254"/>
      <c r="G841" s="372"/>
      <c r="H841" s="370"/>
      <c r="I841" s="517"/>
      <c r="J841" s="254"/>
      <c r="K841" s="372" t="s">
        <v>711</v>
      </c>
      <c r="L841" s="370" t="s">
        <v>711</v>
      </c>
      <c r="M841" s="517" t="s">
        <v>711</v>
      </c>
      <c r="N841" s="254"/>
      <c r="O841" s="372" t="s">
        <v>711</v>
      </c>
      <c r="P841" s="370" t="s">
        <v>711</v>
      </c>
      <c r="Q841" s="517" t="s">
        <v>711</v>
      </c>
      <c r="R841" s="254"/>
      <c r="S841" s="372" t="s">
        <v>711</v>
      </c>
      <c r="T841" s="370" t="s">
        <v>711</v>
      </c>
      <c r="U841" s="517" t="s">
        <v>711</v>
      </c>
      <c r="V841" s="254"/>
      <c r="W841" s="372" t="s">
        <v>711</v>
      </c>
      <c r="X841" s="370" t="s">
        <v>711</v>
      </c>
      <c r="Y841" s="517" t="s">
        <v>711</v>
      </c>
      <c r="Z841" s="254"/>
      <c r="AA841" s="527" t="s">
        <v>1385</v>
      </c>
      <c r="AB841" s="302" t="s">
        <v>2470</v>
      </c>
      <c r="AC841" s="525">
        <v>3742204.0</v>
      </c>
      <c r="AD841" s="303"/>
      <c r="AE841" s="526"/>
      <c r="AF841" s="308"/>
      <c r="AG841" s="308"/>
      <c r="AH841" s="308"/>
      <c r="AI841" s="308"/>
      <c r="AJ841" s="278"/>
      <c r="AK841" s="274"/>
      <c r="AL841" s="259" t="str">
        <f>MATCH(B841,'Key Findings'!B:B,0)</f>
        <v>#N/A</v>
      </c>
      <c r="AM841" s="274" t="b">
        <f t="shared" si="2"/>
        <v>0</v>
      </c>
      <c r="AN841" s="395"/>
    </row>
    <row r="842">
      <c r="A842" s="169">
        <f t="array" ref="A842">INDEX('Federal Tax, Stock Buybacks, &amp; '!D:D,match(B842,'Federal Tax, Stock Buybacks, &amp; '!E:E,0))</f>
        <v>68</v>
      </c>
      <c r="B842" s="418" t="s">
        <v>1381</v>
      </c>
      <c r="C842" s="372"/>
      <c r="D842" s="370"/>
      <c r="E842" s="517"/>
      <c r="F842" s="254"/>
      <c r="G842" s="372"/>
      <c r="H842" s="370"/>
      <c r="I842" s="517"/>
      <c r="J842" s="254"/>
      <c r="K842" s="372" t="s">
        <v>711</v>
      </c>
      <c r="L842" s="370" t="s">
        <v>711</v>
      </c>
      <c r="M842" s="517" t="s">
        <v>711</v>
      </c>
      <c r="N842" s="254"/>
      <c r="O842" s="372" t="s">
        <v>711</v>
      </c>
      <c r="P842" s="370" t="s">
        <v>711</v>
      </c>
      <c r="Q842" s="517" t="s">
        <v>711</v>
      </c>
      <c r="R842" s="254"/>
      <c r="S842" s="372" t="s">
        <v>711</v>
      </c>
      <c r="T842" s="370" t="s">
        <v>711</v>
      </c>
      <c r="U842" s="517" t="s">
        <v>711</v>
      </c>
      <c r="V842" s="254"/>
      <c r="W842" s="372" t="s">
        <v>711</v>
      </c>
      <c r="X842" s="370" t="s">
        <v>711</v>
      </c>
      <c r="Y842" s="517" t="s">
        <v>711</v>
      </c>
      <c r="Z842" s="254"/>
      <c r="AA842" s="301" t="s">
        <v>1384</v>
      </c>
      <c r="AB842" s="302" t="s">
        <v>2468</v>
      </c>
      <c r="AC842" s="525">
        <v>7196581.0</v>
      </c>
      <c r="AD842" s="303"/>
      <c r="AE842" s="526"/>
      <c r="AF842" s="308"/>
      <c r="AG842" s="308"/>
      <c r="AH842" s="308"/>
      <c r="AI842" s="308"/>
      <c r="AJ842" s="278"/>
      <c r="AK842" s="274"/>
      <c r="AL842" s="259" t="str">
        <f>MATCH(B842,'Key Findings'!B:B,0)</f>
        <v>#N/A</v>
      </c>
      <c r="AM842" s="274" t="b">
        <f t="shared" si="2"/>
        <v>0</v>
      </c>
      <c r="AN842" s="395"/>
    </row>
    <row r="843">
      <c r="A843" s="169">
        <f t="array" ref="A843">INDEX('Federal Tax, Stock Buybacks, &amp; '!D:D,match(B843,'Federal Tax, Stock Buybacks, &amp; '!E:E,0))</f>
        <v>68</v>
      </c>
      <c r="B843" s="418" t="s">
        <v>1381</v>
      </c>
      <c r="C843" s="372"/>
      <c r="D843" s="370"/>
      <c r="E843" s="517"/>
      <c r="F843" s="254"/>
      <c r="G843" s="372"/>
      <c r="H843" s="370"/>
      <c r="I843" s="517"/>
      <c r="J843" s="254"/>
      <c r="K843" s="372" t="s">
        <v>711</v>
      </c>
      <c r="L843" s="370" t="s">
        <v>711</v>
      </c>
      <c r="M843" s="517" t="s">
        <v>711</v>
      </c>
      <c r="N843" s="254"/>
      <c r="O843" s="372" t="s">
        <v>711</v>
      </c>
      <c r="P843" s="370" t="s">
        <v>711</v>
      </c>
      <c r="Q843" s="517" t="s">
        <v>711</v>
      </c>
      <c r="R843" s="254"/>
      <c r="S843" s="372" t="s">
        <v>711</v>
      </c>
      <c r="T843" s="370" t="s">
        <v>711</v>
      </c>
      <c r="U843" s="517" t="s">
        <v>711</v>
      </c>
      <c r="V843" s="254"/>
      <c r="W843" s="372" t="s">
        <v>711</v>
      </c>
      <c r="X843" s="370" t="s">
        <v>711</v>
      </c>
      <c r="Y843" s="517" t="s">
        <v>711</v>
      </c>
      <c r="Z843" s="254"/>
      <c r="AA843" s="398" t="s">
        <v>1382</v>
      </c>
      <c r="AB843" s="364" t="s">
        <v>2197</v>
      </c>
      <c r="AC843" s="525">
        <v>7181187.0</v>
      </c>
      <c r="AD843" s="303"/>
      <c r="AE843" s="526"/>
      <c r="AF843" s="308"/>
      <c r="AG843" s="308"/>
      <c r="AH843" s="308"/>
      <c r="AI843" s="308"/>
      <c r="AJ843" s="278"/>
      <c r="AK843" s="274"/>
      <c r="AL843" s="259" t="str">
        <f>MATCH(B843,'Key Findings'!B:B,0)</f>
        <v>#N/A</v>
      </c>
      <c r="AM843" s="274" t="b">
        <f t="shared" si="2"/>
        <v>0</v>
      </c>
      <c r="AN843" s="395"/>
    </row>
    <row r="844">
      <c r="A844" s="169">
        <f t="array" ref="A844">INDEX('Federal Tax, Stock Buybacks, &amp; '!D:D,match(B844,'Federal Tax, Stock Buybacks, &amp; '!E:E,0))</f>
        <v>321</v>
      </c>
      <c r="B844" s="571" t="s">
        <v>1128</v>
      </c>
      <c r="C844" s="571"/>
      <c r="D844" s="571"/>
      <c r="E844" s="499"/>
      <c r="F844" s="254"/>
      <c r="G844" s="571"/>
      <c r="H844" s="571"/>
      <c r="I844" s="499"/>
      <c r="J844" s="254"/>
      <c r="K844" s="571" t="s">
        <v>1127</v>
      </c>
      <c r="L844" s="571" t="s">
        <v>1714</v>
      </c>
      <c r="M844" s="499">
        <v>2.7174857E7</v>
      </c>
      <c r="N844" s="254"/>
      <c r="O844" s="571" t="s">
        <v>1127</v>
      </c>
      <c r="P844" s="571" t="s">
        <v>1714</v>
      </c>
      <c r="Q844" s="499">
        <v>2.4929237E7</v>
      </c>
      <c r="R844" s="254"/>
      <c r="S844" s="571" t="s">
        <v>1127</v>
      </c>
      <c r="T844" s="571" t="s">
        <v>1714</v>
      </c>
      <c r="U844" s="499">
        <v>2.0324211E7</v>
      </c>
      <c r="V844" s="254"/>
      <c r="W844" s="571" t="s">
        <v>1127</v>
      </c>
      <c r="X844" s="571" t="s">
        <v>1714</v>
      </c>
      <c r="Y844" s="499">
        <v>1.7506677E7</v>
      </c>
      <c r="Z844" s="254"/>
      <c r="AA844" s="571" t="s">
        <v>1127</v>
      </c>
      <c r="AB844" s="571" t="s">
        <v>1714</v>
      </c>
      <c r="AC844" s="488">
        <v>9393363.0</v>
      </c>
      <c r="AD844" s="306"/>
      <c r="AE844" s="307">
        <v>2022.0</v>
      </c>
      <c r="AF844" s="307">
        <v>2021.0</v>
      </c>
      <c r="AG844" s="307">
        <v>2020.0</v>
      </c>
      <c r="AH844" s="307">
        <v>2019.0</v>
      </c>
      <c r="AI844" s="307">
        <v>2018.0</v>
      </c>
      <c r="AJ844" s="367" t="s">
        <v>1980</v>
      </c>
      <c r="AK844" s="300"/>
      <c r="AL844" s="259" t="str">
        <f>MATCH(B844,'Key Findings'!B:B,0)</f>
        <v>#N/A</v>
      </c>
      <c r="AM844" s="274" t="b">
        <f t="shared" si="2"/>
        <v>1</v>
      </c>
      <c r="AN844" s="294"/>
    </row>
    <row r="845">
      <c r="A845" s="169">
        <f t="array" ref="A845">INDEX('Federal Tax, Stock Buybacks, &amp; '!D:D,match(B845,'Federal Tax, Stock Buybacks, &amp; '!E:E,0))</f>
        <v>321</v>
      </c>
      <c r="B845" s="571" t="s">
        <v>1128</v>
      </c>
      <c r="C845" s="572"/>
      <c r="D845" s="571"/>
      <c r="E845" s="499"/>
      <c r="F845" s="254"/>
      <c r="G845" s="572"/>
      <c r="H845" s="571"/>
      <c r="I845" s="499"/>
      <c r="J845" s="254"/>
      <c r="K845" s="572" t="s">
        <v>1131</v>
      </c>
      <c r="L845" s="571" t="s">
        <v>2471</v>
      </c>
      <c r="M845" s="499">
        <v>1.404198E7</v>
      </c>
      <c r="N845" s="254"/>
      <c r="O845" s="572" t="s">
        <v>1131</v>
      </c>
      <c r="P845" s="571" t="s">
        <v>2471</v>
      </c>
      <c r="Q845" s="499">
        <v>1.0190474E7</v>
      </c>
      <c r="R845" s="254"/>
      <c r="S845" s="572" t="s">
        <v>1131</v>
      </c>
      <c r="T845" s="571" t="s">
        <v>2471</v>
      </c>
      <c r="U845" s="499">
        <v>9045900.0</v>
      </c>
      <c r="V845" s="254"/>
      <c r="W845" s="571" t="s">
        <v>1133</v>
      </c>
      <c r="X845" s="571" t="s">
        <v>2355</v>
      </c>
      <c r="Y845" s="499">
        <v>1.3695818E7</v>
      </c>
      <c r="Z845" s="254"/>
      <c r="AA845" s="571" t="s">
        <v>1133</v>
      </c>
      <c r="AB845" s="571" t="s">
        <v>2355</v>
      </c>
      <c r="AC845" s="488">
        <v>2.1071738E7</v>
      </c>
      <c r="AD845" s="306"/>
      <c r="AE845" s="308"/>
      <c r="AF845" s="308"/>
      <c r="AG845" s="308"/>
      <c r="AH845" s="308"/>
      <c r="AI845" s="308"/>
      <c r="AJ845" s="368"/>
      <c r="AK845" s="300"/>
      <c r="AL845" s="259" t="str">
        <f>MATCH(B845,'Key Findings'!B:B,0)</f>
        <v>#N/A</v>
      </c>
      <c r="AM845" s="274" t="b">
        <f t="shared" si="2"/>
        <v>1</v>
      </c>
      <c r="AN845" s="294"/>
    </row>
    <row r="846">
      <c r="A846" s="169">
        <f t="array" ref="A846">INDEX('Federal Tax, Stock Buybacks, &amp; '!D:D,match(B846,'Federal Tax, Stock Buybacks, &amp; '!E:E,0))</f>
        <v>321</v>
      </c>
      <c r="B846" s="571" t="s">
        <v>1128</v>
      </c>
      <c r="C846" s="572"/>
      <c r="D846" s="571"/>
      <c r="E846" s="499"/>
      <c r="F846" s="254"/>
      <c r="G846" s="572"/>
      <c r="H846" s="571"/>
      <c r="I846" s="499"/>
      <c r="J846" s="254"/>
      <c r="K846" s="572" t="s">
        <v>1130</v>
      </c>
      <c r="L846" s="571" t="s">
        <v>1585</v>
      </c>
      <c r="M846" s="499">
        <v>1.1542166E7</v>
      </c>
      <c r="N846" s="254"/>
      <c r="O846" s="572" t="s">
        <v>1130</v>
      </c>
      <c r="P846" s="571" t="s">
        <v>1585</v>
      </c>
      <c r="Q846" s="499">
        <v>1.1191463E7</v>
      </c>
      <c r="R846" s="254"/>
      <c r="S846" s="572" t="s">
        <v>1130</v>
      </c>
      <c r="T846" s="571" t="s">
        <v>1585</v>
      </c>
      <c r="U846" s="499">
        <v>9563421.0</v>
      </c>
      <c r="V846" s="254"/>
      <c r="W846" s="572" t="s">
        <v>1130</v>
      </c>
      <c r="X846" s="571" t="s">
        <v>1585</v>
      </c>
      <c r="Y846" s="499">
        <v>8725773.0</v>
      </c>
      <c r="Z846" s="254"/>
      <c r="AA846" s="572" t="s">
        <v>1130</v>
      </c>
      <c r="AB846" s="571" t="s">
        <v>1585</v>
      </c>
      <c r="AC846" s="488">
        <v>9326900.0</v>
      </c>
      <c r="AD846" s="306"/>
      <c r="AE846" s="308"/>
      <c r="AF846" s="308"/>
      <c r="AG846" s="308"/>
      <c r="AH846" s="308"/>
      <c r="AI846" s="308"/>
      <c r="AJ846" s="368"/>
      <c r="AK846" s="300"/>
      <c r="AL846" s="259" t="str">
        <f>MATCH(B846,'Key Findings'!B:B,0)</f>
        <v>#N/A</v>
      </c>
      <c r="AM846" s="274" t="b">
        <f t="shared" si="2"/>
        <v>1</v>
      </c>
      <c r="AN846" s="294"/>
    </row>
    <row r="847">
      <c r="A847" s="169">
        <f t="array" ref="A847">INDEX('Federal Tax, Stock Buybacks, &amp; '!D:D,match(B847,'Federal Tax, Stock Buybacks, &amp; '!E:E,0))</f>
        <v>321</v>
      </c>
      <c r="B847" s="571" t="s">
        <v>1128</v>
      </c>
      <c r="C847" s="572"/>
      <c r="D847" s="571"/>
      <c r="E847" s="499"/>
      <c r="F847" s="254"/>
      <c r="G847" s="572"/>
      <c r="H847" s="571"/>
      <c r="I847" s="499"/>
      <c r="J847" s="254"/>
      <c r="K847" s="572" t="s">
        <v>1129</v>
      </c>
      <c r="L847" s="571" t="s">
        <v>2472</v>
      </c>
      <c r="M847" s="499">
        <v>1.4044113E7</v>
      </c>
      <c r="N847" s="254"/>
      <c r="O847" s="572" t="s">
        <v>1129</v>
      </c>
      <c r="P847" s="571" t="s">
        <v>2472</v>
      </c>
      <c r="Q847" s="499">
        <v>1.2692208E7</v>
      </c>
      <c r="R847" s="254"/>
      <c r="S847" s="572" t="s">
        <v>1129</v>
      </c>
      <c r="T847" s="571" t="s">
        <v>2472</v>
      </c>
      <c r="U847" s="499">
        <v>8521606.0</v>
      </c>
      <c r="V847" s="254"/>
      <c r="W847" s="572" t="s">
        <v>1129</v>
      </c>
      <c r="X847" s="571" t="s">
        <v>2472</v>
      </c>
      <c r="Y847" s="499">
        <v>1.2307971E7</v>
      </c>
      <c r="Z847" s="254"/>
      <c r="AA847" s="572" t="s">
        <v>1129</v>
      </c>
      <c r="AB847" s="571" t="s">
        <v>2472</v>
      </c>
      <c r="AC847" s="488">
        <v>7480196.0</v>
      </c>
      <c r="AD847" s="306"/>
      <c r="AE847" s="308"/>
      <c r="AF847" s="308"/>
      <c r="AG847" s="308"/>
      <c r="AH847" s="308"/>
      <c r="AI847" s="308"/>
      <c r="AJ847" s="368"/>
      <c r="AK847" s="300"/>
      <c r="AL847" s="259" t="str">
        <f>MATCH(B847,'Key Findings'!B:B,0)</f>
        <v>#N/A</v>
      </c>
      <c r="AM847" s="274" t="b">
        <f t="shared" si="2"/>
        <v>1</v>
      </c>
      <c r="AN847" s="294"/>
    </row>
    <row r="848">
      <c r="A848" s="169">
        <f t="array" ref="A848">INDEX('Federal Tax, Stock Buybacks, &amp; '!D:D,match(B848,'Federal Tax, Stock Buybacks, &amp; '!E:E,0))</f>
        <v>321</v>
      </c>
      <c r="B848" s="571" t="s">
        <v>1128</v>
      </c>
      <c r="C848" s="572"/>
      <c r="D848" s="571"/>
      <c r="E848" s="499"/>
      <c r="F848" s="254"/>
      <c r="G848" s="572"/>
      <c r="H848" s="571"/>
      <c r="I848" s="499"/>
      <c r="J848" s="254"/>
      <c r="K848" s="572" t="s">
        <v>1132</v>
      </c>
      <c r="L848" s="571" t="s">
        <v>2011</v>
      </c>
      <c r="M848" s="499">
        <v>1.391373E7</v>
      </c>
      <c r="N848" s="254"/>
      <c r="O848" s="572" t="s">
        <v>1132</v>
      </c>
      <c r="P848" s="571" t="s">
        <v>2011</v>
      </c>
      <c r="Q848" s="499">
        <v>1.2692385E7</v>
      </c>
      <c r="R848" s="254"/>
      <c r="S848" s="572" t="s">
        <v>1132</v>
      </c>
      <c r="T848" s="571" t="s">
        <v>2011</v>
      </c>
      <c r="U848" s="499">
        <v>1.1016322E7</v>
      </c>
      <c r="V848" s="254"/>
      <c r="W848" s="571" t="s">
        <v>1131</v>
      </c>
      <c r="X848" s="571" t="s">
        <v>2471</v>
      </c>
      <c r="Y848" s="499">
        <v>8543671.0</v>
      </c>
      <c r="Z848" s="254"/>
      <c r="AA848" s="362" t="s">
        <v>1135</v>
      </c>
      <c r="AB848" s="548" t="s">
        <v>2473</v>
      </c>
      <c r="AC848" s="488">
        <v>7487526.0</v>
      </c>
      <c r="AD848" s="306"/>
      <c r="AE848" s="308"/>
      <c r="AF848" s="308"/>
      <c r="AG848" s="308"/>
      <c r="AH848" s="308"/>
      <c r="AI848" s="308"/>
      <c r="AJ848" s="368"/>
      <c r="AK848" s="300"/>
      <c r="AL848" s="259" t="str">
        <f>MATCH(B848,'Key Findings'!B:B,0)</f>
        <v>#N/A</v>
      </c>
      <c r="AM848" s="274" t="b">
        <f t="shared" si="2"/>
        <v>1</v>
      </c>
      <c r="AN848" s="294"/>
    </row>
    <row r="849">
      <c r="A849" s="169">
        <f t="array" ref="A849">INDEX('Federal Tax, Stock Buybacks, &amp; '!D:D,match(B849,'Federal Tax, Stock Buybacks, &amp; '!E:E,0))</f>
        <v>321</v>
      </c>
      <c r="B849" s="571" t="s">
        <v>1128</v>
      </c>
      <c r="C849" s="372"/>
      <c r="D849" s="370"/>
      <c r="E849" s="517"/>
      <c r="F849" s="254"/>
      <c r="G849" s="372"/>
      <c r="H849" s="370"/>
      <c r="I849" s="517"/>
      <c r="J849" s="254"/>
      <c r="K849" s="372" t="s">
        <v>711</v>
      </c>
      <c r="L849" s="370" t="s">
        <v>711</v>
      </c>
      <c r="M849" s="517" t="s">
        <v>711</v>
      </c>
      <c r="N849" s="254"/>
      <c r="O849" s="362" t="s">
        <v>1134</v>
      </c>
      <c r="P849" s="573" t="s">
        <v>2474</v>
      </c>
      <c r="Q849" s="499">
        <v>1.2585917E7</v>
      </c>
      <c r="R849" s="254"/>
      <c r="S849" s="362" t="s">
        <v>1134</v>
      </c>
      <c r="T849" s="573" t="s">
        <v>2474</v>
      </c>
      <c r="U849" s="499">
        <v>1.0937299E7</v>
      </c>
      <c r="V849" s="254"/>
      <c r="W849" s="362" t="s">
        <v>1134</v>
      </c>
      <c r="X849" s="573" t="s">
        <v>2474</v>
      </c>
      <c r="Y849" s="499">
        <v>1.0300794E7</v>
      </c>
      <c r="Z849" s="254"/>
      <c r="AA849" s="362" t="s">
        <v>1136</v>
      </c>
      <c r="AB849" s="548" t="s">
        <v>1585</v>
      </c>
      <c r="AC849" s="488">
        <v>462692.0</v>
      </c>
      <c r="AD849" s="306"/>
      <c r="AE849" s="308"/>
      <c r="AF849" s="308"/>
      <c r="AG849" s="308"/>
      <c r="AH849" s="308"/>
      <c r="AI849" s="308"/>
      <c r="AJ849" s="368"/>
      <c r="AK849" s="300"/>
      <c r="AL849" s="259" t="str">
        <f>MATCH(B849,'Key Findings'!B:B,0)</f>
        <v>#N/A</v>
      </c>
      <c r="AM849" s="274" t="b">
        <f t="shared" si="2"/>
        <v>1</v>
      </c>
      <c r="AN849" s="294"/>
    </row>
    <row r="850">
      <c r="A850" s="169">
        <f t="array" ref="A850">INDEX('Federal Tax, Stock Buybacks, &amp; '!D:D,match(B850,'Federal Tax, Stock Buybacks, &amp; '!E:E,0))</f>
        <v>94</v>
      </c>
      <c r="B850" s="386" t="s">
        <v>1417</v>
      </c>
      <c r="C850" s="316"/>
      <c r="D850" s="283"/>
      <c r="E850" s="539"/>
      <c r="F850" s="254"/>
      <c r="G850" s="316"/>
      <c r="H850" s="283"/>
      <c r="I850" s="539"/>
      <c r="J850" s="254"/>
      <c r="K850" s="316" t="s">
        <v>1420</v>
      </c>
      <c r="L850" s="283" t="s">
        <v>2475</v>
      </c>
      <c r="M850" s="539">
        <v>3036739.0</v>
      </c>
      <c r="N850" s="254"/>
      <c r="O850" s="316" t="s">
        <v>1420</v>
      </c>
      <c r="P850" s="282" t="s">
        <v>2475</v>
      </c>
      <c r="Q850" s="539">
        <v>4887236.0</v>
      </c>
      <c r="R850" s="254"/>
      <c r="S850" s="316" t="s">
        <v>1420</v>
      </c>
      <c r="T850" s="282" t="s">
        <v>2475</v>
      </c>
      <c r="U850" s="539">
        <v>4243557.0</v>
      </c>
      <c r="V850" s="254"/>
      <c r="W850" s="316" t="s">
        <v>1420</v>
      </c>
      <c r="X850" s="282" t="s">
        <v>2475</v>
      </c>
      <c r="Y850" s="539">
        <v>6016389.0</v>
      </c>
      <c r="Z850" s="254"/>
      <c r="AA850" s="316" t="s">
        <v>1420</v>
      </c>
      <c r="AB850" s="282" t="s">
        <v>2475</v>
      </c>
      <c r="AC850" s="539">
        <v>4202494.0</v>
      </c>
      <c r="AD850" s="390"/>
      <c r="AE850" s="391">
        <v>2022.0</v>
      </c>
      <c r="AF850" s="391">
        <v>2021.0</v>
      </c>
      <c r="AG850" s="391">
        <v>2020.0</v>
      </c>
      <c r="AH850" s="391">
        <v>2019.0</v>
      </c>
      <c r="AI850" s="391">
        <v>2018.0</v>
      </c>
      <c r="AJ850" s="574" t="s">
        <v>2056</v>
      </c>
      <c r="AK850" s="260"/>
      <c r="AL850" s="259" t="str">
        <f>MATCH(B850,'Key Findings'!B:B,0)</f>
        <v>#N/A</v>
      </c>
      <c r="AM850" s="260" t="b">
        <f t="shared" si="2"/>
        <v>0</v>
      </c>
      <c r="AN850" s="395"/>
    </row>
    <row r="851">
      <c r="A851" s="169">
        <f t="array" ref="A851">INDEX('Federal Tax, Stock Buybacks, &amp; '!D:D,match(B851,'Federal Tax, Stock Buybacks, &amp; '!E:E,0))</f>
        <v>94</v>
      </c>
      <c r="B851" s="386" t="s">
        <v>1417</v>
      </c>
      <c r="C851" s="316"/>
      <c r="D851" s="283"/>
      <c r="E851" s="539"/>
      <c r="F851" s="254"/>
      <c r="G851" s="316"/>
      <c r="H851" s="283"/>
      <c r="I851" s="539"/>
      <c r="J851" s="254"/>
      <c r="K851" s="316" t="s">
        <v>1416</v>
      </c>
      <c r="L851" s="283" t="s">
        <v>2476</v>
      </c>
      <c r="M851" s="539">
        <v>1.2837677E7</v>
      </c>
      <c r="N851" s="254"/>
      <c r="O851" s="316" t="s">
        <v>1416</v>
      </c>
      <c r="P851" s="282" t="s">
        <v>2476</v>
      </c>
      <c r="Q851" s="539">
        <v>1.5631157E7</v>
      </c>
      <c r="R851" s="254"/>
      <c r="S851" s="316" t="s">
        <v>1416</v>
      </c>
      <c r="T851" s="282" t="s">
        <v>2476</v>
      </c>
      <c r="U851" s="539">
        <v>1.2033503E7</v>
      </c>
      <c r="V851" s="254"/>
      <c r="W851" s="316" t="s">
        <v>1416</v>
      </c>
      <c r="X851" s="282" t="s">
        <v>2476</v>
      </c>
      <c r="Y851" s="539">
        <v>1.1440663E7</v>
      </c>
      <c r="Z851" s="254"/>
      <c r="AA851" s="316" t="s">
        <v>1416</v>
      </c>
      <c r="AB851" s="282" t="s">
        <v>2476</v>
      </c>
      <c r="AC851" s="539">
        <v>5919680.0</v>
      </c>
      <c r="AD851" s="390"/>
      <c r="AE851" s="393"/>
      <c r="AF851" s="393"/>
      <c r="AG851" s="393"/>
      <c r="AH851" s="393"/>
      <c r="AI851" s="393"/>
      <c r="AJ851" s="575"/>
      <c r="AK851" s="260"/>
      <c r="AL851" s="259" t="str">
        <f>MATCH(B851,'Key Findings'!B:B,0)</f>
        <v>#N/A</v>
      </c>
      <c r="AM851" s="260" t="b">
        <f t="shared" si="2"/>
        <v>0</v>
      </c>
      <c r="AN851" s="395"/>
    </row>
    <row r="852">
      <c r="A852" s="169">
        <f t="array" ref="A852">INDEX('Federal Tax, Stock Buybacks, &amp; '!D:D,match(B852,'Federal Tax, Stock Buybacks, &amp; '!E:E,0))</f>
        <v>94</v>
      </c>
      <c r="B852" s="386" t="s">
        <v>1417</v>
      </c>
      <c r="C852" s="316"/>
      <c r="D852" s="283"/>
      <c r="E852" s="539"/>
      <c r="F852" s="254"/>
      <c r="G852" s="316"/>
      <c r="H852" s="283"/>
      <c r="I852" s="539"/>
      <c r="J852" s="254"/>
      <c r="K852" s="316" t="s">
        <v>1421</v>
      </c>
      <c r="L852" s="283" t="s">
        <v>1881</v>
      </c>
      <c r="M852" s="539">
        <v>3623201.0</v>
      </c>
      <c r="N852" s="254"/>
      <c r="O852" s="316" t="s">
        <v>1421</v>
      </c>
      <c r="P852" s="282" t="s">
        <v>1881</v>
      </c>
      <c r="Q852" s="539">
        <v>6015576.0</v>
      </c>
      <c r="R852" s="254"/>
      <c r="S852" s="316" t="s">
        <v>1421</v>
      </c>
      <c r="T852" s="282" t="s">
        <v>1881</v>
      </c>
      <c r="U852" s="539">
        <v>3892445.0</v>
      </c>
      <c r="V852" s="254"/>
      <c r="W852" s="316" t="s">
        <v>1421</v>
      </c>
      <c r="X852" s="282" t="s">
        <v>1881</v>
      </c>
      <c r="Y852" s="539">
        <v>3880786.0</v>
      </c>
      <c r="Z852" s="254"/>
      <c r="AA852" s="316" t="s">
        <v>1424</v>
      </c>
      <c r="AB852" s="285" t="s">
        <v>2477</v>
      </c>
      <c r="AC852" s="539">
        <v>6705097.0</v>
      </c>
      <c r="AD852" s="390"/>
      <c r="AE852" s="393"/>
      <c r="AF852" s="393"/>
      <c r="AG852" s="393"/>
      <c r="AH852" s="393"/>
      <c r="AI852" s="393"/>
      <c r="AJ852" s="575"/>
      <c r="AK852" s="260"/>
      <c r="AL852" s="259" t="str">
        <f>MATCH(B852,'Key Findings'!B:B,0)</f>
        <v>#N/A</v>
      </c>
      <c r="AM852" s="260" t="b">
        <f t="shared" si="2"/>
        <v>0</v>
      </c>
      <c r="AN852" s="395"/>
    </row>
    <row r="853">
      <c r="A853" s="169">
        <f t="array" ref="A853">INDEX('Federal Tax, Stock Buybacks, &amp; '!D:D,match(B853,'Federal Tax, Stock Buybacks, &amp; '!E:E,0))</f>
        <v>94</v>
      </c>
      <c r="B853" s="386" t="s">
        <v>1417</v>
      </c>
      <c r="C853" s="316"/>
      <c r="D853" s="283"/>
      <c r="E853" s="539"/>
      <c r="F853" s="254"/>
      <c r="G853" s="316"/>
      <c r="H853" s="283"/>
      <c r="I853" s="539"/>
      <c r="J853" s="254"/>
      <c r="K853" s="316" t="s">
        <v>1422</v>
      </c>
      <c r="L853" s="283" t="s">
        <v>2478</v>
      </c>
      <c r="M853" s="539">
        <v>2503534.0</v>
      </c>
      <c r="N853" s="254"/>
      <c r="O853" s="316" t="s">
        <v>1426</v>
      </c>
      <c r="P853" s="282" t="s">
        <v>2479</v>
      </c>
      <c r="Q853" s="539">
        <v>4959358.0</v>
      </c>
      <c r="R853" s="254"/>
      <c r="S853" s="316" t="s">
        <v>1422</v>
      </c>
      <c r="T853" s="282" t="s">
        <v>2478</v>
      </c>
      <c r="U853" s="539">
        <v>2822981.0</v>
      </c>
      <c r="V853" s="254"/>
      <c r="W853" s="316" t="s">
        <v>1419</v>
      </c>
      <c r="X853" s="285" t="s">
        <v>1697</v>
      </c>
      <c r="Y853" s="539">
        <v>1.1216335E7</v>
      </c>
      <c r="Z853" s="254"/>
      <c r="AA853" s="316" t="s">
        <v>1419</v>
      </c>
      <c r="AB853" s="285" t="s">
        <v>1697</v>
      </c>
      <c r="AC853" s="539">
        <v>6693765.0</v>
      </c>
      <c r="AD853" s="390"/>
      <c r="AE853" s="393"/>
      <c r="AF853" s="393"/>
      <c r="AG853" s="393"/>
      <c r="AH853" s="393"/>
      <c r="AI853" s="393"/>
      <c r="AJ853" s="575"/>
      <c r="AK853" s="260"/>
      <c r="AL853" s="259" t="str">
        <f>MATCH(B853,'Key Findings'!B:B,0)</f>
        <v>#N/A</v>
      </c>
      <c r="AM853" s="260" t="b">
        <f t="shared" si="2"/>
        <v>0</v>
      </c>
      <c r="AN853" s="395"/>
    </row>
    <row r="854">
      <c r="A854" s="169">
        <f t="array" ref="A854">INDEX('Federal Tax, Stock Buybacks, &amp; '!D:D,match(B854,'Federal Tax, Stock Buybacks, &amp; '!E:E,0))</f>
        <v>94</v>
      </c>
      <c r="B854" s="386" t="s">
        <v>1417</v>
      </c>
      <c r="C854" s="316"/>
      <c r="D854" s="283"/>
      <c r="E854" s="539"/>
      <c r="F854" s="254"/>
      <c r="G854" s="316"/>
      <c r="H854" s="283"/>
      <c r="I854" s="539"/>
      <c r="J854" s="254"/>
      <c r="K854" s="316" t="s">
        <v>1430</v>
      </c>
      <c r="L854" s="283" t="s">
        <v>2480</v>
      </c>
      <c r="M854" s="539">
        <v>2535288.0</v>
      </c>
      <c r="N854" s="254"/>
      <c r="O854" s="316" t="s">
        <v>1425</v>
      </c>
      <c r="P854" s="282" t="s">
        <v>2481</v>
      </c>
      <c r="Q854" s="539">
        <v>5188834.0</v>
      </c>
      <c r="R854" s="254"/>
      <c r="S854" s="316" t="s">
        <v>1428</v>
      </c>
      <c r="T854" s="285" t="s">
        <v>2482</v>
      </c>
      <c r="U854" s="539">
        <v>3086747.0</v>
      </c>
      <c r="V854" s="254"/>
      <c r="W854" s="316" t="s">
        <v>1423</v>
      </c>
      <c r="X854" s="285" t="s">
        <v>2483</v>
      </c>
      <c r="Y854" s="539">
        <v>3670632.0</v>
      </c>
      <c r="Z854" s="254"/>
      <c r="AA854" s="316" t="s">
        <v>1423</v>
      </c>
      <c r="AB854" s="285" t="s">
        <v>2483</v>
      </c>
      <c r="AC854" s="539">
        <v>3657331.0</v>
      </c>
      <c r="AD854" s="390"/>
      <c r="AE854" s="393"/>
      <c r="AF854" s="393"/>
      <c r="AG854" s="393"/>
      <c r="AH854" s="393"/>
      <c r="AI854" s="393"/>
      <c r="AJ854" s="575"/>
      <c r="AK854" s="260"/>
      <c r="AL854" s="259" t="str">
        <f>MATCH(B854,'Key Findings'!B:B,0)</f>
        <v>#N/A</v>
      </c>
      <c r="AM854" s="260" t="b">
        <f t="shared" si="2"/>
        <v>0</v>
      </c>
      <c r="AN854" s="395"/>
    </row>
    <row r="855">
      <c r="A855" s="169">
        <f t="array" ref="A855">INDEX('Federal Tax, Stock Buybacks, &amp; '!D:D,match(B855,'Federal Tax, Stock Buybacks, &amp; '!E:E,0))</f>
        <v>94</v>
      </c>
      <c r="B855" s="386" t="s">
        <v>1417</v>
      </c>
      <c r="C855" s="298"/>
      <c r="D855" s="296"/>
      <c r="E855" s="523"/>
      <c r="F855" s="254"/>
      <c r="G855" s="298"/>
      <c r="H855" s="296"/>
      <c r="I855" s="523"/>
      <c r="J855" s="254"/>
      <c r="K855" s="298" t="s">
        <v>711</v>
      </c>
      <c r="L855" s="296" t="s">
        <v>711</v>
      </c>
      <c r="M855" s="523" t="s">
        <v>711</v>
      </c>
      <c r="N855" s="254"/>
      <c r="O855" s="316" t="s">
        <v>1422</v>
      </c>
      <c r="P855" s="282" t="s">
        <v>2478</v>
      </c>
      <c r="Q855" s="539">
        <v>3978359.0</v>
      </c>
      <c r="R855" s="254"/>
      <c r="S855" s="316" t="s">
        <v>1419</v>
      </c>
      <c r="T855" s="285" t="s">
        <v>1697</v>
      </c>
      <c r="U855" s="539">
        <v>8860064.0</v>
      </c>
      <c r="V855" s="254"/>
      <c r="W855" s="316" t="s">
        <v>1427</v>
      </c>
      <c r="X855" s="285" t="s">
        <v>2484</v>
      </c>
      <c r="Y855" s="539">
        <v>4246034.0</v>
      </c>
      <c r="Z855" s="254"/>
      <c r="AA855" s="316" t="s">
        <v>1418</v>
      </c>
      <c r="AB855" s="285" t="s">
        <v>2485</v>
      </c>
      <c r="AC855" s="539">
        <v>1.7382486E7</v>
      </c>
      <c r="AD855" s="390"/>
      <c r="AE855" s="393"/>
      <c r="AF855" s="393"/>
      <c r="AG855" s="393"/>
      <c r="AH855" s="393"/>
      <c r="AI855" s="393"/>
      <c r="AJ855" s="575"/>
      <c r="AK855" s="260"/>
      <c r="AL855" s="259" t="str">
        <f>MATCH(B855,'Key Findings'!B:B,0)</f>
        <v>#N/A</v>
      </c>
      <c r="AM855" s="260" t="b">
        <f t="shared" si="2"/>
        <v>0</v>
      </c>
      <c r="AN855" s="395"/>
    </row>
    <row r="856">
      <c r="A856" s="169">
        <f t="array" ref="A856">INDEX('Federal Tax, Stock Buybacks, &amp; '!D:D,match(B856,'Federal Tax, Stock Buybacks, &amp; '!E:E,0))</f>
        <v>94</v>
      </c>
      <c r="B856" s="386" t="s">
        <v>1417</v>
      </c>
      <c r="C856" s="298"/>
      <c r="D856" s="296"/>
      <c r="E856" s="523"/>
      <c r="F856" s="254"/>
      <c r="G856" s="298"/>
      <c r="H856" s="296"/>
      <c r="I856" s="523"/>
      <c r="J856" s="254"/>
      <c r="K856" s="298" t="s">
        <v>711</v>
      </c>
      <c r="L856" s="296" t="s">
        <v>711</v>
      </c>
      <c r="M856" s="523" t="s">
        <v>711</v>
      </c>
      <c r="N856" s="254"/>
      <c r="O856" s="298" t="s">
        <v>711</v>
      </c>
      <c r="P856" s="296" t="s">
        <v>711</v>
      </c>
      <c r="Q856" s="523" t="s">
        <v>711</v>
      </c>
      <c r="R856" s="254"/>
      <c r="S856" s="298" t="s">
        <v>711</v>
      </c>
      <c r="T856" s="296" t="s">
        <v>711</v>
      </c>
      <c r="U856" s="523" t="s">
        <v>711</v>
      </c>
      <c r="V856" s="254"/>
      <c r="W856" s="316" t="s">
        <v>1429</v>
      </c>
      <c r="X856" s="285" t="s">
        <v>2486</v>
      </c>
      <c r="Y856" s="539">
        <v>2954555.0</v>
      </c>
      <c r="Z856" s="254"/>
      <c r="AA856" s="298" t="s">
        <v>711</v>
      </c>
      <c r="AB856" s="296" t="s">
        <v>711</v>
      </c>
      <c r="AC856" s="523" t="s">
        <v>711</v>
      </c>
      <c r="AD856" s="390"/>
      <c r="AE856" s="393"/>
      <c r="AF856" s="393"/>
      <c r="AG856" s="393"/>
      <c r="AH856" s="393"/>
      <c r="AI856" s="393"/>
      <c r="AJ856" s="575"/>
      <c r="AK856" s="260"/>
      <c r="AL856" s="259" t="str">
        <f>MATCH(B856,'Key Findings'!B:B,0)</f>
        <v>#N/A</v>
      </c>
      <c r="AM856" s="260" t="b">
        <f t="shared" si="2"/>
        <v>0</v>
      </c>
      <c r="AN856" s="395"/>
    </row>
    <row r="857">
      <c r="A857" s="169">
        <f t="array" ref="A857">INDEX('Federal Tax, Stock Buybacks, &amp; '!D:D,match(B857,'Federal Tax, Stock Buybacks, &amp; '!E:E,0))</f>
        <v>94</v>
      </c>
      <c r="B857" s="386" t="s">
        <v>1417</v>
      </c>
      <c r="C857" s="298"/>
      <c r="D857" s="296"/>
      <c r="E857" s="523"/>
      <c r="F857" s="254"/>
      <c r="G857" s="298"/>
      <c r="H857" s="296"/>
      <c r="I857" s="523"/>
      <c r="J857" s="254"/>
      <c r="K857" s="298" t="s">
        <v>711</v>
      </c>
      <c r="L857" s="296" t="s">
        <v>711</v>
      </c>
      <c r="M857" s="523" t="s">
        <v>711</v>
      </c>
      <c r="N857" s="254"/>
      <c r="O857" s="298" t="s">
        <v>711</v>
      </c>
      <c r="P857" s="296" t="s">
        <v>711</v>
      </c>
      <c r="Q857" s="523" t="s">
        <v>711</v>
      </c>
      <c r="R857" s="254"/>
      <c r="S857" s="298" t="s">
        <v>711</v>
      </c>
      <c r="T857" s="296" t="s">
        <v>711</v>
      </c>
      <c r="U857" s="523" t="s">
        <v>711</v>
      </c>
      <c r="V857" s="254"/>
      <c r="W857" s="316" t="s">
        <v>1418</v>
      </c>
      <c r="X857" s="285" t="s">
        <v>2485</v>
      </c>
      <c r="Y857" s="539">
        <v>1.4239424E7</v>
      </c>
      <c r="Z857" s="254"/>
      <c r="AA857" s="298" t="s">
        <v>711</v>
      </c>
      <c r="AB857" s="296" t="s">
        <v>711</v>
      </c>
      <c r="AC857" s="523" t="s">
        <v>711</v>
      </c>
      <c r="AD857" s="390"/>
      <c r="AE857" s="393"/>
      <c r="AF857" s="393"/>
      <c r="AG857" s="393"/>
      <c r="AH857" s="393"/>
      <c r="AI857" s="393"/>
      <c r="AJ857" s="575"/>
      <c r="AK857" s="260"/>
      <c r="AL857" s="259" t="str">
        <f>MATCH(B857,'Key Findings'!B:B,0)</f>
        <v>#N/A</v>
      </c>
      <c r="AM857" s="260" t="b">
        <f t="shared" si="2"/>
        <v>0</v>
      </c>
      <c r="AN857" s="395"/>
    </row>
    <row r="858">
      <c r="A858" s="169">
        <f t="array" ref="A858">INDEX('Federal Tax, Stock Buybacks, &amp; '!D:D,match(B858,'Federal Tax, Stock Buybacks, &amp; '!E:E,0))</f>
        <v>169</v>
      </c>
      <c r="B858" s="281" t="s">
        <v>1049</v>
      </c>
      <c r="C858" s="282"/>
      <c r="D858" s="283"/>
      <c r="E858" s="471"/>
      <c r="F858" s="254"/>
      <c r="G858" s="282"/>
      <c r="H858" s="283"/>
      <c r="I858" s="471"/>
      <c r="J858" s="254"/>
      <c r="K858" s="282" t="s">
        <v>1048</v>
      </c>
      <c r="L858" s="283" t="s">
        <v>1714</v>
      </c>
      <c r="M858" s="471">
        <v>1.7770514E7</v>
      </c>
      <c r="N858" s="254"/>
      <c r="O858" s="282" t="s">
        <v>1048</v>
      </c>
      <c r="P858" s="283" t="s">
        <v>1714</v>
      </c>
      <c r="Q858" s="471">
        <v>2.0028132E7</v>
      </c>
      <c r="R858" s="254"/>
      <c r="S858" s="282" t="s">
        <v>1048</v>
      </c>
      <c r="T858" s="283" t="s">
        <v>1714</v>
      </c>
      <c r="U858" s="471">
        <v>1.0847032E7</v>
      </c>
      <c r="V858" s="254"/>
      <c r="W858" s="282" t="s">
        <v>1048</v>
      </c>
      <c r="X858" s="283" t="s">
        <v>1714</v>
      </c>
      <c r="Y858" s="471">
        <v>5229155.0</v>
      </c>
      <c r="Z858" s="254"/>
      <c r="AA858" s="282" t="s">
        <v>1048</v>
      </c>
      <c r="AB858" s="283" t="s">
        <v>1714</v>
      </c>
      <c r="AC858" s="472">
        <v>4678340.0</v>
      </c>
      <c r="AD858" s="288"/>
      <c r="AE858" s="289">
        <v>2022.0</v>
      </c>
      <c r="AF858" s="289">
        <v>2021.0</v>
      </c>
      <c r="AG858" s="289">
        <v>2020.0</v>
      </c>
      <c r="AH858" s="289">
        <v>2019.0</v>
      </c>
      <c r="AI858" s="289">
        <v>2018.0</v>
      </c>
      <c r="AJ858" s="290" t="s">
        <v>1524</v>
      </c>
      <c r="AK858" s="281"/>
      <c r="AL858" s="259" t="str">
        <f>MATCH(B858,'Key Findings'!B:B,0)</f>
        <v>#N/A</v>
      </c>
      <c r="AM858" s="260" t="b">
        <f t="shared" si="2"/>
        <v>1</v>
      </c>
      <c r="AN858" s="294"/>
    </row>
    <row r="859">
      <c r="A859" s="169">
        <f t="array" ref="A859">INDEX('Federal Tax, Stock Buybacks, &amp; '!D:D,match(B859,'Federal Tax, Stock Buybacks, &amp; '!E:E,0))</f>
        <v>169</v>
      </c>
      <c r="B859" s="281" t="s">
        <v>1049</v>
      </c>
      <c r="C859" s="282"/>
      <c r="D859" s="283"/>
      <c r="E859" s="471"/>
      <c r="F859" s="254"/>
      <c r="G859" s="282"/>
      <c r="H859" s="283"/>
      <c r="I859" s="471"/>
      <c r="J859" s="254"/>
      <c r="K859" s="282" t="s">
        <v>1053</v>
      </c>
      <c r="L859" s="283" t="s">
        <v>1768</v>
      </c>
      <c r="M859" s="471">
        <v>7923087.0</v>
      </c>
      <c r="N859" s="254"/>
      <c r="O859" s="282" t="s">
        <v>1053</v>
      </c>
      <c r="P859" s="283" t="s">
        <v>1768</v>
      </c>
      <c r="Q859" s="471">
        <v>8275790.0</v>
      </c>
      <c r="R859" s="254"/>
      <c r="S859" s="282" t="s">
        <v>1053</v>
      </c>
      <c r="T859" s="283" t="s">
        <v>1768</v>
      </c>
      <c r="U859" s="471">
        <v>4784263.0</v>
      </c>
      <c r="V859" s="254"/>
      <c r="W859" s="282" t="s">
        <v>1053</v>
      </c>
      <c r="X859" s="283" t="s">
        <v>1768</v>
      </c>
      <c r="Y859" s="471">
        <v>3246897.0</v>
      </c>
      <c r="Z859" s="254"/>
      <c r="AA859" s="282" t="s">
        <v>1059</v>
      </c>
      <c r="AB859" s="283" t="s">
        <v>2487</v>
      </c>
      <c r="AC859" s="472">
        <v>4358753.0</v>
      </c>
      <c r="AD859" s="288"/>
      <c r="AE859" s="292"/>
      <c r="AF859" s="292"/>
      <c r="AG859" s="292"/>
      <c r="AH859" s="292"/>
      <c r="AI859" s="292"/>
      <c r="AJ859" s="293"/>
      <c r="AK859" s="281"/>
      <c r="AL859" s="259" t="str">
        <f>MATCH(B859,'Key Findings'!B:B,0)</f>
        <v>#N/A</v>
      </c>
      <c r="AM859" s="260" t="b">
        <f t="shared" si="2"/>
        <v>1</v>
      </c>
      <c r="AN859" s="294"/>
    </row>
    <row r="860">
      <c r="A860" s="169">
        <f t="array" ref="A860">INDEX('Federal Tax, Stock Buybacks, &amp; '!D:D,match(B860,'Federal Tax, Stock Buybacks, &amp; '!E:E,0))</f>
        <v>169</v>
      </c>
      <c r="B860" s="281" t="s">
        <v>1049</v>
      </c>
      <c r="C860" s="282"/>
      <c r="D860" s="283"/>
      <c r="E860" s="471"/>
      <c r="F860" s="254"/>
      <c r="G860" s="282"/>
      <c r="H860" s="283"/>
      <c r="I860" s="471"/>
      <c r="J860" s="254"/>
      <c r="K860" s="282" t="s">
        <v>1051</v>
      </c>
      <c r="L860" s="283" t="s">
        <v>1698</v>
      </c>
      <c r="M860" s="471">
        <v>7176627.0</v>
      </c>
      <c r="N860" s="254"/>
      <c r="O860" s="282" t="s">
        <v>1051</v>
      </c>
      <c r="P860" s="283" t="s">
        <v>1698</v>
      </c>
      <c r="Q860" s="471">
        <v>1.0008133E7</v>
      </c>
      <c r="R860" s="254"/>
      <c r="S860" s="282" t="s">
        <v>1051</v>
      </c>
      <c r="T860" s="283" t="s">
        <v>1698</v>
      </c>
      <c r="U860" s="471">
        <v>4531221.0</v>
      </c>
      <c r="V860" s="254"/>
      <c r="W860" s="282" t="s">
        <v>1051</v>
      </c>
      <c r="X860" s="283" t="s">
        <v>1698</v>
      </c>
      <c r="Y860" s="471">
        <v>5456578.0</v>
      </c>
      <c r="Z860" s="254"/>
      <c r="AA860" s="282" t="s">
        <v>1051</v>
      </c>
      <c r="AB860" s="283" t="s">
        <v>1698</v>
      </c>
      <c r="AC860" s="472">
        <v>4650252.0</v>
      </c>
      <c r="AD860" s="288"/>
      <c r="AE860" s="292"/>
      <c r="AF860" s="292"/>
      <c r="AG860" s="292"/>
      <c r="AH860" s="292"/>
      <c r="AI860" s="292"/>
      <c r="AJ860" s="293"/>
      <c r="AK860" s="281"/>
      <c r="AL860" s="259" t="str">
        <f>MATCH(B860,'Key Findings'!B:B,0)</f>
        <v>#N/A</v>
      </c>
      <c r="AM860" s="260" t="b">
        <f t="shared" si="2"/>
        <v>1</v>
      </c>
      <c r="AN860" s="294"/>
    </row>
    <row r="861">
      <c r="A861" s="169">
        <f t="array" ref="A861">INDEX('Federal Tax, Stock Buybacks, &amp; '!D:D,match(B861,'Federal Tax, Stock Buybacks, &amp; '!E:E,0))</f>
        <v>169</v>
      </c>
      <c r="B861" s="281" t="s">
        <v>1049</v>
      </c>
      <c r="C861" s="282"/>
      <c r="D861" s="283"/>
      <c r="E861" s="471"/>
      <c r="F861" s="254"/>
      <c r="G861" s="282"/>
      <c r="H861" s="283"/>
      <c r="I861" s="471"/>
      <c r="J861" s="254"/>
      <c r="K861" s="282" t="s">
        <v>1052</v>
      </c>
      <c r="L861" s="283" t="s">
        <v>2488</v>
      </c>
      <c r="M861" s="471">
        <v>5918022.0</v>
      </c>
      <c r="N861" s="254"/>
      <c r="O861" s="282" t="s">
        <v>1052</v>
      </c>
      <c r="P861" s="283" t="s">
        <v>2488</v>
      </c>
      <c r="Q861" s="471">
        <v>7445404.0</v>
      </c>
      <c r="R861" s="254"/>
      <c r="S861" s="282" t="s">
        <v>1052</v>
      </c>
      <c r="T861" s="283" t="s">
        <v>2488</v>
      </c>
      <c r="U861" s="471">
        <v>4663516.0</v>
      </c>
      <c r="V861" s="254"/>
      <c r="W861" s="282" t="s">
        <v>1052</v>
      </c>
      <c r="X861" s="283" t="s">
        <v>2488</v>
      </c>
      <c r="Y861" s="471">
        <v>4778306.0</v>
      </c>
      <c r="Z861" s="254"/>
      <c r="AA861" s="282" t="s">
        <v>1052</v>
      </c>
      <c r="AB861" s="283" t="s">
        <v>2488</v>
      </c>
      <c r="AC861" s="472">
        <v>3957736.0</v>
      </c>
      <c r="AD861" s="288"/>
      <c r="AE861" s="292"/>
      <c r="AF861" s="292"/>
      <c r="AG861" s="292"/>
      <c r="AH861" s="292"/>
      <c r="AI861" s="292"/>
      <c r="AJ861" s="293"/>
      <c r="AK861" s="281"/>
      <c r="AL861" s="259" t="str">
        <f>MATCH(B861,'Key Findings'!B:B,0)</f>
        <v>#N/A</v>
      </c>
      <c r="AM861" s="260" t="b">
        <f t="shared" si="2"/>
        <v>1</v>
      </c>
      <c r="AN861" s="294"/>
    </row>
    <row r="862">
      <c r="A862" s="169">
        <f t="array" ref="A862">INDEX('Federal Tax, Stock Buybacks, &amp; '!D:D,match(B862,'Federal Tax, Stock Buybacks, &amp; '!E:E,0))</f>
        <v>169</v>
      </c>
      <c r="B862" s="281" t="s">
        <v>1049</v>
      </c>
      <c r="C862" s="282"/>
      <c r="D862" s="283"/>
      <c r="E862" s="471"/>
      <c r="F862" s="254"/>
      <c r="G862" s="282"/>
      <c r="H862" s="283"/>
      <c r="I862" s="471"/>
      <c r="J862" s="254"/>
      <c r="K862" s="282" t="s">
        <v>1054</v>
      </c>
      <c r="L862" s="283" t="s">
        <v>2489</v>
      </c>
      <c r="M862" s="471">
        <v>4775747.0</v>
      </c>
      <c r="N862" s="254"/>
      <c r="O862" s="282" t="s">
        <v>1054</v>
      </c>
      <c r="P862" s="283" t="s">
        <v>2489</v>
      </c>
      <c r="Q862" s="471">
        <v>6390002.0</v>
      </c>
      <c r="R862" s="254"/>
      <c r="S862" s="282" t="s">
        <v>1056</v>
      </c>
      <c r="T862" s="283" t="s">
        <v>2490</v>
      </c>
      <c r="U862" s="471">
        <v>2715431.0</v>
      </c>
      <c r="V862" s="254"/>
      <c r="W862" s="282" t="s">
        <v>1056</v>
      </c>
      <c r="X862" s="283" t="s">
        <v>2491</v>
      </c>
      <c r="Y862" s="471">
        <v>3251421.0</v>
      </c>
      <c r="Z862" s="254"/>
      <c r="AA862" s="570" t="s">
        <v>1050</v>
      </c>
      <c r="AB862" s="570" t="s">
        <v>1588</v>
      </c>
      <c r="AC862" s="576">
        <v>1.5876116E7</v>
      </c>
      <c r="AD862" s="288"/>
      <c r="AE862" s="292"/>
      <c r="AF862" s="292"/>
      <c r="AG862" s="292"/>
      <c r="AH862" s="292"/>
      <c r="AI862" s="292"/>
      <c r="AJ862" s="293"/>
      <c r="AK862" s="281"/>
      <c r="AL862" s="259" t="str">
        <f>MATCH(B862,'Key Findings'!B:B,0)</f>
        <v>#N/A</v>
      </c>
      <c r="AM862" s="260" t="b">
        <f t="shared" si="2"/>
        <v>1</v>
      </c>
      <c r="AN862" s="294"/>
    </row>
    <row r="863">
      <c r="A863" s="169">
        <f t="array" ref="A863">INDEX('Federal Tax, Stock Buybacks, &amp; '!D:D,match(B863,'Federal Tax, Stock Buybacks, &amp; '!E:E,0))</f>
        <v>169</v>
      </c>
      <c r="B863" s="281" t="s">
        <v>1049</v>
      </c>
      <c r="C863" s="282"/>
      <c r="D863" s="283"/>
      <c r="E863" s="471"/>
      <c r="F863" s="254"/>
      <c r="G863" s="282"/>
      <c r="H863" s="283"/>
      <c r="I863" s="471"/>
      <c r="J863" s="254"/>
      <c r="K863" s="282" t="s">
        <v>1058</v>
      </c>
      <c r="L863" s="283" t="s">
        <v>2242</v>
      </c>
      <c r="M863" s="471">
        <v>4584647.0</v>
      </c>
      <c r="N863" s="254"/>
      <c r="O863" s="376" t="s">
        <v>711</v>
      </c>
      <c r="P863" s="375" t="s">
        <v>711</v>
      </c>
      <c r="Q863" s="557" t="s">
        <v>711</v>
      </c>
      <c r="R863" s="254"/>
      <c r="S863" s="282" t="s">
        <v>1055</v>
      </c>
      <c r="T863" s="524" t="s">
        <v>2492</v>
      </c>
      <c r="U863" s="471">
        <v>8939920.0</v>
      </c>
      <c r="V863" s="254"/>
      <c r="W863" s="282" t="s">
        <v>1050</v>
      </c>
      <c r="X863" s="524" t="s">
        <v>1610</v>
      </c>
      <c r="Y863" s="471">
        <v>1.7432406E7</v>
      </c>
      <c r="Z863" s="254"/>
      <c r="AA863" s="570" t="s">
        <v>1057</v>
      </c>
      <c r="AB863" s="570" t="s">
        <v>1553</v>
      </c>
      <c r="AC863" s="576">
        <v>2854974.0</v>
      </c>
      <c r="AD863" s="288"/>
      <c r="AE863" s="292"/>
      <c r="AF863" s="292"/>
      <c r="AG863" s="292"/>
      <c r="AH863" s="292"/>
      <c r="AI863" s="292"/>
      <c r="AJ863" s="293"/>
      <c r="AK863" s="281"/>
      <c r="AL863" s="259" t="str">
        <f>MATCH(B863,'Key Findings'!B:B,0)</f>
        <v>#N/A</v>
      </c>
      <c r="AM863" s="260" t="b">
        <f t="shared" si="2"/>
        <v>1</v>
      </c>
      <c r="AN863" s="294"/>
    </row>
    <row r="864">
      <c r="A864" s="169">
        <f t="array" ref="A864">INDEX('Federal Tax, Stock Buybacks, &amp; '!D:D,match(B864,'Federal Tax, Stock Buybacks, &amp; '!E:E,0))</f>
        <v>169</v>
      </c>
      <c r="B864" s="281" t="s">
        <v>1049</v>
      </c>
      <c r="C864" s="376"/>
      <c r="D864" s="375"/>
      <c r="E864" s="557"/>
      <c r="F864" s="254"/>
      <c r="G864" s="376"/>
      <c r="H864" s="375"/>
      <c r="I864" s="557"/>
      <c r="J864" s="254"/>
      <c r="K864" s="376" t="s">
        <v>711</v>
      </c>
      <c r="L864" s="375" t="s">
        <v>711</v>
      </c>
      <c r="M864" s="557" t="s">
        <v>711</v>
      </c>
      <c r="N864" s="254"/>
      <c r="O864" s="376" t="s">
        <v>711</v>
      </c>
      <c r="P864" s="375" t="s">
        <v>711</v>
      </c>
      <c r="Q864" s="557" t="s">
        <v>711</v>
      </c>
      <c r="R864" s="254"/>
      <c r="S864" s="376" t="s">
        <v>711</v>
      </c>
      <c r="T864" s="375" t="s">
        <v>711</v>
      </c>
      <c r="U864" s="557" t="s">
        <v>711</v>
      </c>
      <c r="V864" s="254"/>
      <c r="W864" s="282" t="s">
        <v>1057</v>
      </c>
      <c r="X864" s="524" t="s">
        <v>1557</v>
      </c>
      <c r="Y864" s="471">
        <v>3064566.0</v>
      </c>
      <c r="Z864" s="254"/>
      <c r="AA864" s="376" t="s">
        <v>711</v>
      </c>
      <c r="AB864" s="375" t="s">
        <v>711</v>
      </c>
      <c r="AC864" s="557" t="s">
        <v>711</v>
      </c>
      <c r="AD864" s="288"/>
      <c r="AE864" s="292"/>
      <c r="AF864" s="292"/>
      <c r="AG864" s="292"/>
      <c r="AH864" s="292"/>
      <c r="AI864" s="292"/>
      <c r="AJ864" s="293"/>
      <c r="AK864" s="281"/>
      <c r="AL864" s="259" t="str">
        <f>MATCH(B864,'Key Findings'!B:B,0)</f>
        <v>#N/A</v>
      </c>
      <c r="AM864" s="260" t="b">
        <f t="shared" si="2"/>
        <v>1</v>
      </c>
      <c r="AN864" s="294"/>
    </row>
    <row r="865">
      <c r="A865" s="169">
        <f t="array" ref="A865">INDEX('Federal Tax, Stock Buybacks, &amp; '!D:D,match(B865,'Federal Tax, Stock Buybacks, &amp; '!E:E,0))</f>
        <v>365</v>
      </c>
      <c r="B865" s="412" t="s">
        <v>1363</v>
      </c>
      <c r="C865" s="362"/>
      <c r="D865" s="413"/>
      <c r="E865" s="499"/>
      <c r="F865" s="254"/>
      <c r="G865" s="362"/>
      <c r="H865" s="413"/>
      <c r="I865" s="499"/>
      <c r="J865" s="254"/>
      <c r="K865" s="362" t="s">
        <v>1362</v>
      </c>
      <c r="L865" s="413"/>
      <c r="M865" s="499">
        <v>1.4279027E7</v>
      </c>
      <c r="N865" s="254"/>
      <c r="O865" s="362" t="s">
        <v>1362</v>
      </c>
      <c r="P865" s="577"/>
      <c r="Q865" s="499">
        <v>1.168567E7</v>
      </c>
      <c r="R865" s="254"/>
      <c r="S865" s="362" t="s">
        <v>1362</v>
      </c>
      <c r="T865" s="516"/>
      <c r="U865" s="499">
        <v>9705007.0</v>
      </c>
      <c r="V865" s="254"/>
      <c r="W865" s="362" t="s">
        <v>1362</v>
      </c>
      <c r="X865" s="516"/>
      <c r="Y865" s="499">
        <v>8758243.0</v>
      </c>
      <c r="Z865" s="254"/>
      <c r="AA865" s="362" t="s">
        <v>1362</v>
      </c>
      <c r="AB865" s="548"/>
      <c r="AC865" s="488">
        <v>7758005.0</v>
      </c>
      <c r="AD865" s="306"/>
      <c r="AE865" s="366">
        <v>2022.0</v>
      </c>
      <c r="AF865" s="366">
        <v>2021.0</v>
      </c>
      <c r="AG865" s="366">
        <v>2020.0</v>
      </c>
      <c r="AH865" s="366">
        <v>2019.0</v>
      </c>
      <c r="AI865" s="366">
        <v>2018.0</v>
      </c>
      <c r="AJ865" s="415" t="s">
        <v>1578</v>
      </c>
      <c r="AK865" s="416"/>
      <c r="AL865" s="259" t="str">
        <f>MATCH(B865,'Key Findings'!B:B,0)</f>
        <v>#N/A</v>
      </c>
      <c r="AM865" s="274" t="b">
        <f t="shared" si="2"/>
        <v>1</v>
      </c>
      <c r="AN865" s="294"/>
    </row>
    <row r="866">
      <c r="A866" s="169">
        <f t="array" ref="A866">INDEX('Federal Tax, Stock Buybacks, &amp; '!D:D,match(B866,'Federal Tax, Stock Buybacks, &amp; '!E:E,0))</f>
        <v>365</v>
      </c>
      <c r="B866" s="412" t="s">
        <v>1363</v>
      </c>
      <c r="C866" s="362"/>
      <c r="D866" s="413"/>
      <c r="E866" s="499"/>
      <c r="F866" s="254"/>
      <c r="G866" s="362"/>
      <c r="H866" s="413"/>
      <c r="I866" s="499"/>
      <c r="J866" s="254"/>
      <c r="K866" s="362" t="s">
        <v>1365</v>
      </c>
      <c r="L866" s="413"/>
      <c r="M866" s="499">
        <v>3967848.0</v>
      </c>
      <c r="N866" s="254"/>
      <c r="O866" s="362" t="s">
        <v>1365</v>
      </c>
      <c r="P866" s="577"/>
      <c r="Q866" s="499">
        <v>3351564.0</v>
      </c>
      <c r="R866" s="254"/>
      <c r="S866" s="362" t="s">
        <v>1365</v>
      </c>
      <c r="T866" s="516"/>
      <c r="U866" s="499">
        <v>2605464.0</v>
      </c>
      <c r="V866" s="254"/>
      <c r="W866" s="362" t="s">
        <v>1365</v>
      </c>
      <c r="X866" s="516"/>
      <c r="Y866" s="499">
        <v>2362783.0</v>
      </c>
      <c r="Z866" s="254"/>
      <c r="AA866" s="362" t="s">
        <v>1365</v>
      </c>
      <c r="AB866" s="548"/>
      <c r="AC866" s="488">
        <v>1875328.0</v>
      </c>
      <c r="AD866" s="306"/>
      <c r="AE866" s="308"/>
      <c r="AF866" s="308"/>
      <c r="AG866" s="308"/>
      <c r="AH866" s="308"/>
      <c r="AI866" s="308"/>
      <c r="AJ866" s="368"/>
      <c r="AK866" s="368"/>
      <c r="AL866" s="259" t="str">
        <f>MATCH(B866,'Key Findings'!B:B,0)</f>
        <v>#N/A</v>
      </c>
      <c r="AM866" s="274" t="b">
        <f t="shared" si="2"/>
        <v>1</v>
      </c>
      <c r="AN866" s="294"/>
    </row>
    <row r="867">
      <c r="A867" s="169">
        <f t="array" ref="A867">INDEX('Federal Tax, Stock Buybacks, &amp; '!D:D,match(B867,'Federal Tax, Stock Buybacks, &amp; '!E:E,0))</f>
        <v>365</v>
      </c>
      <c r="B867" s="412" t="s">
        <v>1363</v>
      </c>
      <c r="C867" s="362"/>
      <c r="D867" s="413"/>
      <c r="E867" s="499"/>
      <c r="F867" s="254"/>
      <c r="G867" s="362"/>
      <c r="H867" s="413"/>
      <c r="I867" s="499"/>
      <c r="J867" s="254"/>
      <c r="K867" s="362" t="s">
        <v>1366</v>
      </c>
      <c r="L867" s="413"/>
      <c r="M867" s="499">
        <v>3377503.0</v>
      </c>
      <c r="N867" s="254"/>
      <c r="O867" s="362" t="s">
        <v>1366</v>
      </c>
      <c r="P867" s="577"/>
      <c r="Q867" s="499">
        <v>2923719.0</v>
      </c>
      <c r="R867" s="254"/>
      <c r="S867" s="362" t="s">
        <v>1366</v>
      </c>
      <c r="T867" s="516"/>
      <c r="U867" s="499">
        <v>2335753.0</v>
      </c>
      <c r="V867" s="254"/>
      <c r="W867" s="362" t="s">
        <v>1366</v>
      </c>
      <c r="X867" s="516"/>
      <c r="Y867" s="499">
        <v>2243464.0</v>
      </c>
      <c r="Z867" s="254"/>
      <c r="AA867" s="362" t="s">
        <v>1366</v>
      </c>
      <c r="AB867" s="548"/>
      <c r="AC867" s="488">
        <v>2061712.0</v>
      </c>
      <c r="AD867" s="306"/>
      <c r="AE867" s="308"/>
      <c r="AF867" s="308"/>
      <c r="AG867" s="308"/>
      <c r="AH867" s="308"/>
      <c r="AI867" s="308"/>
      <c r="AJ867" s="368"/>
      <c r="AK867" s="368"/>
      <c r="AL867" s="259" t="str">
        <f>MATCH(B867,'Key Findings'!B:B,0)</f>
        <v>#N/A</v>
      </c>
      <c r="AM867" s="274" t="b">
        <f t="shared" si="2"/>
        <v>1</v>
      </c>
      <c r="AN867" s="294"/>
    </row>
    <row r="868">
      <c r="A868" s="169">
        <f t="array" ref="A868">INDEX('Federal Tax, Stock Buybacks, &amp; '!D:D,match(B868,'Federal Tax, Stock Buybacks, &amp; '!E:E,0))</f>
        <v>365</v>
      </c>
      <c r="B868" s="412" t="s">
        <v>1363</v>
      </c>
      <c r="C868" s="362"/>
      <c r="D868" s="413"/>
      <c r="E868" s="499"/>
      <c r="F868" s="254"/>
      <c r="G868" s="362"/>
      <c r="H868" s="413"/>
      <c r="I868" s="499"/>
      <c r="J868" s="254"/>
      <c r="K868" s="362" t="s">
        <v>1364</v>
      </c>
      <c r="L868" s="413"/>
      <c r="M868" s="499">
        <v>3972114.0</v>
      </c>
      <c r="N868" s="254"/>
      <c r="O868" s="362" t="s">
        <v>1364</v>
      </c>
      <c r="P868" s="577"/>
      <c r="Q868" s="499">
        <v>3422723.0</v>
      </c>
      <c r="R868" s="254"/>
      <c r="S868" s="362" t="s">
        <v>1364</v>
      </c>
      <c r="T868" s="516"/>
      <c r="U868" s="499">
        <v>2790320.0</v>
      </c>
      <c r="V868" s="254"/>
      <c r="W868" s="362" t="s">
        <v>1364</v>
      </c>
      <c r="X868" s="516"/>
      <c r="Y868" s="499">
        <v>2661435.0</v>
      </c>
      <c r="Z868" s="254"/>
      <c r="AA868" s="362" t="s">
        <v>1364</v>
      </c>
      <c r="AB868" s="548"/>
      <c r="AC868" s="488">
        <v>2373331.0</v>
      </c>
      <c r="AD868" s="306"/>
      <c r="AE868" s="308"/>
      <c r="AF868" s="308"/>
      <c r="AG868" s="308"/>
      <c r="AH868" s="308"/>
      <c r="AI868" s="308"/>
      <c r="AJ868" s="368"/>
      <c r="AK868" s="368"/>
      <c r="AL868" s="259" t="str">
        <f>MATCH(B868,'Key Findings'!B:B,0)</f>
        <v>#N/A</v>
      </c>
      <c r="AM868" s="274" t="b">
        <f t="shared" si="2"/>
        <v>1</v>
      </c>
      <c r="AN868" s="294"/>
    </row>
    <row r="869">
      <c r="A869" s="169">
        <f t="array" ref="A869">INDEX('Federal Tax, Stock Buybacks, &amp; '!D:D,match(B869,'Federal Tax, Stock Buybacks, &amp; '!E:E,0))</f>
        <v>365</v>
      </c>
      <c r="B869" s="412" t="s">
        <v>1363</v>
      </c>
      <c r="C869" s="362"/>
      <c r="D869" s="413"/>
      <c r="E869" s="499"/>
      <c r="F869" s="254"/>
      <c r="G869" s="362"/>
      <c r="H869" s="413"/>
      <c r="I869" s="499"/>
      <c r="J869" s="254"/>
      <c r="K869" s="362" t="s">
        <v>1367</v>
      </c>
      <c r="L869" s="413"/>
      <c r="M869" s="499">
        <v>2872324.0</v>
      </c>
      <c r="N869" s="254"/>
      <c r="O869" s="362" t="s">
        <v>1367</v>
      </c>
      <c r="P869" s="577"/>
      <c r="Q869" s="499">
        <v>2438310.0</v>
      </c>
      <c r="R869" s="254"/>
      <c r="S869" s="362" t="s">
        <v>1367</v>
      </c>
      <c r="T869" s="516"/>
      <c r="U869" s="499">
        <v>1843509.0</v>
      </c>
      <c r="V869" s="254"/>
      <c r="W869" s="362" t="s">
        <v>1367</v>
      </c>
      <c r="X869" s="516"/>
      <c r="Y869" s="499">
        <v>1748403.0</v>
      </c>
      <c r="Z869" s="254"/>
      <c r="AA869" s="362" t="s">
        <v>1368</v>
      </c>
      <c r="AB869" s="548"/>
      <c r="AC869" s="488">
        <v>2621305.0</v>
      </c>
      <c r="AD869" s="306"/>
      <c r="AE869" s="308"/>
      <c r="AF869" s="308"/>
      <c r="AG869" s="308"/>
      <c r="AH869" s="308"/>
      <c r="AI869" s="308"/>
      <c r="AJ869" s="368"/>
      <c r="AK869" s="368"/>
      <c r="AL869" s="259" t="str">
        <f>MATCH(B869,'Key Findings'!B:B,0)</f>
        <v>#N/A</v>
      </c>
      <c r="AM869" s="274" t="b">
        <f t="shared" si="2"/>
        <v>1</v>
      </c>
      <c r="AN869" s="294"/>
    </row>
    <row r="870">
      <c r="A870" s="169">
        <f t="array" ref="A870">INDEX('Federal Tax, Stock Buybacks, &amp; '!D:D,match(B870,'Federal Tax, Stock Buybacks, &amp; '!E:E,0))</f>
        <v>365</v>
      </c>
      <c r="B870" s="412" t="s">
        <v>1363</v>
      </c>
      <c r="C870" s="372"/>
      <c r="D870" s="370"/>
      <c r="E870" s="517"/>
      <c r="F870" s="254"/>
      <c r="G870" s="372"/>
      <c r="H870" s="370"/>
      <c r="I870" s="517"/>
      <c r="J870" s="254"/>
      <c r="K870" s="372" t="s">
        <v>711</v>
      </c>
      <c r="L870" s="370" t="s">
        <v>711</v>
      </c>
      <c r="M870" s="517" t="s">
        <v>711</v>
      </c>
      <c r="N870" s="254"/>
      <c r="O870" s="372" t="s">
        <v>711</v>
      </c>
      <c r="P870" s="370" t="s">
        <v>711</v>
      </c>
      <c r="Q870" s="517" t="s">
        <v>711</v>
      </c>
      <c r="R870" s="254"/>
      <c r="S870" s="372" t="s">
        <v>711</v>
      </c>
      <c r="T870" s="370" t="s">
        <v>711</v>
      </c>
      <c r="U870" s="517" t="s">
        <v>711</v>
      </c>
      <c r="V870" s="254"/>
      <c r="W870" s="362" t="s">
        <v>1368</v>
      </c>
      <c r="X870" s="516"/>
      <c r="Y870" s="499">
        <v>8340744.0</v>
      </c>
      <c r="Z870" s="254"/>
      <c r="AA870" s="372" t="s">
        <v>711</v>
      </c>
      <c r="AB870" s="370" t="s">
        <v>711</v>
      </c>
      <c r="AC870" s="517" t="s">
        <v>711</v>
      </c>
      <c r="AD870" s="306"/>
      <c r="AE870" s="308"/>
      <c r="AF870" s="308"/>
      <c r="AG870" s="308"/>
      <c r="AH870" s="308"/>
      <c r="AI870" s="308"/>
      <c r="AJ870" s="368"/>
      <c r="AK870" s="368"/>
      <c r="AL870" s="259" t="str">
        <f>MATCH(B870,'Key Findings'!B:B,0)</f>
        <v>#N/A</v>
      </c>
      <c r="AM870" s="274" t="b">
        <f t="shared" si="2"/>
        <v>1</v>
      </c>
      <c r="AN870" s="294"/>
    </row>
    <row r="871">
      <c r="A871" s="169">
        <f t="array" ref="A871">INDEX('Federal Tax, Stock Buybacks, &amp; '!D:D,match(B871,'Federal Tax, Stock Buybacks, &amp; '!E:E,0))</f>
        <v>135</v>
      </c>
      <c r="B871" s="138" t="s">
        <v>1370</v>
      </c>
      <c r="C871" s="282"/>
      <c r="D871" s="373"/>
      <c r="E871" s="471"/>
      <c r="F871" s="254"/>
      <c r="G871" s="282"/>
      <c r="H871" s="373"/>
      <c r="I871" s="471"/>
      <c r="J871" s="254"/>
      <c r="K871" s="282" t="s">
        <v>1369</v>
      </c>
      <c r="L871" s="373"/>
      <c r="M871" s="471">
        <v>2.59121E7</v>
      </c>
      <c r="N871" s="254"/>
      <c r="O871" s="282" t="s">
        <v>1369</v>
      </c>
      <c r="P871" s="578"/>
      <c r="Q871" s="471">
        <v>1.3908085E7</v>
      </c>
      <c r="R871" s="254"/>
      <c r="S871" s="282" t="s">
        <v>1369</v>
      </c>
      <c r="T871" s="524"/>
      <c r="U871" s="471">
        <v>1.1993465E7</v>
      </c>
      <c r="V871" s="254"/>
      <c r="W871" s="282" t="s">
        <v>1369</v>
      </c>
      <c r="X871" s="524"/>
      <c r="Y871" s="471">
        <v>1.3419419E7</v>
      </c>
      <c r="Z871" s="254"/>
      <c r="AA871" s="282" t="s">
        <v>1369</v>
      </c>
      <c r="AB871" s="579"/>
      <c r="AC871" s="472">
        <v>1.0334821E7</v>
      </c>
      <c r="AD871" s="288"/>
      <c r="AE871" s="391">
        <v>2022.0</v>
      </c>
      <c r="AF871" s="391">
        <v>2021.0</v>
      </c>
      <c r="AG871" s="391">
        <v>2020.0</v>
      </c>
      <c r="AH871" s="391">
        <v>2019.0</v>
      </c>
      <c r="AI871" s="391">
        <v>2018.0</v>
      </c>
      <c r="AJ871" s="425" t="s">
        <v>1578</v>
      </c>
      <c r="AK871" s="426"/>
      <c r="AL871" s="259" t="str">
        <f>MATCH(B871,'Key Findings'!B:B,0)</f>
        <v>#N/A</v>
      </c>
      <c r="AM871" s="260" t="b">
        <f t="shared" si="2"/>
        <v>1</v>
      </c>
      <c r="AN871" s="294"/>
    </row>
    <row r="872">
      <c r="A872" s="169">
        <f t="array" ref="A872">INDEX('Federal Tax, Stock Buybacks, &amp; '!D:D,match(B872,'Federal Tax, Stock Buybacks, &amp; '!E:E,0))</f>
        <v>135</v>
      </c>
      <c r="B872" s="138" t="s">
        <v>1370</v>
      </c>
      <c r="C872" s="282"/>
      <c r="D872" s="373"/>
      <c r="E872" s="471"/>
      <c r="F872" s="254"/>
      <c r="G872" s="282"/>
      <c r="H872" s="373"/>
      <c r="I872" s="471"/>
      <c r="J872" s="254"/>
      <c r="K872" s="282" t="s">
        <v>1375</v>
      </c>
      <c r="L872" s="373"/>
      <c r="M872" s="471">
        <v>3471860.0</v>
      </c>
      <c r="N872" s="254"/>
      <c r="O872" s="282" t="s">
        <v>1375</v>
      </c>
      <c r="P872" s="578"/>
      <c r="Q872" s="471">
        <v>5837279.0</v>
      </c>
      <c r="R872" s="254"/>
      <c r="S872" s="282" t="s">
        <v>1376</v>
      </c>
      <c r="T872" s="524"/>
      <c r="U872" s="471">
        <v>3470480.0</v>
      </c>
      <c r="V872" s="254"/>
      <c r="W872" s="282" t="s">
        <v>1376</v>
      </c>
      <c r="X872" s="524"/>
      <c r="Y872" s="472">
        <v>9116600.0</v>
      </c>
      <c r="Z872" s="254"/>
      <c r="AA872" s="282" t="s">
        <v>1379</v>
      </c>
      <c r="AB872" s="579"/>
      <c r="AC872" s="472">
        <v>8852148.0</v>
      </c>
      <c r="AD872" s="288"/>
      <c r="AE872" s="292"/>
      <c r="AF872" s="292"/>
      <c r="AG872" s="292"/>
      <c r="AH872" s="292"/>
      <c r="AI872" s="292"/>
      <c r="AJ872" s="293"/>
      <c r="AK872" s="293"/>
      <c r="AL872" s="259" t="str">
        <f>MATCH(B872,'Key Findings'!B:B,0)</f>
        <v>#N/A</v>
      </c>
      <c r="AM872" s="260" t="b">
        <f t="shared" si="2"/>
        <v>1</v>
      </c>
      <c r="AN872" s="294"/>
    </row>
    <row r="873">
      <c r="A873" s="169">
        <f t="array" ref="A873">INDEX('Federal Tax, Stock Buybacks, &amp; '!D:D,match(B873,'Federal Tax, Stock Buybacks, &amp; '!E:E,0))</f>
        <v>135</v>
      </c>
      <c r="B873" s="138" t="s">
        <v>1370</v>
      </c>
      <c r="C873" s="282"/>
      <c r="D873" s="373"/>
      <c r="E873" s="471"/>
      <c r="F873" s="254"/>
      <c r="G873" s="282"/>
      <c r="H873" s="373"/>
      <c r="I873" s="471"/>
      <c r="J873" s="254"/>
      <c r="K873" s="282" t="s">
        <v>1374</v>
      </c>
      <c r="L873" s="373"/>
      <c r="M873" s="471">
        <v>5026775.0</v>
      </c>
      <c r="N873" s="254"/>
      <c r="O873" s="282" t="s">
        <v>1374</v>
      </c>
      <c r="P873" s="578"/>
      <c r="Q873" s="471">
        <v>5771574.0</v>
      </c>
      <c r="R873" s="254"/>
      <c r="S873" s="282" t="s">
        <v>1372</v>
      </c>
      <c r="T873" s="524"/>
      <c r="U873" s="471">
        <v>3863425.0</v>
      </c>
      <c r="V873" s="254"/>
      <c r="W873" s="282" t="s">
        <v>1372</v>
      </c>
      <c r="X873" s="524"/>
      <c r="Y873" s="471">
        <v>4073189.0</v>
      </c>
      <c r="Z873" s="254"/>
      <c r="AA873" s="282" t="s">
        <v>1372</v>
      </c>
      <c r="AB873" s="579"/>
      <c r="AC873" s="472">
        <v>3018487.0</v>
      </c>
      <c r="AD873" s="288"/>
      <c r="AE873" s="292"/>
      <c r="AF873" s="292"/>
      <c r="AG873" s="292"/>
      <c r="AH873" s="292"/>
      <c r="AI873" s="292"/>
      <c r="AJ873" s="293"/>
      <c r="AK873" s="293"/>
      <c r="AL873" s="259" t="str">
        <f>MATCH(B873,'Key Findings'!B:B,0)</f>
        <v>#N/A</v>
      </c>
      <c r="AM873" s="260" t="b">
        <f t="shared" si="2"/>
        <v>1</v>
      </c>
      <c r="AN873" s="294"/>
    </row>
    <row r="874">
      <c r="A874" s="169">
        <f t="array" ref="A874">INDEX('Federal Tax, Stock Buybacks, &amp; '!D:D,match(B874,'Federal Tax, Stock Buybacks, &amp; '!E:E,0))</f>
        <v>135</v>
      </c>
      <c r="B874" s="138" t="s">
        <v>1370</v>
      </c>
      <c r="C874" s="282"/>
      <c r="D874" s="373"/>
      <c r="E874" s="471"/>
      <c r="F874" s="254"/>
      <c r="G874" s="282"/>
      <c r="H874" s="373"/>
      <c r="I874" s="471"/>
      <c r="J874" s="254"/>
      <c r="K874" s="282" t="s">
        <v>1372</v>
      </c>
      <c r="L874" s="373"/>
      <c r="M874" s="471">
        <v>5899575.0</v>
      </c>
      <c r="N874" s="254"/>
      <c r="O874" s="282" t="s">
        <v>1372</v>
      </c>
      <c r="P874" s="578"/>
      <c r="Q874" s="471">
        <v>3863425.0</v>
      </c>
      <c r="R874" s="254"/>
      <c r="S874" s="282" t="s">
        <v>1373</v>
      </c>
      <c r="T874" s="524"/>
      <c r="U874" s="471">
        <v>3298991.0</v>
      </c>
      <c r="V874" s="254"/>
      <c r="W874" s="282" t="s">
        <v>1371</v>
      </c>
      <c r="X874" s="524"/>
      <c r="Y874" s="471">
        <v>4574588.0</v>
      </c>
      <c r="Z874" s="254"/>
      <c r="AA874" s="282" t="s">
        <v>1371</v>
      </c>
      <c r="AB874" s="579"/>
      <c r="AC874" s="472">
        <v>4758228.0</v>
      </c>
      <c r="AD874" s="288"/>
      <c r="AE874" s="292"/>
      <c r="AF874" s="292"/>
      <c r="AG874" s="292"/>
      <c r="AH874" s="292"/>
      <c r="AI874" s="292"/>
      <c r="AJ874" s="293"/>
      <c r="AK874" s="293"/>
      <c r="AL874" s="259" t="str">
        <f>MATCH(B874,'Key Findings'!B:B,0)</f>
        <v>#N/A</v>
      </c>
      <c r="AM874" s="260" t="b">
        <f t="shared" si="2"/>
        <v>1</v>
      </c>
      <c r="AN874" s="294"/>
    </row>
    <row r="875">
      <c r="A875" s="169">
        <f t="array" ref="A875">INDEX('Federal Tax, Stock Buybacks, &amp; '!D:D,match(B875,'Federal Tax, Stock Buybacks, &amp; '!E:E,0))</f>
        <v>135</v>
      </c>
      <c r="B875" s="138" t="s">
        <v>1370</v>
      </c>
      <c r="C875" s="282"/>
      <c r="D875" s="373"/>
      <c r="E875" s="471"/>
      <c r="F875" s="254"/>
      <c r="G875" s="282"/>
      <c r="H875" s="373"/>
      <c r="I875" s="471"/>
      <c r="J875" s="254"/>
      <c r="K875" s="282" t="s">
        <v>1373</v>
      </c>
      <c r="L875" s="373"/>
      <c r="M875" s="471">
        <v>5904341.0</v>
      </c>
      <c r="N875" s="254"/>
      <c r="O875" s="282" t="s">
        <v>1373</v>
      </c>
      <c r="P875" s="578"/>
      <c r="Q875" s="471">
        <v>5219394.0</v>
      </c>
      <c r="R875" s="254"/>
      <c r="S875" s="282" t="s">
        <v>1371</v>
      </c>
      <c r="T875" s="524"/>
      <c r="U875" s="471">
        <v>4070544.0</v>
      </c>
      <c r="V875" s="254"/>
      <c r="W875" s="282" t="s">
        <v>1377</v>
      </c>
      <c r="X875" s="524"/>
      <c r="Y875" s="471">
        <v>4926544.0</v>
      </c>
      <c r="Z875" s="254"/>
      <c r="AA875" s="282" t="s">
        <v>1377</v>
      </c>
      <c r="AB875" s="579"/>
      <c r="AC875" s="472">
        <v>5183463.0</v>
      </c>
      <c r="AD875" s="288"/>
      <c r="AE875" s="292"/>
      <c r="AF875" s="292"/>
      <c r="AG875" s="292"/>
      <c r="AH875" s="292"/>
      <c r="AI875" s="292"/>
      <c r="AJ875" s="293"/>
      <c r="AK875" s="293"/>
      <c r="AL875" s="259" t="str">
        <f>MATCH(B875,'Key Findings'!B:B,0)</f>
        <v>#N/A</v>
      </c>
      <c r="AM875" s="260" t="b">
        <f t="shared" si="2"/>
        <v>1</v>
      </c>
      <c r="AN875" s="294"/>
    </row>
    <row r="876">
      <c r="A876" s="169">
        <f t="array" ref="A876">INDEX('Federal Tax, Stock Buybacks, &amp; '!D:D,match(B876,'Federal Tax, Stock Buybacks, &amp; '!E:E,0))</f>
        <v>135</v>
      </c>
      <c r="B876" s="138" t="s">
        <v>1370</v>
      </c>
      <c r="C876" s="282"/>
      <c r="D876" s="373"/>
      <c r="E876" s="471"/>
      <c r="F876" s="254"/>
      <c r="G876" s="282"/>
      <c r="H876" s="373"/>
      <c r="I876" s="471"/>
      <c r="J876" s="254"/>
      <c r="K876" s="282" t="s">
        <v>1371</v>
      </c>
      <c r="L876" s="373"/>
      <c r="M876" s="471">
        <v>5995936.0</v>
      </c>
      <c r="N876" s="254"/>
      <c r="O876" s="282" t="s">
        <v>1371</v>
      </c>
      <c r="P876" s="578"/>
      <c r="Q876" s="471">
        <v>5474448.0</v>
      </c>
      <c r="R876" s="254"/>
      <c r="S876" s="298" t="s">
        <v>711</v>
      </c>
      <c r="T876" s="296" t="s">
        <v>711</v>
      </c>
      <c r="U876" s="523" t="s">
        <v>711</v>
      </c>
      <c r="V876" s="254"/>
      <c r="W876" s="282" t="s">
        <v>1378</v>
      </c>
      <c r="X876" s="524"/>
      <c r="Y876" s="471">
        <v>4271474.0</v>
      </c>
      <c r="Z876" s="254"/>
      <c r="AA876" s="282" t="s">
        <v>1378</v>
      </c>
      <c r="AB876" s="579"/>
      <c r="AC876" s="472">
        <v>4297549.0</v>
      </c>
      <c r="AD876" s="288"/>
      <c r="AE876" s="292"/>
      <c r="AF876" s="292"/>
      <c r="AG876" s="292"/>
      <c r="AH876" s="292"/>
      <c r="AI876" s="292"/>
      <c r="AJ876" s="293"/>
      <c r="AK876" s="293"/>
      <c r="AL876" s="259" t="str">
        <f>MATCH(B876,'Key Findings'!B:B,0)</f>
        <v>#N/A</v>
      </c>
      <c r="AM876" s="260" t="b">
        <f t="shared" si="2"/>
        <v>1</v>
      </c>
      <c r="AN876" s="294"/>
    </row>
    <row r="877">
      <c r="A877" s="169">
        <f t="array" ref="A877">INDEX('Federal Tax, Stock Buybacks, &amp; '!D:D,match(B877,'Federal Tax, Stock Buybacks, &amp; '!E:E,0))</f>
        <v>135</v>
      </c>
      <c r="B877" s="138" t="s">
        <v>1370</v>
      </c>
      <c r="C877" s="298"/>
      <c r="D877" s="296"/>
      <c r="E877" s="523"/>
      <c r="F877" s="254"/>
      <c r="G877" s="298"/>
      <c r="H877" s="296"/>
      <c r="I877" s="523"/>
      <c r="J877" s="254"/>
      <c r="K877" s="298" t="s">
        <v>711</v>
      </c>
      <c r="L877" s="296" t="s">
        <v>711</v>
      </c>
      <c r="M877" s="523" t="s">
        <v>711</v>
      </c>
      <c r="N877" s="254"/>
      <c r="O877" s="282" t="s">
        <v>1376</v>
      </c>
      <c r="P877" s="578"/>
      <c r="Q877" s="471">
        <v>8149179.0</v>
      </c>
      <c r="R877" s="254"/>
      <c r="S877" s="298" t="s">
        <v>711</v>
      </c>
      <c r="T877" s="296" t="s">
        <v>711</v>
      </c>
      <c r="U877" s="523" t="s">
        <v>711</v>
      </c>
      <c r="V877" s="254"/>
      <c r="W877" s="298" t="s">
        <v>711</v>
      </c>
      <c r="X877" s="296" t="s">
        <v>711</v>
      </c>
      <c r="Y877" s="523" t="s">
        <v>711</v>
      </c>
      <c r="Z877" s="254"/>
      <c r="AA877" s="298" t="s">
        <v>711</v>
      </c>
      <c r="AB877" s="296" t="s">
        <v>711</v>
      </c>
      <c r="AC877" s="523" t="s">
        <v>711</v>
      </c>
      <c r="AD877" s="288"/>
      <c r="AE877" s="292"/>
      <c r="AF877" s="292"/>
      <c r="AG877" s="292"/>
      <c r="AH877" s="292"/>
      <c r="AI877" s="292"/>
      <c r="AJ877" s="293"/>
      <c r="AK877" s="293"/>
      <c r="AL877" s="259" t="str">
        <f>MATCH(B877,'Key Findings'!B:B,0)</f>
        <v>#N/A</v>
      </c>
      <c r="AM877" s="260" t="b">
        <f t="shared" si="2"/>
        <v>1</v>
      </c>
      <c r="AN877" s="294"/>
    </row>
    <row r="878">
      <c r="A878" s="169">
        <f t="array" ref="A878">INDEX('Federal Tax, Stock Buybacks, &amp; '!D:D,match(B878,'Federal Tax, Stock Buybacks, &amp; '!E:E,0))</f>
        <v>521</v>
      </c>
      <c r="B878" s="412" t="s">
        <v>756</v>
      </c>
      <c r="C878" s="362"/>
      <c r="D878" s="413"/>
      <c r="E878" s="499"/>
      <c r="F878" s="254"/>
      <c r="G878" s="362"/>
      <c r="H878" s="413"/>
      <c r="I878" s="499"/>
      <c r="J878" s="254"/>
      <c r="K878" s="362" t="s">
        <v>755</v>
      </c>
      <c r="L878" s="413"/>
      <c r="M878" s="499">
        <v>1.6671654E7</v>
      </c>
      <c r="N878" s="254"/>
      <c r="O878" s="362" t="s">
        <v>755</v>
      </c>
      <c r="P878" s="577"/>
      <c r="Q878" s="499">
        <v>2.7578659E7</v>
      </c>
      <c r="R878" s="254"/>
      <c r="S878" s="362" t="s">
        <v>755</v>
      </c>
      <c r="T878" s="516"/>
      <c r="U878" s="499">
        <v>1.4631451E7</v>
      </c>
      <c r="V878" s="254"/>
      <c r="W878" s="362" t="s">
        <v>755</v>
      </c>
      <c r="X878" s="516"/>
      <c r="Y878" s="499">
        <v>1.7143152E7</v>
      </c>
      <c r="Z878" s="254"/>
      <c r="AA878" s="362" t="s">
        <v>755</v>
      </c>
      <c r="AB878" s="548"/>
      <c r="AC878" s="488">
        <v>6996997.0</v>
      </c>
      <c r="AD878" s="306"/>
      <c r="AE878" s="366">
        <v>2022.0</v>
      </c>
      <c r="AF878" s="366">
        <v>2021.0</v>
      </c>
      <c r="AG878" s="366">
        <v>2020.0</v>
      </c>
      <c r="AH878" s="366">
        <v>2019.0</v>
      </c>
      <c r="AI878" s="366">
        <v>2018.0</v>
      </c>
      <c r="AJ878" s="415" t="s">
        <v>1578</v>
      </c>
      <c r="AK878" s="416"/>
      <c r="AL878" s="259" t="str">
        <f>MATCH(B878,'Key Findings'!B:B,0)</f>
        <v>#N/A</v>
      </c>
      <c r="AM878" s="274" t="b">
        <f t="shared" si="2"/>
        <v>1</v>
      </c>
      <c r="AN878" s="294"/>
    </row>
    <row r="879">
      <c r="A879" s="169">
        <f t="array" ref="A879">INDEX('Federal Tax, Stock Buybacks, &amp; '!D:D,match(B879,'Federal Tax, Stock Buybacks, &amp; '!E:E,0))</f>
        <v>521</v>
      </c>
      <c r="B879" s="412" t="s">
        <v>756</v>
      </c>
      <c r="C879" s="362"/>
      <c r="D879" s="413"/>
      <c r="E879" s="499"/>
      <c r="F879" s="254"/>
      <c r="G879" s="362"/>
      <c r="H879" s="413"/>
      <c r="I879" s="499"/>
      <c r="J879" s="254"/>
      <c r="K879" s="362" t="s">
        <v>759</v>
      </c>
      <c r="L879" s="413"/>
      <c r="M879" s="499">
        <v>4835941.0</v>
      </c>
      <c r="N879" s="254"/>
      <c r="O879" s="362" t="s">
        <v>759</v>
      </c>
      <c r="P879" s="577"/>
      <c r="Q879" s="499">
        <v>8238857.0</v>
      </c>
      <c r="R879" s="254"/>
      <c r="S879" s="362" t="s">
        <v>759</v>
      </c>
      <c r="T879" s="516"/>
      <c r="U879" s="499">
        <v>3805902.0</v>
      </c>
      <c r="V879" s="254"/>
      <c r="W879" s="362" t="s">
        <v>759</v>
      </c>
      <c r="X879" s="516"/>
      <c r="Y879" s="499">
        <v>2801166.0</v>
      </c>
      <c r="Z879" s="254"/>
      <c r="AA879" s="362" t="s">
        <v>763</v>
      </c>
      <c r="AB879" s="548"/>
      <c r="AC879" s="488">
        <v>4525465.0</v>
      </c>
      <c r="AD879" s="306"/>
      <c r="AE879" s="308"/>
      <c r="AF879" s="308"/>
      <c r="AG879" s="308"/>
      <c r="AH879" s="308"/>
      <c r="AI879" s="308"/>
      <c r="AJ879" s="368"/>
      <c r="AK879" s="368"/>
      <c r="AL879" s="259" t="str">
        <f>MATCH(B879,'Key Findings'!B:B,0)</f>
        <v>#N/A</v>
      </c>
      <c r="AM879" s="274" t="b">
        <f t="shared" si="2"/>
        <v>1</v>
      </c>
      <c r="AN879" s="294"/>
    </row>
    <row r="880">
      <c r="A880" s="169">
        <f t="array" ref="A880">INDEX('Federal Tax, Stock Buybacks, &amp; '!D:D,match(B880,'Federal Tax, Stock Buybacks, &amp; '!E:E,0))</f>
        <v>521</v>
      </c>
      <c r="B880" s="412" t="s">
        <v>756</v>
      </c>
      <c r="C880" s="362"/>
      <c r="D880" s="413"/>
      <c r="E880" s="499"/>
      <c r="F880" s="254"/>
      <c r="G880" s="362"/>
      <c r="H880" s="413"/>
      <c r="I880" s="499"/>
      <c r="J880" s="254"/>
      <c r="K880" s="362" t="s">
        <v>758</v>
      </c>
      <c r="L880" s="413"/>
      <c r="M880" s="499">
        <v>5366959.0</v>
      </c>
      <c r="N880" s="254"/>
      <c r="O880" s="362" t="s">
        <v>758</v>
      </c>
      <c r="P880" s="577"/>
      <c r="Q880" s="499">
        <v>8098071.0</v>
      </c>
      <c r="R880" s="254"/>
      <c r="S880" s="362" t="s">
        <v>758</v>
      </c>
      <c r="T880" s="516"/>
      <c r="U880" s="499">
        <v>4019350.0</v>
      </c>
      <c r="V880" s="254"/>
      <c r="W880" s="362" t="s">
        <v>758</v>
      </c>
      <c r="X880" s="516"/>
      <c r="Y880" s="499">
        <v>3994610.0</v>
      </c>
      <c r="Z880" s="254"/>
      <c r="AA880" s="362" t="s">
        <v>765</v>
      </c>
      <c r="AB880" s="548"/>
      <c r="AC880" s="488">
        <v>1701714.0</v>
      </c>
      <c r="AD880" s="306"/>
      <c r="AE880" s="308"/>
      <c r="AF880" s="308"/>
      <c r="AG880" s="308"/>
      <c r="AH880" s="308"/>
      <c r="AI880" s="308"/>
      <c r="AJ880" s="368"/>
      <c r="AK880" s="368"/>
      <c r="AL880" s="259" t="str">
        <f>MATCH(B880,'Key Findings'!B:B,0)</f>
        <v>#N/A</v>
      </c>
      <c r="AM880" s="274" t="b">
        <f t="shared" si="2"/>
        <v>1</v>
      </c>
      <c r="AN880" s="294"/>
    </row>
    <row r="881">
      <c r="A881" s="169">
        <f t="array" ref="A881">INDEX('Federal Tax, Stock Buybacks, &amp; '!D:D,match(B881,'Federal Tax, Stock Buybacks, &amp; '!E:E,0))</f>
        <v>521</v>
      </c>
      <c r="B881" s="412" t="s">
        <v>756</v>
      </c>
      <c r="C881" s="362"/>
      <c r="D881" s="413"/>
      <c r="E881" s="499"/>
      <c r="F881" s="254"/>
      <c r="G881" s="362"/>
      <c r="H881" s="413"/>
      <c r="I881" s="499"/>
      <c r="J881" s="254"/>
      <c r="K881" s="362" t="s">
        <v>757</v>
      </c>
      <c r="L881" s="413"/>
      <c r="M881" s="499">
        <v>5028926.0</v>
      </c>
      <c r="N881" s="254"/>
      <c r="O881" s="362" t="s">
        <v>757</v>
      </c>
      <c r="P881" s="577"/>
      <c r="Q881" s="499">
        <v>9497735.0</v>
      </c>
      <c r="R881" s="254"/>
      <c r="S881" s="362" t="s">
        <v>757</v>
      </c>
      <c r="T881" s="516"/>
      <c r="U881" s="499">
        <v>5772976.0</v>
      </c>
      <c r="V881" s="254"/>
      <c r="W881" s="362" t="s">
        <v>757</v>
      </c>
      <c r="X881" s="516"/>
      <c r="Y881" s="499">
        <v>5434549.0</v>
      </c>
      <c r="Z881" s="254"/>
      <c r="AA881" s="362" t="s">
        <v>757</v>
      </c>
      <c r="AB881" s="548"/>
      <c r="AC881" s="488">
        <v>4072709.0</v>
      </c>
      <c r="AD881" s="306"/>
      <c r="AE881" s="308"/>
      <c r="AF881" s="308"/>
      <c r="AG881" s="308"/>
      <c r="AH881" s="308"/>
      <c r="AI881" s="308"/>
      <c r="AJ881" s="368"/>
      <c r="AK881" s="368"/>
      <c r="AL881" s="259" t="str">
        <f>MATCH(B881,'Key Findings'!B:B,0)</f>
        <v>#N/A</v>
      </c>
      <c r="AM881" s="274" t="b">
        <f t="shared" si="2"/>
        <v>1</v>
      </c>
      <c r="AN881" s="294"/>
    </row>
    <row r="882">
      <c r="A882" s="169">
        <f t="array" ref="A882">INDEX('Federal Tax, Stock Buybacks, &amp; '!D:D,match(B882,'Federal Tax, Stock Buybacks, &amp; '!E:E,0))</f>
        <v>521</v>
      </c>
      <c r="B882" s="412" t="s">
        <v>756</v>
      </c>
      <c r="C882" s="362"/>
      <c r="D882" s="413"/>
      <c r="E882" s="499"/>
      <c r="F882" s="254"/>
      <c r="G882" s="362"/>
      <c r="H882" s="413"/>
      <c r="I882" s="499"/>
      <c r="J882" s="254"/>
      <c r="K882" s="362" t="s">
        <v>760</v>
      </c>
      <c r="L882" s="413"/>
      <c r="M882" s="499">
        <v>4704483.0</v>
      </c>
      <c r="N882" s="254"/>
      <c r="O882" s="362" t="s">
        <v>761</v>
      </c>
      <c r="P882" s="577"/>
      <c r="Q882" s="499">
        <v>7389011.0</v>
      </c>
      <c r="R882" s="254"/>
      <c r="S882" s="362" t="s">
        <v>761</v>
      </c>
      <c r="T882" s="516"/>
      <c r="U882" s="499">
        <v>3579591.0</v>
      </c>
      <c r="V882" s="254"/>
      <c r="W882" s="362" t="s">
        <v>761</v>
      </c>
      <c r="X882" s="516"/>
      <c r="Y882" s="499">
        <v>4995478.0</v>
      </c>
      <c r="Z882" s="254"/>
      <c r="AA882" s="362" t="s">
        <v>764</v>
      </c>
      <c r="AB882" s="548"/>
      <c r="AC882" s="488">
        <v>2930088.0</v>
      </c>
      <c r="AD882" s="306"/>
      <c r="AE882" s="308"/>
      <c r="AF882" s="308"/>
      <c r="AG882" s="308"/>
      <c r="AH882" s="308"/>
      <c r="AI882" s="308"/>
      <c r="AJ882" s="368"/>
      <c r="AK882" s="368"/>
      <c r="AL882" s="259" t="str">
        <f>MATCH(B882,'Key Findings'!B:B,0)</f>
        <v>#N/A</v>
      </c>
      <c r="AM882" s="274" t="b">
        <f t="shared" si="2"/>
        <v>1</v>
      </c>
      <c r="AN882" s="294"/>
    </row>
    <row r="883">
      <c r="A883" s="169">
        <f t="array" ref="A883">INDEX('Federal Tax, Stock Buybacks, &amp; '!D:D,match(B883,'Federal Tax, Stock Buybacks, &amp; '!E:E,0))</f>
        <v>521</v>
      </c>
      <c r="B883" s="412" t="s">
        <v>756</v>
      </c>
      <c r="C883" s="372"/>
      <c r="D883" s="370"/>
      <c r="E883" s="517"/>
      <c r="F883" s="254"/>
      <c r="G883" s="372"/>
      <c r="H883" s="370"/>
      <c r="I883" s="517"/>
      <c r="J883" s="254"/>
      <c r="K883" s="372" t="s">
        <v>711</v>
      </c>
      <c r="L883" s="370" t="s">
        <v>711</v>
      </c>
      <c r="M883" s="517" t="s">
        <v>711</v>
      </c>
      <c r="N883" s="254"/>
      <c r="O883" s="372" t="s">
        <v>711</v>
      </c>
      <c r="P883" s="370" t="s">
        <v>711</v>
      </c>
      <c r="Q883" s="517" t="s">
        <v>711</v>
      </c>
      <c r="R883" s="254"/>
      <c r="S883" s="372" t="s">
        <v>711</v>
      </c>
      <c r="T883" s="370" t="s">
        <v>711</v>
      </c>
      <c r="U883" s="517" t="s">
        <v>711</v>
      </c>
      <c r="V883" s="254"/>
      <c r="W883" s="362" t="s">
        <v>762</v>
      </c>
      <c r="X883" s="516"/>
      <c r="Y883" s="499">
        <v>1.7143152E7</v>
      </c>
      <c r="Z883" s="254"/>
      <c r="AA883" s="362" t="s">
        <v>762</v>
      </c>
      <c r="AB883" s="548"/>
      <c r="AC883" s="488">
        <v>6996997.0</v>
      </c>
      <c r="AD883" s="306"/>
      <c r="AE883" s="308"/>
      <c r="AF883" s="308"/>
      <c r="AG883" s="308"/>
      <c r="AH883" s="308"/>
      <c r="AI883" s="308"/>
      <c r="AJ883" s="368"/>
      <c r="AK883" s="368"/>
      <c r="AL883" s="259" t="str">
        <f>MATCH(B883,'Key Findings'!B:B,0)</f>
        <v>#N/A</v>
      </c>
      <c r="AM883" s="274" t="b">
        <f t="shared" si="2"/>
        <v>1</v>
      </c>
      <c r="AN883" s="294"/>
    </row>
    <row r="884">
      <c r="A884" s="169">
        <f t="array" ref="A884">INDEX('Federal Tax, Stock Buybacks, &amp; '!D:D,match(B884,'Federal Tax, Stock Buybacks, &amp; '!E:E,0))</f>
        <v>452</v>
      </c>
      <c r="B884" s="138" t="s">
        <v>1401</v>
      </c>
      <c r="C884" s="282"/>
      <c r="D884" s="373"/>
      <c r="E884" s="471"/>
      <c r="F884" s="254"/>
      <c r="G884" s="282"/>
      <c r="H884" s="373"/>
      <c r="I884" s="471"/>
      <c r="J884" s="254"/>
      <c r="K884" s="282" t="s">
        <v>1400</v>
      </c>
      <c r="L884" s="373"/>
      <c r="M884" s="471">
        <v>1.2183785E7</v>
      </c>
      <c r="N884" s="254"/>
      <c r="O884" s="282" t="s">
        <v>1400</v>
      </c>
      <c r="P884" s="578"/>
      <c r="Q884" s="471">
        <v>1.1866337E7</v>
      </c>
      <c r="R884" s="254"/>
      <c r="S884" s="282" t="s">
        <v>1400</v>
      </c>
      <c r="T884" s="524"/>
      <c r="U884" s="471">
        <v>8355409.0</v>
      </c>
      <c r="V884" s="254"/>
      <c r="W884" s="282" t="s">
        <v>1400</v>
      </c>
      <c r="X884" s="524"/>
      <c r="Y884" s="471">
        <v>8095434.0</v>
      </c>
      <c r="Z884" s="254"/>
      <c r="AA884" s="282" t="s">
        <v>1400</v>
      </c>
      <c r="AB884" s="579"/>
      <c r="AC884" s="472">
        <v>7448529.0</v>
      </c>
      <c r="AD884" s="288"/>
      <c r="AE884" s="391">
        <v>2022.0</v>
      </c>
      <c r="AF884" s="391">
        <v>2021.0</v>
      </c>
      <c r="AG884" s="391">
        <v>2020.0</v>
      </c>
      <c r="AH884" s="391">
        <v>2019.0</v>
      </c>
      <c r="AI884" s="391">
        <v>2018.0</v>
      </c>
      <c r="AJ884" s="425" t="s">
        <v>2493</v>
      </c>
      <c r="AK884" s="426"/>
      <c r="AL884" s="259" t="str">
        <f>MATCH(B884,'Key Findings'!B:B,0)</f>
        <v>#N/A</v>
      </c>
      <c r="AM884" s="260" t="b">
        <f t="shared" si="2"/>
        <v>0</v>
      </c>
      <c r="AN884" s="294"/>
    </row>
    <row r="885">
      <c r="A885" s="169">
        <f t="array" ref="A885">INDEX('Federal Tax, Stock Buybacks, &amp; '!D:D,match(B885,'Federal Tax, Stock Buybacks, &amp; '!E:E,0))</f>
        <v>452</v>
      </c>
      <c r="B885" s="138" t="s">
        <v>1401</v>
      </c>
      <c r="C885" s="282"/>
      <c r="D885" s="373"/>
      <c r="E885" s="471"/>
      <c r="F885" s="254"/>
      <c r="G885" s="282"/>
      <c r="H885" s="373"/>
      <c r="I885" s="471"/>
      <c r="J885" s="254"/>
      <c r="K885" s="282" t="s">
        <v>1407</v>
      </c>
      <c r="L885" s="373"/>
      <c r="M885" s="471">
        <v>2419974.0</v>
      </c>
      <c r="N885" s="254"/>
      <c r="O885" s="282" t="s">
        <v>1408</v>
      </c>
      <c r="P885" s="578"/>
      <c r="Q885" s="471">
        <v>2456574.0</v>
      </c>
      <c r="R885" s="254"/>
      <c r="S885" s="282" t="s">
        <v>1408</v>
      </c>
      <c r="T885" s="524"/>
      <c r="U885" s="471">
        <v>2491064.0</v>
      </c>
      <c r="V885" s="254"/>
      <c r="W885" s="282" t="s">
        <v>1408</v>
      </c>
      <c r="X885" s="524"/>
      <c r="Y885" s="471">
        <v>2332117.0</v>
      </c>
      <c r="Z885" s="254"/>
      <c r="AA885" s="282" t="s">
        <v>1408</v>
      </c>
      <c r="AB885" s="579"/>
      <c r="AC885" s="472">
        <v>2372508.0</v>
      </c>
      <c r="AD885" s="288"/>
      <c r="AE885" s="292"/>
      <c r="AF885" s="292"/>
      <c r="AG885" s="292"/>
      <c r="AH885" s="292"/>
      <c r="AI885" s="292"/>
      <c r="AJ885" s="293"/>
      <c r="AK885" s="281"/>
      <c r="AL885" s="259" t="str">
        <f>MATCH(B885,'Key Findings'!B:B,0)</f>
        <v>#N/A</v>
      </c>
      <c r="AM885" s="260" t="b">
        <f t="shared" si="2"/>
        <v>0</v>
      </c>
      <c r="AN885" s="294"/>
    </row>
    <row r="886">
      <c r="A886" s="169">
        <f t="array" ref="A886">INDEX('Federal Tax, Stock Buybacks, &amp; '!D:D,match(B886,'Federal Tax, Stock Buybacks, &amp; '!E:E,0))</f>
        <v>452</v>
      </c>
      <c r="B886" s="138" t="s">
        <v>1401</v>
      </c>
      <c r="C886" s="282"/>
      <c r="D886" s="373"/>
      <c r="E886" s="471"/>
      <c r="F886" s="254"/>
      <c r="G886" s="282"/>
      <c r="H886" s="373"/>
      <c r="I886" s="471"/>
      <c r="J886" s="254"/>
      <c r="K886" s="282" t="s">
        <v>1405</v>
      </c>
      <c r="L886" s="373"/>
      <c r="M886" s="471">
        <v>5460337.0</v>
      </c>
      <c r="N886" s="254"/>
      <c r="O886" s="282" t="s">
        <v>1404</v>
      </c>
      <c r="P886" s="578"/>
      <c r="Q886" s="471">
        <v>2436143.0</v>
      </c>
      <c r="R886" s="254"/>
      <c r="S886" s="282" t="s">
        <v>1404</v>
      </c>
      <c r="T886" s="524"/>
      <c r="U886" s="471">
        <v>2492368.0</v>
      </c>
      <c r="V886" s="254"/>
      <c r="W886" s="282" t="s">
        <v>1404</v>
      </c>
      <c r="X886" s="524"/>
      <c r="Y886" s="471">
        <v>2357871.0</v>
      </c>
      <c r="Z886" s="254"/>
      <c r="AA886" s="282" t="s">
        <v>1404</v>
      </c>
      <c r="AB886" s="579"/>
      <c r="AC886" s="472">
        <v>2427593.0</v>
      </c>
      <c r="AD886" s="288"/>
      <c r="AE886" s="292"/>
      <c r="AF886" s="292"/>
      <c r="AG886" s="292"/>
      <c r="AH886" s="292"/>
      <c r="AI886" s="292"/>
      <c r="AJ886" s="293"/>
      <c r="AK886" s="281"/>
      <c r="AL886" s="259" t="str">
        <f>MATCH(B886,'Key Findings'!B:B,0)</f>
        <v>#N/A</v>
      </c>
      <c r="AM886" s="260" t="b">
        <f t="shared" si="2"/>
        <v>0</v>
      </c>
      <c r="AN886" s="294"/>
    </row>
    <row r="887">
      <c r="A887" s="169">
        <f t="array" ref="A887">INDEX('Federal Tax, Stock Buybacks, &amp; '!D:D,match(B887,'Federal Tax, Stock Buybacks, &amp; '!E:E,0))</f>
        <v>452</v>
      </c>
      <c r="B887" s="138" t="s">
        <v>1401</v>
      </c>
      <c r="C887" s="282"/>
      <c r="D887" s="373"/>
      <c r="E887" s="471"/>
      <c r="F887" s="254"/>
      <c r="G887" s="282"/>
      <c r="H887" s="373"/>
      <c r="I887" s="471"/>
      <c r="J887" s="254"/>
      <c r="K887" s="282" t="s">
        <v>1406</v>
      </c>
      <c r="L887" s="373"/>
      <c r="M887" s="471">
        <v>3502387.0</v>
      </c>
      <c r="N887" s="254"/>
      <c r="O887" s="282" t="s">
        <v>1403</v>
      </c>
      <c r="P887" s="578"/>
      <c r="Q887" s="471">
        <v>3798645.0</v>
      </c>
      <c r="R887" s="254"/>
      <c r="S887" s="282" t="s">
        <v>1403</v>
      </c>
      <c r="T887" s="524"/>
      <c r="U887" s="471">
        <v>3802445.0</v>
      </c>
      <c r="V887" s="254"/>
      <c r="W887" s="282" t="s">
        <v>1403</v>
      </c>
      <c r="X887" s="524"/>
      <c r="Y887" s="471">
        <v>3654936.0</v>
      </c>
      <c r="Z887" s="254"/>
      <c r="AA887" s="282" t="s">
        <v>1403</v>
      </c>
      <c r="AB887" s="579"/>
      <c r="AC887" s="472">
        <v>3820026.0</v>
      </c>
      <c r="AD887" s="288"/>
      <c r="AE887" s="292"/>
      <c r="AF887" s="292"/>
      <c r="AG887" s="292"/>
      <c r="AH887" s="292"/>
      <c r="AI887" s="292"/>
      <c r="AJ887" s="293"/>
      <c r="AK887" s="281"/>
      <c r="AL887" s="259" t="str">
        <f>MATCH(B887,'Key Findings'!B:B,0)</f>
        <v>#N/A</v>
      </c>
      <c r="AM887" s="260" t="b">
        <f t="shared" si="2"/>
        <v>0</v>
      </c>
      <c r="AN887" s="294"/>
    </row>
    <row r="888">
      <c r="A888" s="169">
        <f t="array" ref="A888">INDEX('Federal Tax, Stock Buybacks, &amp; '!D:D,match(B888,'Federal Tax, Stock Buybacks, &amp; '!E:E,0))</f>
        <v>452</v>
      </c>
      <c r="B888" s="138" t="s">
        <v>1401</v>
      </c>
      <c r="C888" s="282"/>
      <c r="D888" s="373"/>
      <c r="E888" s="471"/>
      <c r="F888" s="254"/>
      <c r="G888" s="282"/>
      <c r="H888" s="373"/>
      <c r="I888" s="471"/>
      <c r="J888" s="254"/>
      <c r="K888" s="282" t="s">
        <v>1404</v>
      </c>
      <c r="L888" s="373"/>
      <c r="M888" s="471">
        <v>2878731.0</v>
      </c>
      <c r="N888" s="254"/>
      <c r="O888" s="282" t="s">
        <v>1402</v>
      </c>
      <c r="P888" s="578"/>
      <c r="Q888" s="471">
        <v>3808008.0</v>
      </c>
      <c r="R888" s="254"/>
      <c r="S888" s="282" t="s">
        <v>1402</v>
      </c>
      <c r="T888" s="524"/>
      <c r="U888" s="471">
        <v>3804029.0</v>
      </c>
      <c r="V888" s="254"/>
      <c r="W888" s="282" t="s">
        <v>1402</v>
      </c>
      <c r="X888" s="524"/>
      <c r="Y888" s="471">
        <v>3676661.0</v>
      </c>
      <c r="Z888" s="254"/>
      <c r="AA888" s="282" t="s">
        <v>1402</v>
      </c>
      <c r="AB888" s="579"/>
      <c r="AC888" s="472">
        <v>3849814.0</v>
      </c>
      <c r="AD888" s="288"/>
      <c r="AE888" s="292"/>
      <c r="AF888" s="292"/>
      <c r="AG888" s="292"/>
      <c r="AH888" s="292"/>
      <c r="AI888" s="292"/>
      <c r="AJ888" s="293"/>
      <c r="AK888" s="281"/>
      <c r="AL888" s="259" t="str">
        <f>MATCH(B888,'Key Findings'!B:B,0)</f>
        <v>#N/A</v>
      </c>
      <c r="AM888" s="260" t="b">
        <f t="shared" si="2"/>
        <v>0</v>
      </c>
      <c r="AN888" s="294"/>
    </row>
    <row r="889">
      <c r="A889" s="169">
        <f t="array" ref="A889">INDEX('Federal Tax, Stock Buybacks, &amp; '!D:D,match(B889,'Federal Tax, Stock Buybacks, &amp; '!E:E,0))</f>
        <v>452</v>
      </c>
      <c r="B889" s="138" t="s">
        <v>1401</v>
      </c>
      <c r="C889" s="282"/>
      <c r="D889" s="373"/>
      <c r="E889" s="471"/>
      <c r="F889" s="254"/>
      <c r="G889" s="282"/>
      <c r="H889" s="373"/>
      <c r="I889" s="471"/>
      <c r="J889" s="254"/>
      <c r="K889" s="282" t="s">
        <v>1403</v>
      </c>
      <c r="L889" s="373"/>
      <c r="M889" s="471">
        <v>3490014.0</v>
      </c>
      <c r="N889" s="254"/>
      <c r="O889" s="298" t="s">
        <v>711</v>
      </c>
      <c r="P889" s="296" t="s">
        <v>711</v>
      </c>
      <c r="Q889" s="523" t="s">
        <v>711</v>
      </c>
      <c r="R889" s="254"/>
      <c r="S889" s="298" t="s">
        <v>711</v>
      </c>
      <c r="T889" s="296" t="s">
        <v>711</v>
      </c>
      <c r="U889" s="523" t="s">
        <v>711</v>
      </c>
      <c r="V889" s="254"/>
      <c r="W889" s="298" t="s">
        <v>711</v>
      </c>
      <c r="X889" s="296" t="s">
        <v>711</v>
      </c>
      <c r="Y889" s="523" t="s">
        <v>711</v>
      </c>
      <c r="Z889" s="254"/>
      <c r="AA889" s="298" t="s">
        <v>711</v>
      </c>
      <c r="AB889" s="296" t="s">
        <v>711</v>
      </c>
      <c r="AC889" s="523" t="s">
        <v>711</v>
      </c>
      <c r="AD889" s="288"/>
      <c r="AE889" s="292"/>
      <c r="AF889" s="292"/>
      <c r="AG889" s="292"/>
      <c r="AH889" s="292"/>
      <c r="AI889" s="292"/>
      <c r="AJ889" s="293"/>
      <c r="AK889" s="281"/>
      <c r="AL889" s="259" t="str">
        <f>MATCH(B889,'Key Findings'!B:B,0)</f>
        <v>#N/A</v>
      </c>
      <c r="AM889" s="260" t="b">
        <f t="shared" si="2"/>
        <v>0</v>
      </c>
      <c r="AN889" s="294"/>
    </row>
    <row r="890">
      <c r="A890" s="169">
        <f t="array" ref="A890">INDEX('Federal Tax, Stock Buybacks, &amp; '!D:D,match(B890,'Federal Tax, Stock Buybacks, &amp; '!E:E,0))</f>
        <v>452</v>
      </c>
      <c r="B890" s="138" t="s">
        <v>1401</v>
      </c>
      <c r="C890" s="282"/>
      <c r="D890" s="373"/>
      <c r="E890" s="471"/>
      <c r="F890" s="254"/>
      <c r="G890" s="282"/>
      <c r="H890" s="373"/>
      <c r="I890" s="471"/>
      <c r="J890" s="254"/>
      <c r="K890" s="282" t="s">
        <v>1402</v>
      </c>
      <c r="L890" s="373"/>
      <c r="M890" s="471">
        <v>4286832.0</v>
      </c>
      <c r="N890" s="254"/>
      <c r="O890" s="298" t="s">
        <v>711</v>
      </c>
      <c r="P890" s="296" t="s">
        <v>711</v>
      </c>
      <c r="Q890" s="523" t="s">
        <v>711</v>
      </c>
      <c r="R890" s="254"/>
      <c r="S890" s="298" t="s">
        <v>711</v>
      </c>
      <c r="T890" s="296" t="s">
        <v>711</v>
      </c>
      <c r="U890" s="523" t="s">
        <v>711</v>
      </c>
      <c r="V890" s="254"/>
      <c r="W890" s="298" t="s">
        <v>711</v>
      </c>
      <c r="X890" s="296" t="s">
        <v>711</v>
      </c>
      <c r="Y890" s="523" t="s">
        <v>711</v>
      </c>
      <c r="Z890" s="254"/>
      <c r="AA890" s="298" t="s">
        <v>711</v>
      </c>
      <c r="AB890" s="296" t="s">
        <v>711</v>
      </c>
      <c r="AC890" s="523" t="s">
        <v>711</v>
      </c>
      <c r="AD890" s="288"/>
      <c r="AE890" s="292"/>
      <c r="AF890" s="292"/>
      <c r="AG890" s="292"/>
      <c r="AH890" s="292"/>
      <c r="AI890" s="292"/>
      <c r="AJ890" s="293"/>
      <c r="AK890" s="281"/>
      <c r="AL890" s="259" t="str">
        <f>MATCH(B890,'Key Findings'!B:B,0)</f>
        <v>#N/A</v>
      </c>
      <c r="AM890" s="260" t="b">
        <f t="shared" si="2"/>
        <v>0</v>
      </c>
      <c r="AN890" s="294"/>
    </row>
    <row r="891">
      <c r="A891" s="169">
        <f t="array" ref="A891">INDEX('Federal Tax, Stock Buybacks, &amp; '!D:D,match(B891,'Federal Tax, Stock Buybacks, &amp; '!E:E,0))</f>
        <v>692</v>
      </c>
      <c r="B891" s="281" t="s">
        <v>1239</v>
      </c>
      <c r="C891" s="316"/>
      <c r="D891" s="317"/>
      <c r="E891" s="539"/>
      <c r="F891" s="254"/>
      <c r="G891" s="316"/>
      <c r="H891" s="317"/>
      <c r="I891" s="539"/>
      <c r="J891" s="254"/>
      <c r="K891" s="316" t="s">
        <v>1240</v>
      </c>
      <c r="L891" s="317" t="s">
        <v>1523</v>
      </c>
      <c r="M891" s="539">
        <v>6636731.0</v>
      </c>
      <c r="N891" s="254"/>
      <c r="O891" s="316" t="s">
        <v>1240</v>
      </c>
      <c r="P891" s="317" t="s">
        <v>1523</v>
      </c>
      <c r="Q891" s="540">
        <v>4614916.0</v>
      </c>
      <c r="R891" s="254"/>
      <c r="S891" s="316" t="s">
        <v>1240</v>
      </c>
      <c r="T891" s="317" t="s">
        <v>1523</v>
      </c>
      <c r="U891" s="471">
        <v>4191396.0</v>
      </c>
      <c r="V891" s="254"/>
      <c r="W891" s="316" t="s">
        <v>1240</v>
      </c>
      <c r="X891" s="317" t="s">
        <v>1523</v>
      </c>
      <c r="Y891" s="471">
        <v>3672640.0</v>
      </c>
      <c r="Z891" s="254"/>
      <c r="AA891" s="316" t="s">
        <v>1240</v>
      </c>
      <c r="AB891" s="317" t="s">
        <v>1523</v>
      </c>
      <c r="AC891" s="472">
        <v>6358117.0</v>
      </c>
      <c r="AD891" s="288"/>
      <c r="AE891" s="289">
        <v>2022.0</v>
      </c>
      <c r="AF891" s="289">
        <v>2021.0</v>
      </c>
      <c r="AG891" s="289">
        <v>2020.0</v>
      </c>
      <c r="AH891" s="289">
        <v>2019.0</v>
      </c>
      <c r="AI891" s="289">
        <v>2018.0</v>
      </c>
      <c r="AJ891" s="320" t="s">
        <v>1578</v>
      </c>
      <c r="AK891" s="260"/>
      <c r="AL891" s="259" t="str">
        <f>MATCH(B891,'Key Findings'!B:B,0)</f>
        <v>#N/A</v>
      </c>
      <c r="AM891" s="260" t="b">
        <f t="shared" si="2"/>
        <v>0</v>
      </c>
      <c r="AN891" s="294"/>
    </row>
    <row r="892">
      <c r="A892" s="169">
        <f t="array" ref="A892">INDEX('Federal Tax, Stock Buybacks, &amp; '!D:D,match(B892,'Federal Tax, Stock Buybacks, &amp; '!E:E,0))</f>
        <v>692</v>
      </c>
      <c r="B892" s="281" t="s">
        <v>1239</v>
      </c>
      <c r="C892" s="316"/>
      <c r="D892" s="317"/>
      <c r="E892" s="539"/>
      <c r="F892" s="254"/>
      <c r="G892" s="316"/>
      <c r="H892" s="317"/>
      <c r="I892" s="539"/>
      <c r="J892" s="254"/>
      <c r="K892" s="316" t="s">
        <v>1238</v>
      </c>
      <c r="L892" s="317" t="s">
        <v>1539</v>
      </c>
      <c r="M892" s="539">
        <v>1577173.0</v>
      </c>
      <c r="N892" s="254"/>
      <c r="O892" s="316" t="s">
        <v>1238</v>
      </c>
      <c r="P892" s="317" t="s">
        <v>1539</v>
      </c>
      <c r="Q892" s="540">
        <v>7138002.0</v>
      </c>
      <c r="R892" s="254"/>
      <c r="S892" s="316" t="s">
        <v>1238</v>
      </c>
      <c r="T892" s="317" t="s">
        <v>1523</v>
      </c>
      <c r="U892" s="471">
        <v>6295230.0</v>
      </c>
      <c r="V892" s="254"/>
      <c r="W892" s="316" t="s">
        <v>1238</v>
      </c>
      <c r="X892" s="317" t="s">
        <v>1523</v>
      </c>
      <c r="Y892" s="471">
        <v>5495804.0</v>
      </c>
      <c r="Z892" s="254"/>
      <c r="AA892" s="316" t="s">
        <v>1238</v>
      </c>
      <c r="AB892" s="317" t="s">
        <v>1523</v>
      </c>
      <c r="AC892" s="472">
        <v>9102416.0</v>
      </c>
      <c r="AD892" s="288"/>
      <c r="AE892" s="321"/>
      <c r="AF892" s="321"/>
      <c r="AG892" s="321"/>
      <c r="AH892" s="321"/>
      <c r="AI892" s="321"/>
      <c r="AJ892" s="320"/>
      <c r="AK892" s="260"/>
      <c r="AL892" s="259" t="str">
        <f>MATCH(B892,'Key Findings'!B:B,0)</f>
        <v>#N/A</v>
      </c>
      <c r="AM892" s="260" t="b">
        <f t="shared" si="2"/>
        <v>0</v>
      </c>
      <c r="AN892" s="294"/>
    </row>
    <row r="893">
      <c r="A893" s="169">
        <f t="array" ref="A893">INDEX('Federal Tax, Stock Buybacks, &amp; '!D:D,match(B893,'Federal Tax, Stock Buybacks, &amp; '!E:E,0))</f>
        <v>692</v>
      </c>
      <c r="B893" s="281" t="s">
        <v>1239</v>
      </c>
      <c r="C893" s="316"/>
      <c r="D893" s="317"/>
      <c r="E893" s="539"/>
      <c r="F893" s="254"/>
      <c r="G893" s="316"/>
      <c r="H893" s="317"/>
      <c r="I893" s="539"/>
      <c r="J893" s="254"/>
      <c r="K893" s="316" t="s">
        <v>1241</v>
      </c>
      <c r="L893" s="317" t="s">
        <v>2494</v>
      </c>
      <c r="M893" s="539">
        <v>3348689.0</v>
      </c>
      <c r="N893" s="254"/>
      <c r="O893" s="316" t="s">
        <v>1241</v>
      </c>
      <c r="P893" s="317" t="s">
        <v>2494</v>
      </c>
      <c r="Q893" s="540">
        <v>2609060.0</v>
      </c>
      <c r="R893" s="254"/>
      <c r="S893" s="316" t="s">
        <v>1241</v>
      </c>
      <c r="T893" s="317" t="s">
        <v>2494</v>
      </c>
      <c r="U893" s="471">
        <v>2500666.0</v>
      </c>
      <c r="V893" s="254"/>
      <c r="W893" s="316" t="s">
        <v>1241</v>
      </c>
      <c r="X893" s="317" t="s">
        <v>2494</v>
      </c>
      <c r="Y893" s="471">
        <v>1791955.0</v>
      </c>
      <c r="Z893" s="254"/>
      <c r="AA893" s="316" t="s">
        <v>1241</v>
      </c>
      <c r="AB893" s="317" t="s">
        <v>2494</v>
      </c>
      <c r="AC893" s="472">
        <v>1812366.0</v>
      </c>
      <c r="AD893" s="288"/>
      <c r="AE893" s="321"/>
      <c r="AF893" s="321"/>
      <c r="AG893" s="321"/>
      <c r="AH893" s="321"/>
      <c r="AI893" s="321"/>
      <c r="AJ893" s="320"/>
      <c r="AK893" s="260"/>
      <c r="AL893" s="259" t="str">
        <f>MATCH(B893,'Key Findings'!B:B,0)</f>
        <v>#N/A</v>
      </c>
      <c r="AM893" s="260" t="b">
        <f t="shared" si="2"/>
        <v>0</v>
      </c>
      <c r="AN893" s="294"/>
    </row>
    <row r="894">
      <c r="A894" s="169">
        <f t="array" ref="A894">INDEX('Federal Tax, Stock Buybacks, &amp; '!D:D,match(B894,'Federal Tax, Stock Buybacks, &amp; '!E:E,0))</f>
        <v>692</v>
      </c>
      <c r="B894" s="281" t="s">
        <v>1239</v>
      </c>
      <c r="C894" s="316"/>
      <c r="D894" s="317"/>
      <c r="E894" s="539"/>
      <c r="F894" s="254"/>
      <c r="G894" s="316"/>
      <c r="H894" s="317"/>
      <c r="I894" s="539"/>
      <c r="J894" s="254"/>
      <c r="K894" s="316" t="s">
        <v>1243</v>
      </c>
      <c r="L894" s="317" t="s">
        <v>2495</v>
      </c>
      <c r="M894" s="539">
        <v>5880790.0</v>
      </c>
      <c r="N894" s="254"/>
      <c r="O894" s="316" t="s">
        <v>1247</v>
      </c>
      <c r="P894" s="317" t="s">
        <v>2178</v>
      </c>
      <c r="Q894" s="540">
        <v>1576030.0</v>
      </c>
      <c r="R894" s="254"/>
      <c r="S894" s="316" t="s">
        <v>1247</v>
      </c>
      <c r="T894" s="317" t="s">
        <v>1881</v>
      </c>
      <c r="U894" s="471">
        <v>1514692.0</v>
      </c>
      <c r="V894" s="254"/>
      <c r="W894" s="316" t="s">
        <v>1242</v>
      </c>
      <c r="X894" s="317" t="s">
        <v>2177</v>
      </c>
      <c r="Y894" s="471">
        <v>1861404.0</v>
      </c>
      <c r="Z894" s="254"/>
      <c r="AA894" s="316" t="s">
        <v>1242</v>
      </c>
      <c r="AB894" s="317" t="s">
        <v>2177</v>
      </c>
      <c r="AC894" s="471">
        <v>1741696.0</v>
      </c>
      <c r="AD894" s="288"/>
      <c r="AE894" s="321"/>
      <c r="AF894" s="321"/>
      <c r="AG894" s="321"/>
      <c r="AH894" s="321"/>
      <c r="AI894" s="321"/>
      <c r="AJ894" s="320"/>
      <c r="AK894" s="260"/>
      <c r="AL894" s="259" t="str">
        <f>MATCH(B894,'Key Findings'!B:B,0)</f>
        <v>#N/A</v>
      </c>
      <c r="AM894" s="260" t="b">
        <f t="shared" si="2"/>
        <v>0</v>
      </c>
      <c r="AN894" s="294"/>
    </row>
    <row r="895">
      <c r="A895" s="169">
        <f t="array" ref="A895">INDEX('Federal Tax, Stock Buybacks, &amp; '!D:D,match(B895,'Federal Tax, Stock Buybacks, &amp; '!E:E,0))</f>
        <v>692</v>
      </c>
      <c r="B895" s="281" t="s">
        <v>1239</v>
      </c>
      <c r="C895" s="316"/>
      <c r="D895" s="317"/>
      <c r="E895" s="539"/>
      <c r="F895" s="254"/>
      <c r="G895" s="316"/>
      <c r="H895" s="317"/>
      <c r="I895" s="539"/>
      <c r="J895" s="254"/>
      <c r="K895" s="316" t="s">
        <v>1248</v>
      </c>
      <c r="L895" s="317" t="s">
        <v>2496</v>
      </c>
      <c r="M895" s="539">
        <v>1833678.0</v>
      </c>
      <c r="N895" s="254"/>
      <c r="O895" s="316" t="s">
        <v>1246</v>
      </c>
      <c r="P895" s="317" t="s">
        <v>1864</v>
      </c>
      <c r="Q895" s="540">
        <v>1878186.0</v>
      </c>
      <c r="R895" s="254"/>
      <c r="S895" s="316" t="s">
        <v>1246</v>
      </c>
      <c r="T895" s="317" t="s">
        <v>1864</v>
      </c>
      <c r="U895" s="471">
        <v>1531906.0</v>
      </c>
      <c r="V895" s="254"/>
      <c r="W895" s="316" t="s">
        <v>1244</v>
      </c>
      <c r="X895" s="317" t="s">
        <v>1881</v>
      </c>
      <c r="Y895" s="471">
        <v>1840459.0</v>
      </c>
      <c r="Z895" s="254"/>
      <c r="AA895" s="316" t="s">
        <v>1244</v>
      </c>
      <c r="AB895" s="317" t="s">
        <v>1881</v>
      </c>
      <c r="AC895" s="472">
        <v>1683868.0</v>
      </c>
      <c r="AD895" s="288"/>
      <c r="AE895" s="321"/>
      <c r="AF895" s="321"/>
      <c r="AG895" s="321"/>
      <c r="AH895" s="321"/>
      <c r="AI895" s="321"/>
      <c r="AJ895" s="320"/>
      <c r="AK895" s="260"/>
      <c r="AL895" s="259" t="str">
        <f>MATCH(B895,'Key Findings'!B:B,0)</f>
        <v>#N/A</v>
      </c>
      <c r="AM895" s="260" t="b">
        <f t="shared" si="2"/>
        <v>0</v>
      </c>
      <c r="AN895" s="294"/>
    </row>
    <row r="896">
      <c r="A896" s="169">
        <f t="array" ref="A896">INDEX('Federal Tax, Stock Buybacks, &amp; '!D:D,match(B896,'Federal Tax, Stock Buybacks, &amp; '!E:E,0))</f>
        <v>692</v>
      </c>
      <c r="B896" s="281" t="s">
        <v>1239</v>
      </c>
      <c r="C896" s="316"/>
      <c r="D896" s="317"/>
      <c r="E896" s="539"/>
      <c r="F896" s="254"/>
      <c r="G896" s="316"/>
      <c r="H896" s="317"/>
      <c r="I896" s="539"/>
      <c r="J896" s="254"/>
      <c r="K896" s="316" t="s">
        <v>1249</v>
      </c>
      <c r="L896" s="317" t="s">
        <v>2497</v>
      </c>
      <c r="M896" s="539">
        <v>1827409.0</v>
      </c>
      <c r="N896" s="254"/>
      <c r="O896" s="298" t="s">
        <v>711</v>
      </c>
      <c r="P896" s="296" t="s">
        <v>711</v>
      </c>
      <c r="Q896" s="523" t="s">
        <v>711</v>
      </c>
      <c r="R896" s="254"/>
      <c r="S896" s="316" t="s">
        <v>1242</v>
      </c>
      <c r="T896" s="317" t="s">
        <v>2498</v>
      </c>
      <c r="U896" s="471">
        <v>3965364.0</v>
      </c>
      <c r="V896" s="254"/>
      <c r="W896" s="298" t="s">
        <v>711</v>
      </c>
      <c r="X896" s="296" t="s">
        <v>711</v>
      </c>
      <c r="Y896" s="523" t="s">
        <v>711</v>
      </c>
      <c r="Z896" s="254"/>
      <c r="AA896" s="316" t="s">
        <v>1245</v>
      </c>
      <c r="AB896" s="317" t="s">
        <v>1610</v>
      </c>
      <c r="AC896" s="471">
        <v>4644421.0</v>
      </c>
      <c r="AD896" s="288"/>
      <c r="AE896" s="321"/>
      <c r="AF896" s="321"/>
      <c r="AG896" s="321"/>
      <c r="AH896" s="321"/>
      <c r="AI896" s="321"/>
      <c r="AJ896" s="320"/>
      <c r="AK896" s="260"/>
      <c r="AL896" s="259" t="str">
        <f>MATCH(B896,'Key Findings'!B:B,0)</f>
        <v>#N/A</v>
      </c>
      <c r="AM896" s="260" t="b">
        <f t="shared" si="2"/>
        <v>0</v>
      </c>
      <c r="AN896" s="294"/>
    </row>
    <row r="897">
      <c r="A897" s="169">
        <f t="array" ref="A897">INDEX('Federal Tax, Stock Buybacks, &amp; '!D:D,match(B897,'Federal Tax, Stock Buybacks, &amp; '!E:E,0))</f>
        <v>692</v>
      </c>
      <c r="B897" s="281" t="s">
        <v>1239</v>
      </c>
      <c r="C897" s="298"/>
      <c r="D897" s="296"/>
      <c r="E897" s="523"/>
      <c r="F897" s="254"/>
      <c r="G897" s="298"/>
      <c r="H897" s="296"/>
      <c r="I897" s="523"/>
      <c r="J897" s="254"/>
      <c r="K897" s="298" t="s">
        <v>711</v>
      </c>
      <c r="L897" s="296" t="s">
        <v>711</v>
      </c>
      <c r="M897" s="523" t="s">
        <v>711</v>
      </c>
      <c r="N897" s="254"/>
      <c r="O897" s="298" t="s">
        <v>711</v>
      </c>
      <c r="P897" s="296" t="s">
        <v>711</v>
      </c>
      <c r="Q897" s="523" t="s">
        <v>711</v>
      </c>
      <c r="R897" s="254"/>
      <c r="S897" s="316" t="s">
        <v>1244</v>
      </c>
      <c r="T897" s="317" t="s">
        <v>2178</v>
      </c>
      <c r="U897" s="471">
        <v>1594925.0</v>
      </c>
      <c r="V897" s="254"/>
      <c r="W897" s="298" t="s">
        <v>711</v>
      </c>
      <c r="X897" s="296" t="s">
        <v>711</v>
      </c>
      <c r="Y897" s="523" t="s">
        <v>711</v>
      </c>
      <c r="Z897" s="254"/>
      <c r="AA897" s="298" t="s">
        <v>711</v>
      </c>
      <c r="AB897" s="296" t="s">
        <v>711</v>
      </c>
      <c r="AC897" s="523" t="s">
        <v>711</v>
      </c>
      <c r="AD897" s="288"/>
      <c r="AE897" s="321"/>
      <c r="AF897" s="321"/>
      <c r="AG897" s="321"/>
      <c r="AH897" s="321"/>
      <c r="AI897" s="321"/>
      <c r="AJ897" s="320"/>
      <c r="AK897" s="260"/>
      <c r="AL897" s="259" t="str">
        <f>MATCH(B897,'Key Findings'!B:B,0)</f>
        <v>#N/A</v>
      </c>
      <c r="AM897" s="260" t="b">
        <f t="shared" si="2"/>
        <v>0</v>
      </c>
      <c r="AN897" s="294"/>
    </row>
    <row r="898">
      <c r="A898" s="196" t="str">
        <f t="array" ref="A898">INDEX('Federal Tax, Stock Buybacks, &amp; '!D:D,match(B898,'Federal Tax, Stock Buybacks, &amp; '!E:E,0))</f>
        <v>#N/A</v>
      </c>
      <c r="B898" s="386" t="s">
        <v>887</v>
      </c>
      <c r="C898" s="316"/>
      <c r="D898" s="317"/>
      <c r="E898" s="539"/>
      <c r="F898" s="254"/>
      <c r="G898" s="316"/>
      <c r="H898" s="317"/>
      <c r="I898" s="539"/>
      <c r="J898" s="254"/>
      <c r="K898" s="316" t="s">
        <v>886</v>
      </c>
      <c r="L898" s="317" t="s">
        <v>1605</v>
      </c>
      <c r="M898" s="539">
        <v>4198051.0</v>
      </c>
      <c r="N898" s="254"/>
      <c r="O898" s="316" t="s">
        <v>886</v>
      </c>
      <c r="P898" s="317" t="s">
        <v>1605</v>
      </c>
      <c r="Q898" s="540">
        <v>1.6704037E7</v>
      </c>
      <c r="R898" s="254"/>
      <c r="S898" s="316" t="s">
        <v>889</v>
      </c>
      <c r="T898" s="295" t="s">
        <v>2499</v>
      </c>
      <c r="U898" s="471">
        <v>1897161.0</v>
      </c>
      <c r="V898" s="254"/>
      <c r="W898" s="316" t="s">
        <v>889</v>
      </c>
      <c r="X898" s="295" t="s">
        <v>2499</v>
      </c>
      <c r="Y898" s="471">
        <v>3441358.0</v>
      </c>
      <c r="Z898" s="254"/>
      <c r="AA898" s="316" t="s">
        <v>889</v>
      </c>
      <c r="AB898" s="334" t="s">
        <v>2500</v>
      </c>
      <c r="AC898" s="472">
        <v>2686604.0</v>
      </c>
      <c r="AD898" s="288"/>
      <c r="AE898" s="289">
        <v>2022.0</v>
      </c>
      <c r="AF898" s="289">
        <v>2021.0</v>
      </c>
      <c r="AG898" s="289">
        <v>2020.0</v>
      </c>
      <c r="AH898" s="289">
        <v>2019.0</v>
      </c>
      <c r="AI898" s="289">
        <v>2018.0</v>
      </c>
      <c r="AJ898" s="320" t="s">
        <v>1524</v>
      </c>
      <c r="AK898" s="260"/>
      <c r="AL898" s="259" t="str">
        <f>MATCH(B898,'Key Findings'!B:B,0)</f>
        <v>#N/A</v>
      </c>
      <c r="AM898" s="260" t="str">
        <f t="shared" si="2"/>
        <v>#N/A</v>
      </c>
      <c r="AN898" s="294"/>
    </row>
    <row r="899">
      <c r="A899" s="196" t="str">
        <f t="array" ref="A899">INDEX('Federal Tax, Stock Buybacks, &amp; '!D:D,match(B899,'Federal Tax, Stock Buybacks, &amp; '!E:E,0))</f>
        <v>#N/A</v>
      </c>
      <c r="B899" s="386" t="s">
        <v>887</v>
      </c>
      <c r="C899" s="316"/>
      <c r="D899" s="286"/>
      <c r="E899" s="539"/>
      <c r="F899" s="254"/>
      <c r="G899" s="316"/>
      <c r="H899" s="286"/>
      <c r="I899" s="539"/>
      <c r="J899" s="254"/>
      <c r="K899" s="316" t="s">
        <v>891</v>
      </c>
      <c r="L899" s="286" t="s">
        <v>1532</v>
      </c>
      <c r="M899" s="539">
        <v>2347476.0</v>
      </c>
      <c r="N899" s="254"/>
      <c r="O899" s="316" t="s">
        <v>891</v>
      </c>
      <c r="P899" s="285" t="s">
        <v>1532</v>
      </c>
      <c r="Q899" s="540">
        <v>4965272.0</v>
      </c>
      <c r="R899" s="254"/>
      <c r="S899" s="316" t="s">
        <v>886</v>
      </c>
      <c r="T899" s="295" t="s">
        <v>2501</v>
      </c>
      <c r="U899" s="471">
        <v>2924129.0</v>
      </c>
      <c r="V899" s="254"/>
      <c r="W899" s="316" t="s">
        <v>886</v>
      </c>
      <c r="X899" s="295" t="s">
        <v>2501</v>
      </c>
      <c r="Y899" s="471">
        <v>6202995.0</v>
      </c>
      <c r="Z899" s="254"/>
      <c r="AA899" s="316" t="s">
        <v>886</v>
      </c>
      <c r="AB899" s="295" t="s">
        <v>2501</v>
      </c>
      <c r="AC899" s="472">
        <v>7174297.0</v>
      </c>
      <c r="AD899" s="288"/>
      <c r="AE899" s="292"/>
      <c r="AF899" s="292"/>
      <c r="AG899" s="292"/>
      <c r="AH899" s="292"/>
      <c r="AI899" s="292"/>
      <c r="AJ899" s="394"/>
      <c r="AK899" s="260"/>
      <c r="AL899" s="259" t="str">
        <f>MATCH(B899,'Key Findings'!B:B,0)</f>
        <v>#N/A</v>
      </c>
      <c r="AM899" s="260" t="str">
        <f t="shared" si="2"/>
        <v>#N/A</v>
      </c>
      <c r="AN899" s="294"/>
    </row>
    <row r="900">
      <c r="A900" s="196" t="str">
        <f t="array" ref="A900">INDEX('Federal Tax, Stock Buybacks, &amp; '!D:D,match(B900,'Federal Tax, Stock Buybacks, &amp; '!E:E,0))</f>
        <v>#N/A</v>
      </c>
      <c r="B900" s="386" t="s">
        <v>887</v>
      </c>
      <c r="C900" s="316"/>
      <c r="D900" s="286"/>
      <c r="E900" s="539"/>
      <c r="F900" s="254"/>
      <c r="G900" s="316"/>
      <c r="H900" s="286"/>
      <c r="I900" s="539"/>
      <c r="J900" s="254"/>
      <c r="K900" s="316" t="s">
        <v>890</v>
      </c>
      <c r="L900" s="286" t="s">
        <v>2502</v>
      </c>
      <c r="M900" s="539">
        <v>3142749.0</v>
      </c>
      <c r="N900" s="254"/>
      <c r="O900" s="316" t="s">
        <v>890</v>
      </c>
      <c r="P900" s="285" t="s">
        <v>2502</v>
      </c>
      <c r="Q900" s="540">
        <v>5382639.0</v>
      </c>
      <c r="R900" s="254"/>
      <c r="S900" s="316" t="s">
        <v>891</v>
      </c>
      <c r="T900" s="285" t="s">
        <v>1532</v>
      </c>
      <c r="U900" s="471">
        <v>1115782.0</v>
      </c>
      <c r="V900" s="254"/>
      <c r="W900" s="316" t="s">
        <v>891</v>
      </c>
      <c r="X900" s="285" t="s">
        <v>1532</v>
      </c>
      <c r="Y900" s="471">
        <v>1936174.0</v>
      </c>
      <c r="Z900" s="254"/>
      <c r="AA900" s="316" t="s">
        <v>893</v>
      </c>
      <c r="AB900" s="334" t="s">
        <v>2214</v>
      </c>
      <c r="AC900" s="472">
        <v>1092566.0</v>
      </c>
      <c r="AD900" s="288"/>
      <c r="AE900" s="292"/>
      <c r="AF900" s="292"/>
      <c r="AG900" s="292"/>
      <c r="AH900" s="292"/>
      <c r="AI900" s="292"/>
      <c r="AJ900" s="394"/>
      <c r="AK900" s="260"/>
      <c r="AL900" s="259" t="str">
        <f>MATCH(B900,'Key Findings'!B:B,0)</f>
        <v>#N/A</v>
      </c>
      <c r="AM900" s="260" t="str">
        <f t="shared" si="2"/>
        <v>#N/A</v>
      </c>
      <c r="AN900" s="294"/>
    </row>
    <row r="901">
      <c r="A901" s="196" t="str">
        <f t="array" ref="A901">INDEX('Federal Tax, Stock Buybacks, &amp; '!D:D,match(B901,'Federal Tax, Stock Buybacks, &amp; '!E:E,0))</f>
        <v>#N/A</v>
      </c>
      <c r="B901" s="386" t="s">
        <v>887</v>
      </c>
      <c r="C901" s="316"/>
      <c r="D901" s="286"/>
      <c r="E901" s="539"/>
      <c r="F901" s="254"/>
      <c r="G901" s="316"/>
      <c r="H901" s="286"/>
      <c r="I901" s="539"/>
      <c r="J901" s="254"/>
      <c r="K901" s="316" t="s">
        <v>888</v>
      </c>
      <c r="L901" s="286" t="s">
        <v>1523</v>
      </c>
      <c r="M901" s="539">
        <v>7498195.0</v>
      </c>
      <c r="N901" s="254"/>
      <c r="O901" s="316" t="s">
        <v>888</v>
      </c>
      <c r="P901" s="285" t="s">
        <v>1523</v>
      </c>
      <c r="Q901" s="540">
        <v>9529362.0</v>
      </c>
      <c r="R901" s="254"/>
      <c r="S901" s="316" t="s">
        <v>892</v>
      </c>
      <c r="T901" s="295" t="s">
        <v>2503</v>
      </c>
      <c r="U901" s="471">
        <v>581997.0</v>
      </c>
      <c r="V901" s="254"/>
      <c r="W901" s="316" t="s">
        <v>892</v>
      </c>
      <c r="X901" s="295" t="s">
        <v>2503</v>
      </c>
      <c r="Y901" s="471">
        <v>6944483.0</v>
      </c>
      <c r="Z901" s="254"/>
      <c r="AA901" s="316" t="s">
        <v>895</v>
      </c>
      <c r="AB901" s="334" t="s">
        <v>2504</v>
      </c>
      <c r="AC901" s="472">
        <v>490949.0</v>
      </c>
      <c r="AD901" s="288"/>
      <c r="AE901" s="292"/>
      <c r="AF901" s="292"/>
      <c r="AG901" s="292"/>
      <c r="AH901" s="292"/>
      <c r="AI901" s="292"/>
      <c r="AJ901" s="394"/>
      <c r="AK901" s="260"/>
      <c r="AL901" s="259" t="str">
        <f>MATCH(B901,'Key Findings'!B:B,0)</f>
        <v>#N/A</v>
      </c>
      <c r="AM901" s="260" t="str">
        <f t="shared" si="2"/>
        <v>#N/A</v>
      </c>
      <c r="AN901" s="294"/>
    </row>
    <row r="902">
      <c r="A902" s="196" t="str">
        <f t="array" ref="A902">INDEX('Federal Tax, Stock Buybacks, &amp; '!D:D,match(B902,'Federal Tax, Stock Buybacks, &amp; '!E:E,0))</f>
        <v>#N/A</v>
      </c>
      <c r="B902" s="386" t="s">
        <v>887</v>
      </c>
      <c r="C902" s="316"/>
      <c r="D902" s="286"/>
      <c r="E902" s="539"/>
      <c r="F902" s="254"/>
      <c r="G902" s="316"/>
      <c r="H902" s="286"/>
      <c r="I902" s="539"/>
      <c r="J902" s="254"/>
      <c r="K902" s="316" t="s">
        <v>894</v>
      </c>
      <c r="L902" s="286" t="s">
        <v>2505</v>
      </c>
      <c r="M902" s="539">
        <v>2798042.0</v>
      </c>
      <c r="N902" s="254"/>
      <c r="O902" s="316" t="s">
        <v>894</v>
      </c>
      <c r="P902" s="285" t="s">
        <v>2505</v>
      </c>
      <c r="Q902" s="540">
        <v>2352385.0</v>
      </c>
      <c r="R902" s="254"/>
      <c r="S902" s="316" t="s">
        <v>890</v>
      </c>
      <c r="T902" s="374" t="s">
        <v>2506</v>
      </c>
      <c r="U902" s="471">
        <v>1932694.0</v>
      </c>
      <c r="V902" s="254"/>
      <c r="W902" s="316" t="s">
        <v>890</v>
      </c>
      <c r="X902" s="374" t="s">
        <v>2506</v>
      </c>
      <c r="Y902" s="471">
        <v>4028374.0</v>
      </c>
      <c r="Z902" s="254"/>
      <c r="AA902" s="316" t="s">
        <v>891</v>
      </c>
      <c r="AB902" s="285" t="s">
        <v>1532</v>
      </c>
      <c r="AC902" s="472">
        <v>1768880.0</v>
      </c>
      <c r="AD902" s="288"/>
      <c r="AE902" s="292"/>
      <c r="AF902" s="292"/>
      <c r="AG902" s="292"/>
      <c r="AH902" s="292"/>
      <c r="AI902" s="292"/>
      <c r="AJ902" s="394"/>
      <c r="AK902" s="260"/>
      <c r="AL902" s="259" t="str">
        <f>MATCH(B902,'Key Findings'!B:B,0)</f>
        <v>#N/A</v>
      </c>
      <c r="AM902" s="260" t="str">
        <f t="shared" si="2"/>
        <v>#N/A</v>
      </c>
      <c r="AN902" s="294"/>
    </row>
    <row r="903">
      <c r="A903" s="196" t="str">
        <f t="array" ref="A903">INDEX('Federal Tax, Stock Buybacks, &amp; '!D:D,match(B903,'Federal Tax, Stock Buybacks, &amp; '!E:E,0))</f>
        <v>#N/A</v>
      </c>
      <c r="B903" s="386" t="s">
        <v>887</v>
      </c>
      <c r="C903" s="298"/>
      <c r="D903" s="296"/>
      <c r="E903" s="523"/>
      <c r="F903" s="254"/>
      <c r="G903" s="298"/>
      <c r="H903" s="296"/>
      <c r="I903" s="523"/>
      <c r="J903" s="254"/>
      <c r="K903" s="298" t="s">
        <v>711</v>
      </c>
      <c r="L903" s="296" t="s">
        <v>711</v>
      </c>
      <c r="M903" s="523" t="s">
        <v>711</v>
      </c>
      <c r="N903" s="254"/>
      <c r="O903" s="316" t="s">
        <v>893</v>
      </c>
      <c r="P903" s="374" t="s">
        <v>2016</v>
      </c>
      <c r="Q903" s="540">
        <v>3743853.0</v>
      </c>
      <c r="R903" s="254"/>
      <c r="S903" s="316" t="s">
        <v>893</v>
      </c>
      <c r="T903" s="295" t="s">
        <v>2016</v>
      </c>
      <c r="U903" s="471">
        <v>724454.0</v>
      </c>
      <c r="V903" s="254"/>
      <c r="W903" s="316" t="s">
        <v>893</v>
      </c>
      <c r="X903" s="295" t="s">
        <v>2016</v>
      </c>
      <c r="Y903" s="471">
        <v>1263204.0</v>
      </c>
      <c r="Z903" s="254"/>
      <c r="AA903" s="316" t="s">
        <v>892</v>
      </c>
      <c r="AB903" s="334" t="s">
        <v>2503</v>
      </c>
      <c r="AC903" s="472">
        <v>3785437.0</v>
      </c>
      <c r="AD903" s="288"/>
      <c r="AE903" s="292"/>
      <c r="AF903" s="292"/>
      <c r="AG903" s="292"/>
      <c r="AH903" s="292"/>
      <c r="AI903" s="292"/>
      <c r="AJ903" s="394"/>
      <c r="AK903" s="260"/>
      <c r="AL903" s="259" t="str">
        <f>MATCH(B903,'Key Findings'!B:B,0)</f>
        <v>#N/A</v>
      </c>
      <c r="AM903" s="260" t="str">
        <f t="shared" si="2"/>
        <v>#N/A</v>
      </c>
      <c r="AN903" s="294"/>
    </row>
    <row r="904">
      <c r="A904" s="196" t="str">
        <f t="array" ref="A904">INDEX('Federal Tax, Stock Buybacks, &amp; '!D:D,match(B904,'Federal Tax, Stock Buybacks, &amp; '!E:E,0))</f>
        <v>#N/A</v>
      </c>
      <c r="B904" s="386" t="s">
        <v>887</v>
      </c>
      <c r="C904" s="298"/>
      <c r="D904" s="296"/>
      <c r="E904" s="523"/>
      <c r="F904" s="254"/>
      <c r="G904" s="298"/>
      <c r="H904" s="296"/>
      <c r="I904" s="523"/>
      <c r="J904" s="254"/>
      <c r="K904" s="298" t="s">
        <v>711</v>
      </c>
      <c r="L904" s="296" t="s">
        <v>711</v>
      </c>
      <c r="M904" s="523" t="s">
        <v>711</v>
      </c>
      <c r="N904" s="254"/>
      <c r="O904" s="316" t="s">
        <v>889</v>
      </c>
      <c r="P904" s="374" t="s">
        <v>2500</v>
      </c>
      <c r="Q904" s="540">
        <v>7100881.0</v>
      </c>
      <c r="R904" s="254"/>
      <c r="S904" s="298" t="s">
        <v>711</v>
      </c>
      <c r="T904" s="296" t="s">
        <v>711</v>
      </c>
      <c r="U904" s="523" t="s">
        <v>711</v>
      </c>
      <c r="V904" s="254"/>
      <c r="W904" s="298" t="s">
        <v>711</v>
      </c>
      <c r="X904" s="296" t="s">
        <v>711</v>
      </c>
      <c r="Y904" s="523" t="s">
        <v>711</v>
      </c>
      <c r="Z904" s="254"/>
      <c r="AA904" s="298" t="s">
        <v>711</v>
      </c>
      <c r="AB904" s="296" t="s">
        <v>711</v>
      </c>
      <c r="AC904" s="523" t="s">
        <v>711</v>
      </c>
      <c r="AD904" s="288"/>
      <c r="AE904" s="292"/>
      <c r="AF904" s="292"/>
      <c r="AG904" s="292"/>
      <c r="AH904" s="292"/>
      <c r="AI904" s="292"/>
      <c r="AJ904" s="394"/>
      <c r="AK904" s="260"/>
      <c r="AL904" s="259" t="str">
        <f>MATCH(B904,'Key Findings'!B:B,0)</f>
        <v>#N/A</v>
      </c>
      <c r="AM904" s="260" t="str">
        <f t="shared" si="2"/>
        <v>#N/A</v>
      </c>
      <c r="AN904" s="294"/>
    </row>
    <row r="905">
      <c r="A905" s="196">
        <f t="array" ref="A905">INDEX('Federal Tax, Stock Buybacks, &amp; '!D:D,match(B905,'Federal Tax, Stock Buybacks, &amp; '!E:E,0))</f>
        <v>277</v>
      </c>
      <c r="B905" s="422" t="s">
        <v>744</v>
      </c>
      <c r="C905" s="362"/>
      <c r="D905" s="413"/>
      <c r="E905" s="499"/>
      <c r="F905" s="254"/>
      <c r="G905" s="362"/>
      <c r="H905" s="413"/>
      <c r="I905" s="499"/>
      <c r="J905" s="254"/>
      <c r="K905" s="362" t="s">
        <v>743</v>
      </c>
      <c r="L905" s="413"/>
      <c r="M905" s="499">
        <v>1.4615521E7</v>
      </c>
      <c r="N905" s="254"/>
      <c r="O905" s="362" t="s">
        <v>743</v>
      </c>
      <c r="P905" s="577"/>
      <c r="Q905" s="499">
        <v>1.627523E7</v>
      </c>
      <c r="R905" s="254"/>
      <c r="S905" s="362" t="s">
        <v>743</v>
      </c>
      <c r="T905" s="516"/>
      <c r="U905" s="499">
        <v>1.4814906E7</v>
      </c>
      <c r="V905" s="254"/>
      <c r="W905" s="362" t="s">
        <v>743</v>
      </c>
      <c r="X905" s="516"/>
      <c r="Y905" s="499">
        <v>1.4627254E7</v>
      </c>
      <c r="Z905" s="254"/>
      <c r="AA905" s="362" t="s">
        <v>743</v>
      </c>
      <c r="AB905" s="548"/>
      <c r="AC905" s="488">
        <v>1.3043688E7</v>
      </c>
      <c r="AD905" s="306"/>
      <c r="AE905" s="366">
        <v>2022.0</v>
      </c>
      <c r="AF905" s="366">
        <v>2021.0</v>
      </c>
      <c r="AG905" s="366">
        <v>2020.0</v>
      </c>
      <c r="AH905" s="366">
        <v>2019.0</v>
      </c>
      <c r="AI905" s="366">
        <v>2018.0</v>
      </c>
      <c r="AJ905" s="367" t="s">
        <v>1865</v>
      </c>
      <c r="AK905" s="300"/>
      <c r="AL905" s="259" t="str">
        <f>MATCH(B905,'Key Findings'!B:B,0)</f>
        <v>#N/A</v>
      </c>
      <c r="AM905" s="274" t="b">
        <f t="shared" si="2"/>
        <v>1</v>
      </c>
      <c r="AN905" s="294"/>
    </row>
    <row r="906">
      <c r="A906" s="196">
        <f t="array" ref="A906">INDEX('Federal Tax, Stock Buybacks, &amp; '!D:D,match(B906,'Federal Tax, Stock Buybacks, &amp; '!E:E,0))</f>
        <v>277</v>
      </c>
      <c r="B906" s="422" t="s">
        <v>744</v>
      </c>
      <c r="C906" s="362"/>
      <c r="D906" s="413"/>
      <c r="E906" s="499"/>
      <c r="F906" s="254"/>
      <c r="G906" s="362"/>
      <c r="H906" s="413"/>
      <c r="I906" s="499"/>
      <c r="J906" s="254"/>
      <c r="K906" s="362" t="s">
        <v>746</v>
      </c>
      <c r="L906" s="413"/>
      <c r="M906" s="499">
        <v>4555206.0</v>
      </c>
      <c r="N906" s="254"/>
      <c r="O906" s="362" t="s">
        <v>746</v>
      </c>
      <c r="P906" s="577"/>
      <c r="Q906" s="499">
        <v>9251345.0</v>
      </c>
      <c r="R906" s="254"/>
      <c r="S906" s="362" t="s">
        <v>746</v>
      </c>
      <c r="T906" s="516"/>
      <c r="U906" s="499">
        <v>4565604.0</v>
      </c>
      <c r="V906" s="254"/>
      <c r="W906" s="362" t="s">
        <v>746</v>
      </c>
      <c r="X906" s="516"/>
      <c r="Y906" s="499">
        <v>4179054.0</v>
      </c>
      <c r="Z906" s="254"/>
      <c r="AA906" s="362" t="s">
        <v>746</v>
      </c>
      <c r="AB906" s="548"/>
      <c r="AC906" s="488">
        <v>3829514.0</v>
      </c>
      <c r="AD906" s="306"/>
      <c r="AE906" s="308"/>
      <c r="AF906" s="308"/>
      <c r="AG906" s="308"/>
      <c r="AH906" s="308"/>
      <c r="AI906" s="308"/>
      <c r="AJ906" s="368"/>
      <c r="AK906" s="300"/>
      <c r="AL906" s="259" t="str">
        <f>MATCH(B906,'Key Findings'!B:B,0)</f>
        <v>#N/A</v>
      </c>
      <c r="AM906" s="274" t="b">
        <f t="shared" si="2"/>
        <v>1</v>
      </c>
      <c r="AN906" s="470" t="s">
        <v>2507</v>
      </c>
    </row>
    <row r="907">
      <c r="A907" s="196">
        <f t="array" ref="A907">INDEX('Federal Tax, Stock Buybacks, &amp; '!D:D,match(B907,'Federal Tax, Stock Buybacks, &amp; '!E:E,0))</f>
        <v>277</v>
      </c>
      <c r="B907" s="422" t="s">
        <v>744</v>
      </c>
      <c r="C907" s="362"/>
      <c r="D907" s="413"/>
      <c r="E907" s="499"/>
      <c r="F907" s="254"/>
      <c r="G907" s="362"/>
      <c r="H907" s="413"/>
      <c r="I907" s="499"/>
      <c r="J907" s="254"/>
      <c r="K907" s="362" t="s">
        <v>748</v>
      </c>
      <c r="L907" s="413"/>
      <c r="M907" s="499">
        <v>2659301.0</v>
      </c>
      <c r="N907" s="254"/>
      <c r="O907" s="362" t="s">
        <v>748</v>
      </c>
      <c r="P907" s="577"/>
      <c r="Q907" s="499">
        <v>3104199.0</v>
      </c>
      <c r="R907" s="254"/>
      <c r="S907" s="362" t="s">
        <v>748</v>
      </c>
      <c r="T907" s="516"/>
      <c r="U907" s="499">
        <v>2529577.0</v>
      </c>
      <c r="V907" s="254"/>
      <c r="W907" s="362" t="s">
        <v>748</v>
      </c>
      <c r="X907" s="516"/>
      <c r="Y907" s="499">
        <v>2614073.0</v>
      </c>
      <c r="Z907" s="254"/>
      <c r="AA907" s="362" t="s">
        <v>750</v>
      </c>
      <c r="AB907" s="548"/>
      <c r="AC907" s="488">
        <v>5659035.0</v>
      </c>
      <c r="AD907" s="306"/>
      <c r="AE907" s="308"/>
      <c r="AF907" s="308"/>
      <c r="AG907" s="308"/>
      <c r="AH907" s="308"/>
      <c r="AI907" s="308"/>
      <c r="AJ907" s="368"/>
      <c r="AK907" s="300"/>
      <c r="AL907" s="259" t="str">
        <f>MATCH(B907,'Key Findings'!B:B,0)</f>
        <v>#N/A</v>
      </c>
      <c r="AM907" s="274" t="b">
        <f t="shared" si="2"/>
        <v>1</v>
      </c>
      <c r="AN907" s="470" t="s">
        <v>2508</v>
      </c>
    </row>
    <row r="908">
      <c r="A908" s="196">
        <f t="array" ref="A908">INDEX('Federal Tax, Stock Buybacks, &amp; '!D:D,match(B908,'Federal Tax, Stock Buybacks, &amp; '!E:E,0))</f>
        <v>277</v>
      </c>
      <c r="B908" s="422" t="s">
        <v>744</v>
      </c>
      <c r="C908" s="362"/>
      <c r="D908" s="413"/>
      <c r="E908" s="499"/>
      <c r="F908" s="254"/>
      <c r="G908" s="362"/>
      <c r="H908" s="413"/>
      <c r="I908" s="499"/>
      <c r="J908" s="254"/>
      <c r="K908" s="362" t="s">
        <v>747</v>
      </c>
      <c r="L908" s="413"/>
      <c r="M908" s="499">
        <v>5234548.0</v>
      </c>
      <c r="N908" s="254"/>
      <c r="O908" s="362" t="s">
        <v>747</v>
      </c>
      <c r="P908" s="577"/>
      <c r="Q908" s="499">
        <v>4128905.0</v>
      </c>
      <c r="R908" s="254"/>
      <c r="S908" s="362" t="s">
        <v>747</v>
      </c>
      <c r="T908" s="516"/>
      <c r="U908" s="499">
        <v>3500309.0</v>
      </c>
      <c r="V908" s="254"/>
      <c r="W908" s="362" t="s">
        <v>749</v>
      </c>
      <c r="X908" s="516"/>
      <c r="Y908" s="499">
        <v>3936736.0</v>
      </c>
      <c r="Z908" s="254"/>
      <c r="AA908" s="362" t="s">
        <v>749</v>
      </c>
      <c r="AB908" s="548"/>
      <c r="AC908" s="488">
        <v>3381749.0</v>
      </c>
      <c r="AD908" s="306"/>
      <c r="AE908" s="308"/>
      <c r="AF908" s="308"/>
      <c r="AG908" s="308"/>
      <c r="AH908" s="308"/>
      <c r="AI908" s="308"/>
      <c r="AJ908" s="368"/>
      <c r="AK908" s="300"/>
      <c r="AL908" s="259" t="str">
        <f>MATCH(B908,'Key Findings'!B:B,0)</f>
        <v>#N/A</v>
      </c>
      <c r="AM908" s="274" t="b">
        <f t="shared" si="2"/>
        <v>1</v>
      </c>
      <c r="AN908" s="294"/>
    </row>
    <row r="909">
      <c r="A909" s="196">
        <f t="array" ref="A909">INDEX('Federal Tax, Stock Buybacks, &amp; '!D:D,match(B909,'Federal Tax, Stock Buybacks, &amp; '!E:E,0))</f>
        <v>277</v>
      </c>
      <c r="B909" s="422" t="s">
        <v>744</v>
      </c>
      <c r="C909" s="362"/>
      <c r="D909" s="413"/>
      <c r="E909" s="499"/>
      <c r="F909" s="254"/>
      <c r="G909" s="362"/>
      <c r="H909" s="413"/>
      <c r="I909" s="499"/>
      <c r="J909" s="254"/>
      <c r="K909" s="362" t="s">
        <v>751</v>
      </c>
      <c r="L909" s="413"/>
      <c r="M909" s="499">
        <v>2268804.0</v>
      </c>
      <c r="N909" s="254"/>
      <c r="O909" s="362" t="s">
        <v>745</v>
      </c>
      <c r="P909" s="577"/>
      <c r="Q909" s="499">
        <v>9746073.0</v>
      </c>
      <c r="R909" s="254"/>
      <c r="S909" s="362" t="s">
        <v>745</v>
      </c>
      <c r="T909" s="516"/>
      <c r="U909" s="499">
        <v>4900168.0</v>
      </c>
      <c r="V909" s="254"/>
      <c r="W909" s="362" t="s">
        <v>745</v>
      </c>
      <c r="X909" s="516"/>
      <c r="Y909" s="499">
        <v>4077970.0</v>
      </c>
      <c r="Z909" s="254"/>
      <c r="AA909" s="362" t="s">
        <v>745</v>
      </c>
      <c r="AB909" s="548"/>
      <c r="AC909" s="488">
        <v>3739735.0</v>
      </c>
      <c r="AD909" s="306"/>
      <c r="AE909" s="308"/>
      <c r="AF909" s="308"/>
      <c r="AG909" s="308"/>
      <c r="AH909" s="308"/>
      <c r="AI909" s="308"/>
      <c r="AJ909" s="368"/>
      <c r="AK909" s="300"/>
      <c r="AL909" s="259" t="str">
        <f>MATCH(B909,'Key Findings'!B:B,0)</f>
        <v>#N/A</v>
      </c>
      <c r="AM909" s="274" t="b">
        <f t="shared" si="2"/>
        <v>1</v>
      </c>
      <c r="AN909" s="294"/>
    </row>
    <row r="910">
      <c r="A910" s="196">
        <f t="array" ref="A910">INDEX('Federal Tax, Stock Buybacks, &amp; '!D:D,match(B910,'Federal Tax, Stock Buybacks, &amp; '!E:E,0))</f>
        <v>277</v>
      </c>
      <c r="B910" s="422" t="s">
        <v>744</v>
      </c>
      <c r="C910" s="362"/>
      <c r="D910" s="413"/>
      <c r="E910" s="499"/>
      <c r="F910" s="254"/>
      <c r="G910" s="362"/>
      <c r="H910" s="413"/>
      <c r="I910" s="499"/>
      <c r="J910" s="254"/>
      <c r="K910" s="362" t="s">
        <v>745</v>
      </c>
      <c r="L910" s="413"/>
      <c r="M910" s="499">
        <v>6492702.0</v>
      </c>
      <c r="N910" s="254"/>
      <c r="O910" s="279" t="s">
        <v>711</v>
      </c>
      <c r="P910" s="280" t="s">
        <v>711</v>
      </c>
      <c r="Q910" s="580" t="s">
        <v>711</v>
      </c>
      <c r="R910" s="254"/>
      <c r="S910" s="279" t="s">
        <v>711</v>
      </c>
      <c r="T910" s="280" t="s">
        <v>711</v>
      </c>
      <c r="U910" s="580" t="s">
        <v>711</v>
      </c>
      <c r="V910" s="254"/>
      <c r="W910" s="362" t="s">
        <v>752</v>
      </c>
      <c r="X910" s="516"/>
      <c r="Y910" s="499">
        <v>2098458.0</v>
      </c>
      <c r="Z910" s="254"/>
      <c r="AA910" s="279" t="s">
        <v>711</v>
      </c>
      <c r="AB910" s="280" t="s">
        <v>711</v>
      </c>
      <c r="AC910" s="580" t="s">
        <v>711</v>
      </c>
      <c r="AD910" s="306"/>
      <c r="AE910" s="308"/>
      <c r="AF910" s="308"/>
      <c r="AG910" s="308"/>
      <c r="AH910" s="308"/>
      <c r="AI910" s="308"/>
      <c r="AJ910" s="368"/>
      <c r="AK910" s="300"/>
      <c r="AL910" s="259" t="str">
        <f>MATCH(B910,'Key Findings'!B:B,0)</f>
        <v>#N/A</v>
      </c>
      <c r="AM910" s="274" t="b">
        <f t="shared" si="2"/>
        <v>1</v>
      </c>
      <c r="AN910" s="294"/>
    </row>
    <row r="911">
      <c r="A911" s="169">
        <f t="array" ref="A911">INDEX('Federal Tax, Stock Buybacks, &amp; '!D:D,match(B911,'Federal Tax, Stock Buybacks, &amp; '!E:E,0))</f>
        <v>428</v>
      </c>
      <c r="B911" s="130" t="s">
        <v>727</v>
      </c>
      <c r="C911" s="282"/>
      <c r="D911" s="373"/>
      <c r="E911" s="471"/>
      <c r="F911" s="254"/>
      <c r="G911" s="282"/>
      <c r="H911" s="373"/>
      <c r="I911" s="471"/>
      <c r="J911" s="254"/>
      <c r="K911" s="282" t="s">
        <v>726</v>
      </c>
      <c r="L911" s="373"/>
      <c r="M911" s="471">
        <v>1.0207641E7</v>
      </c>
      <c r="N911" s="254"/>
      <c r="O911" s="282" t="s">
        <v>726</v>
      </c>
      <c r="P911" s="581"/>
      <c r="Q911" s="471">
        <v>9054252.0</v>
      </c>
      <c r="R911" s="254"/>
      <c r="S911" s="282" t="s">
        <v>726</v>
      </c>
      <c r="T911" s="524"/>
      <c r="U911" s="471">
        <v>9038341.0</v>
      </c>
      <c r="V911" s="254"/>
      <c r="W911" s="282" t="s">
        <v>726</v>
      </c>
      <c r="X911" s="524"/>
      <c r="Y911" s="471">
        <v>7648588.0</v>
      </c>
      <c r="Z911" s="254"/>
      <c r="AA911" s="282" t="s">
        <v>726</v>
      </c>
      <c r="AB911" s="522"/>
      <c r="AC911" s="472">
        <v>8777496.0</v>
      </c>
      <c r="AD911" s="288"/>
      <c r="AE911" s="391">
        <v>2022.0</v>
      </c>
      <c r="AF911" s="391">
        <v>2021.0</v>
      </c>
      <c r="AG911" s="391">
        <v>2020.0</v>
      </c>
      <c r="AH911" s="391">
        <v>2019.0</v>
      </c>
      <c r="AI911" s="391">
        <v>2018.0</v>
      </c>
      <c r="AJ911" s="290" t="s">
        <v>2317</v>
      </c>
      <c r="AK911" s="281"/>
      <c r="AL911" s="259" t="str">
        <f>MATCH(B911,'Key Findings'!B:B,0)</f>
        <v>#N/A</v>
      </c>
      <c r="AM911" s="260" t="b">
        <f t="shared" si="2"/>
        <v>0</v>
      </c>
      <c r="AN911" s="294"/>
    </row>
    <row r="912">
      <c r="A912" s="169">
        <f t="array" ref="A912">INDEX('Federal Tax, Stock Buybacks, &amp; '!D:D,match(B912,'Federal Tax, Stock Buybacks, &amp; '!E:E,0))</f>
        <v>428</v>
      </c>
      <c r="B912" s="130" t="s">
        <v>727</v>
      </c>
      <c r="C912" s="282"/>
      <c r="D912" s="373"/>
      <c r="E912" s="471"/>
      <c r="F912" s="254"/>
      <c r="G912" s="282"/>
      <c r="H912" s="373"/>
      <c r="I912" s="471"/>
      <c r="J912" s="254"/>
      <c r="K912" s="282" t="s">
        <v>729</v>
      </c>
      <c r="L912" s="373"/>
      <c r="M912" s="471">
        <v>2704548.0</v>
      </c>
      <c r="N912" s="254"/>
      <c r="O912" s="282" t="s">
        <v>729</v>
      </c>
      <c r="P912" s="581"/>
      <c r="Q912" s="471">
        <v>2523040.0</v>
      </c>
      <c r="R912" s="254"/>
      <c r="S912" s="282" t="s">
        <v>729</v>
      </c>
      <c r="T912" s="524"/>
      <c r="U912" s="471">
        <v>2296691.0</v>
      </c>
      <c r="V912" s="254"/>
      <c r="W912" s="282" t="s">
        <v>729</v>
      </c>
      <c r="X912" s="524"/>
      <c r="Y912" s="471">
        <v>1326744.0</v>
      </c>
      <c r="Z912" s="254"/>
      <c r="AA912" s="282" t="s">
        <v>729</v>
      </c>
      <c r="AB912" s="522"/>
      <c r="AC912" s="472">
        <v>1012115.0</v>
      </c>
      <c r="AD912" s="288"/>
      <c r="AE912" s="292"/>
      <c r="AF912" s="292"/>
      <c r="AG912" s="292"/>
      <c r="AH912" s="292"/>
      <c r="AI912" s="292"/>
      <c r="AJ912" s="293"/>
      <c r="AK912" s="281"/>
      <c r="AL912" s="259" t="str">
        <f>MATCH(B912,'Key Findings'!B:B,0)</f>
        <v>#N/A</v>
      </c>
      <c r="AM912" s="260" t="b">
        <f t="shared" si="2"/>
        <v>0</v>
      </c>
      <c r="AN912" s="294"/>
    </row>
    <row r="913">
      <c r="A913" s="169">
        <f t="array" ref="A913">INDEX('Federal Tax, Stock Buybacks, &amp; '!D:D,match(B913,'Federal Tax, Stock Buybacks, &amp; '!E:E,0))</f>
        <v>428</v>
      </c>
      <c r="B913" s="130" t="s">
        <v>727</v>
      </c>
      <c r="C913" s="282"/>
      <c r="D913" s="373"/>
      <c r="E913" s="471"/>
      <c r="F913" s="254"/>
      <c r="G913" s="282"/>
      <c r="H913" s="373"/>
      <c r="I913" s="471"/>
      <c r="J913" s="254"/>
      <c r="K913" s="282" t="s">
        <v>734</v>
      </c>
      <c r="L913" s="373"/>
      <c r="M913" s="471">
        <v>2845236.0</v>
      </c>
      <c r="N913" s="254"/>
      <c r="O913" s="282" t="s">
        <v>732</v>
      </c>
      <c r="P913" s="581"/>
      <c r="Q913" s="471">
        <v>1329306.0</v>
      </c>
      <c r="R913" s="254"/>
      <c r="S913" s="282" t="s">
        <v>732</v>
      </c>
      <c r="T913" s="524"/>
      <c r="U913" s="471">
        <v>644959.0</v>
      </c>
      <c r="V913" s="254"/>
      <c r="W913" s="282" t="s">
        <v>730</v>
      </c>
      <c r="X913" s="524"/>
      <c r="Y913" s="471">
        <v>2715791.0</v>
      </c>
      <c r="Z913" s="254"/>
      <c r="AA913" s="282" t="s">
        <v>730</v>
      </c>
      <c r="AB913" s="522"/>
      <c r="AC913" s="472">
        <v>3213189.0</v>
      </c>
      <c r="AD913" s="288"/>
      <c r="AE913" s="292"/>
      <c r="AF913" s="292"/>
      <c r="AG913" s="292"/>
      <c r="AH913" s="292"/>
      <c r="AI913" s="292"/>
      <c r="AJ913" s="293"/>
      <c r="AK913" s="281"/>
      <c r="AL913" s="259" t="str">
        <f>MATCH(B913,'Key Findings'!B:B,0)</f>
        <v>#N/A</v>
      </c>
      <c r="AM913" s="260" t="b">
        <f t="shared" si="2"/>
        <v>0</v>
      </c>
      <c r="AN913" s="294"/>
    </row>
    <row r="914">
      <c r="A914" s="169">
        <f t="array" ref="A914">INDEX('Federal Tax, Stock Buybacks, &amp; '!D:D,match(B914,'Federal Tax, Stock Buybacks, &amp; '!E:E,0))</f>
        <v>428</v>
      </c>
      <c r="B914" s="130" t="s">
        <v>727</v>
      </c>
      <c r="C914" s="282"/>
      <c r="D914" s="373"/>
      <c r="E914" s="471"/>
      <c r="F914" s="254"/>
      <c r="G914" s="282"/>
      <c r="H914" s="373"/>
      <c r="I914" s="471"/>
      <c r="J914" s="254"/>
      <c r="K914" s="282" t="s">
        <v>732</v>
      </c>
      <c r="L914" s="373"/>
      <c r="M914" s="471">
        <v>1909344.0</v>
      </c>
      <c r="N914" s="254"/>
      <c r="O914" s="282" t="s">
        <v>733</v>
      </c>
      <c r="P914" s="581"/>
      <c r="Q914" s="471">
        <v>1319674.0</v>
      </c>
      <c r="R914" s="254"/>
      <c r="S914" s="282" t="s">
        <v>733</v>
      </c>
      <c r="T914" s="524"/>
      <c r="U914" s="471">
        <v>619681.0</v>
      </c>
      <c r="V914" s="254"/>
      <c r="W914" s="282" t="s">
        <v>728</v>
      </c>
      <c r="X914" s="524"/>
      <c r="Y914" s="471">
        <v>3696100.0</v>
      </c>
      <c r="Z914" s="254"/>
      <c r="AA914" s="282" t="s">
        <v>728</v>
      </c>
      <c r="AB914" s="522"/>
      <c r="AC914" s="472">
        <v>3775146.0</v>
      </c>
      <c r="AD914" s="288"/>
      <c r="AE914" s="292"/>
      <c r="AF914" s="292"/>
      <c r="AG914" s="292"/>
      <c r="AH914" s="292"/>
      <c r="AI914" s="292"/>
      <c r="AJ914" s="293"/>
      <c r="AK914" s="281"/>
      <c r="AL914" s="259" t="str">
        <f>MATCH(B914,'Key Findings'!B:B,0)</f>
        <v>#N/A</v>
      </c>
      <c r="AM914" s="260" t="b">
        <f t="shared" si="2"/>
        <v>0</v>
      </c>
      <c r="AN914" s="294"/>
    </row>
    <row r="915">
      <c r="A915" s="169">
        <f t="array" ref="A915">INDEX('Federal Tax, Stock Buybacks, &amp; '!D:D,match(B915,'Federal Tax, Stock Buybacks, &amp; '!E:E,0))</f>
        <v>428</v>
      </c>
      <c r="B915" s="130" t="s">
        <v>727</v>
      </c>
      <c r="C915" s="282"/>
      <c r="D915" s="373"/>
      <c r="E915" s="471"/>
      <c r="F915" s="254"/>
      <c r="G915" s="282"/>
      <c r="H915" s="373"/>
      <c r="I915" s="471"/>
      <c r="J915" s="254"/>
      <c r="K915" s="282" t="s">
        <v>733</v>
      </c>
      <c r="L915" s="373"/>
      <c r="M915" s="471">
        <v>1909459.0</v>
      </c>
      <c r="N915" s="254"/>
      <c r="O915" s="282" t="s">
        <v>728</v>
      </c>
      <c r="P915" s="581"/>
      <c r="Q915" s="471">
        <v>4256000.0</v>
      </c>
      <c r="R915" s="254"/>
      <c r="S915" s="282" t="s">
        <v>728</v>
      </c>
      <c r="T915" s="524"/>
      <c r="U915" s="471">
        <v>4245342.0</v>
      </c>
      <c r="V915" s="254"/>
      <c r="W915" s="282" t="s">
        <v>731</v>
      </c>
      <c r="X915" s="524"/>
      <c r="Y915" s="471">
        <v>1848515.0</v>
      </c>
      <c r="Z915" s="254"/>
      <c r="AA915" s="282" t="s">
        <v>731</v>
      </c>
      <c r="AB915" s="522"/>
      <c r="AC915" s="472">
        <v>1956681.0</v>
      </c>
      <c r="AD915" s="288"/>
      <c r="AE915" s="292"/>
      <c r="AF915" s="292"/>
      <c r="AG915" s="292"/>
      <c r="AH915" s="292"/>
      <c r="AI915" s="292"/>
      <c r="AJ915" s="293"/>
      <c r="AK915" s="281"/>
      <c r="AL915" s="259" t="str">
        <f>MATCH(B915,'Key Findings'!B:B,0)</f>
        <v>#N/A</v>
      </c>
      <c r="AM915" s="260" t="b">
        <f t="shared" si="2"/>
        <v>0</v>
      </c>
      <c r="AN915" s="294"/>
    </row>
    <row r="916">
      <c r="A916" s="169">
        <f t="array" ref="A916">INDEX('Federal Tax, Stock Buybacks, &amp; '!D:D,match(B916,'Federal Tax, Stock Buybacks, &amp; '!E:E,0))</f>
        <v>428</v>
      </c>
      <c r="B916" s="130" t="s">
        <v>727</v>
      </c>
      <c r="C916" s="282"/>
      <c r="D916" s="373"/>
      <c r="E916" s="471"/>
      <c r="F916" s="254"/>
      <c r="G916" s="282"/>
      <c r="H916" s="373"/>
      <c r="I916" s="471"/>
      <c r="J916" s="254"/>
      <c r="K916" s="282" t="s">
        <v>728</v>
      </c>
      <c r="L916" s="373"/>
      <c r="M916" s="471">
        <v>4472099.0</v>
      </c>
      <c r="N916" s="254"/>
      <c r="O916" s="376" t="s">
        <v>711</v>
      </c>
      <c r="P916" s="375" t="s">
        <v>711</v>
      </c>
      <c r="Q916" s="557" t="s">
        <v>711</v>
      </c>
      <c r="R916" s="254"/>
      <c r="S916" s="282" t="s">
        <v>731</v>
      </c>
      <c r="T916" s="524"/>
      <c r="U916" s="471">
        <v>1552213.0</v>
      </c>
      <c r="V916" s="254"/>
      <c r="W916" s="376" t="s">
        <v>711</v>
      </c>
      <c r="X916" s="375" t="s">
        <v>711</v>
      </c>
      <c r="Y916" s="557" t="s">
        <v>711</v>
      </c>
      <c r="Z916" s="254"/>
      <c r="AA916" s="376" t="s">
        <v>711</v>
      </c>
      <c r="AB916" s="375" t="s">
        <v>711</v>
      </c>
      <c r="AC916" s="557" t="s">
        <v>711</v>
      </c>
      <c r="AD916" s="288"/>
      <c r="AE916" s="292"/>
      <c r="AF916" s="292"/>
      <c r="AG916" s="292"/>
      <c r="AH916" s="292"/>
      <c r="AI916" s="292"/>
      <c r="AJ916" s="293"/>
      <c r="AK916" s="281"/>
      <c r="AL916" s="259" t="str">
        <f>MATCH(B916,'Key Findings'!B:B,0)</f>
        <v>#N/A</v>
      </c>
      <c r="AM916" s="260" t="b">
        <f t="shared" si="2"/>
        <v>0</v>
      </c>
      <c r="AN916" s="294"/>
    </row>
    <row r="917">
      <c r="A917" s="169">
        <f t="array" ref="A917">INDEX('Federal Tax, Stock Buybacks, &amp; '!D:D,match(B917,'Federal Tax, Stock Buybacks, &amp; '!E:E,0))</f>
        <v>25</v>
      </c>
      <c r="B917" s="582" t="s">
        <v>2509</v>
      </c>
      <c r="C917" s="582"/>
      <c r="D917" s="323"/>
      <c r="E917" s="545"/>
      <c r="F917" s="254"/>
      <c r="G917" s="582"/>
      <c r="H917" s="323"/>
      <c r="I917" s="545"/>
      <c r="J917" s="254"/>
      <c r="K917" s="582" t="s">
        <v>2510</v>
      </c>
      <c r="L917" s="323" t="s">
        <v>2001</v>
      </c>
      <c r="M917" s="545">
        <v>7599513.0</v>
      </c>
      <c r="N917" s="254"/>
      <c r="O917" s="582" t="s">
        <v>2510</v>
      </c>
      <c r="P917" s="323" t="s">
        <v>1674</v>
      </c>
      <c r="Q917" s="545">
        <v>2.063799E7</v>
      </c>
      <c r="R917" s="254"/>
      <c r="S917" s="582" t="s">
        <v>2510</v>
      </c>
      <c r="T917" s="323" t="s">
        <v>1674</v>
      </c>
      <c r="U917" s="545">
        <v>2.4956777E7</v>
      </c>
      <c r="V917" s="254"/>
      <c r="W917" s="582" t="s">
        <v>2510</v>
      </c>
      <c r="X917" s="323" t="s">
        <v>1674</v>
      </c>
      <c r="Y917" s="545">
        <v>2.6438425E7</v>
      </c>
      <c r="Z917" s="254"/>
      <c r="AA917" s="582" t="s">
        <v>2510</v>
      </c>
      <c r="AB917" s="323" t="s">
        <v>1674</v>
      </c>
      <c r="AC917" s="545">
        <v>2.6122414E7</v>
      </c>
      <c r="AD917" s="271"/>
      <c r="AE917" s="272">
        <v>2022.0</v>
      </c>
      <c r="AF917" s="272">
        <v>2021.0</v>
      </c>
      <c r="AG917" s="272">
        <v>2020.0</v>
      </c>
      <c r="AH917" s="272">
        <v>2019.0</v>
      </c>
      <c r="AI917" s="272">
        <v>2018.0</v>
      </c>
      <c r="AJ917" s="325" t="s">
        <v>1578</v>
      </c>
      <c r="AK917" s="426"/>
      <c r="AL917" s="281"/>
      <c r="AM917" s="281"/>
      <c r="AN917" s="294"/>
    </row>
    <row r="918">
      <c r="A918" s="169">
        <f t="array" ref="A918">INDEX('Federal Tax, Stock Buybacks, &amp; '!D:D,match(B918,'Federal Tax, Stock Buybacks, &amp; '!E:E,0))</f>
        <v>25</v>
      </c>
      <c r="B918" s="582" t="s">
        <v>2509</v>
      </c>
      <c r="C918" s="582"/>
      <c r="D918" s="323"/>
      <c r="E918" s="545"/>
      <c r="F918" s="254"/>
      <c r="G918" s="582"/>
      <c r="H918" s="323"/>
      <c r="I918" s="545"/>
      <c r="J918" s="254"/>
      <c r="K918" s="582" t="s">
        <v>2511</v>
      </c>
      <c r="L918" s="323" t="s">
        <v>2512</v>
      </c>
      <c r="M918" s="545">
        <v>6910926.0</v>
      </c>
      <c r="N918" s="254"/>
      <c r="O918" s="582" t="s">
        <v>2513</v>
      </c>
      <c r="P918" s="323" t="s">
        <v>2514</v>
      </c>
      <c r="Q918" s="545">
        <v>1.1146372E7</v>
      </c>
      <c r="R918" s="254"/>
      <c r="S918" s="582" t="s">
        <v>2513</v>
      </c>
      <c r="T918" s="323" t="s">
        <v>2371</v>
      </c>
      <c r="U918" s="545">
        <v>7679402.0</v>
      </c>
      <c r="V918" s="254"/>
      <c r="W918" s="582" t="s">
        <v>2513</v>
      </c>
      <c r="X918" s="323" t="s">
        <v>2371</v>
      </c>
      <c r="Y918" s="545">
        <v>6118969.0</v>
      </c>
      <c r="Z918" s="254"/>
      <c r="AA918" s="582" t="s">
        <v>2513</v>
      </c>
      <c r="AB918" s="323" t="s">
        <v>2371</v>
      </c>
      <c r="AC918" s="545">
        <v>6164144.0</v>
      </c>
      <c r="AD918" s="271"/>
      <c r="AE918" s="582"/>
      <c r="AF918" s="582"/>
      <c r="AG918" s="582"/>
      <c r="AH918" s="582"/>
      <c r="AI918" s="582"/>
      <c r="AJ918" s="582"/>
      <c r="AK918" s="426"/>
      <c r="AL918" s="281"/>
      <c r="AM918" s="281"/>
      <c r="AN918" s="294"/>
    </row>
    <row r="919">
      <c r="A919" s="169">
        <f t="array" ref="A919">INDEX('Federal Tax, Stock Buybacks, &amp; '!D:D,match(B919,'Federal Tax, Stock Buybacks, &amp; '!E:E,0))</f>
        <v>25</v>
      </c>
      <c r="B919" s="582" t="s">
        <v>2509</v>
      </c>
      <c r="C919" s="582"/>
      <c r="D919" s="323"/>
      <c r="E919" s="545"/>
      <c r="F919" s="254"/>
      <c r="G919" s="582"/>
      <c r="H919" s="323"/>
      <c r="I919" s="545"/>
      <c r="J919" s="254"/>
      <c r="K919" s="582" t="s">
        <v>2515</v>
      </c>
      <c r="L919" s="323" t="s">
        <v>1523</v>
      </c>
      <c r="M919" s="545">
        <v>1.3246447E7</v>
      </c>
      <c r="N919" s="254"/>
      <c r="O919" s="582" t="s">
        <v>2516</v>
      </c>
      <c r="P919" s="323" t="s">
        <v>2178</v>
      </c>
      <c r="Q919" s="545">
        <v>4763643.0</v>
      </c>
      <c r="R919" s="254"/>
      <c r="S919" s="582" t="s">
        <v>2516</v>
      </c>
      <c r="T919" s="323" t="s">
        <v>1881</v>
      </c>
      <c r="U919" s="545">
        <v>8006713.0</v>
      </c>
      <c r="V919" s="254"/>
      <c r="W919" s="582" t="s">
        <v>2516</v>
      </c>
      <c r="X919" s="323" t="s">
        <v>2517</v>
      </c>
      <c r="Y919" s="545">
        <v>9434284.0</v>
      </c>
      <c r="Z919" s="254"/>
      <c r="AA919" s="582" t="s">
        <v>2516</v>
      </c>
      <c r="AB919" s="323" t="s">
        <v>2517</v>
      </c>
      <c r="AC919" s="545">
        <v>9960954.0</v>
      </c>
      <c r="AD919" s="271"/>
      <c r="AE919" s="582"/>
      <c r="AF919" s="582"/>
      <c r="AG919" s="582"/>
      <c r="AH919" s="582"/>
      <c r="AI919" s="582"/>
      <c r="AJ919" s="582"/>
      <c r="AK919" s="426"/>
      <c r="AL919" s="281"/>
      <c r="AM919" s="281"/>
      <c r="AN919" s="294"/>
    </row>
    <row r="920">
      <c r="A920" s="169">
        <f t="array" ref="A920">INDEX('Federal Tax, Stock Buybacks, &amp; '!D:D,match(B920,'Federal Tax, Stock Buybacks, &amp; '!E:E,0))</f>
        <v>25</v>
      </c>
      <c r="B920" s="582" t="s">
        <v>2509</v>
      </c>
      <c r="C920" s="582"/>
      <c r="D920" s="323"/>
      <c r="E920" s="545"/>
      <c r="F920" s="254"/>
      <c r="G920" s="582"/>
      <c r="H920" s="323"/>
      <c r="I920" s="545"/>
      <c r="J920" s="254"/>
      <c r="K920" s="582" t="s">
        <v>2518</v>
      </c>
      <c r="L920" s="323" t="s">
        <v>1881</v>
      </c>
      <c r="M920" s="545">
        <v>9739210.0</v>
      </c>
      <c r="N920" s="254"/>
      <c r="O920" s="582" t="s">
        <v>2511</v>
      </c>
      <c r="P920" s="323" t="s">
        <v>1697</v>
      </c>
      <c r="Q920" s="545">
        <v>1.4105744E7</v>
      </c>
      <c r="R920" s="254"/>
      <c r="S920" s="582" t="s">
        <v>2519</v>
      </c>
      <c r="T920" s="323" t="s">
        <v>2177</v>
      </c>
      <c r="U920" s="545">
        <v>4342917.0</v>
      </c>
      <c r="V920" s="254"/>
      <c r="W920" s="582" t="s">
        <v>2519</v>
      </c>
      <c r="X920" s="323" t="s">
        <v>2177</v>
      </c>
      <c r="Y920" s="545">
        <v>4410005.0</v>
      </c>
      <c r="Z920" s="254"/>
      <c r="AA920" s="582" t="s">
        <v>2519</v>
      </c>
      <c r="AB920" s="323" t="s">
        <v>2177</v>
      </c>
      <c r="AC920" s="545">
        <v>4035672.0</v>
      </c>
      <c r="AD920" s="271"/>
      <c r="AE920" s="582"/>
      <c r="AF920" s="582"/>
      <c r="AG920" s="582"/>
      <c r="AH920" s="582"/>
      <c r="AI920" s="582"/>
      <c r="AJ920" s="582"/>
      <c r="AK920" s="426"/>
      <c r="AL920" s="281"/>
      <c r="AM920" s="281"/>
      <c r="AN920" s="294"/>
    </row>
    <row r="921">
      <c r="A921" s="169">
        <f t="array" ref="A921">INDEX('Federal Tax, Stock Buybacks, &amp; '!D:D,match(B921,'Federal Tax, Stock Buybacks, &amp; '!E:E,0))</f>
        <v>25</v>
      </c>
      <c r="B921" s="582" t="s">
        <v>2509</v>
      </c>
      <c r="C921" s="582"/>
      <c r="D921" s="323"/>
      <c r="E921" s="545"/>
      <c r="F921" s="254"/>
      <c r="G921" s="582"/>
      <c r="H921" s="323"/>
      <c r="I921" s="545"/>
      <c r="J921" s="254"/>
      <c r="K921" s="582" t="s">
        <v>2520</v>
      </c>
      <c r="L921" s="323" t="s">
        <v>2521</v>
      </c>
      <c r="M921" s="545">
        <v>2422528.0</v>
      </c>
      <c r="N921" s="254"/>
      <c r="O921" s="582" t="s">
        <v>2515</v>
      </c>
      <c r="P921" s="323" t="s">
        <v>1696</v>
      </c>
      <c r="Q921" s="545">
        <v>1.5227522E7</v>
      </c>
      <c r="R921" s="254"/>
      <c r="S921" s="582" t="s">
        <v>2522</v>
      </c>
      <c r="T921" s="323" t="s">
        <v>2523</v>
      </c>
      <c r="U921" s="545">
        <v>7807113.0</v>
      </c>
      <c r="V921" s="254"/>
      <c r="W921" s="582" t="s">
        <v>2522</v>
      </c>
      <c r="X921" s="323" t="s">
        <v>2523</v>
      </c>
      <c r="Y921" s="545">
        <v>8637416.0</v>
      </c>
      <c r="Z921" s="254"/>
      <c r="AA921" s="582" t="s">
        <v>2522</v>
      </c>
      <c r="AB921" s="323" t="s">
        <v>2523</v>
      </c>
      <c r="AC921" s="545">
        <v>7573238.0</v>
      </c>
      <c r="AD921" s="271"/>
      <c r="AE921" s="582"/>
      <c r="AF921" s="582"/>
      <c r="AG921" s="582"/>
      <c r="AH921" s="582"/>
      <c r="AI921" s="582"/>
      <c r="AJ921" s="582"/>
      <c r="AK921" s="426"/>
      <c r="AL921" s="281"/>
      <c r="AM921" s="281"/>
      <c r="AN921" s="294"/>
    </row>
    <row r="922">
      <c r="A922" s="169">
        <f t="array" ref="A922">INDEX('Federal Tax, Stock Buybacks, &amp; '!D:D,match(B922,'Federal Tax, Stock Buybacks, &amp; '!E:E,0))</f>
        <v>25</v>
      </c>
      <c r="B922" s="582" t="s">
        <v>2509</v>
      </c>
      <c r="C922" s="582"/>
      <c r="D922" s="323"/>
      <c r="E922" s="545"/>
      <c r="F922" s="254"/>
      <c r="G922" s="582"/>
      <c r="H922" s="323"/>
      <c r="I922" s="545"/>
      <c r="J922" s="254"/>
      <c r="K922" s="582" t="s">
        <v>2524</v>
      </c>
      <c r="L922" s="323" t="s">
        <v>1649</v>
      </c>
      <c r="M922" s="545">
        <v>9982686.0</v>
      </c>
      <c r="N922" s="254"/>
      <c r="O922" s="582" t="s">
        <v>2518</v>
      </c>
      <c r="P922" s="323" t="s">
        <v>1881</v>
      </c>
      <c r="Q922" s="545">
        <v>8199038.0</v>
      </c>
      <c r="R922" s="254"/>
      <c r="S922" s="582" t="s">
        <v>2525</v>
      </c>
      <c r="T922" s="323" t="s">
        <v>2526</v>
      </c>
      <c r="U922" s="545">
        <v>1.5042226E7</v>
      </c>
      <c r="V922" s="254"/>
      <c r="W922" s="326" t="s">
        <v>711</v>
      </c>
      <c r="X922" s="328" t="s">
        <v>711</v>
      </c>
      <c r="Y922" s="545" t="s">
        <v>711</v>
      </c>
      <c r="Z922" s="254"/>
      <c r="AA922" s="326" t="s">
        <v>711</v>
      </c>
      <c r="AB922" s="328" t="s">
        <v>711</v>
      </c>
      <c r="AC922" s="545" t="s">
        <v>711</v>
      </c>
      <c r="AD922" s="271"/>
      <c r="AE922" s="582"/>
      <c r="AF922" s="582"/>
      <c r="AG922" s="582"/>
      <c r="AH922" s="582"/>
      <c r="AI922" s="582"/>
      <c r="AJ922" s="582"/>
      <c r="AK922" s="426"/>
      <c r="AL922" s="281"/>
      <c r="AM922" s="281"/>
      <c r="AN922" s="294"/>
    </row>
    <row r="923">
      <c r="A923" s="169">
        <f t="array" ref="A923">INDEX('Federal Tax, Stock Buybacks, &amp; '!D:D,match(B923,'Federal Tax, Stock Buybacks, &amp; '!E:E,0))</f>
        <v>25</v>
      </c>
      <c r="B923" s="582" t="s">
        <v>2509</v>
      </c>
      <c r="C923" s="582"/>
      <c r="D923" s="323"/>
      <c r="E923" s="545"/>
      <c r="F923" s="254"/>
      <c r="G923" s="582"/>
      <c r="H923" s="323"/>
      <c r="I923" s="545"/>
      <c r="J923" s="254"/>
      <c r="K923" s="582" t="s">
        <v>2527</v>
      </c>
      <c r="L923" s="323" t="s">
        <v>2528</v>
      </c>
      <c r="M923" s="545">
        <v>4633756.0</v>
      </c>
      <c r="N923" s="254"/>
      <c r="O923" s="582" t="s">
        <v>2520</v>
      </c>
      <c r="P923" s="323" t="s">
        <v>2521</v>
      </c>
      <c r="Q923" s="545">
        <v>5985832.0</v>
      </c>
      <c r="R923" s="254"/>
      <c r="S923" s="326" t="s">
        <v>711</v>
      </c>
      <c r="T923" s="328" t="s">
        <v>711</v>
      </c>
      <c r="U923" s="545" t="s">
        <v>711</v>
      </c>
      <c r="V923" s="254"/>
      <c r="W923" s="326" t="s">
        <v>711</v>
      </c>
      <c r="X923" s="328" t="s">
        <v>711</v>
      </c>
      <c r="Y923" s="545" t="s">
        <v>711</v>
      </c>
      <c r="Z923" s="254"/>
      <c r="AA923" s="326" t="s">
        <v>711</v>
      </c>
      <c r="AB923" s="328" t="s">
        <v>711</v>
      </c>
      <c r="AC923" s="545" t="s">
        <v>711</v>
      </c>
      <c r="AD923" s="271"/>
      <c r="AE923" s="277"/>
      <c r="AF923" s="582"/>
      <c r="AG923" s="582"/>
      <c r="AH923" s="582"/>
      <c r="AI923" s="582"/>
      <c r="AJ923" s="582"/>
      <c r="AK923" s="426"/>
      <c r="AL923" s="281"/>
      <c r="AM923" s="281"/>
      <c r="AN923" s="294"/>
    </row>
    <row r="924">
      <c r="A924" s="169">
        <f t="array" ref="A924">INDEX('Federal Tax, Stock Buybacks, &amp; '!D:D,match(B924,'Federal Tax, Stock Buybacks, &amp; '!E:E,0))</f>
        <v>25</v>
      </c>
      <c r="B924" s="582" t="s">
        <v>2509</v>
      </c>
      <c r="C924" s="582"/>
      <c r="D924" s="323"/>
      <c r="E924" s="545"/>
      <c r="F924" s="254"/>
      <c r="G924" s="582"/>
      <c r="H924" s="323"/>
      <c r="I924" s="545"/>
      <c r="J924" s="254"/>
      <c r="K924" s="582" t="s">
        <v>2529</v>
      </c>
      <c r="L924" s="323" t="s">
        <v>2523</v>
      </c>
      <c r="M924" s="545">
        <v>6270418.0</v>
      </c>
      <c r="N924" s="254"/>
      <c r="O924" s="326" t="s">
        <v>711</v>
      </c>
      <c r="P924" s="328" t="s">
        <v>711</v>
      </c>
      <c r="Q924" s="545" t="s">
        <v>711</v>
      </c>
      <c r="R924" s="254"/>
      <c r="S924" s="326" t="s">
        <v>711</v>
      </c>
      <c r="T924" s="328" t="s">
        <v>711</v>
      </c>
      <c r="U924" s="545" t="s">
        <v>711</v>
      </c>
      <c r="V924" s="254"/>
      <c r="W924" s="326" t="s">
        <v>711</v>
      </c>
      <c r="X924" s="328" t="s">
        <v>711</v>
      </c>
      <c r="Y924" s="545" t="s">
        <v>711</v>
      </c>
      <c r="Z924" s="254"/>
      <c r="AA924" s="326" t="s">
        <v>711</v>
      </c>
      <c r="AB924" s="328" t="s">
        <v>711</v>
      </c>
      <c r="AC924" s="545" t="s">
        <v>711</v>
      </c>
      <c r="AD924" s="271"/>
      <c r="AE924" s="277"/>
      <c r="AF924" s="582"/>
      <c r="AG924" s="582"/>
      <c r="AH924" s="582"/>
      <c r="AI924" s="582"/>
      <c r="AJ924" s="582"/>
      <c r="AK924" s="426"/>
      <c r="AL924" s="281"/>
      <c r="AM924" s="281"/>
      <c r="AN924" s="294"/>
    </row>
    <row r="925">
      <c r="A925" s="169">
        <f t="array" ref="A925">INDEX('Federal Tax, Stock Buybacks, &amp; '!D:D,match(B925,'Federal Tax, Stock Buybacks, &amp; '!E:E,0))</f>
        <v>53</v>
      </c>
      <c r="B925" s="264" t="s">
        <v>2530</v>
      </c>
      <c r="C925" s="323"/>
      <c r="D925" s="271"/>
      <c r="E925" s="324"/>
      <c r="F925" s="254"/>
      <c r="G925" s="323"/>
      <c r="H925" s="271"/>
      <c r="I925" s="324"/>
      <c r="J925" s="254"/>
      <c r="K925" s="323" t="s">
        <v>2531</v>
      </c>
      <c r="L925" s="271" t="s">
        <v>2532</v>
      </c>
      <c r="M925" s="324">
        <v>4727262.0</v>
      </c>
      <c r="N925" s="254"/>
      <c r="O925" s="323" t="s">
        <v>2533</v>
      </c>
      <c r="P925" s="583" t="s">
        <v>1686</v>
      </c>
      <c r="Q925" s="324">
        <v>6296299.0</v>
      </c>
      <c r="R925" s="254"/>
      <c r="S925" s="323" t="s">
        <v>2533</v>
      </c>
      <c r="T925" s="271" t="s">
        <v>1585</v>
      </c>
      <c r="U925" s="324">
        <v>7146900.0</v>
      </c>
      <c r="V925" s="254"/>
      <c r="W925" s="323" t="s">
        <v>2533</v>
      </c>
      <c r="X925" s="271" t="s">
        <v>1585</v>
      </c>
      <c r="Y925" s="324">
        <v>2071338.0</v>
      </c>
      <c r="Z925" s="254"/>
      <c r="AA925" s="323" t="s">
        <v>2534</v>
      </c>
      <c r="AB925" s="271" t="s">
        <v>1674</v>
      </c>
      <c r="AC925" s="324">
        <v>3748759.0</v>
      </c>
      <c r="AD925" s="271"/>
      <c r="AE925" s="272">
        <v>2022.0</v>
      </c>
      <c r="AF925" s="272">
        <v>2021.0</v>
      </c>
      <c r="AG925" s="272">
        <v>2020.0</v>
      </c>
      <c r="AH925" s="584">
        <v>2019.0</v>
      </c>
      <c r="AI925" s="584">
        <v>2018.0</v>
      </c>
      <c r="AJ925" s="585" t="s">
        <v>2535</v>
      </c>
      <c r="AK925" s="281"/>
      <c r="AL925" s="281"/>
      <c r="AM925" s="281"/>
      <c r="AN925" s="294"/>
    </row>
    <row r="926">
      <c r="A926" s="169">
        <f t="array" ref="A926">INDEX('Federal Tax, Stock Buybacks, &amp; '!D:D,match(B926,'Federal Tax, Stock Buybacks, &amp; '!E:E,0))</f>
        <v>53</v>
      </c>
      <c r="B926" s="264" t="s">
        <v>2530</v>
      </c>
      <c r="C926" s="323"/>
      <c r="D926" s="583"/>
      <c r="E926" s="324"/>
      <c r="F926" s="254"/>
      <c r="G926" s="323"/>
      <c r="H926" s="583"/>
      <c r="I926" s="324"/>
      <c r="J926" s="254"/>
      <c r="K926" s="323" t="s">
        <v>2536</v>
      </c>
      <c r="L926" s="583" t="s">
        <v>2537</v>
      </c>
      <c r="M926" s="324">
        <v>7146868.0</v>
      </c>
      <c r="N926" s="254"/>
      <c r="O926" s="323" t="s">
        <v>2531</v>
      </c>
      <c r="P926" s="583" t="s">
        <v>2211</v>
      </c>
      <c r="Q926" s="324">
        <v>7046889.0</v>
      </c>
      <c r="R926" s="254"/>
      <c r="S926" s="323" t="s">
        <v>2536</v>
      </c>
      <c r="T926" s="583" t="s">
        <v>2537</v>
      </c>
      <c r="U926" s="324">
        <v>7387266.0</v>
      </c>
      <c r="V926" s="254"/>
      <c r="W926" s="323" t="s">
        <v>2538</v>
      </c>
      <c r="X926" s="271" t="s">
        <v>2539</v>
      </c>
      <c r="Y926" s="324">
        <v>5376747.0</v>
      </c>
      <c r="Z926" s="254"/>
      <c r="AA926" s="323" t="s">
        <v>2533</v>
      </c>
      <c r="AB926" s="271" t="s">
        <v>1585</v>
      </c>
      <c r="AC926" s="324">
        <v>3953339.0</v>
      </c>
      <c r="AD926" s="271"/>
      <c r="AE926" s="277"/>
      <c r="AF926" s="277"/>
      <c r="AG926" s="277"/>
      <c r="AH926" s="277"/>
      <c r="AI926" s="277"/>
      <c r="AJ926" s="582"/>
      <c r="AK926" s="281"/>
      <c r="AL926" s="281"/>
      <c r="AM926" s="281"/>
      <c r="AN926" s="294"/>
    </row>
    <row r="927">
      <c r="A927" s="169">
        <f t="array" ref="A927">INDEX('Federal Tax, Stock Buybacks, &amp; '!D:D,match(B927,'Federal Tax, Stock Buybacks, &amp; '!E:E,0))</f>
        <v>53</v>
      </c>
      <c r="B927" s="264" t="s">
        <v>2530</v>
      </c>
      <c r="C927" s="323"/>
      <c r="D927" s="271"/>
      <c r="E927" s="324"/>
      <c r="F927" s="254"/>
      <c r="G927" s="323"/>
      <c r="H927" s="271"/>
      <c r="I927" s="324"/>
      <c r="J927" s="254"/>
      <c r="K927" s="323" t="s">
        <v>2540</v>
      </c>
      <c r="L927" s="271" t="s">
        <v>1523</v>
      </c>
      <c r="M927" s="324">
        <v>1.610313E7</v>
      </c>
      <c r="N927" s="254"/>
      <c r="O927" s="323" t="s">
        <v>2536</v>
      </c>
      <c r="P927" s="583" t="s">
        <v>2537</v>
      </c>
      <c r="Q927" s="324">
        <v>6738113.0</v>
      </c>
      <c r="R927" s="254"/>
      <c r="S927" s="323" t="s">
        <v>2541</v>
      </c>
      <c r="T927" s="271" t="s">
        <v>2542</v>
      </c>
      <c r="U927" s="324">
        <v>5461305.0</v>
      </c>
      <c r="V927" s="254"/>
      <c r="W927" s="323" t="s">
        <v>2543</v>
      </c>
      <c r="X927" s="271" t="s">
        <v>2544</v>
      </c>
      <c r="Y927" s="324">
        <v>1.3375345E7</v>
      </c>
      <c r="Z927" s="254"/>
      <c r="AA927" s="323" t="s">
        <v>2538</v>
      </c>
      <c r="AB927" s="271" t="s">
        <v>2545</v>
      </c>
      <c r="AC927" s="324">
        <v>4187772.0</v>
      </c>
      <c r="AD927" s="271"/>
      <c r="AE927" s="277"/>
      <c r="AF927" s="277"/>
      <c r="AG927" s="277"/>
      <c r="AH927" s="277"/>
      <c r="AI927" s="277"/>
      <c r="AJ927" s="582"/>
      <c r="AK927" s="281"/>
      <c r="AL927" s="281"/>
      <c r="AM927" s="281"/>
      <c r="AN927" s="294"/>
    </row>
    <row r="928">
      <c r="A928" s="169">
        <f t="array" ref="A928">INDEX('Federal Tax, Stock Buybacks, &amp; '!D:D,match(B928,'Federal Tax, Stock Buybacks, &amp; '!E:E,0))</f>
        <v>53</v>
      </c>
      <c r="B928" s="264" t="s">
        <v>2530</v>
      </c>
      <c r="C928" s="323"/>
      <c r="D928" s="271"/>
      <c r="E928" s="324"/>
      <c r="F928" s="254"/>
      <c r="G928" s="323"/>
      <c r="H928" s="271"/>
      <c r="I928" s="324"/>
      <c r="J928" s="254"/>
      <c r="K928" s="323" t="s">
        <v>2546</v>
      </c>
      <c r="L928" s="271" t="s">
        <v>1544</v>
      </c>
      <c r="M928" s="324">
        <v>5017779.0</v>
      </c>
      <c r="N928" s="254"/>
      <c r="O928" s="323" t="s">
        <v>2541</v>
      </c>
      <c r="P928" s="271" t="s">
        <v>2542</v>
      </c>
      <c r="Q928" s="324">
        <v>5320728.0</v>
      </c>
      <c r="R928" s="254"/>
      <c r="S928" s="323" t="s">
        <v>2540</v>
      </c>
      <c r="T928" s="271" t="s">
        <v>1523</v>
      </c>
      <c r="U928" s="324">
        <v>8483335.0</v>
      </c>
      <c r="V928" s="254"/>
      <c r="W928" s="323" t="s">
        <v>2536</v>
      </c>
      <c r="X928" s="583" t="s">
        <v>2537</v>
      </c>
      <c r="Y928" s="324">
        <v>2336430.0</v>
      </c>
      <c r="Z928" s="254"/>
      <c r="AA928" s="323" t="s">
        <v>2531</v>
      </c>
      <c r="AB928" s="271" t="s">
        <v>2211</v>
      </c>
      <c r="AC928" s="324">
        <v>2302834.0</v>
      </c>
      <c r="AD928" s="271"/>
      <c r="AE928" s="277"/>
      <c r="AF928" s="277"/>
      <c r="AG928" s="277"/>
      <c r="AH928" s="277"/>
      <c r="AI928" s="277"/>
      <c r="AJ928" s="582"/>
      <c r="AK928" s="281"/>
      <c r="AL928" s="281"/>
      <c r="AM928" s="281"/>
      <c r="AN928" s="294"/>
    </row>
    <row r="929">
      <c r="A929" s="169">
        <f t="array" ref="A929">INDEX('Federal Tax, Stock Buybacks, &amp; '!D:D,match(B929,'Federal Tax, Stock Buybacks, &amp; '!E:E,0))</f>
        <v>53</v>
      </c>
      <c r="B929" s="264" t="s">
        <v>2530</v>
      </c>
      <c r="C929" s="323"/>
      <c r="D929" s="271"/>
      <c r="E929" s="324"/>
      <c r="F929" s="254"/>
      <c r="G929" s="323"/>
      <c r="H929" s="271"/>
      <c r="I929" s="324"/>
      <c r="J929" s="254"/>
      <c r="K929" s="323" t="s">
        <v>2547</v>
      </c>
      <c r="L929" s="271" t="s">
        <v>1788</v>
      </c>
      <c r="M929" s="324">
        <v>7340968.0</v>
      </c>
      <c r="N929" s="254"/>
      <c r="O929" s="323" t="s">
        <v>2540</v>
      </c>
      <c r="P929" s="271" t="s">
        <v>1523</v>
      </c>
      <c r="Q929" s="324">
        <v>8639520.0</v>
      </c>
      <c r="R929" s="254"/>
      <c r="S929" s="323" t="s">
        <v>2546</v>
      </c>
      <c r="T929" s="271" t="s">
        <v>1538</v>
      </c>
      <c r="U929" s="324">
        <v>5816370.0</v>
      </c>
      <c r="V929" s="254"/>
      <c r="W929" s="323" t="s">
        <v>2541</v>
      </c>
      <c r="X929" s="271" t="s">
        <v>2542</v>
      </c>
      <c r="Y929" s="324">
        <v>4810559.0</v>
      </c>
      <c r="Z929" s="254"/>
      <c r="AA929" s="323" t="s">
        <v>2543</v>
      </c>
      <c r="AB929" s="271" t="s">
        <v>2439</v>
      </c>
      <c r="AC929" s="324">
        <v>1.7345968E7</v>
      </c>
      <c r="AD929" s="271"/>
      <c r="AE929" s="277"/>
      <c r="AF929" s="277"/>
      <c r="AG929" s="277"/>
      <c r="AH929" s="277"/>
      <c r="AI929" s="277"/>
      <c r="AJ929" s="582"/>
      <c r="AK929" s="281"/>
      <c r="AL929" s="281"/>
      <c r="AM929" s="281"/>
      <c r="AN929" s="294"/>
    </row>
    <row r="930">
      <c r="A930" s="169">
        <f t="array" ref="A930">INDEX('Federal Tax, Stock Buybacks, &amp; '!D:D,match(B930,'Federal Tax, Stock Buybacks, &amp; '!E:E,0))</f>
        <v>53</v>
      </c>
      <c r="B930" s="264" t="s">
        <v>2530</v>
      </c>
      <c r="C930" s="326"/>
      <c r="D930" s="329"/>
      <c r="E930" s="324"/>
      <c r="F930" s="254"/>
      <c r="G930" s="326"/>
      <c r="H930" s="329"/>
      <c r="I930" s="324"/>
      <c r="J930" s="254"/>
      <c r="K930" s="326" t="s">
        <v>711</v>
      </c>
      <c r="L930" s="329" t="s">
        <v>711</v>
      </c>
      <c r="M930" s="324" t="s">
        <v>711</v>
      </c>
      <c r="N930" s="254"/>
      <c r="O930" s="323" t="s">
        <v>2546</v>
      </c>
      <c r="P930" s="271" t="s">
        <v>1544</v>
      </c>
      <c r="Q930" s="324">
        <v>5071857.0</v>
      </c>
      <c r="R930" s="254"/>
      <c r="S930" s="326" t="s">
        <v>711</v>
      </c>
      <c r="T930" s="329" t="s">
        <v>711</v>
      </c>
      <c r="U930" s="324" t="s">
        <v>711</v>
      </c>
      <c r="V930" s="254"/>
      <c r="W930" s="323" t="s">
        <v>2548</v>
      </c>
      <c r="X930" s="271" t="s">
        <v>1871</v>
      </c>
      <c r="Y930" s="324">
        <v>3374519.0</v>
      </c>
      <c r="Z930" s="254"/>
      <c r="AA930" s="323" t="s">
        <v>2536</v>
      </c>
      <c r="AB930" s="583" t="s">
        <v>2537</v>
      </c>
      <c r="AC930" s="324">
        <v>4104999.0</v>
      </c>
      <c r="AD930" s="271"/>
      <c r="AE930" s="277"/>
      <c r="AF930" s="277"/>
      <c r="AG930" s="277"/>
      <c r="AH930" s="277"/>
      <c r="AI930" s="277"/>
      <c r="AJ930" s="582"/>
      <c r="AK930" s="281"/>
      <c r="AL930" s="281"/>
      <c r="AM930" s="281"/>
      <c r="AN930" s="294"/>
    </row>
    <row r="931">
      <c r="A931" s="169">
        <f t="array" ref="A931">INDEX('Federal Tax, Stock Buybacks, &amp; '!D:D,match(B931,'Federal Tax, Stock Buybacks, &amp; '!E:E,0))</f>
        <v>53</v>
      </c>
      <c r="B931" s="264" t="s">
        <v>2530</v>
      </c>
      <c r="C931" s="326"/>
      <c r="D931" s="329"/>
      <c r="E931" s="324"/>
      <c r="F931" s="254"/>
      <c r="G931" s="326"/>
      <c r="H931" s="329"/>
      <c r="I931" s="324"/>
      <c r="J931" s="254"/>
      <c r="K931" s="326" t="s">
        <v>711</v>
      </c>
      <c r="L931" s="329" t="s">
        <v>711</v>
      </c>
      <c r="M931" s="324" t="s">
        <v>711</v>
      </c>
      <c r="N931" s="254"/>
      <c r="O931" s="323" t="s">
        <v>2547</v>
      </c>
      <c r="P931" s="271" t="s">
        <v>1788</v>
      </c>
      <c r="Q931" s="324">
        <v>1.1709321E7</v>
      </c>
      <c r="R931" s="254"/>
      <c r="S931" s="326" t="s">
        <v>711</v>
      </c>
      <c r="T931" s="329" t="s">
        <v>711</v>
      </c>
      <c r="U931" s="324" t="s">
        <v>711</v>
      </c>
      <c r="V931" s="254"/>
      <c r="W931" s="323" t="s">
        <v>2540</v>
      </c>
      <c r="X931" s="271" t="s">
        <v>1523</v>
      </c>
      <c r="Y931" s="324">
        <v>2.8944892E7</v>
      </c>
      <c r="Z931" s="254"/>
      <c r="AA931" s="326" t="s">
        <v>711</v>
      </c>
      <c r="AB931" s="329" t="s">
        <v>711</v>
      </c>
      <c r="AC931" s="324" t="s">
        <v>711</v>
      </c>
      <c r="AD931" s="271"/>
      <c r="AE931" s="277"/>
      <c r="AF931" s="277"/>
      <c r="AG931" s="277"/>
      <c r="AH931" s="277"/>
      <c r="AI931" s="277"/>
      <c r="AJ931" s="582"/>
      <c r="AK931" s="281"/>
      <c r="AL931" s="281"/>
      <c r="AM931" s="281"/>
      <c r="AN931" s="294"/>
    </row>
    <row r="932">
      <c r="A932" s="196" t="str">
        <f t="array" ref="A932">INDEX('Federal Tax, Stock Buybacks, &amp; '!D:D,match(B932,'Federal Tax, Stock Buybacks, &amp; '!E:E,0))</f>
        <v>#N/A</v>
      </c>
      <c r="B932" s="412" t="s">
        <v>1201</v>
      </c>
      <c r="C932" s="362"/>
      <c r="D932" s="413"/>
      <c r="E932" s="499"/>
      <c r="F932" s="254"/>
      <c r="G932" s="362"/>
      <c r="H932" s="413"/>
      <c r="I932" s="499"/>
      <c r="J932" s="254"/>
      <c r="K932" s="362" t="s">
        <v>1200</v>
      </c>
      <c r="L932" s="413"/>
      <c r="M932" s="499">
        <v>1.782256E7</v>
      </c>
      <c r="N932" s="254"/>
      <c r="O932" s="362" t="s">
        <v>1200</v>
      </c>
      <c r="P932" s="577"/>
      <c r="Q932" s="499">
        <v>2.0385208E7</v>
      </c>
      <c r="R932" s="254"/>
      <c r="S932" s="362" t="s">
        <v>1200</v>
      </c>
      <c r="T932" s="516"/>
      <c r="U932" s="499">
        <v>1.2193925E7</v>
      </c>
      <c r="V932" s="254"/>
      <c r="W932" s="362" t="s">
        <v>1200</v>
      </c>
      <c r="X932" s="516"/>
      <c r="Y932" s="499">
        <v>4.0263383E7</v>
      </c>
      <c r="Z932" s="254"/>
      <c r="AA932" s="362" t="s">
        <v>1209</v>
      </c>
      <c r="AB932" s="548"/>
      <c r="AC932" s="488">
        <v>1703838.0</v>
      </c>
      <c r="AD932" s="306"/>
      <c r="AE932" s="366">
        <v>2022.0</v>
      </c>
      <c r="AF932" s="366">
        <v>2021.0</v>
      </c>
      <c r="AG932" s="366">
        <v>2020.0</v>
      </c>
      <c r="AH932" s="366">
        <v>2019.0</v>
      </c>
      <c r="AI932" s="366">
        <v>2018.0</v>
      </c>
      <c r="AJ932" s="415" t="s">
        <v>1578</v>
      </c>
      <c r="AK932" s="416"/>
      <c r="AL932" s="259" t="str">
        <f>MATCH(B932,'Key Findings'!B:B,0)</f>
        <v>#N/A</v>
      </c>
      <c r="AM932" s="274" t="str">
        <f t="shared" ref="AM932:AM943" si="3">ISODD(A932)</f>
        <v>#N/A</v>
      </c>
      <c r="AN932" s="294"/>
    </row>
    <row r="933">
      <c r="A933" s="196" t="str">
        <f t="array" ref="A933">INDEX('Federal Tax, Stock Buybacks, &amp; '!D:D,match(B933,'Federal Tax, Stock Buybacks, &amp; '!E:E,0))</f>
        <v>#N/A</v>
      </c>
      <c r="B933" s="412" t="s">
        <v>1201</v>
      </c>
      <c r="C933" s="362"/>
      <c r="D933" s="413"/>
      <c r="E933" s="499"/>
      <c r="F933" s="254"/>
      <c r="G933" s="362"/>
      <c r="H933" s="413"/>
      <c r="I933" s="499"/>
      <c r="J933" s="254"/>
      <c r="K933" s="362" t="s">
        <v>1203</v>
      </c>
      <c r="L933" s="413"/>
      <c r="M933" s="499">
        <v>8598851.0</v>
      </c>
      <c r="N933" s="254"/>
      <c r="O933" s="362" t="s">
        <v>1203</v>
      </c>
      <c r="P933" s="577"/>
      <c r="Q933" s="499">
        <v>8755290.0</v>
      </c>
      <c r="R933" s="254"/>
      <c r="S933" s="362" t="s">
        <v>1203</v>
      </c>
      <c r="T933" s="516"/>
      <c r="U933" s="499">
        <v>6000082.0</v>
      </c>
      <c r="V933" s="254"/>
      <c r="W933" s="362" t="s">
        <v>1202</v>
      </c>
      <c r="X933" s="516"/>
      <c r="Y933" s="499">
        <v>7310227.0</v>
      </c>
      <c r="Z933" s="254"/>
      <c r="AA933" s="362" t="s">
        <v>1202</v>
      </c>
      <c r="AB933" s="548"/>
      <c r="AC933" s="488">
        <v>4269041.0</v>
      </c>
      <c r="AD933" s="306"/>
      <c r="AE933" s="417"/>
      <c r="AF933" s="417"/>
      <c r="AG933" s="417"/>
      <c r="AH933" s="417"/>
      <c r="AI933" s="417"/>
      <c r="AJ933" s="368"/>
      <c r="AK933" s="368"/>
      <c r="AL933" s="259" t="str">
        <f>MATCH(B933,'Key Findings'!B:B,0)</f>
        <v>#N/A</v>
      </c>
      <c r="AM933" s="274" t="str">
        <f t="shared" si="3"/>
        <v>#N/A</v>
      </c>
      <c r="AN933" s="294"/>
    </row>
    <row r="934">
      <c r="A934" s="196" t="str">
        <f t="array" ref="A934">INDEX('Federal Tax, Stock Buybacks, &amp; '!D:D,match(B934,'Federal Tax, Stock Buybacks, &amp; '!E:E,0))</f>
        <v>#N/A</v>
      </c>
      <c r="B934" s="412" t="s">
        <v>1201</v>
      </c>
      <c r="C934" s="362"/>
      <c r="D934" s="413"/>
      <c r="E934" s="499"/>
      <c r="F934" s="254"/>
      <c r="G934" s="362"/>
      <c r="H934" s="413"/>
      <c r="I934" s="499"/>
      <c r="J934" s="254"/>
      <c r="K934" s="362" t="s">
        <v>1202</v>
      </c>
      <c r="L934" s="413"/>
      <c r="M934" s="499">
        <v>4677789.0</v>
      </c>
      <c r="N934" s="254"/>
      <c r="O934" s="362" t="s">
        <v>1202</v>
      </c>
      <c r="P934" s="577"/>
      <c r="Q934" s="499">
        <v>5680539.0</v>
      </c>
      <c r="R934" s="254"/>
      <c r="S934" s="362" t="s">
        <v>1202</v>
      </c>
      <c r="T934" s="516"/>
      <c r="U934" s="499">
        <v>3031261.0</v>
      </c>
      <c r="V934" s="254"/>
      <c r="W934" s="362" t="s">
        <v>1207</v>
      </c>
      <c r="X934" s="516"/>
      <c r="Y934" s="499">
        <v>8476636.0</v>
      </c>
      <c r="Z934" s="254"/>
      <c r="AA934" s="362" t="s">
        <v>1207</v>
      </c>
      <c r="AB934" s="548"/>
      <c r="AC934" s="488">
        <v>4223456.0</v>
      </c>
      <c r="AD934" s="306"/>
      <c r="AE934" s="308"/>
      <c r="AF934" s="308"/>
      <c r="AG934" s="308"/>
      <c r="AH934" s="308"/>
      <c r="AI934" s="308"/>
      <c r="AJ934" s="368"/>
      <c r="AK934" s="368"/>
      <c r="AL934" s="259" t="str">
        <f>MATCH(B934,'Key Findings'!B:B,0)</f>
        <v>#N/A</v>
      </c>
      <c r="AM934" s="274" t="str">
        <f t="shared" si="3"/>
        <v>#N/A</v>
      </c>
      <c r="AN934" s="294"/>
    </row>
    <row r="935">
      <c r="A935" s="196" t="str">
        <f t="array" ref="A935">INDEX('Federal Tax, Stock Buybacks, &amp; '!D:D,match(B935,'Federal Tax, Stock Buybacks, &amp; '!E:E,0))</f>
        <v>#N/A</v>
      </c>
      <c r="B935" s="412" t="s">
        <v>1201</v>
      </c>
      <c r="C935" s="362"/>
      <c r="D935" s="413"/>
      <c r="E935" s="499"/>
      <c r="F935" s="254"/>
      <c r="G935" s="362"/>
      <c r="H935" s="413"/>
      <c r="I935" s="499"/>
      <c r="J935" s="254"/>
      <c r="K935" s="362" t="s">
        <v>1204</v>
      </c>
      <c r="L935" s="413"/>
      <c r="M935" s="499">
        <v>4099819.0</v>
      </c>
      <c r="N935" s="254"/>
      <c r="O935" s="362" t="s">
        <v>1204</v>
      </c>
      <c r="P935" s="577"/>
      <c r="Q935" s="499">
        <v>8891378.0</v>
      </c>
      <c r="R935" s="254"/>
      <c r="S935" s="362" t="s">
        <v>1207</v>
      </c>
      <c r="T935" s="516"/>
      <c r="U935" s="499">
        <v>5376626.0</v>
      </c>
      <c r="V935" s="254"/>
      <c r="W935" s="362" t="s">
        <v>1208</v>
      </c>
      <c r="X935" s="516"/>
      <c r="Y935" s="499">
        <v>8587848.0</v>
      </c>
      <c r="Z935" s="254"/>
      <c r="AA935" s="362" t="s">
        <v>1208</v>
      </c>
      <c r="AB935" s="548"/>
      <c r="AC935" s="488">
        <v>5289232.0</v>
      </c>
      <c r="AD935" s="306"/>
      <c r="AE935" s="308"/>
      <c r="AF935" s="308"/>
      <c r="AG935" s="308"/>
      <c r="AH935" s="308"/>
      <c r="AI935" s="308"/>
      <c r="AJ935" s="368"/>
      <c r="AK935" s="368"/>
      <c r="AL935" s="259" t="str">
        <f>MATCH(B935,'Key Findings'!B:B,0)</f>
        <v>#N/A</v>
      </c>
      <c r="AM935" s="274" t="str">
        <f t="shared" si="3"/>
        <v>#N/A</v>
      </c>
      <c r="AN935" s="294"/>
    </row>
    <row r="936">
      <c r="A936" s="196" t="str">
        <f t="array" ref="A936">INDEX('Federal Tax, Stock Buybacks, &amp; '!D:D,match(B936,'Federal Tax, Stock Buybacks, &amp; '!E:E,0))</f>
        <v>#N/A</v>
      </c>
      <c r="B936" s="412" t="s">
        <v>1201</v>
      </c>
      <c r="C936" s="362"/>
      <c r="D936" s="413"/>
      <c r="E936" s="499"/>
      <c r="F936" s="254"/>
      <c r="G936" s="362"/>
      <c r="H936" s="413"/>
      <c r="I936" s="499"/>
      <c r="J936" s="254"/>
      <c r="K936" s="362" t="s">
        <v>1205</v>
      </c>
      <c r="L936" s="413"/>
      <c r="M936" s="499">
        <v>2778470.0</v>
      </c>
      <c r="N936" s="254"/>
      <c r="O936" s="362" t="s">
        <v>1205</v>
      </c>
      <c r="P936" s="577"/>
      <c r="Q936" s="499">
        <v>8111395.0</v>
      </c>
      <c r="R936" s="254"/>
      <c r="S936" s="362" t="s">
        <v>1208</v>
      </c>
      <c r="T936" s="516"/>
      <c r="U936" s="499">
        <v>2357503.0</v>
      </c>
      <c r="V936" s="254"/>
      <c r="W936" s="362" t="s">
        <v>1206</v>
      </c>
      <c r="X936" s="516"/>
      <c r="Y936" s="499">
        <v>2.7601026E7</v>
      </c>
      <c r="Z936" s="254"/>
      <c r="AA936" s="362" t="s">
        <v>1206</v>
      </c>
      <c r="AB936" s="548"/>
      <c r="AC936" s="488">
        <v>1.2410769E7</v>
      </c>
      <c r="AD936" s="306"/>
      <c r="AE936" s="308"/>
      <c r="AF936" s="308"/>
      <c r="AG936" s="308"/>
      <c r="AH936" s="308"/>
      <c r="AI936" s="308"/>
      <c r="AJ936" s="368"/>
      <c r="AK936" s="368"/>
      <c r="AL936" s="259" t="str">
        <f>MATCH(B936,'Key Findings'!B:B,0)</f>
        <v>#N/A</v>
      </c>
      <c r="AM936" s="274" t="str">
        <f t="shared" si="3"/>
        <v>#N/A</v>
      </c>
      <c r="AN936" s="294"/>
    </row>
    <row r="937">
      <c r="A937" s="196" t="str">
        <f t="array" ref="A937">INDEX('Federal Tax, Stock Buybacks, &amp; '!D:D,match(B937,'Federal Tax, Stock Buybacks, &amp; '!E:E,0))</f>
        <v>#N/A</v>
      </c>
      <c r="B937" s="412" t="s">
        <v>1201</v>
      </c>
      <c r="C937" s="372"/>
      <c r="D937" s="370"/>
      <c r="E937" s="517"/>
      <c r="F937" s="254"/>
      <c r="G937" s="372"/>
      <c r="H937" s="370"/>
      <c r="I937" s="517"/>
      <c r="J937" s="254"/>
      <c r="K937" s="372" t="s">
        <v>711</v>
      </c>
      <c r="L937" s="370" t="s">
        <v>711</v>
      </c>
      <c r="M937" s="517" t="s">
        <v>711</v>
      </c>
      <c r="N937" s="254"/>
      <c r="O937" s="372" t="s">
        <v>711</v>
      </c>
      <c r="P937" s="370" t="s">
        <v>711</v>
      </c>
      <c r="Q937" s="517" t="s">
        <v>711</v>
      </c>
      <c r="R937" s="254"/>
      <c r="S937" s="362" t="s">
        <v>1206</v>
      </c>
      <c r="T937" s="516"/>
      <c r="U937" s="499">
        <v>2.8846153E7</v>
      </c>
      <c r="V937" s="254"/>
      <c r="W937" s="372" t="s">
        <v>711</v>
      </c>
      <c r="X937" s="370" t="s">
        <v>711</v>
      </c>
      <c r="Y937" s="517" t="s">
        <v>711</v>
      </c>
      <c r="Z937" s="254"/>
      <c r="AA937" s="372" t="s">
        <v>711</v>
      </c>
      <c r="AB937" s="370" t="s">
        <v>711</v>
      </c>
      <c r="AC937" s="517" t="s">
        <v>711</v>
      </c>
      <c r="AD937" s="306"/>
      <c r="AE937" s="308"/>
      <c r="AF937" s="308"/>
      <c r="AG937" s="308"/>
      <c r="AH937" s="308"/>
      <c r="AI937" s="308"/>
      <c r="AJ937" s="368"/>
      <c r="AK937" s="368"/>
      <c r="AL937" s="259" t="str">
        <f>MATCH(B937,'Key Findings'!B:B,0)</f>
        <v>#N/A</v>
      </c>
      <c r="AM937" s="274" t="str">
        <f t="shared" si="3"/>
        <v>#N/A</v>
      </c>
      <c r="AN937" s="294"/>
    </row>
    <row r="938">
      <c r="A938" s="196" t="str">
        <f t="array" ref="A938">INDEX('Federal Tax, Stock Buybacks, &amp; '!D:D,match(B938,'Federal Tax, Stock Buybacks, &amp; '!E:E,0))</f>
        <v>#N/A</v>
      </c>
      <c r="B938" s="138" t="s">
        <v>1490</v>
      </c>
      <c r="C938" s="282"/>
      <c r="D938" s="373"/>
      <c r="E938" s="471"/>
      <c r="F938" s="254"/>
      <c r="G938" s="282"/>
      <c r="H938" s="373"/>
      <c r="I938" s="471"/>
      <c r="J938" s="254"/>
      <c r="K938" s="282" t="s">
        <v>1489</v>
      </c>
      <c r="L938" s="373"/>
      <c r="M938" s="471">
        <v>3.0219921E7</v>
      </c>
      <c r="N938" s="254"/>
      <c r="O938" s="282" t="s">
        <v>1489</v>
      </c>
      <c r="P938" s="578"/>
      <c r="Q938" s="471">
        <v>2.9498107E7</v>
      </c>
      <c r="R938" s="254"/>
      <c r="S938" s="282" t="s">
        <v>1489</v>
      </c>
      <c r="T938" s="524"/>
      <c r="U938" s="471">
        <v>2.7141878E7</v>
      </c>
      <c r="V938" s="254"/>
      <c r="W938" s="282" t="s">
        <v>1489</v>
      </c>
      <c r="X938" s="524"/>
      <c r="Y938" s="471">
        <v>5.8534288E7</v>
      </c>
      <c r="Z938" s="254"/>
      <c r="AA938" s="282" t="s">
        <v>1489</v>
      </c>
      <c r="AB938" s="579"/>
      <c r="AC938" s="472">
        <v>1.3356392E7</v>
      </c>
      <c r="AD938" s="288"/>
      <c r="AE938" s="391">
        <v>2022.0</v>
      </c>
      <c r="AF938" s="391">
        <v>2021.0</v>
      </c>
      <c r="AG938" s="391">
        <v>2020.0</v>
      </c>
      <c r="AH938" s="391">
        <v>2019.0</v>
      </c>
      <c r="AI938" s="391">
        <v>2018.0</v>
      </c>
      <c r="AJ938" s="425" t="s">
        <v>1578</v>
      </c>
      <c r="AK938" s="426"/>
      <c r="AL938" s="259" t="str">
        <f>MATCH(B938,'Key Findings'!B:B,0)</f>
        <v>#N/A</v>
      </c>
      <c r="AM938" s="260" t="str">
        <f t="shared" si="3"/>
        <v>#N/A</v>
      </c>
      <c r="AN938" s="294"/>
    </row>
    <row r="939">
      <c r="A939" s="196" t="str">
        <f t="array" ref="A939">INDEX('Federal Tax, Stock Buybacks, &amp; '!D:D,match(B939,'Federal Tax, Stock Buybacks, &amp; '!E:E,0))</f>
        <v>#N/A</v>
      </c>
      <c r="B939" s="138" t="s">
        <v>1490</v>
      </c>
      <c r="C939" s="282"/>
      <c r="D939" s="373"/>
      <c r="E939" s="471"/>
      <c r="F939" s="254"/>
      <c r="G939" s="282"/>
      <c r="H939" s="373"/>
      <c r="I939" s="471"/>
      <c r="J939" s="254"/>
      <c r="K939" s="282" t="s">
        <v>1493</v>
      </c>
      <c r="L939" s="373"/>
      <c r="M939" s="471">
        <v>7325241.0</v>
      </c>
      <c r="N939" s="254"/>
      <c r="O939" s="282" t="s">
        <v>1493</v>
      </c>
      <c r="P939" s="578"/>
      <c r="Q939" s="471">
        <v>6878213.0</v>
      </c>
      <c r="R939" s="254"/>
      <c r="S939" s="282" t="s">
        <v>1493</v>
      </c>
      <c r="T939" s="524"/>
      <c r="U939" s="471">
        <v>6190387.0</v>
      </c>
      <c r="V939" s="254"/>
      <c r="W939" s="282" t="s">
        <v>1493</v>
      </c>
      <c r="X939" s="524"/>
      <c r="Y939" s="471">
        <v>3846052.0</v>
      </c>
      <c r="Z939" s="254"/>
      <c r="AA939" s="282" t="s">
        <v>1493</v>
      </c>
      <c r="AB939" s="579"/>
      <c r="AC939" s="472">
        <v>3645882.0</v>
      </c>
      <c r="AD939" s="288"/>
      <c r="AE939" s="586"/>
      <c r="AF939" s="586"/>
      <c r="AG939" s="586"/>
      <c r="AH939" s="586"/>
      <c r="AI939" s="586"/>
      <c r="AJ939" s="357"/>
      <c r="AK939" s="357"/>
      <c r="AL939" s="259" t="str">
        <f>MATCH(B939,'Key Findings'!B:B,0)</f>
        <v>#N/A</v>
      </c>
      <c r="AM939" s="260" t="str">
        <f t="shared" si="3"/>
        <v>#N/A</v>
      </c>
      <c r="AN939" s="294"/>
    </row>
    <row r="940">
      <c r="A940" s="196" t="str">
        <f t="array" ref="A940">INDEX('Federal Tax, Stock Buybacks, &amp; '!D:D,match(B940,'Federal Tax, Stock Buybacks, &amp; '!E:E,0))</f>
        <v>#N/A</v>
      </c>
      <c r="B940" s="138" t="s">
        <v>1490</v>
      </c>
      <c r="C940" s="282"/>
      <c r="D940" s="373"/>
      <c r="E940" s="471"/>
      <c r="F940" s="254"/>
      <c r="G940" s="282"/>
      <c r="H940" s="373"/>
      <c r="I940" s="471"/>
      <c r="J940" s="254"/>
      <c r="K940" s="282" t="s">
        <v>1492</v>
      </c>
      <c r="L940" s="373"/>
      <c r="M940" s="471">
        <v>8448023.0</v>
      </c>
      <c r="N940" s="254"/>
      <c r="O940" s="282" t="s">
        <v>1492</v>
      </c>
      <c r="P940" s="578"/>
      <c r="Q940" s="471">
        <v>7337763.0</v>
      </c>
      <c r="R940" s="254"/>
      <c r="S940" s="282" t="s">
        <v>1492</v>
      </c>
      <c r="T940" s="524"/>
      <c r="U940" s="471">
        <v>1.2197367E7</v>
      </c>
      <c r="V940" s="254"/>
      <c r="W940" s="282" t="s">
        <v>1492</v>
      </c>
      <c r="X940" s="524"/>
      <c r="Y940" s="471">
        <v>5518606.0</v>
      </c>
      <c r="Z940" s="254"/>
      <c r="AA940" s="282" t="s">
        <v>1497</v>
      </c>
      <c r="AB940" s="579"/>
      <c r="AC940" s="472">
        <v>3497270.0</v>
      </c>
      <c r="AD940" s="288"/>
      <c r="AE940" s="292"/>
      <c r="AF940" s="292"/>
      <c r="AG940" s="292"/>
      <c r="AH940" s="292"/>
      <c r="AI940" s="292"/>
      <c r="AJ940" s="293"/>
      <c r="AK940" s="293"/>
      <c r="AL940" s="259" t="str">
        <f>MATCH(B940,'Key Findings'!B:B,0)</f>
        <v>#N/A</v>
      </c>
      <c r="AM940" s="260" t="str">
        <f t="shared" si="3"/>
        <v>#N/A</v>
      </c>
      <c r="AN940" s="294"/>
    </row>
    <row r="941">
      <c r="A941" s="196" t="str">
        <f t="array" ref="A941">INDEX('Federal Tax, Stock Buybacks, &amp; '!D:D,match(B941,'Federal Tax, Stock Buybacks, &amp; '!E:E,0))</f>
        <v>#N/A</v>
      </c>
      <c r="B941" s="138" t="s">
        <v>1490</v>
      </c>
      <c r="C941" s="282"/>
      <c r="D941" s="373"/>
      <c r="E941" s="471"/>
      <c r="F941" s="254"/>
      <c r="G941" s="282"/>
      <c r="H941" s="373"/>
      <c r="I941" s="471"/>
      <c r="J941" s="254"/>
      <c r="K941" s="282" t="s">
        <v>1491</v>
      </c>
      <c r="L941" s="373"/>
      <c r="M941" s="471">
        <v>1.0549171E7</v>
      </c>
      <c r="N941" s="254"/>
      <c r="O941" s="282" t="s">
        <v>1491</v>
      </c>
      <c r="P941" s="578"/>
      <c r="Q941" s="471">
        <v>1.0008431E7</v>
      </c>
      <c r="R941" s="254"/>
      <c r="S941" s="282" t="s">
        <v>1491</v>
      </c>
      <c r="T941" s="524"/>
      <c r="U941" s="471">
        <v>7657284.0</v>
      </c>
      <c r="V941" s="254"/>
      <c r="W941" s="282" t="s">
        <v>1491</v>
      </c>
      <c r="X941" s="524"/>
      <c r="Y941" s="471">
        <v>1.7159112E7</v>
      </c>
      <c r="Z941" s="254"/>
      <c r="AA941" s="282" t="s">
        <v>1491</v>
      </c>
      <c r="AB941" s="579"/>
      <c r="AC941" s="472">
        <v>4813882.0</v>
      </c>
      <c r="AD941" s="288"/>
      <c r="AE941" s="292"/>
      <c r="AF941" s="292"/>
      <c r="AG941" s="292"/>
      <c r="AH941" s="292"/>
      <c r="AI941" s="292"/>
      <c r="AJ941" s="293"/>
      <c r="AK941" s="293"/>
      <c r="AL941" s="259" t="str">
        <f>MATCH(B941,'Key Findings'!B:B,0)</f>
        <v>#N/A</v>
      </c>
      <c r="AM941" s="260" t="str">
        <f t="shared" si="3"/>
        <v>#N/A</v>
      </c>
      <c r="AN941" s="294"/>
    </row>
    <row r="942">
      <c r="A942" s="196" t="str">
        <f t="array" ref="A942">INDEX('Federal Tax, Stock Buybacks, &amp; '!D:D,match(B942,'Federal Tax, Stock Buybacks, &amp; '!E:E,0))</f>
        <v>#N/A</v>
      </c>
      <c r="B942" s="138" t="s">
        <v>1490</v>
      </c>
      <c r="C942" s="282"/>
      <c r="D942" s="373"/>
      <c r="E942" s="471"/>
      <c r="F942" s="254"/>
      <c r="G942" s="282"/>
      <c r="H942" s="373"/>
      <c r="I942" s="471"/>
      <c r="J942" s="254"/>
      <c r="K942" s="282" t="s">
        <v>1494</v>
      </c>
      <c r="L942" s="373"/>
      <c r="M942" s="471">
        <v>2.6730065E7</v>
      </c>
      <c r="N942" s="254"/>
      <c r="O942" s="282" t="s">
        <v>1495</v>
      </c>
      <c r="P942" s="578"/>
      <c r="Q942" s="471">
        <v>6493020.0</v>
      </c>
      <c r="R942" s="254"/>
      <c r="S942" s="282" t="s">
        <v>1495</v>
      </c>
      <c r="T942" s="524"/>
      <c r="U942" s="471">
        <v>6069061.0</v>
      </c>
      <c r="V942" s="254"/>
      <c r="W942" s="282" t="s">
        <v>1495</v>
      </c>
      <c r="X942" s="524"/>
      <c r="Y942" s="471">
        <v>8240996.0</v>
      </c>
      <c r="Z942" s="254"/>
      <c r="AA942" s="282" t="s">
        <v>1499</v>
      </c>
      <c r="AB942" s="579"/>
      <c r="AC942" s="472">
        <v>2815772.0</v>
      </c>
      <c r="AD942" s="288"/>
      <c r="AE942" s="292"/>
      <c r="AF942" s="292"/>
      <c r="AG942" s="292"/>
      <c r="AH942" s="292"/>
      <c r="AI942" s="292"/>
      <c r="AJ942" s="293"/>
      <c r="AK942" s="293"/>
      <c r="AL942" s="259" t="str">
        <f>MATCH(B942,'Key Findings'!B:B,0)</f>
        <v>#N/A</v>
      </c>
      <c r="AM942" s="260" t="str">
        <f t="shared" si="3"/>
        <v>#N/A</v>
      </c>
      <c r="AN942" s="294"/>
    </row>
    <row r="943">
      <c r="A943" s="196" t="str">
        <f t="array" ref="A943">INDEX('Federal Tax, Stock Buybacks, &amp; '!D:D,match(B943,'Federal Tax, Stock Buybacks, &amp; '!E:E,0))</f>
        <v>#N/A</v>
      </c>
      <c r="B943" s="138" t="s">
        <v>1490</v>
      </c>
      <c r="C943" s="298"/>
      <c r="D943" s="296"/>
      <c r="E943" s="523"/>
      <c r="F943" s="254"/>
      <c r="G943" s="298"/>
      <c r="H943" s="296"/>
      <c r="I943" s="523"/>
      <c r="J943" s="254"/>
      <c r="K943" s="298" t="s">
        <v>711</v>
      </c>
      <c r="L943" s="296" t="s">
        <v>711</v>
      </c>
      <c r="M943" s="523" t="s">
        <v>711</v>
      </c>
      <c r="N943" s="254"/>
      <c r="O943" s="298" t="s">
        <v>711</v>
      </c>
      <c r="P943" s="296" t="s">
        <v>711</v>
      </c>
      <c r="Q943" s="523" t="s">
        <v>711</v>
      </c>
      <c r="R943" s="254"/>
      <c r="S943" s="298" t="s">
        <v>711</v>
      </c>
      <c r="T943" s="296" t="s">
        <v>711</v>
      </c>
      <c r="U943" s="523" t="s">
        <v>711</v>
      </c>
      <c r="V943" s="254"/>
      <c r="W943" s="282" t="s">
        <v>1496</v>
      </c>
      <c r="X943" s="524"/>
      <c r="Y943" s="471">
        <v>1.0613326E7</v>
      </c>
      <c r="Z943" s="254"/>
      <c r="AA943" s="282" t="s">
        <v>1498</v>
      </c>
      <c r="AB943" s="579"/>
      <c r="AC943" s="472">
        <v>3035104.0</v>
      </c>
      <c r="AD943" s="288"/>
      <c r="AE943" s="292"/>
      <c r="AF943" s="292"/>
      <c r="AG943" s="292"/>
      <c r="AH943" s="292"/>
      <c r="AI943" s="292"/>
      <c r="AJ943" s="293"/>
      <c r="AK943" s="293"/>
      <c r="AL943" s="259" t="str">
        <f>MATCH(B943,'Key Findings'!B:B,0)</f>
        <v>#N/A</v>
      </c>
      <c r="AM943" s="260" t="str">
        <f t="shared" si="3"/>
        <v>#N/A</v>
      </c>
      <c r="AN943" s="294"/>
    </row>
    <row r="944">
      <c r="A944" s="196" t="str">
        <f t="array" ref="A944">INDEX('Federal Tax, Stock Buybacks, &amp; '!D:D,match(B944,'Federal Tax, Stock Buybacks, &amp; '!E:E,0))</f>
        <v>#N/A</v>
      </c>
      <c r="B944" s="352" t="s">
        <v>2549</v>
      </c>
      <c r="C944" s="587"/>
      <c r="D944" s="587"/>
      <c r="E944" s="588"/>
      <c r="F944" s="254"/>
      <c r="G944" s="587"/>
      <c r="H944" s="587"/>
      <c r="I944" s="588"/>
      <c r="J944" s="254"/>
      <c r="K944" s="587" t="s">
        <v>2550</v>
      </c>
      <c r="L944" s="587" t="s">
        <v>1631</v>
      </c>
      <c r="M944" s="588">
        <v>1.583282E7</v>
      </c>
      <c r="N944" s="254"/>
      <c r="O944" s="587" t="s">
        <v>2551</v>
      </c>
      <c r="P944" s="587" t="s">
        <v>1860</v>
      </c>
      <c r="Q944" s="555">
        <v>1.1221093E7</v>
      </c>
      <c r="R944" s="254"/>
      <c r="S944" s="355" t="s">
        <v>2551</v>
      </c>
      <c r="T944" s="355" t="s">
        <v>1655</v>
      </c>
      <c r="U944" s="555">
        <v>1.7872713E7</v>
      </c>
      <c r="V944" s="254"/>
      <c r="W944" s="355" t="s">
        <v>2552</v>
      </c>
      <c r="X944" s="355" t="s">
        <v>1837</v>
      </c>
      <c r="Y944" s="555">
        <v>7389261.0</v>
      </c>
      <c r="Z944" s="254"/>
      <c r="AA944" s="355" t="s">
        <v>2552</v>
      </c>
      <c r="AB944" s="355" t="s">
        <v>1606</v>
      </c>
      <c r="AC944" s="555">
        <v>1.1352513E7</v>
      </c>
      <c r="AD944" s="355"/>
      <c r="AE944" s="356">
        <v>2022.0</v>
      </c>
      <c r="AF944" s="356">
        <v>2021.0</v>
      </c>
      <c r="AG944" s="356">
        <v>2020.0</v>
      </c>
      <c r="AH944" s="356">
        <v>2019.0</v>
      </c>
      <c r="AI944" s="356">
        <v>2018.0</v>
      </c>
      <c r="AJ944" s="355"/>
      <c r="AK944" s="281"/>
      <c r="AL944" s="281"/>
      <c r="AM944" s="281"/>
      <c r="AN944" s="294"/>
    </row>
    <row r="945">
      <c r="A945" s="196" t="str">
        <f t="array" ref="A945">INDEX('Federal Tax, Stock Buybacks, &amp; '!D:D,match(B945,'Federal Tax, Stock Buybacks, &amp; '!E:E,0))</f>
        <v>#N/A</v>
      </c>
      <c r="B945" s="352" t="s">
        <v>2549</v>
      </c>
      <c r="C945" s="355"/>
      <c r="D945" s="587"/>
      <c r="E945" s="588"/>
      <c r="F945" s="254"/>
      <c r="G945" s="355"/>
      <c r="H945" s="587"/>
      <c r="I945" s="588"/>
      <c r="J945" s="254"/>
      <c r="K945" s="355" t="s">
        <v>2553</v>
      </c>
      <c r="L945" s="587" t="s">
        <v>1697</v>
      </c>
      <c r="M945" s="588">
        <v>1.583282E7</v>
      </c>
      <c r="N945" s="254"/>
      <c r="O945" s="587" t="s">
        <v>2554</v>
      </c>
      <c r="P945" s="587" t="s">
        <v>1867</v>
      </c>
      <c r="Q945" s="555">
        <v>6437093.0</v>
      </c>
      <c r="R945" s="254"/>
      <c r="S945" s="355" t="s">
        <v>2550</v>
      </c>
      <c r="T945" s="355" t="s">
        <v>1631</v>
      </c>
      <c r="U945" s="555">
        <v>1.2597062E7</v>
      </c>
      <c r="V945" s="254"/>
      <c r="W945" s="355" t="s">
        <v>2551</v>
      </c>
      <c r="X945" s="355" t="s">
        <v>1655</v>
      </c>
      <c r="Y945" s="555">
        <v>1.8886989E7</v>
      </c>
      <c r="Z945" s="254"/>
      <c r="AA945" s="355" t="s">
        <v>2551</v>
      </c>
      <c r="AB945" s="355" t="s">
        <v>1655</v>
      </c>
      <c r="AC945" s="555">
        <v>1.8107356E7</v>
      </c>
      <c r="AD945" s="355"/>
      <c r="AE945" s="358"/>
      <c r="AF945" s="355"/>
      <c r="AG945" s="355"/>
      <c r="AH945" s="355"/>
      <c r="AI945" s="355"/>
      <c r="AJ945" s="355"/>
      <c r="AK945" s="281"/>
      <c r="AL945" s="281"/>
      <c r="AM945" s="281"/>
      <c r="AN945" s="294"/>
    </row>
    <row r="946">
      <c r="A946" s="196" t="str">
        <f t="array" ref="A946">INDEX('Federal Tax, Stock Buybacks, &amp; '!D:D,match(B946,'Federal Tax, Stock Buybacks, &amp; '!E:E,0))</f>
        <v>#N/A</v>
      </c>
      <c r="B946" s="352" t="s">
        <v>2549</v>
      </c>
      <c r="C946" s="587"/>
      <c r="D946" s="587"/>
      <c r="E946" s="588"/>
      <c r="F946" s="254"/>
      <c r="G946" s="587"/>
      <c r="H946" s="587"/>
      <c r="I946" s="588"/>
      <c r="J946" s="254"/>
      <c r="K946" s="587" t="s">
        <v>2555</v>
      </c>
      <c r="L946" s="587" t="s">
        <v>1523</v>
      </c>
      <c r="M946" s="588">
        <v>2.0865106E7</v>
      </c>
      <c r="N946" s="254"/>
      <c r="O946" s="587" t="s">
        <v>2550</v>
      </c>
      <c r="P946" s="587" t="s">
        <v>1631</v>
      </c>
      <c r="Q946" s="555">
        <v>1.4637968E7</v>
      </c>
      <c r="R946" s="254"/>
      <c r="S946" s="355" t="s">
        <v>2555</v>
      </c>
      <c r="T946" s="355" t="s">
        <v>2556</v>
      </c>
      <c r="U946" s="555">
        <v>1.2857176E7</v>
      </c>
      <c r="V946" s="254"/>
      <c r="W946" s="355" t="s">
        <v>2554</v>
      </c>
      <c r="X946" s="355" t="s">
        <v>1867</v>
      </c>
      <c r="Y946" s="555">
        <v>6963677.0</v>
      </c>
      <c r="Z946" s="254"/>
      <c r="AA946" s="355" t="s">
        <v>2550</v>
      </c>
      <c r="AB946" s="355" t="s">
        <v>1631</v>
      </c>
      <c r="AC946" s="555">
        <v>8587912.0</v>
      </c>
      <c r="AD946" s="355"/>
      <c r="AE946" s="358"/>
      <c r="AF946" s="355"/>
      <c r="AG946" s="355"/>
      <c r="AH946" s="355"/>
      <c r="AI946" s="355"/>
      <c r="AJ946" s="355"/>
      <c r="AK946" s="281"/>
      <c r="AL946" s="281"/>
      <c r="AM946" s="281"/>
      <c r="AN946" s="294"/>
    </row>
    <row r="947">
      <c r="A947" s="196" t="str">
        <f t="array" ref="A947">INDEX('Federal Tax, Stock Buybacks, &amp; '!D:D,match(B947,'Federal Tax, Stock Buybacks, &amp; '!E:E,0))</f>
        <v>#N/A</v>
      </c>
      <c r="B947" s="352" t="s">
        <v>2549</v>
      </c>
      <c r="C947" s="355"/>
      <c r="D947" s="587"/>
      <c r="E947" s="588"/>
      <c r="F947" s="254"/>
      <c r="G947" s="355"/>
      <c r="H947" s="587"/>
      <c r="I947" s="588"/>
      <c r="J947" s="254"/>
      <c r="K947" s="355" t="s">
        <v>2557</v>
      </c>
      <c r="L947" s="587" t="s">
        <v>2558</v>
      </c>
      <c r="M947" s="588">
        <v>9859429.0</v>
      </c>
      <c r="N947" s="254"/>
      <c r="O947" s="587" t="s">
        <v>2553</v>
      </c>
      <c r="P947" s="355" t="s">
        <v>1697</v>
      </c>
      <c r="Q947" s="555">
        <v>1.4643488E7</v>
      </c>
      <c r="R947" s="254"/>
      <c r="S947" s="355" t="s">
        <v>2553</v>
      </c>
      <c r="T947" s="355" t="s">
        <v>2558</v>
      </c>
      <c r="U947" s="555">
        <v>1.2606484E7</v>
      </c>
      <c r="V947" s="254"/>
      <c r="W947" s="355" t="s">
        <v>2550</v>
      </c>
      <c r="X947" s="355" t="s">
        <v>1631</v>
      </c>
      <c r="Y947" s="555">
        <v>1.0627085E7</v>
      </c>
      <c r="Z947" s="254"/>
      <c r="AA947" s="355" t="s">
        <v>2555</v>
      </c>
      <c r="AB947" s="355" t="s">
        <v>2559</v>
      </c>
      <c r="AC947" s="555">
        <v>2.123255E7</v>
      </c>
      <c r="AD947" s="355"/>
      <c r="AE947" s="358"/>
      <c r="AF947" s="355"/>
      <c r="AG947" s="355"/>
      <c r="AH947" s="355"/>
      <c r="AI947" s="355"/>
      <c r="AJ947" s="355"/>
      <c r="AK947" s="281"/>
      <c r="AL947" s="281"/>
      <c r="AM947" s="281"/>
      <c r="AN947" s="294"/>
    </row>
    <row r="948">
      <c r="A948" s="196" t="str">
        <f t="array" ref="A948">INDEX('Federal Tax, Stock Buybacks, &amp; '!D:D,match(B948,'Federal Tax, Stock Buybacks, &amp; '!E:E,0))</f>
        <v>#N/A</v>
      </c>
      <c r="B948" s="352" t="s">
        <v>2549</v>
      </c>
      <c r="C948" s="587"/>
      <c r="D948" s="587"/>
      <c r="E948" s="588"/>
      <c r="F948" s="254"/>
      <c r="G948" s="587"/>
      <c r="H948" s="587"/>
      <c r="I948" s="588"/>
      <c r="J948" s="254"/>
      <c r="K948" s="587" t="s">
        <v>2560</v>
      </c>
      <c r="L948" s="587" t="s">
        <v>1635</v>
      </c>
      <c r="M948" s="588">
        <v>1.1317824E7</v>
      </c>
      <c r="N948" s="254"/>
      <c r="O948" s="589" t="s">
        <v>2555</v>
      </c>
      <c r="P948" s="355" t="s">
        <v>1523</v>
      </c>
      <c r="Q948" s="555">
        <v>1.8433143E7</v>
      </c>
      <c r="R948" s="254"/>
      <c r="S948" s="355" t="s">
        <v>2561</v>
      </c>
      <c r="T948" s="355" t="s">
        <v>1871</v>
      </c>
      <c r="U948" s="555">
        <v>7190693.0</v>
      </c>
      <c r="V948" s="254"/>
      <c r="W948" s="355" t="s">
        <v>2555</v>
      </c>
      <c r="X948" s="355" t="s">
        <v>2556</v>
      </c>
      <c r="Y948" s="555">
        <v>1.652602E7</v>
      </c>
      <c r="Z948" s="254"/>
      <c r="AA948" s="355" t="s">
        <v>2562</v>
      </c>
      <c r="AB948" s="355" t="s">
        <v>2558</v>
      </c>
      <c r="AC948" s="555">
        <v>9763024.0</v>
      </c>
      <c r="AD948" s="355"/>
      <c r="AE948" s="358"/>
      <c r="AF948" s="355"/>
      <c r="AG948" s="355"/>
      <c r="AH948" s="355"/>
      <c r="AI948" s="355"/>
      <c r="AJ948" s="355"/>
      <c r="AK948" s="281"/>
      <c r="AL948" s="281"/>
      <c r="AM948" s="281"/>
      <c r="AN948" s="294"/>
    </row>
    <row r="949">
      <c r="A949" s="196" t="str">
        <f t="array" ref="A949">INDEX('Federal Tax, Stock Buybacks, &amp; '!D:D,match(B949,'Federal Tax, Stock Buybacks, &amp; '!E:E,0))</f>
        <v>#N/A</v>
      </c>
      <c r="B949" s="352" t="s">
        <v>2549</v>
      </c>
      <c r="C949" s="590"/>
      <c r="D949" s="219"/>
      <c r="E949" s="555"/>
      <c r="F949" s="254"/>
      <c r="G949" s="590"/>
      <c r="H949" s="219"/>
      <c r="I949" s="555"/>
      <c r="J949" s="254"/>
      <c r="K949" s="590" t="s">
        <v>711</v>
      </c>
      <c r="L949" s="219" t="s">
        <v>711</v>
      </c>
      <c r="M949" s="555" t="s">
        <v>711</v>
      </c>
      <c r="N949" s="254"/>
      <c r="O949" s="355" t="s">
        <v>2557</v>
      </c>
      <c r="P949" s="355" t="s">
        <v>2558</v>
      </c>
      <c r="Q949" s="555">
        <v>9671006.0</v>
      </c>
      <c r="R949" s="254"/>
      <c r="S949" s="355" t="s">
        <v>2554</v>
      </c>
      <c r="T949" s="355" t="s">
        <v>1867</v>
      </c>
      <c r="U949" s="555">
        <v>5438530.0</v>
      </c>
      <c r="V949" s="254"/>
      <c r="W949" s="355" t="s">
        <v>2562</v>
      </c>
      <c r="X949" s="355" t="s">
        <v>2563</v>
      </c>
      <c r="Y949" s="555">
        <v>1.4059422E7</v>
      </c>
      <c r="Z949" s="254"/>
      <c r="AA949" s="219" t="s">
        <v>711</v>
      </c>
      <c r="AB949" s="219" t="s">
        <v>711</v>
      </c>
      <c r="AC949" s="555" t="s">
        <v>711</v>
      </c>
      <c r="AD949" s="355"/>
      <c r="AE949" s="358"/>
      <c r="AF949" s="355"/>
      <c r="AG949" s="355"/>
      <c r="AH949" s="355"/>
      <c r="AI949" s="355"/>
      <c r="AJ949" s="355"/>
      <c r="AK949" s="281"/>
      <c r="AL949" s="281"/>
      <c r="AM949" s="281"/>
      <c r="AN949" s="294"/>
    </row>
    <row r="950">
      <c r="A950" s="196" t="str">
        <f t="array" ref="A950">INDEX('Federal Tax, Stock Buybacks, &amp; '!D:D,match(B950,'Federal Tax, Stock Buybacks, &amp; '!E:E,0))</f>
        <v>#N/A</v>
      </c>
      <c r="B950" s="352" t="s">
        <v>2549</v>
      </c>
      <c r="C950" s="591"/>
      <c r="D950" s="590"/>
      <c r="E950" s="588"/>
      <c r="F950" s="254"/>
      <c r="G950" s="591"/>
      <c r="H950" s="590"/>
      <c r="I950" s="588"/>
      <c r="J950" s="254"/>
      <c r="K950" s="591" t="s">
        <v>711</v>
      </c>
      <c r="L950" s="590" t="s">
        <v>711</v>
      </c>
      <c r="M950" s="588" t="s">
        <v>711</v>
      </c>
      <c r="N950" s="254"/>
      <c r="O950" s="219" t="s">
        <v>711</v>
      </c>
      <c r="P950" s="219" t="s">
        <v>711</v>
      </c>
      <c r="Q950" s="555" t="s">
        <v>711</v>
      </c>
      <c r="R950" s="254"/>
      <c r="S950" s="219" t="s">
        <v>711</v>
      </c>
      <c r="T950" s="219" t="s">
        <v>711</v>
      </c>
      <c r="U950" s="555" t="s">
        <v>711</v>
      </c>
      <c r="V950" s="254"/>
      <c r="W950" s="355" t="s">
        <v>2553</v>
      </c>
      <c r="X950" s="355" t="s">
        <v>2558</v>
      </c>
      <c r="Y950" s="555">
        <v>8966980.0</v>
      </c>
      <c r="Z950" s="254"/>
      <c r="AA950" s="219" t="s">
        <v>711</v>
      </c>
      <c r="AB950" s="219" t="s">
        <v>711</v>
      </c>
      <c r="AC950" s="555" t="s">
        <v>711</v>
      </c>
      <c r="AD950" s="355"/>
      <c r="AE950" s="358"/>
      <c r="AF950" s="355"/>
      <c r="AG950" s="355"/>
      <c r="AH950" s="355"/>
      <c r="AI950" s="355"/>
      <c r="AJ950" s="355"/>
      <c r="AK950" s="281"/>
      <c r="AL950" s="281"/>
      <c r="AM950" s="281"/>
      <c r="AN950" s="294"/>
    </row>
    <row r="951">
      <c r="A951" s="196" t="str">
        <f t="array" ref="A951">INDEX('Federal Tax, Stock Buybacks, &amp; '!D:D,match(B951,'Federal Tax, Stock Buybacks, &amp; '!E:E,0))</f>
        <v>#N/A</v>
      </c>
      <c r="B951" s="352" t="s">
        <v>2564</v>
      </c>
      <c r="C951" s="355"/>
      <c r="D951" s="355"/>
      <c r="E951" s="555"/>
      <c r="F951" s="254"/>
      <c r="G951" s="355"/>
      <c r="H951" s="355"/>
      <c r="I951" s="555"/>
      <c r="J951" s="254"/>
      <c r="K951" s="355" t="s">
        <v>2565</v>
      </c>
      <c r="L951" s="355" t="s">
        <v>2566</v>
      </c>
      <c r="M951" s="555">
        <v>3584630.0</v>
      </c>
      <c r="N951" s="254"/>
      <c r="O951" s="355" t="s">
        <v>2567</v>
      </c>
      <c r="P951" s="355" t="s">
        <v>2568</v>
      </c>
      <c r="Q951" s="555">
        <v>373204.0</v>
      </c>
      <c r="R951" s="254"/>
      <c r="S951" s="355" t="s">
        <v>2567</v>
      </c>
      <c r="T951" s="355" t="s">
        <v>2568</v>
      </c>
      <c r="U951" s="555">
        <v>380328.0</v>
      </c>
      <c r="V951" s="254"/>
      <c r="W951" s="592" t="s">
        <v>2567</v>
      </c>
      <c r="X951" s="355" t="s">
        <v>2568</v>
      </c>
      <c r="Y951" s="555">
        <v>374773.0</v>
      </c>
      <c r="Z951" s="254"/>
      <c r="AA951" s="592" t="s">
        <v>2567</v>
      </c>
      <c r="AB951" s="355" t="s">
        <v>2568</v>
      </c>
      <c r="AC951" s="555">
        <v>388968.0</v>
      </c>
      <c r="AD951" s="355"/>
      <c r="AE951" s="356">
        <v>2022.0</v>
      </c>
      <c r="AF951" s="356">
        <v>2021.0</v>
      </c>
      <c r="AG951" s="356">
        <v>2020.0</v>
      </c>
      <c r="AH951" s="356">
        <v>2019.0</v>
      </c>
      <c r="AI951" s="356">
        <v>2018.0</v>
      </c>
      <c r="AJ951" s="355"/>
      <c r="AK951" s="281"/>
      <c r="AL951" s="281"/>
      <c r="AM951" s="281"/>
      <c r="AN951" s="294"/>
    </row>
    <row r="952">
      <c r="A952" s="196" t="str">
        <f t="array" ref="A952">INDEX('Federal Tax, Stock Buybacks, &amp; '!D:D,match(B952,'Federal Tax, Stock Buybacks, &amp; '!E:E,0))</f>
        <v>#N/A</v>
      </c>
      <c r="B952" s="352" t="s">
        <v>2564</v>
      </c>
      <c r="C952" s="355"/>
      <c r="D952" s="355"/>
      <c r="E952" s="555"/>
      <c r="F952" s="254"/>
      <c r="G952" s="355"/>
      <c r="H952" s="355"/>
      <c r="I952" s="555"/>
      <c r="J952" s="254"/>
      <c r="K952" s="355" t="s">
        <v>2569</v>
      </c>
      <c r="L952" s="355" t="s">
        <v>2570</v>
      </c>
      <c r="M952" s="555">
        <v>100000.0</v>
      </c>
      <c r="N952" s="254"/>
      <c r="O952" s="355" t="s">
        <v>2565</v>
      </c>
      <c r="P952" s="355" t="s">
        <v>2566</v>
      </c>
      <c r="Q952" s="555">
        <v>3327000.0</v>
      </c>
      <c r="R952" s="254"/>
      <c r="S952" s="355" t="s">
        <v>2565</v>
      </c>
      <c r="T952" s="355" t="s">
        <v>2566</v>
      </c>
      <c r="U952" s="555">
        <v>3264250.0</v>
      </c>
      <c r="V952" s="254"/>
      <c r="W952" s="592" t="s">
        <v>2565</v>
      </c>
      <c r="X952" s="355" t="s">
        <v>2566</v>
      </c>
      <c r="Y952" s="555">
        <v>3076500.0</v>
      </c>
      <c r="Z952" s="254"/>
      <c r="AA952" s="592" t="s">
        <v>2565</v>
      </c>
      <c r="AB952" s="355" t="s">
        <v>2566</v>
      </c>
      <c r="AC952" s="555">
        <v>2263750.0</v>
      </c>
      <c r="AD952" s="355"/>
      <c r="AE952" s="358"/>
      <c r="AF952" s="355"/>
      <c r="AG952" s="355"/>
      <c r="AH952" s="355"/>
      <c r="AI952" s="355"/>
      <c r="AJ952" s="355"/>
      <c r="AK952" s="281"/>
      <c r="AL952" s="281"/>
      <c r="AM952" s="281"/>
      <c r="AN952" s="294"/>
    </row>
    <row r="953">
      <c r="A953" s="196" t="str">
        <f t="array" ref="A953">INDEX('Federal Tax, Stock Buybacks, &amp; '!D:D,match(B953,'Federal Tax, Stock Buybacks, &amp; '!E:E,0))</f>
        <v>#N/A</v>
      </c>
      <c r="B953" s="352" t="s">
        <v>2564</v>
      </c>
      <c r="C953" s="355"/>
      <c r="D953" s="355"/>
      <c r="E953" s="555"/>
      <c r="F953" s="254"/>
      <c r="G953" s="355"/>
      <c r="H953" s="355"/>
      <c r="I953" s="555"/>
      <c r="J953" s="254"/>
      <c r="K953" s="355" t="s">
        <v>2571</v>
      </c>
      <c r="L953" s="355" t="s">
        <v>2572</v>
      </c>
      <c r="M953" s="555">
        <v>1.901525E7</v>
      </c>
      <c r="N953" s="254"/>
      <c r="O953" s="355" t="s">
        <v>2569</v>
      </c>
      <c r="P953" s="355" t="s">
        <v>2570</v>
      </c>
      <c r="Q953" s="555">
        <v>100000.0</v>
      </c>
      <c r="R953" s="254"/>
      <c r="S953" s="355" t="s">
        <v>2569</v>
      </c>
      <c r="T953" s="355" t="s">
        <v>2570</v>
      </c>
      <c r="U953" s="555">
        <v>100000.0</v>
      </c>
      <c r="V953" s="254"/>
      <c r="W953" s="592" t="s">
        <v>2569</v>
      </c>
      <c r="X953" s="355" t="s">
        <v>2570</v>
      </c>
      <c r="Y953" s="555">
        <v>100000.0</v>
      </c>
      <c r="Z953" s="254"/>
      <c r="AA953" s="592" t="s">
        <v>2569</v>
      </c>
      <c r="AB953" s="355" t="s">
        <v>2570</v>
      </c>
      <c r="AC953" s="555">
        <v>100000.0</v>
      </c>
      <c r="AD953" s="355"/>
      <c r="AE953" s="358"/>
      <c r="AF953" s="355"/>
      <c r="AG953" s="355"/>
      <c r="AH953" s="355"/>
      <c r="AI953" s="355"/>
      <c r="AJ953" s="355"/>
      <c r="AK953" s="281"/>
      <c r="AL953" s="281"/>
      <c r="AM953" s="281"/>
      <c r="AN953" s="294"/>
    </row>
    <row r="954">
      <c r="A954" s="196" t="str">
        <f t="array" ref="A954">INDEX('Federal Tax, Stock Buybacks, &amp; '!D:D,match(B954,'Federal Tax, Stock Buybacks, &amp; '!E:E,0))</f>
        <v>#N/A</v>
      </c>
      <c r="B954" s="352" t="s">
        <v>2564</v>
      </c>
      <c r="C954" s="355"/>
      <c r="D954" s="355"/>
      <c r="E954" s="555"/>
      <c r="F954" s="254"/>
      <c r="G954" s="355"/>
      <c r="H954" s="355"/>
      <c r="I954" s="555"/>
      <c r="J954" s="254"/>
      <c r="K954" s="355" t="s">
        <v>2573</v>
      </c>
      <c r="L954" s="355" t="s">
        <v>2574</v>
      </c>
      <c r="M954" s="555">
        <v>1.901525E7</v>
      </c>
      <c r="N954" s="254"/>
      <c r="O954" s="355" t="s">
        <v>2571</v>
      </c>
      <c r="P954" s="355" t="s">
        <v>2572</v>
      </c>
      <c r="Q954" s="555">
        <v>1.90145E7</v>
      </c>
      <c r="R954" s="254"/>
      <c r="S954" s="355" t="s">
        <v>2571</v>
      </c>
      <c r="T954" s="355" t="s">
        <v>2572</v>
      </c>
      <c r="U954" s="555">
        <v>1.901425E7</v>
      </c>
      <c r="V954" s="254"/>
      <c r="W954" s="592" t="s">
        <v>2571</v>
      </c>
      <c r="X954" s="355" t="s">
        <v>2572</v>
      </c>
      <c r="Y954" s="555">
        <v>1.9014E7</v>
      </c>
      <c r="Z954" s="254"/>
      <c r="AA954" s="592" t="s">
        <v>2571</v>
      </c>
      <c r="AB954" s="355" t="s">
        <v>2572</v>
      </c>
      <c r="AC954" s="555">
        <v>1.801375E7</v>
      </c>
      <c r="AD954" s="355"/>
      <c r="AE954" s="358"/>
      <c r="AF954" s="355"/>
      <c r="AG954" s="355"/>
      <c r="AH954" s="355"/>
      <c r="AI954" s="355"/>
      <c r="AJ954" s="355"/>
      <c r="AK954" s="281"/>
      <c r="AL954" s="281"/>
      <c r="AM954" s="281"/>
      <c r="AN954" s="294"/>
    </row>
    <row r="955">
      <c r="A955" s="196" t="str">
        <f t="array" ref="A955">INDEX('Federal Tax, Stock Buybacks, &amp; '!D:D,match(B955,'Federal Tax, Stock Buybacks, &amp; '!E:E,0))</f>
        <v>#N/A</v>
      </c>
      <c r="B955" s="352" t="s">
        <v>2564</v>
      </c>
      <c r="C955" s="355"/>
      <c r="D955" s="355"/>
      <c r="E955" s="555"/>
      <c r="F955" s="254"/>
      <c r="G955" s="355"/>
      <c r="H955" s="355"/>
      <c r="I955" s="555"/>
      <c r="J955" s="254"/>
      <c r="K955" s="355" t="s">
        <v>2575</v>
      </c>
      <c r="L955" s="355" t="s">
        <v>2469</v>
      </c>
      <c r="M955" s="555">
        <v>401589.0</v>
      </c>
      <c r="N955" s="254"/>
      <c r="O955" s="355" t="s">
        <v>2573</v>
      </c>
      <c r="P955" s="355" t="s">
        <v>2574</v>
      </c>
      <c r="Q955" s="555">
        <v>1.90145E7</v>
      </c>
      <c r="R955" s="254"/>
      <c r="S955" s="355" t="s">
        <v>2573</v>
      </c>
      <c r="T955" s="355" t="s">
        <v>2574</v>
      </c>
      <c r="U955" s="555">
        <v>1.901425E7</v>
      </c>
      <c r="V955" s="254"/>
      <c r="W955" s="592" t="s">
        <v>2573</v>
      </c>
      <c r="X955" s="355" t="s">
        <v>2574</v>
      </c>
      <c r="Y955" s="555">
        <v>1.9014E7</v>
      </c>
      <c r="Z955" s="254"/>
      <c r="AA955" s="592" t="s">
        <v>2573</v>
      </c>
      <c r="AB955" s="355" t="s">
        <v>2574</v>
      </c>
      <c r="AC955" s="555">
        <v>1.801375E7</v>
      </c>
      <c r="AD955" s="355"/>
      <c r="AE955" s="358"/>
      <c r="AF955" s="355"/>
      <c r="AG955" s="355"/>
      <c r="AH955" s="355"/>
      <c r="AI955" s="355"/>
      <c r="AJ955" s="355"/>
      <c r="AK955" s="281"/>
      <c r="AL955" s="281"/>
      <c r="AM955" s="281"/>
      <c r="AN955" s="294"/>
    </row>
    <row r="956">
      <c r="A956" s="196" t="str">
        <f t="array" ref="A956">INDEX('Federal Tax, Stock Buybacks, &amp; '!D:D,match(B956,'Federal Tax, Stock Buybacks, &amp; '!E:E,0))</f>
        <v>#N/A</v>
      </c>
      <c r="B956" s="582" t="s">
        <v>2576</v>
      </c>
      <c r="C956" s="271"/>
      <c r="D956" s="271"/>
      <c r="E956" s="545"/>
      <c r="F956" s="254"/>
      <c r="G956" s="271"/>
      <c r="H956" s="271"/>
      <c r="I956" s="545"/>
      <c r="J956" s="254"/>
      <c r="K956" s="271" t="s">
        <v>2577</v>
      </c>
      <c r="L956" s="271" t="s">
        <v>1523</v>
      </c>
      <c r="M956" s="545">
        <v>2.0221325E7</v>
      </c>
      <c r="N956" s="254"/>
      <c r="O956" s="271" t="s">
        <v>2577</v>
      </c>
      <c r="P956" s="271" t="s">
        <v>1523</v>
      </c>
      <c r="Q956" s="545">
        <v>1.8152082E7</v>
      </c>
      <c r="R956" s="254"/>
      <c r="S956" s="271" t="s">
        <v>2577</v>
      </c>
      <c r="T956" s="271" t="s">
        <v>1523</v>
      </c>
      <c r="U956" s="545">
        <v>1.4840073E7</v>
      </c>
      <c r="V956" s="254"/>
      <c r="W956" s="271" t="s">
        <v>2577</v>
      </c>
      <c r="X956" s="271" t="s">
        <v>1523</v>
      </c>
      <c r="Y956" s="545">
        <v>1.543547E7</v>
      </c>
      <c r="Z956" s="254"/>
      <c r="AA956" s="271" t="s">
        <v>2578</v>
      </c>
      <c r="AB956" s="271" t="s">
        <v>1674</v>
      </c>
      <c r="AC956" s="545">
        <v>1.7400207E7</v>
      </c>
      <c r="AD956" s="271"/>
      <c r="AE956" s="272">
        <v>2022.0</v>
      </c>
      <c r="AF956" s="272">
        <v>2021.0</v>
      </c>
      <c r="AG956" s="272">
        <v>2020.0</v>
      </c>
      <c r="AH956" s="272">
        <v>2019.0</v>
      </c>
      <c r="AI956" s="272">
        <v>2018.0</v>
      </c>
      <c r="AJ956" s="593" t="s">
        <v>2493</v>
      </c>
      <c r="AK956" s="281"/>
      <c r="AL956" s="281"/>
      <c r="AM956" s="281"/>
      <c r="AN956" s="294"/>
    </row>
    <row r="957">
      <c r="A957" s="196" t="str">
        <f t="array" ref="A957">INDEX('Federal Tax, Stock Buybacks, &amp; '!D:D,match(B957,'Federal Tax, Stock Buybacks, &amp; '!E:E,0))</f>
        <v>#N/A</v>
      </c>
      <c r="B957" s="582" t="s">
        <v>2576</v>
      </c>
      <c r="C957" s="271"/>
      <c r="D957" s="271"/>
      <c r="E957" s="545"/>
      <c r="F957" s="254"/>
      <c r="G957" s="271"/>
      <c r="H957" s="271"/>
      <c r="I957" s="545"/>
      <c r="J957" s="254"/>
      <c r="K957" s="271" t="s">
        <v>2579</v>
      </c>
      <c r="L957" s="271" t="s">
        <v>1585</v>
      </c>
      <c r="M957" s="545">
        <v>7037713.0</v>
      </c>
      <c r="N957" s="254"/>
      <c r="O957" s="271" t="s">
        <v>2579</v>
      </c>
      <c r="P957" s="271" t="s">
        <v>1585</v>
      </c>
      <c r="Q957" s="545">
        <v>6133732.0</v>
      </c>
      <c r="R957" s="254"/>
      <c r="S957" s="271" t="s">
        <v>2579</v>
      </c>
      <c r="T957" s="271" t="s">
        <v>1585</v>
      </c>
      <c r="U957" s="545">
        <v>5538298.0</v>
      </c>
      <c r="V957" s="254"/>
      <c r="W957" s="271" t="s">
        <v>2579</v>
      </c>
      <c r="X957" s="271" t="s">
        <v>1585</v>
      </c>
      <c r="Y957" s="545">
        <v>5297282.0</v>
      </c>
      <c r="Z957" s="254"/>
      <c r="AA957" s="271" t="s">
        <v>2577</v>
      </c>
      <c r="AB957" s="271" t="s">
        <v>1697</v>
      </c>
      <c r="AC957" s="545">
        <v>1.2590066E7</v>
      </c>
      <c r="AD957" s="271"/>
      <c r="AE957" s="277"/>
      <c r="AF957" s="271"/>
      <c r="AG957" s="271"/>
      <c r="AH957" s="271"/>
      <c r="AI957" s="271"/>
      <c r="AJ957" s="271"/>
      <c r="AK957" s="281"/>
      <c r="AL957" s="281"/>
      <c r="AM957" s="281"/>
      <c r="AN957" s="294"/>
    </row>
    <row r="958">
      <c r="A958" s="196" t="str">
        <f t="array" ref="A958">INDEX('Federal Tax, Stock Buybacks, &amp; '!D:D,match(B958,'Federal Tax, Stock Buybacks, &amp; '!E:E,0))</f>
        <v>#N/A</v>
      </c>
      <c r="B958" s="582" t="s">
        <v>2576</v>
      </c>
      <c r="C958" s="271"/>
      <c r="D958" s="271"/>
      <c r="E958" s="545"/>
      <c r="F958" s="254"/>
      <c r="G958" s="271"/>
      <c r="H958" s="271"/>
      <c r="I958" s="545"/>
      <c r="J958" s="254"/>
      <c r="K958" s="271" t="s">
        <v>2580</v>
      </c>
      <c r="L958" s="271" t="s">
        <v>2581</v>
      </c>
      <c r="M958" s="545">
        <v>5210558.0</v>
      </c>
      <c r="N958" s="254"/>
      <c r="O958" s="271" t="s">
        <v>2580</v>
      </c>
      <c r="P958" s="271" t="s">
        <v>2581</v>
      </c>
      <c r="Q958" s="545">
        <v>5268777.0</v>
      </c>
      <c r="R958" s="254"/>
      <c r="S958" s="271" t="s">
        <v>2580</v>
      </c>
      <c r="T958" s="271" t="s">
        <v>2581</v>
      </c>
      <c r="U958" s="545">
        <v>4907436.0</v>
      </c>
      <c r="V958" s="254"/>
      <c r="W958" s="271" t="s">
        <v>2582</v>
      </c>
      <c r="X958" s="271" t="s">
        <v>2583</v>
      </c>
      <c r="Y958" s="545">
        <v>5518609.0</v>
      </c>
      <c r="Z958" s="254"/>
      <c r="AA958" s="271" t="s">
        <v>2579</v>
      </c>
      <c r="AB958" s="271" t="s">
        <v>1585</v>
      </c>
      <c r="AC958" s="545">
        <v>9210923.0</v>
      </c>
      <c r="AD958" s="271"/>
      <c r="AE958" s="277"/>
      <c r="AF958" s="271"/>
      <c r="AG958" s="271"/>
      <c r="AH958" s="271"/>
      <c r="AI958" s="271"/>
      <c r="AJ958" s="271"/>
      <c r="AK958" s="281"/>
      <c r="AL958" s="281"/>
      <c r="AM958" s="281"/>
      <c r="AN958" s="294"/>
    </row>
    <row r="959">
      <c r="A959" s="196" t="str">
        <f t="array" ref="A959">INDEX('Federal Tax, Stock Buybacks, &amp; '!D:D,match(B959,'Federal Tax, Stock Buybacks, &amp; '!E:E,0))</f>
        <v>#N/A</v>
      </c>
      <c r="B959" s="582" t="s">
        <v>2576</v>
      </c>
      <c r="C959" s="271"/>
      <c r="D959" s="271"/>
      <c r="E959" s="545"/>
      <c r="F959" s="254"/>
      <c r="G959" s="271"/>
      <c r="H959" s="271"/>
      <c r="I959" s="545"/>
      <c r="J959" s="254"/>
      <c r="K959" s="271" t="s">
        <v>2584</v>
      </c>
      <c r="L959" s="271" t="s">
        <v>2585</v>
      </c>
      <c r="M959" s="545">
        <v>3968233.0</v>
      </c>
      <c r="N959" s="254"/>
      <c r="O959" s="271" t="s">
        <v>2586</v>
      </c>
      <c r="P959" s="271" t="s">
        <v>1871</v>
      </c>
      <c r="Q959" s="545">
        <v>3582481.0</v>
      </c>
      <c r="R959" s="254"/>
      <c r="S959" s="271" t="s">
        <v>2586</v>
      </c>
      <c r="T959" s="271" t="s">
        <v>1871</v>
      </c>
      <c r="U959" s="545">
        <v>3095648.0</v>
      </c>
      <c r="V959" s="254"/>
      <c r="W959" s="271" t="s">
        <v>2580</v>
      </c>
      <c r="X959" s="271" t="s">
        <v>2587</v>
      </c>
      <c r="Y959" s="545">
        <v>5312911.0</v>
      </c>
      <c r="Z959" s="254"/>
      <c r="AA959" s="271" t="s">
        <v>2582</v>
      </c>
      <c r="AB959" s="271" t="s">
        <v>2583</v>
      </c>
      <c r="AC959" s="545">
        <v>8641505.0</v>
      </c>
      <c r="AD959" s="271"/>
      <c r="AE959" s="277"/>
      <c r="AF959" s="271"/>
      <c r="AG959" s="271"/>
      <c r="AH959" s="271"/>
      <c r="AI959" s="271"/>
      <c r="AJ959" s="271"/>
      <c r="AK959" s="281"/>
      <c r="AL959" s="281"/>
      <c r="AM959" s="281"/>
      <c r="AN959" s="294"/>
    </row>
    <row r="960">
      <c r="A960" s="196" t="str">
        <f t="array" ref="A960">INDEX('Federal Tax, Stock Buybacks, &amp; '!D:D,match(B960,'Federal Tax, Stock Buybacks, &amp; '!E:E,0))</f>
        <v>#N/A</v>
      </c>
      <c r="B960" s="582" t="s">
        <v>2576</v>
      </c>
      <c r="C960" s="271"/>
      <c r="D960" s="271"/>
      <c r="E960" s="545"/>
      <c r="F960" s="254"/>
      <c r="G960" s="271"/>
      <c r="H960" s="271"/>
      <c r="I960" s="545"/>
      <c r="J960" s="254"/>
      <c r="K960" s="271" t="s">
        <v>2588</v>
      </c>
      <c r="L960" s="271" t="s">
        <v>1871</v>
      </c>
      <c r="M960" s="545">
        <v>3375529.0</v>
      </c>
      <c r="N960" s="254"/>
      <c r="O960" s="271" t="s">
        <v>2584</v>
      </c>
      <c r="P960" s="271" t="s">
        <v>2585</v>
      </c>
      <c r="Q960" s="545">
        <v>3055006.0</v>
      </c>
      <c r="R960" s="254"/>
      <c r="S960" s="271" t="s">
        <v>2589</v>
      </c>
      <c r="T960" s="271" t="s">
        <v>2583</v>
      </c>
      <c r="U960" s="545">
        <v>3526572.0</v>
      </c>
      <c r="V960" s="254"/>
      <c r="W960" s="271" t="s">
        <v>2586</v>
      </c>
      <c r="X960" s="271" t="s">
        <v>1871</v>
      </c>
      <c r="Y960" s="545">
        <v>2562241.0</v>
      </c>
      <c r="Z960" s="254"/>
      <c r="AA960" s="271" t="s">
        <v>2580</v>
      </c>
      <c r="AB960" s="271" t="s">
        <v>2590</v>
      </c>
      <c r="AC960" s="545">
        <v>9415059.0</v>
      </c>
      <c r="AD960" s="271"/>
      <c r="AE960" s="277"/>
      <c r="AF960" s="271"/>
      <c r="AG960" s="271"/>
      <c r="AH960" s="271"/>
      <c r="AI960" s="271"/>
      <c r="AJ960" s="271"/>
      <c r="AK960" s="281"/>
      <c r="AL960" s="281"/>
      <c r="AM960" s="281"/>
      <c r="AN960" s="294"/>
    </row>
    <row r="961">
      <c r="A961" s="196" t="str">
        <f t="array" ref="A961">INDEX('Federal Tax, Stock Buybacks, &amp; '!D:D,match(B961,'Federal Tax, Stock Buybacks, &amp; '!E:E,0))</f>
        <v>#N/A</v>
      </c>
      <c r="B961" s="582" t="s">
        <v>2591</v>
      </c>
      <c r="C961" s="582"/>
      <c r="D961" s="582"/>
      <c r="E961" s="545"/>
      <c r="F961" s="254"/>
      <c r="G961" s="582"/>
      <c r="H961" s="582"/>
      <c r="I961" s="545"/>
      <c r="J961" s="254"/>
      <c r="K961" s="582" t="s">
        <v>2592</v>
      </c>
      <c r="L961" s="582" t="s">
        <v>1523</v>
      </c>
      <c r="M961" s="545">
        <v>1.3463557E7</v>
      </c>
      <c r="N961" s="254"/>
      <c r="O961" s="582" t="s">
        <v>2592</v>
      </c>
      <c r="P961" s="582" t="s">
        <v>1523</v>
      </c>
      <c r="Q961" s="545">
        <v>1.2482378E7</v>
      </c>
      <c r="R961" s="254"/>
      <c r="S961" s="582" t="s">
        <v>2592</v>
      </c>
      <c r="T961" s="582" t="s">
        <v>1523</v>
      </c>
      <c r="U961" s="545">
        <v>1.4217127E7</v>
      </c>
      <c r="V961" s="254"/>
      <c r="W961" s="582" t="s">
        <v>2593</v>
      </c>
      <c r="X961" s="582" t="s">
        <v>2594</v>
      </c>
      <c r="Y961" s="545">
        <v>3186849.0</v>
      </c>
      <c r="Z961" s="254"/>
      <c r="AA961" s="582" t="s">
        <v>2595</v>
      </c>
      <c r="AB961" s="582" t="s">
        <v>2596</v>
      </c>
      <c r="AC961" s="545">
        <v>1.3111886E7</v>
      </c>
      <c r="AD961" s="271"/>
      <c r="AE961" s="272">
        <v>2022.0</v>
      </c>
      <c r="AF961" s="272">
        <v>2021.0</v>
      </c>
      <c r="AG961" s="272">
        <v>2020.0</v>
      </c>
      <c r="AH961" s="272">
        <v>2019.0</v>
      </c>
      <c r="AI961" s="272">
        <v>2018.0</v>
      </c>
      <c r="AJ961" s="593" t="s">
        <v>2597</v>
      </c>
      <c r="AK961" s="281"/>
      <c r="AL961" s="281"/>
      <c r="AM961" s="281"/>
      <c r="AN961" s="294"/>
    </row>
    <row r="962">
      <c r="A962" s="196" t="str">
        <f t="array" ref="A962">INDEX('Federal Tax, Stock Buybacks, &amp; '!D:D,match(B962,'Federal Tax, Stock Buybacks, &amp; '!E:E,0))</f>
        <v>#N/A</v>
      </c>
      <c r="B962" s="582" t="s">
        <v>2591</v>
      </c>
      <c r="C962" s="582"/>
      <c r="D962" s="582"/>
      <c r="E962" s="545"/>
      <c r="F962" s="254"/>
      <c r="G962" s="582"/>
      <c r="H962" s="582"/>
      <c r="I962" s="545"/>
      <c r="J962" s="254"/>
      <c r="K962" s="582" t="s">
        <v>2598</v>
      </c>
      <c r="L962" s="582" t="s">
        <v>2599</v>
      </c>
      <c r="M962" s="545">
        <v>5135066.0</v>
      </c>
      <c r="N962" s="254"/>
      <c r="O962" s="582" t="s">
        <v>2598</v>
      </c>
      <c r="P962" s="582" t="s">
        <v>2599</v>
      </c>
      <c r="Q962" s="545">
        <v>2939134.0</v>
      </c>
      <c r="R962" s="254"/>
      <c r="S962" s="582" t="s">
        <v>2600</v>
      </c>
      <c r="T962" s="582" t="s">
        <v>1528</v>
      </c>
      <c r="U962" s="545">
        <v>68525.0</v>
      </c>
      <c r="V962" s="254"/>
      <c r="W962" s="582" t="s">
        <v>2592</v>
      </c>
      <c r="X962" s="582" t="s">
        <v>1523</v>
      </c>
      <c r="Y962" s="545">
        <v>1.5571004E7</v>
      </c>
      <c r="Z962" s="254"/>
      <c r="AA962" s="582" t="s">
        <v>2593</v>
      </c>
      <c r="AB962" s="582" t="s">
        <v>2599</v>
      </c>
      <c r="AC962" s="545">
        <v>2929750.0</v>
      </c>
      <c r="AD962" s="271"/>
      <c r="AE962" s="277"/>
      <c r="AF962" s="582"/>
      <c r="AG962" s="582"/>
      <c r="AH962" s="582"/>
      <c r="AI962" s="582"/>
      <c r="AJ962" s="271"/>
      <c r="AK962" s="281"/>
      <c r="AL962" s="281"/>
      <c r="AM962" s="281"/>
      <c r="AN962" s="294"/>
    </row>
    <row r="963">
      <c r="A963" s="196" t="str">
        <f t="array" ref="A963">INDEX('Federal Tax, Stock Buybacks, &amp; '!D:D,match(B963,'Federal Tax, Stock Buybacks, &amp; '!E:E,0))</f>
        <v>#N/A</v>
      </c>
      <c r="B963" s="582" t="s">
        <v>2591</v>
      </c>
      <c r="C963" s="582"/>
      <c r="D963" s="582"/>
      <c r="E963" s="545"/>
      <c r="F963" s="254"/>
      <c r="G963" s="582"/>
      <c r="H963" s="582"/>
      <c r="I963" s="545"/>
      <c r="J963" s="254"/>
      <c r="K963" s="582" t="s">
        <v>2601</v>
      </c>
      <c r="L963" s="582" t="s">
        <v>2602</v>
      </c>
      <c r="M963" s="545">
        <v>3812805.0</v>
      </c>
      <c r="N963" s="254"/>
      <c r="O963" s="582" t="s">
        <v>2601</v>
      </c>
      <c r="P963" s="582" t="s">
        <v>2602</v>
      </c>
      <c r="Q963" s="545">
        <v>4217827.0</v>
      </c>
      <c r="R963" s="254"/>
      <c r="S963" s="582" t="s">
        <v>2598</v>
      </c>
      <c r="T963" s="582" t="s">
        <v>2599</v>
      </c>
      <c r="U963" s="545">
        <v>2914202.0</v>
      </c>
      <c r="V963" s="254"/>
      <c r="W963" s="582" t="s">
        <v>2603</v>
      </c>
      <c r="X963" s="582" t="s">
        <v>2604</v>
      </c>
      <c r="Y963" s="545">
        <v>3868579.0</v>
      </c>
      <c r="Z963" s="254"/>
      <c r="AA963" s="582" t="s">
        <v>2592</v>
      </c>
      <c r="AB963" s="582" t="s">
        <v>2605</v>
      </c>
      <c r="AC963" s="545">
        <v>8423580.0</v>
      </c>
      <c r="AD963" s="271"/>
      <c r="AE963" s="277"/>
      <c r="AF963" s="582"/>
      <c r="AG963" s="582"/>
      <c r="AH963" s="582"/>
      <c r="AI963" s="582"/>
      <c r="AJ963" s="271"/>
      <c r="AK963" s="281"/>
      <c r="AL963" s="281"/>
      <c r="AM963" s="281"/>
      <c r="AN963" s="294"/>
    </row>
    <row r="964">
      <c r="A964" s="196" t="str">
        <f t="array" ref="A964">INDEX('Federal Tax, Stock Buybacks, &amp; '!D:D,match(B964,'Federal Tax, Stock Buybacks, &amp; '!E:E,0))</f>
        <v>#N/A</v>
      </c>
      <c r="B964" s="582" t="s">
        <v>2591</v>
      </c>
      <c r="C964" s="582"/>
      <c r="D964" s="582"/>
      <c r="E964" s="545"/>
      <c r="F964" s="254"/>
      <c r="G964" s="582"/>
      <c r="H964" s="582"/>
      <c r="I964" s="545"/>
      <c r="J964" s="254"/>
      <c r="K964" s="582" t="s">
        <v>2606</v>
      </c>
      <c r="L964" s="582" t="s">
        <v>2607</v>
      </c>
      <c r="M964" s="545">
        <v>3611671.0</v>
      </c>
      <c r="N964" s="254"/>
      <c r="O964" s="582" t="s">
        <v>2606</v>
      </c>
      <c r="P964" s="582" t="s">
        <v>2607</v>
      </c>
      <c r="Q964" s="545">
        <v>3754200.0</v>
      </c>
      <c r="R964" s="254"/>
      <c r="S964" s="582" t="s">
        <v>2601</v>
      </c>
      <c r="T964" s="582" t="s">
        <v>2602</v>
      </c>
      <c r="U964" s="545">
        <v>4461178.0</v>
      </c>
      <c r="V964" s="254"/>
      <c r="W964" s="582" t="s">
        <v>2600</v>
      </c>
      <c r="X964" s="582" t="s">
        <v>1528</v>
      </c>
      <c r="Y964" s="545">
        <v>3150779.0</v>
      </c>
      <c r="Z964" s="254"/>
      <c r="AA964" s="582" t="s">
        <v>2608</v>
      </c>
      <c r="AB964" s="582" t="s">
        <v>2604</v>
      </c>
      <c r="AC964" s="545">
        <v>3292183.0</v>
      </c>
      <c r="AD964" s="271"/>
      <c r="AE964" s="277"/>
      <c r="AF964" s="582"/>
      <c r="AG964" s="582"/>
      <c r="AH964" s="582"/>
      <c r="AI964" s="582"/>
      <c r="AJ964" s="271"/>
      <c r="AK964" s="281"/>
      <c r="AL964" s="281"/>
      <c r="AM964" s="281"/>
      <c r="AN964" s="294"/>
    </row>
    <row r="965">
      <c r="A965" s="196" t="str">
        <f t="array" ref="A965">INDEX('Federal Tax, Stock Buybacks, &amp; '!D:D,match(B965,'Federal Tax, Stock Buybacks, &amp; '!E:E,0))</f>
        <v>#N/A</v>
      </c>
      <c r="B965" s="582" t="s">
        <v>2591</v>
      </c>
      <c r="C965" s="582"/>
      <c r="D965" s="582"/>
      <c r="E965" s="545"/>
      <c r="F965" s="254"/>
      <c r="G965" s="582"/>
      <c r="H965" s="582"/>
      <c r="I965" s="545"/>
      <c r="J965" s="254"/>
      <c r="K965" s="582" t="s">
        <v>2609</v>
      </c>
      <c r="L965" s="582" t="s">
        <v>1532</v>
      </c>
      <c r="M965" s="545">
        <v>3882699.0</v>
      </c>
      <c r="N965" s="254"/>
      <c r="O965" s="582" t="s">
        <v>2609</v>
      </c>
      <c r="P965" s="582" t="s">
        <v>1532</v>
      </c>
      <c r="Q965" s="545">
        <v>3950860.0</v>
      </c>
      <c r="R965" s="254"/>
      <c r="S965" s="582" t="s">
        <v>2606</v>
      </c>
      <c r="T965" s="582" t="s">
        <v>2607</v>
      </c>
      <c r="U965" s="545">
        <v>3423471.0</v>
      </c>
      <c r="V965" s="254"/>
      <c r="W965" s="582" t="s">
        <v>2598</v>
      </c>
      <c r="X965" s="582" t="s">
        <v>2599</v>
      </c>
      <c r="Y965" s="545">
        <v>2967035.0</v>
      </c>
      <c r="Z965" s="254"/>
      <c r="AA965" s="582" t="s">
        <v>2603</v>
      </c>
      <c r="AB965" s="582" t="s">
        <v>2607</v>
      </c>
      <c r="AC965" s="545">
        <v>5435082.0</v>
      </c>
      <c r="AD965" s="271"/>
      <c r="AE965" s="277"/>
      <c r="AF965" s="582"/>
      <c r="AG965" s="582"/>
      <c r="AH965" s="582"/>
      <c r="AI965" s="582"/>
      <c r="AJ965" s="271"/>
      <c r="AK965" s="281"/>
      <c r="AL965" s="281"/>
      <c r="AM965" s="281"/>
      <c r="AN965" s="294"/>
    </row>
    <row r="966">
      <c r="A966" s="196" t="str">
        <f t="array" ref="A966">INDEX('Federal Tax, Stock Buybacks, &amp; '!D:D,match(B966,'Federal Tax, Stock Buybacks, &amp; '!E:E,0))</f>
        <v>#N/A</v>
      </c>
      <c r="B966" s="582" t="s">
        <v>2591</v>
      </c>
      <c r="C966" s="329"/>
      <c r="D966" s="329"/>
      <c r="E966" s="545"/>
      <c r="F966" s="254"/>
      <c r="G966" s="329"/>
      <c r="H966" s="329"/>
      <c r="I966" s="545"/>
      <c r="J966" s="254"/>
      <c r="K966" s="329" t="s">
        <v>711</v>
      </c>
      <c r="L966" s="329" t="s">
        <v>711</v>
      </c>
      <c r="M966" s="545" t="s">
        <v>711</v>
      </c>
      <c r="N966" s="254"/>
      <c r="O966" s="329" t="s">
        <v>711</v>
      </c>
      <c r="P966" s="329" t="s">
        <v>711</v>
      </c>
      <c r="Q966" s="545" t="s">
        <v>711</v>
      </c>
      <c r="R966" s="254"/>
      <c r="S966" s="582" t="s">
        <v>2610</v>
      </c>
      <c r="T966" s="582" t="s">
        <v>2611</v>
      </c>
      <c r="U966" s="545">
        <v>2205211.0</v>
      </c>
      <c r="V966" s="254"/>
      <c r="W966" s="582" t="s">
        <v>2601</v>
      </c>
      <c r="X966" s="582" t="s">
        <v>2602</v>
      </c>
      <c r="Y966" s="545">
        <v>6725822.0</v>
      </c>
      <c r="Z966" s="254"/>
      <c r="AA966" s="582" t="s">
        <v>2600</v>
      </c>
      <c r="AB966" s="582" t="s">
        <v>1532</v>
      </c>
      <c r="AC966" s="545">
        <v>2361293.0</v>
      </c>
      <c r="AD966" s="271"/>
      <c r="AE966" s="277"/>
      <c r="AF966" s="582"/>
      <c r="AG966" s="582"/>
      <c r="AH966" s="582"/>
      <c r="AI966" s="582"/>
      <c r="AJ966" s="271"/>
      <c r="AK966" s="281"/>
      <c r="AL966" s="281"/>
      <c r="AM966" s="281"/>
      <c r="AN966" s="294"/>
    </row>
    <row r="967">
      <c r="A967" s="196" t="str">
        <f t="array" ref="A967">INDEX('Federal Tax, Stock Buybacks, &amp; '!D:D,match(B967,'Federal Tax, Stock Buybacks, &amp; '!E:E,0))</f>
        <v>#N/A</v>
      </c>
      <c r="B967" s="582" t="s">
        <v>2591</v>
      </c>
      <c r="C967" s="329"/>
      <c r="D967" s="329"/>
      <c r="E967" s="545"/>
      <c r="F967" s="254"/>
      <c r="G967" s="329"/>
      <c r="H967" s="329"/>
      <c r="I967" s="545"/>
      <c r="J967" s="254"/>
      <c r="K967" s="329" t="s">
        <v>711</v>
      </c>
      <c r="L967" s="329" t="s">
        <v>711</v>
      </c>
      <c r="M967" s="545" t="s">
        <v>711</v>
      </c>
      <c r="N967" s="254"/>
      <c r="O967" s="329" t="s">
        <v>711</v>
      </c>
      <c r="P967" s="329" t="s">
        <v>711</v>
      </c>
      <c r="Q967" s="545" t="s">
        <v>711</v>
      </c>
      <c r="R967" s="254"/>
      <c r="S967" s="582" t="s">
        <v>2609</v>
      </c>
      <c r="T967" s="582" t="s">
        <v>1532</v>
      </c>
      <c r="U967" s="545">
        <v>4104253.0</v>
      </c>
      <c r="V967" s="254"/>
      <c r="W967" s="329" t="s">
        <v>711</v>
      </c>
      <c r="X967" s="329" t="s">
        <v>711</v>
      </c>
      <c r="Y967" s="545" t="s">
        <v>711</v>
      </c>
      <c r="Z967" s="254"/>
      <c r="AA967" s="582" t="s">
        <v>2612</v>
      </c>
      <c r="AB967" s="582" t="s">
        <v>2613</v>
      </c>
      <c r="AC967" s="545">
        <v>2824482.0</v>
      </c>
      <c r="AD967" s="271"/>
      <c r="AE967" s="277"/>
      <c r="AF967" s="582"/>
      <c r="AG967" s="582"/>
      <c r="AH967" s="582"/>
      <c r="AI967" s="582"/>
      <c r="AJ967" s="271"/>
      <c r="AK967" s="281"/>
      <c r="AL967" s="281"/>
      <c r="AM967" s="281"/>
      <c r="AN967" s="294"/>
    </row>
    <row r="968">
      <c r="A968" s="169">
        <f t="array" ref="A968">INDEX('Federal Tax, Stock Buybacks, &amp; '!D:D,match(B968,'Federal Tax, Stock Buybacks, &amp; '!E:E,0))</f>
        <v>27</v>
      </c>
      <c r="B968" s="352" t="s">
        <v>2614</v>
      </c>
      <c r="C968" s="352"/>
      <c r="D968" s="352"/>
      <c r="E968" s="555"/>
      <c r="F968" s="254"/>
      <c r="G968" s="352"/>
      <c r="H968" s="352"/>
      <c r="I968" s="555"/>
      <c r="J968" s="254"/>
      <c r="K968" s="352" t="s">
        <v>2615</v>
      </c>
      <c r="L968" s="352" t="s">
        <v>1606</v>
      </c>
      <c r="M968" s="555">
        <v>8006121.0</v>
      </c>
      <c r="N968" s="254"/>
      <c r="O968" s="352" t="s">
        <v>2616</v>
      </c>
      <c r="P968" s="352" t="s">
        <v>2617</v>
      </c>
      <c r="Q968" s="555">
        <v>6723955.0</v>
      </c>
      <c r="R968" s="254"/>
      <c r="S968" s="352" t="s">
        <v>2616</v>
      </c>
      <c r="T968" s="352" t="s">
        <v>1606</v>
      </c>
      <c r="U968" s="555">
        <v>8797713.0</v>
      </c>
      <c r="V968" s="254"/>
      <c r="W968" s="352" t="s">
        <v>2616</v>
      </c>
      <c r="X968" s="352" t="s">
        <v>1606</v>
      </c>
      <c r="Y968" s="555">
        <v>9398557.0</v>
      </c>
      <c r="Z968" s="254"/>
      <c r="AA968" s="352" t="s">
        <v>2616</v>
      </c>
      <c r="AB968" s="352" t="s">
        <v>1606</v>
      </c>
      <c r="AC968" s="555">
        <v>6814813.0</v>
      </c>
      <c r="AD968" s="355"/>
      <c r="AE968" s="356">
        <v>2022.0</v>
      </c>
      <c r="AF968" s="356">
        <v>2021.0</v>
      </c>
      <c r="AG968" s="356">
        <v>2020.0</v>
      </c>
      <c r="AH968" s="356">
        <v>2019.0</v>
      </c>
      <c r="AI968" s="356">
        <v>2018.0</v>
      </c>
      <c r="AJ968" s="594" t="s">
        <v>2618</v>
      </c>
      <c r="AK968" s="281"/>
      <c r="AL968" s="281"/>
      <c r="AM968" s="281"/>
      <c r="AN968" s="294"/>
    </row>
    <row r="969">
      <c r="A969" s="169">
        <f t="array" ref="A969">INDEX('Federal Tax, Stock Buybacks, &amp; '!D:D,match(B969,'Federal Tax, Stock Buybacks, &amp; '!E:E,0))</f>
        <v>27</v>
      </c>
      <c r="B969" s="352" t="s">
        <v>2614</v>
      </c>
      <c r="C969" s="352"/>
      <c r="D969" s="352"/>
      <c r="E969" s="555"/>
      <c r="F969" s="254"/>
      <c r="G969" s="352"/>
      <c r="H969" s="352"/>
      <c r="I969" s="555"/>
      <c r="J969" s="254"/>
      <c r="K969" s="352" t="s">
        <v>2619</v>
      </c>
      <c r="L969" s="352" t="s">
        <v>2620</v>
      </c>
      <c r="M969" s="555">
        <v>7571734.0</v>
      </c>
      <c r="N969" s="254"/>
      <c r="O969" s="352" t="s">
        <v>2615</v>
      </c>
      <c r="P969" s="352" t="s">
        <v>2621</v>
      </c>
      <c r="Q969" s="555">
        <v>131064.0</v>
      </c>
      <c r="R969" s="254"/>
      <c r="S969" s="352" t="s">
        <v>2615</v>
      </c>
      <c r="T969" s="352" t="s">
        <v>2622</v>
      </c>
      <c r="U969" s="555">
        <v>1.7483187E7</v>
      </c>
      <c r="V969" s="254"/>
      <c r="W969" s="352" t="s">
        <v>2615</v>
      </c>
      <c r="X969" s="352" t="s">
        <v>2622</v>
      </c>
      <c r="Y969" s="555">
        <v>1.9156202E7</v>
      </c>
      <c r="Z969" s="254"/>
      <c r="AA969" s="352" t="s">
        <v>2615</v>
      </c>
      <c r="AB969" s="352" t="s">
        <v>2622</v>
      </c>
      <c r="AC969" s="555">
        <v>1.354226E7</v>
      </c>
      <c r="AD969" s="355"/>
      <c r="AE969" s="358"/>
      <c r="AF969" s="352"/>
      <c r="AG969" s="352"/>
      <c r="AH969" s="352"/>
      <c r="AI969" s="352"/>
      <c r="AJ969" s="352"/>
      <c r="AK969" s="281"/>
      <c r="AL969" s="281"/>
      <c r="AM969" s="281"/>
      <c r="AN969" s="294"/>
    </row>
    <row r="970">
      <c r="A970" s="169">
        <f t="array" ref="A970">INDEX('Federal Tax, Stock Buybacks, &amp; '!D:D,match(B970,'Federal Tax, Stock Buybacks, &amp; '!E:E,0))</f>
        <v>27</v>
      </c>
      <c r="B970" s="352" t="s">
        <v>2614</v>
      </c>
      <c r="C970" s="352"/>
      <c r="D970" s="352"/>
      <c r="E970" s="555"/>
      <c r="F970" s="254"/>
      <c r="G970" s="352"/>
      <c r="H970" s="352"/>
      <c r="I970" s="555"/>
      <c r="J970" s="254"/>
      <c r="K970" s="352" t="s">
        <v>2623</v>
      </c>
      <c r="L970" s="352" t="s">
        <v>2624</v>
      </c>
      <c r="M970" s="555">
        <v>7112186.0</v>
      </c>
      <c r="N970" s="254"/>
      <c r="O970" s="352" t="s">
        <v>2625</v>
      </c>
      <c r="P970" s="352" t="s">
        <v>2626</v>
      </c>
      <c r="Q970" s="555">
        <v>8439177.0</v>
      </c>
      <c r="R970" s="254"/>
      <c r="S970" s="352" t="s">
        <v>2625</v>
      </c>
      <c r="T970" s="352" t="s">
        <v>2627</v>
      </c>
      <c r="U970" s="555">
        <v>1.099951E7</v>
      </c>
      <c r="V970" s="254"/>
      <c r="W970" s="352" t="s">
        <v>2625</v>
      </c>
      <c r="X970" s="352" t="s">
        <v>2627</v>
      </c>
      <c r="Y970" s="555">
        <v>8225495.0</v>
      </c>
      <c r="Z970" s="254"/>
      <c r="AA970" s="352" t="s">
        <v>2628</v>
      </c>
      <c r="AB970" s="352" t="s">
        <v>2629</v>
      </c>
      <c r="AC970" s="555">
        <v>6495178.0</v>
      </c>
      <c r="AD970" s="355"/>
      <c r="AE970" s="358"/>
      <c r="AF970" s="352"/>
      <c r="AG970" s="352"/>
      <c r="AH970" s="352"/>
      <c r="AI970" s="352"/>
      <c r="AJ970" s="352"/>
      <c r="AK970" s="281"/>
      <c r="AL970" s="281"/>
      <c r="AM970" s="281"/>
      <c r="AN970" s="294"/>
    </row>
    <row r="971">
      <c r="A971" s="169">
        <f t="array" ref="A971">INDEX('Federal Tax, Stock Buybacks, &amp; '!D:D,match(B971,'Federal Tax, Stock Buybacks, &amp; '!E:E,0))</f>
        <v>27</v>
      </c>
      <c r="B971" s="352" t="s">
        <v>2614</v>
      </c>
      <c r="C971" s="352"/>
      <c r="D971" s="352"/>
      <c r="E971" s="555"/>
      <c r="F971" s="254"/>
      <c r="G971" s="352"/>
      <c r="H971" s="352"/>
      <c r="I971" s="555"/>
      <c r="J971" s="254"/>
      <c r="K971" s="352" t="s">
        <v>917</v>
      </c>
      <c r="L971" s="352" t="s">
        <v>1523</v>
      </c>
      <c r="M971" s="555">
        <v>1.7287489E7</v>
      </c>
      <c r="N971" s="254"/>
      <c r="O971" s="352" t="s">
        <v>2619</v>
      </c>
      <c r="P971" s="352" t="s">
        <v>2620</v>
      </c>
      <c r="Q971" s="555">
        <v>7595531.0</v>
      </c>
      <c r="R971" s="254"/>
      <c r="S971" s="352" t="s">
        <v>2619</v>
      </c>
      <c r="T971" s="352" t="s">
        <v>2627</v>
      </c>
      <c r="U971" s="555">
        <v>9211608.0</v>
      </c>
      <c r="V971" s="254"/>
      <c r="W971" s="352" t="s">
        <v>2619</v>
      </c>
      <c r="X971" s="352" t="s">
        <v>2627</v>
      </c>
      <c r="Y971" s="555">
        <v>7134542.0</v>
      </c>
      <c r="Z971" s="254"/>
      <c r="AA971" s="352" t="s">
        <v>2625</v>
      </c>
      <c r="AB971" s="352" t="s">
        <v>2627</v>
      </c>
      <c r="AC971" s="555">
        <v>6875162.0</v>
      </c>
      <c r="AD971" s="355"/>
      <c r="AE971" s="358"/>
      <c r="AF971" s="352"/>
      <c r="AG971" s="352"/>
      <c r="AH971" s="352"/>
      <c r="AI971" s="352"/>
      <c r="AJ971" s="352"/>
      <c r="AK971" s="281"/>
      <c r="AL971" s="281"/>
      <c r="AM971" s="281"/>
      <c r="AN971" s="294"/>
    </row>
    <row r="972">
      <c r="A972" s="169">
        <f t="array" ref="A972">INDEX('Federal Tax, Stock Buybacks, &amp; '!D:D,match(B972,'Federal Tax, Stock Buybacks, &amp; '!E:E,0))</f>
        <v>27</v>
      </c>
      <c r="B972" s="352" t="s">
        <v>2614</v>
      </c>
      <c r="C972" s="352"/>
      <c r="D972" s="352"/>
      <c r="E972" s="555"/>
      <c r="F972" s="254"/>
      <c r="G972" s="352"/>
      <c r="H972" s="352"/>
      <c r="I972" s="555"/>
      <c r="J972" s="254"/>
      <c r="K972" s="352" t="s">
        <v>2630</v>
      </c>
      <c r="L972" s="352" t="s">
        <v>2631</v>
      </c>
      <c r="M972" s="555">
        <v>6666320.0</v>
      </c>
      <c r="N972" s="254"/>
      <c r="O972" s="352" t="s">
        <v>2623</v>
      </c>
      <c r="P972" s="352" t="s">
        <v>2624</v>
      </c>
      <c r="Q972" s="555">
        <v>8753577.0</v>
      </c>
      <c r="R972" s="254"/>
      <c r="S972" s="352" t="s">
        <v>2623</v>
      </c>
      <c r="T972" s="352" t="s">
        <v>2624</v>
      </c>
      <c r="U972" s="555">
        <v>8656419.0</v>
      </c>
      <c r="V972" s="254"/>
      <c r="W972" s="352" t="s">
        <v>2623</v>
      </c>
      <c r="X972" s="352" t="s">
        <v>2624</v>
      </c>
      <c r="Y972" s="555">
        <v>6684715.0</v>
      </c>
      <c r="Z972" s="254"/>
      <c r="AA972" s="352" t="s">
        <v>2619</v>
      </c>
      <c r="AB972" s="352" t="s">
        <v>2627</v>
      </c>
      <c r="AC972" s="555">
        <v>6648219.0</v>
      </c>
      <c r="AD972" s="355"/>
      <c r="AE972" s="358"/>
      <c r="AF972" s="352"/>
      <c r="AG972" s="352"/>
      <c r="AH972" s="352"/>
      <c r="AI972" s="352"/>
      <c r="AJ972" s="352"/>
      <c r="AK972" s="281"/>
      <c r="AL972" s="281"/>
      <c r="AM972" s="281"/>
      <c r="AN972" s="294"/>
    </row>
    <row r="973">
      <c r="A973" s="169">
        <f t="array" ref="A973">INDEX('Federal Tax, Stock Buybacks, &amp; '!D:D,match(B973,'Federal Tax, Stock Buybacks, &amp; '!E:E,0))</f>
        <v>27</v>
      </c>
      <c r="B973" s="352" t="s">
        <v>2614</v>
      </c>
      <c r="C973" s="219"/>
      <c r="D973" s="219"/>
      <c r="E973" s="555"/>
      <c r="F973" s="254"/>
      <c r="G973" s="219"/>
      <c r="H973" s="219"/>
      <c r="I973" s="555"/>
      <c r="J973" s="254"/>
      <c r="K973" s="219" t="s">
        <v>711</v>
      </c>
      <c r="L973" s="219" t="s">
        <v>711</v>
      </c>
      <c r="M973" s="555" t="s">
        <v>711</v>
      </c>
      <c r="N973" s="254"/>
      <c r="O973" s="352" t="s">
        <v>917</v>
      </c>
      <c r="P973" s="352" t="s">
        <v>1523</v>
      </c>
      <c r="Q973" s="555">
        <v>2.8333498E7</v>
      </c>
      <c r="R973" s="254"/>
      <c r="S973" s="219" t="s">
        <v>711</v>
      </c>
      <c r="T973" s="219" t="s">
        <v>711</v>
      </c>
      <c r="U973" s="555" t="s">
        <v>711</v>
      </c>
      <c r="V973" s="254"/>
      <c r="W973" s="219" t="s">
        <v>711</v>
      </c>
      <c r="X973" s="219" t="s">
        <v>711</v>
      </c>
      <c r="Y973" s="555" t="s">
        <v>711</v>
      </c>
      <c r="Z973" s="254"/>
      <c r="AA973" s="352" t="s">
        <v>2623</v>
      </c>
      <c r="AB973" s="352" t="s">
        <v>2624</v>
      </c>
      <c r="AC973" s="555">
        <v>6563705.0</v>
      </c>
      <c r="AD973" s="355"/>
      <c r="AE973" s="358"/>
      <c r="AF973" s="352"/>
      <c r="AG973" s="352"/>
      <c r="AH973" s="352"/>
      <c r="AI973" s="352"/>
      <c r="AJ973" s="352"/>
      <c r="AK973" s="281"/>
      <c r="AL973" s="281"/>
      <c r="AM973" s="281"/>
      <c r="AN973" s="294"/>
    </row>
    <row r="974">
      <c r="A974" s="169">
        <f t="array" ref="A974">INDEX('Federal Tax, Stock Buybacks, &amp; '!D:D,match(B974,'Federal Tax, Stock Buybacks, &amp; '!E:E,0))</f>
        <v>27</v>
      </c>
      <c r="B974" s="352" t="s">
        <v>2614</v>
      </c>
      <c r="C974" s="219"/>
      <c r="D974" s="219"/>
      <c r="E974" s="555"/>
      <c r="F974" s="254"/>
      <c r="G974" s="219"/>
      <c r="H974" s="219"/>
      <c r="I974" s="555"/>
      <c r="J974" s="254"/>
      <c r="K974" s="219" t="s">
        <v>711</v>
      </c>
      <c r="L974" s="219" t="s">
        <v>711</v>
      </c>
      <c r="M974" s="555" t="s">
        <v>711</v>
      </c>
      <c r="N974" s="254"/>
      <c r="O974" s="352" t="s">
        <v>2630</v>
      </c>
      <c r="P974" s="352" t="s">
        <v>2632</v>
      </c>
      <c r="Q974" s="555">
        <v>7734848.0</v>
      </c>
      <c r="R974" s="254"/>
      <c r="S974" s="219" t="s">
        <v>711</v>
      </c>
      <c r="T974" s="219" t="s">
        <v>711</v>
      </c>
      <c r="U974" s="555" t="s">
        <v>711</v>
      </c>
      <c r="V974" s="254"/>
      <c r="W974" s="219" t="s">
        <v>711</v>
      </c>
      <c r="X974" s="219" t="s">
        <v>711</v>
      </c>
      <c r="Y974" s="555" t="s">
        <v>711</v>
      </c>
      <c r="Z974" s="254"/>
      <c r="AA974" s="219" t="s">
        <v>711</v>
      </c>
      <c r="AB974" s="219" t="s">
        <v>711</v>
      </c>
      <c r="AC974" s="555" t="s">
        <v>711</v>
      </c>
      <c r="AD974" s="355"/>
      <c r="AE974" s="358"/>
      <c r="AF974" s="352"/>
      <c r="AG974" s="352"/>
      <c r="AH974" s="352"/>
      <c r="AI974" s="352"/>
      <c r="AJ974" s="352"/>
      <c r="AK974" s="281"/>
      <c r="AL974" s="281"/>
      <c r="AM974" s="281"/>
      <c r="AN974" s="294"/>
    </row>
    <row r="975">
      <c r="A975" s="169">
        <f t="array" ref="A975">INDEX('Federal Tax, Stock Buybacks, &amp; '!D:D,match(B975,'Federal Tax, Stock Buybacks, &amp; '!E:E,0))</f>
        <v>27</v>
      </c>
      <c r="B975" s="352" t="s">
        <v>2614</v>
      </c>
      <c r="C975" s="219"/>
      <c r="D975" s="219"/>
      <c r="E975" s="555"/>
      <c r="F975" s="254"/>
      <c r="G975" s="219"/>
      <c r="H975" s="219"/>
      <c r="I975" s="555"/>
      <c r="J975" s="254"/>
      <c r="K975" s="219" t="s">
        <v>711</v>
      </c>
      <c r="L975" s="219" t="s">
        <v>711</v>
      </c>
      <c r="M975" s="555" t="s">
        <v>711</v>
      </c>
      <c r="N975" s="254"/>
      <c r="O975" s="352" t="s">
        <v>2633</v>
      </c>
      <c r="P975" s="352" t="s">
        <v>2634</v>
      </c>
      <c r="Q975" s="555">
        <v>4220977.0</v>
      </c>
      <c r="R975" s="254"/>
      <c r="S975" s="219" t="s">
        <v>711</v>
      </c>
      <c r="T975" s="219" t="s">
        <v>711</v>
      </c>
      <c r="U975" s="555" t="s">
        <v>711</v>
      </c>
      <c r="V975" s="254"/>
      <c r="W975" s="219" t="s">
        <v>711</v>
      </c>
      <c r="X975" s="219" t="s">
        <v>711</v>
      </c>
      <c r="Y975" s="555" t="s">
        <v>711</v>
      </c>
      <c r="Z975" s="254"/>
      <c r="AA975" s="219" t="s">
        <v>711</v>
      </c>
      <c r="AB975" s="219" t="s">
        <v>711</v>
      </c>
      <c r="AC975" s="555" t="s">
        <v>711</v>
      </c>
      <c r="AD975" s="355"/>
      <c r="AE975" s="358"/>
      <c r="AF975" s="352"/>
      <c r="AG975" s="352"/>
      <c r="AH975" s="352"/>
      <c r="AI975" s="352"/>
      <c r="AJ975" s="352"/>
      <c r="AK975" s="281"/>
      <c r="AL975" s="281"/>
      <c r="AM975" s="281"/>
      <c r="AN975" s="294"/>
    </row>
    <row r="976">
      <c r="A976" s="169">
        <f t="array" ref="A976">INDEX('Federal Tax, Stock Buybacks, &amp; '!D:D,match(B976,'Federal Tax, Stock Buybacks, &amp; '!E:E,0))</f>
        <v>17</v>
      </c>
      <c r="B976" s="582" t="s">
        <v>2635</v>
      </c>
      <c r="C976" s="582"/>
      <c r="D976" s="323"/>
      <c r="E976" s="545"/>
      <c r="F976" s="254"/>
      <c r="G976" s="582"/>
      <c r="H976" s="323"/>
      <c r="I976" s="545"/>
      <c r="J976" s="254"/>
      <c r="K976" s="582" t="s">
        <v>2636</v>
      </c>
      <c r="L976" s="323" t="s">
        <v>1585</v>
      </c>
      <c r="M976" s="545">
        <v>8801127.0</v>
      </c>
      <c r="N976" s="254"/>
      <c r="O976" s="582" t="s">
        <v>2637</v>
      </c>
      <c r="P976" s="323" t="s">
        <v>1723</v>
      </c>
      <c r="Q976" s="545">
        <v>6444466.0</v>
      </c>
      <c r="R976" s="254"/>
      <c r="S976" s="582" t="s">
        <v>2637</v>
      </c>
      <c r="T976" s="323" t="s">
        <v>1723</v>
      </c>
      <c r="U976" s="545">
        <v>5260719.0</v>
      </c>
      <c r="V976" s="254"/>
      <c r="W976" s="582" t="s">
        <v>2637</v>
      </c>
      <c r="X976" s="323" t="s">
        <v>1723</v>
      </c>
      <c r="Y976" s="545">
        <v>5645676.0</v>
      </c>
      <c r="Z976" s="254"/>
      <c r="AA976" s="582" t="s">
        <v>2637</v>
      </c>
      <c r="AB976" s="323" t="s">
        <v>1723</v>
      </c>
      <c r="AC976" s="545">
        <v>5018962.0</v>
      </c>
      <c r="AD976" s="271"/>
      <c r="AE976" s="272">
        <v>2022.0</v>
      </c>
      <c r="AF976" s="272">
        <v>2021.0</v>
      </c>
      <c r="AG976" s="272">
        <v>2020.0</v>
      </c>
      <c r="AH976" s="272">
        <v>2019.0</v>
      </c>
      <c r="AI976" s="272">
        <v>2018.0</v>
      </c>
      <c r="AJ976" s="582"/>
      <c r="AK976" s="281"/>
      <c r="AL976" s="281"/>
      <c r="AM976" s="281"/>
      <c r="AN976" s="294"/>
    </row>
    <row r="977">
      <c r="A977" s="169">
        <f t="array" ref="A977">INDEX('Federal Tax, Stock Buybacks, &amp; '!D:D,match(B977,'Federal Tax, Stock Buybacks, &amp; '!E:E,0))</f>
        <v>17</v>
      </c>
      <c r="B977" s="582" t="s">
        <v>2635</v>
      </c>
      <c r="C977" s="582"/>
      <c r="D977" s="323"/>
      <c r="E977" s="545"/>
      <c r="F977" s="254"/>
      <c r="G977" s="582"/>
      <c r="H977" s="323"/>
      <c r="I977" s="545"/>
      <c r="J977" s="254"/>
      <c r="K977" s="582" t="s">
        <v>2638</v>
      </c>
      <c r="L977" s="323" t="s">
        <v>2639</v>
      </c>
      <c r="M977" s="545">
        <v>1.8229917E7</v>
      </c>
      <c r="N977" s="254"/>
      <c r="O977" s="582" t="s">
        <v>2636</v>
      </c>
      <c r="P977" s="323" t="s">
        <v>1585</v>
      </c>
      <c r="Q977" s="545">
        <v>8052533.0</v>
      </c>
      <c r="R977" s="254"/>
      <c r="S977" s="582" t="s">
        <v>2636</v>
      </c>
      <c r="T977" s="323" t="s">
        <v>1585</v>
      </c>
      <c r="U977" s="545">
        <v>6421922.0</v>
      </c>
      <c r="V977" s="254"/>
      <c r="W977" s="582" t="s">
        <v>2636</v>
      </c>
      <c r="X977" s="323" t="s">
        <v>1585</v>
      </c>
      <c r="Y977" s="545">
        <v>7418047.0</v>
      </c>
      <c r="Z977" s="254"/>
      <c r="AA977" s="582" t="s">
        <v>2636</v>
      </c>
      <c r="AB977" s="323" t="s">
        <v>1585</v>
      </c>
      <c r="AC977" s="545">
        <v>6668863.0</v>
      </c>
      <c r="AD977" s="271"/>
      <c r="AE977" s="277"/>
      <c r="AF977" s="582"/>
      <c r="AG977" s="582"/>
      <c r="AH977" s="582"/>
      <c r="AI977" s="582"/>
      <c r="AJ977" s="582"/>
      <c r="AK977" s="281"/>
      <c r="AL977" s="281"/>
      <c r="AM977" s="281"/>
      <c r="AN977" s="294"/>
    </row>
    <row r="978">
      <c r="A978" s="169">
        <f t="array" ref="A978">INDEX('Federal Tax, Stock Buybacks, &amp; '!D:D,match(B978,'Federal Tax, Stock Buybacks, &amp; '!E:E,0))</f>
        <v>17</v>
      </c>
      <c r="B978" s="582" t="s">
        <v>2635</v>
      </c>
      <c r="C978" s="582"/>
      <c r="D978" s="323"/>
      <c r="E978" s="545"/>
      <c r="F978" s="254"/>
      <c r="G978" s="582"/>
      <c r="H978" s="323"/>
      <c r="I978" s="545"/>
      <c r="J978" s="254"/>
      <c r="K978" s="582" t="s">
        <v>2640</v>
      </c>
      <c r="L978" s="323" t="s">
        <v>2641</v>
      </c>
      <c r="M978" s="545">
        <v>7178470.0</v>
      </c>
      <c r="N978" s="254"/>
      <c r="O978" s="582" t="s">
        <v>2638</v>
      </c>
      <c r="P978" s="323" t="s">
        <v>1674</v>
      </c>
      <c r="Q978" s="545">
        <v>2.0953206E7</v>
      </c>
      <c r="R978" s="254"/>
      <c r="S978" s="582" t="s">
        <v>2638</v>
      </c>
      <c r="T978" s="323" t="s">
        <v>1674</v>
      </c>
      <c r="U978" s="545">
        <v>1.813749E7</v>
      </c>
      <c r="V978" s="254"/>
      <c r="W978" s="582" t="s">
        <v>2642</v>
      </c>
      <c r="X978" s="323" t="s">
        <v>2643</v>
      </c>
      <c r="Y978" s="545">
        <v>5578046.0</v>
      </c>
      <c r="Z978" s="254"/>
      <c r="AA978" s="582" t="s">
        <v>2638</v>
      </c>
      <c r="AB978" s="323" t="s">
        <v>1674</v>
      </c>
      <c r="AC978" s="545">
        <v>1.9278335E7</v>
      </c>
      <c r="AD978" s="271"/>
      <c r="AE978" s="277"/>
      <c r="AF978" s="582"/>
      <c r="AG978" s="582"/>
      <c r="AH978" s="582"/>
      <c r="AI978" s="582"/>
      <c r="AJ978" s="582"/>
      <c r="AK978" s="281"/>
      <c r="AL978" s="281"/>
      <c r="AM978" s="281"/>
      <c r="AN978" s="294"/>
    </row>
    <row r="979">
      <c r="A979" s="169">
        <f t="array" ref="A979">INDEX('Federal Tax, Stock Buybacks, &amp; '!D:D,match(B979,'Federal Tax, Stock Buybacks, &amp; '!E:E,0))</f>
        <v>17</v>
      </c>
      <c r="B979" s="582" t="s">
        <v>2635</v>
      </c>
      <c r="C979" s="582"/>
      <c r="D979" s="323"/>
      <c r="E979" s="545"/>
      <c r="F979" s="254"/>
      <c r="G979" s="582"/>
      <c r="H979" s="323"/>
      <c r="I979" s="545"/>
      <c r="J979" s="254"/>
      <c r="K979" s="582" t="s">
        <v>2644</v>
      </c>
      <c r="L979" s="323" t="s">
        <v>1588</v>
      </c>
      <c r="M979" s="545">
        <v>1.6056887E7</v>
      </c>
      <c r="N979" s="254"/>
      <c r="O979" s="582" t="s">
        <v>2640</v>
      </c>
      <c r="P979" s="323" t="s">
        <v>2641</v>
      </c>
      <c r="Q979" s="545">
        <v>6561850.0</v>
      </c>
      <c r="R979" s="254"/>
      <c r="S979" s="582" t="s">
        <v>2642</v>
      </c>
      <c r="T979" s="323" t="s">
        <v>2643</v>
      </c>
      <c r="U979" s="545">
        <v>4927706.0</v>
      </c>
      <c r="V979" s="254"/>
      <c r="W979" s="582" t="s">
        <v>2638</v>
      </c>
      <c r="X979" s="323" t="s">
        <v>1674</v>
      </c>
      <c r="Y979" s="545">
        <v>2.1963985E7</v>
      </c>
      <c r="Z979" s="254"/>
      <c r="AA979" s="582" t="s">
        <v>2642</v>
      </c>
      <c r="AB979" s="323" t="s">
        <v>2643</v>
      </c>
      <c r="AC979" s="545">
        <v>4953784.0</v>
      </c>
      <c r="AD979" s="271"/>
      <c r="AE979" s="277"/>
      <c r="AF979" s="582"/>
      <c r="AG979" s="582"/>
      <c r="AH979" s="582"/>
      <c r="AI979" s="582"/>
      <c r="AJ979" s="582"/>
      <c r="AK979" s="281"/>
      <c r="AL979" s="281"/>
      <c r="AM979" s="281"/>
      <c r="AN979" s="294"/>
    </row>
    <row r="980">
      <c r="A980" s="169">
        <f t="array" ref="A980">INDEX('Federal Tax, Stock Buybacks, &amp; '!D:D,match(B980,'Federal Tax, Stock Buybacks, &amp; '!E:E,0))</f>
        <v>17</v>
      </c>
      <c r="B980" s="582" t="s">
        <v>2635</v>
      </c>
      <c r="C980" s="582"/>
      <c r="D980" s="323"/>
      <c r="E980" s="545"/>
      <c r="F980" s="254"/>
      <c r="G980" s="582"/>
      <c r="H980" s="323"/>
      <c r="I980" s="545"/>
      <c r="J980" s="254"/>
      <c r="K980" s="582" t="s">
        <v>2645</v>
      </c>
      <c r="L980" s="323" t="s">
        <v>2646</v>
      </c>
      <c r="M980" s="545">
        <v>6142720.0</v>
      </c>
      <c r="N980" s="254"/>
      <c r="O980" s="582" t="s">
        <v>2644</v>
      </c>
      <c r="P980" s="323" t="s">
        <v>1588</v>
      </c>
      <c r="Q980" s="545">
        <v>1.0806542E7</v>
      </c>
      <c r="R980" s="254"/>
      <c r="S980" s="582" t="s">
        <v>2640</v>
      </c>
      <c r="T980" s="323" t="s">
        <v>2641</v>
      </c>
      <c r="U980" s="545">
        <v>5493466.0</v>
      </c>
      <c r="V980" s="254"/>
      <c r="W980" s="582" t="s">
        <v>2640</v>
      </c>
      <c r="X980" s="323" t="s">
        <v>2641</v>
      </c>
      <c r="Y980" s="545">
        <v>5391091.0</v>
      </c>
      <c r="Z980" s="254"/>
      <c r="AA980" s="582" t="s">
        <v>2640</v>
      </c>
      <c r="AB980" s="323" t="s">
        <v>2641</v>
      </c>
      <c r="AC980" s="545">
        <v>4429865.0</v>
      </c>
      <c r="AD980" s="271"/>
      <c r="AE980" s="277"/>
      <c r="AF980" s="582"/>
      <c r="AG980" s="582"/>
      <c r="AH980" s="582"/>
      <c r="AI980" s="582"/>
      <c r="AJ980" s="582"/>
      <c r="AK980" s="281"/>
      <c r="AL980" s="281"/>
      <c r="AM980" s="281"/>
      <c r="AN980" s="294"/>
    </row>
    <row r="981">
      <c r="A981" s="169">
        <f t="array" ref="A981">INDEX('Federal Tax, Stock Buybacks, &amp; '!D:D,match(B981,'Federal Tax, Stock Buybacks, &amp; '!E:E,0))</f>
        <v>17</v>
      </c>
      <c r="B981" s="582" t="s">
        <v>2635</v>
      </c>
      <c r="C981" s="582"/>
      <c r="D981" s="323"/>
      <c r="E981" s="545"/>
      <c r="F981" s="254"/>
      <c r="G981" s="582"/>
      <c r="H981" s="323"/>
      <c r="I981" s="545"/>
      <c r="J981" s="254"/>
      <c r="K981" s="582" t="s">
        <v>2647</v>
      </c>
      <c r="L981" s="323" t="s">
        <v>2648</v>
      </c>
      <c r="M981" s="545">
        <v>7800293.0</v>
      </c>
      <c r="N981" s="254"/>
      <c r="O981" s="328" t="s">
        <v>711</v>
      </c>
      <c r="P981" s="328" t="s">
        <v>711</v>
      </c>
      <c r="Q981" s="545" t="s">
        <v>711</v>
      </c>
      <c r="R981" s="254"/>
      <c r="S981" s="328" t="s">
        <v>711</v>
      </c>
      <c r="T981" s="328" t="s">
        <v>711</v>
      </c>
      <c r="U981" s="545" t="s">
        <v>711</v>
      </c>
      <c r="V981" s="254"/>
      <c r="W981" s="328" t="s">
        <v>711</v>
      </c>
      <c r="X981" s="328" t="s">
        <v>711</v>
      </c>
      <c r="Y981" s="545" t="s">
        <v>711</v>
      </c>
      <c r="Z981" s="254"/>
      <c r="AA981" s="328" t="s">
        <v>711</v>
      </c>
      <c r="AB981" s="328" t="s">
        <v>711</v>
      </c>
      <c r="AC981" s="545" t="s">
        <v>711</v>
      </c>
      <c r="AD981" s="271"/>
      <c r="AE981" s="277"/>
      <c r="AF981" s="582"/>
      <c r="AG981" s="582"/>
      <c r="AH981" s="582"/>
      <c r="AI981" s="582"/>
      <c r="AJ981" s="582"/>
      <c r="AK981" s="281"/>
      <c r="AL981" s="281"/>
      <c r="AM981" s="281"/>
      <c r="AN981" s="294"/>
    </row>
    <row r="982">
      <c r="A982" s="169">
        <f t="array" ref="A982">INDEX('Federal Tax, Stock Buybacks, &amp; '!D:D,match(B982,'Federal Tax, Stock Buybacks, &amp; '!E:E,0))</f>
        <v>18</v>
      </c>
      <c r="B982" s="352" t="s">
        <v>2649</v>
      </c>
      <c r="C982" s="352"/>
      <c r="D982" s="353"/>
      <c r="E982" s="555"/>
      <c r="F982" s="254"/>
      <c r="G982" s="352"/>
      <c r="H982" s="353"/>
      <c r="I982" s="555"/>
      <c r="J982" s="254"/>
      <c r="K982" s="352" t="s">
        <v>2650</v>
      </c>
      <c r="L982" s="353" t="s">
        <v>2651</v>
      </c>
      <c r="M982" s="555">
        <v>2.0145093E7</v>
      </c>
      <c r="N982" s="254"/>
      <c r="O982" s="352" t="s">
        <v>2650</v>
      </c>
      <c r="P982" s="353" t="s">
        <v>2651</v>
      </c>
      <c r="Q982" s="555">
        <v>2.2684706E7</v>
      </c>
      <c r="R982" s="254"/>
      <c r="S982" s="352" t="s">
        <v>2650</v>
      </c>
      <c r="T982" s="353" t="s">
        <v>2651</v>
      </c>
      <c r="U982" s="555">
        <v>1.9922417E7</v>
      </c>
      <c r="V982" s="254"/>
      <c r="W982" s="352" t="s">
        <v>2650</v>
      </c>
      <c r="X982" s="353" t="s">
        <v>2651</v>
      </c>
      <c r="Y982" s="555">
        <v>2.8175952E7</v>
      </c>
      <c r="Z982" s="254"/>
      <c r="AA982" s="352" t="s">
        <v>2652</v>
      </c>
      <c r="AB982" s="353" t="s">
        <v>2653</v>
      </c>
      <c r="AC982" s="555">
        <v>1634089.0</v>
      </c>
      <c r="AD982" s="355"/>
      <c r="AE982" s="356">
        <v>2022.0</v>
      </c>
      <c r="AF982" s="356">
        <v>2021.0</v>
      </c>
      <c r="AG982" s="356">
        <v>2020.0</v>
      </c>
      <c r="AH982" s="356">
        <v>2019.0</v>
      </c>
      <c r="AI982" s="356">
        <v>2018.0</v>
      </c>
      <c r="AJ982" s="352"/>
      <c r="AK982" s="281"/>
      <c r="AL982" s="281"/>
      <c r="AM982" s="281"/>
      <c r="AN982" s="294"/>
    </row>
    <row r="983">
      <c r="A983" s="169">
        <f t="array" ref="A983">INDEX('Federal Tax, Stock Buybacks, &amp; '!D:D,match(B983,'Federal Tax, Stock Buybacks, &amp; '!E:E,0))</f>
        <v>18</v>
      </c>
      <c r="B983" s="352" t="s">
        <v>2649</v>
      </c>
      <c r="C983" s="352"/>
      <c r="D983" s="353"/>
      <c r="E983" s="555"/>
      <c r="F983" s="254"/>
      <c r="G983" s="352"/>
      <c r="H983" s="353"/>
      <c r="I983" s="555"/>
      <c r="J983" s="254"/>
      <c r="K983" s="352" t="s">
        <v>2654</v>
      </c>
      <c r="L983" s="353" t="s">
        <v>1697</v>
      </c>
      <c r="M983" s="555">
        <v>8422816.0</v>
      </c>
      <c r="N983" s="254"/>
      <c r="O983" s="352" t="s">
        <v>2654</v>
      </c>
      <c r="P983" s="353" t="s">
        <v>1697</v>
      </c>
      <c r="Q983" s="555">
        <v>1.3142623E7</v>
      </c>
      <c r="R983" s="254"/>
      <c r="S983" s="352" t="s">
        <v>2654</v>
      </c>
      <c r="T983" s="353" t="s">
        <v>1697</v>
      </c>
      <c r="U983" s="555">
        <v>9185125.0</v>
      </c>
      <c r="V983" s="254"/>
      <c r="W983" s="595" t="s">
        <v>2654</v>
      </c>
      <c r="X983" s="353" t="s">
        <v>1697</v>
      </c>
      <c r="Y983" s="555">
        <v>1.123641E7</v>
      </c>
      <c r="Z983" s="254"/>
      <c r="AA983" s="595" t="s">
        <v>2650</v>
      </c>
      <c r="AB983" s="596" t="s">
        <v>2655</v>
      </c>
      <c r="AC983" s="555">
        <v>1.8759156E7</v>
      </c>
      <c r="AD983" s="355"/>
      <c r="AE983" s="358"/>
      <c r="AF983" s="352"/>
      <c r="AG983" s="352"/>
      <c r="AH983" s="352"/>
      <c r="AI983" s="352"/>
      <c r="AJ983" s="352"/>
      <c r="AK983" s="281"/>
      <c r="AL983" s="281"/>
      <c r="AM983" s="281"/>
      <c r="AN983" s="294"/>
    </row>
    <row r="984">
      <c r="A984" s="169">
        <f t="array" ref="A984">INDEX('Federal Tax, Stock Buybacks, &amp; '!D:D,match(B984,'Federal Tax, Stock Buybacks, &amp; '!E:E,0))</f>
        <v>18</v>
      </c>
      <c r="B984" s="352" t="s">
        <v>2649</v>
      </c>
      <c r="C984" s="352"/>
      <c r="D984" s="353"/>
      <c r="E984" s="555"/>
      <c r="F984" s="254"/>
      <c r="G984" s="352"/>
      <c r="H984" s="353"/>
      <c r="I984" s="555"/>
      <c r="J984" s="254"/>
      <c r="K984" s="352" t="s">
        <v>2656</v>
      </c>
      <c r="L984" s="353" t="s">
        <v>2657</v>
      </c>
      <c r="M984" s="555">
        <v>4839119.0</v>
      </c>
      <c r="N984" s="254"/>
      <c r="O984" s="352" t="s">
        <v>2656</v>
      </c>
      <c r="P984" s="353" t="s">
        <v>2657</v>
      </c>
      <c r="Q984" s="555">
        <v>6463024.0</v>
      </c>
      <c r="R984" s="254"/>
      <c r="S984" s="352" t="s">
        <v>2656</v>
      </c>
      <c r="T984" s="353" t="s">
        <v>2657</v>
      </c>
      <c r="U984" s="555">
        <v>4444101.0</v>
      </c>
      <c r="V984" s="254"/>
      <c r="W984" s="595" t="s">
        <v>2656</v>
      </c>
      <c r="X984" s="353" t="s">
        <v>2657</v>
      </c>
      <c r="Y984" s="555">
        <v>5773522.0</v>
      </c>
      <c r="Z984" s="254"/>
      <c r="AA984" s="595" t="s">
        <v>2658</v>
      </c>
      <c r="AB984" s="353" t="s">
        <v>2261</v>
      </c>
      <c r="AC984" s="555">
        <v>3360776.0</v>
      </c>
      <c r="AD984" s="355"/>
      <c r="AE984" s="358"/>
      <c r="AF984" s="352"/>
      <c r="AG984" s="352"/>
      <c r="AH984" s="352"/>
      <c r="AI984" s="352"/>
      <c r="AJ984" s="352"/>
      <c r="AK984" s="281"/>
      <c r="AL984" s="281"/>
      <c r="AM984" s="281"/>
      <c r="AN984" s="294"/>
    </row>
    <row r="985">
      <c r="A985" s="169">
        <f t="array" ref="A985">INDEX('Federal Tax, Stock Buybacks, &amp; '!D:D,match(B985,'Federal Tax, Stock Buybacks, &amp; '!E:E,0))</f>
        <v>18</v>
      </c>
      <c r="B985" s="352" t="s">
        <v>2649</v>
      </c>
      <c r="C985" s="352"/>
      <c r="D985" s="353"/>
      <c r="E985" s="555"/>
      <c r="F985" s="254"/>
      <c r="G985" s="352"/>
      <c r="H985" s="353"/>
      <c r="I985" s="555"/>
      <c r="J985" s="254"/>
      <c r="K985" s="352" t="s">
        <v>2659</v>
      </c>
      <c r="L985" s="353" t="s">
        <v>2660</v>
      </c>
      <c r="M985" s="555">
        <v>6448570.0</v>
      </c>
      <c r="N985" s="254"/>
      <c r="O985" s="352" t="s">
        <v>2659</v>
      </c>
      <c r="P985" s="353" t="s">
        <v>2660</v>
      </c>
      <c r="Q985" s="555">
        <v>8387171.0</v>
      </c>
      <c r="R985" s="254"/>
      <c r="S985" s="352" t="s">
        <v>2661</v>
      </c>
      <c r="T985" s="353" t="s">
        <v>2662</v>
      </c>
      <c r="U985" s="555">
        <v>8215843.0</v>
      </c>
      <c r="V985" s="254"/>
      <c r="W985" s="595" t="s">
        <v>2661</v>
      </c>
      <c r="X985" s="353" t="s">
        <v>2660</v>
      </c>
      <c r="Y985" s="555">
        <v>7905862.0</v>
      </c>
      <c r="Z985" s="254"/>
      <c r="AA985" s="595" t="s">
        <v>2654</v>
      </c>
      <c r="AB985" s="353" t="s">
        <v>2663</v>
      </c>
      <c r="AC985" s="555">
        <v>4214169.0</v>
      </c>
      <c r="AD985" s="355"/>
      <c r="AE985" s="358"/>
      <c r="AF985" s="352"/>
      <c r="AG985" s="352"/>
      <c r="AH985" s="352"/>
      <c r="AI985" s="352"/>
      <c r="AJ985" s="352"/>
      <c r="AK985" s="281"/>
      <c r="AL985" s="281"/>
      <c r="AM985" s="281"/>
      <c r="AN985" s="294"/>
    </row>
    <row r="986">
      <c r="A986" s="169">
        <f t="array" ref="A986">INDEX('Federal Tax, Stock Buybacks, &amp; '!D:D,match(B986,'Federal Tax, Stock Buybacks, &amp; '!E:E,0))</f>
        <v>18</v>
      </c>
      <c r="B986" s="352" t="s">
        <v>2649</v>
      </c>
      <c r="C986" s="352"/>
      <c r="D986" s="353"/>
      <c r="E986" s="555"/>
      <c r="F986" s="254"/>
      <c r="G986" s="352"/>
      <c r="H986" s="353"/>
      <c r="I986" s="555"/>
      <c r="J986" s="254"/>
      <c r="K986" s="352" t="s">
        <v>2664</v>
      </c>
      <c r="L986" s="353" t="s">
        <v>2665</v>
      </c>
      <c r="M986" s="555">
        <v>3548296.0</v>
      </c>
      <c r="N986" s="254"/>
      <c r="O986" s="352" t="s">
        <v>2664</v>
      </c>
      <c r="P986" s="353" t="s">
        <v>2665</v>
      </c>
      <c r="Q986" s="555">
        <v>5580613.0</v>
      </c>
      <c r="R986" s="254"/>
      <c r="S986" s="352" t="s">
        <v>2659</v>
      </c>
      <c r="T986" s="353" t="s">
        <v>2660</v>
      </c>
      <c r="U986" s="555">
        <v>4908652.0</v>
      </c>
      <c r="V986" s="254"/>
      <c r="W986" s="595" t="s">
        <v>2659</v>
      </c>
      <c r="X986" s="353" t="s">
        <v>2261</v>
      </c>
      <c r="Y986" s="555">
        <v>5503112.0</v>
      </c>
      <c r="Z986" s="254"/>
      <c r="AA986" s="595" t="s">
        <v>2656</v>
      </c>
      <c r="AB986" s="353" t="s">
        <v>2666</v>
      </c>
      <c r="AC986" s="555">
        <v>2585641.0</v>
      </c>
      <c r="AD986" s="355"/>
      <c r="AE986" s="358"/>
      <c r="AF986" s="352"/>
      <c r="AG986" s="352"/>
      <c r="AH986" s="352"/>
      <c r="AI986" s="352"/>
      <c r="AJ986" s="352"/>
      <c r="AK986" s="281"/>
      <c r="AL986" s="281"/>
      <c r="AM986" s="281"/>
      <c r="AN986" s="294"/>
    </row>
    <row r="987">
      <c r="A987" s="169">
        <f t="array" ref="A987">INDEX('Federal Tax, Stock Buybacks, &amp; '!D:D,match(B987,'Federal Tax, Stock Buybacks, &amp; '!E:E,0))</f>
        <v>18</v>
      </c>
      <c r="B987" s="352" t="s">
        <v>2649</v>
      </c>
      <c r="C987" s="359"/>
      <c r="D987" s="361"/>
      <c r="E987" s="555"/>
      <c r="F987" s="254"/>
      <c r="G987" s="359"/>
      <c r="H987" s="361"/>
      <c r="I987" s="555"/>
      <c r="J987" s="254"/>
      <c r="K987" s="359" t="s">
        <v>711</v>
      </c>
      <c r="L987" s="361" t="s">
        <v>711</v>
      </c>
      <c r="M987" s="555" t="s">
        <v>711</v>
      </c>
      <c r="N987" s="254"/>
      <c r="O987" s="359" t="s">
        <v>711</v>
      </c>
      <c r="P987" s="361" t="s">
        <v>711</v>
      </c>
      <c r="Q987" s="555" t="s">
        <v>711</v>
      </c>
      <c r="R987" s="254"/>
      <c r="S987" s="352" t="s">
        <v>2664</v>
      </c>
      <c r="T987" s="353" t="s">
        <v>2665</v>
      </c>
      <c r="U987" s="555">
        <v>3481862.0</v>
      </c>
      <c r="V987" s="254"/>
      <c r="W987" s="597" t="s">
        <v>711</v>
      </c>
      <c r="X987" s="361" t="s">
        <v>711</v>
      </c>
      <c r="Y987" s="555" t="s">
        <v>711</v>
      </c>
      <c r="Z987" s="254"/>
      <c r="AA987" s="595" t="s">
        <v>2661</v>
      </c>
      <c r="AB987" s="353" t="s">
        <v>2090</v>
      </c>
      <c r="AC987" s="555">
        <v>3443735.0</v>
      </c>
      <c r="AD987" s="355"/>
      <c r="AE987" s="358"/>
      <c r="AF987" s="352"/>
      <c r="AG987" s="352"/>
      <c r="AH987" s="352"/>
      <c r="AI987" s="352"/>
      <c r="AJ987" s="352"/>
      <c r="AK987" s="281"/>
      <c r="AL987" s="281"/>
      <c r="AM987" s="281"/>
      <c r="AN987" s="294"/>
    </row>
    <row r="988">
      <c r="A988" s="196" t="str">
        <f t="array" ref="A988">INDEX('Federal Tax, Stock Buybacks, &amp; '!D:D,match(B988,'Federal Tax, Stock Buybacks, &amp; '!E:E,0))</f>
        <v>#N/A</v>
      </c>
      <c r="B988" s="352" t="s">
        <v>2667</v>
      </c>
      <c r="C988" s="352"/>
      <c r="D988" s="596"/>
      <c r="E988" s="555"/>
      <c r="F988" s="254"/>
      <c r="G988" s="352"/>
      <c r="H988" s="596"/>
      <c r="I988" s="555"/>
      <c r="J988" s="254"/>
      <c r="K988" s="352" t="s">
        <v>2668</v>
      </c>
      <c r="L988" s="596" t="s">
        <v>1674</v>
      </c>
      <c r="M988" s="555">
        <v>2797308.0</v>
      </c>
      <c r="N988" s="254"/>
      <c r="O988" s="352" t="s">
        <v>2668</v>
      </c>
      <c r="P988" s="596" t="s">
        <v>1674</v>
      </c>
      <c r="Q988" s="555">
        <v>3467347.0</v>
      </c>
      <c r="R988" s="254"/>
      <c r="S988" s="352" t="s">
        <v>2668</v>
      </c>
      <c r="T988" s="596" t="s">
        <v>1674</v>
      </c>
      <c r="U988" s="555">
        <v>930415.0</v>
      </c>
      <c r="V988" s="254"/>
      <c r="W988" s="598" t="s">
        <v>2668</v>
      </c>
      <c r="X988" s="596" t="s">
        <v>1674</v>
      </c>
      <c r="Y988" s="555">
        <v>3359058.0</v>
      </c>
      <c r="Z988" s="254"/>
      <c r="AA988" s="598" t="s">
        <v>2668</v>
      </c>
      <c r="AB988" s="596" t="s">
        <v>1674</v>
      </c>
      <c r="AC988" s="555">
        <v>3623801.0</v>
      </c>
      <c r="AD988" s="355"/>
      <c r="AE988" s="599">
        <v>2022.0</v>
      </c>
      <c r="AF988" s="599">
        <v>2021.0</v>
      </c>
      <c r="AG988" s="599">
        <v>2020.0</v>
      </c>
      <c r="AH988" s="599">
        <v>2019.0</v>
      </c>
      <c r="AI988" s="599">
        <v>2018.0</v>
      </c>
      <c r="AJ988" s="600" t="s">
        <v>2409</v>
      </c>
      <c r="AK988" s="281"/>
      <c r="AL988" s="281"/>
      <c r="AM988" s="281"/>
      <c r="AN988" s="294"/>
    </row>
    <row r="989">
      <c r="A989" s="196" t="str">
        <f t="array" ref="A989">INDEX('Federal Tax, Stock Buybacks, &amp; '!D:D,match(B989,'Federal Tax, Stock Buybacks, &amp; '!E:E,0))</f>
        <v>#N/A</v>
      </c>
      <c r="B989" s="352" t="s">
        <v>2667</v>
      </c>
      <c r="C989" s="352"/>
      <c r="D989" s="596"/>
      <c r="E989" s="555"/>
      <c r="F989" s="254"/>
      <c r="G989" s="352"/>
      <c r="H989" s="596"/>
      <c r="I989" s="555"/>
      <c r="J989" s="254"/>
      <c r="K989" s="352" t="s">
        <v>2669</v>
      </c>
      <c r="L989" s="596" t="s">
        <v>1532</v>
      </c>
      <c r="M989" s="555">
        <v>6179953.0</v>
      </c>
      <c r="N989" s="254"/>
      <c r="O989" s="352" t="s">
        <v>2669</v>
      </c>
      <c r="P989" s="596" t="s">
        <v>1532</v>
      </c>
      <c r="Q989" s="555">
        <v>1.0612307E7</v>
      </c>
      <c r="R989" s="254"/>
      <c r="S989" s="352" t="s">
        <v>2669</v>
      </c>
      <c r="T989" s="596" t="s">
        <v>1532</v>
      </c>
      <c r="U989" s="555">
        <v>7303193.0</v>
      </c>
      <c r="V989" s="254"/>
      <c r="W989" s="352" t="s">
        <v>2670</v>
      </c>
      <c r="X989" s="353" t="s">
        <v>2671</v>
      </c>
      <c r="Y989" s="555">
        <v>1.2079965E7</v>
      </c>
      <c r="Z989" s="254"/>
      <c r="AA989" s="352" t="s">
        <v>2669</v>
      </c>
      <c r="AB989" s="596" t="s">
        <v>1532</v>
      </c>
      <c r="AC989" s="555">
        <v>4228918.0</v>
      </c>
      <c r="AD989" s="355"/>
      <c r="AE989" s="358"/>
      <c r="AF989" s="352"/>
      <c r="AG989" s="352"/>
      <c r="AH989" s="352"/>
      <c r="AI989" s="352"/>
      <c r="AJ989" s="355"/>
      <c r="AK989" s="281"/>
      <c r="AL989" s="281"/>
      <c r="AM989" s="281"/>
      <c r="AN989" s="294"/>
    </row>
    <row r="990">
      <c r="A990" s="196" t="str">
        <f t="array" ref="A990">INDEX('Federal Tax, Stock Buybacks, &amp; '!D:D,match(B990,'Federal Tax, Stock Buybacks, &amp; '!E:E,0))</f>
        <v>#N/A</v>
      </c>
      <c r="B990" s="352" t="s">
        <v>2667</v>
      </c>
      <c r="C990" s="352"/>
      <c r="D990" s="596"/>
      <c r="E990" s="555"/>
      <c r="F990" s="254"/>
      <c r="G990" s="352"/>
      <c r="H990" s="596"/>
      <c r="I990" s="555"/>
      <c r="J990" s="254"/>
      <c r="K990" s="352" t="s">
        <v>2672</v>
      </c>
      <c r="L990" s="596" t="s">
        <v>2673</v>
      </c>
      <c r="M990" s="555">
        <v>1.7198906E7</v>
      </c>
      <c r="N990" s="254"/>
      <c r="O990" s="352" t="s">
        <v>2672</v>
      </c>
      <c r="P990" s="596" t="s">
        <v>2673</v>
      </c>
      <c r="Q990" s="555">
        <v>1.7260553E7</v>
      </c>
      <c r="R990" s="254"/>
      <c r="S990" s="352" t="s">
        <v>2672</v>
      </c>
      <c r="T990" s="596" t="s">
        <v>2673</v>
      </c>
      <c r="U990" s="555">
        <v>1.5057669E7</v>
      </c>
      <c r="V990" s="254"/>
      <c r="W990" s="352" t="s">
        <v>2669</v>
      </c>
      <c r="X990" s="596" t="s">
        <v>1532</v>
      </c>
      <c r="Y990" s="555">
        <v>7287033.0</v>
      </c>
      <c r="Z990" s="254"/>
      <c r="AA990" s="352" t="s">
        <v>2672</v>
      </c>
      <c r="AB990" s="353" t="s">
        <v>2674</v>
      </c>
      <c r="AC990" s="555">
        <v>6446069.0</v>
      </c>
      <c r="AD990" s="355"/>
      <c r="AE990" s="358"/>
      <c r="AF990" s="352"/>
      <c r="AG990" s="352"/>
      <c r="AH990" s="352"/>
      <c r="AI990" s="352"/>
      <c r="AJ990" s="355"/>
      <c r="AK990" s="281"/>
      <c r="AL990" s="281"/>
      <c r="AM990" s="281"/>
      <c r="AN990" s="294"/>
    </row>
    <row r="991">
      <c r="A991" s="196" t="str">
        <f t="array" ref="A991">INDEX('Federal Tax, Stock Buybacks, &amp; '!D:D,match(B991,'Federal Tax, Stock Buybacks, &amp; '!E:E,0))</f>
        <v>#N/A</v>
      </c>
      <c r="B991" s="352" t="s">
        <v>2667</v>
      </c>
      <c r="C991" s="352"/>
      <c r="D991" s="353"/>
      <c r="E991" s="555"/>
      <c r="F991" s="254"/>
      <c r="G991" s="352"/>
      <c r="H991" s="353"/>
      <c r="I991" s="555"/>
      <c r="J991" s="254"/>
      <c r="K991" s="352" t="s">
        <v>2675</v>
      </c>
      <c r="L991" s="353" t="s">
        <v>2676</v>
      </c>
      <c r="M991" s="555">
        <v>1.0547936E7</v>
      </c>
      <c r="N991" s="254"/>
      <c r="O991" s="352" t="s">
        <v>2675</v>
      </c>
      <c r="P991" s="353" t="s">
        <v>2676</v>
      </c>
      <c r="Q991" s="555">
        <v>1.061175E7</v>
      </c>
      <c r="R991" s="254"/>
      <c r="S991" s="352" t="s">
        <v>2675</v>
      </c>
      <c r="T991" s="353" t="s">
        <v>2676</v>
      </c>
      <c r="U991" s="555">
        <v>1.2103426E7</v>
      </c>
      <c r="V991" s="254"/>
      <c r="W991" s="352" t="s">
        <v>2672</v>
      </c>
      <c r="X991" s="596" t="s">
        <v>2673</v>
      </c>
      <c r="Y991" s="555">
        <v>9334099.0</v>
      </c>
      <c r="Z991" s="254"/>
      <c r="AA991" s="352" t="s">
        <v>2675</v>
      </c>
      <c r="AB991" s="353" t="s">
        <v>2677</v>
      </c>
      <c r="AC991" s="555">
        <v>6498418.0</v>
      </c>
      <c r="AD991" s="355"/>
      <c r="AE991" s="358"/>
      <c r="AF991" s="352"/>
      <c r="AG991" s="352"/>
      <c r="AH991" s="352"/>
      <c r="AI991" s="352"/>
      <c r="AJ991" s="355"/>
      <c r="AK991" s="281"/>
      <c r="AL991" s="281"/>
      <c r="AM991" s="281"/>
      <c r="AN991" s="294"/>
    </row>
    <row r="992">
      <c r="A992" s="196" t="str">
        <f t="array" ref="A992">INDEX('Federal Tax, Stock Buybacks, &amp; '!D:D,match(B992,'Federal Tax, Stock Buybacks, &amp; '!E:E,0))</f>
        <v>#N/A</v>
      </c>
      <c r="B992" s="352" t="s">
        <v>2667</v>
      </c>
      <c r="C992" s="352"/>
      <c r="D992" s="353"/>
      <c r="E992" s="555"/>
      <c r="F992" s="254"/>
      <c r="G992" s="352"/>
      <c r="H992" s="353"/>
      <c r="I992" s="555"/>
      <c r="J992" s="254"/>
      <c r="K992" s="352" t="s">
        <v>2678</v>
      </c>
      <c r="L992" s="353" t="s">
        <v>2627</v>
      </c>
      <c r="M992" s="555">
        <v>1.2604452E7</v>
      </c>
      <c r="N992" s="254"/>
      <c r="O992" s="352" t="s">
        <v>2678</v>
      </c>
      <c r="P992" s="353" t="s">
        <v>2627</v>
      </c>
      <c r="Q992" s="555">
        <v>5.1426912E7</v>
      </c>
      <c r="R992" s="254"/>
      <c r="S992" s="352" t="s">
        <v>2679</v>
      </c>
      <c r="T992" s="353" t="s">
        <v>1729</v>
      </c>
      <c r="U992" s="555">
        <v>8562287.0</v>
      </c>
      <c r="V992" s="254"/>
      <c r="W992" s="352" t="s">
        <v>2675</v>
      </c>
      <c r="X992" s="353" t="s">
        <v>2676</v>
      </c>
      <c r="Y992" s="555">
        <v>1.9943649E7</v>
      </c>
      <c r="Z992" s="254"/>
      <c r="AA992" s="352" t="s">
        <v>2680</v>
      </c>
      <c r="AB992" s="353" t="s">
        <v>1553</v>
      </c>
      <c r="AC992" s="555">
        <v>1.3415879E7</v>
      </c>
      <c r="AD992" s="355"/>
      <c r="AE992" s="358"/>
      <c r="AF992" s="352"/>
      <c r="AG992" s="352"/>
      <c r="AH992" s="352"/>
      <c r="AI992" s="352"/>
      <c r="AJ992" s="355"/>
      <c r="AK992" s="281"/>
      <c r="AL992" s="281"/>
      <c r="AM992" s="281"/>
      <c r="AN992" s="294"/>
    </row>
    <row r="993">
      <c r="A993" s="196" t="str">
        <f t="array" ref="A993">INDEX('Federal Tax, Stock Buybacks, &amp; '!D:D,match(B993,'Federal Tax, Stock Buybacks, &amp; '!E:E,0))</f>
        <v>#N/A</v>
      </c>
      <c r="B993" s="264" t="s">
        <v>2681</v>
      </c>
      <c r="C993" s="582"/>
      <c r="D993" s="323"/>
      <c r="E993" s="545"/>
      <c r="F993" s="254"/>
      <c r="G993" s="582"/>
      <c r="H993" s="323"/>
      <c r="I993" s="545"/>
      <c r="J993" s="254"/>
      <c r="K993" s="582" t="s">
        <v>2682</v>
      </c>
      <c r="L993" s="323" t="s">
        <v>2683</v>
      </c>
      <c r="M993" s="545">
        <v>8198024.0</v>
      </c>
      <c r="N993" s="254"/>
      <c r="O993" s="582" t="s">
        <v>2684</v>
      </c>
      <c r="P993" s="323" t="s">
        <v>2685</v>
      </c>
      <c r="Q993" s="545">
        <v>7894348.0</v>
      </c>
      <c r="R993" s="254"/>
      <c r="S993" s="582" t="s">
        <v>2686</v>
      </c>
      <c r="T993" s="323" t="s">
        <v>2687</v>
      </c>
      <c r="U993" s="545">
        <v>8941645.0</v>
      </c>
      <c r="V993" s="254"/>
      <c r="W993" s="582" t="s">
        <v>2688</v>
      </c>
      <c r="X993" s="323" t="s">
        <v>2689</v>
      </c>
      <c r="Y993" s="545">
        <v>2.3846422E7</v>
      </c>
      <c r="Z993" s="254"/>
      <c r="AA993" s="582" t="s">
        <v>2688</v>
      </c>
      <c r="AB993" s="323" t="s">
        <v>2689</v>
      </c>
      <c r="AC993" s="545">
        <v>7522731.0</v>
      </c>
      <c r="AD993" s="271"/>
      <c r="AE993" s="272">
        <v>2022.0</v>
      </c>
      <c r="AF993" s="272">
        <v>2021.0</v>
      </c>
      <c r="AG993" s="272">
        <v>2020.0</v>
      </c>
      <c r="AH993" s="272">
        <v>2019.0</v>
      </c>
      <c r="AI993" s="272">
        <v>2018.0</v>
      </c>
      <c r="AJ993" s="582"/>
      <c r="AK993" s="281"/>
      <c r="AL993" s="281"/>
      <c r="AM993" s="281"/>
      <c r="AN993" s="294"/>
    </row>
    <row r="994">
      <c r="A994" s="196" t="str">
        <f t="array" ref="A994">INDEX('Federal Tax, Stock Buybacks, &amp; '!D:D,match(B994,'Federal Tax, Stock Buybacks, &amp; '!E:E,0))</f>
        <v>#N/A</v>
      </c>
      <c r="B994" s="264" t="s">
        <v>2681</v>
      </c>
      <c r="C994" s="582"/>
      <c r="D994" s="323"/>
      <c r="E994" s="545"/>
      <c r="F994" s="254"/>
      <c r="G994" s="582"/>
      <c r="H994" s="323"/>
      <c r="I994" s="545"/>
      <c r="J994" s="254"/>
      <c r="K994" s="582" t="s">
        <v>2690</v>
      </c>
      <c r="L994" s="323" t="s">
        <v>2691</v>
      </c>
      <c r="M994" s="545">
        <v>6857703.0</v>
      </c>
      <c r="N994" s="254"/>
      <c r="O994" s="582" t="s">
        <v>2682</v>
      </c>
      <c r="P994" s="323" t="s">
        <v>2466</v>
      </c>
      <c r="Q994" s="545">
        <v>2.2663449E7</v>
      </c>
      <c r="R994" s="254"/>
      <c r="S994" s="582" t="s">
        <v>2684</v>
      </c>
      <c r="T994" s="323" t="s">
        <v>2692</v>
      </c>
      <c r="U994" s="545">
        <v>1.3080452E7</v>
      </c>
      <c r="V994" s="254"/>
      <c r="W994" s="582" t="s">
        <v>2686</v>
      </c>
      <c r="X994" s="323" t="s">
        <v>2687</v>
      </c>
      <c r="Y994" s="545">
        <v>1.047016E7</v>
      </c>
      <c r="Z994" s="254"/>
      <c r="AA994" s="582" t="s">
        <v>2693</v>
      </c>
      <c r="AB994" s="323" t="s">
        <v>2694</v>
      </c>
      <c r="AC994" s="545">
        <v>1.664329E7</v>
      </c>
      <c r="AD994" s="271"/>
      <c r="AE994" s="277"/>
      <c r="AF994" s="582"/>
      <c r="AG994" s="582"/>
      <c r="AH994" s="582"/>
      <c r="AI994" s="582"/>
      <c r="AJ994" s="582"/>
      <c r="AK994" s="281"/>
      <c r="AL994" s="281"/>
      <c r="AM994" s="281"/>
      <c r="AN994" s="294"/>
    </row>
    <row r="995">
      <c r="A995" s="196" t="str">
        <f t="array" ref="A995">INDEX('Federal Tax, Stock Buybacks, &amp; '!D:D,match(B995,'Federal Tax, Stock Buybacks, &amp; '!E:E,0))</f>
        <v>#N/A</v>
      </c>
      <c r="B995" s="264" t="s">
        <v>2681</v>
      </c>
      <c r="C995" s="582"/>
      <c r="D995" s="323"/>
      <c r="E995" s="545"/>
      <c r="F995" s="254"/>
      <c r="G995" s="582"/>
      <c r="H995" s="323"/>
      <c r="I995" s="545"/>
      <c r="J995" s="254"/>
      <c r="K995" s="582" t="s">
        <v>2695</v>
      </c>
      <c r="L995" s="323" t="s">
        <v>2696</v>
      </c>
      <c r="M995" s="545">
        <v>8781275.0</v>
      </c>
      <c r="N995" s="254"/>
      <c r="O995" s="582" t="s">
        <v>2690</v>
      </c>
      <c r="P995" s="323" t="s">
        <v>2697</v>
      </c>
      <c r="Q995" s="545">
        <v>6519764.0</v>
      </c>
      <c r="R995" s="254"/>
      <c r="S995" s="582" t="s">
        <v>2682</v>
      </c>
      <c r="T995" s="323" t="s">
        <v>2466</v>
      </c>
      <c r="U995" s="545">
        <v>7.3192032E7</v>
      </c>
      <c r="V995" s="254"/>
      <c r="W995" s="582" t="s">
        <v>2682</v>
      </c>
      <c r="X995" s="323" t="s">
        <v>2466</v>
      </c>
      <c r="Y995" s="545">
        <v>2.4553788E7</v>
      </c>
      <c r="Z995" s="254"/>
      <c r="AA995" s="582" t="s">
        <v>2686</v>
      </c>
      <c r="AB995" s="323" t="s">
        <v>2698</v>
      </c>
      <c r="AC995" s="545">
        <v>7401678.0</v>
      </c>
      <c r="AD995" s="271"/>
      <c r="AE995" s="277"/>
      <c r="AF995" s="582"/>
      <c r="AG995" s="582"/>
      <c r="AH995" s="582"/>
      <c r="AI995" s="582"/>
      <c r="AJ995" s="582"/>
      <c r="AK995" s="281"/>
      <c r="AL995" s="281"/>
      <c r="AM995" s="281"/>
      <c r="AN995" s="294"/>
    </row>
    <row r="996">
      <c r="A996" s="196" t="str">
        <f t="array" ref="A996">INDEX('Federal Tax, Stock Buybacks, &amp; '!D:D,match(B996,'Federal Tax, Stock Buybacks, &amp; '!E:E,0))</f>
        <v>#N/A</v>
      </c>
      <c r="B996" s="264" t="s">
        <v>2681</v>
      </c>
      <c r="C996" s="582"/>
      <c r="D996" s="323"/>
      <c r="E996" s="545"/>
      <c r="F996" s="254"/>
      <c r="G996" s="582"/>
      <c r="H996" s="323"/>
      <c r="I996" s="545"/>
      <c r="J996" s="254"/>
      <c r="K996" s="582" t="s">
        <v>2699</v>
      </c>
      <c r="L996" s="323" t="s">
        <v>2698</v>
      </c>
      <c r="M996" s="545">
        <v>9741192.0</v>
      </c>
      <c r="N996" s="254"/>
      <c r="O996" s="582" t="s">
        <v>2695</v>
      </c>
      <c r="P996" s="323" t="s">
        <v>2700</v>
      </c>
      <c r="Q996" s="545">
        <v>9454454.0</v>
      </c>
      <c r="R996" s="254"/>
      <c r="S996" s="582" t="s">
        <v>2701</v>
      </c>
      <c r="T996" s="323" t="s">
        <v>2702</v>
      </c>
      <c r="U996" s="545">
        <v>1.5951902E7</v>
      </c>
      <c r="V996" s="254"/>
      <c r="W996" s="582" t="s">
        <v>2690</v>
      </c>
      <c r="X996" s="323" t="s">
        <v>2703</v>
      </c>
      <c r="Y996" s="545">
        <v>1.0516422E7</v>
      </c>
      <c r="Z996" s="254"/>
      <c r="AA996" s="582" t="s">
        <v>2684</v>
      </c>
      <c r="AB996" s="323" t="s">
        <v>2704</v>
      </c>
      <c r="AC996" s="545">
        <v>7290165.0</v>
      </c>
      <c r="AD996" s="271"/>
      <c r="AE996" s="277"/>
      <c r="AF996" s="582"/>
      <c r="AG996" s="582"/>
      <c r="AH996" s="582"/>
      <c r="AI996" s="582"/>
      <c r="AJ996" s="582"/>
      <c r="AK996" s="281"/>
      <c r="AL996" s="281"/>
      <c r="AM996" s="281"/>
      <c r="AN996" s="294"/>
    </row>
    <row r="997">
      <c r="A997" s="196" t="str">
        <f t="array" ref="A997">INDEX('Federal Tax, Stock Buybacks, &amp; '!D:D,match(B997,'Federal Tax, Stock Buybacks, &amp; '!E:E,0))</f>
        <v>#N/A</v>
      </c>
      <c r="B997" s="264" t="s">
        <v>2681</v>
      </c>
      <c r="C997" s="582"/>
      <c r="D997" s="323"/>
      <c r="E997" s="545"/>
      <c r="F997" s="254"/>
      <c r="G997" s="582"/>
      <c r="H997" s="323"/>
      <c r="I997" s="545"/>
      <c r="J997" s="254"/>
      <c r="K997" s="582" t="s">
        <v>2705</v>
      </c>
      <c r="L997" s="323" t="s">
        <v>2706</v>
      </c>
      <c r="M997" s="545">
        <v>1.0497102E7</v>
      </c>
      <c r="N997" s="254"/>
      <c r="O997" s="582" t="s">
        <v>2699</v>
      </c>
      <c r="P997" s="323" t="s">
        <v>2698</v>
      </c>
      <c r="Q997" s="545">
        <v>1.0470058E7</v>
      </c>
      <c r="R997" s="254"/>
      <c r="S997" s="582" t="s">
        <v>2695</v>
      </c>
      <c r="T997" s="323" t="s">
        <v>2700</v>
      </c>
      <c r="U997" s="545">
        <v>1.1234138E7</v>
      </c>
      <c r="V997" s="254"/>
      <c r="W997" s="582" t="s">
        <v>2707</v>
      </c>
      <c r="X997" s="323" t="s">
        <v>2708</v>
      </c>
      <c r="Y997" s="545">
        <v>1.3835629E7</v>
      </c>
      <c r="Z997" s="254"/>
      <c r="AA997" s="582" t="s">
        <v>2682</v>
      </c>
      <c r="AB997" s="323" t="s">
        <v>2466</v>
      </c>
      <c r="AC997" s="545">
        <v>1.5398827E7</v>
      </c>
      <c r="AD997" s="271"/>
      <c r="AE997" s="277"/>
      <c r="AF997" s="582"/>
      <c r="AG997" s="582"/>
      <c r="AH997" s="582"/>
      <c r="AI997" s="582"/>
      <c r="AJ997" s="582"/>
      <c r="AK997" s="281"/>
      <c r="AL997" s="281"/>
      <c r="AM997" s="281"/>
      <c r="AN997" s="294"/>
    </row>
    <row r="998">
      <c r="A998" s="196" t="str">
        <f t="array" ref="A998">INDEX('Federal Tax, Stock Buybacks, &amp; '!D:D,match(B998,'Federal Tax, Stock Buybacks, &amp; '!E:E,0))</f>
        <v>#N/A</v>
      </c>
      <c r="B998" s="264" t="s">
        <v>2681</v>
      </c>
      <c r="C998" s="326"/>
      <c r="D998" s="328"/>
      <c r="E998" s="545"/>
      <c r="F998" s="254"/>
      <c r="G998" s="326"/>
      <c r="H998" s="328"/>
      <c r="I998" s="545"/>
      <c r="J998" s="254"/>
      <c r="K998" s="326" t="s">
        <v>711</v>
      </c>
      <c r="L998" s="328" t="s">
        <v>711</v>
      </c>
      <c r="M998" s="545" t="s">
        <v>711</v>
      </c>
      <c r="N998" s="254"/>
      <c r="O998" s="326" t="s">
        <v>711</v>
      </c>
      <c r="P998" s="328" t="s">
        <v>711</v>
      </c>
      <c r="Q998" s="545" t="s">
        <v>711</v>
      </c>
      <c r="R998" s="254"/>
      <c r="S998" s="582" t="s">
        <v>2699</v>
      </c>
      <c r="T998" s="323" t="s">
        <v>2698</v>
      </c>
      <c r="U998" s="545">
        <v>2.3769025E7</v>
      </c>
      <c r="V998" s="254"/>
      <c r="W998" s="582" t="s">
        <v>2684</v>
      </c>
      <c r="X998" s="323" t="s">
        <v>2692</v>
      </c>
      <c r="Y998" s="545">
        <v>6549733.0</v>
      </c>
      <c r="Z998" s="254"/>
      <c r="AA998" s="582" t="s">
        <v>2709</v>
      </c>
      <c r="AB998" s="323" t="s">
        <v>2710</v>
      </c>
      <c r="AC998" s="545">
        <v>1.3515716E7</v>
      </c>
      <c r="AD998" s="271"/>
      <c r="AE998" s="277"/>
      <c r="AF998" s="582"/>
      <c r="AG998" s="582"/>
      <c r="AH998" s="582"/>
      <c r="AI998" s="582"/>
      <c r="AJ998" s="582"/>
      <c r="AK998" s="281"/>
      <c r="AL998" s="281"/>
      <c r="AM998" s="281"/>
      <c r="AN998" s="294"/>
    </row>
    <row r="999">
      <c r="A999" s="196" t="str">
        <f t="array" ref="A999">INDEX('Federal Tax, Stock Buybacks, &amp; '!D:D,match(B999,'Federal Tax, Stock Buybacks, &amp; '!E:E,0))</f>
        <v>#N/A</v>
      </c>
      <c r="B999" s="264" t="s">
        <v>2681</v>
      </c>
      <c r="C999" s="326"/>
      <c r="D999" s="328"/>
      <c r="E999" s="545"/>
      <c r="F999" s="254"/>
      <c r="G999" s="326"/>
      <c r="H999" s="328"/>
      <c r="I999" s="545"/>
      <c r="J999" s="254"/>
      <c r="K999" s="326" t="s">
        <v>711</v>
      </c>
      <c r="L999" s="328" t="s">
        <v>711</v>
      </c>
      <c r="M999" s="545" t="s">
        <v>711</v>
      </c>
      <c r="N999" s="254"/>
      <c r="O999" s="326" t="s">
        <v>711</v>
      </c>
      <c r="P999" s="328" t="s">
        <v>711</v>
      </c>
      <c r="Q999" s="545" t="s">
        <v>711</v>
      </c>
      <c r="R999" s="254"/>
      <c r="S999" s="582" t="s">
        <v>2690</v>
      </c>
      <c r="T999" s="323" t="s">
        <v>2697</v>
      </c>
      <c r="U999" s="545">
        <v>1.7026679E7</v>
      </c>
      <c r="V999" s="254"/>
      <c r="W999" s="326" t="s">
        <v>711</v>
      </c>
      <c r="X999" s="328" t="s">
        <v>711</v>
      </c>
      <c r="Y999" s="545" t="s">
        <v>711</v>
      </c>
      <c r="Z999" s="254"/>
      <c r="AA999" s="326" t="s">
        <v>711</v>
      </c>
      <c r="AB999" s="328" t="s">
        <v>711</v>
      </c>
      <c r="AC999" s="545" t="s">
        <v>711</v>
      </c>
      <c r="AD999" s="271"/>
      <c r="AE999" s="277"/>
      <c r="AF999" s="582"/>
      <c r="AG999" s="582"/>
      <c r="AH999" s="582"/>
      <c r="AI999" s="582"/>
      <c r="AJ999" s="582"/>
      <c r="AK999" s="281"/>
      <c r="AL999" s="281"/>
      <c r="AM999" s="281"/>
      <c r="AN999" s="294"/>
    </row>
    <row r="1000">
      <c r="A1000" s="196" t="str">
        <f t="array" ref="A1000">INDEX('Federal Tax, Stock Buybacks, &amp; '!D:D,match(B1000,'Federal Tax, Stock Buybacks, &amp; '!E:E,0))</f>
        <v>#N/A</v>
      </c>
      <c r="B1000" s="601" t="s">
        <v>2711</v>
      </c>
      <c r="C1000" s="352"/>
      <c r="D1000" s="353"/>
      <c r="E1000" s="555"/>
      <c r="F1000" s="254"/>
      <c r="G1000" s="352"/>
      <c r="H1000" s="353"/>
      <c r="I1000" s="555"/>
      <c r="J1000" s="254"/>
      <c r="K1000" s="352" t="s">
        <v>2712</v>
      </c>
      <c r="L1000" s="353" t="s">
        <v>2713</v>
      </c>
      <c r="M1000" s="555">
        <v>8823082.0</v>
      </c>
      <c r="N1000" s="254"/>
      <c r="O1000" s="352" t="s">
        <v>2714</v>
      </c>
      <c r="P1000" s="596" t="s">
        <v>2715</v>
      </c>
      <c r="Q1000" s="555">
        <v>1.0225759E7</v>
      </c>
      <c r="R1000" s="254"/>
      <c r="S1000" s="352" t="s">
        <v>2716</v>
      </c>
      <c r="T1000" s="596" t="s">
        <v>2717</v>
      </c>
      <c r="U1000" s="555">
        <v>2.9575974E7</v>
      </c>
      <c r="V1000" s="254"/>
      <c r="W1000" s="352" t="s">
        <v>2716</v>
      </c>
      <c r="X1000" s="596" t="s">
        <v>2717</v>
      </c>
      <c r="Y1000" s="555">
        <v>2.5365777E7</v>
      </c>
      <c r="Z1000" s="254"/>
      <c r="AA1000" s="352" t="s">
        <v>2716</v>
      </c>
      <c r="AB1000" s="596" t="s">
        <v>2717</v>
      </c>
      <c r="AC1000" s="555">
        <v>2.0097572E7</v>
      </c>
      <c r="AD1000" s="355"/>
      <c r="AE1000" s="356">
        <v>2022.0</v>
      </c>
      <c r="AF1000" s="356">
        <v>2021.0</v>
      </c>
      <c r="AG1000" s="356">
        <v>2020.0</v>
      </c>
      <c r="AH1000" s="356">
        <v>2019.0</v>
      </c>
      <c r="AI1000" s="356">
        <v>2018.0</v>
      </c>
      <c r="AJ1000" s="352"/>
      <c r="AK1000" s="281"/>
      <c r="AL1000" s="281"/>
      <c r="AM1000" s="281"/>
      <c r="AN1000" s="294"/>
    </row>
    <row r="1001">
      <c r="A1001" s="196" t="str">
        <f t="array" ref="A1001">INDEX('Federal Tax, Stock Buybacks, &amp; '!D:D,match(B1001,'Federal Tax, Stock Buybacks, &amp; '!E:E,0))</f>
        <v>#N/A</v>
      </c>
      <c r="B1001" s="601" t="s">
        <v>2711</v>
      </c>
      <c r="C1001" s="352"/>
      <c r="D1001" s="596"/>
      <c r="E1001" s="555"/>
      <c r="F1001" s="254"/>
      <c r="G1001" s="352"/>
      <c r="H1001" s="596"/>
      <c r="I1001" s="555"/>
      <c r="J1001" s="254"/>
      <c r="K1001" s="352" t="s">
        <v>2718</v>
      </c>
      <c r="L1001" s="596" t="s">
        <v>2719</v>
      </c>
      <c r="M1001" s="555">
        <v>7092410.0</v>
      </c>
      <c r="N1001" s="254"/>
      <c r="O1001" s="352" t="s">
        <v>2720</v>
      </c>
      <c r="P1001" s="596" t="s">
        <v>2721</v>
      </c>
      <c r="Q1001" s="555">
        <v>1.3805292E7</v>
      </c>
      <c r="R1001" s="254"/>
      <c r="S1001" s="352" t="s">
        <v>2722</v>
      </c>
      <c r="T1001" s="596" t="s">
        <v>2723</v>
      </c>
      <c r="U1001" s="555">
        <v>1.6439968E7</v>
      </c>
      <c r="V1001" s="254"/>
      <c r="W1001" s="352" t="s">
        <v>2722</v>
      </c>
      <c r="X1001" s="596" t="s">
        <v>2723</v>
      </c>
      <c r="Y1001" s="555">
        <v>1.4067849E7</v>
      </c>
      <c r="Z1001" s="254"/>
      <c r="AA1001" s="352" t="s">
        <v>2724</v>
      </c>
      <c r="AB1001" s="353" t="s">
        <v>2725</v>
      </c>
      <c r="AC1001" s="555">
        <v>1.0679873E7</v>
      </c>
      <c r="AD1001" s="355"/>
      <c r="AE1001" s="358"/>
      <c r="AF1001" s="352"/>
      <c r="AG1001" s="352"/>
      <c r="AH1001" s="352"/>
      <c r="AI1001" s="352"/>
      <c r="AJ1001" s="352"/>
      <c r="AK1001" s="281"/>
      <c r="AL1001" s="281"/>
      <c r="AM1001" s="281"/>
      <c r="AN1001" s="294"/>
    </row>
    <row r="1002">
      <c r="A1002" s="196" t="str">
        <f t="array" ref="A1002">INDEX('Federal Tax, Stock Buybacks, &amp; '!D:D,match(B1002,'Federal Tax, Stock Buybacks, &amp; '!E:E,0))</f>
        <v>#N/A</v>
      </c>
      <c r="B1002" s="601" t="s">
        <v>2711</v>
      </c>
      <c r="C1002" s="352"/>
      <c r="D1002" s="596"/>
      <c r="E1002" s="555"/>
      <c r="F1002" s="254"/>
      <c r="G1002" s="352"/>
      <c r="H1002" s="596"/>
      <c r="I1002" s="555"/>
      <c r="J1002" s="254"/>
      <c r="K1002" s="352" t="s">
        <v>2714</v>
      </c>
      <c r="L1002" s="596" t="s">
        <v>2715</v>
      </c>
      <c r="M1002" s="555">
        <v>8781532.0</v>
      </c>
      <c r="N1002" s="254"/>
      <c r="O1002" s="352" t="s">
        <v>2712</v>
      </c>
      <c r="P1002" s="353" t="s">
        <v>2713</v>
      </c>
      <c r="Q1002" s="555">
        <v>1.0953615E7</v>
      </c>
      <c r="R1002" s="254"/>
      <c r="S1002" s="352" t="s">
        <v>2720</v>
      </c>
      <c r="T1002" s="596" t="s">
        <v>2721</v>
      </c>
      <c r="U1002" s="555">
        <v>1.5625003E7</v>
      </c>
      <c r="V1002" s="254"/>
      <c r="W1002" s="352" t="s">
        <v>2720</v>
      </c>
      <c r="X1002" s="596" t="s">
        <v>2721</v>
      </c>
      <c r="Y1002" s="555">
        <v>1.3419302E7</v>
      </c>
      <c r="Z1002" s="254"/>
      <c r="AA1002" s="352" t="s">
        <v>2722</v>
      </c>
      <c r="AB1002" s="596" t="s">
        <v>2723</v>
      </c>
      <c r="AC1002" s="555">
        <v>1.0591765E7</v>
      </c>
      <c r="AD1002" s="355"/>
      <c r="AE1002" s="358"/>
      <c r="AF1002" s="352"/>
      <c r="AG1002" s="352"/>
      <c r="AH1002" s="352"/>
      <c r="AI1002" s="352"/>
      <c r="AJ1002" s="352"/>
      <c r="AK1002" s="281"/>
      <c r="AL1002" s="281"/>
      <c r="AM1002" s="281"/>
      <c r="AN1002" s="294"/>
    </row>
    <row r="1003">
      <c r="A1003" s="196" t="str">
        <f t="array" ref="A1003">INDEX('Federal Tax, Stock Buybacks, &amp; '!D:D,match(B1003,'Federal Tax, Stock Buybacks, &amp; '!E:E,0))</f>
        <v>#N/A</v>
      </c>
      <c r="B1003" s="601" t="s">
        <v>2711</v>
      </c>
      <c r="C1003" s="352"/>
      <c r="D1003" s="353"/>
      <c r="E1003" s="555"/>
      <c r="F1003" s="254"/>
      <c r="G1003" s="352"/>
      <c r="H1003" s="353"/>
      <c r="I1003" s="555"/>
      <c r="J1003" s="254"/>
      <c r="K1003" s="352" t="s">
        <v>2720</v>
      </c>
      <c r="L1003" s="353" t="s">
        <v>2717</v>
      </c>
      <c r="M1003" s="555">
        <v>1.3099487E7</v>
      </c>
      <c r="N1003" s="254"/>
      <c r="O1003" s="352" t="s">
        <v>2716</v>
      </c>
      <c r="P1003" s="596" t="s">
        <v>2717</v>
      </c>
      <c r="Q1003" s="555">
        <v>2.6741959E7</v>
      </c>
      <c r="R1003" s="254"/>
      <c r="S1003" s="352" t="s">
        <v>2712</v>
      </c>
      <c r="T1003" s="353" t="s">
        <v>2713</v>
      </c>
      <c r="U1003" s="555">
        <v>1.0196038E7</v>
      </c>
      <c r="V1003" s="254"/>
      <c r="W1003" s="352" t="s">
        <v>2712</v>
      </c>
      <c r="X1003" s="353" t="s">
        <v>2713</v>
      </c>
      <c r="Y1003" s="555">
        <v>7497692.0</v>
      </c>
      <c r="Z1003" s="254"/>
      <c r="AA1003" s="352" t="s">
        <v>2726</v>
      </c>
      <c r="AB1003" s="353" t="s">
        <v>2727</v>
      </c>
      <c r="AC1003" s="555">
        <v>5336152.0</v>
      </c>
      <c r="AD1003" s="355"/>
      <c r="AE1003" s="358"/>
      <c r="AF1003" s="352"/>
      <c r="AG1003" s="352"/>
      <c r="AH1003" s="352"/>
      <c r="AI1003" s="352"/>
      <c r="AJ1003" s="352"/>
      <c r="AK1003" s="281"/>
      <c r="AL1003" s="281"/>
      <c r="AM1003" s="281"/>
      <c r="AN1003" s="294"/>
    </row>
    <row r="1004">
      <c r="A1004" s="196" t="str">
        <f t="array" ref="A1004">INDEX('Federal Tax, Stock Buybacks, &amp; '!D:D,match(B1004,'Federal Tax, Stock Buybacks, &amp; '!E:E,0))</f>
        <v>#N/A</v>
      </c>
      <c r="B1004" s="601" t="s">
        <v>2711</v>
      </c>
      <c r="C1004" s="352"/>
      <c r="D1004" s="596"/>
      <c r="E1004" s="555"/>
      <c r="F1004" s="254"/>
      <c r="G1004" s="352"/>
      <c r="H1004" s="596"/>
      <c r="I1004" s="555"/>
      <c r="J1004" s="254"/>
      <c r="K1004" s="352" t="s">
        <v>2728</v>
      </c>
      <c r="L1004" s="596" t="s">
        <v>2729</v>
      </c>
      <c r="M1004" s="555">
        <v>7390161.0</v>
      </c>
      <c r="N1004" s="254"/>
      <c r="O1004" s="352" t="s">
        <v>2722</v>
      </c>
      <c r="P1004" s="596" t="s">
        <v>2723</v>
      </c>
      <c r="Q1004" s="555">
        <v>1.500745E7</v>
      </c>
      <c r="R1004" s="254"/>
      <c r="S1004" s="352" t="s">
        <v>2714</v>
      </c>
      <c r="T1004" s="596" t="s">
        <v>2715</v>
      </c>
      <c r="U1004" s="555">
        <v>9532469.0</v>
      </c>
      <c r="V1004" s="254"/>
      <c r="W1004" s="352" t="s">
        <v>2714</v>
      </c>
      <c r="X1004" s="596" t="s">
        <v>2715</v>
      </c>
      <c r="Y1004" s="555">
        <v>7097300.0</v>
      </c>
      <c r="Z1004" s="254"/>
      <c r="AA1004" s="352" t="s">
        <v>2730</v>
      </c>
      <c r="AB1004" s="353" t="s">
        <v>2731</v>
      </c>
      <c r="AC1004" s="555">
        <v>6711846.0</v>
      </c>
      <c r="AD1004" s="355"/>
      <c r="AE1004" s="358"/>
      <c r="AF1004" s="352"/>
      <c r="AG1004" s="352"/>
      <c r="AH1004" s="352"/>
      <c r="AI1004" s="352"/>
      <c r="AJ1004" s="352"/>
      <c r="AK1004" s="281"/>
      <c r="AL1004" s="281"/>
      <c r="AM1004" s="281"/>
      <c r="AN1004" s="294"/>
    </row>
    <row r="1005">
      <c r="A1005" s="196" t="str">
        <f t="array" ref="A1005">INDEX('Federal Tax, Stock Buybacks, &amp; '!D:D,match(B1005,'Federal Tax, Stock Buybacks, &amp; '!E:E,0))</f>
        <v>#N/A</v>
      </c>
      <c r="B1005" s="601" t="s">
        <v>2711</v>
      </c>
      <c r="C1005" s="359"/>
      <c r="D1005" s="361"/>
      <c r="E1005" s="555"/>
      <c r="F1005" s="254"/>
      <c r="G1005" s="359"/>
      <c r="H1005" s="361"/>
      <c r="I1005" s="555"/>
      <c r="J1005" s="254"/>
      <c r="K1005" s="359" t="s">
        <v>711</v>
      </c>
      <c r="L1005" s="361" t="s">
        <v>711</v>
      </c>
      <c r="M1005" s="555" t="s">
        <v>711</v>
      </c>
      <c r="N1005" s="254"/>
      <c r="O1005" s="361" t="s">
        <v>711</v>
      </c>
      <c r="P1005" s="219" t="s">
        <v>711</v>
      </c>
      <c r="Q1005" s="555" t="s">
        <v>711</v>
      </c>
      <c r="R1005" s="254"/>
      <c r="S1005" s="219" t="s">
        <v>711</v>
      </c>
      <c r="T1005" s="359" t="s">
        <v>711</v>
      </c>
      <c r="U1005" s="555" t="s">
        <v>711</v>
      </c>
      <c r="V1005" s="254"/>
      <c r="W1005" s="359" t="s">
        <v>711</v>
      </c>
      <c r="X1005" s="361" t="s">
        <v>711</v>
      </c>
      <c r="Y1005" s="555" t="s">
        <v>711</v>
      </c>
      <c r="Z1005" s="254"/>
      <c r="AA1005" s="352" t="s">
        <v>2720</v>
      </c>
      <c r="AB1005" s="596" t="s">
        <v>2721</v>
      </c>
      <c r="AC1005" s="555">
        <v>9283960.0</v>
      </c>
      <c r="AD1005" s="355"/>
      <c r="AE1005" s="358"/>
      <c r="AF1005" s="352"/>
      <c r="AG1005" s="352"/>
      <c r="AH1005" s="352"/>
      <c r="AI1005" s="352"/>
      <c r="AJ1005" s="352"/>
      <c r="AK1005" s="281"/>
      <c r="AL1005" s="281"/>
      <c r="AM1005" s="281"/>
      <c r="AN1005" s="294"/>
    </row>
    <row r="1006">
      <c r="A1006" s="196" t="str">
        <f t="array" ref="A1006">INDEX('Federal Tax, Stock Buybacks, &amp; '!D:D,match(B1006,'Federal Tax, Stock Buybacks, &amp; '!E:E,0))</f>
        <v>#N/A</v>
      </c>
      <c r="B1006" s="601" t="s">
        <v>2711</v>
      </c>
      <c r="C1006" s="359"/>
      <c r="D1006" s="361"/>
      <c r="E1006" s="555"/>
      <c r="F1006" s="254"/>
      <c r="G1006" s="359"/>
      <c r="H1006" s="361"/>
      <c r="I1006" s="555"/>
      <c r="J1006" s="254"/>
      <c r="K1006" s="359" t="s">
        <v>711</v>
      </c>
      <c r="L1006" s="361" t="s">
        <v>711</v>
      </c>
      <c r="M1006" s="555" t="s">
        <v>711</v>
      </c>
      <c r="N1006" s="254"/>
      <c r="O1006" s="361" t="s">
        <v>711</v>
      </c>
      <c r="P1006" s="219" t="s">
        <v>711</v>
      </c>
      <c r="Q1006" s="555" t="s">
        <v>711</v>
      </c>
      <c r="R1006" s="254"/>
      <c r="S1006" s="219" t="s">
        <v>711</v>
      </c>
      <c r="T1006" s="359" t="s">
        <v>711</v>
      </c>
      <c r="U1006" s="555" t="s">
        <v>711</v>
      </c>
      <c r="V1006" s="254"/>
      <c r="W1006" s="359" t="s">
        <v>711</v>
      </c>
      <c r="X1006" s="361" t="s">
        <v>711</v>
      </c>
      <c r="Y1006" s="555" t="s">
        <v>711</v>
      </c>
      <c r="Z1006" s="254"/>
      <c r="AA1006" s="352" t="s">
        <v>2712</v>
      </c>
      <c r="AB1006" s="353" t="s">
        <v>2713</v>
      </c>
      <c r="AC1006" s="555">
        <v>2708189.0</v>
      </c>
      <c r="AD1006" s="355"/>
      <c r="AE1006" s="358"/>
      <c r="AF1006" s="352"/>
      <c r="AG1006" s="352"/>
      <c r="AH1006" s="352"/>
      <c r="AI1006" s="352"/>
      <c r="AJ1006" s="352"/>
      <c r="AK1006" s="281"/>
      <c r="AL1006" s="281"/>
      <c r="AM1006" s="281"/>
      <c r="AN1006" s="294"/>
    </row>
    <row r="1007">
      <c r="A1007" s="196" t="str">
        <f t="array" ref="A1007">INDEX('Federal Tax, Stock Buybacks, &amp; '!D:D,match(B1007,'Federal Tax, Stock Buybacks, &amp; '!E:E,0))</f>
        <v>#N/A</v>
      </c>
      <c r="B1007" s="264" t="s">
        <v>2732</v>
      </c>
      <c r="C1007" s="323"/>
      <c r="D1007" s="323"/>
      <c r="E1007" s="545"/>
      <c r="F1007" s="254"/>
      <c r="G1007" s="323"/>
      <c r="H1007" s="323"/>
      <c r="I1007" s="545"/>
      <c r="J1007" s="254"/>
      <c r="K1007" s="323" t="s">
        <v>2733</v>
      </c>
      <c r="L1007" s="323" t="s">
        <v>1588</v>
      </c>
      <c r="M1007" s="545">
        <v>2.2480396E7</v>
      </c>
      <c r="N1007" s="254"/>
      <c r="O1007" s="323" t="s">
        <v>2733</v>
      </c>
      <c r="P1007" s="323" t="s">
        <v>1588</v>
      </c>
      <c r="Q1007" s="545">
        <v>2.1093605E7</v>
      </c>
      <c r="R1007" s="254"/>
      <c r="S1007" s="323" t="s">
        <v>2733</v>
      </c>
      <c r="T1007" s="323" t="s">
        <v>1588</v>
      </c>
      <c r="U1007" s="545">
        <v>2.1074052E7</v>
      </c>
      <c r="V1007" s="254"/>
      <c r="W1007" s="323" t="s">
        <v>2734</v>
      </c>
      <c r="X1007" s="323" t="s">
        <v>2735</v>
      </c>
      <c r="Y1007" s="545">
        <v>7304919.0</v>
      </c>
      <c r="Z1007" s="254"/>
      <c r="AA1007" s="323" t="s">
        <v>2734</v>
      </c>
      <c r="AB1007" s="602" t="s">
        <v>1538</v>
      </c>
      <c r="AC1007" s="545">
        <v>7810598.0</v>
      </c>
      <c r="AD1007" s="271"/>
      <c r="AE1007" s="272">
        <v>2022.0</v>
      </c>
      <c r="AF1007" s="272">
        <v>2021.0</v>
      </c>
      <c r="AG1007" s="272">
        <v>2020.0</v>
      </c>
      <c r="AH1007" s="272">
        <v>2019.0</v>
      </c>
      <c r="AI1007" s="272">
        <v>2018.0</v>
      </c>
      <c r="AJ1007" s="582"/>
      <c r="AK1007" s="281"/>
      <c r="AL1007" s="281"/>
      <c r="AM1007" s="281"/>
      <c r="AN1007" s="294"/>
    </row>
    <row r="1008">
      <c r="A1008" s="196" t="str">
        <f t="array" ref="A1008">INDEX('Federal Tax, Stock Buybacks, &amp; '!D:D,match(B1008,'Federal Tax, Stock Buybacks, &amp; '!E:E,0))</f>
        <v>#N/A</v>
      </c>
      <c r="B1008" s="264" t="s">
        <v>2732</v>
      </c>
      <c r="C1008" s="323"/>
      <c r="D1008" s="323"/>
      <c r="E1008" s="545"/>
      <c r="F1008" s="254"/>
      <c r="G1008" s="323"/>
      <c r="H1008" s="323"/>
      <c r="I1008" s="545"/>
      <c r="J1008" s="254"/>
      <c r="K1008" s="323" t="s">
        <v>2736</v>
      </c>
      <c r="L1008" s="323" t="s">
        <v>2737</v>
      </c>
      <c r="M1008" s="545">
        <v>8755704.0</v>
      </c>
      <c r="N1008" s="254"/>
      <c r="O1008" s="323" t="s">
        <v>2738</v>
      </c>
      <c r="P1008" s="323" t="s">
        <v>2739</v>
      </c>
      <c r="Q1008" s="545">
        <v>7228573.0</v>
      </c>
      <c r="R1008" s="254"/>
      <c r="S1008" s="323" t="s">
        <v>2738</v>
      </c>
      <c r="T1008" s="323" t="s">
        <v>2740</v>
      </c>
      <c r="U1008" s="545">
        <v>5221778.0</v>
      </c>
      <c r="V1008" s="254"/>
      <c r="W1008" s="323" t="s">
        <v>2741</v>
      </c>
      <c r="X1008" s="323" t="s">
        <v>1610</v>
      </c>
      <c r="Y1008" s="545">
        <v>1.4250195E7</v>
      </c>
      <c r="Z1008" s="254"/>
      <c r="AA1008" s="323" t="s">
        <v>2741</v>
      </c>
      <c r="AB1008" s="323" t="s">
        <v>1815</v>
      </c>
      <c r="AC1008" s="545">
        <v>2.3392187E7</v>
      </c>
      <c r="AD1008" s="271"/>
      <c r="AE1008" s="277"/>
      <c r="AF1008" s="582"/>
      <c r="AG1008" s="582"/>
      <c r="AH1008" s="582"/>
      <c r="AI1008" s="582"/>
      <c r="AJ1008" s="582"/>
      <c r="AK1008" s="281"/>
      <c r="AL1008" s="281"/>
      <c r="AM1008" s="281"/>
      <c r="AN1008" s="294"/>
    </row>
    <row r="1009">
      <c r="A1009" s="196" t="str">
        <f t="array" ref="A1009">INDEX('Federal Tax, Stock Buybacks, &amp; '!D:D,match(B1009,'Federal Tax, Stock Buybacks, &amp; '!E:E,0))</f>
        <v>#N/A</v>
      </c>
      <c r="B1009" s="264" t="s">
        <v>2732</v>
      </c>
      <c r="C1009" s="323"/>
      <c r="D1009" s="323"/>
      <c r="E1009" s="545"/>
      <c r="F1009" s="254"/>
      <c r="G1009" s="323"/>
      <c r="H1009" s="323"/>
      <c r="I1009" s="545"/>
      <c r="J1009" s="254"/>
      <c r="K1009" s="323" t="s">
        <v>2742</v>
      </c>
      <c r="L1009" s="323" t="s">
        <v>2743</v>
      </c>
      <c r="M1009" s="545">
        <v>6620079.0</v>
      </c>
      <c r="N1009" s="254"/>
      <c r="O1009" s="323" t="s">
        <v>2736</v>
      </c>
      <c r="P1009" s="323" t="s">
        <v>2737</v>
      </c>
      <c r="Q1009" s="545">
        <v>7340966.0</v>
      </c>
      <c r="R1009" s="254"/>
      <c r="S1009" s="323" t="s">
        <v>2736</v>
      </c>
      <c r="T1009" s="323" t="s">
        <v>2737</v>
      </c>
      <c r="U1009" s="545">
        <v>5521526.0</v>
      </c>
      <c r="V1009" s="254"/>
      <c r="W1009" s="323" t="s">
        <v>2738</v>
      </c>
      <c r="X1009" s="323" t="s">
        <v>2744</v>
      </c>
      <c r="Y1009" s="545">
        <v>4515803.0</v>
      </c>
      <c r="Z1009" s="254"/>
      <c r="AA1009" s="323" t="s">
        <v>2738</v>
      </c>
      <c r="AB1009" s="602" t="s">
        <v>2745</v>
      </c>
      <c r="AC1009" s="545">
        <v>8682058.0</v>
      </c>
      <c r="AD1009" s="271"/>
      <c r="AE1009" s="277"/>
      <c r="AF1009" s="582"/>
      <c r="AG1009" s="582"/>
      <c r="AH1009" s="582"/>
      <c r="AI1009" s="582"/>
      <c r="AJ1009" s="582"/>
      <c r="AK1009" s="281"/>
      <c r="AL1009" s="281"/>
      <c r="AM1009" s="281"/>
      <c r="AN1009" s="294"/>
    </row>
    <row r="1010">
      <c r="A1010" s="196" t="str">
        <f t="array" ref="A1010">INDEX('Federal Tax, Stock Buybacks, &amp; '!D:D,match(B1010,'Federal Tax, Stock Buybacks, &amp; '!E:E,0))</f>
        <v>#N/A</v>
      </c>
      <c r="B1010" s="264" t="s">
        <v>2732</v>
      </c>
      <c r="C1010" s="323"/>
      <c r="D1010" s="323"/>
      <c r="E1010" s="545"/>
      <c r="F1010" s="254"/>
      <c r="G1010" s="323"/>
      <c r="H1010" s="323"/>
      <c r="I1010" s="545"/>
      <c r="J1010" s="254"/>
      <c r="K1010" s="323" t="s">
        <v>2746</v>
      </c>
      <c r="L1010" s="323" t="s">
        <v>1585</v>
      </c>
      <c r="M1010" s="545">
        <v>8636041.0</v>
      </c>
      <c r="N1010" s="254"/>
      <c r="O1010" s="323" t="s">
        <v>2742</v>
      </c>
      <c r="P1010" s="323" t="s">
        <v>2747</v>
      </c>
      <c r="Q1010" s="545">
        <v>6266886.0</v>
      </c>
      <c r="R1010" s="254"/>
      <c r="S1010" s="323" t="s">
        <v>2742</v>
      </c>
      <c r="T1010" s="323" t="s">
        <v>2747</v>
      </c>
      <c r="U1010" s="545">
        <v>4517158.0</v>
      </c>
      <c r="V1010" s="254"/>
      <c r="W1010" s="323" t="s">
        <v>2748</v>
      </c>
      <c r="X1010" s="323" t="s">
        <v>2749</v>
      </c>
      <c r="Y1010" s="545">
        <v>1.8429318E7</v>
      </c>
      <c r="Z1010" s="254"/>
      <c r="AA1010" s="323" t="s">
        <v>2742</v>
      </c>
      <c r="AB1010" s="323" t="s">
        <v>2750</v>
      </c>
      <c r="AC1010" s="545">
        <v>1.0727525E7</v>
      </c>
      <c r="AD1010" s="271"/>
      <c r="AE1010" s="277"/>
      <c r="AF1010" s="582"/>
      <c r="AG1010" s="582"/>
      <c r="AH1010" s="582"/>
      <c r="AI1010" s="582"/>
      <c r="AJ1010" s="582"/>
      <c r="AK1010" s="281"/>
      <c r="AL1010" s="281"/>
      <c r="AM1010" s="281"/>
      <c r="AN1010" s="294"/>
    </row>
    <row r="1011">
      <c r="A1011" s="196" t="str">
        <f t="array" ref="A1011">INDEX('Federal Tax, Stock Buybacks, &amp; '!D:D,match(B1011,'Federal Tax, Stock Buybacks, &amp; '!E:E,0))</f>
        <v>#N/A</v>
      </c>
      <c r="B1011" s="264" t="s">
        <v>2732</v>
      </c>
      <c r="C1011" s="323"/>
      <c r="D1011" s="323"/>
      <c r="E1011" s="545"/>
      <c r="F1011" s="254"/>
      <c r="G1011" s="323"/>
      <c r="H1011" s="323"/>
      <c r="I1011" s="545"/>
      <c r="J1011" s="254"/>
      <c r="K1011" s="323" t="s">
        <v>2751</v>
      </c>
      <c r="L1011" s="323" t="s">
        <v>2747</v>
      </c>
      <c r="M1011" s="545">
        <v>6201745.0</v>
      </c>
      <c r="N1011" s="254"/>
      <c r="O1011" s="323" t="s">
        <v>2746</v>
      </c>
      <c r="P1011" s="323" t="s">
        <v>1585</v>
      </c>
      <c r="Q1011" s="545">
        <v>7575620.0</v>
      </c>
      <c r="R1011" s="254"/>
      <c r="S1011" s="323" t="s">
        <v>2752</v>
      </c>
      <c r="T1011" s="323" t="s">
        <v>2180</v>
      </c>
      <c r="U1011" s="545">
        <v>4675581.0</v>
      </c>
      <c r="V1011" s="254"/>
      <c r="W1011" s="323" t="s">
        <v>2736</v>
      </c>
      <c r="X1011" s="323" t="s">
        <v>2737</v>
      </c>
      <c r="Y1011" s="545">
        <v>4205306.0</v>
      </c>
      <c r="Z1011" s="254"/>
      <c r="AA1011" s="323" t="s">
        <v>2753</v>
      </c>
      <c r="AB1011" s="323" t="s">
        <v>2754</v>
      </c>
      <c r="AC1011" s="545">
        <v>8567157.0</v>
      </c>
      <c r="AD1011" s="271"/>
      <c r="AE1011" s="277"/>
      <c r="AF1011" s="582"/>
      <c r="AG1011" s="582"/>
      <c r="AH1011" s="582"/>
      <c r="AI1011" s="582"/>
      <c r="AJ1011" s="582"/>
      <c r="AK1011" s="281"/>
      <c r="AL1011" s="281"/>
      <c r="AM1011" s="281"/>
      <c r="AN1011" s="294"/>
    </row>
    <row r="1012">
      <c r="A1012" s="196" t="str">
        <f t="array" ref="A1012">INDEX('Federal Tax, Stock Buybacks, &amp; '!D:D,match(B1012,'Federal Tax, Stock Buybacks, &amp; '!E:E,0))</f>
        <v>#N/A</v>
      </c>
      <c r="B1012" s="264" t="s">
        <v>2732</v>
      </c>
      <c r="C1012" s="323"/>
      <c r="D1012" s="323"/>
      <c r="E1012" s="545"/>
      <c r="F1012" s="254"/>
      <c r="G1012" s="323"/>
      <c r="H1012" s="323"/>
      <c r="I1012" s="545"/>
      <c r="J1012" s="254"/>
      <c r="K1012" s="323" t="s">
        <v>2755</v>
      </c>
      <c r="L1012" s="323" t="s">
        <v>2756</v>
      </c>
      <c r="M1012" s="545">
        <v>6176548.0</v>
      </c>
      <c r="N1012" s="254"/>
      <c r="O1012" s="323" t="s">
        <v>2751</v>
      </c>
      <c r="P1012" s="323" t="s">
        <v>2757</v>
      </c>
      <c r="Q1012" s="545">
        <v>5722068.0</v>
      </c>
      <c r="R1012" s="254"/>
      <c r="S1012" s="326" t="s">
        <v>711</v>
      </c>
      <c r="T1012" s="328" t="s">
        <v>711</v>
      </c>
      <c r="U1012" s="545" t="s">
        <v>711</v>
      </c>
      <c r="V1012" s="254"/>
      <c r="W1012" s="323" t="s">
        <v>2758</v>
      </c>
      <c r="X1012" s="323" t="s">
        <v>2759</v>
      </c>
      <c r="Y1012" s="545">
        <v>4047645.0</v>
      </c>
      <c r="Z1012" s="254"/>
      <c r="AA1012" s="323" t="s">
        <v>2736</v>
      </c>
      <c r="AB1012" s="323" t="s">
        <v>2737</v>
      </c>
      <c r="AC1012" s="545">
        <v>4505546.0</v>
      </c>
      <c r="AD1012" s="271"/>
      <c r="AE1012" s="277"/>
      <c r="AF1012" s="582"/>
      <c r="AG1012" s="582"/>
      <c r="AH1012" s="582"/>
      <c r="AI1012" s="582"/>
      <c r="AJ1012" s="582"/>
      <c r="AK1012" s="281"/>
      <c r="AL1012" s="281"/>
      <c r="AM1012" s="281"/>
      <c r="AN1012" s="294"/>
    </row>
    <row r="1013">
      <c r="A1013" s="196" t="str">
        <f t="array" ref="A1013">INDEX('Federal Tax, Stock Buybacks, &amp; '!D:D,match(B1013,'Federal Tax, Stock Buybacks, &amp; '!E:E,0))</f>
        <v>#N/A</v>
      </c>
      <c r="B1013" s="264" t="s">
        <v>2732</v>
      </c>
      <c r="C1013" s="326"/>
      <c r="D1013" s="328"/>
      <c r="E1013" s="545"/>
      <c r="F1013" s="254"/>
      <c r="G1013" s="326"/>
      <c r="H1013" s="328"/>
      <c r="I1013" s="545"/>
      <c r="J1013" s="254"/>
      <c r="K1013" s="326" t="s">
        <v>711</v>
      </c>
      <c r="L1013" s="328" t="s">
        <v>711</v>
      </c>
      <c r="M1013" s="545" t="s">
        <v>711</v>
      </c>
      <c r="N1013" s="254"/>
      <c r="O1013" s="323" t="s">
        <v>2760</v>
      </c>
      <c r="P1013" s="323" t="s">
        <v>2761</v>
      </c>
      <c r="Q1013" s="545">
        <v>2589386.0</v>
      </c>
      <c r="R1013" s="254"/>
      <c r="S1013" s="326" t="s">
        <v>711</v>
      </c>
      <c r="T1013" s="328" t="s">
        <v>711</v>
      </c>
      <c r="U1013" s="545" t="s">
        <v>711</v>
      </c>
      <c r="V1013" s="254"/>
      <c r="W1013" s="323" t="s">
        <v>2742</v>
      </c>
      <c r="X1013" s="323" t="s">
        <v>2747</v>
      </c>
      <c r="Y1013" s="545">
        <v>3692045.0</v>
      </c>
      <c r="Z1013" s="254"/>
      <c r="AA1013" s="326" t="s">
        <v>711</v>
      </c>
      <c r="AB1013" s="328" t="s">
        <v>711</v>
      </c>
      <c r="AC1013" s="545" t="s">
        <v>711</v>
      </c>
      <c r="AD1013" s="271"/>
      <c r="AE1013" s="277"/>
      <c r="AF1013" s="582"/>
      <c r="AG1013" s="582"/>
      <c r="AH1013" s="582"/>
      <c r="AI1013" s="582"/>
      <c r="AJ1013" s="582"/>
      <c r="AK1013" s="281"/>
      <c r="AL1013" s="281"/>
      <c r="AM1013" s="281"/>
      <c r="AN1013" s="294"/>
    </row>
    <row r="1014">
      <c r="A1014" s="196" t="str">
        <f t="array" ref="A1014">INDEX('Federal Tax, Stock Buybacks, &amp; '!D:D,match(B1014,'Federal Tax, Stock Buybacks, &amp; '!E:E,0))</f>
        <v>#N/A</v>
      </c>
      <c r="B1014" s="601" t="s">
        <v>2762</v>
      </c>
      <c r="C1014" s="352"/>
      <c r="D1014" s="596"/>
      <c r="E1014" s="555"/>
      <c r="F1014" s="254"/>
      <c r="G1014" s="352"/>
      <c r="H1014" s="596"/>
      <c r="I1014" s="555"/>
      <c r="J1014" s="254"/>
      <c r="K1014" s="352" t="s">
        <v>2763</v>
      </c>
      <c r="L1014" s="596" t="s">
        <v>2764</v>
      </c>
      <c r="M1014" s="555">
        <v>1.0113798E7</v>
      </c>
      <c r="N1014" s="254"/>
      <c r="O1014" s="352" t="s">
        <v>2763</v>
      </c>
      <c r="P1014" s="596" t="s">
        <v>2764</v>
      </c>
      <c r="Q1014" s="555">
        <v>1.0169618E7</v>
      </c>
      <c r="R1014" s="254"/>
      <c r="S1014" s="352" t="s">
        <v>2765</v>
      </c>
      <c r="T1014" s="596" t="s">
        <v>1606</v>
      </c>
      <c r="U1014" s="555">
        <v>1.9562266E7</v>
      </c>
      <c r="V1014" s="254"/>
      <c r="W1014" s="352" t="s">
        <v>2765</v>
      </c>
      <c r="X1014" s="596" t="s">
        <v>1878</v>
      </c>
      <c r="Y1014" s="555">
        <v>1.9193087E7</v>
      </c>
      <c r="Z1014" s="254"/>
      <c r="AA1014" s="352" t="s">
        <v>2765</v>
      </c>
      <c r="AB1014" s="596" t="s">
        <v>1878</v>
      </c>
      <c r="AC1014" s="555">
        <v>1.7552218E7</v>
      </c>
      <c r="AD1014" s="355"/>
      <c r="AE1014" s="356">
        <v>2022.0</v>
      </c>
      <c r="AF1014" s="356">
        <v>2022.0</v>
      </c>
      <c r="AG1014" s="356">
        <v>2020.0</v>
      </c>
      <c r="AH1014" s="356">
        <v>2019.0</v>
      </c>
      <c r="AI1014" s="356">
        <v>2018.0</v>
      </c>
      <c r="AJ1014" s="352"/>
      <c r="AK1014" s="281"/>
      <c r="AL1014" s="281"/>
      <c r="AM1014" s="281"/>
      <c r="AN1014" s="294"/>
    </row>
    <row r="1015">
      <c r="A1015" s="196" t="str">
        <f t="array" ref="A1015">INDEX('Federal Tax, Stock Buybacks, &amp; '!D:D,match(B1015,'Federal Tax, Stock Buybacks, &amp; '!E:E,0))</f>
        <v>#N/A</v>
      </c>
      <c r="B1015" s="601" t="s">
        <v>2762</v>
      </c>
      <c r="C1015" s="352"/>
      <c r="D1015" s="596"/>
      <c r="E1015" s="555"/>
      <c r="F1015" s="254"/>
      <c r="G1015" s="352"/>
      <c r="H1015" s="596"/>
      <c r="I1015" s="555"/>
      <c r="J1015" s="254"/>
      <c r="K1015" s="352" t="s">
        <v>2766</v>
      </c>
      <c r="L1015" s="596" t="s">
        <v>2767</v>
      </c>
      <c r="M1015" s="555">
        <v>6525445.0</v>
      </c>
      <c r="N1015" s="254"/>
      <c r="O1015" s="352" t="s">
        <v>2766</v>
      </c>
      <c r="P1015" s="353" t="s">
        <v>2767</v>
      </c>
      <c r="Q1015" s="555">
        <v>6650857.0</v>
      </c>
      <c r="R1015" s="254"/>
      <c r="S1015" s="352" t="s">
        <v>2768</v>
      </c>
      <c r="T1015" s="596" t="s">
        <v>1838</v>
      </c>
      <c r="U1015" s="555">
        <v>8223440.0</v>
      </c>
      <c r="V1015" s="254"/>
      <c r="W1015" s="352" t="s">
        <v>2768</v>
      </c>
      <c r="X1015" s="596" t="s">
        <v>1838</v>
      </c>
      <c r="Y1015" s="555">
        <v>7671062.0</v>
      </c>
      <c r="Z1015" s="254"/>
      <c r="AA1015" s="352" t="s">
        <v>2768</v>
      </c>
      <c r="AB1015" s="596" t="s">
        <v>1838</v>
      </c>
      <c r="AC1015" s="555">
        <v>6360179.0</v>
      </c>
      <c r="AD1015" s="355"/>
      <c r="AE1015" s="358"/>
      <c r="AF1015" s="352"/>
      <c r="AG1015" s="352"/>
      <c r="AH1015" s="352"/>
      <c r="AI1015" s="352"/>
      <c r="AJ1015" s="352"/>
      <c r="AK1015" s="281"/>
      <c r="AL1015" s="281"/>
      <c r="AM1015" s="281"/>
      <c r="AN1015" s="294"/>
    </row>
    <row r="1016">
      <c r="A1016" s="196" t="str">
        <f t="array" ref="A1016">INDEX('Federal Tax, Stock Buybacks, &amp; '!D:D,match(B1016,'Federal Tax, Stock Buybacks, &amp; '!E:E,0))</f>
        <v>#N/A</v>
      </c>
      <c r="B1016" s="601" t="s">
        <v>2762</v>
      </c>
      <c r="C1016" s="352"/>
      <c r="D1016" s="596"/>
      <c r="E1016" s="555"/>
      <c r="F1016" s="254"/>
      <c r="G1016" s="352"/>
      <c r="H1016" s="596"/>
      <c r="I1016" s="555"/>
      <c r="J1016" s="254"/>
      <c r="K1016" s="352" t="s">
        <v>2769</v>
      </c>
      <c r="L1016" s="596" t="s">
        <v>1664</v>
      </c>
      <c r="M1016" s="555">
        <v>1.6580075E7</v>
      </c>
      <c r="N1016" s="254"/>
      <c r="O1016" s="352" t="s">
        <v>2769</v>
      </c>
      <c r="P1016" s="596" t="s">
        <v>1664</v>
      </c>
      <c r="Q1016" s="555">
        <v>1.7550959E7</v>
      </c>
      <c r="R1016" s="254"/>
      <c r="S1016" s="352" t="s">
        <v>2763</v>
      </c>
      <c r="T1016" s="353" t="s">
        <v>2764</v>
      </c>
      <c r="U1016" s="555">
        <v>9746296.0</v>
      </c>
      <c r="V1016" s="254"/>
      <c r="W1016" s="352" t="s">
        <v>2770</v>
      </c>
      <c r="X1016" s="596" t="s">
        <v>2771</v>
      </c>
      <c r="Y1016" s="555">
        <v>1.0214015E7</v>
      </c>
      <c r="Z1016" s="254"/>
      <c r="AA1016" s="352" t="s">
        <v>2770</v>
      </c>
      <c r="AB1016" s="596" t="s">
        <v>2771</v>
      </c>
      <c r="AC1016" s="555">
        <v>7022700.0</v>
      </c>
      <c r="AD1016" s="355"/>
      <c r="AE1016" s="358"/>
      <c r="AF1016" s="352"/>
      <c r="AG1016" s="352"/>
      <c r="AH1016" s="352"/>
      <c r="AI1016" s="352"/>
      <c r="AJ1016" s="352"/>
      <c r="AK1016" s="281"/>
      <c r="AL1016" s="281"/>
      <c r="AM1016" s="281"/>
      <c r="AN1016" s="294"/>
    </row>
    <row r="1017">
      <c r="A1017" s="196" t="str">
        <f t="array" ref="A1017">INDEX('Federal Tax, Stock Buybacks, &amp; '!D:D,match(B1017,'Federal Tax, Stock Buybacks, &amp; '!E:E,0))</f>
        <v>#N/A</v>
      </c>
      <c r="B1017" s="601" t="s">
        <v>2762</v>
      </c>
      <c r="C1017" s="352"/>
      <c r="D1017" s="353"/>
      <c r="E1017" s="555"/>
      <c r="F1017" s="254"/>
      <c r="G1017" s="352"/>
      <c r="H1017" s="353"/>
      <c r="I1017" s="555"/>
      <c r="J1017" s="254"/>
      <c r="K1017" s="352" t="s">
        <v>2772</v>
      </c>
      <c r="L1017" s="353" t="s">
        <v>1696</v>
      </c>
      <c r="M1017" s="555">
        <v>8951925.0</v>
      </c>
      <c r="N1017" s="254"/>
      <c r="O1017" s="352" t="s">
        <v>2772</v>
      </c>
      <c r="P1017" s="596" t="s">
        <v>1696</v>
      </c>
      <c r="Q1017" s="555">
        <v>9901604.0</v>
      </c>
      <c r="R1017" s="254"/>
      <c r="S1017" s="352" t="s">
        <v>2766</v>
      </c>
      <c r="T1017" s="353" t="s">
        <v>2767</v>
      </c>
      <c r="U1017" s="555">
        <v>6274663.0</v>
      </c>
      <c r="V1017" s="254"/>
      <c r="W1017" s="352" t="s">
        <v>2763</v>
      </c>
      <c r="X1017" s="596" t="s">
        <v>2764</v>
      </c>
      <c r="Y1017" s="555">
        <v>7128388.0</v>
      </c>
      <c r="Z1017" s="254"/>
      <c r="AA1017" s="352" t="s">
        <v>2773</v>
      </c>
      <c r="AB1017" s="596" t="s">
        <v>1838</v>
      </c>
      <c r="AC1017" s="555">
        <v>6174454.0</v>
      </c>
      <c r="AD1017" s="355"/>
      <c r="AE1017" s="358"/>
      <c r="AF1017" s="352"/>
      <c r="AG1017" s="352"/>
      <c r="AH1017" s="352"/>
      <c r="AI1017" s="352"/>
      <c r="AJ1017" s="352"/>
      <c r="AK1017" s="281"/>
      <c r="AL1017" s="281"/>
      <c r="AM1017" s="281"/>
      <c r="AN1017" s="294"/>
    </row>
    <row r="1018">
      <c r="A1018" s="196" t="str">
        <f t="array" ref="A1018">INDEX('Federal Tax, Stock Buybacks, &amp; '!D:D,match(B1018,'Federal Tax, Stock Buybacks, &amp; '!E:E,0))</f>
        <v>#N/A</v>
      </c>
      <c r="B1018" s="601" t="s">
        <v>2762</v>
      </c>
      <c r="C1018" s="352"/>
      <c r="D1018" s="596"/>
      <c r="E1018" s="555"/>
      <c r="F1018" s="254"/>
      <c r="G1018" s="352"/>
      <c r="H1018" s="596"/>
      <c r="I1018" s="555"/>
      <c r="J1018" s="254"/>
      <c r="K1018" s="352" t="s">
        <v>2774</v>
      </c>
      <c r="L1018" s="596" t="s">
        <v>1891</v>
      </c>
      <c r="M1018" s="555">
        <v>7662418.0</v>
      </c>
      <c r="N1018" s="254"/>
      <c r="O1018" s="352" t="s">
        <v>2774</v>
      </c>
      <c r="P1018" s="596" t="s">
        <v>2775</v>
      </c>
      <c r="Q1018" s="555">
        <v>8103124.0</v>
      </c>
      <c r="R1018" s="254"/>
      <c r="S1018" s="352" t="s">
        <v>2769</v>
      </c>
      <c r="T1018" s="353" t="s">
        <v>1655</v>
      </c>
      <c r="U1018" s="555">
        <v>1.6966876E7</v>
      </c>
      <c r="V1018" s="254"/>
      <c r="W1018" s="352" t="s">
        <v>2766</v>
      </c>
      <c r="X1018" s="596" t="s">
        <v>2767</v>
      </c>
      <c r="Y1018" s="555">
        <v>5588070.0</v>
      </c>
      <c r="Z1018" s="254"/>
      <c r="AA1018" s="352" t="s">
        <v>2763</v>
      </c>
      <c r="AB1018" s="596" t="s">
        <v>2764</v>
      </c>
      <c r="AC1018" s="555">
        <v>5873802.0</v>
      </c>
      <c r="AD1018" s="355"/>
      <c r="AE1018" s="358"/>
      <c r="AF1018" s="352"/>
      <c r="AG1018" s="352"/>
      <c r="AH1018" s="352"/>
      <c r="AI1018" s="352"/>
      <c r="AJ1018" s="352"/>
      <c r="AK1018" s="281"/>
      <c r="AL1018" s="281"/>
      <c r="AM1018" s="281"/>
      <c r="AN1018" s="294"/>
    </row>
    <row r="1019">
      <c r="A1019" s="196" t="str">
        <f t="array" ref="A1019">INDEX('Federal Tax, Stock Buybacks, &amp; '!D:D,match(B1019,'Federal Tax, Stock Buybacks, &amp; '!E:E,0))</f>
        <v>#N/A</v>
      </c>
      <c r="B1019" s="601" t="s">
        <v>2762</v>
      </c>
      <c r="C1019" s="359"/>
      <c r="D1019" s="361"/>
      <c r="E1019" s="555"/>
      <c r="F1019" s="254"/>
      <c r="G1019" s="359"/>
      <c r="H1019" s="361"/>
      <c r="I1019" s="555"/>
      <c r="J1019" s="254"/>
      <c r="K1019" s="359" t="s">
        <v>711</v>
      </c>
      <c r="L1019" s="361" t="s">
        <v>711</v>
      </c>
      <c r="M1019" s="555" t="s">
        <v>711</v>
      </c>
      <c r="N1019" s="254"/>
      <c r="O1019" s="359" t="s">
        <v>711</v>
      </c>
      <c r="P1019" s="361" t="s">
        <v>711</v>
      </c>
      <c r="Q1019" s="555" t="s">
        <v>711</v>
      </c>
      <c r="R1019" s="254"/>
      <c r="S1019" s="352" t="s">
        <v>2776</v>
      </c>
      <c r="T1019" s="596" t="s">
        <v>1649</v>
      </c>
      <c r="U1019" s="555">
        <v>2.7178467E7</v>
      </c>
      <c r="V1019" s="254"/>
      <c r="W1019" s="359" t="s">
        <v>711</v>
      </c>
      <c r="X1019" s="361" t="s">
        <v>711</v>
      </c>
      <c r="Y1019" s="555" t="s">
        <v>711</v>
      </c>
      <c r="Z1019" s="254"/>
      <c r="AA1019" s="359" t="s">
        <v>711</v>
      </c>
      <c r="AB1019" s="361" t="s">
        <v>711</v>
      </c>
      <c r="AC1019" s="555" t="s">
        <v>711</v>
      </c>
      <c r="AD1019" s="355"/>
      <c r="AE1019" s="358"/>
      <c r="AF1019" s="352"/>
      <c r="AG1019" s="352"/>
      <c r="AH1019" s="352"/>
      <c r="AI1019" s="352"/>
      <c r="AJ1019" s="352"/>
      <c r="AK1019" s="281"/>
      <c r="AL1019" s="281"/>
      <c r="AM1019" s="281"/>
      <c r="AN1019" s="294"/>
    </row>
    <row r="1020">
      <c r="A1020" s="196" t="str">
        <f t="array" ref="A1020">INDEX('Federal Tax, Stock Buybacks, &amp; '!D:D,match(B1020,'Federal Tax, Stock Buybacks, &amp; '!E:E,0))</f>
        <v>#N/A</v>
      </c>
      <c r="B1020" s="264" t="s">
        <v>2777</v>
      </c>
      <c r="C1020" s="582"/>
      <c r="D1020" s="323"/>
      <c r="E1020" s="545"/>
      <c r="F1020" s="254"/>
      <c r="G1020" s="582"/>
      <c r="H1020" s="323"/>
      <c r="I1020" s="545"/>
      <c r="J1020" s="254"/>
      <c r="K1020" s="582" t="s">
        <v>2778</v>
      </c>
      <c r="L1020" s="323" t="s">
        <v>2779</v>
      </c>
      <c r="M1020" s="545">
        <v>1.2218233E7</v>
      </c>
      <c r="N1020" s="254"/>
      <c r="O1020" s="582" t="s">
        <v>2778</v>
      </c>
      <c r="P1020" s="323" t="s">
        <v>2779</v>
      </c>
      <c r="Q1020" s="545">
        <v>1.091499E7</v>
      </c>
      <c r="R1020" s="254"/>
      <c r="S1020" s="582" t="s">
        <v>2778</v>
      </c>
      <c r="T1020" s="323" t="s">
        <v>2779</v>
      </c>
      <c r="U1020" s="545">
        <v>1.0149624E7</v>
      </c>
      <c r="V1020" s="254"/>
      <c r="W1020" s="582" t="s">
        <v>2778</v>
      </c>
      <c r="X1020" s="323" t="s">
        <v>2779</v>
      </c>
      <c r="Y1020" s="545">
        <v>9598045.0</v>
      </c>
      <c r="Z1020" s="254"/>
      <c r="AA1020" s="582" t="s">
        <v>2778</v>
      </c>
      <c r="AB1020" s="323" t="s">
        <v>2780</v>
      </c>
      <c r="AC1020" s="545">
        <v>7070199.0</v>
      </c>
      <c r="AD1020" s="271"/>
      <c r="AE1020" s="272">
        <v>2022.0</v>
      </c>
      <c r="AF1020" s="272">
        <v>2021.0</v>
      </c>
      <c r="AG1020" s="272">
        <v>2020.0</v>
      </c>
      <c r="AH1020" s="272">
        <v>2019.0</v>
      </c>
      <c r="AI1020" s="272">
        <v>2018.0</v>
      </c>
      <c r="AJ1020" s="582"/>
      <c r="AK1020" s="281"/>
      <c r="AL1020" s="281"/>
      <c r="AM1020" s="281"/>
      <c r="AN1020" s="294"/>
    </row>
    <row r="1021">
      <c r="A1021" s="196" t="str">
        <f t="array" ref="A1021">INDEX('Federal Tax, Stock Buybacks, &amp; '!D:D,match(B1021,'Federal Tax, Stock Buybacks, &amp; '!E:E,0))</f>
        <v>#N/A</v>
      </c>
      <c r="B1021" s="264" t="s">
        <v>2777</v>
      </c>
      <c r="C1021" s="582"/>
      <c r="D1021" s="323"/>
      <c r="E1021" s="545"/>
      <c r="F1021" s="254"/>
      <c r="G1021" s="582"/>
      <c r="H1021" s="323"/>
      <c r="I1021" s="545"/>
      <c r="J1021" s="254"/>
      <c r="K1021" s="582" t="s">
        <v>2781</v>
      </c>
      <c r="L1021" s="323" t="s">
        <v>1674</v>
      </c>
      <c r="M1021" s="545">
        <v>3.3017453E7</v>
      </c>
      <c r="N1021" s="254"/>
      <c r="O1021" s="582" t="s">
        <v>2782</v>
      </c>
      <c r="P1021" s="323" t="s">
        <v>2783</v>
      </c>
      <c r="Q1021" s="545">
        <v>8332681.0</v>
      </c>
      <c r="R1021" s="254"/>
      <c r="S1021" s="582" t="s">
        <v>2782</v>
      </c>
      <c r="T1021" s="323" t="s">
        <v>2784</v>
      </c>
      <c r="U1021" s="545">
        <v>8989193.0</v>
      </c>
      <c r="V1021" s="254"/>
      <c r="W1021" s="582" t="s">
        <v>2782</v>
      </c>
      <c r="X1021" s="323" t="s">
        <v>2784</v>
      </c>
      <c r="Y1021" s="545">
        <v>8959383.0</v>
      </c>
      <c r="Z1021" s="254"/>
      <c r="AA1021" s="582" t="s">
        <v>2782</v>
      </c>
      <c r="AB1021" s="323" t="s">
        <v>2785</v>
      </c>
      <c r="AC1021" s="545">
        <v>7121715.0</v>
      </c>
      <c r="AD1021" s="271"/>
      <c r="AE1021" s="277"/>
      <c r="AF1021" s="582"/>
      <c r="AG1021" s="582"/>
      <c r="AH1021" s="582"/>
      <c r="AI1021" s="582"/>
      <c r="AJ1021" s="582"/>
      <c r="AK1021" s="281"/>
      <c r="AL1021" s="281"/>
      <c r="AM1021" s="281"/>
      <c r="AN1021" s="294"/>
    </row>
    <row r="1022">
      <c r="A1022" s="196" t="str">
        <f t="array" ref="A1022">INDEX('Federal Tax, Stock Buybacks, &amp; '!D:D,match(B1022,'Federal Tax, Stock Buybacks, &amp; '!E:E,0))</f>
        <v>#N/A</v>
      </c>
      <c r="B1022" s="264" t="s">
        <v>2777</v>
      </c>
      <c r="C1022" s="582"/>
      <c r="D1022" s="323"/>
      <c r="E1022" s="545"/>
      <c r="F1022" s="254"/>
      <c r="G1022" s="582"/>
      <c r="H1022" s="323"/>
      <c r="I1022" s="545"/>
      <c r="J1022" s="254"/>
      <c r="K1022" s="582" t="s">
        <v>2786</v>
      </c>
      <c r="L1022" s="323" t="s">
        <v>2787</v>
      </c>
      <c r="M1022" s="545">
        <v>1.0538666E7</v>
      </c>
      <c r="N1022" s="254"/>
      <c r="O1022" s="582" t="s">
        <v>2781</v>
      </c>
      <c r="P1022" s="323" t="s">
        <v>1674</v>
      </c>
      <c r="Q1022" s="545">
        <v>2.4353219E7</v>
      </c>
      <c r="R1022" s="254"/>
      <c r="S1022" s="582" t="s">
        <v>2781</v>
      </c>
      <c r="T1022" s="323" t="s">
        <v>1674</v>
      </c>
      <c r="U1022" s="545">
        <v>2.103357E7</v>
      </c>
      <c r="V1022" s="254"/>
      <c r="W1022" s="582" t="s">
        <v>2781</v>
      </c>
      <c r="X1022" s="323" t="s">
        <v>1523</v>
      </c>
      <c r="Y1022" s="545">
        <v>1.7928963E7</v>
      </c>
      <c r="Z1022" s="254"/>
      <c r="AA1022" s="582" t="s">
        <v>2781</v>
      </c>
      <c r="AB1022" s="323" t="s">
        <v>1662</v>
      </c>
      <c r="AC1022" s="545">
        <v>9854557.0</v>
      </c>
      <c r="AD1022" s="271"/>
      <c r="AE1022" s="277"/>
      <c r="AF1022" s="582"/>
      <c r="AG1022" s="582"/>
      <c r="AH1022" s="582"/>
      <c r="AI1022" s="582"/>
      <c r="AJ1022" s="582"/>
      <c r="AK1022" s="281"/>
      <c r="AL1022" s="281"/>
      <c r="AM1022" s="281"/>
      <c r="AN1022" s="294"/>
    </row>
    <row r="1023">
      <c r="A1023" s="196" t="str">
        <f t="array" ref="A1023">INDEX('Federal Tax, Stock Buybacks, &amp; '!D:D,match(B1023,'Federal Tax, Stock Buybacks, &amp; '!E:E,0))</f>
        <v>#N/A</v>
      </c>
      <c r="B1023" s="264" t="s">
        <v>2777</v>
      </c>
      <c r="C1023" s="582"/>
      <c r="D1023" s="323"/>
      <c r="E1023" s="545"/>
      <c r="F1023" s="254"/>
      <c r="G1023" s="582"/>
      <c r="H1023" s="323"/>
      <c r="I1023" s="545"/>
      <c r="J1023" s="254"/>
      <c r="K1023" s="582" t="s">
        <v>2788</v>
      </c>
      <c r="L1023" s="323" t="s">
        <v>2789</v>
      </c>
      <c r="M1023" s="545">
        <v>9746368.0</v>
      </c>
      <c r="N1023" s="254"/>
      <c r="O1023" s="582" t="s">
        <v>2786</v>
      </c>
      <c r="P1023" s="323" t="s">
        <v>2790</v>
      </c>
      <c r="Q1023" s="545">
        <v>1.1037327E7</v>
      </c>
      <c r="R1023" s="254"/>
      <c r="S1023" s="582" t="s">
        <v>2786</v>
      </c>
      <c r="T1023" s="323" t="s">
        <v>2790</v>
      </c>
      <c r="U1023" s="545">
        <v>1.1376096E7</v>
      </c>
      <c r="V1023" s="254"/>
      <c r="W1023" s="582" t="s">
        <v>2786</v>
      </c>
      <c r="X1023" s="323" t="s">
        <v>2790</v>
      </c>
      <c r="Y1023" s="545">
        <v>1.107573E7</v>
      </c>
      <c r="Z1023" s="254"/>
      <c r="AA1023" s="582" t="s">
        <v>2791</v>
      </c>
      <c r="AB1023" s="323" t="s">
        <v>1674</v>
      </c>
      <c r="AC1023" s="545">
        <v>1.9549213E7</v>
      </c>
      <c r="AD1023" s="271"/>
      <c r="AE1023" s="277"/>
      <c r="AF1023" s="582"/>
      <c r="AG1023" s="582"/>
      <c r="AH1023" s="582"/>
      <c r="AI1023" s="582"/>
      <c r="AJ1023" s="582"/>
      <c r="AK1023" s="281"/>
      <c r="AL1023" s="281"/>
      <c r="AM1023" s="281"/>
      <c r="AN1023" s="294"/>
    </row>
    <row r="1024">
      <c r="A1024" s="196" t="str">
        <f t="array" ref="A1024">INDEX('Federal Tax, Stock Buybacks, &amp; '!D:D,match(B1024,'Federal Tax, Stock Buybacks, &amp; '!E:E,0))</f>
        <v>#N/A</v>
      </c>
      <c r="B1024" s="264" t="s">
        <v>2777</v>
      </c>
      <c r="C1024" s="323"/>
      <c r="D1024" s="323"/>
      <c r="E1024" s="545"/>
      <c r="F1024" s="254"/>
      <c r="G1024" s="323"/>
      <c r="H1024" s="323"/>
      <c r="I1024" s="545"/>
      <c r="J1024" s="254"/>
      <c r="K1024" s="323" t="s">
        <v>753</v>
      </c>
      <c r="L1024" s="323" t="s">
        <v>2792</v>
      </c>
      <c r="M1024" s="545">
        <v>2.4444158E7</v>
      </c>
      <c r="N1024" s="254"/>
      <c r="O1024" s="582" t="s">
        <v>2788</v>
      </c>
      <c r="P1024" s="323" t="s">
        <v>2793</v>
      </c>
      <c r="Q1024" s="545">
        <v>9032934.0</v>
      </c>
      <c r="R1024" s="254"/>
      <c r="S1024" s="582" t="s">
        <v>2788</v>
      </c>
      <c r="T1024" s="323" t="s">
        <v>2793</v>
      </c>
      <c r="U1024" s="545">
        <v>7883447.0</v>
      </c>
      <c r="V1024" s="254"/>
      <c r="W1024" s="582" t="s">
        <v>2791</v>
      </c>
      <c r="X1024" s="323" t="s">
        <v>1606</v>
      </c>
      <c r="Y1024" s="545">
        <v>1.6286465E7</v>
      </c>
      <c r="Z1024" s="254"/>
      <c r="AA1024" s="582" t="s">
        <v>2786</v>
      </c>
      <c r="AB1024" s="323" t="s">
        <v>2790</v>
      </c>
      <c r="AC1024" s="545">
        <v>7139829.0</v>
      </c>
      <c r="AD1024" s="271"/>
      <c r="AE1024" s="277"/>
      <c r="AF1024" s="582"/>
      <c r="AG1024" s="582"/>
      <c r="AH1024" s="582"/>
      <c r="AI1024" s="582"/>
      <c r="AJ1024" s="582"/>
      <c r="AK1024" s="281"/>
      <c r="AL1024" s="281"/>
      <c r="AM1024" s="281"/>
      <c r="AN1024" s="294"/>
    </row>
    <row r="1025">
      <c r="A1025" s="196" t="str">
        <f t="array" ref="A1025">INDEX('Federal Tax, Stock Buybacks, &amp; '!D:D,match(B1025,'Federal Tax, Stock Buybacks, &amp; '!E:E,0))</f>
        <v>#N/A</v>
      </c>
      <c r="B1025" s="264" t="s">
        <v>2777</v>
      </c>
      <c r="C1025" s="582"/>
      <c r="D1025" s="323"/>
      <c r="E1025" s="545"/>
      <c r="F1025" s="254"/>
      <c r="G1025" s="582"/>
      <c r="H1025" s="323"/>
      <c r="I1025" s="545"/>
      <c r="J1025" s="254"/>
      <c r="K1025" s="582" t="s">
        <v>2794</v>
      </c>
      <c r="L1025" s="323" t="s">
        <v>2795</v>
      </c>
      <c r="M1025" s="545">
        <v>1.7264016E7</v>
      </c>
      <c r="N1025" s="254"/>
      <c r="O1025" s="582" t="s">
        <v>2796</v>
      </c>
      <c r="P1025" s="323" t="s">
        <v>2797</v>
      </c>
      <c r="Q1025" s="545">
        <v>7129372.0</v>
      </c>
      <c r="R1025" s="254"/>
      <c r="S1025" s="326" t="s">
        <v>711</v>
      </c>
      <c r="T1025" s="328" t="s">
        <v>711</v>
      </c>
      <c r="U1025" s="545" t="s">
        <v>711</v>
      </c>
      <c r="V1025" s="254"/>
      <c r="W1025" s="326" t="s">
        <v>711</v>
      </c>
      <c r="X1025" s="328" t="s">
        <v>711</v>
      </c>
      <c r="Y1025" s="545" t="s">
        <v>711</v>
      </c>
      <c r="Z1025" s="254"/>
      <c r="AA1025" s="326" t="s">
        <v>711</v>
      </c>
      <c r="AB1025" s="328" t="s">
        <v>711</v>
      </c>
      <c r="AC1025" s="545" t="s">
        <v>711</v>
      </c>
      <c r="AD1025" s="271"/>
      <c r="AE1025" s="277"/>
      <c r="AF1025" s="582"/>
      <c r="AG1025" s="582"/>
      <c r="AH1025" s="582"/>
      <c r="AI1025" s="582"/>
      <c r="AJ1025" s="582"/>
      <c r="AK1025" s="281"/>
      <c r="AL1025" s="281"/>
      <c r="AM1025" s="281"/>
      <c r="AN1025" s="294"/>
    </row>
    <row r="1026">
      <c r="A1026" s="169">
        <f t="array" ref="A1026">INDEX('Federal Tax, Stock Buybacks, &amp; '!D:D,match(B1026,'Federal Tax, Stock Buybacks, &amp; '!E:E,0))</f>
        <v>57</v>
      </c>
      <c r="B1026" s="351" t="s">
        <v>2798</v>
      </c>
      <c r="C1026" s="352"/>
      <c r="D1026" s="355"/>
      <c r="E1026" s="354"/>
      <c r="F1026" s="254"/>
      <c r="G1026" s="352"/>
      <c r="H1026" s="355"/>
      <c r="I1026" s="354"/>
      <c r="J1026" s="254"/>
      <c r="K1026" s="352" t="s">
        <v>2799</v>
      </c>
      <c r="L1026" s="355" t="s">
        <v>1579</v>
      </c>
      <c r="M1026" s="354">
        <v>2.2609036E7</v>
      </c>
      <c r="N1026" s="254"/>
      <c r="O1026" s="352" t="s">
        <v>2799</v>
      </c>
      <c r="P1026" s="355" t="s">
        <v>1579</v>
      </c>
      <c r="Q1026" s="354">
        <v>2.3316063E7</v>
      </c>
      <c r="R1026" s="254"/>
      <c r="S1026" s="352" t="s">
        <v>2799</v>
      </c>
      <c r="T1026" s="355" t="s">
        <v>2800</v>
      </c>
      <c r="U1026" s="354">
        <v>2.097089E7</v>
      </c>
      <c r="V1026" s="254"/>
      <c r="W1026" s="352" t="s">
        <v>2799</v>
      </c>
      <c r="X1026" s="355" t="s">
        <v>1579</v>
      </c>
      <c r="Y1026" s="354">
        <v>2.1538847E7</v>
      </c>
      <c r="Z1026" s="254"/>
      <c r="AA1026" s="352" t="s">
        <v>2799</v>
      </c>
      <c r="AB1026" s="355" t="s">
        <v>1579</v>
      </c>
      <c r="AC1026" s="354">
        <v>1.8418315E7</v>
      </c>
      <c r="AD1026" s="355"/>
      <c r="AE1026" s="356">
        <v>2022.0</v>
      </c>
      <c r="AF1026" s="356">
        <v>2021.0</v>
      </c>
      <c r="AG1026" s="356">
        <v>2020.0</v>
      </c>
      <c r="AH1026" s="356">
        <v>2019.0</v>
      </c>
      <c r="AI1026" s="356">
        <v>2018.0</v>
      </c>
      <c r="AJ1026" s="352"/>
      <c r="AK1026" s="281"/>
      <c r="AL1026" s="281"/>
      <c r="AM1026" s="281"/>
      <c r="AN1026" s="294"/>
    </row>
    <row r="1027">
      <c r="A1027" s="169">
        <f t="array" ref="A1027">INDEX('Federal Tax, Stock Buybacks, &amp; '!D:D,match(B1027,'Federal Tax, Stock Buybacks, &amp; '!E:E,0))</f>
        <v>57</v>
      </c>
      <c r="B1027" s="351" t="s">
        <v>2798</v>
      </c>
      <c r="C1027" s="352"/>
      <c r="D1027" s="355"/>
      <c r="E1027" s="354"/>
      <c r="F1027" s="254"/>
      <c r="G1027" s="352"/>
      <c r="H1027" s="355"/>
      <c r="I1027" s="354"/>
      <c r="J1027" s="254"/>
      <c r="K1027" s="352" t="s">
        <v>2801</v>
      </c>
      <c r="L1027" s="355" t="s">
        <v>1535</v>
      </c>
      <c r="M1027" s="354">
        <v>6444550.0</v>
      </c>
      <c r="N1027" s="254"/>
      <c r="O1027" s="352" t="s">
        <v>2801</v>
      </c>
      <c r="P1027" s="355" t="s">
        <v>1535</v>
      </c>
      <c r="Q1027" s="354">
        <v>5135395.0</v>
      </c>
      <c r="R1027" s="254"/>
      <c r="S1027" s="352" t="s">
        <v>2802</v>
      </c>
      <c r="T1027" s="355" t="s">
        <v>2803</v>
      </c>
      <c r="U1027" s="354">
        <v>9452519.0</v>
      </c>
      <c r="V1027" s="254"/>
      <c r="W1027" s="352" t="s">
        <v>2804</v>
      </c>
      <c r="X1027" s="355" t="s">
        <v>2805</v>
      </c>
      <c r="Y1027" s="354">
        <v>7838463.0</v>
      </c>
      <c r="Z1027" s="254"/>
      <c r="AA1027" s="352" t="s">
        <v>2804</v>
      </c>
      <c r="AB1027" s="355" t="s">
        <v>1535</v>
      </c>
      <c r="AC1027" s="354">
        <v>6454568.0</v>
      </c>
      <c r="AD1027" s="355"/>
      <c r="AE1027" s="358"/>
      <c r="AF1027" s="358"/>
      <c r="AG1027" s="358"/>
      <c r="AH1027" s="358"/>
      <c r="AI1027" s="358"/>
      <c r="AJ1027" s="352"/>
      <c r="AK1027" s="281"/>
      <c r="AL1027" s="281"/>
      <c r="AM1027" s="281"/>
      <c r="AN1027" s="294"/>
    </row>
    <row r="1028">
      <c r="A1028" s="169">
        <f t="array" ref="A1028">INDEX('Federal Tax, Stock Buybacks, &amp; '!D:D,match(B1028,'Federal Tax, Stock Buybacks, &amp; '!E:E,0))</f>
        <v>57</v>
      </c>
      <c r="B1028" s="351" t="s">
        <v>2798</v>
      </c>
      <c r="C1028" s="352"/>
      <c r="D1028" s="355"/>
      <c r="E1028" s="354"/>
      <c r="F1028" s="254"/>
      <c r="G1028" s="352"/>
      <c r="H1028" s="355"/>
      <c r="I1028" s="354"/>
      <c r="J1028" s="254"/>
      <c r="K1028" s="352" t="s">
        <v>2806</v>
      </c>
      <c r="L1028" s="355" t="s">
        <v>2807</v>
      </c>
      <c r="M1028" s="354">
        <v>7061873.0</v>
      </c>
      <c r="N1028" s="254"/>
      <c r="O1028" s="352" t="s">
        <v>2808</v>
      </c>
      <c r="P1028" s="355" t="s">
        <v>2809</v>
      </c>
      <c r="Q1028" s="354">
        <v>1.1018183E7</v>
      </c>
      <c r="R1028" s="254"/>
      <c r="S1028" s="352" t="s">
        <v>2810</v>
      </c>
      <c r="T1028" s="355" t="s">
        <v>2811</v>
      </c>
      <c r="U1028" s="354">
        <v>9384682.0</v>
      </c>
      <c r="V1028" s="254"/>
      <c r="W1028" s="352" t="s">
        <v>2812</v>
      </c>
      <c r="X1028" s="355" t="s">
        <v>2813</v>
      </c>
      <c r="Y1028" s="354">
        <v>7739280.0</v>
      </c>
      <c r="Z1028" s="254"/>
      <c r="AA1028" s="352" t="s">
        <v>2812</v>
      </c>
      <c r="AB1028" s="355" t="s">
        <v>2813</v>
      </c>
      <c r="AC1028" s="354">
        <v>6442192.0</v>
      </c>
      <c r="AD1028" s="355"/>
      <c r="AE1028" s="358"/>
      <c r="AF1028" s="358"/>
      <c r="AG1028" s="358"/>
      <c r="AH1028" s="358"/>
      <c r="AI1028" s="358"/>
      <c r="AJ1028" s="352"/>
      <c r="AK1028" s="281"/>
      <c r="AL1028" s="281"/>
      <c r="AM1028" s="281"/>
      <c r="AN1028" s="294"/>
    </row>
    <row r="1029">
      <c r="A1029" s="169">
        <f t="array" ref="A1029">INDEX('Federal Tax, Stock Buybacks, &amp; '!D:D,match(B1029,'Federal Tax, Stock Buybacks, &amp; '!E:E,0))</f>
        <v>57</v>
      </c>
      <c r="B1029" s="351" t="s">
        <v>2798</v>
      </c>
      <c r="C1029" s="352"/>
      <c r="D1029" s="355"/>
      <c r="E1029" s="354"/>
      <c r="F1029" s="254"/>
      <c r="G1029" s="352"/>
      <c r="H1029" s="355"/>
      <c r="I1029" s="354"/>
      <c r="J1029" s="254"/>
      <c r="K1029" s="352" t="s">
        <v>2814</v>
      </c>
      <c r="L1029" s="355" t="s">
        <v>2815</v>
      </c>
      <c r="M1029" s="354">
        <v>1.0001855E7</v>
      </c>
      <c r="N1029" s="254"/>
      <c r="O1029" s="352" t="s">
        <v>2816</v>
      </c>
      <c r="P1029" s="355" t="s">
        <v>2817</v>
      </c>
      <c r="Q1029" s="354">
        <v>6064100.0</v>
      </c>
      <c r="R1029" s="254"/>
      <c r="S1029" s="352" t="s">
        <v>2801</v>
      </c>
      <c r="T1029" s="355" t="s">
        <v>1535</v>
      </c>
      <c r="U1029" s="354">
        <v>2999414.0</v>
      </c>
      <c r="V1029" s="254"/>
      <c r="W1029" s="352" t="s">
        <v>2818</v>
      </c>
      <c r="X1029" s="355" t="s">
        <v>2819</v>
      </c>
      <c r="Y1029" s="354">
        <v>9766812.0</v>
      </c>
      <c r="Z1029" s="254"/>
      <c r="AA1029" s="352" t="s">
        <v>2810</v>
      </c>
      <c r="AB1029" s="355" t="s">
        <v>2820</v>
      </c>
      <c r="AC1029" s="354">
        <v>1.030505E7</v>
      </c>
      <c r="AD1029" s="355"/>
      <c r="AE1029" s="358"/>
      <c r="AF1029" s="358"/>
      <c r="AG1029" s="358"/>
      <c r="AH1029" s="358"/>
      <c r="AI1029" s="358"/>
      <c r="AJ1029" s="352"/>
      <c r="AK1029" s="281"/>
      <c r="AL1029" s="281"/>
      <c r="AM1029" s="281"/>
      <c r="AN1029" s="294"/>
    </row>
    <row r="1030">
      <c r="A1030" s="169">
        <f t="array" ref="A1030">INDEX('Federal Tax, Stock Buybacks, &amp; '!D:D,match(B1030,'Federal Tax, Stock Buybacks, &amp; '!E:E,0))</f>
        <v>57</v>
      </c>
      <c r="B1030" s="351" t="s">
        <v>2798</v>
      </c>
      <c r="C1030" s="352"/>
      <c r="D1030" s="355"/>
      <c r="E1030" s="354"/>
      <c r="F1030" s="254"/>
      <c r="G1030" s="352"/>
      <c r="H1030" s="355"/>
      <c r="I1030" s="354"/>
      <c r="J1030" s="254"/>
      <c r="K1030" s="352" t="s">
        <v>2821</v>
      </c>
      <c r="L1030" s="355" t="s">
        <v>2822</v>
      </c>
      <c r="M1030" s="354">
        <v>6882233.0</v>
      </c>
      <c r="N1030" s="254"/>
      <c r="O1030" s="352" t="s">
        <v>2806</v>
      </c>
      <c r="P1030" s="355" t="s">
        <v>2807</v>
      </c>
      <c r="Q1030" s="354">
        <v>5608231.0</v>
      </c>
      <c r="R1030" s="254"/>
      <c r="S1030" s="352" t="s">
        <v>2808</v>
      </c>
      <c r="T1030" s="355" t="s">
        <v>1535</v>
      </c>
      <c r="U1030" s="354">
        <v>6151486.0</v>
      </c>
      <c r="V1030" s="254"/>
      <c r="W1030" s="352" t="s">
        <v>2810</v>
      </c>
      <c r="X1030" s="355" t="s">
        <v>2823</v>
      </c>
      <c r="Y1030" s="354">
        <v>1.0161443E7</v>
      </c>
      <c r="Z1030" s="254"/>
      <c r="AA1030" s="352" t="s">
        <v>2824</v>
      </c>
      <c r="AB1030" s="355" t="s">
        <v>2825</v>
      </c>
      <c r="AC1030" s="354">
        <v>6512949.0</v>
      </c>
      <c r="AD1030" s="355"/>
      <c r="AE1030" s="358"/>
      <c r="AF1030" s="358"/>
      <c r="AG1030" s="358"/>
      <c r="AH1030" s="358"/>
      <c r="AI1030" s="358"/>
      <c r="AJ1030" s="352"/>
      <c r="AK1030" s="281"/>
      <c r="AL1030" s="281"/>
      <c r="AM1030" s="281"/>
      <c r="AN1030" s="294"/>
    </row>
    <row r="1031">
      <c r="A1031" s="169">
        <f t="array" ref="A1031">INDEX('Federal Tax, Stock Buybacks, &amp; '!D:D,match(B1031,'Federal Tax, Stock Buybacks, &amp; '!E:E,0))</f>
        <v>57</v>
      </c>
      <c r="B1031" s="351" t="s">
        <v>2798</v>
      </c>
      <c r="C1031" s="359"/>
      <c r="D1031" s="219"/>
      <c r="E1031" s="354"/>
      <c r="F1031" s="254"/>
      <c r="G1031" s="359"/>
      <c r="H1031" s="219"/>
      <c r="I1031" s="354"/>
      <c r="J1031" s="254"/>
      <c r="K1031" s="359" t="s">
        <v>711</v>
      </c>
      <c r="L1031" s="219" t="s">
        <v>711</v>
      </c>
      <c r="M1031" s="354" t="s">
        <v>711</v>
      </c>
      <c r="N1031" s="254"/>
      <c r="O1031" s="352" t="s">
        <v>2826</v>
      </c>
      <c r="P1031" s="355" t="s">
        <v>1837</v>
      </c>
      <c r="Q1031" s="354">
        <v>2.4523752E7</v>
      </c>
      <c r="R1031" s="254"/>
      <c r="S1031" s="352" t="s">
        <v>2816</v>
      </c>
      <c r="T1031" s="355" t="s">
        <v>2817</v>
      </c>
      <c r="U1031" s="354">
        <v>6271889.0</v>
      </c>
      <c r="V1031" s="254"/>
      <c r="W1031" s="352" t="s">
        <v>2824</v>
      </c>
      <c r="X1031" s="355" t="s">
        <v>2825</v>
      </c>
      <c r="Y1031" s="354">
        <v>6956644.0</v>
      </c>
      <c r="Z1031" s="254"/>
      <c r="AA1031" s="359" t="s">
        <v>711</v>
      </c>
      <c r="AB1031" s="219" t="s">
        <v>711</v>
      </c>
      <c r="AC1031" s="354" t="s">
        <v>711</v>
      </c>
      <c r="AD1031" s="355"/>
      <c r="AE1031" s="358"/>
      <c r="AF1031" s="358"/>
      <c r="AG1031" s="358"/>
      <c r="AH1031" s="358"/>
      <c r="AI1031" s="358"/>
      <c r="AJ1031" s="352"/>
      <c r="AK1031" s="281"/>
      <c r="AL1031" s="281"/>
      <c r="AM1031" s="281"/>
      <c r="AN1031" s="294"/>
    </row>
    <row r="1032">
      <c r="A1032" s="169">
        <f t="array" ref="A1032">INDEX('Federal Tax, Stock Buybacks, &amp; '!D:D,match(B1032,'Federal Tax, Stock Buybacks, &amp; '!E:E,0))</f>
        <v>57</v>
      </c>
      <c r="B1032" s="351" t="s">
        <v>2798</v>
      </c>
      <c r="C1032" s="359"/>
      <c r="D1032" s="219"/>
      <c r="E1032" s="354"/>
      <c r="F1032" s="254"/>
      <c r="G1032" s="359"/>
      <c r="H1032" s="219"/>
      <c r="I1032" s="354"/>
      <c r="J1032" s="254"/>
      <c r="K1032" s="359" t="s">
        <v>711</v>
      </c>
      <c r="L1032" s="219" t="s">
        <v>711</v>
      </c>
      <c r="M1032" s="354" t="s">
        <v>711</v>
      </c>
      <c r="N1032" s="254"/>
      <c r="O1032" s="352" t="s">
        <v>2814</v>
      </c>
      <c r="P1032" s="355" t="s">
        <v>1662</v>
      </c>
      <c r="Q1032" s="354">
        <v>5646418.0</v>
      </c>
      <c r="R1032" s="254"/>
      <c r="S1032" s="352" t="s">
        <v>2806</v>
      </c>
      <c r="T1032" s="355" t="s">
        <v>2807</v>
      </c>
      <c r="U1032" s="354">
        <v>5345467.0</v>
      </c>
      <c r="V1032" s="254"/>
      <c r="W1032" s="352" t="s">
        <v>2801</v>
      </c>
      <c r="X1032" s="355" t="s">
        <v>2827</v>
      </c>
      <c r="Y1032" s="354">
        <v>3585460.0</v>
      </c>
      <c r="Z1032" s="254"/>
      <c r="AA1032" s="359" t="s">
        <v>711</v>
      </c>
      <c r="AB1032" s="219" t="s">
        <v>711</v>
      </c>
      <c r="AC1032" s="354" t="s">
        <v>711</v>
      </c>
      <c r="AD1032" s="355"/>
      <c r="AE1032" s="358"/>
      <c r="AF1032" s="358"/>
      <c r="AG1032" s="358"/>
      <c r="AH1032" s="358"/>
      <c r="AI1032" s="358"/>
      <c r="AJ1032" s="352"/>
      <c r="AK1032" s="281"/>
      <c r="AL1032" s="281"/>
      <c r="AM1032" s="281"/>
      <c r="AN1032" s="294"/>
    </row>
    <row r="1033">
      <c r="A1033" s="196" t="str">
        <f t="array" ref="A1033">INDEX('Federal Tax, Stock Buybacks, &amp; '!D:D,match(B1033,'Federal Tax, Stock Buybacks, &amp; '!E:E,0))</f>
        <v>#N/A</v>
      </c>
      <c r="B1033" s="351" t="s">
        <v>2828</v>
      </c>
      <c r="C1033" s="353"/>
      <c r="D1033" s="355"/>
      <c r="E1033" s="354"/>
      <c r="F1033" s="254"/>
      <c r="G1033" s="353"/>
      <c r="H1033" s="355"/>
      <c r="I1033" s="354"/>
      <c r="J1033" s="254"/>
      <c r="K1033" s="353" t="s">
        <v>2829</v>
      </c>
      <c r="L1033" s="355" t="s">
        <v>1674</v>
      </c>
      <c r="M1033" s="354">
        <v>2.0093608E7</v>
      </c>
      <c r="N1033" s="254"/>
      <c r="O1033" s="353" t="s">
        <v>2829</v>
      </c>
      <c r="P1033" s="355" t="s">
        <v>1674</v>
      </c>
      <c r="Q1033" s="354">
        <v>1.9799737E7</v>
      </c>
      <c r="R1033" s="254"/>
      <c r="S1033" s="353" t="s">
        <v>2829</v>
      </c>
      <c r="T1033" s="355" t="s">
        <v>1674</v>
      </c>
      <c r="U1033" s="354">
        <v>1.4990254E7</v>
      </c>
      <c r="V1033" s="254"/>
      <c r="W1033" s="353" t="s">
        <v>2830</v>
      </c>
      <c r="X1033" s="355" t="s">
        <v>2831</v>
      </c>
      <c r="Y1033" s="354">
        <v>1.7179235E7</v>
      </c>
      <c r="Z1033" s="254"/>
      <c r="AA1033" s="353" t="s">
        <v>2830</v>
      </c>
      <c r="AB1033" s="355" t="s">
        <v>1696</v>
      </c>
      <c r="AC1033" s="354">
        <v>1.5216589E7</v>
      </c>
      <c r="AD1033" s="355"/>
      <c r="AE1033" s="356">
        <v>2022.0</v>
      </c>
      <c r="AF1033" s="356">
        <v>2021.0</v>
      </c>
      <c r="AG1033" s="356">
        <v>2020.0</v>
      </c>
      <c r="AH1033" s="356">
        <v>2019.0</v>
      </c>
      <c r="AI1033" s="356">
        <v>2018.0</v>
      </c>
      <c r="AJ1033" s="352"/>
      <c r="AK1033" s="281"/>
      <c r="AL1033" s="281"/>
      <c r="AM1033" s="281"/>
      <c r="AN1033" s="294"/>
    </row>
    <row r="1034">
      <c r="A1034" s="196" t="str">
        <f t="array" ref="A1034">INDEX('Federal Tax, Stock Buybacks, &amp; '!D:D,match(B1034,'Federal Tax, Stock Buybacks, &amp; '!E:E,0))</f>
        <v>#N/A</v>
      </c>
      <c r="B1034" s="351" t="s">
        <v>2828</v>
      </c>
      <c r="C1034" s="353"/>
      <c r="D1034" s="430"/>
      <c r="E1034" s="354"/>
      <c r="F1034" s="254"/>
      <c r="G1034" s="353"/>
      <c r="H1034" s="430"/>
      <c r="I1034" s="354"/>
      <c r="J1034" s="254"/>
      <c r="K1034" s="353" t="s">
        <v>2832</v>
      </c>
      <c r="L1034" s="430" t="s">
        <v>1696</v>
      </c>
      <c r="M1034" s="354">
        <v>1.5424057E7</v>
      </c>
      <c r="N1034" s="254"/>
      <c r="O1034" s="353" t="s">
        <v>2832</v>
      </c>
      <c r="P1034" s="430" t="s">
        <v>1696</v>
      </c>
      <c r="Q1034" s="354">
        <v>1.5527751E7</v>
      </c>
      <c r="R1034" s="254"/>
      <c r="S1034" s="353" t="s">
        <v>2832</v>
      </c>
      <c r="T1034" s="430" t="s">
        <v>1696</v>
      </c>
      <c r="U1034" s="354">
        <v>1.1986516E7</v>
      </c>
      <c r="V1034" s="254"/>
      <c r="W1034" s="353" t="s">
        <v>2829</v>
      </c>
      <c r="X1034" s="355" t="s">
        <v>1674</v>
      </c>
      <c r="Y1034" s="354">
        <v>1.5132939E7</v>
      </c>
      <c r="Z1034" s="254"/>
      <c r="AA1034" s="353" t="s">
        <v>2833</v>
      </c>
      <c r="AB1034" s="355" t="s">
        <v>2834</v>
      </c>
      <c r="AC1034" s="354">
        <v>2.5479876E7</v>
      </c>
      <c r="AD1034" s="355"/>
      <c r="AE1034" s="358"/>
      <c r="AF1034" s="358"/>
      <c r="AG1034" s="358"/>
      <c r="AH1034" s="358"/>
      <c r="AI1034" s="358"/>
      <c r="AJ1034" s="352"/>
      <c r="AK1034" s="281"/>
      <c r="AL1034" s="281"/>
      <c r="AM1034" s="281"/>
      <c r="AN1034" s="294"/>
    </row>
    <row r="1035">
      <c r="A1035" s="196" t="str">
        <f t="array" ref="A1035">INDEX('Federal Tax, Stock Buybacks, &amp; '!D:D,match(B1035,'Federal Tax, Stock Buybacks, &amp; '!E:E,0))</f>
        <v>#N/A</v>
      </c>
      <c r="B1035" s="351" t="s">
        <v>2828</v>
      </c>
      <c r="C1035" s="353"/>
      <c r="D1035" s="355"/>
      <c r="E1035" s="354"/>
      <c r="F1035" s="254"/>
      <c r="G1035" s="353"/>
      <c r="H1035" s="355"/>
      <c r="I1035" s="354"/>
      <c r="J1035" s="254"/>
      <c r="K1035" s="353" t="s">
        <v>2835</v>
      </c>
      <c r="L1035" s="355" t="s">
        <v>2836</v>
      </c>
      <c r="M1035" s="354">
        <v>7858855.0</v>
      </c>
      <c r="N1035" s="254"/>
      <c r="O1035" s="353" t="s">
        <v>2835</v>
      </c>
      <c r="P1035" s="355" t="s">
        <v>2837</v>
      </c>
      <c r="Q1035" s="354">
        <v>8739881.0</v>
      </c>
      <c r="R1035" s="254"/>
      <c r="S1035" s="353" t="s">
        <v>2838</v>
      </c>
      <c r="T1035" s="355" t="s">
        <v>2839</v>
      </c>
      <c r="U1035" s="354">
        <v>7202809.0</v>
      </c>
      <c r="V1035" s="254"/>
      <c r="W1035" s="353" t="s">
        <v>2832</v>
      </c>
      <c r="X1035" s="430" t="s">
        <v>1696</v>
      </c>
      <c r="Y1035" s="354">
        <v>1.2082978E7</v>
      </c>
      <c r="Z1035" s="254"/>
      <c r="AA1035" s="353" t="s">
        <v>2829</v>
      </c>
      <c r="AB1035" s="355" t="s">
        <v>1523</v>
      </c>
      <c r="AC1035" s="354">
        <v>1.0357458E7</v>
      </c>
      <c r="AD1035" s="355"/>
      <c r="AE1035" s="358"/>
      <c r="AF1035" s="358"/>
      <c r="AG1035" s="358"/>
      <c r="AH1035" s="358"/>
      <c r="AI1035" s="358"/>
      <c r="AJ1035" s="352"/>
      <c r="AK1035" s="281"/>
      <c r="AL1035" s="281"/>
      <c r="AM1035" s="281"/>
      <c r="AN1035" s="294"/>
    </row>
    <row r="1036">
      <c r="A1036" s="196" t="str">
        <f t="array" ref="A1036">INDEX('Federal Tax, Stock Buybacks, &amp; '!D:D,match(B1036,'Federal Tax, Stock Buybacks, &amp; '!E:E,0))</f>
        <v>#N/A</v>
      </c>
      <c r="B1036" s="351" t="s">
        <v>2828</v>
      </c>
      <c r="C1036" s="353"/>
      <c r="D1036" s="355"/>
      <c r="E1036" s="354"/>
      <c r="F1036" s="254"/>
      <c r="G1036" s="353"/>
      <c r="H1036" s="355"/>
      <c r="I1036" s="354"/>
      <c r="J1036" s="254"/>
      <c r="K1036" s="353" t="s">
        <v>2840</v>
      </c>
      <c r="L1036" s="355" t="s">
        <v>1585</v>
      </c>
      <c r="M1036" s="354">
        <v>6357548.0</v>
      </c>
      <c r="N1036" s="254"/>
      <c r="O1036" s="353" t="s">
        <v>2840</v>
      </c>
      <c r="P1036" s="355" t="s">
        <v>1585</v>
      </c>
      <c r="Q1036" s="354">
        <v>6945247.0</v>
      </c>
      <c r="R1036" s="254"/>
      <c r="S1036" s="353" t="s">
        <v>2835</v>
      </c>
      <c r="T1036" s="355" t="s">
        <v>2837</v>
      </c>
      <c r="U1036" s="354">
        <v>7672098.0</v>
      </c>
      <c r="V1036" s="254"/>
      <c r="W1036" s="353" t="s">
        <v>2838</v>
      </c>
      <c r="X1036" s="355" t="s">
        <v>2841</v>
      </c>
      <c r="Y1036" s="354">
        <v>9750218.0</v>
      </c>
      <c r="Z1036" s="254"/>
      <c r="AA1036" s="353" t="s">
        <v>2832</v>
      </c>
      <c r="AB1036" s="430" t="s">
        <v>1696</v>
      </c>
      <c r="AC1036" s="354">
        <v>8110321.0</v>
      </c>
      <c r="AD1036" s="355"/>
      <c r="AE1036" s="358"/>
      <c r="AF1036" s="358"/>
      <c r="AG1036" s="358"/>
      <c r="AH1036" s="358"/>
      <c r="AI1036" s="358"/>
      <c r="AJ1036" s="352"/>
      <c r="AK1036" s="281"/>
      <c r="AL1036" s="281"/>
      <c r="AM1036" s="281"/>
      <c r="AN1036" s="294"/>
    </row>
    <row r="1037">
      <c r="A1037" s="196" t="str">
        <f t="array" ref="A1037">INDEX('Federal Tax, Stock Buybacks, &amp; '!D:D,match(B1037,'Federal Tax, Stock Buybacks, &amp; '!E:E,0))</f>
        <v>#N/A</v>
      </c>
      <c r="B1037" s="351" t="s">
        <v>2828</v>
      </c>
      <c r="C1037" s="353"/>
      <c r="D1037" s="355"/>
      <c r="E1037" s="354"/>
      <c r="F1037" s="254"/>
      <c r="G1037" s="353"/>
      <c r="H1037" s="355"/>
      <c r="I1037" s="354"/>
      <c r="J1037" s="254"/>
      <c r="K1037" s="353" t="s">
        <v>2842</v>
      </c>
      <c r="L1037" s="355" t="s">
        <v>2843</v>
      </c>
      <c r="M1037" s="354">
        <v>7659245.0</v>
      </c>
      <c r="N1037" s="254"/>
      <c r="O1037" s="353" t="s">
        <v>2842</v>
      </c>
      <c r="P1037" s="355" t="s">
        <v>2844</v>
      </c>
      <c r="Q1037" s="354">
        <v>8304988.0</v>
      </c>
      <c r="R1037" s="254"/>
      <c r="S1037" s="353" t="s">
        <v>2840</v>
      </c>
      <c r="T1037" s="355" t="s">
        <v>1585</v>
      </c>
      <c r="U1037" s="354">
        <v>5040380.0</v>
      </c>
      <c r="V1037" s="254"/>
      <c r="W1037" s="353" t="s">
        <v>2835</v>
      </c>
      <c r="X1037" s="355" t="s">
        <v>2837</v>
      </c>
      <c r="Y1037" s="354">
        <v>7495887.0</v>
      </c>
      <c r="Z1037" s="254"/>
      <c r="AA1037" s="353" t="s">
        <v>2838</v>
      </c>
      <c r="AB1037" s="355" t="s">
        <v>2841</v>
      </c>
      <c r="AC1037" s="354">
        <v>1.8526291E7</v>
      </c>
      <c r="AD1037" s="355"/>
      <c r="AE1037" s="358"/>
      <c r="AF1037" s="358"/>
      <c r="AG1037" s="358"/>
      <c r="AH1037" s="358"/>
      <c r="AI1037" s="358"/>
      <c r="AJ1037" s="352"/>
      <c r="AK1037" s="281"/>
      <c r="AL1037" s="281"/>
      <c r="AM1037" s="281"/>
      <c r="AN1037" s="294"/>
    </row>
    <row r="1038">
      <c r="A1038" s="196" t="str">
        <f t="array" ref="A1038">INDEX('Federal Tax, Stock Buybacks, &amp; '!D:D,match(B1038,'Federal Tax, Stock Buybacks, &amp; '!E:E,0))</f>
        <v>#N/A</v>
      </c>
      <c r="B1038" s="351" t="s">
        <v>2828</v>
      </c>
      <c r="C1038" s="359"/>
      <c r="D1038" s="219"/>
      <c r="E1038" s="354"/>
      <c r="F1038" s="254"/>
      <c r="G1038" s="359"/>
      <c r="H1038" s="219"/>
      <c r="I1038" s="354"/>
      <c r="J1038" s="254"/>
      <c r="K1038" s="359" t="s">
        <v>711</v>
      </c>
      <c r="L1038" s="219" t="s">
        <v>711</v>
      </c>
      <c r="M1038" s="354" t="s">
        <v>711</v>
      </c>
      <c r="N1038" s="254"/>
      <c r="O1038" s="359" t="s">
        <v>711</v>
      </c>
      <c r="P1038" s="219" t="s">
        <v>711</v>
      </c>
      <c r="Q1038" s="354" t="s">
        <v>711</v>
      </c>
      <c r="R1038" s="254"/>
      <c r="S1038" s="353" t="s">
        <v>2842</v>
      </c>
      <c r="T1038" s="355" t="s">
        <v>2844</v>
      </c>
      <c r="U1038" s="354">
        <v>6271772.0</v>
      </c>
      <c r="V1038" s="254"/>
      <c r="W1038" s="353" t="s">
        <v>2840</v>
      </c>
      <c r="X1038" s="355" t="s">
        <v>1585</v>
      </c>
      <c r="Y1038" s="354">
        <v>4867375.0</v>
      </c>
      <c r="Z1038" s="254"/>
      <c r="AA1038" s="353" t="s">
        <v>2835</v>
      </c>
      <c r="AB1038" s="355" t="s">
        <v>2837</v>
      </c>
      <c r="AC1038" s="354">
        <v>5214835.0</v>
      </c>
      <c r="AD1038" s="355"/>
      <c r="AE1038" s="358"/>
      <c r="AF1038" s="358"/>
      <c r="AG1038" s="358"/>
      <c r="AH1038" s="358"/>
      <c r="AI1038" s="358"/>
      <c r="AJ1038" s="352"/>
      <c r="AK1038" s="281"/>
      <c r="AL1038" s="281"/>
      <c r="AM1038" s="281"/>
      <c r="AN1038" s="294"/>
    </row>
    <row r="1039">
      <c r="A1039" s="196" t="str">
        <f t="array" ref="A1039">INDEX('Federal Tax, Stock Buybacks, &amp; '!D:D,match(B1039,'Federal Tax, Stock Buybacks, &amp; '!E:E,0))</f>
        <v>#N/A</v>
      </c>
      <c r="B1039" s="351" t="s">
        <v>2828</v>
      </c>
      <c r="C1039" s="359"/>
      <c r="D1039" s="219"/>
      <c r="E1039" s="354"/>
      <c r="F1039" s="254"/>
      <c r="G1039" s="359"/>
      <c r="H1039" s="219"/>
      <c r="I1039" s="354"/>
      <c r="J1039" s="254"/>
      <c r="K1039" s="359" t="s">
        <v>711</v>
      </c>
      <c r="L1039" s="219" t="s">
        <v>711</v>
      </c>
      <c r="M1039" s="354" t="s">
        <v>711</v>
      </c>
      <c r="N1039" s="254"/>
      <c r="O1039" s="359" t="s">
        <v>711</v>
      </c>
      <c r="P1039" s="219" t="s">
        <v>711</v>
      </c>
      <c r="Q1039" s="354" t="s">
        <v>711</v>
      </c>
      <c r="R1039" s="254"/>
      <c r="S1039" s="359" t="s">
        <v>711</v>
      </c>
      <c r="T1039" s="219" t="s">
        <v>711</v>
      </c>
      <c r="U1039" s="354" t="s">
        <v>711</v>
      </c>
      <c r="V1039" s="254"/>
      <c r="W1039" s="359" t="s">
        <v>711</v>
      </c>
      <c r="X1039" s="219" t="s">
        <v>711</v>
      </c>
      <c r="Y1039" s="354" t="s">
        <v>711</v>
      </c>
      <c r="Z1039" s="254"/>
      <c r="AA1039" s="353" t="s">
        <v>2840</v>
      </c>
      <c r="AB1039" s="355" t="s">
        <v>1585</v>
      </c>
      <c r="AC1039" s="354">
        <v>2303142.0</v>
      </c>
      <c r="AD1039" s="355"/>
      <c r="AE1039" s="358"/>
      <c r="AF1039" s="358"/>
      <c r="AG1039" s="358"/>
      <c r="AH1039" s="358"/>
      <c r="AI1039" s="358"/>
      <c r="AJ1039" s="352"/>
      <c r="AK1039" s="281"/>
      <c r="AL1039" s="281"/>
      <c r="AM1039" s="281"/>
      <c r="AN1039" s="294"/>
    </row>
    <row r="1040">
      <c r="A1040" s="169">
        <f t="array" ref="A1040">INDEX('Federal Tax, Stock Buybacks, &amp; '!D:D,match(B1040,'Federal Tax, Stock Buybacks, &amp; '!E:E,0))</f>
        <v>63</v>
      </c>
      <c r="B1040" s="351" t="s">
        <v>2845</v>
      </c>
      <c r="C1040" s="353"/>
      <c r="D1040" s="355"/>
      <c r="E1040" s="354"/>
      <c r="F1040" s="254"/>
      <c r="G1040" s="353"/>
      <c r="H1040" s="355"/>
      <c r="I1040" s="354"/>
      <c r="J1040" s="254"/>
      <c r="K1040" s="353" t="s">
        <v>2846</v>
      </c>
      <c r="L1040" s="355" t="s">
        <v>2847</v>
      </c>
      <c r="M1040" s="354">
        <v>2.1079926E7</v>
      </c>
      <c r="N1040" s="254"/>
      <c r="O1040" s="353" t="s">
        <v>2846</v>
      </c>
      <c r="P1040" s="355" t="s">
        <v>2847</v>
      </c>
      <c r="Q1040" s="354">
        <v>2.0733806E7</v>
      </c>
      <c r="R1040" s="254"/>
      <c r="S1040" s="353" t="s">
        <v>2848</v>
      </c>
      <c r="T1040" s="355" t="s">
        <v>2849</v>
      </c>
      <c r="U1040" s="354">
        <v>5910377.0</v>
      </c>
      <c r="V1040" s="254"/>
      <c r="W1040" s="353" t="s">
        <v>2850</v>
      </c>
      <c r="X1040" s="355" t="s">
        <v>2847</v>
      </c>
      <c r="Y1040" s="354">
        <v>1.9317972E7</v>
      </c>
      <c r="Z1040" s="254"/>
      <c r="AA1040" s="353" t="s">
        <v>2851</v>
      </c>
      <c r="AB1040" s="355" t="s">
        <v>2852</v>
      </c>
      <c r="AC1040" s="354">
        <v>7844256.0</v>
      </c>
      <c r="AD1040" s="355"/>
      <c r="AE1040" s="356">
        <v>2022.0</v>
      </c>
      <c r="AF1040" s="356">
        <v>2021.0</v>
      </c>
      <c r="AG1040" s="356">
        <v>2020.0</v>
      </c>
      <c r="AH1040" s="356">
        <v>2019.0</v>
      </c>
      <c r="AI1040" s="356">
        <v>2018.0</v>
      </c>
      <c r="AJ1040" s="352"/>
      <c r="AK1040" s="281"/>
      <c r="AL1040" s="281"/>
      <c r="AM1040" s="281"/>
      <c r="AN1040" s="294"/>
    </row>
    <row r="1041">
      <c r="A1041" s="169">
        <f t="array" ref="A1041">INDEX('Federal Tax, Stock Buybacks, &amp; '!D:D,match(B1041,'Federal Tax, Stock Buybacks, &amp; '!E:E,0))</f>
        <v>63</v>
      </c>
      <c r="B1041" s="351" t="s">
        <v>2845</v>
      </c>
      <c r="C1041" s="353"/>
      <c r="D1041" s="355"/>
      <c r="E1041" s="354"/>
      <c r="F1041" s="254"/>
      <c r="G1041" s="353"/>
      <c r="H1041" s="355"/>
      <c r="I1041" s="354"/>
      <c r="J1041" s="254"/>
      <c r="K1041" s="353" t="s">
        <v>2853</v>
      </c>
      <c r="L1041" s="355" t="s">
        <v>2854</v>
      </c>
      <c r="M1041" s="354">
        <v>8770310.0</v>
      </c>
      <c r="N1041" s="254"/>
      <c r="O1041" s="353" t="s">
        <v>2853</v>
      </c>
      <c r="P1041" s="355" t="s">
        <v>2854</v>
      </c>
      <c r="Q1041" s="354">
        <v>9007783.0</v>
      </c>
      <c r="R1041" s="254"/>
      <c r="S1041" s="353" t="s">
        <v>2855</v>
      </c>
      <c r="T1041" s="355" t="s">
        <v>1528</v>
      </c>
      <c r="U1041" s="354">
        <v>4947647.0</v>
      </c>
      <c r="V1041" s="254"/>
      <c r="W1041" s="353" t="s">
        <v>2848</v>
      </c>
      <c r="X1041" s="355" t="s">
        <v>2856</v>
      </c>
      <c r="Y1041" s="354">
        <v>6575751.0</v>
      </c>
      <c r="Z1041" s="254"/>
      <c r="AA1041" s="353" t="s">
        <v>2850</v>
      </c>
      <c r="AB1041" s="355" t="s">
        <v>2847</v>
      </c>
      <c r="AC1041" s="354">
        <v>1.9215534E7</v>
      </c>
      <c r="AD1041" s="355"/>
      <c r="AE1041" s="358"/>
      <c r="AF1041" s="358"/>
      <c r="AG1041" s="358"/>
      <c r="AH1041" s="358"/>
      <c r="AI1041" s="358"/>
      <c r="AJ1041" s="352"/>
      <c r="AK1041" s="281"/>
      <c r="AL1041" s="281"/>
      <c r="AM1041" s="281"/>
      <c r="AN1041" s="294"/>
    </row>
    <row r="1042">
      <c r="A1042" s="169">
        <f t="array" ref="A1042">INDEX('Federal Tax, Stock Buybacks, &amp; '!D:D,match(B1042,'Federal Tax, Stock Buybacks, &amp; '!E:E,0))</f>
        <v>63</v>
      </c>
      <c r="B1042" s="351" t="s">
        <v>2845</v>
      </c>
      <c r="C1042" s="353"/>
      <c r="D1042" s="355"/>
      <c r="E1042" s="354"/>
      <c r="F1042" s="254"/>
      <c r="G1042" s="353"/>
      <c r="H1042" s="355"/>
      <c r="I1042" s="354"/>
      <c r="J1042" s="254"/>
      <c r="K1042" s="353" t="s">
        <v>2857</v>
      </c>
      <c r="L1042" s="355" t="s">
        <v>1532</v>
      </c>
      <c r="M1042" s="354">
        <v>6888877.0</v>
      </c>
      <c r="N1042" s="254"/>
      <c r="O1042" s="353" t="s">
        <v>2857</v>
      </c>
      <c r="P1042" s="355" t="s">
        <v>1532</v>
      </c>
      <c r="Q1042" s="354">
        <v>7221568.0</v>
      </c>
      <c r="R1042" s="254"/>
      <c r="S1042" s="353" t="s">
        <v>2846</v>
      </c>
      <c r="T1042" s="355" t="s">
        <v>2847</v>
      </c>
      <c r="U1042" s="354">
        <v>1.2479815E7</v>
      </c>
      <c r="V1042" s="254"/>
      <c r="W1042" s="353" t="s">
        <v>2855</v>
      </c>
      <c r="X1042" s="355" t="s">
        <v>1532</v>
      </c>
      <c r="Y1042" s="354">
        <v>5094797.0</v>
      </c>
      <c r="Z1042" s="254"/>
      <c r="AA1042" s="353" t="s">
        <v>2858</v>
      </c>
      <c r="AB1042" s="355" t="s">
        <v>2383</v>
      </c>
      <c r="AC1042" s="354">
        <v>5187987.0</v>
      </c>
      <c r="AD1042" s="355"/>
      <c r="AE1042" s="358"/>
      <c r="AF1042" s="358"/>
      <c r="AG1042" s="358"/>
      <c r="AH1042" s="358"/>
      <c r="AI1042" s="358"/>
      <c r="AJ1042" s="352"/>
      <c r="AK1042" s="281"/>
      <c r="AL1042" s="281"/>
      <c r="AM1042" s="281"/>
      <c r="AN1042" s="294"/>
    </row>
    <row r="1043">
      <c r="A1043" s="169">
        <f t="array" ref="A1043">INDEX('Federal Tax, Stock Buybacks, &amp; '!D:D,match(B1043,'Federal Tax, Stock Buybacks, &amp; '!E:E,0))</f>
        <v>63</v>
      </c>
      <c r="B1043" s="351" t="s">
        <v>2845</v>
      </c>
      <c r="C1043" s="353"/>
      <c r="D1043" s="355"/>
      <c r="E1043" s="354"/>
      <c r="F1043" s="254"/>
      <c r="G1043" s="353"/>
      <c r="H1043" s="355"/>
      <c r="I1043" s="354"/>
      <c r="J1043" s="254"/>
      <c r="K1043" s="353" t="s">
        <v>1145</v>
      </c>
      <c r="L1043" s="355" t="s">
        <v>2859</v>
      </c>
      <c r="M1043" s="354">
        <v>9069580.0</v>
      </c>
      <c r="N1043" s="254"/>
      <c r="O1043" s="353" t="s">
        <v>1145</v>
      </c>
      <c r="P1043" s="355" t="s">
        <v>2859</v>
      </c>
      <c r="Q1043" s="354">
        <v>1.0257969E7</v>
      </c>
      <c r="R1043" s="254"/>
      <c r="S1043" s="353" t="s">
        <v>2853</v>
      </c>
      <c r="T1043" s="355" t="s">
        <v>2854</v>
      </c>
      <c r="U1043" s="354">
        <v>5676559.0</v>
      </c>
      <c r="V1043" s="254"/>
      <c r="W1043" s="353" t="s">
        <v>2846</v>
      </c>
      <c r="X1043" s="430" t="s">
        <v>2860</v>
      </c>
      <c r="Y1043" s="354">
        <v>7198888.0</v>
      </c>
      <c r="Z1043" s="254"/>
      <c r="AA1043" s="353" t="s">
        <v>2861</v>
      </c>
      <c r="AB1043" s="355" t="s">
        <v>2862</v>
      </c>
      <c r="AC1043" s="354">
        <v>5359948.0</v>
      </c>
      <c r="AD1043" s="355"/>
      <c r="AE1043" s="358"/>
      <c r="AF1043" s="358"/>
      <c r="AG1043" s="358"/>
      <c r="AH1043" s="358"/>
      <c r="AI1043" s="358"/>
      <c r="AJ1043" s="352"/>
      <c r="AK1043" s="281"/>
      <c r="AL1043" s="281"/>
      <c r="AM1043" s="281"/>
      <c r="AN1043" s="294"/>
    </row>
    <row r="1044">
      <c r="A1044" s="169">
        <f t="array" ref="A1044">INDEX('Federal Tax, Stock Buybacks, &amp; '!D:D,match(B1044,'Federal Tax, Stock Buybacks, &amp; '!E:E,0))</f>
        <v>63</v>
      </c>
      <c r="B1044" s="351" t="s">
        <v>2845</v>
      </c>
      <c r="C1044" s="353"/>
      <c r="D1044" s="430"/>
      <c r="E1044" s="354"/>
      <c r="F1044" s="254"/>
      <c r="G1044" s="353"/>
      <c r="H1044" s="430"/>
      <c r="I1044" s="354"/>
      <c r="J1044" s="254"/>
      <c r="K1044" s="353" t="s">
        <v>2863</v>
      </c>
      <c r="L1044" s="430" t="s">
        <v>2864</v>
      </c>
      <c r="M1044" s="354">
        <v>8691558.0</v>
      </c>
      <c r="N1044" s="254"/>
      <c r="O1044" s="353" t="s">
        <v>2863</v>
      </c>
      <c r="P1044" s="430" t="s">
        <v>2864</v>
      </c>
      <c r="Q1044" s="354">
        <v>8325067.0</v>
      </c>
      <c r="R1044" s="254"/>
      <c r="S1044" s="353" t="s">
        <v>2857</v>
      </c>
      <c r="T1044" s="355" t="s">
        <v>1532</v>
      </c>
      <c r="U1044" s="354">
        <v>2688696.0</v>
      </c>
      <c r="V1044" s="254"/>
      <c r="W1044" s="353" t="s">
        <v>2853</v>
      </c>
      <c r="X1044" s="355" t="s">
        <v>2854</v>
      </c>
      <c r="Y1044" s="354">
        <v>5459255.0</v>
      </c>
      <c r="Z1044" s="254"/>
      <c r="AA1044" s="353" t="s">
        <v>2848</v>
      </c>
      <c r="AB1044" s="355" t="s">
        <v>1554</v>
      </c>
      <c r="AC1044" s="354">
        <v>5275358.0</v>
      </c>
      <c r="AD1044" s="355"/>
      <c r="AE1044" s="358"/>
      <c r="AF1044" s="358"/>
      <c r="AG1044" s="358"/>
      <c r="AH1044" s="358"/>
      <c r="AI1044" s="358"/>
      <c r="AJ1044" s="352"/>
      <c r="AK1044" s="281"/>
      <c r="AL1044" s="281"/>
      <c r="AM1044" s="281"/>
      <c r="AN1044" s="294"/>
    </row>
    <row r="1045">
      <c r="A1045" s="169">
        <f t="array" ref="A1045">INDEX('Federal Tax, Stock Buybacks, &amp; '!D:D,match(B1045,'Federal Tax, Stock Buybacks, &amp; '!E:E,0))</f>
        <v>63</v>
      </c>
      <c r="B1045" s="351" t="s">
        <v>2845</v>
      </c>
      <c r="C1045" s="353"/>
      <c r="D1045" s="355"/>
      <c r="E1045" s="354"/>
      <c r="F1045" s="254"/>
      <c r="G1045" s="353"/>
      <c r="H1045" s="355"/>
      <c r="I1045" s="354"/>
      <c r="J1045" s="254"/>
      <c r="K1045" s="353" t="s">
        <v>2865</v>
      </c>
      <c r="L1045" s="355" t="s">
        <v>2866</v>
      </c>
      <c r="M1045" s="354">
        <v>9090615.0</v>
      </c>
      <c r="N1045" s="254"/>
      <c r="O1045" s="359" t="s">
        <v>711</v>
      </c>
      <c r="P1045" s="219" t="s">
        <v>711</v>
      </c>
      <c r="Q1045" s="354" t="s">
        <v>711</v>
      </c>
      <c r="R1045" s="254"/>
      <c r="S1045" s="353" t="s">
        <v>1145</v>
      </c>
      <c r="T1045" s="355" t="s">
        <v>2281</v>
      </c>
      <c r="U1045" s="354">
        <v>6515446.0</v>
      </c>
      <c r="V1045" s="254"/>
      <c r="W1045" s="359" t="s">
        <v>711</v>
      </c>
      <c r="X1045" s="219" t="s">
        <v>711</v>
      </c>
      <c r="Y1045" s="354" t="s">
        <v>711</v>
      </c>
      <c r="Z1045" s="254"/>
      <c r="AA1045" s="353" t="s">
        <v>2867</v>
      </c>
      <c r="AB1045" s="355" t="s">
        <v>2868</v>
      </c>
      <c r="AC1045" s="354">
        <v>5593656.0</v>
      </c>
      <c r="AD1045" s="355"/>
      <c r="AE1045" s="358"/>
      <c r="AF1045" s="358"/>
      <c r="AG1045" s="358"/>
      <c r="AH1045" s="358"/>
      <c r="AI1045" s="358"/>
      <c r="AJ1045" s="352"/>
      <c r="AK1045" s="281"/>
      <c r="AL1045" s="281"/>
      <c r="AM1045" s="281"/>
      <c r="AN1045" s="294"/>
    </row>
    <row r="1046">
      <c r="A1046" s="169">
        <f t="array" ref="A1046">INDEX('Federal Tax, Stock Buybacks, &amp; '!D:D,match(B1046,'Federal Tax, Stock Buybacks, &amp; '!E:E,0))</f>
        <v>63</v>
      </c>
      <c r="B1046" s="351" t="s">
        <v>2845</v>
      </c>
      <c r="C1046" s="359"/>
      <c r="D1046" s="219"/>
      <c r="E1046" s="354"/>
      <c r="F1046" s="254"/>
      <c r="G1046" s="359"/>
      <c r="H1046" s="219"/>
      <c r="I1046" s="354"/>
      <c r="J1046" s="254"/>
      <c r="K1046" s="359" t="s">
        <v>711</v>
      </c>
      <c r="L1046" s="219" t="s">
        <v>711</v>
      </c>
      <c r="M1046" s="354" t="s">
        <v>711</v>
      </c>
      <c r="N1046" s="254"/>
      <c r="O1046" s="359" t="s">
        <v>711</v>
      </c>
      <c r="P1046" s="219" t="s">
        <v>711</v>
      </c>
      <c r="Q1046" s="354" t="s">
        <v>711</v>
      </c>
      <c r="R1046" s="254"/>
      <c r="S1046" s="359" t="s">
        <v>711</v>
      </c>
      <c r="T1046" s="219" t="s">
        <v>711</v>
      </c>
      <c r="U1046" s="354" t="s">
        <v>711</v>
      </c>
      <c r="V1046" s="254"/>
      <c r="W1046" s="359" t="s">
        <v>711</v>
      </c>
      <c r="X1046" s="219" t="s">
        <v>711</v>
      </c>
      <c r="Y1046" s="354" t="s">
        <v>711</v>
      </c>
      <c r="Z1046" s="254"/>
      <c r="AA1046" s="353" t="s">
        <v>2855</v>
      </c>
      <c r="AB1046" s="355" t="s">
        <v>1532</v>
      </c>
      <c r="AC1046" s="354">
        <v>3745263.0</v>
      </c>
      <c r="AD1046" s="355"/>
      <c r="AE1046" s="358"/>
      <c r="AF1046" s="358"/>
      <c r="AG1046" s="358"/>
      <c r="AH1046" s="358"/>
      <c r="AI1046" s="358"/>
      <c r="AJ1046" s="352"/>
      <c r="AK1046" s="281"/>
      <c r="AL1046" s="281"/>
      <c r="AM1046" s="281"/>
      <c r="AN1046" s="294"/>
    </row>
    <row r="1047">
      <c r="A1047" s="169">
        <f t="array" ref="A1047">INDEX('Federal Tax, Stock Buybacks, &amp; '!D:D,match(B1047,'Federal Tax, Stock Buybacks, &amp; '!E:E,0))</f>
        <v>63</v>
      </c>
      <c r="B1047" s="351" t="s">
        <v>2845</v>
      </c>
      <c r="C1047" s="359"/>
      <c r="D1047" s="219"/>
      <c r="E1047" s="354"/>
      <c r="F1047" s="254"/>
      <c r="G1047" s="359"/>
      <c r="H1047" s="219"/>
      <c r="I1047" s="354"/>
      <c r="J1047" s="254"/>
      <c r="K1047" s="359" t="s">
        <v>711</v>
      </c>
      <c r="L1047" s="219" t="s">
        <v>711</v>
      </c>
      <c r="M1047" s="354" t="s">
        <v>711</v>
      </c>
      <c r="N1047" s="254"/>
      <c r="O1047" s="359" t="s">
        <v>711</v>
      </c>
      <c r="P1047" s="219" t="s">
        <v>711</v>
      </c>
      <c r="Q1047" s="354" t="s">
        <v>711</v>
      </c>
      <c r="R1047" s="254"/>
      <c r="S1047" s="359" t="s">
        <v>711</v>
      </c>
      <c r="T1047" s="219" t="s">
        <v>711</v>
      </c>
      <c r="U1047" s="354" t="s">
        <v>711</v>
      </c>
      <c r="V1047" s="254"/>
      <c r="W1047" s="359" t="s">
        <v>711</v>
      </c>
      <c r="X1047" s="219" t="s">
        <v>711</v>
      </c>
      <c r="Y1047" s="354" t="s">
        <v>711</v>
      </c>
      <c r="Z1047" s="254"/>
      <c r="AA1047" s="353" t="s">
        <v>2846</v>
      </c>
      <c r="AB1047" s="355" t="s">
        <v>2869</v>
      </c>
      <c r="AC1047" s="354">
        <v>6996990.0</v>
      </c>
      <c r="AD1047" s="355"/>
      <c r="AE1047" s="358"/>
      <c r="AF1047" s="358"/>
      <c r="AG1047" s="358"/>
      <c r="AH1047" s="358"/>
      <c r="AI1047" s="358"/>
      <c r="AJ1047" s="352"/>
      <c r="AK1047" s="281"/>
      <c r="AL1047" s="281"/>
      <c r="AM1047" s="281"/>
      <c r="AN1047" s="294"/>
    </row>
    <row r="1048">
      <c r="A1048" s="196" t="str">
        <f t="array" ref="A1048">INDEX('Federal Tax, Stock Buybacks, &amp; '!D:D,match(B1048,'Federal Tax, Stock Buybacks, &amp; '!E:E,0))</f>
        <v>#N/A</v>
      </c>
      <c r="B1048" s="264" t="s">
        <v>2870</v>
      </c>
      <c r="C1048" s="323"/>
      <c r="D1048" s="271"/>
      <c r="E1048" s="324"/>
      <c r="F1048" s="254"/>
      <c r="G1048" s="323"/>
      <c r="H1048" s="271"/>
      <c r="I1048" s="324"/>
      <c r="J1048" s="254"/>
      <c r="K1048" s="323" t="s">
        <v>2871</v>
      </c>
      <c r="L1048" s="271" t="s">
        <v>2872</v>
      </c>
      <c r="M1048" s="324">
        <v>1.7129562E7</v>
      </c>
      <c r="N1048" s="254"/>
      <c r="O1048" s="323" t="s">
        <v>2873</v>
      </c>
      <c r="P1048" s="271" t="s">
        <v>1664</v>
      </c>
      <c r="Q1048" s="324">
        <v>3.9545072E7</v>
      </c>
      <c r="R1048" s="254"/>
      <c r="S1048" s="323" t="s">
        <v>2873</v>
      </c>
      <c r="T1048" s="271" t="s">
        <v>1664</v>
      </c>
      <c r="U1048" s="324">
        <v>2.3940465E7</v>
      </c>
      <c r="V1048" s="254"/>
      <c r="W1048" s="323" t="s">
        <v>2873</v>
      </c>
      <c r="X1048" s="271" t="s">
        <v>1664</v>
      </c>
      <c r="Y1048" s="324">
        <v>2.4657441E7</v>
      </c>
      <c r="Z1048" s="254"/>
      <c r="AA1048" s="323" t="s">
        <v>2874</v>
      </c>
      <c r="AB1048" s="271" t="s">
        <v>1676</v>
      </c>
      <c r="AC1048" s="324">
        <v>2.3390658E7</v>
      </c>
      <c r="AD1048" s="271"/>
      <c r="AE1048" s="272">
        <v>2022.0</v>
      </c>
      <c r="AF1048" s="272">
        <v>2021.0</v>
      </c>
      <c r="AG1048" s="272">
        <v>2020.0</v>
      </c>
      <c r="AH1048" s="272">
        <v>2019.0</v>
      </c>
      <c r="AI1048" s="272">
        <v>2018.0</v>
      </c>
      <c r="AJ1048" s="582"/>
      <c r="AK1048" s="281"/>
      <c r="AL1048" s="281"/>
      <c r="AM1048" s="281"/>
      <c r="AN1048" s="294"/>
    </row>
    <row r="1049">
      <c r="A1049" s="196" t="str">
        <f t="array" ref="A1049">INDEX('Federal Tax, Stock Buybacks, &amp; '!D:D,match(B1049,'Federal Tax, Stock Buybacks, &amp; '!E:E,0))</f>
        <v>#N/A</v>
      </c>
      <c r="B1049" s="264" t="s">
        <v>2870</v>
      </c>
      <c r="C1049" s="323"/>
      <c r="D1049" s="271"/>
      <c r="E1049" s="324"/>
      <c r="F1049" s="254"/>
      <c r="G1049" s="323"/>
      <c r="H1049" s="271"/>
      <c r="I1049" s="324"/>
      <c r="J1049" s="254"/>
      <c r="K1049" s="323" t="s">
        <v>2875</v>
      </c>
      <c r="L1049" s="271" t="s">
        <v>2876</v>
      </c>
      <c r="M1049" s="324">
        <v>2.1130185E7</v>
      </c>
      <c r="N1049" s="254"/>
      <c r="O1049" s="323" t="s">
        <v>2877</v>
      </c>
      <c r="P1049" s="271" t="s">
        <v>1668</v>
      </c>
      <c r="Q1049" s="324">
        <v>3.5508798E7</v>
      </c>
      <c r="R1049" s="254"/>
      <c r="S1049" s="323" t="s">
        <v>2877</v>
      </c>
      <c r="T1049" s="271" t="s">
        <v>1668</v>
      </c>
      <c r="U1049" s="324">
        <v>2.1758471E7</v>
      </c>
      <c r="V1049" s="254"/>
      <c r="W1049" s="323" t="s">
        <v>2877</v>
      </c>
      <c r="X1049" s="271" t="s">
        <v>1668</v>
      </c>
      <c r="Y1049" s="324">
        <v>2.2257962E7</v>
      </c>
      <c r="Z1049" s="254"/>
      <c r="AA1049" s="323" t="s">
        <v>2873</v>
      </c>
      <c r="AB1049" s="271" t="s">
        <v>1664</v>
      </c>
      <c r="AC1049" s="324">
        <v>2.0662835E7</v>
      </c>
      <c r="AD1049" s="271"/>
      <c r="AE1049" s="277"/>
      <c r="AF1049" s="277"/>
      <c r="AG1049" s="277"/>
      <c r="AH1049" s="277"/>
      <c r="AI1049" s="277"/>
      <c r="AJ1049" s="582"/>
      <c r="AK1049" s="281"/>
      <c r="AL1049" s="281"/>
      <c r="AM1049" s="281"/>
      <c r="AN1049" s="294"/>
    </row>
    <row r="1050">
      <c r="A1050" s="196" t="str">
        <f t="array" ref="A1050">INDEX('Federal Tax, Stock Buybacks, &amp; '!D:D,match(B1050,'Federal Tax, Stock Buybacks, &amp; '!E:E,0))</f>
        <v>#N/A</v>
      </c>
      <c r="B1050" s="264" t="s">
        <v>2870</v>
      </c>
      <c r="C1050" s="323"/>
      <c r="D1050" s="271"/>
      <c r="E1050" s="324"/>
      <c r="F1050" s="254"/>
      <c r="G1050" s="323"/>
      <c r="H1050" s="271"/>
      <c r="I1050" s="324"/>
      <c r="J1050" s="254"/>
      <c r="K1050" s="323" t="s">
        <v>2877</v>
      </c>
      <c r="L1050" s="271" t="s">
        <v>1668</v>
      </c>
      <c r="M1050" s="324">
        <v>2.8981261E7</v>
      </c>
      <c r="N1050" s="254"/>
      <c r="O1050" s="323" t="s">
        <v>2878</v>
      </c>
      <c r="P1050" s="271" t="s">
        <v>2879</v>
      </c>
      <c r="Q1050" s="324">
        <v>2.0370698E7</v>
      </c>
      <c r="R1050" s="254"/>
      <c r="S1050" s="323" t="s">
        <v>2878</v>
      </c>
      <c r="T1050" s="271" t="s">
        <v>2197</v>
      </c>
      <c r="U1050" s="324">
        <v>1.9356214E7</v>
      </c>
      <c r="V1050" s="254"/>
      <c r="W1050" s="323" t="s">
        <v>2878</v>
      </c>
      <c r="X1050" s="271" t="s">
        <v>2197</v>
      </c>
      <c r="Y1050" s="324">
        <v>2.0238095E7</v>
      </c>
      <c r="Z1050" s="254"/>
      <c r="AA1050" s="323" t="s">
        <v>2880</v>
      </c>
      <c r="AB1050" s="271" t="s">
        <v>1696</v>
      </c>
      <c r="AC1050" s="324">
        <v>1.8061634E7</v>
      </c>
      <c r="AD1050" s="271"/>
      <c r="AE1050" s="277"/>
      <c r="AF1050" s="277"/>
      <c r="AG1050" s="277"/>
      <c r="AH1050" s="277"/>
      <c r="AI1050" s="277"/>
      <c r="AJ1050" s="582"/>
      <c r="AK1050" s="281"/>
      <c r="AL1050" s="281"/>
      <c r="AM1050" s="281"/>
      <c r="AN1050" s="294"/>
    </row>
    <row r="1051">
      <c r="A1051" s="196" t="str">
        <f t="array" ref="A1051">INDEX('Federal Tax, Stock Buybacks, &amp; '!D:D,match(B1051,'Federal Tax, Stock Buybacks, &amp; '!E:E,0))</f>
        <v>#N/A</v>
      </c>
      <c r="B1051" s="264" t="s">
        <v>2870</v>
      </c>
      <c r="C1051" s="323"/>
      <c r="D1051" s="271"/>
      <c r="E1051" s="324"/>
      <c r="F1051" s="254"/>
      <c r="G1051" s="323"/>
      <c r="H1051" s="271"/>
      <c r="I1051" s="324"/>
      <c r="J1051" s="254"/>
      <c r="K1051" s="323" t="s">
        <v>2873</v>
      </c>
      <c r="L1051" s="271" t="s">
        <v>1664</v>
      </c>
      <c r="M1051" s="324">
        <v>3.160942E7</v>
      </c>
      <c r="N1051" s="254"/>
      <c r="O1051" s="323" t="s">
        <v>2871</v>
      </c>
      <c r="P1051" s="271" t="s">
        <v>2872</v>
      </c>
      <c r="Q1051" s="324">
        <v>1.2695321E7</v>
      </c>
      <c r="R1051" s="254"/>
      <c r="S1051" s="323" t="s">
        <v>2881</v>
      </c>
      <c r="T1051" s="271" t="s">
        <v>2882</v>
      </c>
      <c r="U1051" s="324">
        <v>1.142878E7</v>
      </c>
      <c r="V1051" s="254"/>
      <c r="W1051" s="323" t="s">
        <v>2881</v>
      </c>
      <c r="X1051" s="271" t="s">
        <v>2882</v>
      </c>
      <c r="Y1051" s="324">
        <v>1.0969457E7</v>
      </c>
      <c r="Z1051" s="254"/>
      <c r="AA1051" s="323" t="s">
        <v>2883</v>
      </c>
      <c r="AB1051" s="271" t="s">
        <v>2884</v>
      </c>
      <c r="AC1051" s="324">
        <v>1.8066467E7</v>
      </c>
      <c r="AD1051" s="271"/>
      <c r="AE1051" s="277"/>
      <c r="AF1051" s="277"/>
      <c r="AG1051" s="277"/>
      <c r="AH1051" s="277"/>
      <c r="AI1051" s="277"/>
      <c r="AJ1051" s="582"/>
      <c r="AK1051" s="281"/>
      <c r="AL1051" s="281"/>
      <c r="AM1051" s="281"/>
      <c r="AN1051" s="294"/>
    </row>
    <row r="1052">
      <c r="A1052" s="196" t="str">
        <f t="array" ref="A1052">INDEX('Federal Tax, Stock Buybacks, &amp; '!D:D,match(B1052,'Federal Tax, Stock Buybacks, &amp; '!E:E,0))</f>
        <v>#N/A</v>
      </c>
      <c r="B1052" s="264" t="s">
        <v>2870</v>
      </c>
      <c r="C1052" s="323"/>
      <c r="D1052" s="271"/>
      <c r="E1052" s="324"/>
      <c r="F1052" s="254"/>
      <c r="G1052" s="323"/>
      <c r="H1052" s="271"/>
      <c r="I1052" s="324"/>
      <c r="J1052" s="254"/>
      <c r="K1052" s="323" t="s">
        <v>2885</v>
      </c>
      <c r="L1052" s="271" t="s">
        <v>2197</v>
      </c>
      <c r="M1052" s="324">
        <v>2.3568553E7</v>
      </c>
      <c r="N1052" s="254"/>
      <c r="O1052" s="323" t="s">
        <v>2875</v>
      </c>
      <c r="P1052" s="271" t="s">
        <v>2876</v>
      </c>
      <c r="Q1052" s="324">
        <v>1.6967355E7</v>
      </c>
      <c r="R1052" s="254"/>
      <c r="S1052" s="323" t="s">
        <v>2886</v>
      </c>
      <c r="T1052" s="271" t="s">
        <v>2887</v>
      </c>
      <c r="U1052" s="324">
        <v>9024996.0</v>
      </c>
      <c r="V1052" s="254"/>
      <c r="W1052" s="323" t="s">
        <v>2886</v>
      </c>
      <c r="X1052" s="271" t="s">
        <v>2261</v>
      </c>
      <c r="Y1052" s="324">
        <v>8365789.0</v>
      </c>
      <c r="Z1052" s="254"/>
      <c r="AA1052" s="323" t="s">
        <v>2877</v>
      </c>
      <c r="AB1052" s="271" t="s">
        <v>1668</v>
      </c>
      <c r="AC1052" s="324">
        <v>1.6814857E7</v>
      </c>
      <c r="AD1052" s="271"/>
      <c r="AE1052" s="277"/>
      <c r="AF1052" s="277"/>
      <c r="AG1052" s="277"/>
      <c r="AH1052" s="277"/>
      <c r="AI1052" s="277"/>
      <c r="AJ1052" s="582"/>
      <c r="AK1052" s="281"/>
      <c r="AL1052" s="281"/>
      <c r="AM1052" s="281"/>
      <c r="AN1052" s="294"/>
    </row>
    <row r="1053">
      <c r="A1053" s="196" t="str">
        <f t="array" ref="A1053">INDEX('Federal Tax, Stock Buybacks, &amp; '!D:D,match(B1053,'Federal Tax, Stock Buybacks, &amp; '!E:E,0))</f>
        <v>#N/A</v>
      </c>
      <c r="B1053" s="264" t="s">
        <v>2870</v>
      </c>
      <c r="C1053" s="326"/>
      <c r="D1053" s="329"/>
      <c r="E1053" s="324"/>
      <c r="F1053" s="254"/>
      <c r="G1053" s="326"/>
      <c r="H1053" s="329"/>
      <c r="I1053" s="324"/>
      <c r="J1053" s="254"/>
      <c r="K1053" s="326" t="s">
        <v>711</v>
      </c>
      <c r="L1053" s="329" t="s">
        <v>711</v>
      </c>
      <c r="M1053" s="324" t="s">
        <v>711</v>
      </c>
      <c r="N1053" s="254"/>
      <c r="O1053" s="326" t="s">
        <v>711</v>
      </c>
      <c r="P1053" s="329" t="s">
        <v>711</v>
      </c>
      <c r="Q1053" s="324" t="s">
        <v>711</v>
      </c>
      <c r="R1053" s="254"/>
      <c r="S1053" s="326" t="s">
        <v>711</v>
      </c>
      <c r="T1053" s="329" t="s">
        <v>711</v>
      </c>
      <c r="U1053" s="324" t="s">
        <v>711</v>
      </c>
      <c r="V1053" s="254"/>
      <c r="W1053" s="326" t="s">
        <v>711</v>
      </c>
      <c r="X1053" s="329" t="s">
        <v>711</v>
      </c>
      <c r="Y1053" s="324" t="s">
        <v>711</v>
      </c>
      <c r="Z1053" s="254"/>
      <c r="AA1053" s="323" t="s">
        <v>2878</v>
      </c>
      <c r="AB1053" s="271" t="s">
        <v>1631</v>
      </c>
      <c r="AC1053" s="324">
        <v>1.5299613E7</v>
      </c>
      <c r="AD1053" s="271"/>
      <c r="AE1053" s="277"/>
      <c r="AF1053" s="277"/>
      <c r="AG1053" s="277"/>
      <c r="AH1053" s="277"/>
      <c r="AI1053" s="277"/>
      <c r="AJ1053" s="582"/>
      <c r="AK1053" s="281"/>
      <c r="AL1053" s="281"/>
      <c r="AM1053" s="281"/>
      <c r="AN1053" s="294"/>
    </row>
    <row r="1054">
      <c r="A1054" s="196" t="str">
        <f t="array" ref="A1054">INDEX('Federal Tax, Stock Buybacks, &amp; '!D:D,match(B1054,'Federal Tax, Stock Buybacks, &amp; '!E:E,0))</f>
        <v>#N/A</v>
      </c>
      <c r="B1054" s="264" t="s">
        <v>2870</v>
      </c>
      <c r="C1054" s="326"/>
      <c r="D1054" s="329"/>
      <c r="E1054" s="324"/>
      <c r="F1054" s="254"/>
      <c r="G1054" s="326"/>
      <c r="H1054" s="329"/>
      <c r="I1054" s="324"/>
      <c r="J1054" s="254"/>
      <c r="K1054" s="326" t="s">
        <v>711</v>
      </c>
      <c r="L1054" s="329" t="s">
        <v>711</v>
      </c>
      <c r="M1054" s="324" t="s">
        <v>711</v>
      </c>
      <c r="N1054" s="254"/>
      <c r="O1054" s="326" t="s">
        <v>711</v>
      </c>
      <c r="P1054" s="329" t="s">
        <v>711</v>
      </c>
      <c r="Q1054" s="324" t="s">
        <v>711</v>
      </c>
      <c r="R1054" s="254"/>
      <c r="S1054" s="326" t="s">
        <v>711</v>
      </c>
      <c r="T1054" s="329" t="s">
        <v>711</v>
      </c>
      <c r="U1054" s="324" t="s">
        <v>711</v>
      </c>
      <c r="V1054" s="254"/>
      <c r="W1054" s="326" t="s">
        <v>711</v>
      </c>
      <c r="X1054" s="329" t="s">
        <v>711</v>
      </c>
      <c r="Y1054" s="324" t="s">
        <v>711</v>
      </c>
      <c r="Z1054" s="254"/>
      <c r="AA1054" s="323" t="s">
        <v>2888</v>
      </c>
      <c r="AB1054" s="271" t="s">
        <v>1696</v>
      </c>
      <c r="AC1054" s="324">
        <v>1.6943756E7</v>
      </c>
      <c r="AD1054" s="271"/>
      <c r="AE1054" s="277"/>
      <c r="AF1054" s="277"/>
      <c r="AG1054" s="277"/>
      <c r="AH1054" s="277"/>
      <c r="AI1054" s="277"/>
      <c r="AJ1054" s="582"/>
      <c r="AK1054" s="281"/>
      <c r="AL1054" s="281"/>
      <c r="AM1054" s="281"/>
      <c r="AN1054" s="294"/>
    </row>
    <row r="1055">
      <c r="A1055" s="196" t="str">
        <f t="array" ref="A1055">INDEX('Federal Tax, Stock Buybacks, &amp; '!D:D,match(B1055,'Federal Tax, Stock Buybacks, &amp; '!E:E,0))</f>
        <v>#N/A</v>
      </c>
      <c r="B1055" s="351" t="s">
        <v>2889</v>
      </c>
      <c r="C1055" s="353"/>
      <c r="D1055" s="355"/>
      <c r="E1055" s="354"/>
      <c r="F1055" s="254"/>
      <c r="G1055" s="353"/>
      <c r="H1055" s="355"/>
      <c r="I1055" s="354"/>
      <c r="J1055" s="254"/>
      <c r="K1055" s="353" t="s">
        <v>2890</v>
      </c>
      <c r="L1055" s="355" t="s">
        <v>2891</v>
      </c>
      <c r="M1055" s="354">
        <v>6289701.0</v>
      </c>
      <c r="N1055" s="254"/>
      <c r="O1055" s="353" t="s">
        <v>2892</v>
      </c>
      <c r="P1055" s="355" t="s">
        <v>1986</v>
      </c>
      <c r="Q1055" s="354">
        <v>4171650.0</v>
      </c>
      <c r="R1055" s="254"/>
      <c r="S1055" s="353" t="s">
        <v>2893</v>
      </c>
      <c r="T1055" s="355" t="s">
        <v>1610</v>
      </c>
      <c r="U1055" s="354">
        <v>1.4476612E7</v>
      </c>
      <c r="V1055" s="254"/>
      <c r="W1055" s="353" t="s">
        <v>2893</v>
      </c>
      <c r="X1055" s="355" t="s">
        <v>1588</v>
      </c>
      <c r="Y1055" s="354">
        <v>1.0732619E7</v>
      </c>
      <c r="Z1055" s="254"/>
      <c r="AA1055" s="353" t="s">
        <v>2894</v>
      </c>
      <c r="AB1055" s="355" t="s">
        <v>1539</v>
      </c>
      <c r="AC1055" s="354">
        <v>1.5215648E7</v>
      </c>
      <c r="AD1055" s="355"/>
      <c r="AE1055" s="356">
        <v>2022.0</v>
      </c>
      <c r="AF1055" s="356">
        <v>2021.0</v>
      </c>
      <c r="AG1055" s="356">
        <v>2020.0</v>
      </c>
      <c r="AH1055" s="356">
        <v>2019.0</v>
      </c>
      <c r="AI1055" s="356">
        <v>2018.0</v>
      </c>
      <c r="AJ1055" s="603" t="s">
        <v>2895</v>
      </c>
      <c r="AK1055" s="281"/>
      <c r="AL1055" s="281"/>
      <c r="AM1055" s="281"/>
      <c r="AN1055" s="294"/>
    </row>
    <row r="1056">
      <c r="A1056" s="196" t="str">
        <f t="array" ref="A1056">INDEX('Federal Tax, Stock Buybacks, &amp; '!D:D,match(B1056,'Federal Tax, Stock Buybacks, &amp; '!E:E,0))</f>
        <v>#N/A</v>
      </c>
      <c r="B1056" s="351" t="s">
        <v>2889</v>
      </c>
      <c r="C1056" s="353"/>
      <c r="D1056" s="355"/>
      <c r="E1056" s="354"/>
      <c r="F1056" s="254"/>
      <c r="G1056" s="353"/>
      <c r="H1056" s="355"/>
      <c r="I1056" s="354"/>
      <c r="J1056" s="254"/>
      <c r="K1056" s="353" t="s">
        <v>2896</v>
      </c>
      <c r="L1056" s="355" t="s">
        <v>1588</v>
      </c>
      <c r="M1056" s="354">
        <v>1.3656506E7</v>
      </c>
      <c r="N1056" s="254"/>
      <c r="O1056" s="353" t="s">
        <v>2890</v>
      </c>
      <c r="P1056" s="355" t="s">
        <v>2891</v>
      </c>
      <c r="Q1056" s="354">
        <v>4080364.0</v>
      </c>
      <c r="R1056" s="254"/>
      <c r="S1056" s="353" t="s">
        <v>2892</v>
      </c>
      <c r="T1056" s="355" t="s">
        <v>1585</v>
      </c>
      <c r="U1056" s="354">
        <v>3418304.0</v>
      </c>
      <c r="V1056" s="254"/>
      <c r="W1056" s="353" t="s">
        <v>2897</v>
      </c>
      <c r="X1056" s="355" t="s">
        <v>2898</v>
      </c>
      <c r="Y1056" s="354">
        <v>3739284.0</v>
      </c>
      <c r="Z1056" s="254"/>
      <c r="AA1056" s="353" t="s">
        <v>2893</v>
      </c>
      <c r="AB1056" s="355" t="s">
        <v>1588</v>
      </c>
      <c r="AC1056" s="354">
        <v>8774577.0</v>
      </c>
      <c r="AD1056" s="355"/>
      <c r="AE1056" s="358"/>
      <c r="AF1056" s="358"/>
      <c r="AG1056" s="358"/>
      <c r="AH1056" s="358"/>
      <c r="AI1056" s="358"/>
      <c r="AJ1056" s="353"/>
      <c r="AK1056" s="281"/>
      <c r="AL1056" s="281"/>
      <c r="AM1056" s="281"/>
      <c r="AN1056" s="294"/>
    </row>
    <row r="1057">
      <c r="A1057" s="196" t="str">
        <f t="array" ref="A1057">INDEX('Federal Tax, Stock Buybacks, &amp; '!D:D,match(B1057,'Federal Tax, Stock Buybacks, &amp; '!E:E,0))</f>
        <v>#N/A</v>
      </c>
      <c r="B1057" s="351" t="s">
        <v>2889</v>
      </c>
      <c r="C1057" s="353"/>
      <c r="D1057" s="355"/>
      <c r="E1057" s="354"/>
      <c r="F1057" s="254"/>
      <c r="G1057" s="353"/>
      <c r="H1057" s="355"/>
      <c r="I1057" s="354"/>
      <c r="J1057" s="254"/>
      <c r="K1057" s="353" t="s">
        <v>2899</v>
      </c>
      <c r="L1057" s="355" t="s">
        <v>1585</v>
      </c>
      <c r="M1057" s="354">
        <v>4322593.0</v>
      </c>
      <c r="N1057" s="254"/>
      <c r="O1057" s="353" t="s">
        <v>2896</v>
      </c>
      <c r="P1057" s="355" t="s">
        <v>1588</v>
      </c>
      <c r="Q1057" s="354">
        <v>2.3197124E7</v>
      </c>
      <c r="R1057" s="254"/>
      <c r="S1057" s="353" t="s">
        <v>2890</v>
      </c>
      <c r="T1057" s="355" t="s">
        <v>2900</v>
      </c>
      <c r="U1057" s="354">
        <v>3590735.0</v>
      </c>
      <c r="V1057" s="254"/>
      <c r="W1057" s="353" t="s">
        <v>2892</v>
      </c>
      <c r="X1057" s="355" t="s">
        <v>1585</v>
      </c>
      <c r="Y1057" s="354">
        <v>3940439.0</v>
      </c>
      <c r="Z1057" s="254"/>
      <c r="AA1057" s="353" t="s">
        <v>2897</v>
      </c>
      <c r="AB1057" s="355" t="s">
        <v>2901</v>
      </c>
      <c r="AC1057" s="354">
        <v>4018742.0</v>
      </c>
      <c r="AD1057" s="355"/>
      <c r="AE1057" s="358"/>
      <c r="AF1057" s="358"/>
      <c r="AG1057" s="358"/>
      <c r="AH1057" s="358"/>
      <c r="AI1057" s="358"/>
      <c r="AJ1057" s="353"/>
      <c r="AK1057" s="281"/>
      <c r="AL1057" s="281"/>
      <c r="AM1057" s="281"/>
      <c r="AN1057" s="294"/>
    </row>
    <row r="1058">
      <c r="A1058" s="196" t="str">
        <f t="array" ref="A1058">INDEX('Federal Tax, Stock Buybacks, &amp; '!D:D,match(B1058,'Federal Tax, Stock Buybacks, &amp; '!E:E,0))</f>
        <v>#N/A</v>
      </c>
      <c r="B1058" s="351" t="s">
        <v>2889</v>
      </c>
      <c r="C1058" s="353"/>
      <c r="D1058" s="355"/>
      <c r="E1058" s="354"/>
      <c r="F1058" s="254"/>
      <c r="G1058" s="353"/>
      <c r="H1058" s="355"/>
      <c r="I1058" s="354"/>
      <c r="J1058" s="254"/>
      <c r="K1058" s="353" t="s">
        <v>2902</v>
      </c>
      <c r="L1058" s="355" t="s">
        <v>2903</v>
      </c>
      <c r="M1058" s="354">
        <v>3479363.0</v>
      </c>
      <c r="N1058" s="254"/>
      <c r="O1058" s="353" t="s">
        <v>2899</v>
      </c>
      <c r="P1058" s="355" t="s">
        <v>1585</v>
      </c>
      <c r="Q1058" s="354">
        <v>3931410.0</v>
      </c>
      <c r="R1058" s="254"/>
      <c r="S1058" s="353" t="s">
        <v>2904</v>
      </c>
      <c r="T1058" s="355" t="s">
        <v>2905</v>
      </c>
      <c r="U1058" s="354">
        <v>3494259.0</v>
      </c>
      <c r="V1058" s="254"/>
      <c r="W1058" s="353" t="s">
        <v>2906</v>
      </c>
      <c r="X1058" s="355" t="s">
        <v>2011</v>
      </c>
      <c r="Y1058" s="354">
        <v>3923010.0</v>
      </c>
      <c r="Z1058" s="254"/>
      <c r="AA1058" s="353" t="s">
        <v>2892</v>
      </c>
      <c r="AB1058" s="355" t="s">
        <v>1585</v>
      </c>
      <c r="AC1058" s="354">
        <v>4769519.0</v>
      </c>
      <c r="AD1058" s="355"/>
      <c r="AE1058" s="358"/>
      <c r="AF1058" s="358"/>
      <c r="AG1058" s="358"/>
      <c r="AH1058" s="358"/>
      <c r="AI1058" s="358"/>
      <c r="AJ1058" s="353"/>
      <c r="AK1058" s="281"/>
      <c r="AL1058" s="281"/>
      <c r="AM1058" s="281"/>
      <c r="AN1058" s="294"/>
    </row>
    <row r="1059">
      <c r="A1059" s="196" t="str">
        <f t="array" ref="A1059">INDEX('Federal Tax, Stock Buybacks, &amp; '!D:D,match(B1059,'Federal Tax, Stock Buybacks, &amp; '!E:E,0))</f>
        <v>#N/A</v>
      </c>
      <c r="B1059" s="351" t="s">
        <v>2889</v>
      </c>
      <c r="C1059" s="353"/>
      <c r="D1059" s="355"/>
      <c r="E1059" s="354"/>
      <c r="F1059" s="254"/>
      <c r="G1059" s="353"/>
      <c r="H1059" s="355"/>
      <c r="I1059" s="354"/>
      <c r="J1059" s="254"/>
      <c r="K1059" s="353" t="s">
        <v>2907</v>
      </c>
      <c r="L1059" s="355" t="s">
        <v>2908</v>
      </c>
      <c r="M1059" s="354">
        <v>6218213.0</v>
      </c>
      <c r="N1059" s="254"/>
      <c r="O1059" s="353" t="s">
        <v>2902</v>
      </c>
      <c r="P1059" s="355" t="s">
        <v>2905</v>
      </c>
      <c r="Q1059" s="354">
        <v>3526544.0</v>
      </c>
      <c r="R1059" s="254"/>
      <c r="S1059" s="353" t="s">
        <v>2896</v>
      </c>
      <c r="T1059" s="355" t="s">
        <v>1588</v>
      </c>
      <c r="U1059" s="354">
        <v>2.5872425E7</v>
      </c>
      <c r="V1059" s="254"/>
      <c r="W1059" s="353" t="s">
        <v>2890</v>
      </c>
      <c r="X1059" s="355" t="s">
        <v>2909</v>
      </c>
      <c r="Y1059" s="354">
        <v>4083718.0</v>
      </c>
      <c r="Z1059" s="254"/>
      <c r="AA1059" s="353" t="s">
        <v>2906</v>
      </c>
      <c r="AB1059" s="355" t="s">
        <v>2011</v>
      </c>
      <c r="AC1059" s="354">
        <v>4309413.0</v>
      </c>
      <c r="AD1059" s="355"/>
      <c r="AE1059" s="358"/>
      <c r="AF1059" s="358"/>
      <c r="AG1059" s="358"/>
      <c r="AH1059" s="358"/>
      <c r="AI1059" s="358"/>
      <c r="AJ1059" s="353"/>
      <c r="AK1059" s="281"/>
      <c r="AL1059" s="281"/>
      <c r="AM1059" s="281"/>
      <c r="AN1059" s="294"/>
    </row>
    <row r="1060">
      <c r="A1060" s="196" t="str">
        <f t="array" ref="A1060">INDEX('Federal Tax, Stock Buybacks, &amp; '!D:D,match(B1060,'Federal Tax, Stock Buybacks, &amp; '!E:E,0))</f>
        <v>#N/A</v>
      </c>
      <c r="B1060" s="351" t="s">
        <v>2889</v>
      </c>
      <c r="C1060" s="353"/>
      <c r="D1060" s="355"/>
      <c r="E1060" s="354"/>
      <c r="F1060" s="254"/>
      <c r="G1060" s="353"/>
      <c r="H1060" s="355"/>
      <c r="I1060" s="354"/>
      <c r="J1060" s="254"/>
      <c r="K1060" s="353" t="s">
        <v>2910</v>
      </c>
      <c r="L1060" s="355" t="s">
        <v>2905</v>
      </c>
      <c r="M1060" s="354">
        <v>3533956.0</v>
      </c>
      <c r="N1060" s="254"/>
      <c r="O1060" s="353" t="s">
        <v>2907</v>
      </c>
      <c r="P1060" s="430" t="s">
        <v>2911</v>
      </c>
      <c r="Q1060" s="354">
        <v>4620602.0</v>
      </c>
      <c r="R1060" s="254"/>
      <c r="S1060" s="353" t="s">
        <v>2912</v>
      </c>
      <c r="T1060" s="355" t="s">
        <v>2011</v>
      </c>
      <c r="U1060" s="354">
        <v>7089295.0</v>
      </c>
      <c r="V1060" s="254"/>
      <c r="W1060" s="353" t="s">
        <v>2913</v>
      </c>
      <c r="X1060" s="355" t="s">
        <v>2914</v>
      </c>
      <c r="Y1060" s="354">
        <v>2800757.0</v>
      </c>
      <c r="Z1060" s="254"/>
      <c r="AA1060" s="353" t="s">
        <v>2890</v>
      </c>
      <c r="AB1060" s="355" t="s">
        <v>2909</v>
      </c>
      <c r="AC1060" s="354">
        <v>3389814.0</v>
      </c>
      <c r="AD1060" s="355"/>
      <c r="AE1060" s="358"/>
      <c r="AF1060" s="358"/>
      <c r="AG1060" s="358"/>
      <c r="AH1060" s="358"/>
      <c r="AI1060" s="358"/>
      <c r="AJ1060" s="353"/>
      <c r="AK1060" s="281"/>
      <c r="AL1060" s="281"/>
      <c r="AM1060" s="281"/>
      <c r="AN1060" s="294"/>
    </row>
    <row r="1061">
      <c r="A1061" s="196" t="str">
        <f t="array" ref="A1061">INDEX('Federal Tax, Stock Buybacks, &amp; '!D:D,match(B1061,'Federal Tax, Stock Buybacks, &amp; '!E:E,0))</f>
        <v>#N/A</v>
      </c>
      <c r="B1061" s="351" t="s">
        <v>2889</v>
      </c>
      <c r="C1061" s="359"/>
      <c r="D1061" s="219"/>
      <c r="E1061" s="354"/>
      <c r="F1061" s="254"/>
      <c r="G1061" s="359"/>
      <c r="H1061" s="219"/>
      <c r="I1061" s="354"/>
      <c r="J1061" s="254"/>
      <c r="K1061" s="359" t="s">
        <v>711</v>
      </c>
      <c r="L1061" s="219" t="s">
        <v>711</v>
      </c>
      <c r="M1061" s="354" t="s">
        <v>711</v>
      </c>
      <c r="N1061" s="254"/>
      <c r="O1061" s="359" t="s">
        <v>711</v>
      </c>
      <c r="P1061" s="219" t="s">
        <v>711</v>
      </c>
      <c r="Q1061" s="354" t="s">
        <v>711</v>
      </c>
      <c r="R1061" s="254"/>
      <c r="S1061" s="359" t="s">
        <v>711</v>
      </c>
      <c r="T1061" s="219" t="s">
        <v>711</v>
      </c>
      <c r="U1061" s="354" t="s">
        <v>711</v>
      </c>
      <c r="V1061" s="254"/>
      <c r="W1061" s="353" t="s">
        <v>2915</v>
      </c>
      <c r="X1061" s="355" t="s">
        <v>2180</v>
      </c>
      <c r="Y1061" s="354">
        <v>2852565.0</v>
      </c>
      <c r="Z1061" s="254"/>
      <c r="AA1061" s="359" t="s">
        <v>711</v>
      </c>
      <c r="AB1061" s="219" t="s">
        <v>711</v>
      </c>
      <c r="AC1061" s="354" t="s">
        <v>711</v>
      </c>
      <c r="AD1061" s="355"/>
      <c r="AE1061" s="358"/>
      <c r="AF1061" s="358"/>
      <c r="AG1061" s="358"/>
      <c r="AH1061" s="358"/>
      <c r="AI1061" s="358"/>
      <c r="AJ1061" s="353"/>
      <c r="AK1061" s="281"/>
      <c r="AL1061" s="281"/>
      <c r="AM1061" s="281"/>
      <c r="AN1061" s="294"/>
    </row>
    <row r="1062">
      <c r="A1062" s="196" t="str">
        <f t="array" ref="A1062">INDEX('Federal Tax, Stock Buybacks, &amp; '!D:D,match(B1062,'Federal Tax, Stock Buybacks, &amp; '!E:E,0))</f>
        <v>#N/A</v>
      </c>
      <c r="B1062" s="351" t="s">
        <v>2916</v>
      </c>
      <c r="C1062" s="353"/>
      <c r="D1062" s="355"/>
      <c r="E1062" s="354"/>
      <c r="F1062" s="254"/>
      <c r="G1062" s="353"/>
      <c r="H1062" s="355"/>
      <c r="I1062" s="354"/>
      <c r="J1062" s="254"/>
      <c r="K1062" s="353" t="s">
        <v>2917</v>
      </c>
      <c r="L1062" s="355" t="s">
        <v>1837</v>
      </c>
      <c r="M1062" s="354">
        <v>8510621.0</v>
      </c>
      <c r="N1062" s="254"/>
      <c r="O1062" s="352" t="s">
        <v>2917</v>
      </c>
      <c r="P1062" s="355" t="s">
        <v>1606</v>
      </c>
      <c r="Q1062" s="354">
        <v>1.519692E7</v>
      </c>
      <c r="R1062" s="254"/>
      <c r="S1062" s="352" t="s">
        <v>2917</v>
      </c>
      <c r="T1062" s="430" t="s">
        <v>1674</v>
      </c>
      <c r="U1062" s="354">
        <v>2.2088429E7</v>
      </c>
      <c r="V1062" s="254"/>
      <c r="W1062" s="352" t="s">
        <v>2917</v>
      </c>
      <c r="X1062" s="430" t="s">
        <v>1674</v>
      </c>
      <c r="Y1062" s="354">
        <v>2.7648475E7</v>
      </c>
      <c r="Z1062" s="254"/>
      <c r="AA1062" s="352" t="s">
        <v>2917</v>
      </c>
      <c r="AB1062" s="430" t="s">
        <v>1674</v>
      </c>
      <c r="AC1062" s="354">
        <v>2.0934504E7</v>
      </c>
      <c r="AD1062" s="355"/>
      <c r="AE1062" s="356">
        <v>2022.0</v>
      </c>
      <c r="AF1062" s="356">
        <v>2021.0</v>
      </c>
      <c r="AG1062" s="356">
        <v>2020.0</v>
      </c>
      <c r="AH1062" s="356">
        <v>2019.0</v>
      </c>
      <c r="AI1062" s="356">
        <v>2018.0</v>
      </c>
      <c r="AJ1062" s="352"/>
      <c r="AK1062" s="383"/>
      <c r="AL1062" s="281"/>
      <c r="AM1062" s="281"/>
      <c r="AN1062" s="294"/>
    </row>
    <row r="1063">
      <c r="A1063" s="196" t="str">
        <f t="array" ref="A1063">INDEX('Federal Tax, Stock Buybacks, &amp; '!D:D,match(B1063,'Federal Tax, Stock Buybacks, &amp; '!E:E,0))</f>
        <v>#N/A</v>
      </c>
      <c r="B1063" s="351" t="s">
        <v>2916</v>
      </c>
      <c r="C1063" s="353"/>
      <c r="D1063" s="355"/>
      <c r="E1063" s="354"/>
      <c r="F1063" s="254"/>
      <c r="G1063" s="353"/>
      <c r="H1063" s="355"/>
      <c r="I1063" s="354"/>
      <c r="J1063" s="254"/>
      <c r="K1063" s="353" t="s">
        <v>2918</v>
      </c>
      <c r="L1063" s="355" t="s">
        <v>2919</v>
      </c>
      <c r="M1063" s="354">
        <v>1.8650093E7</v>
      </c>
      <c r="N1063" s="254"/>
      <c r="O1063" s="352" t="s">
        <v>2918</v>
      </c>
      <c r="P1063" s="355" t="s">
        <v>2920</v>
      </c>
      <c r="Q1063" s="354">
        <v>1.3722121E7</v>
      </c>
      <c r="R1063" s="254"/>
      <c r="S1063" s="352" t="s">
        <v>2921</v>
      </c>
      <c r="T1063" s="355" t="s">
        <v>2922</v>
      </c>
      <c r="U1063" s="354">
        <v>7824068.0</v>
      </c>
      <c r="V1063" s="254"/>
      <c r="W1063" s="352" t="s">
        <v>2921</v>
      </c>
      <c r="X1063" s="355" t="s">
        <v>2923</v>
      </c>
      <c r="Y1063" s="354">
        <v>9223354.0</v>
      </c>
      <c r="Z1063" s="254"/>
      <c r="AA1063" s="352" t="s">
        <v>2924</v>
      </c>
      <c r="AB1063" s="355" t="s">
        <v>2925</v>
      </c>
      <c r="AC1063" s="354">
        <v>6505073.0</v>
      </c>
      <c r="AD1063" s="355"/>
      <c r="AE1063" s="358"/>
      <c r="AF1063" s="358"/>
      <c r="AG1063" s="358"/>
      <c r="AH1063" s="358"/>
      <c r="AI1063" s="358"/>
      <c r="AJ1063" s="352"/>
      <c r="AK1063" s="383"/>
      <c r="AL1063" s="281"/>
      <c r="AM1063" s="281"/>
      <c r="AN1063" s="294"/>
    </row>
    <row r="1064">
      <c r="A1064" s="196" t="str">
        <f t="array" ref="A1064">INDEX('Federal Tax, Stock Buybacks, &amp; '!D:D,match(B1064,'Federal Tax, Stock Buybacks, &amp; '!E:E,0))</f>
        <v>#N/A</v>
      </c>
      <c r="B1064" s="351" t="s">
        <v>2916</v>
      </c>
      <c r="C1064" s="353"/>
      <c r="D1064" s="430"/>
      <c r="E1064" s="354"/>
      <c r="F1064" s="254"/>
      <c r="G1064" s="353"/>
      <c r="H1064" s="430"/>
      <c r="I1064" s="354"/>
      <c r="J1064" s="254"/>
      <c r="K1064" s="353" t="s">
        <v>2926</v>
      </c>
      <c r="L1064" s="430" t="s">
        <v>1538</v>
      </c>
      <c r="M1064" s="354">
        <v>5896628.0</v>
      </c>
      <c r="N1064" s="254"/>
      <c r="O1064" s="352" t="s">
        <v>2927</v>
      </c>
      <c r="P1064" s="355" t="s">
        <v>2923</v>
      </c>
      <c r="Q1064" s="354">
        <v>5480919.0</v>
      </c>
      <c r="R1064" s="254"/>
      <c r="S1064" s="352" t="s">
        <v>2918</v>
      </c>
      <c r="T1064" s="355" t="s">
        <v>2928</v>
      </c>
      <c r="U1064" s="354">
        <v>6839510.0</v>
      </c>
      <c r="V1064" s="254"/>
      <c r="W1064" s="352" t="s">
        <v>2918</v>
      </c>
      <c r="X1064" s="355" t="s">
        <v>2920</v>
      </c>
      <c r="Y1064" s="354">
        <v>7727188.0</v>
      </c>
      <c r="Z1064" s="254"/>
      <c r="AA1064" s="352" t="s">
        <v>2921</v>
      </c>
      <c r="AB1064" s="355" t="s">
        <v>2923</v>
      </c>
      <c r="AC1064" s="354">
        <v>7098642.0</v>
      </c>
      <c r="AD1064" s="355"/>
      <c r="AE1064" s="358"/>
      <c r="AF1064" s="358"/>
      <c r="AG1064" s="358"/>
      <c r="AH1064" s="358"/>
      <c r="AI1064" s="358"/>
      <c r="AJ1064" s="352"/>
      <c r="AK1064" s="383"/>
      <c r="AL1064" s="281"/>
      <c r="AM1064" s="281"/>
      <c r="AN1064" s="294"/>
    </row>
    <row r="1065">
      <c r="A1065" s="196" t="str">
        <f t="array" ref="A1065">INDEX('Federal Tax, Stock Buybacks, &amp; '!D:D,match(B1065,'Federal Tax, Stock Buybacks, &amp; '!E:E,0))</f>
        <v>#N/A</v>
      </c>
      <c r="B1065" s="351" t="s">
        <v>2916</v>
      </c>
      <c r="C1065" s="353"/>
      <c r="D1065" s="355"/>
      <c r="E1065" s="354"/>
      <c r="F1065" s="254"/>
      <c r="G1065" s="353"/>
      <c r="H1065" s="355"/>
      <c r="I1065" s="354"/>
      <c r="J1065" s="254"/>
      <c r="K1065" s="353" t="s">
        <v>2927</v>
      </c>
      <c r="L1065" s="355" t="s">
        <v>2923</v>
      </c>
      <c r="M1065" s="354">
        <v>7766063.0</v>
      </c>
      <c r="N1065" s="254"/>
      <c r="O1065" s="352" t="s">
        <v>2929</v>
      </c>
      <c r="P1065" s="355" t="s">
        <v>1585</v>
      </c>
      <c r="Q1065" s="354">
        <v>4221454.0</v>
      </c>
      <c r="R1065" s="254"/>
      <c r="S1065" s="352" t="s">
        <v>2930</v>
      </c>
      <c r="T1065" s="355" t="s">
        <v>2931</v>
      </c>
      <c r="U1065" s="354">
        <v>4946155.0</v>
      </c>
      <c r="V1065" s="254"/>
      <c r="W1065" s="352" t="s">
        <v>2926</v>
      </c>
      <c r="X1065" s="355" t="s">
        <v>1864</v>
      </c>
      <c r="Y1065" s="354">
        <v>5045720.0</v>
      </c>
      <c r="Z1065" s="254"/>
      <c r="AA1065" s="352" t="s">
        <v>2918</v>
      </c>
      <c r="AB1065" s="355" t="s">
        <v>2920</v>
      </c>
      <c r="AC1065" s="354">
        <v>6620840.0</v>
      </c>
      <c r="AD1065" s="355"/>
      <c r="AE1065" s="358"/>
      <c r="AF1065" s="358"/>
      <c r="AG1065" s="358"/>
      <c r="AH1065" s="358"/>
      <c r="AI1065" s="358"/>
      <c r="AJ1065" s="352"/>
      <c r="AK1065" s="383"/>
      <c r="AL1065" s="281"/>
      <c r="AM1065" s="281"/>
      <c r="AN1065" s="294"/>
    </row>
    <row r="1066">
      <c r="A1066" s="196" t="str">
        <f t="array" ref="A1066">INDEX('Federal Tax, Stock Buybacks, &amp; '!D:D,match(B1066,'Federal Tax, Stock Buybacks, &amp; '!E:E,0))</f>
        <v>#N/A</v>
      </c>
      <c r="B1066" s="351" t="s">
        <v>2916</v>
      </c>
      <c r="C1066" s="353"/>
      <c r="D1066" s="355"/>
      <c r="E1066" s="354"/>
      <c r="F1066" s="254"/>
      <c r="G1066" s="353"/>
      <c r="H1066" s="355"/>
      <c r="I1066" s="354"/>
      <c r="J1066" s="254"/>
      <c r="K1066" s="353" t="s">
        <v>2929</v>
      </c>
      <c r="L1066" s="355" t="s">
        <v>1585</v>
      </c>
      <c r="M1066" s="354">
        <v>5702438.0</v>
      </c>
      <c r="N1066" s="254"/>
      <c r="O1066" s="352" t="s">
        <v>2932</v>
      </c>
      <c r="P1066" s="355" t="s">
        <v>2933</v>
      </c>
      <c r="Q1066" s="354">
        <v>9921071.0</v>
      </c>
      <c r="R1066" s="254"/>
      <c r="S1066" s="352" t="s">
        <v>2926</v>
      </c>
      <c r="T1066" s="355" t="s">
        <v>1864</v>
      </c>
      <c r="U1066" s="354">
        <v>4557155.0</v>
      </c>
      <c r="V1066" s="254"/>
      <c r="W1066" s="352" t="s">
        <v>2930</v>
      </c>
      <c r="X1066" s="355" t="s">
        <v>2931</v>
      </c>
      <c r="Y1066" s="354">
        <v>5418593.0</v>
      </c>
      <c r="Z1066" s="254"/>
      <c r="AA1066" s="352" t="s">
        <v>2926</v>
      </c>
      <c r="AB1066" s="430" t="s">
        <v>1538</v>
      </c>
      <c r="AC1066" s="354">
        <v>5193619.0</v>
      </c>
      <c r="AD1066" s="355"/>
      <c r="AE1066" s="358"/>
      <c r="AF1066" s="358"/>
      <c r="AG1066" s="358"/>
      <c r="AH1066" s="358"/>
      <c r="AI1066" s="358"/>
      <c r="AJ1066" s="352"/>
      <c r="AK1066" s="383"/>
      <c r="AL1066" s="281"/>
      <c r="AM1066" s="281"/>
      <c r="AN1066" s="294"/>
    </row>
    <row r="1067">
      <c r="A1067" s="196" t="str">
        <f t="array" ref="A1067">INDEX('Federal Tax, Stock Buybacks, &amp; '!D:D,match(B1067,'Federal Tax, Stock Buybacks, &amp; '!E:E,0))</f>
        <v>#N/A</v>
      </c>
      <c r="B1067" s="351" t="s">
        <v>2916</v>
      </c>
      <c r="C1067" s="353"/>
      <c r="D1067" s="355"/>
      <c r="E1067" s="354"/>
      <c r="F1067" s="254"/>
      <c r="G1067" s="353"/>
      <c r="H1067" s="355"/>
      <c r="I1067" s="354"/>
      <c r="J1067" s="254"/>
      <c r="K1067" s="353" t="s">
        <v>2934</v>
      </c>
      <c r="L1067" s="355" t="s">
        <v>2935</v>
      </c>
      <c r="M1067" s="354">
        <v>1.3937264E7</v>
      </c>
      <c r="N1067" s="254"/>
      <c r="O1067" s="352" t="s">
        <v>2936</v>
      </c>
      <c r="P1067" s="430" t="s">
        <v>2937</v>
      </c>
      <c r="Q1067" s="354">
        <v>6841000.0</v>
      </c>
      <c r="R1067" s="254"/>
      <c r="S1067" s="359" t="s">
        <v>711</v>
      </c>
      <c r="T1067" s="219" t="s">
        <v>711</v>
      </c>
      <c r="U1067" s="354" t="s">
        <v>711</v>
      </c>
      <c r="V1067" s="254"/>
      <c r="W1067" s="359" t="s">
        <v>711</v>
      </c>
      <c r="X1067" s="219" t="s">
        <v>711</v>
      </c>
      <c r="Y1067" s="354" t="s">
        <v>711</v>
      </c>
      <c r="Z1067" s="254"/>
      <c r="AA1067" s="359" t="s">
        <v>711</v>
      </c>
      <c r="AB1067" s="219" t="s">
        <v>711</v>
      </c>
      <c r="AC1067" s="354" t="s">
        <v>711</v>
      </c>
      <c r="AD1067" s="355"/>
      <c r="AE1067" s="358"/>
      <c r="AF1067" s="358"/>
      <c r="AG1067" s="358"/>
      <c r="AH1067" s="358"/>
      <c r="AI1067" s="358"/>
      <c r="AJ1067" s="352"/>
      <c r="AK1067" s="383"/>
      <c r="AL1067" s="281"/>
      <c r="AM1067" s="281"/>
      <c r="AN1067" s="294"/>
    </row>
    <row r="1068">
      <c r="A1068" s="196" t="str">
        <f t="array" ref="A1068">INDEX('Federal Tax, Stock Buybacks, &amp; '!D:D,match(B1068,'Federal Tax, Stock Buybacks, &amp; '!E:E,0))</f>
        <v>#N/A</v>
      </c>
      <c r="B1068" s="351" t="s">
        <v>2916</v>
      </c>
      <c r="C1068" s="359"/>
      <c r="D1068" s="219"/>
      <c r="E1068" s="354"/>
      <c r="F1068" s="254"/>
      <c r="G1068" s="359"/>
      <c r="H1068" s="219"/>
      <c r="I1068" s="354"/>
      <c r="J1068" s="254"/>
      <c r="K1068" s="359" t="s">
        <v>711</v>
      </c>
      <c r="L1068" s="219" t="s">
        <v>711</v>
      </c>
      <c r="M1068" s="354" t="s">
        <v>711</v>
      </c>
      <c r="N1068" s="254"/>
      <c r="O1068" s="352" t="s">
        <v>2926</v>
      </c>
      <c r="P1068" s="430" t="s">
        <v>1538</v>
      </c>
      <c r="Q1068" s="354">
        <v>5185745.0</v>
      </c>
      <c r="R1068" s="254"/>
      <c r="S1068" s="359" t="s">
        <v>711</v>
      </c>
      <c r="T1068" s="219" t="s">
        <v>711</v>
      </c>
      <c r="U1068" s="354" t="s">
        <v>711</v>
      </c>
      <c r="V1068" s="254"/>
      <c r="W1068" s="359" t="s">
        <v>711</v>
      </c>
      <c r="X1068" s="219" t="s">
        <v>711</v>
      </c>
      <c r="Y1068" s="354" t="s">
        <v>711</v>
      </c>
      <c r="Z1068" s="254"/>
      <c r="AA1068" s="359" t="s">
        <v>711</v>
      </c>
      <c r="AB1068" s="219" t="s">
        <v>711</v>
      </c>
      <c r="AC1068" s="354" t="s">
        <v>711</v>
      </c>
      <c r="AD1068" s="355"/>
      <c r="AE1068" s="358"/>
      <c r="AF1068" s="358"/>
      <c r="AG1068" s="358"/>
      <c r="AH1068" s="358"/>
      <c r="AI1068" s="358"/>
      <c r="AJ1068" s="352"/>
      <c r="AK1068" s="383"/>
      <c r="AL1068" s="281"/>
      <c r="AM1068" s="281"/>
      <c r="AN1068" s="294"/>
    </row>
    <row r="1069">
      <c r="A1069" s="196" t="str">
        <f t="array" ref="A1069">INDEX('Federal Tax, Stock Buybacks, &amp; '!D:D,match(B1069,'Federal Tax, Stock Buybacks, &amp; '!E:E,0))</f>
        <v>#N/A</v>
      </c>
      <c r="B1069" s="264" t="s">
        <v>2938</v>
      </c>
      <c r="C1069" s="323"/>
      <c r="D1069" s="271"/>
      <c r="E1069" s="324"/>
      <c r="F1069" s="254"/>
      <c r="G1069" s="323"/>
      <c r="H1069" s="271"/>
      <c r="I1069" s="324"/>
      <c r="J1069" s="254"/>
      <c r="K1069" s="323" t="s">
        <v>2939</v>
      </c>
      <c r="L1069" s="271" t="s">
        <v>2940</v>
      </c>
      <c r="M1069" s="324">
        <v>1.5005001E7</v>
      </c>
      <c r="N1069" s="254"/>
      <c r="O1069" s="323" t="s">
        <v>2939</v>
      </c>
      <c r="P1069" s="271" t="s">
        <v>2940</v>
      </c>
      <c r="Q1069" s="324">
        <v>1.906692E7</v>
      </c>
      <c r="R1069" s="254"/>
      <c r="S1069" s="323" t="s">
        <v>2939</v>
      </c>
      <c r="T1069" s="271" t="s">
        <v>2940</v>
      </c>
      <c r="U1069" s="324">
        <v>2.1126386E7</v>
      </c>
      <c r="V1069" s="254"/>
      <c r="W1069" s="323" t="s">
        <v>2939</v>
      </c>
      <c r="X1069" s="271" t="s">
        <v>2940</v>
      </c>
      <c r="Y1069" s="324">
        <v>1.9615696E7</v>
      </c>
      <c r="Z1069" s="254"/>
      <c r="AA1069" s="323" t="s">
        <v>2939</v>
      </c>
      <c r="AB1069" s="271" t="s">
        <v>2940</v>
      </c>
      <c r="AC1069" s="324">
        <v>1.8687246E7</v>
      </c>
      <c r="AD1069" s="271"/>
      <c r="AE1069" s="272">
        <v>2022.0</v>
      </c>
      <c r="AF1069" s="272">
        <v>2021.0</v>
      </c>
      <c r="AG1069" s="272">
        <v>2020.0</v>
      </c>
      <c r="AH1069" s="272">
        <v>2019.0</v>
      </c>
      <c r="AI1069" s="272">
        <v>2018.0</v>
      </c>
      <c r="AJ1069" s="582"/>
      <c r="AK1069" s="281"/>
      <c r="AL1069" s="281"/>
      <c r="AM1069" s="281"/>
      <c r="AN1069" s="294"/>
    </row>
    <row r="1070">
      <c r="A1070" s="196" t="str">
        <f t="array" ref="A1070">INDEX('Federal Tax, Stock Buybacks, &amp; '!D:D,match(B1070,'Federal Tax, Stock Buybacks, &amp; '!E:E,0))</f>
        <v>#N/A</v>
      </c>
      <c r="B1070" s="264" t="s">
        <v>2938</v>
      </c>
      <c r="C1070" s="323"/>
      <c r="D1070" s="271"/>
      <c r="E1070" s="324"/>
      <c r="F1070" s="254"/>
      <c r="G1070" s="323"/>
      <c r="H1070" s="271"/>
      <c r="I1070" s="324"/>
      <c r="J1070" s="254"/>
      <c r="K1070" s="323" t="s">
        <v>2941</v>
      </c>
      <c r="L1070" s="271" t="s">
        <v>2942</v>
      </c>
      <c r="M1070" s="324">
        <v>4072002.0</v>
      </c>
      <c r="N1070" s="254"/>
      <c r="O1070" s="323" t="s">
        <v>2941</v>
      </c>
      <c r="P1070" s="271" t="s">
        <v>2943</v>
      </c>
      <c r="Q1070" s="324">
        <v>6670265.0</v>
      </c>
      <c r="R1070" s="254"/>
      <c r="S1070" s="323" t="s">
        <v>2941</v>
      </c>
      <c r="T1070" s="271" t="s">
        <v>2943</v>
      </c>
      <c r="U1070" s="324">
        <v>5987179.0</v>
      </c>
      <c r="V1070" s="254"/>
      <c r="W1070" s="323" t="s">
        <v>2941</v>
      </c>
      <c r="X1070" s="604" t="s">
        <v>2944</v>
      </c>
      <c r="Y1070" s="324">
        <v>4841240.0</v>
      </c>
      <c r="Z1070" s="254"/>
      <c r="AA1070" s="323" t="s">
        <v>2945</v>
      </c>
      <c r="AB1070" s="271" t="s">
        <v>1991</v>
      </c>
      <c r="AC1070" s="324">
        <v>7157835.0</v>
      </c>
      <c r="AD1070" s="271"/>
      <c r="AE1070" s="277"/>
      <c r="AF1070" s="277"/>
      <c r="AG1070" s="277"/>
      <c r="AH1070" s="277"/>
      <c r="AI1070" s="277"/>
      <c r="AJ1070" s="582"/>
      <c r="AK1070" s="281"/>
      <c r="AL1070" s="281"/>
      <c r="AM1070" s="281"/>
      <c r="AN1070" s="294"/>
    </row>
    <row r="1071">
      <c r="A1071" s="196" t="str">
        <f t="array" ref="A1071">INDEX('Federal Tax, Stock Buybacks, &amp; '!D:D,match(B1071,'Federal Tax, Stock Buybacks, &amp; '!E:E,0))</f>
        <v>#N/A</v>
      </c>
      <c r="B1071" s="264" t="s">
        <v>2938</v>
      </c>
      <c r="C1071" s="323"/>
      <c r="D1071" s="271"/>
      <c r="E1071" s="324"/>
      <c r="F1071" s="254"/>
      <c r="G1071" s="323"/>
      <c r="H1071" s="271"/>
      <c r="I1071" s="324"/>
      <c r="J1071" s="254"/>
      <c r="K1071" s="323" t="s">
        <v>2946</v>
      </c>
      <c r="L1071" s="271" t="s">
        <v>2947</v>
      </c>
      <c r="M1071" s="324">
        <v>3014879.0</v>
      </c>
      <c r="N1071" s="254"/>
      <c r="O1071" s="323" t="s">
        <v>2948</v>
      </c>
      <c r="P1071" s="604" t="s">
        <v>2949</v>
      </c>
      <c r="Q1071" s="324">
        <v>5426340.0</v>
      </c>
      <c r="R1071" s="254"/>
      <c r="S1071" s="323" t="s">
        <v>2948</v>
      </c>
      <c r="T1071" s="604" t="s">
        <v>2949</v>
      </c>
      <c r="U1071" s="324">
        <v>4985483.0</v>
      </c>
      <c r="V1071" s="254"/>
      <c r="W1071" s="323" t="s">
        <v>2945</v>
      </c>
      <c r="X1071" s="271" t="s">
        <v>1991</v>
      </c>
      <c r="Y1071" s="324">
        <v>6978948.0</v>
      </c>
      <c r="Z1071" s="254"/>
      <c r="AA1071" s="323" t="s">
        <v>2950</v>
      </c>
      <c r="AB1071" s="271" t="s">
        <v>1585</v>
      </c>
      <c r="AC1071" s="324">
        <v>4326798.0</v>
      </c>
      <c r="AD1071" s="271"/>
      <c r="AE1071" s="277"/>
      <c r="AF1071" s="277"/>
      <c r="AG1071" s="277"/>
      <c r="AH1071" s="277"/>
      <c r="AI1071" s="277"/>
      <c r="AJ1071" s="582"/>
      <c r="AK1071" s="281"/>
      <c r="AL1071" s="281"/>
      <c r="AM1071" s="281"/>
      <c r="AN1071" s="294"/>
    </row>
    <row r="1072">
      <c r="A1072" s="196" t="str">
        <f t="array" ref="A1072">INDEX('Federal Tax, Stock Buybacks, &amp; '!D:D,match(B1072,'Federal Tax, Stock Buybacks, &amp; '!E:E,0))</f>
        <v>#N/A</v>
      </c>
      <c r="B1072" s="264" t="s">
        <v>2938</v>
      </c>
      <c r="C1072" s="323"/>
      <c r="D1072" s="271"/>
      <c r="E1072" s="324"/>
      <c r="F1072" s="254"/>
      <c r="G1072" s="323"/>
      <c r="H1072" s="271"/>
      <c r="I1072" s="324"/>
      <c r="J1072" s="254"/>
      <c r="K1072" s="323" t="s">
        <v>2948</v>
      </c>
      <c r="L1072" s="271" t="s">
        <v>2951</v>
      </c>
      <c r="M1072" s="324">
        <v>4457624.0</v>
      </c>
      <c r="N1072" s="254"/>
      <c r="O1072" s="323" t="s">
        <v>2950</v>
      </c>
      <c r="P1072" s="271" t="s">
        <v>1585</v>
      </c>
      <c r="Q1072" s="324">
        <v>4519516.0</v>
      </c>
      <c r="R1072" s="254"/>
      <c r="S1072" s="323" t="s">
        <v>2950</v>
      </c>
      <c r="T1072" s="271" t="s">
        <v>1585</v>
      </c>
      <c r="U1072" s="324">
        <v>4843076.0</v>
      </c>
      <c r="V1072" s="254"/>
      <c r="W1072" s="323" t="s">
        <v>2950</v>
      </c>
      <c r="X1072" s="271" t="s">
        <v>1585</v>
      </c>
      <c r="Y1072" s="324">
        <v>4426145.0</v>
      </c>
      <c r="Z1072" s="254"/>
      <c r="AA1072" s="323" t="s">
        <v>2948</v>
      </c>
      <c r="AB1072" s="271" t="s">
        <v>2952</v>
      </c>
      <c r="AC1072" s="324">
        <v>6764401.0</v>
      </c>
      <c r="AD1072" s="271"/>
      <c r="AE1072" s="277"/>
      <c r="AF1072" s="277"/>
      <c r="AG1072" s="277"/>
      <c r="AH1072" s="277"/>
      <c r="AI1072" s="277"/>
      <c r="AJ1072" s="582"/>
      <c r="AK1072" s="281"/>
      <c r="AL1072" s="281"/>
      <c r="AM1072" s="281"/>
      <c r="AN1072" s="294"/>
    </row>
    <row r="1073">
      <c r="A1073" s="196" t="str">
        <f t="array" ref="A1073">INDEX('Federal Tax, Stock Buybacks, &amp; '!D:D,match(B1073,'Federal Tax, Stock Buybacks, &amp; '!E:E,0))</f>
        <v>#N/A</v>
      </c>
      <c r="B1073" s="264" t="s">
        <v>2938</v>
      </c>
      <c r="C1073" s="323"/>
      <c r="D1073" s="271"/>
      <c r="E1073" s="324"/>
      <c r="F1073" s="254"/>
      <c r="G1073" s="323"/>
      <c r="H1073" s="271"/>
      <c r="I1073" s="324"/>
      <c r="J1073" s="254"/>
      <c r="K1073" s="323" t="s">
        <v>2950</v>
      </c>
      <c r="L1073" s="271" t="s">
        <v>2953</v>
      </c>
      <c r="M1073" s="324">
        <v>3842783.0</v>
      </c>
      <c r="N1073" s="254"/>
      <c r="O1073" s="323" t="s">
        <v>2954</v>
      </c>
      <c r="P1073" s="271" t="s">
        <v>2953</v>
      </c>
      <c r="Q1073" s="324">
        <v>5576715.0</v>
      </c>
      <c r="R1073" s="254"/>
      <c r="S1073" s="323" t="s">
        <v>2954</v>
      </c>
      <c r="T1073" s="271" t="s">
        <v>2953</v>
      </c>
      <c r="U1073" s="324">
        <v>5099879.0</v>
      </c>
      <c r="V1073" s="254"/>
      <c r="W1073" s="323" t="s">
        <v>2954</v>
      </c>
      <c r="X1073" s="271" t="s">
        <v>2953</v>
      </c>
      <c r="Y1073" s="324">
        <v>4690549.0</v>
      </c>
      <c r="Z1073" s="254"/>
      <c r="AA1073" s="323" t="s">
        <v>2954</v>
      </c>
      <c r="AB1073" s="271" t="s">
        <v>2953</v>
      </c>
      <c r="AC1073" s="324">
        <v>5316299.0</v>
      </c>
      <c r="AD1073" s="271"/>
      <c r="AE1073" s="277"/>
      <c r="AF1073" s="277"/>
      <c r="AG1073" s="277"/>
      <c r="AH1073" s="277"/>
      <c r="AI1073" s="277"/>
      <c r="AJ1073" s="582"/>
      <c r="AK1073" s="281"/>
      <c r="AL1073" s="281"/>
      <c r="AM1073" s="281"/>
      <c r="AN1073" s="294"/>
    </row>
    <row r="1074">
      <c r="A1074" s="196" t="str">
        <f t="array" ref="A1074">INDEX('Federal Tax, Stock Buybacks, &amp; '!D:D,match(B1074,'Federal Tax, Stock Buybacks, &amp; '!E:E,0))</f>
        <v>#N/A</v>
      </c>
      <c r="B1074" s="264" t="s">
        <v>2938</v>
      </c>
      <c r="C1074" s="323"/>
      <c r="D1074" s="271"/>
      <c r="E1074" s="324"/>
      <c r="F1074" s="254"/>
      <c r="G1074" s="323"/>
      <c r="H1074" s="271"/>
      <c r="I1074" s="324"/>
      <c r="J1074" s="254"/>
      <c r="K1074" s="323" t="s">
        <v>2954</v>
      </c>
      <c r="L1074" s="271" t="s">
        <v>2955</v>
      </c>
      <c r="M1074" s="324">
        <v>3684377.0</v>
      </c>
      <c r="N1074" s="254"/>
      <c r="O1074" s="326" t="s">
        <v>711</v>
      </c>
      <c r="P1074" s="329" t="s">
        <v>711</v>
      </c>
      <c r="Q1074" s="324" t="s">
        <v>711</v>
      </c>
      <c r="R1074" s="254"/>
      <c r="S1074" s="326" t="s">
        <v>711</v>
      </c>
      <c r="T1074" s="329" t="s">
        <v>711</v>
      </c>
      <c r="U1074" s="324" t="s">
        <v>711</v>
      </c>
      <c r="V1074" s="254"/>
      <c r="W1074" s="323" t="s">
        <v>2948</v>
      </c>
      <c r="X1074" s="604" t="s">
        <v>2949</v>
      </c>
      <c r="Y1074" s="324">
        <v>4241699.0</v>
      </c>
      <c r="Z1074" s="254"/>
      <c r="AA1074" s="323" t="s">
        <v>2941</v>
      </c>
      <c r="AB1074" s="604" t="s">
        <v>2944</v>
      </c>
      <c r="AC1074" s="324">
        <v>5234696.0</v>
      </c>
      <c r="AD1074" s="271"/>
      <c r="AE1074" s="277"/>
      <c r="AF1074" s="277"/>
      <c r="AG1074" s="277"/>
      <c r="AH1074" s="277"/>
      <c r="AI1074" s="277"/>
      <c r="AJ1074" s="582"/>
      <c r="AK1074" s="281"/>
      <c r="AL1074" s="281"/>
      <c r="AM1074" s="281"/>
      <c r="AN1074" s="294"/>
    </row>
    <row r="1075">
      <c r="A1075" s="196" t="str">
        <f t="array" ref="A1075">INDEX('Federal Tax, Stock Buybacks, &amp; '!D:D,match(B1075,'Federal Tax, Stock Buybacks, &amp; '!E:E,0))</f>
        <v>#N/A</v>
      </c>
      <c r="B1075" s="264" t="s">
        <v>2938</v>
      </c>
      <c r="C1075" s="323"/>
      <c r="D1075" s="271"/>
      <c r="E1075" s="324"/>
      <c r="F1075" s="254"/>
      <c r="G1075" s="323"/>
      <c r="H1075" s="271"/>
      <c r="I1075" s="324"/>
      <c r="J1075" s="254"/>
      <c r="K1075" s="323" t="s">
        <v>2956</v>
      </c>
      <c r="L1075" s="271" t="s">
        <v>1871</v>
      </c>
      <c r="M1075" s="324">
        <v>2965324.0</v>
      </c>
      <c r="N1075" s="254"/>
      <c r="O1075" s="326" t="s">
        <v>711</v>
      </c>
      <c r="P1075" s="329" t="s">
        <v>711</v>
      </c>
      <c r="Q1075" s="324" t="s">
        <v>711</v>
      </c>
      <c r="R1075" s="254"/>
      <c r="S1075" s="326" t="s">
        <v>711</v>
      </c>
      <c r="T1075" s="329" t="s">
        <v>711</v>
      </c>
      <c r="U1075" s="324" t="s">
        <v>711</v>
      </c>
      <c r="V1075" s="254"/>
      <c r="W1075" s="326" t="s">
        <v>711</v>
      </c>
      <c r="X1075" s="329" t="s">
        <v>711</v>
      </c>
      <c r="Y1075" s="324" t="s">
        <v>711</v>
      </c>
      <c r="Z1075" s="254"/>
      <c r="AA1075" s="326" t="s">
        <v>711</v>
      </c>
      <c r="AB1075" s="329" t="s">
        <v>711</v>
      </c>
      <c r="AC1075" s="324" t="s">
        <v>711</v>
      </c>
      <c r="AD1075" s="271"/>
      <c r="AE1075" s="277"/>
      <c r="AF1075" s="277"/>
      <c r="AG1075" s="277"/>
      <c r="AH1075" s="277"/>
      <c r="AI1075" s="277"/>
      <c r="AJ1075" s="582"/>
      <c r="AK1075" s="281"/>
      <c r="AL1075" s="281"/>
      <c r="AM1075" s="281"/>
      <c r="AN1075" s="294"/>
    </row>
    <row r="1076">
      <c r="A1076" s="196" t="str">
        <f t="array" ref="A1076">INDEX('Federal Tax, Stock Buybacks, &amp; '!D:D,match(B1076,'Federal Tax, Stock Buybacks, &amp; '!E:E,0))</f>
        <v>#N/A</v>
      </c>
      <c r="B1076" s="264" t="s">
        <v>2938</v>
      </c>
      <c r="C1076" s="323"/>
      <c r="D1076" s="271"/>
      <c r="E1076" s="324"/>
      <c r="F1076" s="254"/>
      <c r="G1076" s="323"/>
      <c r="H1076" s="271"/>
      <c r="I1076" s="324"/>
      <c r="J1076" s="254"/>
      <c r="K1076" s="323" t="s">
        <v>2957</v>
      </c>
      <c r="L1076" s="271" t="s">
        <v>1585</v>
      </c>
      <c r="M1076" s="324">
        <v>2451155.0</v>
      </c>
      <c r="N1076" s="254"/>
      <c r="O1076" s="326" t="s">
        <v>711</v>
      </c>
      <c r="P1076" s="329" t="s">
        <v>711</v>
      </c>
      <c r="Q1076" s="324" t="s">
        <v>711</v>
      </c>
      <c r="R1076" s="254"/>
      <c r="S1076" s="326" t="s">
        <v>711</v>
      </c>
      <c r="T1076" s="329" t="s">
        <v>711</v>
      </c>
      <c r="U1076" s="324" t="s">
        <v>711</v>
      </c>
      <c r="V1076" s="254"/>
      <c r="W1076" s="326" t="s">
        <v>711</v>
      </c>
      <c r="X1076" s="329" t="s">
        <v>711</v>
      </c>
      <c r="Y1076" s="324" t="s">
        <v>711</v>
      </c>
      <c r="Z1076" s="254"/>
      <c r="AA1076" s="326" t="s">
        <v>711</v>
      </c>
      <c r="AB1076" s="329" t="s">
        <v>711</v>
      </c>
      <c r="AC1076" s="324" t="s">
        <v>711</v>
      </c>
      <c r="AD1076" s="271"/>
      <c r="AE1076" s="277"/>
      <c r="AF1076" s="277"/>
      <c r="AG1076" s="277"/>
      <c r="AH1076" s="277"/>
      <c r="AI1076" s="277"/>
      <c r="AJ1076" s="582"/>
      <c r="AK1076" s="281"/>
      <c r="AL1076" s="281"/>
      <c r="AM1076" s="281"/>
      <c r="AN1076" s="294"/>
    </row>
    <row r="1077">
      <c r="A1077" s="196" t="str">
        <f t="array" ref="A1077">INDEX('Federal Tax, Stock Buybacks, &amp; '!D:D,match(B1077,'Federal Tax, Stock Buybacks, &amp; '!E:E,0))</f>
        <v>#N/A</v>
      </c>
      <c r="B1077" s="351" t="s">
        <v>2958</v>
      </c>
      <c r="C1077" s="353"/>
      <c r="D1077" s="605"/>
      <c r="E1077" s="354"/>
      <c r="F1077" s="254"/>
      <c r="G1077" s="353"/>
      <c r="H1077" s="605"/>
      <c r="I1077" s="354"/>
      <c r="J1077" s="254"/>
      <c r="K1077" s="353" t="s">
        <v>2959</v>
      </c>
      <c r="L1077" s="605" t="s">
        <v>2960</v>
      </c>
      <c r="M1077" s="354">
        <v>1.1605287E7</v>
      </c>
      <c r="N1077" s="254"/>
      <c r="O1077" s="353" t="s">
        <v>2959</v>
      </c>
      <c r="P1077" s="605" t="s">
        <v>2960</v>
      </c>
      <c r="Q1077" s="354">
        <v>1.2411838E7</v>
      </c>
      <c r="R1077" s="254"/>
      <c r="S1077" s="353" t="s">
        <v>2961</v>
      </c>
      <c r="T1077" s="605" t="s">
        <v>2962</v>
      </c>
      <c r="U1077" s="354">
        <v>1.6853926E7</v>
      </c>
      <c r="V1077" s="254"/>
      <c r="W1077" s="353" t="s">
        <v>2961</v>
      </c>
      <c r="X1077" s="605" t="s">
        <v>2962</v>
      </c>
      <c r="Y1077" s="354">
        <v>1.440609E7</v>
      </c>
      <c r="Z1077" s="254"/>
      <c r="AA1077" s="353" t="s">
        <v>2961</v>
      </c>
      <c r="AB1077" s="605" t="s">
        <v>2962</v>
      </c>
      <c r="AC1077" s="354">
        <v>8983079.0</v>
      </c>
      <c r="AD1077" s="355"/>
      <c r="AE1077" s="356">
        <v>2022.0</v>
      </c>
      <c r="AF1077" s="356">
        <v>2021.0</v>
      </c>
      <c r="AG1077" s="356">
        <v>2020.0</v>
      </c>
      <c r="AH1077" s="356">
        <v>2019.0</v>
      </c>
      <c r="AI1077" s="356">
        <v>2018.0</v>
      </c>
      <c r="AJ1077" s="352"/>
      <c r="AK1077" s="281"/>
      <c r="AL1077" s="281"/>
      <c r="AM1077" s="281"/>
      <c r="AN1077" s="294"/>
    </row>
    <row r="1078">
      <c r="A1078" s="196" t="str">
        <f t="array" ref="A1078">INDEX('Federal Tax, Stock Buybacks, &amp; '!D:D,match(B1078,'Federal Tax, Stock Buybacks, &amp; '!E:E,0))</f>
        <v>#N/A</v>
      </c>
      <c r="B1078" s="351" t="s">
        <v>2958</v>
      </c>
      <c r="C1078" s="353"/>
      <c r="D1078" s="605"/>
      <c r="E1078" s="354"/>
      <c r="F1078" s="254"/>
      <c r="G1078" s="353"/>
      <c r="H1078" s="605"/>
      <c r="I1078" s="354"/>
      <c r="J1078" s="254"/>
      <c r="K1078" s="353" t="s">
        <v>2963</v>
      </c>
      <c r="L1078" s="605" t="s">
        <v>2296</v>
      </c>
      <c r="M1078" s="354">
        <v>2.6287185E7</v>
      </c>
      <c r="N1078" s="254"/>
      <c r="O1078" s="353" t="s">
        <v>2963</v>
      </c>
      <c r="P1078" s="605" t="s">
        <v>2296</v>
      </c>
      <c r="Q1078" s="354">
        <v>2.3912154E7</v>
      </c>
      <c r="R1078" s="254"/>
      <c r="S1078" s="353" t="s">
        <v>2959</v>
      </c>
      <c r="T1078" s="605" t="s">
        <v>2960</v>
      </c>
      <c r="U1078" s="354">
        <v>1.7126276E7</v>
      </c>
      <c r="V1078" s="254"/>
      <c r="W1078" s="353" t="s">
        <v>2959</v>
      </c>
      <c r="X1078" s="605" t="s">
        <v>2960</v>
      </c>
      <c r="Y1078" s="354">
        <v>1.5142787E7</v>
      </c>
      <c r="Z1078" s="254"/>
      <c r="AA1078" s="353" t="s">
        <v>2959</v>
      </c>
      <c r="AB1078" s="605" t="s">
        <v>2960</v>
      </c>
      <c r="AC1078" s="354">
        <v>1.1383159E7</v>
      </c>
      <c r="AD1078" s="355"/>
      <c r="AE1078" s="358"/>
      <c r="AF1078" s="358"/>
      <c r="AG1078" s="358"/>
      <c r="AH1078" s="358"/>
      <c r="AI1078" s="358"/>
      <c r="AJ1078" s="352"/>
      <c r="AK1078" s="281"/>
      <c r="AL1078" s="281"/>
      <c r="AM1078" s="281"/>
      <c r="AN1078" s="294"/>
    </row>
    <row r="1079">
      <c r="A1079" s="196" t="str">
        <f t="array" ref="A1079">INDEX('Federal Tax, Stock Buybacks, &amp; '!D:D,match(B1079,'Federal Tax, Stock Buybacks, &amp; '!E:E,0))</f>
        <v>#N/A</v>
      </c>
      <c r="B1079" s="351" t="s">
        <v>2958</v>
      </c>
      <c r="C1079" s="353"/>
      <c r="D1079" s="605"/>
      <c r="E1079" s="354"/>
      <c r="F1079" s="254"/>
      <c r="G1079" s="353"/>
      <c r="H1079" s="605"/>
      <c r="I1079" s="354"/>
      <c r="J1079" s="254"/>
      <c r="K1079" s="353" t="s">
        <v>2964</v>
      </c>
      <c r="L1079" s="605" t="s">
        <v>2965</v>
      </c>
      <c r="M1079" s="354">
        <v>9774369.0</v>
      </c>
      <c r="N1079" s="254"/>
      <c r="O1079" s="353" t="s">
        <v>2966</v>
      </c>
      <c r="P1079" s="355" t="s">
        <v>2965</v>
      </c>
      <c r="Q1079" s="606">
        <v>9612613.0</v>
      </c>
      <c r="R1079" s="254"/>
      <c r="S1079" s="353" t="s">
        <v>2963</v>
      </c>
      <c r="T1079" s="605" t="s">
        <v>2296</v>
      </c>
      <c r="U1079" s="354">
        <v>2.4007591E7</v>
      </c>
      <c r="V1079" s="254"/>
      <c r="W1079" s="353" t="s">
        <v>2963</v>
      </c>
      <c r="X1079" s="605" t="s">
        <v>2296</v>
      </c>
      <c r="Y1079" s="354">
        <v>2.1610598E7</v>
      </c>
      <c r="Z1079" s="254"/>
      <c r="AA1079" s="353" t="s">
        <v>2963</v>
      </c>
      <c r="AB1079" s="605" t="s">
        <v>2296</v>
      </c>
      <c r="AC1079" s="354">
        <v>2.1283587E7</v>
      </c>
      <c r="AD1079" s="355"/>
      <c r="AE1079" s="358"/>
      <c r="AF1079" s="358"/>
      <c r="AG1079" s="358"/>
      <c r="AH1079" s="358"/>
      <c r="AI1079" s="358"/>
      <c r="AJ1079" s="352"/>
      <c r="AK1079" s="281"/>
      <c r="AL1079" s="281"/>
      <c r="AM1079" s="281"/>
      <c r="AN1079" s="294"/>
    </row>
    <row r="1080">
      <c r="A1080" s="196" t="str">
        <f t="array" ref="A1080">INDEX('Federal Tax, Stock Buybacks, &amp; '!D:D,match(B1080,'Federal Tax, Stock Buybacks, &amp; '!E:E,0))</f>
        <v>#N/A</v>
      </c>
      <c r="B1080" s="351" t="s">
        <v>2958</v>
      </c>
      <c r="C1080" s="353"/>
      <c r="D1080" s="605"/>
      <c r="E1080" s="354"/>
      <c r="F1080" s="254"/>
      <c r="G1080" s="353"/>
      <c r="H1080" s="605"/>
      <c r="I1080" s="354"/>
      <c r="J1080" s="254"/>
      <c r="K1080" s="353" t="s">
        <v>2967</v>
      </c>
      <c r="L1080" s="605" t="s">
        <v>2968</v>
      </c>
      <c r="M1080" s="354">
        <v>9625119.0</v>
      </c>
      <c r="N1080" s="254"/>
      <c r="O1080" s="353" t="s">
        <v>2964</v>
      </c>
      <c r="P1080" s="605" t="s">
        <v>2969</v>
      </c>
      <c r="Q1080" s="354">
        <v>1.1667666E7</v>
      </c>
      <c r="R1080" s="254"/>
      <c r="S1080" s="353" t="s">
        <v>2966</v>
      </c>
      <c r="T1080" s="605" t="s">
        <v>2965</v>
      </c>
      <c r="U1080" s="354">
        <v>1.1500073E7</v>
      </c>
      <c r="V1080" s="254"/>
      <c r="W1080" s="353" t="s">
        <v>2966</v>
      </c>
      <c r="X1080" s="605" t="s">
        <v>2965</v>
      </c>
      <c r="Y1080" s="354">
        <v>9508448.0</v>
      </c>
      <c r="Z1080" s="254"/>
      <c r="AA1080" s="353" t="s">
        <v>2970</v>
      </c>
      <c r="AB1080" s="605" t="s">
        <v>2971</v>
      </c>
      <c r="AC1080" s="354">
        <v>8724786.0</v>
      </c>
      <c r="AD1080" s="355"/>
      <c r="AE1080" s="358"/>
      <c r="AF1080" s="358"/>
      <c r="AG1080" s="358"/>
      <c r="AH1080" s="358"/>
      <c r="AI1080" s="358"/>
      <c r="AJ1080" s="352"/>
      <c r="AK1080" s="281"/>
      <c r="AL1080" s="281"/>
      <c r="AM1080" s="281"/>
      <c r="AN1080" s="294"/>
    </row>
    <row r="1081">
      <c r="A1081" s="196" t="str">
        <f t="array" ref="A1081">INDEX('Federal Tax, Stock Buybacks, &amp; '!D:D,match(B1081,'Federal Tax, Stock Buybacks, &amp; '!E:E,0))</f>
        <v>#N/A</v>
      </c>
      <c r="B1081" s="351" t="s">
        <v>2958</v>
      </c>
      <c r="C1081" s="353"/>
      <c r="D1081" s="605"/>
      <c r="E1081" s="354"/>
      <c r="F1081" s="254"/>
      <c r="G1081" s="353"/>
      <c r="H1081" s="605"/>
      <c r="I1081" s="354"/>
      <c r="J1081" s="254"/>
      <c r="K1081" s="353" t="s">
        <v>2972</v>
      </c>
      <c r="L1081" s="605" t="s">
        <v>1881</v>
      </c>
      <c r="M1081" s="354">
        <v>5621936.0</v>
      </c>
      <c r="N1081" s="254"/>
      <c r="O1081" s="353" t="s">
        <v>2967</v>
      </c>
      <c r="P1081" s="605" t="s">
        <v>2968</v>
      </c>
      <c r="Q1081" s="354">
        <v>9013096.0</v>
      </c>
      <c r="R1081" s="254"/>
      <c r="S1081" s="353" t="s">
        <v>2964</v>
      </c>
      <c r="T1081" s="605" t="s">
        <v>1881</v>
      </c>
      <c r="U1081" s="354">
        <v>1.3494629E7</v>
      </c>
      <c r="V1081" s="254"/>
      <c r="W1081" s="353" t="s">
        <v>2964</v>
      </c>
      <c r="X1081" s="605" t="s">
        <v>1881</v>
      </c>
      <c r="Y1081" s="354">
        <v>8772853.0</v>
      </c>
      <c r="Z1081" s="254"/>
      <c r="AA1081" s="353" t="s">
        <v>2966</v>
      </c>
      <c r="AB1081" s="605" t="s">
        <v>2965</v>
      </c>
      <c r="AC1081" s="354">
        <v>8607359.0</v>
      </c>
      <c r="AD1081" s="355"/>
      <c r="AE1081" s="358"/>
      <c r="AF1081" s="358"/>
      <c r="AG1081" s="358"/>
      <c r="AH1081" s="358"/>
      <c r="AI1081" s="358"/>
      <c r="AJ1081" s="352"/>
      <c r="AK1081" s="281"/>
      <c r="AL1081" s="281"/>
      <c r="AM1081" s="281"/>
      <c r="AN1081" s="294"/>
    </row>
    <row r="1082">
      <c r="A1082" s="196" t="str">
        <f t="array" ref="A1082">INDEX('Federal Tax, Stock Buybacks, &amp; '!D:D,match(B1082,'Federal Tax, Stock Buybacks, &amp; '!E:E,0))</f>
        <v>#N/A</v>
      </c>
      <c r="B1082" s="351" t="s">
        <v>2958</v>
      </c>
      <c r="C1082" s="353"/>
      <c r="D1082" s="605"/>
      <c r="E1082" s="354"/>
      <c r="F1082" s="254"/>
      <c r="G1082" s="353"/>
      <c r="H1082" s="605"/>
      <c r="I1082" s="354"/>
      <c r="J1082" s="254"/>
      <c r="K1082" s="353" t="s">
        <v>2973</v>
      </c>
      <c r="L1082" s="605" t="s">
        <v>2411</v>
      </c>
      <c r="M1082" s="354">
        <v>8999548.0</v>
      </c>
      <c r="N1082" s="254"/>
      <c r="O1082" s="359" t="s">
        <v>711</v>
      </c>
      <c r="P1082" s="219" t="s">
        <v>711</v>
      </c>
      <c r="Q1082" s="354" t="s">
        <v>711</v>
      </c>
      <c r="R1082" s="254"/>
      <c r="S1082" s="359" t="s">
        <v>711</v>
      </c>
      <c r="T1082" s="219" t="s">
        <v>711</v>
      </c>
      <c r="U1082" s="354" t="s">
        <v>711</v>
      </c>
      <c r="V1082" s="254"/>
      <c r="W1082" s="359" t="s">
        <v>711</v>
      </c>
      <c r="X1082" s="219" t="s">
        <v>711</v>
      </c>
      <c r="Y1082" s="354" t="s">
        <v>711</v>
      </c>
      <c r="Z1082" s="254"/>
      <c r="AA1082" s="359" t="s">
        <v>711</v>
      </c>
      <c r="AB1082" s="219" t="s">
        <v>711</v>
      </c>
      <c r="AC1082" s="354" t="s">
        <v>711</v>
      </c>
      <c r="AD1082" s="355"/>
      <c r="AE1082" s="358"/>
      <c r="AF1082" s="358"/>
      <c r="AG1082" s="358"/>
      <c r="AH1082" s="358"/>
      <c r="AI1082" s="358"/>
      <c r="AJ1082" s="352"/>
      <c r="AK1082" s="281"/>
      <c r="AL1082" s="281"/>
      <c r="AM1082" s="281"/>
      <c r="AN1082" s="294"/>
    </row>
    <row r="1083">
      <c r="A1083" s="196" t="str">
        <f t="array" ref="A1083">INDEX('Federal Tax, Stock Buybacks, &amp; '!D:D,match(B1083,'Federal Tax, Stock Buybacks, &amp; '!E:E,0))</f>
        <v>#N/A</v>
      </c>
      <c r="B1083" s="264" t="s">
        <v>2974</v>
      </c>
      <c r="C1083" s="323"/>
      <c r="D1083" s="604"/>
      <c r="E1083" s="324"/>
      <c r="F1083" s="254"/>
      <c r="G1083" s="323"/>
      <c r="H1083" s="604"/>
      <c r="I1083" s="324"/>
      <c r="J1083" s="254"/>
      <c r="K1083" s="323" t="s">
        <v>2975</v>
      </c>
      <c r="L1083" s="604" t="s">
        <v>2458</v>
      </c>
      <c r="M1083" s="324">
        <v>1.2033471E7</v>
      </c>
      <c r="N1083" s="254"/>
      <c r="O1083" s="323" t="s">
        <v>2975</v>
      </c>
      <c r="P1083" s="604" t="s">
        <v>2458</v>
      </c>
      <c r="Q1083" s="607">
        <v>1.374194E7</v>
      </c>
      <c r="R1083" s="254"/>
      <c r="S1083" s="323" t="s">
        <v>2975</v>
      </c>
      <c r="T1083" s="604" t="s">
        <v>2458</v>
      </c>
      <c r="U1083" s="324">
        <v>1.1219289E7</v>
      </c>
      <c r="V1083" s="254"/>
      <c r="W1083" s="323" t="s">
        <v>2976</v>
      </c>
      <c r="X1083" s="608" t="s">
        <v>2977</v>
      </c>
      <c r="Y1083" s="324">
        <v>6258296.0</v>
      </c>
      <c r="Z1083" s="254"/>
      <c r="AA1083" s="323" t="s">
        <v>2978</v>
      </c>
      <c r="AB1083" s="604" t="s">
        <v>1686</v>
      </c>
      <c r="AC1083" s="324">
        <v>1216995.0</v>
      </c>
      <c r="AD1083" s="271"/>
      <c r="AE1083" s="272">
        <v>2022.0</v>
      </c>
      <c r="AF1083" s="272">
        <v>2021.0</v>
      </c>
      <c r="AG1083" s="272">
        <v>2020.0</v>
      </c>
      <c r="AH1083" s="272">
        <v>2019.0</v>
      </c>
      <c r="AI1083" s="272">
        <v>2018.0</v>
      </c>
      <c r="AJ1083" s="593" t="s">
        <v>2979</v>
      </c>
      <c r="AK1083" s="281"/>
      <c r="AL1083" s="281"/>
      <c r="AM1083" s="281"/>
      <c r="AN1083" s="294"/>
    </row>
    <row r="1084">
      <c r="A1084" s="196" t="str">
        <f t="array" ref="A1084">INDEX('Federal Tax, Stock Buybacks, &amp; '!D:D,match(B1084,'Federal Tax, Stock Buybacks, &amp; '!E:E,0))</f>
        <v>#N/A</v>
      </c>
      <c r="B1084" s="264" t="s">
        <v>2974</v>
      </c>
      <c r="C1084" s="323"/>
      <c r="D1084" s="604"/>
      <c r="E1084" s="324"/>
      <c r="F1084" s="254"/>
      <c r="G1084" s="323"/>
      <c r="H1084" s="604"/>
      <c r="I1084" s="324"/>
      <c r="J1084" s="254"/>
      <c r="K1084" s="323" t="s">
        <v>2976</v>
      </c>
      <c r="L1084" s="604" t="s">
        <v>1588</v>
      </c>
      <c r="M1084" s="324">
        <v>1.2014497E7</v>
      </c>
      <c r="N1084" s="254"/>
      <c r="O1084" s="323" t="s">
        <v>2976</v>
      </c>
      <c r="P1084" s="604" t="s">
        <v>1588</v>
      </c>
      <c r="Q1084" s="607">
        <v>8999444.0</v>
      </c>
      <c r="R1084" s="254"/>
      <c r="S1084" s="323" t="s">
        <v>2980</v>
      </c>
      <c r="T1084" s="604" t="s">
        <v>1523</v>
      </c>
      <c r="U1084" s="324">
        <v>1.0993649E7</v>
      </c>
      <c r="V1084" s="254"/>
      <c r="W1084" s="323" t="s">
        <v>2980</v>
      </c>
      <c r="X1084" s="604" t="s">
        <v>1588</v>
      </c>
      <c r="Y1084" s="324">
        <v>1.039816E7</v>
      </c>
      <c r="Z1084" s="254"/>
      <c r="AA1084" s="323" t="s">
        <v>2980</v>
      </c>
      <c r="AB1084" s="604" t="s">
        <v>2981</v>
      </c>
      <c r="AC1084" s="324">
        <v>5736937.0</v>
      </c>
      <c r="AD1084" s="271"/>
      <c r="AE1084" s="277"/>
      <c r="AF1084" s="277"/>
      <c r="AG1084" s="277"/>
      <c r="AH1084" s="277"/>
      <c r="AI1084" s="277"/>
      <c r="AJ1084" s="582"/>
      <c r="AK1084" s="281"/>
      <c r="AL1084" s="281"/>
      <c r="AM1084" s="281"/>
      <c r="AN1084" s="294"/>
    </row>
    <row r="1085">
      <c r="A1085" s="196" t="str">
        <f t="array" ref="A1085">INDEX('Federal Tax, Stock Buybacks, &amp; '!D:D,match(B1085,'Federal Tax, Stock Buybacks, &amp; '!E:E,0))</f>
        <v>#N/A</v>
      </c>
      <c r="B1085" s="264" t="s">
        <v>2974</v>
      </c>
      <c r="C1085" s="323"/>
      <c r="D1085" s="604"/>
      <c r="E1085" s="324"/>
      <c r="F1085" s="254"/>
      <c r="G1085" s="323"/>
      <c r="H1085" s="604"/>
      <c r="I1085" s="324"/>
      <c r="J1085" s="254"/>
      <c r="K1085" s="323" t="s">
        <v>2982</v>
      </c>
      <c r="L1085" s="604" t="s">
        <v>1585</v>
      </c>
      <c r="M1085" s="324">
        <v>4438501.0</v>
      </c>
      <c r="N1085" s="254"/>
      <c r="O1085" s="323" t="s">
        <v>2983</v>
      </c>
      <c r="P1085" s="604" t="s">
        <v>1610</v>
      </c>
      <c r="Q1085" s="607">
        <v>1.4480695E7</v>
      </c>
      <c r="R1085" s="254"/>
      <c r="S1085" s="323" t="s">
        <v>2983</v>
      </c>
      <c r="T1085" s="604" t="s">
        <v>1649</v>
      </c>
      <c r="U1085" s="324">
        <v>1.2782054E7</v>
      </c>
      <c r="V1085" s="254"/>
      <c r="W1085" s="323" t="s">
        <v>2975</v>
      </c>
      <c r="X1085" s="604" t="s">
        <v>2458</v>
      </c>
      <c r="Y1085" s="324">
        <v>1.03221E7</v>
      </c>
      <c r="Z1085" s="254"/>
      <c r="AA1085" s="323" t="s">
        <v>2975</v>
      </c>
      <c r="AB1085" s="604" t="s">
        <v>2458</v>
      </c>
      <c r="AC1085" s="324">
        <v>9996615.0</v>
      </c>
      <c r="AD1085" s="271"/>
      <c r="AE1085" s="277"/>
      <c r="AF1085" s="277"/>
      <c r="AG1085" s="277"/>
      <c r="AH1085" s="277"/>
      <c r="AI1085" s="277"/>
      <c r="AJ1085" s="582"/>
      <c r="AK1085" s="281"/>
      <c r="AL1085" s="281"/>
      <c r="AM1085" s="281"/>
      <c r="AN1085" s="294"/>
    </row>
    <row r="1086">
      <c r="A1086" s="196" t="str">
        <f t="array" ref="A1086">INDEX('Federal Tax, Stock Buybacks, &amp; '!D:D,match(B1086,'Federal Tax, Stock Buybacks, &amp; '!E:E,0))</f>
        <v>#N/A</v>
      </c>
      <c r="B1086" s="264" t="s">
        <v>2974</v>
      </c>
      <c r="C1086" s="323"/>
      <c r="D1086" s="271"/>
      <c r="E1086" s="324"/>
      <c r="F1086" s="254"/>
      <c r="G1086" s="323"/>
      <c r="H1086" s="271"/>
      <c r="I1086" s="324"/>
      <c r="J1086" s="254"/>
      <c r="K1086" s="323" t="s">
        <v>2984</v>
      </c>
      <c r="L1086" s="271" t="s">
        <v>2985</v>
      </c>
      <c r="M1086" s="324">
        <v>4063069.0</v>
      </c>
      <c r="N1086" s="254"/>
      <c r="O1086" s="323" t="s">
        <v>2982</v>
      </c>
      <c r="P1086" s="604" t="s">
        <v>1585</v>
      </c>
      <c r="Q1086" s="607">
        <v>5238803.0</v>
      </c>
      <c r="R1086" s="254"/>
      <c r="S1086" s="323" t="s">
        <v>2982</v>
      </c>
      <c r="T1086" s="604" t="s">
        <v>1585</v>
      </c>
      <c r="U1086" s="324">
        <v>3912013.0</v>
      </c>
      <c r="V1086" s="254"/>
      <c r="W1086" s="323" t="s">
        <v>2982</v>
      </c>
      <c r="X1086" s="604" t="s">
        <v>1585</v>
      </c>
      <c r="Y1086" s="324">
        <v>3732347.0</v>
      </c>
      <c r="Z1086" s="254"/>
      <c r="AA1086" s="323" t="s">
        <v>2986</v>
      </c>
      <c r="AB1086" s="604" t="s">
        <v>1588</v>
      </c>
      <c r="AC1086" s="324">
        <v>9486887.0</v>
      </c>
      <c r="AD1086" s="271"/>
      <c r="AE1086" s="277"/>
      <c r="AF1086" s="277"/>
      <c r="AG1086" s="277"/>
      <c r="AH1086" s="277"/>
      <c r="AI1086" s="277"/>
      <c r="AJ1086" s="582"/>
      <c r="AK1086" s="281"/>
      <c r="AL1086" s="281"/>
      <c r="AM1086" s="281"/>
      <c r="AN1086" s="294"/>
    </row>
    <row r="1087">
      <c r="A1087" s="196" t="str">
        <f t="array" ref="A1087">INDEX('Federal Tax, Stock Buybacks, &amp; '!D:D,match(B1087,'Federal Tax, Stock Buybacks, &amp; '!E:E,0))</f>
        <v>#N/A</v>
      </c>
      <c r="B1087" s="264" t="s">
        <v>2974</v>
      </c>
      <c r="C1087" s="323"/>
      <c r="D1087" s="604"/>
      <c r="E1087" s="324"/>
      <c r="F1087" s="254"/>
      <c r="G1087" s="323"/>
      <c r="H1087" s="604"/>
      <c r="I1087" s="324"/>
      <c r="J1087" s="254"/>
      <c r="K1087" s="323" t="s">
        <v>2987</v>
      </c>
      <c r="L1087" s="604" t="s">
        <v>2988</v>
      </c>
      <c r="M1087" s="324">
        <v>4405244.0</v>
      </c>
      <c r="N1087" s="254"/>
      <c r="O1087" s="323" t="s">
        <v>2987</v>
      </c>
      <c r="P1087" s="604" t="s">
        <v>2989</v>
      </c>
      <c r="Q1087" s="607">
        <v>5289351.0</v>
      </c>
      <c r="R1087" s="254"/>
      <c r="S1087" s="323" t="s">
        <v>2987</v>
      </c>
      <c r="T1087" s="604" t="s">
        <v>2989</v>
      </c>
      <c r="U1087" s="324">
        <v>8854549.0</v>
      </c>
      <c r="V1087" s="254"/>
      <c r="W1087" s="323" t="s">
        <v>2990</v>
      </c>
      <c r="X1087" s="608" t="s">
        <v>2991</v>
      </c>
      <c r="Y1087" s="324">
        <v>4140029.0</v>
      </c>
      <c r="Z1087" s="254"/>
      <c r="AA1087" s="323" t="s">
        <v>2982</v>
      </c>
      <c r="AB1087" s="604" t="s">
        <v>1585</v>
      </c>
      <c r="AC1087" s="324">
        <v>7588640.0</v>
      </c>
      <c r="AD1087" s="271"/>
      <c r="AE1087" s="277"/>
      <c r="AF1087" s="277"/>
      <c r="AG1087" s="277"/>
      <c r="AH1087" s="277"/>
      <c r="AI1087" s="277"/>
      <c r="AJ1087" s="582"/>
      <c r="AK1087" s="281"/>
      <c r="AL1087" s="281"/>
      <c r="AM1087" s="281"/>
      <c r="AN1087" s="294"/>
    </row>
    <row r="1088">
      <c r="A1088" s="196" t="str">
        <f t="array" ref="A1088">INDEX('Federal Tax, Stock Buybacks, &amp; '!D:D,match(B1088,'Federal Tax, Stock Buybacks, &amp; '!E:E,0))</f>
        <v>#N/A</v>
      </c>
      <c r="B1088" s="264" t="s">
        <v>2974</v>
      </c>
      <c r="C1088" s="323"/>
      <c r="D1088" s="604"/>
      <c r="E1088" s="324"/>
      <c r="F1088" s="254"/>
      <c r="G1088" s="323"/>
      <c r="H1088" s="604"/>
      <c r="I1088" s="324"/>
      <c r="J1088" s="254"/>
      <c r="K1088" s="323" t="s">
        <v>2992</v>
      </c>
      <c r="L1088" s="604" t="s">
        <v>2993</v>
      </c>
      <c r="M1088" s="324">
        <v>4982267.0</v>
      </c>
      <c r="N1088" s="254"/>
      <c r="O1088" s="323" t="s">
        <v>2992</v>
      </c>
      <c r="P1088" s="271" t="s">
        <v>2994</v>
      </c>
      <c r="Q1088" s="607">
        <v>4730082.0</v>
      </c>
      <c r="R1088" s="254"/>
      <c r="S1088" s="323" t="s">
        <v>2976</v>
      </c>
      <c r="T1088" s="608" t="s">
        <v>2977</v>
      </c>
      <c r="U1088" s="324">
        <v>6713863.0</v>
      </c>
      <c r="V1088" s="254"/>
      <c r="W1088" s="323" t="s">
        <v>2984</v>
      </c>
      <c r="X1088" s="604" t="s">
        <v>1529</v>
      </c>
      <c r="Y1088" s="324">
        <v>3673802.0</v>
      </c>
      <c r="Z1088" s="254"/>
      <c r="AA1088" s="323" t="s">
        <v>2990</v>
      </c>
      <c r="AB1088" s="604" t="s">
        <v>2991</v>
      </c>
      <c r="AC1088" s="324">
        <v>3986010.0</v>
      </c>
      <c r="AD1088" s="271"/>
      <c r="AE1088" s="277"/>
      <c r="AF1088" s="277"/>
      <c r="AG1088" s="277"/>
      <c r="AH1088" s="277"/>
      <c r="AI1088" s="277"/>
      <c r="AJ1088" s="582"/>
      <c r="AK1088" s="281"/>
      <c r="AL1088" s="281"/>
      <c r="AM1088" s="281"/>
      <c r="AN1088" s="294"/>
    </row>
    <row r="1089">
      <c r="A1089" s="196" t="str">
        <f t="array" ref="A1089">INDEX('Federal Tax, Stock Buybacks, &amp; '!D:D,match(B1089,'Federal Tax, Stock Buybacks, &amp; '!E:E,0))</f>
        <v>#N/A</v>
      </c>
      <c r="B1089" s="264" t="s">
        <v>2974</v>
      </c>
      <c r="C1089" s="323"/>
      <c r="D1089" s="604"/>
      <c r="E1089" s="324"/>
      <c r="F1089" s="254"/>
      <c r="G1089" s="323"/>
      <c r="H1089" s="604"/>
      <c r="I1089" s="324"/>
      <c r="J1089" s="254"/>
      <c r="K1089" s="323" t="s">
        <v>2995</v>
      </c>
      <c r="L1089" s="604" t="s">
        <v>2996</v>
      </c>
      <c r="M1089" s="324">
        <v>4641961.0</v>
      </c>
      <c r="N1089" s="254"/>
      <c r="O1089" s="326" t="s">
        <v>711</v>
      </c>
      <c r="P1089" s="329" t="s">
        <v>711</v>
      </c>
      <c r="Q1089" s="324" t="s">
        <v>711</v>
      </c>
      <c r="R1089" s="254"/>
      <c r="S1089" s="326" t="s">
        <v>711</v>
      </c>
      <c r="T1089" s="329" t="s">
        <v>711</v>
      </c>
      <c r="U1089" s="324" t="s">
        <v>711</v>
      </c>
      <c r="V1089" s="254"/>
      <c r="W1089" s="326" t="s">
        <v>711</v>
      </c>
      <c r="X1089" s="329" t="s">
        <v>711</v>
      </c>
      <c r="Y1089" s="324" t="s">
        <v>711</v>
      </c>
      <c r="Z1089" s="254"/>
      <c r="AA1089" s="326" t="s">
        <v>711</v>
      </c>
      <c r="AB1089" s="329" t="s">
        <v>711</v>
      </c>
      <c r="AC1089" s="324" t="s">
        <v>711</v>
      </c>
      <c r="AD1089" s="271"/>
      <c r="AE1089" s="277"/>
      <c r="AF1089" s="277"/>
      <c r="AG1089" s="277"/>
      <c r="AH1089" s="277"/>
      <c r="AI1089" s="277"/>
      <c r="AJ1089" s="582"/>
      <c r="AK1089" s="281"/>
      <c r="AL1089" s="281"/>
      <c r="AM1089" s="281"/>
      <c r="AN1089" s="294"/>
    </row>
    <row r="1090">
      <c r="A1090" s="169">
        <f t="array" ref="A1090">INDEX('Federal Tax, Stock Buybacks, &amp; '!D:D,match(B1090,'Federal Tax, Stock Buybacks, &amp; '!E:E,0))</f>
        <v>49</v>
      </c>
      <c r="B1090" s="351" t="s">
        <v>2997</v>
      </c>
      <c r="C1090" s="353"/>
      <c r="D1090" s="605"/>
      <c r="E1090" s="354"/>
      <c r="F1090" s="254"/>
      <c r="G1090" s="353"/>
      <c r="H1090" s="605"/>
      <c r="I1090" s="354"/>
      <c r="J1090" s="254"/>
      <c r="K1090" s="353" t="s">
        <v>2998</v>
      </c>
      <c r="L1090" s="605" t="s">
        <v>1674</v>
      </c>
      <c r="M1090" s="354">
        <v>1.9972339E7</v>
      </c>
      <c r="N1090" s="254"/>
      <c r="O1090" s="353" t="s">
        <v>2998</v>
      </c>
      <c r="P1090" s="605" t="s">
        <v>1674</v>
      </c>
      <c r="Q1090" s="354">
        <v>2.388664E7</v>
      </c>
      <c r="R1090" s="254"/>
      <c r="S1090" s="353" t="s">
        <v>2998</v>
      </c>
      <c r="T1090" s="605" t="s">
        <v>1674</v>
      </c>
      <c r="U1090" s="354">
        <v>2.8054551E7</v>
      </c>
      <c r="V1090" s="254"/>
      <c r="W1090" s="353" t="s">
        <v>2998</v>
      </c>
      <c r="X1090" s="605" t="s">
        <v>1674</v>
      </c>
      <c r="Y1090" s="354">
        <v>3.0363744E7</v>
      </c>
      <c r="Z1090" s="254"/>
      <c r="AA1090" s="353" t="s">
        <v>2998</v>
      </c>
      <c r="AB1090" s="605" t="s">
        <v>1674</v>
      </c>
      <c r="AC1090" s="354">
        <v>2.340627E7</v>
      </c>
      <c r="AD1090" s="355"/>
      <c r="AE1090" s="356">
        <v>2022.0</v>
      </c>
      <c r="AF1090" s="356">
        <v>2021.0</v>
      </c>
      <c r="AG1090" s="356">
        <v>2020.0</v>
      </c>
      <c r="AH1090" s="356">
        <v>2019.0</v>
      </c>
      <c r="AI1090" s="356">
        <v>2018.0</v>
      </c>
      <c r="AJ1090" s="352"/>
      <c r="AK1090" s="281"/>
      <c r="AL1090" s="281"/>
      <c r="AM1090" s="281"/>
      <c r="AN1090" s="294"/>
    </row>
    <row r="1091">
      <c r="A1091" s="169">
        <f t="array" ref="A1091">INDEX('Federal Tax, Stock Buybacks, &amp; '!D:D,match(B1091,'Federal Tax, Stock Buybacks, &amp; '!E:E,0))</f>
        <v>49</v>
      </c>
      <c r="B1091" s="351" t="s">
        <v>2997</v>
      </c>
      <c r="C1091" s="353"/>
      <c r="D1091" s="605"/>
      <c r="E1091" s="354"/>
      <c r="F1091" s="254"/>
      <c r="G1091" s="353"/>
      <c r="H1091" s="605"/>
      <c r="I1091" s="354"/>
      <c r="J1091" s="254"/>
      <c r="K1091" s="353" t="s">
        <v>2999</v>
      </c>
      <c r="L1091" s="605" t="s">
        <v>3000</v>
      </c>
      <c r="M1091" s="354">
        <v>5542033.0</v>
      </c>
      <c r="N1091" s="254"/>
      <c r="O1091" s="353" t="s">
        <v>3001</v>
      </c>
      <c r="P1091" s="605" t="s">
        <v>1832</v>
      </c>
      <c r="Q1091" s="354">
        <v>8448702.0</v>
      </c>
      <c r="R1091" s="254"/>
      <c r="S1091" s="353" t="s">
        <v>3001</v>
      </c>
      <c r="T1091" s="605" t="s">
        <v>1832</v>
      </c>
      <c r="U1091" s="354">
        <v>9191295.0</v>
      </c>
      <c r="V1091" s="254"/>
      <c r="W1091" s="353" t="s">
        <v>3001</v>
      </c>
      <c r="X1091" s="605" t="s">
        <v>1832</v>
      </c>
      <c r="Y1091" s="354">
        <v>1.0034315E7</v>
      </c>
      <c r="Z1091" s="254"/>
      <c r="AA1091" s="353" t="s">
        <v>3002</v>
      </c>
      <c r="AB1091" s="605" t="s">
        <v>3003</v>
      </c>
      <c r="AC1091" s="354">
        <v>1.2970551E7</v>
      </c>
      <c r="AD1091" s="355"/>
      <c r="AE1091" s="358"/>
      <c r="AF1091" s="358"/>
      <c r="AG1091" s="358"/>
      <c r="AH1091" s="358"/>
      <c r="AI1091" s="358"/>
      <c r="AJ1091" s="352"/>
      <c r="AK1091" s="281"/>
      <c r="AL1091" s="281"/>
      <c r="AM1091" s="281"/>
      <c r="AN1091" s="294"/>
    </row>
    <row r="1092">
      <c r="A1092" s="169">
        <f t="array" ref="A1092">INDEX('Federal Tax, Stock Buybacks, &amp; '!D:D,match(B1092,'Federal Tax, Stock Buybacks, &amp; '!E:E,0))</f>
        <v>49</v>
      </c>
      <c r="B1092" s="351" t="s">
        <v>2997</v>
      </c>
      <c r="C1092" s="353"/>
      <c r="D1092" s="605"/>
      <c r="E1092" s="354"/>
      <c r="F1092" s="254"/>
      <c r="G1092" s="353"/>
      <c r="H1092" s="605"/>
      <c r="I1092" s="354"/>
      <c r="J1092" s="254"/>
      <c r="K1092" s="353" t="s">
        <v>3004</v>
      </c>
      <c r="L1092" s="605" t="s">
        <v>1585</v>
      </c>
      <c r="M1092" s="354">
        <v>7534742.0</v>
      </c>
      <c r="N1092" s="254"/>
      <c r="O1092" s="353" t="s">
        <v>2999</v>
      </c>
      <c r="P1092" s="605" t="s">
        <v>3000</v>
      </c>
      <c r="Q1092" s="354">
        <v>5409027.0</v>
      </c>
      <c r="R1092" s="254"/>
      <c r="S1092" s="353" t="s">
        <v>3005</v>
      </c>
      <c r="T1092" s="605" t="s">
        <v>1585</v>
      </c>
      <c r="U1092" s="354">
        <v>1.1052947E7</v>
      </c>
      <c r="V1092" s="254"/>
      <c r="W1092" s="353" t="s">
        <v>3005</v>
      </c>
      <c r="X1092" s="605" t="s">
        <v>1585</v>
      </c>
      <c r="Y1092" s="354">
        <v>1.4207759E7</v>
      </c>
      <c r="Z1092" s="254"/>
      <c r="AA1092" s="353" t="s">
        <v>3001</v>
      </c>
      <c r="AB1092" s="605" t="s">
        <v>1633</v>
      </c>
      <c r="AC1092" s="354">
        <v>9394458.0</v>
      </c>
      <c r="AD1092" s="355"/>
      <c r="AE1092" s="358"/>
      <c r="AF1092" s="358"/>
      <c r="AG1092" s="358"/>
      <c r="AH1092" s="358"/>
      <c r="AI1092" s="358"/>
      <c r="AJ1092" s="352"/>
      <c r="AK1092" s="281"/>
      <c r="AL1092" s="281"/>
      <c r="AM1092" s="281"/>
      <c r="AN1092" s="294"/>
    </row>
    <row r="1093">
      <c r="A1093" s="169">
        <f t="array" ref="A1093">INDEX('Federal Tax, Stock Buybacks, &amp; '!D:D,match(B1093,'Federal Tax, Stock Buybacks, &amp; '!E:E,0))</f>
        <v>49</v>
      </c>
      <c r="B1093" s="351" t="s">
        <v>2997</v>
      </c>
      <c r="C1093" s="353"/>
      <c r="D1093" s="355"/>
      <c r="E1093" s="354"/>
      <c r="F1093" s="254"/>
      <c r="G1093" s="353"/>
      <c r="H1093" s="355"/>
      <c r="I1093" s="354"/>
      <c r="J1093" s="254"/>
      <c r="K1093" s="353" t="s">
        <v>3006</v>
      </c>
      <c r="L1093" s="355" t="s">
        <v>3007</v>
      </c>
      <c r="M1093" s="354">
        <v>4934436.0</v>
      </c>
      <c r="N1093" s="254"/>
      <c r="O1093" s="353" t="s">
        <v>3004</v>
      </c>
      <c r="P1093" s="605" t="s">
        <v>1585</v>
      </c>
      <c r="Q1093" s="354">
        <v>8160510.0</v>
      </c>
      <c r="R1093" s="254"/>
      <c r="S1093" s="353" t="s">
        <v>2999</v>
      </c>
      <c r="T1093" s="605" t="s">
        <v>3000</v>
      </c>
      <c r="U1093" s="354">
        <v>4208686.0</v>
      </c>
      <c r="V1093" s="254"/>
      <c r="W1093" s="353" t="s">
        <v>2999</v>
      </c>
      <c r="X1093" s="605" t="s">
        <v>3008</v>
      </c>
      <c r="Y1093" s="354">
        <v>4379054.0</v>
      </c>
      <c r="Z1093" s="254"/>
      <c r="AA1093" s="353" t="s">
        <v>3005</v>
      </c>
      <c r="AB1093" s="605" t="s">
        <v>1631</v>
      </c>
      <c r="AC1093" s="354">
        <v>1.0272497E7</v>
      </c>
      <c r="AD1093" s="355"/>
      <c r="AE1093" s="358"/>
      <c r="AF1093" s="358"/>
      <c r="AG1093" s="358"/>
      <c r="AH1093" s="358"/>
      <c r="AI1093" s="358"/>
      <c r="AJ1093" s="352"/>
      <c r="AK1093" s="281"/>
      <c r="AL1093" s="281"/>
      <c r="AM1093" s="281"/>
      <c r="AN1093" s="294"/>
    </row>
    <row r="1094">
      <c r="A1094" s="169">
        <f t="array" ref="A1094">INDEX('Federal Tax, Stock Buybacks, &amp; '!D:D,match(B1094,'Federal Tax, Stock Buybacks, &amp; '!E:E,0))</f>
        <v>49</v>
      </c>
      <c r="B1094" s="351" t="s">
        <v>2997</v>
      </c>
      <c r="C1094" s="353"/>
      <c r="D1094" s="605"/>
      <c r="E1094" s="354"/>
      <c r="F1094" s="254"/>
      <c r="G1094" s="353"/>
      <c r="H1094" s="605"/>
      <c r="I1094" s="354"/>
      <c r="J1094" s="254"/>
      <c r="K1094" s="353" t="s">
        <v>3009</v>
      </c>
      <c r="L1094" s="605" t="s">
        <v>3010</v>
      </c>
      <c r="M1094" s="354">
        <v>7312013.0</v>
      </c>
      <c r="N1094" s="254"/>
      <c r="O1094" s="353" t="s">
        <v>3006</v>
      </c>
      <c r="P1094" s="355" t="s">
        <v>3007</v>
      </c>
      <c r="Q1094" s="354">
        <v>5520832.0</v>
      </c>
      <c r="R1094" s="254"/>
      <c r="S1094" s="353" t="s">
        <v>3004</v>
      </c>
      <c r="T1094" s="605" t="s">
        <v>1585</v>
      </c>
      <c r="U1094" s="354">
        <v>7648655.0</v>
      </c>
      <c r="V1094" s="254"/>
      <c r="W1094" s="353" t="s">
        <v>3004</v>
      </c>
      <c r="X1094" s="605" t="s">
        <v>3011</v>
      </c>
      <c r="Y1094" s="354">
        <v>7309030.0</v>
      </c>
      <c r="Z1094" s="254"/>
      <c r="AA1094" s="353" t="s">
        <v>3012</v>
      </c>
      <c r="AB1094" s="605" t="s">
        <v>3013</v>
      </c>
      <c r="AC1094" s="354">
        <v>7144185.0</v>
      </c>
      <c r="AD1094" s="355"/>
      <c r="AE1094" s="358"/>
      <c r="AF1094" s="358"/>
      <c r="AG1094" s="358"/>
      <c r="AH1094" s="358"/>
      <c r="AI1094" s="358"/>
      <c r="AJ1094" s="352"/>
      <c r="AK1094" s="281"/>
      <c r="AL1094" s="281"/>
      <c r="AM1094" s="281"/>
      <c r="AN1094" s="294"/>
    </row>
    <row r="1095">
      <c r="A1095" s="169">
        <f t="array" ref="A1095">INDEX('Federal Tax, Stock Buybacks, &amp; '!D:D,match(B1095,'Federal Tax, Stock Buybacks, &amp; '!E:E,0))</f>
        <v>49</v>
      </c>
      <c r="B1095" s="351" t="s">
        <v>2997</v>
      </c>
      <c r="C1095" s="353"/>
      <c r="D1095" s="605"/>
      <c r="E1095" s="354"/>
      <c r="F1095" s="254"/>
      <c r="G1095" s="353"/>
      <c r="H1095" s="605"/>
      <c r="I1095" s="354"/>
      <c r="J1095" s="254"/>
      <c r="K1095" s="353" t="s">
        <v>3014</v>
      </c>
      <c r="L1095" s="605" t="s">
        <v>3015</v>
      </c>
      <c r="M1095" s="354">
        <v>5345768.0</v>
      </c>
      <c r="N1095" s="254"/>
      <c r="O1095" s="353" t="s">
        <v>3009</v>
      </c>
      <c r="P1095" s="605" t="s">
        <v>3015</v>
      </c>
      <c r="Q1095" s="354">
        <v>9358117.0</v>
      </c>
      <c r="R1095" s="254"/>
      <c r="S1095" s="353" t="s">
        <v>3006</v>
      </c>
      <c r="T1095" s="605" t="s">
        <v>3016</v>
      </c>
      <c r="U1095" s="354">
        <v>4662103.0</v>
      </c>
      <c r="V1095" s="254"/>
      <c r="W1095" s="359" t="s">
        <v>711</v>
      </c>
      <c r="X1095" s="219" t="s">
        <v>711</v>
      </c>
      <c r="Y1095" s="354" t="s">
        <v>711</v>
      </c>
      <c r="Z1095" s="254"/>
      <c r="AA1095" s="353" t="s">
        <v>2999</v>
      </c>
      <c r="AB1095" s="605" t="s">
        <v>3013</v>
      </c>
      <c r="AC1095" s="354">
        <v>4407016.0</v>
      </c>
      <c r="AD1095" s="355"/>
      <c r="AE1095" s="358"/>
      <c r="AF1095" s="358"/>
      <c r="AG1095" s="358"/>
      <c r="AH1095" s="358"/>
      <c r="AI1095" s="358"/>
      <c r="AJ1095" s="352"/>
      <c r="AK1095" s="281"/>
      <c r="AL1095" s="281"/>
      <c r="AM1095" s="281"/>
      <c r="AN1095" s="294"/>
    </row>
    <row r="1096">
      <c r="A1096" s="169">
        <f t="array" ref="A1096">INDEX('Federal Tax, Stock Buybacks, &amp; '!D:D,match(B1096,'Federal Tax, Stock Buybacks, &amp; '!E:E,0))</f>
        <v>59</v>
      </c>
      <c r="B1096" s="264" t="s">
        <v>3017</v>
      </c>
      <c r="C1096" s="323"/>
      <c r="D1096" s="608"/>
      <c r="E1096" s="324"/>
      <c r="F1096" s="254"/>
      <c r="G1096" s="323"/>
      <c r="H1096" s="608"/>
      <c r="I1096" s="324"/>
      <c r="J1096" s="254"/>
      <c r="K1096" s="323" t="s">
        <v>3018</v>
      </c>
      <c r="L1096" s="608" t="s">
        <v>3019</v>
      </c>
      <c r="M1096" s="324">
        <v>5954623.0</v>
      </c>
      <c r="N1096" s="254"/>
      <c r="O1096" s="323" t="s">
        <v>3018</v>
      </c>
      <c r="P1096" s="608" t="s">
        <v>3019</v>
      </c>
      <c r="Q1096" s="607">
        <v>4748563.0</v>
      </c>
      <c r="R1096" s="254"/>
      <c r="S1096" s="323" t="s">
        <v>3018</v>
      </c>
      <c r="T1096" s="608" t="s">
        <v>3019</v>
      </c>
      <c r="U1096" s="324">
        <v>5109894.0</v>
      </c>
      <c r="V1096" s="254"/>
      <c r="W1096" s="323" t="s">
        <v>3018</v>
      </c>
      <c r="X1096" s="608" t="s">
        <v>3019</v>
      </c>
      <c r="Y1096" s="324">
        <v>5834804.0</v>
      </c>
      <c r="Z1096" s="254"/>
      <c r="AA1096" s="323" t="s">
        <v>3018</v>
      </c>
      <c r="AB1096" s="271" t="s">
        <v>3019</v>
      </c>
      <c r="AC1096" s="324">
        <v>2681062.0</v>
      </c>
      <c r="AD1096" s="271"/>
      <c r="AE1096" s="272">
        <v>2022.0</v>
      </c>
      <c r="AF1096" s="272">
        <v>2021.0</v>
      </c>
      <c r="AG1096" s="272">
        <v>2020.0</v>
      </c>
      <c r="AH1096" s="272">
        <v>2019.0</v>
      </c>
      <c r="AI1096" s="272">
        <v>2018.0</v>
      </c>
      <c r="AJ1096" s="582"/>
      <c r="AK1096" s="281"/>
      <c r="AL1096" s="281"/>
      <c r="AM1096" s="281"/>
      <c r="AN1096" s="294"/>
    </row>
    <row r="1097">
      <c r="A1097" s="169">
        <f t="array" ref="A1097">INDEX('Federal Tax, Stock Buybacks, &amp; '!D:D,match(B1097,'Federal Tax, Stock Buybacks, &amp; '!E:E,0))</f>
        <v>59</v>
      </c>
      <c r="B1097" s="264" t="s">
        <v>3017</v>
      </c>
      <c r="C1097" s="323"/>
      <c r="D1097" s="271"/>
      <c r="E1097" s="324"/>
      <c r="F1097" s="254"/>
      <c r="G1097" s="323"/>
      <c r="H1097" s="271"/>
      <c r="I1097" s="324"/>
      <c r="J1097" s="254"/>
      <c r="K1097" s="323" t="s">
        <v>3020</v>
      </c>
      <c r="L1097" s="271" t="s">
        <v>1532</v>
      </c>
      <c r="M1097" s="324">
        <v>3326584.0</v>
      </c>
      <c r="N1097" s="254"/>
      <c r="O1097" s="323" t="s">
        <v>3020</v>
      </c>
      <c r="P1097" s="271" t="s">
        <v>1532</v>
      </c>
      <c r="Q1097" s="324">
        <v>2590447.0</v>
      </c>
      <c r="R1097" s="254"/>
      <c r="S1097" s="323" t="s">
        <v>3020</v>
      </c>
      <c r="T1097" s="271" t="s">
        <v>1532</v>
      </c>
      <c r="U1097" s="324">
        <v>2798217.0</v>
      </c>
      <c r="V1097" s="254"/>
      <c r="W1097" s="323" t="s">
        <v>3020</v>
      </c>
      <c r="X1097" s="271" t="s">
        <v>1532</v>
      </c>
      <c r="Y1097" s="324">
        <v>3064638.0</v>
      </c>
      <c r="Z1097" s="254"/>
      <c r="AA1097" s="323" t="s">
        <v>3020</v>
      </c>
      <c r="AB1097" s="271" t="s">
        <v>1532</v>
      </c>
      <c r="AC1097" s="324">
        <v>1483209.0</v>
      </c>
      <c r="AD1097" s="271"/>
      <c r="AE1097" s="277"/>
      <c r="AF1097" s="277"/>
      <c r="AG1097" s="277"/>
      <c r="AH1097" s="277"/>
      <c r="AI1097" s="277"/>
      <c r="AJ1097" s="582"/>
      <c r="AK1097" s="281"/>
      <c r="AL1097" s="281"/>
      <c r="AM1097" s="281"/>
      <c r="AN1097" s="294"/>
    </row>
    <row r="1098">
      <c r="A1098" s="169">
        <f t="array" ref="A1098">INDEX('Federal Tax, Stock Buybacks, &amp; '!D:D,match(B1098,'Federal Tax, Stock Buybacks, &amp; '!E:E,0))</f>
        <v>59</v>
      </c>
      <c r="B1098" s="264" t="s">
        <v>3017</v>
      </c>
      <c r="C1098" s="323"/>
      <c r="D1098" s="604"/>
      <c r="E1098" s="324"/>
      <c r="F1098" s="254"/>
      <c r="G1098" s="323"/>
      <c r="H1098" s="604"/>
      <c r="I1098" s="324"/>
      <c r="J1098" s="254"/>
      <c r="K1098" s="323" t="s">
        <v>3021</v>
      </c>
      <c r="L1098" s="604" t="s">
        <v>3022</v>
      </c>
      <c r="M1098" s="324">
        <v>4002086.0</v>
      </c>
      <c r="N1098" s="254"/>
      <c r="O1098" s="323" t="s">
        <v>3023</v>
      </c>
      <c r="P1098" s="604" t="s">
        <v>3024</v>
      </c>
      <c r="Q1098" s="607">
        <v>3016440.0</v>
      </c>
      <c r="R1098" s="254"/>
      <c r="S1098" s="323" t="s">
        <v>3021</v>
      </c>
      <c r="T1098" s="604" t="s">
        <v>3025</v>
      </c>
      <c r="U1098" s="324">
        <v>3175930.0</v>
      </c>
      <c r="V1098" s="254"/>
      <c r="W1098" s="323" t="s">
        <v>3021</v>
      </c>
      <c r="X1098" s="271" t="s">
        <v>3026</v>
      </c>
      <c r="Y1098" s="324">
        <v>3347423.0</v>
      </c>
      <c r="Z1098" s="254"/>
      <c r="AA1098" s="323" t="s">
        <v>3023</v>
      </c>
      <c r="AB1098" s="271" t="s">
        <v>3027</v>
      </c>
      <c r="AC1098" s="324">
        <v>1702620.0</v>
      </c>
      <c r="AD1098" s="271"/>
      <c r="AE1098" s="277"/>
      <c r="AF1098" s="277"/>
      <c r="AG1098" s="277"/>
      <c r="AH1098" s="277"/>
      <c r="AI1098" s="277"/>
      <c r="AJ1098" s="582"/>
      <c r="AK1098" s="281"/>
      <c r="AL1098" s="281"/>
      <c r="AM1098" s="281"/>
      <c r="AN1098" s="294"/>
    </row>
    <row r="1099">
      <c r="A1099" s="169">
        <f t="array" ref="A1099">INDEX('Federal Tax, Stock Buybacks, &amp; '!D:D,match(B1099,'Federal Tax, Stock Buybacks, &amp; '!E:E,0))</f>
        <v>59</v>
      </c>
      <c r="B1099" s="264" t="s">
        <v>3017</v>
      </c>
      <c r="C1099" s="323"/>
      <c r="D1099" s="604"/>
      <c r="E1099" s="324"/>
      <c r="F1099" s="254"/>
      <c r="G1099" s="323"/>
      <c r="H1099" s="604"/>
      <c r="I1099" s="324"/>
      <c r="J1099" s="254"/>
      <c r="K1099" s="323" t="s">
        <v>3028</v>
      </c>
      <c r="L1099" s="604" t="s">
        <v>3029</v>
      </c>
      <c r="M1099" s="324">
        <v>3788825.0</v>
      </c>
      <c r="N1099" s="254"/>
      <c r="O1099" s="323" t="s">
        <v>3028</v>
      </c>
      <c r="P1099" s="604" t="s">
        <v>3029</v>
      </c>
      <c r="Q1099" s="607">
        <v>2742606.0</v>
      </c>
      <c r="R1099" s="254"/>
      <c r="S1099" s="323" t="s">
        <v>3023</v>
      </c>
      <c r="T1099" s="604" t="s">
        <v>3024</v>
      </c>
      <c r="U1099" s="324">
        <v>3189986.0</v>
      </c>
      <c r="V1099" s="254"/>
      <c r="W1099" s="323" t="s">
        <v>3023</v>
      </c>
      <c r="X1099" s="271" t="s">
        <v>3027</v>
      </c>
      <c r="Y1099" s="324">
        <v>3348350.0</v>
      </c>
      <c r="Z1099" s="254"/>
      <c r="AA1099" s="323" t="s">
        <v>3030</v>
      </c>
      <c r="AB1099" s="271" t="s">
        <v>1662</v>
      </c>
      <c r="AC1099" s="324">
        <v>1612851.0</v>
      </c>
      <c r="AD1099" s="271"/>
      <c r="AE1099" s="277"/>
      <c r="AF1099" s="277"/>
      <c r="AG1099" s="277"/>
      <c r="AH1099" s="277"/>
      <c r="AI1099" s="277"/>
      <c r="AJ1099" s="582"/>
      <c r="AK1099" s="281"/>
      <c r="AL1099" s="281"/>
      <c r="AM1099" s="281"/>
      <c r="AN1099" s="294"/>
    </row>
    <row r="1100">
      <c r="A1100" s="169">
        <f t="array" ref="A1100">INDEX('Federal Tax, Stock Buybacks, &amp; '!D:D,match(B1100,'Federal Tax, Stock Buybacks, &amp; '!E:E,0))</f>
        <v>59</v>
      </c>
      <c r="B1100" s="264" t="s">
        <v>3017</v>
      </c>
      <c r="C1100" s="323"/>
      <c r="D1100" s="604"/>
      <c r="E1100" s="324"/>
      <c r="F1100" s="254"/>
      <c r="G1100" s="323"/>
      <c r="H1100" s="604"/>
      <c r="I1100" s="324"/>
      <c r="J1100" s="254"/>
      <c r="K1100" s="323" t="s">
        <v>3031</v>
      </c>
      <c r="L1100" s="604" t="s">
        <v>3032</v>
      </c>
      <c r="M1100" s="324">
        <v>6036425.0</v>
      </c>
      <c r="N1100" s="254"/>
      <c r="O1100" s="323" t="s">
        <v>3031</v>
      </c>
      <c r="P1100" s="604" t="s">
        <v>3032</v>
      </c>
      <c r="Q1100" s="607">
        <v>4621034.0</v>
      </c>
      <c r="R1100" s="254"/>
      <c r="S1100" s="323" t="s">
        <v>3030</v>
      </c>
      <c r="T1100" s="271" t="s">
        <v>1662</v>
      </c>
      <c r="U1100" s="324">
        <v>3009828.0</v>
      </c>
      <c r="V1100" s="254"/>
      <c r="W1100" s="323" t="s">
        <v>3030</v>
      </c>
      <c r="X1100" s="271" t="s">
        <v>1662</v>
      </c>
      <c r="Y1100" s="324">
        <v>3236057.0</v>
      </c>
      <c r="Z1100" s="254"/>
      <c r="AA1100" s="323" t="s">
        <v>3021</v>
      </c>
      <c r="AB1100" s="271" t="s">
        <v>3026</v>
      </c>
      <c r="AC1100" s="324">
        <v>1684894.0</v>
      </c>
      <c r="AD1100" s="271"/>
      <c r="AE1100" s="277"/>
      <c r="AF1100" s="277"/>
      <c r="AG1100" s="277"/>
      <c r="AH1100" s="277"/>
      <c r="AI1100" s="277"/>
      <c r="AJ1100" s="582"/>
      <c r="AK1100" s="281"/>
      <c r="AL1100" s="281"/>
      <c r="AM1100" s="281"/>
      <c r="AN1100" s="294"/>
    </row>
    <row r="1101">
      <c r="A1101" s="169">
        <f t="array" ref="A1101">INDEX('Federal Tax, Stock Buybacks, &amp; '!D:D,match(B1101,'Federal Tax, Stock Buybacks, &amp; '!E:E,0))</f>
        <v>59</v>
      </c>
      <c r="B1101" s="264" t="s">
        <v>3017</v>
      </c>
      <c r="C1101" s="326"/>
      <c r="D1101" s="329"/>
      <c r="E1101" s="324"/>
      <c r="F1101" s="254"/>
      <c r="G1101" s="326"/>
      <c r="H1101" s="329"/>
      <c r="I1101" s="324"/>
      <c r="J1101" s="254"/>
      <c r="K1101" s="326" t="s">
        <v>711</v>
      </c>
      <c r="L1101" s="329" t="s">
        <v>711</v>
      </c>
      <c r="M1101" s="324" t="s">
        <v>711</v>
      </c>
      <c r="N1101" s="254"/>
      <c r="O1101" s="323" t="s">
        <v>3021</v>
      </c>
      <c r="P1101" s="271" t="s">
        <v>3025</v>
      </c>
      <c r="Q1101" s="324">
        <v>2959131.0</v>
      </c>
      <c r="R1101" s="254"/>
      <c r="S1101" s="326" t="s">
        <v>711</v>
      </c>
      <c r="T1101" s="329" t="s">
        <v>711</v>
      </c>
      <c r="U1101" s="324" t="s">
        <v>711</v>
      </c>
      <c r="V1101" s="254"/>
      <c r="W1101" s="326" t="s">
        <v>711</v>
      </c>
      <c r="X1101" s="329" t="s">
        <v>711</v>
      </c>
      <c r="Y1101" s="324" t="s">
        <v>711</v>
      </c>
      <c r="Z1101" s="254"/>
      <c r="AA1101" s="326" t="s">
        <v>711</v>
      </c>
      <c r="AB1101" s="329" t="s">
        <v>711</v>
      </c>
      <c r="AC1101" s="324" t="s">
        <v>711</v>
      </c>
      <c r="AD1101" s="271"/>
      <c r="AE1101" s="277"/>
      <c r="AF1101" s="277"/>
      <c r="AG1101" s="277"/>
      <c r="AH1101" s="277"/>
      <c r="AI1101" s="277"/>
      <c r="AJ1101" s="582"/>
      <c r="AK1101" s="281"/>
      <c r="AL1101" s="281"/>
      <c r="AM1101" s="281"/>
      <c r="AN1101" s="294"/>
    </row>
    <row r="1102">
      <c r="A1102" s="196" t="str">
        <f t="array" ref="A1102">INDEX('Federal Tax, Stock Buybacks, &amp; '!D:D,match(B1102,'Federal Tax, Stock Buybacks, &amp; '!E:E,0))</f>
        <v>#N/A</v>
      </c>
      <c r="B1102" s="351" t="s">
        <v>3033</v>
      </c>
      <c r="C1102" s="353"/>
      <c r="D1102" s="355"/>
      <c r="E1102" s="354"/>
      <c r="F1102" s="254"/>
      <c r="G1102" s="353"/>
      <c r="H1102" s="355"/>
      <c r="I1102" s="354"/>
      <c r="J1102" s="254"/>
      <c r="K1102" s="353" t="s">
        <v>3034</v>
      </c>
      <c r="L1102" s="355" t="s">
        <v>1523</v>
      </c>
      <c r="M1102" s="354">
        <v>1.38192032E8</v>
      </c>
      <c r="N1102" s="254"/>
      <c r="O1102" s="353" t="s">
        <v>3034</v>
      </c>
      <c r="P1102" s="355" t="s">
        <v>1523</v>
      </c>
      <c r="Q1102" s="354">
        <v>1.0631223E7</v>
      </c>
      <c r="R1102" s="254"/>
      <c r="S1102" s="353" t="s">
        <v>3034</v>
      </c>
      <c r="T1102" s="605" t="s">
        <v>1523</v>
      </c>
      <c r="U1102" s="354">
        <v>964055.0</v>
      </c>
      <c r="V1102" s="254"/>
      <c r="W1102" s="353" t="s">
        <v>3034</v>
      </c>
      <c r="X1102" s="605" t="s">
        <v>1523</v>
      </c>
      <c r="Y1102" s="354">
        <v>965981.0</v>
      </c>
      <c r="Z1102" s="254"/>
      <c r="AA1102" s="353" t="s">
        <v>3034</v>
      </c>
      <c r="AB1102" s="605" t="s">
        <v>1523</v>
      </c>
      <c r="AC1102" s="354">
        <v>1.08282333E8</v>
      </c>
      <c r="AD1102" s="355"/>
      <c r="AE1102" s="356">
        <v>2022.0</v>
      </c>
      <c r="AF1102" s="356">
        <v>2021.0</v>
      </c>
      <c r="AG1102" s="356">
        <v>2020.0</v>
      </c>
      <c r="AH1102" s="356">
        <v>2019.0</v>
      </c>
      <c r="AI1102" s="356">
        <v>2018.0</v>
      </c>
      <c r="AJ1102" s="594" t="s">
        <v>2895</v>
      </c>
      <c r="AK1102" s="281"/>
      <c r="AL1102" s="281"/>
      <c r="AM1102" s="281"/>
      <c r="AN1102" s="294"/>
    </row>
    <row r="1103">
      <c r="A1103" s="196" t="str">
        <f t="array" ref="A1103">INDEX('Federal Tax, Stock Buybacks, &amp; '!D:D,match(B1103,'Federal Tax, Stock Buybacks, &amp; '!E:E,0))</f>
        <v>#N/A</v>
      </c>
      <c r="B1103" s="351" t="s">
        <v>3033</v>
      </c>
      <c r="C1103" s="353"/>
      <c r="D1103" s="355"/>
      <c r="E1103" s="354"/>
      <c r="F1103" s="254"/>
      <c r="G1103" s="353"/>
      <c r="H1103" s="355"/>
      <c r="I1103" s="354"/>
      <c r="J1103" s="254"/>
      <c r="K1103" s="353" t="s">
        <v>3035</v>
      </c>
      <c r="L1103" s="355" t="s">
        <v>3036</v>
      </c>
      <c r="M1103" s="354">
        <v>1.38652063E8</v>
      </c>
      <c r="N1103" s="254"/>
      <c r="O1103" s="353" t="s">
        <v>3035</v>
      </c>
      <c r="P1103" s="355" t="s">
        <v>3036</v>
      </c>
      <c r="Q1103" s="354">
        <v>1.1773788E7</v>
      </c>
      <c r="R1103" s="254"/>
      <c r="S1103" s="353" t="s">
        <v>3035</v>
      </c>
      <c r="T1103" s="605" t="s">
        <v>3036</v>
      </c>
      <c r="U1103" s="354">
        <v>1716115.0</v>
      </c>
      <c r="V1103" s="254"/>
      <c r="W1103" s="353" t="s">
        <v>3035</v>
      </c>
      <c r="X1103" s="605" t="s">
        <v>3036</v>
      </c>
      <c r="Y1103" s="354">
        <v>1662828.0</v>
      </c>
      <c r="Z1103" s="254"/>
      <c r="AA1103" s="353" t="s">
        <v>3035</v>
      </c>
      <c r="AB1103" s="605" t="s">
        <v>3036</v>
      </c>
      <c r="AC1103" s="354">
        <v>1.08931643E8</v>
      </c>
      <c r="AD1103" s="355"/>
      <c r="AE1103" s="358"/>
      <c r="AF1103" s="358"/>
      <c r="AG1103" s="358"/>
      <c r="AH1103" s="358"/>
      <c r="AI1103" s="358"/>
      <c r="AJ1103" s="352"/>
      <c r="AK1103" s="281"/>
      <c r="AL1103" s="281"/>
      <c r="AM1103" s="281"/>
      <c r="AN1103" s="294"/>
    </row>
    <row r="1104">
      <c r="A1104" s="196" t="str">
        <f t="array" ref="A1104">INDEX('Federal Tax, Stock Buybacks, &amp; '!D:D,match(B1104,'Federal Tax, Stock Buybacks, &amp; '!E:E,0))</f>
        <v>#N/A</v>
      </c>
      <c r="B1104" s="351" t="s">
        <v>3033</v>
      </c>
      <c r="C1104" s="353"/>
      <c r="D1104" s="355"/>
      <c r="E1104" s="354"/>
      <c r="F1104" s="254"/>
      <c r="G1104" s="353"/>
      <c r="H1104" s="355"/>
      <c r="I1104" s="354"/>
      <c r="J1104" s="254"/>
      <c r="K1104" s="353" t="s">
        <v>3037</v>
      </c>
      <c r="L1104" s="355" t="s">
        <v>3038</v>
      </c>
      <c r="M1104" s="354">
        <v>2.2103288E7</v>
      </c>
      <c r="N1104" s="254"/>
      <c r="O1104" s="353" t="s">
        <v>3037</v>
      </c>
      <c r="P1104" s="355" t="s">
        <v>3038</v>
      </c>
      <c r="Q1104" s="354">
        <v>1.3444882E7</v>
      </c>
      <c r="R1104" s="254"/>
      <c r="S1104" s="353" t="s">
        <v>3039</v>
      </c>
      <c r="T1104" s="605" t="s">
        <v>1696</v>
      </c>
      <c r="U1104" s="354">
        <v>6103814.0</v>
      </c>
      <c r="V1104" s="254"/>
      <c r="W1104" s="353" t="s">
        <v>3039</v>
      </c>
      <c r="X1104" s="605" t="s">
        <v>1696</v>
      </c>
      <c r="Y1104" s="354">
        <v>4214615.0</v>
      </c>
      <c r="Z1104" s="254"/>
      <c r="AA1104" s="353" t="s">
        <v>3040</v>
      </c>
      <c r="AB1104" s="355" t="s">
        <v>3041</v>
      </c>
      <c r="AC1104" s="354">
        <v>7.379989E7</v>
      </c>
      <c r="AD1104" s="355"/>
      <c r="AE1104" s="358"/>
      <c r="AF1104" s="358"/>
      <c r="AG1104" s="358"/>
      <c r="AH1104" s="358"/>
      <c r="AI1104" s="358"/>
      <c r="AJ1104" s="352"/>
      <c r="AK1104" s="281"/>
      <c r="AL1104" s="281"/>
      <c r="AM1104" s="281"/>
      <c r="AN1104" s="294"/>
    </row>
    <row r="1105">
      <c r="A1105" s="196" t="str">
        <f t="array" ref="A1105">INDEX('Federal Tax, Stock Buybacks, &amp; '!D:D,match(B1105,'Federal Tax, Stock Buybacks, &amp; '!E:E,0))</f>
        <v>#N/A</v>
      </c>
      <c r="B1105" s="351" t="s">
        <v>3033</v>
      </c>
      <c r="C1105" s="353"/>
      <c r="D1105" s="355"/>
      <c r="E1105" s="354"/>
      <c r="F1105" s="254"/>
      <c r="G1105" s="353"/>
      <c r="H1105" s="355"/>
      <c r="I1105" s="354"/>
      <c r="J1105" s="254"/>
      <c r="K1105" s="353" t="s">
        <v>3042</v>
      </c>
      <c r="L1105" s="355" t="s">
        <v>2261</v>
      </c>
      <c r="M1105" s="354">
        <v>1.4879642E7</v>
      </c>
      <c r="N1105" s="254"/>
      <c r="O1105" s="353" t="s">
        <v>3042</v>
      </c>
      <c r="P1105" s="355" t="s">
        <v>2261</v>
      </c>
      <c r="Q1105" s="354">
        <v>1.1265026E7</v>
      </c>
      <c r="R1105" s="254"/>
      <c r="S1105" s="353" t="s">
        <v>3043</v>
      </c>
      <c r="T1105" s="355" t="s">
        <v>1539</v>
      </c>
      <c r="U1105" s="354">
        <v>727444.0</v>
      </c>
      <c r="V1105" s="254"/>
      <c r="W1105" s="353" t="s">
        <v>3043</v>
      </c>
      <c r="X1105" s="605" t="s">
        <v>1523</v>
      </c>
      <c r="Y1105" s="354">
        <v>2481646.0</v>
      </c>
      <c r="Z1105" s="254"/>
      <c r="AA1105" s="353" t="s">
        <v>3043</v>
      </c>
      <c r="AB1105" s="605" t="s">
        <v>1523</v>
      </c>
      <c r="AC1105" s="354">
        <v>1.08295023E8</v>
      </c>
      <c r="AD1105" s="355"/>
      <c r="AE1105" s="358"/>
      <c r="AF1105" s="358"/>
      <c r="AG1105" s="358"/>
      <c r="AH1105" s="358"/>
      <c r="AI1105" s="358"/>
      <c r="AJ1105" s="352"/>
      <c r="AK1105" s="281"/>
      <c r="AL1105" s="281"/>
      <c r="AM1105" s="281"/>
      <c r="AN1105" s="294"/>
    </row>
    <row r="1106">
      <c r="A1106" s="196" t="str">
        <f t="array" ref="A1106">INDEX('Federal Tax, Stock Buybacks, &amp; '!D:D,match(B1106,'Federal Tax, Stock Buybacks, &amp; '!E:E,0))</f>
        <v>#N/A</v>
      </c>
      <c r="B1106" s="351" t="s">
        <v>3033</v>
      </c>
      <c r="C1106" s="359"/>
      <c r="D1106" s="219"/>
      <c r="E1106" s="354"/>
      <c r="F1106" s="254"/>
      <c r="G1106" s="359"/>
      <c r="H1106" s="219"/>
      <c r="I1106" s="354"/>
      <c r="J1106" s="254"/>
      <c r="K1106" s="359" t="s">
        <v>711</v>
      </c>
      <c r="L1106" s="219" t="s">
        <v>711</v>
      </c>
      <c r="M1106" s="354" t="s">
        <v>711</v>
      </c>
      <c r="N1106" s="254"/>
      <c r="O1106" s="359" t="s">
        <v>711</v>
      </c>
      <c r="P1106" s="219" t="s">
        <v>711</v>
      </c>
      <c r="Q1106" s="354" t="s">
        <v>711</v>
      </c>
      <c r="R1106" s="254"/>
      <c r="S1106" s="353" t="s">
        <v>3042</v>
      </c>
      <c r="T1106" s="355" t="s">
        <v>1538</v>
      </c>
      <c r="U1106" s="354">
        <v>1.0139922E7</v>
      </c>
      <c r="V1106" s="254"/>
      <c r="W1106" s="353" t="s">
        <v>3037</v>
      </c>
      <c r="X1106" s="605" t="s">
        <v>3044</v>
      </c>
      <c r="Y1106" s="354">
        <v>3.4168619E7</v>
      </c>
      <c r="Z1106" s="254"/>
      <c r="AA1106" s="353" t="s">
        <v>3037</v>
      </c>
      <c r="AB1106" s="605" t="s">
        <v>3044</v>
      </c>
      <c r="AC1106" s="354">
        <v>1.2990599E7</v>
      </c>
      <c r="AD1106" s="355"/>
      <c r="AE1106" s="358"/>
      <c r="AF1106" s="358"/>
      <c r="AG1106" s="358"/>
      <c r="AH1106" s="358"/>
      <c r="AI1106" s="358"/>
      <c r="AJ1106" s="352"/>
      <c r="AK1106" s="281"/>
      <c r="AL1106" s="281"/>
      <c r="AM1106" s="281"/>
      <c r="AN1106" s="294"/>
    </row>
    <row r="1107">
      <c r="A1107" s="196" t="str">
        <f t="array" ref="A1107">INDEX('Federal Tax, Stock Buybacks, &amp; '!D:D,match(B1107,'Federal Tax, Stock Buybacks, &amp; '!E:E,0))</f>
        <v>#N/A</v>
      </c>
      <c r="B1107" s="351" t="s">
        <v>3033</v>
      </c>
      <c r="C1107" s="359"/>
      <c r="D1107" s="219"/>
      <c r="E1107" s="354"/>
      <c r="F1107" s="254"/>
      <c r="G1107" s="359"/>
      <c r="H1107" s="219"/>
      <c r="I1107" s="354"/>
      <c r="J1107" s="254"/>
      <c r="K1107" s="359" t="s">
        <v>711</v>
      </c>
      <c r="L1107" s="219" t="s">
        <v>711</v>
      </c>
      <c r="M1107" s="354" t="s">
        <v>711</v>
      </c>
      <c r="N1107" s="254"/>
      <c r="O1107" s="359" t="s">
        <v>711</v>
      </c>
      <c r="P1107" s="219" t="s">
        <v>711</v>
      </c>
      <c r="Q1107" s="354" t="s">
        <v>711</v>
      </c>
      <c r="R1107" s="254"/>
      <c r="S1107" s="353" t="s">
        <v>3045</v>
      </c>
      <c r="T1107" s="355" t="s">
        <v>3046</v>
      </c>
      <c r="U1107" s="354">
        <v>5438942.0</v>
      </c>
      <c r="V1107" s="254"/>
      <c r="W1107" s="353" t="s">
        <v>3042</v>
      </c>
      <c r="X1107" s="355" t="s">
        <v>1538</v>
      </c>
      <c r="Y1107" s="354">
        <v>7999791.0</v>
      </c>
      <c r="Z1107" s="254"/>
      <c r="AA1107" s="359" t="s">
        <v>711</v>
      </c>
      <c r="AB1107" s="219" t="s">
        <v>711</v>
      </c>
      <c r="AC1107" s="354" t="s">
        <v>711</v>
      </c>
      <c r="AD1107" s="355"/>
      <c r="AE1107" s="358"/>
      <c r="AF1107" s="358"/>
      <c r="AG1107" s="358"/>
      <c r="AH1107" s="358"/>
      <c r="AI1107" s="358"/>
      <c r="AJ1107" s="352"/>
      <c r="AK1107" s="281"/>
      <c r="AL1107" s="281"/>
      <c r="AM1107" s="281"/>
      <c r="AN1107" s="294"/>
    </row>
    <row r="1108">
      <c r="A1108" s="196" t="str">
        <f t="array" ref="A1108">INDEX('Federal Tax, Stock Buybacks, &amp; '!D:D,match(B1108,'Federal Tax, Stock Buybacks, &amp; '!E:E,0))</f>
        <v>#N/A</v>
      </c>
      <c r="B1108" s="351" t="s">
        <v>3033</v>
      </c>
      <c r="C1108" s="359"/>
      <c r="D1108" s="219"/>
      <c r="E1108" s="354"/>
      <c r="F1108" s="254"/>
      <c r="G1108" s="359"/>
      <c r="H1108" s="219"/>
      <c r="I1108" s="354"/>
      <c r="J1108" s="254"/>
      <c r="K1108" s="359" t="s">
        <v>711</v>
      </c>
      <c r="L1108" s="219" t="s">
        <v>711</v>
      </c>
      <c r="M1108" s="354" t="s">
        <v>711</v>
      </c>
      <c r="N1108" s="254"/>
      <c r="O1108" s="359" t="s">
        <v>711</v>
      </c>
      <c r="P1108" s="219" t="s">
        <v>711</v>
      </c>
      <c r="Q1108" s="354" t="s">
        <v>711</v>
      </c>
      <c r="R1108" s="254"/>
      <c r="S1108" s="353" t="s">
        <v>3037</v>
      </c>
      <c r="T1108" s="355" t="s">
        <v>3038</v>
      </c>
      <c r="U1108" s="354">
        <v>806555.0</v>
      </c>
      <c r="V1108" s="254"/>
      <c r="W1108" s="359" t="s">
        <v>711</v>
      </c>
      <c r="X1108" s="219" t="s">
        <v>711</v>
      </c>
      <c r="Y1108" s="354" t="s">
        <v>711</v>
      </c>
      <c r="Z1108" s="254"/>
      <c r="AA1108" s="359" t="s">
        <v>711</v>
      </c>
      <c r="AB1108" s="219" t="s">
        <v>711</v>
      </c>
      <c r="AC1108" s="354" t="s">
        <v>711</v>
      </c>
      <c r="AD1108" s="355"/>
      <c r="AE1108" s="358"/>
      <c r="AF1108" s="358"/>
      <c r="AG1108" s="358"/>
      <c r="AH1108" s="358"/>
      <c r="AI1108" s="358"/>
      <c r="AJ1108" s="352"/>
      <c r="AK1108" s="281"/>
      <c r="AL1108" s="281"/>
      <c r="AM1108" s="281"/>
      <c r="AN1108" s="294"/>
    </row>
    <row r="1109">
      <c r="A1109" s="196" t="str">
        <f t="array" ref="A1109">INDEX('Federal Tax, Stock Buybacks, &amp; '!D:D,match(B1109,'Federal Tax, Stock Buybacks, &amp; '!E:E,0))</f>
        <v>#N/A</v>
      </c>
      <c r="B1109" s="351" t="s">
        <v>3047</v>
      </c>
      <c r="C1109" s="353"/>
      <c r="D1109" s="355"/>
      <c r="E1109" s="354"/>
      <c r="F1109" s="254"/>
      <c r="G1109" s="353"/>
      <c r="H1109" s="355"/>
      <c r="I1109" s="354"/>
      <c r="J1109" s="254"/>
      <c r="K1109" s="353" t="s">
        <v>3048</v>
      </c>
      <c r="L1109" s="355" t="s">
        <v>1523</v>
      </c>
      <c r="M1109" s="354">
        <v>9606387.0</v>
      </c>
      <c r="N1109" s="254"/>
      <c r="O1109" s="353" t="s">
        <v>3048</v>
      </c>
      <c r="P1109" s="355" t="s">
        <v>1523</v>
      </c>
      <c r="Q1109" s="606">
        <v>1.236042E7</v>
      </c>
      <c r="R1109" s="254"/>
      <c r="S1109" s="353" t="s">
        <v>3048</v>
      </c>
      <c r="T1109" s="355" t="s">
        <v>1523</v>
      </c>
      <c r="U1109" s="354">
        <v>1.3134012E7</v>
      </c>
      <c r="V1109" s="254"/>
      <c r="W1109" s="353" t="s">
        <v>3048</v>
      </c>
      <c r="X1109" s="605" t="s">
        <v>1523</v>
      </c>
      <c r="Y1109" s="354">
        <v>1.7325379E7</v>
      </c>
      <c r="Z1109" s="254"/>
      <c r="AA1109" s="353" t="s">
        <v>3048</v>
      </c>
      <c r="AB1109" s="605" t="s">
        <v>1523</v>
      </c>
      <c r="AC1109" s="354">
        <v>1.4982448E7</v>
      </c>
      <c r="AD1109" s="355"/>
      <c r="AE1109" s="356">
        <v>2022.0</v>
      </c>
      <c r="AF1109" s="356">
        <v>2021.0</v>
      </c>
      <c r="AG1109" s="356">
        <v>2020.0</v>
      </c>
      <c r="AH1109" s="356">
        <v>2019.0</v>
      </c>
      <c r="AI1109" s="356">
        <v>2018.0</v>
      </c>
      <c r="AJ1109" s="352"/>
      <c r="AK1109" s="281"/>
      <c r="AL1109" s="281"/>
      <c r="AM1109" s="281"/>
      <c r="AN1109" s="294"/>
    </row>
    <row r="1110">
      <c r="A1110" s="196" t="str">
        <f t="array" ref="A1110">INDEX('Federal Tax, Stock Buybacks, &amp; '!D:D,match(B1110,'Federal Tax, Stock Buybacks, &amp; '!E:E,0))</f>
        <v>#N/A</v>
      </c>
      <c r="B1110" s="351" t="s">
        <v>3047</v>
      </c>
      <c r="C1110" s="353"/>
      <c r="D1110" s="355"/>
      <c r="E1110" s="354"/>
      <c r="F1110" s="254"/>
      <c r="G1110" s="353"/>
      <c r="H1110" s="355"/>
      <c r="I1110" s="354"/>
      <c r="J1110" s="254"/>
      <c r="K1110" s="353" t="s">
        <v>3049</v>
      </c>
      <c r="L1110" s="355" t="s">
        <v>1649</v>
      </c>
      <c r="M1110" s="354">
        <v>5814557.0</v>
      </c>
      <c r="N1110" s="254"/>
      <c r="O1110" s="353" t="s">
        <v>3049</v>
      </c>
      <c r="P1110" s="355" t="s">
        <v>1649</v>
      </c>
      <c r="Q1110" s="606">
        <v>7059850.0</v>
      </c>
      <c r="R1110" s="254"/>
      <c r="S1110" s="353" t="s">
        <v>3049</v>
      </c>
      <c r="T1110" s="355" t="s">
        <v>1649</v>
      </c>
      <c r="U1110" s="354">
        <v>7455109.0</v>
      </c>
      <c r="V1110" s="254"/>
      <c r="W1110" s="353" t="s">
        <v>3049</v>
      </c>
      <c r="X1110" s="605" t="s">
        <v>1649</v>
      </c>
      <c r="Y1110" s="354">
        <v>9917833.0</v>
      </c>
      <c r="Z1110" s="254"/>
      <c r="AA1110" s="353" t="s">
        <v>3049</v>
      </c>
      <c r="AB1110" s="605" t="s">
        <v>1649</v>
      </c>
      <c r="AC1110" s="354">
        <v>8463800.0</v>
      </c>
      <c r="AD1110" s="355"/>
      <c r="AE1110" s="358"/>
      <c r="AF1110" s="358"/>
      <c r="AG1110" s="358"/>
      <c r="AH1110" s="358"/>
      <c r="AI1110" s="358"/>
      <c r="AJ1110" s="352"/>
      <c r="AK1110" s="281"/>
      <c r="AL1110" s="281"/>
      <c r="AM1110" s="281"/>
      <c r="AN1110" s="294"/>
    </row>
    <row r="1111">
      <c r="A1111" s="196" t="str">
        <f t="array" ref="A1111">INDEX('Federal Tax, Stock Buybacks, &amp; '!D:D,match(B1111,'Federal Tax, Stock Buybacks, &amp; '!E:E,0))</f>
        <v>#N/A</v>
      </c>
      <c r="B1111" s="351" t="s">
        <v>3047</v>
      </c>
      <c r="C1111" s="353"/>
      <c r="D1111" s="355"/>
      <c r="E1111" s="354"/>
      <c r="F1111" s="254"/>
      <c r="G1111" s="353"/>
      <c r="H1111" s="355"/>
      <c r="I1111" s="354"/>
      <c r="J1111" s="254"/>
      <c r="K1111" s="353" t="s">
        <v>3050</v>
      </c>
      <c r="L1111" s="355" t="s">
        <v>3051</v>
      </c>
      <c r="M1111" s="354">
        <v>3953031.0</v>
      </c>
      <c r="N1111" s="254"/>
      <c r="O1111" s="353" t="s">
        <v>3050</v>
      </c>
      <c r="P1111" s="605" t="s">
        <v>3052</v>
      </c>
      <c r="Q1111" s="606">
        <v>5219037.0</v>
      </c>
      <c r="R1111" s="254"/>
      <c r="S1111" s="353" t="s">
        <v>3050</v>
      </c>
      <c r="T1111" s="355" t="s">
        <v>3051</v>
      </c>
      <c r="U1111" s="354">
        <v>3618050.0</v>
      </c>
      <c r="V1111" s="254"/>
      <c r="W1111" s="353" t="s">
        <v>359</v>
      </c>
      <c r="X1111" s="605" t="s">
        <v>1535</v>
      </c>
      <c r="Y1111" s="354">
        <v>6283152.0</v>
      </c>
      <c r="Z1111" s="254"/>
      <c r="AA1111" s="353" t="s">
        <v>359</v>
      </c>
      <c r="AB1111" s="605" t="s">
        <v>1535</v>
      </c>
      <c r="AC1111" s="354">
        <v>5749983.0</v>
      </c>
      <c r="AD1111" s="355"/>
      <c r="AE1111" s="358"/>
      <c r="AF1111" s="358"/>
      <c r="AG1111" s="358"/>
      <c r="AH1111" s="358"/>
      <c r="AI1111" s="358"/>
      <c r="AJ1111" s="352"/>
      <c r="AK1111" s="281"/>
      <c r="AL1111" s="281"/>
      <c r="AM1111" s="281"/>
      <c r="AN1111" s="294"/>
    </row>
    <row r="1112">
      <c r="A1112" s="196" t="str">
        <f t="array" ref="A1112">INDEX('Federal Tax, Stock Buybacks, &amp; '!D:D,match(B1112,'Federal Tax, Stock Buybacks, &amp; '!E:E,0))</f>
        <v>#N/A</v>
      </c>
      <c r="B1112" s="351" t="s">
        <v>3047</v>
      </c>
      <c r="C1112" s="353"/>
      <c r="D1112" s="605"/>
      <c r="E1112" s="354"/>
      <c r="F1112" s="254"/>
      <c r="G1112" s="353"/>
      <c r="H1112" s="605"/>
      <c r="I1112" s="354"/>
      <c r="J1112" s="254"/>
      <c r="K1112" s="353" t="s">
        <v>3053</v>
      </c>
      <c r="L1112" s="605" t="s">
        <v>3054</v>
      </c>
      <c r="M1112" s="354">
        <v>5168215.0</v>
      </c>
      <c r="N1112" s="254"/>
      <c r="O1112" s="353" t="s">
        <v>3053</v>
      </c>
      <c r="P1112" s="605" t="s">
        <v>3054</v>
      </c>
      <c r="Q1112" s="606">
        <v>8819519.0</v>
      </c>
      <c r="R1112" s="254"/>
      <c r="S1112" s="353" t="s">
        <v>3055</v>
      </c>
      <c r="T1112" s="355" t="s">
        <v>3056</v>
      </c>
      <c r="U1112" s="354">
        <v>1411968.0</v>
      </c>
      <c r="V1112" s="254"/>
      <c r="W1112" s="353" t="s">
        <v>3057</v>
      </c>
      <c r="X1112" s="609" t="s">
        <v>3058</v>
      </c>
      <c r="Y1112" s="354">
        <v>9886717.0</v>
      </c>
      <c r="Z1112" s="254"/>
      <c r="AA1112" s="353" t="s">
        <v>3057</v>
      </c>
      <c r="AB1112" s="609" t="s">
        <v>3058</v>
      </c>
      <c r="AC1112" s="354">
        <v>8442361.0</v>
      </c>
      <c r="AD1112" s="355"/>
      <c r="AE1112" s="358"/>
      <c r="AF1112" s="358"/>
      <c r="AG1112" s="358"/>
      <c r="AH1112" s="358"/>
      <c r="AI1112" s="358"/>
      <c r="AJ1112" s="352"/>
      <c r="AK1112" s="281"/>
      <c r="AL1112" s="281"/>
      <c r="AM1112" s="281"/>
      <c r="AN1112" s="294"/>
    </row>
    <row r="1113">
      <c r="A1113" s="196" t="str">
        <f t="array" ref="A1113">INDEX('Federal Tax, Stock Buybacks, &amp; '!D:D,match(B1113,'Federal Tax, Stock Buybacks, &amp; '!E:E,0))</f>
        <v>#N/A</v>
      </c>
      <c r="B1113" s="351" t="s">
        <v>3047</v>
      </c>
      <c r="C1113" s="353"/>
      <c r="D1113" s="609"/>
      <c r="E1113" s="354"/>
      <c r="F1113" s="254"/>
      <c r="G1113" s="353"/>
      <c r="H1113" s="609"/>
      <c r="I1113" s="354"/>
      <c r="J1113" s="254"/>
      <c r="K1113" s="353" t="s">
        <v>3059</v>
      </c>
      <c r="L1113" s="609" t="s">
        <v>1535</v>
      </c>
      <c r="M1113" s="354">
        <v>5415523.0</v>
      </c>
      <c r="N1113" s="254"/>
      <c r="O1113" s="353" t="s">
        <v>3060</v>
      </c>
      <c r="P1113" s="355" t="s">
        <v>3056</v>
      </c>
      <c r="Q1113" s="606">
        <v>2465641.0</v>
      </c>
      <c r="R1113" s="254"/>
      <c r="S1113" s="353" t="s">
        <v>3060</v>
      </c>
      <c r="T1113" s="355" t="s">
        <v>3056</v>
      </c>
      <c r="U1113" s="354">
        <v>1369746.0</v>
      </c>
      <c r="V1113" s="254"/>
      <c r="W1113" s="353" t="s">
        <v>3050</v>
      </c>
      <c r="X1113" s="605" t="s">
        <v>3052</v>
      </c>
      <c r="Y1113" s="354">
        <v>5037459.0</v>
      </c>
      <c r="Z1113" s="254"/>
      <c r="AA1113" s="353" t="s">
        <v>3050</v>
      </c>
      <c r="AB1113" s="605" t="s">
        <v>3052</v>
      </c>
      <c r="AC1113" s="354">
        <v>4117174.0</v>
      </c>
      <c r="AD1113" s="355"/>
      <c r="AE1113" s="358"/>
      <c r="AF1113" s="358"/>
      <c r="AG1113" s="358"/>
      <c r="AH1113" s="358"/>
      <c r="AI1113" s="358"/>
      <c r="AJ1113" s="352"/>
      <c r="AK1113" s="281"/>
      <c r="AL1113" s="281"/>
      <c r="AM1113" s="281"/>
      <c r="AN1113" s="294"/>
    </row>
    <row r="1114">
      <c r="A1114" s="196" t="str">
        <f t="array" ref="A1114">INDEX('Federal Tax, Stock Buybacks, &amp; '!D:D,match(B1114,'Federal Tax, Stock Buybacks, &amp; '!E:E,0))</f>
        <v>#N/A</v>
      </c>
      <c r="B1114" s="351" t="s">
        <v>3047</v>
      </c>
      <c r="C1114" s="359"/>
      <c r="D1114" s="555"/>
      <c r="E1114" s="354"/>
      <c r="F1114" s="254"/>
      <c r="G1114" s="359"/>
      <c r="H1114" s="555"/>
      <c r="I1114" s="354"/>
      <c r="J1114" s="254"/>
      <c r="K1114" s="359" t="s">
        <v>711</v>
      </c>
      <c r="L1114" s="555" t="s">
        <v>711</v>
      </c>
      <c r="M1114" s="354" t="s">
        <v>711</v>
      </c>
      <c r="N1114" s="254"/>
      <c r="O1114" s="353" t="s">
        <v>3059</v>
      </c>
      <c r="P1114" s="609" t="s">
        <v>1535</v>
      </c>
      <c r="Q1114" s="606">
        <v>1.0652401E7</v>
      </c>
      <c r="R1114" s="254"/>
      <c r="S1114" s="353" t="s">
        <v>359</v>
      </c>
      <c r="T1114" s="355" t="s">
        <v>2809</v>
      </c>
      <c r="U1114" s="354">
        <v>4638928.0</v>
      </c>
      <c r="V1114" s="254"/>
      <c r="W1114" s="359" t="s">
        <v>711</v>
      </c>
      <c r="X1114" s="219" t="s">
        <v>711</v>
      </c>
      <c r="Y1114" s="354" t="s">
        <v>711</v>
      </c>
      <c r="Z1114" s="254"/>
      <c r="AA1114" s="359" t="s">
        <v>711</v>
      </c>
      <c r="AB1114" s="219" t="s">
        <v>711</v>
      </c>
      <c r="AC1114" s="354" t="s">
        <v>711</v>
      </c>
      <c r="AD1114" s="355"/>
      <c r="AE1114" s="358"/>
      <c r="AF1114" s="358"/>
      <c r="AG1114" s="358"/>
      <c r="AH1114" s="358"/>
      <c r="AI1114" s="358"/>
      <c r="AJ1114" s="352"/>
      <c r="AK1114" s="281"/>
      <c r="AL1114" s="281"/>
      <c r="AM1114" s="281"/>
      <c r="AN1114" s="294"/>
    </row>
    <row r="1115">
      <c r="A1115" s="196" t="str">
        <f t="array" ref="A1115">INDEX('Federal Tax, Stock Buybacks, &amp; '!D:D,match(B1115,'Federal Tax, Stock Buybacks, &amp; '!E:E,0))</f>
        <v>#N/A</v>
      </c>
      <c r="B1115" s="351" t="s">
        <v>3047</v>
      </c>
      <c r="C1115" s="359"/>
      <c r="D1115" s="555"/>
      <c r="E1115" s="354"/>
      <c r="F1115" s="254"/>
      <c r="G1115" s="359"/>
      <c r="H1115" s="555"/>
      <c r="I1115" s="354"/>
      <c r="J1115" s="254"/>
      <c r="K1115" s="359" t="s">
        <v>711</v>
      </c>
      <c r="L1115" s="555" t="s">
        <v>711</v>
      </c>
      <c r="M1115" s="354" t="s">
        <v>711</v>
      </c>
      <c r="N1115" s="254"/>
      <c r="O1115" s="353" t="s">
        <v>3055</v>
      </c>
      <c r="P1115" s="355" t="s">
        <v>3056</v>
      </c>
      <c r="Q1115" s="606">
        <v>2476477.0</v>
      </c>
      <c r="R1115" s="254"/>
      <c r="S1115" s="353" t="s">
        <v>3057</v>
      </c>
      <c r="T1115" s="355" t="s">
        <v>3061</v>
      </c>
      <c r="U1115" s="354">
        <v>7495455.0</v>
      </c>
      <c r="V1115" s="254"/>
      <c r="W1115" s="359" t="s">
        <v>711</v>
      </c>
      <c r="X1115" s="219" t="s">
        <v>711</v>
      </c>
      <c r="Y1115" s="354" t="s">
        <v>711</v>
      </c>
      <c r="Z1115" s="254"/>
      <c r="AA1115" s="359" t="s">
        <v>711</v>
      </c>
      <c r="AB1115" s="219" t="s">
        <v>711</v>
      </c>
      <c r="AC1115" s="354" t="s">
        <v>711</v>
      </c>
      <c r="AD1115" s="355"/>
      <c r="AE1115" s="358"/>
      <c r="AF1115" s="358"/>
      <c r="AG1115" s="358"/>
      <c r="AH1115" s="358"/>
      <c r="AI1115" s="358"/>
      <c r="AJ1115" s="352"/>
      <c r="AK1115" s="281"/>
      <c r="AL1115" s="281"/>
      <c r="AM1115" s="281"/>
      <c r="AN1115" s="294"/>
    </row>
    <row r="1116">
      <c r="A1116" s="196" t="str">
        <f t="array" ref="A1116">INDEX('Federal Tax, Stock Buybacks, &amp; '!D:D,match(B1116,'Federal Tax, Stock Buybacks, &amp; '!E:E,0))</f>
        <v>#N/A</v>
      </c>
      <c r="B1116" s="351" t="s">
        <v>3047</v>
      </c>
      <c r="C1116" s="359"/>
      <c r="D1116" s="555"/>
      <c r="E1116" s="354"/>
      <c r="F1116" s="254"/>
      <c r="G1116" s="359"/>
      <c r="H1116" s="555"/>
      <c r="I1116" s="354"/>
      <c r="J1116" s="254"/>
      <c r="K1116" s="359" t="s">
        <v>711</v>
      </c>
      <c r="L1116" s="555" t="s">
        <v>711</v>
      </c>
      <c r="M1116" s="354" t="s">
        <v>711</v>
      </c>
      <c r="N1116" s="254"/>
      <c r="O1116" s="359" t="s">
        <v>711</v>
      </c>
      <c r="P1116" s="219" t="s">
        <v>711</v>
      </c>
      <c r="Q1116" s="354" t="s">
        <v>711</v>
      </c>
      <c r="R1116" s="254"/>
      <c r="S1116" s="353" t="s">
        <v>3062</v>
      </c>
      <c r="T1116" s="355" t="s">
        <v>2048</v>
      </c>
      <c r="U1116" s="354">
        <v>3790470.0</v>
      </c>
      <c r="V1116" s="254"/>
      <c r="W1116" s="359" t="s">
        <v>711</v>
      </c>
      <c r="X1116" s="219" t="s">
        <v>711</v>
      </c>
      <c r="Y1116" s="354" t="s">
        <v>711</v>
      </c>
      <c r="Z1116" s="254"/>
      <c r="AA1116" s="359" t="s">
        <v>711</v>
      </c>
      <c r="AB1116" s="219" t="s">
        <v>711</v>
      </c>
      <c r="AC1116" s="354" t="s">
        <v>711</v>
      </c>
      <c r="AD1116" s="355"/>
      <c r="AE1116" s="358"/>
      <c r="AF1116" s="358"/>
      <c r="AG1116" s="358"/>
      <c r="AH1116" s="358"/>
      <c r="AI1116" s="358"/>
      <c r="AJ1116" s="352"/>
      <c r="AK1116" s="281"/>
      <c r="AL1116" s="281"/>
      <c r="AM1116" s="281"/>
      <c r="AN1116" s="294"/>
    </row>
    <row r="1117">
      <c r="A1117" s="196" t="str">
        <f t="array" ref="A1117">INDEX('Federal Tax, Stock Buybacks, &amp; '!D:D,match(B1117,'Federal Tax, Stock Buybacks, &amp; '!E:E,0))</f>
        <v>#N/A</v>
      </c>
      <c r="B1117" s="264" t="s">
        <v>3063</v>
      </c>
      <c r="C1117" s="323"/>
      <c r="D1117" s="604"/>
      <c r="E1117" s="324"/>
      <c r="F1117" s="254"/>
      <c r="G1117" s="323"/>
      <c r="H1117" s="604"/>
      <c r="I1117" s="324"/>
      <c r="J1117" s="254"/>
      <c r="K1117" s="323" t="s">
        <v>3064</v>
      </c>
      <c r="L1117" s="604" t="s">
        <v>1815</v>
      </c>
      <c r="M1117" s="324">
        <v>1.5272338E7</v>
      </c>
      <c r="N1117" s="254"/>
      <c r="O1117" s="323" t="s">
        <v>3064</v>
      </c>
      <c r="P1117" s="604" t="s">
        <v>1815</v>
      </c>
      <c r="Q1117" s="324">
        <v>5141566.0</v>
      </c>
      <c r="R1117" s="254"/>
      <c r="S1117" s="323" t="s">
        <v>3064</v>
      </c>
      <c r="T1117" s="604" t="s">
        <v>1815</v>
      </c>
      <c r="U1117" s="324">
        <v>6514957.0</v>
      </c>
      <c r="V1117" s="254"/>
      <c r="W1117" s="323" t="s">
        <v>3064</v>
      </c>
      <c r="X1117" s="604" t="s">
        <v>1815</v>
      </c>
      <c r="Y1117" s="324">
        <v>7100057.0</v>
      </c>
      <c r="Z1117" s="254"/>
      <c r="AA1117" s="323" t="s">
        <v>3064</v>
      </c>
      <c r="AB1117" s="604" t="s">
        <v>1815</v>
      </c>
      <c r="AC1117" s="324">
        <v>4885102.0</v>
      </c>
      <c r="AD1117" s="271"/>
      <c r="AE1117" s="272">
        <v>2022.0</v>
      </c>
      <c r="AF1117" s="272">
        <v>2021.0</v>
      </c>
      <c r="AG1117" s="272">
        <v>2020.0</v>
      </c>
      <c r="AH1117" s="272">
        <v>2019.0</v>
      </c>
      <c r="AI1117" s="272">
        <v>2018.0</v>
      </c>
      <c r="AJ1117" s="582"/>
      <c r="AK1117" s="281"/>
      <c r="AL1117" s="281"/>
      <c r="AM1117" s="281"/>
      <c r="AN1117" s="294"/>
    </row>
    <row r="1118">
      <c r="A1118" s="196" t="str">
        <f t="array" ref="A1118">INDEX('Federal Tax, Stock Buybacks, &amp; '!D:D,match(B1118,'Federal Tax, Stock Buybacks, &amp; '!E:E,0))</f>
        <v>#N/A</v>
      </c>
      <c r="B1118" s="264" t="s">
        <v>3063</v>
      </c>
      <c r="C1118" s="323"/>
      <c r="D1118" s="604"/>
      <c r="E1118" s="324"/>
      <c r="F1118" s="254"/>
      <c r="G1118" s="323"/>
      <c r="H1118" s="604"/>
      <c r="I1118" s="324"/>
      <c r="J1118" s="254"/>
      <c r="K1118" s="323" t="s">
        <v>3065</v>
      </c>
      <c r="L1118" s="604" t="s">
        <v>1585</v>
      </c>
      <c r="M1118" s="324">
        <v>5462044.0</v>
      </c>
      <c r="N1118" s="254"/>
      <c r="O1118" s="323" t="s">
        <v>3065</v>
      </c>
      <c r="P1118" s="604" t="s">
        <v>1585</v>
      </c>
      <c r="Q1118" s="607">
        <v>2285072.0</v>
      </c>
      <c r="R1118" s="254"/>
      <c r="S1118" s="323" t="s">
        <v>3065</v>
      </c>
      <c r="T1118" s="604" t="s">
        <v>1585</v>
      </c>
      <c r="U1118" s="324">
        <v>2626515.0</v>
      </c>
      <c r="V1118" s="254"/>
      <c r="W1118" s="323" t="s">
        <v>3065</v>
      </c>
      <c r="X1118" s="604" t="s">
        <v>1585</v>
      </c>
      <c r="Y1118" s="324">
        <v>2795537.0</v>
      </c>
      <c r="Z1118" s="254"/>
      <c r="AA1118" s="323" t="s">
        <v>3065</v>
      </c>
      <c r="AB1118" s="604" t="s">
        <v>1585</v>
      </c>
      <c r="AC1118" s="324">
        <v>1903939.0</v>
      </c>
      <c r="AD1118" s="271"/>
      <c r="AE1118" s="277"/>
      <c r="AF1118" s="277"/>
      <c r="AG1118" s="277"/>
      <c r="AH1118" s="277"/>
      <c r="AI1118" s="277"/>
      <c r="AJ1118" s="582"/>
      <c r="AK1118" s="281"/>
      <c r="AL1118" s="281"/>
      <c r="AM1118" s="281"/>
      <c r="AN1118" s="294"/>
    </row>
    <row r="1119">
      <c r="A1119" s="196" t="str">
        <f t="array" ref="A1119">INDEX('Federal Tax, Stock Buybacks, &amp; '!D:D,match(B1119,'Federal Tax, Stock Buybacks, &amp; '!E:E,0))</f>
        <v>#N/A</v>
      </c>
      <c r="B1119" s="264" t="s">
        <v>3063</v>
      </c>
      <c r="C1119" s="323"/>
      <c r="D1119" s="604"/>
      <c r="E1119" s="324"/>
      <c r="F1119" s="254"/>
      <c r="G1119" s="323"/>
      <c r="H1119" s="604"/>
      <c r="I1119" s="324"/>
      <c r="J1119" s="254"/>
      <c r="K1119" s="323" t="s">
        <v>3066</v>
      </c>
      <c r="L1119" s="604" t="s">
        <v>3067</v>
      </c>
      <c r="M1119" s="324">
        <v>4938018.0</v>
      </c>
      <c r="N1119" s="254"/>
      <c r="O1119" s="323" t="s">
        <v>3066</v>
      </c>
      <c r="P1119" s="604" t="s">
        <v>3067</v>
      </c>
      <c r="Q1119" s="607">
        <v>1749310.0</v>
      </c>
      <c r="R1119" s="254"/>
      <c r="S1119" s="323" t="s">
        <v>3066</v>
      </c>
      <c r="T1119" s="604" t="s">
        <v>3068</v>
      </c>
      <c r="U1119" s="324">
        <v>1955650.0</v>
      </c>
      <c r="V1119" s="254"/>
      <c r="W1119" s="323" t="s">
        <v>3066</v>
      </c>
      <c r="X1119" s="604" t="s">
        <v>3068</v>
      </c>
      <c r="Y1119" s="324">
        <v>2652519.0</v>
      </c>
      <c r="Z1119" s="254"/>
      <c r="AA1119" s="323" t="s">
        <v>3066</v>
      </c>
      <c r="AB1119" s="604" t="s">
        <v>3068</v>
      </c>
      <c r="AC1119" s="324">
        <v>2028703.0</v>
      </c>
      <c r="AD1119" s="271"/>
      <c r="AE1119" s="277"/>
      <c r="AF1119" s="277"/>
      <c r="AG1119" s="277"/>
      <c r="AH1119" s="277"/>
      <c r="AI1119" s="277"/>
      <c r="AJ1119" s="582"/>
      <c r="AK1119" s="281"/>
      <c r="AL1119" s="281"/>
      <c r="AM1119" s="281"/>
      <c r="AN1119" s="294"/>
    </row>
    <row r="1120">
      <c r="A1120" s="196" t="str">
        <f t="array" ref="A1120">INDEX('Federal Tax, Stock Buybacks, &amp; '!D:D,match(B1120,'Federal Tax, Stock Buybacks, &amp; '!E:E,0))</f>
        <v>#N/A</v>
      </c>
      <c r="B1120" s="264" t="s">
        <v>3063</v>
      </c>
      <c r="C1120" s="323"/>
      <c r="D1120" s="604"/>
      <c r="E1120" s="324"/>
      <c r="F1120" s="254"/>
      <c r="G1120" s="323"/>
      <c r="H1120" s="604"/>
      <c r="I1120" s="324"/>
      <c r="J1120" s="254"/>
      <c r="K1120" s="323" t="s">
        <v>3069</v>
      </c>
      <c r="L1120" s="604" t="s">
        <v>3070</v>
      </c>
      <c r="M1120" s="324">
        <v>1490032.0</v>
      </c>
      <c r="N1120" s="254"/>
      <c r="O1120" s="323" t="s">
        <v>3069</v>
      </c>
      <c r="P1120" s="604" t="s">
        <v>3070</v>
      </c>
      <c r="Q1120" s="607">
        <v>1448375.0</v>
      </c>
      <c r="R1120" s="254"/>
      <c r="S1120" s="323" t="s">
        <v>3069</v>
      </c>
      <c r="T1120" s="604" t="s">
        <v>3071</v>
      </c>
      <c r="U1120" s="324">
        <v>1754626.0</v>
      </c>
      <c r="V1120" s="254"/>
      <c r="W1120" s="323" t="s">
        <v>3069</v>
      </c>
      <c r="X1120" s="604" t="s">
        <v>3071</v>
      </c>
      <c r="Y1120" s="324">
        <v>2211761.0</v>
      </c>
      <c r="Z1120" s="254"/>
      <c r="AA1120" s="323" t="s">
        <v>3069</v>
      </c>
      <c r="AB1120" s="604" t="s">
        <v>3071</v>
      </c>
      <c r="AC1120" s="324">
        <v>1802983.0</v>
      </c>
      <c r="AD1120" s="271"/>
      <c r="AE1120" s="277"/>
      <c r="AF1120" s="277"/>
      <c r="AG1120" s="277"/>
      <c r="AH1120" s="277"/>
      <c r="AI1120" s="277"/>
      <c r="AJ1120" s="582"/>
      <c r="AK1120" s="281"/>
      <c r="AL1120" s="281"/>
      <c r="AM1120" s="281"/>
      <c r="AN1120" s="294"/>
    </row>
    <row r="1121">
      <c r="A1121" s="196" t="str">
        <f t="array" ref="A1121">INDEX('Federal Tax, Stock Buybacks, &amp; '!D:D,match(B1121,'Federal Tax, Stock Buybacks, &amp; '!E:E,0))</f>
        <v>#N/A</v>
      </c>
      <c r="B1121" s="264" t="s">
        <v>3063</v>
      </c>
      <c r="C1121" s="323"/>
      <c r="D1121" s="604"/>
      <c r="E1121" s="324"/>
      <c r="F1121" s="254"/>
      <c r="G1121" s="323"/>
      <c r="H1121" s="604"/>
      <c r="I1121" s="324"/>
      <c r="J1121" s="254"/>
      <c r="K1121" s="323" t="s">
        <v>3072</v>
      </c>
      <c r="L1121" s="604" t="s">
        <v>2370</v>
      </c>
      <c r="M1121" s="324">
        <v>2999100.0</v>
      </c>
      <c r="N1121" s="254"/>
      <c r="O1121" s="323" t="s">
        <v>3072</v>
      </c>
      <c r="P1121" s="604" t="s">
        <v>1832</v>
      </c>
      <c r="Q1121" s="607">
        <v>1708901.0</v>
      </c>
      <c r="R1121" s="254"/>
      <c r="S1121" s="323" t="s">
        <v>3072</v>
      </c>
      <c r="T1121" s="604" t="s">
        <v>1832</v>
      </c>
      <c r="U1121" s="324">
        <v>2199977.0</v>
      </c>
      <c r="V1121" s="254"/>
      <c r="W1121" s="323" t="s">
        <v>3072</v>
      </c>
      <c r="X1121" s="604" t="s">
        <v>1832</v>
      </c>
      <c r="Y1121" s="324">
        <v>2820315.0</v>
      </c>
      <c r="Z1121" s="254"/>
      <c r="AA1121" s="323" t="s">
        <v>3072</v>
      </c>
      <c r="AB1121" s="604" t="s">
        <v>1832</v>
      </c>
      <c r="AC1121" s="324">
        <v>1929610.0</v>
      </c>
      <c r="AD1121" s="271"/>
      <c r="AE1121" s="277"/>
      <c r="AF1121" s="277"/>
      <c r="AG1121" s="277"/>
      <c r="AH1121" s="277"/>
      <c r="AI1121" s="277"/>
      <c r="AJ1121" s="582"/>
      <c r="AK1121" s="281"/>
      <c r="AL1121" s="281"/>
      <c r="AM1121" s="281"/>
      <c r="AN1121" s="294"/>
    </row>
    <row r="1122">
      <c r="A1122" s="196" t="str">
        <f t="array" ref="A1122">INDEX('Federal Tax, Stock Buybacks, &amp; '!D:D,match(B1122,'Federal Tax, Stock Buybacks, &amp; '!E:E,0))</f>
        <v>#N/A</v>
      </c>
      <c r="B1122" s="351" t="s">
        <v>3073</v>
      </c>
      <c r="C1122" s="353"/>
      <c r="D1122" s="355"/>
      <c r="E1122" s="354"/>
      <c r="F1122" s="254"/>
      <c r="G1122" s="353"/>
      <c r="H1122" s="355"/>
      <c r="I1122" s="354"/>
      <c r="J1122" s="254"/>
      <c r="K1122" s="353" t="s">
        <v>3074</v>
      </c>
      <c r="L1122" s="355" t="s">
        <v>2211</v>
      </c>
      <c r="M1122" s="354">
        <v>3469419.0</v>
      </c>
      <c r="N1122" s="254"/>
      <c r="O1122" s="353" t="s">
        <v>3074</v>
      </c>
      <c r="P1122" s="355" t="s">
        <v>2211</v>
      </c>
      <c r="Q1122" s="606">
        <v>3513832.0</v>
      </c>
      <c r="R1122" s="254"/>
      <c r="S1122" s="353" t="s">
        <v>3074</v>
      </c>
      <c r="T1122" s="355" t="s">
        <v>2211</v>
      </c>
      <c r="U1122" s="354">
        <v>3609278.0</v>
      </c>
      <c r="V1122" s="254"/>
      <c r="W1122" s="353" t="s">
        <v>3074</v>
      </c>
      <c r="X1122" s="355" t="s">
        <v>2211</v>
      </c>
      <c r="Y1122" s="354">
        <v>4176469.0</v>
      </c>
      <c r="Z1122" s="254"/>
      <c r="AA1122" s="353" t="s">
        <v>3074</v>
      </c>
      <c r="AB1122" s="355" t="s">
        <v>2211</v>
      </c>
      <c r="AC1122" s="354">
        <v>4158813.0</v>
      </c>
      <c r="AD1122" s="355"/>
      <c r="AE1122" s="356">
        <v>2022.0</v>
      </c>
      <c r="AF1122" s="356">
        <v>2021.0</v>
      </c>
      <c r="AG1122" s="356">
        <v>2020.0</v>
      </c>
      <c r="AH1122" s="356">
        <v>2019.0</v>
      </c>
      <c r="AI1122" s="356">
        <v>2018.0</v>
      </c>
      <c r="AJ1122" s="352"/>
      <c r="AK1122" s="281"/>
      <c r="AL1122" s="281"/>
      <c r="AM1122" s="281"/>
      <c r="AN1122" s="294"/>
    </row>
    <row r="1123">
      <c r="A1123" s="196" t="str">
        <f t="array" ref="A1123">INDEX('Federal Tax, Stock Buybacks, &amp; '!D:D,match(B1123,'Federal Tax, Stock Buybacks, &amp; '!E:E,0))</f>
        <v>#N/A</v>
      </c>
      <c r="B1123" s="351" t="s">
        <v>3073</v>
      </c>
      <c r="C1123" s="353"/>
      <c r="D1123" s="355"/>
      <c r="E1123" s="354"/>
      <c r="F1123" s="254"/>
      <c r="G1123" s="353"/>
      <c r="H1123" s="355"/>
      <c r="I1123" s="354"/>
      <c r="J1123" s="254"/>
      <c r="K1123" s="353" t="s">
        <v>3075</v>
      </c>
      <c r="L1123" s="355" t="s">
        <v>1674</v>
      </c>
      <c r="M1123" s="354">
        <v>6537694.0</v>
      </c>
      <c r="N1123" s="254"/>
      <c r="O1123" s="353" t="s">
        <v>3075</v>
      </c>
      <c r="P1123" s="355" t="s">
        <v>1674</v>
      </c>
      <c r="Q1123" s="606">
        <v>7238011.0</v>
      </c>
      <c r="R1123" s="254"/>
      <c r="S1123" s="353" t="s">
        <v>3075</v>
      </c>
      <c r="T1123" s="355" t="s">
        <v>1674</v>
      </c>
      <c r="U1123" s="354">
        <v>1.0663866E7</v>
      </c>
      <c r="V1123" s="254"/>
      <c r="W1123" s="353" t="s">
        <v>3075</v>
      </c>
      <c r="X1123" s="355" t="s">
        <v>1674</v>
      </c>
      <c r="Y1123" s="354">
        <v>1.1580627E7</v>
      </c>
      <c r="Z1123" s="254"/>
      <c r="AA1123" s="353" t="s">
        <v>3075</v>
      </c>
      <c r="AB1123" s="355" t="s">
        <v>1674</v>
      </c>
      <c r="AC1123" s="354">
        <v>1.2175486E7</v>
      </c>
      <c r="AD1123" s="355"/>
      <c r="AE1123" s="358"/>
      <c r="AF1123" s="358"/>
      <c r="AG1123" s="358"/>
      <c r="AH1123" s="358"/>
      <c r="AI1123" s="358"/>
      <c r="AJ1123" s="352"/>
      <c r="AK1123" s="281"/>
      <c r="AL1123" s="281"/>
      <c r="AM1123" s="281"/>
      <c r="AN1123" s="294"/>
    </row>
    <row r="1124">
      <c r="A1124" s="196" t="str">
        <f t="array" ref="A1124">INDEX('Federal Tax, Stock Buybacks, &amp; '!D:D,match(B1124,'Federal Tax, Stock Buybacks, &amp; '!E:E,0))</f>
        <v>#N/A</v>
      </c>
      <c r="B1124" s="351" t="s">
        <v>3073</v>
      </c>
      <c r="C1124" s="353"/>
      <c r="D1124" s="355"/>
      <c r="E1124" s="354"/>
      <c r="F1124" s="254"/>
      <c r="G1124" s="353"/>
      <c r="H1124" s="355"/>
      <c r="I1124" s="354"/>
      <c r="J1124" s="254"/>
      <c r="K1124" s="353" t="s">
        <v>3076</v>
      </c>
      <c r="L1124" s="355" t="s">
        <v>3077</v>
      </c>
      <c r="M1124" s="354">
        <v>3494108.0</v>
      </c>
      <c r="N1124" s="254"/>
      <c r="O1124" s="353" t="s">
        <v>3076</v>
      </c>
      <c r="P1124" s="355" t="s">
        <v>3077</v>
      </c>
      <c r="Q1124" s="606">
        <v>3523325.0</v>
      </c>
      <c r="R1124" s="254"/>
      <c r="S1124" s="353" t="s">
        <v>3076</v>
      </c>
      <c r="T1124" s="355" t="s">
        <v>3077</v>
      </c>
      <c r="U1124" s="354">
        <v>3565293.0</v>
      </c>
      <c r="V1124" s="254"/>
      <c r="W1124" s="353" t="s">
        <v>3076</v>
      </c>
      <c r="X1124" s="355" t="s">
        <v>3077</v>
      </c>
      <c r="Y1124" s="354">
        <v>4127229.0</v>
      </c>
      <c r="Z1124" s="254"/>
      <c r="AA1124" s="353" t="s">
        <v>3076</v>
      </c>
      <c r="AB1124" s="355" t="s">
        <v>3077</v>
      </c>
      <c r="AC1124" s="354">
        <v>4146196.0</v>
      </c>
      <c r="AD1124" s="355"/>
      <c r="AE1124" s="358"/>
      <c r="AF1124" s="358"/>
      <c r="AG1124" s="358"/>
      <c r="AH1124" s="358"/>
      <c r="AI1124" s="358"/>
      <c r="AJ1124" s="352"/>
      <c r="AK1124" s="281"/>
      <c r="AL1124" s="281"/>
      <c r="AM1124" s="281"/>
      <c r="AN1124" s="294"/>
    </row>
    <row r="1125">
      <c r="A1125" s="196" t="str">
        <f t="array" ref="A1125">INDEX('Federal Tax, Stock Buybacks, &amp; '!D:D,match(B1125,'Federal Tax, Stock Buybacks, &amp; '!E:E,0))</f>
        <v>#N/A</v>
      </c>
      <c r="B1125" s="351" t="s">
        <v>3073</v>
      </c>
      <c r="C1125" s="353"/>
      <c r="D1125" s="355"/>
      <c r="E1125" s="354"/>
      <c r="F1125" s="254"/>
      <c r="G1125" s="353"/>
      <c r="H1125" s="355"/>
      <c r="I1125" s="354"/>
      <c r="J1125" s="254"/>
      <c r="K1125" s="353" t="s">
        <v>3078</v>
      </c>
      <c r="L1125" s="355" t="s">
        <v>1649</v>
      </c>
      <c r="M1125" s="354">
        <v>3472489.0</v>
      </c>
      <c r="N1125" s="254"/>
      <c r="O1125" s="353" t="s">
        <v>3078</v>
      </c>
      <c r="P1125" s="355" t="s">
        <v>1649</v>
      </c>
      <c r="Q1125" s="606">
        <v>3532733.0</v>
      </c>
      <c r="R1125" s="254"/>
      <c r="S1125" s="353" t="s">
        <v>3078</v>
      </c>
      <c r="T1125" s="355" t="s">
        <v>1649</v>
      </c>
      <c r="U1125" s="354">
        <v>6252152.0</v>
      </c>
      <c r="V1125" s="254"/>
      <c r="W1125" s="353" t="s">
        <v>3078</v>
      </c>
      <c r="X1125" s="355" t="s">
        <v>1649</v>
      </c>
      <c r="Y1125" s="354">
        <v>7089307.0</v>
      </c>
      <c r="Z1125" s="254"/>
      <c r="AA1125" s="353" t="s">
        <v>3078</v>
      </c>
      <c r="AB1125" s="355" t="s">
        <v>1649</v>
      </c>
      <c r="AC1125" s="354">
        <v>7093881.0</v>
      </c>
      <c r="AD1125" s="355"/>
      <c r="AE1125" s="358"/>
      <c r="AF1125" s="358"/>
      <c r="AG1125" s="358"/>
      <c r="AH1125" s="358"/>
      <c r="AI1125" s="358"/>
      <c r="AJ1125" s="352"/>
      <c r="AK1125" s="281"/>
      <c r="AL1125" s="281"/>
      <c r="AM1125" s="281"/>
      <c r="AN1125" s="294"/>
    </row>
    <row r="1126">
      <c r="A1126" s="196" t="str">
        <f t="array" ref="A1126">INDEX('Federal Tax, Stock Buybacks, &amp; '!D:D,match(B1126,'Federal Tax, Stock Buybacks, &amp; '!E:E,0))</f>
        <v>#N/A</v>
      </c>
      <c r="B1126" s="351" t="s">
        <v>3073</v>
      </c>
      <c r="C1126" s="353"/>
      <c r="D1126" s="355"/>
      <c r="E1126" s="354"/>
      <c r="F1126" s="254"/>
      <c r="G1126" s="353"/>
      <c r="H1126" s="355"/>
      <c r="I1126" s="354"/>
      <c r="J1126" s="254"/>
      <c r="K1126" s="353" t="s">
        <v>3079</v>
      </c>
      <c r="L1126" s="355" t="s">
        <v>1585</v>
      </c>
      <c r="M1126" s="354">
        <v>4886649.0</v>
      </c>
      <c r="N1126" s="254"/>
      <c r="O1126" s="353" t="s">
        <v>3079</v>
      </c>
      <c r="P1126" s="355" t="s">
        <v>1585</v>
      </c>
      <c r="Q1126" s="606">
        <v>5001360.0</v>
      </c>
      <c r="R1126" s="254"/>
      <c r="S1126" s="353" t="s">
        <v>3079</v>
      </c>
      <c r="T1126" s="355" t="s">
        <v>1585</v>
      </c>
      <c r="U1126" s="354">
        <v>3557155.0</v>
      </c>
      <c r="V1126" s="254"/>
      <c r="W1126" s="353" t="s">
        <v>3079</v>
      </c>
      <c r="X1126" s="355" t="s">
        <v>1585</v>
      </c>
      <c r="Y1126" s="354">
        <v>4082352.0</v>
      </c>
      <c r="Z1126" s="254"/>
      <c r="AA1126" s="353" t="s">
        <v>3079</v>
      </c>
      <c r="AB1126" s="355" t="s">
        <v>1585</v>
      </c>
      <c r="AC1126" s="354">
        <v>4108466.0</v>
      </c>
      <c r="AD1126" s="355"/>
      <c r="AE1126" s="358"/>
      <c r="AF1126" s="358"/>
      <c r="AG1126" s="358"/>
      <c r="AH1126" s="358"/>
      <c r="AI1126" s="358"/>
      <c r="AJ1126" s="352"/>
      <c r="AK1126" s="281"/>
      <c r="AL1126" s="281"/>
      <c r="AM1126" s="281"/>
      <c r="AN1126" s="294"/>
    </row>
    <row r="1127">
      <c r="A1127" s="196" t="str">
        <f t="array" ref="A1127">INDEX('Federal Tax, Stock Buybacks, &amp; '!D:D,match(B1127,'Federal Tax, Stock Buybacks, &amp; '!E:E,0))</f>
        <v>#N/A</v>
      </c>
      <c r="B1127" s="351" t="s">
        <v>3073</v>
      </c>
      <c r="C1127" s="353"/>
      <c r="D1127" s="355"/>
      <c r="E1127" s="354"/>
      <c r="F1127" s="254"/>
      <c r="G1127" s="353"/>
      <c r="H1127" s="355"/>
      <c r="I1127" s="354"/>
      <c r="J1127" s="254"/>
      <c r="K1127" s="353" t="s">
        <v>3080</v>
      </c>
      <c r="L1127" s="355" t="s">
        <v>1832</v>
      </c>
      <c r="M1127" s="354">
        <v>3166838.0</v>
      </c>
      <c r="N1127" s="254"/>
      <c r="O1127" s="359" t="s">
        <v>711</v>
      </c>
      <c r="P1127" s="219" t="s">
        <v>711</v>
      </c>
      <c r="Q1127" s="354" t="s">
        <v>711</v>
      </c>
      <c r="R1127" s="254"/>
      <c r="S1127" s="359" t="s">
        <v>711</v>
      </c>
      <c r="T1127" s="219" t="s">
        <v>711</v>
      </c>
      <c r="U1127" s="354" t="s">
        <v>711</v>
      </c>
      <c r="V1127" s="254"/>
      <c r="W1127" s="359" t="s">
        <v>711</v>
      </c>
      <c r="X1127" s="219" t="s">
        <v>711</v>
      </c>
      <c r="Y1127" s="354" t="s">
        <v>711</v>
      </c>
      <c r="Z1127" s="254"/>
      <c r="AA1127" s="359" t="s">
        <v>711</v>
      </c>
      <c r="AB1127" s="219" t="s">
        <v>711</v>
      </c>
      <c r="AC1127" s="354" t="s">
        <v>711</v>
      </c>
      <c r="AD1127" s="355"/>
      <c r="AE1127" s="358"/>
      <c r="AF1127" s="358"/>
      <c r="AG1127" s="358"/>
      <c r="AH1127" s="358"/>
      <c r="AI1127" s="358"/>
      <c r="AJ1127" s="352"/>
      <c r="AK1127" s="281"/>
      <c r="AL1127" s="281"/>
      <c r="AM1127" s="281"/>
      <c r="AN1127" s="294"/>
    </row>
    <row r="1128">
      <c r="A1128" s="196" t="str">
        <f t="array" ref="A1128">INDEX('Federal Tax, Stock Buybacks, &amp; '!D:D,match(B1128,'Federal Tax, Stock Buybacks, &amp; '!E:E,0))</f>
        <v>#N/A</v>
      </c>
      <c r="B1128" s="351" t="s">
        <v>3081</v>
      </c>
      <c r="C1128" s="353"/>
      <c r="D1128" s="355"/>
      <c r="E1128" s="354"/>
      <c r="F1128" s="254"/>
      <c r="G1128" s="353"/>
      <c r="H1128" s="355"/>
      <c r="I1128" s="354"/>
      <c r="J1128" s="254"/>
      <c r="K1128" s="353" t="s">
        <v>3082</v>
      </c>
      <c r="L1128" s="355" t="s">
        <v>1545</v>
      </c>
      <c r="M1128" s="354">
        <v>7019635.0</v>
      </c>
      <c r="N1128" s="254"/>
      <c r="O1128" s="353" t="s">
        <v>3083</v>
      </c>
      <c r="P1128" s="355" t="s">
        <v>2354</v>
      </c>
      <c r="Q1128" s="354">
        <v>1.5953084E7</v>
      </c>
      <c r="R1128" s="254"/>
      <c r="S1128" s="353" t="s">
        <v>3083</v>
      </c>
      <c r="T1128" s="355" t="s">
        <v>2355</v>
      </c>
      <c r="U1128" s="354">
        <v>1.9828384E7</v>
      </c>
      <c r="V1128" s="254"/>
      <c r="W1128" s="353" t="s">
        <v>3083</v>
      </c>
      <c r="X1128" s="355" t="s">
        <v>3084</v>
      </c>
      <c r="Y1128" s="354">
        <v>2.7802817E7</v>
      </c>
      <c r="Z1128" s="254"/>
      <c r="AA1128" s="353" t="s">
        <v>3083</v>
      </c>
      <c r="AB1128" s="355" t="s">
        <v>3084</v>
      </c>
      <c r="AC1128" s="354">
        <v>2.4254238E7</v>
      </c>
      <c r="AD1128" s="355"/>
      <c r="AE1128" s="356">
        <v>2022.0</v>
      </c>
      <c r="AF1128" s="356">
        <v>2021.0</v>
      </c>
      <c r="AG1128" s="356">
        <v>2020.0</v>
      </c>
      <c r="AH1128" s="356">
        <v>2019.0</v>
      </c>
      <c r="AI1128" s="356">
        <v>2018.0</v>
      </c>
      <c r="AJ1128" s="352"/>
      <c r="AK1128" s="281"/>
      <c r="AL1128" s="281"/>
      <c r="AM1128" s="281"/>
      <c r="AN1128" s="294"/>
    </row>
    <row r="1129">
      <c r="A1129" s="196" t="str">
        <f t="array" ref="A1129">INDEX('Federal Tax, Stock Buybacks, &amp; '!D:D,match(B1129,'Federal Tax, Stock Buybacks, &amp; '!E:E,0))</f>
        <v>#N/A</v>
      </c>
      <c r="B1129" s="351" t="s">
        <v>3081</v>
      </c>
      <c r="C1129" s="353"/>
      <c r="D1129" s="355"/>
      <c r="E1129" s="354"/>
      <c r="F1129" s="254"/>
      <c r="G1129" s="353"/>
      <c r="H1129" s="355"/>
      <c r="I1129" s="354"/>
      <c r="J1129" s="254"/>
      <c r="K1129" s="353" t="s">
        <v>3085</v>
      </c>
      <c r="L1129" s="355" t="s">
        <v>2296</v>
      </c>
      <c r="M1129" s="354">
        <v>2.1722152E7</v>
      </c>
      <c r="N1129" s="254"/>
      <c r="O1129" s="353" t="s">
        <v>3082</v>
      </c>
      <c r="P1129" s="355" t="s">
        <v>1545</v>
      </c>
      <c r="Q1129" s="354">
        <v>6853756.0</v>
      </c>
      <c r="R1129" s="254"/>
      <c r="S1129" s="353" t="s">
        <v>3082</v>
      </c>
      <c r="T1129" s="355" t="s">
        <v>1545</v>
      </c>
      <c r="U1129" s="354">
        <v>8478177.0</v>
      </c>
      <c r="V1129" s="254"/>
      <c r="W1129" s="353" t="s">
        <v>3086</v>
      </c>
      <c r="X1129" s="610" t="s">
        <v>3087</v>
      </c>
      <c r="Y1129" s="354">
        <v>7031097.0</v>
      </c>
      <c r="Z1129" s="254"/>
      <c r="AA1129" s="353" t="s">
        <v>3088</v>
      </c>
      <c r="AB1129" s="355" t="s">
        <v>2180</v>
      </c>
      <c r="AC1129" s="354">
        <v>6838636.0</v>
      </c>
      <c r="AD1129" s="355"/>
      <c r="AE1129" s="358"/>
      <c r="AF1129" s="358"/>
      <c r="AG1129" s="358"/>
      <c r="AH1129" s="358"/>
      <c r="AI1129" s="358"/>
      <c r="AJ1129" s="352"/>
      <c r="AK1129" s="281"/>
      <c r="AL1129" s="281"/>
      <c r="AM1129" s="281"/>
      <c r="AN1129" s="294"/>
    </row>
    <row r="1130">
      <c r="A1130" s="196" t="str">
        <f t="array" ref="A1130">INDEX('Federal Tax, Stock Buybacks, &amp; '!D:D,match(B1130,'Federal Tax, Stock Buybacks, &amp; '!E:E,0))</f>
        <v>#N/A</v>
      </c>
      <c r="B1130" s="351" t="s">
        <v>3081</v>
      </c>
      <c r="C1130" s="353"/>
      <c r="D1130" s="355"/>
      <c r="E1130" s="354"/>
      <c r="F1130" s="254"/>
      <c r="G1130" s="353"/>
      <c r="H1130" s="355"/>
      <c r="I1130" s="354"/>
      <c r="J1130" s="254"/>
      <c r="K1130" s="353" t="s">
        <v>3089</v>
      </c>
      <c r="L1130" s="355" t="s">
        <v>3090</v>
      </c>
      <c r="M1130" s="354">
        <v>7157684.0</v>
      </c>
      <c r="N1130" s="254"/>
      <c r="O1130" s="353" t="s">
        <v>3085</v>
      </c>
      <c r="P1130" s="355" t="s">
        <v>2296</v>
      </c>
      <c r="Q1130" s="354">
        <v>2.4914886E7</v>
      </c>
      <c r="R1130" s="254"/>
      <c r="S1130" s="353" t="s">
        <v>3086</v>
      </c>
      <c r="T1130" s="355" t="s">
        <v>3091</v>
      </c>
      <c r="U1130" s="354">
        <v>2839222.0</v>
      </c>
      <c r="V1130" s="254"/>
      <c r="W1130" s="353" t="s">
        <v>3085</v>
      </c>
      <c r="X1130" s="355" t="s">
        <v>3092</v>
      </c>
      <c r="Y1130" s="354">
        <v>1.1897886E7</v>
      </c>
      <c r="Z1130" s="254"/>
      <c r="AA1130" s="353" t="s">
        <v>3082</v>
      </c>
      <c r="AB1130" s="355" t="s">
        <v>1545</v>
      </c>
      <c r="AC1130" s="354">
        <v>7317776.0</v>
      </c>
      <c r="AD1130" s="355"/>
      <c r="AE1130" s="358"/>
      <c r="AF1130" s="358"/>
      <c r="AG1130" s="358"/>
      <c r="AH1130" s="358"/>
      <c r="AI1130" s="358"/>
      <c r="AJ1130" s="352"/>
      <c r="AK1130" s="281"/>
      <c r="AL1130" s="281"/>
      <c r="AM1130" s="281"/>
      <c r="AN1130" s="294"/>
    </row>
    <row r="1131">
      <c r="A1131" s="196" t="str">
        <f t="array" ref="A1131">INDEX('Federal Tax, Stock Buybacks, &amp; '!D:D,match(B1131,'Federal Tax, Stock Buybacks, &amp; '!E:E,0))</f>
        <v>#N/A</v>
      </c>
      <c r="B1131" s="351" t="s">
        <v>3081</v>
      </c>
      <c r="C1131" s="353"/>
      <c r="D1131" s="355"/>
      <c r="E1131" s="354"/>
      <c r="F1131" s="254"/>
      <c r="G1131" s="353"/>
      <c r="H1131" s="355"/>
      <c r="I1131" s="354"/>
      <c r="J1131" s="254"/>
      <c r="K1131" s="353" t="s">
        <v>3093</v>
      </c>
      <c r="L1131" s="355" t="s">
        <v>3087</v>
      </c>
      <c r="M1131" s="354">
        <v>9145220.0</v>
      </c>
      <c r="N1131" s="254"/>
      <c r="O1131" s="353" t="s">
        <v>3089</v>
      </c>
      <c r="P1131" s="355" t="s">
        <v>3090</v>
      </c>
      <c r="Q1131" s="354">
        <v>6742299.0</v>
      </c>
      <c r="R1131" s="254"/>
      <c r="S1131" s="353" t="s">
        <v>3085</v>
      </c>
      <c r="T1131" s="355" t="s">
        <v>3094</v>
      </c>
      <c r="U1131" s="354">
        <v>2.0450586E7</v>
      </c>
      <c r="V1131" s="254"/>
      <c r="W1131" s="353" t="s">
        <v>3089</v>
      </c>
      <c r="X1131" s="610" t="s">
        <v>3095</v>
      </c>
      <c r="Y1131" s="354">
        <v>6767814.0</v>
      </c>
      <c r="Z1131" s="254"/>
      <c r="AA1131" s="353" t="s">
        <v>3086</v>
      </c>
      <c r="AB1131" s="610" t="s">
        <v>3087</v>
      </c>
      <c r="AC1131" s="354">
        <v>7280548.0</v>
      </c>
      <c r="AD1131" s="355"/>
      <c r="AE1131" s="358"/>
      <c r="AF1131" s="358"/>
      <c r="AG1131" s="358"/>
      <c r="AH1131" s="358"/>
      <c r="AI1131" s="358"/>
      <c r="AJ1131" s="352"/>
      <c r="AK1131" s="281"/>
      <c r="AL1131" s="281"/>
      <c r="AM1131" s="281"/>
      <c r="AN1131" s="294"/>
    </row>
    <row r="1132">
      <c r="A1132" s="196" t="str">
        <f t="array" ref="A1132">INDEX('Federal Tax, Stock Buybacks, &amp; '!D:D,match(B1132,'Federal Tax, Stock Buybacks, &amp; '!E:E,0))</f>
        <v>#N/A</v>
      </c>
      <c r="B1132" s="351" t="s">
        <v>3081</v>
      </c>
      <c r="C1132" s="353"/>
      <c r="D1132" s="355"/>
      <c r="E1132" s="354"/>
      <c r="F1132" s="254"/>
      <c r="G1132" s="353"/>
      <c r="H1132" s="355"/>
      <c r="I1132" s="354"/>
      <c r="J1132" s="254"/>
      <c r="K1132" s="353" t="s">
        <v>3096</v>
      </c>
      <c r="L1132" s="355" t="s">
        <v>3097</v>
      </c>
      <c r="M1132" s="354">
        <v>6287118.0</v>
      </c>
      <c r="N1132" s="254"/>
      <c r="O1132" s="353" t="s">
        <v>3093</v>
      </c>
      <c r="P1132" s="355" t="s">
        <v>3087</v>
      </c>
      <c r="Q1132" s="354">
        <v>9539309.0</v>
      </c>
      <c r="R1132" s="254"/>
      <c r="S1132" s="353" t="s">
        <v>3089</v>
      </c>
      <c r="T1132" s="610" t="s">
        <v>3095</v>
      </c>
      <c r="U1132" s="354">
        <v>5975739.0</v>
      </c>
      <c r="V1132" s="254"/>
      <c r="W1132" s="353" t="s">
        <v>3098</v>
      </c>
      <c r="X1132" s="355" t="s">
        <v>3099</v>
      </c>
      <c r="Y1132" s="354">
        <v>7478841.0</v>
      </c>
      <c r="Z1132" s="254"/>
      <c r="AA1132" s="353" t="s">
        <v>3085</v>
      </c>
      <c r="AB1132" s="355" t="s">
        <v>1697</v>
      </c>
      <c r="AC1132" s="354">
        <v>8127252.0</v>
      </c>
      <c r="AD1132" s="355"/>
      <c r="AE1132" s="358"/>
      <c r="AF1132" s="358"/>
      <c r="AG1132" s="358"/>
      <c r="AH1132" s="358"/>
      <c r="AI1132" s="358"/>
      <c r="AJ1132" s="352"/>
      <c r="AK1132" s="281"/>
      <c r="AL1132" s="281"/>
      <c r="AM1132" s="281"/>
      <c r="AN1132" s="294"/>
    </row>
    <row r="1133">
      <c r="A1133" s="196" t="str">
        <f t="array" ref="A1133">INDEX('Federal Tax, Stock Buybacks, &amp; '!D:D,match(B1133,'Federal Tax, Stock Buybacks, &amp; '!E:E,0))</f>
        <v>#N/A</v>
      </c>
      <c r="B1133" s="351" t="s">
        <v>3081</v>
      </c>
      <c r="C1133" s="359"/>
      <c r="D1133" s="219"/>
      <c r="E1133" s="354"/>
      <c r="F1133" s="254"/>
      <c r="G1133" s="359"/>
      <c r="H1133" s="219"/>
      <c r="I1133" s="354"/>
      <c r="J1133" s="254"/>
      <c r="K1133" s="359" t="s">
        <v>711</v>
      </c>
      <c r="L1133" s="219" t="s">
        <v>711</v>
      </c>
      <c r="M1133" s="354" t="s">
        <v>711</v>
      </c>
      <c r="N1133" s="254"/>
      <c r="O1133" s="353" t="s">
        <v>3096</v>
      </c>
      <c r="P1133" s="355" t="s">
        <v>3097</v>
      </c>
      <c r="Q1133" s="354">
        <v>7250414.0</v>
      </c>
      <c r="R1133" s="254"/>
      <c r="S1133" s="353" t="s">
        <v>3100</v>
      </c>
      <c r="T1133" s="355" t="s">
        <v>3101</v>
      </c>
      <c r="U1133" s="354">
        <v>6767029.0</v>
      </c>
      <c r="V1133" s="254"/>
      <c r="W1133" s="353" t="s">
        <v>3082</v>
      </c>
      <c r="X1133" s="355" t="s">
        <v>1545</v>
      </c>
      <c r="Y1133" s="354">
        <v>7486080.0</v>
      </c>
      <c r="Z1133" s="254"/>
      <c r="AA1133" s="353" t="s">
        <v>3089</v>
      </c>
      <c r="AB1133" s="610" t="s">
        <v>3095</v>
      </c>
      <c r="AC1133" s="354">
        <v>5954210.0</v>
      </c>
      <c r="AD1133" s="355"/>
      <c r="AE1133" s="358"/>
      <c r="AF1133" s="358"/>
      <c r="AG1133" s="358"/>
      <c r="AH1133" s="358"/>
      <c r="AI1133" s="358"/>
      <c r="AJ1133" s="352"/>
      <c r="AK1133" s="281"/>
      <c r="AL1133" s="281"/>
      <c r="AM1133" s="281"/>
      <c r="AN1133" s="294"/>
    </row>
    <row r="1134">
      <c r="A1134" s="196" t="str">
        <f t="array" ref="A1134">INDEX('Federal Tax, Stock Buybacks, &amp; '!D:D,match(B1134,'Federal Tax, Stock Buybacks, &amp; '!E:E,0))</f>
        <v>#N/A</v>
      </c>
      <c r="B1134" s="351" t="s">
        <v>3081</v>
      </c>
      <c r="C1134" s="359"/>
      <c r="D1134" s="219"/>
      <c r="E1134" s="354"/>
      <c r="F1134" s="254"/>
      <c r="G1134" s="359"/>
      <c r="H1134" s="219"/>
      <c r="I1134" s="354"/>
      <c r="J1134" s="254"/>
      <c r="K1134" s="359" t="s">
        <v>711</v>
      </c>
      <c r="L1134" s="219" t="s">
        <v>711</v>
      </c>
      <c r="M1134" s="354" t="s">
        <v>711</v>
      </c>
      <c r="N1134" s="254"/>
      <c r="O1134" s="359" t="s">
        <v>711</v>
      </c>
      <c r="P1134" s="219" t="s">
        <v>711</v>
      </c>
      <c r="Q1134" s="354" t="s">
        <v>711</v>
      </c>
      <c r="R1134" s="254"/>
      <c r="S1134" s="353" t="s">
        <v>3093</v>
      </c>
      <c r="T1134" s="610" t="s">
        <v>3087</v>
      </c>
      <c r="U1134" s="354">
        <v>9800209.0</v>
      </c>
      <c r="V1134" s="254"/>
      <c r="W1134" s="359" t="s">
        <v>711</v>
      </c>
      <c r="X1134" s="219" t="s">
        <v>711</v>
      </c>
      <c r="Y1134" s="354" t="s">
        <v>711</v>
      </c>
      <c r="Z1134" s="254"/>
      <c r="AA1134" s="359" t="s">
        <v>711</v>
      </c>
      <c r="AB1134" s="219" t="s">
        <v>711</v>
      </c>
      <c r="AC1134" s="354" t="s">
        <v>711</v>
      </c>
      <c r="AD1134" s="355"/>
      <c r="AE1134" s="358"/>
      <c r="AF1134" s="358"/>
      <c r="AG1134" s="358"/>
      <c r="AH1134" s="358"/>
      <c r="AI1134" s="358"/>
      <c r="AJ1134" s="352"/>
      <c r="AK1134" s="281"/>
      <c r="AL1134" s="281"/>
      <c r="AM1134" s="281"/>
      <c r="AN1134" s="294"/>
    </row>
    <row r="1135">
      <c r="A1135" s="196" t="str">
        <f t="array" ref="A1135">INDEX('Federal Tax, Stock Buybacks, &amp; '!D:D,match(B1135,'Federal Tax, Stock Buybacks, &amp; '!E:E,0))</f>
        <v>#N/A</v>
      </c>
      <c r="B1135" s="351" t="s">
        <v>3102</v>
      </c>
      <c r="C1135" s="353"/>
      <c r="D1135" s="355"/>
      <c r="E1135" s="354"/>
      <c r="F1135" s="254"/>
      <c r="G1135" s="353"/>
      <c r="H1135" s="355"/>
      <c r="I1135" s="354"/>
      <c r="J1135" s="254"/>
      <c r="K1135" s="353" t="s">
        <v>3103</v>
      </c>
      <c r="L1135" s="355" t="s">
        <v>2261</v>
      </c>
      <c r="M1135" s="354">
        <v>6104827.0</v>
      </c>
      <c r="N1135" s="254"/>
      <c r="O1135" s="353" t="s">
        <v>3103</v>
      </c>
      <c r="P1135" s="355" t="s">
        <v>2261</v>
      </c>
      <c r="Q1135" s="606">
        <v>6161584.0</v>
      </c>
      <c r="R1135" s="254"/>
      <c r="S1135" s="353" t="s">
        <v>3103</v>
      </c>
      <c r="T1135" s="355" t="s">
        <v>2261</v>
      </c>
      <c r="U1135" s="354">
        <v>7243945.0</v>
      </c>
      <c r="V1135" s="254"/>
      <c r="W1135" s="353" t="s">
        <v>3104</v>
      </c>
      <c r="X1135" s="355" t="s">
        <v>3105</v>
      </c>
      <c r="Y1135" s="354">
        <v>9534580.0</v>
      </c>
      <c r="Z1135" s="254"/>
      <c r="AA1135" s="353" t="s">
        <v>3104</v>
      </c>
      <c r="AB1135" s="355" t="s">
        <v>3106</v>
      </c>
      <c r="AC1135" s="354">
        <v>7894407.0</v>
      </c>
      <c r="AD1135" s="355"/>
      <c r="AE1135" s="356">
        <v>2022.0</v>
      </c>
      <c r="AF1135" s="356">
        <v>2021.0</v>
      </c>
      <c r="AG1135" s="356">
        <v>2020.0</v>
      </c>
      <c r="AH1135" s="356">
        <v>2019.0</v>
      </c>
      <c r="AI1135" s="356">
        <v>2018.0</v>
      </c>
      <c r="AJ1135" s="352"/>
      <c r="AK1135" s="281"/>
      <c r="AL1135" s="281"/>
      <c r="AM1135" s="281"/>
      <c r="AN1135" s="294"/>
    </row>
    <row r="1136">
      <c r="A1136" s="196" t="str">
        <f t="array" ref="A1136">INDEX('Federal Tax, Stock Buybacks, &amp; '!D:D,match(B1136,'Federal Tax, Stock Buybacks, &amp; '!E:E,0))</f>
        <v>#N/A</v>
      </c>
      <c r="B1136" s="351" t="s">
        <v>3102</v>
      </c>
      <c r="C1136" s="353"/>
      <c r="D1136" s="355"/>
      <c r="E1136" s="354"/>
      <c r="F1136" s="254"/>
      <c r="G1136" s="353"/>
      <c r="H1136" s="355"/>
      <c r="I1136" s="354"/>
      <c r="J1136" s="254"/>
      <c r="K1136" s="353" t="s">
        <v>3107</v>
      </c>
      <c r="L1136" s="355" t="s">
        <v>3108</v>
      </c>
      <c r="M1136" s="354">
        <v>2.0053032E7</v>
      </c>
      <c r="N1136" s="254"/>
      <c r="O1136" s="353" t="s">
        <v>3107</v>
      </c>
      <c r="P1136" s="355" t="s">
        <v>3108</v>
      </c>
      <c r="Q1136" s="606">
        <v>1.9784806E7</v>
      </c>
      <c r="R1136" s="254"/>
      <c r="S1136" s="353" t="s">
        <v>3107</v>
      </c>
      <c r="T1136" s="355" t="s">
        <v>3108</v>
      </c>
      <c r="U1136" s="354">
        <v>2.0150902E7</v>
      </c>
      <c r="V1136" s="254"/>
      <c r="W1136" s="353" t="s">
        <v>3103</v>
      </c>
      <c r="X1136" s="355" t="s">
        <v>2261</v>
      </c>
      <c r="Y1136" s="354">
        <v>7516457.0</v>
      </c>
      <c r="Z1136" s="254"/>
      <c r="AA1136" s="353" t="s">
        <v>3103</v>
      </c>
      <c r="AB1136" s="355" t="s">
        <v>2261</v>
      </c>
      <c r="AC1136" s="354">
        <v>6243183.0</v>
      </c>
      <c r="AD1136" s="355"/>
      <c r="AE1136" s="358"/>
      <c r="AF1136" s="358"/>
      <c r="AG1136" s="358"/>
      <c r="AH1136" s="358"/>
      <c r="AI1136" s="358"/>
      <c r="AJ1136" s="352"/>
      <c r="AK1136" s="281"/>
      <c r="AL1136" s="281"/>
      <c r="AM1136" s="281"/>
      <c r="AN1136" s="294"/>
    </row>
    <row r="1137">
      <c r="A1137" s="196" t="str">
        <f t="array" ref="A1137">INDEX('Federal Tax, Stock Buybacks, &amp; '!D:D,match(B1137,'Federal Tax, Stock Buybacks, &amp; '!E:E,0))</f>
        <v>#N/A</v>
      </c>
      <c r="B1137" s="351" t="s">
        <v>3102</v>
      </c>
      <c r="C1137" s="353"/>
      <c r="D1137" s="355"/>
      <c r="E1137" s="354"/>
      <c r="F1137" s="254"/>
      <c r="G1137" s="353"/>
      <c r="H1137" s="355"/>
      <c r="I1137" s="354"/>
      <c r="J1137" s="254"/>
      <c r="K1137" s="353" t="s">
        <v>3109</v>
      </c>
      <c r="L1137" s="355" t="s">
        <v>3110</v>
      </c>
      <c r="M1137" s="354">
        <v>6880220.0</v>
      </c>
      <c r="N1137" s="254"/>
      <c r="O1137" s="353" t="s">
        <v>3109</v>
      </c>
      <c r="P1137" s="355" t="s">
        <v>3110</v>
      </c>
      <c r="Q1137" s="606">
        <v>6703029.0</v>
      </c>
      <c r="R1137" s="254"/>
      <c r="S1137" s="353" t="s">
        <v>3109</v>
      </c>
      <c r="T1137" s="355" t="s">
        <v>3110</v>
      </c>
      <c r="U1137" s="354">
        <v>5992233.0</v>
      </c>
      <c r="V1137" s="254"/>
      <c r="W1137" s="353" t="s">
        <v>3107</v>
      </c>
      <c r="X1137" s="355" t="s">
        <v>1674</v>
      </c>
      <c r="Y1137" s="354">
        <v>1.8767253E7</v>
      </c>
      <c r="Z1137" s="254"/>
      <c r="AA1137" s="353" t="s">
        <v>3107</v>
      </c>
      <c r="AB1137" s="355" t="s">
        <v>1674</v>
      </c>
      <c r="AC1137" s="354">
        <v>1.9379755E7</v>
      </c>
      <c r="AD1137" s="355"/>
      <c r="AE1137" s="358"/>
      <c r="AF1137" s="358"/>
      <c r="AG1137" s="358"/>
      <c r="AH1137" s="358"/>
      <c r="AI1137" s="358"/>
      <c r="AJ1137" s="352"/>
      <c r="AK1137" s="281"/>
      <c r="AL1137" s="281"/>
      <c r="AM1137" s="281"/>
      <c r="AN1137" s="294"/>
    </row>
    <row r="1138">
      <c r="A1138" s="196" t="str">
        <f t="array" ref="A1138">INDEX('Federal Tax, Stock Buybacks, &amp; '!D:D,match(B1138,'Federal Tax, Stock Buybacks, &amp; '!E:E,0))</f>
        <v>#N/A</v>
      </c>
      <c r="B1138" s="351" t="s">
        <v>3102</v>
      </c>
      <c r="C1138" s="353"/>
      <c r="D1138" s="355"/>
      <c r="E1138" s="354"/>
      <c r="F1138" s="254"/>
      <c r="G1138" s="353"/>
      <c r="H1138" s="355"/>
      <c r="I1138" s="354"/>
      <c r="J1138" s="254"/>
      <c r="K1138" s="353" t="s">
        <v>3111</v>
      </c>
      <c r="L1138" s="355" t="s">
        <v>3112</v>
      </c>
      <c r="M1138" s="354">
        <v>7353552.0</v>
      </c>
      <c r="N1138" s="254"/>
      <c r="O1138" s="353" t="s">
        <v>3111</v>
      </c>
      <c r="P1138" s="355" t="s">
        <v>3113</v>
      </c>
      <c r="Q1138" s="606">
        <v>7802111.0</v>
      </c>
      <c r="R1138" s="254"/>
      <c r="S1138" s="353" t="s">
        <v>3111</v>
      </c>
      <c r="T1138" s="355" t="s">
        <v>3113</v>
      </c>
      <c r="U1138" s="354">
        <v>7315904.0</v>
      </c>
      <c r="V1138" s="254"/>
      <c r="W1138" s="353" t="s">
        <v>3114</v>
      </c>
      <c r="X1138" s="355" t="s">
        <v>3115</v>
      </c>
      <c r="Y1138" s="354">
        <v>8288553.0</v>
      </c>
      <c r="Z1138" s="254"/>
      <c r="AA1138" s="353" t="s">
        <v>3114</v>
      </c>
      <c r="AB1138" s="355" t="s">
        <v>3116</v>
      </c>
      <c r="AC1138" s="354">
        <v>7034123.0</v>
      </c>
      <c r="AD1138" s="355"/>
      <c r="AE1138" s="358"/>
      <c r="AF1138" s="358"/>
      <c r="AG1138" s="358"/>
      <c r="AH1138" s="358"/>
      <c r="AI1138" s="358"/>
      <c r="AJ1138" s="352"/>
      <c r="AK1138" s="281"/>
      <c r="AL1138" s="281"/>
      <c r="AM1138" s="281"/>
      <c r="AN1138" s="294"/>
    </row>
    <row r="1139">
      <c r="A1139" s="196" t="str">
        <f t="array" ref="A1139">INDEX('Federal Tax, Stock Buybacks, &amp; '!D:D,match(B1139,'Federal Tax, Stock Buybacks, &amp; '!E:E,0))</f>
        <v>#N/A</v>
      </c>
      <c r="B1139" s="351" t="s">
        <v>3102</v>
      </c>
      <c r="C1139" s="353"/>
      <c r="D1139" s="355"/>
      <c r="E1139" s="354"/>
      <c r="F1139" s="254"/>
      <c r="G1139" s="353"/>
      <c r="H1139" s="355"/>
      <c r="I1139" s="354"/>
      <c r="J1139" s="254"/>
      <c r="K1139" s="353" t="s">
        <v>3117</v>
      </c>
      <c r="L1139" s="355" t="s">
        <v>2660</v>
      </c>
      <c r="M1139" s="354">
        <v>7647290.0</v>
      </c>
      <c r="N1139" s="254"/>
      <c r="O1139" s="353" t="s">
        <v>3117</v>
      </c>
      <c r="P1139" s="355" t="s">
        <v>2660</v>
      </c>
      <c r="Q1139" s="606">
        <v>7895060.0</v>
      </c>
      <c r="R1139" s="254"/>
      <c r="S1139" s="353" t="s">
        <v>3117</v>
      </c>
      <c r="T1139" s="355" t="s">
        <v>2660</v>
      </c>
      <c r="U1139" s="354">
        <v>7651863.0</v>
      </c>
      <c r="V1139" s="254"/>
      <c r="W1139" s="353" t="s">
        <v>3109</v>
      </c>
      <c r="X1139" s="355" t="s">
        <v>3110</v>
      </c>
      <c r="Y1139" s="354">
        <v>5741650.0</v>
      </c>
      <c r="Z1139" s="254"/>
      <c r="AA1139" s="353" t="s">
        <v>3118</v>
      </c>
      <c r="AB1139" s="355" t="s">
        <v>3119</v>
      </c>
      <c r="AC1139" s="354">
        <v>4127373.0</v>
      </c>
      <c r="AD1139" s="355"/>
      <c r="AE1139" s="358"/>
      <c r="AF1139" s="358"/>
      <c r="AG1139" s="358"/>
      <c r="AH1139" s="358"/>
      <c r="AI1139" s="358"/>
      <c r="AJ1139" s="352"/>
      <c r="AK1139" s="281"/>
      <c r="AL1139" s="281"/>
      <c r="AM1139" s="281"/>
      <c r="AN1139" s="294"/>
    </row>
    <row r="1140">
      <c r="A1140" s="196" t="str">
        <f t="array" ref="A1140">INDEX('Federal Tax, Stock Buybacks, &amp; '!D:D,match(B1140,'Federal Tax, Stock Buybacks, &amp; '!E:E,0))</f>
        <v>#N/A</v>
      </c>
      <c r="B1140" s="351" t="s">
        <v>3102</v>
      </c>
      <c r="C1140" s="359"/>
      <c r="D1140" s="219"/>
      <c r="E1140" s="354"/>
      <c r="F1140" s="254"/>
      <c r="G1140" s="359"/>
      <c r="H1140" s="219"/>
      <c r="I1140" s="354"/>
      <c r="J1140" s="254"/>
      <c r="K1140" s="359" t="s">
        <v>711</v>
      </c>
      <c r="L1140" s="219" t="s">
        <v>711</v>
      </c>
      <c r="M1140" s="354" t="s">
        <v>711</v>
      </c>
      <c r="N1140" s="254"/>
      <c r="O1140" s="359" t="s">
        <v>711</v>
      </c>
      <c r="P1140" s="219" t="s">
        <v>711</v>
      </c>
      <c r="Q1140" s="354" t="s">
        <v>711</v>
      </c>
      <c r="R1140" s="254"/>
      <c r="S1140" s="359" t="s">
        <v>711</v>
      </c>
      <c r="T1140" s="219" t="s">
        <v>711</v>
      </c>
      <c r="U1140" s="354" t="s">
        <v>711</v>
      </c>
      <c r="V1140" s="254"/>
      <c r="W1140" s="353" t="s">
        <v>3111</v>
      </c>
      <c r="X1140" s="355" t="s">
        <v>3113</v>
      </c>
      <c r="Y1140" s="354">
        <v>4235483.0</v>
      </c>
      <c r="Z1140" s="254"/>
      <c r="AA1140" s="359" t="s">
        <v>711</v>
      </c>
      <c r="AB1140" s="219" t="s">
        <v>711</v>
      </c>
      <c r="AC1140" s="354" t="s">
        <v>711</v>
      </c>
      <c r="AD1140" s="355"/>
      <c r="AE1140" s="358"/>
      <c r="AF1140" s="358"/>
      <c r="AG1140" s="358"/>
      <c r="AH1140" s="358"/>
      <c r="AI1140" s="358"/>
      <c r="AJ1140" s="352"/>
      <c r="AK1140" s="281"/>
      <c r="AL1140" s="281"/>
      <c r="AM1140" s="281"/>
      <c r="AN1140" s="294"/>
    </row>
    <row r="1141">
      <c r="A1141" s="196" t="str">
        <f t="array" ref="A1141">INDEX('Federal Tax, Stock Buybacks, &amp; '!D:D,match(B1141,'Federal Tax, Stock Buybacks, &amp; '!E:E,0))</f>
        <v>#N/A</v>
      </c>
      <c r="B1141" s="351" t="s">
        <v>3102</v>
      </c>
      <c r="C1141" s="359"/>
      <c r="D1141" s="219"/>
      <c r="E1141" s="354"/>
      <c r="F1141" s="254"/>
      <c r="G1141" s="359"/>
      <c r="H1141" s="219"/>
      <c r="I1141" s="354"/>
      <c r="J1141" s="254"/>
      <c r="K1141" s="359" t="s">
        <v>711</v>
      </c>
      <c r="L1141" s="219" t="s">
        <v>711</v>
      </c>
      <c r="M1141" s="354" t="s">
        <v>711</v>
      </c>
      <c r="N1141" s="254"/>
      <c r="O1141" s="359" t="s">
        <v>711</v>
      </c>
      <c r="P1141" s="219" t="s">
        <v>711</v>
      </c>
      <c r="Q1141" s="354" t="s">
        <v>711</v>
      </c>
      <c r="R1141" s="254"/>
      <c r="S1141" s="359" t="s">
        <v>711</v>
      </c>
      <c r="T1141" s="219" t="s">
        <v>711</v>
      </c>
      <c r="U1141" s="354" t="s">
        <v>711</v>
      </c>
      <c r="V1141" s="254"/>
      <c r="W1141" s="353" t="s">
        <v>3117</v>
      </c>
      <c r="X1141" s="355" t="s">
        <v>2660</v>
      </c>
      <c r="Y1141" s="354">
        <v>4371551.0</v>
      </c>
      <c r="Z1141" s="254"/>
      <c r="AA1141" s="359" t="s">
        <v>711</v>
      </c>
      <c r="AB1141" s="219" t="s">
        <v>711</v>
      </c>
      <c r="AC1141" s="354" t="s">
        <v>711</v>
      </c>
      <c r="AD1141" s="355"/>
      <c r="AE1141" s="358"/>
      <c r="AF1141" s="358"/>
      <c r="AG1141" s="358"/>
      <c r="AH1141" s="358"/>
      <c r="AI1141" s="358"/>
      <c r="AJ1141" s="352"/>
      <c r="AK1141" s="281"/>
      <c r="AL1141" s="281"/>
      <c r="AM1141" s="281"/>
      <c r="AN1141" s="294"/>
    </row>
    <row r="1142">
      <c r="A1142" s="196" t="str">
        <f t="array" ref="A1142">INDEX('Federal Tax, Stock Buybacks, &amp; '!D:D,match(B1142,'Federal Tax, Stock Buybacks, &amp; '!E:E,0))</f>
        <v>#N/A</v>
      </c>
      <c r="B1142" s="264" t="s">
        <v>3120</v>
      </c>
      <c r="C1142" s="323"/>
      <c r="D1142" s="604"/>
      <c r="E1142" s="324"/>
      <c r="F1142" s="254"/>
      <c r="G1142" s="323"/>
      <c r="H1142" s="604"/>
      <c r="I1142" s="324"/>
      <c r="J1142" s="254"/>
      <c r="K1142" s="323" t="s">
        <v>3121</v>
      </c>
      <c r="L1142" s="604" t="s">
        <v>2326</v>
      </c>
      <c r="M1142" s="324">
        <v>3098952.0</v>
      </c>
      <c r="N1142" s="254"/>
      <c r="O1142" s="323" t="s">
        <v>3122</v>
      </c>
      <c r="P1142" s="271" t="s">
        <v>1585</v>
      </c>
      <c r="Q1142" s="607">
        <v>3265931.0</v>
      </c>
      <c r="R1142" s="254"/>
      <c r="S1142" s="323" t="s">
        <v>3123</v>
      </c>
      <c r="T1142" s="271" t="s">
        <v>3124</v>
      </c>
      <c r="U1142" s="324">
        <v>1.2098693E7</v>
      </c>
      <c r="V1142" s="254"/>
      <c r="W1142" s="323" t="s">
        <v>3123</v>
      </c>
      <c r="X1142" s="271" t="s">
        <v>1523</v>
      </c>
      <c r="Y1142" s="324">
        <v>1.2643005E7</v>
      </c>
      <c r="Z1142" s="254"/>
      <c r="AA1142" s="323" t="s">
        <v>3123</v>
      </c>
      <c r="AB1142" s="271" t="s">
        <v>1523</v>
      </c>
      <c r="AC1142" s="324">
        <v>1.0493832E7</v>
      </c>
      <c r="AD1142" s="271"/>
      <c r="AE1142" s="272">
        <v>2022.0</v>
      </c>
      <c r="AF1142" s="272">
        <v>2021.0</v>
      </c>
      <c r="AG1142" s="272">
        <v>2020.0</v>
      </c>
      <c r="AH1142" s="272">
        <v>2019.0</v>
      </c>
      <c r="AI1142" s="272">
        <v>2018.0</v>
      </c>
      <c r="AJ1142" s="582"/>
      <c r="AK1142" s="281"/>
      <c r="AL1142" s="281"/>
      <c r="AM1142" s="281"/>
      <c r="AN1142" s="294"/>
    </row>
    <row r="1143">
      <c r="A1143" s="196" t="str">
        <f t="array" ref="A1143">INDEX('Federal Tax, Stock Buybacks, &amp; '!D:D,match(B1143,'Federal Tax, Stock Buybacks, &amp; '!E:E,0))</f>
        <v>#N/A</v>
      </c>
      <c r="B1143" s="264" t="s">
        <v>3120</v>
      </c>
      <c r="C1143" s="323"/>
      <c r="D1143" s="271"/>
      <c r="E1143" s="324"/>
      <c r="F1143" s="254"/>
      <c r="G1143" s="323"/>
      <c r="H1143" s="271"/>
      <c r="I1143" s="324"/>
      <c r="J1143" s="254"/>
      <c r="K1143" s="323" t="s">
        <v>3122</v>
      </c>
      <c r="L1143" s="271" t="s">
        <v>1585</v>
      </c>
      <c r="M1143" s="324">
        <v>2653378.0</v>
      </c>
      <c r="N1143" s="254"/>
      <c r="O1143" s="323" t="s">
        <v>3125</v>
      </c>
      <c r="P1143" s="271" t="s">
        <v>1649</v>
      </c>
      <c r="Q1143" s="607">
        <v>3476383.0</v>
      </c>
      <c r="R1143" s="254"/>
      <c r="S1143" s="323" t="s">
        <v>3122</v>
      </c>
      <c r="T1143" s="271" t="s">
        <v>1585</v>
      </c>
      <c r="U1143" s="324">
        <v>3474325.0</v>
      </c>
      <c r="V1143" s="254"/>
      <c r="W1143" s="323" t="s">
        <v>3122</v>
      </c>
      <c r="X1143" s="271" t="s">
        <v>1585</v>
      </c>
      <c r="Y1143" s="324">
        <v>3621329.0</v>
      </c>
      <c r="Z1143" s="254"/>
      <c r="AA1143" s="323" t="s">
        <v>3122</v>
      </c>
      <c r="AB1143" s="271" t="s">
        <v>1585</v>
      </c>
      <c r="AC1143" s="324">
        <v>2557536.0</v>
      </c>
      <c r="AD1143" s="271"/>
      <c r="AE1143" s="277"/>
      <c r="AF1143" s="277"/>
      <c r="AG1143" s="277"/>
      <c r="AH1143" s="277"/>
      <c r="AI1143" s="277"/>
      <c r="AJ1143" s="582"/>
      <c r="AK1143" s="281"/>
      <c r="AL1143" s="281"/>
      <c r="AM1143" s="281"/>
      <c r="AN1143" s="294"/>
    </row>
    <row r="1144">
      <c r="A1144" s="196" t="str">
        <f t="array" ref="A1144">INDEX('Federal Tax, Stock Buybacks, &amp; '!D:D,match(B1144,'Federal Tax, Stock Buybacks, &amp; '!E:E,0))</f>
        <v>#N/A</v>
      </c>
      <c r="B1144" s="264" t="s">
        <v>3120</v>
      </c>
      <c r="C1144" s="323"/>
      <c r="D1144" s="604"/>
      <c r="E1144" s="324"/>
      <c r="F1144" s="254"/>
      <c r="G1144" s="323"/>
      <c r="H1144" s="604"/>
      <c r="I1144" s="324"/>
      <c r="J1144" s="254"/>
      <c r="K1144" s="323" t="s">
        <v>3126</v>
      </c>
      <c r="L1144" s="604" t="s">
        <v>3127</v>
      </c>
      <c r="M1144" s="324">
        <v>2537582.0</v>
      </c>
      <c r="N1144" s="254"/>
      <c r="O1144" s="323" t="s">
        <v>3128</v>
      </c>
      <c r="P1144" s="271" t="s">
        <v>1632</v>
      </c>
      <c r="Q1144" s="607">
        <v>2920905.0</v>
      </c>
      <c r="R1144" s="254"/>
      <c r="S1144" s="323" t="s">
        <v>3125</v>
      </c>
      <c r="T1144" s="271" t="s">
        <v>1649</v>
      </c>
      <c r="U1144" s="324">
        <v>5045769.0</v>
      </c>
      <c r="V1144" s="254"/>
      <c r="W1144" s="323" t="s">
        <v>3125</v>
      </c>
      <c r="X1144" s="271" t="s">
        <v>2005</v>
      </c>
      <c r="Y1144" s="324">
        <v>4022490.0</v>
      </c>
      <c r="Z1144" s="254"/>
      <c r="AA1144" s="323" t="s">
        <v>3125</v>
      </c>
      <c r="AB1144" s="271" t="s">
        <v>2005</v>
      </c>
      <c r="AC1144" s="324">
        <v>3399579.0</v>
      </c>
      <c r="AD1144" s="271"/>
      <c r="AE1144" s="277"/>
      <c r="AF1144" s="277"/>
      <c r="AG1144" s="277"/>
      <c r="AH1144" s="277"/>
      <c r="AI1144" s="277"/>
      <c r="AJ1144" s="582"/>
      <c r="AK1144" s="281"/>
      <c r="AL1144" s="281"/>
      <c r="AM1144" s="281"/>
      <c r="AN1144" s="294"/>
    </row>
    <row r="1145">
      <c r="A1145" s="196" t="str">
        <f t="array" ref="A1145">INDEX('Federal Tax, Stock Buybacks, &amp; '!D:D,match(B1145,'Federal Tax, Stock Buybacks, &amp; '!E:E,0))</f>
        <v>#N/A</v>
      </c>
      <c r="B1145" s="264" t="s">
        <v>3120</v>
      </c>
      <c r="C1145" s="323"/>
      <c r="D1145" s="271"/>
      <c r="E1145" s="324"/>
      <c r="F1145" s="254"/>
      <c r="G1145" s="323"/>
      <c r="H1145" s="271"/>
      <c r="I1145" s="324"/>
      <c r="J1145" s="254"/>
      <c r="K1145" s="323" t="s">
        <v>3129</v>
      </c>
      <c r="L1145" s="271" t="s">
        <v>1523</v>
      </c>
      <c r="M1145" s="324">
        <v>9796602.0</v>
      </c>
      <c r="N1145" s="254"/>
      <c r="O1145" s="323" t="s">
        <v>3126</v>
      </c>
      <c r="P1145" s="271" t="s">
        <v>3130</v>
      </c>
      <c r="Q1145" s="607">
        <v>3219817.0</v>
      </c>
      <c r="R1145" s="254"/>
      <c r="S1145" s="323" t="s">
        <v>3129</v>
      </c>
      <c r="T1145" s="271" t="s">
        <v>1523</v>
      </c>
      <c r="U1145" s="324">
        <v>8891854.0</v>
      </c>
      <c r="V1145" s="254"/>
      <c r="W1145" s="323" t="s">
        <v>3129</v>
      </c>
      <c r="X1145" s="271" t="s">
        <v>1649</v>
      </c>
      <c r="Y1145" s="324">
        <v>1.6779485E7</v>
      </c>
      <c r="Z1145" s="254"/>
      <c r="AA1145" s="323" t="s">
        <v>3129</v>
      </c>
      <c r="AB1145" s="271" t="s">
        <v>1649</v>
      </c>
      <c r="AC1145" s="324">
        <v>5459414.0</v>
      </c>
      <c r="AD1145" s="271"/>
      <c r="AE1145" s="277"/>
      <c r="AF1145" s="277"/>
      <c r="AG1145" s="277"/>
      <c r="AH1145" s="277"/>
      <c r="AI1145" s="277"/>
      <c r="AJ1145" s="582"/>
      <c r="AK1145" s="281"/>
      <c r="AL1145" s="281"/>
      <c r="AM1145" s="281"/>
      <c r="AN1145" s="294"/>
    </row>
    <row r="1146">
      <c r="A1146" s="196" t="str">
        <f t="array" ref="A1146">INDEX('Federal Tax, Stock Buybacks, &amp; '!D:D,match(B1146,'Federal Tax, Stock Buybacks, &amp; '!E:E,0))</f>
        <v>#N/A</v>
      </c>
      <c r="B1146" s="264" t="s">
        <v>3120</v>
      </c>
      <c r="C1146" s="323"/>
      <c r="D1146" s="271"/>
      <c r="E1146" s="324"/>
      <c r="F1146" s="254"/>
      <c r="G1146" s="323"/>
      <c r="H1146" s="271"/>
      <c r="I1146" s="324"/>
      <c r="J1146" s="254"/>
      <c r="K1146" s="323" t="s">
        <v>3125</v>
      </c>
      <c r="L1146" s="271" t="s">
        <v>1649</v>
      </c>
      <c r="M1146" s="324">
        <v>3479595.0</v>
      </c>
      <c r="N1146" s="254"/>
      <c r="O1146" s="323" t="s">
        <v>3129</v>
      </c>
      <c r="P1146" s="271" t="s">
        <v>1523</v>
      </c>
      <c r="Q1146" s="607">
        <v>9845064.0</v>
      </c>
      <c r="R1146" s="254"/>
      <c r="S1146" s="323" t="s">
        <v>3128</v>
      </c>
      <c r="T1146" s="271" t="s">
        <v>1632</v>
      </c>
      <c r="U1146" s="324">
        <v>5235284.0</v>
      </c>
      <c r="V1146" s="254"/>
      <c r="W1146" s="323" t="s">
        <v>3121</v>
      </c>
      <c r="X1146" s="271" t="s">
        <v>2537</v>
      </c>
      <c r="Y1146" s="324">
        <v>4335326.0</v>
      </c>
      <c r="Z1146" s="254"/>
      <c r="AA1146" s="323" t="s">
        <v>3131</v>
      </c>
      <c r="AB1146" s="271" t="s">
        <v>1686</v>
      </c>
      <c r="AC1146" s="324">
        <v>1543789.0</v>
      </c>
      <c r="AD1146" s="271"/>
      <c r="AE1146" s="277"/>
      <c r="AF1146" s="277"/>
      <c r="AG1146" s="277"/>
      <c r="AH1146" s="277"/>
      <c r="AI1146" s="277"/>
      <c r="AJ1146" s="582"/>
      <c r="AK1146" s="281"/>
      <c r="AL1146" s="281"/>
      <c r="AM1146" s="281"/>
      <c r="AN1146" s="294"/>
    </row>
    <row r="1147">
      <c r="A1147" s="196" t="str">
        <f t="array" ref="A1147">INDEX('Federal Tax, Stock Buybacks, &amp; '!D:D,match(B1147,'Federal Tax, Stock Buybacks, &amp; '!E:E,0))</f>
        <v>#N/A</v>
      </c>
      <c r="B1147" s="264" t="s">
        <v>3120</v>
      </c>
      <c r="C1147" s="326"/>
      <c r="D1147" s="329"/>
      <c r="E1147" s="324"/>
      <c r="F1147" s="254"/>
      <c r="G1147" s="326"/>
      <c r="H1147" s="329"/>
      <c r="I1147" s="324"/>
      <c r="J1147" s="254"/>
      <c r="K1147" s="326" t="s">
        <v>711</v>
      </c>
      <c r="L1147" s="329" t="s">
        <v>711</v>
      </c>
      <c r="M1147" s="324" t="s">
        <v>711</v>
      </c>
      <c r="N1147" s="254"/>
      <c r="O1147" s="326" t="s">
        <v>711</v>
      </c>
      <c r="P1147" s="329" t="s">
        <v>711</v>
      </c>
      <c r="Q1147" s="324" t="s">
        <v>711</v>
      </c>
      <c r="R1147" s="254"/>
      <c r="S1147" s="323" t="s">
        <v>3126</v>
      </c>
      <c r="T1147" s="271" t="s">
        <v>3130</v>
      </c>
      <c r="U1147" s="324">
        <v>4310279.0</v>
      </c>
      <c r="V1147" s="254"/>
      <c r="W1147" s="326" t="s">
        <v>711</v>
      </c>
      <c r="X1147" s="329" t="s">
        <v>711</v>
      </c>
      <c r="Y1147" s="324" t="s">
        <v>711</v>
      </c>
      <c r="Z1147" s="254"/>
      <c r="AA1147" s="323" t="s">
        <v>3121</v>
      </c>
      <c r="AB1147" s="271" t="s">
        <v>2537</v>
      </c>
      <c r="AC1147" s="324">
        <v>3720817.0</v>
      </c>
      <c r="AD1147" s="271"/>
      <c r="AE1147" s="277"/>
      <c r="AF1147" s="277"/>
      <c r="AG1147" s="277"/>
      <c r="AH1147" s="277"/>
      <c r="AI1147" s="277"/>
      <c r="AJ1147" s="582"/>
      <c r="AK1147" s="281"/>
      <c r="AL1147" s="281"/>
      <c r="AM1147" s="281"/>
      <c r="AN1147" s="294"/>
    </row>
    <row r="1148">
      <c r="A1148" s="196" t="str">
        <f t="array" ref="A1148">INDEX('Federal Tax, Stock Buybacks, &amp; '!D:D,match(B1148,'Federal Tax, Stock Buybacks, &amp; '!E:E,0))</f>
        <v>#N/A</v>
      </c>
      <c r="B1148" s="264" t="s">
        <v>3132</v>
      </c>
      <c r="C1148" s="323"/>
      <c r="D1148" s="271"/>
      <c r="E1148" s="324"/>
      <c r="F1148" s="254"/>
      <c r="G1148" s="323"/>
      <c r="H1148" s="271"/>
      <c r="I1148" s="324"/>
      <c r="J1148" s="254"/>
      <c r="K1148" s="323" t="s">
        <v>3133</v>
      </c>
      <c r="L1148" s="271" t="s">
        <v>2355</v>
      </c>
      <c r="M1148" s="324">
        <v>1.1550022E7</v>
      </c>
      <c r="N1148" s="254"/>
      <c r="O1148" s="323" t="s">
        <v>3133</v>
      </c>
      <c r="P1148" s="271" t="s">
        <v>3134</v>
      </c>
      <c r="Q1148" s="607">
        <v>1.2755479E7</v>
      </c>
      <c r="R1148" s="254"/>
      <c r="S1148" s="323" t="s">
        <v>3133</v>
      </c>
      <c r="T1148" s="271" t="s">
        <v>3134</v>
      </c>
      <c r="U1148" s="324">
        <v>1.1703943E7</v>
      </c>
      <c r="V1148" s="254"/>
      <c r="W1148" s="323" t="s">
        <v>3133</v>
      </c>
      <c r="X1148" s="271" t="s">
        <v>3134</v>
      </c>
      <c r="Y1148" s="324">
        <v>1.1671842E7</v>
      </c>
      <c r="Z1148" s="254"/>
      <c r="AA1148" s="323" t="s">
        <v>3133</v>
      </c>
      <c r="AB1148" s="271" t="s">
        <v>3134</v>
      </c>
      <c r="AC1148" s="324">
        <v>1.5339932E7</v>
      </c>
      <c r="AD1148" s="271"/>
      <c r="AE1148" s="272">
        <v>2022.0</v>
      </c>
      <c r="AF1148" s="272">
        <v>2021.0</v>
      </c>
      <c r="AG1148" s="272">
        <v>2020.0</v>
      </c>
      <c r="AH1148" s="272">
        <v>2019.0</v>
      </c>
      <c r="AI1148" s="272">
        <v>2018.0</v>
      </c>
      <c r="AJ1148" s="582"/>
      <c r="AK1148" s="281"/>
      <c r="AL1148" s="281"/>
      <c r="AM1148" s="281"/>
      <c r="AN1148" s="294"/>
    </row>
    <row r="1149">
      <c r="A1149" s="196" t="str">
        <f t="array" ref="A1149">INDEX('Federal Tax, Stock Buybacks, &amp; '!D:D,match(B1149,'Federal Tax, Stock Buybacks, &amp; '!E:E,0))</f>
        <v>#N/A</v>
      </c>
      <c r="B1149" s="264" t="s">
        <v>3132</v>
      </c>
      <c r="C1149" s="323"/>
      <c r="D1149" s="271"/>
      <c r="E1149" s="324"/>
      <c r="F1149" s="254"/>
      <c r="G1149" s="323"/>
      <c r="H1149" s="271"/>
      <c r="I1149" s="324"/>
      <c r="J1149" s="254"/>
      <c r="K1149" s="323" t="s">
        <v>3135</v>
      </c>
      <c r="L1149" s="271" t="s">
        <v>1588</v>
      </c>
      <c r="M1149" s="324">
        <v>7478225.0</v>
      </c>
      <c r="N1149" s="254"/>
      <c r="O1149" s="323" t="s">
        <v>3135</v>
      </c>
      <c r="P1149" s="271" t="s">
        <v>1662</v>
      </c>
      <c r="Q1149" s="324">
        <v>5369166.0</v>
      </c>
      <c r="R1149" s="254"/>
      <c r="S1149" s="323" t="s">
        <v>3135</v>
      </c>
      <c r="T1149" s="271" t="s">
        <v>3136</v>
      </c>
      <c r="U1149" s="324">
        <v>3883262.0</v>
      </c>
      <c r="V1149" s="254"/>
      <c r="W1149" s="323" t="s">
        <v>3135</v>
      </c>
      <c r="X1149" s="271" t="s">
        <v>3136</v>
      </c>
      <c r="Y1149" s="324">
        <v>3575366.0</v>
      </c>
      <c r="Z1149" s="254"/>
      <c r="AA1149" s="323" t="s">
        <v>3135</v>
      </c>
      <c r="AB1149" s="271" t="s">
        <v>3136</v>
      </c>
      <c r="AC1149" s="324">
        <v>2797922.0</v>
      </c>
      <c r="AD1149" s="271"/>
      <c r="AE1149" s="277"/>
      <c r="AF1149" s="277"/>
      <c r="AG1149" s="277"/>
      <c r="AH1149" s="277"/>
      <c r="AI1149" s="277"/>
      <c r="AJ1149" s="582"/>
      <c r="AK1149" s="281"/>
      <c r="AL1149" s="281"/>
      <c r="AM1149" s="281"/>
      <c r="AN1149" s="294"/>
    </row>
    <row r="1150">
      <c r="A1150" s="196" t="str">
        <f t="array" ref="A1150">INDEX('Federal Tax, Stock Buybacks, &amp; '!D:D,match(B1150,'Federal Tax, Stock Buybacks, &amp; '!E:E,0))</f>
        <v>#N/A</v>
      </c>
      <c r="B1150" s="264" t="s">
        <v>3132</v>
      </c>
      <c r="C1150" s="323"/>
      <c r="D1150" s="271"/>
      <c r="E1150" s="324"/>
      <c r="F1150" s="254"/>
      <c r="G1150" s="323"/>
      <c r="H1150" s="271"/>
      <c r="I1150" s="324"/>
      <c r="J1150" s="254"/>
      <c r="K1150" s="323" t="s">
        <v>3137</v>
      </c>
      <c r="L1150" s="271" t="s">
        <v>3138</v>
      </c>
      <c r="M1150" s="324">
        <v>3306159.0</v>
      </c>
      <c r="N1150" s="254"/>
      <c r="O1150" s="323" t="s">
        <v>3137</v>
      </c>
      <c r="P1150" s="271" t="s">
        <v>3138</v>
      </c>
      <c r="Q1150" s="324">
        <v>3035532.0</v>
      </c>
      <c r="R1150" s="254"/>
      <c r="S1150" s="323" t="s">
        <v>3139</v>
      </c>
      <c r="T1150" s="271" t="s">
        <v>3140</v>
      </c>
      <c r="U1150" s="324">
        <v>3727135.0</v>
      </c>
      <c r="V1150" s="254"/>
      <c r="W1150" s="323" t="s">
        <v>3139</v>
      </c>
      <c r="X1150" s="271" t="s">
        <v>3140</v>
      </c>
      <c r="Y1150" s="324">
        <v>3166857.0</v>
      </c>
      <c r="Z1150" s="254"/>
      <c r="AA1150" s="323" t="s">
        <v>3139</v>
      </c>
      <c r="AB1150" s="271" t="s">
        <v>3140</v>
      </c>
      <c r="AC1150" s="324">
        <v>2722732.0</v>
      </c>
      <c r="AD1150" s="271"/>
      <c r="AE1150" s="277"/>
      <c r="AF1150" s="277"/>
      <c r="AG1150" s="277"/>
      <c r="AH1150" s="277"/>
      <c r="AI1150" s="277"/>
      <c r="AJ1150" s="582"/>
      <c r="AK1150" s="281"/>
      <c r="AL1150" s="281"/>
      <c r="AM1150" s="281"/>
      <c r="AN1150" s="294"/>
    </row>
    <row r="1151">
      <c r="A1151" s="196" t="str">
        <f t="array" ref="A1151">INDEX('Federal Tax, Stock Buybacks, &amp; '!D:D,match(B1151,'Federal Tax, Stock Buybacks, &amp; '!E:E,0))</f>
        <v>#N/A</v>
      </c>
      <c r="B1151" s="264" t="s">
        <v>3132</v>
      </c>
      <c r="C1151" s="323"/>
      <c r="D1151" s="271"/>
      <c r="E1151" s="324"/>
      <c r="F1151" s="254"/>
      <c r="G1151" s="323"/>
      <c r="H1151" s="271"/>
      <c r="I1151" s="324"/>
      <c r="J1151" s="254"/>
      <c r="K1151" s="323" t="s">
        <v>3141</v>
      </c>
      <c r="L1151" s="271" t="s">
        <v>3142</v>
      </c>
      <c r="M1151" s="324">
        <v>192528.0</v>
      </c>
      <c r="N1151" s="254"/>
      <c r="O1151" s="323" t="s">
        <v>3141</v>
      </c>
      <c r="P1151" s="271" t="s">
        <v>1703</v>
      </c>
      <c r="Q1151" s="324">
        <v>4205260.0</v>
      </c>
      <c r="R1151" s="254"/>
      <c r="S1151" s="323" t="s">
        <v>3137</v>
      </c>
      <c r="T1151" s="271" t="s">
        <v>3138</v>
      </c>
      <c r="U1151" s="324">
        <v>3233199.0</v>
      </c>
      <c r="V1151" s="254"/>
      <c r="W1151" s="323" t="s">
        <v>3141</v>
      </c>
      <c r="X1151" s="271" t="s">
        <v>1703</v>
      </c>
      <c r="Y1151" s="324">
        <v>3588140.0</v>
      </c>
      <c r="Z1151" s="254"/>
      <c r="AA1151" s="323" t="s">
        <v>3141</v>
      </c>
      <c r="AB1151" s="271" t="s">
        <v>1703</v>
      </c>
      <c r="AC1151" s="324">
        <v>4856512.0</v>
      </c>
      <c r="AD1151" s="271"/>
      <c r="AE1151" s="277"/>
      <c r="AF1151" s="277"/>
      <c r="AG1151" s="277"/>
      <c r="AH1151" s="277"/>
      <c r="AI1151" s="277"/>
      <c r="AJ1151" s="582"/>
      <c r="AK1151" s="281"/>
      <c r="AL1151" s="281"/>
      <c r="AM1151" s="281"/>
      <c r="AN1151" s="294"/>
    </row>
    <row r="1152">
      <c r="A1152" s="196" t="str">
        <f t="array" ref="A1152">INDEX('Federal Tax, Stock Buybacks, &amp; '!D:D,match(B1152,'Federal Tax, Stock Buybacks, &amp; '!E:E,0))</f>
        <v>#N/A</v>
      </c>
      <c r="B1152" s="264" t="s">
        <v>3132</v>
      </c>
      <c r="C1152" s="323"/>
      <c r="D1152" s="271"/>
      <c r="E1152" s="324"/>
      <c r="F1152" s="254"/>
      <c r="G1152" s="323"/>
      <c r="H1152" s="271"/>
      <c r="I1152" s="324"/>
      <c r="J1152" s="254"/>
      <c r="K1152" s="323" t="s">
        <v>3143</v>
      </c>
      <c r="L1152" s="271" t="s">
        <v>3144</v>
      </c>
      <c r="M1152" s="324">
        <v>2866764.0</v>
      </c>
      <c r="N1152" s="254"/>
      <c r="O1152" s="323" t="s">
        <v>3143</v>
      </c>
      <c r="P1152" s="271" t="s">
        <v>3144</v>
      </c>
      <c r="Q1152" s="324">
        <v>3000928.0</v>
      </c>
      <c r="R1152" s="254"/>
      <c r="S1152" s="323" t="s">
        <v>3141</v>
      </c>
      <c r="T1152" s="271" t="s">
        <v>1703</v>
      </c>
      <c r="U1152" s="324">
        <v>3976999.0</v>
      </c>
      <c r="V1152" s="254"/>
      <c r="W1152" s="323" t="s">
        <v>3145</v>
      </c>
      <c r="X1152" s="271" t="s">
        <v>3146</v>
      </c>
      <c r="Y1152" s="324">
        <v>2636996.0</v>
      </c>
      <c r="Z1152" s="254"/>
      <c r="AA1152" s="323" t="s">
        <v>3147</v>
      </c>
      <c r="AB1152" s="271" t="s">
        <v>3148</v>
      </c>
      <c r="AC1152" s="324">
        <v>2933144.0</v>
      </c>
      <c r="AD1152" s="271"/>
      <c r="AE1152" s="277"/>
      <c r="AF1152" s="277"/>
      <c r="AG1152" s="277"/>
      <c r="AH1152" s="277"/>
      <c r="AI1152" s="277"/>
      <c r="AJ1152" s="582"/>
      <c r="AK1152" s="281"/>
      <c r="AL1152" s="281"/>
      <c r="AM1152" s="281"/>
      <c r="AN1152" s="294"/>
    </row>
    <row r="1153">
      <c r="A1153" s="196" t="str">
        <f t="array" ref="A1153">INDEX('Federal Tax, Stock Buybacks, &amp; '!D:D,match(B1153,'Federal Tax, Stock Buybacks, &amp; '!E:E,0))</f>
        <v>#N/A</v>
      </c>
      <c r="B1153" s="264" t="s">
        <v>3132</v>
      </c>
      <c r="C1153" s="323"/>
      <c r="D1153" s="271"/>
      <c r="E1153" s="324"/>
      <c r="F1153" s="254"/>
      <c r="G1153" s="323"/>
      <c r="H1153" s="271"/>
      <c r="I1153" s="324"/>
      <c r="J1153" s="254"/>
      <c r="K1153" s="323" t="s">
        <v>3149</v>
      </c>
      <c r="L1153" s="271" t="s">
        <v>1703</v>
      </c>
      <c r="M1153" s="324">
        <v>5416242.0</v>
      </c>
      <c r="N1153" s="254"/>
      <c r="O1153" s="326" t="s">
        <v>711</v>
      </c>
      <c r="P1153" s="329" t="s">
        <v>711</v>
      </c>
      <c r="Q1153" s="324" t="s">
        <v>711</v>
      </c>
      <c r="R1153" s="254"/>
      <c r="S1153" s="326" t="s">
        <v>711</v>
      </c>
      <c r="T1153" s="329" t="s">
        <v>711</v>
      </c>
      <c r="U1153" s="324" t="s">
        <v>711</v>
      </c>
      <c r="V1153" s="254"/>
      <c r="W1153" s="326" t="s">
        <v>711</v>
      </c>
      <c r="X1153" s="329" t="s">
        <v>711</v>
      </c>
      <c r="Y1153" s="324" t="s">
        <v>711</v>
      </c>
      <c r="Z1153" s="254"/>
      <c r="AA1153" s="326" t="s">
        <v>711</v>
      </c>
      <c r="AB1153" s="329" t="s">
        <v>711</v>
      </c>
      <c r="AC1153" s="324" t="s">
        <v>711</v>
      </c>
      <c r="AD1153" s="271"/>
      <c r="AE1153" s="277"/>
      <c r="AF1153" s="277"/>
      <c r="AG1153" s="277"/>
      <c r="AH1153" s="277"/>
      <c r="AI1153" s="277"/>
      <c r="AJ1153" s="582"/>
      <c r="AK1153" s="281"/>
      <c r="AL1153" s="281"/>
      <c r="AM1153" s="281"/>
      <c r="AN1153" s="294"/>
    </row>
    <row r="1154">
      <c r="A1154" s="196" t="str">
        <f t="array" ref="A1154">INDEX('Federal Tax, Stock Buybacks, &amp; '!D:D,match(B1154,'Federal Tax, Stock Buybacks, &amp; '!E:E,0))</f>
        <v>#N/A</v>
      </c>
      <c r="B1154" s="264" t="s">
        <v>3132</v>
      </c>
      <c r="C1154" s="323"/>
      <c r="D1154" s="271"/>
      <c r="E1154" s="324"/>
      <c r="F1154" s="254"/>
      <c r="G1154" s="323"/>
      <c r="H1154" s="271"/>
      <c r="I1154" s="324"/>
      <c r="J1154" s="254"/>
      <c r="K1154" s="323" t="s">
        <v>3150</v>
      </c>
      <c r="L1154" s="271" t="s">
        <v>3140</v>
      </c>
      <c r="M1154" s="324">
        <v>3501757.0</v>
      </c>
      <c r="N1154" s="254"/>
      <c r="O1154" s="326" t="s">
        <v>711</v>
      </c>
      <c r="P1154" s="329" t="s">
        <v>711</v>
      </c>
      <c r="Q1154" s="324" t="s">
        <v>711</v>
      </c>
      <c r="R1154" s="254"/>
      <c r="S1154" s="326" t="s">
        <v>711</v>
      </c>
      <c r="T1154" s="329" t="s">
        <v>711</v>
      </c>
      <c r="U1154" s="324" t="s">
        <v>711</v>
      </c>
      <c r="V1154" s="254"/>
      <c r="W1154" s="326" t="s">
        <v>711</v>
      </c>
      <c r="X1154" s="329" t="s">
        <v>711</v>
      </c>
      <c r="Y1154" s="324" t="s">
        <v>711</v>
      </c>
      <c r="Z1154" s="254"/>
      <c r="AA1154" s="326" t="s">
        <v>711</v>
      </c>
      <c r="AB1154" s="329" t="s">
        <v>711</v>
      </c>
      <c r="AC1154" s="324" t="s">
        <v>711</v>
      </c>
      <c r="AD1154" s="271"/>
      <c r="AE1154" s="277"/>
      <c r="AF1154" s="277"/>
      <c r="AG1154" s="277"/>
      <c r="AH1154" s="277"/>
      <c r="AI1154" s="277"/>
      <c r="AJ1154" s="582"/>
      <c r="AK1154" s="281"/>
      <c r="AL1154" s="281"/>
      <c r="AM1154" s="281"/>
      <c r="AN1154" s="294"/>
    </row>
    <row r="1155">
      <c r="A1155" s="196" t="str">
        <f t="array" ref="A1155">INDEX('Federal Tax, Stock Buybacks, &amp; '!D:D,match(B1155,'Federal Tax, Stock Buybacks, &amp; '!E:E,0))</f>
        <v>#N/A</v>
      </c>
      <c r="B1155" s="264" t="s">
        <v>3132</v>
      </c>
      <c r="C1155" s="323"/>
      <c r="D1155" s="271"/>
      <c r="E1155" s="324"/>
      <c r="F1155" s="254"/>
      <c r="G1155" s="323"/>
      <c r="H1155" s="271"/>
      <c r="I1155" s="324"/>
      <c r="J1155" s="254"/>
      <c r="K1155" s="323" t="s">
        <v>3151</v>
      </c>
      <c r="L1155" s="271" t="s">
        <v>3152</v>
      </c>
      <c r="M1155" s="324">
        <v>1126278.0</v>
      </c>
      <c r="N1155" s="254"/>
      <c r="O1155" s="326" t="s">
        <v>711</v>
      </c>
      <c r="P1155" s="329" t="s">
        <v>711</v>
      </c>
      <c r="Q1155" s="324" t="s">
        <v>711</v>
      </c>
      <c r="R1155" s="254"/>
      <c r="S1155" s="326" t="s">
        <v>711</v>
      </c>
      <c r="T1155" s="329" t="s">
        <v>711</v>
      </c>
      <c r="U1155" s="324" t="s">
        <v>711</v>
      </c>
      <c r="V1155" s="254"/>
      <c r="W1155" s="326" t="s">
        <v>711</v>
      </c>
      <c r="X1155" s="329" t="s">
        <v>711</v>
      </c>
      <c r="Y1155" s="324" t="s">
        <v>711</v>
      </c>
      <c r="Z1155" s="254"/>
      <c r="AA1155" s="326" t="s">
        <v>711</v>
      </c>
      <c r="AB1155" s="329" t="s">
        <v>711</v>
      </c>
      <c r="AC1155" s="324" t="s">
        <v>711</v>
      </c>
      <c r="AD1155" s="271"/>
      <c r="AE1155" s="277"/>
      <c r="AF1155" s="277"/>
      <c r="AG1155" s="277"/>
      <c r="AH1155" s="277"/>
      <c r="AI1155" s="277"/>
      <c r="AJ1155" s="582"/>
      <c r="AK1155" s="281"/>
      <c r="AL1155" s="281"/>
      <c r="AM1155" s="281"/>
      <c r="AN1155" s="294"/>
    </row>
    <row r="1156">
      <c r="A1156" s="196" t="str">
        <f t="array" ref="A1156">INDEX('Federal Tax, Stock Buybacks, &amp; '!D:D,match(B1156,'Federal Tax, Stock Buybacks, &amp; '!E:E,0))</f>
        <v>#N/A</v>
      </c>
      <c r="B1156" s="351" t="s">
        <v>3153</v>
      </c>
      <c r="C1156" s="353"/>
      <c r="D1156" s="355"/>
      <c r="E1156" s="354"/>
      <c r="F1156" s="254"/>
      <c r="G1156" s="353"/>
      <c r="H1156" s="355"/>
      <c r="I1156" s="354"/>
      <c r="J1156" s="254"/>
      <c r="K1156" s="353" t="s">
        <v>3154</v>
      </c>
      <c r="L1156" s="355" t="s">
        <v>1523</v>
      </c>
      <c r="M1156" s="354">
        <v>1.5775108E7</v>
      </c>
      <c r="N1156" s="254"/>
      <c r="O1156" s="353" t="s">
        <v>3154</v>
      </c>
      <c r="P1156" s="355" t="s">
        <v>1523</v>
      </c>
      <c r="Q1156" s="354">
        <v>1.0557568E7</v>
      </c>
      <c r="R1156" s="254"/>
      <c r="S1156" s="353" t="s">
        <v>3155</v>
      </c>
      <c r="T1156" s="355" t="s">
        <v>1523</v>
      </c>
      <c r="U1156" s="354">
        <v>2.1936798E7</v>
      </c>
      <c r="V1156" s="254"/>
      <c r="W1156" s="353" t="s">
        <v>3155</v>
      </c>
      <c r="X1156" s="355" t="s">
        <v>1523</v>
      </c>
      <c r="Y1156" s="354">
        <v>2.212506E7</v>
      </c>
      <c r="Z1156" s="254"/>
      <c r="AA1156" s="353" t="s">
        <v>3155</v>
      </c>
      <c r="AB1156" s="355" t="s">
        <v>1523</v>
      </c>
      <c r="AC1156" s="354">
        <v>1.5934235E7</v>
      </c>
      <c r="AD1156" s="355"/>
      <c r="AE1156" s="356">
        <v>2022.0</v>
      </c>
      <c r="AF1156" s="356">
        <v>2021.0</v>
      </c>
      <c r="AG1156" s="356">
        <v>2020.0</v>
      </c>
      <c r="AH1156" s="356">
        <v>2019.0</v>
      </c>
      <c r="AI1156" s="356">
        <v>2018.0</v>
      </c>
      <c r="AJ1156" s="352"/>
      <c r="AK1156" s="281"/>
      <c r="AL1156" s="281"/>
      <c r="AM1156" s="281"/>
      <c r="AN1156" s="294"/>
    </row>
    <row r="1157">
      <c r="A1157" s="196" t="str">
        <f t="array" ref="A1157">INDEX('Federal Tax, Stock Buybacks, &amp; '!D:D,match(B1157,'Federal Tax, Stock Buybacks, &amp; '!E:E,0))</f>
        <v>#N/A</v>
      </c>
      <c r="B1157" s="351" t="s">
        <v>3153</v>
      </c>
      <c r="C1157" s="353"/>
      <c r="D1157" s="355"/>
      <c r="E1157" s="354"/>
      <c r="F1157" s="254"/>
      <c r="G1157" s="353"/>
      <c r="H1157" s="355"/>
      <c r="I1157" s="354"/>
      <c r="J1157" s="254"/>
      <c r="K1157" s="353" t="s">
        <v>3156</v>
      </c>
      <c r="L1157" s="355" t="s">
        <v>3157</v>
      </c>
      <c r="M1157" s="354">
        <v>4594763.0</v>
      </c>
      <c r="N1157" s="254"/>
      <c r="O1157" s="353" t="s">
        <v>3158</v>
      </c>
      <c r="P1157" s="430" t="s">
        <v>3159</v>
      </c>
      <c r="Q1157" s="354">
        <v>4795899.0</v>
      </c>
      <c r="R1157" s="254"/>
      <c r="S1157" s="353" t="s">
        <v>3160</v>
      </c>
      <c r="T1157" s="355" t="s">
        <v>3161</v>
      </c>
      <c r="U1157" s="354">
        <v>7141280.0</v>
      </c>
      <c r="V1157" s="254"/>
      <c r="W1157" s="353" t="s">
        <v>3160</v>
      </c>
      <c r="X1157" s="355" t="s">
        <v>3162</v>
      </c>
      <c r="Y1157" s="354">
        <v>8120179.0</v>
      </c>
      <c r="Z1157" s="254"/>
      <c r="AA1157" s="353" t="s">
        <v>3160</v>
      </c>
      <c r="AB1157" s="355" t="s">
        <v>3163</v>
      </c>
      <c r="AC1157" s="354">
        <v>5337763.0</v>
      </c>
      <c r="AD1157" s="355"/>
      <c r="AE1157" s="358"/>
      <c r="AF1157" s="358"/>
      <c r="AG1157" s="358"/>
      <c r="AH1157" s="358"/>
      <c r="AI1157" s="358"/>
      <c r="AJ1157" s="352"/>
      <c r="AK1157" s="281"/>
      <c r="AL1157" s="281"/>
      <c r="AM1157" s="281"/>
      <c r="AN1157" s="294"/>
    </row>
    <row r="1158">
      <c r="A1158" s="196" t="str">
        <f t="array" ref="A1158">INDEX('Federal Tax, Stock Buybacks, &amp; '!D:D,match(B1158,'Federal Tax, Stock Buybacks, &amp; '!E:E,0))</f>
        <v>#N/A</v>
      </c>
      <c r="B1158" s="351" t="s">
        <v>3153</v>
      </c>
      <c r="C1158" s="353"/>
      <c r="D1158" s="355"/>
      <c r="E1158" s="354"/>
      <c r="F1158" s="254"/>
      <c r="G1158" s="353"/>
      <c r="H1158" s="355"/>
      <c r="I1158" s="354"/>
      <c r="J1158" s="254"/>
      <c r="K1158" s="353" t="s">
        <v>3164</v>
      </c>
      <c r="L1158" s="355" t="s">
        <v>1532</v>
      </c>
      <c r="M1158" s="354">
        <v>8519466.0</v>
      </c>
      <c r="N1158" s="254"/>
      <c r="O1158" s="353" t="s">
        <v>3156</v>
      </c>
      <c r="P1158" s="355" t="s">
        <v>3157</v>
      </c>
      <c r="Q1158" s="354">
        <v>4567953.0</v>
      </c>
      <c r="R1158" s="254"/>
      <c r="S1158" s="353" t="s">
        <v>3154</v>
      </c>
      <c r="T1158" s="355" t="s">
        <v>1662</v>
      </c>
      <c r="U1158" s="354">
        <v>1.0962549E7</v>
      </c>
      <c r="V1158" s="254"/>
      <c r="W1158" s="353" t="s">
        <v>3154</v>
      </c>
      <c r="X1158" s="355" t="s">
        <v>1662</v>
      </c>
      <c r="Y1158" s="354">
        <v>1.2055404E7</v>
      </c>
      <c r="Z1158" s="254"/>
      <c r="AA1158" s="353" t="s">
        <v>3154</v>
      </c>
      <c r="AB1158" s="355" t="s">
        <v>1662</v>
      </c>
      <c r="AC1158" s="354">
        <v>6070310.0</v>
      </c>
      <c r="AD1158" s="355"/>
      <c r="AE1158" s="358"/>
      <c r="AF1158" s="358"/>
      <c r="AG1158" s="358"/>
      <c r="AH1158" s="358"/>
      <c r="AI1158" s="358"/>
      <c r="AJ1158" s="352"/>
      <c r="AK1158" s="281"/>
      <c r="AL1158" s="281"/>
      <c r="AM1158" s="281"/>
      <c r="AN1158" s="294"/>
    </row>
    <row r="1159">
      <c r="A1159" s="196" t="str">
        <f t="array" ref="A1159">INDEX('Federal Tax, Stock Buybacks, &amp; '!D:D,match(B1159,'Federal Tax, Stock Buybacks, &amp; '!E:E,0))</f>
        <v>#N/A</v>
      </c>
      <c r="B1159" s="351" t="s">
        <v>3153</v>
      </c>
      <c r="C1159" s="353"/>
      <c r="D1159" s="355"/>
      <c r="E1159" s="354"/>
      <c r="F1159" s="254"/>
      <c r="G1159" s="353"/>
      <c r="H1159" s="355"/>
      <c r="I1159" s="354"/>
      <c r="J1159" s="254"/>
      <c r="K1159" s="353" t="s">
        <v>3165</v>
      </c>
      <c r="L1159" s="355" t="s">
        <v>3166</v>
      </c>
      <c r="M1159" s="354">
        <v>4333331.0</v>
      </c>
      <c r="N1159" s="254"/>
      <c r="O1159" s="353" t="s">
        <v>3164</v>
      </c>
      <c r="P1159" s="355" t="s">
        <v>1532</v>
      </c>
      <c r="Q1159" s="354">
        <v>8994362.0</v>
      </c>
      <c r="R1159" s="254"/>
      <c r="S1159" s="353" t="s">
        <v>3167</v>
      </c>
      <c r="T1159" s="355" t="s">
        <v>3168</v>
      </c>
      <c r="U1159" s="354">
        <v>2.376074E7</v>
      </c>
      <c r="V1159" s="254"/>
      <c r="W1159" s="353" t="s">
        <v>3167</v>
      </c>
      <c r="X1159" s="355" t="s">
        <v>3169</v>
      </c>
      <c r="Y1159" s="354">
        <v>7367933.0</v>
      </c>
      <c r="Z1159" s="254"/>
      <c r="AA1159" s="353" t="s">
        <v>3167</v>
      </c>
      <c r="AB1159" s="355" t="s">
        <v>3169</v>
      </c>
      <c r="AC1159" s="354">
        <v>6232502.0</v>
      </c>
      <c r="AD1159" s="355"/>
      <c r="AE1159" s="358"/>
      <c r="AF1159" s="358"/>
      <c r="AG1159" s="358"/>
      <c r="AH1159" s="358"/>
      <c r="AI1159" s="358"/>
      <c r="AJ1159" s="352"/>
      <c r="AK1159" s="281"/>
      <c r="AL1159" s="281"/>
      <c r="AM1159" s="281"/>
      <c r="AN1159" s="294"/>
    </row>
    <row r="1160">
      <c r="A1160" s="196" t="str">
        <f t="array" ref="A1160">INDEX('Federal Tax, Stock Buybacks, &amp; '!D:D,match(B1160,'Federal Tax, Stock Buybacks, &amp; '!E:E,0))</f>
        <v>#N/A</v>
      </c>
      <c r="B1160" s="351" t="s">
        <v>3153</v>
      </c>
      <c r="C1160" s="353"/>
      <c r="D1160" s="355"/>
      <c r="E1160" s="354"/>
      <c r="F1160" s="254"/>
      <c r="G1160" s="353"/>
      <c r="H1160" s="355"/>
      <c r="I1160" s="354"/>
      <c r="J1160" s="254"/>
      <c r="K1160" s="353" t="s">
        <v>3170</v>
      </c>
      <c r="L1160" s="355" t="s">
        <v>3171</v>
      </c>
      <c r="M1160" s="354">
        <v>4257165.0</v>
      </c>
      <c r="N1160" s="254"/>
      <c r="O1160" s="353" t="s">
        <v>3165</v>
      </c>
      <c r="P1160" s="355" t="s">
        <v>3172</v>
      </c>
      <c r="Q1160" s="354">
        <v>4640569.0</v>
      </c>
      <c r="R1160" s="254"/>
      <c r="S1160" s="353" t="s">
        <v>3158</v>
      </c>
      <c r="T1160" s="355" t="s">
        <v>3173</v>
      </c>
      <c r="U1160" s="354">
        <v>6278855.0</v>
      </c>
      <c r="V1160" s="254"/>
      <c r="W1160" s="353" t="s">
        <v>3158</v>
      </c>
      <c r="X1160" s="355" t="s">
        <v>1532</v>
      </c>
      <c r="Y1160" s="354">
        <v>6614656.0</v>
      </c>
      <c r="Z1160" s="254"/>
      <c r="AA1160" s="353" t="s">
        <v>3158</v>
      </c>
      <c r="AB1160" s="355" t="s">
        <v>1532</v>
      </c>
      <c r="AC1160" s="354">
        <v>3861211.0</v>
      </c>
      <c r="AD1160" s="355"/>
      <c r="AE1160" s="358"/>
      <c r="AF1160" s="358"/>
      <c r="AG1160" s="358"/>
      <c r="AH1160" s="358"/>
      <c r="AI1160" s="358"/>
      <c r="AJ1160" s="352"/>
      <c r="AK1160" s="281"/>
      <c r="AL1160" s="281"/>
      <c r="AM1160" s="281"/>
      <c r="AN1160" s="294"/>
    </row>
    <row r="1161">
      <c r="A1161" s="196" t="str">
        <f t="array" ref="A1161">INDEX('Federal Tax, Stock Buybacks, &amp; '!D:D,match(B1161,'Federal Tax, Stock Buybacks, &amp; '!E:E,0))</f>
        <v>#N/A</v>
      </c>
      <c r="B1161" s="351" t="s">
        <v>3153</v>
      </c>
      <c r="C1161" s="359"/>
      <c r="D1161" s="219"/>
      <c r="E1161" s="354"/>
      <c r="F1161" s="254"/>
      <c r="G1161" s="359"/>
      <c r="H1161" s="219"/>
      <c r="I1161" s="354"/>
      <c r="J1161" s="254"/>
      <c r="K1161" s="359" t="s">
        <v>711</v>
      </c>
      <c r="L1161" s="219" t="s">
        <v>711</v>
      </c>
      <c r="M1161" s="354" t="s">
        <v>711</v>
      </c>
      <c r="N1161" s="254"/>
      <c r="O1161" s="353" t="s">
        <v>3174</v>
      </c>
      <c r="P1161" s="355" t="s">
        <v>3175</v>
      </c>
      <c r="Q1161" s="354">
        <v>5316996.0</v>
      </c>
      <c r="R1161" s="254"/>
      <c r="S1161" s="353" t="s">
        <v>3156</v>
      </c>
      <c r="T1161" s="430" t="s">
        <v>2381</v>
      </c>
      <c r="U1161" s="354">
        <v>6490238.0</v>
      </c>
      <c r="V1161" s="254"/>
      <c r="W1161" s="359" t="s">
        <v>711</v>
      </c>
      <c r="X1161" s="219" t="s">
        <v>711</v>
      </c>
      <c r="Y1161" s="354" t="s">
        <v>711</v>
      </c>
      <c r="Z1161" s="254"/>
      <c r="AA1161" s="359" t="s">
        <v>711</v>
      </c>
      <c r="AB1161" s="219" t="s">
        <v>711</v>
      </c>
      <c r="AC1161" s="354" t="s">
        <v>711</v>
      </c>
      <c r="AD1161" s="355"/>
      <c r="AE1161" s="358"/>
      <c r="AF1161" s="358"/>
      <c r="AG1161" s="358"/>
      <c r="AH1161" s="358"/>
      <c r="AI1161" s="358"/>
      <c r="AJ1161" s="352"/>
      <c r="AK1161" s="281"/>
      <c r="AL1161" s="281"/>
      <c r="AM1161" s="281"/>
      <c r="AN1161" s="294"/>
    </row>
    <row r="1162">
      <c r="A1162" s="196" t="str">
        <f t="array" ref="A1162">INDEX('Federal Tax, Stock Buybacks, &amp; '!D:D,match(B1162,'Federal Tax, Stock Buybacks, &amp; '!E:E,0))</f>
        <v>#N/A</v>
      </c>
      <c r="B1162" s="351" t="s">
        <v>3153</v>
      </c>
      <c r="C1162" s="359"/>
      <c r="D1162" s="219"/>
      <c r="E1162" s="354"/>
      <c r="F1162" s="254"/>
      <c r="G1162" s="359"/>
      <c r="H1162" s="219"/>
      <c r="I1162" s="354"/>
      <c r="J1162" s="254"/>
      <c r="K1162" s="359" t="s">
        <v>711</v>
      </c>
      <c r="L1162" s="219" t="s">
        <v>711</v>
      </c>
      <c r="M1162" s="354" t="s">
        <v>711</v>
      </c>
      <c r="N1162" s="254"/>
      <c r="O1162" s="353" t="s">
        <v>3170</v>
      </c>
      <c r="P1162" s="355" t="s">
        <v>3171</v>
      </c>
      <c r="Q1162" s="354">
        <v>4284831.0</v>
      </c>
      <c r="R1162" s="254"/>
      <c r="S1162" s="353" t="s">
        <v>3164</v>
      </c>
      <c r="T1162" s="355" t="s">
        <v>1532</v>
      </c>
      <c r="U1162" s="354">
        <v>1.1880441E7</v>
      </c>
      <c r="V1162" s="254"/>
      <c r="W1162" s="359" t="s">
        <v>711</v>
      </c>
      <c r="X1162" s="219" t="s">
        <v>711</v>
      </c>
      <c r="Y1162" s="354" t="s">
        <v>711</v>
      </c>
      <c r="Z1162" s="254"/>
      <c r="AA1162" s="359" t="s">
        <v>711</v>
      </c>
      <c r="AB1162" s="219" t="s">
        <v>711</v>
      </c>
      <c r="AC1162" s="354" t="s">
        <v>711</v>
      </c>
      <c r="AD1162" s="355"/>
      <c r="AE1162" s="358"/>
      <c r="AF1162" s="358"/>
      <c r="AG1162" s="358"/>
      <c r="AH1162" s="358"/>
      <c r="AI1162" s="358"/>
      <c r="AJ1162" s="352"/>
      <c r="AK1162" s="281"/>
      <c r="AL1162" s="281"/>
      <c r="AM1162" s="281"/>
      <c r="AN1162" s="294"/>
    </row>
    <row r="1163">
      <c r="A1163" s="196" t="str">
        <f t="array" ref="A1163">INDEX('Federal Tax, Stock Buybacks, &amp; '!D:D,match(B1163,'Federal Tax, Stock Buybacks, &amp; '!E:E,0))</f>
        <v>#N/A</v>
      </c>
      <c r="B1163" s="351" t="s">
        <v>3153</v>
      </c>
      <c r="C1163" s="359"/>
      <c r="D1163" s="219"/>
      <c r="E1163" s="354"/>
      <c r="F1163" s="254"/>
      <c r="G1163" s="359"/>
      <c r="H1163" s="219"/>
      <c r="I1163" s="354"/>
      <c r="J1163" s="254"/>
      <c r="K1163" s="359" t="s">
        <v>711</v>
      </c>
      <c r="L1163" s="219" t="s">
        <v>711</v>
      </c>
      <c r="M1163" s="354" t="s">
        <v>711</v>
      </c>
      <c r="N1163" s="254"/>
      <c r="O1163" s="353" t="s">
        <v>3155</v>
      </c>
      <c r="P1163" s="355" t="s">
        <v>1606</v>
      </c>
      <c r="Q1163" s="354">
        <v>1.534911E7</v>
      </c>
      <c r="R1163" s="254"/>
      <c r="S1163" s="353" t="s">
        <v>3165</v>
      </c>
      <c r="T1163" s="355" t="s">
        <v>3172</v>
      </c>
      <c r="U1163" s="354">
        <v>6620243.0</v>
      </c>
      <c r="V1163" s="254"/>
      <c r="W1163" s="359" t="s">
        <v>711</v>
      </c>
      <c r="X1163" s="219" t="s">
        <v>711</v>
      </c>
      <c r="Y1163" s="354" t="s">
        <v>711</v>
      </c>
      <c r="Z1163" s="254"/>
      <c r="AA1163" s="359" t="s">
        <v>711</v>
      </c>
      <c r="AB1163" s="219" t="s">
        <v>711</v>
      </c>
      <c r="AC1163" s="354" t="s">
        <v>711</v>
      </c>
      <c r="AD1163" s="355"/>
      <c r="AE1163" s="358"/>
      <c r="AF1163" s="358"/>
      <c r="AG1163" s="358"/>
      <c r="AH1163" s="358"/>
      <c r="AI1163" s="358"/>
      <c r="AJ1163" s="352"/>
      <c r="AK1163" s="281"/>
      <c r="AL1163" s="281"/>
      <c r="AM1163" s="281"/>
      <c r="AN1163" s="294"/>
    </row>
    <row r="1164">
      <c r="A1164" s="169">
        <f t="array" ref="A1164">INDEX('Federal Tax, Stock Buybacks, &amp; '!D:D,match(B1164,'Federal Tax, Stock Buybacks, &amp; '!E:E,0))</f>
        <v>98</v>
      </c>
      <c r="B1164" s="264" t="s">
        <v>3176</v>
      </c>
      <c r="C1164" s="582"/>
      <c r="D1164" s="271"/>
      <c r="E1164" s="324"/>
      <c r="F1164" s="254"/>
      <c r="G1164" s="582"/>
      <c r="H1164" s="271"/>
      <c r="I1164" s="324"/>
      <c r="J1164" s="254"/>
      <c r="K1164" s="582" t="s">
        <v>3177</v>
      </c>
      <c r="L1164" s="271" t="s">
        <v>1588</v>
      </c>
      <c r="M1164" s="324">
        <v>4754113.0</v>
      </c>
      <c r="N1164" s="254"/>
      <c r="O1164" s="582" t="s">
        <v>3177</v>
      </c>
      <c r="P1164" s="271" t="s">
        <v>1588</v>
      </c>
      <c r="Q1164" s="324">
        <v>2.0638924E7</v>
      </c>
      <c r="R1164" s="254"/>
      <c r="S1164" s="582" t="s">
        <v>3177</v>
      </c>
      <c r="T1164" s="271" t="s">
        <v>1588</v>
      </c>
      <c r="U1164" s="324">
        <v>1.4610151E7</v>
      </c>
      <c r="V1164" s="254"/>
      <c r="W1164" s="582" t="s">
        <v>1142</v>
      </c>
      <c r="X1164" s="271" t="s">
        <v>1686</v>
      </c>
      <c r="Y1164" s="324">
        <v>492368.0</v>
      </c>
      <c r="Z1164" s="254"/>
      <c r="AA1164" s="582" t="s">
        <v>3178</v>
      </c>
      <c r="AB1164" s="271" t="s">
        <v>1538</v>
      </c>
      <c r="AC1164" s="324">
        <v>6596659.0</v>
      </c>
      <c r="AD1164" s="271"/>
      <c r="AE1164" s="272">
        <v>2022.0</v>
      </c>
      <c r="AF1164" s="272">
        <v>2021.0</v>
      </c>
      <c r="AG1164" s="272">
        <v>2020.0</v>
      </c>
      <c r="AH1164" s="272">
        <v>2019.0</v>
      </c>
      <c r="AI1164" s="272">
        <v>2018.0</v>
      </c>
      <c r="AJ1164" s="582"/>
      <c r="AK1164" s="281"/>
      <c r="AL1164" s="281"/>
      <c r="AM1164" s="281"/>
      <c r="AN1164" s="294"/>
    </row>
    <row r="1165">
      <c r="A1165" s="169">
        <f t="array" ref="A1165">INDEX('Federal Tax, Stock Buybacks, &amp; '!D:D,match(B1165,'Federal Tax, Stock Buybacks, &amp; '!E:E,0))</f>
        <v>98</v>
      </c>
      <c r="B1165" s="264" t="s">
        <v>3176</v>
      </c>
      <c r="C1165" s="582"/>
      <c r="D1165" s="271"/>
      <c r="E1165" s="324"/>
      <c r="F1165" s="254"/>
      <c r="G1165" s="582"/>
      <c r="H1165" s="271"/>
      <c r="I1165" s="324"/>
      <c r="J1165" s="254"/>
      <c r="K1165" s="582" t="s">
        <v>3179</v>
      </c>
      <c r="L1165" s="271" t="s">
        <v>1529</v>
      </c>
      <c r="M1165" s="324">
        <v>2656833.0</v>
      </c>
      <c r="N1165" s="254"/>
      <c r="O1165" s="582" t="s">
        <v>3179</v>
      </c>
      <c r="P1165" s="271" t="s">
        <v>1529</v>
      </c>
      <c r="Q1165" s="324">
        <v>1.2174512E7</v>
      </c>
      <c r="R1165" s="254"/>
      <c r="S1165" s="582" t="s">
        <v>3179</v>
      </c>
      <c r="T1165" s="271" t="s">
        <v>1529</v>
      </c>
      <c r="U1165" s="324">
        <v>1.2763978E7</v>
      </c>
      <c r="V1165" s="254"/>
      <c r="W1165" s="582" t="s">
        <v>3177</v>
      </c>
      <c r="X1165" s="271" t="s">
        <v>1588</v>
      </c>
      <c r="Y1165" s="324">
        <v>1.3424905E7</v>
      </c>
      <c r="Z1165" s="254"/>
      <c r="AA1165" s="582" t="s">
        <v>1142</v>
      </c>
      <c r="AB1165" s="271" t="s">
        <v>1585</v>
      </c>
      <c r="AC1165" s="324">
        <v>7562206.0</v>
      </c>
      <c r="AD1165" s="271"/>
      <c r="AE1165" s="277"/>
      <c r="AF1165" s="277"/>
      <c r="AG1165" s="277"/>
      <c r="AH1165" s="277"/>
      <c r="AI1165" s="277"/>
      <c r="AJ1165" s="582"/>
      <c r="AK1165" s="281"/>
      <c r="AL1165" s="281"/>
      <c r="AM1165" s="281"/>
      <c r="AN1165" s="294"/>
    </row>
    <row r="1166">
      <c r="A1166" s="169">
        <f t="array" ref="A1166">INDEX('Federal Tax, Stock Buybacks, &amp; '!D:D,match(B1166,'Federal Tax, Stock Buybacks, &amp; '!E:E,0))</f>
        <v>98</v>
      </c>
      <c r="B1166" s="264" t="s">
        <v>3176</v>
      </c>
      <c r="C1166" s="582"/>
      <c r="D1166" s="271"/>
      <c r="E1166" s="324"/>
      <c r="F1166" s="254"/>
      <c r="G1166" s="582"/>
      <c r="H1166" s="271"/>
      <c r="I1166" s="324"/>
      <c r="J1166" s="254"/>
      <c r="K1166" s="582" t="s">
        <v>3180</v>
      </c>
      <c r="L1166" s="271" t="s">
        <v>1532</v>
      </c>
      <c r="M1166" s="324">
        <v>2275770.0</v>
      </c>
      <c r="N1166" s="254"/>
      <c r="O1166" s="582" t="s">
        <v>3181</v>
      </c>
      <c r="P1166" s="271" t="s">
        <v>3182</v>
      </c>
      <c r="Q1166" s="324">
        <v>7380553.0</v>
      </c>
      <c r="R1166" s="254"/>
      <c r="S1166" s="582" t="s">
        <v>3181</v>
      </c>
      <c r="T1166" s="271" t="s">
        <v>1523</v>
      </c>
      <c r="U1166" s="324">
        <v>2.5930689E7</v>
      </c>
      <c r="V1166" s="254"/>
      <c r="W1166" s="582" t="s">
        <v>3179</v>
      </c>
      <c r="X1166" s="271" t="s">
        <v>1529</v>
      </c>
      <c r="Y1166" s="324">
        <v>1.1719689E7</v>
      </c>
      <c r="Z1166" s="254"/>
      <c r="AA1166" s="582" t="s">
        <v>3177</v>
      </c>
      <c r="AB1166" s="271" t="s">
        <v>1588</v>
      </c>
      <c r="AC1166" s="324">
        <v>1.3624899E7</v>
      </c>
      <c r="AD1166" s="271"/>
      <c r="AE1166" s="277"/>
      <c r="AF1166" s="277"/>
      <c r="AG1166" s="277"/>
      <c r="AH1166" s="277"/>
      <c r="AI1166" s="277"/>
      <c r="AJ1166" s="582"/>
      <c r="AK1166" s="281"/>
      <c r="AL1166" s="281"/>
      <c r="AM1166" s="281"/>
      <c r="AN1166" s="294"/>
    </row>
    <row r="1167">
      <c r="A1167" s="169">
        <f t="array" ref="A1167">INDEX('Federal Tax, Stock Buybacks, &amp; '!D:D,match(B1167,'Federal Tax, Stock Buybacks, &amp; '!E:E,0))</f>
        <v>98</v>
      </c>
      <c r="B1167" s="264" t="s">
        <v>3176</v>
      </c>
      <c r="C1167" s="582"/>
      <c r="D1167" s="271"/>
      <c r="E1167" s="324"/>
      <c r="F1167" s="254"/>
      <c r="G1167" s="582"/>
      <c r="H1167" s="271"/>
      <c r="I1167" s="324"/>
      <c r="J1167" s="254"/>
      <c r="K1167" s="582" t="s">
        <v>3183</v>
      </c>
      <c r="L1167" s="271" t="s">
        <v>2281</v>
      </c>
      <c r="M1167" s="324">
        <v>4455754.0</v>
      </c>
      <c r="N1167" s="254"/>
      <c r="O1167" s="582" t="s">
        <v>3184</v>
      </c>
      <c r="P1167" s="271" t="s">
        <v>3185</v>
      </c>
      <c r="Q1167" s="324">
        <v>7645673.0</v>
      </c>
      <c r="R1167" s="254"/>
      <c r="S1167" s="582" t="s">
        <v>3184</v>
      </c>
      <c r="T1167" s="271" t="s">
        <v>3186</v>
      </c>
      <c r="U1167" s="324">
        <v>8126892.0</v>
      </c>
      <c r="V1167" s="254"/>
      <c r="W1167" s="582" t="s">
        <v>3181</v>
      </c>
      <c r="X1167" s="271" t="s">
        <v>1523</v>
      </c>
      <c r="Y1167" s="324">
        <v>2.3065052E7</v>
      </c>
      <c r="Z1167" s="254"/>
      <c r="AA1167" s="582" t="s">
        <v>3179</v>
      </c>
      <c r="AB1167" s="271" t="s">
        <v>1529</v>
      </c>
      <c r="AC1167" s="324">
        <v>9136582.0</v>
      </c>
      <c r="AD1167" s="271"/>
      <c r="AE1167" s="277"/>
      <c r="AF1167" s="277"/>
      <c r="AG1167" s="277"/>
      <c r="AH1167" s="277"/>
      <c r="AI1167" s="277"/>
      <c r="AJ1167" s="582"/>
      <c r="AK1167" s="281"/>
      <c r="AL1167" s="281"/>
      <c r="AM1167" s="281"/>
      <c r="AN1167" s="294"/>
    </row>
    <row r="1168">
      <c r="A1168" s="169">
        <f t="array" ref="A1168">INDEX('Federal Tax, Stock Buybacks, &amp; '!D:D,match(B1168,'Federal Tax, Stock Buybacks, &amp; '!E:E,0))</f>
        <v>98</v>
      </c>
      <c r="B1168" s="264" t="s">
        <v>3176</v>
      </c>
      <c r="C1168" s="582"/>
      <c r="D1168" s="271"/>
      <c r="E1168" s="324"/>
      <c r="F1168" s="254"/>
      <c r="G1168" s="582"/>
      <c r="H1168" s="271"/>
      <c r="I1168" s="324"/>
      <c r="J1168" s="254"/>
      <c r="K1168" s="582" t="s">
        <v>3187</v>
      </c>
      <c r="L1168" s="271" t="s">
        <v>1790</v>
      </c>
      <c r="M1168" s="324">
        <v>8359736.0</v>
      </c>
      <c r="N1168" s="254"/>
      <c r="O1168" s="582" t="s">
        <v>3180</v>
      </c>
      <c r="P1168" s="271" t="s">
        <v>1532</v>
      </c>
      <c r="Q1168" s="324">
        <v>7022466.0</v>
      </c>
      <c r="R1168" s="254"/>
      <c r="S1168" s="582" t="s">
        <v>3180</v>
      </c>
      <c r="T1168" s="271" t="s">
        <v>1532</v>
      </c>
      <c r="U1168" s="324">
        <v>8028156.0</v>
      </c>
      <c r="V1168" s="254"/>
      <c r="W1168" s="582" t="s">
        <v>3184</v>
      </c>
      <c r="X1168" s="271" t="s">
        <v>3186</v>
      </c>
      <c r="Y1168" s="324">
        <v>7214162.0</v>
      </c>
      <c r="Z1168" s="254"/>
      <c r="AA1168" s="582" t="s">
        <v>3181</v>
      </c>
      <c r="AB1168" s="271" t="s">
        <v>1523</v>
      </c>
      <c r="AC1168" s="324">
        <v>1.9975472E7</v>
      </c>
      <c r="AD1168" s="271"/>
      <c r="AE1168" s="277"/>
      <c r="AF1168" s="277"/>
      <c r="AG1168" s="277"/>
      <c r="AH1168" s="277"/>
      <c r="AI1168" s="277"/>
      <c r="AJ1168" s="582"/>
      <c r="AK1168" s="281"/>
      <c r="AL1168" s="281"/>
      <c r="AM1168" s="281"/>
      <c r="AN1168" s="294"/>
    </row>
    <row r="1169">
      <c r="A1169" s="169">
        <f t="array" ref="A1169">INDEX('Federal Tax, Stock Buybacks, &amp; '!D:D,match(B1169,'Federal Tax, Stock Buybacks, &amp; '!E:E,0))</f>
        <v>98</v>
      </c>
      <c r="B1169" s="264" t="s">
        <v>3176</v>
      </c>
      <c r="C1169" s="326"/>
      <c r="D1169" s="329"/>
      <c r="E1169" s="324"/>
      <c r="F1169" s="254"/>
      <c r="G1169" s="326"/>
      <c r="H1169" s="329"/>
      <c r="I1169" s="324"/>
      <c r="J1169" s="254"/>
      <c r="K1169" s="326" t="s">
        <v>711</v>
      </c>
      <c r="L1169" s="329" t="s">
        <v>711</v>
      </c>
      <c r="M1169" s="324" t="s">
        <v>711</v>
      </c>
      <c r="N1169" s="254"/>
      <c r="O1169" s="582" t="s">
        <v>3188</v>
      </c>
      <c r="P1169" s="271" t="s">
        <v>2383</v>
      </c>
      <c r="Q1169" s="324">
        <v>5702207.0</v>
      </c>
      <c r="R1169" s="254"/>
      <c r="S1169" s="326" t="s">
        <v>711</v>
      </c>
      <c r="T1169" s="329" t="s">
        <v>711</v>
      </c>
      <c r="U1169" s="324" t="s">
        <v>711</v>
      </c>
      <c r="V1169" s="254"/>
      <c r="W1169" s="582" t="s">
        <v>3189</v>
      </c>
      <c r="X1169" s="271" t="s">
        <v>3190</v>
      </c>
      <c r="Y1169" s="324">
        <v>2724437.0</v>
      </c>
      <c r="Z1169" s="254"/>
      <c r="AA1169" s="326" t="s">
        <v>711</v>
      </c>
      <c r="AB1169" s="329" t="s">
        <v>711</v>
      </c>
      <c r="AC1169" s="324" t="s">
        <v>711</v>
      </c>
      <c r="AD1169" s="271"/>
      <c r="AE1169" s="277"/>
      <c r="AF1169" s="277"/>
      <c r="AG1169" s="277"/>
      <c r="AH1169" s="277"/>
      <c r="AI1169" s="277"/>
      <c r="AJ1169" s="582"/>
      <c r="AK1169" s="281"/>
      <c r="AL1169" s="281"/>
      <c r="AM1169" s="281"/>
      <c r="AN1169" s="294"/>
    </row>
    <row r="1170">
      <c r="A1170" s="169">
        <f t="array" ref="A1170">INDEX('Federal Tax, Stock Buybacks, &amp; '!D:D,match(B1170,'Federal Tax, Stock Buybacks, &amp; '!E:E,0))</f>
        <v>98</v>
      </c>
      <c r="B1170" s="264" t="s">
        <v>3176</v>
      </c>
      <c r="C1170" s="326"/>
      <c r="D1170" s="329"/>
      <c r="E1170" s="324"/>
      <c r="F1170" s="254"/>
      <c r="G1170" s="326"/>
      <c r="H1170" s="329"/>
      <c r="I1170" s="324"/>
      <c r="J1170" s="254"/>
      <c r="K1170" s="326" t="s">
        <v>711</v>
      </c>
      <c r="L1170" s="329" t="s">
        <v>711</v>
      </c>
      <c r="M1170" s="324" t="s">
        <v>711</v>
      </c>
      <c r="N1170" s="254"/>
      <c r="O1170" s="326" t="s">
        <v>711</v>
      </c>
      <c r="P1170" s="329" t="s">
        <v>711</v>
      </c>
      <c r="Q1170" s="324" t="s">
        <v>711</v>
      </c>
      <c r="R1170" s="254"/>
      <c r="S1170" s="326" t="s">
        <v>711</v>
      </c>
      <c r="T1170" s="329" t="s">
        <v>711</v>
      </c>
      <c r="U1170" s="324" t="s">
        <v>711</v>
      </c>
      <c r="V1170" s="254"/>
      <c r="W1170" s="582" t="s">
        <v>3180</v>
      </c>
      <c r="X1170" s="583" t="s">
        <v>1585</v>
      </c>
      <c r="Y1170" s="324">
        <v>4962419.0</v>
      </c>
      <c r="Z1170" s="254"/>
      <c r="AA1170" s="326" t="s">
        <v>711</v>
      </c>
      <c r="AB1170" s="329" t="s">
        <v>711</v>
      </c>
      <c r="AC1170" s="324" t="s">
        <v>711</v>
      </c>
      <c r="AD1170" s="271"/>
      <c r="AE1170" s="277"/>
      <c r="AF1170" s="277"/>
      <c r="AG1170" s="277"/>
      <c r="AH1170" s="277"/>
      <c r="AI1170" s="277"/>
      <c r="AJ1170" s="582"/>
      <c r="AK1170" s="281"/>
      <c r="AL1170" s="281"/>
      <c r="AM1170" s="281"/>
      <c r="AN1170" s="294"/>
    </row>
    <row r="1171">
      <c r="A1171" s="169">
        <f t="array" ref="A1171">INDEX('Federal Tax, Stock Buybacks, &amp; '!D:D,match(B1171,'Federal Tax, Stock Buybacks, &amp; '!E:E,0))</f>
        <v>246</v>
      </c>
      <c r="B1171" s="582" t="s">
        <v>3191</v>
      </c>
      <c r="C1171" s="611"/>
      <c r="D1171" s="612"/>
      <c r="E1171" s="613"/>
      <c r="F1171" s="254"/>
      <c r="G1171" s="611"/>
      <c r="H1171" s="612"/>
      <c r="I1171" s="613"/>
      <c r="J1171" s="254"/>
      <c r="K1171" s="611" t="s">
        <v>3192</v>
      </c>
      <c r="L1171" s="612" t="s">
        <v>2343</v>
      </c>
      <c r="M1171" s="613">
        <v>8938717.0</v>
      </c>
      <c r="N1171" s="254"/>
      <c r="O1171" s="612" t="s">
        <v>3192</v>
      </c>
      <c r="P1171" s="612" t="s">
        <v>1605</v>
      </c>
      <c r="Q1171" s="324">
        <v>1.5707755E7</v>
      </c>
      <c r="R1171" s="254"/>
      <c r="S1171" s="271" t="s">
        <v>3192</v>
      </c>
      <c r="T1171" s="271" t="s">
        <v>1684</v>
      </c>
      <c r="U1171" s="324">
        <v>1.5452653E7</v>
      </c>
      <c r="V1171" s="254"/>
      <c r="W1171" s="271" t="s">
        <v>3193</v>
      </c>
      <c r="X1171" s="271" t="s">
        <v>3194</v>
      </c>
      <c r="Y1171" s="324">
        <v>2531721.0</v>
      </c>
      <c r="Z1171" s="254"/>
      <c r="AA1171" s="271" t="s">
        <v>3193</v>
      </c>
      <c r="AB1171" s="271" t="s">
        <v>3195</v>
      </c>
      <c r="AC1171" s="324">
        <v>2356513.0</v>
      </c>
      <c r="AD1171" s="271"/>
      <c r="AE1171" s="272">
        <v>2022.0</v>
      </c>
      <c r="AF1171" s="272">
        <v>2021.0</v>
      </c>
      <c r="AG1171" s="272">
        <v>2020.0</v>
      </c>
      <c r="AH1171" s="272">
        <v>2019.0</v>
      </c>
      <c r="AI1171" s="272">
        <v>2018.0</v>
      </c>
      <c r="AJ1171" s="271"/>
      <c r="AK1171" s="582"/>
      <c r="AL1171" s="281"/>
      <c r="AM1171" s="281"/>
      <c r="AN1171" s="294"/>
    </row>
    <row r="1172">
      <c r="A1172" s="169">
        <f t="array" ref="A1172">INDEX('Federal Tax, Stock Buybacks, &amp; '!D:D,match(B1172,'Federal Tax, Stock Buybacks, &amp; '!E:E,0))</f>
        <v>246</v>
      </c>
      <c r="B1172" s="582" t="s">
        <v>3191</v>
      </c>
      <c r="C1172" s="582"/>
      <c r="D1172" s="612"/>
      <c r="E1172" s="613"/>
      <c r="F1172" s="254"/>
      <c r="G1172" s="582"/>
      <c r="H1172" s="612"/>
      <c r="I1172" s="613"/>
      <c r="J1172" s="254"/>
      <c r="K1172" s="582" t="s">
        <v>3196</v>
      </c>
      <c r="L1172" s="612" t="s">
        <v>3197</v>
      </c>
      <c r="M1172" s="613">
        <v>1.6714229E7</v>
      </c>
      <c r="N1172" s="254"/>
      <c r="O1172" s="612" t="s">
        <v>3196</v>
      </c>
      <c r="P1172" s="612" t="s">
        <v>3198</v>
      </c>
      <c r="Q1172" s="324">
        <v>1.5697749E7</v>
      </c>
      <c r="R1172" s="254"/>
      <c r="S1172" s="271" t="s">
        <v>3196</v>
      </c>
      <c r="T1172" s="271" t="s">
        <v>3199</v>
      </c>
      <c r="U1172" s="324">
        <v>1.7648096E7</v>
      </c>
      <c r="V1172" s="254"/>
      <c r="W1172" s="271" t="s">
        <v>3192</v>
      </c>
      <c r="X1172" s="271" t="s">
        <v>1674</v>
      </c>
      <c r="Y1172" s="324">
        <v>1.6442745E7</v>
      </c>
      <c r="Z1172" s="254"/>
      <c r="AA1172" s="271" t="s">
        <v>3192</v>
      </c>
      <c r="AB1172" s="271" t="s">
        <v>1815</v>
      </c>
      <c r="AC1172" s="324">
        <v>1.4016113E7</v>
      </c>
      <c r="AD1172" s="271"/>
      <c r="AE1172" s="277"/>
      <c r="AF1172" s="271"/>
      <c r="AG1172" s="271"/>
      <c r="AH1172" s="271"/>
      <c r="AI1172" s="271"/>
      <c r="AJ1172" s="271"/>
      <c r="AK1172" s="582"/>
      <c r="AL1172" s="281"/>
      <c r="AM1172" s="281"/>
      <c r="AN1172" s="294"/>
    </row>
    <row r="1173">
      <c r="A1173" s="169">
        <f t="array" ref="A1173">INDEX('Federal Tax, Stock Buybacks, &amp; '!D:D,match(B1173,'Federal Tax, Stock Buybacks, &amp; '!E:E,0))</f>
        <v>246</v>
      </c>
      <c r="B1173" s="582" t="s">
        <v>3191</v>
      </c>
      <c r="C1173" s="611"/>
      <c r="D1173" s="612"/>
      <c r="E1173" s="613"/>
      <c r="F1173" s="254"/>
      <c r="G1173" s="611"/>
      <c r="H1173" s="612"/>
      <c r="I1173" s="613"/>
      <c r="J1173" s="254"/>
      <c r="K1173" s="611" t="s">
        <v>3200</v>
      </c>
      <c r="L1173" s="612" t="s">
        <v>2353</v>
      </c>
      <c r="M1173" s="613">
        <v>53977.0</v>
      </c>
      <c r="N1173" s="254"/>
      <c r="O1173" s="612" t="s">
        <v>3201</v>
      </c>
      <c r="P1173" s="612" t="s">
        <v>3202</v>
      </c>
      <c r="Q1173" s="324">
        <v>3334729.0</v>
      </c>
      <c r="R1173" s="254"/>
      <c r="S1173" s="271" t="s">
        <v>3201</v>
      </c>
      <c r="T1173" s="271" t="s">
        <v>3203</v>
      </c>
      <c r="U1173" s="324">
        <v>3957793.0</v>
      </c>
      <c r="V1173" s="254"/>
      <c r="W1173" s="271" t="s">
        <v>3204</v>
      </c>
      <c r="X1173" s="271" t="s">
        <v>3205</v>
      </c>
      <c r="Y1173" s="324">
        <v>2551891.0</v>
      </c>
      <c r="Z1173" s="254"/>
      <c r="AA1173" s="271" t="s">
        <v>3206</v>
      </c>
      <c r="AB1173" s="271" t="s">
        <v>3207</v>
      </c>
      <c r="AC1173" s="324">
        <v>2356512.0</v>
      </c>
      <c r="AD1173" s="271"/>
      <c r="AE1173" s="277"/>
      <c r="AF1173" s="271"/>
      <c r="AG1173" s="271"/>
      <c r="AH1173" s="271"/>
      <c r="AI1173" s="271"/>
      <c r="AJ1173" s="271"/>
      <c r="AK1173" s="582"/>
      <c r="AL1173" s="281"/>
      <c r="AM1173" s="281"/>
      <c r="AN1173" s="294"/>
    </row>
    <row r="1174">
      <c r="A1174" s="169">
        <f t="array" ref="A1174">INDEX('Federal Tax, Stock Buybacks, &amp; '!D:D,match(B1174,'Federal Tax, Stock Buybacks, &amp; '!E:E,0))</f>
        <v>246</v>
      </c>
      <c r="B1174" s="582" t="s">
        <v>3191</v>
      </c>
      <c r="C1174" s="582"/>
      <c r="D1174" s="612"/>
      <c r="E1174" s="613"/>
      <c r="F1174" s="254"/>
      <c r="G1174" s="582"/>
      <c r="H1174" s="612"/>
      <c r="I1174" s="613"/>
      <c r="J1174" s="254"/>
      <c r="K1174" s="582" t="s">
        <v>3208</v>
      </c>
      <c r="L1174" s="612" t="s">
        <v>3209</v>
      </c>
      <c r="M1174" s="613">
        <v>3658393.0</v>
      </c>
      <c r="N1174" s="254"/>
      <c r="O1174" s="612" t="s">
        <v>3200</v>
      </c>
      <c r="P1174" s="271" t="s">
        <v>2353</v>
      </c>
      <c r="Q1174" s="324">
        <v>3274205.0</v>
      </c>
      <c r="R1174" s="254"/>
      <c r="S1174" s="271" t="s">
        <v>3200</v>
      </c>
      <c r="T1174" s="271" t="s">
        <v>1647</v>
      </c>
      <c r="U1174" s="324">
        <v>3720317.0</v>
      </c>
      <c r="V1174" s="254"/>
      <c r="W1174" s="271" t="s">
        <v>3210</v>
      </c>
      <c r="X1174" s="271" t="s">
        <v>1989</v>
      </c>
      <c r="Y1174" s="324">
        <v>2676359.0</v>
      </c>
      <c r="Z1174" s="254"/>
      <c r="AA1174" s="271" t="s">
        <v>3210</v>
      </c>
      <c r="AB1174" s="604" t="s">
        <v>1989</v>
      </c>
      <c r="AC1174" s="324">
        <v>2297799.0</v>
      </c>
      <c r="AD1174" s="271"/>
      <c r="AE1174" s="277"/>
      <c r="AF1174" s="271"/>
      <c r="AG1174" s="271"/>
      <c r="AH1174" s="271"/>
      <c r="AI1174" s="271"/>
      <c r="AJ1174" s="271"/>
      <c r="AK1174" s="582"/>
      <c r="AL1174" s="281"/>
      <c r="AM1174" s="281"/>
      <c r="AN1174" s="294"/>
    </row>
    <row r="1175">
      <c r="A1175" s="169">
        <f t="array" ref="A1175">INDEX('Federal Tax, Stock Buybacks, &amp; '!D:D,match(B1175,'Federal Tax, Stock Buybacks, &amp; '!E:E,0))</f>
        <v>246</v>
      </c>
      <c r="B1175" s="582" t="s">
        <v>3191</v>
      </c>
      <c r="C1175" s="611"/>
      <c r="D1175" s="612"/>
      <c r="E1175" s="613"/>
      <c r="F1175" s="254"/>
      <c r="G1175" s="611"/>
      <c r="H1175" s="612"/>
      <c r="I1175" s="613"/>
      <c r="J1175" s="254"/>
      <c r="K1175" s="611" t="s">
        <v>3211</v>
      </c>
      <c r="L1175" s="612" t="s">
        <v>3212</v>
      </c>
      <c r="M1175" s="613">
        <v>3961275.0</v>
      </c>
      <c r="N1175" s="254"/>
      <c r="O1175" s="614" t="s">
        <v>3208</v>
      </c>
      <c r="P1175" s="604" t="s">
        <v>3213</v>
      </c>
      <c r="Q1175" s="324">
        <v>3116414.0</v>
      </c>
      <c r="R1175" s="254"/>
      <c r="S1175" s="271" t="s">
        <v>3208</v>
      </c>
      <c r="T1175" s="271" t="s">
        <v>3213</v>
      </c>
      <c r="U1175" s="324">
        <v>3106145.0</v>
      </c>
      <c r="V1175" s="254"/>
      <c r="W1175" s="271" t="s">
        <v>3214</v>
      </c>
      <c r="X1175" s="271" t="s">
        <v>1647</v>
      </c>
      <c r="Y1175" s="324">
        <v>3158516.0</v>
      </c>
      <c r="Z1175" s="254"/>
      <c r="AA1175" s="582" t="s">
        <v>3214</v>
      </c>
      <c r="AB1175" s="271" t="s">
        <v>1647</v>
      </c>
      <c r="AC1175" s="324">
        <v>2564379.0</v>
      </c>
      <c r="AD1175" s="271"/>
      <c r="AE1175" s="277"/>
      <c r="AF1175" s="271"/>
      <c r="AG1175" s="271"/>
      <c r="AH1175" s="271"/>
      <c r="AI1175" s="271"/>
      <c r="AJ1175" s="271"/>
      <c r="AK1175" s="582"/>
      <c r="AL1175" s="281"/>
      <c r="AM1175" s="281"/>
      <c r="AN1175" s="294"/>
    </row>
    <row r="1176">
      <c r="A1176" s="169">
        <f t="array" ref="A1176">INDEX('Federal Tax, Stock Buybacks, &amp; '!D:D,match(B1176,'Federal Tax, Stock Buybacks, &amp; '!E:E,0))</f>
        <v>246</v>
      </c>
      <c r="B1176" s="582" t="s">
        <v>3191</v>
      </c>
      <c r="C1176" s="611"/>
      <c r="D1176" s="271"/>
      <c r="E1176" s="324"/>
      <c r="F1176" s="254"/>
      <c r="G1176" s="611"/>
      <c r="H1176" s="271"/>
      <c r="I1176" s="324"/>
      <c r="J1176" s="254"/>
      <c r="K1176" s="611" t="s">
        <v>3215</v>
      </c>
      <c r="L1176" s="271" t="s">
        <v>1532</v>
      </c>
      <c r="M1176" s="324">
        <v>7913071.0</v>
      </c>
      <c r="N1176" s="254"/>
      <c r="O1176" s="582" t="s">
        <v>3211</v>
      </c>
      <c r="P1176" s="271" t="s">
        <v>3216</v>
      </c>
      <c r="Q1176" s="324">
        <v>3203429.0</v>
      </c>
      <c r="R1176" s="254"/>
      <c r="S1176" s="326" t="s">
        <v>711</v>
      </c>
      <c r="T1176" s="329" t="s">
        <v>711</v>
      </c>
      <c r="U1176" s="324" t="s">
        <v>711</v>
      </c>
      <c r="V1176" s="254"/>
      <c r="W1176" s="582" t="s">
        <v>3196</v>
      </c>
      <c r="X1176" s="271" t="s">
        <v>3217</v>
      </c>
      <c r="Y1176" s="324">
        <v>1.5872278E7</v>
      </c>
      <c r="Z1176" s="254"/>
      <c r="AA1176" s="326" t="s">
        <v>711</v>
      </c>
      <c r="AB1176" s="329" t="s">
        <v>711</v>
      </c>
      <c r="AC1176" s="324" t="s">
        <v>711</v>
      </c>
      <c r="AD1176" s="271"/>
      <c r="AE1176" s="277"/>
      <c r="AF1176" s="277"/>
      <c r="AG1176" s="277"/>
      <c r="AH1176" s="277"/>
      <c r="AI1176" s="277"/>
      <c r="AJ1176" s="582"/>
      <c r="AK1176" s="615"/>
      <c r="AL1176" s="281"/>
      <c r="AM1176" s="281"/>
      <c r="AN1176" s="294"/>
    </row>
    <row r="1177">
      <c r="A1177" s="169">
        <f t="array" ref="A1177">INDEX('Federal Tax, Stock Buybacks, &amp; '!D:D,match(B1177,'Federal Tax, Stock Buybacks, &amp; '!E:E,0))</f>
        <v>246</v>
      </c>
      <c r="B1177" s="582" t="s">
        <v>3191</v>
      </c>
      <c r="C1177" s="616"/>
      <c r="D1177" s="271"/>
      <c r="E1177" s="324"/>
      <c r="F1177" s="254"/>
      <c r="G1177" s="616"/>
      <c r="H1177" s="271"/>
      <c r="I1177" s="324"/>
      <c r="J1177" s="254"/>
      <c r="K1177" s="616" t="s">
        <v>3218</v>
      </c>
      <c r="L1177" s="271" t="s">
        <v>3216</v>
      </c>
      <c r="M1177" s="324">
        <v>5523287.0</v>
      </c>
      <c r="N1177" s="254"/>
      <c r="O1177" s="326" t="s">
        <v>711</v>
      </c>
      <c r="P1177" s="329" t="s">
        <v>711</v>
      </c>
      <c r="Q1177" s="324" t="s">
        <v>711</v>
      </c>
      <c r="R1177" s="254"/>
      <c r="S1177" s="326" t="s">
        <v>711</v>
      </c>
      <c r="T1177" s="329" t="s">
        <v>711</v>
      </c>
      <c r="U1177" s="324" t="s">
        <v>711</v>
      </c>
      <c r="V1177" s="254"/>
      <c r="W1177" s="582" t="s">
        <v>3201</v>
      </c>
      <c r="X1177" s="604" t="s">
        <v>3203</v>
      </c>
      <c r="Y1177" s="324">
        <v>5523161.0</v>
      </c>
      <c r="Z1177" s="254"/>
      <c r="AA1177" s="326" t="s">
        <v>711</v>
      </c>
      <c r="AB1177" s="329" t="s">
        <v>711</v>
      </c>
      <c r="AC1177" s="324" t="s">
        <v>711</v>
      </c>
      <c r="AD1177" s="271"/>
      <c r="AE1177" s="277"/>
      <c r="AF1177" s="582"/>
      <c r="AG1177" s="582"/>
      <c r="AH1177" s="582"/>
      <c r="AI1177" s="582"/>
      <c r="AJ1177" s="582"/>
      <c r="AK1177" s="615"/>
      <c r="AL1177" s="281"/>
      <c r="AM1177" s="281"/>
      <c r="AN1177" s="294"/>
    </row>
    <row r="1178">
      <c r="A1178" s="169">
        <f t="array" ref="A1178">INDEX('Federal Tax, Stock Buybacks, &amp; '!D:D,match(B1178,'Federal Tax, Stock Buybacks, &amp; '!E:E,0))</f>
        <v>246</v>
      </c>
      <c r="B1178" s="582" t="s">
        <v>3191</v>
      </c>
      <c r="C1178" s="326"/>
      <c r="D1178" s="329"/>
      <c r="E1178" s="324"/>
      <c r="F1178" s="254"/>
      <c r="G1178" s="326"/>
      <c r="H1178" s="329"/>
      <c r="I1178" s="324"/>
      <c r="J1178" s="254"/>
      <c r="K1178" s="326" t="s">
        <v>711</v>
      </c>
      <c r="L1178" s="329" t="s">
        <v>711</v>
      </c>
      <c r="M1178" s="324" t="s">
        <v>711</v>
      </c>
      <c r="N1178" s="254"/>
      <c r="O1178" s="326" t="s">
        <v>711</v>
      </c>
      <c r="P1178" s="329" t="s">
        <v>711</v>
      </c>
      <c r="Q1178" s="324" t="s">
        <v>711</v>
      </c>
      <c r="R1178" s="254"/>
      <c r="S1178" s="326" t="s">
        <v>711</v>
      </c>
      <c r="T1178" s="329" t="s">
        <v>711</v>
      </c>
      <c r="U1178" s="324" t="s">
        <v>711</v>
      </c>
      <c r="V1178" s="254"/>
      <c r="W1178" s="582" t="s">
        <v>3200</v>
      </c>
      <c r="X1178" s="271" t="s">
        <v>1647</v>
      </c>
      <c r="Y1178" s="324">
        <v>4282166.0</v>
      </c>
      <c r="Z1178" s="254"/>
      <c r="AA1178" s="326" t="s">
        <v>711</v>
      </c>
      <c r="AB1178" s="329" t="s">
        <v>711</v>
      </c>
      <c r="AC1178" s="324" t="s">
        <v>711</v>
      </c>
      <c r="AD1178" s="271"/>
      <c r="AE1178" s="277"/>
      <c r="AF1178" s="582"/>
      <c r="AG1178" s="582"/>
      <c r="AH1178" s="582"/>
      <c r="AI1178" s="582"/>
      <c r="AJ1178" s="582"/>
      <c r="AK1178" s="615"/>
      <c r="AL1178" s="281"/>
      <c r="AM1178" s="281"/>
      <c r="AN1178" s="294"/>
    </row>
    <row r="1179">
      <c r="A1179" s="169">
        <f t="array" ref="A1179">INDEX('Federal Tax, Stock Buybacks, &amp; '!D:D,match(B1179,'Federal Tax, Stock Buybacks, &amp; '!E:E,0))</f>
        <v>246</v>
      </c>
      <c r="B1179" s="582" t="s">
        <v>3191</v>
      </c>
      <c r="C1179" s="326"/>
      <c r="D1179" s="329"/>
      <c r="E1179" s="324"/>
      <c r="F1179" s="254"/>
      <c r="G1179" s="326"/>
      <c r="H1179" s="329"/>
      <c r="I1179" s="324"/>
      <c r="J1179" s="254"/>
      <c r="K1179" s="326" t="s">
        <v>711</v>
      </c>
      <c r="L1179" s="329" t="s">
        <v>711</v>
      </c>
      <c r="M1179" s="324" t="s">
        <v>711</v>
      </c>
      <c r="N1179" s="254"/>
      <c r="O1179" s="326" t="s">
        <v>711</v>
      </c>
      <c r="P1179" s="329" t="s">
        <v>711</v>
      </c>
      <c r="Q1179" s="324" t="s">
        <v>711</v>
      </c>
      <c r="R1179" s="254"/>
      <c r="S1179" s="326" t="s">
        <v>711</v>
      </c>
      <c r="T1179" s="329" t="s">
        <v>711</v>
      </c>
      <c r="U1179" s="324" t="s">
        <v>711</v>
      </c>
      <c r="V1179" s="254"/>
      <c r="W1179" s="582" t="s">
        <v>3208</v>
      </c>
      <c r="X1179" s="271" t="s">
        <v>3213</v>
      </c>
      <c r="Y1179" s="324">
        <v>4754663.0</v>
      </c>
      <c r="Z1179" s="254"/>
      <c r="AA1179" s="326" t="s">
        <v>711</v>
      </c>
      <c r="AB1179" s="329" t="s">
        <v>711</v>
      </c>
      <c r="AC1179" s="324" t="s">
        <v>711</v>
      </c>
      <c r="AD1179" s="271"/>
      <c r="AE1179" s="277"/>
      <c r="AF1179" s="582"/>
      <c r="AG1179" s="582"/>
      <c r="AH1179" s="582"/>
      <c r="AI1179" s="582"/>
      <c r="AJ1179" s="582"/>
      <c r="AK1179" s="615"/>
      <c r="AL1179" s="281"/>
      <c r="AM1179" s="281"/>
      <c r="AN1179" s="294"/>
    </row>
    <row r="1180">
      <c r="A1180" s="196" t="str">
        <f t="array" ref="A1180">INDEX('Federal Tax, Stock Buybacks, &amp; '!D:D,match(B1180,'Federal Tax, Stock Buybacks, &amp; '!E:E,0))</f>
        <v>#N/A</v>
      </c>
      <c r="B1180" s="351" t="s">
        <v>3219</v>
      </c>
      <c r="C1180" s="355"/>
      <c r="D1180" s="605"/>
      <c r="E1180" s="354"/>
      <c r="F1180" s="254"/>
      <c r="G1180" s="355"/>
      <c r="H1180" s="605"/>
      <c r="I1180" s="354"/>
      <c r="J1180" s="254"/>
      <c r="K1180" s="355" t="s">
        <v>3220</v>
      </c>
      <c r="L1180" s="605" t="s">
        <v>1674</v>
      </c>
      <c r="M1180" s="354">
        <v>1.3548892E7</v>
      </c>
      <c r="N1180" s="254"/>
      <c r="O1180" s="355" t="s">
        <v>3220</v>
      </c>
      <c r="P1180" s="355" t="s">
        <v>1523</v>
      </c>
      <c r="Q1180" s="354">
        <v>1.2876007E7</v>
      </c>
      <c r="R1180" s="254"/>
      <c r="S1180" s="355" t="s">
        <v>3220</v>
      </c>
      <c r="T1180" s="355" t="s">
        <v>1523</v>
      </c>
      <c r="U1180" s="354">
        <v>1.2319624E7</v>
      </c>
      <c r="V1180" s="254"/>
      <c r="W1180" s="355" t="s">
        <v>3220</v>
      </c>
      <c r="X1180" s="355" t="s">
        <v>1523</v>
      </c>
      <c r="Y1180" s="354">
        <v>1.0671271E7</v>
      </c>
      <c r="Z1180" s="254"/>
      <c r="AA1180" s="355" t="s">
        <v>3220</v>
      </c>
      <c r="AB1180" s="355" t="s">
        <v>1523</v>
      </c>
      <c r="AC1180" s="354">
        <v>9834974.0</v>
      </c>
      <c r="AD1180" s="355"/>
      <c r="AE1180" s="356">
        <v>2022.0</v>
      </c>
      <c r="AF1180" s="356">
        <v>2021.0</v>
      </c>
      <c r="AG1180" s="356">
        <v>2020.0</v>
      </c>
      <c r="AH1180" s="356">
        <v>2019.0</v>
      </c>
      <c r="AI1180" s="356">
        <v>2018.0</v>
      </c>
      <c r="AJ1180" s="352"/>
      <c r="AK1180" s="383"/>
      <c r="AL1180" s="281"/>
      <c r="AM1180" s="281"/>
      <c r="AN1180" s="294"/>
    </row>
    <row r="1181">
      <c r="A1181" s="196" t="str">
        <f t="array" ref="A1181">INDEX('Federal Tax, Stock Buybacks, &amp; '!D:D,match(B1181,'Federal Tax, Stock Buybacks, &amp; '!E:E,0))</f>
        <v>#N/A</v>
      </c>
      <c r="B1181" s="351" t="s">
        <v>3219</v>
      </c>
      <c r="C1181" s="355"/>
      <c r="D1181" s="355"/>
      <c r="E1181" s="354"/>
      <c r="F1181" s="254"/>
      <c r="G1181" s="355"/>
      <c r="H1181" s="355"/>
      <c r="I1181" s="354"/>
      <c r="J1181" s="254"/>
      <c r="K1181" s="355" t="s">
        <v>3221</v>
      </c>
      <c r="L1181" s="355" t="s">
        <v>1884</v>
      </c>
      <c r="M1181" s="354">
        <v>2518702.0</v>
      </c>
      <c r="N1181" s="254"/>
      <c r="O1181" s="355" t="s">
        <v>3222</v>
      </c>
      <c r="P1181" s="355" t="s">
        <v>3223</v>
      </c>
      <c r="Q1181" s="354">
        <v>867688.0</v>
      </c>
      <c r="R1181" s="254"/>
      <c r="S1181" s="355" t="s">
        <v>3222</v>
      </c>
      <c r="T1181" s="605" t="s">
        <v>1881</v>
      </c>
      <c r="U1181" s="354">
        <v>3390029.0</v>
      </c>
      <c r="V1181" s="254"/>
      <c r="W1181" s="355" t="s">
        <v>3222</v>
      </c>
      <c r="X1181" s="605" t="s">
        <v>1881</v>
      </c>
      <c r="Y1181" s="354">
        <v>3110824.0</v>
      </c>
      <c r="Z1181" s="254"/>
      <c r="AA1181" s="355" t="s">
        <v>3224</v>
      </c>
      <c r="AB1181" s="605" t="s">
        <v>3225</v>
      </c>
      <c r="AC1181" s="354">
        <v>2071924.0</v>
      </c>
      <c r="AD1181" s="355"/>
      <c r="AE1181" s="358"/>
      <c r="AF1181" s="352"/>
      <c r="AG1181" s="352"/>
      <c r="AH1181" s="352"/>
      <c r="AI1181" s="352"/>
      <c r="AJ1181" s="352"/>
      <c r="AK1181" s="383"/>
      <c r="AL1181" s="281"/>
      <c r="AM1181" s="281"/>
      <c r="AN1181" s="294"/>
    </row>
    <row r="1182">
      <c r="A1182" s="196" t="str">
        <f t="array" ref="A1182">INDEX('Federal Tax, Stock Buybacks, &amp; '!D:D,match(B1182,'Federal Tax, Stock Buybacks, &amp; '!E:E,0))</f>
        <v>#N/A</v>
      </c>
      <c r="B1182" s="351" t="s">
        <v>3219</v>
      </c>
      <c r="C1182" s="355"/>
      <c r="D1182" s="355"/>
      <c r="E1182" s="354"/>
      <c r="F1182" s="254"/>
      <c r="G1182" s="355"/>
      <c r="H1182" s="355"/>
      <c r="I1182" s="354"/>
      <c r="J1182" s="254"/>
      <c r="K1182" s="355" t="s">
        <v>3226</v>
      </c>
      <c r="L1182" s="355" t="s">
        <v>3227</v>
      </c>
      <c r="M1182" s="354">
        <v>2453718.0</v>
      </c>
      <c r="N1182" s="254"/>
      <c r="O1182" s="355" t="s">
        <v>3221</v>
      </c>
      <c r="P1182" s="355" t="s">
        <v>1884</v>
      </c>
      <c r="Q1182" s="354">
        <v>2360651.0</v>
      </c>
      <c r="R1182" s="254"/>
      <c r="S1182" s="355" t="s">
        <v>3221</v>
      </c>
      <c r="T1182" s="355" t="s">
        <v>1884</v>
      </c>
      <c r="U1182" s="354">
        <v>2351488.0</v>
      </c>
      <c r="V1182" s="254"/>
      <c r="W1182" s="355" t="s">
        <v>3224</v>
      </c>
      <c r="X1182" s="605" t="s">
        <v>3225</v>
      </c>
      <c r="Y1182" s="354">
        <v>2322480.0</v>
      </c>
      <c r="Z1182" s="254"/>
      <c r="AA1182" s="355" t="s">
        <v>3222</v>
      </c>
      <c r="AB1182" s="605" t="s">
        <v>1881</v>
      </c>
      <c r="AC1182" s="354">
        <v>2763447.0</v>
      </c>
      <c r="AD1182" s="355"/>
      <c r="AE1182" s="358"/>
      <c r="AF1182" s="352"/>
      <c r="AG1182" s="352"/>
      <c r="AH1182" s="352"/>
      <c r="AI1182" s="352"/>
      <c r="AJ1182" s="352"/>
      <c r="AK1182" s="383"/>
      <c r="AL1182" s="281"/>
      <c r="AM1182" s="281"/>
      <c r="AN1182" s="294"/>
    </row>
    <row r="1183">
      <c r="A1183" s="196" t="str">
        <f t="array" ref="A1183">INDEX('Federal Tax, Stock Buybacks, &amp; '!D:D,match(B1183,'Federal Tax, Stock Buybacks, &amp; '!E:E,0))</f>
        <v>#N/A</v>
      </c>
      <c r="B1183" s="351" t="s">
        <v>3219</v>
      </c>
      <c r="C1183" s="355"/>
      <c r="D1183" s="605"/>
      <c r="E1183" s="354"/>
      <c r="F1183" s="254"/>
      <c r="G1183" s="355"/>
      <c r="H1183" s="605"/>
      <c r="I1183" s="354"/>
      <c r="J1183" s="254"/>
      <c r="K1183" s="355" t="s">
        <v>3228</v>
      </c>
      <c r="L1183" s="605" t="s">
        <v>1881</v>
      </c>
      <c r="M1183" s="354">
        <v>2659436.0</v>
      </c>
      <c r="N1183" s="254"/>
      <c r="O1183" s="355" t="s">
        <v>3226</v>
      </c>
      <c r="P1183" s="355" t="s">
        <v>3227</v>
      </c>
      <c r="Q1183" s="354">
        <v>2407289.0</v>
      </c>
      <c r="R1183" s="254"/>
      <c r="S1183" s="355" t="s">
        <v>3226</v>
      </c>
      <c r="T1183" s="355" t="s">
        <v>3227</v>
      </c>
      <c r="U1183" s="354">
        <v>2416638.0</v>
      </c>
      <c r="V1183" s="254"/>
      <c r="W1183" s="355" t="s">
        <v>3229</v>
      </c>
      <c r="X1183" s="355" t="s">
        <v>3230</v>
      </c>
      <c r="Y1183" s="354">
        <v>2949376.0</v>
      </c>
      <c r="Z1183" s="254"/>
      <c r="AA1183" s="355" t="s">
        <v>3229</v>
      </c>
      <c r="AB1183" s="355" t="s">
        <v>3231</v>
      </c>
      <c r="AC1183" s="354">
        <v>2038828.0</v>
      </c>
      <c r="AD1183" s="355"/>
      <c r="AE1183" s="358"/>
      <c r="AF1183" s="358"/>
      <c r="AG1183" s="358"/>
      <c r="AH1183" s="358"/>
      <c r="AI1183" s="358"/>
      <c r="AJ1183" s="352"/>
      <c r="AK1183" s="383"/>
      <c r="AL1183" s="281"/>
      <c r="AM1183" s="281"/>
      <c r="AN1183" s="294"/>
    </row>
    <row r="1184">
      <c r="A1184" s="196" t="str">
        <f t="array" ref="A1184">INDEX('Federal Tax, Stock Buybacks, &amp; '!D:D,match(B1184,'Federal Tax, Stock Buybacks, &amp; '!E:E,0))</f>
        <v>#N/A</v>
      </c>
      <c r="B1184" s="351" t="s">
        <v>3219</v>
      </c>
      <c r="C1184" s="355"/>
      <c r="D1184" s="355"/>
      <c r="E1184" s="354"/>
      <c r="F1184" s="254"/>
      <c r="G1184" s="355"/>
      <c r="H1184" s="355"/>
      <c r="I1184" s="354"/>
      <c r="J1184" s="254"/>
      <c r="K1184" s="355" t="s">
        <v>3232</v>
      </c>
      <c r="L1184" s="355" t="s">
        <v>1956</v>
      </c>
      <c r="M1184" s="354">
        <v>3261326.0</v>
      </c>
      <c r="N1184" s="254"/>
      <c r="O1184" s="355" t="s">
        <v>3233</v>
      </c>
      <c r="P1184" s="355" t="s">
        <v>3234</v>
      </c>
      <c r="Q1184" s="354">
        <v>2284795.0</v>
      </c>
      <c r="R1184" s="254"/>
      <c r="S1184" s="355" t="s">
        <v>3235</v>
      </c>
      <c r="T1184" s="355" t="s">
        <v>3236</v>
      </c>
      <c r="U1184" s="354">
        <v>3556408.0</v>
      </c>
      <c r="V1184" s="254"/>
      <c r="W1184" s="355" t="s">
        <v>3221</v>
      </c>
      <c r="X1184" s="355" t="s">
        <v>1884</v>
      </c>
      <c r="Y1184" s="354">
        <v>2268830.0</v>
      </c>
      <c r="Z1184" s="254"/>
      <c r="AA1184" s="355" t="s">
        <v>3221</v>
      </c>
      <c r="AB1184" s="355" t="s">
        <v>1884</v>
      </c>
      <c r="AC1184" s="354">
        <v>2013371.0</v>
      </c>
      <c r="AD1184" s="355"/>
      <c r="AE1184" s="358"/>
      <c r="AF1184" s="352"/>
      <c r="AG1184" s="352"/>
      <c r="AH1184" s="352"/>
      <c r="AI1184" s="352"/>
      <c r="AJ1184" s="352"/>
      <c r="AK1184" s="383"/>
      <c r="AL1184" s="281"/>
      <c r="AM1184" s="281"/>
      <c r="AN1184" s="294"/>
    </row>
    <row r="1185">
      <c r="A1185" s="196" t="str">
        <f t="array" ref="A1185">INDEX('Federal Tax, Stock Buybacks, &amp; '!D:D,match(B1185,'Federal Tax, Stock Buybacks, &amp; '!E:E,0))</f>
        <v>#N/A</v>
      </c>
      <c r="B1185" s="351" t="s">
        <v>3219</v>
      </c>
      <c r="C1185" s="359"/>
      <c r="D1185" s="219"/>
      <c r="E1185" s="354"/>
      <c r="F1185" s="254"/>
      <c r="G1185" s="359"/>
      <c r="H1185" s="219"/>
      <c r="I1185" s="354"/>
      <c r="J1185" s="254"/>
      <c r="K1185" s="359" t="s">
        <v>711</v>
      </c>
      <c r="L1185" s="219" t="s">
        <v>711</v>
      </c>
      <c r="M1185" s="354" t="s">
        <v>711</v>
      </c>
      <c r="N1185" s="254"/>
      <c r="O1185" s="355" t="s">
        <v>3228</v>
      </c>
      <c r="P1185" s="605" t="s">
        <v>1881</v>
      </c>
      <c r="Q1185" s="354">
        <v>2041212.0</v>
      </c>
      <c r="R1185" s="254"/>
      <c r="S1185" s="359" t="s">
        <v>711</v>
      </c>
      <c r="T1185" s="219" t="s">
        <v>711</v>
      </c>
      <c r="U1185" s="354" t="s">
        <v>711</v>
      </c>
      <c r="V1185" s="254"/>
      <c r="W1185" s="355" t="s">
        <v>3226</v>
      </c>
      <c r="X1185" s="355" t="s">
        <v>3227</v>
      </c>
      <c r="Y1185" s="354">
        <v>2193689.0</v>
      </c>
      <c r="Z1185" s="254"/>
      <c r="AA1185" s="359" t="s">
        <v>711</v>
      </c>
      <c r="AB1185" s="219" t="s">
        <v>711</v>
      </c>
      <c r="AC1185" s="354" t="s">
        <v>711</v>
      </c>
      <c r="AD1185" s="355"/>
      <c r="AE1185" s="358"/>
      <c r="AF1185" s="352"/>
      <c r="AG1185" s="352"/>
      <c r="AH1185" s="352"/>
      <c r="AI1185" s="352"/>
      <c r="AJ1185" s="352"/>
      <c r="AK1185" s="383"/>
      <c r="AL1185" s="281"/>
      <c r="AM1185" s="281"/>
      <c r="AN1185" s="294"/>
    </row>
    <row r="1186">
      <c r="A1186" s="169">
        <f t="array" ref="A1186">INDEX('Federal Tax, Stock Buybacks, &amp; '!D:D,match(B1186,'Federal Tax, Stock Buybacks, &amp; '!E:E,0))</f>
        <v>375</v>
      </c>
      <c r="B1186" s="617" t="s">
        <v>3237</v>
      </c>
      <c r="C1186" s="618"/>
      <c r="D1186" s="608"/>
      <c r="E1186" s="619"/>
      <c r="F1186" s="254"/>
      <c r="G1186" s="618"/>
      <c r="H1186" s="608"/>
      <c r="I1186" s="619"/>
      <c r="J1186" s="254"/>
      <c r="K1186" s="618" t="s">
        <v>3238</v>
      </c>
      <c r="L1186" s="608" t="s">
        <v>3239</v>
      </c>
      <c r="M1186" s="619">
        <v>3635248.0</v>
      </c>
      <c r="N1186" s="254"/>
      <c r="O1186" s="618" t="s">
        <v>3238</v>
      </c>
      <c r="P1186" s="608" t="s">
        <v>1588</v>
      </c>
      <c r="Q1186" s="619">
        <v>7714067.0</v>
      </c>
      <c r="R1186" s="254"/>
      <c r="S1186" s="618" t="s">
        <v>3238</v>
      </c>
      <c r="T1186" s="608" t="s">
        <v>1588</v>
      </c>
      <c r="U1186" s="619">
        <v>6440417.0</v>
      </c>
      <c r="V1186" s="254"/>
      <c r="W1186" s="618" t="s">
        <v>3238</v>
      </c>
      <c r="X1186" s="608" t="s">
        <v>1588</v>
      </c>
      <c r="Y1186" s="619">
        <v>8641992.0</v>
      </c>
      <c r="Z1186" s="254"/>
      <c r="AA1186" s="618" t="s">
        <v>3238</v>
      </c>
      <c r="AB1186" s="608" t="s">
        <v>1588</v>
      </c>
      <c r="AC1186" s="619">
        <v>5551979.0</v>
      </c>
      <c r="AD1186" s="608"/>
      <c r="AE1186" s="272">
        <v>2022.0</v>
      </c>
      <c r="AF1186" s="272">
        <v>2021.0</v>
      </c>
      <c r="AG1186" s="272">
        <v>2020.0</v>
      </c>
      <c r="AH1186" s="272">
        <v>2019.0</v>
      </c>
      <c r="AI1186" s="272">
        <v>2018.0</v>
      </c>
      <c r="AJ1186" s="618"/>
      <c r="AK1186" s="620"/>
      <c r="AL1186" s="281"/>
      <c r="AM1186" s="281"/>
      <c r="AN1186" s="294"/>
    </row>
    <row r="1187">
      <c r="A1187" s="169">
        <f t="array" ref="A1187">INDEX('Federal Tax, Stock Buybacks, &amp; '!D:D,match(B1187,'Federal Tax, Stock Buybacks, &amp; '!E:E,0))</f>
        <v>375</v>
      </c>
      <c r="B1187" s="617" t="s">
        <v>3237</v>
      </c>
      <c r="C1187" s="618"/>
      <c r="D1187" s="608"/>
      <c r="E1187" s="619"/>
      <c r="F1187" s="254"/>
      <c r="G1187" s="618"/>
      <c r="H1187" s="608"/>
      <c r="I1187" s="619"/>
      <c r="J1187" s="254"/>
      <c r="K1187" s="618" t="s">
        <v>3240</v>
      </c>
      <c r="L1187" s="608" t="s">
        <v>1588</v>
      </c>
      <c r="M1187" s="619">
        <v>7742266.0</v>
      </c>
      <c r="N1187" s="254"/>
      <c r="O1187" s="618" t="s">
        <v>3240</v>
      </c>
      <c r="P1187" s="608" t="s">
        <v>1832</v>
      </c>
      <c r="Q1187" s="619">
        <v>3997952.0</v>
      </c>
      <c r="R1187" s="254"/>
      <c r="S1187" s="618" t="s">
        <v>3241</v>
      </c>
      <c r="T1187" s="608" t="s">
        <v>3242</v>
      </c>
      <c r="U1187" s="619">
        <v>3162867.0</v>
      </c>
      <c r="V1187" s="254"/>
      <c r="W1187" s="618" t="s">
        <v>3240</v>
      </c>
      <c r="X1187" s="604" t="s">
        <v>1585</v>
      </c>
      <c r="Y1187" s="619">
        <v>4317571.0</v>
      </c>
      <c r="Z1187" s="254"/>
      <c r="AA1187" s="618" t="s">
        <v>3241</v>
      </c>
      <c r="AB1187" s="608" t="s">
        <v>3242</v>
      </c>
      <c r="AC1187" s="619">
        <v>2760315.0</v>
      </c>
      <c r="AD1187" s="608"/>
      <c r="AE1187" s="621"/>
      <c r="AF1187" s="618"/>
      <c r="AG1187" s="618"/>
      <c r="AH1187" s="618"/>
      <c r="AI1187" s="618"/>
      <c r="AJ1187" s="618"/>
      <c r="AK1187" s="620"/>
      <c r="AL1187" s="281"/>
      <c r="AM1187" s="281"/>
      <c r="AN1187" s="294"/>
    </row>
    <row r="1188">
      <c r="A1188" s="169">
        <f t="array" ref="A1188">INDEX('Federal Tax, Stock Buybacks, &amp; '!D:D,match(B1188,'Federal Tax, Stock Buybacks, &amp; '!E:E,0))</f>
        <v>375</v>
      </c>
      <c r="B1188" s="617" t="s">
        <v>3237</v>
      </c>
      <c r="C1188" s="618"/>
      <c r="D1188" s="608"/>
      <c r="E1188" s="619"/>
      <c r="F1188" s="254"/>
      <c r="G1188" s="618"/>
      <c r="H1188" s="608"/>
      <c r="I1188" s="619"/>
      <c r="J1188" s="254"/>
      <c r="K1188" s="618" t="s">
        <v>3243</v>
      </c>
      <c r="L1188" s="608" t="s">
        <v>3244</v>
      </c>
      <c r="M1188" s="619">
        <v>2229921.0</v>
      </c>
      <c r="N1188" s="254"/>
      <c r="O1188" s="618" t="s">
        <v>3243</v>
      </c>
      <c r="P1188" s="608" t="s">
        <v>3244</v>
      </c>
      <c r="Q1188" s="619">
        <v>2347087.0</v>
      </c>
      <c r="R1188" s="254"/>
      <c r="S1188" s="618" t="s">
        <v>3240</v>
      </c>
      <c r="T1188" s="604" t="s">
        <v>1585</v>
      </c>
      <c r="U1188" s="619">
        <v>3149893.0</v>
      </c>
      <c r="V1188" s="254"/>
      <c r="W1188" s="618" t="s">
        <v>3243</v>
      </c>
      <c r="X1188" s="608" t="s">
        <v>3244</v>
      </c>
      <c r="Y1188" s="619">
        <v>4378400.0</v>
      </c>
      <c r="Z1188" s="254"/>
      <c r="AA1188" s="618" t="s">
        <v>3240</v>
      </c>
      <c r="AB1188" s="608" t="s">
        <v>3245</v>
      </c>
      <c r="AC1188" s="619">
        <v>3189489.0</v>
      </c>
      <c r="AD1188" s="608"/>
      <c r="AE1188" s="621"/>
      <c r="AF1188" s="618"/>
      <c r="AG1188" s="618"/>
      <c r="AH1188" s="618"/>
      <c r="AI1188" s="618"/>
      <c r="AJ1188" s="618"/>
      <c r="AK1188" s="620"/>
      <c r="AL1188" s="281"/>
      <c r="AM1188" s="281"/>
      <c r="AN1188" s="294"/>
    </row>
    <row r="1189">
      <c r="A1189" s="169">
        <f t="array" ref="A1189">INDEX('Federal Tax, Stock Buybacks, &amp; '!D:D,match(B1189,'Federal Tax, Stock Buybacks, &amp; '!E:E,0))</f>
        <v>375</v>
      </c>
      <c r="B1189" s="617" t="s">
        <v>3237</v>
      </c>
      <c r="C1189" s="618"/>
      <c r="D1189" s="608"/>
      <c r="E1189" s="619"/>
      <c r="F1189" s="254"/>
      <c r="G1189" s="618"/>
      <c r="H1189" s="608"/>
      <c r="I1189" s="619"/>
      <c r="J1189" s="254"/>
      <c r="K1189" s="618" t="s">
        <v>3246</v>
      </c>
      <c r="L1189" s="608" t="s">
        <v>1867</v>
      </c>
      <c r="M1189" s="619">
        <v>2557379.0</v>
      </c>
      <c r="N1189" s="254"/>
      <c r="O1189" s="618" t="s">
        <v>3247</v>
      </c>
      <c r="P1189" s="604" t="s">
        <v>3248</v>
      </c>
      <c r="Q1189" s="619">
        <v>2218800.0</v>
      </c>
      <c r="R1189" s="254"/>
      <c r="S1189" s="618" t="s">
        <v>3243</v>
      </c>
      <c r="T1189" s="608" t="s">
        <v>3244</v>
      </c>
      <c r="U1189" s="619">
        <v>3677300.0</v>
      </c>
      <c r="V1189" s="254"/>
      <c r="W1189" s="618" t="s">
        <v>3241</v>
      </c>
      <c r="X1189" s="608" t="s">
        <v>3242</v>
      </c>
      <c r="Y1189" s="619">
        <v>3528919.0</v>
      </c>
      <c r="Z1189" s="254"/>
      <c r="AA1189" s="618" t="s">
        <v>3249</v>
      </c>
      <c r="AB1189" s="608" t="s">
        <v>1867</v>
      </c>
      <c r="AC1189" s="619">
        <v>2152692.0</v>
      </c>
      <c r="AD1189" s="608"/>
      <c r="AE1189" s="621"/>
      <c r="AF1189" s="618"/>
      <c r="AG1189" s="618"/>
      <c r="AH1189" s="618"/>
      <c r="AI1189" s="618"/>
      <c r="AJ1189" s="618"/>
      <c r="AK1189" s="620"/>
      <c r="AL1189" s="281"/>
      <c r="AM1189" s="281"/>
      <c r="AN1189" s="294"/>
    </row>
    <row r="1190">
      <c r="A1190" s="169">
        <f t="array" ref="A1190">INDEX('Federal Tax, Stock Buybacks, &amp; '!D:D,match(B1190,'Federal Tax, Stock Buybacks, &amp; '!E:E,0))</f>
        <v>375</v>
      </c>
      <c r="B1190" s="617" t="s">
        <v>3237</v>
      </c>
      <c r="C1190" s="618"/>
      <c r="D1190" s="608"/>
      <c r="E1190" s="619"/>
      <c r="F1190" s="254"/>
      <c r="G1190" s="618"/>
      <c r="H1190" s="608"/>
      <c r="I1190" s="619"/>
      <c r="J1190" s="254"/>
      <c r="K1190" s="618" t="s">
        <v>3250</v>
      </c>
      <c r="L1190" s="608" t="s">
        <v>1585</v>
      </c>
      <c r="M1190" s="619">
        <v>3520604.0</v>
      </c>
      <c r="N1190" s="254"/>
      <c r="O1190" s="618" t="s">
        <v>3246</v>
      </c>
      <c r="P1190" s="608" t="s">
        <v>1867</v>
      </c>
      <c r="Q1190" s="619">
        <v>2366643.0</v>
      </c>
      <c r="R1190" s="254"/>
      <c r="S1190" s="618" t="s">
        <v>3247</v>
      </c>
      <c r="T1190" s="608" t="s">
        <v>3248</v>
      </c>
      <c r="U1190" s="619">
        <v>2321818.0</v>
      </c>
      <c r="V1190" s="254"/>
      <c r="W1190" s="618" t="s">
        <v>3247</v>
      </c>
      <c r="X1190" s="608" t="s">
        <v>3248</v>
      </c>
      <c r="Y1190" s="619">
        <v>2290126.0</v>
      </c>
      <c r="Z1190" s="254"/>
      <c r="AA1190" s="618" t="s">
        <v>3243</v>
      </c>
      <c r="AB1190" s="608" t="s">
        <v>3244</v>
      </c>
      <c r="AC1190" s="619">
        <v>2506733.0</v>
      </c>
      <c r="AD1190" s="608"/>
      <c r="AE1190" s="621"/>
      <c r="AF1190" s="618"/>
      <c r="AG1190" s="618"/>
      <c r="AH1190" s="618"/>
      <c r="AI1190" s="618"/>
      <c r="AJ1190" s="618"/>
      <c r="AK1190" s="620"/>
      <c r="AL1190" s="281"/>
      <c r="AM1190" s="281"/>
      <c r="AN1190" s="294"/>
    </row>
    <row r="1191">
      <c r="A1191" s="169">
        <f t="array" ref="A1191">INDEX('Federal Tax, Stock Buybacks, &amp; '!D:D,match(B1191,'Federal Tax, Stock Buybacks, &amp; '!E:E,0))</f>
        <v>375</v>
      </c>
      <c r="B1191" s="617" t="s">
        <v>3237</v>
      </c>
      <c r="C1191" s="618"/>
      <c r="D1191" s="604"/>
      <c r="E1191" s="619"/>
      <c r="F1191" s="254"/>
      <c r="G1191" s="618"/>
      <c r="H1191" s="604"/>
      <c r="I1191" s="619"/>
      <c r="J1191" s="254"/>
      <c r="K1191" s="618" t="s">
        <v>3251</v>
      </c>
      <c r="L1191" s="604" t="s">
        <v>3242</v>
      </c>
      <c r="M1191" s="619">
        <v>2349626.0</v>
      </c>
      <c r="N1191" s="254"/>
      <c r="O1191" s="618" t="s">
        <v>3250</v>
      </c>
      <c r="P1191" s="608" t="s">
        <v>1585</v>
      </c>
      <c r="Q1191" s="619">
        <v>2917646.0</v>
      </c>
      <c r="R1191" s="254"/>
      <c r="S1191" s="326" t="s">
        <v>711</v>
      </c>
      <c r="T1191" s="329" t="s">
        <v>711</v>
      </c>
      <c r="U1191" s="324" t="s">
        <v>711</v>
      </c>
      <c r="V1191" s="254"/>
      <c r="W1191" s="326" t="s">
        <v>711</v>
      </c>
      <c r="X1191" s="329" t="s">
        <v>711</v>
      </c>
      <c r="Y1191" s="324" t="s">
        <v>711</v>
      </c>
      <c r="Z1191" s="254"/>
      <c r="AA1191" s="326" t="s">
        <v>711</v>
      </c>
      <c r="AB1191" s="329" t="s">
        <v>711</v>
      </c>
      <c r="AC1191" s="324" t="s">
        <v>711</v>
      </c>
      <c r="AD1191" s="608"/>
      <c r="AE1191" s="621"/>
      <c r="AF1191" s="618"/>
      <c r="AG1191" s="618"/>
      <c r="AH1191" s="618"/>
      <c r="AI1191" s="618"/>
      <c r="AJ1191" s="618"/>
      <c r="AK1191" s="620"/>
      <c r="AL1191" s="281"/>
      <c r="AM1191" s="281"/>
      <c r="AN1191" s="294"/>
    </row>
    <row r="1192">
      <c r="A1192" s="196" t="str">
        <f t="array" ref="A1192">INDEX('Federal Tax, Stock Buybacks, &amp; '!D:D,match(B1192,'Federal Tax, Stock Buybacks, &amp; '!E:E,0))</f>
        <v>#N/A</v>
      </c>
      <c r="B1192" s="281" t="s">
        <v>736</v>
      </c>
      <c r="C1192" s="457"/>
      <c r="D1192" s="373"/>
      <c r="E1192" s="471"/>
      <c r="F1192" s="254"/>
      <c r="G1192" s="457"/>
      <c r="H1192" s="373"/>
      <c r="I1192" s="471"/>
      <c r="J1192" s="254"/>
      <c r="K1192" s="457" t="s">
        <v>735</v>
      </c>
      <c r="L1192" s="373" t="s">
        <v>3252</v>
      </c>
      <c r="M1192" s="471">
        <v>1.2191229E7</v>
      </c>
      <c r="N1192" s="254"/>
      <c r="O1192" s="457" t="s">
        <v>735</v>
      </c>
      <c r="P1192" s="373" t="s">
        <v>3252</v>
      </c>
      <c r="Q1192" s="471">
        <v>1.436434E7</v>
      </c>
      <c r="R1192" s="254"/>
      <c r="S1192" s="457" t="s">
        <v>735</v>
      </c>
      <c r="T1192" s="373" t="s">
        <v>3252</v>
      </c>
      <c r="U1192" s="471">
        <v>1.5785999E7</v>
      </c>
      <c r="V1192" s="254"/>
      <c r="W1192" s="457" t="s">
        <v>735</v>
      </c>
      <c r="X1192" s="373" t="s">
        <v>3252</v>
      </c>
      <c r="Y1192" s="471">
        <v>1.1761702E7</v>
      </c>
      <c r="Z1192" s="254"/>
      <c r="AA1192" s="457" t="s">
        <v>735</v>
      </c>
      <c r="AB1192" s="373" t="s">
        <v>3252</v>
      </c>
      <c r="AC1192" s="472">
        <v>9777523.0</v>
      </c>
      <c r="AD1192" s="288"/>
      <c r="AE1192" s="289">
        <v>2022.0</v>
      </c>
      <c r="AF1192" s="289">
        <v>2021.0</v>
      </c>
      <c r="AG1192" s="289">
        <v>2020.0</v>
      </c>
      <c r="AH1192" s="289">
        <v>2019.0</v>
      </c>
      <c r="AI1192" s="289">
        <v>2018.0</v>
      </c>
      <c r="AJ1192" s="290" t="s">
        <v>1524</v>
      </c>
      <c r="AK1192" s="281"/>
      <c r="AL1192" s="259" t="str">
        <f>MATCH(B1192,'Key Findings'!B:B,0)</f>
        <v>#N/A</v>
      </c>
      <c r="AM1192" s="260" t="str">
        <f t="shared" ref="AM1192:AM1197" si="4">ISODD(A1192)</f>
        <v>#N/A</v>
      </c>
      <c r="AN1192" s="294"/>
    </row>
    <row r="1193">
      <c r="A1193" s="196" t="str">
        <f t="array" ref="A1193">INDEX('Federal Tax, Stock Buybacks, &amp; '!D:D,match(B1193,'Federal Tax, Stock Buybacks, &amp; '!E:E,0))</f>
        <v>#N/A</v>
      </c>
      <c r="B1193" s="281" t="s">
        <v>736</v>
      </c>
      <c r="C1193" s="457"/>
      <c r="D1193" s="373"/>
      <c r="E1193" s="471"/>
      <c r="F1193" s="254"/>
      <c r="G1193" s="457"/>
      <c r="H1193" s="373"/>
      <c r="I1193" s="471"/>
      <c r="J1193" s="254"/>
      <c r="K1193" s="457" t="s">
        <v>739</v>
      </c>
      <c r="L1193" s="373" t="s">
        <v>3253</v>
      </c>
      <c r="M1193" s="471">
        <v>2856454.0</v>
      </c>
      <c r="N1193" s="254"/>
      <c r="O1193" s="457" t="s">
        <v>739</v>
      </c>
      <c r="P1193" s="373" t="s">
        <v>3253</v>
      </c>
      <c r="Q1193" s="471">
        <v>2939449.0</v>
      </c>
      <c r="R1193" s="254"/>
      <c r="S1193" s="457" t="s">
        <v>739</v>
      </c>
      <c r="T1193" s="373" t="s">
        <v>3253</v>
      </c>
      <c r="U1193" s="471">
        <v>2775419.0</v>
      </c>
      <c r="V1193" s="254"/>
      <c r="W1193" s="457" t="s">
        <v>739</v>
      </c>
      <c r="X1193" s="373" t="s">
        <v>3253</v>
      </c>
      <c r="Y1193" s="471">
        <v>2609613.0</v>
      </c>
      <c r="Z1193" s="254"/>
      <c r="AA1193" s="457" t="s">
        <v>739</v>
      </c>
      <c r="AB1193" s="373" t="s">
        <v>3253</v>
      </c>
      <c r="AC1193" s="472">
        <v>2002170.0</v>
      </c>
      <c r="AD1193" s="288"/>
      <c r="AE1193" s="292"/>
      <c r="AF1193" s="292"/>
      <c r="AG1193" s="292"/>
      <c r="AH1193" s="292"/>
      <c r="AI1193" s="292"/>
      <c r="AJ1193" s="293"/>
      <c r="AK1193" s="281"/>
      <c r="AL1193" s="259" t="str">
        <f>MATCH(B1193,'Key Findings'!B:B,0)</f>
        <v>#N/A</v>
      </c>
      <c r="AM1193" s="260" t="str">
        <f t="shared" si="4"/>
        <v>#N/A</v>
      </c>
      <c r="AN1193" s="294"/>
    </row>
    <row r="1194">
      <c r="A1194" s="196" t="str">
        <f t="array" ref="A1194">INDEX('Federal Tax, Stock Buybacks, &amp; '!D:D,match(B1194,'Federal Tax, Stock Buybacks, &amp; '!E:E,0))</f>
        <v>#N/A</v>
      </c>
      <c r="B1194" s="281" t="s">
        <v>736</v>
      </c>
      <c r="C1194" s="457"/>
      <c r="D1194" s="373"/>
      <c r="E1194" s="471"/>
      <c r="F1194" s="254"/>
      <c r="G1194" s="457"/>
      <c r="H1194" s="373"/>
      <c r="I1194" s="471"/>
      <c r="J1194" s="254"/>
      <c r="K1194" s="457" t="s">
        <v>737</v>
      </c>
      <c r="L1194" s="373" t="s">
        <v>3254</v>
      </c>
      <c r="M1194" s="471">
        <v>3445552.0</v>
      </c>
      <c r="N1194" s="254"/>
      <c r="O1194" s="457" t="s">
        <v>737</v>
      </c>
      <c r="P1194" s="373" t="s">
        <v>3254</v>
      </c>
      <c r="Q1194" s="471">
        <v>4591411.0</v>
      </c>
      <c r="R1194" s="254"/>
      <c r="S1194" s="457" t="s">
        <v>737</v>
      </c>
      <c r="T1194" s="373" t="s">
        <v>3254</v>
      </c>
      <c r="U1194" s="471">
        <v>4702231.0</v>
      </c>
      <c r="V1194" s="254"/>
      <c r="W1194" s="457" t="s">
        <v>737</v>
      </c>
      <c r="X1194" s="373" t="s">
        <v>3254</v>
      </c>
      <c r="Y1194" s="471">
        <v>3755630.0</v>
      </c>
      <c r="Z1194" s="254"/>
      <c r="AA1194" s="457" t="s">
        <v>737</v>
      </c>
      <c r="AB1194" s="373" t="s">
        <v>3254</v>
      </c>
      <c r="AC1194" s="472">
        <v>2968667.0</v>
      </c>
      <c r="AD1194" s="288"/>
      <c r="AE1194" s="292"/>
      <c r="AF1194" s="292"/>
      <c r="AG1194" s="292"/>
      <c r="AH1194" s="292"/>
      <c r="AI1194" s="292"/>
      <c r="AJ1194" s="293"/>
      <c r="AK1194" s="281"/>
      <c r="AL1194" s="259" t="str">
        <f>MATCH(B1194,'Key Findings'!B:B,0)</f>
        <v>#N/A</v>
      </c>
      <c r="AM1194" s="260" t="str">
        <f t="shared" si="4"/>
        <v>#N/A</v>
      </c>
      <c r="AN1194" s="294"/>
    </row>
    <row r="1195">
      <c r="A1195" s="196" t="str">
        <f t="array" ref="A1195">INDEX('Federal Tax, Stock Buybacks, &amp; '!D:D,match(B1195,'Federal Tax, Stock Buybacks, &amp; '!E:E,0))</f>
        <v>#N/A</v>
      </c>
      <c r="B1195" s="281" t="s">
        <v>736</v>
      </c>
      <c r="C1195" s="457"/>
      <c r="D1195" s="373"/>
      <c r="E1195" s="471"/>
      <c r="F1195" s="254"/>
      <c r="G1195" s="457"/>
      <c r="H1195" s="373"/>
      <c r="I1195" s="471"/>
      <c r="J1195" s="254"/>
      <c r="K1195" s="457" t="s">
        <v>741</v>
      </c>
      <c r="L1195" s="373" t="s">
        <v>3255</v>
      </c>
      <c r="M1195" s="471">
        <v>2799719.0</v>
      </c>
      <c r="N1195" s="254"/>
      <c r="O1195" s="457" t="s">
        <v>741</v>
      </c>
      <c r="P1195" s="373" t="s">
        <v>3255</v>
      </c>
      <c r="Q1195" s="471">
        <v>2315609.0</v>
      </c>
      <c r="R1195" s="254"/>
      <c r="S1195" s="570" t="s">
        <v>740</v>
      </c>
      <c r="T1195" s="570" t="s">
        <v>3256</v>
      </c>
      <c r="U1195" s="576">
        <v>1848096.0</v>
      </c>
      <c r="V1195" s="254"/>
      <c r="W1195" s="570" t="s">
        <v>740</v>
      </c>
      <c r="X1195" s="570" t="s">
        <v>3256</v>
      </c>
      <c r="Y1195" s="576">
        <v>1939857.0</v>
      </c>
      <c r="Z1195" s="254"/>
      <c r="AA1195" s="570" t="s">
        <v>740</v>
      </c>
      <c r="AB1195" s="570" t="s">
        <v>3256</v>
      </c>
      <c r="AC1195" s="472">
        <v>1652827.0</v>
      </c>
      <c r="AD1195" s="288"/>
      <c r="AE1195" s="292"/>
      <c r="AF1195" s="292"/>
      <c r="AG1195" s="292"/>
      <c r="AH1195" s="292"/>
      <c r="AI1195" s="292"/>
      <c r="AJ1195" s="293"/>
      <c r="AK1195" s="281"/>
      <c r="AL1195" s="259" t="str">
        <f>MATCH(B1195,'Key Findings'!B:B,0)</f>
        <v>#N/A</v>
      </c>
      <c r="AM1195" s="260" t="str">
        <f t="shared" si="4"/>
        <v>#N/A</v>
      </c>
      <c r="AN1195" s="294"/>
    </row>
    <row r="1196">
      <c r="A1196" s="196" t="str">
        <f t="array" ref="A1196">INDEX('Federal Tax, Stock Buybacks, &amp; '!D:D,match(B1196,'Federal Tax, Stock Buybacks, &amp; '!E:E,0))</f>
        <v>#N/A</v>
      </c>
      <c r="B1196" s="281" t="s">
        <v>736</v>
      </c>
      <c r="C1196" s="457"/>
      <c r="D1196" s="373"/>
      <c r="E1196" s="471"/>
      <c r="F1196" s="254"/>
      <c r="G1196" s="457"/>
      <c r="H1196" s="373"/>
      <c r="I1196" s="471"/>
      <c r="J1196" s="254"/>
      <c r="K1196" s="457" t="s">
        <v>742</v>
      </c>
      <c r="L1196" s="373" t="s">
        <v>3257</v>
      </c>
      <c r="M1196" s="471">
        <v>1628183.0</v>
      </c>
      <c r="N1196" s="254"/>
      <c r="O1196" s="282" t="s">
        <v>740</v>
      </c>
      <c r="P1196" s="556" t="s">
        <v>3256</v>
      </c>
      <c r="Q1196" s="471">
        <v>1888247.0</v>
      </c>
      <c r="R1196" s="254"/>
      <c r="S1196" s="570" t="s">
        <v>738</v>
      </c>
      <c r="T1196" s="570" t="s">
        <v>3258</v>
      </c>
      <c r="U1196" s="576">
        <v>4751027.0</v>
      </c>
      <c r="V1196" s="254"/>
      <c r="W1196" s="570" t="s">
        <v>738</v>
      </c>
      <c r="X1196" s="570" t="s">
        <v>3258</v>
      </c>
      <c r="Y1196" s="576">
        <v>3633324.0</v>
      </c>
      <c r="Z1196" s="254"/>
      <c r="AA1196" s="570" t="s">
        <v>738</v>
      </c>
      <c r="AB1196" s="570" t="s">
        <v>3258</v>
      </c>
      <c r="AC1196" s="472">
        <v>3088108.0</v>
      </c>
      <c r="AD1196" s="288"/>
      <c r="AE1196" s="292"/>
      <c r="AF1196" s="292"/>
      <c r="AG1196" s="292"/>
      <c r="AH1196" s="292"/>
      <c r="AI1196" s="292"/>
      <c r="AJ1196" s="293"/>
      <c r="AK1196" s="281"/>
      <c r="AL1196" s="259" t="str">
        <f>MATCH(B1196,'Key Findings'!B:B,0)</f>
        <v>#N/A</v>
      </c>
      <c r="AM1196" s="260" t="str">
        <f t="shared" si="4"/>
        <v>#N/A</v>
      </c>
      <c r="AN1196" s="294"/>
    </row>
    <row r="1197">
      <c r="A1197" s="196" t="str">
        <f t="array" ref="A1197">INDEX('Federal Tax, Stock Buybacks, &amp; '!D:D,match(B1197,'Federal Tax, Stock Buybacks, &amp; '!E:E,0))</f>
        <v>#N/A</v>
      </c>
      <c r="B1197" s="281" t="s">
        <v>736</v>
      </c>
      <c r="C1197" s="376"/>
      <c r="D1197" s="375"/>
      <c r="E1197" s="557"/>
      <c r="F1197" s="254"/>
      <c r="G1197" s="376"/>
      <c r="H1197" s="375"/>
      <c r="I1197" s="557"/>
      <c r="J1197" s="254"/>
      <c r="K1197" s="376" t="s">
        <v>711</v>
      </c>
      <c r="L1197" s="375" t="s">
        <v>711</v>
      </c>
      <c r="M1197" s="557" t="s">
        <v>711</v>
      </c>
      <c r="N1197" s="254"/>
      <c r="O1197" s="282" t="s">
        <v>738</v>
      </c>
      <c r="P1197" s="556" t="s">
        <v>3259</v>
      </c>
      <c r="Q1197" s="471">
        <v>4017457.0</v>
      </c>
      <c r="R1197" s="254"/>
      <c r="S1197" s="376" t="s">
        <v>711</v>
      </c>
      <c r="T1197" s="375" t="s">
        <v>711</v>
      </c>
      <c r="U1197" s="557" t="s">
        <v>711</v>
      </c>
      <c r="V1197" s="254"/>
      <c r="W1197" s="376" t="s">
        <v>711</v>
      </c>
      <c r="X1197" s="375" t="s">
        <v>711</v>
      </c>
      <c r="Y1197" s="557" t="s">
        <v>711</v>
      </c>
      <c r="Z1197" s="254"/>
      <c r="AA1197" s="376" t="s">
        <v>711</v>
      </c>
      <c r="AB1197" s="375" t="s">
        <v>711</v>
      </c>
      <c r="AC1197" s="557" t="s">
        <v>711</v>
      </c>
      <c r="AD1197" s="288"/>
      <c r="AE1197" s="292"/>
      <c r="AF1197" s="292"/>
      <c r="AG1197" s="292"/>
      <c r="AH1197" s="292"/>
      <c r="AI1197" s="292"/>
      <c r="AJ1197" s="293"/>
      <c r="AK1197" s="281"/>
      <c r="AL1197" s="259" t="str">
        <f>MATCH(B1197,'Key Findings'!B:B,0)</f>
        <v>#N/A</v>
      </c>
      <c r="AM1197" s="260" t="str">
        <f t="shared" si="4"/>
        <v>#N/A</v>
      </c>
      <c r="AN1197" s="294"/>
    </row>
    <row r="1198">
      <c r="A1198" s="196"/>
      <c r="B1198" s="130"/>
      <c r="C1198" s="282"/>
      <c r="D1198" s="373"/>
      <c r="E1198" s="471"/>
      <c r="F1198" s="254"/>
      <c r="G1198" s="282"/>
      <c r="H1198" s="373"/>
      <c r="I1198" s="471"/>
      <c r="J1198" s="254"/>
      <c r="K1198" s="282"/>
      <c r="L1198" s="373"/>
      <c r="M1198" s="471"/>
      <c r="N1198" s="254"/>
      <c r="O1198" s="282"/>
      <c r="P1198" s="581"/>
      <c r="Q1198" s="471"/>
      <c r="R1198" s="254"/>
      <c r="S1198" s="282"/>
      <c r="T1198" s="524"/>
      <c r="U1198" s="471"/>
      <c r="V1198" s="254"/>
      <c r="W1198" s="282"/>
      <c r="X1198" s="524"/>
      <c r="Y1198" s="471"/>
      <c r="Z1198" s="254"/>
      <c r="AA1198" s="282"/>
      <c r="AB1198" s="522"/>
      <c r="AC1198" s="472"/>
      <c r="AD1198" s="288"/>
      <c r="AE1198" s="292"/>
      <c r="AF1198" s="292"/>
      <c r="AG1198" s="292"/>
      <c r="AH1198" s="292"/>
      <c r="AI1198" s="292"/>
      <c r="AJ1198" s="293"/>
      <c r="AK1198" s="281"/>
      <c r="AL1198" s="259" t="str">
        <f>MATCH(B1198,'Key Findings'!B:B,0)</f>
        <v>#N/A</v>
      </c>
      <c r="AM1198" s="260" t="str">
        <f>ISODD(AL1198)</f>
        <v>#N/A</v>
      </c>
      <c r="AN1198" s="294"/>
    </row>
    <row r="1199">
      <c r="A1199" s="196"/>
      <c r="B1199" s="130"/>
      <c r="C1199" s="282"/>
      <c r="D1199" s="373"/>
      <c r="E1199" s="471"/>
      <c r="F1199" s="254"/>
      <c r="G1199" s="282"/>
      <c r="H1199" s="373"/>
      <c r="I1199" s="471"/>
      <c r="J1199" s="254"/>
      <c r="K1199" s="282"/>
      <c r="L1199" s="373"/>
      <c r="M1199" s="471"/>
      <c r="N1199" s="254"/>
      <c r="O1199" s="282"/>
      <c r="P1199" s="581"/>
      <c r="Q1199" s="471"/>
      <c r="R1199" s="254"/>
      <c r="S1199" s="282"/>
      <c r="T1199" s="524"/>
      <c r="U1199" s="471"/>
      <c r="V1199" s="254"/>
      <c r="W1199" s="282"/>
      <c r="X1199" s="524"/>
      <c r="Y1199" s="471"/>
      <c r="Z1199" s="254"/>
      <c r="AA1199" s="282"/>
      <c r="AB1199" s="522"/>
      <c r="AC1199" s="472"/>
      <c r="AD1199" s="288"/>
      <c r="AE1199" s="292"/>
      <c r="AF1199" s="292"/>
      <c r="AG1199" s="292"/>
      <c r="AH1199" s="292"/>
      <c r="AI1199" s="292"/>
      <c r="AJ1199" s="293"/>
      <c r="AK1199" s="281"/>
      <c r="AL1199" s="281"/>
      <c r="AM1199" s="281"/>
      <c r="AN1199" s="294"/>
    </row>
    <row r="1200">
      <c r="A1200" s="196"/>
      <c r="B1200" s="130"/>
      <c r="C1200" s="282"/>
      <c r="D1200" s="373"/>
      <c r="E1200" s="471"/>
      <c r="F1200" s="254"/>
      <c r="G1200" s="282"/>
      <c r="H1200" s="373"/>
      <c r="I1200" s="471"/>
      <c r="J1200" s="254"/>
      <c r="K1200" s="282"/>
      <c r="L1200" s="373"/>
      <c r="M1200" s="471"/>
      <c r="N1200" s="254"/>
      <c r="O1200" s="282"/>
      <c r="P1200" s="581"/>
      <c r="Q1200" s="471"/>
      <c r="R1200" s="254"/>
      <c r="S1200" s="282"/>
      <c r="T1200" s="524"/>
      <c r="U1200" s="471"/>
      <c r="V1200" s="254"/>
      <c r="W1200" s="282"/>
      <c r="X1200" s="524"/>
      <c r="Y1200" s="471"/>
      <c r="Z1200" s="254"/>
      <c r="AA1200" s="282"/>
      <c r="AB1200" s="522"/>
      <c r="AC1200" s="472"/>
      <c r="AD1200" s="288"/>
      <c r="AE1200" s="292"/>
      <c r="AF1200" s="292"/>
      <c r="AG1200" s="292"/>
      <c r="AH1200" s="292"/>
      <c r="AI1200" s="292"/>
      <c r="AJ1200" s="293"/>
      <c r="AK1200" s="281"/>
      <c r="AL1200" s="281"/>
      <c r="AM1200" s="281"/>
      <c r="AN1200" s="294"/>
    </row>
    <row r="1201">
      <c r="A1201" s="196"/>
      <c r="B1201" s="130"/>
      <c r="C1201" s="282"/>
      <c r="D1201" s="373"/>
      <c r="E1201" s="471"/>
      <c r="F1201" s="254"/>
      <c r="G1201" s="282"/>
      <c r="H1201" s="373"/>
      <c r="I1201" s="471"/>
      <c r="J1201" s="254"/>
      <c r="K1201" s="282"/>
      <c r="L1201" s="373"/>
      <c r="M1201" s="471"/>
      <c r="N1201" s="254"/>
      <c r="O1201" s="282"/>
      <c r="P1201" s="581"/>
      <c r="Q1201" s="471"/>
      <c r="R1201" s="254"/>
      <c r="S1201" s="282"/>
      <c r="T1201" s="524"/>
      <c r="U1201" s="471"/>
      <c r="V1201" s="254"/>
      <c r="W1201" s="282"/>
      <c r="X1201" s="524"/>
      <c r="Y1201" s="471"/>
      <c r="Z1201" s="254"/>
      <c r="AA1201" s="282"/>
      <c r="AB1201" s="522"/>
      <c r="AC1201" s="472"/>
      <c r="AD1201" s="288"/>
      <c r="AE1201" s="292"/>
      <c r="AF1201" s="292"/>
      <c r="AG1201" s="292"/>
      <c r="AH1201" s="292"/>
      <c r="AI1201" s="292"/>
      <c r="AJ1201" s="293"/>
      <c r="AK1201" s="281"/>
      <c r="AL1201" s="281"/>
      <c r="AM1201" s="281"/>
      <c r="AN1201" s="294"/>
    </row>
    <row r="1202">
      <c r="A1202" s="196"/>
      <c r="B1202" s="130"/>
      <c r="C1202" s="282"/>
      <c r="D1202" s="373"/>
      <c r="E1202" s="471"/>
      <c r="F1202" s="254"/>
      <c r="G1202" s="282"/>
      <c r="H1202" s="373"/>
      <c r="I1202" s="471"/>
      <c r="J1202" s="254"/>
      <c r="K1202" s="282"/>
      <c r="L1202" s="373"/>
      <c r="M1202" s="471"/>
      <c r="N1202" s="254"/>
      <c r="O1202" s="282"/>
      <c r="P1202" s="581"/>
      <c r="Q1202" s="471"/>
      <c r="R1202" s="254"/>
      <c r="S1202" s="282"/>
      <c r="T1202" s="524"/>
      <c r="U1202" s="471"/>
      <c r="V1202" s="254"/>
      <c r="W1202" s="282"/>
      <c r="X1202" s="524"/>
      <c r="Y1202" s="471"/>
      <c r="Z1202" s="254"/>
      <c r="AA1202" s="282"/>
      <c r="AB1202" s="522"/>
      <c r="AC1202" s="472"/>
      <c r="AD1202" s="288"/>
      <c r="AE1202" s="292"/>
      <c r="AF1202" s="292"/>
      <c r="AG1202" s="292"/>
      <c r="AH1202" s="292"/>
      <c r="AI1202" s="292"/>
      <c r="AJ1202" s="293"/>
      <c r="AK1202" s="281"/>
      <c r="AL1202" s="281"/>
      <c r="AM1202" s="281"/>
      <c r="AN1202" s="294"/>
    </row>
    <row r="1203">
      <c r="A1203" s="196"/>
      <c r="B1203" s="130"/>
      <c r="C1203" s="282"/>
      <c r="D1203" s="373"/>
      <c r="E1203" s="471"/>
      <c r="F1203" s="254"/>
      <c r="G1203" s="282"/>
      <c r="H1203" s="373"/>
      <c r="I1203" s="471"/>
      <c r="J1203" s="254"/>
      <c r="K1203" s="282"/>
      <c r="L1203" s="373"/>
      <c r="M1203" s="471"/>
      <c r="N1203" s="254"/>
      <c r="O1203" s="282"/>
      <c r="P1203" s="581"/>
      <c r="Q1203" s="471"/>
      <c r="R1203" s="254"/>
      <c r="S1203" s="282"/>
      <c r="T1203" s="524"/>
      <c r="U1203" s="471"/>
      <c r="V1203" s="254"/>
      <c r="W1203" s="282"/>
      <c r="X1203" s="524"/>
      <c r="Y1203" s="471"/>
      <c r="Z1203" s="254"/>
      <c r="AA1203" s="282"/>
      <c r="AB1203" s="522"/>
      <c r="AC1203" s="472"/>
      <c r="AD1203" s="288"/>
      <c r="AE1203" s="292"/>
      <c r="AF1203" s="292"/>
      <c r="AG1203" s="292"/>
      <c r="AH1203" s="292"/>
      <c r="AI1203" s="292"/>
      <c r="AJ1203" s="293"/>
      <c r="AK1203" s="281"/>
      <c r="AL1203" s="281"/>
      <c r="AM1203" s="281"/>
      <c r="AN1203" s="294"/>
    </row>
    <row r="1204">
      <c r="A1204" s="196"/>
      <c r="B1204" s="130"/>
      <c r="C1204" s="282"/>
      <c r="D1204" s="373"/>
      <c r="E1204" s="471"/>
      <c r="F1204" s="254"/>
      <c r="G1204" s="282"/>
      <c r="H1204" s="373"/>
      <c r="I1204" s="471"/>
      <c r="J1204" s="254"/>
      <c r="K1204" s="282"/>
      <c r="L1204" s="373"/>
      <c r="M1204" s="471"/>
      <c r="N1204" s="254"/>
      <c r="O1204" s="282"/>
      <c r="P1204" s="581"/>
      <c r="Q1204" s="471"/>
      <c r="R1204" s="254"/>
      <c r="S1204" s="282"/>
      <c r="T1204" s="524"/>
      <c r="U1204" s="471"/>
      <c r="V1204" s="254"/>
      <c r="W1204" s="282"/>
      <c r="X1204" s="524"/>
      <c r="Y1204" s="471"/>
      <c r="Z1204" s="254"/>
      <c r="AA1204" s="282"/>
      <c r="AB1204" s="522"/>
      <c r="AC1204" s="472"/>
      <c r="AD1204" s="288"/>
      <c r="AE1204" s="292"/>
      <c r="AF1204" s="292"/>
      <c r="AG1204" s="292"/>
      <c r="AH1204" s="292"/>
      <c r="AI1204" s="292"/>
      <c r="AJ1204" s="293"/>
      <c r="AK1204" s="281"/>
      <c r="AL1204" s="281"/>
      <c r="AM1204" s="281"/>
      <c r="AN1204" s="294"/>
    </row>
    <row r="1205">
      <c r="A1205" s="196"/>
      <c r="B1205" s="130"/>
      <c r="C1205" s="282"/>
      <c r="D1205" s="373"/>
      <c r="E1205" s="471"/>
      <c r="F1205" s="254"/>
      <c r="G1205" s="282"/>
      <c r="H1205" s="373"/>
      <c r="I1205" s="471"/>
      <c r="J1205" s="254"/>
      <c r="K1205" s="282"/>
      <c r="L1205" s="373"/>
      <c r="M1205" s="471"/>
      <c r="N1205" s="254"/>
      <c r="O1205" s="282"/>
      <c r="P1205" s="581"/>
      <c r="Q1205" s="471"/>
      <c r="R1205" s="254"/>
      <c r="S1205" s="282"/>
      <c r="T1205" s="524"/>
      <c r="U1205" s="471"/>
      <c r="V1205" s="254"/>
      <c r="W1205" s="282"/>
      <c r="X1205" s="524"/>
      <c r="Y1205" s="471"/>
      <c r="Z1205" s="254"/>
      <c r="AA1205" s="282"/>
      <c r="AB1205" s="522"/>
      <c r="AC1205" s="472"/>
      <c r="AD1205" s="288"/>
      <c r="AE1205" s="292"/>
      <c r="AF1205" s="292"/>
      <c r="AG1205" s="292"/>
      <c r="AH1205" s="292"/>
      <c r="AI1205" s="292"/>
      <c r="AJ1205" s="293"/>
      <c r="AK1205" s="281"/>
      <c r="AL1205" s="281"/>
      <c r="AM1205" s="281"/>
      <c r="AN1205" s="294"/>
    </row>
    <row r="1206">
      <c r="A1206" s="196"/>
      <c r="B1206" s="130"/>
      <c r="C1206" s="282"/>
      <c r="D1206" s="373"/>
      <c r="E1206" s="471"/>
      <c r="F1206" s="254"/>
      <c r="G1206" s="282"/>
      <c r="H1206" s="373"/>
      <c r="I1206" s="471"/>
      <c r="J1206" s="254"/>
      <c r="K1206" s="282"/>
      <c r="L1206" s="373"/>
      <c r="M1206" s="471"/>
      <c r="N1206" s="254"/>
      <c r="O1206" s="282"/>
      <c r="P1206" s="581"/>
      <c r="Q1206" s="471"/>
      <c r="R1206" s="254"/>
      <c r="S1206" s="282"/>
      <c r="T1206" s="524"/>
      <c r="U1206" s="471"/>
      <c r="V1206" s="254"/>
      <c r="W1206" s="282"/>
      <c r="X1206" s="524"/>
      <c r="Y1206" s="471"/>
      <c r="Z1206" s="254"/>
      <c r="AA1206" s="282"/>
      <c r="AB1206" s="522"/>
      <c r="AC1206" s="472"/>
      <c r="AD1206" s="288"/>
      <c r="AE1206" s="292"/>
      <c r="AF1206" s="292"/>
      <c r="AG1206" s="292"/>
      <c r="AH1206" s="292"/>
      <c r="AI1206" s="292"/>
      <c r="AJ1206" s="293"/>
      <c r="AK1206" s="281"/>
      <c r="AL1206" s="281"/>
      <c r="AM1206" s="281"/>
      <c r="AN1206" s="294"/>
    </row>
    <row r="1207">
      <c r="A1207" s="196"/>
      <c r="B1207" s="130"/>
      <c r="C1207" s="282"/>
      <c r="D1207" s="373"/>
      <c r="E1207" s="471"/>
      <c r="F1207" s="254"/>
      <c r="G1207" s="282"/>
      <c r="H1207" s="373"/>
      <c r="I1207" s="471"/>
      <c r="J1207" s="254"/>
      <c r="K1207" s="282"/>
      <c r="L1207" s="373"/>
      <c r="M1207" s="471"/>
      <c r="N1207" s="254"/>
      <c r="O1207" s="282"/>
      <c r="P1207" s="581"/>
      <c r="Q1207" s="471"/>
      <c r="R1207" s="254"/>
      <c r="S1207" s="282"/>
      <c r="T1207" s="524"/>
      <c r="U1207" s="471"/>
      <c r="V1207" s="254"/>
      <c r="W1207" s="282"/>
      <c r="X1207" s="524"/>
      <c r="Y1207" s="471"/>
      <c r="Z1207" s="254"/>
      <c r="AA1207" s="282"/>
      <c r="AB1207" s="522"/>
      <c r="AC1207" s="472"/>
      <c r="AD1207" s="288"/>
      <c r="AE1207" s="292"/>
      <c r="AF1207" s="292"/>
      <c r="AG1207" s="292"/>
      <c r="AH1207" s="292"/>
      <c r="AI1207" s="292"/>
      <c r="AJ1207" s="293"/>
      <c r="AK1207" s="281"/>
      <c r="AL1207" s="281"/>
      <c r="AM1207" s="281"/>
      <c r="AN1207" s="294"/>
    </row>
  </sheetData>
  <mergeCells count="12">
    <mergeCell ref="O3:Q3"/>
    <mergeCell ref="S3:U3"/>
    <mergeCell ref="W3:Y3"/>
    <mergeCell ref="AA3:AC3"/>
    <mergeCell ref="A2:A3"/>
    <mergeCell ref="B2:B3"/>
    <mergeCell ref="AJ2:AJ3"/>
    <mergeCell ref="AN2:AN3"/>
    <mergeCell ref="C3:E3"/>
    <mergeCell ref="G3:I3"/>
    <mergeCell ref="K3:M3"/>
    <mergeCell ref="AE3:AI3"/>
  </mergeCells>
  <hyperlinks>
    <hyperlink r:id="rId1" ref="AE4"/>
    <hyperlink r:id="rId2" ref="AF4"/>
    <hyperlink r:id="rId3" ref="AG4"/>
    <hyperlink r:id="rId4" ref="AH4"/>
    <hyperlink r:id="rId5" ref="AI4"/>
    <hyperlink r:id="rId6" ref="AE9"/>
    <hyperlink r:id="rId7" ref="AF9"/>
    <hyperlink r:id="rId8" ref="AG9"/>
    <hyperlink r:id="rId9" ref="AH9"/>
    <hyperlink r:id="rId10" ref="AI9"/>
    <hyperlink r:id="rId11" ref="AE17"/>
    <hyperlink r:id="rId12" ref="AF17"/>
    <hyperlink r:id="rId13" ref="AG17"/>
    <hyperlink r:id="rId14" ref="AH17"/>
    <hyperlink r:id="rId15" ref="AI17"/>
    <hyperlink r:id="rId16" ref="AE24"/>
    <hyperlink r:id="rId17" ref="AF24"/>
    <hyperlink r:id="rId18" ref="AG24"/>
    <hyperlink r:id="rId19" ref="AH24"/>
    <hyperlink r:id="rId20" ref="AI24"/>
    <hyperlink r:id="rId21" ref="AE31"/>
    <hyperlink r:id="rId22" ref="AF31"/>
    <hyperlink r:id="rId23" ref="AG31"/>
    <hyperlink r:id="rId24" ref="AH31"/>
    <hyperlink r:id="rId25" ref="AI31"/>
    <hyperlink r:id="rId26" location="tCOTA" ref="AE38"/>
    <hyperlink r:id="rId27" ref="AF38"/>
    <hyperlink r:id="rId28" ref="AG38"/>
    <hyperlink r:id="rId29" ref="AH38"/>
    <hyperlink r:id="rId30" ref="AI38"/>
    <hyperlink r:id="rId31" ref="AE45"/>
    <hyperlink r:id="rId32" ref="AF45"/>
    <hyperlink r:id="rId33" ref="AG45"/>
    <hyperlink r:id="rId34" ref="AH45"/>
    <hyperlink r:id="rId35" ref="AI45"/>
    <hyperlink r:id="rId36" ref="AE52"/>
    <hyperlink r:id="rId37" ref="AF52"/>
    <hyperlink r:id="rId38" ref="AG52"/>
    <hyperlink r:id="rId39" ref="AH52"/>
    <hyperlink r:id="rId40" ref="AI52"/>
    <hyperlink r:id="rId41" ref="AE59"/>
    <hyperlink r:id="rId42" ref="AF59"/>
    <hyperlink r:id="rId43" ref="AG59"/>
    <hyperlink r:id="rId44" ref="AH59"/>
    <hyperlink r:id="rId45" ref="AI59"/>
    <hyperlink r:id="rId46" ref="AE66"/>
    <hyperlink r:id="rId47" ref="AF66"/>
    <hyperlink r:id="rId48" ref="AG66"/>
    <hyperlink r:id="rId49" ref="AH66"/>
    <hyperlink r:id="rId50" ref="AI66"/>
    <hyperlink r:id="rId51" ref="AE73"/>
    <hyperlink r:id="rId52" ref="AF73"/>
    <hyperlink r:id="rId53" ref="AG73"/>
    <hyperlink r:id="rId54" ref="AH73"/>
    <hyperlink r:id="rId55" ref="AI73"/>
    <hyperlink r:id="rId56" ref="AE79"/>
    <hyperlink r:id="rId57" ref="AF79"/>
    <hyperlink r:id="rId58" ref="AG79"/>
    <hyperlink r:id="rId59" ref="AH79"/>
    <hyperlink r:id="rId60" ref="AI79"/>
    <hyperlink r:id="rId61" ref="AE85"/>
    <hyperlink r:id="rId62" ref="AF85"/>
    <hyperlink r:id="rId63" ref="AG85"/>
    <hyperlink r:id="rId64" ref="AH85"/>
    <hyperlink r:id="rId65" ref="AI85"/>
    <hyperlink r:id="rId66" ref="AE92"/>
    <hyperlink r:id="rId67" ref="AF92"/>
    <hyperlink r:id="rId68" ref="AG92"/>
    <hyperlink r:id="rId69" ref="AH92"/>
    <hyperlink r:id="rId70" ref="AI92"/>
    <hyperlink r:id="rId71" ref="AE98"/>
    <hyperlink r:id="rId72" ref="AF98"/>
    <hyperlink r:id="rId73" ref="AG98"/>
    <hyperlink r:id="rId74" ref="AH98"/>
    <hyperlink r:id="rId75" ref="AI98"/>
    <hyperlink r:id="rId76" ref="AE106"/>
    <hyperlink r:id="rId77" ref="AF106"/>
    <hyperlink r:id="rId78" ref="AG106"/>
    <hyperlink r:id="rId79" ref="AH106"/>
    <hyperlink r:id="rId80" ref="AI106"/>
    <hyperlink r:id="rId81" ref="AE112"/>
    <hyperlink r:id="rId82" ref="AF112"/>
    <hyperlink r:id="rId83" ref="AG112"/>
    <hyperlink r:id="rId84" ref="AH112"/>
    <hyperlink r:id="rId85" ref="AI112"/>
    <hyperlink r:id="rId86" ref="AE119"/>
    <hyperlink r:id="rId87" ref="AF119"/>
    <hyperlink r:id="rId88" ref="AG119"/>
    <hyperlink r:id="rId89" ref="AH119"/>
    <hyperlink r:id="rId90" ref="AI119"/>
    <hyperlink r:id="rId91" ref="AE126"/>
    <hyperlink r:id="rId92" ref="AF126"/>
    <hyperlink r:id="rId93" ref="AG126"/>
    <hyperlink r:id="rId94" ref="AH126"/>
    <hyperlink r:id="rId95" ref="AI126"/>
    <hyperlink r:id="rId96" ref="AE134"/>
    <hyperlink r:id="rId97" ref="AF134"/>
    <hyperlink r:id="rId98" ref="AG134"/>
    <hyperlink r:id="rId99" ref="AH134"/>
    <hyperlink r:id="rId100" ref="AI134"/>
    <hyperlink r:id="rId101" ref="AE141"/>
    <hyperlink r:id="rId102" ref="AF141"/>
    <hyperlink r:id="rId103" ref="AG141"/>
    <hyperlink r:id="rId104" ref="AH141"/>
    <hyperlink r:id="rId105" ref="AI141"/>
    <hyperlink r:id="rId106" location="i04bfabbd19764d13a1bce6599266bcae_596" ref="AE148"/>
    <hyperlink r:id="rId107" ref="AF148"/>
    <hyperlink r:id="rId108" ref="AG148"/>
    <hyperlink r:id="rId109" ref="AI148"/>
    <hyperlink r:id="rId110" ref="AE157"/>
    <hyperlink r:id="rId111" ref="AF157"/>
    <hyperlink r:id="rId112" ref="AG157"/>
    <hyperlink r:id="rId113" ref="AH157"/>
    <hyperlink r:id="rId114" ref="AI157"/>
    <hyperlink r:id="rId115" ref="AE163"/>
    <hyperlink r:id="rId116" ref="AF163"/>
    <hyperlink r:id="rId117" ref="AG163"/>
    <hyperlink r:id="rId118" ref="AH163"/>
    <hyperlink r:id="rId119" ref="AI163"/>
    <hyperlink r:id="rId120" ref="AE171"/>
    <hyperlink r:id="rId121" ref="AF171"/>
    <hyperlink r:id="rId122" ref="AG171"/>
    <hyperlink r:id="rId123" ref="AH171"/>
    <hyperlink r:id="rId124" ref="AI171"/>
    <hyperlink r:id="rId125" ref="AE177"/>
    <hyperlink r:id="rId126" ref="AF177"/>
    <hyperlink r:id="rId127" ref="AG177"/>
    <hyperlink r:id="rId128" ref="AH177"/>
    <hyperlink r:id="rId129" ref="AI177"/>
    <hyperlink r:id="rId130" ref="AE184"/>
    <hyperlink r:id="rId131" ref="AF184"/>
    <hyperlink r:id="rId132" ref="AG184"/>
    <hyperlink r:id="rId133" ref="AH184"/>
    <hyperlink r:id="rId134" ref="AI184"/>
    <hyperlink r:id="rId135" ref="AE191"/>
    <hyperlink r:id="rId136" ref="AF191"/>
    <hyperlink r:id="rId137" ref="AG191"/>
    <hyperlink r:id="rId138" ref="AH191"/>
    <hyperlink r:id="rId139" ref="AE196"/>
    <hyperlink r:id="rId140" ref="AF196"/>
    <hyperlink r:id="rId141" ref="AG196"/>
    <hyperlink r:id="rId142" ref="AH196"/>
    <hyperlink r:id="rId143" ref="AI196"/>
    <hyperlink r:id="rId144" ref="AE202"/>
    <hyperlink r:id="rId145" ref="AF202"/>
    <hyperlink r:id="rId146" ref="AG202"/>
    <hyperlink r:id="rId147" ref="AH202"/>
    <hyperlink r:id="rId148" ref="AI202"/>
    <hyperlink r:id="rId149" ref="AE208"/>
    <hyperlink r:id="rId150" ref="AF208"/>
    <hyperlink r:id="rId151" ref="AG208"/>
    <hyperlink r:id="rId152" ref="AH208"/>
    <hyperlink r:id="rId153" ref="AI208"/>
    <hyperlink r:id="rId154" ref="AE214"/>
    <hyperlink r:id="rId155" ref="AF214"/>
    <hyperlink r:id="rId156" ref="AG214"/>
    <hyperlink r:id="rId157" ref="AH214"/>
    <hyperlink r:id="rId158" ref="AI214"/>
    <hyperlink r:id="rId159" ref="AE220"/>
    <hyperlink r:id="rId160" ref="AF220"/>
    <hyperlink r:id="rId161" ref="AG220"/>
    <hyperlink r:id="rId162" ref="AH220"/>
    <hyperlink r:id="rId163" ref="AI220"/>
    <hyperlink r:id="rId164" ref="AE226"/>
    <hyperlink r:id="rId165" ref="AF226"/>
    <hyperlink r:id="rId166" ref="AG226"/>
    <hyperlink r:id="rId167" ref="AH226"/>
    <hyperlink r:id="rId168" ref="AI226"/>
    <hyperlink r:id="rId169" ref="AE232"/>
    <hyperlink r:id="rId170" ref="AF232"/>
    <hyperlink r:id="rId171" ref="AG232"/>
    <hyperlink r:id="rId172" ref="AH232"/>
    <hyperlink r:id="rId173" ref="AI232"/>
    <hyperlink r:id="rId174" ref="AE239"/>
    <hyperlink r:id="rId175" ref="AF239"/>
    <hyperlink r:id="rId176" ref="AG239"/>
    <hyperlink r:id="rId177" ref="AH239"/>
    <hyperlink r:id="rId178" ref="AI239"/>
    <hyperlink r:id="rId179" ref="AE245"/>
    <hyperlink r:id="rId180" ref="AF245"/>
    <hyperlink r:id="rId181" ref="AG245"/>
    <hyperlink r:id="rId182" ref="AH245"/>
    <hyperlink r:id="rId183" ref="AI245"/>
    <hyperlink r:id="rId184" ref="AE251"/>
    <hyperlink r:id="rId185" ref="AF251"/>
    <hyperlink r:id="rId186" ref="AG251"/>
    <hyperlink r:id="rId187" ref="AH251"/>
    <hyperlink r:id="rId188" ref="AI251"/>
    <hyperlink r:id="rId189" ref="AE258"/>
    <hyperlink r:id="rId190" ref="AF258"/>
    <hyperlink r:id="rId191" ref="AG258"/>
    <hyperlink r:id="rId192" ref="AH258"/>
    <hyperlink r:id="rId193" ref="AI258"/>
    <hyperlink r:id="rId194" location="summary_compensation_table" ref="AE263"/>
    <hyperlink r:id="rId195" ref="AF263"/>
    <hyperlink r:id="rId196" ref="AG263"/>
    <hyperlink r:id="rId197" ref="AH263"/>
    <hyperlink r:id="rId198" ref="AI263"/>
    <hyperlink r:id="rId199" ref="AE269"/>
    <hyperlink r:id="rId200" ref="AF269"/>
    <hyperlink r:id="rId201" ref="AG269"/>
    <hyperlink r:id="rId202" ref="AH269"/>
    <hyperlink r:id="rId203" ref="AI269"/>
    <hyperlink r:id="rId204" ref="AE275"/>
    <hyperlink r:id="rId205" ref="AF275"/>
    <hyperlink r:id="rId206" ref="AG275"/>
    <hyperlink r:id="rId207" ref="AH275"/>
    <hyperlink r:id="rId208" ref="AI275"/>
    <hyperlink r:id="rId209" ref="AE281"/>
    <hyperlink r:id="rId210" ref="AF281"/>
    <hyperlink r:id="rId211" ref="AG281"/>
    <hyperlink r:id="rId212" ref="AH281"/>
    <hyperlink r:id="rId213" ref="AI281"/>
    <hyperlink r:id="rId214" ref="AE285"/>
    <hyperlink r:id="rId215" ref="AF285"/>
    <hyperlink r:id="rId216" ref="AG285"/>
    <hyperlink r:id="rId217" ref="AH285"/>
    <hyperlink r:id="rId218" ref="AI285"/>
    <hyperlink r:id="rId219" ref="AE292"/>
    <hyperlink r:id="rId220" ref="AF292"/>
    <hyperlink r:id="rId221" ref="AG292"/>
    <hyperlink r:id="rId222" ref="AH292"/>
    <hyperlink r:id="rId223" ref="AI292"/>
    <hyperlink r:id="rId224" ref="AE299"/>
    <hyperlink r:id="rId225" ref="AF299"/>
    <hyperlink r:id="rId226" ref="AG299"/>
    <hyperlink r:id="rId227" ref="AH299"/>
    <hyperlink r:id="rId228" ref="AI299"/>
    <hyperlink r:id="rId229" ref="AE305"/>
    <hyperlink r:id="rId230" ref="AF305"/>
    <hyperlink r:id="rId231" ref="AG305"/>
    <hyperlink r:id="rId232" ref="AH305"/>
    <hyperlink r:id="rId233" ref="AI305"/>
    <hyperlink r:id="rId234" ref="AE311"/>
    <hyperlink r:id="rId235" ref="AF311"/>
    <hyperlink r:id="rId236" ref="AG311"/>
    <hyperlink r:id="rId237" ref="AH311"/>
    <hyperlink r:id="rId238" ref="AI311"/>
    <hyperlink r:id="rId239" ref="AE318"/>
    <hyperlink r:id="rId240" ref="AF318"/>
    <hyperlink r:id="rId241" ref="AG318"/>
    <hyperlink r:id="rId242" ref="AH318"/>
    <hyperlink r:id="rId243" ref="AI318"/>
    <hyperlink r:id="rId244" ref="AE325"/>
    <hyperlink r:id="rId245" ref="AF325"/>
    <hyperlink r:id="rId246" ref="AG325"/>
    <hyperlink r:id="rId247" ref="AH325"/>
    <hyperlink r:id="rId248" ref="AI325"/>
    <hyperlink r:id="rId249" ref="AE332"/>
    <hyperlink r:id="rId250" ref="AF332"/>
    <hyperlink r:id="rId251" ref="AG332"/>
    <hyperlink r:id="rId252" ref="AH332"/>
    <hyperlink r:id="rId253" ref="AI332"/>
    <hyperlink r:id="rId254" ref="AE338"/>
    <hyperlink r:id="rId255" ref="AF338"/>
    <hyperlink r:id="rId256" ref="AG338"/>
    <hyperlink r:id="rId257" ref="AH338"/>
    <hyperlink r:id="rId258" ref="AI338"/>
    <hyperlink r:id="rId259" ref="AE344"/>
    <hyperlink r:id="rId260" ref="AF344"/>
    <hyperlink r:id="rId261" ref="AG344"/>
    <hyperlink r:id="rId262" ref="AH344"/>
    <hyperlink r:id="rId263" ref="AI344"/>
    <hyperlink r:id="rId264" ref="AE351"/>
    <hyperlink r:id="rId265" ref="AF351"/>
    <hyperlink r:id="rId266" ref="AG351"/>
    <hyperlink r:id="rId267" ref="AH351"/>
    <hyperlink r:id="rId268" ref="AI351"/>
    <hyperlink r:id="rId269" ref="AE359"/>
    <hyperlink r:id="rId270" ref="AF359"/>
    <hyperlink r:id="rId271" ref="AG359"/>
    <hyperlink r:id="rId272" ref="AH359"/>
    <hyperlink r:id="rId273" ref="AI359"/>
    <hyperlink r:id="rId274" ref="AE366"/>
    <hyperlink r:id="rId275" ref="AF366"/>
    <hyperlink r:id="rId276" ref="AG366"/>
    <hyperlink r:id="rId277" ref="AH366"/>
    <hyperlink r:id="rId278" ref="AI366"/>
    <hyperlink r:id="rId279" ref="AE372"/>
    <hyperlink r:id="rId280" ref="AF372"/>
    <hyperlink r:id="rId281" location="toc32094_21" ref="AG372"/>
    <hyperlink r:id="rId282" ref="AH372"/>
    <hyperlink r:id="rId283" ref="AI372"/>
    <hyperlink r:id="rId284" ref="AE379"/>
    <hyperlink r:id="rId285" ref="AF379"/>
    <hyperlink r:id="rId286" ref="AG379"/>
    <hyperlink r:id="rId287" ref="AH379"/>
    <hyperlink r:id="rId288" ref="AI379"/>
    <hyperlink r:id="rId289" ref="AE384"/>
    <hyperlink r:id="rId290" ref="AF384"/>
    <hyperlink r:id="rId291" ref="AG384"/>
    <hyperlink r:id="rId292" ref="AH384"/>
    <hyperlink r:id="rId293" ref="AI384"/>
    <hyperlink r:id="rId294" ref="AE390"/>
    <hyperlink r:id="rId295" ref="AF390"/>
    <hyperlink r:id="rId296" ref="AG390"/>
    <hyperlink r:id="rId297" ref="AH390"/>
    <hyperlink r:id="rId298" ref="AI390"/>
    <hyperlink r:id="rId299" ref="AE396"/>
    <hyperlink r:id="rId300" ref="AF396"/>
    <hyperlink r:id="rId301" ref="AG396"/>
    <hyperlink r:id="rId302" ref="AH396"/>
    <hyperlink r:id="rId303" ref="AI396"/>
    <hyperlink r:id="rId304" ref="AE403"/>
    <hyperlink r:id="rId305" ref="AF403"/>
    <hyperlink r:id="rId306" ref="AG403"/>
    <hyperlink r:id="rId307" ref="AH403"/>
    <hyperlink r:id="rId308" ref="AI403"/>
    <hyperlink r:id="rId309" ref="AE406"/>
    <hyperlink r:id="rId310" ref="AF406"/>
    <hyperlink r:id="rId311" ref="AG406"/>
    <hyperlink r:id="rId312" ref="AH406"/>
    <hyperlink r:id="rId313" ref="AI406"/>
    <hyperlink r:id="rId314" ref="AE413"/>
    <hyperlink r:id="rId315" ref="AF413"/>
    <hyperlink r:id="rId316" ref="AG413"/>
    <hyperlink r:id="rId317" ref="AH413"/>
    <hyperlink r:id="rId318" ref="AI413"/>
    <hyperlink r:id="rId319" ref="AE424"/>
    <hyperlink r:id="rId320" ref="AF424"/>
    <hyperlink r:id="rId321" ref="AG424"/>
    <hyperlink r:id="rId322" ref="AH424"/>
    <hyperlink r:id="rId323" ref="AI424"/>
    <hyperlink r:id="rId324" ref="AE430"/>
    <hyperlink r:id="rId325" ref="AF430"/>
    <hyperlink r:id="rId326" ref="AG430"/>
    <hyperlink r:id="rId327" ref="AH430"/>
    <hyperlink r:id="rId328" ref="AI430"/>
    <hyperlink r:id="rId329" ref="AE436"/>
    <hyperlink r:id="rId330" ref="AF436"/>
    <hyperlink r:id="rId331" ref="AG436"/>
    <hyperlink r:id="rId332" ref="AH436"/>
    <hyperlink r:id="rId333" ref="AI436"/>
    <hyperlink r:id="rId334" ref="AE441"/>
    <hyperlink r:id="rId335" ref="AF441"/>
    <hyperlink r:id="rId336" ref="AG441"/>
    <hyperlink r:id="rId337" ref="AH441"/>
    <hyperlink r:id="rId338" ref="AI441"/>
    <hyperlink r:id="rId339" ref="AE447"/>
    <hyperlink r:id="rId340" ref="AF447"/>
    <hyperlink r:id="rId341" ref="AG447"/>
    <hyperlink r:id="rId342" ref="AH447"/>
    <hyperlink r:id="rId343" ref="AI447"/>
    <hyperlink r:id="rId344" ref="AE455"/>
    <hyperlink r:id="rId345" ref="AF455"/>
    <hyperlink r:id="rId346" ref="AG455"/>
    <hyperlink r:id="rId347" ref="AH455"/>
    <hyperlink r:id="rId348" ref="AI455"/>
    <hyperlink r:id="rId349" ref="AE463"/>
    <hyperlink r:id="rId350" ref="AF463"/>
    <hyperlink r:id="rId351" ref="AG463"/>
    <hyperlink r:id="rId352" ref="AH463"/>
    <hyperlink r:id="rId353" ref="AI463"/>
    <hyperlink r:id="rId354" ref="AE470"/>
    <hyperlink r:id="rId355" ref="AF470"/>
    <hyperlink r:id="rId356" ref="AG470"/>
    <hyperlink r:id="rId357" ref="AH470"/>
    <hyperlink r:id="rId358" ref="AI470"/>
    <hyperlink r:id="rId359" ref="AE477"/>
    <hyperlink r:id="rId360" ref="AF477"/>
    <hyperlink r:id="rId361" ref="AG477"/>
    <hyperlink r:id="rId362" ref="AH477"/>
    <hyperlink r:id="rId363" ref="AI477"/>
    <hyperlink r:id="rId364" ref="AE482"/>
    <hyperlink r:id="rId365" ref="AF482"/>
    <hyperlink r:id="rId366" ref="AG482"/>
    <hyperlink r:id="rId367" ref="AH482"/>
    <hyperlink r:id="rId368" ref="AI482"/>
    <hyperlink r:id="rId369" ref="AE489"/>
    <hyperlink r:id="rId370" ref="AF489"/>
    <hyperlink r:id="rId371" ref="AG489"/>
    <hyperlink r:id="rId372" ref="AH489"/>
    <hyperlink r:id="rId373" ref="AI489"/>
    <hyperlink r:id="rId374" ref="AE496"/>
    <hyperlink r:id="rId375" ref="AF496"/>
    <hyperlink r:id="rId376" ref="AG496"/>
    <hyperlink r:id="rId377" ref="AH496"/>
    <hyperlink r:id="rId378" ref="AI496"/>
    <hyperlink r:id="rId379" ref="AE502"/>
    <hyperlink r:id="rId380" ref="AF502"/>
    <hyperlink r:id="rId381" ref="AG502"/>
    <hyperlink r:id="rId382" ref="AH502"/>
    <hyperlink r:id="rId383" ref="AI502"/>
    <hyperlink r:id="rId384" ref="AE508"/>
    <hyperlink r:id="rId385" ref="AF508"/>
    <hyperlink r:id="rId386" ref="AG508"/>
    <hyperlink r:id="rId387" ref="AH508"/>
    <hyperlink r:id="rId388" ref="AI508"/>
    <hyperlink r:id="rId389" ref="AE515"/>
    <hyperlink r:id="rId390" ref="AF515"/>
    <hyperlink r:id="rId391" ref="AG515"/>
    <hyperlink r:id="rId392" ref="AH515"/>
    <hyperlink r:id="rId393" ref="AI515"/>
    <hyperlink r:id="rId394" ref="AE522"/>
    <hyperlink r:id="rId395" ref="AF522"/>
    <hyperlink r:id="rId396" ref="AG522"/>
    <hyperlink r:id="rId397" ref="AH522"/>
    <hyperlink r:id="rId398" ref="AI522"/>
    <hyperlink r:id="rId399" ref="AE528"/>
    <hyperlink r:id="rId400" ref="AF528"/>
    <hyperlink r:id="rId401" ref="AG528"/>
    <hyperlink r:id="rId402" ref="AH528"/>
    <hyperlink r:id="rId403" ref="AI528"/>
    <hyperlink r:id="rId404" ref="AE535"/>
    <hyperlink r:id="rId405" ref="AF535"/>
    <hyperlink r:id="rId406" ref="AG535"/>
    <hyperlink r:id="rId407" ref="AH535"/>
    <hyperlink r:id="rId408" ref="AI535"/>
    <hyperlink r:id="rId409" ref="AE542"/>
    <hyperlink r:id="rId410" ref="AF542"/>
    <hyperlink r:id="rId411" ref="AG542"/>
    <hyperlink r:id="rId412" ref="AH542"/>
    <hyperlink r:id="rId413" ref="AI542"/>
    <hyperlink r:id="rId414" ref="AE548"/>
    <hyperlink r:id="rId415" ref="AF548"/>
    <hyperlink r:id="rId416" ref="AG548"/>
    <hyperlink r:id="rId417" ref="AH548"/>
    <hyperlink r:id="rId418" ref="AI548"/>
    <hyperlink r:id="rId419" ref="AE555"/>
    <hyperlink r:id="rId420" ref="AF555"/>
    <hyperlink r:id="rId421" ref="AG555"/>
    <hyperlink r:id="rId422" ref="AH555"/>
    <hyperlink r:id="rId423" ref="AI555"/>
    <hyperlink r:id="rId424" ref="AE563"/>
    <hyperlink r:id="rId425" ref="AF563"/>
    <hyperlink r:id="rId426" ref="AG563"/>
    <hyperlink r:id="rId427" ref="AH563"/>
    <hyperlink r:id="rId428" ref="AI563"/>
    <hyperlink r:id="rId429" ref="AE569"/>
    <hyperlink r:id="rId430" ref="AF569"/>
    <hyperlink r:id="rId431" ref="AG569"/>
    <hyperlink r:id="rId432" ref="AH569"/>
    <hyperlink r:id="rId433" ref="AI569"/>
    <hyperlink r:id="rId434" ref="AE579"/>
    <hyperlink r:id="rId435" ref="AF579"/>
    <hyperlink r:id="rId436" ref="AG579"/>
    <hyperlink r:id="rId437" ref="AH579"/>
    <hyperlink r:id="rId438" ref="AI579"/>
    <hyperlink r:id="rId439" ref="AE587"/>
    <hyperlink r:id="rId440" ref="AF587"/>
    <hyperlink r:id="rId441" ref="AG587"/>
    <hyperlink r:id="rId442" ref="AH587"/>
    <hyperlink r:id="rId443" ref="AI587"/>
    <hyperlink r:id="rId444" ref="AE595"/>
    <hyperlink r:id="rId445" ref="AF595"/>
    <hyperlink r:id="rId446" ref="AG595"/>
    <hyperlink r:id="rId447" ref="AH595"/>
    <hyperlink r:id="rId448" ref="AI595"/>
    <hyperlink r:id="rId449" ref="AE601"/>
    <hyperlink r:id="rId450" ref="AF601"/>
    <hyperlink r:id="rId451" ref="AG601"/>
    <hyperlink r:id="rId452" ref="AH601"/>
    <hyperlink r:id="rId453" ref="AI601"/>
    <hyperlink r:id="rId454" ref="AE608"/>
    <hyperlink r:id="rId455" ref="AF608"/>
    <hyperlink r:id="rId456" ref="AG608"/>
    <hyperlink r:id="rId457" ref="AH608"/>
    <hyperlink r:id="rId458" ref="AI608"/>
    <hyperlink r:id="rId459" ref="AE614"/>
    <hyperlink r:id="rId460" ref="AF614"/>
    <hyperlink r:id="rId461" ref="AG614"/>
    <hyperlink r:id="rId462" ref="AH614"/>
    <hyperlink r:id="rId463" ref="AI614"/>
    <hyperlink r:id="rId464" ref="AE621"/>
    <hyperlink r:id="rId465" ref="AF621"/>
    <hyperlink r:id="rId466" ref="AG621"/>
    <hyperlink r:id="rId467" ref="AH621"/>
    <hyperlink r:id="rId468" ref="AI621"/>
    <hyperlink r:id="rId469" ref="AE627"/>
    <hyperlink r:id="rId470" ref="AF627"/>
    <hyperlink r:id="rId471" ref="AG627"/>
    <hyperlink r:id="rId472" ref="AH627"/>
    <hyperlink r:id="rId473" ref="AI627"/>
    <hyperlink r:id="rId474" ref="AE633"/>
    <hyperlink r:id="rId475" ref="AF633"/>
    <hyperlink r:id="rId476" ref="AG633"/>
    <hyperlink r:id="rId477" ref="AH633"/>
    <hyperlink r:id="rId478" ref="AI633"/>
    <hyperlink r:id="rId479" ref="AE639"/>
    <hyperlink r:id="rId480" ref="AF639"/>
    <hyperlink r:id="rId481" ref="AG639"/>
    <hyperlink r:id="rId482" ref="AH639"/>
    <hyperlink r:id="rId483" ref="AI639"/>
    <hyperlink r:id="rId484" ref="AE645"/>
    <hyperlink r:id="rId485" ref="AF645"/>
    <hyperlink r:id="rId486" ref="AG645"/>
    <hyperlink r:id="rId487" ref="AH645"/>
    <hyperlink r:id="rId488" ref="AI645"/>
    <hyperlink r:id="rId489" ref="AE654"/>
    <hyperlink r:id="rId490" ref="AF654"/>
    <hyperlink r:id="rId491" ref="AG654"/>
    <hyperlink r:id="rId492" ref="AH654"/>
    <hyperlink r:id="rId493" ref="AI654"/>
    <hyperlink r:id="rId494" ref="AE662"/>
    <hyperlink r:id="rId495" ref="AF662"/>
    <hyperlink r:id="rId496" ref="AG662"/>
    <hyperlink r:id="rId497" ref="AH662"/>
    <hyperlink r:id="rId498" ref="AI662"/>
    <hyperlink r:id="rId499" ref="AE668"/>
    <hyperlink r:id="rId500" ref="AF668"/>
    <hyperlink r:id="rId501" ref="AG668"/>
    <hyperlink r:id="rId502" ref="AH668"/>
    <hyperlink r:id="rId503" ref="AI668"/>
    <hyperlink r:id="rId504" ref="AE675"/>
    <hyperlink r:id="rId505" ref="AF675"/>
    <hyperlink r:id="rId506" ref="AG675"/>
    <hyperlink r:id="rId507" ref="AH675"/>
    <hyperlink r:id="rId508" ref="AI675"/>
    <hyperlink r:id="rId509" ref="AE681"/>
    <hyperlink r:id="rId510" ref="AF681"/>
    <hyperlink r:id="rId511" ref="AG681"/>
    <hyperlink r:id="rId512" ref="AH681"/>
    <hyperlink r:id="rId513" ref="AI681"/>
    <hyperlink r:id="rId514" ref="AE687"/>
    <hyperlink r:id="rId515" ref="AF687"/>
    <hyperlink r:id="rId516" ref="AG687"/>
    <hyperlink r:id="rId517" ref="AH687"/>
    <hyperlink r:id="rId518" ref="AI687"/>
    <hyperlink r:id="rId519" ref="AE693"/>
    <hyperlink r:id="rId520" ref="AF693"/>
    <hyperlink r:id="rId521" ref="AG693"/>
    <hyperlink r:id="rId522" ref="AH693"/>
    <hyperlink r:id="rId523" ref="AI693"/>
    <hyperlink r:id="rId524" ref="AE699"/>
    <hyperlink r:id="rId525" ref="AF699"/>
    <hyperlink r:id="rId526" ref="AG699"/>
    <hyperlink r:id="rId527" ref="AH699"/>
    <hyperlink r:id="rId528" ref="AI699"/>
    <hyperlink r:id="rId529" ref="AE704"/>
    <hyperlink r:id="rId530" ref="AF704"/>
    <hyperlink r:id="rId531" ref="AG704"/>
    <hyperlink r:id="rId532" ref="AH704"/>
    <hyperlink r:id="rId533" ref="AI704"/>
    <hyperlink r:id="rId534" ref="AE713"/>
    <hyperlink r:id="rId535" ref="AF713"/>
    <hyperlink r:id="rId536" ref="AG713"/>
    <hyperlink r:id="rId537" ref="AH713"/>
    <hyperlink r:id="rId538" ref="AI713"/>
    <hyperlink r:id="rId539" ref="AE720"/>
    <hyperlink r:id="rId540" ref="AF720"/>
    <hyperlink r:id="rId541" ref="AG720"/>
    <hyperlink r:id="rId542" ref="AH720"/>
    <hyperlink r:id="rId543" ref="AI720"/>
    <hyperlink r:id="rId544" ref="AE726"/>
    <hyperlink r:id="rId545" ref="AF726"/>
    <hyperlink r:id="rId546" ref="AG726"/>
    <hyperlink r:id="rId547" ref="AH726"/>
    <hyperlink r:id="rId548" ref="AI726"/>
    <hyperlink r:id="rId549" ref="AE733"/>
    <hyperlink r:id="rId550" ref="AF733"/>
    <hyperlink r:id="rId551" ref="AG733"/>
    <hyperlink r:id="rId552" ref="AH733"/>
    <hyperlink r:id="rId553" ref="AI733"/>
    <hyperlink r:id="rId554" ref="AE742"/>
    <hyperlink r:id="rId555" ref="AF742"/>
    <hyperlink r:id="rId556" ref="AG742"/>
    <hyperlink r:id="rId557" ref="AH742"/>
    <hyperlink r:id="rId558" ref="AI742"/>
    <hyperlink r:id="rId559" ref="AE750"/>
    <hyperlink r:id="rId560" ref="AF750"/>
    <hyperlink r:id="rId561" ref="AG750"/>
    <hyperlink r:id="rId562" ref="AH750"/>
    <hyperlink r:id="rId563" ref="AI750"/>
    <hyperlink r:id="rId564" ref="AE755"/>
    <hyperlink r:id="rId565" ref="AF755"/>
    <hyperlink r:id="rId566" ref="AG755"/>
    <hyperlink r:id="rId567" ref="AH755"/>
    <hyperlink r:id="rId568" ref="AI755"/>
    <hyperlink r:id="rId569" ref="AE761"/>
    <hyperlink r:id="rId570" ref="AF761"/>
    <hyperlink r:id="rId571" ref="AG761"/>
    <hyperlink r:id="rId572" ref="AH761"/>
    <hyperlink r:id="rId573" ref="AI761"/>
    <hyperlink r:id="rId574" ref="AE767"/>
    <hyperlink r:id="rId575" ref="AF767"/>
    <hyperlink r:id="rId576" ref="AG767"/>
    <hyperlink r:id="rId577" ref="AH767"/>
    <hyperlink r:id="rId578" ref="AI767"/>
    <hyperlink r:id="rId579" ref="AE774"/>
    <hyperlink r:id="rId580" ref="AF774"/>
    <hyperlink r:id="rId581" ref="AG774"/>
    <hyperlink r:id="rId582" ref="AH774"/>
    <hyperlink r:id="rId583" ref="AI774"/>
    <hyperlink r:id="rId584" ref="AE779"/>
    <hyperlink r:id="rId585" ref="AF779"/>
    <hyperlink r:id="rId586" ref="AG779"/>
    <hyperlink r:id="rId587" ref="AH779"/>
    <hyperlink r:id="rId588" ref="AI779"/>
    <hyperlink r:id="rId589" ref="AE786"/>
    <hyperlink r:id="rId590" ref="AF786"/>
    <hyperlink r:id="rId591" ref="AG786"/>
    <hyperlink r:id="rId592" ref="AH786"/>
    <hyperlink r:id="rId593" ref="AI786"/>
    <hyperlink r:id="rId594" ref="AE793"/>
    <hyperlink r:id="rId595" ref="AF793"/>
    <hyperlink r:id="rId596" ref="AG793"/>
    <hyperlink r:id="rId597" ref="AH793"/>
    <hyperlink r:id="rId598" ref="AI793"/>
    <hyperlink r:id="rId599" ref="AE800"/>
    <hyperlink r:id="rId600" ref="AF800"/>
    <hyperlink r:id="rId601" ref="AG800"/>
    <hyperlink r:id="rId602" ref="AH800"/>
    <hyperlink r:id="rId603" ref="AI800"/>
    <hyperlink r:id="rId604" ref="AE806"/>
    <hyperlink r:id="rId605" ref="AF806"/>
    <hyperlink r:id="rId606" ref="AG806"/>
    <hyperlink r:id="rId607" ref="AH806"/>
    <hyperlink r:id="rId608" ref="AI806"/>
    <hyperlink r:id="rId609" ref="AE811"/>
    <hyperlink r:id="rId610" ref="AF811"/>
    <hyperlink r:id="rId611" ref="AG811"/>
    <hyperlink r:id="rId612" ref="AH811"/>
    <hyperlink r:id="rId613" ref="AI811"/>
    <hyperlink r:id="rId614" ref="AE818"/>
    <hyperlink r:id="rId615" ref="AF818"/>
    <hyperlink r:id="rId616" ref="AG818"/>
    <hyperlink r:id="rId617" ref="AH818"/>
    <hyperlink r:id="rId618" ref="AI818"/>
    <hyperlink r:id="rId619" ref="AE824"/>
    <hyperlink r:id="rId620" ref="AF824"/>
    <hyperlink r:id="rId621" ref="AG824"/>
    <hyperlink r:id="rId622" ref="AH824"/>
    <hyperlink r:id="rId623" ref="AI824"/>
    <hyperlink r:id="rId624" ref="AE830"/>
    <hyperlink r:id="rId625" ref="AF830"/>
    <hyperlink r:id="rId626" ref="AG830"/>
    <hyperlink r:id="rId627" ref="AH830"/>
    <hyperlink r:id="rId628" ref="AI830"/>
    <hyperlink r:id="rId629" ref="AE836"/>
    <hyperlink r:id="rId630" ref="AF836"/>
    <hyperlink r:id="rId631" ref="AG836"/>
    <hyperlink r:id="rId632" ref="AH836"/>
    <hyperlink r:id="rId633" ref="AI836"/>
    <hyperlink r:id="rId634" ref="AE844"/>
    <hyperlink r:id="rId635" ref="AF844"/>
    <hyperlink r:id="rId636" ref="AG844"/>
    <hyperlink r:id="rId637" ref="AH844"/>
    <hyperlink r:id="rId638" ref="AI844"/>
    <hyperlink r:id="rId639" ref="AE850"/>
    <hyperlink r:id="rId640" ref="AF850"/>
    <hyperlink r:id="rId641" ref="AG850"/>
    <hyperlink r:id="rId642" ref="AH850"/>
    <hyperlink r:id="rId643" ref="AI850"/>
    <hyperlink r:id="rId644" ref="AE858"/>
    <hyperlink r:id="rId645" ref="AF858"/>
    <hyperlink r:id="rId646" ref="AG858"/>
    <hyperlink r:id="rId647" ref="AH858"/>
    <hyperlink r:id="rId648" ref="AI858"/>
    <hyperlink r:id="rId649" ref="AE865"/>
    <hyperlink r:id="rId650" ref="AF865"/>
    <hyperlink r:id="rId651" ref="AG865"/>
    <hyperlink r:id="rId652" ref="AH865"/>
    <hyperlink r:id="rId653" ref="AI865"/>
    <hyperlink r:id="rId654" ref="AE871"/>
    <hyperlink r:id="rId655" ref="AF871"/>
    <hyperlink r:id="rId656" ref="AG871"/>
    <hyperlink r:id="rId657" ref="AH871"/>
    <hyperlink r:id="rId658" ref="AI871"/>
    <hyperlink r:id="rId659" ref="AE878"/>
    <hyperlink r:id="rId660" ref="AF878"/>
    <hyperlink r:id="rId661" ref="AG878"/>
    <hyperlink r:id="rId662" ref="AH878"/>
    <hyperlink r:id="rId663" ref="AI878"/>
    <hyperlink r:id="rId664" ref="AE884"/>
    <hyperlink r:id="rId665" ref="AF884"/>
    <hyperlink r:id="rId666" ref="AG884"/>
    <hyperlink r:id="rId667" ref="AH884"/>
    <hyperlink r:id="rId668" ref="AI884"/>
    <hyperlink r:id="rId669" ref="AE891"/>
    <hyperlink r:id="rId670" ref="AF891"/>
    <hyperlink r:id="rId671" ref="AG891"/>
    <hyperlink r:id="rId672" ref="AH891"/>
    <hyperlink r:id="rId673" ref="AI891"/>
    <hyperlink r:id="rId674" ref="AE898"/>
    <hyperlink r:id="rId675" ref="AF898"/>
    <hyperlink r:id="rId676" ref="AG898"/>
    <hyperlink r:id="rId677" ref="AH898"/>
    <hyperlink r:id="rId678" ref="AI898"/>
    <hyperlink r:id="rId679" ref="AE905"/>
    <hyperlink r:id="rId680" ref="AF905"/>
    <hyperlink r:id="rId681" ref="AG905"/>
    <hyperlink r:id="rId682" ref="AH905"/>
    <hyperlink r:id="rId683" ref="AI905"/>
    <hyperlink r:id="rId684" ref="AE911"/>
    <hyperlink r:id="rId685" ref="AF911"/>
    <hyperlink r:id="rId686" ref="AG911"/>
    <hyperlink r:id="rId687" ref="AH911"/>
    <hyperlink r:id="rId688" ref="AI911"/>
    <hyperlink r:id="rId689" ref="AE917"/>
    <hyperlink r:id="rId690" ref="AF917"/>
    <hyperlink r:id="rId691" ref="AG917"/>
    <hyperlink r:id="rId692" ref="AH917"/>
    <hyperlink r:id="rId693" ref="AI917"/>
    <hyperlink r:id="rId694" ref="AE925"/>
    <hyperlink r:id="rId695" ref="AF925"/>
    <hyperlink r:id="rId696" ref="AG925"/>
    <hyperlink r:id="rId697" ref="AE932"/>
    <hyperlink r:id="rId698" ref="AF932"/>
    <hyperlink r:id="rId699" ref="AG932"/>
    <hyperlink r:id="rId700" ref="AH932"/>
    <hyperlink r:id="rId701" ref="AI932"/>
    <hyperlink r:id="rId702" ref="AE938"/>
    <hyperlink r:id="rId703" ref="AF938"/>
    <hyperlink r:id="rId704" ref="AG938"/>
    <hyperlink r:id="rId705" ref="AH938"/>
    <hyperlink r:id="rId706" ref="AI938"/>
    <hyperlink r:id="rId707" ref="AE944"/>
    <hyperlink r:id="rId708" ref="AF944"/>
    <hyperlink r:id="rId709" ref="AG944"/>
    <hyperlink r:id="rId710" ref="AH944"/>
    <hyperlink r:id="rId711" ref="AI944"/>
    <hyperlink r:id="rId712" ref="AE951"/>
    <hyperlink r:id="rId713" ref="AF951"/>
    <hyperlink r:id="rId714" ref="AG951"/>
    <hyperlink r:id="rId715" ref="AH951"/>
    <hyperlink r:id="rId716" ref="AI951"/>
    <hyperlink r:id="rId717" ref="AE956"/>
    <hyperlink r:id="rId718" ref="AF956"/>
    <hyperlink r:id="rId719" ref="AG956"/>
    <hyperlink r:id="rId720" ref="AH956"/>
    <hyperlink r:id="rId721" ref="AI956"/>
    <hyperlink r:id="rId722" ref="AE961"/>
    <hyperlink r:id="rId723" ref="AF961"/>
    <hyperlink r:id="rId724" ref="AG961"/>
    <hyperlink r:id="rId725" ref="AH961"/>
    <hyperlink r:id="rId726" ref="AI961"/>
    <hyperlink r:id="rId727" ref="AE968"/>
    <hyperlink r:id="rId728" ref="AF968"/>
    <hyperlink r:id="rId729" ref="AG968"/>
    <hyperlink r:id="rId730" ref="AH968"/>
    <hyperlink r:id="rId731" ref="AI968"/>
    <hyperlink r:id="rId732" ref="AE976"/>
    <hyperlink r:id="rId733" ref="AF976"/>
    <hyperlink r:id="rId734" ref="AG976"/>
    <hyperlink r:id="rId735" ref="AH976"/>
    <hyperlink r:id="rId736" ref="AI976"/>
    <hyperlink r:id="rId737" ref="AE982"/>
    <hyperlink r:id="rId738" ref="AF982"/>
    <hyperlink r:id="rId739" ref="AG982"/>
    <hyperlink r:id="rId740" ref="AH982"/>
    <hyperlink r:id="rId741" ref="AI982"/>
    <hyperlink r:id="rId742" ref="AE988"/>
    <hyperlink r:id="rId743" ref="AF988"/>
    <hyperlink r:id="rId744" ref="AG988"/>
    <hyperlink r:id="rId745" ref="AH988"/>
    <hyperlink r:id="rId746" ref="AI988"/>
    <hyperlink r:id="rId747" ref="AE993"/>
    <hyperlink r:id="rId748" ref="AF993"/>
    <hyperlink r:id="rId749" ref="AG993"/>
    <hyperlink r:id="rId750" ref="AH993"/>
    <hyperlink r:id="rId751" ref="AI993"/>
    <hyperlink r:id="rId752" ref="AE1000"/>
    <hyperlink r:id="rId753" ref="AF1000"/>
    <hyperlink r:id="rId754" ref="AG1000"/>
    <hyperlink r:id="rId755" ref="AH1000"/>
    <hyperlink r:id="rId756" ref="AI1000"/>
    <hyperlink r:id="rId757" ref="AE1007"/>
    <hyperlink r:id="rId758" ref="AF1007"/>
    <hyperlink r:id="rId759" ref="AG1007"/>
    <hyperlink r:id="rId760" ref="AH1007"/>
    <hyperlink r:id="rId761" ref="AI1007"/>
    <hyperlink r:id="rId762" ref="AE1014"/>
    <hyperlink r:id="rId763" ref="AF1014"/>
    <hyperlink r:id="rId764" ref="AG1014"/>
    <hyperlink r:id="rId765" ref="AH1014"/>
    <hyperlink r:id="rId766" ref="AI1014"/>
    <hyperlink r:id="rId767" ref="AE1020"/>
    <hyperlink r:id="rId768" ref="AF1020"/>
    <hyperlink r:id="rId769" ref="AG1020"/>
    <hyperlink r:id="rId770" ref="AH1020"/>
    <hyperlink r:id="rId771" ref="AI1020"/>
    <hyperlink r:id="rId772" ref="AE1026"/>
    <hyperlink r:id="rId773" ref="AF1026"/>
    <hyperlink r:id="rId774" ref="AG1026"/>
    <hyperlink r:id="rId775" ref="AH1026"/>
    <hyperlink r:id="rId776" ref="AI1026"/>
    <hyperlink r:id="rId777" ref="AE1033"/>
    <hyperlink r:id="rId778" ref="AF1033"/>
    <hyperlink r:id="rId779" ref="AG1033"/>
    <hyperlink r:id="rId780" ref="AH1033"/>
    <hyperlink r:id="rId781" ref="AI1033"/>
    <hyperlink r:id="rId782" ref="AE1040"/>
    <hyperlink r:id="rId783" ref="AF1040"/>
    <hyperlink r:id="rId784" ref="AG1040"/>
    <hyperlink r:id="rId785" ref="AH1040"/>
    <hyperlink r:id="rId786" ref="AI1040"/>
    <hyperlink r:id="rId787" ref="AE1048"/>
    <hyperlink r:id="rId788" ref="AF1048"/>
    <hyperlink r:id="rId789" ref="AG1048"/>
    <hyperlink r:id="rId790" ref="AH1048"/>
    <hyperlink r:id="rId791" ref="AI1048"/>
    <hyperlink r:id="rId792" ref="AE1055"/>
    <hyperlink r:id="rId793" ref="AF1055"/>
    <hyperlink r:id="rId794" ref="AG1055"/>
    <hyperlink r:id="rId795" ref="AH1055"/>
    <hyperlink r:id="rId796" ref="AI1055"/>
    <hyperlink r:id="rId797" ref="AE1062"/>
    <hyperlink r:id="rId798" ref="AF1062"/>
    <hyperlink r:id="rId799" ref="AG1062"/>
    <hyperlink r:id="rId800" ref="AH1062"/>
    <hyperlink r:id="rId801" ref="AI1062"/>
    <hyperlink r:id="rId802" ref="AE1069"/>
    <hyperlink r:id="rId803" ref="AF1069"/>
    <hyperlink r:id="rId804" ref="AG1069"/>
    <hyperlink r:id="rId805" ref="AH1069"/>
    <hyperlink r:id="rId806" ref="AI1069"/>
    <hyperlink r:id="rId807" ref="AE1077"/>
    <hyperlink r:id="rId808" ref="AF1077"/>
    <hyperlink r:id="rId809" ref="AG1077"/>
    <hyperlink r:id="rId810" ref="AH1077"/>
    <hyperlink r:id="rId811" ref="AI1077"/>
    <hyperlink r:id="rId812" ref="AE1083"/>
    <hyperlink r:id="rId813" ref="AF1083"/>
    <hyperlink r:id="rId814" ref="AG1083"/>
    <hyperlink r:id="rId815" ref="AH1083"/>
    <hyperlink r:id="rId816" ref="AI1083"/>
    <hyperlink r:id="rId817" ref="AE1090"/>
    <hyperlink r:id="rId818" ref="AF1090"/>
    <hyperlink r:id="rId819" ref="AG1090"/>
    <hyperlink r:id="rId820" ref="AH1090"/>
    <hyperlink r:id="rId821" ref="AI1090"/>
    <hyperlink r:id="rId822" ref="AE1096"/>
    <hyperlink r:id="rId823" ref="AF1096"/>
    <hyperlink r:id="rId824" ref="AG1096"/>
    <hyperlink r:id="rId825" ref="AH1096"/>
    <hyperlink r:id="rId826" ref="AI1096"/>
    <hyperlink r:id="rId827" ref="AE1102"/>
    <hyperlink r:id="rId828" ref="AF1102"/>
    <hyperlink r:id="rId829" ref="AG1102"/>
    <hyperlink r:id="rId830" ref="AH1102"/>
    <hyperlink r:id="rId831" ref="AI1102"/>
    <hyperlink r:id="rId832" ref="AE1109"/>
    <hyperlink r:id="rId833" ref="AF1109"/>
    <hyperlink r:id="rId834" ref="AG1109"/>
    <hyperlink r:id="rId835" ref="AH1109"/>
    <hyperlink r:id="rId836" ref="AI1109"/>
    <hyperlink r:id="rId837" ref="AE1117"/>
    <hyperlink r:id="rId838" ref="AF1117"/>
    <hyperlink r:id="rId839" ref="AG1117"/>
    <hyperlink r:id="rId840" ref="AH1117"/>
    <hyperlink r:id="rId841" ref="AI1117"/>
    <hyperlink r:id="rId842" ref="AE1122"/>
    <hyperlink r:id="rId843" ref="AF1122"/>
    <hyperlink r:id="rId844" ref="AG1122"/>
    <hyperlink r:id="rId845" ref="AH1122"/>
    <hyperlink r:id="rId846" ref="AI1122"/>
    <hyperlink r:id="rId847" ref="AE1128"/>
    <hyperlink r:id="rId848" ref="AF1128"/>
    <hyperlink r:id="rId849" ref="AG1128"/>
    <hyperlink r:id="rId850" ref="AH1128"/>
    <hyperlink r:id="rId851" ref="AI1128"/>
    <hyperlink r:id="rId852" ref="AE1135"/>
    <hyperlink r:id="rId853" ref="AF1135"/>
    <hyperlink r:id="rId854" ref="AG1135"/>
    <hyperlink r:id="rId855" ref="AH1135"/>
    <hyperlink r:id="rId856" ref="AI1135"/>
    <hyperlink r:id="rId857" ref="AE1142"/>
    <hyperlink r:id="rId858" ref="AF1142"/>
    <hyperlink r:id="rId859" ref="AG1142"/>
    <hyperlink r:id="rId860" ref="AH1142"/>
    <hyperlink r:id="rId861" ref="AI1142"/>
    <hyperlink r:id="rId862" ref="AE1148"/>
    <hyperlink r:id="rId863" ref="AF1148"/>
    <hyperlink r:id="rId864" ref="AG1148"/>
    <hyperlink r:id="rId865" ref="AH1148"/>
    <hyperlink r:id="rId866" ref="AI1148"/>
    <hyperlink r:id="rId867" ref="AE1156"/>
    <hyperlink r:id="rId868" ref="AF1156"/>
    <hyperlink r:id="rId869" ref="AG1156"/>
    <hyperlink r:id="rId870" ref="AH1156"/>
    <hyperlink r:id="rId871" ref="AI1156"/>
    <hyperlink r:id="rId872" ref="AE1164"/>
    <hyperlink r:id="rId873" ref="AF1164"/>
    <hyperlink r:id="rId874" ref="AG1164"/>
    <hyperlink r:id="rId875" ref="AH1164"/>
    <hyperlink r:id="rId876" ref="AI1164"/>
    <hyperlink r:id="rId877" ref="AE1171"/>
    <hyperlink r:id="rId878" ref="AF1171"/>
    <hyperlink r:id="rId879" ref="AG1171"/>
    <hyperlink r:id="rId880" ref="AH1171"/>
    <hyperlink r:id="rId881" ref="AI1171"/>
    <hyperlink r:id="rId882" ref="AE1180"/>
    <hyperlink r:id="rId883" ref="AF1180"/>
    <hyperlink r:id="rId884" ref="AG1180"/>
    <hyperlink r:id="rId885" ref="AH1180"/>
    <hyperlink r:id="rId886" ref="AI1180"/>
    <hyperlink r:id="rId887" ref="AE1186"/>
    <hyperlink r:id="rId888" ref="AF1186"/>
    <hyperlink r:id="rId889" ref="AG1186"/>
    <hyperlink r:id="rId890" ref="AH1186"/>
    <hyperlink r:id="rId891" ref="AI1186"/>
    <hyperlink r:id="rId892" ref="AE1192"/>
    <hyperlink r:id="rId893" ref="AF1192"/>
    <hyperlink r:id="rId894" ref="AG1192"/>
    <hyperlink r:id="rId895" ref="AH1192"/>
    <hyperlink r:id="rId896" ref="AI1192"/>
  </hyperlinks>
  <printOptions gridLines="1" horizontalCentered="1"/>
  <pageMargins bottom="0.75" footer="0.0" header="0.0" left="0.25" right="0.25" top="0.75"/>
  <pageSetup fitToHeight="0" cellComments="atEnd" orientation="landscape" pageOrder="overThenDown"/>
  <drawing r:id="rId89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63"/>
    <col customWidth="1" hidden="1" min="2" max="22" width="6.38"/>
    <col customWidth="1" min="23" max="104" width="6.38"/>
  </cols>
  <sheetData>
    <row r="1">
      <c r="A1" s="622" t="s">
        <v>3260</v>
      </c>
      <c r="B1" s="623">
        <v>1929.0</v>
      </c>
      <c r="C1" s="623">
        <v>1930.0</v>
      </c>
      <c r="D1" s="623">
        <v>1931.0</v>
      </c>
      <c r="E1" s="623">
        <v>1932.0</v>
      </c>
      <c r="F1" s="623">
        <v>1933.0</v>
      </c>
      <c r="G1" s="623">
        <v>1934.0</v>
      </c>
      <c r="H1" s="623">
        <v>1935.0</v>
      </c>
      <c r="I1" s="623">
        <v>1936.0</v>
      </c>
      <c r="J1" s="623">
        <v>1937.0</v>
      </c>
      <c r="K1" s="623">
        <v>1938.0</v>
      </c>
      <c r="L1" s="623">
        <v>1939.0</v>
      </c>
      <c r="M1" s="623">
        <v>1940.0</v>
      </c>
      <c r="N1" s="623">
        <v>1941.0</v>
      </c>
      <c r="O1" s="623">
        <v>1942.0</v>
      </c>
      <c r="P1" s="623">
        <v>1943.0</v>
      </c>
      <c r="Q1" s="623">
        <v>1944.0</v>
      </c>
      <c r="R1" s="623">
        <v>1945.0</v>
      </c>
      <c r="S1" s="623">
        <v>1946.0</v>
      </c>
      <c r="T1" s="623">
        <v>1947.0</v>
      </c>
      <c r="U1" s="623">
        <v>1948.0</v>
      </c>
      <c r="V1" s="623">
        <v>1949.0</v>
      </c>
      <c r="W1" s="623">
        <v>1950.0</v>
      </c>
      <c r="X1" s="623">
        <v>1951.0</v>
      </c>
      <c r="Y1" s="623">
        <v>1952.0</v>
      </c>
      <c r="Z1" s="623">
        <v>1953.0</v>
      </c>
      <c r="AA1" s="623">
        <v>1954.0</v>
      </c>
      <c r="AB1" s="623">
        <v>1955.0</v>
      </c>
      <c r="AC1" s="623">
        <v>1956.0</v>
      </c>
      <c r="AD1" s="623">
        <v>1957.0</v>
      </c>
      <c r="AE1" s="623">
        <v>1958.0</v>
      </c>
      <c r="AF1" s="623">
        <v>1959.0</v>
      </c>
      <c r="AG1" s="623">
        <v>1960.0</v>
      </c>
      <c r="AH1" s="623">
        <v>1961.0</v>
      </c>
      <c r="AI1" s="623">
        <v>1962.0</v>
      </c>
      <c r="AJ1" s="623">
        <v>1963.0</v>
      </c>
      <c r="AK1" s="623">
        <v>1964.0</v>
      </c>
      <c r="AL1" s="623">
        <v>1965.0</v>
      </c>
      <c r="AM1" s="623">
        <v>1966.0</v>
      </c>
      <c r="AN1" s="623">
        <v>1967.0</v>
      </c>
      <c r="AO1" s="623">
        <v>1968.0</v>
      </c>
      <c r="AP1" s="623">
        <v>1969.0</v>
      </c>
      <c r="AQ1" s="623">
        <v>1970.0</v>
      </c>
      <c r="AR1" s="623">
        <v>1971.0</v>
      </c>
      <c r="AS1" s="623">
        <v>1972.0</v>
      </c>
      <c r="AT1" s="623">
        <v>1973.0</v>
      </c>
      <c r="AU1" s="623">
        <v>1974.0</v>
      </c>
      <c r="AV1" s="623">
        <v>1975.0</v>
      </c>
      <c r="AW1" s="623">
        <v>1976.0</v>
      </c>
      <c r="AX1" s="623">
        <v>1977.0</v>
      </c>
      <c r="AY1" s="623">
        <v>1978.0</v>
      </c>
      <c r="AZ1" s="623">
        <v>1979.0</v>
      </c>
      <c r="BA1" s="623">
        <v>1980.0</v>
      </c>
      <c r="BB1" s="623">
        <v>1981.0</v>
      </c>
      <c r="BC1" s="623">
        <v>1982.0</v>
      </c>
      <c r="BD1" s="623">
        <v>1983.0</v>
      </c>
      <c r="BE1" s="623">
        <v>1984.0</v>
      </c>
      <c r="BF1" s="623">
        <v>1985.0</v>
      </c>
      <c r="BG1" s="623">
        <v>1986.0</v>
      </c>
      <c r="BH1" s="623">
        <v>1987.0</v>
      </c>
      <c r="BI1" s="623">
        <v>1988.0</v>
      </c>
      <c r="BJ1" s="623">
        <v>1989.0</v>
      </c>
      <c r="BK1" s="623">
        <v>1990.0</v>
      </c>
      <c r="BL1" s="623">
        <v>1991.0</v>
      </c>
      <c r="BM1" s="623">
        <v>1992.0</v>
      </c>
      <c r="BN1" s="623">
        <v>1993.0</v>
      </c>
      <c r="BO1" s="623">
        <v>1994.0</v>
      </c>
      <c r="BP1" s="623">
        <v>1995.0</v>
      </c>
      <c r="BQ1" s="623">
        <v>1996.0</v>
      </c>
      <c r="BR1" s="623">
        <v>1997.0</v>
      </c>
      <c r="BS1" s="623">
        <v>1998.0</v>
      </c>
      <c r="BT1" s="623">
        <v>1999.0</v>
      </c>
      <c r="BU1" s="623">
        <v>2000.0</v>
      </c>
      <c r="BV1" s="623">
        <v>2001.0</v>
      </c>
      <c r="BW1" s="623">
        <v>2002.0</v>
      </c>
      <c r="BX1" s="623">
        <v>2003.0</v>
      </c>
      <c r="BY1" s="623">
        <v>2004.0</v>
      </c>
      <c r="BZ1" s="623">
        <v>2005.0</v>
      </c>
      <c r="CA1" s="623">
        <v>2006.0</v>
      </c>
      <c r="CB1" s="623">
        <v>2007.0</v>
      </c>
      <c r="CC1" s="623">
        <v>2008.0</v>
      </c>
      <c r="CD1" s="623">
        <v>2009.0</v>
      </c>
      <c r="CE1" s="623">
        <v>2010.0</v>
      </c>
      <c r="CF1" s="623">
        <v>2011.0</v>
      </c>
      <c r="CG1" s="623">
        <v>2012.0</v>
      </c>
      <c r="CH1" s="623">
        <v>2013.0</v>
      </c>
      <c r="CI1" s="623">
        <v>2014.0</v>
      </c>
      <c r="CJ1" s="623">
        <v>2015.0</v>
      </c>
      <c r="CK1" s="623">
        <v>2016.0</v>
      </c>
      <c r="CL1" s="623">
        <v>2017.0</v>
      </c>
      <c r="CM1" s="623">
        <v>2018.0</v>
      </c>
      <c r="CN1" s="623">
        <v>2019.0</v>
      </c>
      <c r="CO1" s="623">
        <v>2020.0</v>
      </c>
      <c r="CP1" s="623">
        <v>2021.0</v>
      </c>
      <c r="CQ1" s="623">
        <v>2022.0</v>
      </c>
      <c r="CR1" s="623">
        <v>2023.0</v>
      </c>
      <c r="CS1" s="623"/>
      <c r="CT1" s="623"/>
      <c r="CU1" s="623"/>
      <c r="CV1" s="623"/>
      <c r="CW1" s="623"/>
      <c r="CX1" s="623"/>
      <c r="CY1" s="623"/>
      <c r="CZ1" s="623"/>
    </row>
    <row r="2">
      <c r="A2" s="624" t="s">
        <v>3261</v>
      </c>
      <c r="B2" s="625">
        <v>104.556</v>
      </c>
      <c r="C2" s="625">
        <v>92.16</v>
      </c>
      <c r="D2" s="625">
        <v>77.391</v>
      </c>
      <c r="E2" s="625">
        <v>59.522</v>
      </c>
      <c r="F2" s="625">
        <v>57.154</v>
      </c>
      <c r="G2" s="625">
        <v>66.8</v>
      </c>
      <c r="H2" s="625">
        <v>74.241</v>
      </c>
      <c r="I2" s="625">
        <v>84.83</v>
      </c>
      <c r="J2" s="625">
        <v>93.003</v>
      </c>
      <c r="K2" s="625">
        <v>87.352</v>
      </c>
      <c r="L2" s="625">
        <v>93.437</v>
      </c>
      <c r="M2" s="625">
        <v>102.899</v>
      </c>
      <c r="N2" s="625">
        <v>129.309</v>
      </c>
      <c r="O2" s="625">
        <v>165.952</v>
      </c>
      <c r="P2" s="625">
        <v>203.084</v>
      </c>
      <c r="Q2" s="625">
        <v>224.447</v>
      </c>
      <c r="R2" s="625">
        <v>228.007</v>
      </c>
      <c r="S2" s="625">
        <v>227.535</v>
      </c>
      <c r="T2" s="625">
        <v>249.616</v>
      </c>
      <c r="U2" s="625">
        <v>274.468</v>
      </c>
      <c r="V2" s="625">
        <v>272.475</v>
      </c>
      <c r="W2" s="625">
        <v>299.827</v>
      </c>
      <c r="X2" s="625">
        <v>346.914</v>
      </c>
      <c r="Y2" s="625">
        <v>367.341</v>
      </c>
      <c r="Z2" s="625">
        <v>389.218</v>
      </c>
      <c r="AA2" s="625">
        <v>390.549</v>
      </c>
      <c r="AB2" s="625">
        <v>425.478</v>
      </c>
      <c r="AC2" s="625">
        <v>449.353</v>
      </c>
      <c r="AD2" s="625">
        <v>474.039</v>
      </c>
      <c r="AE2" s="625">
        <v>481.229</v>
      </c>
      <c r="AF2" s="625">
        <v>521.654</v>
      </c>
      <c r="AG2" s="625">
        <v>542.382</v>
      </c>
      <c r="AH2" s="625">
        <v>562.209</v>
      </c>
      <c r="AI2" s="625">
        <v>603.922</v>
      </c>
      <c r="AJ2" s="625">
        <v>637.45</v>
      </c>
      <c r="AK2" s="625">
        <v>684.46</v>
      </c>
      <c r="AL2" s="625">
        <v>742.289</v>
      </c>
      <c r="AM2" s="625">
        <v>813.414</v>
      </c>
      <c r="AN2" s="625">
        <v>859.959</v>
      </c>
      <c r="AO2" s="625">
        <v>940.651</v>
      </c>
      <c r="AP2" s="625">
        <v>1017.615</v>
      </c>
      <c r="AQ2" s="625">
        <v>1073.303</v>
      </c>
      <c r="AR2" s="625">
        <v>1164.85</v>
      </c>
      <c r="AS2" s="625">
        <v>1279.11</v>
      </c>
      <c r="AT2" s="625">
        <v>1425.376</v>
      </c>
      <c r="AU2" s="625">
        <v>1545.243</v>
      </c>
      <c r="AV2" s="625">
        <v>1684.904</v>
      </c>
      <c r="AW2" s="625">
        <v>1873.412</v>
      </c>
      <c r="AX2" s="625">
        <v>2081.826</v>
      </c>
      <c r="AY2" s="625">
        <v>2351.599</v>
      </c>
      <c r="AZ2" s="625">
        <v>2627.333</v>
      </c>
      <c r="BA2" s="625">
        <v>2857.307</v>
      </c>
      <c r="BB2" s="625">
        <v>3207.041</v>
      </c>
      <c r="BC2" s="625">
        <v>3343.789</v>
      </c>
      <c r="BD2" s="625">
        <v>3634.038</v>
      </c>
      <c r="BE2" s="625">
        <v>4037.613</v>
      </c>
      <c r="BF2" s="625">
        <v>4338.979</v>
      </c>
      <c r="BG2" s="625">
        <v>4579.631</v>
      </c>
      <c r="BH2" s="625">
        <v>4855.215</v>
      </c>
      <c r="BI2" s="625">
        <v>5236.438</v>
      </c>
      <c r="BJ2" s="625">
        <v>5641.58</v>
      </c>
      <c r="BK2" s="625">
        <v>5963.144</v>
      </c>
      <c r="BL2" s="625">
        <v>6158.129</v>
      </c>
      <c r="BM2" s="625">
        <v>6520.327</v>
      </c>
      <c r="BN2" s="625">
        <v>6858.559</v>
      </c>
      <c r="BO2" s="625">
        <v>7287.236</v>
      </c>
      <c r="BP2" s="625">
        <v>7639.749</v>
      </c>
      <c r="BQ2" s="625">
        <v>8073.122</v>
      </c>
      <c r="BR2" s="625">
        <v>8577.552</v>
      </c>
      <c r="BS2" s="625">
        <v>9062.817</v>
      </c>
      <c r="BT2" s="625">
        <v>9631.172</v>
      </c>
      <c r="BU2" s="625">
        <v>10250.952</v>
      </c>
      <c r="BV2" s="625">
        <v>10581.929</v>
      </c>
      <c r="BW2" s="625">
        <v>10929.108</v>
      </c>
      <c r="BX2" s="625">
        <v>11456.45</v>
      </c>
      <c r="BY2" s="625">
        <v>12217.196</v>
      </c>
      <c r="BZ2" s="625">
        <v>13039.197</v>
      </c>
      <c r="CA2" s="625">
        <v>13815.583</v>
      </c>
      <c r="CB2" s="625">
        <v>14474.228</v>
      </c>
      <c r="CC2" s="625">
        <v>14769.862</v>
      </c>
      <c r="CD2" s="625">
        <v>14478.067</v>
      </c>
      <c r="CE2" s="625">
        <v>15048.971</v>
      </c>
      <c r="CF2" s="625">
        <v>15599.732</v>
      </c>
      <c r="CG2" s="625">
        <v>16253.97</v>
      </c>
      <c r="CH2" s="625">
        <v>16880.683</v>
      </c>
      <c r="CI2" s="625">
        <v>17608.138</v>
      </c>
      <c r="CJ2" s="625">
        <v>18295.019</v>
      </c>
      <c r="CK2" s="625">
        <v>18804.913</v>
      </c>
      <c r="CL2" s="625">
        <v>19612.102</v>
      </c>
      <c r="CM2" s="625">
        <v>20656.516</v>
      </c>
      <c r="CN2" s="625">
        <v>21521.395</v>
      </c>
      <c r="CO2" s="625">
        <v>21322.95</v>
      </c>
      <c r="CP2" s="625">
        <v>23594.031</v>
      </c>
      <c r="CQ2" s="625">
        <v>25744.108</v>
      </c>
      <c r="CR2" s="625">
        <v>27356.393</v>
      </c>
      <c r="CS2" s="626"/>
      <c r="CT2" s="626"/>
      <c r="CU2" s="626"/>
      <c r="CV2" s="626"/>
      <c r="CW2" s="626"/>
      <c r="CX2" s="626"/>
      <c r="CY2" s="626"/>
      <c r="CZ2" s="626"/>
    </row>
    <row r="3" hidden="1">
      <c r="A3" s="627" t="s">
        <v>3262</v>
      </c>
      <c r="B3" s="625">
        <v>94.181</v>
      </c>
      <c r="C3" s="625">
        <v>83.1</v>
      </c>
      <c r="D3" s="625">
        <v>67.655</v>
      </c>
      <c r="E3" s="625">
        <v>51.275</v>
      </c>
      <c r="F3" s="625">
        <v>48.925</v>
      </c>
      <c r="G3" s="625">
        <v>58.277</v>
      </c>
      <c r="H3" s="625">
        <v>66.332</v>
      </c>
      <c r="I3" s="625">
        <v>75.109</v>
      </c>
      <c r="J3" s="625">
        <v>83.651</v>
      </c>
      <c r="K3" s="625">
        <v>77.008</v>
      </c>
      <c r="L3" s="625">
        <v>82.415</v>
      </c>
      <c r="M3" s="625">
        <v>91.537</v>
      </c>
      <c r="N3" s="625">
        <v>117.344</v>
      </c>
      <c r="O3" s="625">
        <v>152.361</v>
      </c>
      <c r="P3" s="625">
        <v>187.21</v>
      </c>
      <c r="Q3" s="625">
        <v>200.896</v>
      </c>
      <c r="R3" s="625">
        <v>201.333</v>
      </c>
      <c r="S3" s="625">
        <v>201.264</v>
      </c>
      <c r="T3" s="625">
        <v>218.743</v>
      </c>
      <c r="U3" s="625">
        <v>244.848</v>
      </c>
      <c r="V3" s="625">
        <v>239.726</v>
      </c>
      <c r="W3" s="625">
        <v>266.611</v>
      </c>
      <c r="X3" s="625">
        <v>307.635</v>
      </c>
      <c r="Y3" s="625">
        <v>326.118</v>
      </c>
      <c r="Z3" s="625">
        <v>343.835</v>
      </c>
      <c r="AA3" s="625">
        <v>343.755</v>
      </c>
      <c r="AB3" s="625">
        <v>376.907</v>
      </c>
      <c r="AC3" s="625">
        <v>400.057</v>
      </c>
      <c r="AD3" s="625">
        <v>418.532</v>
      </c>
      <c r="AE3" s="625">
        <v>420.757</v>
      </c>
      <c r="AF3" s="625">
        <v>458.772</v>
      </c>
      <c r="AG3" s="625">
        <v>478.901</v>
      </c>
      <c r="AH3" s="625">
        <v>496.038</v>
      </c>
      <c r="AI3" s="625">
        <v>533.951</v>
      </c>
      <c r="AJ3" s="625">
        <v>565.376</v>
      </c>
      <c r="AK3" s="625">
        <v>607.041</v>
      </c>
      <c r="AL3" s="625">
        <v>658.819</v>
      </c>
      <c r="AM3" s="625">
        <v>718.094</v>
      </c>
      <c r="AN3" s="625">
        <v>758.437</v>
      </c>
      <c r="AO3" s="625">
        <v>830.246</v>
      </c>
      <c r="AP3" s="625">
        <v>897.25</v>
      </c>
      <c r="AQ3" s="625">
        <v>937.521</v>
      </c>
      <c r="AR3" s="625">
        <v>1014.002</v>
      </c>
      <c r="AS3" s="625">
        <v>1119.498</v>
      </c>
      <c r="AT3" s="625">
        <v>1253.166</v>
      </c>
      <c r="AU3" s="625">
        <v>1346.406</v>
      </c>
      <c r="AV3" s="625">
        <v>1446.042</v>
      </c>
      <c r="AW3" s="625">
        <v>1609.374</v>
      </c>
      <c r="AX3" s="625">
        <v>1792.84</v>
      </c>
      <c r="AY3" s="625">
        <v>2022.661</v>
      </c>
      <c r="AZ3" s="625">
        <v>2240.379</v>
      </c>
      <c r="BA3" s="625">
        <v>2418.79</v>
      </c>
      <c r="BB3" s="625">
        <v>2715.045</v>
      </c>
      <c r="BC3" s="625">
        <v>2834.688</v>
      </c>
      <c r="BD3" s="625">
        <v>3051.648</v>
      </c>
      <c r="BE3" s="625">
        <v>3434.085</v>
      </c>
      <c r="BF3" s="625">
        <v>3670.134</v>
      </c>
      <c r="BG3" s="625">
        <v>3831.445</v>
      </c>
      <c r="BH3" s="625">
        <v>4098.711</v>
      </c>
      <c r="BI3" s="625">
        <v>4471.776</v>
      </c>
      <c r="BJ3" s="625">
        <v>4760.285</v>
      </c>
      <c r="BK3" s="625">
        <v>5013.951</v>
      </c>
      <c r="BL3" s="625">
        <v>5164.615</v>
      </c>
      <c r="BM3" s="625">
        <v>5475.648</v>
      </c>
      <c r="BN3" s="625">
        <v>5730.79</v>
      </c>
      <c r="BO3" s="625">
        <v>6115.349</v>
      </c>
      <c r="BP3" s="625">
        <v>6453.161</v>
      </c>
      <c r="BQ3" s="625">
        <v>6871.653</v>
      </c>
      <c r="BR3" s="625">
        <v>7351.272</v>
      </c>
      <c r="BS3" s="625">
        <v>7826.886</v>
      </c>
      <c r="BT3" s="625">
        <v>8292.456</v>
      </c>
      <c r="BU3" s="625">
        <v>8873.97</v>
      </c>
      <c r="BV3" s="625">
        <v>9149.514</v>
      </c>
      <c r="BW3" s="625">
        <v>9398.59</v>
      </c>
      <c r="BX3" s="625">
        <v>9820.043</v>
      </c>
      <c r="BY3" s="625">
        <v>10500.17</v>
      </c>
      <c r="BZ3" s="625">
        <v>11199.942</v>
      </c>
      <c r="CA3" s="625">
        <v>11947.67</v>
      </c>
      <c r="CB3" s="625">
        <v>12304.846</v>
      </c>
      <c r="CC3" s="625">
        <v>12364.913</v>
      </c>
      <c r="CD3" s="625">
        <v>12065.313</v>
      </c>
      <c r="CE3" s="625">
        <v>12794.77</v>
      </c>
      <c r="CF3" s="625">
        <v>13387.59</v>
      </c>
      <c r="CG3" s="625">
        <v>14064.753</v>
      </c>
      <c r="CH3" s="625">
        <v>14459.105</v>
      </c>
      <c r="CI3" s="625">
        <v>15164.552</v>
      </c>
      <c r="CJ3" s="625">
        <v>15685.2</v>
      </c>
      <c r="CK3" s="625">
        <v>15975.26</v>
      </c>
      <c r="CL3" s="625">
        <v>16688.196</v>
      </c>
      <c r="CM3" s="625">
        <v>17570.78</v>
      </c>
      <c r="CN3" s="625">
        <v>18281.006</v>
      </c>
      <c r="CO3" s="625">
        <v>17854.04</v>
      </c>
      <c r="CP3" s="625">
        <v>19909.696</v>
      </c>
      <c r="CQ3" s="625">
        <v>21678.39</v>
      </c>
      <c r="CR3" s="625"/>
      <c r="CS3" s="628"/>
      <c r="CT3" s="628"/>
      <c r="CU3" s="628"/>
      <c r="CV3" s="628"/>
      <c r="CW3" s="628"/>
      <c r="CX3" s="628"/>
      <c r="CY3" s="628"/>
      <c r="CZ3" s="628"/>
    </row>
    <row r="4" hidden="1">
      <c r="A4" s="629" t="s">
        <v>3263</v>
      </c>
      <c r="B4" s="625">
        <v>51.408</v>
      </c>
      <c r="C4" s="625">
        <v>47.167</v>
      </c>
      <c r="D4" s="625">
        <v>40.071</v>
      </c>
      <c r="E4" s="625">
        <v>31.339</v>
      </c>
      <c r="F4" s="625">
        <v>29.787</v>
      </c>
      <c r="G4" s="625">
        <v>34.553</v>
      </c>
      <c r="H4" s="625">
        <v>37.667</v>
      </c>
      <c r="I4" s="625">
        <v>43.289</v>
      </c>
      <c r="J4" s="625">
        <v>48.31</v>
      </c>
      <c r="K4" s="625">
        <v>45.412</v>
      </c>
      <c r="L4" s="625">
        <v>48.553</v>
      </c>
      <c r="M4" s="625">
        <v>52.749</v>
      </c>
      <c r="N4" s="625">
        <v>66.187</v>
      </c>
      <c r="O4" s="625">
        <v>88.036</v>
      </c>
      <c r="P4" s="625">
        <v>112.698</v>
      </c>
      <c r="Q4" s="625">
        <v>124.321</v>
      </c>
      <c r="R4" s="625">
        <v>126.304</v>
      </c>
      <c r="S4" s="625">
        <v>122.485</v>
      </c>
      <c r="T4" s="625">
        <v>132.361</v>
      </c>
      <c r="U4" s="625">
        <v>144.313</v>
      </c>
      <c r="V4" s="625">
        <v>144.334</v>
      </c>
      <c r="W4" s="625">
        <v>158.269</v>
      </c>
      <c r="X4" s="625">
        <v>185.705</v>
      </c>
      <c r="Y4" s="625">
        <v>201.088</v>
      </c>
      <c r="Z4" s="625">
        <v>215.245</v>
      </c>
      <c r="AA4" s="625">
        <v>214.139</v>
      </c>
      <c r="AB4" s="625">
        <v>230.571</v>
      </c>
      <c r="AC4" s="625">
        <v>249.275</v>
      </c>
      <c r="AD4" s="625">
        <v>262.576</v>
      </c>
      <c r="AE4" s="625">
        <v>264.67</v>
      </c>
      <c r="AF4" s="625">
        <v>285.829</v>
      </c>
      <c r="AG4" s="625">
        <v>301.283</v>
      </c>
      <c r="AH4" s="625">
        <v>310.422</v>
      </c>
      <c r="AI4" s="625">
        <v>332.202</v>
      </c>
      <c r="AJ4" s="625">
        <v>350.408</v>
      </c>
      <c r="AK4" s="625">
        <v>375.975</v>
      </c>
      <c r="AL4" s="625">
        <v>405.415</v>
      </c>
      <c r="AM4" s="625">
        <v>449.249</v>
      </c>
      <c r="AN4" s="625">
        <v>481.79</v>
      </c>
      <c r="AO4" s="625">
        <v>530.751</v>
      </c>
      <c r="AP4" s="625">
        <v>584.458</v>
      </c>
      <c r="AQ4" s="625">
        <v>623.347</v>
      </c>
      <c r="AR4" s="625">
        <v>664.995</v>
      </c>
      <c r="AS4" s="625">
        <v>731.333</v>
      </c>
      <c r="AT4" s="625">
        <v>812.683</v>
      </c>
      <c r="AU4" s="625">
        <v>887.715</v>
      </c>
      <c r="AV4" s="625">
        <v>947.23</v>
      </c>
      <c r="AW4" s="625">
        <v>1048.347</v>
      </c>
      <c r="AX4" s="625">
        <v>1165.825</v>
      </c>
      <c r="AY4" s="625">
        <v>1316.765</v>
      </c>
      <c r="AZ4" s="625">
        <v>1477.231</v>
      </c>
      <c r="BA4" s="625">
        <v>1622.247</v>
      </c>
      <c r="BB4" s="625">
        <v>1792.525</v>
      </c>
      <c r="BC4" s="625">
        <v>1892.983</v>
      </c>
      <c r="BD4" s="625">
        <v>2012.489</v>
      </c>
      <c r="BE4" s="625">
        <v>2215.872</v>
      </c>
      <c r="BF4" s="625">
        <v>2387.324</v>
      </c>
      <c r="BG4" s="625">
        <v>2542.063</v>
      </c>
      <c r="BH4" s="625">
        <v>2722.405</v>
      </c>
      <c r="BI4" s="625">
        <v>2947.987</v>
      </c>
      <c r="BJ4" s="625">
        <v>3139.601</v>
      </c>
      <c r="BK4" s="625">
        <v>3340.373</v>
      </c>
      <c r="BL4" s="625">
        <v>3450.516</v>
      </c>
      <c r="BM4" s="625">
        <v>3668.246</v>
      </c>
      <c r="BN4" s="625">
        <v>3817.29</v>
      </c>
      <c r="BO4" s="625">
        <v>4006.192</v>
      </c>
      <c r="BP4" s="625">
        <v>4198.088</v>
      </c>
      <c r="BQ4" s="625">
        <v>4416.942</v>
      </c>
      <c r="BR4" s="625">
        <v>4708.818</v>
      </c>
      <c r="BS4" s="625">
        <v>5071.138</v>
      </c>
      <c r="BT4" s="625">
        <v>5402.682</v>
      </c>
      <c r="BU4" s="625">
        <v>5847.146</v>
      </c>
      <c r="BV4" s="625">
        <v>6038.348</v>
      </c>
      <c r="BW4" s="625">
        <v>6135.115</v>
      </c>
      <c r="BX4" s="625">
        <v>6353.606</v>
      </c>
      <c r="BY4" s="625">
        <v>6719.488</v>
      </c>
      <c r="BZ4" s="625">
        <v>7066.107</v>
      </c>
      <c r="CA4" s="625">
        <v>7479.676</v>
      </c>
      <c r="CB4" s="625">
        <v>7878.475</v>
      </c>
      <c r="CC4" s="625">
        <v>8056.826</v>
      </c>
      <c r="CD4" s="625">
        <v>7759.019</v>
      </c>
      <c r="CE4" s="625">
        <v>7925.369</v>
      </c>
      <c r="CF4" s="625">
        <v>8226.175</v>
      </c>
      <c r="CG4" s="625">
        <v>8567.363</v>
      </c>
      <c r="CH4" s="625">
        <v>8835.039</v>
      </c>
      <c r="CI4" s="625">
        <v>9250.208</v>
      </c>
      <c r="CJ4" s="625">
        <v>9699.419</v>
      </c>
      <c r="CK4" s="625">
        <v>9966.108</v>
      </c>
      <c r="CL4" s="625">
        <v>10424.372</v>
      </c>
      <c r="CM4" s="625">
        <v>10957.404</v>
      </c>
      <c r="CN4" s="625">
        <v>11447.915</v>
      </c>
      <c r="CO4" s="625">
        <v>11594.682</v>
      </c>
      <c r="CP4" s="625">
        <v>12545.875</v>
      </c>
      <c r="CQ4" s="625">
        <v>13439.187</v>
      </c>
      <c r="CR4" s="625"/>
      <c r="CS4" s="628"/>
      <c r="CT4" s="628"/>
      <c r="CU4" s="628"/>
      <c r="CV4" s="628"/>
      <c r="CW4" s="628"/>
      <c r="CX4" s="628"/>
      <c r="CY4" s="628"/>
      <c r="CZ4" s="628"/>
    </row>
    <row r="5">
      <c r="A5" s="624" t="s">
        <v>3264</v>
      </c>
      <c r="B5" s="625">
        <v>10.833</v>
      </c>
      <c r="C5" s="625">
        <v>7.498</v>
      </c>
      <c r="D5" s="625">
        <v>2.951</v>
      </c>
      <c r="E5" s="625">
        <v>-0.19</v>
      </c>
      <c r="F5" s="625">
        <v>-0.175</v>
      </c>
      <c r="G5" s="625">
        <v>2.517</v>
      </c>
      <c r="H5" s="625">
        <v>4.018</v>
      </c>
      <c r="I5" s="625">
        <v>6.23</v>
      </c>
      <c r="J5" s="625">
        <v>7.052</v>
      </c>
      <c r="K5" s="625">
        <v>5.008</v>
      </c>
      <c r="L5" s="625">
        <v>6.592</v>
      </c>
      <c r="M5" s="625">
        <v>9.872</v>
      </c>
      <c r="N5" s="625">
        <v>15.693</v>
      </c>
      <c r="O5" s="625">
        <v>20.789</v>
      </c>
      <c r="P5" s="625">
        <v>24.9</v>
      </c>
      <c r="Q5" s="625">
        <v>24.972</v>
      </c>
      <c r="R5" s="625">
        <v>20.452</v>
      </c>
      <c r="S5" s="625">
        <v>18.243</v>
      </c>
      <c r="T5" s="625">
        <v>24.164</v>
      </c>
      <c r="U5" s="625">
        <v>31.393</v>
      </c>
      <c r="V5" s="625">
        <v>29.058</v>
      </c>
      <c r="W5" s="625">
        <v>36.059</v>
      </c>
      <c r="X5" s="625">
        <v>41.198</v>
      </c>
      <c r="Y5" s="625">
        <v>39.665</v>
      </c>
      <c r="Z5" s="625">
        <v>40.294</v>
      </c>
      <c r="AA5" s="625">
        <v>39.46</v>
      </c>
      <c r="AB5" s="625">
        <v>50.168</v>
      </c>
      <c r="AC5" s="625">
        <v>49.646</v>
      </c>
      <c r="AD5" s="625">
        <v>49.14</v>
      </c>
      <c r="AE5" s="625">
        <v>43.857</v>
      </c>
      <c r="AF5" s="625">
        <v>55.514</v>
      </c>
      <c r="AG5" s="625">
        <v>54.68</v>
      </c>
      <c r="AH5" s="625">
        <v>55.945</v>
      </c>
      <c r="AI5" s="625">
        <v>64.043</v>
      </c>
      <c r="AJ5" s="625">
        <v>70.508</v>
      </c>
      <c r="AK5" s="625">
        <v>77.708</v>
      </c>
      <c r="AL5" s="625">
        <v>89.289</v>
      </c>
      <c r="AM5" s="625">
        <v>96.122</v>
      </c>
      <c r="AN5" s="625">
        <v>93.866</v>
      </c>
      <c r="AO5" s="625">
        <v>101.747</v>
      </c>
      <c r="AP5" s="625">
        <v>98.416</v>
      </c>
      <c r="AQ5" s="625">
        <v>86.244</v>
      </c>
      <c r="AR5" s="625">
        <v>100.647</v>
      </c>
      <c r="AS5" s="625">
        <v>117.212</v>
      </c>
      <c r="AT5" s="625">
        <v>133.39</v>
      </c>
      <c r="AU5" s="625">
        <v>125.705</v>
      </c>
      <c r="AV5" s="625">
        <v>138.859</v>
      </c>
      <c r="AW5" s="625">
        <v>174.338</v>
      </c>
      <c r="AX5" s="625">
        <v>205.783</v>
      </c>
      <c r="AY5" s="625">
        <v>238.569</v>
      </c>
      <c r="AZ5" s="625">
        <v>249.216</v>
      </c>
      <c r="BA5" s="625">
        <v>223.126</v>
      </c>
      <c r="BB5" s="625">
        <v>245.894</v>
      </c>
      <c r="BC5" s="625">
        <v>227.756</v>
      </c>
      <c r="BD5" s="625">
        <v>277.903</v>
      </c>
      <c r="BE5" s="625">
        <v>337.268</v>
      </c>
      <c r="BF5" s="625">
        <v>353.078</v>
      </c>
      <c r="BG5" s="625">
        <v>323.565</v>
      </c>
      <c r="BH5" s="625">
        <v>370.812</v>
      </c>
      <c r="BI5" s="625">
        <v>416.243</v>
      </c>
      <c r="BJ5" s="625">
        <v>418.718</v>
      </c>
      <c r="BK5" s="625">
        <v>419.33</v>
      </c>
      <c r="BL5" s="625">
        <v>448.742</v>
      </c>
      <c r="BM5" s="625">
        <v>481.29</v>
      </c>
      <c r="BN5" s="625">
        <v>530.717</v>
      </c>
      <c r="BO5" s="625">
        <v>634.091</v>
      </c>
      <c r="BP5" s="625">
        <v>716.678</v>
      </c>
      <c r="BQ5" s="625">
        <v>803.572</v>
      </c>
      <c r="BR5" s="625">
        <v>889.866</v>
      </c>
      <c r="BS5" s="625">
        <v>835.167</v>
      </c>
      <c r="BT5" s="625">
        <v>866.758</v>
      </c>
      <c r="BU5" s="625">
        <v>826.41</v>
      </c>
      <c r="BV5" s="625">
        <v>787.191</v>
      </c>
      <c r="BW5" s="625">
        <v>930.366</v>
      </c>
      <c r="BX5" s="625">
        <v>1077.068</v>
      </c>
      <c r="BY5" s="625">
        <v>1320.544</v>
      </c>
      <c r="BZ5" s="625">
        <v>1530.044</v>
      </c>
      <c r="CA5" s="625">
        <v>1696.104</v>
      </c>
      <c r="CB5" s="625">
        <v>1595.804</v>
      </c>
      <c r="CC5" s="625">
        <v>1345.62</v>
      </c>
      <c r="CD5" s="625">
        <v>1425.652</v>
      </c>
      <c r="CE5" s="625">
        <v>1774.475</v>
      </c>
      <c r="CF5" s="625">
        <v>1862.428</v>
      </c>
      <c r="CG5" s="625">
        <v>2057.733</v>
      </c>
      <c r="CH5" s="625">
        <v>2081.14</v>
      </c>
      <c r="CI5" s="625">
        <v>2212.833</v>
      </c>
      <c r="CJ5" s="625">
        <v>2173.128</v>
      </c>
      <c r="CK5" s="625">
        <v>2144.311</v>
      </c>
      <c r="CL5" s="625">
        <v>2225.241</v>
      </c>
      <c r="CM5" s="625">
        <v>2365.167</v>
      </c>
      <c r="CN5" s="625">
        <v>2470.308</v>
      </c>
      <c r="CO5" s="625">
        <v>2383.288</v>
      </c>
      <c r="CP5" s="625">
        <v>2922.757</v>
      </c>
      <c r="CQ5" s="625">
        <v>3208.691</v>
      </c>
      <c r="CR5" s="625"/>
      <c r="CS5" s="628"/>
      <c r="CT5" s="628"/>
      <c r="CU5" s="628"/>
      <c r="CV5" s="628"/>
      <c r="CW5" s="628"/>
      <c r="CX5" s="628"/>
      <c r="CY5" s="628"/>
      <c r="CZ5" s="628"/>
    </row>
    <row r="6" hidden="1">
      <c r="A6" s="630" t="s">
        <v>3265</v>
      </c>
      <c r="B6" s="625">
        <v>10.911</v>
      </c>
      <c r="C6" s="625">
        <v>4.559</v>
      </c>
      <c r="D6" s="625">
        <v>0.562</v>
      </c>
      <c r="E6" s="625">
        <v>-1.346</v>
      </c>
      <c r="F6" s="625">
        <v>1.832</v>
      </c>
      <c r="G6" s="625">
        <v>3.215</v>
      </c>
      <c r="H6" s="625">
        <v>4.371</v>
      </c>
      <c r="I6" s="625">
        <v>7.107</v>
      </c>
      <c r="J6" s="625">
        <v>7.629</v>
      </c>
      <c r="K6" s="625">
        <v>4.603</v>
      </c>
      <c r="L6" s="625">
        <v>7.778</v>
      </c>
      <c r="M6" s="625">
        <v>10.636</v>
      </c>
      <c r="N6" s="625">
        <v>18.762</v>
      </c>
      <c r="O6" s="625">
        <v>22.476</v>
      </c>
      <c r="P6" s="625">
        <v>25.846</v>
      </c>
      <c r="Q6" s="625">
        <v>24.786</v>
      </c>
      <c r="R6" s="625">
        <v>20.393</v>
      </c>
      <c r="S6" s="625">
        <v>25.563</v>
      </c>
      <c r="T6" s="625">
        <v>32.636</v>
      </c>
      <c r="U6" s="625">
        <v>36.502</v>
      </c>
      <c r="V6" s="625">
        <v>30.042</v>
      </c>
      <c r="W6" s="625">
        <v>43.781</v>
      </c>
      <c r="X6" s="625">
        <v>45.38</v>
      </c>
      <c r="Y6" s="625">
        <v>41.282</v>
      </c>
      <c r="Z6" s="625">
        <v>43.149</v>
      </c>
      <c r="AA6" s="625">
        <v>40.793</v>
      </c>
      <c r="AB6" s="625">
        <v>51.441</v>
      </c>
      <c r="AC6" s="625">
        <v>52.625</v>
      </c>
      <c r="AD6" s="625">
        <v>51.194</v>
      </c>
      <c r="AE6" s="625">
        <v>45.03</v>
      </c>
      <c r="AF6" s="625">
        <v>55.954</v>
      </c>
      <c r="AG6" s="625">
        <v>53.853</v>
      </c>
      <c r="AH6" s="625">
        <v>53.904</v>
      </c>
      <c r="AI6" s="625">
        <v>59.204</v>
      </c>
      <c r="AJ6" s="625">
        <v>64.416</v>
      </c>
      <c r="AK6" s="625">
        <v>71.446</v>
      </c>
      <c r="AL6" s="625">
        <v>83.11</v>
      </c>
      <c r="AM6" s="625">
        <v>90.384</v>
      </c>
      <c r="AN6" s="625">
        <v>87.604</v>
      </c>
      <c r="AO6" s="625">
        <v>97.906</v>
      </c>
      <c r="AP6" s="625">
        <v>96.652</v>
      </c>
      <c r="AQ6" s="625">
        <v>86.263</v>
      </c>
      <c r="AR6" s="625">
        <v>99.271</v>
      </c>
      <c r="AS6" s="625">
        <v>115.885</v>
      </c>
      <c r="AT6" s="625">
        <v>146.131</v>
      </c>
      <c r="AU6" s="625">
        <v>161.527</v>
      </c>
      <c r="AV6" s="625">
        <v>154.773</v>
      </c>
      <c r="AW6" s="625">
        <v>196.214</v>
      </c>
      <c r="AX6" s="625">
        <v>228.493</v>
      </c>
      <c r="AY6" s="625">
        <v>270.41</v>
      </c>
      <c r="AZ6" s="625">
        <v>301.378</v>
      </c>
      <c r="BA6" s="625">
        <v>282.324</v>
      </c>
      <c r="BB6" s="625">
        <v>275.025</v>
      </c>
      <c r="BC6" s="625">
        <v>230.226</v>
      </c>
      <c r="BD6" s="625">
        <v>262.023</v>
      </c>
      <c r="BE6" s="625">
        <v>297.627</v>
      </c>
      <c r="BF6" s="625">
        <v>288.239</v>
      </c>
      <c r="BG6" s="625">
        <v>265.385</v>
      </c>
      <c r="BH6" s="625">
        <v>335.62</v>
      </c>
      <c r="BI6" s="625">
        <v>390.144</v>
      </c>
      <c r="BJ6" s="625">
        <v>393.825</v>
      </c>
      <c r="BK6" s="625">
        <v>405.653</v>
      </c>
      <c r="BL6" s="625">
        <v>425.47</v>
      </c>
      <c r="BM6" s="625">
        <v>466.68</v>
      </c>
      <c r="BN6" s="625">
        <v>512.095</v>
      </c>
      <c r="BO6" s="625">
        <v>611.021</v>
      </c>
      <c r="BP6" s="625">
        <v>695.729</v>
      </c>
      <c r="BQ6" s="625">
        <v>752.815</v>
      </c>
      <c r="BR6" s="625">
        <v>817.028</v>
      </c>
      <c r="BS6" s="625">
        <v>754.794</v>
      </c>
      <c r="BT6" s="625">
        <v>797.712</v>
      </c>
      <c r="BU6" s="625">
        <v>786.422</v>
      </c>
      <c r="BV6" s="625">
        <v>717.519</v>
      </c>
      <c r="BW6" s="625">
        <v>806.875</v>
      </c>
      <c r="BX6" s="625">
        <v>990.584</v>
      </c>
      <c r="BY6" s="625">
        <v>1288.553</v>
      </c>
      <c r="BZ6" s="625">
        <v>1706.219</v>
      </c>
      <c r="CA6" s="625">
        <v>1893.614</v>
      </c>
      <c r="CB6" s="625">
        <v>1814.158</v>
      </c>
      <c r="CC6" s="625">
        <v>1438.745</v>
      </c>
      <c r="CD6" s="625">
        <v>1505.664</v>
      </c>
      <c r="CE6" s="625">
        <v>1878.71</v>
      </c>
      <c r="CF6" s="625">
        <v>1870.195</v>
      </c>
      <c r="CG6" s="625">
        <v>2215.368</v>
      </c>
      <c r="CH6" s="625">
        <v>2220.165</v>
      </c>
      <c r="CI6" s="625">
        <v>2354.253</v>
      </c>
      <c r="CJ6" s="625">
        <v>2237.545</v>
      </c>
      <c r="CK6" s="625">
        <v>2239.959</v>
      </c>
      <c r="CL6" s="625">
        <v>2295.118</v>
      </c>
      <c r="CM6" s="625">
        <v>2317.567</v>
      </c>
      <c r="CN6" s="625">
        <v>2375.024</v>
      </c>
      <c r="CO6" s="625">
        <v>2494.881</v>
      </c>
      <c r="CP6" s="625">
        <v>3249.136</v>
      </c>
      <c r="CQ6" s="625">
        <v>3522.951</v>
      </c>
      <c r="CR6" s="631"/>
      <c r="CS6" s="632"/>
      <c r="CT6" s="632"/>
      <c r="CU6" s="632"/>
      <c r="CV6" s="632"/>
      <c r="CW6" s="632"/>
      <c r="CX6" s="632"/>
      <c r="CY6" s="632"/>
      <c r="CZ6" s="632"/>
    </row>
    <row r="7">
      <c r="A7" s="633" t="s">
        <v>3266</v>
      </c>
      <c r="B7" s="625">
        <v>1.365</v>
      </c>
      <c r="C7" s="625">
        <v>0.842</v>
      </c>
      <c r="D7" s="625">
        <v>0.498</v>
      </c>
      <c r="E7" s="625">
        <v>0.383</v>
      </c>
      <c r="F7" s="625">
        <v>0.521</v>
      </c>
      <c r="G7" s="625">
        <v>0.744</v>
      </c>
      <c r="H7" s="625">
        <v>0.951</v>
      </c>
      <c r="I7" s="625">
        <v>1.409</v>
      </c>
      <c r="J7" s="625">
        <v>1.502</v>
      </c>
      <c r="K7" s="625">
        <v>1.029</v>
      </c>
      <c r="L7" s="625">
        <v>1.441</v>
      </c>
      <c r="M7" s="625">
        <v>2.834</v>
      </c>
      <c r="N7" s="625">
        <v>7.61</v>
      </c>
      <c r="O7" s="625">
        <v>11.415</v>
      </c>
      <c r="P7" s="625">
        <v>14.074</v>
      </c>
      <c r="Q7" s="625">
        <v>12.949</v>
      </c>
      <c r="R7" s="625">
        <v>10.689</v>
      </c>
      <c r="S7" s="625">
        <v>9.104</v>
      </c>
      <c r="T7" s="625">
        <v>11.193</v>
      </c>
      <c r="U7" s="625">
        <v>12.254</v>
      </c>
      <c r="V7" s="625">
        <v>10.01</v>
      </c>
      <c r="W7" s="625">
        <v>17.728</v>
      </c>
      <c r="X7" s="625">
        <v>22.304</v>
      </c>
      <c r="Y7" s="625">
        <v>19.107</v>
      </c>
      <c r="Z7" s="625">
        <v>19.944</v>
      </c>
      <c r="AA7" s="625">
        <v>17.348</v>
      </c>
      <c r="AB7" s="625">
        <v>21.789</v>
      </c>
      <c r="AC7" s="625">
        <v>21.591</v>
      </c>
      <c r="AD7" s="625">
        <v>20.88</v>
      </c>
      <c r="AE7" s="625">
        <v>18.44</v>
      </c>
      <c r="AF7" s="625">
        <v>22.816</v>
      </c>
      <c r="AG7" s="625">
        <v>21.885</v>
      </c>
      <c r="AH7" s="625">
        <v>22.203</v>
      </c>
      <c r="AI7" s="625">
        <v>23.296</v>
      </c>
      <c r="AJ7" s="625">
        <v>25.491</v>
      </c>
      <c r="AK7" s="625">
        <v>26.573</v>
      </c>
      <c r="AL7" s="625">
        <v>29.768</v>
      </c>
      <c r="AM7" s="625">
        <v>32.232</v>
      </c>
      <c r="AN7" s="625">
        <v>30.992</v>
      </c>
      <c r="AO7" s="625">
        <v>37.164</v>
      </c>
      <c r="AP7" s="625">
        <v>36.958</v>
      </c>
      <c r="AQ7" s="625">
        <v>31.263</v>
      </c>
      <c r="AR7" s="625">
        <v>34.808</v>
      </c>
      <c r="AS7" s="625">
        <v>39.11</v>
      </c>
      <c r="AT7" s="625">
        <v>45.632</v>
      </c>
      <c r="AU7" s="625">
        <v>47.235</v>
      </c>
      <c r="AV7" s="625">
        <v>46.264</v>
      </c>
      <c r="AW7" s="625">
        <v>59.418</v>
      </c>
      <c r="AX7" s="625">
        <v>68.504</v>
      </c>
      <c r="AY7" s="625">
        <v>77.852</v>
      </c>
      <c r="AZ7" s="625">
        <v>80.737</v>
      </c>
      <c r="BA7" s="625">
        <v>75.484</v>
      </c>
      <c r="BB7" s="625">
        <v>70.315</v>
      </c>
      <c r="BC7" s="625">
        <v>51.294</v>
      </c>
      <c r="BD7" s="625">
        <v>66.419</v>
      </c>
      <c r="BE7" s="625">
        <v>81.477</v>
      </c>
      <c r="BF7" s="625">
        <v>81.61</v>
      </c>
      <c r="BG7" s="625">
        <v>91.871</v>
      </c>
      <c r="BH7" s="625">
        <v>112.702</v>
      </c>
      <c r="BI7" s="625">
        <v>124.266</v>
      </c>
      <c r="BJ7" s="625">
        <v>124.422</v>
      </c>
      <c r="BK7" s="625">
        <v>121.816</v>
      </c>
      <c r="BL7" s="625">
        <v>117.813</v>
      </c>
      <c r="BM7" s="625">
        <v>131.914</v>
      </c>
      <c r="BN7" s="625">
        <v>155.047</v>
      </c>
      <c r="BO7" s="625">
        <v>172.671</v>
      </c>
      <c r="BP7" s="625">
        <v>194.449</v>
      </c>
      <c r="BQ7" s="625">
        <v>211.386</v>
      </c>
      <c r="BR7" s="625">
        <v>224.762</v>
      </c>
      <c r="BS7" s="625">
        <v>221.805</v>
      </c>
      <c r="BT7" s="625">
        <v>227.386</v>
      </c>
      <c r="BU7" s="625">
        <v>233.448</v>
      </c>
      <c r="BV7" s="625">
        <v>170.148</v>
      </c>
      <c r="BW7" s="625">
        <v>160.674</v>
      </c>
      <c r="BX7" s="625">
        <v>213.763</v>
      </c>
      <c r="BY7" s="625">
        <v>278.512</v>
      </c>
      <c r="BZ7" s="625">
        <v>379.749</v>
      </c>
      <c r="CA7" s="625">
        <v>430.147</v>
      </c>
      <c r="CB7" s="625">
        <v>391.782</v>
      </c>
      <c r="CC7" s="625">
        <v>255.918</v>
      </c>
      <c r="CD7" s="625">
        <v>203.933</v>
      </c>
      <c r="CE7" s="625">
        <v>272.267</v>
      </c>
      <c r="CF7" s="625">
        <v>280.763</v>
      </c>
      <c r="CG7" s="625">
        <v>334.589</v>
      </c>
      <c r="CH7" s="625">
        <v>362.418</v>
      </c>
      <c r="CI7" s="625">
        <v>406.89</v>
      </c>
      <c r="CJ7" s="625">
        <v>396.125</v>
      </c>
      <c r="CK7" s="625">
        <v>376.034</v>
      </c>
      <c r="CL7" s="625">
        <v>297.156</v>
      </c>
      <c r="CM7" s="625">
        <v>297.423</v>
      </c>
      <c r="CN7" s="625">
        <v>297.414</v>
      </c>
      <c r="CO7" s="625">
        <v>307.488</v>
      </c>
      <c r="CP7" s="625">
        <v>404.624</v>
      </c>
      <c r="CQ7" s="625">
        <v>542.401</v>
      </c>
      <c r="CR7" s="631"/>
      <c r="CS7" s="632"/>
      <c r="CT7" s="632"/>
      <c r="CU7" s="632"/>
      <c r="CV7" s="632"/>
      <c r="CW7" s="632"/>
      <c r="CX7" s="632"/>
      <c r="CY7" s="632"/>
      <c r="CZ7" s="632"/>
    </row>
    <row r="8" hidden="1">
      <c r="A8" s="634" t="s">
        <v>2</v>
      </c>
      <c r="B8" s="165">
        <f t="shared" ref="B8:CQ8" si="1">B7/B5</f>
        <v>0.126003877</v>
      </c>
      <c r="C8" s="165">
        <f t="shared" si="1"/>
        <v>0.1122966124</v>
      </c>
      <c r="D8" s="165">
        <f t="shared" si="1"/>
        <v>0.1687563538</v>
      </c>
      <c r="E8" s="165">
        <f t="shared" si="1"/>
        <v>-2.015789474</v>
      </c>
      <c r="F8" s="165">
        <f t="shared" si="1"/>
        <v>-2.977142857</v>
      </c>
      <c r="G8" s="165">
        <f t="shared" si="1"/>
        <v>0.2955899881</v>
      </c>
      <c r="H8" s="165">
        <f t="shared" si="1"/>
        <v>0.2366849179</v>
      </c>
      <c r="I8" s="165">
        <f t="shared" si="1"/>
        <v>0.2261637239</v>
      </c>
      <c r="J8" s="165">
        <f t="shared" si="1"/>
        <v>0.2129892229</v>
      </c>
      <c r="K8" s="165">
        <f t="shared" si="1"/>
        <v>0.205471246</v>
      </c>
      <c r="L8" s="165">
        <f t="shared" si="1"/>
        <v>0.218598301</v>
      </c>
      <c r="M8" s="165">
        <f t="shared" si="1"/>
        <v>0.2870745543</v>
      </c>
      <c r="N8" s="165">
        <f t="shared" si="1"/>
        <v>0.4849295864</v>
      </c>
      <c r="O8" s="165">
        <f t="shared" si="1"/>
        <v>0.5490884602</v>
      </c>
      <c r="P8" s="165">
        <f t="shared" si="1"/>
        <v>0.5652208835</v>
      </c>
      <c r="Q8" s="165">
        <f t="shared" si="1"/>
        <v>0.5185407657</v>
      </c>
      <c r="R8" s="165">
        <f t="shared" si="1"/>
        <v>0.5226383728</v>
      </c>
      <c r="S8" s="165">
        <f t="shared" si="1"/>
        <v>0.499040728</v>
      </c>
      <c r="T8" s="165">
        <f t="shared" si="1"/>
        <v>0.4632097335</v>
      </c>
      <c r="U8" s="165">
        <f t="shared" si="1"/>
        <v>0.3903417959</v>
      </c>
      <c r="V8" s="165">
        <f t="shared" si="1"/>
        <v>0.3444834469</v>
      </c>
      <c r="W8" s="165">
        <f t="shared" si="1"/>
        <v>0.4916387032</v>
      </c>
      <c r="X8" s="165">
        <f t="shared" si="1"/>
        <v>0.5413855042</v>
      </c>
      <c r="Y8" s="165">
        <f t="shared" si="1"/>
        <v>0.4817093155</v>
      </c>
      <c r="Z8" s="165">
        <f t="shared" si="1"/>
        <v>0.4949620291</v>
      </c>
      <c r="AA8" s="165">
        <f t="shared" si="1"/>
        <v>0.4396350735</v>
      </c>
      <c r="AB8" s="165">
        <f t="shared" si="1"/>
        <v>0.4343206825</v>
      </c>
      <c r="AC8" s="165">
        <f t="shared" si="1"/>
        <v>0.4348990855</v>
      </c>
      <c r="AD8" s="165">
        <f t="shared" si="1"/>
        <v>0.4249084249</v>
      </c>
      <c r="AE8" s="165">
        <f t="shared" si="1"/>
        <v>0.4204573956</v>
      </c>
      <c r="AF8" s="165">
        <f t="shared" si="1"/>
        <v>0.4109954246</v>
      </c>
      <c r="AG8" s="165">
        <f t="shared" si="1"/>
        <v>0.4002377469</v>
      </c>
      <c r="AH8" s="165">
        <f t="shared" si="1"/>
        <v>0.3968719278</v>
      </c>
      <c r="AI8" s="165">
        <f t="shared" si="1"/>
        <v>0.3637556017</v>
      </c>
      <c r="AJ8" s="165">
        <f t="shared" si="1"/>
        <v>0.361533443</v>
      </c>
      <c r="AK8" s="165">
        <f t="shared" si="1"/>
        <v>0.3419596438</v>
      </c>
      <c r="AL8" s="165">
        <f t="shared" si="1"/>
        <v>0.3333893313</v>
      </c>
      <c r="AM8" s="165">
        <f t="shared" si="1"/>
        <v>0.3353238593</v>
      </c>
      <c r="AN8" s="165">
        <f t="shared" si="1"/>
        <v>0.3301727995</v>
      </c>
      <c r="AO8" s="165">
        <f t="shared" si="1"/>
        <v>0.3652589266</v>
      </c>
      <c r="AP8" s="165">
        <f t="shared" si="1"/>
        <v>0.3755283694</v>
      </c>
      <c r="AQ8" s="165">
        <f t="shared" si="1"/>
        <v>0.3624947822</v>
      </c>
      <c r="AR8" s="165">
        <f t="shared" si="1"/>
        <v>0.3458423997</v>
      </c>
      <c r="AS8" s="165">
        <f t="shared" si="1"/>
        <v>0.3336689076</v>
      </c>
      <c r="AT8" s="165">
        <f t="shared" si="1"/>
        <v>0.3420946098</v>
      </c>
      <c r="AU8" s="165">
        <f t="shared" si="1"/>
        <v>0.3757607096</v>
      </c>
      <c r="AV8" s="165">
        <f t="shared" si="1"/>
        <v>0.3331724987</v>
      </c>
      <c r="AW8" s="165">
        <f t="shared" si="1"/>
        <v>0.3408207046</v>
      </c>
      <c r="AX8" s="165">
        <f t="shared" si="1"/>
        <v>0.3328943596</v>
      </c>
      <c r="AY8" s="165">
        <f t="shared" si="1"/>
        <v>0.3263290704</v>
      </c>
      <c r="AZ8" s="165">
        <f t="shared" si="1"/>
        <v>0.323963951</v>
      </c>
      <c r="BA8" s="165">
        <f t="shared" si="1"/>
        <v>0.3383021253</v>
      </c>
      <c r="BB8" s="165">
        <f t="shared" si="1"/>
        <v>0.2859565504</v>
      </c>
      <c r="BC8" s="165">
        <f t="shared" si="1"/>
        <v>0.2252147035</v>
      </c>
      <c r="BD8" s="165">
        <f t="shared" si="1"/>
        <v>0.2390006585</v>
      </c>
      <c r="BE8" s="165">
        <f t="shared" si="1"/>
        <v>0.2415793968</v>
      </c>
      <c r="BF8" s="165">
        <f t="shared" si="1"/>
        <v>0.2311387286</v>
      </c>
      <c r="BG8" s="165">
        <f t="shared" si="1"/>
        <v>0.2839336764</v>
      </c>
      <c r="BH8" s="165">
        <f t="shared" si="1"/>
        <v>0.3039329903</v>
      </c>
      <c r="BI8" s="165">
        <f t="shared" si="1"/>
        <v>0.2985419575</v>
      </c>
      <c r="BJ8" s="165">
        <f t="shared" si="1"/>
        <v>0.2971498718</v>
      </c>
      <c r="BK8" s="165">
        <f t="shared" si="1"/>
        <v>0.2905015143</v>
      </c>
      <c r="BL8" s="165">
        <f t="shared" si="1"/>
        <v>0.2625406135</v>
      </c>
      <c r="BM8" s="165">
        <f t="shared" si="1"/>
        <v>0.274084232</v>
      </c>
      <c r="BN8" s="165">
        <f t="shared" si="1"/>
        <v>0.2921462851</v>
      </c>
      <c r="BO8" s="165">
        <f t="shared" si="1"/>
        <v>0.2723126491</v>
      </c>
      <c r="BP8" s="165">
        <f t="shared" si="1"/>
        <v>0.2713198954</v>
      </c>
      <c r="BQ8" s="165">
        <f t="shared" si="1"/>
        <v>0.2630579463</v>
      </c>
      <c r="BR8" s="165">
        <f t="shared" si="1"/>
        <v>0.2525796019</v>
      </c>
      <c r="BS8" s="165">
        <f t="shared" si="1"/>
        <v>0.2655816142</v>
      </c>
      <c r="BT8" s="165">
        <f t="shared" si="1"/>
        <v>0.2623408149</v>
      </c>
      <c r="BU8" s="165">
        <f t="shared" si="1"/>
        <v>0.2824844811</v>
      </c>
      <c r="BV8" s="165">
        <f t="shared" si="1"/>
        <v>0.2161457639</v>
      </c>
      <c r="BW8" s="165">
        <f t="shared" si="1"/>
        <v>0.1726997762</v>
      </c>
      <c r="BX8" s="165">
        <f t="shared" si="1"/>
        <v>0.1984675062</v>
      </c>
      <c r="BY8" s="165">
        <f t="shared" si="1"/>
        <v>0.2109070201</v>
      </c>
      <c r="BZ8" s="165">
        <f t="shared" si="1"/>
        <v>0.2481948232</v>
      </c>
      <c r="CA8" s="165">
        <f t="shared" si="1"/>
        <v>0.2536088589</v>
      </c>
      <c r="CB8" s="165">
        <f t="shared" si="1"/>
        <v>0.2455075937</v>
      </c>
      <c r="CC8" s="165">
        <f t="shared" si="1"/>
        <v>0.1901859366</v>
      </c>
      <c r="CD8" s="165">
        <f t="shared" si="1"/>
        <v>0.1430454276</v>
      </c>
      <c r="CE8" s="165">
        <f t="shared" si="1"/>
        <v>0.1534352414</v>
      </c>
      <c r="CF8" s="165">
        <f t="shared" si="1"/>
        <v>0.1507510626</v>
      </c>
      <c r="CG8" s="165">
        <f t="shared" si="1"/>
        <v>0.1626007845</v>
      </c>
      <c r="CH8" s="165">
        <f t="shared" si="1"/>
        <v>0.1741439788</v>
      </c>
      <c r="CI8" s="165">
        <f t="shared" si="1"/>
        <v>0.1838774096</v>
      </c>
      <c r="CJ8" s="165">
        <f t="shared" si="1"/>
        <v>0.1822833262</v>
      </c>
      <c r="CK8" s="165">
        <f t="shared" si="1"/>
        <v>0.175363555</v>
      </c>
      <c r="CL8" s="165">
        <f t="shared" si="1"/>
        <v>0.1335387942</v>
      </c>
      <c r="CM8" s="165">
        <f t="shared" si="1"/>
        <v>0.125751374</v>
      </c>
      <c r="CN8" s="165">
        <f t="shared" si="1"/>
        <v>0.1203955134</v>
      </c>
      <c r="CO8" s="165">
        <f t="shared" si="1"/>
        <v>0.1290183981</v>
      </c>
      <c r="CP8" s="165">
        <f t="shared" si="1"/>
        <v>0.1384391518</v>
      </c>
      <c r="CQ8" s="165">
        <f t="shared" si="1"/>
        <v>0.1690412071</v>
      </c>
      <c r="CR8" s="631"/>
      <c r="CS8" s="632"/>
      <c r="CT8" s="632"/>
      <c r="CU8" s="632"/>
      <c r="CV8" s="632"/>
      <c r="CW8" s="632"/>
      <c r="CX8" s="632"/>
      <c r="CY8" s="632"/>
      <c r="CZ8" s="632"/>
    </row>
    <row r="9" hidden="1">
      <c r="A9" s="635"/>
      <c r="B9" s="632"/>
      <c r="C9" s="632"/>
      <c r="D9" s="632"/>
      <c r="E9" s="632"/>
      <c r="F9" s="632"/>
      <c r="G9" s="632"/>
      <c r="H9" s="632"/>
      <c r="I9" s="632"/>
      <c r="J9" s="632"/>
      <c r="K9" s="632"/>
      <c r="L9" s="632"/>
      <c r="M9" s="632"/>
      <c r="N9" s="632"/>
      <c r="O9" s="632"/>
      <c r="P9" s="632"/>
      <c r="Q9" s="632"/>
      <c r="R9" s="632"/>
      <c r="S9" s="632"/>
      <c r="T9" s="632"/>
      <c r="U9" s="632"/>
      <c r="V9" s="632"/>
      <c r="W9" s="631"/>
      <c r="X9" s="631"/>
      <c r="Y9" s="631"/>
      <c r="Z9" s="631"/>
      <c r="AA9" s="631"/>
      <c r="AB9" s="631"/>
      <c r="AC9" s="631"/>
      <c r="AD9" s="631"/>
      <c r="AE9" s="631"/>
      <c r="AF9" s="631"/>
      <c r="AG9" s="631"/>
      <c r="AH9" s="631"/>
      <c r="AI9" s="631"/>
      <c r="AJ9" s="631"/>
      <c r="AK9" s="631"/>
      <c r="AL9" s="631"/>
      <c r="AM9" s="631"/>
      <c r="AN9" s="631"/>
      <c r="AO9" s="631"/>
      <c r="AP9" s="631"/>
      <c r="AQ9" s="631"/>
      <c r="AR9" s="631"/>
      <c r="AS9" s="631"/>
      <c r="AT9" s="631"/>
      <c r="AU9" s="631"/>
      <c r="AV9" s="631"/>
      <c r="AW9" s="631"/>
      <c r="AX9" s="631"/>
      <c r="AY9" s="631"/>
      <c r="AZ9" s="631"/>
      <c r="BA9" s="631"/>
      <c r="BB9" s="631"/>
      <c r="BC9" s="631"/>
      <c r="BD9" s="631"/>
      <c r="BE9" s="631"/>
      <c r="BF9" s="631"/>
      <c r="BG9" s="631"/>
      <c r="BH9" s="631"/>
      <c r="BI9" s="631"/>
      <c r="BJ9" s="631"/>
      <c r="BK9" s="631"/>
      <c r="BL9" s="631"/>
      <c r="BM9" s="631"/>
      <c r="BN9" s="631"/>
      <c r="BO9" s="631"/>
      <c r="BP9" s="631"/>
      <c r="BQ9" s="631"/>
      <c r="BR9" s="631"/>
      <c r="BS9" s="631"/>
      <c r="BT9" s="631"/>
      <c r="BU9" s="631"/>
      <c r="BV9" s="631"/>
      <c r="BW9" s="631"/>
      <c r="BX9" s="631"/>
      <c r="BY9" s="631"/>
      <c r="BZ9" s="631"/>
      <c r="CA9" s="631"/>
      <c r="CB9" s="631"/>
      <c r="CC9" s="631"/>
      <c r="CD9" s="631"/>
      <c r="CE9" s="631"/>
      <c r="CF9" s="631"/>
      <c r="CG9" s="631"/>
      <c r="CH9" s="631"/>
      <c r="CI9" s="631"/>
      <c r="CJ9" s="631"/>
      <c r="CK9" s="631"/>
      <c r="CL9" s="631"/>
      <c r="CM9" s="631"/>
      <c r="CN9" s="631"/>
      <c r="CO9" s="631"/>
      <c r="CP9" s="631"/>
      <c r="CQ9" s="631"/>
      <c r="CR9" s="631"/>
      <c r="CS9" s="632"/>
      <c r="CT9" s="632"/>
      <c r="CU9" s="632"/>
      <c r="CV9" s="632"/>
      <c r="CW9" s="632"/>
      <c r="CX9" s="632"/>
      <c r="CY9" s="632"/>
      <c r="CZ9" s="632"/>
    </row>
    <row r="10" hidden="1">
      <c r="A10" s="635"/>
      <c r="B10" s="623">
        <v>1929.0</v>
      </c>
      <c r="C10" s="623">
        <v>1930.0</v>
      </c>
      <c r="D10" s="623">
        <v>1931.0</v>
      </c>
      <c r="E10" s="623">
        <v>1932.0</v>
      </c>
      <c r="F10" s="623">
        <v>1933.0</v>
      </c>
      <c r="G10" s="623">
        <v>1934.0</v>
      </c>
      <c r="H10" s="623">
        <v>1935.0</v>
      </c>
      <c r="I10" s="623">
        <v>1936.0</v>
      </c>
      <c r="J10" s="623">
        <v>1937.0</v>
      </c>
      <c r="K10" s="623">
        <v>1938.0</v>
      </c>
      <c r="L10" s="623">
        <v>1939.0</v>
      </c>
      <c r="M10" s="623">
        <v>1940.0</v>
      </c>
      <c r="N10" s="623">
        <v>1941.0</v>
      </c>
      <c r="O10" s="623">
        <v>1942.0</v>
      </c>
      <c r="P10" s="623">
        <v>1943.0</v>
      </c>
      <c r="Q10" s="623">
        <v>1944.0</v>
      </c>
      <c r="R10" s="623">
        <v>1945.0</v>
      </c>
      <c r="S10" s="623">
        <v>1946.0</v>
      </c>
      <c r="T10" s="623">
        <v>1947.0</v>
      </c>
      <c r="U10" s="623">
        <v>1948.0</v>
      </c>
      <c r="V10" s="623">
        <v>1949.0</v>
      </c>
      <c r="W10" s="623">
        <v>1950.0</v>
      </c>
      <c r="X10" s="623">
        <v>1951.0</v>
      </c>
      <c r="Y10" s="623">
        <v>1952.0</v>
      </c>
      <c r="Z10" s="623">
        <v>1953.0</v>
      </c>
      <c r="AA10" s="623">
        <v>1954.0</v>
      </c>
      <c r="AB10" s="623">
        <v>1955.0</v>
      </c>
      <c r="AC10" s="623">
        <v>1956.0</v>
      </c>
      <c r="AD10" s="623">
        <v>1957.0</v>
      </c>
      <c r="AE10" s="623">
        <v>1958.0</v>
      </c>
      <c r="AF10" s="623">
        <v>1959.0</v>
      </c>
      <c r="AG10" s="623">
        <v>1960.0</v>
      </c>
      <c r="AH10" s="623">
        <v>1961.0</v>
      </c>
      <c r="AI10" s="623">
        <v>1962.0</v>
      </c>
      <c r="AJ10" s="623">
        <v>1963.0</v>
      </c>
      <c r="AK10" s="623">
        <v>1964.0</v>
      </c>
      <c r="AL10" s="623">
        <v>1965.0</v>
      </c>
      <c r="AM10" s="623">
        <v>1966.0</v>
      </c>
      <c r="AN10" s="623">
        <v>1967.0</v>
      </c>
      <c r="AO10" s="623">
        <v>1968.0</v>
      </c>
      <c r="AP10" s="623">
        <v>1969.0</v>
      </c>
      <c r="AQ10" s="623">
        <v>1970.0</v>
      </c>
      <c r="AR10" s="623">
        <v>1971.0</v>
      </c>
      <c r="AS10" s="623">
        <v>1972.0</v>
      </c>
      <c r="AT10" s="623">
        <v>1973.0</v>
      </c>
      <c r="AU10" s="623">
        <v>1974.0</v>
      </c>
      <c r="AV10" s="623">
        <v>1975.0</v>
      </c>
      <c r="AW10" s="623">
        <v>1976.0</v>
      </c>
      <c r="AX10" s="623">
        <v>1977.0</v>
      </c>
      <c r="AY10" s="623">
        <v>1978.0</v>
      </c>
      <c r="AZ10" s="623">
        <v>1979.0</v>
      </c>
      <c r="BA10" s="623">
        <v>1980.0</v>
      </c>
      <c r="BB10" s="623">
        <v>1981.0</v>
      </c>
      <c r="BC10" s="623">
        <v>1982.0</v>
      </c>
      <c r="BD10" s="623">
        <v>1983.0</v>
      </c>
      <c r="BE10" s="623">
        <v>1984.0</v>
      </c>
      <c r="BF10" s="623">
        <v>1985.0</v>
      </c>
      <c r="BG10" s="623">
        <v>1986.0</v>
      </c>
      <c r="BH10" s="623">
        <v>1987.0</v>
      </c>
      <c r="BI10" s="623">
        <v>1988.0</v>
      </c>
      <c r="BJ10" s="623">
        <v>1989.0</v>
      </c>
      <c r="BK10" s="623">
        <v>1990.0</v>
      </c>
      <c r="BL10" s="623">
        <v>1991.0</v>
      </c>
      <c r="BM10" s="623">
        <v>1992.0</v>
      </c>
      <c r="BN10" s="623">
        <v>1993.0</v>
      </c>
      <c r="BO10" s="623">
        <v>1994.0</v>
      </c>
      <c r="BP10" s="623">
        <v>1995.0</v>
      </c>
      <c r="BQ10" s="623">
        <v>1996.0</v>
      </c>
      <c r="BR10" s="623">
        <v>1997.0</v>
      </c>
      <c r="BS10" s="623">
        <v>1998.0</v>
      </c>
      <c r="BT10" s="623">
        <v>1999.0</v>
      </c>
      <c r="BU10" s="623">
        <v>2000.0</v>
      </c>
      <c r="BV10" s="623">
        <v>2001.0</v>
      </c>
      <c r="BW10" s="623">
        <v>2002.0</v>
      </c>
      <c r="BX10" s="623">
        <v>2003.0</v>
      </c>
      <c r="BY10" s="623">
        <v>2004.0</v>
      </c>
      <c r="BZ10" s="623">
        <v>2005.0</v>
      </c>
      <c r="CA10" s="623">
        <v>2006.0</v>
      </c>
      <c r="CB10" s="623">
        <v>2007.0</v>
      </c>
      <c r="CC10" s="623">
        <v>2008.0</v>
      </c>
      <c r="CD10" s="623">
        <v>2009.0</v>
      </c>
      <c r="CE10" s="623">
        <v>2010.0</v>
      </c>
      <c r="CF10" s="623">
        <v>2011.0</v>
      </c>
      <c r="CG10" s="623">
        <v>2012.0</v>
      </c>
      <c r="CH10" s="623">
        <v>2013.0</v>
      </c>
      <c r="CI10" s="623">
        <v>2014.0</v>
      </c>
      <c r="CJ10" s="623">
        <v>2015.0</v>
      </c>
      <c r="CK10" s="623">
        <v>2016.0</v>
      </c>
      <c r="CL10" s="623">
        <v>2017.0</v>
      </c>
      <c r="CM10" s="623">
        <v>2018.0</v>
      </c>
      <c r="CN10" s="623">
        <v>2019.0</v>
      </c>
      <c r="CO10" s="623">
        <v>2020.0</v>
      </c>
      <c r="CP10" s="623">
        <v>2021.0</v>
      </c>
      <c r="CQ10" s="623">
        <v>2022.0</v>
      </c>
      <c r="CR10" s="631"/>
      <c r="CS10" s="632"/>
      <c r="CT10" s="632"/>
      <c r="CU10" s="632"/>
      <c r="CV10" s="632"/>
      <c r="CW10" s="632"/>
      <c r="CX10" s="632"/>
      <c r="CY10" s="632"/>
      <c r="CZ10" s="632"/>
    </row>
    <row r="11" hidden="1">
      <c r="A11" s="634" t="s">
        <v>3267</v>
      </c>
      <c r="B11" s="165">
        <f t="shared" ref="B11:CQ11" si="2">B5/B$2</f>
        <v>0.1036095489</v>
      </c>
      <c r="C11" s="165">
        <f t="shared" si="2"/>
        <v>0.08135850694</v>
      </c>
      <c r="D11" s="165">
        <f t="shared" si="2"/>
        <v>0.03813104883</v>
      </c>
      <c r="E11" s="165">
        <f t="shared" si="2"/>
        <v>-0.00319209704</v>
      </c>
      <c r="F11" s="165">
        <f t="shared" si="2"/>
        <v>-0.003061902929</v>
      </c>
      <c r="G11" s="165">
        <f t="shared" si="2"/>
        <v>0.03767964072</v>
      </c>
      <c r="H11" s="165">
        <f t="shared" si="2"/>
        <v>0.05412103824</v>
      </c>
      <c r="I11" s="165">
        <f t="shared" si="2"/>
        <v>0.07344099965</v>
      </c>
      <c r="J11" s="165">
        <f t="shared" si="2"/>
        <v>0.07582551101</v>
      </c>
      <c r="K11" s="165">
        <f t="shared" si="2"/>
        <v>0.05733125744</v>
      </c>
      <c r="L11" s="165">
        <f t="shared" si="2"/>
        <v>0.0705502103</v>
      </c>
      <c r="M11" s="165">
        <f t="shared" si="2"/>
        <v>0.09593873604</v>
      </c>
      <c r="N11" s="165">
        <f t="shared" si="2"/>
        <v>0.1213604621</v>
      </c>
      <c r="O11" s="165">
        <f t="shared" si="2"/>
        <v>0.1252711627</v>
      </c>
      <c r="P11" s="165">
        <f t="shared" si="2"/>
        <v>0.1226093636</v>
      </c>
      <c r="Q11" s="165">
        <f t="shared" si="2"/>
        <v>0.1112601193</v>
      </c>
      <c r="R11" s="165">
        <f t="shared" si="2"/>
        <v>0.08969900047</v>
      </c>
      <c r="S11" s="165">
        <f t="shared" si="2"/>
        <v>0.08017667612</v>
      </c>
      <c r="T11" s="165">
        <f t="shared" si="2"/>
        <v>0.09680469201</v>
      </c>
      <c r="U11" s="165">
        <f t="shared" si="2"/>
        <v>0.1143776324</v>
      </c>
      <c r="V11" s="165">
        <f t="shared" si="2"/>
        <v>0.1066446463</v>
      </c>
      <c r="W11" s="636">
        <f t="shared" si="2"/>
        <v>0.1202660201</v>
      </c>
      <c r="X11" s="636">
        <f t="shared" si="2"/>
        <v>0.118755657</v>
      </c>
      <c r="Y11" s="636">
        <f t="shared" si="2"/>
        <v>0.1079786901</v>
      </c>
      <c r="Z11" s="636">
        <f t="shared" si="2"/>
        <v>0.1035255307</v>
      </c>
      <c r="AA11" s="636">
        <f t="shared" si="2"/>
        <v>0.1010372578</v>
      </c>
      <c r="AB11" s="636">
        <f t="shared" si="2"/>
        <v>0.1179097392</v>
      </c>
      <c r="AC11" s="636">
        <f t="shared" si="2"/>
        <v>0.1104832949</v>
      </c>
      <c r="AD11" s="636">
        <f t="shared" si="2"/>
        <v>0.1036623569</v>
      </c>
      <c r="AE11" s="636">
        <f t="shared" si="2"/>
        <v>0.09113540539</v>
      </c>
      <c r="AF11" s="636">
        <f t="shared" si="2"/>
        <v>0.1064191974</v>
      </c>
      <c r="AG11" s="636">
        <f t="shared" si="2"/>
        <v>0.1008145551</v>
      </c>
      <c r="AH11" s="636">
        <f t="shared" si="2"/>
        <v>0.09950925723</v>
      </c>
      <c r="AI11" s="636">
        <f t="shared" si="2"/>
        <v>0.1060451515</v>
      </c>
      <c r="AJ11" s="636">
        <f t="shared" si="2"/>
        <v>0.1106094596</v>
      </c>
      <c r="AK11" s="636">
        <f t="shared" si="2"/>
        <v>0.1135318353</v>
      </c>
      <c r="AL11" s="636">
        <f t="shared" si="2"/>
        <v>0.1202887285</v>
      </c>
      <c r="AM11" s="636">
        <f t="shared" si="2"/>
        <v>0.1181710666</v>
      </c>
      <c r="AN11" s="636">
        <f t="shared" si="2"/>
        <v>0.1091517154</v>
      </c>
      <c r="AO11" s="636">
        <f t="shared" si="2"/>
        <v>0.1081665783</v>
      </c>
      <c r="AP11" s="636">
        <f t="shared" si="2"/>
        <v>0.09671241088</v>
      </c>
      <c r="AQ11" s="636">
        <f t="shared" si="2"/>
        <v>0.08035382366</v>
      </c>
      <c r="AR11" s="636">
        <f t="shared" si="2"/>
        <v>0.08640339958</v>
      </c>
      <c r="AS11" s="636">
        <f t="shared" si="2"/>
        <v>0.09163559037</v>
      </c>
      <c r="AT11" s="636">
        <f t="shared" si="2"/>
        <v>0.09358232494</v>
      </c>
      <c r="AU11" s="636">
        <f t="shared" si="2"/>
        <v>0.08134966475</v>
      </c>
      <c r="AV11" s="636">
        <f t="shared" si="2"/>
        <v>0.08241359745</v>
      </c>
      <c r="AW11" s="636">
        <f t="shared" si="2"/>
        <v>0.0930590815</v>
      </c>
      <c r="AX11" s="636">
        <f t="shared" si="2"/>
        <v>0.09884735804</v>
      </c>
      <c r="AY11" s="636">
        <f t="shared" si="2"/>
        <v>0.1014496944</v>
      </c>
      <c r="AZ11" s="636">
        <f t="shared" si="2"/>
        <v>0.09485512495</v>
      </c>
      <c r="BA11" s="636">
        <f t="shared" si="2"/>
        <v>0.07808961375</v>
      </c>
      <c r="BB11" s="636">
        <f t="shared" si="2"/>
        <v>0.07667317007</v>
      </c>
      <c r="BC11" s="636">
        <f t="shared" si="2"/>
        <v>0.06811314948</v>
      </c>
      <c r="BD11" s="636">
        <f t="shared" si="2"/>
        <v>0.07647223282</v>
      </c>
      <c r="BE11" s="636">
        <f t="shared" si="2"/>
        <v>0.08353153212</v>
      </c>
      <c r="BF11" s="636">
        <f t="shared" si="2"/>
        <v>0.08137352128</v>
      </c>
      <c r="BG11" s="636">
        <f t="shared" si="2"/>
        <v>0.07065307227</v>
      </c>
      <c r="BH11" s="636">
        <f t="shared" si="2"/>
        <v>0.07637396078</v>
      </c>
      <c r="BI11" s="636">
        <f t="shared" si="2"/>
        <v>0.07948972183</v>
      </c>
      <c r="BJ11" s="636">
        <f t="shared" si="2"/>
        <v>0.07421998802</v>
      </c>
      <c r="BK11" s="636">
        <f t="shared" si="2"/>
        <v>0.07032028742</v>
      </c>
      <c r="BL11" s="636">
        <f t="shared" si="2"/>
        <v>0.07286986031</v>
      </c>
      <c r="BM11" s="636">
        <f t="shared" si="2"/>
        <v>0.07381378265</v>
      </c>
      <c r="BN11" s="636">
        <f t="shared" si="2"/>
        <v>0.07738024853</v>
      </c>
      <c r="BO11" s="636">
        <f t="shared" si="2"/>
        <v>0.08701392407</v>
      </c>
      <c r="BP11" s="636">
        <f t="shared" si="2"/>
        <v>0.09380910289</v>
      </c>
      <c r="BQ11" s="636">
        <f t="shared" si="2"/>
        <v>0.09953670959</v>
      </c>
      <c r="BR11" s="636">
        <f t="shared" si="2"/>
        <v>0.1037435856</v>
      </c>
      <c r="BS11" s="636">
        <f t="shared" si="2"/>
        <v>0.09215313517</v>
      </c>
      <c r="BT11" s="636">
        <f t="shared" si="2"/>
        <v>0.08999507017</v>
      </c>
      <c r="BU11" s="636">
        <f t="shared" si="2"/>
        <v>0.08061787822</v>
      </c>
      <c r="BV11" s="636">
        <f t="shared" si="2"/>
        <v>0.07439012301</v>
      </c>
      <c r="BW11" s="636">
        <f t="shared" si="2"/>
        <v>0.08512734983</v>
      </c>
      <c r="BX11" s="636">
        <f t="shared" si="2"/>
        <v>0.09401411432</v>
      </c>
      <c r="BY11" s="636">
        <f t="shared" si="2"/>
        <v>0.1080889592</v>
      </c>
      <c r="BZ11" s="636">
        <f t="shared" si="2"/>
        <v>0.1173418885</v>
      </c>
      <c r="CA11" s="636">
        <f t="shared" si="2"/>
        <v>0.1227674576</v>
      </c>
      <c r="CB11" s="636">
        <f t="shared" si="2"/>
        <v>0.1102514068</v>
      </c>
      <c r="CC11" s="636">
        <f t="shared" si="2"/>
        <v>0.09110579368</v>
      </c>
      <c r="CD11" s="636">
        <f t="shared" si="2"/>
        <v>0.09846977501</v>
      </c>
      <c r="CE11" s="636">
        <f t="shared" si="2"/>
        <v>0.1179133776</v>
      </c>
      <c r="CF11" s="636">
        <f t="shared" si="2"/>
        <v>0.1193884613</v>
      </c>
      <c r="CG11" s="636">
        <f t="shared" si="2"/>
        <v>0.126598794</v>
      </c>
      <c r="CH11" s="636">
        <f t="shared" si="2"/>
        <v>0.123285296</v>
      </c>
      <c r="CI11" s="636">
        <f t="shared" si="2"/>
        <v>0.1256710392</v>
      </c>
      <c r="CJ11" s="636">
        <f t="shared" si="2"/>
        <v>0.1187824948</v>
      </c>
      <c r="CK11" s="636">
        <f t="shared" si="2"/>
        <v>0.1140292965</v>
      </c>
      <c r="CL11" s="636">
        <f t="shared" si="2"/>
        <v>0.1134626467</v>
      </c>
      <c r="CM11" s="636">
        <f t="shared" si="2"/>
        <v>0.1144998024</v>
      </c>
      <c r="CN11" s="636">
        <f t="shared" si="2"/>
        <v>0.1147838233</v>
      </c>
      <c r="CO11" s="636">
        <f t="shared" si="2"/>
        <v>0.1117710261</v>
      </c>
      <c r="CP11" s="636">
        <f t="shared" si="2"/>
        <v>0.123876967</v>
      </c>
      <c r="CQ11" s="636">
        <f t="shared" si="2"/>
        <v>0.1246378783</v>
      </c>
      <c r="CR11" s="631"/>
      <c r="CS11" s="632"/>
      <c r="CT11" s="632"/>
      <c r="CU11" s="632"/>
      <c r="CV11" s="632"/>
      <c r="CW11" s="632"/>
      <c r="CX11" s="632"/>
      <c r="CY11" s="632"/>
      <c r="CZ11" s="632"/>
    </row>
    <row r="12" hidden="1">
      <c r="A12" s="634" t="s">
        <v>3268</v>
      </c>
      <c r="B12" s="165">
        <f t="shared" ref="B12:CQ12" si="3">B7/B$2</f>
        <v>0.01305520487</v>
      </c>
      <c r="C12" s="165">
        <f t="shared" si="3"/>
        <v>0.009136284722</v>
      </c>
      <c r="D12" s="165">
        <f t="shared" si="3"/>
        <v>0.006434856766</v>
      </c>
      <c r="E12" s="165">
        <f t="shared" si="3"/>
        <v>0.006434595612</v>
      </c>
      <c r="F12" s="165">
        <f t="shared" si="3"/>
        <v>0.009115722434</v>
      </c>
      <c r="G12" s="165">
        <f t="shared" si="3"/>
        <v>0.01113772455</v>
      </c>
      <c r="H12" s="165">
        <f t="shared" si="3"/>
        <v>0.01280963349</v>
      </c>
      <c r="I12" s="165">
        <f t="shared" si="3"/>
        <v>0.01660968997</v>
      </c>
      <c r="J12" s="165">
        <f t="shared" si="3"/>
        <v>0.01615001667</v>
      </c>
      <c r="K12" s="165">
        <f t="shared" si="3"/>
        <v>0.0117799249</v>
      </c>
      <c r="L12" s="165">
        <f t="shared" si="3"/>
        <v>0.01542215611</v>
      </c>
      <c r="M12" s="165">
        <f t="shared" si="3"/>
        <v>0.02754156989</v>
      </c>
      <c r="N12" s="165">
        <f t="shared" si="3"/>
        <v>0.05885127872</v>
      </c>
      <c r="O12" s="165">
        <f t="shared" si="3"/>
        <v>0.06878494987</v>
      </c>
      <c r="P12" s="165">
        <f t="shared" si="3"/>
        <v>0.06930137283</v>
      </c>
      <c r="Q12" s="165">
        <f t="shared" si="3"/>
        <v>0.05769290746</v>
      </c>
      <c r="R12" s="165">
        <f t="shared" si="3"/>
        <v>0.04688013964</v>
      </c>
      <c r="S12" s="165">
        <f t="shared" si="3"/>
        <v>0.04001142681</v>
      </c>
      <c r="T12" s="165">
        <f t="shared" si="3"/>
        <v>0.04484087558</v>
      </c>
      <c r="U12" s="165">
        <f t="shared" si="3"/>
        <v>0.04464637043</v>
      </c>
      <c r="V12" s="165">
        <f t="shared" si="3"/>
        <v>0.03673731535</v>
      </c>
      <c r="W12" s="636">
        <f t="shared" si="3"/>
        <v>0.05912743015</v>
      </c>
      <c r="X12" s="636">
        <f t="shared" si="3"/>
        <v>0.06429259125</v>
      </c>
      <c r="Y12" s="636">
        <f t="shared" si="3"/>
        <v>0.0520143409</v>
      </c>
      <c r="Z12" s="636">
        <f t="shared" si="3"/>
        <v>0.05124120673</v>
      </c>
      <c r="AA12" s="636">
        <f t="shared" si="3"/>
        <v>0.04441952226</v>
      </c>
      <c r="AB12" s="636">
        <f t="shared" si="3"/>
        <v>0.05121063839</v>
      </c>
      <c r="AC12" s="636">
        <f t="shared" si="3"/>
        <v>0.04804908391</v>
      </c>
      <c r="AD12" s="636">
        <f t="shared" si="3"/>
        <v>0.04404700879</v>
      </c>
      <c r="AE12" s="636">
        <f t="shared" si="3"/>
        <v>0.0383185552</v>
      </c>
      <c r="AF12" s="636">
        <f t="shared" si="3"/>
        <v>0.04373780322</v>
      </c>
      <c r="AG12" s="636">
        <f t="shared" si="3"/>
        <v>0.04034979037</v>
      </c>
      <c r="AH12" s="636">
        <f t="shared" si="3"/>
        <v>0.03949243075</v>
      </c>
      <c r="AI12" s="636">
        <f t="shared" si="3"/>
        <v>0.0385745179</v>
      </c>
      <c r="AJ12" s="636">
        <f t="shared" si="3"/>
        <v>0.03998901875</v>
      </c>
      <c r="AK12" s="636">
        <f t="shared" si="3"/>
        <v>0.03882330596</v>
      </c>
      <c r="AL12" s="636">
        <f t="shared" si="3"/>
        <v>0.04010297876</v>
      </c>
      <c r="AM12" s="636">
        <f t="shared" si="3"/>
        <v>0.03962557812</v>
      </c>
      <c r="AN12" s="636">
        <f t="shared" si="3"/>
        <v>0.03603892744</v>
      </c>
      <c r="AO12" s="636">
        <f t="shared" si="3"/>
        <v>0.03950880826</v>
      </c>
      <c r="AP12" s="636">
        <f t="shared" si="3"/>
        <v>0.03631825396</v>
      </c>
      <c r="AQ12" s="636">
        <f t="shared" si="3"/>
        <v>0.02912784181</v>
      </c>
      <c r="AR12" s="636">
        <f t="shared" si="3"/>
        <v>0.02988195905</v>
      </c>
      <c r="AS12" s="636">
        <f t="shared" si="3"/>
        <v>0.03057594734</v>
      </c>
      <c r="AT12" s="636">
        <f t="shared" si="3"/>
        <v>0.03201400894</v>
      </c>
      <c r="AU12" s="636">
        <f t="shared" si="3"/>
        <v>0.03056800775</v>
      </c>
      <c r="AV12" s="636">
        <f t="shared" si="3"/>
        <v>0.02745794419</v>
      </c>
      <c r="AW12" s="636">
        <f t="shared" si="3"/>
        <v>0.03171646173</v>
      </c>
      <c r="AX12" s="636">
        <f t="shared" si="3"/>
        <v>0.03290572795</v>
      </c>
      <c r="AY12" s="636">
        <f t="shared" si="3"/>
        <v>0.03310598448</v>
      </c>
      <c r="AZ12" s="636">
        <f t="shared" si="3"/>
        <v>0.03072964105</v>
      </c>
      <c r="BA12" s="636">
        <f t="shared" si="3"/>
        <v>0.02641788229</v>
      </c>
      <c r="BB12" s="636">
        <f t="shared" si="3"/>
        <v>0.02192519522</v>
      </c>
      <c r="BC12" s="636">
        <f t="shared" si="3"/>
        <v>0.01534008276</v>
      </c>
      <c r="BD12" s="636">
        <f t="shared" si="3"/>
        <v>0.018276914</v>
      </c>
      <c r="BE12" s="636">
        <f t="shared" si="3"/>
        <v>0.02017949714</v>
      </c>
      <c r="BF12" s="636">
        <f t="shared" si="3"/>
        <v>0.01880857225</v>
      </c>
      <c r="BG12" s="636">
        <f t="shared" si="3"/>
        <v>0.02006078656</v>
      </c>
      <c r="BH12" s="636">
        <f t="shared" si="3"/>
        <v>0.02321256628</v>
      </c>
      <c r="BI12" s="636">
        <f t="shared" si="3"/>
        <v>0.02373101715</v>
      </c>
      <c r="BJ12" s="636">
        <f t="shared" si="3"/>
        <v>0.02205445992</v>
      </c>
      <c r="BK12" s="636">
        <f t="shared" si="3"/>
        <v>0.02042814998</v>
      </c>
      <c r="BL12" s="636">
        <f t="shared" si="3"/>
        <v>0.01913129783</v>
      </c>
      <c r="BM12" s="636">
        <f t="shared" si="3"/>
        <v>0.02023119393</v>
      </c>
      <c r="BN12" s="636">
        <f t="shared" si="3"/>
        <v>0.02260635215</v>
      </c>
      <c r="BO12" s="636">
        <f t="shared" si="3"/>
        <v>0.02369499218</v>
      </c>
      <c r="BP12" s="636">
        <f t="shared" si="3"/>
        <v>0.02545227598</v>
      </c>
      <c r="BQ12" s="636">
        <f t="shared" si="3"/>
        <v>0.0261839224</v>
      </c>
      <c r="BR12" s="636">
        <f t="shared" si="3"/>
        <v>0.02620351354</v>
      </c>
      <c r="BS12" s="636">
        <f t="shared" si="3"/>
        <v>0.02447417839</v>
      </c>
      <c r="BT12" s="636">
        <f t="shared" si="3"/>
        <v>0.02360938004</v>
      </c>
      <c r="BU12" s="636">
        <f t="shared" si="3"/>
        <v>0.02277329949</v>
      </c>
      <c r="BV12" s="636">
        <f t="shared" si="3"/>
        <v>0.01607910996</v>
      </c>
      <c r="BW12" s="636">
        <f t="shared" si="3"/>
        <v>0.01470147426</v>
      </c>
      <c r="BX12" s="636">
        <f t="shared" si="3"/>
        <v>0.01865874682</v>
      </c>
      <c r="BY12" s="636">
        <f t="shared" si="3"/>
        <v>0.02279672029</v>
      </c>
      <c r="BZ12" s="636">
        <f t="shared" si="3"/>
        <v>0.02912364926</v>
      </c>
      <c r="CA12" s="636">
        <f t="shared" si="3"/>
        <v>0.03113491483</v>
      </c>
      <c r="CB12" s="636">
        <f t="shared" si="3"/>
        <v>0.02706755759</v>
      </c>
      <c r="CC12" s="636">
        <f t="shared" si="3"/>
        <v>0.0173270407</v>
      </c>
      <c r="CD12" s="636">
        <f t="shared" si="3"/>
        <v>0.01408565107</v>
      </c>
      <c r="CE12" s="636">
        <f t="shared" si="3"/>
        <v>0.01809206756</v>
      </c>
      <c r="CF12" s="636">
        <f t="shared" si="3"/>
        <v>0.0179979374</v>
      </c>
      <c r="CG12" s="636">
        <f t="shared" si="3"/>
        <v>0.02058506322</v>
      </c>
      <c r="CH12" s="636">
        <f t="shared" si="3"/>
        <v>0.02146939197</v>
      </c>
      <c r="CI12" s="636">
        <f t="shared" si="3"/>
        <v>0.02310806515</v>
      </c>
      <c r="CJ12" s="636">
        <f t="shared" si="3"/>
        <v>0.02165206825</v>
      </c>
      <c r="CK12" s="636">
        <f t="shared" si="3"/>
        <v>0.01999658281</v>
      </c>
      <c r="CL12" s="636">
        <f t="shared" si="3"/>
        <v>0.01515166503</v>
      </c>
      <c r="CM12" s="636">
        <f t="shared" si="3"/>
        <v>0.01439850747</v>
      </c>
      <c r="CN12" s="636">
        <f t="shared" si="3"/>
        <v>0.01381945734</v>
      </c>
      <c r="CO12" s="636">
        <f t="shared" si="3"/>
        <v>0.01442051874</v>
      </c>
      <c r="CP12" s="636">
        <f t="shared" si="3"/>
        <v>0.01714942224</v>
      </c>
      <c r="CQ12" s="636">
        <f t="shared" si="3"/>
        <v>0.02106893741</v>
      </c>
      <c r="CR12" s="631"/>
      <c r="CS12" s="632"/>
      <c r="CT12" s="632"/>
      <c r="CU12" s="632"/>
      <c r="CV12" s="632"/>
      <c r="CW12" s="632"/>
      <c r="CX12" s="632"/>
      <c r="CY12" s="632"/>
      <c r="CZ12" s="632"/>
    </row>
    <row r="13" hidden="1">
      <c r="A13" s="635"/>
      <c r="B13" s="632"/>
      <c r="C13" s="632"/>
      <c r="D13" s="632"/>
      <c r="E13" s="632"/>
      <c r="F13" s="632"/>
      <c r="G13" s="632"/>
      <c r="H13" s="632"/>
      <c r="I13" s="632"/>
      <c r="J13" s="632"/>
      <c r="K13" s="632"/>
      <c r="L13" s="632"/>
      <c r="M13" s="632"/>
      <c r="N13" s="632"/>
      <c r="O13" s="632"/>
      <c r="P13" s="632"/>
      <c r="Q13" s="632"/>
      <c r="R13" s="632"/>
      <c r="S13" s="632"/>
      <c r="T13" s="632"/>
      <c r="U13" s="632"/>
      <c r="V13" s="632"/>
      <c r="W13" s="631"/>
      <c r="X13" s="631"/>
      <c r="Y13" s="631"/>
      <c r="Z13" s="631"/>
      <c r="AA13" s="631"/>
      <c r="AB13" s="631"/>
      <c r="AC13" s="631"/>
      <c r="AD13" s="631"/>
      <c r="AE13" s="631"/>
      <c r="AF13" s="631"/>
      <c r="AG13" s="631"/>
      <c r="AH13" s="631"/>
      <c r="AI13" s="631"/>
      <c r="AJ13" s="631"/>
      <c r="AK13" s="631"/>
      <c r="AL13" s="631"/>
      <c r="AM13" s="631"/>
      <c r="AN13" s="631"/>
      <c r="AO13" s="631"/>
      <c r="AP13" s="631"/>
      <c r="AQ13" s="631"/>
      <c r="AR13" s="631"/>
      <c r="AS13" s="631"/>
      <c r="AT13" s="631"/>
      <c r="AU13" s="631"/>
      <c r="AV13" s="631"/>
      <c r="AW13" s="631"/>
      <c r="AX13" s="631"/>
      <c r="AY13" s="631"/>
      <c r="AZ13" s="631"/>
      <c r="BA13" s="631"/>
      <c r="BB13" s="631"/>
      <c r="BC13" s="631"/>
      <c r="BD13" s="631"/>
      <c r="BE13" s="631"/>
      <c r="BF13" s="631"/>
      <c r="BG13" s="631"/>
      <c r="BH13" s="631"/>
      <c r="BI13" s="631"/>
      <c r="BJ13" s="631"/>
      <c r="BK13" s="631"/>
      <c r="BL13" s="631"/>
      <c r="BM13" s="631"/>
      <c r="BN13" s="631"/>
      <c r="BO13" s="631"/>
      <c r="BP13" s="631"/>
      <c r="BQ13" s="631"/>
      <c r="BR13" s="631"/>
      <c r="BS13" s="631"/>
      <c r="BT13" s="631"/>
      <c r="BU13" s="631"/>
      <c r="BV13" s="631"/>
      <c r="BW13" s="631"/>
      <c r="BX13" s="631"/>
      <c r="BY13" s="631"/>
      <c r="BZ13" s="631"/>
      <c r="CA13" s="631"/>
      <c r="CB13" s="631"/>
      <c r="CC13" s="631"/>
      <c r="CD13" s="631"/>
      <c r="CE13" s="631"/>
      <c r="CF13" s="631"/>
      <c r="CG13" s="631"/>
      <c r="CH13" s="631"/>
      <c r="CI13" s="631"/>
      <c r="CJ13" s="631"/>
      <c r="CK13" s="631"/>
      <c r="CL13" s="631"/>
      <c r="CM13" s="631"/>
      <c r="CN13" s="631"/>
      <c r="CO13" s="631"/>
      <c r="CP13" s="631"/>
      <c r="CQ13" s="631"/>
      <c r="CR13" s="631"/>
      <c r="CS13" s="632"/>
      <c r="CT13" s="632"/>
      <c r="CU13" s="631"/>
      <c r="CV13" s="637"/>
      <c r="CW13" s="637"/>
      <c r="CX13" s="637"/>
      <c r="CY13" s="637"/>
      <c r="CZ13" s="637"/>
    </row>
    <row r="14" hidden="1">
      <c r="A14" s="635"/>
      <c r="B14" s="632"/>
      <c r="C14" s="632"/>
      <c r="D14" s="632"/>
      <c r="E14" s="632"/>
      <c r="F14" s="632"/>
      <c r="G14" s="632"/>
      <c r="H14" s="632"/>
      <c r="I14" s="632"/>
      <c r="J14" s="632"/>
      <c r="K14" s="632"/>
      <c r="L14" s="632"/>
      <c r="M14" s="632"/>
      <c r="N14" s="632"/>
      <c r="O14" s="632"/>
      <c r="P14" s="632"/>
      <c r="Q14" s="632"/>
      <c r="R14" s="632"/>
      <c r="S14" s="632"/>
      <c r="T14" s="632"/>
      <c r="U14" s="632"/>
      <c r="V14" s="632"/>
      <c r="W14" s="636"/>
      <c r="X14" s="636"/>
      <c r="Y14" s="636"/>
      <c r="Z14" s="636"/>
      <c r="AA14" s="636"/>
      <c r="AB14" s="636"/>
      <c r="AC14" s="636"/>
      <c r="AD14" s="636"/>
      <c r="AE14" s="636"/>
      <c r="AF14" s="636"/>
      <c r="AG14" s="636"/>
      <c r="AH14" s="636"/>
      <c r="AI14" s="636"/>
      <c r="AJ14" s="636"/>
      <c r="AK14" s="636"/>
      <c r="AL14" s="636"/>
      <c r="AM14" s="636"/>
      <c r="AN14" s="636"/>
      <c r="AO14" s="636"/>
      <c r="AP14" s="636"/>
      <c r="AQ14" s="636"/>
      <c r="AR14" s="636"/>
      <c r="AS14" s="636"/>
      <c r="AT14" s="636"/>
      <c r="AU14" s="636"/>
      <c r="AV14" s="636"/>
      <c r="AW14" s="636"/>
      <c r="AX14" s="636"/>
      <c r="AY14" s="636"/>
      <c r="AZ14" s="636"/>
      <c r="BA14" s="636"/>
      <c r="BB14" s="636"/>
      <c r="BC14" s="636"/>
      <c r="BD14" s="636"/>
      <c r="BE14" s="636"/>
      <c r="BF14" s="636"/>
      <c r="BG14" s="636"/>
      <c r="BH14" s="636"/>
      <c r="BI14" s="636"/>
      <c r="BJ14" s="636"/>
      <c r="BK14" s="636"/>
      <c r="BL14" s="636"/>
      <c r="BM14" s="636"/>
      <c r="BN14" s="636"/>
      <c r="BO14" s="636"/>
      <c r="BP14" s="636"/>
      <c r="BQ14" s="636"/>
      <c r="BR14" s="636"/>
      <c r="BS14" s="636"/>
      <c r="BT14" s="636"/>
      <c r="BU14" s="636"/>
      <c r="BV14" s="636"/>
      <c r="BW14" s="636"/>
      <c r="BX14" s="636"/>
      <c r="BY14" s="636"/>
      <c r="BZ14" s="636"/>
      <c r="CA14" s="636"/>
      <c r="CB14" s="636"/>
      <c r="CC14" s="636"/>
      <c r="CD14" s="636"/>
      <c r="CE14" s="636"/>
      <c r="CF14" s="636"/>
      <c r="CG14" s="636"/>
      <c r="CH14" s="636"/>
      <c r="CI14" s="636"/>
      <c r="CJ14" s="636"/>
      <c r="CK14" s="636"/>
      <c r="CL14" s="636"/>
      <c r="CM14" s="636"/>
      <c r="CN14" s="636"/>
      <c r="CO14" s="636"/>
      <c r="CP14" s="636"/>
      <c r="CQ14" s="636">
        <f>CQ4/CQ3</f>
        <v>0.6199347369</v>
      </c>
      <c r="CR14" s="631"/>
      <c r="CS14" s="632"/>
      <c r="CT14" s="632"/>
      <c r="CU14" s="632"/>
      <c r="CV14" s="632"/>
      <c r="CW14" s="632"/>
      <c r="CX14" s="632"/>
      <c r="CY14" s="632"/>
      <c r="CZ14" s="632"/>
    </row>
    <row r="15" hidden="1">
      <c r="A15" s="635"/>
      <c r="B15" s="632"/>
      <c r="C15" s="632"/>
      <c r="D15" s="632"/>
      <c r="E15" s="632"/>
      <c r="F15" s="632"/>
      <c r="G15" s="632"/>
      <c r="H15" s="632"/>
      <c r="I15" s="632"/>
      <c r="J15" s="632"/>
      <c r="K15" s="632"/>
      <c r="L15" s="632"/>
      <c r="M15" s="632"/>
      <c r="N15" s="632"/>
      <c r="O15" s="632"/>
      <c r="P15" s="632"/>
      <c r="Q15" s="632"/>
      <c r="R15" s="632"/>
      <c r="S15" s="632"/>
      <c r="T15" s="632"/>
      <c r="U15" s="632"/>
      <c r="V15" s="632"/>
      <c r="W15" s="636"/>
      <c r="X15" s="636"/>
      <c r="Y15" s="636"/>
      <c r="Z15" s="636"/>
      <c r="AA15" s="636"/>
      <c r="AB15" s="636"/>
      <c r="AC15" s="636"/>
      <c r="AD15" s="636"/>
      <c r="AE15" s="636"/>
      <c r="AF15" s="636"/>
      <c r="AG15" s="636"/>
      <c r="AH15" s="636"/>
      <c r="AI15" s="636"/>
      <c r="AJ15" s="636"/>
      <c r="AK15" s="636"/>
      <c r="AL15" s="636"/>
      <c r="AM15" s="636"/>
      <c r="AN15" s="636"/>
      <c r="AO15" s="636"/>
      <c r="AP15" s="636"/>
      <c r="AQ15" s="636"/>
      <c r="AR15" s="636"/>
      <c r="AS15" s="636"/>
      <c r="AT15" s="636"/>
      <c r="AU15" s="636"/>
      <c r="AV15" s="636"/>
      <c r="AW15" s="636"/>
      <c r="AX15" s="636"/>
      <c r="AY15" s="636"/>
      <c r="AZ15" s="636"/>
      <c r="BA15" s="636"/>
      <c r="BB15" s="636"/>
      <c r="BC15" s="636"/>
      <c r="BD15" s="636"/>
      <c r="BE15" s="636"/>
      <c r="BF15" s="636"/>
      <c r="BG15" s="636"/>
      <c r="BH15" s="636"/>
      <c r="BI15" s="636"/>
      <c r="BJ15" s="636"/>
      <c r="BK15" s="636"/>
      <c r="BL15" s="636"/>
      <c r="BM15" s="636"/>
      <c r="BN15" s="636"/>
      <c r="BO15" s="636"/>
      <c r="BP15" s="636"/>
      <c r="BQ15" s="636"/>
      <c r="BR15" s="636"/>
      <c r="BS15" s="636"/>
      <c r="BT15" s="636"/>
      <c r="BU15" s="636"/>
      <c r="BV15" s="636"/>
      <c r="BW15" s="636"/>
      <c r="BX15" s="636"/>
      <c r="BY15" s="636"/>
      <c r="BZ15" s="636"/>
      <c r="CA15" s="636"/>
      <c r="CB15" s="636"/>
      <c r="CC15" s="636"/>
      <c r="CD15" s="636"/>
      <c r="CE15" s="636"/>
      <c r="CF15" s="636"/>
      <c r="CG15" s="636"/>
      <c r="CH15" s="636"/>
      <c r="CI15" s="636"/>
      <c r="CJ15" s="636"/>
      <c r="CK15" s="636"/>
      <c r="CL15" s="636"/>
      <c r="CM15" s="636"/>
      <c r="CN15" s="636"/>
      <c r="CO15" s="636"/>
      <c r="CP15" s="636"/>
      <c r="CQ15" s="636"/>
      <c r="CR15" s="631"/>
      <c r="CS15" s="632"/>
      <c r="CT15" s="632"/>
      <c r="CU15" s="632"/>
      <c r="CV15" s="632"/>
      <c r="CW15" s="632"/>
      <c r="CX15" s="632"/>
      <c r="CY15" s="632"/>
      <c r="CZ15" s="632"/>
    </row>
    <row r="16" hidden="1">
      <c r="A16" s="633" t="s">
        <v>3269</v>
      </c>
      <c r="B16" s="632"/>
      <c r="C16" s="632"/>
      <c r="D16" s="632"/>
      <c r="E16" s="632"/>
      <c r="F16" s="632"/>
      <c r="G16" s="628">
        <v>2.955</v>
      </c>
      <c r="H16" s="628">
        <v>3.609</v>
      </c>
      <c r="I16" s="628">
        <v>3.923</v>
      </c>
      <c r="J16" s="628">
        <v>5.387</v>
      </c>
      <c r="K16" s="628">
        <v>6.751</v>
      </c>
      <c r="L16" s="628">
        <v>6.295</v>
      </c>
      <c r="M16" s="628">
        <v>6.548</v>
      </c>
      <c r="N16" s="628">
        <v>8.712</v>
      </c>
      <c r="O16" s="628">
        <v>14.634</v>
      </c>
      <c r="P16" s="628">
        <v>24.001</v>
      </c>
      <c r="Q16" s="628">
        <v>43.747</v>
      </c>
      <c r="R16" s="628">
        <v>45.159</v>
      </c>
      <c r="S16" s="628">
        <v>39.296</v>
      </c>
      <c r="T16" s="628">
        <v>38.514</v>
      </c>
      <c r="U16" s="628">
        <v>41.56</v>
      </c>
      <c r="V16" s="628">
        <v>39.415</v>
      </c>
      <c r="W16" s="625">
        <v>39.443</v>
      </c>
      <c r="X16" s="625">
        <v>51.616</v>
      </c>
      <c r="Y16" s="625">
        <v>66.167</v>
      </c>
      <c r="Z16" s="625">
        <v>69.608</v>
      </c>
      <c r="AA16" s="625">
        <v>69.701</v>
      </c>
      <c r="AB16" s="625">
        <v>65.451</v>
      </c>
      <c r="AC16" s="625">
        <v>74.587</v>
      </c>
      <c r="AD16" s="625">
        <v>79.99</v>
      </c>
      <c r="AE16" s="625">
        <v>79.636</v>
      </c>
      <c r="AF16" s="625">
        <v>79.249</v>
      </c>
      <c r="AG16" s="625">
        <v>92.492</v>
      </c>
      <c r="AH16" s="625">
        <v>94.388</v>
      </c>
      <c r="AI16" s="625">
        <v>99.676</v>
      </c>
      <c r="AJ16" s="625">
        <v>106.56</v>
      </c>
      <c r="AK16" s="625">
        <v>112.613</v>
      </c>
      <c r="AL16" s="625">
        <v>116.817</v>
      </c>
      <c r="AM16" s="625">
        <v>130.835</v>
      </c>
      <c r="AN16" s="625">
        <v>148.822</v>
      </c>
      <c r="AO16" s="625">
        <v>152.973</v>
      </c>
      <c r="AP16" s="625">
        <v>186.882</v>
      </c>
      <c r="AQ16" s="625">
        <v>192.807</v>
      </c>
      <c r="AR16" s="625">
        <v>187.139</v>
      </c>
      <c r="AS16" s="625">
        <v>207.309</v>
      </c>
      <c r="AT16" s="625">
        <v>230.799</v>
      </c>
      <c r="AU16" s="625">
        <v>263.224</v>
      </c>
      <c r="AV16" s="625">
        <v>279.09</v>
      </c>
      <c r="AW16" s="625">
        <v>338.676</v>
      </c>
      <c r="AX16" s="625">
        <v>396.175</v>
      </c>
      <c r="AY16" s="625">
        <v>399.561</v>
      </c>
      <c r="AZ16" s="625">
        <v>463.302</v>
      </c>
      <c r="BA16" s="625">
        <v>517.112</v>
      </c>
      <c r="BB16" s="625">
        <v>599.272</v>
      </c>
      <c r="BC16" s="625">
        <v>617.766</v>
      </c>
      <c r="BD16" s="625">
        <v>600.562</v>
      </c>
      <c r="BE16" s="625">
        <v>666.438</v>
      </c>
      <c r="BF16" s="625">
        <v>734.037</v>
      </c>
      <c r="BG16" s="625">
        <v>769.155</v>
      </c>
      <c r="BH16" s="625">
        <v>854.287</v>
      </c>
      <c r="BI16" s="625">
        <v>909.238</v>
      </c>
      <c r="BJ16" s="625">
        <v>991.104</v>
      </c>
      <c r="BK16" s="625">
        <v>1031.958</v>
      </c>
      <c r="BL16" s="625">
        <v>1054.988</v>
      </c>
      <c r="BM16" s="625">
        <v>1091.208</v>
      </c>
      <c r="BN16" s="625">
        <v>1154.334</v>
      </c>
      <c r="BO16" s="625">
        <v>1258.566</v>
      </c>
      <c r="BP16" s="625">
        <v>1351.79</v>
      </c>
      <c r="BQ16" s="625">
        <v>1453.053</v>
      </c>
      <c r="BR16" s="625">
        <v>1579.232</v>
      </c>
      <c r="BS16" s="625">
        <v>1721.728</v>
      </c>
      <c r="BT16" s="625">
        <v>1827.452</v>
      </c>
      <c r="BU16" s="625">
        <v>2025.191</v>
      </c>
      <c r="BV16" s="625">
        <v>1991.082</v>
      </c>
      <c r="BW16" s="625">
        <v>1853.136</v>
      </c>
      <c r="BX16" s="625">
        <v>1782.314</v>
      </c>
      <c r="BY16" s="625">
        <v>1880.114</v>
      </c>
      <c r="BZ16" s="625">
        <v>2153.611</v>
      </c>
      <c r="CA16" s="625">
        <v>2406.869</v>
      </c>
      <c r="CB16" s="625">
        <v>2567.985</v>
      </c>
      <c r="CC16" s="625">
        <v>2523.991</v>
      </c>
      <c r="CD16" s="625">
        <v>2104.989</v>
      </c>
      <c r="CE16" s="625">
        <v>2162.706</v>
      </c>
      <c r="CF16" s="625">
        <v>2303.466</v>
      </c>
      <c r="CG16" s="625">
        <v>2449.99</v>
      </c>
      <c r="CH16" s="625">
        <v>2775.106</v>
      </c>
      <c r="CI16" s="625">
        <v>3021.491</v>
      </c>
      <c r="CJ16" s="625">
        <v>3249.89</v>
      </c>
      <c r="CK16" s="625">
        <v>3267.965</v>
      </c>
      <c r="CL16" s="625">
        <v>3316.184</v>
      </c>
      <c r="CM16" s="625">
        <v>3329.907</v>
      </c>
      <c r="CN16" s="625">
        <v>3463.364</v>
      </c>
      <c r="CO16" s="625">
        <v>3421.164</v>
      </c>
      <c r="CP16" s="625">
        <v>4047.111</v>
      </c>
      <c r="CQ16" s="625">
        <v>4897.399</v>
      </c>
      <c r="CR16" s="625"/>
      <c r="CS16" s="628"/>
      <c r="CT16" s="628"/>
      <c r="CU16" s="628"/>
      <c r="CV16" s="628"/>
      <c r="CW16" s="628"/>
      <c r="CX16" s="628"/>
      <c r="CY16" s="628"/>
      <c r="CZ16" s="628"/>
    </row>
    <row r="17" hidden="1">
      <c r="A17" s="634" t="s">
        <v>3270</v>
      </c>
      <c r="B17" s="632"/>
      <c r="C17" s="632"/>
      <c r="D17" s="632"/>
      <c r="E17" s="632"/>
      <c r="F17" s="632"/>
      <c r="G17" s="628">
        <v>0.364</v>
      </c>
      <c r="H17" s="628">
        <v>0.529</v>
      </c>
      <c r="I17" s="628">
        <v>0.719</v>
      </c>
      <c r="J17" s="628">
        <v>1.038</v>
      </c>
      <c r="K17" s="628">
        <v>1.287</v>
      </c>
      <c r="L17" s="628">
        <v>1.127</v>
      </c>
      <c r="M17" s="628">
        <v>1.197</v>
      </c>
      <c r="N17" s="628">
        <v>2.124</v>
      </c>
      <c r="O17" s="628">
        <v>4.719</v>
      </c>
      <c r="P17" s="628">
        <v>9.557</v>
      </c>
      <c r="Q17" s="628">
        <v>14.838</v>
      </c>
      <c r="R17" s="628">
        <v>15.988</v>
      </c>
      <c r="S17" s="628">
        <v>11.883</v>
      </c>
      <c r="T17" s="628">
        <v>8.615</v>
      </c>
      <c r="U17" s="628">
        <v>9.678</v>
      </c>
      <c r="V17" s="628">
        <v>11.192</v>
      </c>
      <c r="W17" s="625">
        <v>10.449</v>
      </c>
      <c r="X17" s="625">
        <v>14.101</v>
      </c>
      <c r="Y17" s="625">
        <v>21.226</v>
      </c>
      <c r="Z17" s="625">
        <v>21.238</v>
      </c>
      <c r="AA17" s="625">
        <v>21.101</v>
      </c>
      <c r="AB17" s="625">
        <v>17.861</v>
      </c>
      <c r="AC17" s="625">
        <v>20.88</v>
      </c>
      <c r="AD17" s="625">
        <v>21.167</v>
      </c>
      <c r="AE17" s="625">
        <v>20.074</v>
      </c>
      <c r="AF17" s="625">
        <v>17.309</v>
      </c>
      <c r="AG17" s="625">
        <v>21.494</v>
      </c>
      <c r="AH17" s="625">
        <v>20.954</v>
      </c>
      <c r="AI17" s="625">
        <v>20.523</v>
      </c>
      <c r="AJ17" s="625">
        <v>21.579</v>
      </c>
      <c r="AK17" s="625">
        <v>23.493</v>
      </c>
      <c r="AL17" s="625">
        <v>25.461</v>
      </c>
      <c r="AM17" s="625">
        <v>30.073</v>
      </c>
      <c r="AN17" s="625">
        <v>33.971</v>
      </c>
      <c r="AO17" s="625">
        <v>28.665</v>
      </c>
      <c r="AP17" s="625">
        <v>36.678</v>
      </c>
      <c r="AQ17" s="625">
        <v>32.829</v>
      </c>
      <c r="AR17" s="625">
        <v>26.785</v>
      </c>
      <c r="AS17" s="625">
        <v>32.166</v>
      </c>
      <c r="AT17" s="625">
        <v>36.153</v>
      </c>
      <c r="AU17" s="625">
        <v>38.62</v>
      </c>
      <c r="AV17" s="625">
        <v>40.621</v>
      </c>
      <c r="AW17" s="625">
        <v>45.639</v>
      </c>
      <c r="AX17" s="625">
        <v>59.122</v>
      </c>
      <c r="AY17" s="625">
        <v>59.952</v>
      </c>
      <c r="AZ17" s="625">
        <v>65.677</v>
      </c>
      <c r="BA17" s="625">
        <v>64.6</v>
      </c>
      <c r="BB17" s="625">
        <v>61.137</v>
      </c>
      <c r="BC17" s="625">
        <v>49.207</v>
      </c>
      <c r="BD17" s="625">
        <v>37.022</v>
      </c>
      <c r="BE17" s="625">
        <v>56.893</v>
      </c>
      <c r="BF17" s="625">
        <v>61.331</v>
      </c>
      <c r="BG17" s="625">
        <v>63.143</v>
      </c>
      <c r="BH17" s="625">
        <v>83.926</v>
      </c>
      <c r="BI17" s="625">
        <v>94.508</v>
      </c>
      <c r="BJ17" s="625">
        <v>103.291</v>
      </c>
      <c r="BK17" s="625">
        <v>93.507</v>
      </c>
      <c r="BL17" s="625">
        <v>98.086</v>
      </c>
      <c r="BM17" s="625">
        <v>100.27</v>
      </c>
      <c r="BN17" s="625">
        <v>117.52</v>
      </c>
      <c r="BO17" s="625">
        <v>140.385</v>
      </c>
      <c r="BP17" s="625">
        <v>157.004</v>
      </c>
      <c r="BQ17" s="625">
        <v>171.824</v>
      </c>
      <c r="BR17" s="625">
        <v>182.293</v>
      </c>
      <c r="BS17" s="625">
        <v>188.677</v>
      </c>
      <c r="BT17" s="625">
        <v>184.68</v>
      </c>
      <c r="BU17" s="625">
        <v>207.289</v>
      </c>
      <c r="BV17" s="625">
        <v>151.075</v>
      </c>
      <c r="BW17" s="625">
        <v>148.044</v>
      </c>
      <c r="BX17" s="625">
        <v>131.778</v>
      </c>
      <c r="BY17" s="625">
        <v>189.371</v>
      </c>
      <c r="BZ17" s="625">
        <v>278.282</v>
      </c>
      <c r="CA17" s="625">
        <v>353.915</v>
      </c>
      <c r="CB17" s="625">
        <v>370.243</v>
      </c>
      <c r="CC17" s="625">
        <v>304.346</v>
      </c>
      <c r="CD17" s="625">
        <v>138.229</v>
      </c>
      <c r="CE17" s="625">
        <v>191.437</v>
      </c>
      <c r="CF17" s="625">
        <v>181.085</v>
      </c>
      <c r="CG17" s="625">
        <v>242.289</v>
      </c>
      <c r="CH17" s="625">
        <v>273.506</v>
      </c>
      <c r="CI17" s="625">
        <v>320.731</v>
      </c>
      <c r="CJ17" s="625">
        <v>343.797</v>
      </c>
      <c r="CK17" s="625">
        <v>299.571</v>
      </c>
      <c r="CL17" s="625">
        <v>297.048</v>
      </c>
      <c r="CM17" s="625">
        <v>204.733</v>
      </c>
      <c r="CN17" s="625">
        <v>230.245</v>
      </c>
      <c r="CO17" s="625">
        <v>211.845</v>
      </c>
      <c r="CP17" s="625">
        <v>371.831</v>
      </c>
      <c r="CQ17" s="625">
        <v>424.865</v>
      </c>
      <c r="CR17" s="625"/>
      <c r="CS17" s="628"/>
      <c r="CT17" s="628"/>
      <c r="CU17" s="628"/>
      <c r="CV17" s="628"/>
      <c r="CW17" s="628"/>
      <c r="CX17" s="628"/>
      <c r="CY17" s="628"/>
      <c r="CZ17" s="628"/>
    </row>
    <row r="18" hidden="1">
      <c r="A18" s="635"/>
      <c r="B18" s="632"/>
      <c r="C18" s="632"/>
      <c r="D18" s="632"/>
      <c r="E18" s="632"/>
      <c r="F18" s="632"/>
      <c r="G18" s="632"/>
      <c r="H18" s="632"/>
      <c r="I18" s="632"/>
      <c r="J18" s="632"/>
      <c r="K18" s="632"/>
      <c r="L18" s="632"/>
      <c r="M18" s="632"/>
      <c r="N18" s="632"/>
      <c r="O18" s="632"/>
      <c r="P18" s="632"/>
      <c r="Q18" s="632"/>
      <c r="R18" s="632"/>
      <c r="S18" s="632"/>
      <c r="T18" s="632"/>
      <c r="U18" s="632"/>
      <c r="V18" s="632"/>
      <c r="W18" s="631"/>
      <c r="X18" s="631"/>
      <c r="Y18" s="631"/>
      <c r="Z18" s="631"/>
      <c r="AA18" s="631"/>
      <c r="AB18" s="631"/>
      <c r="AC18" s="631"/>
      <c r="AD18" s="631"/>
      <c r="AE18" s="631"/>
      <c r="AF18" s="631"/>
      <c r="AG18" s="631"/>
      <c r="AH18" s="631"/>
      <c r="AI18" s="631"/>
      <c r="AJ18" s="631"/>
      <c r="AK18" s="631"/>
      <c r="AL18" s="631"/>
      <c r="AM18" s="631"/>
      <c r="AN18" s="631"/>
      <c r="AO18" s="631"/>
      <c r="AP18" s="631"/>
      <c r="AQ18" s="631"/>
      <c r="AR18" s="631"/>
      <c r="AS18" s="631"/>
      <c r="AT18" s="631"/>
      <c r="AU18" s="631"/>
      <c r="AV18" s="631"/>
      <c r="AW18" s="631"/>
      <c r="AX18" s="631"/>
      <c r="AY18" s="631"/>
      <c r="AZ18" s="631"/>
      <c r="BA18" s="631"/>
      <c r="BB18" s="631"/>
      <c r="BC18" s="631"/>
      <c r="BD18" s="631"/>
      <c r="BE18" s="631"/>
      <c r="BF18" s="631"/>
      <c r="BG18" s="631"/>
      <c r="BH18" s="631"/>
      <c r="BI18" s="631"/>
      <c r="BJ18" s="631"/>
      <c r="BK18" s="631"/>
      <c r="BL18" s="631"/>
      <c r="BM18" s="631"/>
      <c r="BN18" s="631"/>
      <c r="BO18" s="631"/>
      <c r="BP18" s="631"/>
      <c r="BQ18" s="631"/>
      <c r="BR18" s="631"/>
      <c r="BS18" s="631"/>
      <c r="BT18" s="631"/>
      <c r="BU18" s="631"/>
      <c r="BV18" s="631"/>
      <c r="BW18" s="631"/>
      <c r="BX18" s="631"/>
      <c r="BY18" s="631"/>
      <c r="BZ18" s="631"/>
      <c r="CA18" s="631"/>
      <c r="CB18" s="631"/>
      <c r="CC18" s="631"/>
      <c r="CD18" s="631"/>
      <c r="CE18" s="631"/>
      <c r="CF18" s="631"/>
      <c r="CG18" s="631"/>
      <c r="CH18" s="631"/>
      <c r="CI18" s="631"/>
      <c r="CJ18" s="631"/>
      <c r="CK18" s="631"/>
      <c r="CL18" s="631"/>
      <c r="CM18" s="631"/>
      <c r="CN18" s="631"/>
      <c r="CO18" s="631"/>
      <c r="CP18" s="631"/>
      <c r="CQ18" s="631"/>
      <c r="CR18" s="631"/>
      <c r="CS18" s="632"/>
      <c r="CT18" s="632"/>
      <c r="CU18" s="632"/>
      <c r="CV18" s="632"/>
      <c r="CW18" s="632"/>
      <c r="CX18" s="632"/>
      <c r="CY18" s="632"/>
      <c r="CZ18" s="632"/>
    </row>
    <row r="19" hidden="1">
      <c r="A19" s="634"/>
      <c r="B19" s="632"/>
      <c r="C19" s="632"/>
      <c r="D19" s="632"/>
      <c r="E19" s="632"/>
      <c r="F19" s="632"/>
      <c r="G19" s="632"/>
      <c r="H19" s="632"/>
      <c r="I19" s="632"/>
      <c r="J19" s="632"/>
      <c r="K19" s="632"/>
      <c r="L19" s="632"/>
      <c r="M19" s="632"/>
      <c r="N19" s="632"/>
      <c r="O19" s="632"/>
      <c r="P19" s="632"/>
      <c r="Q19" s="632"/>
      <c r="R19" s="632"/>
      <c r="S19" s="632"/>
      <c r="T19" s="632"/>
      <c r="U19" s="632"/>
      <c r="V19" s="632"/>
      <c r="W19" s="623">
        <v>1950.0</v>
      </c>
      <c r="X19" s="623">
        <v>1951.0</v>
      </c>
      <c r="Y19" s="623">
        <v>1952.0</v>
      </c>
      <c r="Z19" s="623">
        <v>1953.0</v>
      </c>
      <c r="AA19" s="623">
        <v>1954.0</v>
      </c>
      <c r="AB19" s="623">
        <v>1955.0</v>
      </c>
      <c r="AC19" s="623">
        <v>1956.0</v>
      </c>
      <c r="AD19" s="623">
        <v>1957.0</v>
      </c>
      <c r="AE19" s="623">
        <v>1958.0</v>
      </c>
      <c r="AF19" s="623">
        <v>1959.0</v>
      </c>
      <c r="AG19" s="623">
        <v>1960.0</v>
      </c>
      <c r="AH19" s="623">
        <v>1961.0</v>
      </c>
      <c r="AI19" s="623">
        <v>1962.0</v>
      </c>
      <c r="AJ19" s="623">
        <v>1963.0</v>
      </c>
      <c r="AK19" s="623">
        <v>1964.0</v>
      </c>
      <c r="AL19" s="623">
        <v>1965.0</v>
      </c>
      <c r="AM19" s="623">
        <v>1966.0</v>
      </c>
      <c r="AN19" s="623">
        <v>1967.0</v>
      </c>
      <c r="AO19" s="623">
        <v>1968.0</v>
      </c>
      <c r="AP19" s="623">
        <v>1969.0</v>
      </c>
      <c r="AQ19" s="623">
        <v>1970.0</v>
      </c>
      <c r="AR19" s="623">
        <v>1971.0</v>
      </c>
      <c r="AS19" s="623">
        <v>1972.0</v>
      </c>
      <c r="AT19" s="623">
        <v>1973.0</v>
      </c>
      <c r="AU19" s="623">
        <v>1974.0</v>
      </c>
      <c r="AV19" s="623">
        <v>1975.0</v>
      </c>
      <c r="AW19" s="623">
        <v>1976.0</v>
      </c>
      <c r="AX19" s="623">
        <v>1977.0</v>
      </c>
      <c r="AY19" s="623">
        <v>1978.0</v>
      </c>
      <c r="AZ19" s="623">
        <v>1979.0</v>
      </c>
      <c r="BA19" s="623">
        <v>1980.0</v>
      </c>
      <c r="BB19" s="623">
        <v>1981.0</v>
      </c>
      <c r="BC19" s="623">
        <v>1982.0</v>
      </c>
      <c r="BD19" s="623">
        <v>1983.0</v>
      </c>
      <c r="BE19" s="623">
        <v>1984.0</v>
      </c>
      <c r="BF19" s="623">
        <v>1985.0</v>
      </c>
      <c r="BG19" s="623">
        <v>1986.0</v>
      </c>
      <c r="BH19" s="623">
        <v>1987.0</v>
      </c>
      <c r="BI19" s="623">
        <v>1988.0</v>
      </c>
      <c r="BJ19" s="623">
        <v>1989.0</v>
      </c>
      <c r="BK19" s="623">
        <v>1990.0</v>
      </c>
      <c r="BL19" s="623">
        <v>1991.0</v>
      </c>
      <c r="BM19" s="623">
        <v>1992.0</v>
      </c>
      <c r="BN19" s="623">
        <v>1993.0</v>
      </c>
      <c r="BO19" s="623">
        <v>1994.0</v>
      </c>
      <c r="BP19" s="623">
        <v>1995.0</v>
      </c>
      <c r="BQ19" s="623">
        <v>1996.0</v>
      </c>
      <c r="BR19" s="623">
        <v>1997.0</v>
      </c>
      <c r="BS19" s="623">
        <v>1998.0</v>
      </c>
      <c r="BT19" s="623">
        <v>1999.0</v>
      </c>
      <c r="BU19" s="623">
        <v>2000.0</v>
      </c>
      <c r="BV19" s="623">
        <v>2001.0</v>
      </c>
      <c r="BW19" s="623">
        <v>2002.0</v>
      </c>
      <c r="BX19" s="623">
        <v>2003.0</v>
      </c>
      <c r="BY19" s="623">
        <v>2004.0</v>
      </c>
      <c r="BZ19" s="623">
        <v>2005.0</v>
      </c>
      <c r="CA19" s="623">
        <v>2006.0</v>
      </c>
      <c r="CB19" s="623">
        <v>2007.0</v>
      </c>
      <c r="CC19" s="623">
        <v>2008.0</v>
      </c>
      <c r="CD19" s="623">
        <v>2009.0</v>
      </c>
      <c r="CE19" s="623">
        <v>2010.0</v>
      </c>
      <c r="CF19" s="623">
        <v>2011.0</v>
      </c>
      <c r="CG19" s="623">
        <v>2012.0</v>
      </c>
      <c r="CH19" s="623">
        <v>2013.0</v>
      </c>
      <c r="CI19" s="623">
        <v>2014.0</v>
      </c>
      <c r="CJ19" s="623">
        <v>2015.0</v>
      </c>
      <c r="CK19" s="623">
        <v>2016.0</v>
      </c>
      <c r="CL19" s="623">
        <v>2017.0</v>
      </c>
      <c r="CM19" s="623">
        <v>2018.0</v>
      </c>
      <c r="CN19" s="623">
        <v>2019.0</v>
      </c>
      <c r="CO19" s="623">
        <v>2020.0</v>
      </c>
      <c r="CP19" s="623">
        <v>2021.0</v>
      </c>
      <c r="CQ19" s="623">
        <v>2022.0</v>
      </c>
      <c r="CR19" s="631"/>
      <c r="CS19" s="632"/>
      <c r="CT19" s="632"/>
      <c r="CU19" s="632"/>
      <c r="CV19" s="632"/>
      <c r="CW19" s="632"/>
      <c r="CX19" s="632"/>
      <c r="CY19" s="632"/>
      <c r="CZ19" s="632"/>
    </row>
    <row r="20" hidden="1">
      <c r="A20" s="638" t="s">
        <v>3271</v>
      </c>
      <c r="B20" s="639"/>
      <c r="C20" s="639"/>
      <c r="D20" s="639"/>
      <c r="E20" s="639"/>
      <c r="F20" s="639"/>
      <c r="G20" s="639"/>
      <c r="H20" s="639"/>
      <c r="I20" s="639"/>
      <c r="J20" s="639"/>
      <c r="K20" s="639"/>
      <c r="L20" s="639"/>
      <c r="M20" s="639"/>
      <c r="N20" s="639"/>
      <c r="O20" s="639"/>
      <c r="P20" s="639"/>
      <c r="Q20" s="639"/>
      <c r="R20" s="639"/>
      <c r="S20" s="639"/>
      <c r="T20" s="639"/>
      <c r="U20" s="639"/>
      <c r="V20" s="639"/>
      <c r="W20" s="639">
        <f t="shared" ref="W20:CQ20" si="4">W17/W16</f>
        <v>0.2649139264</v>
      </c>
      <c r="X20" s="639">
        <f t="shared" si="4"/>
        <v>0.2731904836</v>
      </c>
      <c r="Y20" s="639">
        <f t="shared" si="4"/>
        <v>0.3207943537</v>
      </c>
      <c r="Z20" s="639">
        <f t="shared" si="4"/>
        <v>0.3051086082</v>
      </c>
      <c r="AA20" s="639">
        <f t="shared" si="4"/>
        <v>0.3027359722</v>
      </c>
      <c r="AB20" s="639">
        <f t="shared" si="4"/>
        <v>0.2728911705</v>
      </c>
      <c r="AC20" s="639">
        <f t="shared" si="4"/>
        <v>0.2799415448</v>
      </c>
      <c r="AD20" s="639">
        <f t="shared" si="4"/>
        <v>0.2646205776</v>
      </c>
      <c r="AE20" s="639">
        <f t="shared" si="4"/>
        <v>0.2520719273</v>
      </c>
      <c r="AF20" s="639">
        <f t="shared" si="4"/>
        <v>0.2184128506</v>
      </c>
      <c r="AG20" s="639">
        <f t="shared" si="4"/>
        <v>0.232387666</v>
      </c>
      <c r="AH20" s="639">
        <f t="shared" si="4"/>
        <v>0.2219985591</v>
      </c>
      <c r="AI20" s="639">
        <f t="shared" si="4"/>
        <v>0.2058971066</v>
      </c>
      <c r="AJ20" s="639">
        <f t="shared" si="4"/>
        <v>0.2025056306</v>
      </c>
      <c r="AK20" s="639">
        <f t="shared" si="4"/>
        <v>0.2086171224</v>
      </c>
      <c r="AL20" s="639">
        <f t="shared" si="4"/>
        <v>0.2179562906</v>
      </c>
      <c r="AM20" s="639">
        <f t="shared" si="4"/>
        <v>0.2298543968</v>
      </c>
      <c r="AN20" s="639">
        <f t="shared" si="4"/>
        <v>0.2282659822</v>
      </c>
      <c r="AO20" s="639">
        <f t="shared" si="4"/>
        <v>0.1873860093</v>
      </c>
      <c r="AP20" s="639">
        <f t="shared" si="4"/>
        <v>0.1962628825</v>
      </c>
      <c r="AQ20" s="639">
        <f t="shared" si="4"/>
        <v>0.1702687143</v>
      </c>
      <c r="AR20" s="639">
        <f t="shared" si="4"/>
        <v>0.1431289042</v>
      </c>
      <c r="AS20" s="639">
        <f t="shared" si="4"/>
        <v>0.1551596892</v>
      </c>
      <c r="AT20" s="639">
        <f t="shared" si="4"/>
        <v>0.1566427931</v>
      </c>
      <c r="AU20" s="639">
        <f t="shared" si="4"/>
        <v>0.1467191442</v>
      </c>
      <c r="AV20" s="639">
        <f t="shared" si="4"/>
        <v>0.1455480311</v>
      </c>
      <c r="AW20" s="639">
        <f t="shared" si="4"/>
        <v>0.134757113</v>
      </c>
      <c r="AX20" s="639">
        <f t="shared" si="4"/>
        <v>0.1492320313</v>
      </c>
      <c r="AY20" s="639">
        <f t="shared" si="4"/>
        <v>0.150044674</v>
      </c>
      <c r="AZ20" s="639">
        <f t="shared" si="4"/>
        <v>0.1417585074</v>
      </c>
      <c r="BA20" s="639">
        <f t="shared" si="4"/>
        <v>0.1249245811</v>
      </c>
      <c r="BB20" s="639">
        <f t="shared" si="4"/>
        <v>0.1020187828</v>
      </c>
      <c r="BC20" s="639">
        <f t="shared" si="4"/>
        <v>0.07965313727</v>
      </c>
      <c r="BD20" s="639">
        <f t="shared" si="4"/>
        <v>0.06164559196</v>
      </c>
      <c r="BE20" s="639">
        <f t="shared" si="4"/>
        <v>0.08536878149</v>
      </c>
      <c r="BF20" s="639">
        <f t="shared" si="4"/>
        <v>0.08355300891</v>
      </c>
      <c r="BG20" s="639">
        <f t="shared" si="4"/>
        <v>0.08209398626</v>
      </c>
      <c r="BH20" s="639">
        <f t="shared" si="4"/>
        <v>0.09824098927</v>
      </c>
      <c r="BI20" s="639">
        <f t="shared" si="4"/>
        <v>0.1039419822</v>
      </c>
      <c r="BJ20" s="639">
        <f t="shared" si="4"/>
        <v>0.1042181244</v>
      </c>
      <c r="BK20" s="639">
        <f t="shared" si="4"/>
        <v>0.09061124581</v>
      </c>
      <c r="BL20" s="639">
        <f t="shared" si="4"/>
        <v>0.09297356937</v>
      </c>
      <c r="BM20" s="639">
        <f t="shared" si="4"/>
        <v>0.09188898908</v>
      </c>
      <c r="BN20" s="639">
        <f t="shared" si="4"/>
        <v>0.1018076224</v>
      </c>
      <c r="BO20" s="639">
        <f t="shared" si="4"/>
        <v>0.1115436139</v>
      </c>
      <c r="BP20" s="639">
        <f t="shared" si="4"/>
        <v>0.1161452592</v>
      </c>
      <c r="BQ20" s="639">
        <f t="shared" si="4"/>
        <v>0.1182503322</v>
      </c>
      <c r="BR20" s="639">
        <f t="shared" si="4"/>
        <v>0.1154314249</v>
      </c>
      <c r="BS20" s="639">
        <f t="shared" si="4"/>
        <v>0.1095858347</v>
      </c>
      <c r="BT20" s="639">
        <f t="shared" si="4"/>
        <v>0.1010587419</v>
      </c>
      <c r="BU20" s="639">
        <f t="shared" si="4"/>
        <v>0.102355284</v>
      </c>
      <c r="BV20" s="639">
        <f t="shared" si="4"/>
        <v>0.07587583033</v>
      </c>
      <c r="BW20" s="639">
        <f t="shared" si="4"/>
        <v>0.07988836221</v>
      </c>
      <c r="BX20" s="639">
        <f t="shared" si="4"/>
        <v>0.07393646686</v>
      </c>
      <c r="BY20" s="639">
        <f t="shared" si="4"/>
        <v>0.1007231476</v>
      </c>
      <c r="BZ20" s="639">
        <f t="shared" si="4"/>
        <v>0.1292164648</v>
      </c>
      <c r="CA20" s="639">
        <f t="shared" si="4"/>
        <v>0.1470437319</v>
      </c>
      <c r="CB20" s="639">
        <f t="shared" si="4"/>
        <v>0.1441764652</v>
      </c>
      <c r="CC20" s="639">
        <f t="shared" si="4"/>
        <v>0.1205812541</v>
      </c>
      <c r="CD20" s="639">
        <f t="shared" si="4"/>
        <v>0.06566732653</v>
      </c>
      <c r="CE20" s="639">
        <f t="shared" si="4"/>
        <v>0.08851734817</v>
      </c>
      <c r="CF20" s="639">
        <f t="shared" si="4"/>
        <v>0.0786141406</v>
      </c>
      <c r="CG20" s="639">
        <f t="shared" si="4"/>
        <v>0.09889387304</v>
      </c>
      <c r="CH20" s="639">
        <f t="shared" si="4"/>
        <v>0.09855695602</v>
      </c>
      <c r="CI20" s="639">
        <f t="shared" si="4"/>
        <v>0.1061499108</v>
      </c>
      <c r="CJ20" s="639">
        <f t="shared" si="4"/>
        <v>0.1057872728</v>
      </c>
      <c r="CK20" s="639">
        <f t="shared" si="4"/>
        <v>0.09166897442</v>
      </c>
      <c r="CL20" s="639">
        <f t="shared" si="4"/>
        <v>0.08957524673</v>
      </c>
      <c r="CM20" s="639">
        <f t="shared" si="4"/>
        <v>0.06148309848</v>
      </c>
      <c r="CN20" s="639">
        <f t="shared" si="4"/>
        <v>0.06648016206</v>
      </c>
      <c r="CO20" s="639">
        <f t="shared" si="4"/>
        <v>0.06192190728</v>
      </c>
      <c r="CP20" s="639">
        <f t="shared" si="4"/>
        <v>0.09187566143</v>
      </c>
      <c r="CQ20" s="639">
        <f t="shared" si="4"/>
        <v>0.08675319287</v>
      </c>
      <c r="CR20" s="639"/>
      <c r="CS20" s="639"/>
      <c r="CT20" s="639"/>
      <c r="CU20" s="639"/>
      <c r="CV20" s="639"/>
      <c r="CW20" s="639"/>
      <c r="CX20" s="639"/>
      <c r="CY20" s="639"/>
      <c r="CZ20" s="639"/>
    </row>
    <row r="21" hidden="1">
      <c r="A21" s="635"/>
      <c r="B21" s="164"/>
      <c r="C21" s="164"/>
      <c r="D21" s="164"/>
      <c r="E21" s="164"/>
      <c r="F21" s="164"/>
      <c r="G21" s="164"/>
      <c r="H21" s="164"/>
      <c r="I21" s="164"/>
      <c r="J21" s="164"/>
      <c r="K21" s="164"/>
      <c r="L21" s="164"/>
      <c r="M21" s="164"/>
      <c r="N21" s="164"/>
      <c r="O21" s="164"/>
      <c r="P21" s="164"/>
      <c r="Q21" s="164"/>
      <c r="R21" s="164"/>
      <c r="S21" s="164"/>
      <c r="T21" s="164"/>
      <c r="U21" s="164"/>
      <c r="V21" s="164"/>
      <c r="W21" s="164"/>
      <c r="X21" s="164"/>
      <c r="Y21" s="164"/>
      <c r="Z21" s="164"/>
      <c r="AA21" s="164"/>
      <c r="AB21" s="164"/>
      <c r="AC21" s="164"/>
      <c r="AD21" s="164"/>
      <c r="AE21" s="164"/>
      <c r="AF21" s="164"/>
      <c r="AG21" s="164"/>
      <c r="AH21" s="164"/>
      <c r="AI21" s="164"/>
      <c r="AJ21" s="164"/>
      <c r="AK21" s="164"/>
      <c r="AL21" s="164"/>
      <c r="AM21" s="164"/>
      <c r="AN21" s="164"/>
      <c r="AO21" s="164"/>
      <c r="AP21" s="164"/>
      <c r="AQ21" s="164"/>
      <c r="AR21" s="164"/>
      <c r="AS21" s="164"/>
      <c r="AT21" s="164"/>
      <c r="AU21" s="164"/>
      <c r="AV21" s="164"/>
      <c r="AW21" s="164"/>
      <c r="AX21" s="164"/>
      <c r="AY21" s="164"/>
      <c r="AZ21" s="164"/>
      <c r="BA21" s="164"/>
      <c r="BB21" s="164"/>
      <c r="BC21" s="164"/>
      <c r="BD21" s="164"/>
      <c r="BE21" s="164"/>
      <c r="BF21" s="164"/>
      <c r="BG21" s="164"/>
      <c r="BH21" s="164"/>
      <c r="BI21" s="164"/>
      <c r="BJ21" s="164"/>
      <c r="BK21" s="164"/>
      <c r="BL21" s="164"/>
      <c r="BM21" s="164"/>
      <c r="BN21" s="164"/>
      <c r="BO21" s="164"/>
      <c r="BP21" s="164"/>
      <c r="BQ21" s="164"/>
      <c r="BR21" s="164"/>
      <c r="BS21" s="164"/>
      <c r="BT21" s="164"/>
      <c r="BU21" s="164"/>
      <c r="BV21" s="164"/>
      <c r="BW21" s="164"/>
      <c r="BX21" s="164"/>
      <c r="BY21" s="164"/>
      <c r="BZ21" s="164"/>
      <c r="CA21" s="164"/>
      <c r="CB21" s="164"/>
      <c r="CC21" s="164"/>
      <c r="CD21" s="164"/>
      <c r="CE21" s="164"/>
      <c r="CF21" s="164"/>
      <c r="CG21" s="164"/>
      <c r="CH21" s="164"/>
      <c r="CI21" s="164"/>
      <c r="CJ21" s="164"/>
      <c r="CK21" s="164"/>
      <c r="CL21" s="164"/>
      <c r="CM21" s="164"/>
      <c r="CN21" s="164"/>
      <c r="CO21" s="164"/>
      <c r="CP21" s="164"/>
      <c r="CQ21" s="164"/>
      <c r="CR21" s="631"/>
      <c r="CS21" s="632"/>
      <c r="CT21" s="632"/>
      <c r="CU21" s="632"/>
      <c r="CV21" s="632"/>
      <c r="CW21" s="632"/>
      <c r="CX21" s="632"/>
      <c r="CY21" s="632"/>
      <c r="CZ21" s="632"/>
    </row>
    <row r="22" hidden="1">
      <c r="A22" s="635"/>
      <c r="B22" s="632"/>
      <c r="C22" s="632"/>
      <c r="D22" s="632"/>
      <c r="E22" s="632"/>
      <c r="F22" s="632"/>
      <c r="G22" s="632"/>
      <c r="H22" s="632"/>
      <c r="I22" s="632"/>
      <c r="J22" s="632"/>
      <c r="K22" s="632"/>
      <c r="L22" s="632"/>
      <c r="M22" s="632"/>
      <c r="N22" s="632"/>
      <c r="O22" s="632"/>
      <c r="P22" s="632"/>
      <c r="Q22" s="632"/>
      <c r="R22" s="632"/>
      <c r="S22" s="632"/>
      <c r="T22" s="632"/>
      <c r="U22" s="632"/>
      <c r="V22" s="632"/>
      <c r="W22" s="631"/>
      <c r="X22" s="631"/>
      <c r="Y22" s="631"/>
      <c r="Z22" s="631"/>
      <c r="AA22" s="631"/>
      <c r="AB22" s="631"/>
      <c r="AC22" s="631"/>
      <c r="AD22" s="631"/>
      <c r="AE22" s="631"/>
      <c r="AF22" s="631"/>
      <c r="AG22" s="631"/>
      <c r="AH22" s="631"/>
      <c r="AI22" s="631"/>
      <c r="AJ22" s="631"/>
      <c r="AK22" s="631"/>
      <c r="AL22" s="631"/>
      <c r="AM22" s="631"/>
      <c r="AN22" s="631"/>
      <c r="AO22" s="631"/>
      <c r="AP22" s="631"/>
      <c r="AQ22" s="631"/>
      <c r="AR22" s="631"/>
      <c r="AS22" s="631"/>
      <c r="AT22" s="631"/>
      <c r="AU22" s="631"/>
      <c r="AV22" s="631"/>
      <c r="AW22" s="631"/>
      <c r="AX22" s="631"/>
      <c r="AY22" s="631"/>
      <c r="AZ22" s="631"/>
      <c r="BA22" s="631"/>
      <c r="BB22" s="631"/>
      <c r="BC22" s="631"/>
      <c r="BD22" s="631"/>
      <c r="BE22" s="631"/>
      <c r="BF22" s="631"/>
      <c r="BG22" s="631"/>
      <c r="BH22" s="631"/>
      <c r="BI22" s="631"/>
      <c r="BJ22" s="631"/>
      <c r="BK22" s="631"/>
      <c r="BL22" s="631"/>
      <c r="BM22" s="631"/>
      <c r="BN22" s="631"/>
      <c r="BO22" s="631"/>
      <c r="BP22" s="631"/>
      <c r="BQ22" s="631"/>
      <c r="BR22" s="631"/>
      <c r="BS22" s="631"/>
      <c r="BT22" s="631"/>
      <c r="BU22" s="631"/>
      <c r="BV22" s="631"/>
      <c r="BW22" s="631"/>
      <c r="BX22" s="631"/>
      <c r="BY22" s="631"/>
      <c r="BZ22" s="631"/>
      <c r="CA22" s="631"/>
      <c r="CB22" s="631"/>
      <c r="CC22" s="631"/>
      <c r="CD22" s="631"/>
      <c r="CE22" s="631"/>
      <c r="CF22" s="631"/>
      <c r="CG22" s="631"/>
      <c r="CH22" s="631"/>
      <c r="CI22" s="631"/>
      <c r="CJ22" s="631"/>
      <c r="CK22" s="631"/>
      <c r="CL22" s="631"/>
      <c r="CM22" s="631"/>
      <c r="CN22" s="631"/>
      <c r="CO22" s="631"/>
      <c r="CP22" s="640"/>
      <c r="CQ22" s="631"/>
      <c r="CR22" s="631"/>
      <c r="CS22" s="632"/>
      <c r="CT22" s="632"/>
      <c r="CU22" s="632"/>
      <c r="CV22" s="632"/>
      <c r="CW22" s="632"/>
      <c r="CX22" s="632"/>
      <c r="CY22" s="632"/>
      <c r="CZ22" s="632"/>
    </row>
    <row r="23" hidden="1">
      <c r="A23" s="635"/>
      <c r="B23" s="632"/>
      <c r="C23" s="632"/>
      <c r="D23" s="632"/>
      <c r="E23" s="632"/>
      <c r="F23" s="632"/>
      <c r="G23" s="632"/>
      <c r="H23" s="632"/>
      <c r="I23" s="632"/>
      <c r="J23" s="632"/>
      <c r="K23" s="632"/>
      <c r="L23" s="632"/>
      <c r="M23" s="632"/>
      <c r="N23" s="632"/>
      <c r="O23" s="632"/>
      <c r="P23" s="632"/>
      <c r="Q23" s="632"/>
      <c r="R23" s="632"/>
      <c r="S23" s="632"/>
      <c r="T23" s="632"/>
      <c r="U23" s="632"/>
      <c r="V23" s="632"/>
      <c r="W23" s="631"/>
      <c r="X23" s="631"/>
      <c r="Y23" s="631"/>
      <c r="Z23" s="631"/>
      <c r="AA23" s="631"/>
      <c r="AB23" s="631"/>
      <c r="AC23" s="631"/>
      <c r="AD23" s="631"/>
      <c r="AE23" s="631"/>
      <c r="AF23" s="631"/>
      <c r="AG23" s="631"/>
      <c r="AH23" s="631"/>
      <c r="AI23" s="631"/>
      <c r="AJ23" s="631"/>
      <c r="AK23" s="631"/>
      <c r="AL23" s="631"/>
      <c r="AM23" s="631"/>
      <c r="AN23" s="631"/>
      <c r="AO23" s="631"/>
      <c r="AP23" s="631"/>
      <c r="AQ23" s="631"/>
      <c r="AR23" s="631"/>
      <c r="AS23" s="631"/>
      <c r="AT23" s="631"/>
      <c r="AU23" s="631"/>
      <c r="AV23" s="631"/>
      <c r="AW23" s="631"/>
      <c r="AX23" s="631"/>
      <c r="AY23" s="631"/>
      <c r="AZ23" s="631"/>
      <c r="BA23" s="631"/>
      <c r="BB23" s="631"/>
      <c r="BC23" s="631"/>
      <c r="BD23" s="631"/>
      <c r="BE23" s="631"/>
      <c r="BF23" s="631"/>
      <c r="BG23" s="631"/>
      <c r="BH23" s="631"/>
      <c r="BI23" s="631"/>
      <c r="BJ23" s="631"/>
      <c r="BK23" s="631"/>
      <c r="BL23" s="631"/>
      <c r="BM23" s="631"/>
      <c r="BN23" s="631"/>
      <c r="BO23" s="631"/>
      <c r="BP23" s="631"/>
      <c r="BQ23" s="631"/>
      <c r="BR23" s="631"/>
      <c r="BS23" s="631"/>
      <c r="BT23" s="631"/>
      <c r="BU23" s="631"/>
      <c r="BV23" s="631"/>
      <c r="BW23" s="631"/>
      <c r="BX23" s="631"/>
      <c r="BY23" s="631"/>
      <c r="BZ23" s="631"/>
      <c r="CA23" s="631"/>
      <c r="CB23" s="631"/>
      <c r="CC23" s="631"/>
      <c r="CD23" s="631"/>
      <c r="CE23" s="631"/>
      <c r="CF23" s="631"/>
      <c r="CG23" s="631"/>
      <c r="CH23" s="631"/>
      <c r="CI23" s="631"/>
      <c r="CJ23" s="631"/>
      <c r="CK23" s="631"/>
      <c r="CL23" s="631"/>
      <c r="CM23" s="631"/>
      <c r="CN23" s="631"/>
      <c r="CO23" s="631"/>
      <c r="CP23" s="640"/>
      <c r="CQ23" s="631"/>
      <c r="CR23" s="631"/>
      <c r="CS23" s="632"/>
      <c r="CT23" s="632"/>
      <c r="CU23" s="632"/>
      <c r="CV23" s="632"/>
      <c r="CW23" s="632"/>
      <c r="CX23" s="632"/>
      <c r="CY23" s="632"/>
      <c r="CZ23" s="632"/>
    </row>
    <row r="24" hidden="1">
      <c r="A24" s="635"/>
      <c r="B24" s="632"/>
      <c r="C24" s="632"/>
      <c r="D24" s="632"/>
      <c r="E24" s="632"/>
      <c r="F24" s="632"/>
      <c r="G24" s="632"/>
      <c r="H24" s="632"/>
      <c r="I24" s="632"/>
      <c r="J24" s="632"/>
      <c r="K24" s="632"/>
      <c r="L24" s="632"/>
      <c r="M24" s="632"/>
      <c r="N24" s="632"/>
      <c r="O24" s="632"/>
      <c r="P24" s="632"/>
      <c r="Q24" s="632"/>
      <c r="R24" s="632"/>
      <c r="S24" s="632"/>
      <c r="T24" s="632"/>
      <c r="U24" s="632"/>
      <c r="V24" s="632"/>
      <c r="W24" s="631"/>
      <c r="X24" s="631"/>
      <c r="Y24" s="631"/>
      <c r="Z24" s="631"/>
      <c r="AA24" s="631"/>
      <c r="AB24" s="631"/>
      <c r="AC24" s="631"/>
      <c r="AD24" s="631"/>
      <c r="AE24" s="631"/>
      <c r="AF24" s="631"/>
      <c r="AG24" s="631"/>
      <c r="AH24" s="631"/>
      <c r="AI24" s="631"/>
      <c r="AJ24" s="631"/>
      <c r="AK24" s="631"/>
      <c r="AL24" s="631"/>
      <c r="AM24" s="631"/>
      <c r="AN24" s="631"/>
      <c r="AO24" s="631"/>
      <c r="AP24" s="631"/>
      <c r="AQ24" s="631"/>
      <c r="AR24" s="631"/>
      <c r="AS24" s="631"/>
      <c r="AT24" s="631"/>
      <c r="AU24" s="631"/>
      <c r="AV24" s="631"/>
      <c r="AW24" s="631"/>
      <c r="AX24" s="631"/>
      <c r="AY24" s="631"/>
      <c r="AZ24" s="631"/>
      <c r="BA24" s="631"/>
      <c r="BB24" s="631"/>
      <c r="BC24" s="631"/>
      <c r="BD24" s="631"/>
      <c r="BE24" s="631"/>
      <c r="BF24" s="631"/>
      <c r="BG24" s="631"/>
      <c r="BH24" s="631"/>
      <c r="BI24" s="631"/>
      <c r="BJ24" s="631"/>
      <c r="BK24" s="631"/>
      <c r="BL24" s="631"/>
      <c r="BM24" s="631"/>
      <c r="BN24" s="631"/>
      <c r="BO24" s="631"/>
      <c r="BP24" s="631"/>
      <c r="BQ24" s="631"/>
      <c r="BR24" s="631"/>
      <c r="BS24" s="631"/>
      <c r="BT24" s="631"/>
      <c r="BU24" s="631"/>
      <c r="BV24" s="631"/>
      <c r="BW24" s="631"/>
      <c r="BX24" s="631"/>
      <c r="BY24" s="631"/>
      <c r="BZ24" s="631"/>
      <c r="CA24" s="631"/>
      <c r="CB24" s="631"/>
      <c r="CC24" s="631"/>
      <c r="CD24" s="631"/>
      <c r="CE24" s="631"/>
      <c r="CF24" s="631"/>
      <c r="CG24" s="631"/>
      <c r="CH24" s="631"/>
      <c r="CI24" s="631"/>
      <c r="CJ24" s="631"/>
      <c r="CK24" s="631"/>
      <c r="CL24" s="631"/>
      <c r="CM24" s="631"/>
      <c r="CN24" s="631"/>
      <c r="CO24" s="631"/>
      <c r="CP24" s="640"/>
      <c r="CQ24" s="631"/>
      <c r="CR24" s="631"/>
      <c r="CS24" s="632"/>
      <c r="CT24" s="632"/>
      <c r="CU24" s="632"/>
      <c r="CV24" s="632"/>
      <c r="CW24" s="632"/>
      <c r="CX24" s="632"/>
      <c r="CY24" s="632"/>
      <c r="CZ24" s="632"/>
    </row>
    <row r="25" hidden="1">
      <c r="A25" s="634" t="s">
        <v>3272</v>
      </c>
      <c r="B25" s="641">
        <v>5.805</v>
      </c>
      <c r="C25" s="641">
        <v>5.468</v>
      </c>
      <c r="D25" s="641">
        <v>4.066</v>
      </c>
      <c r="E25" s="641">
        <v>2.546</v>
      </c>
      <c r="F25" s="641">
        <v>2.038</v>
      </c>
      <c r="G25" s="641">
        <v>2.567</v>
      </c>
      <c r="H25" s="641">
        <v>2.844</v>
      </c>
      <c r="I25" s="641">
        <v>4.523</v>
      </c>
      <c r="J25" s="641">
        <v>4.66</v>
      </c>
      <c r="K25" s="641">
        <v>3.165</v>
      </c>
      <c r="L25" s="641">
        <v>3.766</v>
      </c>
      <c r="M25" s="641">
        <v>4.016</v>
      </c>
      <c r="N25" s="641">
        <v>4.431</v>
      </c>
      <c r="O25" s="641">
        <v>4.254</v>
      </c>
      <c r="P25" s="641">
        <v>4.446</v>
      </c>
      <c r="Q25" s="641">
        <v>4.617</v>
      </c>
      <c r="R25" s="641">
        <v>4.6</v>
      </c>
      <c r="S25" s="641">
        <v>5.574</v>
      </c>
      <c r="T25" s="641">
        <v>6.396</v>
      </c>
      <c r="U25" s="641">
        <v>7.203</v>
      </c>
      <c r="V25" s="641">
        <v>7.431</v>
      </c>
      <c r="W25" s="641">
        <v>9.035</v>
      </c>
      <c r="X25" s="641">
        <v>8.825</v>
      </c>
      <c r="Y25" s="641">
        <v>8.852</v>
      </c>
      <c r="Z25" s="641">
        <v>9.229</v>
      </c>
      <c r="AA25" s="641">
        <v>9.558</v>
      </c>
      <c r="AB25" s="641">
        <v>10.73</v>
      </c>
      <c r="AC25" s="641">
        <v>11.682</v>
      </c>
      <c r="AD25" s="641">
        <v>12.285</v>
      </c>
      <c r="AE25" s="641">
        <v>12.09</v>
      </c>
      <c r="AF25" s="641">
        <v>13.481</v>
      </c>
      <c r="AG25" s="641">
        <v>14.263</v>
      </c>
      <c r="AH25" s="641">
        <v>14.588</v>
      </c>
      <c r="AI25" s="641">
        <v>15.826</v>
      </c>
      <c r="AJ25" s="641">
        <v>17.116</v>
      </c>
      <c r="AK25" s="641">
        <v>19.776</v>
      </c>
      <c r="AL25" s="641">
        <v>21.502</v>
      </c>
      <c r="AM25" s="641">
        <v>22.319</v>
      </c>
      <c r="AN25" s="641">
        <v>23.417</v>
      </c>
      <c r="AO25" s="641">
        <v>25.999</v>
      </c>
      <c r="AP25" s="641">
        <v>27.258</v>
      </c>
      <c r="AQ25" s="641">
        <v>27.801</v>
      </c>
      <c r="AR25" s="641">
        <v>28.384</v>
      </c>
      <c r="AS25" s="641">
        <v>30.067</v>
      </c>
      <c r="AT25" s="641">
        <v>34.248</v>
      </c>
      <c r="AU25" s="641">
        <v>38.769</v>
      </c>
      <c r="AV25" s="641">
        <v>38.342</v>
      </c>
      <c r="AW25" s="641">
        <v>44.884</v>
      </c>
      <c r="AX25" s="641">
        <v>50.706</v>
      </c>
      <c r="AY25" s="641">
        <v>57.799</v>
      </c>
      <c r="AZ25" s="641">
        <v>67.019</v>
      </c>
      <c r="BA25" s="641">
        <v>75.999</v>
      </c>
      <c r="BB25" s="641">
        <v>83.883</v>
      </c>
      <c r="BC25" s="641">
        <v>88.483</v>
      </c>
      <c r="BD25" s="641">
        <v>96.391</v>
      </c>
      <c r="BE25" s="641">
        <v>102.028</v>
      </c>
      <c r="BF25" s="641">
        <v>111.746</v>
      </c>
      <c r="BG25" s="641">
        <v>121.075</v>
      </c>
      <c r="BH25" s="641">
        <v>119.868</v>
      </c>
      <c r="BI25" s="641">
        <v>145.511</v>
      </c>
      <c r="BJ25" s="641">
        <v>179.309</v>
      </c>
      <c r="BK25" s="641">
        <v>193.564</v>
      </c>
      <c r="BL25" s="641">
        <v>202.13</v>
      </c>
      <c r="BM25" s="641">
        <v>206.507</v>
      </c>
      <c r="BN25" s="641">
        <v>221.693</v>
      </c>
      <c r="BO25" s="641">
        <v>258.557</v>
      </c>
      <c r="BP25" s="641">
        <v>283.546</v>
      </c>
      <c r="BQ25" s="641">
        <v>323.852</v>
      </c>
      <c r="BR25" s="641">
        <v>359.937</v>
      </c>
      <c r="BS25" s="641">
        <v>386.631</v>
      </c>
      <c r="BT25" s="641">
        <v>375.368</v>
      </c>
      <c r="BU25" s="641">
        <v>413.069</v>
      </c>
      <c r="BV25" s="641">
        <v>402.921</v>
      </c>
      <c r="BW25" s="641">
        <v>427.522</v>
      </c>
      <c r="BX25" s="641">
        <v>455.049</v>
      </c>
      <c r="BY25" s="641">
        <v>579.837</v>
      </c>
      <c r="BZ25" s="641">
        <v>579.254</v>
      </c>
      <c r="CA25" s="641">
        <v>715.841</v>
      </c>
      <c r="CB25" s="641">
        <v>818.291</v>
      </c>
      <c r="CC25" s="641">
        <v>841.365</v>
      </c>
      <c r="CD25" s="641">
        <v>634.718</v>
      </c>
      <c r="CE25" s="641">
        <v>635.963</v>
      </c>
      <c r="CF25" s="641">
        <v>787.996</v>
      </c>
      <c r="CG25" s="641">
        <v>945.317</v>
      </c>
      <c r="CH25" s="641">
        <v>997.315</v>
      </c>
      <c r="CI25" s="641">
        <v>1059.898</v>
      </c>
      <c r="CJ25" s="641">
        <v>1128.699</v>
      </c>
      <c r="CK25" s="641">
        <v>1139.417</v>
      </c>
      <c r="CL25" s="641">
        <v>1253.852</v>
      </c>
      <c r="CM25" s="641">
        <v>1319.931</v>
      </c>
      <c r="CN25" s="641">
        <v>1416.822</v>
      </c>
      <c r="CO25" s="641">
        <v>1496.731</v>
      </c>
      <c r="CP25" s="641">
        <v>1814.741</v>
      </c>
      <c r="CQ25" s="641">
        <v>1887.251</v>
      </c>
      <c r="CR25" s="641">
        <v>1849.019</v>
      </c>
      <c r="CS25" s="632"/>
      <c r="CT25" s="632"/>
      <c r="CU25" s="632"/>
      <c r="CV25" s="632"/>
      <c r="CW25" s="632"/>
      <c r="CX25" s="632"/>
      <c r="CY25" s="632"/>
      <c r="CZ25" s="632"/>
    </row>
    <row r="26" hidden="1">
      <c r="A26" s="642" t="s">
        <v>3273</v>
      </c>
      <c r="B26" s="641">
        <v>5.0</v>
      </c>
      <c r="C26" s="641">
        <v>4.9</v>
      </c>
      <c r="D26" s="641">
        <v>4.6</v>
      </c>
      <c r="E26" s="641">
        <v>4.1</v>
      </c>
      <c r="F26" s="641">
        <v>3.9</v>
      </c>
      <c r="G26" s="641">
        <v>3.9</v>
      </c>
      <c r="H26" s="641">
        <v>4.0</v>
      </c>
      <c r="I26" s="641">
        <v>4.1</v>
      </c>
      <c r="J26" s="641">
        <v>4.6</v>
      </c>
      <c r="K26" s="641">
        <v>4.6</v>
      </c>
      <c r="L26" s="641">
        <v>4.6</v>
      </c>
      <c r="M26" s="641">
        <v>4.8</v>
      </c>
      <c r="N26" s="641">
        <v>5.4</v>
      </c>
      <c r="O26" s="641">
        <v>6.1</v>
      </c>
      <c r="P26" s="641">
        <v>6.3</v>
      </c>
      <c r="Q26" s="641">
        <v>6.5</v>
      </c>
      <c r="R26" s="641">
        <v>6.7</v>
      </c>
      <c r="S26" s="641">
        <v>7.8</v>
      </c>
      <c r="T26" s="641">
        <v>9.5</v>
      </c>
      <c r="U26" s="641">
        <v>11.1</v>
      </c>
      <c r="V26" s="641">
        <v>12.0</v>
      </c>
      <c r="W26" s="641">
        <v>12.8</v>
      </c>
      <c r="X26" s="641">
        <v>14.6</v>
      </c>
      <c r="Y26" s="641">
        <v>15.6</v>
      </c>
      <c r="Z26" s="641">
        <v>16.7</v>
      </c>
      <c r="AA26" s="641">
        <v>17.7</v>
      </c>
      <c r="AB26" s="641">
        <v>18.9</v>
      </c>
      <c r="AC26" s="641">
        <v>21.4</v>
      </c>
      <c r="AD26" s="641">
        <v>23.8</v>
      </c>
      <c r="AE26" s="641">
        <v>25.5</v>
      </c>
      <c r="AF26" s="641">
        <v>26.7</v>
      </c>
      <c r="AG26" s="641">
        <v>27.6</v>
      </c>
      <c r="AH26" s="641">
        <v>28.6</v>
      </c>
      <c r="AI26" s="641">
        <v>29.8</v>
      </c>
      <c r="AJ26" s="641">
        <v>31.3</v>
      </c>
      <c r="AK26" s="641">
        <v>33.3</v>
      </c>
      <c r="AL26" s="641">
        <v>35.8</v>
      </c>
      <c r="AM26" s="641">
        <v>39.4</v>
      </c>
      <c r="AN26" s="641">
        <v>43.5</v>
      </c>
      <c r="AO26" s="641">
        <v>48.1</v>
      </c>
      <c r="AP26" s="641">
        <v>53.5</v>
      </c>
      <c r="AQ26" s="641">
        <v>59.3</v>
      </c>
      <c r="AR26" s="641">
        <v>64.7</v>
      </c>
      <c r="AS26" s="641">
        <v>70.2</v>
      </c>
      <c r="AT26" s="641">
        <v>78.2</v>
      </c>
      <c r="AU26" s="641">
        <v>91.4</v>
      </c>
      <c r="AV26" s="641">
        <v>107.7</v>
      </c>
      <c r="AW26" s="641">
        <v>118.3</v>
      </c>
      <c r="AX26" s="641">
        <v>132.6</v>
      </c>
      <c r="AY26" s="641">
        <v>150.2</v>
      </c>
      <c r="AZ26" s="641">
        <v>172.4</v>
      </c>
      <c r="BA26" s="641">
        <v>198.9</v>
      </c>
      <c r="BB26" s="641">
        <v>229.1</v>
      </c>
      <c r="BC26" s="641">
        <v>253.9</v>
      </c>
      <c r="BD26" s="641">
        <v>264.6</v>
      </c>
      <c r="BE26" s="641">
        <v>279.0</v>
      </c>
      <c r="BF26" s="641">
        <v>299.0</v>
      </c>
      <c r="BG26" s="641">
        <v>317.9</v>
      </c>
      <c r="BH26" s="641">
        <v>334.7</v>
      </c>
      <c r="BI26" s="641">
        <v>358.2</v>
      </c>
      <c r="BJ26" s="641">
        <v>380.2</v>
      </c>
      <c r="BK26" s="641">
        <v>402.6</v>
      </c>
      <c r="BL26" s="641">
        <v>423.6</v>
      </c>
      <c r="BM26" s="641">
        <v>436.3</v>
      </c>
      <c r="BN26" s="641">
        <v>455.8</v>
      </c>
      <c r="BO26" s="641">
        <v>482.3</v>
      </c>
      <c r="BP26" s="641">
        <v>520.8</v>
      </c>
      <c r="BQ26" s="641">
        <v>554.2</v>
      </c>
      <c r="BR26" s="641">
        <v>594.6</v>
      </c>
      <c r="BS26" s="641">
        <v>634.1</v>
      </c>
      <c r="BT26" s="641">
        <v>679.1</v>
      </c>
      <c r="BU26" s="641">
        <v>737.5</v>
      </c>
      <c r="BV26" s="641">
        <v>781.5</v>
      </c>
      <c r="BW26" s="641">
        <v>805.0</v>
      </c>
      <c r="BX26" s="641">
        <v>818.2</v>
      </c>
      <c r="BY26" s="641">
        <v>852.0</v>
      </c>
      <c r="BZ26" s="641">
        <v>913.6</v>
      </c>
      <c r="CA26" s="641">
        <v>984.4</v>
      </c>
      <c r="CB26" s="641">
        <v>1047.2</v>
      </c>
      <c r="CC26" s="641">
        <v>1108.8</v>
      </c>
      <c r="CD26" s="641">
        <v>1114.6</v>
      </c>
      <c r="CE26" s="641">
        <v>1123.5</v>
      </c>
      <c r="CF26" s="641">
        <v>1173.5</v>
      </c>
      <c r="CG26" s="641">
        <v>1234.8</v>
      </c>
      <c r="CH26" s="641">
        <v>1282.8</v>
      </c>
      <c r="CI26" s="641">
        <v>1352.7</v>
      </c>
      <c r="CJ26" s="641">
        <v>1408.3</v>
      </c>
      <c r="CK26" s="641">
        <v>1441.0</v>
      </c>
      <c r="CL26" s="641">
        <v>1509.4</v>
      </c>
      <c r="CM26" s="641">
        <v>1582.1</v>
      </c>
      <c r="CN26" s="641">
        <v>1666.2</v>
      </c>
      <c r="CO26" s="641">
        <v>1730.2</v>
      </c>
      <c r="CP26" s="641">
        <v>1818.3</v>
      </c>
      <c r="CQ26" s="641">
        <v>2004.7</v>
      </c>
      <c r="CR26" s="631"/>
      <c r="CS26" s="632"/>
      <c r="CT26" s="632"/>
      <c r="CU26" s="632"/>
      <c r="CV26" s="632"/>
      <c r="CW26" s="632"/>
      <c r="CX26" s="632"/>
      <c r="CY26" s="632"/>
      <c r="CZ26" s="632"/>
    </row>
    <row r="27" hidden="1">
      <c r="A27" s="635"/>
      <c r="B27" s="623">
        <v>1929.0</v>
      </c>
      <c r="C27" s="623">
        <v>1930.0</v>
      </c>
      <c r="D27" s="623">
        <v>1931.0</v>
      </c>
      <c r="E27" s="623">
        <v>1932.0</v>
      </c>
      <c r="F27" s="623">
        <v>1933.0</v>
      </c>
      <c r="G27" s="623">
        <v>1934.0</v>
      </c>
      <c r="H27" s="623">
        <v>1935.0</v>
      </c>
      <c r="I27" s="623">
        <v>1936.0</v>
      </c>
      <c r="J27" s="623">
        <v>1937.0</v>
      </c>
      <c r="K27" s="623">
        <v>1938.0</v>
      </c>
      <c r="L27" s="623">
        <v>1939.0</v>
      </c>
      <c r="M27" s="623">
        <v>1940.0</v>
      </c>
      <c r="N27" s="623">
        <v>1941.0</v>
      </c>
      <c r="O27" s="623">
        <v>1942.0</v>
      </c>
      <c r="P27" s="623">
        <v>1943.0</v>
      </c>
      <c r="Q27" s="623">
        <v>1944.0</v>
      </c>
      <c r="R27" s="623">
        <v>1945.0</v>
      </c>
      <c r="S27" s="623">
        <v>1946.0</v>
      </c>
      <c r="T27" s="623">
        <v>1947.0</v>
      </c>
      <c r="U27" s="623">
        <v>1948.0</v>
      </c>
      <c r="V27" s="623">
        <v>1949.0</v>
      </c>
      <c r="W27" s="623">
        <v>1950.0</v>
      </c>
      <c r="X27" s="623">
        <v>1951.0</v>
      </c>
      <c r="Y27" s="623">
        <v>1952.0</v>
      </c>
      <c r="Z27" s="623">
        <v>1953.0</v>
      </c>
      <c r="AA27" s="623">
        <v>1954.0</v>
      </c>
      <c r="AB27" s="623">
        <v>1955.0</v>
      </c>
      <c r="AC27" s="623">
        <v>1956.0</v>
      </c>
      <c r="AD27" s="623">
        <v>1957.0</v>
      </c>
      <c r="AE27" s="623">
        <v>1958.0</v>
      </c>
      <c r="AF27" s="623">
        <v>1959.0</v>
      </c>
      <c r="AG27" s="623">
        <v>1960.0</v>
      </c>
      <c r="AH27" s="623">
        <v>1961.0</v>
      </c>
      <c r="AI27" s="623">
        <v>1962.0</v>
      </c>
      <c r="AJ27" s="623">
        <v>1963.0</v>
      </c>
      <c r="AK27" s="623">
        <v>1964.0</v>
      </c>
      <c r="AL27" s="623">
        <v>1965.0</v>
      </c>
      <c r="AM27" s="623">
        <v>1966.0</v>
      </c>
      <c r="AN27" s="623">
        <v>1967.0</v>
      </c>
      <c r="AO27" s="623">
        <v>1968.0</v>
      </c>
      <c r="AP27" s="623">
        <v>1969.0</v>
      </c>
      <c r="AQ27" s="623">
        <v>1970.0</v>
      </c>
      <c r="AR27" s="623">
        <v>1971.0</v>
      </c>
      <c r="AS27" s="623">
        <v>1972.0</v>
      </c>
      <c r="AT27" s="623">
        <v>1973.0</v>
      </c>
      <c r="AU27" s="623">
        <v>1974.0</v>
      </c>
      <c r="AV27" s="623">
        <v>1975.0</v>
      </c>
      <c r="AW27" s="623">
        <v>1976.0</v>
      </c>
      <c r="AX27" s="623">
        <v>1977.0</v>
      </c>
      <c r="AY27" s="623">
        <v>1978.0</v>
      </c>
      <c r="AZ27" s="623">
        <v>1979.0</v>
      </c>
      <c r="BA27" s="623">
        <v>1980.0</v>
      </c>
      <c r="BB27" s="623">
        <v>1981.0</v>
      </c>
      <c r="BC27" s="623">
        <v>1982.0</v>
      </c>
      <c r="BD27" s="623">
        <v>1983.0</v>
      </c>
      <c r="BE27" s="623">
        <v>1984.0</v>
      </c>
      <c r="BF27" s="623">
        <v>1985.0</v>
      </c>
      <c r="BG27" s="623">
        <v>1986.0</v>
      </c>
      <c r="BH27" s="623">
        <v>1987.0</v>
      </c>
      <c r="BI27" s="623">
        <v>1988.0</v>
      </c>
      <c r="BJ27" s="623">
        <v>1989.0</v>
      </c>
      <c r="BK27" s="623">
        <v>1990.0</v>
      </c>
      <c r="BL27" s="623">
        <v>1991.0</v>
      </c>
      <c r="BM27" s="623">
        <v>1992.0</v>
      </c>
      <c r="BN27" s="623">
        <v>1993.0</v>
      </c>
      <c r="BO27" s="623">
        <v>1994.0</v>
      </c>
      <c r="BP27" s="623">
        <v>1995.0</v>
      </c>
      <c r="BQ27" s="623">
        <v>1996.0</v>
      </c>
      <c r="BR27" s="623">
        <v>1997.0</v>
      </c>
      <c r="BS27" s="623">
        <v>1998.0</v>
      </c>
      <c r="BT27" s="623">
        <v>1999.0</v>
      </c>
      <c r="BU27" s="623">
        <v>2000.0</v>
      </c>
      <c r="BV27" s="623">
        <v>2001.0</v>
      </c>
      <c r="BW27" s="623">
        <v>2002.0</v>
      </c>
      <c r="BX27" s="623">
        <v>2003.0</v>
      </c>
      <c r="BY27" s="623">
        <v>2004.0</v>
      </c>
      <c r="BZ27" s="623">
        <v>2005.0</v>
      </c>
      <c r="CA27" s="623">
        <v>2006.0</v>
      </c>
      <c r="CB27" s="623">
        <v>2007.0</v>
      </c>
      <c r="CC27" s="623">
        <v>2008.0</v>
      </c>
      <c r="CD27" s="623">
        <v>2009.0</v>
      </c>
      <c r="CE27" s="623">
        <v>2010.0</v>
      </c>
      <c r="CF27" s="623">
        <v>2011.0</v>
      </c>
      <c r="CG27" s="623">
        <v>2012.0</v>
      </c>
      <c r="CH27" s="623">
        <v>2013.0</v>
      </c>
      <c r="CI27" s="623">
        <v>2014.0</v>
      </c>
      <c r="CJ27" s="623">
        <v>2015.0</v>
      </c>
      <c r="CK27" s="623">
        <v>2016.0</v>
      </c>
      <c r="CL27" s="623">
        <v>2017.0</v>
      </c>
      <c r="CM27" s="623">
        <v>2018.0</v>
      </c>
      <c r="CN27" s="623">
        <v>2019.0</v>
      </c>
      <c r="CO27" s="623">
        <v>2020.0</v>
      </c>
      <c r="CP27" s="623">
        <v>2021.0</v>
      </c>
      <c r="CQ27" s="623">
        <v>2022.0</v>
      </c>
      <c r="CR27" s="631"/>
      <c r="CS27" s="632"/>
      <c r="CT27" s="632"/>
      <c r="CU27" s="632"/>
      <c r="CV27" s="632"/>
      <c r="CW27" s="632"/>
      <c r="CX27" s="632"/>
      <c r="CY27" s="632"/>
      <c r="CZ27" s="632"/>
    </row>
    <row r="28" hidden="1">
      <c r="A28" s="643" t="s">
        <v>3274</v>
      </c>
      <c r="B28" s="644">
        <f t="shared" ref="B28:CQ28" si="5">B25/B3</f>
        <v>0.06163663584</v>
      </c>
      <c r="C28" s="644">
        <f t="shared" si="5"/>
        <v>0.06580024067</v>
      </c>
      <c r="D28" s="644">
        <f t="shared" si="5"/>
        <v>0.06009903185</v>
      </c>
      <c r="E28" s="644">
        <f t="shared" si="5"/>
        <v>0.0496538274</v>
      </c>
      <c r="F28" s="644">
        <f t="shared" si="5"/>
        <v>0.0416555953</v>
      </c>
      <c r="G28" s="644">
        <f t="shared" si="5"/>
        <v>0.04404825231</v>
      </c>
      <c r="H28" s="644">
        <f t="shared" si="5"/>
        <v>0.04287523367</v>
      </c>
      <c r="I28" s="644">
        <f t="shared" si="5"/>
        <v>0.06021914817</v>
      </c>
      <c r="J28" s="644">
        <f t="shared" si="5"/>
        <v>0.05570764247</v>
      </c>
      <c r="K28" s="644">
        <f t="shared" si="5"/>
        <v>0.04109962601</v>
      </c>
      <c r="L28" s="644">
        <f t="shared" si="5"/>
        <v>0.04569556513</v>
      </c>
      <c r="M28" s="644">
        <f t="shared" si="5"/>
        <v>0.0438729694</v>
      </c>
      <c r="N28" s="644">
        <f t="shared" si="5"/>
        <v>0.03776077175</v>
      </c>
      <c r="O28" s="644">
        <f t="shared" si="5"/>
        <v>0.02792053084</v>
      </c>
      <c r="P28" s="644">
        <f t="shared" si="5"/>
        <v>0.02374873137</v>
      </c>
      <c r="Q28" s="644">
        <f t="shared" si="5"/>
        <v>0.02298204046</v>
      </c>
      <c r="R28" s="644">
        <f t="shared" si="5"/>
        <v>0.02284771995</v>
      </c>
      <c r="S28" s="644">
        <f t="shared" si="5"/>
        <v>0.0276949678</v>
      </c>
      <c r="T28" s="644">
        <f t="shared" si="5"/>
        <v>0.02923979282</v>
      </c>
      <c r="U28" s="644">
        <f t="shared" si="5"/>
        <v>0.02941825132</v>
      </c>
      <c r="V28" s="644">
        <f t="shared" si="5"/>
        <v>0.03099788926</v>
      </c>
      <c r="W28" s="644">
        <f t="shared" si="5"/>
        <v>0.03388832419</v>
      </c>
      <c r="X28" s="644">
        <f t="shared" si="5"/>
        <v>0.02868659288</v>
      </c>
      <c r="Y28" s="644">
        <f t="shared" si="5"/>
        <v>0.02714354927</v>
      </c>
      <c r="Z28" s="644">
        <f t="shared" si="5"/>
        <v>0.02684136286</v>
      </c>
      <c r="AA28" s="644">
        <f t="shared" si="5"/>
        <v>0.02780468648</v>
      </c>
      <c r="AB28" s="644">
        <f t="shared" si="5"/>
        <v>0.02846856121</v>
      </c>
      <c r="AC28" s="644">
        <f t="shared" si="5"/>
        <v>0.02920083888</v>
      </c>
      <c r="AD28" s="644">
        <f t="shared" si="5"/>
        <v>0.02935259431</v>
      </c>
      <c r="AE28" s="644">
        <f t="shared" si="5"/>
        <v>0.02873392481</v>
      </c>
      <c r="AF28" s="644">
        <f t="shared" si="5"/>
        <v>0.02938496682</v>
      </c>
      <c r="AG28" s="644">
        <f t="shared" si="5"/>
        <v>0.02978277348</v>
      </c>
      <c r="AH28" s="644">
        <f t="shared" si="5"/>
        <v>0.02940903721</v>
      </c>
      <c r="AI28" s="644">
        <f t="shared" si="5"/>
        <v>0.02963942384</v>
      </c>
      <c r="AJ28" s="644">
        <f t="shared" si="5"/>
        <v>0.03027365859</v>
      </c>
      <c r="AK28" s="644">
        <f t="shared" si="5"/>
        <v>0.03257770068</v>
      </c>
      <c r="AL28" s="644">
        <f t="shared" si="5"/>
        <v>0.03263718867</v>
      </c>
      <c r="AM28" s="644">
        <f t="shared" si="5"/>
        <v>0.03108088913</v>
      </c>
      <c r="AN28" s="644">
        <f t="shared" si="5"/>
        <v>0.03087533968</v>
      </c>
      <c r="AO28" s="644">
        <f t="shared" si="5"/>
        <v>0.03131481513</v>
      </c>
      <c r="AP28" s="644">
        <f t="shared" si="5"/>
        <v>0.03037949289</v>
      </c>
      <c r="AQ28" s="644">
        <f t="shared" si="5"/>
        <v>0.02965373576</v>
      </c>
      <c r="AR28" s="644">
        <f t="shared" si="5"/>
        <v>0.02799205524</v>
      </c>
      <c r="AS28" s="644">
        <f t="shared" si="5"/>
        <v>0.02685757366</v>
      </c>
      <c r="AT28" s="644">
        <f t="shared" si="5"/>
        <v>0.02732918065</v>
      </c>
      <c r="AU28" s="644">
        <f t="shared" si="5"/>
        <v>0.02879443496</v>
      </c>
      <c r="AV28" s="644">
        <f t="shared" si="5"/>
        <v>0.0265151358</v>
      </c>
      <c r="AW28" s="644">
        <f t="shared" si="5"/>
        <v>0.02788910471</v>
      </c>
      <c r="AX28" s="644">
        <f t="shared" si="5"/>
        <v>0.02828250151</v>
      </c>
      <c r="AY28" s="644">
        <f t="shared" si="5"/>
        <v>0.02857572277</v>
      </c>
      <c r="AZ28" s="644">
        <f t="shared" si="5"/>
        <v>0.02991413506</v>
      </c>
      <c r="BA28" s="644">
        <f t="shared" si="5"/>
        <v>0.03142025558</v>
      </c>
      <c r="BB28" s="644">
        <f t="shared" si="5"/>
        <v>0.03089562051</v>
      </c>
      <c r="BC28" s="644">
        <f t="shared" si="5"/>
        <v>0.03121436998</v>
      </c>
      <c r="BD28" s="644">
        <f t="shared" si="5"/>
        <v>0.03158653947</v>
      </c>
      <c r="BE28" s="644">
        <f t="shared" si="5"/>
        <v>0.02971038865</v>
      </c>
      <c r="BF28" s="644">
        <f t="shared" si="5"/>
        <v>0.03044738966</v>
      </c>
      <c r="BG28" s="644">
        <f t="shared" si="5"/>
        <v>0.03160034922</v>
      </c>
      <c r="BH28" s="644">
        <f t="shared" si="5"/>
        <v>0.029245292</v>
      </c>
      <c r="BI28" s="644">
        <f t="shared" si="5"/>
        <v>0.03253986783</v>
      </c>
      <c r="BJ28" s="644">
        <f t="shared" si="5"/>
        <v>0.03766770267</v>
      </c>
      <c r="BK28" s="644">
        <f t="shared" si="5"/>
        <v>0.03860508409</v>
      </c>
      <c r="BL28" s="644">
        <f t="shared" si="5"/>
        <v>0.03913747685</v>
      </c>
      <c r="BM28" s="644">
        <f t="shared" si="5"/>
        <v>0.03771370987</v>
      </c>
      <c r="BN28" s="644">
        <f t="shared" si="5"/>
        <v>0.03868454436</v>
      </c>
      <c r="BO28" s="644">
        <f t="shared" si="5"/>
        <v>0.04228000724</v>
      </c>
      <c r="BP28" s="644">
        <f t="shared" si="5"/>
        <v>0.0439390866</v>
      </c>
      <c r="BQ28" s="644">
        <f t="shared" si="5"/>
        <v>0.04712868941</v>
      </c>
      <c r="BR28" s="644">
        <f t="shared" si="5"/>
        <v>0.04896254689</v>
      </c>
      <c r="BS28" s="644">
        <f t="shared" si="5"/>
        <v>0.04939780648</v>
      </c>
      <c r="BT28" s="644">
        <f t="shared" si="5"/>
        <v>0.0452662034</v>
      </c>
      <c r="BU28" s="644">
        <f t="shared" si="5"/>
        <v>0.04654838815</v>
      </c>
      <c r="BV28" s="644">
        <f t="shared" si="5"/>
        <v>0.044037421</v>
      </c>
      <c r="BW28" s="644">
        <f t="shared" si="5"/>
        <v>0.04548788701</v>
      </c>
      <c r="BX28" s="644">
        <f t="shared" si="5"/>
        <v>0.04633879913</v>
      </c>
      <c r="BY28" s="644">
        <f t="shared" si="5"/>
        <v>0.05522167736</v>
      </c>
      <c r="BZ28" s="644">
        <f t="shared" si="5"/>
        <v>0.05171937498</v>
      </c>
      <c r="CA28" s="644">
        <f t="shared" si="5"/>
        <v>0.05991469466</v>
      </c>
      <c r="CB28" s="644">
        <f t="shared" si="5"/>
        <v>0.06650152306</v>
      </c>
      <c r="CC28" s="644">
        <f t="shared" si="5"/>
        <v>0.06804455478</v>
      </c>
      <c r="CD28" s="644">
        <f t="shared" si="5"/>
        <v>0.05260684078</v>
      </c>
      <c r="CE28" s="644">
        <f t="shared" si="5"/>
        <v>0.04970491849</v>
      </c>
      <c r="CF28" s="644">
        <f t="shared" si="5"/>
        <v>0.0588601832</v>
      </c>
      <c r="CG28" s="644">
        <f t="shared" si="5"/>
        <v>0.067211774</v>
      </c>
      <c r="CH28" s="644">
        <f t="shared" si="5"/>
        <v>0.06897487777</v>
      </c>
      <c r="CI28" s="644">
        <f t="shared" si="5"/>
        <v>0.06989312971</v>
      </c>
      <c r="CJ28" s="644">
        <f t="shared" si="5"/>
        <v>0.07195949048</v>
      </c>
      <c r="CK28" s="644">
        <f t="shared" si="5"/>
        <v>0.071323847</v>
      </c>
      <c r="CL28" s="644">
        <f t="shared" si="5"/>
        <v>0.07513406482</v>
      </c>
      <c r="CM28" s="644">
        <f t="shared" si="5"/>
        <v>0.07512079714</v>
      </c>
      <c r="CN28" s="644">
        <f t="shared" si="5"/>
        <v>0.07750240878</v>
      </c>
      <c r="CO28" s="644">
        <f t="shared" si="5"/>
        <v>0.08383150256</v>
      </c>
      <c r="CP28" s="644">
        <f t="shared" si="5"/>
        <v>0.09114860418</v>
      </c>
      <c r="CQ28" s="644">
        <f t="shared" si="5"/>
        <v>0.08705678789</v>
      </c>
      <c r="CR28" s="644"/>
      <c r="CS28" s="632"/>
      <c r="CT28" s="632"/>
      <c r="CU28" s="632"/>
      <c r="CV28" s="632"/>
      <c r="CW28" s="632"/>
      <c r="CX28" s="632"/>
      <c r="CY28" s="632"/>
      <c r="CZ28" s="632"/>
    </row>
    <row r="29" hidden="1">
      <c r="A29" s="643" t="s">
        <v>3275</v>
      </c>
      <c r="B29" s="645"/>
      <c r="C29" s="645"/>
      <c r="D29" s="644"/>
      <c r="E29" s="644"/>
      <c r="F29" s="644"/>
      <c r="G29" s="644"/>
      <c r="H29" s="644"/>
      <c r="I29" s="644"/>
      <c r="J29" s="644"/>
      <c r="K29" s="644"/>
      <c r="L29" s="644"/>
      <c r="M29" s="644"/>
      <c r="N29" s="644"/>
      <c r="O29" s="644"/>
      <c r="P29" s="644"/>
      <c r="Q29" s="644"/>
      <c r="R29" s="644"/>
      <c r="S29" s="644"/>
      <c r="T29" s="644"/>
      <c r="U29" s="644"/>
      <c r="V29" s="644"/>
      <c r="W29" s="644">
        <f t="shared" ref="W29:CQ29" si="6">W7/W3</f>
        <v>0.0664938806</v>
      </c>
      <c r="X29" s="644">
        <f t="shared" si="6"/>
        <v>0.07250150341</v>
      </c>
      <c r="Y29" s="644">
        <f t="shared" si="6"/>
        <v>0.05858922231</v>
      </c>
      <c r="Z29" s="644">
        <f t="shared" si="6"/>
        <v>0.05800456614</v>
      </c>
      <c r="AA29" s="644">
        <f t="shared" si="6"/>
        <v>0.05046617504</v>
      </c>
      <c r="AB29" s="644">
        <f t="shared" si="6"/>
        <v>0.05781001679</v>
      </c>
      <c r="AC29" s="644">
        <f t="shared" si="6"/>
        <v>0.0539698093</v>
      </c>
      <c r="AD29" s="644">
        <f t="shared" si="6"/>
        <v>0.04988865845</v>
      </c>
      <c r="AE29" s="644">
        <f t="shared" si="6"/>
        <v>0.04382577117</v>
      </c>
      <c r="AF29" s="644">
        <f t="shared" si="6"/>
        <v>0.04973276486</v>
      </c>
      <c r="AG29" s="644">
        <f t="shared" si="6"/>
        <v>0.04569838025</v>
      </c>
      <c r="AH29" s="644">
        <f t="shared" si="6"/>
        <v>0.04476068366</v>
      </c>
      <c r="AI29" s="644">
        <f t="shared" si="6"/>
        <v>0.04362947162</v>
      </c>
      <c r="AJ29" s="644">
        <f t="shared" si="6"/>
        <v>0.04508680949</v>
      </c>
      <c r="AK29" s="644">
        <f t="shared" si="6"/>
        <v>0.04377463796</v>
      </c>
      <c r="AL29" s="644">
        <f t="shared" si="6"/>
        <v>0.04518388207</v>
      </c>
      <c r="AM29" s="644">
        <f t="shared" si="6"/>
        <v>0.04488548853</v>
      </c>
      <c r="AN29" s="644">
        <f t="shared" si="6"/>
        <v>0.04086298532</v>
      </c>
      <c r="AO29" s="644">
        <f t="shared" si="6"/>
        <v>0.04476263662</v>
      </c>
      <c r="AP29" s="644">
        <f t="shared" si="6"/>
        <v>0.04119030371</v>
      </c>
      <c r="AQ29" s="644">
        <f t="shared" si="6"/>
        <v>0.03334645304</v>
      </c>
      <c r="AR29" s="644">
        <f t="shared" si="6"/>
        <v>0.03432734847</v>
      </c>
      <c r="AS29" s="644">
        <f t="shared" si="6"/>
        <v>0.03493530136</v>
      </c>
      <c r="AT29" s="644">
        <f t="shared" si="6"/>
        <v>0.03641337221</v>
      </c>
      <c r="AU29" s="644">
        <f t="shared" si="6"/>
        <v>0.03508228573</v>
      </c>
      <c r="AV29" s="644">
        <f t="shared" si="6"/>
        <v>0.03199353822</v>
      </c>
      <c r="AW29" s="644">
        <f t="shared" si="6"/>
        <v>0.03691994527</v>
      </c>
      <c r="AX29" s="644">
        <f t="shared" si="6"/>
        <v>0.03820976774</v>
      </c>
      <c r="AY29" s="644">
        <f t="shared" si="6"/>
        <v>0.0384898903</v>
      </c>
      <c r="AZ29" s="644">
        <f t="shared" si="6"/>
        <v>0.0360372062</v>
      </c>
      <c r="BA29" s="644">
        <f t="shared" si="6"/>
        <v>0.03120733921</v>
      </c>
      <c r="BB29" s="644">
        <f t="shared" si="6"/>
        <v>0.02589828161</v>
      </c>
      <c r="BC29" s="644">
        <f t="shared" si="6"/>
        <v>0.01809511311</v>
      </c>
      <c r="BD29" s="644">
        <f t="shared" si="6"/>
        <v>0.0217649611</v>
      </c>
      <c r="BE29" s="644">
        <f t="shared" si="6"/>
        <v>0.02372597067</v>
      </c>
      <c r="BF29" s="644">
        <f t="shared" si="6"/>
        <v>0.02223624533</v>
      </c>
      <c r="BG29" s="644">
        <f t="shared" si="6"/>
        <v>0.02397815968</v>
      </c>
      <c r="BH29" s="644">
        <f t="shared" si="6"/>
        <v>0.02749693745</v>
      </c>
      <c r="BI29" s="644">
        <f t="shared" si="6"/>
        <v>0.02778895902</v>
      </c>
      <c r="BJ29" s="644">
        <f t="shared" si="6"/>
        <v>0.02613751067</v>
      </c>
      <c r="BK29" s="644">
        <f t="shared" si="6"/>
        <v>0.02429541094</v>
      </c>
      <c r="BL29" s="644">
        <f t="shared" si="6"/>
        <v>0.02281157453</v>
      </c>
      <c r="BM29" s="644">
        <f t="shared" si="6"/>
        <v>0.02409102996</v>
      </c>
      <c r="BN29" s="644">
        <f t="shared" si="6"/>
        <v>0.02705508316</v>
      </c>
      <c r="BO29" s="644">
        <f t="shared" si="6"/>
        <v>0.02823567388</v>
      </c>
      <c r="BP29" s="644">
        <f t="shared" si="6"/>
        <v>0.03013236459</v>
      </c>
      <c r="BQ29" s="644">
        <f t="shared" si="6"/>
        <v>0.03076203062</v>
      </c>
      <c r="BR29" s="644">
        <f t="shared" si="6"/>
        <v>0.03057457267</v>
      </c>
      <c r="BS29" s="644">
        <f t="shared" si="6"/>
        <v>0.0283388566</v>
      </c>
      <c r="BT29" s="644">
        <f t="shared" si="6"/>
        <v>0.02742082683</v>
      </c>
      <c r="BU29" s="644">
        <f t="shared" si="6"/>
        <v>0.0263070531</v>
      </c>
      <c r="BV29" s="644">
        <f t="shared" si="6"/>
        <v>0.01859639758</v>
      </c>
      <c r="BW29" s="644">
        <f t="shared" si="6"/>
        <v>0.01709554305</v>
      </c>
      <c r="BX29" s="644">
        <f t="shared" si="6"/>
        <v>0.02176803095</v>
      </c>
      <c r="BY29" s="644">
        <f t="shared" si="6"/>
        <v>0.02652452294</v>
      </c>
      <c r="BZ29" s="644">
        <f t="shared" si="6"/>
        <v>0.0339063363</v>
      </c>
      <c r="CA29" s="644">
        <f t="shared" si="6"/>
        <v>0.0360025846</v>
      </c>
      <c r="CB29" s="644">
        <f t="shared" si="6"/>
        <v>0.03183965082</v>
      </c>
      <c r="CC29" s="644">
        <f t="shared" si="6"/>
        <v>0.02069711287</v>
      </c>
      <c r="CD29" s="644">
        <f t="shared" si="6"/>
        <v>0.01690242101</v>
      </c>
      <c r="CE29" s="644">
        <f t="shared" si="6"/>
        <v>0.02127955407</v>
      </c>
      <c r="CF29" s="644">
        <f t="shared" si="6"/>
        <v>0.02097188516</v>
      </c>
      <c r="CG29" s="644">
        <f t="shared" si="6"/>
        <v>0.02378918421</v>
      </c>
      <c r="CH29" s="644">
        <f t="shared" si="6"/>
        <v>0.02506503687</v>
      </c>
      <c r="CI29" s="644">
        <f t="shared" si="6"/>
        <v>0.02683165319</v>
      </c>
      <c r="CJ29" s="644">
        <f t="shared" si="6"/>
        <v>0.0252546987</v>
      </c>
      <c r="CK29" s="644">
        <f t="shared" si="6"/>
        <v>0.02353852144</v>
      </c>
      <c r="CL29" s="644">
        <f t="shared" si="6"/>
        <v>0.01780635846</v>
      </c>
      <c r="CM29" s="644">
        <f t="shared" si="6"/>
        <v>0.01692713699</v>
      </c>
      <c r="CN29" s="644">
        <f t="shared" si="6"/>
        <v>0.01626901714</v>
      </c>
      <c r="CO29" s="644">
        <f t="shared" si="6"/>
        <v>0.01722232055</v>
      </c>
      <c r="CP29" s="644">
        <f t="shared" si="6"/>
        <v>0.02032296224</v>
      </c>
      <c r="CQ29" s="644">
        <f t="shared" si="6"/>
        <v>0.02502035437</v>
      </c>
      <c r="CR29" s="645"/>
      <c r="CS29" s="632"/>
      <c r="CT29" s="632"/>
      <c r="CU29" s="632"/>
      <c r="CV29" s="632"/>
      <c r="CW29" s="632"/>
      <c r="CX29" s="632"/>
      <c r="CY29" s="632"/>
      <c r="CZ29" s="632"/>
    </row>
    <row r="30" hidden="1">
      <c r="A30" s="643"/>
      <c r="B30" s="644"/>
      <c r="C30" s="644"/>
      <c r="D30" s="644"/>
      <c r="E30" s="644"/>
      <c r="F30" s="644"/>
      <c r="G30" s="644"/>
      <c r="H30" s="644"/>
      <c r="I30" s="644"/>
      <c r="J30" s="644"/>
      <c r="K30" s="644"/>
      <c r="L30" s="644"/>
      <c r="M30" s="644"/>
      <c r="N30" s="644"/>
      <c r="O30" s="644"/>
      <c r="P30" s="644"/>
      <c r="Q30" s="644"/>
      <c r="R30" s="644"/>
      <c r="S30" s="644"/>
      <c r="T30" s="644"/>
      <c r="U30" s="644"/>
      <c r="V30" s="644"/>
      <c r="W30" s="644"/>
      <c r="X30" s="644"/>
      <c r="Y30" s="644"/>
      <c r="Z30" s="644"/>
      <c r="AA30" s="644"/>
      <c r="AB30" s="644"/>
      <c r="AC30" s="644"/>
      <c r="AD30" s="644"/>
      <c r="AE30" s="644"/>
      <c r="AF30" s="644"/>
      <c r="AG30" s="644"/>
      <c r="AH30" s="644"/>
      <c r="AI30" s="644"/>
      <c r="AJ30" s="644"/>
      <c r="AK30" s="644"/>
      <c r="AL30" s="644"/>
      <c r="AM30" s="644"/>
      <c r="AN30" s="644"/>
      <c r="AO30" s="644"/>
      <c r="AP30" s="644"/>
      <c r="AQ30" s="644"/>
      <c r="AR30" s="644"/>
      <c r="AS30" s="644"/>
      <c r="AT30" s="644"/>
      <c r="AU30" s="644"/>
      <c r="AV30" s="644"/>
      <c r="AW30" s="644"/>
      <c r="AX30" s="644"/>
      <c r="AY30" s="644"/>
      <c r="AZ30" s="644"/>
      <c r="BA30" s="644"/>
      <c r="BB30" s="644"/>
      <c r="BC30" s="644"/>
      <c r="BD30" s="644"/>
      <c r="BE30" s="644"/>
      <c r="BF30" s="644"/>
      <c r="BG30" s="644"/>
      <c r="BH30" s="644"/>
      <c r="BI30" s="644"/>
      <c r="BJ30" s="644"/>
      <c r="BK30" s="644"/>
      <c r="BL30" s="644"/>
      <c r="BM30" s="644"/>
      <c r="BN30" s="644"/>
      <c r="BO30" s="644"/>
      <c r="BP30" s="644"/>
      <c r="BQ30" s="644"/>
      <c r="BR30" s="644"/>
      <c r="BS30" s="644"/>
      <c r="BT30" s="644"/>
      <c r="BU30" s="644"/>
      <c r="BV30" s="644"/>
      <c r="BW30" s="644"/>
      <c r="BX30" s="644"/>
      <c r="BY30" s="644"/>
      <c r="BZ30" s="644"/>
      <c r="CA30" s="644"/>
      <c r="CB30" s="644"/>
      <c r="CC30" s="644"/>
      <c r="CD30" s="644"/>
      <c r="CE30" s="644"/>
      <c r="CF30" s="644"/>
      <c r="CG30" s="644"/>
      <c r="CH30" s="644"/>
      <c r="CI30" s="644"/>
      <c r="CJ30" s="644"/>
      <c r="CK30" s="644"/>
      <c r="CL30" s="644"/>
      <c r="CM30" s="644"/>
      <c r="CN30" s="644"/>
      <c r="CO30" s="644"/>
      <c r="CP30" s="644"/>
      <c r="CQ30" s="644"/>
      <c r="CR30" s="645"/>
      <c r="CS30" s="632"/>
      <c r="CT30" s="632"/>
      <c r="CU30" s="632"/>
      <c r="CV30" s="632"/>
      <c r="CW30" s="632"/>
      <c r="CX30" s="632"/>
      <c r="CY30" s="632"/>
      <c r="CZ30" s="632"/>
    </row>
    <row r="31" hidden="1">
      <c r="A31" s="643" t="s">
        <v>3276</v>
      </c>
      <c r="B31" s="645">
        <f t="shared" ref="B31:CQ31" si="7">B25/B5</f>
        <v>0.5358626419</v>
      </c>
      <c r="C31" s="645">
        <f t="shared" si="7"/>
        <v>0.7292611363</v>
      </c>
      <c r="D31" s="644">
        <f t="shared" si="7"/>
        <v>1.377838021</v>
      </c>
      <c r="E31" s="644">
        <f t="shared" si="7"/>
        <v>-13.4</v>
      </c>
      <c r="F31" s="644">
        <f t="shared" si="7"/>
        <v>-11.64571429</v>
      </c>
      <c r="G31" s="644">
        <f t="shared" si="7"/>
        <v>1.019864919</v>
      </c>
      <c r="H31" s="644">
        <f t="shared" si="7"/>
        <v>0.7078148333</v>
      </c>
      <c r="I31" s="644">
        <f t="shared" si="7"/>
        <v>0.7260032103</v>
      </c>
      <c r="J31" s="644">
        <f t="shared" si="7"/>
        <v>0.6608054453</v>
      </c>
      <c r="K31" s="644">
        <f t="shared" si="7"/>
        <v>0.6319888179</v>
      </c>
      <c r="L31" s="644">
        <f t="shared" si="7"/>
        <v>0.5712985437</v>
      </c>
      <c r="M31" s="644">
        <f t="shared" si="7"/>
        <v>0.4068071313</v>
      </c>
      <c r="N31" s="644">
        <f t="shared" si="7"/>
        <v>0.2823551902</v>
      </c>
      <c r="O31" s="644">
        <f t="shared" si="7"/>
        <v>0.2046274472</v>
      </c>
      <c r="P31" s="644">
        <f t="shared" si="7"/>
        <v>0.1785542169</v>
      </c>
      <c r="Q31" s="644">
        <f t="shared" si="7"/>
        <v>0.1848870735</v>
      </c>
      <c r="R31" s="644">
        <f t="shared" si="7"/>
        <v>0.2249168785</v>
      </c>
      <c r="S31" s="644">
        <f t="shared" si="7"/>
        <v>0.3055418517</v>
      </c>
      <c r="T31" s="644">
        <f t="shared" si="7"/>
        <v>0.2646912763</v>
      </c>
      <c r="U31" s="644">
        <f t="shared" si="7"/>
        <v>0.2294460549</v>
      </c>
      <c r="V31" s="644">
        <f t="shared" si="7"/>
        <v>0.2557299195</v>
      </c>
      <c r="W31" s="644">
        <f t="shared" si="7"/>
        <v>0.2505615796</v>
      </c>
      <c r="X31" s="644">
        <f t="shared" si="7"/>
        <v>0.2142094276</v>
      </c>
      <c r="Y31" s="644">
        <f t="shared" si="7"/>
        <v>0.2231690407</v>
      </c>
      <c r="Z31" s="644">
        <f t="shared" si="7"/>
        <v>0.2290415446</v>
      </c>
      <c r="AA31" s="644">
        <f t="shared" si="7"/>
        <v>0.2422199696</v>
      </c>
      <c r="AB31" s="644">
        <f t="shared" si="7"/>
        <v>0.2138813586</v>
      </c>
      <c r="AC31" s="644">
        <f t="shared" si="7"/>
        <v>0.2353059662</v>
      </c>
      <c r="AD31" s="644">
        <f t="shared" si="7"/>
        <v>0.25</v>
      </c>
      <c r="AE31" s="644">
        <f t="shared" si="7"/>
        <v>0.2756686504</v>
      </c>
      <c r="AF31" s="644">
        <f t="shared" si="7"/>
        <v>0.2428396441</v>
      </c>
      <c r="AG31" s="644">
        <f t="shared" si="7"/>
        <v>0.2608449159</v>
      </c>
      <c r="AH31" s="644">
        <f t="shared" si="7"/>
        <v>0.2607560997</v>
      </c>
      <c r="AI31" s="644">
        <f t="shared" si="7"/>
        <v>0.2471152195</v>
      </c>
      <c r="AJ31" s="644">
        <f t="shared" si="7"/>
        <v>0.2427525955</v>
      </c>
      <c r="AK31" s="644">
        <f t="shared" si="7"/>
        <v>0.2544911721</v>
      </c>
      <c r="AL31" s="644">
        <f t="shared" si="7"/>
        <v>0.2408135381</v>
      </c>
      <c r="AM31" s="644">
        <f t="shared" si="7"/>
        <v>0.2321945028</v>
      </c>
      <c r="AN31" s="644">
        <f t="shared" si="7"/>
        <v>0.2494726525</v>
      </c>
      <c r="AO31" s="644">
        <f t="shared" si="7"/>
        <v>0.2555259615</v>
      </c>
      <c r="AP31" s="644">
        <f t="shared" si="7"/>
        <v>0.2769671598</v>
      </c>
      <c r="AQ31" s="644">
        <f t="shared" si="7"/>
        <v>0.3223528593</v>
      </c>
      <c r="AR31" s="644">
        <f t="shared" si="7"/>
        <v>0.2820153606</v>
      </c>
      <c r="AS31" s="644">
        <f t="shared" si="7"/>
        <v>0.2565181039</v>
      </c>
      <c r="AT31" s="644">
        <f t="shared" si="7"/>
        <v>0.2567508809</v>
      </c>
      <c r="AU31" s="644">
        <f t="shared" si="7"/>
        <v>0.3084125532</v>
      </c>
      <c r="AV31" s="644">
        <f t="shared" si="7"/>
        <v>0.2761218214</v>
      </c>
      <c r="AW31" s="644">
        <f t="shared" si="7"/>
        <v>0.2574539114</v>
      </c>
      <c r="AX31" s="644">
        <f t="shared" si="7"/>
        <v>0.2464051938</v>
      </c>
      <c r="AY31" s="644">
        <f t="shared" si="7"/>
        <v>0.2422737237</v>
      </c>
      <c r="AZ31" s="644">
        <f t="shared" si="7"/>
        <v>0.268919331</v>
      </c>
      <c r="BA31" s="644">
        <f t="shared" si="7"/>
        <v>0.3406102382</v>
      </c>
      <c r="BB31" s="644">
        <f t="shared" si="7"/>
        <v>0.3411347979</v>
      </c>
      <c r="BC31" s="644">
        <f t="shared" si="7"/>
        <v>0.3884990955</v>
      </c>
      <c r="BD31" s="644">
        <f t="shared" si="7"/>
        <v>0.3468512395</v>
      </c>
      <c r="BE31" s="644">
        <f t="shared" si="7"/>
        <v>0.302513135</v>
      </c>
      <c r="BF31" s="644">
        <f t="shared" si="7"/>
        <v>0.3164909737</v>
      </c>
      <c r="BG31" s="644">
        <f t="shared" si="7"/>
        <v>0.3741906572</v>
      </c>
      <c r="BH31" s="644">
        <f t="shared" si="7"/>
        <v>0.323258147</v>
      </c>
      <c r="BI31" s="644">
        <f t="shared" si="7"/>
        <v>0.3495818548</v>
      </c>
      <c r="BJ31" s="644">
        <f t="shared" si="7"/>
        <v>0.4282333217</v>
      </c>
      <c r="BK31" s="644">
        <f t="shared" si="7"/>
        <v>0.4616030334</v>
      </c>
      <c r="BL31" s="644">
        <f t="shared" si="7"/>
        <v>0.4504369994</v>
      </c>
      <c r="BM31" s="644">
        <f t="shared" si="7"/>
        <v>0.4290697916</v>
      </c>
      <c r="BN31" s="644">
        <f t="shared" si="7"/>
        <v>0.4177235702</v>
      </c>
      <c r="BO31" s="644">
        <f t="shared" si="7"/>
        <v>0.4077600849</v>
      </c>
      <c r="BP31" s="644">
        <f t="shared" si="7"/>
        <v>0.3956393248</v>
      </c>
      <c r="BQ31" s="644">
        <f t="shared" si="7"/>
        <v>0.4030155356</v>
      </c>
      <c r="BR31" s="644">
        <f t="shared" si="7"/>
        <v>0.4044844954</v>
      </c>
      <c r="BS31" s="644">
        <f t="shared" si="7"/>
        <v>0.46293855</v>
      </c>
      <c r="BT31" s="644">
        <f t="shared" si="7"/>
        <v>0.433071284</v>
      </c>
      <c r="BU31" s="644">
        <f t="shared" si="7"/>
        <v>0.4998354328</v>
      </c>
      <c r="BV31" s="644">
        <f t="shared" si="7"/>
        <v>0.5118465531</v>
      </c>
      <c r="BW31" s="644">
        <f t="shared" si="7"/>
        <v>0.4595202318</v>
      </c>
      <c r="BX31" s="644">
        <f t="shared" si="7"/>
        <v>0.4224886451</v>
      </c>
      <c r="BY31" s="644">
        <f t="shared" si="7"/>
        <v>0.4390894964</v>
      </c>
      <c r="BZ31" s="644">
        <f t="shared" si="7"/>
        <v>0.3785864982</v>
      </c>
      <c r="CA31" s="644">
        <f t="shared" si="7"/>
        <v>0.4220501809</v>
      </c>
      <c r="CB31" s="644">
        <f t="shared" si="7"/>
        <v>0.5127766317</v>
      </c>
      <c r="CC31" s="644">
        <f t="shared" si="7"/>
        <v>0.625261961</v>
      </c>
      <c r="CD31" s="644">
        <f t="shared" si="7"/>
        <v>0.4452124361</v>
      </c>
      <c r="CE31" s="644">
        <f t="shared" si="7"/>
        <v>0.3583950182</v>
      </c>
      <c r="CF31" s="644">
        <f t="shared" si="7"/>
        <v>0.4231014568</v>
      </c>
      <c r="CG31" s="644">
        <f t="shared" si="7"/>
        <v>0.4593973076</v>
      </c>
      <c r="CH31" s="644">
        <f t="shared" si="7"/>
        <v>0.4792157183</v>
      </c>
      <c r="CI31" s="644">
        <f t="shared" si="7"/>
        <v>0.4789778533</v>
      </c>
      <c r="CJ31" s="644">
        <f t="shared" si="7"/>
        <v>0.5193891018</v>
      </c>
      <c r="CK31" s="644">
        <f t="shared" si="7"/>
        <v>0.5313674183</v>
      </c>
      <c r="CL31" s="644">
        <f t="shared" si="7"/>
        <v>0.563467957</v>
      </c>
      <c r="CM31" s="644">
        <f t="shared" si="7"/>
        <v>0.5580709523</v>
      </c>
      <c r="CN31" s="644">
        <f t="shared" si="7"/>
        <v>0.5735406273</v>
      </c>
      <c r="CO31" s="644">
        <f t="shared" si="7"/>
        <v>0.6280109664</v>
      </c>
      <c r="CP31" s="644">
        <f t="shared" si="7"/>
        <v>0.6209004033</v>
      </c>
      <c r="CQ31" s="644">
        <f t="shared" si="7"/>
        <v>0.5881685086</v>
      </c>
      <c r="CR31" s="645"/>
      <c r="CS31" s="632"/>
      <c r="CT31" s="632"/>
      <c r="CU31" s="632"/>
      <c r="CV31" s="632"/>
      <c r="CW31" s="632"/>
      <c r="CX31" s="632"/>
      <c r="CY31" s="632"/>
      <c r="CZ31" s="632"/>
    </row>
    <row r="32" hidden="1">
      <c r="A32" s="635"/>
      <c r="B32" s="632"/>
      <c r="C32" s="632"/>
      <c r="D32" s="632"/>
      <c r="E32" s="632"/>
      <c r="F32" s="632"/>
      <c r="G32" s="632"/>
      <c r="H32" s="632"/>
      <c r="I32" s="632"/>
      <c r="J32" s="632"/>
      <c r="K32" s="632"/>
      <c r="L32" s="632"/>
      <c r="M32" s="632"/>
      <c r="N32" s="632"/>
      <c r="O32" s="632"/>
      <c r="P32" s="632"/>
      <c r="Q32" s="632"/>
      <c r="R32" s="632"/>
      <c r="S32" s="632"/>
      <c r="T32" s="632"/>
      <c r="U32" s="632"/>
      <c r="V32" s="632"/>
      <c r="W32" s="631"/>
      <c r="X32" s="631"/>
      <c r="Y32" s="631"/>
      <c r="Z32" s="631"/>
      <c r="AA32" s="631"/>
      <c r="AB32" s="631"/>
      <c r="AC32" s="631"/>
      <c r="AD32" s="631"/>
      <c r="AE32" s="631"/>
      <c r="AF32" s="631"/>
      <c r="AG32" s="631"/>
      <c r="AH32" s="631"/>
      <c r="AI32" s="631"/>
      <c r="AJ32" s="631"/>
      <c r="AK32" s="631"/>
      <c r="AL32" s="631"/>
      <c r="AM32" s="631"/>
      <c r="AN32" s="631"/>
      <c r="AO32" s="631"/>
      <c r="AP32" s="631"/>
      <c r="AQ32" s="631"/>
      <c r="AR32" s="631"/>
      <c r="AS32" s="631"/>
      <c r="AT32" s="631"/>
      <c r="AU32" s="631"/>
      <c r="AV32" s="631"/>
      <c r="AW32" s="631"/>
      <c r="AX32" s="631"/>
      <c r="AY32" s="631"/>
      <c r="AZ32" s="631"/>
      <c r="BA32" s="631"/>
      <c r="BB32" s="631"/>
      <c r="BC32" s="631"/>
      <c r="BD32" s="631"/>
      <c r="BE32" s="631"/>
      <c r="BF32" s="631"/>
      <c r="BG32" s="631"/>
      <c r="BH32" s="631"/>
      <c r="BI32" s="631"/>
      <c r="BJ32" s="631"/>
      <c r="BK32" s="631"/>
      <c r="BL32" s="631"/>
      <c r="BM32" s="631"/>
      <c r="BN32" s="631"/>
      <c r="BO32" s="631"/>
      <c r="BP32" s="631"/>
      <c r="BQ32" s="631"/>
      <c r="BR32" s="631"/>
      <c r="BS32" s="631"/>
      <c r="BT32" s="631"/>
      <c r="BU32" s="631"/>
      <c r="BV32" s="631"/>
      <c r="BW32" s="631"/>
      <c r="BX32" s="631"/>
      <c r="BY32" s="631"/>
      <c r="BZ32" s="631"/>
      <c r="CA32" s="631"/>
      <c r="CB32" s="631"/>
      <c r="CC32" s="631"/>
      <c r="CD32" s="631"/>
      <c r="CE32" s="631"/>
      <c r="CF32" s="631"/>
      <c r="CG32" s="631"/>
      <c r="CH32" s="631"/>
      <c r="CI32" s="631"/>
      <c r="CJ32" s="631"/>
      <c r="CK32" s="631"/>
      <c r="CL32" s="631"/>
      <c r="CM32" s="631"/>
      <c r="CN32" s="631"/>
      <c r="CO32" s="631"/>
      <c r="CP32" s="631"/>
      <c r="CQ32" s="631"/>
      <c r="CR32" s="631"/>
      <c r="CS32" s="632"/>
      <c r="CT32" s="632"/>
      <c r="CU32" s="632"/>
      <c r="CV32" s="632"/>
      <c r="CW32" s="632"/>
      <c r="CX32" s="632"/>
      <c r="CY32" s="632"/>
      <c r="CZ32" s="632"/>
    </row>
    <row r="33" hidden="1">
      <c r="A33" s="624" t="s">
        <v>3277</v>
      </c>
      <c r="B33" s="646" t="s">
        <v>711</v>
      </c>
      <c r="C33" s="646" t="s">
        <v>711</v>
      </c>
      <c r="D33" s="646" t="s">
        <v>711</v>
      </c>
      <c r="E33" s="646" t="s">
        <v>711</v>
      </c>
      <c r="F33" s="646" t="s">
        <v>711</v>
      </c>
      <c r="G33" s="646" t="s">
        <v>711</v>
      </c>
      <c r="H33" s="646" t="s">
        <v>711</v>
      </c>
      <c r="I33" s="646" t="s">
        <v>711</v>
      </c>
      <c r="J33" s="646" t="s">
        <v>711</v>
      </c>
      <c r="K33" s="646" t="s">
        <v>711</v>
      </c>
      <c r="L33" s="646" t="s">
        <v>711</v>
      </c>
      <c r="M33" s="646" t="s">
        <v>711</v>
      </c>
      <c r="N33" s="646" t="s">
        <v>711</v>
      </c>
      <c r="O33" s="646" t="s">
        <v>711</v>
      </c>
      <c r="P33" s="646" t="s">
        <v>711</v>
      </c>
      <c r="Q33" s="646" t="s">
        <v>711</v>
      </c>
      <c r="R33" s="646" t="s">
        <v>711</v>
      </c>
      <c r="S33" s="646" t="s">
        <v>711</v>
      </c>
      <c r="T33" s="646" t="s">
        <v>711</v>
      </c>
      <c r="U33" s="625">
        <v>134.575</v>
      </c>
      <c r="V33" s="625">
        <v>130.61</v>
      </c>
      <c r="W33" s="625">
        <v>148.826</v>
      </c>
      <c r="X33" s="625">
        <v>170.655</v>
      </c>
      <c r="Y33" s="625">
        <v>178.911</v>
      </c>
      <c r="Z33" s="625">
        <v>191.884</v>
      </c>
      <c r="AA33" s="625">
        <v>188.525</v>
      </c>
      <c r="AB33" s="625">
        <v>213.491</v>
      </c>
      <c r="AC33" s="625">
        <v>227.965</v>
      </c>
      <c r="AD33" s="625">
        <v>237.097</v>
      </c>
      <c r="AE33" s="625">
        <v>230.435</v>
      </c>
      <c r="AF33" s="625">
        <v>259.826</v>
      </c>
      <c r="AG33" s="625">
        <v>271.391</v>
      </c>
      <c r="AH33" s="625">
        <v>279.205</v>
      </c>
      <c r="AI33" s="625">
        <v>305.114</v>
      </c>
      <c r="AJ33" s="625">
        <v>324.946</v>
      </c>
      <c r="AK33" s="625">
        <v>351.57</v>
      </c>
      <c r="AL33" s="625">
        <v>386.637</v>
      </c>
      <c r="AM33" s="625">
        <v>424.23</v>
      </c>
      <c r="AN33" s="625">
        <v>446.076</v>
      </c>
      <c r="AO33" s="625">
        <v>492.119</v>
      </c>
      <c r="AP33" s="625">
        <v>534.949</v>
      </c>
      <c r="AQ33" s="625">
        <v>550.323</v>
      </c>
      <c r="AR33" s="625">
        <v>593.302</v>
      </c>
      <c r="AS33" s="625">
        <v>659.462</v>
      </c>
      <c r="AT33" s="625">
        <v>738.228</v>
      </c>
      <c r="AU33" s="625">
        <v>793.539</v>
      </c>
      <c r="AV33" s="625">
        <v>852.029</v>
      </c>
      <c r="AW33" s="625">
        <v>962.28</v>
      </c>
      <c r="AX33" s="625">
        <v>1092.063</v>
      </c>
      <c r="AY33" s="625">
        <v>1247.614</v>
      </c>
      <c r="AZ33" s="625">
        <v>1381.003</v>
      </c>
      <c r="BA33" s="625">
        <v>1490.293</v>
      </c>
      <c r="BB33" s="625">
        <v>1690.25</v>
      </c>
      <c r="BC33" s="625">
        <v>1746.045</v>
      </c>
      <c r="BD33" s="625">
        <v>1886.578</v>
      </c>
      <c r="BE33" s="625">
        <v>2131.609</v>
      </c>
      <c r="BF33" s="625">
        <v>2274.629</v>
      </c>
      <c r="BG33" s="625">
        <v>2356.904</v>
      </c>
      <c r="BH33" s="625">
        <v>2523.841</v>
      </c>
      <c r="BI33" s="625">
        <v>2742.681</v>
      </c>
      <c r="BJ33" s="625">
        <v>2892.999</v>
      </c>
      <c r="BK33" s="625">
        <v>3012.647</v>
      </c>
      <c r="BL33" s="625">
        <v>3075.069</v>
      </c>
      <c r="BM33" s="625">
        <v>3248.017</v>
      </c>
      <c r="BN33" s="625">
        <v>3401.675</v>
      </c>
      <c r="BO33" s="625">
        <v>3662.501</v>
      </c>
      <c r="BP33" s="625">
        <v>3883.804</v>
      </c>
      <c r="BQ33" s="625">
        <v>4143.873</v>
      </c>
      <c r="BR33" s="625">
        <v>4473.098</v>
      </c>
      <c r="BS33" s="625">
        <v>4759.458</v>
      </c>
      <c r="BT33" s="625">
        <v>5032.429</v>
      </c>
      <c r="BU33" s="625">
        <v>5377.582</v>
      </c>
      <c r="BV33" s="625">
        <v>5314.009</v>
      </c>
      <c r="BW33" s="625">
        <v>5383.953</v>
      </c>
      <c r="BX33" s="625">
        <v>5592.409</v>
      </c>
      <c r="BY33" s="625">
        <v>5986.994</v>
      </c>
      <c r="BZ33" s="625">
        <v>6443.365</v>
      </c>
      <c r="CA33" s="625">
        <v>6910.013</v>
      </c>
      <c r="CB33" s="625">
        <v>7010.314</v>
      </c>
      <c r="CC33" s="625">
        <v>6852.047</v>
      </c>
      <c r="CD33" s="625">
        <v>6553.678</v>
      </c>
      <c r="CE33" s="625">
        <v>6966.278</v>
      </c>
      <c r="CF33" s="625">
        <v>7298.487</v>
      </c>
      <c r="CG33" s="625">
        <v>7781.965</v>
      </c>
      <c r="CH33" s="625">
        <v>8009.247</v>
      </c>
      <c r="CI33" s="625">
        <v>8522.202</v>
      </c>
      <c r="CJ33" s="625">
        <v>8902.292</v>
      </c>
      <c r="CK33" s="625">
        <v>9054.477</v>
      </c>
      <c r="CL33" s="625">
        <v>9423.39</v>
      </c>
      <c r="CM33" s="625">
        <v>10002.784</v>
      </c>
      <c r="CN33" s="625">
        <v>10436.397</v>
      </c>
      <c r="CO33" s="625">
        <v>10124.332</v>
      </c>
      <c r="CP33" s="625">
        <v>11669.203</v>
      </c>
      <c r="CQ33" s="625">
        <v>12818.569</v>
      </c>
      <c r="CR33" s="631"/>
      <c r="CS33" s="632"/>
      <c r="CT33" s="632"/>
      <c r="CU33" s="632"/>
      <c r="CV33" s="632"/>
      <c r="CW33" s="632"/>
      <c r="CX33" s="632"/>
      <c r="CY33" s="632"/>
      <c r="CZ33" s="632"/>
    </row>
    <row r="34" hidden="1">
      <c r="A34" s="633" t="s">
        <v>3278</v>
      </c>
      <c r="B34" s="625">
        <v>34.242</v>
      </c>
      <c r="C34" s="625">
        <v>30.808</v>
      </c>
      <c r="D34" s="625">
        <v>25.369</v>
      </c>
      <c r="E34" s="625">
        <v>19.013</v>
      </c>
      <c r="F34" s="625">
        <v>18.002</v>
      </c>
      <c r="G34" s="625">
        <v>21.045</v>
      </c>
      <c r="H34" s="625">
        <v>23.056</v>
      </c>
      <c r="I34" s="625">
        <v>26.274</v>
      </c>
      <c r="J34" s="625">
        <v>30.548</v>
      </c>
      <c r="K34" s="625">
        <v>27.266</v>
      </c>
      <c r="L34" s="625">
        <v>29.816</v>
      </c>
      <c r="M34" s="625">
        <v>32.856</v>
      </c>
      <c r="N34" s="625">
        <v>41.598</v>
      </c>
      <c r="O34" s="625">
        <v>52.849</v>
      </c>
      <c r="P34" s="625">
        <v>64.141</v>
      </c>
      <c r="Q34" s="625">
        <v>67.074</v>
      </c>
      <c r="R34" s="625">
        <v>64.069</v>
      </c>
      <c r="S34" s="625">
        <v>69.854</v>
      </c>
      <c r="T34" s="625">
        <v>82.136</v>
      </c>
      <c r="U34" s="625">
        <v>91.111</v>
      </c>
      <c r="V34" s="625">
        <v>88.798</v>
      </c>
      <c r="W34" s="625">
        <v>98.654</v>
      </c>
      <c r="X34" s="625">
        <v>114.553</v>
      </c>
      <c r="Y34" s="625">
        <v>123.015</v>
      </c>
      <c r="Z34" s="625">
        <v>133.985</v>
      </c>
      <c r="AA34" s="625">
        <v>132.212</v>
      </c>
      <c r="AB34" s="625">
        <v>144.625</v>
      </c>
      <c r="AC34" s="625">
        <v>158.175</v>
      </c>
      <c r="AD34" s="625">
        <v>166.5</v>
      </c>
      <c r="AE34" s="625">
        <v>163.977</v>
      </c>
      <c r="AF34" s="625">
        <v>180.289</v>
      </c>
      <c r="AG34" s="625">
        <v>190.689</v>
      </c>
      <c r="AH34" s="625">
        <v>195.554</v>
      </c>
      <c r="AI34" s="625">
        <v>210.997</v>
      </c>
      <c r="AJ34" s="625">
        <v>222.667</v>
      </c>
      <c r="AK34" s="625">
        <v>239.18</v>
      </c>
      <c r="AL34" s="625">
        <v>259.864</v>
      </c>
      <c r="AM34" s="625">
        <v>288.528</v>
      </c>
      <c r="AN34" s="625">
        <v>308.418</v>
      </c>
      <c r="AO34" s="625">
        <v>340.182</v>
      </c>
      <c r="AP34" s="625">
        <v>377.454</v>
      </c>
      <c r="AQ34" s="625">
        <v>398.01</v>
      </c>
      <c r="AR34" s="625">
        <v>421.65</v>
      </c>
      <c r="AS34" s="625">
        <v>468.17</v>
      </c>
      <c r="AT34" s="625">
        <v>526.064</v>
      </c>
      <c r="AU34" s="625">
        <v>577.322</v>
      </c>
      <c r="AV34" s="625">
        <v>607.817</v>
      </c>
      <c r="AW34" s="625">
        <v>682.786</v>
      </c>
      <c r="AX34" s="625">
        <v>771.696</v>
      </c>
      <c r="AY34" s="625">
        <v>884.698</v>
      </c>
      <c r="AZ34" s="625">
        <v>1004.441</v>
      </c>
      <c r="BA34" s="625">
        <v>1102.003</v>
      </c>
      <c r="BB34" s="625">
        <v>1220.566</v>
      </c>
      <c r="BC34" s="625">
        <v>1275.114</v>
      </c>
      <c r="BD34" s="625">
        <v>1352.98</v>
      </c>
      <c r="BE34" s="625">
        <v>1501.072</v>
      </c>
      <c r="BF34" s="625">
        <v>1615.931</v>
      </c>
      <c r="BG34" s="625">
        <v>1723.353</v>
      </c>
      <c r="BH34" s="625">
        <v>1847.64</v>
      </c>
      <c r="BI34" s="625">
        <v>2002.309</v>
      </c>
      <c r="BJ34" s="625">
        <v>2119.332</v>
      </c>
      <c r="BK34" s="625">
        <v>2234.926</v>
      </c>
      <c r="BL34" s="625">
        <v>2277.82</v>
      </c>
      <c r="BM34" s="625">
        <v>2420.482</v>
      </c>
      <c r="BN34" s="625">
        <v>2515.738</v>
      </c>
      <c r="BO34" s="625">
        <v>2649.014</v>
      </c>
      <c r="BP34" s="625">
        <v>2787.89</v>
      </c>
      <c r="BQ34" s="625">
        <v>2953.697</v>
      </c>
      <c r="BR34" s="625">
        <v>3176.578</v>
      </c>
      <c r="BS34" s="625">
        <v>3447.481</v>
      </c>
      <c r="BT34" s="625">
        <v>3684.312</v>
      </c>
      <c r="BU34" s="625">
        <v>4008.927</v>
      </c>
      <c r="BV34" s="625">
        <v>4013.811</v>
      </c>
      <c r="BW34" s="625">
        <v>3972.742</v>
      </c>
      <c r="BX34" s="625">
        <v>4040.875</v>
      </c>
      <c r="BY34" s="625">
        <v>4240.204</v>
      </c>
      <c r="BZ34" s="625">
        <v>4442.988</v>
      </c>
      <c r="CA34" s="625">
        <v>4681.23</v>
      </c>
      <c r="CB34" s="625">
        <v>4894.238</v>
      </c>
      <c r="CC34" s="625">
        <v>4940.328</v>
      </c>
      <c r="CD34" s="625">
        <v>4607.471</v>
      </c>
      <c r="CE34" s="625">
        <v>4700.76</v>
      </c>
      <c r="CF34" s="625">
        <v>4927.979</v>
      </c>
      <c r="CG34" s="625">
        <v>5182.659</v>
      </c>
      <c r="CH34" s="625">
        <v>5356.731</v>
      </c>
      <c r="CI34" s="625">
        <v>5648.214</v>
      </c>
      <c r="CJ34" s="625">
        <v>5949.841</v>
      </c>
      <c r="CK34" s="625">
        <v>6109.709</v>
      </c>
      <c r="CL34" s="625">
        <v>6432.103</v>
      </c>
      <c r="CM34" s="625">
        <v>6780.648</v>
      </c>
      <c r="CN34" s="625">
        <v>7107.771</v>
      </c>
      <c r="CO34" s="625">
        <v>7166.944</v>
      </c>
      <c r="CP34" s="625">
        <v>7875.15</v>
      </c>
      <c r="CQ34" s="625">
        <v>8496.104</v>
      </c>
      <c r="CR34" s="631"/>
      <c r="CS34" s="632"/>
      <c r="CT34" s="632"/>
      <c r="CU34" s="632"/>
      <c r="CV34" s="632"/>
      <c r="CW34" s="632"/>
      <c r="CX34" s="632"/>
      <c r="CY34" s="632"/>
      <c r="CZ34" s="632"/>
    </row>
    <row r="35" hidden="1">
      <c r="A35" s="633" t="s">
        <v>3279</v>
      </c>
      <c r="B35" s="647">
        <v>10.601</v>
      </c>
      <c r="C35" s="641">
        <v>7.361</v>
      </c>
      <c r="D35" s="641">
        <v>2.955</v>
      </c>
      <c r="E35" s="641">
        <v>-0.156</v>
      </c>
      <c r="F35" s="641">
        <v>-0.173</v>
      </c>
      <c r="G35" s="641">
        <v>2.457</v>
      </c>
      <c r="H35" s="641">
        <v>3.859</v>
      </c>
      <c r="I35" s="641">
        <v>6.126</v>
      </c>
      <c r="J35" s="641">
        <v>6.78</v>
      </c>
      <c r="K35" s="641">
        <v>4.707</v>
      </c>
      <c r="L35" s="641">
        <v>6.268</v>
      </c>
      <c r="M35" s="641">
        <v>9.606</v>
      </c>
      <c r="N35" s="641">
        <v>15.302</v>
      </c>
      <c r="O35" s="641">
        <v>20.411</v>
      </c>
      <c r="P35" s="641">
        <v>24.528</v>
      </c>
      <c r="Q35" s="641">
        <v>24.549</v>
      </c>
      <c r="R35" s="641">
        <v>20.11</v>
      </c>
      <c r="S35" s="641">
        <v>17.552</v>
      </c>
      <c r="T35" s="641">
        <v>23.178</v>
      </c>
      <c r="U35" s="641">
        <v>30.132</v>
      </c>
      <c r="V35" s="641">
        <v>27.933</v>
      </c>
      <c r="W35" s="641">
        <v>34.79</v>
      </c>
      <c r="X35" s="641">
        <v>39.454</v>
      </c>
      <c r="Y35" s="641">
        <v>37.777</v>
      </c>
      <c r="Z35" s="641">
        <v>38.496</v>
      </c>
      <c r="AA35" s="641">
        <v>37.498</v>
      </c>
      <c r="AB35" s="641">
        <v>47.814</v>
      </c>
      <c r="AC35" s="641">
        <v>46.825</v>
      </c>
      <c r="AD35" s="641">
        <v>46.048</v>
      </c>
      <c r="AE35" s="641">
        <v>41.334</v>
      </c>
      <c r="AF35" s="641">
        <v>52.796</v>
      </c>
      <c r="AG35" s="641">
        <v>51.543</v>
      </c>
      <c r="AH35" s="641">
        <v>52.629</v>
      </c>
      <c r="AI35" s="641">
        <v>60.271</v>
      </c>
      <c r="AJ35" s="641">
        <v>66.427</v>
      </c>
      <c r="AK35" s="641">
        <v>73.239</v>
      </c>
      <c r="AL35" s="641">
        <v>84.583</v>
      </c>
      <c r="AM35" s="641">
        <v>91.594</v>
      </c>
      <c r="AN35" s="641">
        <v>89.091</v>
      </c>
      <c r="AO35" s="641">
        <v>96.111</v>
      </c>
      <c r="AP35" s="641">
        <v>91.821</v>
      </c>
      <c r="AQ35" s="641">
        <v>79.144</v>
      </c>
      <c r="AR35" s="641">
        <v>92.792</v>
      </c>
      <c r="AS35" s="641">
        <v>107.678</v>
      </c>
      <c r="AT35" s="641">
        <v>118.492</v>
      </c>
      <c r="AU35" s="641">
        <v>108.236</v>
      </c>
      <c r="AV35" s="641">
        <v>124.228</v>
      </c>
      <c r="AW35" s="641">
        <v>157.79</v>
      </c>
      <c r="AX35" s="641">
        <v>186.67</v>
      </c>
      <c r="AY35" s="641">
        <v>215.7</v>
      </c>
      <c r="AZ35" s="641">
        <v>214.605</v>
      </c>
      <c r="BA35" s="641">
        <v>187.655</v>
      </c>
      <c r="BB35" s="641">
        <v>216.215</v>
      </c>
      <c r="BC35" s="641">
        <v>195.169</v>
      </c>
      <c r="BD35" s="641">
        <v>242.847</v>
      </c>
      <c r="BE35" s="641">
        <v>300.699</v>
      </c>
      <c r="BF35" s="641">
        <v>314.98</v>
      </c>
      <c r="BG35" s="641">
        <v>284.091</v>
      </c>
      <c r="BH35" s="641">
        <v>322.803</v>
      </c>
      <c r="BI35" s="641">
        <v>359.258</v>
      </c>
      <c r="BJ35" s="641">
        <v>351.587</v>
      </c>
      <c r="BK35" s="641">
        <v>343.243</v>
      </c>
      <c r="BL35" s="641">
        <v>372.271</v>
      </c>
      <c r="BM35" s="641">
        <v>408.2</v>
      </c>
      <c r="BN35" s="641">
        <v>453.787</v>
      </c>
      <c r="BO35" s="641">
        <v>556.125</v>
      </c>
      <c r="BP35" s="641">
        <v>623.73</v>
      </c>
      <c r="BQ35" s="641">
        <v>701.602</v>
      </c>
      <c r="BR35" s="641">
        <v>782.312</v>
      </c>
      <c r="BS35" s="641">
        <v>732.405</v>
      </c>
      <c r="BT35" s="641">
        <v>745.039</v>
      </c>
      <c r="BU35" s="641">
        <v>680.747</v>
      </c>
      <c r="BV35" s="641">
        <v>618.384</v>
      </c>
      <c r="BW35" s="641">
        <v>773.589</v>
      </c>
      <c r="BX35" s="641">
        <v>918.145</v>
      </c>
      <c r="BY35" s="641">
        <v>1125.412</v>
      </c>
      <c r="BZ35" s="641">
        <v>1304.329</v>
      </c>
      <c r="CA35" s="641">
        <v>1456.385</v>
      </c>
      <c r="CB35" s="641">
        <v>1258.028</v>
      </c>
      <c r="CC35" s="641">
        <v>955.428</v>
      </c>
      <c r="CD35" s="641">
        <v>1076.888</v>
      </c>
      <c r="CE35" s="641">
        <v>1388.685</v>
      </c>
      <c r="CF35" s="641">
        <v>1449.878</v>
      </c>
      <c r="CG35" s="641">
        <v>1652.37</v>
      </c>
      <c r="CH35" s="641">
        <v>1682.298</v>
      </c>
      <c r="CI35" s="641">
        <v>1807.956</v>
      </c>
      <c r="CJ35" s="641">
        <v>1777.928</v>
      </c>
      <c r="CK35" s="641">
        <v>1724.401</v>
      </c>
      <c r="CL35" s="641">
        <v>1726.343</v>
      </c>
      <c r="CM35" s="641">
        <v>1844.577</v>
      </c>
      <c r="CN35" s="641">
        <v>1937.282</v>
      </c>
      <c r="CO35" s="641">
        <v>1934.997</v>
      </c>
      <c r="CP35" s="641">
        <v>2489.126</v>
      </c>
      <c r="CQ35" s="641">
        <v>2735.846</v>
      </c>
      <c r="CR35" s="631"/>
      <c r="CS35" s="632"/>
      <c r="CT35" s="632"/>
      <c r="CU35" s="632"/>
      <c r="CV35" s="632"/>
      <c r="CW35" s="632"/>
      <c r="CX35" s="632"/>
      <c r="CY35" s="632"/>
      <c r="CZ35" s="632"/>
    </row>
    <row r="36" hidden="1">
      <c r="A36" s="648"/>
      <c r="B36" s="640"/>
      <c r="C36" s="640"/>
      <c r="D36" s="640"/>
      <c r="E36" s="640"/>
      <c r="F36" s="640"/>
      <c r="G36" s="640"/>
      <c r="H36" s="640"/>
      <c r="I36" s="640"/>
      <c r="J36" s="640"/>
      <c r="K36" s="640"/>
      <c r="L36" s="640"/>
      <c r="M36" s="640"/>
      <c r="N36" s="640"/>
      <c r="O36" s="640"/>
      <c r="P36" s="640"/>
      <c r="Q36" s="640"/>
      <c r="R36" s="640"/>
      <c r="S36" s="640"/>
      <c r="T36" s="640"/>
      <c r="U36" s="640"/>
      <c r="V36" s="640"/>
      <c r="W36" s="640"/>
      <c r="X36" s="640"/>
      <c r="Y36" s="640"/>
      <c r="Z36" s="640"/>
      <c r="AA36" s="640"/>
      <c r="AB36" s="640"/>
      <c r="AC36" s="640"/>
      <c r="AD36" s="640"/>
      <c r="AE36" s="640"/>
      <c r="AF36" s="640"/>
      <c r="AG36" s="640"/>
      <c r="AH36" s="640"/>
      <c r="AI36" s="640"/>
      <c r="AJ36" s="640"/>
      <c r="AK36" s="640"/>
      <c r="AL36" s="640"/>
      <c r="AM36" s="640"/>
      <c r="AN36" s="640"/>
      <c r="AO36" s="640"/>
      <c r="AP36" s="640"/>
      <c r="AQ36" s="640"/>
      <c r="AR36" s="640"/>
      <c r="AS36" s="640"/>
      <c r="AT36" s="640"/>
      <c r="AU36" s="640"/>
      <c r="AV36" s="640"/>
      <c r="AW36" s="640"/>
      <c r="AX36" s="640"/>
      <c r="AY36" s="640"/>
      <c r="AZ36" s="640"/>
      <c r="BA36" s="640"/>
      <c r="BB36" s="640"/>
      <c r="BC36" s="640"/>
      <c r="BD36" s="640"/>
      <c r="BE36" s="640"/>
      <c r="BF36" s="640"/>
      <c r="BG36" s="640"/>
      <c r="BH36" s="640"/>
      <c r="BI36" s="640"/>
      <c r="BJ36" s="640"/>
      <c r="BK36" s="640"/>
      <c r="BL36" s="640"/>
      <c r="BM36" s="640"/>
      <c r="BN36" s="640"/>
      <c r="BO36" s="640"/>
      <c r="BP36" s="640"/>
      <c r="BQ36" s="640"/>
      <c r="BR36" s="640"/>
      <c r="BS36" s="640"/>
      <c r="BT36" s="640"/>
      <c r="BU36" s="640"/>
      <c r="BV36" s="640"/>
      <c r="BW36" s="640"/>
      <c r="BX36" s="640"/>
      <c r="BY36" s="640"/>
      <c r="BZ36" s="640"/>
      <c r="CA36" s="640"/>
      <c r="CB36" s="640"/>
      <c r="CC36" s="640"/>
      <c r="CD36" s="640"/>
      <c r="CE36" s="640"/>
      <c r="CF36" s="640"/>
      <c r="CG36" s="640"/>
      <c r="CH36" s="640"/>
      <c r="CI36" s="640"/>
      <c r="CJ36" s="640"/>
      <c r="CK36" s="640"/>
      <c r="CL36" s="640"/>
      <c r="CM36" s="640"/>
      <c r="CN36" s="640"/>
      <c r="CO36" s="640"/>
      <c r="CP36" s="640"/>
      <c r="CQ36" s="640"/>
      <c r="CR36" s="631"/>
      <c r="CS36" s="632"/>
      <c r="CT36" s="632"/>
      <c r="CU36" s="632"/>
      <c r="CV36" s="632"/>
      <c r="CW36" s="632"/>
      <c r="CX36" s="632"/>
      <c r="CY36" s="632"/>
      <c r="CZ36" s="632"/>
    </row>
    <row r="37" hidden="1">
      <c r="A37" s="635"/>
      <c r="B37" s="632"/>
      <c r="C37" s="632"/>
      <c r="D37" s="632"/>
      <c r="E37" s="632"/>
      <c r="F37" s="632"/>
      <c r="G37" s="632"/>
      <c r="H37" s="632"/>
      <c r="I37" s="632"/>
      <c r="J37" s="632"/>
      <c r="K37" s="632"/>
      <c r="L37" s="632"/>
      <c r="M37" s="632"/>
      <c r="N37" s="632"/>
      <c r="O37" s="632"/>
      <c r="P37" s="632"/>
      <c r="Q37" s="632"/>
      <c r="R37" s="632"/>
      <c r="S37" s="632"/>
      <c r="T37" s="632"/>
      <c r="U37" s="632"/>
      <c r="V37" s="632"/>
      <c r="W37" s="631"/>
      <c r="X37" s="631"/>
      <c r="Y37" s="631"/>
      <c r="Z37" s="631"/>
      <c r="AA37" s="631"/>
      <c r="AB37" s="631"/>
      <c r="AC37" s="631"/>
      <c r="AD37" s="631"/>
      <c r="AE37" s="631"/>
      <c r="AF37" s="631"/>
      <c r="AG37" s="631"/>
      <c r="AH37" s="631"/>
      <c r="AI37" s="631"/>
      <c r="AJ37" s="631"/>
      <c r="AK37" s="631"/>
      <c r="AL37" s="631"/>
      <c r="AM37" s="631"/>
      <c r="AN37" s="631"/>
      <c r="AO37" s="631"/>
      <c r="AP37" s="631"/>
      <c r="AQ37" s="631"/>
      <c r="AR37" s="631"/>
      <c r="AS37" s="631"/>
      <c r="AT37" s="631"/>
      <c r="AU37" s="631"/>
      <c r="AV37" s="631"/>
      <c r="AW37" s="631"/>
      <c r="AX37" s="631"/>
      <c r="AY37" s="631"/>
      <c r="AZ37" s="631"/>
      <c r="BA37" s="631"/>
      <c r="BB37" s="631"/>
      <c r="BC37" s="631"/>
      <c r="BD37" s="631"/>
      <c r="BE37" s="631"/>
      <c r="BF37" s="631"/>
      <c r="BG37" s="631"/>
      <c r="BH37" s="631"/>
      <c r="BI37" s="631"/>
      <c r="BJ37" s="631"/>
      <c r="BK37" s="631"/>
      <c r="BL37" s="631"/>
      <c r="BM37" s="631"/>
      <c r="BN37" s="631"/>
      <c r="BO37" s="631"/>
      <c r="BP37" s="631"/>
      <c r="BQ37" s="631"/>
      <c r="BR37" s="631"/>
      <c r="BS37" s="631"/>
      <c r="BT37" s="631"/>
      <c r="BU37" s="631"/>
      <c r="BV37" s="631"/>
      <c r="BW37" s="631"/>
      <c r="BX37" s="631"/>
      <c r="BY37" s="631"/>
      <c r="BZ37" s="631"/>
      <c r="CA37" s="631"/>
      <c r="CB37" s="631"/>
      <c r="CC37" s="631"/>
      <c r="CD37" s="631"/>
      <c r="CE37" s="631"/>
      <c r="CF37" s="631"/>
      <c r="CG37" s="631"/>
      <c r="CH37" s="631"/>
      <c r="CI37" s="631"/>
      <c r="CJ37" s="631"/>
      <c r="CK37" s="631"/>
      <c r="CL37" s="631"/>
      <c r="CM37" s="631"/>
      <c r="CN37" s="631"/>
      <c r="CO37" s="631"/>
      <c r="CP37" s="631"/>
      <c r="CQ37" s="631"/>
      <c r="CR37" s="631"/>
      <c r="CS37" s="632"/>
      <c r="CT37" s="632"/>
      <c r="CU37" s="632"/>
      <c r="CV37" s="632"/>
      <c r="CW37" s="632"/>
      <c r="CX37" s="632"/>
      <c r="CY37" s="632"/>
      <c r="CZ37" s="632"/>
    </row>
    <row r="38" hidden="1">
      <c r="A38" s="635"/>
      <c r="B38" s="632"/>
      <c r="C38" s="632"/>
      <c r="D38" s="632"/>
      <c r="E38" s="632"/>
      <c r="F38" s="632"/>
      <c r="G38" s="632"/>
      <c r="H38" s="632"/>
      <c r="I38" s="632"/>
      <c r="J38" s="632"/>
      <c r="K38" s="632"/>
      <c r="L38" s="632"/>
      <c r="M38" s="632"/>
      <c r="N38" s="632"/>
      <c r="O38" s="632"/>
      <c r="P38" s="632"/>
      <c r="Q38" s="632"/>
      <c r="R38" s="632"/>
      <c r="S38" s="632"/>
      <c r="T38" s="632"/>
      <c r="U38" s="632"/>
      <c r="V38" s="632"/>
      <c r="W38" s="623">
        <v>1950.0</v>
      </c>
      <c r="X38" s="623">
        <v>1951.0</v>
      </c>
      <c r="Y38" s="623">
        <v>1952.0</v>
      </c>
      <c r="Z38" s="623">
        <v>1953.0</v>
      </c>
      <c r="AA38" s="623">
        <v>1954.0</v>
      </c>
      <c r="AB38" s="623">
        <v>1955.0</v>
      </c>
      <c r="AC38" s="623">
        <v>1956.0</v>
      </c>
      <c r="AD38" s="623">
        <v>1957.0</v>
      </c>
      <c r="AE38" s="623">
        <v>1958.0</v>
      </c>
      <c r="AF38" s="623">
        <v>1959.0</v>
      </c>
      <c r="AG38" s="623">
        <v>1960.0</v>
      </c>
      <c r="AH38" s="623">
        <v>1961.0</v>
      </c>
      <c r="AI38" s="623">
        <v>1962.0</v>
      </c>
      <c r="AJ38" s="623">
        <v>1963.0</v>
      </c>
      <c r="AK38" s="623">
        <v>1964.0</v>
      </c>
      <c r="AL38" s="623">
        <v>1965.0</v>
      </c>
      <c r="AM38" s="623">
        <v>1966.0</v>
      </c>
      <c r="AN38" s="623">
        <v>1967.0</v>
      </c>
      <c r="AO38" s="623">
        <v>1968.0</v>
      </c>
      <c r="AP38" s="623">
        <v>1969.0</v>
      </c>
      <c r="AQ38" s="623">
        <v>1970.0</v>
      </c>
      <c r="AR38" s="623">
        <v>1971.0</v>
      </c>
      <c r="AS38" s="623">
        <v>1972.0</v>
      </c>
      <c r="AT38" s="623">
        <v>1973.0</v>
      </c>
      <c r="AU38" s="623">
        <v>1974.0</v>
      </c>
      <c r="AV38" s="623">
        <v>1975.0</v>
      </c>
      <c r="AW38" s="623">
        <v>1976.0</v>
      </c>
      <c r="AX38" s="623">
        <v>1977.0</v>
      </c>
      <c r="AY38" s="623">
        <v>1978.0</v>
      </c>
      <c r="AZ38" s="623">
        <v>1979.0</v>
      </c>
      <c r="BA38" s="623">
        <v>1980.0</v>
      </c>
      <c r="BB38" s="623">
        <v>1981.0</v>
      </c>
      <c r="BC38" s="623">
        <v>1982.0</v>
      </c>
      <c r="BD38" s="623">
        <v>1983.0</v>
      </c>
      <c r="BE38" s="623">
        <v>1984.0</v>
      </c>
      <c r="BF38" s="623">
        <v>1985.0</v>
      </c>
      <c r="BG38" s="623">
        <v>1986.0</v>
      </c>
      <c r="BH38" s="623">
        <v>1987.0</v>
      </c>
      <c r="BI38" s="623">
        <v>1988.0</v>
      </c>
      <c r="BJ38" s="623">
        <v>1989.0</v>
      </c>
      <c r="BK38" s="623">
        <v>1990.0</v>
      </c>
      <c r="BL38" s="623">
        <v>1991.0</v>
      </c>
      <c r="BM38" s="623">
        <v>1992.0</v>
      </c>
      <c r="BN38" s="623">
        <v>1993.0</v>
      </c>
      <c r="BO38" s="623">
        <v>1994.0</v>
      </c>
      <c r="BP38" s="623">
        <v>1995.0</v>
      </c>
      <c r="BQ38" s="623">
        <v>1996.0</v>
      </c>
      <c r="BR38" s="623">
        <v>1997.0</v>
      </c>
      <c r="BS38" s="623">
        <v>1998.0</v>
      </c>
      <c r="BT38" s="623">
        <v>1999.0</v>
      </c>
      <c r="BU38" s="623">
        <v>2000.0</v>
      </c>
      <c r="BV38" s="623">
        <v>2001.0</v>
      </c>
      <c r="BW38" s="623">
        <v>2002.0</v>
      </c>
      <c r="BX38" s="623">
        <v>2003.0</v>
      </c>
      <c r="BY38" s="623">
        <v>2004.0</v>
      </c>
      <c r="BZ38" s="623">
        <v>2005.0</v>
      </c>
      <c r="CA38" s="623">
        <v>2006.0</v>
      </c>
      <c r="CB38" s="623">
        <v>2007.0</v>
      </c>
      <c r="CC38" s="623">
        <v>2008.0</v>
      </c>
      <c r="CD38" s="623">
        <v>2009.0</v>
      </c>
      <c r="CE38" s="623">
        <v>2010.0</v>
      </c>
      <c r="CF38" s="623">
        <v>2011.0</v>
      </c>
      <c r="CG38" s="623">
        <v>2012.0</v>
      </c>
      <c r="CH38" s="623">
        <v>2013.0</v>
      </c>
      <c r="CI38" s="623">
        <v>2014.0</v>
      </c>
      <c r="CJ38" s="623">
        <v>2015.0</v>
      </c>
      <c r="CK38" s="623">
        <v>2016.0</v>
      </c>
      <c r="CL38" s="623">
        <v>2017.0</v>
      </c>
      <c r="CM38" s="623">
        <v>2018.0</v>
      </c>
      <c r="CN38" s="623">
        <v>2019.0</v>
      </c>
      <c r="CO38" s="623">
        <v>2020.0</v>
      </c>
      <c r="CP38" s="623">
        <v>2021.0</v>
      </c>
      <c r="CQ38" s="623">
        <v>2022.0</v>
      </c>
      <c r="CR38" s="623"/>
      <c r="CS38" s="632"/>
      <c r="CT38" s="632"/>
      <c r="CU38" s="632"/>
      <c r="CV38" s="632"/>
      <c r="CW38" s="632"/>
      <c r="CX38" s="632"/>
      <c r="CY38" s="632"/>
      <c r="CZ38" s="632"/>
    </row>
    <row r="39" hidden="1">
      <c r="A39" s="634" t="s">
        <v>3263</v>
      </c>
      <c r="B39" s="636">
        <f t="shared" ref="B39:CQ39" si="8">B34/B3</f>
        <v>0.3635765176</v>
      </c>
      <c r="C39" s="636">
        <f t="shared" si="8"/>
        <v>0.3707340554</v>
      </c>
      <c r="D39" s="636">
        <f t="shared" si="8"/>
        <v>0.3749759811</v>
      </c>
      <c r="E39" s="636">
        <f t="shared" si="8"/>
        <v>0.3708044856</v>
      </c>
      <c r="F39" s="636">
        <f t="shared" si="8"/>
        <v>0.3679509453</v>
      </c>
      <c r="G39" s="636">
        <f t="shared" si="8"/>
        <v>0.3611201675</v>
      </c>
      <c r="H39" s="636">
        <f t="shared" si="8"/>
        <v>0.3475848761</v>
      </c>
      <c r="I39" s="636">
        <f t="shared" si="8"/>
        <v>0.3498116071</v>
      </c>
      <c r="J39" s="636">
        <f t="shared" si="8"/>
        <v>0.3651839189</v>
      </c>
      <c r="K39" s="636">
        <f t="shared" si="8"/>
        <v>0.3540671099</v>
      </c>
      <c r="L39" s="636">
        <f t="shared" si="8"/>
        <v>0.3617788024</v>
      </c>
      <c r="M39" s="636">
        <f t="shared" si="8"/>
        <v>0.3589368234</v>
      </c>
      <c r="N39" s="636">
        <f t="shared" si="8"/>
        <v>0.3544961822</v>
      </c>
      <c r="O39" s="636">
        <f t="shared" si="8"/>
        <v>0.3468669804</v>
      </c>
      <c r="P39" s="636">
        <f t="shared" si="8"/>
        <v>0.3426152449</v>
      </c>
      <c r="Q39" s="636">
        <f t="shared" si="8"/>
        <v>0.3338742434</v>
      </c>
      <c r="R39" s="636">
        <f t="shared" si="8"/>
        <v>0.3182240368</v>
      </c>
      <c r="S39" s="636">
        <f t="shared" si="8"/>
        <v>0.3470764767</v>
      </c>
      <c r="T39" s="636">
        <f t="shared" si="8"/>
        <v>0.3754908729</v>
      </c>
      <c r="U39" s="636">
        <f t="shared" si="8"/>
        <v>0.3721124943</v>
      </c>
      <c r="V39" s="636">
        <f t="shared" si="8"/>
        <v>0.3704145566</v>
      </c>
      <c r="W39" s="636">
        <f t="shared" si="8"/>
        <v>0.3700297437</v>
      </c>
      <c r="X39" s="636">
        <f t="shared" si="8"/>
        <v>0.3723666033</v>
      </c>
      <c r="Y39" s="636">
        <f t="shared" si="8"/>
        <v>0.3772100896</v>
      </c>
      <c r="Z39" s="636">
        <f t="shared" si="8"/>
        <v>0.3896781887</v>
      </c>
      <c r="AA39" s="636">
        <f t="shared" si="8"/>
        <v>0.3846111329</v>
      </c>
      <c r="AB39" s="636">
        <f t="shared" si="8"/>
        <v>0.3837153462</v>
      </c>
      <c r="AC39" s="636">
        <f t="shared" si="8"/>
        <v>0.3953811582</v>
      </c>
      <c r="AD39" s="636">
        <f t="shared" si="8"/>
        <v>0.3978190437</v>
      </c>
      <c r="AE39" s="636">
        <f t="shared" si="8"/>
        <v>0.3897190065</v>
      </c>
      <c r="AF39" s="636">
        <f t="shared" si="8"/>
        <v>0.392981699</v>
      </c>
      <c r="AG39" s="636">
        <f t="shared" si="8"/>
        <v>0.3981804172</v>
      </c>
      <c r="AH39" s="636">
        <f t="shared" si="8"/>
        <v>0.3942318935</v>
      </c>
      <c r="AI39" s="636">
        <f t="shared" si="8"/>
        <v>0.3951617283</v>
      </c>
      <c r="AJ39" s="636">
        <f t="shared" si="8"/>
        <v>0.3938387905</v>
      </c>
      <c r="AK39" s="636">
        <f t="shared" si="8"/>
        <v>0.3940096303</v>
      </c>
      <c r="AL39" s="636">
        <f t="shared" si="8"/>
        <v>0.3944391403</v>
      </c>
      <c r="AM39" s="636">
        <f t="shared" si="8"/>
        <v>0.4017969792</v>
      </c>
      <c r="AN39" s="636">
        <f t="shared" si="8"/>
        <v>0.4066494646</v>
      </c>
      <c r="AO39" s="636">
        <f t="shared" si="8"/>
        <v>0.4097363914</v>
      </c>
      <c r="AP39" s="636">
        <f t="shared" si="8"/>
        <v>0.4206787406</v>
      </c>
      <c r="AQ39" s="636">
        <f t="shared" si="8"/>
        <v>0.4245344904</v>
      </c>
      <c r="AR39" s="636">
        <f t="shared" si="8"/>
        <v>0.4158275822</v>
      </c>
      <c r="AS39" s="636">
        <f t="shared" si="8"/>
        <v>0.4181963702</v>
      </c>
      <c r="AT39" s="636">
        <f t="shared" si="8"/>
        <v>0.4197879611</v>
      </c>
      <c r="AU39" s="636">
        <f t="shared" si="8"/>
        <v>0.4287874534</v>
      </c>
      <c r="AV39" s="636">
        <f t="shared" si="8"/>
        <v>0.420331498</v>
      </c>
      <c r="AW39" s="636">
        <f t="shared" si="8"/>
        <v>0.4242556423</v>
      </c>
      <c r="AX39" s="636">
        <f t="shared" si="8"/>
        <v>0.4304321635</v>
      </c>
      <c r="AY39" s="636">
        <f t="shared" si="8"/>
        <v>0.4373931173</v>
      </c>
      <c r="AZ39" s="636">
        <f t="shared" si="8"/>
        <v>0.448335304</v>
      </c>
      <c r="BA39" s="636">
        <f t="shared" si="8"/>
        <v>0.455600941</v>
      </c>
      <c r="BB39" s="636">
        <f t="shared" si="8"/>
        <v>0.449556453</v>
      </c>
      <c r="BC39" s="636">
        <f t="shared" si="8"/>
        <v>0.4498251659</v>
      </c>
      <c r="BD39" s="636">
        <f t="shared" si="8"/>
        <v>0.44336044</v>
      </c>
      <c r="BE39" s="636">
        <f t="shared" si="8"/>
        <v>0.4371097396</v>
      </c>
      <c r="BF39" s="636">
        <f t="shared" si="8"/>
        <v>0.4402920983</v>
      </c>
      <c r="BG39" s="636">
        <f t="shared" si="8"/>
        <v>0.4497919192</v>
      </c>
      <c r="BH39" s="636">
        <f t="shared" si="8"/>
        <v>0.450785625</v>
      </c>
      <c r="BI39" s="636">
        <f t="shared" si="8"/>
        <v>0.4477659436</v>
      </c>
      <c r="BJ39" s="636">
        <f t="shared" si="8"/>
        <v>0.4452111586</v>
      </c>
      <c r="BK39" s="636">
        <f t="shared" si="8"/>
        <v>0.4457414921</v>
      </c>
      <c r="BL39" s="636">
        <f t="shared" si="8"/>
        <v>0.4410435241</v>
      </c>
      <c r="BM39" s="636">
        <f t="shared" si="8"/>
        <v>0.4420448502</v>
      </c>
      <c r="BN39" s="636">
        <f t="shared" si="8"/>
        <v>0.438986248</v>
      </c>
      <c r="BO39" s="636">
        <f t="shared" si="8"/>
        <v>0.4331746234</v>
      </c>
      <c r="BP39" s="636">
        <f t="shared" si="8"/>
        <v>0.4320192848</v>
      </c>
      <c r="BQ39" s="636">
        <f t="shared" si="8"/>
        <v>0.4298379153</v>
      </c>
      <c r="BR39" s="636">
        <f t="shared" si="8"/>
        <v>0.432112701</v>
      </c>
      <c r="BS39" s="636">
        <f t="shared" si="8"/>
        <v>0.4404664895</v>
      </c>
      <c r="BT39" s="636">
        <f t="shared" si="8"/>
        <v>0.4442968404</v>
      </c>
      <c r="BU39" s="636">
        <f t="shared" si="8"/>
        <v>0.4517625144</v>
      </c>
      <c r="BV39" s="636">
        <f t="shared" si="8"/>
        <v>0.4386911698</v>
      </c>
      <c r="BW39" s="636">
        <f t="shared" si="8"/>
        <v>0.422695532</v>
      </c>
      <c r="BX39" s="636">
        <f t="shared" si="8"/>
        <v>0.4114925973</v>
      </c>
      <c r="BY39" s="636">
        <f t="shared" si="8"/>
        <v>0.4038224143</v>
      </c>
      <c r="BZ39" s="636">
        <f t="shared" si="8"/>
        <v>0.3966974115</v>
      </c>
      <c r="CA39" s="636">
        <f t="shared" si="8"/>
        <v>0.391811123</v>
      </c>
      <c r="CB39" s="636">
        <f t="shared" si="8"/>
        <v>0.3977488219</v>
      </c>
      <c r="CC39" s="636">
        <f t="shared" si="8"/>
        <v>0.3995440971</v>
      </c>
      <c r="CD39" s="636">
        <f t="shared" si="8"/>
        <v>0.3818774532</v>
      </c>
      <c r="CE39" s="636">
        <f t="shared" si="8"/>
        <v>0.3673969911</v>
      </c>
      <c r="CF39" s="636">
        <f t="shared" si="8"/>
        <v>0.3681005319</v>
      </c>
      <c r="CG39" s="636">
        <f t="shared" si="8"/>
        <v>0.3684856037</v>
      </c>
      <c r="CH39" s="636">
        <f t="shared" si="8"/>
        <v>0.3704745902</v>
      </c>
      <c r="CI39" s="636">
        <f t="shared" si="8"/>
        <v>0.3724616461</v>
      </c>
      <c r="CJ39" s="636">
        <f t="shared" si="8"/>
        <v>0.3793283477</v>
      </c>
      <c r="CK39" s="636">
        <f t="shared" si="8"/>
        <v>0.382448173</v>
      </c>
      <c r="CL39" s="636">
        <f t="shared" si="8"/>
        <v>0.3854282991</v>
      </c>
      <c r="CM39" s="636">
        <f t="shared" si="8"/>
        <v>0.3859047806</v>
      </c>
      <c r="CN39" s="636">
        <f t="shared" si="8"/>
        <v>0.3888063381</v>
      </c>
      <c r="CO39" s="636">
        <f t="shared" si="8"/>
        <v>0.4014186145</v>
      </c>
      <c r="CP39" s="636">
        <f t="shared" si="8"/>
        <v>0.3955434578</v>
      </c>
      <c r="CQ39" s="636">
        <f t="shared" si="8"/>
        <v>0.3919158203</v>
      </c>
      <c r="CR39" s="636"/>
      <c r="CS39" s="649"/>
      <c r="CT39" s="649"/>
      <c r="CU39" s="649"/>
      <c r="CV39" s="649"/>
      <c r="CW39" s="649"/>
      <c r="CX39" s="649"/>
      <c r="CY39" s="649"/>
      <c r="CZ39" s="649"/>
    </row>
    <row r="40" hidden="1">
      <c r="A40" s="634" t="s">
        <v>3263</v>
      </c>
      <c r="B40" s="636"/>
      <c r="C40" s="636"/>
      <c r="D40" s="636"/>
      <c r="E40" s="636"/>
      <c r="F40" s="636"/>
      <c r="G40" s="636"/>
      <c r="H40" s="636"/>
      <c r="I40" s="636"/>
      <c r="J40" s="636"/>
      <c r="K40" s="636"/>
      <c r="L40" s="636"/>
      <c r="M40" s="636"/>
      <c r="N40" s="636"/>
      <c r="O40" s="636"/>
      <c r="P40" s="636"/>
      <c r="Q40" s="636"/>
      <c r="R40" s="636"/>
      <c r="S40" s="636"/>
      <c r="T40" s="636"/>
      <c r="U40" s="636"/>
      <c r="V40" s="636"/>
      <c r="W40" s="636">
        <f t="shared" ref="W40:CQ40" si="9">W34/W33</f>
        <v>0.6628814858</v>
      </c>
      <c r="X40" s="636">
        <f t="shared" si="9"/>
        <v>0.6712548709</v>
      </c>
      <c r="Y40" s="636">
        <f t="shared" si="9"/>
        <v>0.6875765045</v>
      </c>
      <c r="Z40" s="636">
        <f t="shared" si="9"/>
        <v>0.6982604073</v>
      </c>
      <c r="AA40" s="636">
        <f t="shared" si="9"/>
        <v>0.7012969102</v>
      </c>
      <c r="AB40" s="636">
        <f t="shared" si="9"/>
        <v>0.6774290251</v>
      </c>
      <c r="AC40" s="636">
        <f t="shared" si="9"/>
        <v>0.6938565131</v>
      </c>
      <c r="AD40" s="636">
        <f t="shared" si="9"/>
        <v>0.7022442292</v>
      </c>
      <c r="AE40" s="636">
        <f t="shared" si="9"/>
        <v>0.7115976306</v>
      </c>
      <c r="AF40" s="636">
        <f t="shared" si="9"/>
        <v>0.693883599</v>
      </c>
      <c r="AG40" s="636">
        <f t="shared" si="9"/>
        <v>0.7026356806</v>
      </c>
      <c r="AH40" s="636">
        <f t="shared" si="9"/>
        <v>0.7003957666</v>
      </c>
      <c r="AI40" s="636">
        <f t="shared" si="9"/>
        <v>0.6915349673</v>
      </c>
      <c r="AJ40" s="636">
        <f t="shared" si="9"/>
        <v>0.6852430865</v>
      </c>
      <c r="AK40" s="636">
        <f t="shared" si="9"/>
        <v>0.6803197087</v>
      </c>
      <c r="AL40" s="636">
        <f t="shared" si="9"/>
        <v>0.6721136363</v>
      </c>
      <c r="AM40" s="636">
        <f t="shared" si="9"/>
        <v>0.6801216321</v>
      </c>
      <c r="AN40" s="636">
        <f t="shared" si="9"/>
        <v>0.6914023619</v>
      </c>
      <c r="AO40" s="636">
        <f t="shared" si="9"/>
        <v>0.6912596344</v>
      </c>
      <c r="AP40" s="636">
        <f t="shared" si="9"/>
        <v>0.7055887571</v>
      </c>
      <c r="AQ40" s="636">
        <f t="shared" si="9"/>
        <v>0.7232298123</v>
      </c>
      <c r="AR40" s="636">
        <f t="shared" si="9"/>
        <v>0.7106835979</v>
      </c>
      <c r="AS40" s="636">
        <f t="shared" si="9"/>
        <v>0.7099271831</v>
      </c>
      <c r="AT40" s="636">
        <f t="shared" si="9"/>
        <v>0.7126036943</v>
      </c>
      <c r="AU40" s="636">
        <f t="shared" si="9"/>
        <v>0.7275281996</v>
      </c>
      <c r="AV40" s="636">
        <f t="shared" si="9"/>
        <v>0.7133759532</v>
      </c>
      <c r="AW40" s="636">
        <f t="shared" si="9"/>
        <v>0.7095502349</v>
      </c>
      <c r="AX40" s="636">
        <f t="shared" si="9"/>
        <v>0.706640551</v>
      </c>
      <c r="AY40" s="636">
        <f t="shared" si="9"/>
        <v>0.7091119529</v>
      </c>
      <c r="AZ40" s="636">
        <f t="shared" si="9"/>
        <v>0.7273271673</v>
      </c>
      <c r="BA40" s="636">
        <f t="shared" si="9"/>
        <v>0.7394539195</v>
      </c>
      <c r="BB40" s="636">
        <f t="shared" si="9"/>
        <v>0.7221215796</v>
      </c>
      <c r="BC40" s="636">
        <f t="shared" si="9"/>
        <v>0.7302870201</v>
      </c>
      <c r="BD40" s="636">
        <f t="shared" si="9"/>
        <v>0.7171609125</v>
      </c>
      <c r="BE40" s="636">
        <f t="shared" si="9"/>
        <v>0.704196689</v>
      </c>
      <c r="BF40" s="636">
        <f t="shared" si="9"/>
        <v>0.710415193</v>
      </c>
      <c r="BG40" s="636">
        <f t="shared" si="9"/>
        <v>0.7311935488</v>
      </c>
      <c r="BH40" s="636">
        <f t="shared" si="9"/>
        <v>0.7320746434</v>
      </c>
      <c r="BI40" s="636">
        <f t="shared" si="9"/>
        <v>0.7300553728</v>
      </c>
      <c r="BJ40" s="636">
        <f t="shared" si="9"/>
        <v>0.7325726694</v>
      </c>
      <c r="BK40" s="636">
        <f t="shared" si="9"/>
        <v>0.7418479497</v>
      </c>
      <c r="BL40" s="636">
        <f t="shared" si="9"/>
        <v>0.7407378501</v>
      </c>
      <c r="BM40" s="636">
        <f t="shared" si="9"/>
        <v>0.7452183902</v>
      </c>
      <c r="BN40" s="636">
        <f t="shared" si="9"/>
        <v>0.7395585998</v>
      </c>
      <c r="BO40" s="636">
        <f t="shared" si="9"/>
        <v>0.7232800756</v>
      </c>
      <c r="BP40" s="636">
        <f t="shared" si="9"/>
        <v>0.7178245864</v>
      </c>
      <c r="BQ40" s="636">
        <f t="shared" si="9"/>
        <v>0.7127865646</v>
      </c>
      <c r="BR40" s="636">
        <f t="shared" si="9"/>
        <v>0.7101516667</v>
      </c>
      <c r="BS40" s="636">
        <f t="shared" si="9"/>
        <v>0.724343192</v>
      </c>
      <c r="BT40" s="636">
        <f t="shared" si="9"/>
        <v>0.7321140547</v>
      </c>
      <c r="BU40" s="636">
        <f t="shared" si="9"/>
        <v>0.7454887717</v>
      </c>
      <c r="BV40" s="636">
        <f t="shared" si="9"/>
        <v>0.7553263459</v>
      </c>
      <c r="BW40" s="636">
        <f t="shared" si="9"/>
        <v>0.7378857133</v>
      </c>
      <c r="BX40" s="636">
        <f t="shared" si="9"/>
        <v>0.7225642831</v>
      </c>
      <c r="BY40" s="636">
        <f t="shared" si="9"/>
        <v>0.708235886</v>
      </c>
      <c r="BZ40" s="636">
        <f t="shared" si="9"/>
        <v>0.6895446711</v>
      </c>
      <c r="CA40" s="636">
        <f t="shared" si="9"/>
        <v>0.6774560337</v>
      </c>
      <c r="CB40" s="636">
        <f t="shared" si="9"/>
        <v>0.6981481857</v>
      </c>
      <c r="CC40" s="636">
        <f t="shared" si="9"/>
        <v>0.7210003084</v>
      </c>
      <c r="CD40" s="636">
        <f t="shared" si="9"/>
        <v>0.7030359136</v>
      </c>
      <c r="CE40" s="636">
        <f t="shared" si="9"/>
        <v>0.6747878853</v>
      </c>
      <c r="CF40" s="636">
        <f t="shared" si="9"/>
        <v>0.6752055597</v>
      </c>
      <c r="CG40" s="636">
        <f t="shared" si="9"/>
        <v>0.6659833345</v>
      </c>
      <c r="CH40" s="636">
        <f t="shared" si="9"/>
        <v>0.6688183046</v>
      </c>
      <c r="CI40" s="636">
        <f t="shared" si="9"/>
        <v>0.6627646235</v>
      </c>
      <c r="CJ40" s="636">
        <f t="shared" si="9"/>
        <v>0.6683493419</v>
      </c>
      <c r="CK40" s="636">
        <f t="shared" si="9"/>
        <v>0.6747721597</v>
      </c>
      <c r="CL40" s="636">
        <f t="shared" si="9"/>
        <v>0.6825678445</v>
      </c>
      <c r="CM40" s="636">
        <f t="shared" si="9"/>
        <v>0.6778760793</v>
      </c>
      <c r="CN40" s="636">
        <f t="shared" si="9"/>
        <v>0.6810560196</v>
      </c>
      <c r="CO40" s="636">
        <f t="shared" si="9"/>
        <v>0.7078930244</v>
      </c>
      <c r="CP40" s="636">
        <f t="shared" si="9"/>
        <v>0.6748661412</v>
      </c>
      <c r="CQ40" s="636">
        <f t="shared" si="9"/>
        <v>0.6627966039</v>
      </c>
      <c r="CR40" s="631"/>
      <c r="CS40" s="632"/>
      <c r="CT40" s="632"/>
      <c r="CU40" s="632"/>
      <c r="CV40" s="632"/>
      <c r="CW40" s="632"/>
      <c r="CX40" s="632"/>
      <c r="CY40" s="632"/>
      <c r="CZ40" s="632"/>
    </row>
    <row r="41">
      <c r="A41" s="635"/>
      <c r="B41" s="632"/>
      <c r="C41" s="632"/>
      <c r="D41" s="632"/>
      <c r="E41" s="632"/>
      <c r="F41" s="632"/>
      <c r="G41" s="632"/>
      <c r="H41" s="632"/>
      <c r="I41" s="632"/>
      <c r="J41" s="632"/>
      <c r="K41" s="632"/>
      <c r="L41" s="632"/>
      <c r="M41" s="632"/>
      <c r="N41" s="632"/>
      <c r="O41" s="632"/>
      <c r="P41" s="632"/>
      <c r="Q41" s="632"/>
      <c r="R41" s="632"/>
      <c r="S41" s="632"/>
      <c r="T41" s="632"/>
      <c r="U41" s="632"/>
      <c r="V41" s="632"/>
      <c r="W41" s="650"/>
      <c r="X41" s="650"/>
      <c r="Y41" s="650"/>
      <c r="Z41" s="650"/>
      <c r="AA41" s="650"/>
      <c r="AB41" s="650"/>
      <c r="AC41" s="650"/>
      <c r="AD41" s="650"/>
      <c r="AE41" s="650"/>
      <c r="AF41" s="650"/>
      <c r="AG41" s="650"/>
      <c r="AH41" s="650"/>
      <c r="AI41" s="650"/>
      <c r="AJ41" s="650"/>
      <c r="AK41" s="650"/>
      <c r="AL41" s="650"/>
      <c r="AM41" s="650"/>
      <c r="AN41" s="650"/>
      <c r="AO41" s="650"/>
      <c r="AP41" s="650"/>
      <c r="AQ41" s="650"/>
      <c r="AR41" s="650"/>
      <c r="AS41" s="650"/>
      <c r="AT41" s="650"/>
      <c r="AU41" s="650"/>
      <c r="AV41" s="650"/>
      <c r="AW41" s="650"/>
      <c r="AX41" s="650"/>
      <c r="AY41" s="650"/>
      <c r="AZ41" s="650"/>
      <c r="BA41" s="650"/>
      <c r="BB41" s="650"/>
      <c r="BC41" s="650"/>
      <c r="BD41" s="650"/>
      <c r="BE41" s="650"/>
      <c r="BF41" s="650"/>
      <c r="BG41" s="650"/>
      <c r="BH41" s="650"/>
      <c r="BI41" s="650"/>
      <c r="BJ41" s="650"/>
      <c r="BK41" s="650"/>
      <c r="BL41" s="650"/>
      <c r="BM41" s="650"/>
      <c r="BN41" s="650"/>
      <c r="BO41" s="650"/>
      <c r="BP41" s="650"/>
      <c r="BQ41" s="650"/>
      <c r="BR41" s="650"/>
      <c r="BS41" s="650"/>
      <c r="BT41" s="650"/>
      <c r="BU41" s="650"/>
      <c r="BV41" s="650"/>
      <c r="BW41" s="650"/>
      <c r="BX41" s="650"/>
      <c r="BY41" s="650"/>
      <c r="BZ41" s="650"/>
      <c r="CA41" s="650"/>
      <c r="CB41" s="650"/>
      <c r="CC41" s="650"/>
      <c r="CD41" s="650"/>
      <c r="CE41" s="650"/>
      <c r="CF41" s="650"/>
      <c r="CG41" s="650"/>
      <c r="CH41" s="650"/>
      <c r="CI41" s="650"/>
      <c r="CJ41" s="650"/>
      <c r="CK41" s="650"/>
      <c r="CL41" s="650"/>
      <c r="CM41" s="650"/>
      <c r="CN41" s="650"/>
      <c r="CO41" s="650"/>
      <c r="CP41" s="650"/>
      <c r="CQ41" s="650"/>
      <c r="CR41" s="631"/>
      <c r="CS41" s="632"/>
      <c r="CT41" s="632"/>
      <c r="CU41" s="632"/>
      <c r="CV41" s="632"/>
      <c r="CW41" s="632"/>
      <c r="CX41" s="632"/>
      <c r="CY41" s="632"/>
      <c r="CZ41" s="632"/>
    </row>
    <row r="42">
      <c r="A42" s="635"/>
      <c r="B42" s="632"/>
      <c r="C42" s="632"/>
      <c r="D42" s="632"/>
      <c r="E42" s="632"/>
      <c r="F42" s="632"/>
      <c r="G42" s="632"/>
      <c r="H42" s="632"/>
      <c r="I42" s="632"/>
      <c r="J42" s="632"/>
      <c r="K42" s="632"/>
      <c r="L42" s="632"/>
      <c r="M42" s="632"/>
      <c r="N42" s="632"/>
      <c r="O42" s="632"/>
      <c r="P42" s="632"/>
      <c r="Q42" s="632"/>
      <c r="R42" s="632"/>
      <c r="S42" s="632"/>
      <c r="T42" s="632"/>
      <c r="U42" s="632"/>
      <c r="V42" s="632"/>
      <c r="W42" s="631"/>
      <c r="X42" s="631"/>
      <c r="Y42" s="631"/>
      <c r="Z42" s="631"/>
      <c r="AA42" s="631"/>
      <c r="AB42" s="631"/>
      <c r="AC42" s="631"/>
      <c r="AD42" s="631"/>
      <c r="AE42" s="631"/>
      <c r="AF42" s="631"/>
      <c r="AG42" s="631"/>
      <c r="AH42" s="631"/>
      <c r="AI42" s="631"/>
      <c r="AJ42" s="631"/>
      <c r="AK42" s="631"/>
      <c r="AL42" s="631"/>
      <c r="AM42" s="631"/>
      <c r="AN42" s="631"/>
      <c r="AO42" s="631"/>
      <c r="AP42" s="631"/>
      <c r="AQ42" s="631"/>
      <c r="AR42" s="631"/>
      <c r="AS42" s="631"/>
      <c r="AT42" s="631"/>
      <c r="AU42" s="631"/>
      <c r="AV42" s="631"/>
      <c r="AW42" s="631"/>
      <c r="AX42" s="631"/>
      <c r="AY42" s="631"/>
      <c r="AZ42" s="631"/>
      <c r="BA42" s="631"/>
      <c r="BB42" s="631"/>
      <c r="BC42" s="631"/>
      <c r="BD42" s="631"/>
      <c r="BE42" s="631"/>
      <c r="BF42" s="631"/>
      <c r="BG42" s="631"/>
      <c r="BH42" s="631"/>
      <c r="BI42" s="631"/>
      <c r="BJ42" s="631"/>
      <c r="BK42" s="631"/>
      <c r="BL42" s="631"/>
      <c r="BM42" s="631"/>
      <c r="BN42" s="631"/>
      <c r="BO42" s="631"/>
      <c r="BP42" s="631"/>
      <c r="BQ42" s="631"/>
      <c r="BR42" s="631"/>
      <c r="BS42" s="631"/>
      <c r="BT42" s="631"/>
      <c r="BU42" s="631"/>
      <c r="BV42" s="631"/>
      <c r="BW42" s="631"/>
      <c r="BX42" s="631"/>
      <c r="BY42" s="631"/>
      <c r="BZ42" s="631"/>
      <c r="CA42" s="631"/>
      <c r="CB42" s="631"/>
      <c r="CC42" s="631"/>
      <c r="CD42" s="631"/>
      <c r="CE42" s="631"/>
      <c r="CF42" s="631"/>
      <c r="CG42" s="631"/>
      <c r="CH42" s="631"/>
      <c r="CI42" s="631"/>
      <c r="CJ42" s="631"/>
      <c r="CK42" s="631"/>
      <c r="CL42" s="631"/>
      <c r="CM42" s="631"/>
      <c r="CN42" s="631"/>
      <c r="CO42" s="631"/>
      <c r="CP42" s="631"/>
      <c r="CQ42" s="631"/>
      <c r="CR42" s="631"/>
      <c r="CS42" s="632"/>
      <c r="CT42" s="632"/>
      <c r="CU42" s="632"/>
      <c r="CV42" s="632"/>
      <c r="CW42" s="632"/>
      <c r="CX42" s="632"/>
      <c r="CY42" s="632"/>
      <c r="CZ42" s="632"/>
    </row>
    <row r="43">
      <c r="A43" s="634" t="s">
        <v>3280</v>
      </c>
      <c r="B43" s="632"/>
      <c r="C43" s="632"/>
      <c r="D43" s="632"/>
      <c r="E43" s="632"/>
      <c r="F43" s="632"/>
      <c r="G43" s="632"/>
      <c r="H43" s="632"/>
      <c r="I43" s="632"/>
      <c r="J43" s="632"/>
      <c r="K43" s="632"/>
      <c r="L43" s="632"/>
      <c r="M43" s="632"/>
      <c r="N43" s="632"/>
      <c r="O43" s="632"/>
      <c r="P43" s="632"/>
      <c r="Q43" s="632"/>
      <c r="R43" s="632"/>
      <c r="S43" s="632"/>
      <c r="T43" s="632"/>
      <c r="U43" s="632"/>
      <c r="V43" s="632"/>
      <c r="W43" s="165">
        <f t="shared" ref="W43:CQ43" si="10">W7/W5</f>
        <v>0.4916387032</v>
      </c>
      <c r="X43" s="165">
        <f t="shared" si="10"/>
        <v>0.5413855042</v>
      </c>
      <c r="Y43" s="165">
        <f t="shared" si="10"/>
        <v>0.4817093155</v>
      </c>
      <c r="Z43" s="165">
        <f t="shared" si="10"/>
        <v>0.4949620291</v>
      </c>
      <c r="AA43" s="165">
        <f t="shared" si="10"/>
        <v>0.4396350735</v>
      </c>
      <c r="AB43" s="165">
        <f t="shared" si="10"/>
        <v>0.4343206825</v>
      </c>
      <c r="AC43" s="165">
        <f t="shared" si="10"/>
        <v>0.4348990855</v>
      </c>
      <c r="AD43" s="165">
        <f t="shared" si="10"/>
        <v>0.4249084249</v>
      </c>
      <c r="AE43" s="165">
        <f t="shared" si="10"/>
        <v>0.4204573956</v>
      </c>
      <c r="AF43" s="165">
        <f t="shared" si="10"/>
        <v>0.4109954246</v>
      </c>
      <c r="AG43" s="165">
        <f t="shared" si="10"/>
        <v>0.4002377469</v>
      </c>
      <c r="AH43" s="165">
        <f t="shared" si="10"/>
        <v>0.3968719278</v>
      </c>
      <c r="AI43" s="165">
        <f t="shared" si="10"/>
        <v>0.3637556017</v>
      </c>
      <c r="AJ43" s="165">
        <f t="shared" si="10"/>
        <v>0.361533443</v>
      </c>
      <c r="AK43" s="165">
        <f t="shared" si="10"/>
        <v>0.3419596438</v>
      </c>
      <c r="AL43" s="165">
        <f t="shared" si="10"/>
        <v>0.3333893313</v>
      </c>
      <c r="AM43" s="165">
        <f t="shared" si="10"/>
        <v>0.3353238593</v>
      </c>
      <c r="AN43" s="165">
        <f t="shared" si="10"/>
        <v>0.3301727995</v>
      </c>
      <c r="AO43" s="165">
        <f t="shared" si="10"/>
        <v>0.3652589266</v>
      </c>
      <c r="AP43" s="165">
        <f t="shared" si="10"/>
        <v>0.3755283694</v>
      </c>
      <c r="AQ43" s="165">
        <f t="shared" si="10"/>
        <v>0.3624947822</v>
      </c>
      <c r="AR43" s="165">
        <f t="shared" si="10"/>
        <v>0.3458423997</v>
      </c>
      <c r="AS43" s="165">
        <f t="shared" si="10"/>
        <v>0.3336689076</v>
      </c>
      <c r="AT43" s="165">
        <f t="shared" si="10"/>
        <v>0.3420946098</v>
      </c>
      <c r="AU43" s="165">
        <f t="shared" si="10"/>
        <v>0.3757607096</v>
      </c>
      <c r="AV43" s="165">
        <f t="shared" si="10"/>
        <v>0.3331724987</v>
      </c>
      <c r="AW43" s="165">
        <f t="shared" si="10"/>
        <v>0.3408207046</v>
      </c>
      <c r="AX43" s="165">
        <f t="shared" si="10"/>
        <v>0.3328943596</v>
      </c>
      <c r="AY43" s="165">
        <f t="shared" si="10"/>
        <v>0.3263290704</v>
      </c>
      <c r="AZ43" s="165">
        <f t="shared" si="10"/>
        <v>0.323963951</v>
      </c>
      <c r="BA43" s="165">
        <f t="shared" si="10"/>
        <v>0.3383021253</v>
      </c>
      <c r="BB43" s="165">
        <f t="shared" si="10"/>
        <v>0.2859565504</v>
      </c>
      <c r="BC43" s="165">
        <f t="shared" si="10"/>
        <v>0.2252147035</v>
      </c>
      <c r="BD43" s="165">
        <f t="shared" si="10"/>
        <v>0.2390006585</v>
      </c>
      <c r="BE43" s="165">
        <f t="shared" si="10"/>
        <v>0.2415793968</v>
      </c>
      <c r="BF43" s="165">
        <f t="shared" si="10"/>
        <v>0.2311387286</v>
      </c>
      <c r="BG43" s="165">
        <f t="shared" si="10"/>
        <v>0.2839336764</v>
      </c>
      <c r="BH43" s="165">
        <f t="shared" si="10"/>
        <v>0.3039329903</v>
      </c>
      <c r="BI43" s="165">
        <f t="shared" si="10"/>
        <v>0.2985419575</v>
      </c>
      <c r="BJ43" s="165">
        <f t="shared" si="10"/>
        <v>0.2971498718</v>
      </c>
      <c r="BK43" s="165">
        <f t="shared" si="10"/>
        <v>0.2905015143</v>
      </c>
      <c r="BL43" s="165">
        <f t="shared" si="10"/>
        <v>0.2625406135</v>
      </c>
      <c r="BM43" s="165">
        <f t="shared" si="10"/>
        <v>0.274084232</v>
      </c>
      <c r="BN43" s="165">
        <f t="shared" si="10"/>
        <v>0.2921462851</v>
      </c>
      <c r="BO43" s="165">
        <f t="shared" si="10"/>
        <v>0.2723126491</v>
      </c>
      <c r="BP43" s="165">
        <f t="shared" si="10"/>
        <v>0.2713198954</v>
      </c>
      <c r="BQ43" s="165">
        <f t="shared" si="10"/>
        <v>0.2630579463</v>
      </c>
      <c r="BR43" s="165">
        <f t="shared" si="10"/>
        <v>0.2525796019</v>
      </c>
      <c r="BS43" s="165">
        <f t="shared" si="10"/>
        <v>0.2655816142</v>
      </c>
      <c r="BT43" s="165">
        <f t="shared" si="10"/>
        <v>0.2623408149</v>
      </c>
      <c r="BU43" s="165">
        <f t="shared" si="10"/>
        <v>0.2824844811</v>
      </c>
      <c r="BV43" s="165">
        <f t="shared" si="10"/>
        <v>0.2161457639</v>
      </c>
      <c r="BW43" s="165">
        <f t="shared" si="10"/>
        <v>0.1726997762</v>
      </c>
      <c r="BX43" s="165">
        <f t="shared" si="10"/>
        <v>0.1984675062</v>
      </c>
      <c r="BY43" s="165">
        <f t="shared" si="10"/>
        <v>0.2109070201</v>
      </c>
      <c r="BZ43" s="165">
        <f t="shared" si="10"/>
        <v>0.2481948232</v>
      </c>
      <c r="CA43" s="165">
        <f t="shared" si="10"/>
        <v>0.2536088589</v>
      </c>
      <c r="CB43" s="165">
        <f t="shared" si="10"/>
        <v>0.2455075937</v>
      </c>
      <c r="CC43" s="165">
        <f t="shared" si="10"/>
        <v>0.1901859366</v>
      </c>
      <c r="CD43" s="165">
        <f t="shared" si="10"/>
        <v>0.1430454276</v>
      </c>
      <c r="CE43" s="165">
        <f t="shared" si="10"/>
        <v>0.1534352414</v>
      </c>
      <c r="CF43" s="165">
        <f t="shared" si="10"/>
        <v>0.1507510626</v>
      </c>
      <c r="CG43" s="165">
        <f t="shared" si="10"/>
        <v>0.1626007845</v>
      </c>
      <c r="CH43" s="165">
        <f t="shared" si="10"/>
        <v>0.1741439788</v>
      </c>
      <c r="CI43" s="165">
        <f t="shared" si="10"/>
        <v>0.1838774096</v>
      </c>
      <c r="CJ43" s="165">
        <f t="shared" si="10"/>
        <v>0.1822833262</v>
      </c>
      <c r="CK43" s="165">
        <f t="shared" si="10"/>
        <v>0.175363555</v>
      </c>
      <c r="CL43" s="165">
        <f t="shared" si="10"/>
        <v>0.1335387942</v>
      </c>
      <c r="CM43" s="165">
        <f t="shared" si="10"/>
        <v>0.125751374</v>
      </c>
      <c r="CN43" s="165">
        <f t="shared" si="10"/>
        <v>0.1203955134</v>
      </c>
      <c r="CO43" s="165">
        <f t="shared" si="10"/>
        <v>0.1290183981</v>
      </c>
      <c r="CP43" s="165">
        <f t="shared" si="10"/>
        <v>0.1384391518</v>
      </c>
      <c r="CQ43" s="165">
        <f t="shared" si="10"/>
        <v>0.1690412071</v>
      </c>
      <c r="CR43" s="631"/>
      <c r="CS43" s="632"/>
      <c r="CT43" s="632"/>
      <c r="CU43" s="632"/>
      <c r="CV43" s="632"/>
      <c r="CW43" s="632"/>
      <c r="CX43" s="632"/>
      <c r="CY43" s="632"/>
      <c r="CZ43" s="632"/>
    </row>
    <row r="44">
      <c r="A44" s="635"/>
      <c r="B44" s="632"/>
      <c r="C44" s="632"/>
      <c r="D44" s="632"/>
      <c r="E44" s="632"/>
      <c r="F44" s="632"/>
      <c r="G44" s="632"/>
      <c r="H44" s="632"/>
      <c r="I44" s="632"/>
      <c r="J44" s="632"/>
      <c r="K44" s="632"/>
      <c r="L44" s="632"/>
      <c r="M44" s="632"/>
      <c r="N44" s="632"/>
      <c r="O44" s="632"/>
      <c r="P44" s="632"/>
      <c r="Q44" s="632"/>
      <c r="R44" s="632"/>
      <c r="S44" s="632"/>
      <c r="T44" s="632"/>
      <c r="U44" s="632"/>
      <c r="V44" s="632"/>
      <c r="W44" s="631"/>
      <c r="X44" s="631"/>
      <c r="Y44" s="631"/>
      <c r="Z44" s="631"/>
      <c r="AA44" s="631"/>
      <c r="AB44" s="631"/>
      <c r="AC44" s="631"/>
      <c r="AD44" s="631"/>
      <c r="AE44" s="631"/>
      <c r="AF44" s="631"/>
      <c r="AG44" s="631"/>
      <c r="AH44" s="631"/>
      <c r="AI44" s="631"/>
      <c r="AJ44" s="631"/>
      <c r="AK44" s="631"/>
      <c r="AL44" s="631"/>
      <c r="AM44" s="631"/>
      <c r="AN44" s="631"/>
      <c r="AO44" s="631"/>
      <c r="AP44" s="631"/>
      <c r="AQ44" s="631"/>
      <c r="AR44" s="631"/>
      <c r="AS44" s="631"/>
      <c r="AT44" s="631"/>
      <c r="AU44" s="631"/>
      <c r="AV44" s="631"/>
      <c r="AW44" s="631"/>
      <c r="AX44" s="631"/>
      <c r="AY44" s="631"/>
      <c r="AZ44" s="631"/>
      <c r="BA44" s="631"/>
      <c r="BB44" s="631"/>
      <c r="BC44" s="631"/>
      <c r="BD44" s="631"/>
      <c r="BE44" s="631"/>
      <c r="BF44" s="631"/>
      <c r="BG44" s="631"/>
      <c r="BH44" s="631"/>
      <c r="BI44" s="631"/>
      <c r="BJ44" s="631"/>
      <c r="BK44" s="631"/>
      <c r="BL44" s="631"/>
      <c r="BM44" s="631"/>
      <c r="BN44" s="631"/>
      <c r="BO44" s="631"/>
      <c r="BP44" s="631"/>
      <c r="BQ44" s="631"/>
      <c r="BR44" s="631"/>
      <c r="BS44" s="631"/>
      <c r="BT44" s="631"/>
      <c r="BU44" s="631"/>
      <c r="BV44" s="631"/>
      <c r="BW44" s="631"/>
      <c r="BX44" s="631"/>
      <c r="BY44" s="631"/>
      <c r="BZ44" s="631"/>
      <c r="CA44" s="631"/>
      <c r="CB44" s="631"/>
      <c r="CC44" s="631"/>
      <c r="CD44" s="631"/>
      <c r="CE44" s="631"/>
      <c r="CF44" s="631"/>
      <c r="CG44" s="631"/>
      <c r="CH44" s="631"/>
      <c r="CI44" s="631"/>
      <c r="CJ44" s="631"/>
      <c r="CK44" s="631"/>
      <c r="CL44" s="631"/>
      <c r="CM44" s="631"/>
      <c r="CN44" s="631"/>
      <c r="CO44" s="631"/>
      <c r="CP44" s="631"/>
      <c r="CQ44" s="631"/>
      <c r="CR44" s="631"/>
      <c r="CS44" s="632"/>
      <c r="CT44" s="632"/>
      <c r="CU44" s="632"/>
      <c r="CV44" s="632"/>
      <c r="CW44" s="632"/>
      <c r="CX44" s="632"/>
      <c r="CY44" s="632"/>
      <c r="CZ44" s="632"/>
    </row>
    <row r="45">
      <c r="A45" s="635"/>
      <c r="B45" s="632"/>
      <c r="C45" s="632"/>
      <c r="D45" s="632"/>
      <c r="E45" s="632"/>
      <c r="F45" s="632"/>
      <c r="G45" s="632"/>
      <c r="H45" s="632"/>
      <c r="I45" s="632"/>
      <c r="J45" s="632"/>
      <c r="K45" s="632"/>
      <c r="L45" s="632"/>
      <c r="M45" s="632"/>
      <c r="N45" s="632"/>
      <c r="O45" s="632"/>
      <c r="P45" s="632"/>
      <c r="Q45" s="632"/>
      <c r="R45" s="632"/>
      <c r="S45" s="632"/>
      <c r="T45" s="632"/>
      <c r="U45" s="632"/>
      <c r="V45" s="632"/>
      <c r="W45" s="631"/>
      <c r="X45" s="631"/>
      <c r="Y45" s="631"/>
      <c r="Z45" s="631"/>
      <c r="AA45" s="631"/>
      <c r="AB45" s="631"/>
      <c r="AC45" s="631"/>
      <c r="AD45" s="631"/>
      <c r="AE45" s="631"/>
      <c r="AF45" s="631"/>
      <c r="AG45" s="631"/>
      <c r="AH45" s="631"/>
      <c r="AI45" s="631"/>
      <c r="AJ45" s="631"/>
      <c r="AK45" s="631"/>
      <c r="AL45" s="631"/>
      <c r="AM45" s="631"/>
      <c r="AN45" s="631"/>
      <c r="AO45" s="631"/>
      <c r="AP45" s="631"/>
      <c r="AQ45" s="631"/>
      <c r="AR45" s="631"/>
      <c r="AS45" s="631"/>
      <c r="AT45" s="631"/>
      <c r="AU45" s="631"/>
      <c r="AV45" s="631"/>
      <c r="AW45" s="631"/>
      <c r="AX45" s="631"/>
      <c r="AY45" s="631"/>
      <c r="AZ45" s="631"/>
      <c r="BA45" s="631"/>
      <c r="BB45" s="631"/>
      <c r="BC45" s="631"/>
      <c r="BD45" s="631"/>
      <c r="BE45" s="631"/>
      <c r="BF45" s="631"/>
      <c r="BG45" s="631"/>
      <c r="BH45" s="631"/>
      <c r="BI45" s="631"/>
      <c r="BJ45" s="631"/>
      <c r="BK45" s="631"/>
      <c r="BL45" s="631"/>
      <c r="BM45" s="631"/>
      <c r="BN45" s="631"/>
      <c r="BO45" s="631"/>
      <c r="BP45" s="631"/>
      <c r="BQ45" s="631"/>
      <c r="BR45" s="631"/>
      <c r="BS45" s="631"/>
      <c r="BT45" s="631"/>
      <c r="BU45" s="631"/>
      <c r="BV45" s="631"/>
      <c r="BW45" s="631"/>
      <c r="BX45" s="631"/>
      <c r="BY45" s="631"/>
      <c r="BZ45" s="631"/>
      <c r="CA45" s="631"/>
      <c r="CB45" s="631"/>
      <c r="CC45" s="631"/>
      <c r="CD45" s="631"/>
      <c r="CE45" s="631"/>
      <c r="CF45" s="631"/>
      <c r="CG45" s="631"/>
      <c r="CH45" s="631"/>
      <c r="CI45" s="631"/>
      <c r="CJ45" s="631"/>
      <c r="CK45" s="631"/>
      <c r="CL45" s="631"/>
      <c r="CM45" s="631"/>
      <c r="CN45" s="631"/>
      <c r="CO45" s="631"/>
      <c r="CP45" s="631"/>
      <c r="CQ45" s="631"/>
      <c r="CR45" s="631"/>
      <c r="CS45" s="632"/>
      <c r="CT45" s="632"/>
      <c r="CU45" s="632"/>
      <c r="CV45" s="632"/>
      <c r="CW45" s="632"/>
      <c r="CX45" s="632"/>
      <c r="CY45" s="632"/>
      <c r="CZ45" s="632"/>
    </row>
    <row r="46">
      <c r="A46" s="651" t="s">
        <v>3281</v>
      </c>
      <c r="B46" s="632"/>
      <c r="C46" s="632"/>
      <c r="D46" s="632"/>
      <c r="E46" s="632"/>
      <c r="F46" s="632"/>
      <c r="G46" s="632"/>
      <c r="H46" s="632"/>
      <c r="I46" s="632"/>
      <c r="J46" s="632"/>
      <c r="K46" s="632"/>
      <c r="L46" s="632"/>
      <c r="M46" s="632"/>
      <c r="N46" s="632"/>
      <c r="O46" s="632"/>
      <c r="P46" s="632"/>
      <c r="Q46" s="632"/>
      <c r="R46" s="632"/>
      <c r="S46" s="632"/>
      <c r="T46" s="632"/>
      <c r="U46" s="632"/>
      <c r="V46" s="632"/>
      <c r="W46" s="631"/>
      <c r="X46" s="631"/>
      <c r="Y46" s="631"/>
      <c r="Z46" s="631"/>
      <c r="AA46" s="631"/>
      <c r="AB46" s="631"/>
      <c r="AC46" s="631"/>
      <c r="AD46" s="631"/>
      <c r="AE46" s="631"/>
      <c r="AF46" s="631"/>
      <c r="AG46" s="631"/>
      <c r="AH46" s="631"/>
      <c r="AI46" s="631"/>
      <c r="AJ46" s="631"/>
      <c r="AK46" s="631"/>
      <c r="AL46" s="631"/>
      <c r="AM46" s="631"/>
      <c r="AN46" s="631"/>
      <c r="AO46" s="631"/>
      <c r="AP46" s="631"/>
      <c r="AQ46" s="631"/>
      <c r="AR46" s="631"/>
      <c r="AS46" s="631"/>
      <c r="AT46" s="631"/>
      <c r="AU46" s="631"/>
      <c r="AV46" s="631"/>
      <c r="AW46" s="631"/>
      <c r="AX46" s="631"/>
      <c r="AY46" s="631"/>
      <c r="AZ46" s="631"/>
      <c r="BA46" s="165">
        <f t="shared" ref="BA46:CQ46" si="11">BA5/BA2</f>
        <v>0.07808961375</v>
      </c>
      <c r="BB46" s="165">
        <f t="shared" si="11"/>
        <v>0.07667317007</v>
      </c>
      <c r="BC46" s="165">
        <f t="shared" si="11"/>
        <v>0.06811314948</v>
      </c>
      <c r="BD46" s="165">
        <f t="shared" si="11"/>
        <v>0.07647223282</v>
      </c>
      <c r="BE46" s="165">
        <f t="shared" si="11"/>
        <v>0.08353153212</v>
      </c>
      <c r="BF46" s="165">
        <f t="shared" si="11"/>
        <v>0.08137352128</v>
      </c>
      <c r="BG46" s="165">
        <f t="shared" si="11"/>
        <v>0.07065307227</v>
      </c>
      <c r="BH46" s="165">
        <f t="shared" si="11"/>
        <v>0.07637396078</v>
      </c>
      <c r="BI46" s="165">
        <f t="shared" si="11"/>
        <v>0.07948972183</v>
      </c>
      <c r="BJ46" s="165">
        <f t="shared" si="11"/>
        <v>0.07421998802</v>
      </c>
      <c r="BK46" s="165">
        <f t="shared" si="11"/>
        <v>0.07032028742</v>
      </c>
      <c r="BL46" s="165">
        <f t="shared" si="11"/>
        <v>0.07286986031</v>
      </c>
      <c r="BM46" s="165">
        <f t="shared" si="11"/>
        <v>0.07381378265</v>
      </c>
      <c r="BN46" s="165">
        <f t="shared" si="11"/>
        <v>0.07738024853</v>
      </c>
      <c r="BO46" s="165">
        <f t="shared" si="11"/>
        <v>0.08701392407</v>
      </c>
      <c r="BP46" s="165">
        <f t="shared" si="11"/>
        <v>0.09380910289</v>
      </c>
      <c r="BQ46" s="165">
        <f t="shared" si="11"/>
        <v>0.09953670959</v>
      </c>
      <c r="BR46" s="165">
        <f t="shared" si="11"/>
        <v>0.1037435856</v>
      </c>
      <c r="BS46" s="165">
        <f t="shared" si="11"/>
        <v>0.09215313517</v>
      </c>
      <c r="BT46" s="165">
        <f t="shared" si="11"/>
        <v>0.08999507017</v>
      </c>
      <c r="BU46" s="165">
        <f t="shared" si="11"/>
        <v>0.08061787822</v>
      </c>
      <c r="BV46" s="165">
        <f t="shared" si="11"/>
        <v>0.07439012301</v>
      </c>
      <c r="BW46" s="165">
        <f t="shared" si="11"/>
        <v>0.08512734983</v>
      </c>
      <c r="BX46" s="165">
        <f t="shared" si="11"/>
        <v>0.09401411432</v>
      </c>
      <c r="BY46" s="165">
        <f t="shared" si="11"/>
        <v>0.1080889592</v>
      </c>
      <c r="BZ46" s="165">
        <f t="shared" si="11"/>
        <v>0.1173418885</v>
      </c>
      <c r="CA46" s="165">
        <f t="shared" si="11"/>
        <v>0.1227674576</v>
      </c>
      <c r="CB46" s="165">
        <f t="shared" si="11"/>
        <v>0.1102514068</v>
      </c>
      <c r="CC46" s="165">
        <f t="shared" si="11"/>
        <v>0.09110579368</v>
      </c>
      <c r="CD46" s="165">
        <f t="shared" si="11"/>
        <v>0.09846977501</v>
      </c>
      <c r="CE46" s="165">
        <f t="shared" si="11"/>
        <v>0.1179133776</v>
      </c>
      <c r="CF46" s="165">
        <f t="shared" si="11"/>
        <v>0.1193884613</v>
      </c>
      <c r="CG46" s="165">
        <f t="shared" si="11"/>
        <v>0.126598794</v>
      </c>
      <c r="CH46" s="165">
        <f t="shared" si="11"/>
        <v>0.123285296</v>
      </c>
      <c r="CI46" s="165">
        <f t="shared" si="11"/>
        <v>0.1256710392</v>
      </c>
      <c r="CJ46" s="165">
        <f t="shared" si="11"/>
        <v>0.1187824948</v>
      </c>
      <c r="CK46" s="165">
        <f t="shared" si="11"/>
        <v>0.1140292965</v>
      </c>
      <c r="CL46" s="165">
        <f t="shared" si="11"/>
        <v>0.1134626467</v>
      </c>
      <c r="CM46" s="165">
        <f t="shared" si="11"/>
        <v>0.1144998024</v>
      </c>
      <c r="CN46" s="165">
        <f t="shared" si="11"/>
        <v>0.1147838233</v>
      </c>
      <c r="CO46" s="165">
        <f t="shared" si="11"/>
        <v>0.1117710261</v>
      </c>
      <c r="CP46" s="165">
        <f t="shared" si="11"/>
        <v>0.123876967</v>
      </c>
      <c r="CQ46" s="165">
        <f t="shared" si="11"/>
        <v>0.1246378783</v>
      </c>
      <c r="CR46" s="631"/>
      <c r="CS46" s="632"/>
      <c r="CT46" s="632"/>
      <c r="CU46" s="632"/>
      <c r="CV46" s="632"/>
      <c r="CW46" s="632"/>
      <c r="CX46" s="632"/>
      <c r="CY46" s="632"/>
      <c r="CZ46" s="632"/>
    </row>
    <row r="47">
      <c r="A47" s="634" t="s">
        <v>3282</v>
      </c>
      <c r="B47" s="632"/>
      <c r="C47" s="632"/>
      <c r="D47" s="632"/>
      <c r="E47" s="632"/>
      <c r="F47" s="632"/>
      <c r="G47" s="632"/>
      <c r="H47" s="632"/>
      <c r="I47" s="632"/>
      <c r="J47" s="632"/>
      <c r="K47" s="632"/>
      <c r="L47" s="632"/>
      <c r="M47" s="632"/>
      <c r="N47" s="632"/>
      <c r="O47" s="632"/>
      <c r="P47" s="632"/>
      <c r="Q47" s="632"/>
      <c r="R47" s="632"/>
      <c r="S47" s="632"/>
      <c r="T47" s="632"/>
      <c r="U47" s="632"/>
      <c r="V47" s="632"/>
      <c r="W47" s="631"/>
      <c r="X47" s="631"/>
      <c r="Y47" s="631"/>
      <c r="Z47" s="631"/>
      <c r="AA47" s="631"/>
      <c r="AB47" s="631"/>
      <c r="AC47" s="631"/>
      <c r="AD47" s="631"/>
      <c r="AE47" s="631"/>
      <c r="AF47" s="631"/>
      <c r="AG47" s="631"/>
      <c r="AH47" s="631"/>
      <c r="AI47" s="631"/>
      <c r="AJ47" s="631"/>
      <c r="AK47" s="631"/>
      <c r="AL47" s="631"/>
      <c r="AM47" s="631"/>
      <c r="AN47" s="631"/>
      <c r="AO47" s="631"/>
      <c r="AP47" s="631"/>
      <c r="AQ47" s="631"/>
      <c r="AR47" s="631"/>
      <c r="AS47" s="631"/>
      <c r="AT47" s="631"/>
      <c r="AU47" s="631"/>
      <c r="AV47" s="631"/>
      <c r="AW47" s="631"/>
      <c r="AX47" s="631"/>
      <c r="AY47" s="631"/>
      <c r="AZ47" s="631"/>
      <c r="BA47" s="165">
        <f t="shared" ref="BA47:CQ47" si="12">BA7/BA2</f>
        <v>0.02641788229</v>
      </c>
      <c r="BB47" s="165">
        <f t="shared" si="12"/>
        <v>0.02192519522</v>
      </c>
      <c r="BC47" s="165">
        <f t="shared" si="12"/>
        <v>0.01534008276</v>
      </c>
      <c r="BD47" s="165">
        <f t="shared" si="12"/>
        <v>0.018276914</v>
      </c>
      <c r="BE47" s="165">
        <f t="shared" si="12"/>
        <v>0.02017949714</v>
      </c>
      <c r="BF47" s="165">
        <f t="shared" si="12"/>
        <v>0.01880857225</v>
      </c>
      <c r="BG47" s="165">
        <f t="shared" si="12"/>
        <v>0.02006078656</v>
      </c>
      <c r="BH47" s="165">
        <f t="shared" si="12"/>
        <v>0.02321256628</v>
      </c>
      <c r="BI47" s="165">
        <f t="shared" si="12"/>
        <v>0.02373101715</v>
      </c>
      <c r="BJ47" s="165">
        <f t="shared" si="12"/>
        <v>0.02205445992</v>
      </c>
      <c r="BK47" s="165">
        <f t="shared" si="12"/>
        <v>0.02042814998</v>
      </c>
      <c r="BL47" s="165">
        <f t="shared" si="12"/>
        <v>0.01913129783</v>
      </c>
      <c r="BM47" s="165">
        <f t="shared" si="12"/>
        <v>0.02023119393</v>
      </c>
      <c r="BN47" s="165">
        <f t="shared" si="12"/>
        <v>0.02260635215</v>
      </c>
      <c r="BO47" s="165">
        <f t="shared" si="12"/>
        <v>0.02369499218</v>
      </c>
      <c r="BP47" s="165">
        <f t="shared" si="12"/>
        <v>0.02545227598</v>
      </c>
      <c r="BQ47" s="165">
        <f t="shared" si="12"/>
        <v>0.0261839224</v>
      </c>
      <c r="BR47" s="165">
        <f t="shared" si="12"/>
        <v>0.02620351354</v>
      </c>
      <c r="BS47" s="165">
        <f t="shared" si="12"/>
        <v>0.02447417839</v>
      </c>
      <c r="BT47" s="165">
        <f t="shared" si="12"/>
        <v>0.02360938004</v>
      </c>
      <c r="BU47" s="165">
        <f t="shared" si="12"/>
        <v>0.02277329949</v>
      </c>
      <c r="BV47" s="165">
        <f t="shared" si="12"/>
        <v>0.01607910996</v>
      </c>
      <c r="BW47" s="165">
        <f t="shared" si="12"/>
        <v>0.01470147426</v>
      </c>
      <c r="BX47" s="165">
        <f t="shared" si="12"/>
        <v>0.01865874682</v>
      </c>
      <c r="BY47" s="165">
        <f t="shared" si="12"/>
        <v>0.02279672029</v>
      </c>
      <c r="BZ47" s="165">
        <f t="shared" si="12"/>
        <v>0.02912364926</v>
      </c>
      <c r="CA47" s="165">
        <f t="shared" si="12"/>
        <v>0.03113491483</v>
      </c>
      <c r="CB47" s="165">
        <f t="shared" si="12"/>
        <v>0.02706755759</v>
      </c>
      <c r="CC47" s="165">
        <f t="shared" si="12"/>
        <v>0.0173270407</v>
      </c>
      <c r="CD47" s="165">
        <f t="shared" si="12"/>
        <v>0.01408565107</v>
      </c>
      <c r="CE47" s="165">
        <f t="shared" si="12"/>
        <v>0.01809206756</v>
      </c>
      <c r="CF47" s="165">
        <f t="shared" si="12"/>
        <v>0.0179979374</v>
      </c>
      <c r="CG47" s="165">
        <f t="shared" si="12"/>
        <v>0.02058506322</v>
      </c>
      <c r="CH47" s="165">
        <f t="shared" si="12"/>
        <v>0.02146939197</v>
      </c>
      <c r="CI47" s="165">
        <f t="shared" si="12"/>
        <v>0.02310806515</v>
      </c>
      <c r="CJ47" s="165">
        <f t="shared" si="12"/>
        <v>0.02165206825</v>
      </c>
      <c r="CK47" s="165">
        <f t="shared" si="12"/>
        <v>0.01999658281</v>
      </c>
      <c r="CL47" s="165">
        <f t="shared" si="12"/>
        <v>0.01515166503</v>
      </c>
      <c r="CM47" s="165">
        <f t="shared" si="12"/>
        <v>0.01439850747</v>
      </c>
      <c r="CN47" s="165">
        <f t="shared" si="12"/>
        <v>0.01381945734</v>
      </c>
      <c r="CO47" s="165">
        <f t="shared" si="12"/>
        <v>0.01442051874</v>
      </c>
      <c r="CP47" s="165">
        <f t="shared" si="12"/>
        <v>0.01714942224</v>
      </c>
      <c r="CQ47" s="165">
        <f t="shared" si="12"/>
        <v>0.02106893741</v>
      </c>
      <c r="CR47" s="631"/>
      <c r="CS47" s="632"/>
      <c r="CT47" s="632"/>
      <c r="CU47" s="632"/>
      <c r="CV47" s="632"/>
      <c r="CW47" s="632"/>
      <c r="CX47" s="632"/>
      <c r="CY47" s="632"/>
      <c r="CZ47" s="632"/>
    </row>
    <row r="48">
      <c r="A48" s="635"/>
      <c r="B48" s="632"/>
      <c r="C48" s="632"/>
      <c r="D48" s="632"/>
      <c r="E48" s="632"/>
      <c r="F48" s="632"/>
      <c r="G48" s="632"/>
      <c r="H48" s="632"/>
      <c r="I48" s="632"/>
      <c r="J48" s="632"/>
      <c r="K48" s="632"/>
      <c r="L48" s="632"/>
      <c r="M48" s="632"/>
      <c r="N48" s="632"/>
      <c r="O48" s="632"/>
      <c r="P48" s="632"/>
      <c r="Q48" s="632"/>
      <c r="R48" s="632"/>
      <c r="S48" s="632"/>
      <c r="T48" s="632"/>
      <c r="U48" s="632"/>
      <c r="V48" s="632"/>
      <c r="W48" s="631"/>
      <c r="X48" s="631"/>
      <c r="Y48" s="631"/>
      <c r="Z48" s="631"/>
      <c r="AA48" s="631"/>
      <c r="AB48" s="631"/>
      <c r="AC48" s="631"/>
      <c r="AD48" s="631"/>
      <c r="AE48" s="631"/>
      <c r="AF48" s="631"/>
      <c r="AG48" s="631"/>
      <c r="AH48" s="631"/>
      <c r="AI48" s="631"/>
      <c r="AJ48" s="631"/>
      <c r="AK48" s="631"/>
      <c r="AL48" s="631"/>
      <c r="AM48" s="631"/>
      <c r="AN48" s="631"/>
      <c r="AO48" s="631"/>
      <c r="AP48" s="631"/>
      <c r="AQ48" s="631"/>
      <c r="AR48" s="631"/>
      <c r="AS48" s="631"/>
      <c r="AT48" s="631"/>
      <c r="AU48" s="631"/>
      <c r="AV48" s="631"/>
      <c r="AW48" s="631"/>
      <c r="AX48" s="631"/>
      <c r="AY48" s="631"/>
      <c r="AZ48" s="631"/>
      <c r="BA48" s="631"/>
      <c r="BB48" s="631"/>
      <c r="BC48" s="631"/>
      <c r="BD48" s="631"/>
      <c r="BE48" s="631"/>
      <c r="BF48" s="631"/>
      <c r="BG48" s="631"/>
      <c r="BH48" s="631"/>
      <c r="BI48" s="631"/>
      <c r="BJ48" s="631"/>
      <c r="BK48" s="631"/>
      <c r="BL48" s="631"/>
      <c r="BM48" s="631"/>
      <c r="BN48" s="631"/>
      <c r="BO48" s="631"/>
      <c r="BP48" s="631"/>
      <c r="BQ48" s="631"/>
      <c r="BR48" s="631"/>
      <c r="BS48" s="631"/>
      <c r="BT48" s="631"/>
      <c r="BU48" s="631"/>
      <c r="BV48" s="631"/>
      <c r="BW48" s="631"/>
      <c r="BX48" s="631"/>
      <c r="BY48" s="631"/>
      <c r="BZ48" s="631"/>
      <c r="CA48" s="631"/>
      <c r="CB48" s="631"/>
      <c r="CC48" s="631"/>
      <c r="CD48" s="631"/>
      <c r="CE48" s="631"/>
      <c r="CF48" s="631"/>
      <c r="CG48" s="631"/>
      <c r="CH48" s="631"/>
      <c r="CI48" s="631"/>
      <c r="CJ48" s="631"/>
      <c r="CK48" s="631"/>
      <c r="CL48" s="631"/>
      <c r="CM48" s="631"/>
      <c r="CN48" s="631"/>
      <c r="CO48" s="631"/>
      <c r="CP48" s="631"/>
      <c r="CQ48" s="631"/>
      <c r="CR48" s="631"/>
      <c r="CS48" s="632"/>
      <c r="CT48" s="632"/>
      <c r="CU48" s="632"/>
      <c r="CV48" s="632"/>
      <c r="CW48" s="632"/>
      <c r="CX48" s="632"/>
      <c r="CY48" s="632"/>
      <c r="CZ48" s="632"/>
    </row>
    <row r="49">
      <c r="A49" s="635"/>
      <c r="B49" s="632"/>
      <c r="C49" s="632"/>
      <c r="D49" s="632"/>
      <c r="E49" s="632"/>
      <c r="F49" s="632"/>
      <c r="G49" s="632"/>
      <c r="H49" s="632"/>
      <c r="I49" s="632"/>
      <c r="J49" s="632"/>
      <c r="K49" s="632"/>
      <c r="L49" s="632"/>
      <c r="M49" s="632"/>
      <c r="N49" s="632"/>
      <c r="O49" s="632"/>
      <c r="P49" s="632"/>
      <c r="Q49" s="632"/>
      <c r="R49" s="632"/>
      <c r="S49" s="632"/>
      <c r="T49" s="632"/>
      <c r="U49" s="632"/>
      <c r="V49" s="632"/>
      <c r="W49" s="631"/>
      <c r="X49" s="631"/>
      <c r="Y49" s="631"/>
      <c r="Z49" s="631"/>
      <c r="AA49" s="631"/>
      <c r="AB49" s="631"/>
      <c r="AC49" s="631"/>
      <c r="AD49" s="631"/>
      <c r="AE49" s="631"/>
      <c r="AF49" s="631"/>
      <c r="AG49" s="631"/>
      <c r="AH49" s="631"/>
      <c r="AI49" s="631"/>
      <c r="AJ49" s="631"/>
      <c r="AK49" s="631"/>
      <c r="AL49" s="631"/>
      <c r="AM49" s="631"/>
      <c r="AN49" s="631"/>
      <c r="AO49" s="631"/>
      <c r="AP49" s="631"/>
      <c r="AQ49" s="631"/>
      <c r="AR49" s="631"/>
      <c r="AS49" s="631"/>
      <c r="AT49" s="631"/>
      <c r="AU49" s="631"/>
      <c r="AV49" s="631"/>
      <c r="AW49" s="631"/>
      <c r="AX49" s="631"/>
      <c r="AY49" s="631"/>
      <c r="AZ49" s="631"/>
      <c r="BA49" s="631"/>
      <c r="BB49" s="631"/>
      <c r="BC49" s="631"/>
      <c r="BD49" s="631"/>
      <c r="BE49" s="631"/>
      <c r="BF49" s="631"/>
      <c r="BG49" s="631"/>
      <c r="BH49" s="631"/>
      <c r="BI49" s="631"/>
      <c r="BJ49" s="631"/>
      <c r="BK49" s="631"/>
      <c r="BL49" s="631"/>
      <c r="BM49" s="631"/>
      <c r="BN49" s="631"/>
      <c r="BO49" s="631"/>
      <c r="BP49" s="631"/>
      <c r="BQ49" s="631"/>
      <c r="BR49" s="631"/>
      <c r="BS49" s="631"/>
      <c r="BT49" s="631"/>
      <c r="BU49" s="631"/>
      <c r="BV49" s="631"/>
      <c r="BW49" s="631"/>
      <c r="BX49" s="631"/>
      <c r="BY49" s="631"/>
      <c r="BZ49" s="631"/>
      <c r="CA49" s="631"/>
      <c r="CB49" s="631"/>
      <c r="CC49" s="631"/>
      <c r="CD49" s="631"/>
      <c r="CE49" s="631"/>
      <c r="CF49" s="631"/>
      <c r="CG49" s="631"/>
      <c r="CH49" s="631"/>
      <c r="CI49" s="631"/>
      <c r="CJ49" s="631"/>
      <c r="CK49" s="631"/>
      <c r="CL49" s="631"/>
      <c r="CM49" s="631"/>
      <c r="CN49" s="631"/>
      <c r="CO49" s="631"/>
      <c r="CP49" s="631"/>
      <c r="CQ49" s="631"/>
      <c r="CR49" s="631"/>
      <c r="CS49" s="632"/>
      <c r="CT49" s="632"/>
      <c r="CU49" s="632"/>
      <c r="CV49" s="632"/>
      <c r="CW49" s="632"/>
      <c r="CX49" s="632"/>
      <c r="CY49" s="632"/>
      <c r="CZ49" s="632"/>
    </row>
    <row r="50">
      <c r="A50" s="635"/>
      <c r="B50" s="632"/>
      <c r="C50" s="632"/>
      <c r="D50" s="632"/>
      <c r="E50" s="632"/>
      <c r="F50" s="632"/>
      <c r="G50" s="632"/>
      <c r="H50" s="632"/>
      <c r="I50" s="632"/>
      <c r="J50" s="632"/>
      <c r="K50" s="632"/>
      <c r="L50" s="632"/>
      <c r="M50" s="632"/>
      <c r="N50" s="632"/>
      <c r="O50" s="632"/>
      <c r="P50" s="632"/>
      <c r="Q50" s="632"/>
      <c r="R50" s="632"/>
      <c r="S50" s="632"/>
      <c r="T50" s="632"/>
      <c r="U50" s="632"/>
      <c r="V50" s="632"/>
      <c r="W50" s="631"/>
      <c r="X50" s="631"/>
      <c r="Y50" s="631"/>
      <c r="Z50" s="631"/>
      <c r="AA50" s="631"/>
      <c r="AB50" s="631"/>
      <c r="AC50" s="631"/>
      <c r="AD50" s="631"/>
      <c r="AE50" s="631"/>
      <c r="AF50" s="631"/>
      <c r="AG50" s="631"/>
      <c r="AH50" s="631"/>
      <c r="AI50" s="631"/>
      <c r="AJ50" s="631"/>
      <c r="AK50" s="631"/>
      <c r="AL50" s="631"/>
      <c r="AM50" s="631"/>
      <c r="AN50" s="631"/>
      <c r="AO50" s="212"/>
      <c r="AP50" s="631"/>
      <c r="AQ50" s="631"/>
      <c r="AR50" s="631"/>
      <c r="AS50" s="631"/>
      <c r="AT50" s="631"/>
      <c r="AU50" s="631"/>
      <c r="AV50" s="631"/>
      <c r="AW50" s="631"/>
      <c r="AX50" s="631"/>
      <c r="AY50" s="631"/>
      <c r="AZ50" s="631"/>
      <c r="BA50" s="631"/>
      <c r="BB50" s="631"/>
      <c r="BC50" s="631"/>
      <c r="BD50" s="631"/>
      <c r="BE50" s="631"/>
      <c r="BF50" s="631"/>
      <c r="BG50" s="631"/>
      <c r="BH50" s="631"/>
      <c r="BI50" s="631"/>
      <c r="BJ50" s="631"/>
      <c r="BK50" s="631"/>
      <c r="BL50" s="631"/>
      <c r="BM50" s="631"/>
      <c r="BN50" s="631"/>
      <c r="BO50" s="631"/>
      <c r="BP50" s="631"/>
      <c r="BQ50" s="631"/>
      <c r="BR50" s="631"/>
      <c r="BS50" s="631"/>
      <c r="BT50" s="631"/>
      <c r="BU50" s="631"/>
      <c r="BV50" s="631"/>
      <c r="BW50" s="631"/>
      <c r="BX50" s="631"/>
      <c r="BY50" s="631"/>
      <c r="BZ50" s="631"/>
      <c r="CA50" s="631"/>
      <c r="CB50" s="631"/>
      <c r="CC50" s="631"/>
      <c r="CD50" s="631"/>
      <c r="CE50" s="631"/>
      <c r="CF50" s="631"/>
      <c r="CG50" s="631"/>
      <c r="CH50" s="631"/>
      <c r="CI50" s="631"/>
      <c r="CJ50" s="631"/>
      <c r="CK50" s="631"/>
      <c r="CL50" s="631"/>
      <c r="CM50" s="631"/>
      <c r="CN50" s="631"/>
      <c r="CO50" s="631"/>
      <c r="CP50" s="631"/>
      <c r="CQ50" s="631"/>
      <c r="CR50" s="631"/>
      <c r="CS50" s="632"/>
      <c r="CT50" s="632"/>
      <c r="CU50" s="632"/>
      <c r="CV50" s="632"/>
      <c r="CW50" s="632"/>
      <c r="CX50" s="632"/>
      <c r="CY50" s="632"/>
      <c r="CZ50" s="632"/>
    </row>
    <row r="51">
      <c r="A51" s="635"/>
      <c r="B51" s="632"/>
      <c r="C51" s="632"/>
      <c r="D51" s="632"/>
      <c r="E51" s="632"/>
      <c r="F51" s="632"/>
      <c r="G51" s="632"/>
      <c r="H51" s="632"/>
      <c r="I51" s="632"/>
      <c r="J51" s="632"/>
      <c r="K51" s="632"/>
      <c r="L51" s="632"/>
      <c r="M51" s="632"/>
      <c r="N51" s="632"/>
      <c r="O51" s="632"/>
      <c r="P51" s="632"/>
      <c r="Q51" s="632"/>
      <c r="R51" s="632"/>
      <c r="S51" s="632"/>
      <c r="T51" s="632"/>
      <c r="U51" s="632"/>
      <c r="V51" s="632"/>
      <c r="W51" s="631"/>
      <c r="X51" s="631"/>
      <c r="Y51" s="631"/>
      <c r="Z51" s="631"/>
      <c r="AA51" s="631"/>
      <c r="AB51" s="631"/>
      <c r="AC51" s="631"/>
      <c r="AD51" s="631"/>
      <c r="AE51" s="631"/>
      <c r="AF51" s="631"/>
      <c r="AG51" s="631"/>
      <c r="AH51" s="631"/>
      <c r="AI51" s="631"/>
      <c r="AJ51" s="631"/>
      <c r="AK51" s="631"/>
      <c r="AL51" s="631"/>
      <c r="AM51" s="631"/>
      <c r="AN51" s="631"/>
      <c r="AO51" s="631"/>
      <c r="AP51" s="631"/>
      <c r="AQ51" s="631"/>
      <c r="AR51" s="631"/>
      <c r="AS51" s="631"/>
      <c r="AT51" s="631"/>
      <c r="AU51" s="631"/>
      <c r="AV51" s="631"/>
      <c r="AW51" s="631"/>
      <c r="AX51" s="631"/>
      <c r="AY51" s="631"/>
      <c r="AZ51" s="631"/>
      <c r="BA51" s="631"/>
      <c r="BB51" s="631"/>
      <c r="BC51" s="631"/>
      <c r="BD51" s="631"/>
      <c r="BE51" s="631"/>
      <c r="BF51" s="631"/>
      <c r="BG51" s="631"/>
      <c r="BH51" s="631"/>
      <c r="BI51" s="631"/>
      <c r="BJ51" s="631"/>
      <c r="BK51" s="631"/>
      <c r="BL51" s="631"/>
      <c r="BM51" s="631"/>
      <c r="BN51" s="631"/>
      <c r="BO51" s="631"/>
      <c r="BP51" s="631"/>
      <c r="BQ51" s="631"/>
      <c r="BR51" s="631"/>
      <c r="BS51" s="631"/>
      <c r="BT51" s="631"/>
      <c r="BU51" s="631"/>
      <c r="BV51" s="631"/>
      <c r="BW51" s="631"/>
      <c r="BX51" s="631"/>
      <c r="BY51" s="631"/>
      <c r="BZ51" s="631"/>
      <c r="CA51" s="631"/>
      <c r="CB51" s="631"/>
      <c r="CC51" s="631"/>
      <c r="CD51" s="631"/>
      <c r="CE51" s="631"/>
      <c r="CF51" s="631"/>
      <c r="CG51" s="631"/>
      <c r="CH51" s="631"/>
      <c r="CI51" s="631"/>
      <c r="CJ51" s="631"/>
      <c r="CK51" s="631"/>
      <c r="CL51" s="631"/>
      <c r="CM51" s="631"/>
      <c r="CN51" s="631"/>
      <c r="CO51" s="631"/>
      <c r="CP51" s="631"/>
      <c r="CQ51" s="631"/>
      <c r="CR51" s="631"/>
      <c r="CS51" s="632"/>
      <c r="CT51" s="632"/>
      <c r="CU51" s="632"/>
      <c r="CV51" s="632"/>
      <c r="CW51" s="632"/>
      <c r="CX51" s="632"/>
      <c r="CY51" s="632"/>
      <c r="CZ51" s="632"/>
    </row>
    <row r="52">
      <c r="A52" s="635"/>
      <c r="B52" s="632"/>
      <c r="C52" s="632"/>
      <c r="D52" s="632"/>
      <c r="E52" s="632"/>
      <c r="F52" s="632"/>
      <c r="G52" s="632"/>
      <c r="H52" s="632"/>
      <c r="I52" s="632"/>
      <c r="J52" s="632"/>
      <c r="K52" s="632"/>
      <c r="L52" s="632"/>
      <c r="M52" s="632"/>
      <c r="N52" s="632"/>
      <c r="O52" s="632"/>
      <c r="P52" s="632"/>
      <c r="Q52" s="632"/>
      <c r="R52" s="632"/>
      <c r="S52" s="632"/>
      <c r="T52" s="632"/>
      <c r="U52" s="632"/>
      <c r="V52" s="632"/>
      <c r="W52" s="631"/>
      <c r="X52" s="631"/>
      <c r="Y52" s="631"/>
      <c r="Z52" s="631"/>
      <c r="AA52" s="631"/>
      <c r="AB52" s="631"/>
      <c r="AC52" s="631"/>
      <c r="AD52" s="631"/>
      <c r="AE52" s="631"/>
      <c r="AF52" s="631"/>
      <c r="AG52" s="631"/>
      <c r="AH52" s="631"/>
      <c r="AI52" s="631"/>
      <c r="AJ52" s="631"/>
      <c r="AK52" s="631"/>
      <c r="AL52" s="631"/>
      <c r="AM52" s="631"/>
      <c r="AN52" s="631"/>
      <c r="AO52" s="631"/>
      <c r="AP52" s="631"/>
      <c r="AQ52" s="631"/>
      <c r="AR52" s="631"/>
      <c r="AS52" s="631"/>
      <c r="AT52" s="631"/>
      <c r="AU52" s="631"/>
      <c r="AV52" s="631"/>
      <c r="AW52" s="631"/>
      <c r="AX52" s="631"/>
      <c r="AY52" s="631"/>
      <c r="AZ52" s="631"/>
      <c r="BA52" s="631"/>
      <c r="BB52" s="631"/>
      <c r="BC52" s="631"/>
      <c r="BD52" s="631"/>
      <c r="BE52" s="631"/>
      <c r="BF52" s="631"/>
      <c r="BG52" s="631"/>
      <c r="BH52" s="631"/>
      <c r="BI52" s="631"/>
      <c r="BJ52" s="631"/>
      <c r="BK52" s="631"/>
      <c r="BL52" s="631"/>
      <c r="BM52" s="631"/>
      <c r="BN52" s="631"/>
      <c r="BO52" s="631"/>
      <c r="BP52" s="631"/>
      <c r="BQ52" s="631"/>
      <c r="BR52" s="631"/>
      <c r="BS52" s="631"/>
      <c r="BT52" s="631"/>
      <c r="BU52" s="631"/>
      <c r="BV52" s="631"/>
      <c r="BW52" s="631"/>
      <c r="BX52" s="631"/>
      <c r="BY52" s="631"/>
      <c r="BZ52" s="631"/>
      <c r="CA52" s="631"/>
      <c r="CB52" s="631"/>
      <c r="CC52" s="631"/>
      <c r="CD52" s="631"/>
      <c r="CE52" s="631"/>
      <c r="CF52" s="631"/>
      <c r="CG52" s="631"/>
      <c r="CH52" s="631"/>
      <c r="CI52" s="631"/>
      <c r="CJ52" s="631"/>
      <c r="CK52" s="631"/>
      <c r="CL52" s="631"/>
      <c r="CM52" s="631"/>
      <c r="CN52" s="631"/>
      <c r="CO52" s="631"/>
      <c r="CP52" s="631"/>
      <c r="CQ52" s="631"/>
      <c r="CR52" s="631"/>
      <c r="CS52" s="632"/>
      <c r="CT52" s="632"/>
      <c r="CU52" s="632"/>
      <c r="CV52" s="632"/>
      <c r="CW52" s="632"/>
      <c r="CX52" s="632"/>
      <c r="CY52" s="632"/>
      <c r="CZ52" s="632"/>
    </row>
    <row r="53">
      <c r="A53" s="635"/>
      <c r="B53" s="632"/>
      <c r="C53" s="632"/>
      <c r="D53" s="632"/>
      <c r="E53" s="632"/>
      <c r="F53" s="632"/>
      <c r="G53" s="632"/>
      <c r="H53" s="632"/>
      <c r="I53" s="632"/>
      <c r="J53" s="632"/>
      <c r="K53" s="632"/>
      <c r="L53" s="632"/>
      <c r="M53" s="632"/>
      <c r="N53" s="632"/>
      <c r="O53" s="632"/>
      <c r="P53" s="632"/>
      <c r="Q53" s="632"/>
      <c r="R53" s="632"/>
      <c r="S53" s="632"/>
      <c r="T53" s="632"/>
      <c r="U53" s="632"/>
      <c r="V53" s="632"/>
      <c r="W53" s="631"/>
      <c r="X53" s="631"/>
      <c r="Y53" s="631"/>
      <c r="Z53" s="631"/>
      <c r="AA53" s="631"/>
      <c r="AB53" s="631"/>
      <c r="AC53" s="631"/>
      <c r="AD53" s="631"/>
      <c r="AE53" s="631"/>
      <c r="AF53" s="631"/>
      <c r="AG53" s="631"/>
      <c r="AH53" s="631"/>
      <c r="AI53" s="631"/>
      <c r="AJ53" s="631"/>
      <c r="AK53" s="631"/>
      <c r="AL53" s="631"/>
      <c r="AM53" s="631"/>
      <c r="AN53" s="631"/>
      <c r="AO53" s="631"/>
      <c r="AP53" s="631"/>
      <c r="AQ53" s="631"/>
      <c r="AR53" s="631"/>
      <c r="AS53" s="631"/>
      <c r="AT53" s="631"/>
      <c r="AU53" s="631"/>
      <c r="AV53" s="631"/>
      <c r="AW53" s="631"/>
      <c r="AX53" s="631"/>
      <c r="AY53" s="631"/>
      <c r="AZ53" s="631"/>
      <c r="BA53" s="631"/>
      <c r="BB53" s="631"/>
      <c r="BC53" s="631"/>
      <c r="BD53" s="631"/>
      <c r="BE53" s="631"/>
      <c r="BF53" s="631"/>
      <c r="BG53" s="631"/>
      <c r="BH53" s="631"/>
      <c r="BI53" s="631"/>
      <c r="BJ53" s="631"/>
      <c r="BK53" s="631"/>
      <c r="BL53" s="631"/>
      <c r="BM53" s="631"/>
      <c r="BN53" s="631"/>
      <c r="BO53" s="631"/>
      <c r="BP53" s="631"/>
      <c r="BQ53" s="631"/>
      <c r="BR53" s="631"/>
      <c r="BS53" s="631"/>
      <c r="BT53" s="631"/>
      <c r="BU53" s="631"/>
      <c r="BV53" s="631"/>
      <c r="BW53" s="631"/>
      <c r="BX53" s="631"/>
      <c r="BY53" s="631"/>
      <c r="BZ53" s="631"/>
      <c r="CA53" s="631"/>
      <c r="CB53" s="631"/>
      <c r="CC53" s="631"/>
      <c r="CD53" s="631"/>
      <c r="CE53" s="631"/>
      <c r="CF53" s="631"/>
      <c r="CG53" s="631"/>
      <c r="CH53" s="631"/>
      <c r="CI53" s="631"/>
      <c r="CJ53" s="631"/>
      <c r="CK53" s="631"/>
      <c r="CL53" s="631"/>
      <c r="CM53" s="631"/>
      <c r="CN53" s="631"/>
      <c r="CO53" s="631"/>
      <c r="CP53" s="631"/>
      <c r="CQ53" s="631"/>
      <c r="CR53" s="631"/>
      <c r="CS53" s="632"/>
      <c r="CT53" s="632"/>
      <c r="CU53" s="632"/>
      <c r="CV53" s="632"/>
      <c r="CW53" s="632"/>
      <c r="CX53" s="632"/>
      <c r="CY53" s="632"/>
      <c r="CZ53" s="632"/>
    </row>
    <row r="54">
      <c r="A54" s="635"/>
      <c r="B54" s="632"/>
      <c r="C54" s="632"/>
      <c r="D54" s="632"/>
      <c r="E54" s="632"/>
      <c r="F54" s="632"/>
      <c r="G54" s="632"/>
      <c r="H54" s="632"/>
      <c r="I54" s="632"/>
      <c r="J54" s="632"/>
      <c r="K54" s="632"/>
      <c r="L54" s="632"/>
      <c r="M54" s="632"/>
      <c r="N54" s="632"/>
      <c r="O54" s="632"/>
      <c r="P54" s="632"/>
      <c r="Q54" s="632"/>
      <c r="R54" s="632"/>
      <c r="S54" s="632"/>
      <c r="T54" s="632"/>
      <c r="U54" s="632"/>
      <c r="V54" s="632"/>
      <c r="W54" s="631"/>
      <c r="X54" s="631"/>
      <c r="Y54" s="631"/>
      <c r="Z54" s="631"/>
      <c r="AA54" s="631"/>
      <c r="AB54" s="631"/>
      <c r="AC54" s="631"/>
      <c r="AD54" s="631"/>
      <c r="AE54" s="631"/>
      <c r="AF54" s="631"/>
      <c r="AG54" s="631"/>
      <c r="AH54" s="631"/>
      <c r="AI54" s="631"/>
      <c r="AJ54" s="631"/>
      <c r="AK54" s="631"/>
      <c r="AL54" s="631"/>
      <c r="AM54" s="631"/>
      <c r="AN54" s="631"/>
      <c r="AO54" s="631"/>
      <c r="AP54" s="631"/>
      <c r="AQ54" s="631"/>
      <c r="AR54" s="631"/>
      <c r="AS54" s="631"/>
      <c r="AT54" s="631"/>
      <c r="AU54" s="631"/>
      <c r="AV54" s="631"/>
      <c r="AW54" s="631"/>
      <c r="AX54" s="631"/>
      <c r="AY54" s="631"/>
      <c r="AZ54" s="631"/>
      <c r="BA54" s="631"/>
      <c r="BB54" s="631"/>
      <c r="BC54" s="631"/>
      <c r="BD54" s="631"/>
      <c r="BE54" s="631"/>
      <c r="BF54" s="631"/>
      <c r="BG54" s="631"/>
      <c r="BH54" s="631"/>
      <c r="BI54" s="631"/>
      <c r="BJ54" s="631"/>
      <c r="BK54" s="631"/>
      <c r="BL54" s="631"/>
      <c r="BM54" s="631"/>
      <c r="BN54" s="631"/>
      <c r="BO54" s="631"/>
      <c r="BP54" s="631"/>
      <c r="BQ54" s="631"/>
      <c r="BR54" s="631"/>
      <c r="BS54" s="631"/>
      <c r="BT54" s="631"/>
      <c r="BU54" s="631"/>
      <c r="BV54" s="631"/>
      <c r="BW54" s="631"/>
      <c r="BX54" s="631"/>
      <c r="BY54" s="631"/>
      <c r="BZ54" s="631"/>
      <c r="CA54" s="631"/>
      <c r="CB54" s="631"/>
      <c r="CC54" s="631"/>
      <c r="CD54" s="631"/>
      <c r="CE54" s="631"/>
      <c r="CF54" s="631"/>
      <c r="CG54" s="631"/>
      <c r="CH54" s="631"/>
      <c r="CI54" s="631"/>
      <c r="CJ54" s="631"/>
      <c r="CK54" s="631"/>
      <c r="CL54" s="631"/>
      <c r="CM54" s="631"/>
      <c r="CN54" s="631"/>
      <c r="CO54" s="631"/>
      <c r="CP54" s="631"/>
      <c r="CQ54" s="631"/>
      <c r="CR54" s="631"/>
      <c r="CS54" s="632"/>
      <c r="CT54" s="632"/>
      <c r="CU54" s="632"/>
      <c r="CV54" s="632"/>
      <c r="CW54" s="632"/>
      <c r="CX54" s="632"/>
      <c r="CY54" s="632"/>
      <c r="CZ54" s="632"/>
    </row>
  </sheetData>
  <hyperlinks>
    <hyperlink r:id="rId1" location="eyJhcHBpZCI6MTksInN0ZXBzIjpbMSwyLDMsM10sImRhdGEiOltbIm5pcGFfdGFibGVfbGlzdCIsIjUiXSxbImNhdGVnb3JpZXMiLCJTdXJ2ZXkiXSxbIkZpcnN0X1llYXIiLCIxOTI5Il0sWyJMYXN0X1llYXIiLCIyMDIzIl0sWyJTY2FsZSIsIi02Il0sWyJTZXJpZXMiLCJBIl1dfQ==" ref="A2"/>
    <hyperlink r:id="rId2" location="eyJhcHBpZCI6MTksInN0ZXBzIjpbMSwyLDMsM10sImRhdGEiOltbInNlbGVjdF9hbGxfeWVhcnMiLCIwIl0sWyJuaXBhX3RhYmxlX2xpc3QiLCI1MyJdLFsic2VyaWVzIiwiQSJdLFsiZmlyc3RfeWVhciIsIjE5MjkiXSxbImxhc3RfeWVhciIsIjIwMjMiXSxbInNjYWxlIiwiLTYiXSxbImNhdGVnb3JpZXMiLCJTdXJ2ZXkiXSxbInRoZXRhYmxlIiwiKS4iXV19" ref="A5"/>
    <hyperlink r:id="rId3" location="eyJhcHBpZCI6MTksInN0ZXBzIjpbMSwyLDMsM10sImRhdGEiOltbInNlbGVjdF9hbGxfeWVhcnMiLCIwIl0sWyJuaXBhX3RhYmxlX2xpc3QiLCI1MyJdLFsic2VyaWVzIiwiQSJdLFsiZmlyc3RfeWVhciIsIjE5MjkiXSxbImxhc3RfeWVhciIsIjIwMjMiXSxbInNjYWxlIiwiLTYiXSxbImNhdGVnb3JpZXMiLCJTdXJ2ZXkiXSxbInRoZXRhYmxlIiwiKS4iXV19" ref="A7"/>
    <hyperlink r:id="rId4" ref="A16"/>
    <hyperlink r:id="rId5" location="eyJhcHBpZCI6MTksInN0ZXBzIjpbMSwyLDMsM10sImRhdGEiOltbImNhdGVnb3JpZXMiLCJTdXJ2ZXkiXSxbIk5JUEFfVGFibGVfTGlzdCIsIjU1Il0sWyJGaXJzdF9ZZWFyIiwiMTkyOSJdLFsiTGFzdF9ZZWFyIiwiMjAyMyJdLFsiU2NhbGUiLCItNiJdLFsiU2VyaWVzIiwiQSJdXX0=" ref="A26"/>
    <hyperlink r:id="rId6" location="eyJhcHBpZCI6MTksInN0ZXBzIjpbMSwyLDMsMSwyLDNdLCJkYXRhIjpbWyJjYXRlZ29yaWVzIiwiU3VydmV5Il0sWyJOSVBBX1RhYmxlX0xpc3QiLCI1NCJdLFsiRmlyc3RfWWVhciIsIjE5NDgiXSxbIkxhc3RfWWVhciIsIjIwMjIiXSxbIlNjYWxlIiwiLTYiXSxbIlNlcmllcyIsIkEiXV19" ref="A33"/>
    <hyperlink r:id="rId7" location="eyJhcHBpZCI6MTksInN0ZXBzIjpbMSwyLDMsM10sImRhdGEiOltbImNhdGVnb3JpZXMiLCJTdXJ2ZXkiXSxbIk5JUEFfVGFibGVfTGlzdCIsIjU1Il0sWyJGaXJzdF9ZZWFyIiwiMTkyOSJdLFsiTGFzdF9ZZWFyIiwiMjAyMyJdLFsiU2NhbGUiLCItNiJdLFsiU2VyaWVzIiwiQSJdXX0=" ref="A34"/>
    <hyperlink r:id="rId8" location="eyJhcHBpZCI6MTksInN0ZXBzIjpbMSwyLDMsM10sImRhdGEiOltbImNhdGVnb3JpZXMiLCJTdXJ2ZXkiXSxbIk5JUEFfVGFibGVfTGlzdCIsIjU1Il0sWyJGaXJzdF9ZZWFyIiwiMTkyOSJdLFsiTGFzdF9ZZWFyIiwiMjAyMyJdLFsiU2NhbGUiLCItNiJdLFsiU2VyaWVzIiwiQSJdXX0=" ref="A35"/>
  </hyperlinks>
  <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5.13"/>
    <col customWidth="1" min="2" max="2" width="6.38"/>
    <col customWidth="1" min="3" max="3" width="9.5"/>
    <col customWidth="1" min="4" max="4" width="6.38"/>
    <col customWidth="1" min="5" max="5" width="18.88"/>
    <col customWidth="1" hidden="1" min="6" max="17" width="7.63"/>
    <col hidden="1" min="18" max="18" width="12.63"/>
    <col customWidth="1" min="19" max="19" width="9.5"/>
    <col customWidth="1" hidden="1" min="20" max="20" width="7.63"/>
    <col customWidth="1" min="21" max="25" width="7.63"/>
    <col customWidth="1" min="26" max="26" width="9.5"/>
    <col customWidth="1" hidden="1" min="27" max="27" width="7.63"/>
    <col customWidth="1" min="28" max="32" width="7.63"/>
    <col customWidth="1" min="33" max="33" width="9.5"/>
    <col customWidth="1" hidden="1" min="34" max="39" width="7.63"/>
    <col customWidth="1" min="40" max="40" width="9.5"/>
    <col customWidth="1" hidden="1" min="41" max="41" width="7.63"/>
    <col customWidth="1" min="42" max="46" width="7.63"/>
    <col customWidth="1" min="47" max="47" width="9.5"/>
    <col customWidth="1" hidden="1" min="48" max="48" width="7.63"/>
    <col customWidth="1" min="49" max="56" width="7.63"/>
    <col customWidth="1" hidden="1" min="57" max="61" width="7.63"/>
    <col customWidth="1" min="62" max="63" width="7.63"/>
    <col customWidth="1" hidden="1" min="64" max="66" width="7.63"/>
  </cols>
  <sheetData>
    <row r="1">
      <c r="A1" s="153"/>
      <c r="B1" s="652" t="s">
        <v>3283</v>
      </c>
      <c r="C1" s="652" t="s">
        <v>3284</v>
      </c>
      <c r="D1" s="652" t="s">
        <v>3285</v>
      </c>
      <c r="E1" s="653" t="s">
        <v>3286</v>
      </c>
      <c r="F1" s="654">
        <f t="shared" ref="F1:Q1" si="1">SUM(F4:F277)</f>
        <v>3874294.99</v>
      </c>
      <c r="G1" s="655">
        <f t="shared" si="1"/>
        <v>544641.594</v>
      </c>
      <c r="H1" s="654">
        <f t="shared" si="1"/>
        <v>957642.95</v>
      </c>
      <c r="I1" s="655">
        <f t="shared" si="1"/>
        <v>159632.4</v>
      </c>
      <c r="J1" s="654">
        <f t="shared" si="1"/>
        <v>947313.58</v>
      </c>
      <c r="K1" s="655">
        <f t="shared" si="1"/>
        <v>129044.05</v>
      </c>
      <c r="L1" s="654">
        <f t="shared" si="1"/>
        <v>670732.27</v>
      </c>
      <c r="M1" s="655">
        <f t="shared" si="1"/>
        <v>85611.18</v>
      </c>
      <c r="N1" s="654">
        <f t="shared" si="1"/>
        <v>672460.39</v>
      </c>
      <c r="O1" s="655">
        <f t="shared" si="1"/>
        <v>87992.49</v>
      </c>
      <c r="P1" s="654">
        <f t="shared" si="1"/>
        <v>626145.8</v>
      </c>
      <c r="Q1" s="655">
        <f t="shared" si="1"/>
        <v>82361.474</v>
      </c>
      <c r="R1" s="632"/>
      <c r="S1" s="656">
        <f>SUM(U1:Y1)</f>
        <v>4348318.81</v>
      </c>
      <c r="T1" s="625"/>
      <c r="U1" s="625">
        <f t="shared" ref="U1:Y1" si="2">SUM(U4:U281)</f>
        <v>1111444.32</v>
      </c>
      <c r="V1" s="625">
        <f t="shared" si="2"/>
        <v>1128381.96</v>
      </c>
      <c r="W1" s="625">
        <f t="shared" si="2"/>
        <v>693901.09</v>
      </c>
      <c r="X1" s="625">
        <f t="shared" si="2"/>
        <v>726862.4</v>
      </c>
      <c r="Y1" s="625">
        <f t="shared" si="2"/>
        <v>687729.04</v>
      </c>
      <c r="Z1" s="656">
        <f>SUM(AB1:AF1)</f>
        <v>604613.694</v>
      </c>
      <c r="AA1" s="625"/>
      <c r="AB1" s="625">
        <f t="shared" ref="AB1:AF1" si="3">SUM(AB4:AB281)</f>
        <v>190392.42</v>
      </c>
      <c r="AC1" s="625">
        <f t="shared" si="3"/>
        <v>142751.69</v>
      </c>
      <c r="AD1" s="625">
        <f t="shared" si="3"/>
        <v>90925</v>
      </c>
      <c r="AE1" s="625">
        <f t="shared" si="3"/>
        <v>91390.36</v>
      </c>
      <c r="AF1" s="625">
        <f t="shared" si="3"/>
        <v>89154.224</v>
      </c>
      <c r="AG1" s="657">
        <f>Z1/S1</f>
        <v>0.1390453921</v>
      </c>
      <c r="AH1" s="165"/>
      <c r="AI1" s="165">
        <f t="shared" ref="AI1:AM1" si="4">AB1/U1</f>
        <v>0.1713018066</v>
      </c>
      <c r="AJ1" s="165">
        <f t="shared" si="4"/>
        <v>0.1265100782</v>
      </c>
      <c r="AK1" s="165">
        <f t="shared" si="4"/>
        <v>0.1310345254</v>
      </c>
      <c r="AL1" s="165">
        <f t="shared" si="4"/>
        <v>0.1257326834</v>
      </c>
      <c r="AM1" s="165">
        <f t="shared" si="4"/>
        <v>0.1296356833</v>
      </c>
      <c r="AN1" s="656">
        <f>SUM(AP1:AT1)</f>
        <v>2662418.664</v>
      </c>
      <c r="AO1" s="625"/>
      <c r="AP1" s="625">
        <f t="shared" ref="AP1:AT1" si="5">SUM(AP4:AP281)</f>
        <v>686076.946</v>
      </c>
      <c r="AQ1" s="625">
        <f t="shared" si="5"/>
        <v>619372.553</v>
      </c>
      <c r="AR1" s="625">
        <f t="shared" si="5"/>
        <v>372724.74</v>
      </c>
      <c r="AS1" s="625">
        <f t="shared" si="5"/>
        <v>475235.891</v>
      </c>
      <c r="AT1" s="625">
        <f t="shared" si="5"/>
        <v>509008.534</v>
      </c>
      <c r="AU1" s="656">
        <f>SUM(AW1:BA1)</f>
        <v>1703992.804</v>
      </c>
      <c r="AV1" s="625"/>
      <c r="AW1" s="625">
        <f t="shared" ref="AW1:BA1" si="6">SUM(AW4:AW281)</f>
        <v>382183.017</v>
      </c>
      <c r="AX1" s="625">
        <f t="shared" si="6"/>
        <v>361101.387</v>
      </c>
      <c r="AY1" s="625">
        <f t="shared" si="6"/>
        <v>337364.872</v>
      </c>
      <c r="AZ1" s="625">
        <f t="shared" si="6"/>
        <v>322697.627</v>
      </c>
      <c r="BA1" s="625">
        <f t="shared" si="6"/>
        <v>300645.901</v>
      </c>
      <c r="BB1" s="658"/>
      <c r="BC1" s="162" t="s">
        <v>3287</v>
      </c>
      <c r="BE1" s="162"/>
      <c r="BF1" s="162"/>
      <c r="BG1" s="162"/>
      <c r="BH1" s="162"/>
      <c r="BI1" s="162"/>
      <c r="BJ1" s="162"/>
      <c r="BK1" s="631"/>
      <c r="BL1" s="162"/>
      <c r="BM1" s="162"/>
      <c r="BN1" s="659"/>
    </row>
    <row r="2">
      <c r="A2" s="153"/>
      <c r="F2" s="660" t="s">
        <v>3288</v>
      </c>
      <c r="G2" s="661"/>
      <c r="H2" s="662">
        <v>2022.0</v>
      </c>
      <c r="I2" s="661"/>
      <c r="J2" s="663">
        <v>2021.0</v>
      </c>
      <c r="K2" s="661"/>
      <c r="L2" s="663">
        <v>2020.0</v>
      </c>
      <c r="M2" s="661"/>
      <c r="N2" s="663">
        <v>2019.0</v>
      </c>
      <c r="O2" s="661"/>
      <c r="P2" s="663">
        <v>2018.0</v>
      </c>
      <c r="Q2" s="661"/>
      <c r="R2" s="632"/>
      <c r="S2" s="664" t="s">
        <v>3289</v>
      </c>
      <c r="Z2" s="664" t="s">
        <v>3290</v>
      </c>
      <c r="AG2" s="658" t="s">
        <v>3291</v>
      </c>
      <c r="AN2" s="664" t="s">
        <v>3292</v>
      </c>
      <c r="AU2" s="664" t="s">
        <v>3293</v>
      </c>
      <c r="BB2" s="658"/>
      <c r="BE2" s="162"/>
      <c r="BF2" s="162"/>
      <c r="BG2" s="162"/>
      <c r="BH2" s="162"/>
      <c r="BI2" s="162"/>
      <c r="BJ2" s="162"/>
      <c r="BK2" s="665"/>
      <c r="BL2" s="162" t="s">
        <v>3294</v>
      </c>
      <c r="BM2" s="162" t="s">
        <v>3295</v>
      </c>
      <c r="BN2" s="52" t="s">
        <v>3296</v>
      </c>
    </row>
    <row r="3">
      <c r="A3" s="153"/>
      <c r="F3" s="660" t="s">
        <v>3297</v>
      </c>
      <c r="G3" s="666" t="s">
        <v>3298</v>
      </c>
      <c r="H3" s="667" t="s">
        <v>3297</v>
      </c>
      <c r="I3" s="668" t="s">
        <v>3298</v>
      </c>
      <c r="J3" s="663" t="s">
        <v>3297</v>
      </c>
      <c r="K3" s="669" t="s">
        <v>3298</v>
      </c>
      <c r="L3" s="663" t="s">
        <v>3297</v>
      </c>
      <c r="M3" s="669" t="s">
        <v>3298</v>
      </c>
      <c r="N3" s="663" t="s">
        <v>3297</v>
      </c>
      <c r="O3" s="669" t="s">
        <v>3298</v>
      </c>
      <c r="P3" s="663" t="s">
        <v>3297</v>
      </c>
      <c r="Q3" s="669" t="s">
        <v>3298</v>
      </c>
      <c r="R3" s="632"/>
      <c r="S3" s="664" t="s">
        <v>3299</v>
      </c>
      <c r="T3" s="670">
        <v>2023.0</v>
      </c>
      <c r="U3" s="646">
        <v>2022.0</v>
      </c>
      <c r="V3" s="646">
        <v>2021.0</v>
      </c>
      <c r="W3" s="646">
        <v>2020.0</v>
      </c>
      <c r="X3" s="646">
        <v>2019.0</v>
      </c>
      <c r="Y3" s="646">
        <v>2018.0</v>
      </c>
      <c r="Z3" s="664" t="s">
        <v>3299</v>
      </c>
      <c r="AA3" s="670">
        <v>2023.0</v>
      </c>
      <c r="AB3" s="646">
        <v>2022.0</v>
      </c>
      <c r="AC3" s="646">
        <v>2021.0</v>
      </c>
      <c r="AD3" s="646">
        <v>2020.0</v>
      </c>
      <c r="AE3" s="646">
        <v>2019.0</v>
      </c>
      <c r="AF3" s="646">
        <v>2018.0</v>
      </c>
      <c r="AG3" s="658" t="s">
        <v>3299</v>
      </c>
      <c r="AH3" s="670">
        <v>2023.0</v>
      </c>
      <c r="AI3" s="646">
        <v>2022.0</v>
      </c>
      <c r="AJ3" s="646">
        <v>2021.0</v>
      </c>
      <c r="AK3" s="646">
        <v>2020.0</v>
      </c>
      <c r="AL3" s="646">
        <v>2019.0</v>
      </c>
      <c r="AM3" s="646">
        <v>2018.0</v>
      </c>
      <c r="AN3" s="658" t="s">
        <v>3299</v>
      </c>
      <c r="AO3" s="670">
        <v>2023.0</v>
      </c>
      <c r="AP3" s="646">
        <v>2022.0</v>
      </c>
      <c r="AQ3" s="646">
        <v>2021.0</v>
      </c>
      <c r="AR3" s="646">
        <v>2020.0</v>
      </c>
      <c r="AS3" s="646">
        <v>2019.0</v>
      </c>
      <c r="AT3" s="646">
        <v>2018.0</v>
      </c>
      <c r="AU3" s="658" t="s">
        <v>3299</v>
      </c>
      <c r="AV3" s="670">
        <v>2023.0</v>
      </c>
      <c r="AW3" s="646">
        <v>2022.0</v>
      </c>
      <c r="AX3" s="646">
        <v>2021.0</v>
      </c>
      <c r="AY3" s="646">
        <v>2020.0</v>
      </c>
      <c r="AZ3" s="646">
        <v>2019.0</v>
      </c>
      <c r="BA3" s="671">
        <v>2018.0</v>
      </c>
      <c r="BB3" s="631"/>
      <c r="BC3" s="52" t="s">
        <v>3300</v>
      </c>
      <c r="BD3" s="52">
        <v>2023.0</v>
      </c>
      <c r="BE3" s="672">
        <v>2022.0</v>
      </c>
      <c r="BF3" s="672">
        <v>2021.0</v>
      </c>
      <c r="BG3" s="672">
        <v>2020.0</v>
      </c>
      <c r="BH3" s="672">
        <v>2019.0</v>
      </c>
      <c r="BI3" s="672">
        <v>2018.0</v>
      </c>
      <c r="BJ3" s="673"/>
      <c r="BK3" s="674"/>
      <c r="BL3" s="673">
        <f>269/278</f>
        <v>0.9676258993</v>
      </c>
      <c r="BM3" s="673">
        <f>234/278</f>
        <v>0.8417266187</v>
      </c>
      <c r="BN3" s="119">
        <f>203/278</f>
        <v>0.7302158273</v>
      </c>
    </row>
    <row r="4">
      <c r="A4" s="675" t="s">
        <v>3301</v>
      </c>
      <c r="B4" s="186" t="s">
        <v>3302</v>
      </c>
      <c r="C4" s="676" t="s">
        <v>2113</v>
      </c>
      <c r="D4" s="677">
        <v>116.0</v>
      </c>
      <c r="E4" s="632" t="s">
        <v>1501</v>
      </c>
      <c r="F4" s="678">
        <f t="shared" ref="F4:G4" si="7">H4+J4+L4+N4+P4</f>
        <v>17321</v>
      </c>
      <c r="G4" s="679">
        <f t="shared" si="7"/>
        <v>2888.32</v>
      </c>
      <c r="H4" s="641">
        <v>3785.0</v>
      </c>
      <c r="I4" s="680">
        <v>561.26</v>
      </c>
      <c r="J4" s="641">
        <v>3612.0</v>
      </c>
      <c r="K4" s="680">
        <v>705.57</v>
      </c>
      <c r="L4" s="641">
        <v>3597.0</v>
      </c>
      <c r="M4" s="680">
        <v>666.31</v>
      </c>
      <c r="N4" s="641">
        <v>2949.0</v>
      </c>
      <c r="O4" s="680">
        <v>431.18</v>
      </c>
      <c r="P4" s="641">
        <v>3378.0</v>
      </c>
      <c r="Q4" s="680">
        <v>524.0</v>
      </c>
      <c r="R4" s="681" t="s">
        <v>719</v>
      </c>
      <c r="S4" s="682">
        <f t="shared" ref="S4:S374" si="10">SUM(U4:Y4)</f>
        <v>17321</v>
      </c>
      <c r="T4" s="683"/>
      <c r="U4" s="625">
        <f t="shared" ref="U4:U13" si="11">H4</f>
        <v>3785</v>
      </c>
      <c r="V4" s="625">
        <f t="shared" ref="V4:V13" si="12">J4</f>
        <v>3612</v>
      </c>
      <c r="W4" s="625">
        <f t="shared" ref="W4:W13" si="13">L4</f>
        <v>3597</v>
      </c>
      <c r="X4" s="625">
        <f t="shared" ref="X4:X13" si="14">N4</f>
        <v>2949</v>
      </c>
      <c r="Y4" s="625">
        <f t="shared" ref="Y4:Y13" si="15">P4</f>
        <v>3378</v>
      </c>
      <c r="Z4" s="656">
        <f t="shared" ref="Z4:Z374" si="16">SUM(AB4:AF4)</f>
        <v>2888.32</v>
      </c>
      <c r="AA4" s="683"/>
      <c r="AB4" s="625">
        <f t="shared" ref="AB4:AB13" si="17">I4</f>
        <v>561.26</v>
      </c>
      <c r="AC4" s="625">
        <f t="shared" ref="AC4:AC13" si="18">K4</f>
        <v>705.57</v>
      </c>
      <c r="AD4" s="625">
        <f t="shared" ref="AD4:AD13" si="19">M4</f>
        <v>666.31</v>
      </c>
      <c r="AE4" s="625">
        <f t="shared" ref="AE4:AE13" si="20">O4</f>
        <v>431.18</v>
      </c>
      <c r="AF4" s="625">
        <f t="shared" ref="AF4:AF13" si="21">Q4</f>
        <v>524</v>
      </c>
      <c r="AG4" s="657">
        <f t="shared" ref="AG4:AG374" si="22">Z4/S4</f>
        <v>0.166752497</v>
      </c>
      <c r="AH4" s="165"/>
      <c r="AI4" s="165">
        <f t="shared" ref="AI4:AM4" si="8">AB4/U4</f>
        <v>0.1482853369</v>
      </c>
      <c r="AJ4" s="165">
        <f t="shared" si="8"/>
        <v>0.1953405316</v>
      </c>
      <c r="AK4" s="165">
        <f t="shared" si="8"/>
        <v>0.1852404782</v>
      </c>
      <c r="AL4" s="165">
        <f t="shared" si="8"/>
        <v>0.1462122753</v>
      </c>
      <c r="AM4" s="165">
        <f t="shared" si="8"/>
        <v>0.1551213736</v>
      </c>
      <c r="AN4" s="684">
        <f t="shared" ref="AN4:AN119" si="24">SUM(AP4:AT4)</f>
        <v>10308</v>
      </c>
      <c r="AO4" s="685">
        <v>33.0</v>
      </c>
      <c r="AP4" s="180">
        <v>1464.0</v>
      </c>
      <c r="AQ4" s="180">
        <v>2199.0</v>
      </c>
      <c r="AR4" s="180">
        <v>368.0</v>
      </c>
      <c r="AS4" s="180">
        <v>1407.0</v>
      </c>
      <c r="AT4" s="180">
        <v>4870.0</v>
      </c>
      <c r="AU4" s="684">
        <f t="shared" ref="AU4:AU36" si="25">SUM(AW4:BA4)</f>
        <v>16686</v>
      </c>
      <c r="AV4" s="685">
        <v>3311.0</v>
      </c>
      <c r="AW4" s="180">
        <v>3369.0</v>
      </c>
      <c r="AX4" s="180">
        <v>3420.0</v>
      </c>
      <c r="AY4" s="180">
        <v>3388.0</v>
      </c>
      <c r="AZ4" s="180">
        <v>3316.0</v>
      </c>
      <c r="BA4" s="686">
        <v>3193.0</v>
      </c>
      <c r="BB4" s="631"/>
      <c r="BC4" s="687" t="s">
        <v>695</v>
      </c>
      <c r="BD4" s="186" t="s">
        <v>3303</v>
      </c>
      <c r="BE4" s="186" t="s">
        <v>3304</v>
      </c>
      <c r="BF4" s="186" t="s">
        <v>3305</v>
      </c>
      <c r="BG4" s="186" t="s">
        <v>3306</v>
      </c>
      <c r="BH4" s="179" t="s">
        <v>3307</v>
      </c>
      <c r="BI4" s="179" t="s">
        <v>3308</v>
      </c>
      <c r="BJ4" s="179"/>
      <c r="BK4" s="631"/>
      <c r="BL4" s="179" t="b">
        <f t="shared" ref="BL4:BL281" si="26">(AN4+AU4)&gt;Z4</f>
        <v>1</v>
      </c>
      <c r="BM4" s="179" t="b">
        <f t="shared" ref="BM4:BM281" si="27">AN4&gt;Z4</f>
        <v>1</v>
      </c>
      <c r="BN4" s="688" t="b">
        <f t="shared" ref="BN4:BN281" si="28">AU4&gt;Z4</f>
        <v>1</v>
      </c>
    </row>
    <row r="5">
      <c r="A5" s="212"/>
      <c r="B5" s="186" t="s">
        <v>3309</v>
      </c>
      <c r="C5" s="676" t="s">
        <v>1919</v>
      </c>
      <c r="D5" s="677">
        <v>458.0</v>
      </c>
      <c r="E5" s="131" t="s">
        <v>3310</v>
      </c>
      <c r="F5" s="678">
        <f t="shared" ref="F5:G5" si="9">H5+J5+L5+N5+P5</f>
        <v>587.84</v>
      </c>
      <c r="G5" s="679">
        <f t="shared" si="9"/>
        <v>103.75</v>
      </c>
      <c r="H5" s="641">
        <v>197.77</v>
      </c>
      <c r="I5" s="680">
        <v>39.41</v>
      </c>
      <c r="J5" s="641">
        <v>161.68</v>
      </c>
      <c r="K5" s="680">
        <v>32.52</v>
      </c>
      <c r="L5" s="641">
        <v>187.82</v>
      </c>
      <c r="M5" s="680">
        <v>28.9</v>
      </c>
      <c r="N5" s="641">
        <v>37.62</v>
      </c>
      <c r="O5" s="680">
        <v>2.92</v>
      </c>
      <c r="P5" s="641">
        <v>2.95</v>
      </c>
      <c r="Q5" s="680">
        <v>0.0</v>
      </c>
      <c r="R5" s="681" t="s">
        <v>702</v>
      </c>
      <c r="S5" s="682">
        <f t="shared" si="10"/>
        <v>587.84</v>
      </c>
      <c r="T5" s="683"/>
      <c r="U5" s="625">
        <f t="shared" si="11"/>
        <v>197.77</v>
      </c>
      <c r="V5" s="625">
        <f t="shared" si="12"/>
        <v>161.68</v>
      </c>
      <c r="W5" s="625">
        <f t="shared" si="13"/>
        <v>187.82</v>
      </c>
      <c r="X5" s="625">
        <f t="shared" si="14"/>
        <v>37.62</v>
      </c>
      <c r="Y5" s="625">
        <f t="shared" si="15"/>
        <v>2.95</v>
      </c>
      <c r="Z5" s="656">
        <f t="shared" si="16"/>
        <v>103.75</v>
      </c>
      <c r="AA5" s="683"/>
      <c r="AB5" s="625">
        <f t="shared" si="17"/>
        <v>39.41</v>
      </c>
      <c r="AC5" s="625">
        <f t="shared" si="18"/>
        <v>32.52</v>
      </c>
      <c r="AD5" s="625">
        <f t="shared" si="19"/>
        <v>28.9</v>
      </c>
      <c r="AE5" s="625">
        <f t="shared" si="20"/>
        <v>2.92</v>
      </c>
      <c r="AF5" s="625">
        <f t="shared" si="21"/>
        <v>0</v>
      </c>
      <c r="AG5" s="657">
        <f t="shared" si="22"/>
        <v>0.1764936037</v>
      </c>
      <c r="AH5" s="165"/>
      <c r="AI5" s="165">
        <f t="shared" ref="AI5:AM5" si="23">AB5/U5</f>
        <v>0.1992718815</v>
      </c>
      <c r="AJ5" s="165">
        <f t="shared" si="23"/>
        <v>0.2011380505</v>
      </c>
      <c r="AK5" s="165">
        <f t="shared" si="23"/>
        <v>0.1538707273</v>
      </c>
      <c r="AL5" s="165">
        <f t="shared" si="23"/>
        <v>0.07761828814</v>
      </c>
      <c r="AM5" s="165">
        <f t="shared" si="23"/>
        <v>0</v>
      </c>
      <c r="AN5" s="684">
        <f t="shared" si="24"/>
        <v>9.762</v>
      </c>
      <c r="AO5" s="625"/>
      <c r="AP5" s="641">
        <v>9.762</v>
      </c>
      <c r="AQ5" s="625">
        <v>0.0</v>
      </c>
      <c r="AR5" s="625">
        <v>0.0</v>
      </c>
      <c r="AS5" s="625">
        <v>0.0</v>
      </c>
      <c r="AT5" s="625">
        <v>0.0</v>
      </c>
      <c r="AU5" s="684">
        <f t="shared" si="25"/>
        <v>81.304</v>
      </c>
      <c r="AV5" s="625"/>
      <c r="AW5" s="641">
        <v>37.468</v>
      </c>
      <c r="AX5" s="641">
        <v>22.645</v>
      </c>
      <c r="AY5" s="641">
        <v>21.191</v>
      </c>
      <c r="AZ5" s="180">
        <v>0.0</v>
      </c>
      <c r="BA5" s="686">
        <v>0.0</v>
      </c>
      <c r="BB5" s="631"/>
      <c r="BC5" s="189" t="s">
        <v>695</v>
      </c>
      <c r="BD5" s="688" t="s">
        <v>3303</v>
      </c>
      <c r="BE5" s="688" t="s">
        <v>3303</v>
      </c>
      <c r="BF5" s="688" t="s">
        <v>3303</v>
      </c>
      <c r="BG5" s="688" t="s">
        <v>3303</v>
      </c>
      <c r="BH5" s="688" t="s">
        <v>3303</v>
      </c>
      <c r="BI5" s="688" t="s">
        <v>3303</v>
      </c>
      <c r="BJ5" s="179"/>
      <c r="BK5" s="631"/>
      <c r="BL5" s="179" t="b">
        <f t="shared" si="26"/>
        <v>0</v>
      </c>
      <c r="BM5" s="179" t="b">
        <f t="shared" si="27"/>
        <v>0</v>
      </c>
      <c r="BN5" s="688" t="b">
        <f t="shared" si="28"/>
        <v>0</v>
      </c>
    </row>
    <row r="6">
      <c r="A6" s="689"/>
      <c r="B6" s="186" t="s">
        <v>3311</v>
      </c>
      <c r="C6" s="690" t="s">
        <v>1865</v>
      </c>
      <c r="D6" s="677">
        <v>475.0</v>
      </c>
      <c r="E6" s="632" t="s">
        <v>3312</v>
      </c>
      <c r="F6" s="678">
        <f t="shared" ref="F6:G6" si="29">H6+J6+L6+N6+P6</f>
        <v>783.2</v>
      </c>
      <c r="G6" s="679">
        <f t="shared" si="29"/>
        <v>130.09</v>
      </c>
      <c r="H6" s="641">
        <v>272.5</v>
      </c>
      <c r="I6" s="680">
        <v>-3.5</v>
      </c>
      <c r="J6" s="641">
        <v>125.4</v>
      </c>
      <c r="K6" s="680">
        <v>66.3</v>
      </c>
      <c r="L6" s="641">
        <v>171.4</v>
      </c>
      <c r="M6" s="680">
        <v>59.3</v>
      </c>
      <c r="N6" s="641">
        <v>126.4</v>
      </c>
      <c r="O6" s="680">
        <v>8.16</v>
      </c>
      <c r="P6" s="641">
        <v>87.5</v>
      </c>
      <c r="Q6" s="680">
        <v>-0.17</v>
      </c>
      <c r="R6" s="681" t="s">
        <v>696</v>
      </c>
      <c r="S6" s="682">
        <f t="shared" si="10"/>
        <v>783.2</v>
      </c>
      <c r="T6" s="683"/>
      <c r="U6" s="625">
        <f t="shared" si="11"/>
        <v>272.5</v>
      </c>
      <c r="V6" s="625">
        <f t="shared" si="12"/>
        <v>125.4</v>
      </c>
      <c r="W6" s="625">
        <f t="shared" si="13"/>
        <v>171.4</v>
      </c>
      <c r="X6" s="625">
        <f t="shared" si="14"/>
        <v>126.4</v>
      </c>
      <c r="Y6" s="625">
        <f t="shared" si="15"/>
        <v>87.5</v>
      </c>
      <c r="Z6" s="656">
        <f t="shared" si="16"/>
        <v>130.09</v>
      </c>
      <c r="AA6" s="683"/>
      <c r="AB6" s="625">
        <f t="shared" si="17"/>
        <v>-3.5</v>
      </c>
      <c r="AC6" s="625">
        <f t="shared" si="18"/>
        <v>66.3</v>
      </c>
      <c r="AD6" s="625">
        <f t="shared" si="19"/>
        <v>59.3</v>
      </c>
      <c r="AE6" s="625">
        <f t="shared" si="20"/>
        <v>8.16</v>
      </c>
      <c r="AF6" s="625">
        <f t="shared" si="21"/>
        <v>-0.17</v>
      </c>
      <c r="AG6" s="657">
        <f t="shared" si="22"/>
        <v>0.1661006129</v>
      </c>
      <c r="AH6" s="165"/>
      <c r="AI6" s="165">
        <f t="shared" ref="AI6:AM6" si="30">AB6/U6</f>
        <v>-0.0128440367</v>
      </c>
      <c r="AJ6" s="165">
        <f t="shared" si="30"/>
        <v>0.528708134</v>
      </c>
      <c r="AK6" s="165">
        <f t="shared" si="30"/>
        <v>0.3459743291</v>
      </c>
      <c r="AL6" s="165">
        <f t="shared" si="30"/>
        <v>0.06455696203</v>
      </c>
      <c r="AM6" s="165">
        <f t="shared" si="30"/>
        <v>-0.001942857143</v>
      </c>
      <c r="AN6" s="684">
        <f t="shared" si="24"/>
        <v>102.6</v>
      </c>
      <c r="AO6" s="641">
        <v>138.1</v>
      </c>
      <c r="AP6" s="641">
        <v>97.5</v>
      </c>
      <c r="AQ6" s="641">
        <v>0.0</v>
      </c>
      <c r="AR6" s="641">
        <v>5.1</v>
      </c>
      <c r="AS6" s="641">
        <v>0.0</v>
      </c>
      <c r="AT6" s="641">
        <v>0.0</v>
      </c>
      <c r="AU6" s="684">
        <f t="shared" si="25"/>
        <v>245.9</v>
      </c>
      <c r="AV6" s="641">
        <f>57.5</f>
        <v>57.5</v>
      </c>
      <c r="AW6" s="641">
        <v>51.9</v>
      </c>
      <c r="AX6" s="641">
        <v>51.0</v>
      </c>
      <c r="AY6" s="641">
        <v>49.3</v>
      </c>
      <c r="AZ6" s="641">
        <v>47.7</v>
      </c>
      <c r="BA6" s="691">
        <v>46.0</v>
      </c>
      <c r="BB6" s="631"/>
      <c r="BC6" s="189" t="s">
        <v>695</v>
      </c>
      <c r="BD6" s="186" t="s">
        <v>3303</v>
      </c>
      <c r="BE6" s="688" t="s">
        <v>3303</v>
      </c>
      <c r="BF6" s="688" t="s">
        <v>3303</v>
      </c>
      <c r="BG6" s="688" t="s">
        <v>3303</v>
      </c>
      <c r="BH6" s="688" t="s">
        <v>3303</v>
      </c>
      <c r="BI6" s="688" t="s">
        <v>3303</v>
      </c>
      <c r="BJ6" s="179"/>
      <c r="BK6" s="631"/>
      <c r="BL6" s="179" t="b">
        <f t="shared" si="26"/>
        <v>1</v>
      </c>
      <c r="BM6" s="179" t="b">
        <f t="shared" si="27"/>
        <v>0</v>
      </c>
      <c r="BN6" s="688" t="b">
        <f t="shared" si="28"/>
        <v>1</v>
      </c>
    </row>
    <row r="7">
      <c r="A7" s="689"/>
      <c r="B7" s="186" t="s">
        <v>3313</v>
      </c>
      <c r="C7" s="692" t="s">
        <v>2409</v>
      </c>
      <c r="D7" s="677">
        <v>484.0</v>
      </c>
      <c r="E7" s="632" t="s">
        <v>3314</v>
      </c>
      <c r="F7" s="678">
        <f t="shared" ref="F7:G7" si="31">H7+J7+L7+N7+P7</f>
        <v>3697</v>
      </c>
      <c r="G7" s="679">
        <f t="shared" si="31"/>
        <v>577</v>
      </c>
      <c r="H7" s="641">
        <v>462.0</v>
      </c>
      <c r="I7" s="680">
        <v>269.0</v>
      </c>
      <c r="J7" s="641">
        <v>1416.0</v>
      </c>
      <c r="K7" s="680">
        <v>189.0</v>
      </c>
      <c r="L7" s="641">
        <v>1068.0</v>
      </c>
      <c r="M7" s="680">
        <v>206.0</v>
      </c>
      <c r="N7" s="641">
        <v>304.0</v>
      </c>
      <c r="O7" s="680">
        <v>136.0</v>
      </c>
      <c r="P7" s="641">
        <v>447.0</v>
      </c>
      <c r="Q7" s="680">
        <v>-223.0</v>
      </c>
      <c r="R7" s="681" t="s">
        <v>702</v>
      </c>
      <c r="S7" s="682">
        <f t="shared" si="10"/>
        <v>3697</v>
      </c>
      <c r="T7" s="683"/>
      <c r="U7" s="625">
        <f t="shared" si="11"/>
        <v>462</v>
      </c>
      <c r="V7" s="625">
        <f t="shared" si="12"/>
        <v>1416</v>
      </c>
      <c r="W7" s="625">
        <f t="shared" si="13"/>
        <v>1068</v>
      </c>
      <c r="X7" s="625">
        <f t="shared" si="14"/>
        <v>304</v>
      </c>
      <c r="Y7" s="625">
        <f t="shared" si="15"/>
        <v>447</v>
      </c>
      <c r="Z7" s="656">
        <f t="shared" si="16"/>
        <v>577</v>
      </c>
      <c r="AA7" s="683"/>
      <c r="AB7" s="625">
        <f t="shared" si="17"/>
        <v>269</v>
      </c>
      <c r="AC7" s="625">
        <f t="shared" si="18"/>
        <v>189</v>
      </c>
      <c r="AD7" s="625">
        <f t="shared" si="19"/>
        <v>206</v>
      </c>
      <c r="AE7" s="625">
        <f t="shared" si="20"/>
        <v>136</v>
      </c>
      <c r="AF7" s="625">
        <f t="shared" si="21"/>
        <v>-223</v>
      </c>
      <c r="AG7" s="657">
        <f t="shared" si="22"/>
        <v>0.1560724912</v>
      </c>
      <c r="AH7" s="165"/>
      <c r="AI7" s="165">
        <f t="shared" ref="AI7:AM7" si="32">AB7/U7</f>
        <v>0.5822510823</v>
      </c>
      <c r="AJ7" s="165">
        <f t="shared" si="32"/>
        <v>0.1334745763</v>
      </c>
      <c r="AK7" s="165">
        <f t="shared" si="32"/>
        <v>0.1928838951</v>
      </c>
      <c r="AL7" s="165">
        <f t="shared" si="32"/>
        <v>0.4473684211</v>
      </c>
      <c r="AM7" s="165">
        <f t="shared" si="32"/>
        <v>-0.4988814318</v>
      </c>
      <c r="AN7" s="684">
        <f t="shared" si="24"/>
        <v>0</v>
      </c>
      <c r="AO7" s="625"/>
      <c r="AP7" s="625">
        <v>0.0</v>
      </c>
      <c r="AQ7" s="625">
        <v>0.0</v>
      </c>
      <c r="AR7" s="625">
        <v>0.0</v>
      </c>
      <c r="AS7" s="625">
        <v>0.0</v>
      </c>
      <c r="AT7" s="625">
        <v>0.0</v>
      </c>
      <c r="AU7" s="684">
        <f t="shared" si="25"/>
        <v>1590</v>
      </c>
      <c r="AV7" s="641"/>
      <c r="AW7" s="641">
        <v>367.0</v>
      </c>
      <c r="AX7" s="641">
        <v>365.0</v>
      </c>
      <c r="AY7" s="641">
        <v>316.0</v>
      </c>
      <c r="AZ7" s="641">
        <v>283.0</v>
      </c>
      <c r="BA7" s="691">
        <v>259.0</v>
      </c>
      <c r="BB7" s="631"/>
      <c r="BC7" s="189" t="s">
        <v>695</v>
      </c>
      <c r="BD7" s="688" t="s">
        <v>3303</v>
      </c>
      <c r="BE7" s="179" t="s">
        <v>3304</v>
      </c>
      <c r="BF7" s="179" t="s">
        <v>3305</v>
      </c>
      <c r="BG7" s="179" t="s">
        <v>3306</v>
      </c>
      <c r="BH7" s="179" t="s">
        <v>3307</v>
      </c>
      <c r="BI7" s="179" t="s">
        <v>3308</v>
      </c>
      <c r="BJ7" s="179"/>
      <c r="BK7" s="631"/>
      <c r="BL7" s="179" t="b">
        <f t="shared" si="26"/>
        <v>1</v>
      </c>
      <c r="BM7" s="179" t="b">
        <f t="shared" si="27"/>
        <v>0</v>
      </c>
      <c r="BN7" s="688" t="b">
        <f t="shared" si="28"/>
        <v>1</v>
      </c>
    </row>
    <row r="8">
      <c r="A8" s="689"/>
      <c r="B8" s="186" t="s">
        <v>3315</v>
      </c>
      <c r="C8" s="676" t="s">
        <v>2113</v>
      </c>
      <c r="D8" s="677">
        <v>233.0</v>
      </c>
      <c r="E8" s="632" t="s">
        <v>3316</v>
      </c>
      <c r="F8" s="678">
        <f t="shared" ref="F8:G8" si="33">H8+J8+L8+N8+P8</f>
        <v>5391.05</v>
      </c>
      <c r="G8" s="679">
        <f t="shared" si="33"/>
        <v>1306.83</v>
      </c>
      <c r="H8" s="641">
        <v>1826.0</v>
      </c>
      <c r="I8" s="680">
        <v>465.0</v>
      </c>
      <c r="J8" s="641">
        <v>1633.0</v>
      </c>
      <c r="K8" s="680">
        <v>391.0</v>
      </c>
      <c r="L8" s="641">
        <v>1011.0</v>
      </c>
      <c r="M8" s="680">
        <v>119.0</v>
      </c>
      <c r="N8" s="641">
        <v>406.71</v>
      </c>
      <c r="O8" s="680">
        <v>6.56</v>
      </c>
      <c r="P8" s="641">
        <v>514.34</v>
      </c>
      <c r="Q8" s="680">
        <v>325.27</v>
      </c>
      <c r="R8" s="681" t="s">
        <v>702</v>
      </c>
      <c r="S8" s="682">
        <f t="shared" si="10"/>
        <v>5391.05</v>
      </c>
      <c r="T8" s="683"/>
      <c r="U8" s="625">
        <f t="shared" si="11"/>
        <v>1826</v>
      </c>
      <c r="V8" s="625">
        <f t="shared" si="12"/>
        <v>1633</v>
      </c>
      <c r="W8" s="625">
        <f t="shared" si="13"/>
        <v>1011</v>
      </c>
      <c r="X8" s="625">
        <f t="shared" si="14"/>
        <v>406.71</v>
      </c>
      <c r="Y8" s="625">
        <f t="shared" si="15"/>
        <v>514.34</v>
      </c>
      <c r="Z8" s="656">
        <f t="shared" si="16"/>
        <v>1306.83</v>
      </c>
      <c r="AA8" s="683"/>
      <c r="AB8" s="625">
        <f t="shared" si="17"/>
        <v>465</v>
      </c>
      <c r="AC8" s="625">
        <f t="shared" si="18"/>
        <v>391</v>
      </c>
      <c r="AD8" s="625">
        <f t="shared" si="19"/>
        <v>119</v>
      </c>
      <c r="AE8" s="625">
        <f t="shared" si="20"/>
        <v>6.56</v>
      </c>
      <c r="AF8" s="625">
        <f t="shared" si="21"/>
        <v>325.27</v>
      </c>
      <c r="AG8" s="657">
        <f t="shared" si="22"/>
        <v>0.2424073232</v>
      </c>
      <c r="AH8" s="165"/>
      <c r="AI8" s="165">
        <f t="shared" ref="AI8:AM8" si="34">AB8/U8</f>
        <v>0.2546549836</v>
      </c>
      <c r="AJ8" s="165">
        <f t="shared" si="34"/>
        <v>0.2394366197</v>
      </c>
      <c r="AK8" s="165">
        <f t="shared" si="34"/>
        <v>0.1177052423</v>
      </c>
      <c r="AL8" s="165">
        <f t="shared" si="34"/>
        <v>0.01612942883</v>
      </c>
      <c r="AM8" s="165">
        <f t="shared" si="34"/>
        <v>0.6324026908</v>
      </c>
      <c r="AN8" s="684">
        <f t="shared" si="24"/>
        <v>18350</v>
      </c>
      <c r="AO8" s="625"/>
      <c r="AP8" s="625">
        <v>6550.0</v>
      </c>
      <c r="AQ8" s="625">
        <v>3950.0</v>
      </c>
      <c r="AR8" s="625">
        <v>3050.0</v>
      </c>
      <c r="AS8" s="625">
        <v>2750.0</v>
      </c>
      <c r="AT8" s="625">
        <v>2050.0</v>
      </c>
      <c r="AU8" s="684">
        <f t="shared" si="25"/>
        <v>5225.34</v>
      </c>
      <c r="AV8" s="625"/>
      <c r="AW8" s="625">
        <v>0.0</v>
      </c>
      <c r="AX8" s="625">
        <v>0.0</v>
      </c>
      <c r="AY8" s="625">
        <v>2977.0</v>
      </c>
      <c r="AZ8" s="625">
        <v>0.0</v>
      </c>
      <c r="BA8" s="693">
        <v>2248.34</v>
      </c>
      <c r="BB8" s="631"/>
      <c r="BC8" s="189" t="s">
        <v>695</v>
      </c>
      <c r="BD8" s="186" t="s">
        <v>3303</v>
      </c>
      <c r="BE8" s="179" t="s">
        <v>3304</v>
      </c>
      <c r="BF8" s="179" t="s">
        <v>3305</v>
      </c>
      <c r="BG8" s="179" t="s">
        <v>3306</v>
      </c>
      <c r="BH8" s="179" t="s">
        <v>3307</v>
      </c>
      <c r="BI8" s="179" t="s">
        <v>3308</v>
      </c>
      <c r="BJ8" s="179"/>
      <c r="BK8" s="646"/>
      <c r="BL8" s="179" t="b">
        <f t="shared" si="26"/>
        <v>1</v>
      </c>
      <c r="BM8" s="179" t="b">
        <f t="shared" si="27"/>
        <v>1</v>
      </c>
      <c r="BN8" s="688" t="b">
        <f t="shared" si="28"/>
        <v>1</v>
      </c>
    </row>
    <row r="9">
      <c r="A9" s="689"/>
      <c r="B9" s="186" t="s">
        <v>3317</v>
      </c>
      <c r="C9" s="676" t="s">
        <v>2113</v>
      </c>
      <c r="D9" s="677">
        <v>368.0</v>
      </c>
      <c r="E9" s="632" t="s">
        <v>3318</v>
      </c>
      <c r="F9" s="678">
        <f t="shared" ref="F9:G9" si="35">H9+J9+L9+N9+P9</f>
        <v>2780.99</v>
      </c>
      <c r="G9" s="679">
        <f t="shared" si="35"/>
        <v>443.78</v>
      </c>
      <c r="H9" s="641">
        <v>522.51</v>
      </c>
      <c r="I9" s="680">
        <v>95.78</v>
      </c>
      <c r="J9" s="641">
        <v>698.98</v>
      </c>
      <c r="K9" s="680">
        <v>78.81</v>
      </c>
      <c r="L9" s="641">
        <v>571.3</v>
      </c>
      <c r="M9" s="680">
        <v>112.1</v>
      </c>
      <c r="N9" s="641">
        <v>545.67</v>
      </c>
      <c r="O9" s="680">
        <v>84.49</v>
      </c>
      <c r="P9" s="641">
        <v>442.53</v>
      </c>
      <c r="Q9" s="680">
        <v>72.6</v>
      </c>
      <c r="R9" s="681" t="s">
        <v>718</v>
      </c>
      <c r="S9" s="682">
        <f t="shared" si="10"/>
        <v>2780.99</v>
      </c>
      <c r="T9" s="683"/>
      <c r="U9" s="625">
        <f t="shared" si="11"/>
        <v>522.51</v>
      </c>
      <c r="V9" s="625">
        <f t="shared" si="12"/>
        <v>698.98</v>
      </c>
      <c r="W9" s="625">
        <f t="shared" si="13"/>
        <v>571.3</v>
      </c>
      <c r="X9" s="625">
        <f t="shared" si="14"/>
        <v>545.67</v>
      </c>
      <c r="Y9" s="625">
        <f t="shared" si="15"/>
        <v>442.53</v>
      </c>
      <c r="Z9" s="656">
        <f t="shared" si="16"/>
        <v>443.78</v>
      </c>
      <c r="AA9" s="683"/>
      <c r="AB9" s="625">
        <f t="shared" si="17"/>
        <v>95.78</v>
      </c>
      <c r="AC9" s="625">
        <f t="shared" si="18"/>
        <v>78.81</v>
      </c>
      <c r="AD9" s="625">
        <f t="shared" si="19"/>
        <v>112.1</v>
      </c>
      <c r="AE9" s="625">
        <f t="shared" si="20"/>
        <v>84.49</v>
      </c>
      <c r="AF9" s="625">
        <f t="shared" si="21"/>
        <v>72.6</v>
      </c>
      <c r="AG9" s="657">
        <f t="shared" si="22"/>
        <v>0.159576266</v>
      </c>
      <c r="AH9" s="165"/>
      <c r="AI9" s="165">
        <f t="shared" ref="AI9:AM9" si="36">AB9/U9</f>
        <v>0.1833074965</v>
      </c>
      <c r="AJ9" s="165">
        <f t="shared" si="36"/>
        <v>0.1127500072</v>
      </c>
      <c r="AK9" s="165">
        <f t="shared" si="36"/>
        <v>0.1962191493</v>
      </c>
      <c r="AL9" s="165">
        <f t="shared" si="36"/>
        <v>0.1548371727</v>
      </c>
      <c r="AM9" s="165">
        <f t="shared" si="36"/>
        <v>0.1640566741</v>
      </c>
      <c r="AN9" s="684">
        <f t="shared" si="24"/>
        <v>2773</v>
      </c>
      <c r="AO9" s="625"/>
      <c r="AP9" s="625">
        <v>618.0</v>
      </c>
      <c r="AQ9" s="625">
        <v>906.0</v>
      </c>
      <c r="AR9" s="625">
        <v>470.0</v>
      </c>
      <c r="AS9" s="625">
        <v>498.0</v>
      </c>
      <c r="AT9" s="625">
        <v>281.0</v>
      </c>
      <c r="AU9" s="684">
        <f t="shared" si="25"/>
        <v>588.52</v>
      </c>
      <c r="AV9" s="625"/>
      <c r="AW9" s="625">
        <v>336.23</v>
      </c>
      <c r="AX9" s="625">
        <v>160.93</v>
      </c>
      <c r="AY9" s="625">
        <v>56.35</v>
      </c>
      <c r="AZ9" s="625">
        <v>17.19</v>
      </c>
      <c r="BA9" s="693">
        <v>17.82</v>
      </c>
      <c r="BB9" s="631"/>
      <c r="BC9" s="189" t="s">
        <v>695</v>
      </c>
      <c r="BD9" s="688" t="s">
        <v>3303</v>
      </c>
      <c r="BE9" s="179" t="s">
        <v>3304</v>
      </c>
      <c r="BF9" s="179" t="s">
        <v>3305</v>
      </c>
      <c r="BG9" s="179" t="s">
        <v>3306</v>
      </c>
      <c r="BH9" s="179" t="s">
        <v>3307</v>
      </c>
      <c r="BI9" s="179" t="s">
        <v>3308</v>
      </c>
      <c r="BJ9" s="179"/>
      <c r="BK9" s="631"/>
      <c r="BL9" s="179" t="b">
        <f t="shared" si="26"/>
        <v>1</v>
      </c>
      <c r="BM9" s="179" t="b">
        <f t="shared" si="27"/>
        <v>1</v>
      </c>
      <c r="BN9" s="688" t="b">
        <f t="shared" si="28"/>
        <v>1</v>
      </c>
    </row>
    <row r="10">
      <c r="A10" s="426"/>
      <c r="B10" s="186" t="s">
        <v>3319</v>
      </c>
      <c r="C10" s="690" t="s">
        <v>2317</v>
      </c>
      <c r="D10" s="461">
        <v>310.0</v>
      </c>
      <c r="E10" s="632" t="s">
        <v>3320</v>
      </c>
      <c r="F10" s="678">
        <f t="shared" ref="F10:G10" si="37">H10+J10+L10+N10+P10</f>
        <v>681.64</v>
      </c>
      <c r="G10" s="679">
        <f t="shared" si="37"/>
        <v>-100.4</v>
      </c>
      <c r="H10" s="641">
        <v>195.1</v>
      </c>
      <c r="I10" s="680">
        <v>22.8</v>
      </c>
      <c r="J10" s="641">
        <v>62.0</v>
      </c>
      <c r="K10" s="680">
        <v>32.2</v>
      </c>
      <c r="L10" s="641">
        <v>39.8</v>
      </c>
      <c r="M10" s="680">
        <v>21.8</v>
      </c>
      <c r="N10" s="641">
        <v>15.75</v>
      </c>
      <c r="O10" s="680">
        <v>9.2</v>
      </c>
      <c r="P10" s="641">
        <v>368.99</v>
      </c>
      <c r="Q10" s="680">
        <v>-186.4</v>
      </c>
      <c r="R10" s="681" t="s">
        <v>702</v>
      </c>
      <c r="S10" s="682">
        <f t="shared" si="10"/>
        <v>681.64</v>
      </c>
      <c r="T10" s="683"/>
      <c r="U10" s="625">
        <f t="shared" si="11"/>
        <v>195.1</v>
      </c>
      <c r="V10" s="625">
        <f t="shared" si="12"/>
        <v>62</v>
      </c>
      <c r="W10" s="625">
        <f t="shared" si="13"/>
        <v>39.8</v>
      </c>
      <c r="X10" s="625">
        <f t="shared" si="14"/>
        <v>15.75</v>
      </c>
      <c r="Y10" s="625">
        <f t="shared" si="15"/>
        <v>368.99</v>
      </c>
      <c r="Z10" s="656">
        <f t="shared" si="16"/>
        <v>-100.4</v>
      </c>
      <c r="AA10" s="683"/>
      <c r="AB10" s="625">
        <f t="shared" si="17"/>
        <v>22.8</v>
      </c>
      <c r="AC10" s="625">
        <f t="shared" si="18"/>
        <v>32.2</v>
      </c>
      <c r="AD10" s="625">
        <f t="shared" si="19"/>
        <v>21.8</v>
      </c>
      <c r="AE10" s="625">
        <f t="shared" si="20"/>
        <v>9.2</v>
      </c>
      <c r="AF10" s="625">
        <f t="shared" si="21"/>
        <v>-186.4</v>
      </c>
      <c r="AG10" s="657">
        <f t="shared" si="22"/>
        <v>-0.1472918256</v>
      </c>
      <c r="AH10" s="165"/>
      <c r="AI10" s="165">
        <f t="shared" ref="AI10:AM10" si="38">AB10/U10</f>
        <v>0.1168631471</v>
      </c>
      <c r="AJ10" s="165">
        <f t="shared" si="38"/>
        <v>0.5193548387</v>
      </c>
      <c r="AK10" s="165">
        <f t="shared" si="38"/>
        <v>0.5477386935</v>
      </c>
      <c r="AL10" s="165">
        <f t="shared" si="38"/>
        <v>0.5841269841</v>
      </c>
      <c r="AM10" s="165">
        <f t="shared" si="38"/>
        <v>-0.5051627415</v>
      </c>
      <c r="AN10" s="684">
        <f t="shared" si="24"/>
        <v>1804.766</v>
      </c>
      <c r="AO10" s="641">
        <v>379.284</v>
      </c>
      <c r="AP10" s="641">
        <v>473.0</v>
      </c>
      <c r="AQ10" s="641">
        <v>867.1</v>
      </c>
      <c r="AR10" s="641">
        <v>187.0</v>
      </c>
      <c r="AS10" s="641">
        <v>98.2</v>
      </c>
      <c r="AT10" s="641">
        <v>179.466</v>
      </c>
      <c r="AU10" s="684">
        <f t="shared" si="25"/>
        <v>63.29</v>
      </c>
      <c r="AV10" s="641">
        <v>96.192</v>
      </c>
      <c r="AW10" s="625">
        <v>63.29</v>
      </c>
      <c r="AX10" s="625">
        <v>0.0</v>
      </c>
      <c r="AY10" s="625">
        <v>0.0</v>
      </c>
      <c r="AZ10" s="625">
        <v>0.0</v>
      </c>
      <c r="BA10" s="693">
        <v>0.0</v>
      </c>
      <c r="BB10" s="631"/>
      <c r="BC10" s="189" t="s">
        <v>695</v>
      </c>
      <c r="BD10" s="186" t="s">
        <v>3303</v>
      </c>
      <c r="BE10" s="688" t="s">
        <v>3303</v>
      </c>
      <c r="BF10" s="688" t="s">
        <v>3303</v>
      </c>
      <c r="BG10" s="688" t="s">
        <v>3303</v>
      </c>
      <c r="BH10" s="688" t="s">
        <v>3303</v>
      </c>
      <c r="BI10" s="688" t="s">
        <v>3303</v>
      </c>
      <c r="BJ10" s="179"/>
      <c r="BK10" s="631"/>
      <c r="BL10" s="179" t="b">
        <f t="shared" si="26"/>
        <v>1</v>
      </c>
      <c r="BM10" s="179" t="b">
        <f t="shared" si="27"/>
        <v>1</v>
      </c>
      <c r="BN10" s="688" t="b">
        <f t="shared" si="28"/>
        <v>1</v>
      </c>
    </row>
    <row r="11">
      <c r="A11" s="689"/>
      <c r="B11" s="186" t="s">
        <v>3321</v>
      </c>
      <c r="C11" s="690" t="s">
        <v>2317</v>
      </c>
      <c r="D11" s="677">
        <v>322.0</v>
      </c>
      <c r="E11" s="632" t="s">
        <v>3322</v>
      </c>
      <c r="F11" s="678">
        <f t="shared" ref="F11:G11" si="39">H11+J11+L11+N11+P11</f>
        <v>4104.7</v>
      </c>
      <c r="G11" s="679">
        <f t="shared" si="39"/>
        <v>408.3</v>
      </c>
      <c r="H11" s="641">
        <v>917.8</v>
      </c>
      <c r="I11" s="641">
        <v>149.1</v>
      </c>
      <c r="J11" s="641">
        <v>896.2</v>
      </c>
      <c r="K11" s="641">
        <v>85.6</v>
      </c>
      <c r="L11" s="641">
        <v>919.9</v>
      </c>
      <c r="M11" s="641">
        <v>26.9</v>
      </c>
      <c r="N11" s="641">
        <v>700.0</v>
      </c>
      <c r="O11" s="641">
        <v>163.7</v>
      </c>
      <c r="P11" s="641">
        <v>670.8</v>
      </c>
      <c r="Q11" s="641">
        <v>-17.0</v>
      </c>
      <c r="R11" s="681" t="s">
        <v>716</v>
      </c>
      <c r="S11" s="682">
        <f t="shared" si="10"/>
        <v>4104.7</v>
      </c>
      <c r="T11" s="683"/>
      <c r="U11" s="625">
        <f t="shared" si="11"/>
        <v>917.8</v>
      </c>
      <c r="V11" s="625">
        <f t="shared" si="12"/>
        <v>896.2</v>
      </c>
      <c r="W11" s="625">
        <f t="shared" si="13"/>
        <v>919.9</v>
      </c>
      <c r="X11" s="625">
        <f t="shared" si="14"/>
        <v>700</v>
      </c>
      <c r="Y11" s="625">
        <f t="shared" si="15"/>
        <v>670.8</v>
      </c>
      <c r="Z11" s="656">
        <f t="shared" si="16"/>
        <v>408.3</v>
      </c>
      <c r="AA11" s="683"/>
      <c r="AB11" s="625">
        <f t="shared" si="17"/>
        <v>149.1</v>
      </c>
      <c r="AC11" s="625">
        <f t="shared" si="18"/>
        <v>85.6</v>
      </c>
      <c r="AD11" s="625">
        <f t="shared" si="19"/>
        <v>26.9</v>
      </c>
      <c r="AE11" s="625">
        <f t="shared" si="20"/>
        <v>163.7</v>
      </c>
      <c r="AF11" s="625">
        <f t="shared" si="21"/>
        <v>-17</v>
      </c>
      <c r="AG11" s="657">
        <f t="shared" si="22"/>
        <v>0.09947133773</v>
      </c>
      <c r="AH11" s="165"/>
      <c r="AI11" s="165">
        <f t="shared" ref="AI11:AM11" si="40">AB11/U11</f>
        <v>0.1624536936</v>
      </c>
      <c r="AJ11" s="165">
        <f t="shared" si="40"/>
        <v>0.09551439411</v>
      </c>
      <c r="AK11" s="165">
        <f t="shared" si="40"/>
        <v>0.02924230895</v>
      </c>
      <c r="AL11" s="165">
        <f t="shared" si="40"/>
        <v>0.2338571429</v>
      </c>
      <c r="AM11" s="165">
        <f t="shared" si="40"/>
        <v>-0.02534287418</v>
      </c>
      <c r="AN11" s="684">
        <f t="shared" si="24"/>
        <v>0</v>
      </c>
      <c r="AO11" s="625">
        <v>0.0</v>
      </c>
      <c r="AP11" s="625">
        <v>0.0</v>
      </c>
      <c r="AQ11" s="625">
        <v>0.0</v>
      </c>
      <c r="AR11" s="625">
        <v>0.0</v>
      </c>
      <c r="AS11" s="625">
        <v>0.0</v>
      </c>
      <c r="AT11" s="625">
        <v>0.0</v>
      </c>
      <c r="AU11" s="684">
        <f t="shared" si="25"/>
        <v>5635.4</v>
      </c>
      <c r="AV11" s="641">
        <v>1496.6</v>
      </c>
      <c r="AW11" s="625">
        <v>1383.3</v>
      </c>
      <c r="AX11" s="625">
        <v>1256.7</v>
      </c>
      <c r="AY11" s="625">
        <v>1103.6</v>
      </c>
      <c r="AZ11" s="625">
        <v>994.0</v>
      </c>
      <c r="BA11" s="693">
        <v>897.8</v>
      </c>
      <c r="BB11" s="631"/>
      <c r="BC11" s="189" t="s">
        <v>695</v>
      </c>
      <c r="BD11" s="186" t="s">
        <v>3303</v>
      </c>
      <c r="BE11" s="179" t="s">
        <v>3304</v>
      </c>
      <c r="BF11" s="179" t="s">
        <v>3305</v>
      </c>
      <c r="BG11" s="179" t="s">
        <v>3306</v>
      </c>
      <c r="BH11" s="179" t="s">
        <v>3307</v>
      </c>
      <c r="BI11" s="179" t="s">
        <v>3308</v>
      </c>
      <c r="BJ11" s="179"/>
      <c r="BK11" s="631"/>
      <c r="BL11" s="179" t="b">
        <f t="shared" si="26"/>
        <v>1</v>
      </c>
      <c r="BM11" s="179" t="b">
        <f t="shared" si="27"/>
        <v>0</v>
      </c>
      <c r="BN11" s="688" t="b">
        <f t="shared" si="28"/>
        <v>1</v>
      </c>
    </row>
    <row r="12">
      <c r="A12" s="675" t="s">
        <v>3301</v>
      </c>
      <c r="B12" s="186" t="s">
        <v>3323</v>
      </c>
      <c r="C12" s="694" t="s">
        <v>3324</v>
      </c>
      <c r="D12" s="677">
        <v>53.0</v>
      </c>
      <c r="E12" s="131" t="s">
        <v>2530</v>
      </c>
      <c r="F12" s="678">
        <f t="shared" ref="F12:G12" si="41">H12+J12+L12+N12+P12</f>
        <v>5550.8</v>
      </c>
      <c r="G12" s="679">
        <f t="shared" si="41"/>
        <v>934.8</v>
      </c>
      <c r="H12" s="641">
        <v>1847.4</v>
      </c>
      <c r="I12" s="680">
        <v>320.5</v>
      </c>
      <c r="J12" s="641">
        <v>2050.3</v>
      </c>
      <c r="K12" s="680">
        <v>211.1</v>
      </c>
      <c r="L12" s="641">
        <v>1044.2</v>
      </c>
      <c r="M12" s="680">
        <v>307.0</v>
      </c>
      <c r="N12" s="641">
        <v>550.0</v>
      </c>
      <c r="O12" s="680">
        <v>87.2</v>
      </c>
      <c r="P12" s="641">
        <v>58.9</v>
      </c>
      <c r="Q12" s="680">
        <v>9.0</v>
      </c>
      <c r="R12" s="681" t="s">
        <v>3325</v>
      </c>
      <c r="S12" s="682">
        <f t="shared" si="10"/>
        <v>5550.8</v>
      </c>
      <c r="T12" s="683"/>
      <c r="U12" s="625">
        <f t="shared" si="11"/>
        <v>1847.4</v>
      </c>
      <c r="V12" s="625">
        <f t="shared" si="12"/>
        <v>2050.3</v>
      </c>
      <c r="W12" s="625">
        <f t="shared" si="13"/>
        <v>1044.2</v>
      </c>
      <c r="X12" s="625">
        <f t="shared" si="14"/>
        <v>550</v>
      </c>
      <c r="Y12" s="625">
        <f t="shared" si="15"/>
        <v>58.9</v>
      </c>
      <c r="Z12" s="656">
        <f t="shared" si="16"/>
        <v>934.8</v>
      </c>
      <c r="AA12" s="683"/>
      <c r="AB12" s="625">
        <f t="shared" si="17"/>
        <v>320.5</v>
      </c>
      <c r="AC12" s="625">
        <f t="shared" si="18"/>
        <v>211.1</v>
      </c>
      <c r="AD12" s="625">
        <f t="shared" si="19"/>
        <v>307</v>
      </c>
      <c r="AE12" s="625">
        <f t="shared" si="20"/>
        <v>87.2</v>
      </c>
      <c r="AF12" s="625">
        <f t="shared" si="21"/>
        <v>9</v>
      </c>
      <c r="AG12" s="657">
        <f t="shared" si="22"/>
        <v>0.1684081574</v>
      </c>
      <c r="AH12" s="165"/>
      <c r="AI12" s="165">
        <f t="shared" ref="AI12:AM12" si="42">AB12/U12</f>
        <v>0.1734870629</v>
      </c>
      <c r="AJ12" s="165">
        <f t="shared" si="42"/>
        <v>0.1029605424</v>
      </c>
      <c r="AK12" s="165">
        <f t="shared" si="42"/>
        <v>0.2940049799</v>
      </c>
      <c r="AL12" s="165">
        <f t="shared" si="42"/>
        <v>0.1585454545</v>
      </c>
      <c r="AM12" s="165">
        <f t="shared" si="42"/>
        <v>0.1528013582</v>
      </c>
      <c r="AN12" s="684">
        <f t="shared" si="24"/>
        <v>1907</v>
      </c>
      <c r="AO12" s="631"/>
      <c r="AP12" s="641">
        <v>0.0</v>
      </c>
      <c r="AQ12" s="641">
        <v>0.0</v>
      </c>
      <c r="AR12" s="641">
        <v>1881.0</v>
      </c>
      <c r="AS12" s="641">
        <v>0.0</v>
      </c>
      <c r="AT12" s="641">
        <v>26.0</v>
      </c>
      <c r="AU12" s="684">
        <f t="shared" si="25"/>
        <v>802</v>
      </c>
      <c r="AV12" s="625"/>
      <c r="AW12" s="641">
        <v>320.0</v>
      </c>
      <c r="AX12" s="641">
        <v>322.0</v>
      </c>
      <c r="AY12" s="641">
        <v>160.0</v>
      </c>
      <c r="AZ12" s="641">
        <v>0.0</v>
      </c>
      <c r="BA12" s="691">
        <v>0.0</v>
      </c>
      <c r="BB12" s="631"/>
      <c r="BC12" s="695" t="s">
        <v>695</v>
      </c>
      <c r="BD12" s="688" t="s">
        <v>3303</v>
      </c>
      <c r="BE12" s="695" t="s">
        <v>3304</v>
      </c>
      <c r="BF12" s="695" t="s">
        <v>3305</v>
      </c>
      <c r="BG12" s="695" t="s">
        <v>3306</v>
      </c>
      <c r="BH12" s="695" t="s">
        <v>3307</v>
      </c>
      <c r="BI12" s="695" t="s">
        <v>3308</v>
      </c>
      <c r="BJ12" s="179"/>
      <c r="BK12" s="631"/>
      <c r="BL12" s="179" t="b">
        <f t="shared" si="26"/>
        <v>1</v>
      </c>
      <c r="BM12" s="179" t="b">
        <f t="shared" si="27"/>
        <v>1</v>
      </c>
      <c r="BN12" s="688" t="b">
        <f t="shared" si="28"/>
        <v>0</v>
      </c>
    </row>
    <row r="13">
      <c r="A13" s="696" t="s">
        <v>1534</v>
      </c>
      <c r="B13" s="186" t="s">
        <v>3326</v>
      </c>
      <c r="C13" s="676" t="s">
        <v>2113</v>
      </c>
      <c r="D13" s="677">
        <v>338.0</v>
      </c>
      <c r="E13" s="632" t="s">
        <v>60</v>
      </c>
      <c r="F13" s="678">
        <f t="shared" ref="F13:G13" si="43">H13+J13+L13+N13+P13</f>
        <v>13278</v>
      </c>
      <c r="G13" s="679">
        <f t="shared" si="43"/>
        <v>489</v>
      </c>
      <c r="H13" s="641">
        <v>2777.0</v>
      </c>
      <c r="I13" s="680">
        <v>1.0</v>
      </c>
      <c r="J13" s="641">
        <v>3671.0</v>
      </c>
      <c r="K13" s="680">
        <v>502.0</v>
      </c>
      <c r="L13" s="641">
        <v>3354.0</v>
      </c>
      <c r="M13" s="680">
        <v>0.0</v>
      </c>
      <c r="N13" s="641">
        <v>1923.0</v>
      </c>
      <c r="O13" s="680">
        <v>-2.0</v>
      </c>
      <c r="P13" s="641">
        <v>1553.0</v>
      </c>
      <c r="Q13" s="680">
        <v>-12.0</v>
      </c>
      <c r="R13" s="681" t="s">
        <v>703</v>
      </c>
      <c r="S13" s="682">
        <f t="shared" si="10"/>
        <v>13278</v>
      </c>
      <c r="T13" s="683"/>
      <c r="U13" s="625">
        <f t="shared" si="11"/>
        <v>2777</v>
      </c>
      <c r="V13" s="625">
        <f t="shared" si="12"/>
        <v>3671</v>
      </c>
      <c r="W13" s="625">
        <f t="shared" si="13"/>
        <v>3354</v>
      </c>
      <c r="X13" s="625">
        <f t="shared" si="14"/>
        <v>1923</v>
      </c>
      <c r="Y13" s="625">
        <f t="shared" si="15"/>
        <v>1553</v>
      </c>
      <c r="Z13" s="656">
        <f t="shared" si="16"/>
        <v>489</v>
      </c>
      <c r="AA13" s="683"/>
      <c r="AB13" s="625">
        <f t="shared" si="17"/>
        <v>1</v>
      </c>
      <c r="AC13" s="625">
        <f t="shared" si="18"/>
        <v>502</v>
      </c>
      <c r="AD13" s="625">
        <f t="shared" si="19"/>
        <v>0</v>
      </c>
      <c r="AE13" s="625">
        <f t="shared" si="20"/>
        <v>-2</v>
      </c>
      <c r="AF13" s="625">
        <f t="shared" si="21"/>
        <v>-12</v>
      </c>
      <c r="AG13" s="657">
        <f t="shared" si="22"/>
        <v>0.03682783552</v>
      </c>
      <c r="AH13" s="165"/>
      <c r="AI13" s="165">
        <f t="shared" ref="AI13:AM13" si="44">AB13/U13</f>
        <v>0.0003601008282</v>
      </c>
      <c r="AJ13" s="165">
        <f t="shared" si="44"/>
        <v>0.1367474803</v>
      </c>
      <c r="AK13" s="165">
        <f t="shared" si="44"/>
        <v>0</v>
      </c>
      <c r="AL13" s="165">
        <f t="shared" si="44"/>
        <v>-0.001040041602</v>
      </c>
      <c r="AM13" s="165">
        <f t="shared" si="44"/>
        <v>-0.007726980039</v>
      </c>
      <c r="AN13" s="684">
        <f t="shared" si="24"/>
        <v>5728</v>
      </c>
      <c r="AO13" s="641"/>
      <c r="AP13" s="641">
        <v>1650.0</v>
      </c>
      <c r="AQ13" s="641">
        <v>1994.0</v>
      </c>
      <c r="AR13" s="641">
        <v>106.0</v>
      </c>
      <c r="AS13" s="641">
        <v>1039.0</v>
      </c>
      <c r="AT13" s="641">
        <v>939.0</v>
      </c>
      <c r="AU13" s="684">
        <f t="shared" si="25"/>
        <v>1679</v>
      </c>
      <c r="AV13" s="641"/>
      <c r="AW13" s="641">
        <v>494.0</v>
      </c>
      <c r="AX13" s="641">
        <v>381.0</v>
      </c>
      <c r="AY13" s="625">
        <v>289.0</v>
      </c>
      <c r="AZ13" s="625">
        <v>273.0</v>
      </c>
      <c r="BA13" s="693">
        <v>242.0</v>
      </c>
      <c r="BB13" s="631"/>
      <c r="BC13" s="189" t="s">
        <v>695</v>
      </c>
      <c r="BD13" s="186" t="s">
        <v>3303</v>
      </c>
      <c r="BE13" s="179" t="s">
        <v>3304</v>
      </c>
      <c r="BF13" s="179" t="s">
        <v>3305</v>
      </c>
      <c r="BG13" s="179" t="s">
        <v>3306</v>
      </c>
      <c r="BH13" s="179" t="s">
        <v>3307</v>
      </c>
      <c r="BI13" s="179" t="s">
        <v>3308</v>
      </c>
      <c r="BJ13" s="179"/>
      <c r="BK13" s="646"/>
      <c r="BL13" s="179" t="b">
        <f t="shared" si="26"/>
        <v>1</v>
      </c>
      <c r="BM13" s="179" t="b">
        <f t="shared" si="27"/>
        <v>1</v>
      </c>
      <c r="BN13" s="688" t="b">
        <f t="shared" si="28"/>
        <v>1</v>
      </c>
    </row>
    <row r="14">
      <c r="A14" s="696" t="s">
        <v>3327</v>
      </c>
      <c r="B14" s="186" t="s">
        <v>3328</v>
      </c>
      <c r="C14" s="697" t="s">
        <v>2113</v>
      </c>
      <c r="D14" s="677">
        <v>8.0</v>
      </c>
      <c r="E14" s="698" t="s">
        <v>1480</v>
      </c>
      <c r="F14" s="699"/>
      <c r="G14" s="700"/>
      <c r="H14" s="628"/>
      <c r="I14" s="701"/>
      <c r="J14" s="632"/>
      <c r="K14" s="700"/>
      <c r="L14" s="632"/>
      <c r="M14" s="700"/>
      <c r="N14" s="632"/>
      <c r="O14" s="700"/>
      <c r="P14" s="632"/>
      <c r="Q14" s="700"/>
      <c r="R14" s="632"/>
      <c r="S14" s="682">
        <f t="shared" si="10"/>
        <v>205189</v>
      </c>
      <c r="T14" s="625"/>
      <c r="U14" s="625">
        <v>60585.0</v>
      </c>
      <c r="V14" s="625">
        <v>75867.0</v>
      </c>
      <c r="W14" s="625">
        <v>36907.0</v>
      </c>
      <c r="X14" s="625">
        <v>15874.0</v>
      </c>
      <c r="Y14" s="625">
        <v>15956.0</v>
      </c>
      <c r="Z14" s="656">
        <f t="shared" si="16"/>
        <v>33970</v>
      </c>
      <c r="AA14" s="625"/>
      <c r="AB14" s="625">
        <v>16398.0</v>
      </c>
      <c r="AC14" s="625">
        <v>8977.0</v>
      </c>
      <c r="AD14" s="625">
        <v>4120.0</v>
      </c>
      <c r="AE14" s="625">
        <v>2110.0</v>
      </c>
      <c r="AF14" s="625">
        <v>2365.0</v>
      </c>
      <c r="AG14" s="657">
        <f t="shared" si="22"/>
        <v>0.1655546837</v>
      </c>
      <c r="AH14" s="165"/>
      <c r="AI14" s="165">
        <f t="shared" ref="AI14:AM14" si="45">AB14/U14</f>
        <v>0.2706610547</v>
      </c>
      <c r="AJ14" s="165">
        <f t="shared" si="45"/>
        <v>0.1183254907</v>
      </c>
      <c r="AK14" s="165">
        <f t="shared" si="45"/>
        <v>0.1116319397</v>
      </c>
      <c r="AL14" s="165">
        <f t="shared" si="45"/>
        <v>0.1329217589</v>
      </c>
      <c r="AM14" s="165">
        <f t="shared" si="45"/>
        <v>0.1482201053</v>
      </c>
      <c r="AN14" s="684">
        <f t="shared" si="24"/>
        <v>168190</v>
      </c>
      <c r="AO14" s="641">
        <v>61504.0</v>
      </c>
      <c r="AP14" s="641">
        <v>59296.0</v>
      </c>
      <c r="AQ14" s="641">
        <v>50274.0</v>
      </c>
      <c r="AR14" s="641">
        <v>31149.0</v>
      </c>
      <c r="AS14" s="641">
        <v>18396.0</v>
      </c>
      <c r="AT14" s="641">
        <v>9075.0</v>
      </c>
      <c r="AU14" s="684">
        <f t="shared" si="25"/>
        <v>0</v>
      </c>
      <c r="AV14" s="641">
        <v>0.0</v>
      </c>
      <c r="AW14" s="641">
        <v>0.0</v>
      </c>
      <c r="AX14" s="641">
        <v>0.0</v>
      </c>
      <c r="AY14" s="641">
        <v>0.0</v>
      </c>
      <c r="AZ14" s="641">
        <v>0.0</v>
      </c>
      <c r="BA14" s="686">
        <v>0.0</v>
      </c>
      <c r="BB14" s="685"/>
      <c r="BC14" s="202" t="s">
        <v>695</v>
      </c>
      <c r="BD14" s="186" t="s">
        <v>3303</v>
      </c>
      <c r="BE14" s="702" t="s">
        <v>3304</v>
      </c>
      <c r="BF14" s="702" t="s">
        <v>3305</v>
      </c>
      <c r="BG14" s="702" t="s">
        <v>3306</v>
      </c>
      <c r="BH14" s="703" t="s">
        <v>3307</v>
      </c>
      <c r="BI14" s="186" t="s">
        <v>3308</v>
      </c>
      <c r="BJ14" s="179"/>
      <c r="BK14" s="685"/>
      <c r="BL14" s="179" t="b">
        <f t="shared" si="26"/>
        <v>1</v>
      </c>
      <c r="BM14" s="179" t="b">
        <f t="shared" si="27"/>
        <v>1</v>
      </c>
      <c r="BN14" s="688" t="b">
        <f t="shared" si="28"/>
        <v>0</v>
      </c>
    </row>
    <row r="15">
      <c r="A15" s="696" t="s">
        <v>3327</v>
      </c>
      <c r="B15" s="186" t="s">
        <v>3329</v>
      </c>
      <c r="C15" s="697" t="s">
        <v>2113</v>
      </c>
      <c r="D15" s="677">
        <v>2.0</v>
      </c>
      <c r="E15" s="698" t="s">
        <v>1470</v>
      </c>
      <c r="F15" s="678"/>
      <c r="G15" s="679"/>
      <c r="H15" s="641"/>
      <c r="I15" s="680"/>
      <c r="J15" s="641"/>
      <c r="K15" s="680"/>
      <c r="L15" s="641"/>
      <c r="M15" s="680"/>
      <c r="N15" s="641"/>
      <c r="O15" s="680"/>
      <c r="P15" s="641"/>
      <c r="Q15" s="680"/>
      <c r="R15" s="632"/>
      <c r="S15" s="682">
        <f t="shared" si="10"/>
        <v>69254</v>
      </c>
      <c r="T15" s="625"/>
      <c r="U15" s="625">
        <v>-9299.0</v>
      </c>
      <c r="V15" s="625">
        <v>35116.0</v>
      </c>
      <c r="W15" s="625">
        <v>19593.0</v>
      </c>
      <c r="X15" s="625">
        <v>13009.0</v>
      </c>
      <c r="Y15" s="625">
        <v>10835.0</v>
      </c>
      <c r="Z15" s="656">
        <f t="shared" si="16"/>
        <v>6172</v>
      </c>
      <c r="AA15" s="625"/>
      <c r="AB15" s="625">
        <v>2175.0</v>
      </c>
      <c r="AC15" s="625">
        <v>2129.0</v>
      </c>
      <c r="AD15" s="625">
        <v>1835.0</v>
      </c>
      <c r="AE15" s="625">
        <v>162.0</v>
      </c>
      <c r="AF15" s="625">
        <v>-129.0</v>
      </c>
      <c r="AG15" s="657">
        <f t="shared" si="22"/>
        <v>0.089121206</v>
      </c>
      <c r="AH15" s="165"/>
      <c r="AI15" s="165">
        <f t="shared" ref="AI15:AM15" si="46">AB15/U15</f>
        <v>-0.2338961179</v>
      </c>
      <c r="AJ15" s="165">
        <f t="shared" si="46"/>
        <v>0.06062763413</v>
      </c>
      <c r="AK15" s="165">
        <f t="shared" si="46"/>
        <v>0.09365589751</v>
      </c>
      <c r="AL15" s="165">
        <f t="shared" si="46"/>
        <v>0.01245291721</v>
      </c>
      <c r="AM15" s="165">
        <f t="shared" si="46"/>
        <v>-0.01190586064</v>
      </c>
      <c r="AN15" s="684">
        <f t="shared" si="24"/>
        <v>6000</v>
      </c>
      <c r="AO15" s="641">
        <v>0.0</v>
      </c>
      <c r="AP15" s="641">
        <v>6000.0</v>
      </c>
      <c r="AQ15" s="641">
        <v>0.0</v>
      </c>
      <c r="AR15" s="641">
        <v>0.0</v>
      </c>
      <c r="AS15" s="641">
        <v>0.0</v>
      </c>
      <c r="AT15" s="641">
        <v>0.0</v>
      </c>
      <c r="AU15" s="684">
        <f t="shared" si="25"/>
        <v>0</v>
      </c>
      <c r="AV15" s="641">
        <v>0.0</v>
      </c>
      <c r="AW15" s="641">
        <v>0.0</v>
      </c>
      <c r="AX15" s="641">
        <v>0.0</v>
      </c>
      <c r="AY15" s="641">
        <v>0.0</v>
      </c>
      <c r="AZ15" s="641">
        <v>0.0</v>
      </c>
      <c r="BA15" s="691">
        <v>0.0</v>
      </c>
      <c r="BB15" s="685"/>
      <c r="BC15" s="186" t="s">
        <v>695</v>
      </c>
      <c r="BD15" s="186" t="s">
        <v>3303</v>
      </c>
      <c r="BE15" s="702" t="s">
        <v>3330</v>
      </c>
      <c r="BF15" s="702" t="s">
        <v>3305</v>
      </c>
      <c r="BG15" s="702" t="s">
        <v>3306</v>
      </c>
      <c r="BH15" s="186" t="s">
        <v>3307</v>
      </c>
      <c r="BI15" s="186" t="s">
        <v>3308</v>
      </c>
      <c r="BJ15" s="179"/>
      <c r="BK15" s="685"/>
      <c r="BL15" s="179" t="b">
        <f t="shared" si="26"/>
        <v>0</v>
      </c>
      <c r="BM15" s="179" t="b">
        <f t="shared" si="27"/>
        <v>0</v>
      </c>
      <c r="BN15" s="688" t="b">
        <f t="shared" si="28"/>
        <v>0</v>
      </c>
    </row>
    <row r="16">
      <c r="A16" s="696" t="s">
        <v>1534</v>
      </c>
      <c r="B16" s="186" t="s">
        <v>3331</v>
      </c>
      <c r="C16" s="676" t="s">
        <v>2113</v>
      </c>
      <c r="D16" s="677">
        <v>480.0</v>
      </c>
      <c r="E16" s="632" t="s">
        <v>31</v>
      </c>
      <c r="F16" s="678">
        <f t="shared" ref="F16:G16" si="47">H16+J16+L16+N16+P16</f>
        <v>5471</v>
      </c>
      <c r="G16" s="679">
        <f t="shared" si="47"/>
        <v>0</v>
      </c>
      <c r="H16" s="641">
        <v>1254.0</v>
      </c>
      <c r="I16" s="680">
        <v>5.0</v>
      </c>
      <c r="J16" s="641">
        <v>1158.0</v>
      </c>
      <c r="K16" s="680">
        <v>7.0</v>
      </c>
      <c r="L16" s="641">
        <v>1027.0</v>
      </c>
      <c r="M16" s="680">
        <v>2.0</v>
      </c>
      <c r="N16" s="641">
        <v>997.0</v>
      </c>
      <c r="O16" s="680">
        <v>-4.0</v>
      </c>
      <c r="P16" s="641">
        <v>1035.0</v>
      </c>
      <c r="Q16" s="680">
        <v>-10.0</v>
      </c>
      <c r="R16" s="681" t="s">
        <v>698</v>
      </c>
      <c r="S16" s="682">
        <f t="shared" si="10"/>
        <v>5471</v>
      </c>
      <c r="T16" s="683"/>
      <c r="U16" s="625">
        <f t="shared" ref="U16:U17" si="50">H16</f>
        <v>1254</v>
      </c>
      <c r="V16" s="625">
        <f t="shared" ref="V16:V17" si="51">J16</f>
        <v>1158</v>
      </c>
      <c r="W16" s="625">
        <f t="shared" ref="W16:W17" si="52">L16</f>
        <v>1027</v>
      </c>
      <c r="X16" s="625">
        <f t="shared" ref="X16:X17" si="53">N16</f>
        <v>997</v>
      </c>
      <c r="Y16" s="625">
        <f t="shared" ref="Y16:Y17" si="54">P16</f>
        <v>1035</v>
      </c>
      <c r="Z16" s="656">
        <f t="shared" si="16"/>
        <v>0</v>
      </c>
      <c r="AA16" s="683"/>
      <c r="AB16" s="625">
        <f t="shared" ref="AB16:AB17" si="55">I16</f>
        <v>5</v>
      </c>
      <c r="AC16" s="625">
        <f t="shared" ref="AC16:AC17" si="56">K16</f>
        <v>7</v>
      </c>
      <c r="AD16" s="625">
        <f t="shared" ref="AD16:AD17" si="57">M16</f>
        <v>2</v>
      </c>
      <c r="AE16" s="625">
        <f t="shared" ref="AE16:AE17" si="58">O16</f>
        <v>-4</v>
      </c>
      <c r="AF16" s="625">
        <f t="shared" ref="AF16:AF17" si="59">Q16</f>
        <v>-10</v>
      </c>
      <c r="AG16" s="657">
        <f t="shared" si="22"/>
        <v>0</v>
      </c>
      <c r="AH16" s="165"/>
      <c r="AI16" s="165">
        <f t="shared" ref="AI16:AM16" si="48">AB16/U16</f>
        <v>0.003987240829</v>
      </c>
      <c r="AJ16" s="165">
        <f t="shared" si="48"/>
        <v>0.006044905009</v>
      </c>
      <c r="AK16" s="165">
        <f t="shared" si="48"/>
        <v>0.001947419669</v>
      </c>
      <c r="AL16" s="165">
        <f t="shared" si="48"/>
        <v>-0.004012036108</v>
      </c>
      <c r="AM16" s="165">
        <f t="shared" si="48"/>
        <v>-0.009661835749</v>
      </c>
      <c r="AN16" s="684">
        <f t="shared" si="24"/>
        <v>13</v>
      </c>
      <c r="AO16" s="625"/>
      <c r="AP16" s="625">
        <v>0.0</v>
      </c>
      <c r="AQ16" s="625">
        <v>13.0</v>
      </c>
      <c r="AR16" s="625">
        <v>0.0</v>
      </c>
      <c r="AS16" s="625">
        <v>0.0</v>
      </c>
      <c r="AT16" s="625">
        <v>0.0</v>
      </c>
      <c r="AU16" s="684">
        <f t="shared" si="25"/>
        <v>2592</v>
      </c>
      <c r="AV16" s="625"/>
      <c r="AW16" s="625">
        <v>610.0</v>
      </c>
      <c r="AX16" s="625">
        <v>565.0</v>
      </c>
      <c r="AY16" s="625">
        <v>494.0</v>
      </c>
      <c r="AZ16" s="625">
        <v>472.0</v>
      </c>
      <c r="BA16" s="693">
        <v>451.0</v>
      </c>
      <c r="BB16" s="631"/>
      <c r="BC16" s="189" t="s">
        <v>695</v>
      </c>
      <c r="BD16" s="688" t="s">
        <v>3303</v>
      </c>
      <c r="BE16" s="179" t="s">
        <v>3304</v>
      </c>
      <c r="BF16" s="179" t="s">
        <v>3305</v>
      </c>
      <c r="BG16" s="179" t="s">
        <v>3306</v>
      </c>
      <c r="BH16" s="179" t="s">
        <v>3307</v>
      </c>
      <c r="BI16" s="179" t="s">
        <v>3308</v>
      </c>
      <c r="BJ16" s="179"/>
      <c r="BK16" s="631"/>
      <c r="BL16" s="179" t="b">
        <f t="shared" si="26"/>
        <v>1</v>
      </c>
      <c r="BM16" s="179" t="b">
        <f t="shared" si="27"/>
        <v>1</v>
      </c>
      <c r="BN16" s="688" t="b">
        <f t="shared" si="28"/>
        <v>1</v>
      </c>
    </row>
    <row r="17">
      <c r="A17" s="696" t="s">
        <v>1534</v>
      </c>
      <c r="B17" s="186" t="s">
        <v>3332</v>
      </c>
      <c r="C17" s="676" t="s">
        <v>2113</v>
      </c>
      <c r="D17" s="677">
        <v>205.0</v>
      </c>
      <c r="E17" s="632" t="s">
        <v>20</v>
      </c>
      <c r="F17" s="678">
        <f t="shared" ref="F17:G17" si="49">H17+J17+L17+N17+P17</f>
        <v>10835.6</v>
      </c>
      <c r="G17" s="679">
        <f t="shared" si="49"/>
        <v>-92</v>
      </c>
      <c r="H17" s="641">
        <v>2393.8</v>
      </c>
      <c r="I17" s="680">
        <v>113.1</v>
      </c>
      <c r="J17" s="641">
        <v>2505.9</v>
      </c>
      <c r="K17" s="680">
        <v>-27.8</v>
      </c>
      <c r="L17" s="641">
        <v>2162.8</v>
      </c>
      <c r="M17" s="680">
        <v>-138.2</v>
      </c>
      <c r="N17" s="641">
        <v>1830.4</v>
      </c>
      <c r="O17" s="680">
        <v>-7.4</v>
      </c>
      <c r="P17" s="641">
        <v>1942.7</v>
      </c>
      <c r="Q17" s="680">
        <v>-31.7</v>
      </c>
      <c r="R17" s="681" t="s">
        <v>707</v>
      </c>
      <c r="S17" s="682">
        <f t="shared" si="10"/>
        <v>10835.6</v>
      </c>
      <c r="T17" s="683"/>
      <c r="U17" s="625">
        <f t="shared" si="50"/>
        <v>2393.8</v>
      </c>
      <c r="V17" s="625">
        <f t="shared" si="51"/>
        <v>2505.9</v>
      </c>
      <c r="W17" s="625">
        <f t="shared" si="52"/>
        <v>2162.8</v>
      </c>
      <c r="X17" s="625">
        <f t="shared" si="53"/>
        <v>1830.4</v>
      </c>
      <c r="Y17" s="625">
        <f t="shared" si="54"/>
        <v>1942.7</v>
      </c>
      <c r="Z17" s="656">
        <f t="shared" si="16"/>
        <v>-92</v>
      </c>
      <c r="AA17" s="683"/>
      <c r="AB17" s="625">
        <f t="shared" si="55"/>
        <v>113.1</v>
      </c>
      <c r="AC17" s="625">
        <f t="shared" si="56"/>
        <v>-27.8</v>
      </c>
      <c r="AD17" s="625">
        <f t="shared" si="57"/>
        <v>-138.2</v>
      </c>
      <c r="AE17" s="625">
        <f t="shared" si="58"/>
        <v>-7.4</v>
      </c>
      <c r="AF17" s="625">
        <f t="shared" si="59"/>
        <v>-31.7</v>
      </c>
      <c r="AG17" s="657">
        <f t="shared" si="22"/>
        <v>-0.008490531212</v>
      </c>
      <c r="AH17" s="165"/>
      <c r="AI17" s="165">
        <f t="shared" ref="AI17:AM17" si="60">AB17/U17</f>
        <v>0.04724705489</v>
      </c>
      <c r="AJ17" s="165">
        <f t="shared" si="60"/>
        <v>-0.01109381859</v>
      </c>
      <c r="AK17" s="165">
        <f t="shared" si="60"/>
        <v>-0.0638986499</v>
      </c>
      <c r="AL17" s="165">
        <f t="shared" si="60"/>
        <v>-0.004042832168</v>
      </c>
      <c r="AM17" s="165">
        <f t="shared" si="60"/>
        <v>-0.01631749627</v>
      </c>
      <c r="AN17" s="684">
        <f t="shared" si="24"/>
        <v>0</v>
      </c>
      <c r="AO17" s="180"/>
      <c r="AP17" s="180">
        <v>0.0</v>
      </c>
      <c r="AQ17" s="180">
        <v>0.0</v>
      </c>
      <c r="AR17" s="180">
        <v>0.0</v>
      </c>
      <c r="AS17" s="180">
        <v>0.0</v>
      </c>
      <c r="AT17" s="180">
        <v>0.0</v>
      </c>
      <c r="AU17" s="684">
        <f t="shared" si="25"/>
        <v>7195.1</v>
      </c>
      <c r="AV17" s="625"/>
      <c r="AW17" s="625">
        <v>1645.2</v>
      </c>
      <c r="AX17" s="625">
        <v>1519.5</v>
      </c>
      <c r="AY17" s="625">
        <v>1424.9</v>
      </c>
      <c r="AZ17" s="625">
        <v>1350.0</v>
      </c>
      <c r="BA17" s="693">
        <v>1255.5</v>
      </c>
      <c r="BB17" s="631"/>
      <c r="BC17" s="189" t="s">
        <v>695</v>
      </c>
      <c r="BD17" s="688" t="s">
        <v>3303</v>
      </c>
      <c r="BE17" s="179" t="s">
        <v>3304</v>
      </c>
      <c r="BF17" s="179" t="s">
        <v>3305</v>
      </c>
      <c r="BG17" s="179" t="s">
        <v>3306</v>
      </c>
      <c r="BH17" s="179" t="s">
        <v>3307</v>
      </c>
      <c r="BI17" s="179" t="s">
        <v>3308</v>
      </c>
      <c r="BJ17" s="179"/>
      <c r="BK17" s="631"/>
      <c r="BL17" s="179" t="b">
        <f t="shared" si="26"/>
        <v>1</v>
      </c>
      <c r="BM17" s="179" t="b">
        <f t="shared" si="27"/>
        <v>1</v>
      </c>
      <c r="BN17" s="688" t="b">
        <f t="shared" si="28"/>
        <v>1</v>
      </c>
    </row>
    <row r="18">
      <c r="A18" s="675" t="s">
        <v>3333</v>
      </c>
      <c r="B18" s="186" t="s">
        <v>3334</v>
      </c>
      <c r="C18" s="704" t="s">
        <v>2113</v>
      </c>
      <c r="D18" s="677">
        <v>76.0</v>
      </c>
      <c r="E18" s="705" t="s">
        <v>14</v>
      </c>
      <c r="F18" s="654"/>
      <c r="G18" s="706"/>
      <c r="H18" s="707"/>
      <c r="I18" s="706"/>
      <c r="J18" s="707"/>
      <c r="K18" s="706"/>
      <c r="L18" s="707"/>
      <c r="M18" s="706"/>
      <c r="N18" s="707"/>
      <c r="O18" s="706"/>
      <c r="P18" s="707"/>
      <c r="Q18" s="708"/>
      <c r="R18" s="709"/>
      <c r="S18" s="682">
        <f t="shared" si="10"/>
        <v>17687</v>
      </c>
      <c r="T18" s="180"/>
      <c r="U18" s="180">
        <v>12432.0</v>
      </c>
      <c r="V18" s="180">
        <v>9838.0</v>
      </c>
      <c r="W18" s="180">
        <v>-8396.0</v>
      </c>
      <c r="X18" s="180">
        <v>3825.0</v>
      </c>
      <c r="Y18" s="180">
        <v>-12.0</v>
      </c>
      <c r="Z18" s="656">
        <f t="shared" si="16"/>
        <v>385</v>
      </c>
      <c r="AA18" s="180"/>
      <c r="AB18" s="180">
        <v>246.0</v>
      </c>
      <c r="AC18" s="180">
        <v>-216.0</v>
      </c>
      <c r="AD18" s="180">
        <v>-57.0</v>
      </c>
      <c r="AE18" s="685">
        <v>278.0</v>
      </c>
      <c r="AF18" s="180">
        <v>134.0</v>
      </c>
      <c r="AG18" s="657">
        <f t="shared" si="22"/>
        <v>0.02176739979</v>
      </c>
      <c r="AH18" s="165"/>
      <c r="AI18" s="165">
        <f t="shared" ref="AI18:AM18" si="61">AB18/U18</f>
        <v>0.01978764479</v>
      </c>
      <c r="AJ18" s="165">
        <f t="shared" si="61"/>
        <v>-0.02195568205</v>
      </c>
      <c r="AK18" s="165">
        <f t="shared" si="61"/>
        <v>0.006788947118</v>
      </c>
      <c r="AL18" s="165">
        <f t="shared" si="61"/>
        <v>0.07267973856</v>
      </c>
      <c r="AM18" s="165">
        <f t="shared" si="61"/>
        <v>-11.16666667</v>
      </c>
      <c r="AN18" s="684">
        <f t="shared" si="24"/>
        <v>10037</v>
      </c>
      <c r="AO18" s="685">
        <v>2961.0</v>
      </c>
      <c r="AP18" s="180">
        <v>5200.0</v>
      </c>
      <c r="AQ18" s="180">
        <v>2598.0</v>
      </c>
      <c r="AR18" s="180">
        <v>500.0</v>
      </c>
      <c r="AS18" s="180">
        <v>0.0</v>
      </c>
      <c r="AT18" s="180">
        <v>1739.0</v>
      </c>
      <c r="AU18" s="684">
        <f t="shared" si="25"/>
        <v>5529</v>
      </c>
      <c r="AV18" s="180">
        <f>997+29</f>
        <v>1026</v>
      </c>
      <c r="AW18" s="180">
        <f>982+29</f>
        <v>1011</v>
      </c>
      <c r="AX18" s="180">
        <f>1083+29</f>
        <v>1112</v>
      </c>
      <c r="AY18" s="180">
        <f>1103+29</f>
        <v>1132</v>
      </c>
      <c r="AZ18" s="180">
        <f>1114+22</f>
        <v>1136</v>
      </c>
      <c r="BA18" s="710">
        <v>1138.0</v>
      </c>
      <c r="BB18" s="631"/>
      <c r="BC18" s="687" t="s">
        <v>695</v>
      </c>
      <c r="BD18" s="186" t="s">
        <v>3303</v>
      </c>
      <c r="BE18" s="695" t="s">
        <v>3304</v>
      </c>
      <c r="BF18" s="695" t="s">
        <v>3305</v>
      </c>
      <c r="BG18" s="695" t="s">
        <v>3306</v>
      </c>
      <c r="BH18" s="180" t="s">
        <v>3307</v>
      </c>
      <c r="BI18" s="180" t="s">
        <v>3308</v>
      </c>
      <c r="BJ18" s="179"/>
      <c r="BK18" s="646"/>
      <c r="BL18" s="179" t="b">
        <f t="shared" si="26"/>
        <v>1</v>
      </c>
      <c r="BM18" s="179" t="b">
        <f t="shared" si="27"/>
        <v>1</v>
      </c>
      <c r="BN18" s="688" t="b">
        <f t="shared" si="28"/>
        <v>1</v>
      </c>
    </row>
    <row r="19">
      <c r="A19" s="689"/>
      <c r="B19" s="186" t="s">
        <v>3335</v>
      </c>
      <c r="C19" s="676" t="s">
        <v>2113</v>
      </c>
      <c r="D19" s="677">
        <v>289.0</v>
      </c>
      <c r="E19" s="632" t="s">
        <v>3336</v>
      </c>
      <c r="F19" s="678">
        <f t="shared" ref="F19:G19" si="62">H19+J19+L19+N19+P19</f>
        <v>11834</v>
      </c>
      <c r="G19" s="679">
        <f t="shared" si="62"/>
        <v>2393</v>
      </c>
      <c r="H19" s="641">
        <v>2982.0</v>
      </c>
      <c r="I19" s="680">
        <v>509.0</v>
      </c>
      <c r="J19" s="641">
        <v>3047.0</v>
      </c>
      <c r="K19" s="680">
        <v>551.0</v>
      </c>
      <c r="L19" s="641">
        <v>1622.0</v>
      </c>
      <c r="M19" s="680">
        <v>527.0</v>
      </c>
      <c r="N19" s="641">
        <v>1965.0</v>
      </c>
      <c r="O19" s="680">
        <v>531.0</v>
      </c>
      <c r="P19" s="641">
        <v>2218.0</v>
      </c>
      <c r="Q19" s="680">
        <v>275.0</v>
      </c>
      <c r="R19" s="681" t="s">
        <v>719</v>
      </c>
      <c r="S19" s="682">
        <f t="shared" si="10"/>
        <v>11834</v>
      </c>
      <c r="T19" s="683"/>
      <c r="U19" s="625">
        <f t="shared" ref="U19:U57" si="65">H19</f>
        <v>2982</v>
      </c>
      <c r="V19" s="625">
        <f t="shared" ref="V19:V57" si="66">J19</f>
        <v>3047</v>
      </c>
      <c r="W19" s="625">
        <f t="shared" ref="W19:W57" si="67">L19</f>
        <v>1622</v>
      </c>
      <c r="X19" s="625">
        <f t="shared" ref="X19:X57" si="68">N19</f>
        <v>1965</v>
      </c>
      <c r="Y19" s="625">
        <f t="shared" ref="Y19:Y57" si="69">P19</f>
        <v>2218</v>
      </c>
      <c r="Z19" s="656">
        <f t="shared" si="16"/>
        <v>2393</v>
      </c>
      <c r="AA19" s="683"/>
      <c r="AB19" s="625">
        <f t="shared" ref="AB19:AB57" si="70">I19</f>
        <v>509</v>
      </c>
      <c r="AC19" s="625">
        <f t="shared" ref="AC19:AC57" si="71">K19</f>
        <v>551</v>
      </c>
      <c r="AD19" s="625">
        <f t="shared" ref="AD19:AD57" si="72">M19</f>
        <v>527</v>
      </c>
      <c r="AE19" s="625">
        <f t="shared" ref="AE19:AE57" si="73">O19</f>
        <v>531</v>
      </c>
      <c r="AF19" s="625">
        <f t="shared" ref="AF19:AF57" si="74">Q19</f>
        <v>275</v>
      </c>
      <c r="AG19" s="657">
        <f t="shared" si="22"/>
        <v>0.2022139598</v>
      </c>
      <c r="AH19" s="165"/>
      <c r="AI19" s="165">
        <f t="shared" ref="AI19:AM19" si="63">AB19/U19</f>
        <v>0.1706908115</v>
      </c>
      <c r="AJ19" s="165">
        <f t="shared" si="63"/>
        <v>0.1808336068</v>
      </c>
      <c r="AK19" s="165">
        <f t="shared" si="63"/>
        <v>0.3249075216</v>
      </c>
      <c r="AL19" s="165">
        <f t="shared" si="63"/>
        <v>0.2702290076</v>
      </c>
      <c r="AM19" s="165">
        <f t="shared" si="63"/>
        <v>0.1239855726</v>
      </c>
      <c r="AN19" s="684">
        <f t="shared" si="24"/>
        <v>9022</v>
      </c>
      <c r="AO19" s="641"/>
      <c r="AP19" s="641">
        <v>1978.0</v>
      </c>
      <c r="AQ19" s="641">
        <v>2030.0</v>
      </c>
      <c r="AR19" s="641">
        <v>1441.0</v>
      </c>
      <c r="AS19" s="641">
        <v>1943.0</v>
      </c>
      <c r="AT19" s="641">
        <v>1630.0</v>
      </c>
      <c r="AU19" s="684">
        <f t="shared" si="25"/>
        <v>2552</v>
      </c>
      <c r="AV19" s="625"/>
      <c r="AW19" s="625">
        <v>534.0</v>
      </c>
      <c r="AX19" s="625">
        <v>511.0</v>
      </c>
      <c r="AY19" s="625">
        <v>497.0</v>
      </c>
      <c r="AZ19" s="625">
        <v>504.0</v>
      </c>
      <c r="BA19" s="693">
        <v>506.0</v>
      </c>
      <c r="BB19" s="631"/>
      <c r="BC19" s="189" t="s">
        <v>695</v>
      </c>
      <c r="BD19" s="688" t="s">
        <v>3303</v>
      </c>
      <c r="BE19" s="179" t="s">
        <v>3304</v>
      </c>
      <c r="BF19" s="179" t="s">
        <v>3305</v>
      </c>
      <c r="BG19" s="179" t="s">
        <v>3306</v>
      </c>
      <c r="BH19" s="179" t="s">
        <v>3307</v>
      </c>
      <c r="BI19" s="179" t="s">
        <v>3308</v>
      </c>
      <c r="BJ19" s="179"/>
      <c r="BK19" s="631"/>
      <c r="BL19" s="179" t="b">
        <f t="shared" si="26"/>
        <v>1</v>
      </c>
      <c r="BM19" s="179" t="b">
        <f t="shared" si="27"/>
        <v>1</v>
      </c>
      <c r="BN19" s="688" t="b">
        <f t="shared" si="28"/>
        <v>1</v>
      </c>
    </row>
    <row r="20">
      <c r="A20" s="696" t="s">
        <v>1534</v>
      </c>
      <c r="B20" s="186" t="s">
        <v>3337</v>
      </c>
      <c r="C20" s="711" t="s">
        <v>2317</v>
      </c>
      <c r="D20" s="677">
        <v>11.0</v>
      </c>
      <c r="E20" s="131" t="s">
        <v>36</v>
      </c>
      <c r="F20" s="678">
        <f t="shared" ref="F20:G20" si="64">H20+J20+L20+N20+P20</f>
        <v>3819.97</v>
      </c>
      <c r="G20" s="679">
        <f t="shared" si="64"/>
        <v>-148.29</v>
      </c>
      <c r="H20" s="641">
        <v>849.02</v>
      </c>
      <c r="I20" s="680">
        <v>126.97</v>
      </c>
      <c r="J20" s="641">
        <v>1375.94</v>
      </c>
      <c r="K20" s="680">
        <v>184.38</v>
      </c>
      <c r="L20" s="641">
        <v>608.5</v>
      </c>
      <c r="M20" s="680">
        <v>-473.75</v>
      </c>
      <c r="N20" s="641">
        <v>320.9</v>
      </c>
      <c r="O20" s="680">
        <v>-12.8</v>
      </c>
      <c r="P20" s="641">
        <v>665.61</v>
      </c>
      <c r="Q20" s="680">
        <v>26.91</v>
      </c>
      <c r="R20" s="681" t="s">
        <v>716</v>
      </c>
      <c r="S20" s="682">
        <f t="shared" si="10"/>
        <v>3819.97</v>
      </c>
      <c r="T20" s="683"/>
      <c r="U20" s="625">
        <f t="shared" si="65"/>
        <v>849.02</v>
      </c>
      <c r="V20" s="625">
        <f t="shared" si="66"/>
        <v>1375.94</v>
      </c>
      <c r="W20" s="625">
        <f t="shared" si="67"/>
        <v>608.5</v>
      </c>
      <c r="X20" s="625">
        <f t="shared" si="68"/>
        <v>320.9</v>
      </c>
      <c r="Y20" s="625">
        <f t="shared" si="69"/>
        <v>665.61</v>
      </c>
      <c r="Z20" s="656">
        <f t="shared" si="16"/>
        <v>-148.29</v>
      </c>
      <c r="AA20" s="683"/>
      <c r="AB20" s="625">
        <f t="shared" si="70"/>
        <v>126.97</v>
      </c>
      <c r="AC20" s="625">
        <f t="shared" si="71"/>
        <v>184.38</v>
      </c>
      <c r="AD20" s="625">
        <f t="shared" si="72"/>
        <v>-473.75</v>
      </c>
      <c r="AE20" s="625">
        <f t="shared" si="73"/>
        <v>-12.8</v>
      </c>
      <c r="AF20" s="625">
        <f t="shared" si="74"/>
        <v>26.91</v>
      </c>
      <c r="AG20" s="657">
        <f t="shared" si="22"/>
        <v>-0.03881967659</v>
      </c>
      <c r="AH20" s="165"/>
      <c r="AI20" s="165">
        <f t="shared" ref="AI20:AM20" si="75">AB20/U20</f>
        <v>0.1495488917</v>
      </c>
      <c r="AJ20" s="165">
        <f t="shared" si="75"/>
        <v>0.1340029362</v>
      </c>
      <c r="AK20" s="165">
        <f t="shared" si="75"/>
        <v>-0.7785538209</v>
      </c>
      <c r="AL20" s="165">
        <f t="shared" si="75"/>
        <v>-0.03988781552</v>
      </c>
      <c r="AM20" s="165">
        <f t="shared" si="75"/>
        <v>0.04042908009</v>
      </c>
      <c r="AN20" s="684">
        <f t="shared" si="24"/>
        <v>2298.854</v>
      </c>
      <c r="AO20" s="640">
        <v>1180.728</v>
      </c>
      <c r="AP20" s="641">
        <v>483.704</v>
      </c>
      <c r="AQ20" s="641">
        <v>82.15</v>
      </c>
      <c r="AR20" s="641">
        <v>420.0</v>
      </c>
      <c r="AS20" s="641">
        <v>674.0</v>
      </c>
      <c r="AT20" s="641">
        <v>639.0</v>
      </c>
      <c r="AU20" s="684">
        <f t="shared" si="25"/>
        <v>1774.335</v>
      </c>
      <c r="AV20" s="641">
        <v>398.752</v>
      </c>
      <c r="AW20" s="641">
        <v>391.687</v>
      </c>
      <c r="AX20" s="641">
        <v>366.648</v>
      </c>
      <c r="AY20" s="641">
        <v>344.0</v>
      </c>
      <c r="AZ20" s="641">
        <v>339.0</v>
      </c>
      <c r="BA20" s="691">
        <v>333.0</v>
      </c>
      <c r="BB20" s="631"/>
      <c r="BC20" s="712" t="s">
        <v>695</v>
      </c>
      <c r="BD20" s="186" t="s">
        <v>3303</v>
      </c>
      <c r="BE20" s="695" t="s">
        <v>3304</v>
      </c>
      <c r="BF20" s="695" t="s">
        <v>3305</v>
      </c>
      <c r="BG20" s="695" t="s">
        <v>3306</v>
      </c>
      <c r="BH20" s="695" t="s">
        <v>3307</v>
      </c>
      <c r="BI20" s="695" t="s">
        <v>3308</v>
      </c>
      <c r="BJ20" s="179"/>
      <c r="BK20" s="631"/>
      <c r="BL20" s="179" t="b">
        <f t="shared" si="26"/>
        <v>1</v>
      </c>
      <c r="BM20" s="179" t="b">
        <f t="shared" si="27"/>
        <v>1</v>
      </c>
      <c r="BN20" s="688" t="b">
        <f t="shared" si="28"/>
        <v>1</v>
      </c>
    </row>
    <row r="21">
      <c r="A21" s="675"/>
      <c r="B21" s="712" t="s">
        <v>3338</v>
      </c>
      <c r="C21" s="676" t="s">
        <v>2113</v>
      </c>
      <c r="D21" s="713">
        <v>154.0</v>
      </c>
      <c r="E21" s="714" t="s">
        <v>3339</v>
      </c>
      <c r="F21" s="678">
        <f t="shared" ref="F21:G21" si="76">H21+J21+L21+N21+P21</f>
        <v>23670.57</v>
      </c>
      <c r="G21" s="679">
        <f t="shared" si="76"/>
        <v>6061</v>
      </c>
      <c r="H21" s="641">
        <v>3794.0</v>
      </c>
      <c r="I21" s="680">
        <v>1721.0</v>
      </c>
      <c r="J21" s="641">
        <v>3760.57</v>
      </c>
      <c r="K21" s="680">
        <v>865.0</v>
      </c>
      <c r="L21" s="641">
        <v>4982.0</v>
      </c>
      <c r="M21" s="680">
        <v>921.0</v>
      </c>
      <c r="N21" s="641">
        <v>5042.0</v>
      </c>
      <c r="O21" s="680">
        <v>1284.0</v>
      </c>
      <c r="P21" s="641">
        <v>6092.0</v>
      </c>
      <c r="Q21" s="680">
        <v>1270.0</v>
      </c>
      <c r="R21" s="681" t="s">
        <v>702</v>
      </c>
      <c r="S21" s="682">
        <f t="shared" si="10"/>
        <v>23670.57</v>
      </c>
      <c r="T21" s="683"/>
      <c r="U21" s="625">
        <f t="shared" si="65"/>
        <v>3794</v>
      </c>
      <c r="V21" s="625">
        <f t="shared" si="66"/>
        <v>3760.57</v>
      </c>
      <c r="W21" s="625">
        <f t="shared" si="67"/>
        <v>4982</v>
      </c>
      <c r="X21" s="625">
        <f t="shared" si="68"/>
        <v>5042</v>
      </c>
      <c r="Y21" s="625">
        <f t="shared" si="69"/>
        <v>6092</v>
      </c>
      <c r="Z21" s="656">
        <f t="shared" si="16"/>
        <v>6061</v>
      </c>
      <c r="AA21" s="683"/>
      <c r="AB21" s="625">
        <f t="shared" si="70"/>
        <v>1721</v>
      </c>
      <c r="AC21" s="625">
        <f t="shared" si="71"/>
        <v>865</v>
      </c>
      <c r="AD21" s="625">
        <f t="shared" si="72"/>
        <v>921</v>
      </c>
      <c r="AE21" s="625">
        <f t="shared" si="73"/>
        <v>1284</v>
      </c>
      <c r="AF21" s="625">
        <f t="shared" si="74"/>
        <v>1270</v>
      </c>
      <c r="AG21" s="657">
        <f t="shared" si="22"/>
        <v>0.2560563603</v>
      </c>
      <c r="AH21" s="165"/>
      <c r="AI21" s="165">
        <f t="shared" ref="AI21:AM21" si="77">AB21/U21</f>
        <v>0.4536109647</v>
      </c>
      <c r="AJ21" s="165">
        <f t="shared" si="77"/>
        <v>0.2300183217</v>
      </c>
      <c r="AK21" s="165">
        <f t="shared" si="77"/>
        <v>0.1848655159</v>
      </c>
      <c r="AL21" s="165">
        <f t="shared" si="77"/>
        <v>0.2546608489</v>
      </c>
      <c r="AM21" s="165">
        <f t="shared" si="77"/>
        <v>0.2084701248</v>
      </c>
      <c r="AN21" s="684">
        <f t="shared" si="24"/>
        <v>40317</v>
      </c>
      <c r="AO21" s="685">
        <v>0.0</v>
      </c>
      <c r="AP21" s="180">
        <v>6360.0</v>
      </c>
      <c r="AQ21" s="180">
        <v>4975.0</v>
      </c>
      <c r="AR21" s="180">
        <v>3486.0</v>
      </c>
      <c r="AS21" s="180">
        <v>7702.0</v>
      </c>
      <c r="AT21" s="180">
        <v>17794.0</v>
      </c>
      <c r="AU21" s="684">
        <f t="shared" si="25"/>
        <v>18980</v>
      </c>
      <c r="AV21" s="685">
        <v>4556.0</v>
      </c>
      <c r="AW21" s="685">
        <v>4196.0</v>
      </c>
      <c r="AX21" s="685">
        <v>4013.0</v>
      </c>
      <c r="AY21" s="685">
        <v>3755.0</v>
      </c>
      <c r="AZ21" s="685">
        <v>3509.0</v>
      </c>
      <c r="BA21" s="710">
        <v>3507.0</v>
      </c>
      <c r="BB21" s="685"/>
      <c r="BC21" s="715" t="s">
        <v>695</v>
      </c>
      <c r="BD21" s="186" t="s">
        <v>3303</v>
      </c>
      <c r="BE21" s="688"/>
      <c r="BF21" s="688"/>
      <c r="BG21" s="688"/>
      <c r="BH21" s="179"/>
      <c r="BI21" s="179"/>
      <c r="BJ21" s="179"/>
      <c r="BK21" s="685"/>
      <c r="BL21" s="179" t="b">
        <f t="shared" si="26"/>
        <v>1</v>
      </c>
      <c r="BM21" s="179" t="b">
        <f t="shared" si="27"/>
        <v>1</v>
      </c>
      <c r="BN21" s="688" t="b">
        <f t="shared" si="28"/>
        <v>1</v>
      </c>
    </row>
    <row r="22">
      <c r="A22" s="212"/>
      <c r="B22" s="186" t="s">
        <v>3340</v>
      </c>
      <c r="C22" s="676" t="s">
        <v>2113</v>
      </c>
      <c r="D22" s="677">
        <v>326.0</v>
      </c>
      <c r="E22" s="131" t="s">
        <v>3341</v>
      </c>
      <c r="F22" s="678">
        <f t="shared" ref="F22:G22" si="78">H22+J22+L22+N22+P22</f>
        <v>1601.16</v>
      </c>
      <c r="G22" s="679">
        <f t="shared" si="78"/>
        <v>156.94</v>
      </c>
      <c r="H22" s="641">
        <v>414.64</v>
      </c>
      <c r="I22" s="680">
        <v>70.04</v>
      </c>
      <c r="J22" s="641">
        <v>373.28</v>
      </c>
      <c r="K22" s="680">
        <v>52.78</v>
      </c>
      <c r="L22" s="641">
        <v>312.66</v>
      </c>
      <c r="M22" s="680">
        <v>-3.34</v>
      </c>
      <c r="N22" s="641">
        <v>313.43</v>
      </c>
      <c r="O22" s="680">
        <v>17.73</v>
      </c>
      <c r="P22" s="641">
        <v>187.15</v>
      </c>
      <c r="Q22" s="680">
        <v>19.73</v>
      </c>
      <c r="R22" s="681" t="s">
        <v>700</v>
      </c>
      <c r="S22" s="682">
        <f t="shared" si="10"/>
        <v>1601.16</v>
      </c>
      <c r="T22" s="683"/>
      <c r="U22" s="625">
        <f t="shared" si="65"/>
        <v>414.64</v>
      </c>
      <c r="V22" s="625">
        <f t="shared" si="66"/>
        <v>373.28</v>
      </c>
      <c r="W22" s="625">
        <f t="shared" si="67"/>
        <v>312.66</v>
      </c>
      <c r="X22" s="625">
        <f t="shared" si="68"/>
        <v>313.43</v>
      </c>
      <c r="Y22" s="625">
        <f t="shared" si="69"/>
        <v>187.15</v>
      </c>
      <c r="Z22" s="656">
        <f t="shared" si="16"/>
        <v>156.94</v>
      </c>
      <c r="AA22" s="683"/>
      <c r="AB22" s="625">
        <f t="shared" si="70"/>
        <v>70.04</v>
      </c>
      <c r="AC22" s="625">
        <f t="shared" si="71"/>
        <v>52.78</v>
      </c>
      <c r="AD22" s="625">
        <f t="shared" si="72"/>
        <v>-3.34</v>
      </c>
      <c r="AE22" s="625">
        <f t="shared" si="73"/>
        <v>17.73</v>
      </c>
      <c r="AF22" s="625">
        <f t="shared" si="74"/>
        <v>19.73</v>
      </c>
      <c r="AG22" s="657">
        <f t="shared" si="22"/>
        <v>0.09801643808</v>
      </c>
      <c r="AH22" s="165"/>
      <c r="AI22" s="165">
        <f t="shared" ref="AI22:AM22" si="79">AB22/U22</f>
        <v>0.1689176153</v>
      </c>
      <c r="AJ22" s="165">
        <f t="shared" si="79"/>
        <v>0.1413951993</v>
      </c>
      <c r="AK22" s="165">
        <f t="shared" si="79"/>
        <v>-0.01068253054</v>
      </c>
      <c r="AL22" s="165">
        <f t="shared" si="79"/>
        <v>0.05656765466</v>
      </c>
      <c r="AM22" s="165">
        <f t="shared" si="79"/>
        <v>0.1054234571</v>
      </c>
      <c r="AN22" s="684">
        <f t="shared" si="24"/>
        <v>3570.4</v>
      </c>
      <c r="AO22" s="641">
        <v>585.1</v>
      </c>
      <c r="AP22" s="641">
        <v>730.5</v>
      </c>
      <c r="AQ22" s="641">
        <v>661.7</v>
      </c>
      <c r="AR22" s="641">
        <v>641.3</v>
      </c>
      <c r="AS22" s="641">
        <v>601.7</v>
      </c>
      <c r="AT22" s="641">
        <v>935.2</v>
      </c>
      <c r="AU22" s="684">
        <f t="shared" si="25"/>
        <v>1654.9</v>
      </c>
      <c r="AV22" s="641">
        <v>500.6</v>
      </c>
      <c r="AW22" s="641">
        <v>477.4</v>
      </c>
      <c r="AX22" s="641">
        <v>346.7</v>
      </c>
      <c r="AY22" s="641">
        <v>297.6</v>
      </c>
      <c r="AZ22" s="641">
        <v>279.5</v>
      </c>
      <c r="BA22" s="691">
        <v>253.7</v>
      </c>
      <c r="BB22" s="631"/>
      <c r="BC22" s="189" t="s">
        <v>695</v>
      </c>
      <c r="BD22" s="186" t="s">
        <v>3303</v>
      </c>
      <c r="BE22" s="688" t="s">
        <v>3303</v>
      </c>
      <c r="BF22" s="688" t="s">
        <v>3303</v>
      </c>
      <c r="BG22" s="688" t="s">
        <v>3303</v>
      </c>
      <c r="BH22" s="688" t="s">
        <v>3303</v>
      </c>
      <c r="BI22" s="688" t="s">
        <v>3303</v>
      </c>
      <c r="BJ22" s="179"/>
      <c r="BK22" s="631"/>
      <c r="BL22" s="179" t="b">
        <f t="shared" si="26"/>
        <v>1</v>
      </c>
      <c r="BM22" s="179" t="b">
        <f t="shared" si="27"/>
        <v>1</v>
      </c>
      <c r="BN22" s="688" t="b">
        <f t="shared" si="28"/>
        <v>1</v>
      </c>
    </row>
    <row r="23">
      <c r="A23" s="426"/>
      <c r="B23" s="186" t="s">
        <v>3342</v>
      </c>
      <c r="C23" s="690" t="s">
        <v>1865</v>
      </c>
      <c r="D23" s="677">
        <v>344.0</v>
      </c>
      <c r="E23" s="632" t="s">
        <v>3343</v>
      </c>
      <c r="F23" s="678">
        <f t="shared" ref="F23:G23" si="80">H23+J23+L23+N23+P23</f>
        <v>2865.28</v>
      </c>
      <c r="G23" s="679">
        <f t="shared" si="80"/>
        <v>343.43</v>
      </c>
      <c r="H23" s="641">
        <v>945.25</v>
      </c>
      <c r="I23" s="680">
        <v>69.56</v>
      </c>
      <c r="J23" s="641">
        <v>500.33</v>
      </c>
      <c r="K23" s="680">
        <v>134.65</v>
      </c>
      <c r="L23" s="641">
        <v>350.56</v>
      </c>
      <c r="M23" s="680">
        <v>-6.12</v>
      </c>
      <c r="N23" s="641">
        <v>484.87</v>
      </c>
      <c r="O23" s="680">
        <v>74.05</v>
      </c>
      <c r="P23" s="641">
        <v>584.27</v>
      </c>
      <c r="Q23" s="680">
        <v>71.29</v>
      </c>
      <c r="R23" s="681" t="s">
        <v>708</v>
      </c>
      <c r="S23" s="682">
        <f t="shared" si="10"/>
        <v>2865.28</v>
      </c>
      <c r="T23" s="683"/>
      <c r="U23" s="625">
        <f t="shared" si="65"/>
        <v>945.25</v>
      </c>
      <c r="V23" s="625">
        <f t="shared" si="66"/>
        <v>500.33</v>
      </c>
      <c r="W23" s="625">
        <f t="shared" si="67"/>
        <v>350.56</v>
      </c>
      <c r="X23" s="625">
        <f t="shared" si="68"/>
        <v>484.87</v>
      </c>
      <c r="Y23" s="625">
        <f t="shared" si="69"/>
        <v>584.27</v>
      </c>
      <c r="Z23" s="656">
        <f t="shared" si="16"/>
        <v>343.43</v>
      </c>
      <c r="AA23" s="683"/>
      <c r="AB23" s="625">
        <f t="shared" si="70"/>
        <v>69.56</v>
      </c>
      <c r="AC23" s="625">
        <f t="shared" si="71"/>
        <v>134.65</v>
      </c>
      <c r="AD23" s="625">
        <f t="shared" si="72"/>
        <v>-6.12</v>
      </c>
      <c r="AE23" s="625">
        <f t="shared" si="73"/>
        <v>74.05</v>
      </c>
      <c r="AF23" s="625">
        <f t="shared" si="74"/>
        <v>71.29</v>
      </c>
      <c r="AG23" s="657">
        <f t="shared" si="22"/>
        <v>0.1198591412</v>
      </c>
      <c r="AH23" s="165"/>
      <c r="AI23" s="165">
        <f t="shared" ref="AI23:AM23" si="81">AB23/U23</f>
        <v>0.07358899762</v>
      </c>
      <c r="AJ23" s="165">
        <f t="shared" si="81"/>
        <v>0.2691223792</v>
      </c>
      <c r="AK23" s="165">
        <f t="shared" si="81"/>
        <v>-0.01745778183</v>
      </c>
      <c r="AL23" s="165">
        <f t="shared" si="81"/>
        <v>0.152721348</v>
      </c>
      <c r="AM23" s="165">
        <f t="shared" si="81"/>
        <v>0.1220155065</v>
      </c>
      <c r="AN23" s="684">
        <f t="shared" si="24"/>
        <v>6265</v>
      </c>
      <c r="AO23" s="641">
        <v>2963.955</v>
      </c>
      <c r="AP23" s="625">
        <v>2577.0</v>
      </c>
      <c r="AQ23" s="625">
        <v>2605.0</v>
      </c>
      <c r="AR23" s="625">
        <v>244.0</v>
      </c>
      <c r="AS23" s="625">
        <v>613.0</v>
      </c>
      <c r="AT23" s="641">
        <v>226.0</v>
      </c>
      <c r="AU23" s="684">
        <f t="shared" si="25"/>
        <v>5020.84</v>
      </c>
      <c r="AV23" s="641">
        <v>1679.106</v>
      </c>
      <c r="AW23" s="641">
        <v>1544.55</v>
      </c>
      <c r="AX23" s="625">
        <v>1109.34</v>
      </c>
      <c r="AY23" s="625">
        <v>886.16</v>
      </c>
      <c r="AZ23" s="625">
        <v>777.48</v>
      </c>
      <c r="BA23" s="691">
        <v>703.31</v>
      </c>
      <c r="BB23" s="631"/>
      <c r="BC23" s="189" t="s">
        <v>695</v>
      </c>
      <c r="BD23" s="186" t="s">
        <v>3303</v>
      </c>
      <c r="BE23" s="179" t="s">
        <v>3304</v>
      </c>
      <c r="BF23" s="179" t="s">
        <v>3305</v>
      </c>
      <c r="BG23" s="179" t="s">
        <v>3306</v>
      </c>
      <c r="BH23" s="179" t="s">
        <v>3307</v>
      </c>
      <c r="BI23" s="179" t="s">
        <v>3308</v>
      </c>
      <c r="BJ23" s="179"/>
      <c r="BK23" s="631"/>
      <c r="BL23" s="179" t="b">
        <f t="shared" si="26"/>
        <v>1</v>
      </c>
      <c r="BM23" s="179" t="b">
        <f t="shared" si="27"/>
        <v>1</v>
      </c>
      <c r="BN23" s="688" t="b">
        <f t="shared" si="28"/>
        <v>1</v>
      </c>
    </row>
    <row r="24">
      <c r="A24" s="675" t="s">
        <v>3301</v>
      </c>
      <c r="B24" s="186" t="s">
        <v>3344</v>
      </c>
      <c r="C24" s="690" t="s">
        <v>2317</v>
      </c>
      <c r="D24" s="677">
        <v>4.0</v>
      </c>
      <c r="E24" s="632" t="s">
        <v>1454</v>
      </c>
      <c r="F24" s="678">
        <f t="shared" ref="F24:G24" si="82">H24+J24+L24+N24+P24</f>
        <v>159021</v>
      </c>
      <c r="G24" s="679">
        <f t="shared" si="82"/>
        <v>24136</v>
      </c>
      <c r="H24" s="641">
        <v>46284.0</v>
      </c>
      <c r="I24" s="680">
        <v>5555.0</v>
      </c>
      <c r="J24" s="641">
        <v>38887.0</v>
      </c>
      <c r="K24" s="680">
        <v>5530.0</v>
      </c>
      <c r="L24" s="641">
        <v>28536.0</v>
      </c>
      <c r="M24" s="680">
        <v>2542.0</v>
      </c>
      <c r="N24" s="641">
        <v>20962.0</v>
      </c>
      <c r="O24" s="680">
        <v>6384.0</v>
      </c>
      <c r="P24" s="641">
        <v>24352.0</v>
      </c>
      <c r="Q24" s="680">
        <v>4125.0</v>
      </c>
      <c r="R24" s="681" t="s">
        <v>702</v>
      </c>
      <c r="S24" s="682">
        <f t="shared" si="10"/>
        <v>159021</v>
      </c>
      <c r="T24" s="683"/>
      <c r="U24" s="625">
        <f t="shared" si="65"/>
        <v>46284</v>
      </c>
      <c r="V24" s="625">
        <f t="shared" si="66"/>
        <v>38887</v>
      </c>
      <c r="W24" s="625">
        <f t="shared" si="67"/>
        <v>28536</v>
      </c>
      <c r="X24" s="625">
        <f t="shared" si="68"/>
        <v>20962</v>
      </c>
      <c r="Y24" s="625">
        <f t="shared" si="69"/>
        <v>24352</v>
      </c>
      <c r="Z24" s="656">
        <f t="shared" si="16"/>
        <v>24136</v>
      </c>
      <c r="AA24" s="683"/>
      <c r="AB24" s="625">
        <f t="shared" si="70"/>
        <v>5555</v>
      </c>
      <c r="AC24" s="625">
        <f t="shared" si="71"/>
        <v>5530</v>
      </c>
      <c r="AD24" s="625">
        <f t="shared" si="72"/>
        <v>2542</v>
      </c>
      <c r="AE24" s="625">
        <f t="shared" si="73"/>
        <v>6384</v>
      </c>
      <c r="AF24" s="625">
        <f t="shared" si="74"/>
        <v>4125</v>
      </c>
      <c r="AG24" s="657">
        <f t="shared" si="22"/>
        <v>0.1517786959</v>
      </c>
      <c r="AH24" s="165"/>
      <c r="AI24" s="165">
        <f t="shared" ref="AI24:AM24" si="83">AB24/U24</f>
        <v>0.1200198773</v>
      </c>
      <c r="AJ24" s="165">
        <f t="shared" si="83"/>
        <v>0.1422069072</v>
      </c>
      <c r="AK24" s="165">
        <f t="shared" si="83"/>
        <v>0.08908045977</v>
      </c>
      <c r="AL24" s="165">
        <f t="shared" si="83"/>
        <v>0.3045510925</v>
      </c>
      <c r="AM24" s="165">
        <f t="shared" si="83"/>
        <v>0.1693906045</v>
      </c>
      <c r="AN24" s="684">
        <f t="shared" si="24"/>
        <v>387366</v>
      </c>
      <c r="AO24" s="685">
        <v>77550.0</v>
      </c>
      <c r="AP24" s="180">
        <v>89402.0</v>
      </c>
      <c r="AQ24" s="180">
        <v>85971.0</v>
      </c>
      <c r="AR24" s="180">
        <v>72358.0</v>
      </c>
      <c r="AS24" s="180">
        <v>66897.0</v>
      </c>
      <c r="AT24" s="180">
        <v>72738.0</v>
      </c>
      <c r="AU24" s="684">
        <f t="shared" si="25"/>
        <v>71220</v>
      </c>
      <c r="AV24" s="685">
        <v>15025.0</v>
      </c>
      <c r="AW24" s="180">
        <v>14841.0</v>
      </c>
      <c r="AX24" s="180">
        <v>14467.0</v>
      </c>
      <c r="AY24" s="180">
        <v>14081.0</v>
      </c>
      <c r="AZ24" s="180">
        <v>14119.0</v>
      </c>
      <c r="BA24" s="686">
        <v>13712.0</v>
      </c>
      <c r="BB24" s="631"/>
      <c r="BC24" s="202" t="s">
        <v>695</v>
      </c>
      <c r="BD24" s="186" t="s">
        <v>3303</v>
      </c>
      <c r="BE24" s="702" t="s">
        <v>3304</v>
      </c>
      <c r="BF24" s="702" t="s">
        <v>3305</v>
      </c>
      <c r="BG24" s="702" t="s">
        <v>3306</v>
      </c>
      <c r="BH24" s="186" t="s">
        <v>3307</v>
      </c>
      <c r="BI24" s="186" t="s">
        <v>3308</v>
      </c>
      <c r="BJ24" s="179"/>
      <c r="BK24" s="631"/>
      <c r="BL24" s="179" t="b">
        <f t="shared" si="26"/>
        <v>1</v>
      </c>
      <c r="BM24" s="179" t="b">
        <f t="shared" si="27"/>
        <v>1</v>
      </c>
      <c r="BN24" s="688" t="b">
        <f t="shared" si="28"/>
        <v>1</v>
      </c>
    </row>
    <row r="25">
      <c r="A25" s="696" t="s">
        <v>1534</v>
      </c>
      <c r="B25" s="186" t="s">
        <v>3345</v>
      </c>
      <c r="C25" s="697" t="s">
        <v>2113</v>
      </c>
      <c r="D25" s="677">
        <v>35.0</v>
      </c>
      <c r="E25" s="632" t="s">
        <v>65</v>
      </c>
      <c r="F25" s="678">
        <f t="shared" ref="F25:G25" si="84">H25+J25+L25+N25+P25</f>
        <v>6819</v>
      </c>
      <c r="G25" s="679">
        <f t="shared" si="84"/>
        <v>636.65</v>
      </c>
      <c r="H25" s="641">
        <v>2628.0</v>
      </c>
      <c r="I25" s="680">
        <v>368.53</v>
      </c>
      <c r="J25" s="641">
        <v>2061.0</v>
      </c>
      <c r="K25" s="680">
        <v>367.56</v>
      </c>
      <c r="L25" s="641">
        <v>438.0</v>
      </c>
      <c r="M25" s="680">
        <v>-218.61</v>
      </c>
      <c r="N25" s="641">
        <v>745.0</v>
      </c>
      <c r="O25" s="680">
        <v>14.77</v>
      </c>
      <c r="P25" s="641">
        <v>947.0</v>
      </c>
      <c r="Q25" s="680">
        <v>104.4</v>
      </c>
      <c r="R25" s="681" t="s">
        <v>710</v>
      </c>
      <c r="S25" s="682">
        <f t="shared" si="10"/>
        <v>6819</v>
      </c>
      <c r="T25" s="683"/>
      <c r="U25" s="625">
        <f t="shared" si="65"/>
        <v>2628</v>
      </c>
      <c r="V25" s="625">
        <f t="shared" si="66"/>
        <v>2061</v>
      </c>
      <c r="W25" s="625">
        <f t="shared" si="67"/>
        <v>438</v>
      </c>
      <c r="X25" s="625">
        <f t="shared" si="68"/>
        <v>745</v>
      </c>
      <c r="Y25" s="625">
        <f t="shared" si="69"/>
        <v>947</v>
      </c>
      <c r="Z25" s="656">
        <f t="shared" si="16"/>
        <v>636.65</v>
      </c>
      <c r="AA25" s="683"/>
      <c r="AB25" s="625">
        <f t="shared" si="70"/>
        <v>368.53</v>
      </c>
      <c r="AC25" s="625">
        <f t="shared" si="71"/>
        <v>367.56</v>
      </c>
      <c r="AD25" s="625">
        <f t="shared" si="72"/>
        <v>-218.61</v>
      </c>
      <c r="AE25" s="625">
        <f t="shared" si="73"/>
        <v>14.77</v>
      </c>
      <c r="AF25" s="625">
        <f t="shared" si="74"/>
        <v>104.4</v>
      </c>
      <c r="AG25" s="657">
        <f t="shared" si="22"/>
        <v>0.09336412964</v>
      </c>
      <c r="AH25" s="165"/>
      <c r="AI25" s="165">
        <f t="shared" ref="AI25:AM25" si="85">AB25/U25</f>
        <v>0.1402321157</v>
      </c>
      <c r="AJ25" s="165">
        <f t="shared" si="85"/>
        <v>0.1783406114</v>
      </c>
      <c r="AK25" s="165">
        <f t="shared" si="85"/>
        <v>-0.499109589</v>
      </c>
      <c r="AL25" s="165">
        <f t="shared" si="85"/>
        <v>0.01982550336</v>
      </c>
      <c r="AM25" s="165">
        <f t="shared" si="85"/>
        <v>0.1102428722</v>
      </c>
      <c r="AN25" s="684">
        <f t="shared" si="24"/>
        <v>1810</v>
      </c>
      <c r="AO25" s="180"/>
      <c r="AP25" s="180">
        <v>1450.0</v>
      </c>
      <c r="AQ25" s="180">
        <v>0.0</v>
      </c>
      <c r="AR25" s="180">
        <v>133.0</v>
      </c>
      <c r="AS25" s="180">
        <v>150.0</v>
      </c>
      <c r="AT25" s="180">
        <v>77.0</v>
      </c>
      <c r="AU25" s="684">
        <f t="shared" si="25"/>
        <v>4089</v>
      </c>
      <c r="AV25" s="180"/>
      <c r="AW25" s="180">
        <v>899.0</v>
      </c>
      <c r="AX25" s="180">
        <v>834.0</v>
      </c>
      <c r="AY25" s="180">
        <v>809.0</v>
      </c>
      <c r="AZ25" s="180">
        <v>789.0</v>
      </c>
      <c r="BA25" s="686">
        <v>758.0</v>
      </c>
      <c r="BB25" s="631"/>
      <c r="BC25" s="186" t="s">
        <v>695</v>
      </c>
      <c r="BD25" s="688" t="s">
        <v>3303</v>
      </c>
      <c r="BE25" s="186" t="s">
        <v>3304</v>
      </c>
      <c r="BF25" s="186" t="s">
        <v>3305</v>
      </c>
      <c r="BG25" s="186" t="s">
        <v>3306</v>
      </c>
      <c r="BH25" s="186" t="s">
        <v>3307</v>
      </c>
      <c r="BI25" s="186" t="s">
        <v>3308</v>
      </c>
      <c r="BJ25" s="179"/>
      <c r="BK25" s="631"/>
      <c r="BL25" s="179" t="b">
        <f t="shared" si="26"/>
        <v>1</v>
      </c>
      <c r="BM25" s="179" t="b">
        <f t="shared" si="27"/>
        <v>1</v>
      </c>
      <c r="BN25" s="688" t="b">
        <f t="shared" si="28"/>
        <v>1</v>
      </c>
    </row>
    <row r="26">
      <c r="A26" s="689"/>
      <c r="B26" s="186" t="s">
        <v>3346</v>
      </c>
      <c r="C26" s="676" t="s">
        <v>2113</v>
      </c>
      <c r="D26" s="677">
        <v>443.0</v>
      </c>
      <c r="E26" s="632" t="s">
        <v>3347</v>
      </c>
      <c r="F26" s="678">
        <f t="shared" ref="F26:G26" si="86">H26+J26+L26+N26+P26</f>
        <v>2265.39</v>
      </c>
      <c r="G26" s="679">
        <f t="shared" si="86"/>
        <v>202.8</v>
      </c>
      <c r="H26" s="641">
        <v>666.43</v>
      </c>
      <c r="I26" s="680">
        <v>109.0</v>
      </c>
      <c r="J26" s="641">
        <v>508.01</v>
      </c>
      <c r="K26" s="680">
        <v>44.6</v>
      </c>
      <c r="L26" s="641">
        <v>459.47</v>
      </c>
      <c r="M26" s="680">
        <v>43.6</v>
      </c>
      <c r="N26" s="641">
        <v>342.16</v>
      </c>
      <c r="O26" s="680">
        <v>3.8</v>
      </c>
      <c r="P26" s="641">
        <v>289.32</v>
      </c>
      <c r="Q26" s="680">
        <v>1.8</v>
      </c>
      <c r="R26" s="681" t="s">
        <v>710</v>
      </c>
      <c r="S26" s="682">
        <f t="shared" si="10"/>
        <v>2265.39</v>
      </c>
      <c r="T26" s="683"/>
      <c r="U26" s="625">
        <f t="shared" si="65"/>
        <v>666.43</v>
      </c>
      <c r="V26" s="625">
        <f t="shared" si="66"/>
        <v>508.01</v>
      </c>
      <c r="W26" s="625">
        <f t="shared" si="67"/>
        <v>459.47</v>
      </c>
      <c r="X26" s="625">
        <f t="shared" si="68"/>
        <v>342.16</v>
      </c>
      <c r="Y26" s="625">
        <f t="shared" si="69"/>
        <v>289.32</v>
      </c>
      <c r="Z26" s="656">
        <f t="shared" si="16"/>
        <v>202.8</v>
      </c>
      <c r="AA26" s="683"/>
      <c r="AB26" s="625">
        <f t="shared" si="70"/>
        <v>109</v>
      </c>
      <c r="AC26" s="625">
        <f t="shared" si="71"/>
        <v>44.6</v>
      </c>
      <c r="AD26" s="625">
        <f t="shared" si="72"/>
        <v>43.6</v>
      </c>
      <c r="AE26" s="625">
        <f t="shared" si="73"/>
        <v>3.8</v>
      </c>
      <c r="AF26" s="625">
        <f t="shared" si="74"/>
        <v>1.8</v>
      </c>
      <c r="AG26" s="657">
        <f t="shared" si="22"/>
        <v>0.08952100963</v>
      </c>
      <c r="AH26" s="165"/>
      <c r="AI26" s="165">
        <f t="shared" ref="AI26:AM26" si="87">AB26/U26</f>
        <v>0.1635580631</v>
      </c>
      <c r="AJ26" s="165">
        <f t="shared" si="87"/>
        <v>0.08779354737</v>
      </c>
      <c r="AK26" s="165">
        <f t="shared" si="87"/>
        <v>0.09489194071</v>
      </c>
      <c r="AL26" s="165">
        <f t="shared" si="87"/>
        <v>0.01110591536</v>
      </c>
      <c r="AM26" s="165">
        <f t="shared" si="87"/>
        <v>0.006221484861</v>
      </c>
      <c r="AN26" s="684">
        <f t="shared" si="24"/>
        <v>0</v>
      </c>
      <c r="AO26" s="180"/>
      <c r="AP26" s="180">
        <v>0.0</v>
      </c>
      <c r="AQ26" s="180">
        <v>0.0</v>
      </c>
      <c r="AR26" s="180">
        <v>0.0</v>
      </c>
      <c r="AS26" s="180">
        <v>0.0</v>
      </c>
      <c r="AT26" s="180">
        <v>0.0</v>
      </c>
      <c r="AU26" s="684">
        <f t="shared" si="25"/>
        <v>1791.8</v>
      </c>
      <c r="AV26" s="625"/>
      <c r="AW26" s="625">
        <v>429.5</v>
      </c>
      <c r="AX26" s="625">
        <v>392.0</v>
      </c>
      <c r="AY26" s="625">
        <v>347.4</v>
      </c>
      <c r="AZ26" s="625">
        <v>321.1</v>
      </c>
      <c r="BA26" s="693">
        <v>301.8</v>
      </c>
      <c r="BB26" s="631"/>
      <c r="BC26" s="189" t="s">
        <v>695</v>
      </c>
      <c r="BD26" s="688" t="s">
        <v>3303</v>
      </c>
      <c r="BE26" s="179" t="s">
        <v>3304</v>
      </c>
      <c r="BF26" s="179" t="s">
        <v>3305</v>
      </c>
      <c r="BG26" s="179" t="s">
        <v>3306</v>
      </c>
      <c r="BH26" s="179" t="s">
        <v>3307</v>
      </c>
      <c r="BI26" s="179" t="s">
        <v>3308</v>
      </c>
      <c r="BJ26" s="179"/>
      <c r="BK26" s="631"/>
      <c r="BL26" s="179" t="b">
        <f t="shared" si="26"/>
        <v>1</v>
      </c>
      <c r="BM26" s="179" t="b">
        <f t="shared" si="27"/>
        <v>0</v>
      </c>
      <c r="BN26" s="688" t="b">
        <f t="shared" si="28"/>
        <v>1</v>
      </c>
    </row>
    <row r="27">
      <c r="A27" s="689"/>
      <c r="B27" s="186" t="s">
        <v>3348</v>
      </c>
      <c r="C27" s="676" t="s">
        <v>2113</v>
      </c>
      <c r="D27" s="677">
        <v>268.0</v>
      </c>
      <c r="E27" s="632" t="s">
        <v>3349</v>
      </c>
      <c r="F27" s="678">
        <f t="shared" ref="F27:G27" si="88">H27+J27+L27+N27+P27</f>
        <v>2747.1</v>
      </c>
      <c r="G27" s="679">
        <f t="shared" si="88"/>
        <v>410.5</v>
      </c>
      <c r="H27" s="641">
        <v>1288.3</v>
      </c>
      <c r="I27" s="680">
        <v>142.0</v>
      </c>
      <c r="J27" s="641">
        <v>676.9</v>
      </c>
      <c r="K27" s="680">
        <v>113.9</v>
      </c>
      <c r="L27" s="641">
        <v>328.3</v>
      </c>
      <c r="M27" s="680">
        <v>64.5</v>
      </c>
      <c r="N27" s="641">
        <v>235.9</v>
      </c>
      <c r="O27" s="680">
        <v>46.3</v>
      </c>
      <c r="P27" s="641">
        <v>217.7</v>
      </c>
      <c r="Q27" s="680">
        <v>43.8</v>
      </c>
      <c r="R27" s="681" t="s">
        <v>709</v>
      </c>
      <c r="S27" s="682">
        <f t="shared" si="10"/>
        <v>2747.1</v>
      </c>
      <c r="T27" s="683"/>
      <c r="U27" s="625">
        <f t="shared" si="65"/>
        <v>1288.3</v>
      </c>
      <c r="V27" s="625">
        <f t="shared" si="66"/>
        <v>676.9</v>
      </c>
      <c r="W27" s="625">
        <f t="shared" si="67"/>
        <v>328.3</v>
      </c>
      <c r="X27" s="625">
        <f t="shared" si="68"/>
        <v>235.9</v>
      </c>
      <c r="Y27" s="625">
        <f t="shared" si="69"/>
        <v>217.7</v>
      </c>
      <c r="Z27" s="656">
        <f t="shared" si="16"/>
        <v>410.5</v>
      </c>
      <c r="AA27" s="683"/>
      <c r="AB27" s="625">
        <f t="shared" si="70"/>
        <v>142</v>
      </c>
      <c r="AC27" s="625">
        <f t="shared" si="71"/>
        <v>113.9</v>
      </c>
      <c r="AD27" s="625">
        <f t="shared" si="72"/>
        <v>64.5</v>
      </c>
      <c r="AE27" s="625">
        <f t="shared" si="73"/>
        <v>46.3</v>
      </c>
      <c r="AF27" s="625">
        <f t="shared" si="74"/>
        <v>43.8</v>
      </c>
      <c r="AG27" s="657">
        <f t="shared" si="22"/>
        <v>0.1494303083</v>
      </c>
      <c r="AH27" s="165"/>
      <c r="AI27" s="165">
        <f t="shared" ref="AI27:AM27" si="89">AB27/U27</f>
        <v>0.1102227742</v>
      </c>
      <c r="AJ27" s="165">
        <f t="shared" si="89"/>
        <v>0.1682671</v>
      </c>
      <c r="AK27" s="165">
        <f t="shared" si="89"/>
        <v>0.1964666464</v>
      </c>
      <c r="AL27" s="165">
        <f t="shared" si="89"/>
        <v>0.1962696058</v>
      </c>
      <c r="AM27" s="165">
        <f t="shared" si="89"/>
        <v>0.2011943041</v>
      </c>
      <c r="AN27" s="684">
        <f t="shared" si="24"/>
        <v>443</v>
      </c>
      <c r="AO27" s="625"/>
      <c r="AP27" s="625">
        <v>297.0</v>
      </c>
      <c r="AQ27" s="625">
        <v>10.0</v>
      </c>
      <c r="AR27" s="625">
        <v>5.0</v>
      </c>
      <c r="AS27" s="625">
        <v>21.0</v>
      </c>
      <c r="AT27" s="625">
        <v>110.0</v>
      </c>
      <c r="AU27" s="684">
        <f t="shared" si="25"/>
        <v>0</v>
      </c>
      <c r="AV27" s="180"/>
      <c r="AW27" s="180">
        <v>0.0</v>
      </c>
      <c r="AX27" s="180">
        <v>0.0</v>
      </c>
      <c r="AY27" s="180">
        <v>0.0</v>
      </c>
      <c r="AZ27" s="180">
        <v>0.0</v>
      </c>
      <c r="BA27" s="686">
        <v>0.0</v>
      </c>
      <c r="BB27" s="631"/>
      <c r="BC27" s="189" t="s">
        <v>695</v>
      </c>
      <c r="BD27" s="688" t="s">
        <v>3303</v>
      </c>
      <c r="BE27" s="179" t="s">
        <v>3304</v>
      </c>
      <c r="BF27" s="179" t="s">
        <v>3305</v>
      </c>
      <c r="BG27" s="179" t="s">
        <v>3306</v>
      </c>
      <c r="BH27" s="179" t="s">
        <v>3307</v>
      </c>
      <c r="BI27" s="179" t="s">
        <v>3308</v>
      </c>
      <c r="BJ27" s="179"/>
      <c r="BK27" s="631"/>
      <c r="BL27" s="179" t="b">
        <f t="shared" si="26"/>
        <v>1</v>
      </c>
      <c r="BM27" s="179" t="b">
        <f t="shared" si="27"/>
        <v>1</v>
      </c>
      <c r="BN27" s="688" t="b">
        <f t="shared" si="28"/>
        <v>0</v>
      </c>
    </row>
    <row r="28">
      <c r="A28" s="696" t="s">
        <v>1534</v>
      </c>
      <c r="B28" s="186" t="s">
        <v>3350</v>
      </c>
      <c r="C28" s="676" t="s">
        <v>2113</v>
      </c>
      <c r="D28" s="677">
        <v>30.0</v>
      </c>
      <c r="E28" s="632" t="s">
        <v>49</v>
      </c>
      <c r="F28" s="678">
        <f t="shared" ref="F28:G28" si="90">H28+J28+L28+N28+P28</f>
        <v>96279.52</v>
      </c>
      <c r="G28" s="679">
        <f t="shared" si="90"/>
        <v>2536</v>
      </c>
      <c r="H28" s="641">
        <v>18954.52</v>
      </c>
      <c r="I28" s="680">
        <v>579.0</v>
      </c>
      <c r="J28" s="641">
        <v>24036.0</v>
      </c>
      <c r="K28" s="680">
        <v>-1198.0</v>
      </c>
      <c r="L28" s="641">
        <v>10621.0</v>
      </c>
      <c r="M28" s="680">
        <v>-687.0</v>
      </c>
      <c r="N28" s="641">
        <v>21797.0</v>
      </c>
      <c r="O28" s="680">
        <v>584.0</v>
      </c>
      <c r="P28" s="641">
        <v>20871.0</v>
      </c>
      <c r="Q28" s="680">
        <v>3258.0</v>
      </c>
      <c r="R28" s="681" t="s">
        <v>693</v>
      </c>
      <c r="S28" s="682">
        <f t="shared" si="10"/>
        <v>96279.52</v>
      </c>
      <c r="T28" s="683"/>
      <c r="U28" s="625">
        <f t="shared" si="65"/>
        <v>18954.52</v>
      </c>
      <c r="V28" s="625">
        <f t="shared" si="66"/>
        <v>24036</v>
      </c>
      <c r="W28" s="625">
        <f t="shared" si="67"/>
        <v>10621</v>
      </c>
      <c r="X28" s="625">
        <f t="shared" si="68"/>
        <v>21797</v>
      </c>
      <c r="Y28" s="625">
        <f t="shared" si="69"/>
        <v>20871</v>
      </c>
      <c r="Z28" s="656">
        <f t="shared" si="16"/>
        <v>2536</v>
      </c>
      <c r="AA28" s="683"/>
      <c r="AB28" s="625">
        <f t="shared" si="70"/>
        <v>579</v>
      </c>
      <c r="AC28" s="625">
        <f t="shared" si="71"/>
        <v>-1198</v>
      </c>
      <c r="AD28" s="625">
        <f t="shared" si="72"/>
        <v>-687</v>
      </c>
      <c r="AE28" s="625">
        <f t="shared" si="73"/>
        <v>584</v>
      </c>
      <c r="AF28" s="625">
        <f t="shared" si="74"/>
        <v>3258</v>
      </c>
      <c r="AG28" s="657">
        <f t="shared" si="22"/>
        <v>0.02633997344</v>
      </c>
      <c r="AH28" s="165"/>
      <c r="AI28" s="165">
        <f t="shared" ref="AI28:AM28" si="91">AB28/U28</f>
        <v>0.03054680361</v>
      </c>
      <c r="AJ28" s="165">
        <f t="shared" si="91"/>
        <v>-0.04984190381</v>
      </c>
      <c r="AK28" s="165">
        <f t="shared" si="91"/>
        <v>-0.06468317484</v>
      </c>
      <c r="AL28" s="165">
        <f t="shared" si="91"/>
        <v>0.02679267789</v>
      </c>
      <c r="AM28" s="165">
        <f t="shared" si="91"/>
        <v>0.156101768</v>
      </c>
      <c r="AN28" s="684">
        <f t="shared" si="24"/>
        <v>9616</v>
      </c>
      <c r="AO28" s="685">
        <v>194.0</v>
      </c>
      <c r="AP28" s="180">
        <v>890.0</v>
      </c>
      <c r="AQ28" s="180">
        <v>202.0</v>
      </c>
      <c r="AR28" s="180">
        <v>5498.0</v>
      </c>
      <c r="AS28" s="180">
        <v>2417.0</v>
      </c>
      <c r="AT28" s="180">
        <v>609.0</v>
      </c>
      <c r="AU28" s="684">
        <f t="shared" si="25"/>
        <v>68181</v>
      </c>
      <c r="AV28" s="685">
        <v>8136.0</v>
      </c>
      <c r="AW28" s="180">
        <v>9859.0</v>
      </c>
      <c r="AX28" s="180">
        <v>15068.0</v>
      </c>
      <c r="AY28" s="180">
        <v>14956.0</v>
      </c>
      <c r="AZ28" s="180">
        <v>14888.0</v>
      </c>
      <c r="BA28" s="686">
        <v>13410.0</v>
      </c>
      <c r="BB28" s="631"/>
      <c r="BC28" s="202" t="s">
        <v>695</v>
      </c>
      <c r="BD28" s="186" t="s">
        <v>3303</v>
      </c>
      <c r="BE28" s="186" t="s">
        <v>3304</v>
      </c>
      <c r="BF28" s="186" t="s">
        <v>3305</v>
      </c>
      <c r="BG28" s="186" t="s">
        <v>3306</v>
      </c>
      <c r="BH28" s="186" t="s">
        <v>3307</v>
      </c>
      <c r="BI28" s="179" t="s">
        <v>3308</v>
      </c>
      <c r="BJ28" s="179"/>
      <c r="BK28" s="631"/>
      <c r="BL28" s="179" t="b">
        <f t="shared" si="26"/>
        <v>1</v>
      </c>
      <c r="BM28" s="179" t="b">
        <f t="shared" si="27"/>
        <v>1</v>
      </c>
      <c r="BN28" s="688" t="b">
        <f t="shared" si="28"/>
        <v>1</v>
      </c>
    </row>
    <row r="29">
      <c r="A29" s="675" t="s">
        <v>3301</v>
      </c>
      <c r="B29" s="186" t="s">
        <v>3351</v>
      </c>
      <c r="C29" s="676" t="s">
        <v>1919</v>
      </c>
      <c r="D29" s="677">
        <v>251.0</v>
      </c>
      <c r="E29" s="632" t="s">
        <v>1443</v>
      </c>
      <c r="F29" s="678">
        <f t="shared" ref="F29:G29" si="92">H29+J29+L29+N29+P29</f>
        <v>15347.6</v>
      </c>
      <c r="G29" s="679">
        <f t="shared" si="92"/>
        <v>3142.6</v>
      </c>
      <c r="H29" s="641">
        <v>3930.3</v>
      </c>
      <c r="I29" s="680">
        <v>840.0</v>
      </c>
      <c r="J29" s="641">
        <v>3361.4</v>
      </c>
      <c r="K29" s="680">
        <v>620.7</v>
      </c>
      <c r="L29" s="641">
        <v>2868.3</v>
      </c>
      <c r="M29" s="680">
        <v>749.3</v>
      </c>
      <c r="N29" s="641">
        <v>2713.1</v>
      </c>
      <c r="O29" s="680">
        <v>468.3</v>
      </c>
      <c r="P29" s="641">
        <v>2474.5</v>
      </c>
      <c r="Q29" s="680">
        <v>464.3</v>
      </c>
      <c r="R29" s="681" t="s">
        <v>706</v>
      </c>
      <c r="S29" s="682">
        <f t="shared" si="10"/>
        <v>15347.6</v>
      </c>
      <c r="T29" s="683"/>
      <c r="U29" s="625">
        <f t="shared" si="65"/>
        <v>3930.3</v>
      </c>
      <c r="V29" s="625">
        <f t="shared" si="66"/>
        <v>3361.4</v>
      </c>
      <c r="W29" s="625">
        <f t="shared" si="67"/>
        <v>2868.3</v>
      </c>
      <c r="X29" s="625">
        <f t="shared" si="68"/>
        <v>2713.1</v>
      </c>
      <c r="Y29" s="625">
        <f t="shared" si="69"/>
        <v>2474.5</v>
      </c>
      <c r="Z29" s="656">
        <f t="shared" si="16"/>
        <v>3142.6</v>
      </c>
      <c r="AA29" s="683"/>
      <c r="AB29" s="625">
        <f t="shared" si="70"/>
        <v>840</v>
      </c>
      <c r="AC29" s="625">
        <f t="shared" si="71"/>
        <v>620.7</v>
      </c>
      <c r="AD29" s="625">
        <f t="shared" si="72"/>
        <v>749.3</v>
      </c>
      <c r="AE29" s="625">
        <f t="shared" si="73"/>
        <v>468.3</v>
      </c>
      <c r="AF29" s="625">
        <f t="shared" si="74"/>
        <v>464.3</v>
      </c>
      <c r="AG29" s="657">
        <f t="shared" si="22"/>
        <v>0.2047616565</v>
      </c>
      <c r="AH29" s="165"/>
      <c r="AI29" s="165">
        <f t="shared" ref="AI29:AM29" si="93">AB29/U29</f>
        <v>0.2137241432</v>
      </c>
      <c r="AJ29" s="165">
        <f t="shared" si="93"/>
        <v>0.1846552032</v>
      </c>
      <c r="AK29" s="165">
        <f t="shared" si="93"/>
        <v>0.2612348778</v>
      </c>
      <c r="AL29" s="165">
        <f t="shared" si="93"/>
        <v>0.1726069809</v>
      </c>
      <c r="AM29" s="165">
        <f t="shared" si="93"/>
        <v>0.1876338654</v>
      </c>
      <c r="AN29" s="684">
        <f t="shared" si="24"/>
        <v>7438.8</v>
      </c>
      <c r="AO29" s="641"/>
      <c r="AP29" s="641">
        <v>1121.4</v>
      </c>
      <c r="AQ29" s="641">
        <v>1969.4</v>
      </c>
      <c r="AR29" s="641">
        <v>1969.4</v>
      </c>
      <c r="AS29" s="641">
        <v>1372.3</v>
      </c>
      <c r="AT29" s="641">
        <v>1006.3</v>
      </c>
      <c r="AU29" s="684">
        <f t="shared" si="25"/>
        <v>7901.6</v>
      </c>
      <c r="AV29" s="641"/>
      <c r="AW29" s="641">
        <v>1903.6</v>
      </c>
      <c r="AX29" s="625">
        <v>1659.0</v>
      </c>
      <c r="AY29" s="625">
        <v>1575.5</v>
      </c>
      <c r="AZ29" s="625">
        <v>1470.5</v>
      </c>
      <c r="BA29" s="693">
        <v>1293.0</v>
      </c>
      <c r="BB29" s="631"/>
      <c r="BC29" s="189" t="s">
        <v>695</v>
      </c>
      <c r="BD29" s="688" t="s">
        <v>3303</v>
      </c>
      <c r="BE29" s="179" t="s">
        <v>3304</v>
      </c>
      <c r="BF29" s="179" t="s">
        <v>3305</v>
      </c>
      <c r="BG29" s="179" t="s">
        <v>3306</v>
      </c>
      <c r="BH29" s="179" t="s">
        <v>3307</v>
      </c>
      <c r="BI29" s="179" t="s">
        <v>3308</v>
      </c>
      <c r="BJ29" s="179"/>
      <c r="BK29" s="631"/>
      <c r="BL29" s="179" t="b">
        <f t="shared" si="26"/>
        <v>1</v>
      </c>
      <c r="BM29" s="179" t="b">
        <f t="shared" si="27"/>
        <v>1</v>
      </c>
      <c r="BN29" s="688" t="b">
        <f t="shared" si="28"/>
        <v>1</v>
      </c>
    </row>
    <row r="30">
      <c r="A30" s="689"/>
      <c r="B30" s="186" t="s">
        <v>3352</v>
      </c>
      <c r="C30" s="676" t="s">
        <v>2113</v>
      </c>
      <c r="D30" s="677">
        <v>151.0</v>
      </c>
      <c r="E30" s="632" t="s">
        <v>3353</v>
      </c>
      <c r="F30" s="678">
        <f t="shared" ref="F30:G30" si="94">H30+J30+L30+N30+P30</f>
        <v>5176.8</v>
      </c>
      <c r="G30" s="679">
        <f t="shared" si="94"/>
        <v>1091.1</v>
      </c>
      <c r="H30" s="641">
        <v>1746.5</v>
      </c>
      <c r="I30" s="680">
        <v>369.0</v>
      </c>
      <c r="J30" s="641">
        <v>1729.9</v>
      </c>
      <c r="K30" s="680">
        <v>374.2</v>
      </c>
      <c r="L30" s="641">
        <v>614.6</v>
      </c>
      <c r="M30" s="680">
        <v>168.9</v>
      </c>
      <c r="N30" s="641">
        <v>583.2</v>
      </c>
      <c r="O30" s="680">
        <v>86.0</v>
      </c>
      <c r="P30" s="641">
        <v>502.6</v>
      </c>
      <c r="Q30" s="680">
        <v>93.0</v>
      </c>
      <c r="R30" s="681" t="s">
        <v>705</v>
      </c>
      <c r="S30" s="682">
        <f t="shared" si="10"/>
        <v>5176.8</v>
      </c>
      <c r="T30" s="683"/>
      <c r="U30" s="625">
        <f t="shared" si="65"/>
        <v>1746.5</v>
      </c>
      <c r="V30" s="625">
        <f t="shared" si="66"/>
        <v>1729.9</v>
      </c>
      <c r="W30" s="625">
        <f t="shared" si="67"/>
        <v>614.6</v>
      </c>
      <c r="X30" s="625">
        <f t="shared" si="68"/>
        <v>583.2</v>
      </c>
      <c r="Y30" s="625">
        <f t="shared" si="69"/>
        <v>502.6</v>
      </c>
      <c r="Z30" s="656">
        <f t="shared" si="16"/>
        <v>1091.1</v>
      </c>
      <c r="AA30" s="683"/>
      <c r="AB30" s="625">
        <f t="shared" si="70"/>
        <v>369</v>
      </c>
      <c r="AC30" s="625">
        <f t="shared" si="71"/>
        <v>374.2</v>
      </c>
      <c r="AD30" s="625">
        <f t="shared" si="72"/>
        <v>168.9</v>
      </c>
      <c r="AE30" s="625">
        <f t="shared" si="73"/>
        <v>86</v>
      </c>
      <c r="AF30" s="625">
        <f t="shared" si="74"/>
        <v>93</v>
      </c>
      <c r="AG30" s="657">
        <f t="shared" si="22"/>
        <v>0.2107672694</v>
      </c>
      <c r="AH30" s="165"/>
      <c r="AI30" s="165">
        <f t="shared" ref="AI30:AM30" si="95">AB30/U30</f>
        <v>0.2112797023</v>
      </c>
      <c r="AJ30" s="165">
        <f t="shared" si="95"/>
        <v>0.2163130817</v>
      </c>
      <c r="AK30" s="165">
        <f t="shared" si="95"/>
        <v>0.2748128864</v>
      </c>
      <c r="AL30" s="165">
        <f t="shared" si="95"/>
        <v>0.1474622771</v>
      </c>
      <c r="AM30" s="165">
        <f t="shared" si="95"/>
        <v>0.1850378034</v>
      </c>
      <c r="AN30" s="684">
        <f t="shared" si="24"/>
        <v>4530</v>
      </c>
      <c r="AO30" s="625"/>
      <c r="AP30" s="625">
        <v>1700.0</v>
      </c>
      <c r="AQ30" s="625">
        <v>2318.0</v>
      </c>
      <c r="AR30" s="625">
        <v>367.0</v>
      </c>
      <c r="AS30" s="625">
        <v>45.0</v>
      </c>
      <c r="AT30" s="625">
        <v>100.0</v>
      </c>
      <c r="AU30" s="684">
        <f t="shared" si="25"/>
        <v>0</v>
      </c>
      <c r="AV30" s="180"/>
      <c r="AW30" s="180">
        <v>0.0</v>
      </c>
      <c r="AX30" s="180">
        <v>0.0</v>
      </c>
      <c r="AY30" s="180">
        <v>0.0</v>
      </c>
      <c r="AZ30" s="180">
        <v>0.0</v>
      </c>
      <c r="BA30" s="686">
        <v>0.0</v>
      </c>
      <c r="BB30" s="631"/>
      <c r="BC30" s="189" t="s">
        <v>695</v>
      </c>
      <c r="BD30" s="688" t="s">
        <v>3303</v>
      </c>
      <c r="BE30" s="179" t="s">
        <v>3304</v>
      </c>
      <c r="BF30" s="179" t="s">
        <v>3305</v>
      </c>
      <c r="BG30" s="179" t="s">
        <v>3306</v>
      </c>
      <c r="BH30" s="179" t="s">
        <v>3307</v>
      </c>
      <c r="BI30" s="179" t="s">
        <v>3308</v>
      </c>
      <c r="BJ30" s="179"/>
      <c r="BK30" s="631"/>
      <c r="BL30" s="179" t="b">
        <f t="shared" si="26"/>
        <v>1</v>
      </c>
      <c r="BM30" s="179" t="b">
        <f t="shared" si="27"/>
        <v>1</v>
      </c>
      <c r="BN30" s="688" t="b">
        <f t="shared" si="28"/>
        <v>0</v>
      </c>
    </row>
    <row r="31">
      <c r="A31" s="689"/>
      <c r="B31" s="186" t="s">
        <v>3354</v>
      </c>
      <c r="C31" s="690" t="s">
        <v>2117</v>
      </c>
      <c r="D31" s="677">
        <v>258.0</v>
      </c>
      <c r="E31" s="632" t="s">
        <v>3355</v>
      </c>
      <c r="F31" s="678">
        <f t="shared" ref="F31:G31" si="96">H31+J31+L31+N31+P31</f>
        <v>9727.23</v>
      </c>
      <c r="G31" s="679">
        <f t="shared" si="96"/>
        <v>1363.77</v>
      </c>
      <c r="H31" s="641">
        <v>2380.77</v>
      </c>
      <c r="I31" s="680">
        <v>197.57</v>
      </c>
      <c r="J31" s="641">
        <v>2357.28</v>
      </c>
      <c r="K31" s="680">
        <v>361.71</v>
      </c>
      <c r="L31" s="641">
        <v>1912.44</v>
      </c>
      <c r="M31" s="680">
        <v>253.23</v>
      </c>
      <c r="N31" s="641">
        <v>1700.17</v>
      </c>
      <c r="O31" s="680">
        <v>248.1</v>
      </c>
      <c r="P31" s="641">
        <v>1376.57</v>
      </c>
      <c r="Q31" s="680">
        <v>303.16</v>
      </c>
      <c r="R31" s="681" t="s">
        <v>714</v>
      </c>
      <c r="S31" s="682">
        <f t="shared" si="10"/>
        <v>9727.23</v>
      </c>
      <c r="T31" s="683"/>
      <c r="U31" s="625">
        <f t="shared" si="65"/>
        <v>2380.77</v>
      </c>
      <c r="V31" s="625">
        <f t="shared" si="66"/>
        <v>2357.28</v>
      </c>
      <c r="W31" s="625">
        <f t="shared" si="67"/>
        <v>1912.44</v>
      </c>
      <c r="X31" s="625">
        <f t="shared" si="68"/>
        <v>1700.17</v>
      </c>
      <c r="Y31" s="625">
        <f t="shared" si="69"/>
        <v>1376.57</v>
      </c>
      <c r="Z31" s="656">
        <f t="shared" si="16"/>
        <v>1363.77</v>
      </c>
      <c r="AA31" s="683"/>
      <c r="AB31" s="625">
        <f t="shared" si="70"/>
        <v>197.57</v>
      </c>
      <c r="AC31" s="625">
        <f t="shared" si="71"/>
        <v>361.71</v>
      </c>
      <c r="AD31" s="625">
        <f t="shared" si="72"/>
        <v>253.23</v>
      </c>
      <c r="AE31" s="625">
        <f t="shared" si="73"/>
        <v>248.1</v>
      </c>
      <c r="AF31" s="625">
        <f t="shared" si="74"/>
        <v>303.16</v>
      </c>
      <c r="AG31" s="657">
        <f t="shared" si="22"/>
        <v>0.14020127</v>
      </c>
      <c r="AH31" s="165"/>
      <c r="AI31" s="165">
        <f t="shared" ref="AI31:AM31" si="97">AB31/U31</f>
        <v>0.08298575671</v>
      </c>
      <c r="AJ31" s="165">
        <f t="shared" si="97"/>
        <v>0.1534437996</v>
      </c>
      <c r="AK31" s="165">
        <f t="shared" si="97"/>
        <v>0.1324119972</v>
      </c>
      <c r="AL31" s="165">
        <f t="shared" si="97"/>
        <v>0.1459265838</v>
      </c>
      <c r="AM31" s="165">
        <f t="shared" si="97"/>
        <v>0.220228539</v>
      </c>
      <c r="AN31" s="684">
        <f t="shared" si="24"/>
        <v>12266.013</v>
      </c>
      <c r="AO31" s="625">
        <v>3700.0</v>
      </c>
      <c r="AP31" s="625">
        <v>4360.0</v>
      </c>
      <c r="AQ31" s="625">
        <v>3378.0</v>
      </c>
      <c r="AR31" s="625">
        <v>931.0</v>
      </c>
      <c r="AS31" s="625">
        <v>2005.0</v>
      </c>
      <c r="AT31" s="641">
        <v>1592.013</v>
      </c>
      <c r="AU31" s="684">
        <f t="shared" si="25"/>
        <v>0</v>
      </c>
      <c r="AV31" s="180">
        <v>0.0</v>
      </c>
      <c r="AW31" s="180">
        <v>0.0</v>
      </c>
      <c r="AX31" s="180">
        <v>0.0</v>
      </c>
      <c r="AY31" s="180">
        <v>0.0</v>
      </c>
      <c r="AZ31" s="180">
        <v>0.0</v>
      </c>
      <c r="BA31" s="686">
        <v>0.0</v>
      </c>
      <c r="BB31" s="631"/>
      <c r="BC31" s="189" t="s">
        <v>695</v>
      </c>
      <c r="BD31" s="186" t="s">
        <v>3303</v>
      </c>
      <c r="BE31" s="179" t="s">
        <v>3304</v>
      </c>
      <c r="BF31" s="179" t="s">
        <v>3305</v>
      </c>
      <c r="BG31" s="179" t="s">
        <v>3306</v>
      </c>
      <c r="BH31" s="179" t="s">
        <v>3307</v>
      </c>
      <c r="BI31" s="179" t="s">
        <v>3308</v>
      </c>
      <c r="BJ31" s="179"/>
      <c r="BK31" s="631"/>
      <c r="BL31" s="179" t="b">
        <f t="shared" si="26"/>
        <v>1</v>
      </c>
      <c r="BM31" s="179" t="b">
        <f t="shared" si="27"/>
        <v>1</v>
      </c>
      <c r="BN31" s="688" t="b">
        <f t="shared" si="28"/>
        <v>0</v>
      </c>
    </row>
    <row r="32">
      <c r="A32" s="689"/>
      <c r="B32" s="186" t="s">
        <v>3356</v>
      </c>
      <c r="C32" s="676" t="s">
        <v>2113</v>
      </c>
      <c r="D32" s="677">
        <v>269.0</v>
      </c>
      <c r="E32" s="632" t="s">
        <v>3357</v>
      </c>
      <c r="F32" s="678">
        <f t="shared" ref="F32:G32" si="98">H32+J32+L32+N32+P32</f>
        <v>1214</v>
      </c>
      <c r="G32" s="679">
        <f t="shared" si="98"/>
        <v>-74</v>
      </c>
      <c r="H32" s="641">
        <v>478.0</v>
      </c>
      <c r="I32" s="680">
        <v>4.0</v>
      </c>
      <c r="J32" s="641">
        <v>138.0</v>
      </c>
      <c r="K32" s="680">
        <v>-38.0</v>
      </c>
      <c r="L32" s="641">
        <v>193.0</v>
      </c>
      <c r="M32" s="680">
        <v>-35.0</v>
      </c>
      <c r="N32" s="641">
        <v>217.0</v>
      </c>
      <c r="O32" s="680">
        <v>-13.0</v>
      </c>
      <c r="P32" s="641">
        <v>188.0</v>
      </c>
      <c r="Q32" s="680">
        <v>8.0</v>
      </c>
      <c r="R32" s="681" t="s">
        <v>717</v>
      </c>
      <c r="S32" s="682">
        <f t="shared" si="10"/>
        <v>1214</v>
      </c>
      <c r="T32" s="683"/>
      <c r="U32" s="625">
        <f t="shared" si="65"/>
        <v>478</v>
      </c>
      <c r="V32" s="625">
        <f t="shared" si="66"/>
        <v>138</v>
      </c>
      <c r="W32" s="625">
        <f t="shared" si="67"/>
        <v>193</v>
      </c>
      <c r="X32" s="625">
        <f t="shared" si="68"/>
        <v>217</v>
      </c>
      <c r="Y32" s="625">
        <f t="shared" si="69"/>
        <v>188</v>
      </c>
      <c r="Z32" s="656">
        <f t="shared" si="16"/>
        <v>-74</v>
      </c>
      <c r="AA32" s="683"/>
      <c r="AB32" s="625">
        <f t="shared" si="70"/>
        <v>4</v>
      </c>
      <c r="AC32" s="625">
        <f t="shared" si="71"/>
        <v>-38</v>
      </c>
      <c r="AD32" s="625">
        <f t="shared" si="72"/>
        <v>-35</v>
      </c>
      <c r="AE32" s="625">
        <f t="shared" si="73"/>
        <v>-13</v>
      </c>
      <c r="AF32" s="625">
        <f t="shared" si="74"/>
        <v>8</v>
      </c>
      <c r="AG32" s="657">
        <f t="shared" si="22"/>
        <v>-0.06095551895</v>
      </c>
      <c r="AH32" s="165"/>
      <c r="AI32" s="165">
        <f t="shared" ref="AI32:AM32" si="99">AB32/U32</f>
        <v>0.008368200837</v>
      </c>
      <c r="AJ32" s="165">
        <f t="shared" si="99"/>
        <v>-0.2753623188</v>
      </c>
      <c r="AK32" s="165">
        <f t="shared" si="99"/>
        <v>-0.1813471503</v>
      </c>
      <c r="AL32" s="165">
        <f t="shared" si="99"/>
        <v>-0.0599078341</v>
      </c>
      <c r="AM32" s="165">
        <f t="shared" si="99"/>
        <v>0.04255319149</v>
      </c>
      <c r="AN32" s="684">
        <f t="shared" si="24"/>
        <v>3144</v>
      </c>
      <c r="AO32" s="625"/>
      <c r="AP32" s="625">
        <v>618.0</v>
      </c>
      <c r="AQ32" s="625">
        <v>766.0</v>
      </c>
      <c r="AR32" s="625">
        <v>57.0</v>
      </c>
      <c r="AS32" s="625">
        <v>964.0</v>
      </c>
      <c r="AT32" s="625">
        <v>739.0</v>
      </c>
      <c r="AU32" s="684">
        <f t="shared" si="25"/>
        <v>1000</v>
      </c>
      <c r="AV32" s="625"/>
      <c r="AW32" s="625">
        <v>254.0</v>
      </c>
      <c r="AX32" s="625">
        <v>229.0</v>
      </c>
      <c r="AY32" s="625">
        <v>198.0</v>
      </c>
      <c r="AZ32" s="625">
        <v>182.0</v>
      </c>
      <c r="BA32" s="693">
        <v>137.0</v>
      </c>
      <c r="BB32" s="631"/>
      <c r="BC32" s="189" t="s">
        <v>695</v>
      </c>
      <c r="BD32" s="688" t="s">
        <v>3303</v>
      </c>
      <c r="BE32" s="688" t="s">
        <v>3303</v>
      </c>
      <c r="BF32" s="688" t="s">
        <v>3303</v>
      </c>
      <c r="BG32" s="688" t="s">
        <v>3303</v>
      </c>
      <c r="BH32" s="688" t="s">
        <v>3303</v>
      </c>
      <c r="BI32" s="688" t="s">
        <v>3303</v>
      </c>
      <c r="BJ32" s="179"/>
      <c r="BK32" s="631"/>
      <c r="BL32" s="179" t="b">
        <f t="shared" si="26"/>
        <v>1</v>
      </c>
      <c r="BM32" s="179" t="b">
        <f t="shared" si="27"/>
        <v>1</v>
      </c>
      <c r="BN32" s="688" t="b">
        <f t="shared" si="28"/>
        <v>1</v>
      </c>
    </row>
    <row r="33">
      <c r="A33" s="675" t="s">
        <v>3301</v>
      </c>
      <c r="B33" s="186" t="s">
        <v>3358</v>
      </c>
      <c r="C33" s="676" t="s">
        <v>2113</v>
      </c>
      <c r="D33" s="677">
        <v>32.0</v>
      </c>
      <c r="E33" s="632" t="s">
        <v>1432</v>
      </c>
      <c r="F33" s="678">
        <f t="shared" ref="F33:G33" si="100">H33+J33+L33+N33+P33</f>
        <v>138911</v>
      </c>
      <c r="G33" s="679">
        <f t="shared" si="100"/>
        <v>5277</v>
      </c>
      <c r="H33" s="641">
        <v>28125.0</v>
      </c>
      <c r="I33" s="680">
        <v>1157.0</v>
      </c>
      <c r="J33" s="641">
        <v>23780.0</v>
      </c>
      <c r="K33" s="680">
        <v>1076.0</v>
      </c>
      <c r="L33" s="641">
        <v>27622.0</v>
      </c>
      <c r="M33" s="680">
        <v>1092.0</v>
      </c>
      <c r="N33" s="641">
        <v>29629.0</v>
      </c>
      <c r="O33" s="680">
        <v>1136.0</v>
      </c>
      <c r="P33" s="641">
        <v>29755.0</v>
      </c>
      <c r="Q33" s="680">
        <v>816.0</v>
      </c>
      <c r="R33" s="681" t="s">
        <v>715</v>
      </c>
      <c r="S33" s="682">
        <f t="shared" si="10"/>
        <v>138911</v>
      </c>
      <c r="T33" s="683"/>
      <c r="U33" s="625">
        <f t="shared" si="65"/>
        <v>28125</v>
      </c>
      <c r="V33" s="625">
        <f t="shared" si="66"/>
        <v>23780</v>
      </c>
      <c r="W33" s="625">
        <f t="shared" si="67"/>
        <v>27622</v>
      </c>
      <c r="X33" s="625">
        <f t="shared" si="68"/>
        <v>29629</v>
      </c>
      <c r="Y33" s="625">
        <f t="shared" si="69"/>
        <v>29755</v>
      </c>
      <c r="Z33" s="656">
        <f t="shared" si="16"/>
        <v>5277</v>
      </c>
      <c r="AA33" s="683"/>
      <c r="AB33" s="625">
        <f t="shared" si="70"/>
        <v>1157</v>
      </c>
      <c r="AC33" s="625">
        <f t="shared" si="71"/>
        <v>1076</v>
      </c>
      <c r="AD33" s="625">
        <f t="shared" si="72"/>
        <v>1092</v>
      </c>
      <c r="AE33" s="625">
        <f t="shared" si="73"/>
        <v>1136</v>
      </c>
      <c r="AF33" s="625">
        <f t="shared" si="74"/>
        <v>816</v>
      </c>
      <c r="AG33" s="657">
        <f t="shared" si="22"/>
        <v>0.03798835225</v>
      </c>
      <c r="AH33" s="165"/>
      <c r="AI33" s="165">
        <f t="shared" ref="AI33:AM33" si="101">AB33/U33</f>
        <v>0.04113777778</v>
      </c>
      <c r="AJ33" s="165">
        <f t="shared" si="101"/>
        <v>0.04524810765</v>
      </c>
      <c r="AK33" s="165">
        <f t="shared" si="101"/>
        <v>0.03953370502</v>
      </c>
      <c r="AL33" s="165">
        <f t="shared" si="101"/>
        <v>0.03834081474</v>
      </c>
      <c r="AM33" s="165">
        <f t="shared" si="101"/>
        <v>0.02742396236</v>
      </c>
      <c r="AN33" s="684">
        <f t="shared" si="24"/>
        <v>85462</v>
      </c>
      <c r="AO33" s="685">
        <v>4576.0</v>
      </c>
      <c r="AP33" s="180">
        <v>5073.0</v>
      </c>
      <c r="AQ33" s="180">
        <v>25126.0</v>
      </c>
      <c r="AR33" s="180">
        <v>7025.0</v>
      </c>
      <c r="AS33" s="180">
        <v>28144.0</v>
      </c>
      <c r="AT33" s="180">
        <v>20094.0</v>
      </c>
      <c r="AU33" s="684">
        <f t="shared" si="25"/>
        <v>37187</v>
      </c>
      <c r="AV33" s="685">
        <v>9087.0</v>
      </c>
      <c r="AW33" s="180">
        <v>8576.0</v>
      </c>
      <c r="AX33" s="180">
        <v>8055.0</v>
      </c>
      <c r="AY33" s="180">
        <v>7727.0</v>
      </c>
      <c r="AZ33" s="180">
        <v>5934.0</v>
      </c>
      <c r="BA33" s="686">
        <v>6895.0</v>
      </c>
      <c r="BB33" s="631"/>
      <c r="BC33" s="716" t="s">
        <v>695</v>
      </c>
      <c r="BD33" s="186" t="s">
        <v>3303</v>
      </c>
      <c r="BE33" s="186" t="s">
        <v>3304</v>
      </c>
      <c r="BF33" s="186" t="s">
        <v>3305</v>
      </c>
      <c r="BG33" s="186" t="s">
        <v>3306</v>
      </c>
      <c r="BH33" s="186" t="s">
        <v>3307</v>
      </c>
      <c r="BI33" s="186" t="s">
        <v>3308</v>
      </c>
      <c r="BJ33" s="179"/>
      <c r="BK33" s="631"/>
      <c r="BL33" s="179" t="b">
        <f t="shared" si="26"/>
        <v>1</v>
      </c>
      <c r="BM33" s="179" t="b">
        <f t="shared" si="27"/>
        <v>1</v>
      </c>
      <c r="BN33" s="688" t="b">
        <f t="shared" si="28"/>
        <v>1</v>
      </c>
    </row>
    <row r="34">
      <c r="A34" s="426"/>
      <c r="B34" s="186" t="s">
        <v>3359</v>
      </c>
      <c r="C34" s="676" t="s">
        <v>2113</v>
      </c>
      <c r="D34" s="717">
        <v>201.0</v>
      </c>
      <c r="E34" s="714" t="s">
        <v>3360</v>
      </c>
      <c r="F34" s="678">
        <f t="shared" ref="F34:G34" si="102">H34+J34+L34+N34+P34</f>
        <v>13981.06</v>
      </c>
      <c r="G34" s="679">
        <f t="shared" si="102"/>
        <v>2345</v>
      </c>
      <c r="H34" s="641">
        <v>2296.06</v>
      </c>
      <c r="I34" s="680">
        <v>190.0</v>
      </c>
      <c r="J34" s="641">
        <v>2858.0</v>
      </c>
      <c r="K34" s="680">
        <v>160.0</v>
      </c>
      <c r="L34" s="641">
        <v>2535.0</v>
      </c>
      <c r="M34" s="680">
        <v>465.0</v>
      </c>
      <c r="N34" s="641">
        <v>3403.0</v>
      </c>
      <c r="O34" s="680">
        <v>592.0</v>
      </c>
      <c r="P34" s="641">
        <v>2889.0</v>
      </c>
      <c r="Q34" s="680">
        <v>938.0</v>
      </c>
      <c r="R34" s="681" t="s">
        <v>696</v>
      </c>
      <c r="S34" s="682">
        <f t="shared" si="10"/>
        <v>13981.06</v>
      </c>
      <c r="T34" s="683"/>
      <c r="U34" s="625">
        <f t="shared" si="65"/>
        <v>2296.06</v>
      </c>
      <c r="V34" s="625">
        <f t="shared" si="66"/>
        <v>2858</v>
      </c>
      <c r="W34" s="625">
        <f t="shared" si="67"/>
        <v>2535</v>
      </c>
      <c r="X34" s="625">
        <f t="shared" si="68"/>
        <v>3403</v>
      </c>
      <c r="Y34" s="625">
        <f t="shared" si="69"/>
        <v>2889</v>
      </c>
      <c r="Z34" s="656">
        <f t="shared" si="16"/>
        <v>2345</v>
      </c>
      <c r="AA34" s="683"/>
      <c r="AB34" s="625">
        <f t="shared" si="70"/>
        <v>190</v>
      </c>
      <c r="AC34" s="625">
        <f t="shared" si="71"/>
        <v>160</v>
      </c>
      <c r="AD34" s="625">
        <f t="shared" si="72"/>
        <v>465</v>
      </c>
      <c r="AE34" s="625">
        <f t="shared" si="73"/>
        <v>592</v>
      </c>
      <c r="AF34" s="625">
        <f t="shared" si="74"/>
        <v>938</v>
      </c>
      <c r="AG34" s="657">
        <f t="shared" si="22"/>
        <v>0.1677269105</v>
      </c>
      <c r="AH34" s="165"/>
      <c r="AI34" s="165">
        <f t="shared" ref="AI34:AM34" si="103">AB34/U34</f>
        <v>0.08275045077</v>
      </c>
      <c r="AJ34" s="165">
        <f t="shared" si="103"/>
        <v>0.05598320504</v>
      </c>
      <c r="AK34" s="165">
        <f t="shared" si="103"/>
        <v>0.1834319527</v>
      </c>
      <c r="AL34" s="165">
        <f t="shared" si="103"/>
        <v>0.1739641493</v>
      </c>
      <c r="AM34" s="165">
        <f t="shared" si="103"/>
        <v>0.32467982</v>
      </c>
      <c r="AN34" s="684">
        <f t="shared" si="24"/>
        <v>13859</v>
      </c>
      <c r="AO34" s="641"/>
      <c r="AP34" s="641">
        <v>124.0</v>
      </c>
      <c r="AQ34" s="641">
        <v>5567.0</v>
      </c>
      <c r="AR34" s="641">
        <v>1572.0</v>
      </c>
      <c r="AS34" s="641">
        <v>3327.0</v>
      </c>
      <c r="AT34" s="641">
        <v>3269.0</v>
      </c>
      <c r="AU34" s="684">
        <f t="shared" si="25"/>
        <v>6505</v>
      </c>
      <c r="AV34" s="641"/>
      <c r="AW34" s="641">
        <v>1376.0</v>
      </c>
      <c r="AX34" s="641">
        <v>1323.0</v>
      </c>
      <c r="AY34" s="641">
        <v>1296.0</v>
      </c>
      <c r="AZ34" s="641">
        <v>1289.0</v>
      </c>
      <c r="BA34" s="691">
        <v>1221.0</v>
      </c>
      <c r="BB34" s="631"/>
      <c r="BC34" s="189" t="s">
        <v>695</v>
      </c>
      <c r="BD34" s="688" t="s">
        <v>3303</v>
      </c>
      <c r="BE34" s="179" t="s">
        <v>3304</v>
      </c>
      <c r="BF34" s="179" t="s">
        <v>3305</v>
      </c>
      <c r="BG34" s="179" t="s">
        <v>3306</v>
      </c>
      <c r="BH34" s="179" t="s">
        <v>3307</v>
      </c>
      <c r="BI34" s="179" t="s">
        <v>3308</v>
      </c>
      <c r="BJ34" s="179"/>
      <c r="BK34" s="631"/>
      <c r="BL34" s="179" t="b">
        <f t="shared" si="26"/>
        <v>1</v>
      </c>
      <c r="BM34" s="179" t="b">
        <f t="shared" si="27"/>
        <v>1</v>
      </c>
      <c r="BN34" s="688" t="b">
        <f t="shared" si="28"/>
        <v>1</v>
      </c>
    </row>
    <row r="35">
      <c r="A35" s="212"/>
      <c r="B35" s="186" t="s">
        <v>3361</v>
      </c>
      <c r="C35" s="676" t="s">
        <v>1578</v>
      </c>
      <c r="D35" s="677">
        <v>482.0</v>
      </c>
      <c r="E35" s="131" t="s">
        <v>3362</v>
      </c>
      <c r="F35" s="678">
        <f t="shared" ref="F35:G35" si="104">H35+J35+L35+N35+P35</f>
        <v>4654</v>
      </c>
      <c r="G35" s="679">
        <f t="shared" si="104"/>
        <v>944</v>
      </c>
      <c r="H35" s="641">
        <v>903.0</v>
      </c>
      <c r="I35" s="680">
        <v>180.0</v>
      </c>
      <c r="J35" s="641">
        <v>1260.0</v>
      </c>
      <c r="K35" s="680">
        <v>249.0</v>
      </c>
      <c r="L35" s="641">
        <v>957.0</v>
      </c>
      <c r="M35" s="680">
        <v>147.0</v>
      </c>
      <c r="N35" s="641">
        <v>700.0</v>
      </c>
      <c r="O35" s="680">
        <v>156.0</v>
      </c>
      <c r="P35" s="641">
        <v>834.0</v>
      </c>
      <c r="Q35" s="680">
        <v>212.0</v>
      </c>
      <c r="R35" s="681" t="s">
        <v>707</v>
      </c>
      <c r="S35" s="682">
        <f t="shared" si="10"/>
        <v>4654</v>
      </c>
      <c r="T35" s="683"/>
      <c r="U35" s="625">
        <f t="shared" si="65"/>
        <v>903</v>
      </c>
      <c r="V35" s="625">
        <f t="shared" si="66"/>
        <v>1260</v>
      </c>
      <c r="W35" s="625">
        <f t="shared" si="67"/>
        <v>957</v>
      </c>
      <c r="X35" s="625">
        <f t="shared" si="68"/>
        <v>700</v>
      </c>
      <c r="Y35" s="625">
        <f t="shared" si="69"/>
        <v>834</v>
      </c>
      <c r="Z35" s="656">
        <f t="shared" si="16"/>
        <v>944</v>
      </c>
      <c r="AA35" s="683"/>
      <c r="AB35" s="625">
        <f t="shared" si="70"/>
        <v>180</v>
      </c>
      <c r="AC35" s="625">
        <f t="shared" si="71"/>
        <v>249</v>
      </c>
      <c r="AD35" s="625">
        <f t="shared" si="72"/>
        <v>147</v>
      </c>
      <c r="AE35" s="625">
        <f t="shared" si="73"/>
        <v>156</v>
      </c>
      <c r="AF35" s="625">
        <f t="shared" si="74"/>
        <v>212</v>
      </c>
      <c r="AG35" s="657">
        <f t="shared" si="22"/>
        <v>0.2028362699</v>
      </c>
      <c r="AH35" s="165"/>
      <c r="AI35" s="165">
        <f t="shared" ref="AI35:AM35" si="105">AB35/U35</f>
        <v>0.1993355482</v>
      </c>
      <c r="AJ35" s="165">
        <f t="shared" si="105"/>
        <v>0.1976190476</v>
      </c>
      <c r="AK35" s="165">
        <f t="shared" si="105"/>
        <v>0.1536050157</v>
      </c>
      <c r="AL35" s="165">
        <f t="shared" si="105"/>
        <v>0.2228571429</v>
      </c>
      <c r="AM35" s="165">
        <f t="shared" si="105"/>
        <v>0.2541966427</v>
      </c>
      <c r="AN35" s="684">
        <f t="shared" si="24"/>
        <v>3474</v>
      </c>
      <c r="AO35" s="625"/>
      <c r="AP35" s="641">
        <v>1312.0</v>
      </c>
      <c r="AQ35" s="641">
        <v>1964.0</v>
      </c>
      <c r="AR35" s="641">
        <v>0.0</v>
      </c>
      <c r="AS35" s="641">
        <v>0.0</v>
      </c>
      <c r="AT35" s="641">
        <v>198.0</v>
      </c>
      <c r="AU35" s="684">
        <f t="shared" si="25"/>
        <v>1387</v>
      </c>
      <c r="AV35" s="625"/>
      <c r="AW35" s="641">
        <v>186.0</v>
      </c>
      <c r="AX35" s="641">
        <v>120.0</v>
      </c>
      <c r="AY35" s="641">
        <v>83.0</v>
      </c>
      <c r="AZ35" s="641">
        <v>332.0</v>
      </c>
      <c r="BA35" s="691">
        <v>666.0</v>
      </c>
      <c r="BB35" s="631"/>
      <c r="BC35" s="189" t="s">
        <v>695</v>
      </c>
      <c r="BD35" s="688" t="s">
        <v>3303</v>
      </c>
      <c r="BE35" s="179" t="s">
        <v>3304</v>
      </c>
      <c r="BF35" s="179" t="s">
        <v>3305</v>
      </c>
      <c r="BG35" s="179" t="s">
        <v>3306</v>
      </c>
      <c r="BH35" s="179" t="s">
        <v>3307</v>
      </c>
      <c r="BI35" s="179" t="s">
        <v>3308</v>
      </c>
      <c r="BJ35" s="179"/>
      <c r="BK35" s="631"/>
      <c r="BL35" s="179" t="b">
        <f t="shared" si="26"/>
        <v>1</v>
      </c>
      <c r="BM35" s="179" t="b">
        <f t="shared" si="27"/>
        <v>1</v>
      </c>
      <c r="BN35" s="688" t="b">
        <f t="shared" si="28"/>
        <v>1</v>
      </c>
    </row>
    <row r="36">
      <c r="A36" s="426"/>
      <c r="B36" s="186" t="s">
        <v>3363</v>
      </c>
      <c r="C36" s="690" t="s">
        <v>2317</v>
      </c>
      <c r="D36" s="677">
        <v>284.0</v>
      </c>
      <c r="E36" s="632" t="s">
        <v>3364</v>
      </c>
      <c r="F36" s="678">
        <f t="shared" ref="F36:G36" si="106">H36+J36+L36+N36+P36</f>
        <v>1468</v>
      </c>
      <c r="G36" s="679">
        <f t="shared" si="106"/>
        <v>253</v>
      </c>
      <c r="H36" s="641">
        <v>429.0</v>
      </c>
      <c r="I36" s="680">
        <v>79.0</v>
      </c>
      <c r="J36" s="641">
        <v>262.0</v>
      </c>
      <c r="K36" s="680">
        <v>44.0</v>
      </c>
      <c r="L36" s="641">
        <v>194.0</v>
      </c>
      <c r="M36" s="680">
        <v>75.0</v>
      </c>
      <c r="N36" s="641">
        <v>218.0</v>
      </c>
      <c r="O36" s="680">
        <v>57.0</v>
      </c>
      <c r="P36" s="641">
        <v>365.0</v>
      </c>
      <c r="Q36" s="680">
        <v>-2.0</v>
      </c>
      <c r="R36" s="681" t="s">
        <v>3365</v>
      </c>
      <c r="S36" s="682">
        <f t="shared" si="10"/>
        <v>1468</v>
      </c>
      <c r="T36" s="683"/>
      <c r="U36" s="625">
        <f t="shared" si="65"/>
        <v>429</v>
      </c>
      <c r="V36" s="625">
        <f t="shared" si="66"/>
        <v>262</v>
      </c>
      <c r="W36" s="625">
        <f t="shared" si="67"/>
        <v>194</v>
      </c>
      <c r="X36" s="625">
        <f t="shared" si="68"/>
        <v>218</v>
      </c>
      <c r="Y36" s="625">
        <f t="shared" si="69"/>
        <v>365</v>
      </c>
      <c r="Z36" s="656">
        <f t="shared" si="16"/>
        <v>253</v>
      </c>
      <c r="AA36" s="683"/>
      <c r="AB36" s="625">
        <f t="shared" si="70"/>
        <v>79</v>
      </c>
      <c r="AC36" s="625">
        <f t="shared" si="71"/>
        <v>44</v>
      </c>
      <c r="AD36" s="625">
        <f t="shared" si="72"/>
        <v>75</v>
      </c>
      <c r="AE36" s="625">
        <f t="shared" si="73"/>
        <v>57</v>
      </c>
      <c r="AF36" s="625">
        <f t="shared" si="74"/>
        <v>-2</v>
      </c>
      <c r="AG36" s="657">
        <f t="shared" si="22"/>
        <v>0.1723433243</v>
      </c>
      <c r="AH36" s="165"/>
      <c r="AI36" s="165">
        <f t="shared" ref="AI36:AM36" si="107">AB36/U36</f>
        <v>0.1841491841</v>
      </c>
      <c r="AJ36" s="165">
        <f t="shared" si="107"/>
        <v>0.1679389313</v>
      </c>
      <c r="AK36" s="165">
        <f t="shared" si="107"/>
        <v>0.3865979381</v>
      </c>
      <c r="AL36" s="165">
        <f t="shared" si="107"/>
        <v>0.2614678899</v>
      </c>
      <c r="AM36" s="165">
        <f t="shared" si="107"/>
        <v>-0.005479452055</v>
      </c>
      <c r="AN36" s="684">
        <f t="shared" si="24"/>
        <v>816</v>
      </c>
      <c r="AO36" s="641">
        <v>601.0</v>
      </c>
      <c r="AP36" s="625">
        <v>709.0</v>
      </c>
      <c r="AQ36" s="625">
        <v>0.0</v>
      </c>
      <c r="AR36" s="625">
        <v>0.0</v>
      </c>
      <c r="AS36" s="625">
        <v>74.0</v>
      </c>
      <c r="AT36" s="641">
        <v>33.0</v>
      </c>
      <c r="AU36" s="684">
        <f t="shared" si="25"/>
        <v>0</v>
      </c>
      <c r="AV36" s="685">
        <v>127.0</v>
      </c>
      <c r="AW36" s="180">
        <v>0.0</v>
      </c>
      <c r="AX36" s="180">
        <v>0.0</v>
      </c>
      <c r="AY36" s="180">
        <v>0.0</v>
      </c>
      <c r="AZ36" s="180">
        <v>0.0</v>
      </c>
      <c r="BA36" s="686">
        <v>0.0</v>
      </c>
      <c r="BB36" s="631"/>
      <c r="BC36" s="189" t="s">
        <v>695</v>
      </c>
      <c r="BD36" s="186" t="s">
        <v>3303</v>
      </c>
      <c r="BE36" s="688" t="s">
        <v>3303</v>
      </c>
      <c r="BF36" s="688" t="s">
        <v>3303</v>
      </c>
      <c r="BG36" s="688" t="s">
        <v>3303</v>
      </c>
      <c r="BH36" s="688" t="s">
        <v>3303</v>
      </c>
      <c r="BI36" s="688" t="s">
        <v>3303</v>
      </c>
      <c r="BJ36" s="179"/>
      <c r="BK36" s="631"/>
      <c r="BL36" s="179" t="b">
        <f t="shared" si="26"/>
        <v>1</v>
      </c>
      <c r="BM36" s="179" t="b">
        <f t="shared" si="27"/>
        <v>1</v>
      </c>
      <c r="BN36" s="688" t="b">
        <f t="shared" si="28"/>
        <v>0</v>
      </c>
    </row>
    <row r="37">
      <c r="A37" s="675" t="s">
        <v>3301</v>
      </c>
      <c r="B37" s="186" t="s">
        <v>3366</v>
      </c>
      <c r="C37" s="676" t="s">
        <v>1578</v>
      </c>
      <c r="D37" s="677">
        <v>94.0</v>
      </c>
      <c r="E37" s="632" t="s">
        <v>1417</v>
      </c>
      <c r="F37" s="678">
        <f t="shared" ref="F37:G37" si="108">H37+J37+L37+N37+P37</f>
        <v>9328.48</v>
      </c>
      <c r="G37" s="679">
        <f t="shared" si="108"/>
        <v>1583</v>
      </c>
      <c r="H37" s="641">
        <v>1567.48</v>
      </c>
      <c r="I37" s="680">
        <v>213.0</v>
      </c>
      <c r="J37" s="641">
        <v>2545.0</v>
      </c>
      <c r="K37" s="680">
        <v>367.0</v>
      </c>
      <c r="L37" s="641">
        <v>2086.0</v>
      </c>
      <c r="M37" s="680">
        <v>447.0</v>
      </c>
      <c r="N37" s="641">
        <v>1631.0</v>
      </c>
      <c r="O37" s="680">
        <v>261.0</v>
      </c>
      <c r="P37" s="641">
        <v>1499.0</v>
      </c>
      <c r="Q37" s="680">
        <v>295.0</v>
      </c>
      <c r="R37" s="681" t="s">
        <v>719</v>
      </c>
      <c r="S37" s="682">
        <f t="shared" si="10"/>
        <v>9328.48</v>
      </c>
      <c r="T37" s="683"/>
      <c r="U37" s="625">
        <f t="shared" si="65"/>
        <v>1567.48</v>
      </c>
      <c r="V37" s="625">
        <f t="shared" si="66"/>
        <v>2545</v>
      </c>
      <c r="W37" s="625">
        <f t="shared" si="67"/>
        <v>2086</v>
      </c>
      <c r="X37" s="625">
        <f t="shared" si="68"/>
        <v>1631</v>
      </c>
      <c r="Y37" s="625">
        <f t="shared" si="69"/>
        <v>1499</v>
      </c>
      <c r="Z37" s="656">
        <f t="shared" si="16"/>
        <v>1583</v>
      </c>
      <c r="AA37" s="683"/>
      <c r="AB37" s="625">
        <f t="shared" si="70"/>
        <v>213</v>
      </c>
      <c r="AC37" s="625">
        <f t="shared" si="71"/>
        <v>367</v>
      </c>
      <c r="AD37" s="625">
        <f t="shared" si="72"/>
        <v>447</v>
      </c>
      <c r="AE37" s="625">
        <f t="shared" si="73"/>
        <v>261</v>
      </c>
      <c r="AF37" s="625">
        <f t="shared" si="74"/>
        <v>295</v>
      </c>
      <c r="AG37" s="657">
        <f t="shared" si="22"/>
        <v>0.1696953845</v>
      </c>
      <c r="AH37" s="165"/>
      <c r="AI37" s="165">
        <f t="shared" ref="AI37:AM37" si="109">AB37/U37</f>
        <v>0.1358869013</v>
      </c>
      <c r="AJ37" s="165">
        <f t="shared" si="109"/>
        <v>0.1442043222</v>
      </c>
      <c r="AK37" s="165">
        <f t="shared" si="109"/>
        <v>0.2142857143</v>
      </c>
      <c r="AL37" s="165">
        <f t="shared" si="109"/>
        <v>0.1600245248</v>
      </c>
      <c r="AM37" s="165">
        <f t="shared" si="109"/>
        <v>0.1967978652</v>
      </c>
      <c r="AN37" s="684">
        <f t="shared" si="24"/>
        <v>7325</v>
      </c>
      <c r="AO37" s="180"/>
      <c r="AP37" s="180">
        <v>1001.0</v>
      </c>
      <c r="AQ37" s="180">
        <v>3504.0</v>
      </c>
      <c r="AR37" s="180">
        <v>318.0</v>
      </c>
      <c r="AS37" s="180">
        <v>1009.0</v>
      </c>
      <c r="AT37" s="180">
        <v>1493.0</v>
      </c>
      <c r="AU37" s="684">
        <f>SUM(AW37:BB37)</f>
        <v>3069</v>
      </c>
      <c r="AV37" s="180"/>
      <c r="AW37" s="180">
        <v>789.0</v>
      </c>
      <c r="AX37" s="180">
        <v>688.0</v>
      </c>
      <c r="AY37" s="180">
        <v>568.0</v>
      </c>
      <c r="AZ37" s="180">
        <v>527.0</v>
      </c>
      <c r="BA37" s="693">
        <v>497.0</v>
      </c>
      <c r="BB37" s="631"/>
      <c r="BC37" s="687" t="s">
        <v>695</v>
      </c>
      <c r="BD37" s="688" t="s">
        <v>3303</v>
      </c>
      <c r="BE37" s="186" t="s">
        <v>3304</v>
      </c>
      <c r="BF37" s="186" t="s">
        <v>3305</v>
      </c>
      <c r="BG37" s="186" t="s">
        <v>3306</v>
      </c>
      <c r="BH37" s="179" t="s">
        <v>3307</v>
      </c>
      <c r="BI37" s="179" t="s">
        <v>3308</v>
      </c>
      <c r="BJ37" s="179"/>
      <c r="BK37" s="631"/>
      <c r="BL37" s="179" t="b">
        <f t="shared" si="26"/>
        <v>1</v>
      </c>
      <c r="BM37" s="179" t="b">
        <f t="shared" si="27"/>
        <v>1</v>
      </c>
      <c r="BN37" s="688" t="b">
        <f t="shared" si="28"/>
        <v>1</v>
      </c>
    </row>
    <row r="38">
      <c r="A38" s="426"/>
      <c r="B38" s="186" t="s">
        <v>3367</v>
      </c>
      <c r="C38" s="676" t="s">
        <v>2113</v>
      </c>
      <c r="D38" s="677">
        <v>386.0</v>
      </c>
      <c r="E38" s="632" t="s">
        <v>3368</v>
      </c>
      <c r="F38" s="678">
        <f t="shared" ref="F38:G38" si="110">H38+J38+L38+N38+P38</f>
        <v>13974.8</v>
      </c>
      <c r="G38" s="679">
        <f t="shared" si="110"/>
        <v>3084.07</v>
      </c>
      <c r="H38" s="641">
        <v>1803.0</v>
      </c>
      <c r="I38" s="680">
        <v>293.86</v>
      </c>
      <c r="J38" s="641">
        <v>425.3</v>
      </c>
      <c r="K38" s="680">
        <v>296.31</v>
      </c>
      <c r="L38" s="641">
        <v>3248.8</v>
      </c>
      <c r="M38" s="680">
        <v>581.38</v>
      </c>
      <c r="N38" s="641">
        <v>4666.2</v>
      </c>
      <c r="O38" s="680">
        <v>840.51</v>
      </c>
      <c r="P38" s="641">
        <v>3831.5</v>
      </c>
      <c r="Q38" s="680">
        <v>1072.01</v>
      </c>
      <c r="R38" s="681" t="s">
        <v>708</v>
      </c>
      <c r="S38" s="682">
        <f t="shared" si="10"/>
        <v>13974.8</v>
      </c>
      <c r="T38" s="683"/>
      <c r="U38" s="625">
        <f t="shared" si="65"/>
        <v>1803</v>
      </c>
      <c r="V38" s="625">
        <f t="shared" si="66"/>
        <v>425.3</v>
      </c>
      <c r="W38" s="625">
        <f t="shared" si="67"/>
        <v>3248.8</v>
      </c>
      <c r="X38" s="625">
        <f t="shared" si="68"/>
        <v>4666.2</v>
      </c>
      <c r="Y38" s="625">
        <f t="shared" si="69"/>
        <v>3831.5</v>
      </c>
      <c r="Z38" s="656">
        <f t="shared" si="16"/>
        <v>3084.07</v>
      </c>
      <c r="AA38" s="683"/>
      <c r="AB38" s="625">
        <f t="shared" si="70"/>
        <v>293.86</v>
      </c>
      <c r="AC38" s="625">
        <f t="shared" si="71"/>
        <v>296.31</v>
      </c>
      <c r="AD38" s="625">
        <f t="shared" si="72"/>
        <v>581.38</v>
      </c>
      <c r="AE38" s="625">
        <f t="shared" si="73"/>
        <v>840.51</v>
      </c>
      <c r="AF38" s="625">
        <f t="shared" si="74"/>
        <v>1072.01</v>
      </c>
      <c r="AG38" s="657">
        <f t="shared" si="22"/>
        <v>0.2206879526</v>
      </c>
      <c r="AH38" s="165"/>
      <c r="AI38" s="165">
        <f t="shared" ref="AI38:AM38" si="111">AB38/U38</f>
        <v>0.1629839157</v>
      </c>
      <c r="AJ38" s="165">
        <f t="shared" si="111"/>
        <v>0.696708206</v>
      </c>
      <c r="AK38" s="165">
        <f t="shared" si="111"/>
        <v>0.1789522285</v>
      </c>
      <c r="AL38" s="165">
        <f t="shared" si="111"/>
        <v>0.1801272984</v>
      </c>
      <c r="AM38" s="165">
        <f t="shared" si="111"/>
        <v>0.2797885945</v>
      </c>
      <c r="AN38" s="684">
        <f t="shared" si="24"/>
        <v>19450</v>
      </c>
      <c r="AO38" s="180">
        <v>0.0</v>
      </c>
      <c r="AP38" s="641">
        <v>750.0</v>
      </c>
      <c r="AQ38" s="641">
        <v>1800.0</v>
      </c>
      <c r="AR38" s="641">
        <v>6679.1</v>
      </c>
      <c r="AS38" s="641">
        <v>5868.3</v>
      </c>
      <c r="AT38" s="641">
        <v>4352.6</v>
      </c>
      <c r="AU38" s="684">
        <f t="shared" ref="AU38:AU83" si="114">SUM(AW38:BA38)</f>
        <v>0</v>
      </c>
      <c r="AV38" s="180">
        <v>0.0</v>
      </c>
      <c r="AW38" s="180">
        <v>0.0</v>
      </c>
      <c r="AX38" s="180">
        <v>0.0</v>
      </c>
      <c r="AY38" s="180">
        <v>0.0</v>
      </c>
      <c r="AZ38" s="180">
        <v>0.0</v>
      </c>
      <c r="BA38" s="686">
        <v>0.0</v>
      </c>
      <c r="BB38" s="631"/>
      <c r="BC38" s="189" t="s">
        <v>695</v>
      </c>
      <c r="BD38" s="186" t="s">
        <v>3303</v>
      </c>
      <c r="BE38" s="179" t="s">
        <v>3304</v>
      </c>
      <c r="BF38" s="179" t="s">
        <v>3305</v>
      </c>
      <c r="BG38" s="179" t="s">
        <v>3306</v>
      </c>
      <c r="BH38" s="179" t="s">
        <v>3307</v>
      </c>
      <c r="BI38" s="179" t="s">
        <v>3308</v>
      </c>
      <c r="BJ38" s="179"/>
      <c r="BK38" s="646"/>
      <c r="BL38" s="179" t="b">
        <f t="shared" si="26"/>
        <v>1</v>
      </c>
      <c r="BM38" s="179" t="b">
        <f t="shared" si="27"/>
        <v>1</v>
      </c>
      <c r="BN38" s="688" t="b">
        <f t="shared" si="28"/>
        <v>0</v>
      </c>
    </row>
    <row r="39">
      <c r="A39" s="212"/>
      <c r="B39" s="186" t="s">
        <v>3369</v>
      </c>
      <c r="C39" s="676" t="s">
        <v>1578</v>
      </c>
      <c r="D39" s="677">
        <v>210.0</v>
      </c>
      <c r="E39" s="131" t="s">
        <v>3370</v>
      </c>
      <c r="F39" s="678">
        <f t="shared" ref="F39:G39" si="112">H39+J39+L39+N39+P39</f>
        <v>2003.53</v>
      </c>
      <c r="G39" s="679">
        <f t="shared" si="112"/>
        <v>342.56</v>
      </c>
      <c r="H39" s="641">
        <v>627.61</v>
      </c>
      <c r="I39" s="680">
        <v>115.27</v>
      </c>
      <c r="J39" s="641">
        <v>514.76</v>
      </c>
      <c r="K39" s="680">
        <v>88.51</v>
      </c>
      <c r="L39" s="641">
        <v>506.93</v>
      </c>
      <c r="M39" s="680">
        <v>94.95</v>
      </c>
      <c r="N39" s="641">
        <v>227.19</v>
      </c>
      <c r="O39" s="680">
        <v>29.19</v>
      </c>
      <c r="P39" s="641">
        <v>127.04</v>
      </c>
      <c r="Q39" s="680">
        <v>14.64</v>
      </c>
      <c r="R39" s="681" t="s">
        <v>708</v>
      </c>
      <c r="S39" s="682">
        <f t="shared" si="10"/>
        <v>2003.53</v>
      </c>
      <c r="T39" s="683"/>
      <c r="U39" s="625">
        <f t="shared" si="65"/>
        <v>627.61</v>
      </c>
      <c r="V39" s="625">
        <f t="shared" si="66"/>
        <v>514.76</v>
      </c>
      <c r="W39" s="625">
        <f t="shared" si="67"/>
        <v>506.93</v>
      </c>
      <c r="X39" s="625">
        <f t="shared" si="68"/>
        <v>227.19</v>
      </c>
      <c r="Y39" s="625">
        <f t="shared" si="69"/>
        <v>127.04</v>
      </c>
      <c r="Z39" s="656">
        <f t="shared" si="16"/>
        <v>342.56</v>
      </c>
      <c r="AA39" s="683"/>
      <c r="AB39" s="625">
        <f t="shared" si="70"/>
        <v>115.27</v>
      </c>
      <c r="AC39" s="625">
        <f t="shared" si="71"/>
        <v>88.51</v>
      </c>
      <c r="AD39" s="625">
        <f t="shared" si="72"/>
        <v>94.95</v>
      </c>
      <c r="AE39" s="625">
        <f t="shared" si="73"/>
        <v>29.19</v>
      </c>
      <c r="AF39" s="625">
        <f t="shared" si="74"/>
        <v>14.64</v>
      </c>
      <c r="AG39" s="657">
        <f t="shared" si="22"/>
        <v>0.1709782234</v>
      </c>
      <c r="AH39" s="165"/>
      <c r="AI39" s="165">
        <f t="shared" ref="AI39:AM39" si="113">AB39/U39</f>
        <v>0.1836650149</v>
      </c>
      <c r="AJ39" s="165">
        <f t="shared" si="113"/>
        <v>0.171944207</v>
      </c>
      <c r="AK39" s="165">
        <f t="shared" si="113"/>
        <v>0.187303967</v>
      </c>
      <c r="AL39" s="165">
        <f t="shared" si="113"/>
        <v>0.1284827677</v>
      </c>
      <c r="AM39" s="165">
        <f t="shared" si="113"/>
        <v>0.1152392947</v>
      </c>
      <c r="AN39" s="684">
        <f t="shared" si="24"/>
        <v>559.221</v>
      </c>
      <c r="AO39" s="625"/>
      <c r="AP39" s="641">
        <v>172.288</v>
      </c>
      <c r="AQ39" s="641">
        <v>194.316</v>
      </c>
      <c r="AR39" s="641">
        <v>106.203</v>
      </c>
      <c r="AS39" s="641">
        <v>67.305</v>
      </c>
      <c r="AT39" s="641">
        <v>19.109</v>
      </c>
      <c r="AU39" s="684">
        <f t="shared" si="114"/>
        <v>0</v>
      </c>
      <c r="AV39" s="180"/>
      <c r="AW39" s="180">
        <v>0.0</v>
      </c>
      <c r="AX39" s="180">
        <v>0.0</v>
      </c>
      <c r="AY39" s="180">
        <v>0.0</v>
      </c>
      <c r="AZ39" s="180">
        <v>0.0</v>
      </c>
      <c r="BA39" s="686">
        <v>0.0</v>
      </c>
      <c r="BB39" s="631"/>
      <c r="BC39" s="189" t="s">
        <v>695</v>
      </c>
      <c r="BD39" s="688" t="s">
        <v>3303</v>
      </c>
      <c r="BE39" s="179" t="s">
        <v>3304</v>
      </c>
      <c r="BF39" s="179" t="s">
        <v>3305</v>
      </c>
      <c r="BG39" s="179" t="s">
        <v>3306</v>
      </c>
      <c r="BH39" s="179" t="s">
        <v>3307</v>
      </c>
      <c r="BI39" s="179" t="s">
        <v>3308</v>
      </c>
      <c r="BJ39" s="179"/>
      <c r="BK39" s="631"/>
      <c r="BL39" s="179" t="b">
        <f t="shared" si="26"/>
        <v>1</v>
      </c>
      <c r="BM39" s="179" t="b">
        <f t="shared" si="27"/>
        <v>1</v>
      </c>
      <c r="BN39" s="688" t="b">
        <f t="shared" si="28"/>
        <v>0</v>
      </c>
    </row>
    <row r="40">
      <c r="A40" s="675" t="s">
        <v>3301</v>
      </c>
      <c r="B40" s="186" t="s">
        <v>3371</v>
      </c>
      <c r="C40" s="676" t="s">
        <v>2113</v>
      </c>
      <c r="D40" s="677">
        <v>229.0</v>
      </c>
      <c r="E40" s="632" t="s">
        <v>1410</v>
      </c>
      <c r="F40" s="678">
        <f t="shared" ref="F40:G40" si="115">H40+J40+L40+N40+P40</f>
        <v>20243.07</v>
      </c>
      <c r="G40" s="679">
        <f t="shared" si="115"/>
        <v>4346</v>
      </c>
      <c r="H40" s="641">
        <v>4613.0</v>
      </c>
      <c r="I40" s="680">
        <v>255.0</v>
      </c>
      <c r="J40" s="641">
        <v>4804.0</v>
      </c>
      <c r="K40" s="680">
        <v>2031.0</v>
      </c>
      <c r="L40" s="641">
        <v>3719.0</v>
      </c>
      <c r="M40" s="680">
        <v>720.0</v>
      </c>
      <c r="N40" s="641">
        <v>3657.0</v>
      </c>
      <c r="O40" s="680">
        <v>735.0</v>
      </c>
      <c r="P40" s="641">
        <v>3450.07</v>
      </c>
      <c r="Q40" s="680">
        <v>605.0</v>
      </c>
      <c r="R40" s="681" t="s">
        <v>696</v>
      </c>
      <c r="S40" s="682">
        <f t="shared" si="10"/>
        <v>20243.07</v>
      </c>
      <c r="T40" s="683"/>
      <c r="U40" s="625">
        <f t="shared" si="65"/>
        <v>4613</v>
      </c>
      <c r="V40" s="625">
        <f t="shared" si="66"/>
        <v>4804</v>
      </c>
      <c r="W40" s="625">
        <f t="shared" si="67"/>
        <v>3719</v>
      </c>
      <c r="X40" s="625">
        <f t="shared" si="68"/>
        <v>3657</v>
      </c>
      <c r="Y40" s="625">
        <f t="shared" si="69"/>
        <v>3450.07</v>
      </c>
      <c r="Z40" s="656">
        <f t="shared" si="16"/>
        <v>4346</v>
      </c>
      <c r="AA40" s="683"/>
      <c r="AB40" s="625">
        <f t="shared" si="70"/>
        <v>255</v>
      </c>
      <c r="AC40" s="625">
        <f t="shared" si="71"/>
        <v>2031</v>
      </c>
      <c r="AD40" s="625">
        <f t="shared" si="72"/>
        <v>720</v>
      </c>
      <c r="AE40" s="625">
        <f t="shared" si="73"/>
        <v>735</v>
      </c>
      <c r="AF40" s="625">
        <f t="shared" si="74"/>
        <v>605</v>
      </c>
      <c r="AG40" s="657">
        <f t="shared" si="22"/>
        <v>0.2146907559</v>
      </c>
      <c r="AH40" s="165"/>
      <c r="AI40" s="165">
        <f t="shared" ref="AI40:AM40" si="116">AB40/U40</f>
        <v>0.05527856059</v>
      </c>
      <c r="AJ40" s="165">
        <f t="shared" si="116"/>
        <v>0.4227726894</v>
      </c>
      <c r="AK40" s="165">
        <f t="shared" si="116"/>
        <v>0.1936004302</v>
      </c>
      <c r="AL40" s="165">
        <f t="shared" si="116"/>
        <v>0.2009844135</v>
      </c>
      <c r="AM40" s="165">
        <f t="shared" si="116"/>
        <v>0.1753587608</v>
      </c>
      <c r="AN40" s="684">
        <f t="shared" si="24"/>
        <v>9624</v>
      </c>
      <c r="AO40" s="641">
        <v>1884.0</v>
      </c>
      <c r="AP40" s="641">
        <v>2332.0</v>
      </c>
      <c r="AQ40" s="641">
        <v>1485.0</v>
      </c>
      <c r="AR40" s="641">
        <v>1809.0</v>
      </c>
      <c r="AS40" s="641">
        <v>1911.0</v>
      </c>
      <c r="AT40" s="641">
        <v>2087.0</v>
      </c>
      <c r="AU40" s="684">
        <f t="shared" si="114"/>
        <v>11861</v>
      </c>
      <c r="AV40" s="641">
        <v>3035.0</v>
      </c>
      <c r="AW40" s="625">
        <v>2990.0</v>
      </c>
      <c r="AX40" s="625">
        <v>2547.0</v>
      </c>
      <c r="AY40" s="625">
        <v>2260.0</v>
      </c>
      <c r="AZ40" s="625">
        <v>2096.0</v>
      </c>
      <c r="BA40" s="693">
        <v>1968.0</v>
      </c>
      <c r="BB40" s="631"/>
      <c r="BC40" s="189" t="s">
        <v>695</v>
      </c>
      <c r="BD40" s="186" t="s">
        <v>3303</v>
      </c>
      <c r="BE40" s="179" t="s">
        <v>3304</v>
      </c>
      <c r="BF40" s="179" t="s">
        <v>3305</v>
      </c>
      <c r="BG40" s="179" t="s">
        <v>3306</v>
      </c>
      <c r="BH40" s="179" t="s">
        <v>3307</v>
      </c>
      <c r="BI40" s="179" t="s">
        <v>3308</v>
      </c>
      <c r="BJ40" s="179"/>
      <c r="BK40" s="631"/>
      <c r="BL40" s="179" t="b">
        <f t="shared" si="26"/>
        <v>1</v>
      </c>
      <c r="BM40" s="179" t="b">
        <f t="shared" si="27"/>
        <v>1</v>
      </c>
      <c r="BN40" s="688" t="b">
        <f t="shared" si="28"/>
        <v>1</v>
      </c>
    </row>
    <row r="41">
      <c r="A41" s="689"/>
      <c r="B41" s="186" t="s">
        <v>3372</v>
      </c>
      <c r="C41" s="676" t="s">
        <v>2113</v>
      </c>
      <c r="D41" s="677">
        <v>451.0</v>
      </c>
      <c r="E41" s="632" t="s">
        <v>3373</v>
      </c>
      <c r="F41" s="678">
        <f t="shared" ref="F41:G41" si="117">H41+J41+L41+N41+P41</f>
        <v>2376.04</v>
      </c>
      <c r="G41" s="679">
        <f t="shared" si="117"/>
        <v>465.31</v>
      </c>
      <c r="H41" s="641">
        <v>1092.74</v>
      </c>
      <c r="I41" s="680">
        <v>177.02</v>
      </c>
      <c r="J41" s="641">
        <v>897.24</v>
      </c>
      <c r="K41" s="680">
        <v>201.73</v>
      </c>
      <c r="L41" s="641">
        <v>266.71</v>
      </c>
      <c r="M41" s="680">
        <v>66.4</v>
      </c>
      <c r="N41" s="641">
        <v>100.77</v>
      </c>
      <c r="O41" s="680">
        <v>13.7</v>
      </c>
      <c r="P41" s="641">
        <v>18.58</v>
      </c>
      <c r="Q41" s="680">
        <v>6.46</v>
      </c>
      <c r="R41" s="681" t="s">
        <v>3325</v>
      </c>
      <c r="S41" s="682">
        <f t="shared" si="10"/>
        <v>2376.04</v>
      </c>
      <c r="T41" s="683"/>
      <c r="U41" s="625">
        <f t="shared" si="65"/>
        <v>1092.74</v>
      </c>
      <c r="V41" s="625">
        <f t="shared" si="66"/>
        <v>897.24</v>
      </c>
      <c r="W41" s="625">
        <f t="shared" si="67"/>
        <v>266.71</v>
      </c>
      <c r="X41" s="625">
        <f t="shared" si="68"/>
        <v>100.77</v>
      </c>
      <c r="Y41" s="625">
        <f t="shared" si="69"/>
        <v>18.58</v>
      </c>
      <c r="Z41" s="656">
        <f t="shared" si="16"/>
        <v>465.31</v>
      </c>
      <c r="AA41" s="683"/>
      <c r="AB41" s="625">
        <f t="shared" si="70"/>
        <v>177.02</v>
      </c>
      <c r="AC41" s="625">
        <f t="shared" si="71"/>
        <v>201.73</v>
      </c>
      <c r="AD41" s="625">
        <f t="shared" si="72"/>
        <v>66.4</v>
      </c>
      <c r="AE41" s="625">
        <f t="shared" si="73"/>
        <v>13.7</v>
      </c>
      <c r="AF41" s="625">
        <f t="shared" si="74"/>
        <v>6.46</v>
      </c>
      <c r="AG41" s="657">
        <f t="shared" si="22"/>
        <v>0.1958342452</v>
      </c>
      <c r="AH41" s="165"/>
      <c r="AI41" s="165">
        <f t="shared" ref="AI41:AM41" si="118">AB41/U41</f>
        <v>0.1619964493</v>
      </c>
      <c r="AJ41" s="165">
        <f t="shared" si="118"/>
        <v>0.2248339352</v>
      </c>
      <c r="AK41" s="165">
        <f t="shared" si="118"/>
        <v>0.2489595441</v>
      </c>
      <c r="AL41" s="165">
        <f t="shared" si="118"/>
        <v>0.1359531607</v>
      </c>
      <c r="AM41" s="165">
        <f t="shared" si="118"/>
        <v>0.3476856835</v>
      </c>
      <c r="AN41" s="684">
        <f t="shared" si="24"/>
        <v>0</v>
      </c>
      <c r="AO41" s="180"/>
      <c r="AP41" s="180">
        <v>0.0</v>
      </c>
      <c r="AQ41" s="180">
        <v>0.0</v>
      </c>
      <c r="AR41" s="180">
        <v>0.0</v>
      </c>
      <c r="AS41" s="180">
        <v>0.0</v>
      </c>
      <c r="AT41" s="180">
        <v>0.0</v>
      </c>
      <c r="AU41" s="684">
        <f t="shared" si="114"/>
        <v>558</v>
      </c>
      <c r="AV41" s="641"/>
      <c r="AW41" s="641">
        <v>160.0</v>
      </c>
      <c r="AX41" s="641">
        <v>214.0</v>
      </c>
      <c r="AY41" s="641">
        <v>79.0</v>
      </c>
      <c r="AZ41" s="641">
        <v>54.0</v>
      </c>
      <c r="BA41" s="691">
        <v>51.0</v>
      </c>
      <c r="BB41" s="631"/>
      <c r="BC41" s="189" t="s">
        <v>695</v>
      </c>
      <c r="BD41" s="186" t="s">
        <v>3303</v>
      </c>
      <c r="BE41" s="179" t="s">
        <v>3304</v>
      </c>
      <c r="BF41" s="179" t="s">
        <v>3305</v>
      </c>
      <c r="BG41" s="179" t="s">
        <v>3306</v>
      </c>
      <c r="BH41" s="179" t="s">
        <v>3307</v>
      </c>
      <c r="BI41" s="179" t="s">
        <v>3308</v>
      </c>
      <c r="BJ41" s="179"/>
      <c r="BK41" s="646"/>
      <c r="BL41" s="179" t="b">
        <f t="shared" si="26"/>
        <v>1</v>
      </c>
      <c r="BM41" s="179" t="b">
        <f t="shared" si="27"/>
        <v>0</v>
      </c>
      <c r="BN41" s="688" t="b">
        <f t="shared" si="28"/>
        <v>1</v>
      </c>
    </row>
    <row r="42">
      <c r="A42" s="675" t="s">
        <v>3301</v>
      </c>
      <c r="B42" s="186" t="s">
        <v>3374</v>
      </c>
      <c r="C42" s="676" t="s">
        <v>2535</v>
      </c>
      <c r="D42" s="677">
        <v>452.0</v>
      </c>
      <c r="E42" s="632" t="s">
        <v>1401</v>
      </c>
      <c r="F42" s="678">
        <f t="shared" ref="F42:G42" si="119">H42+J42+L42+N42+P42</f>
        <v>2307.41</v>
      </c>
      <c r="G42" s="679">
        <f t="shared" si="119"/>
        <v>391.48</v>
      </c>
      <c r="H42" s="641">
        <v>244.52</v>
      </c>
      <c r="I42" s="680">
        <v>354.57</v>
      </c>
      <c r="J42" s="641">
        <v>543.77</v>
      </c>
      <c r="K42" s="680">
        <v>232.84</v>
      </c>
      <c r="L42" s="641">
        <v>585.9</v>
      </c>
      <c r="M42" s="680">
        <v>-227.31</v>
      </c>
      <c r="N42" s="641">
        <v>498.52</v>
      </c>
      <c r="O42" s="680">
        <v>-2.64</v>
      </c>
      <c r="P42" s="641">
        <v>434.7</v>
      </c>
      <c r="Q42" s="680">
        <v>34.02</v>
      </c>
      <c r="R42" s="681" t="s">
        <v>718</v>
      </c>
      <c r="S42" s="682">
        <f t="shared" si="10"/>
        <v>2307.41</v>
      </c>
      <c r="T42" s="683"/>
      <c r="U42" s="625">
        <f t="shared" si="65"/>
        <v>244.52</v>
      </c>
      <c r="V42" s="625">
        <f t="shared" si="66"/>
        <v>543.77</v>
      </c>
      <c r="W42" s="625">
        <f t="shared" si="67"/>
        <v>585.9</v>
      </c>
      <c r="X42" s="625">
        <f t="shared" si="68"/>
        <v>498.52</v>
      </c>
      <c r="Y42" s="625">
        <f t="shared" si="69"/>
        <v>434.7</v>
      </c>
      <c r="Z42" s="656">
        <f t="shared" si="16"/>
        <v>391.48</v>
      </c>
      <c r="AA42" s="683"/>
      <c r="AB42" s="625">
        <f t="shared" si="70"/>
        <v>354.57</v>
      </c>
      <c r="AC42" s="625">
        <f t="shared" si="71"/>
        <v>232.84</v>
      </c>
      <c r="AD42" s="625">
        <f t="shared" si="72"/>
        <v>-227.31</v>
      </c>
      <c r="AE42" s="625">
        <f t="shared" si="73"/>
        <v>-2.64</v>
      </c>
      <c r="AF42" s="625">
        <f t="shared" si="74"/>
        <v>34.02</v>
      </c>
      <c r="AG42" s="657">
        <f t="shared" si="22"/>
        <v>0.1696620887</v>
      </c>
      <c r="AH42" s="165"/>
      <c r="AI42" s="165">
        <f t="shared" ref="AI42:AM42" si="120">AB42/U42</f>
        <v>1.450065434</v>
      </c>
      <c r="AJ42" s="165">
        <f t="shared" si="120"/>
        <v>0.4281957445</v>
      </c>
      <c r="AK42" s="165">
        <f t="shared" si="120"/>
        <v>-0.3879672299</v>
      </c>
      <c r="AL42" s="165">
        <f t="shared" si="120"/>
        <v>-0.005295675199</v>
      </c>
      <c r="AM42" s="165">
        <f t="shared" si="120"/>
        <v>0.07826086957</v>
      </c>
      <c r="AN42" s="684">
        <f t="shared" si="24"/>
        <v>1391</v>
      </c>
      <c r="AO42" s="625"/>
      <c r="AP42" s="625">
        <v>224.0</v>
      </c>
      <c r="AQ42" s="625">
        <v>419.0</v>
      </c>
      <c r="AR42" s="625">
        <v>313.0</v>
      </c>
      <c r="AS42" s="625">
        <v>182.0</v>
      </c>
      <c r="AT42" s="625">
        <v>253.0</v>
      </c>
      <c r="AU42" s="684">
        <f t="shared" si="114"/>
        <v>886.69</v>
      </c>
      <c r="AV42" s="625"/>
      <c r="AW42" s="625">
        <v>235.73</v>
      </c>
      <c r="AX42" s="625">
        <v>209.06</v>
      </c>
      <c r="AY42" s="625">
        <v>181.07</v>
      </c>
      <c r="AZ42" s="625">
        <v>146.6</v>
      </c>
      <c r="BA42" s="693">
        <v>114.23</v>
      </c>
      <c r="BB42" s="631"/>
      <c r="BC42" s="189" t="s">
        <v>695</v>
      </c>
      <c r="BD42" s="688" t="s">
        <v>3303</v>
      </c>
      <c r="BE42" s="179" t="s">
        <v>3304</v>
      </c>
      <c r="BF42" s="179" t="s">
        <v>3305</v>
      </c>
      <c r="BG42" s="179" t="s">
        <v>3306</v>
      </c>
      <c r="BH42" s="179" t="s">
        <v>3307</v>
      </c>
      <c r="BI42" s="179" t="s">
        <v>3308</v>
      </c>
      <c r="BJ42" s="179"/>
      <c r="BK42" s="631"/>
      <c r="BL42" s="179" t="b">
        <f t="shared" si="26"/>
        <v>1</v>
      </c>
      <c r="BM42" s="179" t="b">
        <f t="shared" si="27"/>
        <v>1</v>
      </c>
      <c r="BN42" s="688" t="b">
        <f t="shared" si="28"/>
        <v>1</v>
      </c>
    </row>
    <row r="43">
      <c r="A43" s="689"/>
      <c r="B43" s="186" t="s">
        <v>3375</v>
      </c>
      <c r="C43" s="676" t="s">
        <v>2113</v>
      </c>
      <c r="D43" s="677">
        <v>172.0</v>
      </c>
      <c r="E43" s="632" t="s">
        <v>3376</v>
      </c>
      <c r="F43" s="678">
        <f t="shared" ref="F43:G43" si="121">H43+J43+L43+N43+P43</f>
        <v>6540.78</v>
      </c>
      <c r="G43" s="679">
        <f t="shared" si="121"/>
        <v>1333.08</v>
      </c>
      <c r="H43" s="641">
        <v>3446.37</v>
      </c>
      <c r="I43" s="680">
        <v>789.47</v>
      </c>
      <c r="J43" s="641">
        <v>2166.58</v>
      </c>
      <c r="K43" s="680">
        <v>475.74</v>
      </c>
      <c r="L43" s="641">
        <v>396.17</v>
      </c>
      <c r="M43" s="680">
        <v>66.02</v>
      </c>
      <c r="N43" s="641">
        <v>276.48</v>
      </c>
      <c r="O43" s="680">
        <v>3.68</v>
      </c>
      <c r="P43" s="641">
        <v>255.18</v>
      </c>
      <c r="Q43" s="680">
        <v>-1.83</v>
      </c>
      <c r="R43" s="681" t="s">
        <v>693</v>
      </c>
      <c r="S43" s="682">
        <f t="shared" si="10"/>
        <v>6540.78</v>
      </c>
      <c r="T43" s="683"/>
      <c r="U43" s="625">
        <f t="shared" si="65"/>
        <v>3446.37</v>
      </c>
      <c r="V43" s="625">
        <f t="shared" si="66"/>
        <v>2166.58</v>
      </c>
      <c r="W43" s="625">
        <f t="shared" si="67"/>
        <v>396.17</v>
      </c>
      <c r="X43" s="625">
        <f t="shared" si="68"/>
        <v>276.48</v>
      </c>
      <c r="Y43" s="625">
        <f t="shared" si="69"/>
        <v>255.18</v>
      </c>
      <c r="Z43" s="656">
        <f t="shared" si="16"/>
        <v>1333.08</v>
      </c>
      <c r="AA43" s="683"/>
      <c r="AB43" s="625">
        <f t="shared" si="70"/>
        <v>789.47</v>
      </c>
      <c r="AC43" s="625">
        <f t="shared" si="71"/>
        <v>475.74</v>
      </c>
      <c r="AD43" s="625">
        <f t="shared" si="72"/>
        <v>66.02</v>
      </c>
      <c r="AE43" s="625">
        <f t="shared" si="73"/>
        <v>3.68</v>
      </c>
      <c r="AF43" s="625">
        <f t="shared" si="74"/>
        <v>-1.83</v>
      </c>
      <c r="AG43" s="657">
        <f t="shared" si="22"/>
        <v>0.2038105547</v>
      </c>
      <c r="AH43" s="165"/>
      <c r="AI43" s="165">
        <f t="shared" ref="AI43:AM43" si="122">AB43/U43</f>
        <v>0.2290729086</v>
      </c>
      <c r="AJ43" s="165">
        <f t="shared" si="122"/>
        <v>0.2195810909</v>
      </c>
      <c r="AK43" s="165">
        <f t="shared" si="122"/>
        <v>0.1666456319</v>
      </c>
      <c r="AL43" s="165">
        <f t="shared" si="122"/>
        <v>0.01331018519</v>
      </c>
      <c r="AM43" s="165">
        <f t="shared" si="122"/>
        <v>-0.007171408418</v>
      </c>
      <c r="AN43" s="684">
        <f t="shared" si="24"/>
        <v>4362</v>
      </c>
      <c r="AO43" s="625"/>
      <c r="AP43" s="625">
        <v>2628.0</v>
      </c>
      <c r="AQ43" s="625">
        <v>1715.0</v>
      </c>
      <c r="AR43" s="625">
        <v>4.0</v>
      </c>
      <c r="AS43" s="625">
        <v>10.0</v>
      </c>
      <c r="AT43" s="625">
        <v>5.0</v>
      </c>
      <c r="AU43" s="684">
        <f t="shared" si="114"/>
        <v>0</v>
      </c>
      <c r="AV43" s="180"/>
      <c r="AW43" s="180">
        <v>0.0</v>
      </c>
      <c r="AX43" s="180">
        <v>0.0</v>
      </c>
      <c r="AY43" s="180">
        <v>0.0</v>
      </c>
      <c r="AZ43" s="180">
        <v>0.0</v>
      </c>
      <c r="BA43" s="686">
        <v>0.0</v>
      </c>
      <c r="BB43" s="631"/>
      <c r="BC43" s="189" t="s">
        <v>695</v>
      </c>
      <c r="BD43" s="688" t="s">
        <v>3303</v>
      </c>
      <c r="BE43" s="179" t="s">
        <v>3304</v>
      </c>
      <c r="BF43" s="179" t="s">
        <v>3305</v>
      </c>
      <c r="BG43" s="179" t="s">
        <v>3306</v>
      </c>
      <c r="BH43" s="179" t="s">
        <v>3307</v>
      </c>
      <c r="BI43" s="179" t="s">
        <v>3308</v>
      </c>
      <c r="BJ43" s="179"/>
      <c r="BK43" s="631"/>
      <c r="BL43" s="179" t="b">
        <f t="shared" si="26"/>
        <v>1</v>
      </c>
      <c r="BM43" s="179" t="b">
        <f t="shared" si="27"/>
        <v>1</v>
      </c>
      <c r="BN43" s="688" t="b">
        <f t="shared" si="28"/>
        <v>0</v>
      </c>
    </row>
    <row r="44">
      <c r="A44" s="689"/>
      <c r="B44" s="186" t="s">
        <v>3377</v>
      </c>
      <c r="C44" s="676" t="s">
        <v>2113</v>
      </c>
      <c r="D44" s="677">
        <v>160.0</v>
      </c>
      <c r="E44" s="632" t="s">
        <v>3378</v>
      </c>
      <c r="F44" s="678">
        <f t="shared" ref="F44:G44" si="123">H44+J44+L44+N44+P44</f>
        <v>3100.18</v>
      </c>
      <c r="G44" s="679">
        <f t="shared" si="123"/>
        <v>673.11</v>
      </c>
      <c r="H44" s="641">
        <v>766.24</v>
      </c>
      <c r="I44" s="680">
        <v>153.35</v>
      </c>
      <c r="J44" s="641">
        <v>530.13</v>
      </c>
      <c r="K44" s="680">
        <v>165.22</v>
      </c>
      <c r="L44" s="641">
        <v>479.56</v>
      </c>
      <c r="M44" s="680">
        <v>99.9</v>
      </c>
      <c r="N44" s="641">
        <v>623.95</v>
      </c>
      <c r="O44" s="680">
        <v>106.01</v>
      </c>
      <c r="P44" s="641">
        <v>700.3</v>
      </c>
      <c r="Q44" s="680">
        <v>148.63</v>
      </c>
      <c r="R44" s="681" t="s">
        <v>719</v>
      </c>
      <c r="S44" s="682">
        <f t="shared" si="10"/>
        <v>3100.18</v>
      </c>
      <c r="T44" s="683"/>
      <c r="U44" s="625">
        <f t="shared" si="65"/>
        <v>766.24</v>
      </c>
      <c r="V44" s="625">
        <f t="shared" si="66"/>
        <v>530.13</v>
      </c>
      <c r="W44" s="625">
        <f t="shared" si="67"/>
        <v>479.56</v>
      </c>
      <c r="X44" s="625">
        <f t="shared" si="68"/>
        <v>623.95</v>
      </c>
      <c r="Y44" s="625">
        <f t="shared" si="69"/>
        <v>700.3</v>
      </c>
      <c r="Z44" s="656">
        <f t="shared" si="16"/>
        <v>673.11</v>
      </c>
      <c r="AA44" s="683"/>
      <c r="AB44" s="625">
        <f t="shared" si="70"/>
        <v>153.35</v>
      </c>
      <c r="AC44" s="625">
        <f t="shared" si="71"/>
        <v>165.22</v>
      </c>
      <c r="AD44" s="625">
        <f t="shared" si="72"/>
        <v>99.9</v>
      </c>
      <c r="AE44" s="625">
        <f t="shared" si="73"/>
        <v>106.01</v>
      </c>
      <c r="AF44" s="625">
        <f t="shared" si="74"/>
        <v>148.63</v>
      </c>
      <c r="AG44" s="657">
        <f t="shared" si="22"/>
        <v>0.2171196511</v>
      </c>
      <c r="AH44" s="165"/>
      <c r="AI44" s="165">
        <f t="shared" ref="AI44:AM44" si="124">AB44/U44</f>
        <v>0.2001331176</v>
      </c>
      <c r="AJ44" s="165">
        <f t="shared" si="124"/>
        <v>0.3116594043</v>
      </c>
      <c r="AK44" s="165">
        <f t="shared" si="124"/>
        <v>0.2083159563</v>
      </c>
      <c r="AL44" s="165">
        <f t="shared" si="124"/>
        <v>0.1699014344</v>
      </c>
      <c r="AM44" s="165">
        <f t="shared" si="124"/>
        <v>0.2122376125</v>
      </c>
      <c r="AN44" s="684">
        <f t="shared" si="24"/>
        <v>2830</v>
      </c>
      <c r="AO44" s="625"/>
      <c r="AP44" s="625">
        <v>1460.0</v>
      </c>
      <c r="AQ44" s="625">
        <v>582.0</v>
      </c>
      <c r="AR44" s="625">
        <v>178.0</v>
      </c>
      <c r="AS44" s="625">
        <v>309.0</v>
      </c>
      <c r="AT44" s="625">
        <v>301.0</v>
      </c>
      <c r="AU44" s="684">
        <f t="shared" si="114"/>
        <v>1315.61</v>
      </c>
      <c r="AV44" s="625"/>
      <c r="AW44" s="625">
        <v>285.32</v>
      </c>
      <c r="AX44" s="625">
        <v>277.32</v>
      </c>
      <c r="AY44" s="625">
        <v>209.96</v>
      </c>
      <c r="AZ44" s="625">
        <v>277.79</v>
      </c>
      <c r="BA44" s="693">
        <v>265.22</v>
      </c>
      <c r="BB44" s="631"/>
      <c r="BC44" s="189" t="s">
        <v>695</v>
      </c>
      <c r="BD44" s="688" t="s">
        <v>3303</v>
      </c>
      <c r="BE44" s="179" t="s">
        <v>3304</v>
      </c>
      <c r="BF44" s="179" t="s">
        <v>3305</v>
      </c>
      <c r="BG44" s="179" t="s">
        <v>3306</v>
      </c>
      <c r="BH44" s="179" t="s">
        <v>3307</v>
      </c>
      <c r="BI44" s="179" t="s">
        <v>3308</v>
      </c>
      <c r="BJ44" s="179"/>
      <c r="BK44" s="631"/>
      <c r="BL44" s="179" t="b">
        <f t="shared" si="26"/>
        <v>1</v>
      </c>
      <c r="BM44" s="179" t="b">
        <f t="shared" si="27"/>
        <v>1</v>
      </c>
      <c r="BN44" s="688" t="b">
        <f t="shared" si="28"/>
        <v>1</v>
      </c>
    </row>
    <row r="45">
      <c r="A45" s="689"/>
      <c r="B45" s="186" t="s">
        <v>3379</v>
      </c>
      <c r="C45" s="690" t="s">
        <v>1980</v>
      </c>
      <c r="D45" s="677">
        <v>442.0</v>
      </c>
      <c r="E45" s="632" t="s">
        <v>3380</v>
      </c>
      <c r="F45" s="678">
        <f t="shared" ref="F45:G45" si="125">H45+J45+L45+N45+P45</f>
        <v>3842.11</v>
      </c>
      <c r="G45" s="679">
        <f t="shared" si="125"/>
        <v>596</v>
      </c>
      <c r="H45" s="641">
        <v>926.0</v>
      </c>
      <c r="I45" s="680">
        <v>160.0</v>
      </c>
      <c r="J45" s="641">
        <v>1274.0</v>
      </c>
      <c r="K45" s="680">
        <v>151.0</v>
      </c>
      <c r="L45" s="641">
        <v>711.0</v>
      </c>
      <c r="M45" s="680">
        <v>152.0</v>
      </c>
      <c r="N45" s="641">
        <v>605.0</v>
      </c>
      <c r="O45" s="680">
        <v>102.0</v>
      </c>
      <c r="P45" s="641">
        <v>326.11</v>
      </c>
      <c r="Q45" s="680">
        <v>31.0</v>
      </c>
      <c r="R45" s="681" t="s">
        <v>706</v>
      </c>
      <c r="S45" s="682">
        <f t="shared" si="10"/>
        <v>3842.11</v>
      </c>
      <c r="T45" s="683"/>
      <c r="U45" s="625">
        <f t="shared" si="65"/>
        <v>926</v>
      </c>
      <c r="V45" s="625">
        <f t="shared" si="66"/>
        <v>1274</v>
      </c>
      <c r="W45" s="625">
        <f t="shared" si="67"/>
        <v>711</v>
      </c>
      <c r="X45" s="625">
        <f t="shared" si="68"/>
        <v>605</v>
      </c>
      <c r="Y45" s="625">
        <f t="shared" si="69"/>
        <v>326.11</v>
      </c>
      <c r="Z45" s="656">
        <f t="shared" si="16"/>
        <v>596</v>
      </c>
      <c r="AA45" s="683"/>
      <c r="AB45" s="625">
        <f t="shared" si="70"/>
        <v>160</v>
      </c>
      <c r="AC45" s="625">
        <f t="shared" si="71"/>
        <v>151</v>
      </c>
      <c r="AD45" s="625">
        <f t="shared" si="72"/>
        <v>152</v>
      </c>
      <c r="AE45" s="625">
        <f t="shared" si="73"/>
        <v>102</v>
      </c>
      <c r="AF45" s="693">
        <f t="shared" si="74"/>
        <v>31</v>
      </c>
      <c r="AG45" s="657">
        <f t="shared" si="22"/>
        <v>0.1551230964</v>
      </c>
      <c r="AH45" s="165"/>
      <c r="AI45" s="165">
        <f t="shared" ref="AI45:AM45" si="126">AB45/U45</f>
        <v>0.1727861771</v>
      </c>
      <c r="AJ45" s="165">
        <f t="shared" si="126"/>
        <v>0.1185243328</v>
      </c>
      <c r="AK45" s="165">
        <f t="shared" si="126"/>
        <v>0.2137834037</v>
      </c>
      <c r="AL45" s="165">
        <f t="shared" si="126"/>
        <v>0.1685950413</v>
      </c>
      <c r="AM45" s="165">
        <f t="shared" si="126"/>
        <v>0.0950599491</v>
      </c>
      <c r="AN45" s="684">
        <f t="shared" si="24"/>
        <v>203</v>
      </c>
      <c r="AO45" s="641">
        <v>142.0</v>
      </c>
      <c r="AP45" s="625">
        <v>167.0</v>
      </c>
      <c r="AQ45" s="625">
        <v>36.0</v>
      </c>
      <c r="AR45" s="625">
        <v>0.0</v>
      </c>
      <c r="AS45" s="625">
        <v>0.0</v>
      </c>
      <c r="AT45" s="625">
        <v>0.0</v>
      </c>
      <c r="AU45" s="684">
        <f t="shared" si="114"/>
        <v>2165</v>
      </c>
      <c r="AV45" s="641">
        <v>447.0</v>
      </c>
      <c r="AW45" s="625">
        <v>451.0</v>
      </c>
      <c r="AX45" s="625">
        <v>439.0</v>
      </c>
      <c r="AY45" s="625">
        <v>426.0</v>
      </c>
      <c r="AZ45" s="625">
        <v>423.0</v>
      </c>
      <c r="BA45" s="693">
        <v>426.0</v>
      </c>
      <c r="BB45" s="631"/>
      <c r="BC45" s="189" t="s">
        <v>695</v>
      </c>
      <c r="BD45" s="186" t="s">
        <v>3303</v>
      </c>
      <c r="BE45" s="179" t="s">
        <v>3304</v>
      </c>
      <c r="BF45" s="179" t="s">
        <v>3305</v>
      </c>
      <c r="BG45" s="179" t="s">
        <v>3306</v>
      </c>
      <c r="BH45" s="179" t="s">
        <v>3307</v>
      </c>
      <c r="BI45" s="179" t="s">
        <v>3308</v>
      </c>
      <c r="BJ45" s="179"/>
      <c r="BK45" s="631"/>
      <c r="BL45" s="179" t="b">
        <f t="shared" si="26"/>
        <v>1</v>
      </c>
      <c r="BM45" s="179" t="b">
        <f t="shared" si="27"/>
        <v>0</v>
      </c>
      <c r="BN45" s="688" t="b">
        <f t="shared" si="28"/>
        <v>1</v>
      </c>
    </row>
    <row r="46">
      <c r="A46" s="675" t="s">
        <v>3301</v>
      </c>
      <c r="B46" s="186" t="s">
        <v>3381</v>
      </c>
      <c r="C46" s="676" t="s">
        <v>2113</v>
      </c>
      <c r="D46" s="677">
        <v>106.0</v>
      </c>
      <c r="E46" s="632" t="s">
        <v>1392</v>
      </c>
      <c r="F46" s="678">
        <f t="shared" ref="F46:G46" si="127">H46+J46+L46+N46+P46</f>
        <v>43677.25</v>
      </c>
      <c r="G46" s="679">
        <f t="shared" si="127"/>
        <v>7391</v>
      </c>
      <c r="H46" s="641">
        <v>10074.5</v>
      </c>
      <c r="I46" s="680">
        <v>2125.0</v>
      </c>
      <c r="J46" s="641">
        <v>10690.03</v>
      </c>
      <c r="K46" s="680">
        <v>2173.0</v>
      </c>
      <c r="L46" s="641">
        <v>10131.62</v>
      </c>
      <c r="M46" s="680">
        <v>1676.0</v>
      </c>
      <c r="N46" s="641">
        <v>6346.38</v>
      </c>
      <c r="O46" s="680">
        <v>1207.0</v>
      </c>
      <c r="P46" s="641">
        <v>6434.72</v>
      </c>
      <c r="Q46" s="680">
        <v>210.0</v>
      </c>
      <c r="R46" s="681" t="s">
        <v>718</v>
      </c>
      <c r="S46" s="682">
        <f t="shared" si="10"/>
        <v>43677.25</v>
      </c>
      <c r="T46" s="683"/>
      <c r="U46" s="625">
        <f t="shared" si="65"/>
        <v>10074.5</v>
      </c>
      <c r="V46" s="625">
        <f t="shared" si="66"/>
        <v>10690.03</v>
      </c>
      <c r="W46" s="625">
        <f t="shared" si="67"/>
        <v>10131.62</v>
      </c>
      <c r="X46" s="625">
        <f t="shared" si="68"/>
        <v>6346.38</v>
      </c>
      <c r="Y46" s="625">
        <f t="shared" si="69"/>
        <v>6434.72</v>
      </c>
      <c r="Z46" s="656">
        <f t="shared" si="16"/>
        <v>7391</v>
      </c>
      <c r="AA46" s="683"/>
      <c r="AB46" s="625">
        <f t="shared" si="70"/>
        <v>2125</v>
      </c>
      <c r="AC46" s="625">
        <f t="shared" si="71"/>
        <v>2173</v>
      </c>
      <c r="AD46" s="625">
        <f t="shared" si="72"/>
        <v>1676</v>
      </c>
      <c r="AE46" s="625">
        <f t="shared" si="73"/>
        <v>1207</v>
      </c>
      <c r="AF46" s="625">
        <f t="shared" si="74"/>
        <v>210</v>
      </c>
      <c r="AG46" s="657">
        <f t="shared" si="22"/>
        <v>0.1692185291</v>
      </c>
      <c r="AH46" s="165"/>
      <c r="AI46" s="165">
        <f t="shared" ref="AI46:AM46" si="128">AB46/U46</f>
        <v>0.2109285821</v>
      </c>
      <c r="AJ46" s="165">
        <f t="shared" si="128"/>
        <v>0.2032735175</v>
      </c>
      <c r="AK46" s="165">
        <f t="shared" si="128"/>
        <v>0.1654227063</v>
      </c>
      <c r="AL46" s="165">
        <f t="shared" si="128"/>
        <v>0.1901871618</v>
      </c>
      <c r="AM46" s="165">
        <f t="shared" si="128"/>
        <v>0.03263545267</v>
      </c>
      <c r="AN46" s="684">
        <f t="shared" si="24"/>
        <v>16711</v>
      </c>
      <c r="AO46" s="685">
        <v>718.0</v>
      </c>
      <c r="AP46" s="180">
        <v>4948.0</v>
      </c>
      <c r="AQ46" s="180">
        <v>7605.0</v>
      </c>
      <c r="AR46" s="180">
        <v>393.0</v>
      </c>
      <c r="AS46" s="180">
        <v>1481.0</v>
      </c>
      <c r="AT46" s="180">
        <v>2284.0</v>
      </c>
      <c r="AU46" s="684">
        <f t="shared" si="114"/>
        <v>5373</v>
      </c>
      <c r="AV46" s="180">
        <f>931+228</f>
        <v>1159</v>
      </c>
      <c r="AW46" s="180">
        <f>228+950</f>
        <v>1178</v>
      </c>
      <c r="AX46" s="180">
        <f>274+1148</f>
        <v>1422</v>
      </c>
      <c r="AY46" s="180">
        <f>280+460</f>
        <v>740</v>
      </c>
      <c r="AZ46" s="180">
        <f>753+282</f>
        <v>1035</v>
      </c>
      <c r="BA46" s="686">
        <f>733+265</f>
        <v>998</v>
      </c>
      <c r="BB46" s="631"/>
      <c r="BC46" s="687" t="s">
        <v>695</v>
      </c>
      <c r="BD46" s="186" t="s">
        <v>3303</v>
      </c>
      <c r="BE46" s="186" t="s">
        <v>3304</v>
      </c>
      <c r="BF46" s="186" t="s">
        <v>3305</v>
      </c>
      <c r="BG46" s="186" t="s">
        <v>3306</v>
      </c>
      <c r="BH46" s="179" t="s">
        <v>3307</v>
      </c>
      <c r="BI46" s="179" t="s">
        <v>3308</v>
      </c>
      <c r="BJ46" s="179"/>
      <c r="BK46" s="646"/>
      <c r="BL46" s="179" t="b">
        <f t="shared" si="26"/>
        <v>1</v>
      </c>
      <c r="BM46" s="179" t="b">
        <f t="shared" si="27"/>
        <v>1</v>
      </c>
      <c r="BN46" s="688" t="b">
        <f t="shared" si="28"/>
        <v>0</v>
      </c>
    </row>
    <row r="47">
      <c r="A47" s="689"/>
      <c r="B47" s="186" t="s">
        <v>3382</v>
      </c>
      <c r="C47" s="676" t="s">
        <v>2409</v>
      </c>
      <c r="D47" s="677">
        <v>124.0</v>
      </c>
      <c r="E47" s="632" t="s">
        <v>3383</v>
      </c>
      <c r="F47" s="678">
        <f t="shared" ref="F47:G47" si="129">H47+J47+L47+N47+P47</f>
        <v>5513.19</v>
      </c>
      <c r="G47" s="679">
        <f t="shared" si="129"/>
        <v>1046.99</v>
      </c>
      <c r="H47" s="641">
        <v>681.41</v>
      </c>
      <c r="I47" s="680">
        <v>128.99</v>
      </c>
      <c r="J47" s="641">
        <v>1452.39</v>
      </c>
      <c r="K47" s="680">
        <v>264.19</v>
      </c>
      <c r="L47" s="641">
        <v>1173.88</v>
      </c>
      <c r="M47" s="680">
        <v>209.45</v>
      </c>
      <c r="N47" s="641">
        <v>1132.7</v>
      </c>
      <c r="O47" s="680">
        <v>225.86</v>
      </c>
      <c r="P47" s="641">
        <v>1072.81</v>
      </c>
      <c r="Q47" s="680">
        <v>218.5</v>
      </c>
      <c r="R47" s="681" t="s">
        <v>718</v>
      </c>
      <c r="S47" s="682">
        <f t="shared" si="10"/>
        <v>5513.19</v>
      </c>
      <c r="T47" s="683"/>
      <c r="U47" s="625">
        <f t="shared" si="65"/>
        <v>681.41</v>
      </c>
      <c r="V47" s="625">
        <f t="shared" si="66"/>
        <v>1452.39</v>
      </c>
      <c r="W47" s="625">
        <f t="shared" si="67"/>
        <v>1173.88</v>
      </c>
      <c r="X47" s="625">
        <f t="shared" si="68"/>
        <v>1132.7</v>
      </c>
      <c r="Y47" s="625">
        <f t="shared" si="69"/>
        <v>1072.81</v>
      </c>
      <c r="Z47" s="656">
        <f t="shared" si="16"/>
        <v>1046.99</v>
      </c>
      <c r="AA47" s="683"/>
      <c r="AB47" s="625">
        <f t="shared" si="70"/>
        <v>128.99</v>
      </c>
      <c r="AC47" s="625">
        <f t="shared" si="71"/>
        <v>264.19</v>
      </c>
      <c r="AD47" s="625">
        <f t="shared" si="72"/>
        <v>209.45</v>
      </c>
      <c r="AE47" s="625">
        <f t="shared" si="73"/>
        <v>225.86</v>
      </c>
      <c r="AF47" s="625">
        <f t="shared" si="74"/>
        <v>218.5</v>
      </c>
      <c r="AG47" s="657">
        <f t="shared" si="22"/>
        <v>0.1899063881</v>
      </c>
      <c r="AH47" s="165"/>
      <c r="AI47" s="165">
        <f t="shared" ref="AI47:AM47" si="130">AB47/U47</f>
        <v>0.1892986601</v>
      </c>
      <c r="AJ47" s="165">
        <f t="shared" si="130"/>
        <v>0.1819001783</v>
      </c>
      <c r="AK47" s="165">
        <f t="shared" si="130"/>
        <v>0.1784253927</v>
      </c>
      <c r="AL47" s="165">
        <f t="shared" si="130"/>
        <v>0.1993996645</v>
      </c>
      <c r="AM47" s="165">
        <f t="shared" si="130"/>
        <v>0.2036707339</v>
      </c>
      <c r="AN47" s="684">
        <f t="shared" si="24"/>
        <v>2613</v>
      </c>
      <c r="AO47" s="625"/>
      <c r="AP47" s="625">
        <v>334.0</v>
      </c>
      <c r="AQ47" s="625">
        <v>576.0</v>
      </c>
      <c r="AR47" s="625">
        <v>230.0</v>
      </c>
      <c r="AS47" s="625">
        <v>568.0</v>
      </c>
      <c r="AT47" s="625">
        <v>905.0</v>
      </c>
      <c r="AU47" s="684">
        <f t="shared" si="114"/>
        <v>0</v>
      </c>
      <c r="AV47" s="180"/>
      <c r="AW47" s="180">
        <v>0.0</v>
      </c>
      <c r="AX47" s="180">
        <v>0.0</v>
      </c>
      <c r="AY47" s="180">
        <v>0.0</v>
      </c>
      <c r="AZ47" s="180">
        <v>0.0</v>
      </c>
      <c r="BA47" s="686">
        <v>0.0</v>
      </c>
      <c r="BB47" s="631"/>
      <c r="BC47" s="189" t="s">
        <v>695</v>
      </c>
      <c r="BD47" s="688" t="s">
        <v>3303</v>
      </c>
      <c r="BE47" s="179" t="s">
        <v>3304</v>
      </c>
      <c r="BF47" s="179" t="s">
        <v>3305</v>
      </c>
      <c r="BG47" s="179" t="s">
        <v>3306</v>
      </c>
      <c r="BH47" s="179" t="s">
        <v>3307</v>
      </c>
      <c r="BI47" s="179" t="s">
        <v>3308</v>
      </c>
      <c r="BJ47" s="179"/>
      <c r="BK47" s="631"/>
      <c r="BL47" s="179" t="b">
        <f t="shared" si="26"/>
        <v>1</v>
      </c>
      <c r="BM47" s="179" t="b">
        <f t="shared" si="27"/>
        <v>1</v>
      </c>
      <c r="BN47" s="688" t="b">
        <f t="shared" si="28"/>
        <v>0</v>
      </c>
    </row>
    <row r="48">
      <c r="A48" s="148" t="s">
        <v>3384</v>
      </c>
      <c r="B48" s="712" t="s">
        <v>3385</v>
      </c>
      <c r="C48" s="676" t="s">
        <v>2113</v>
      </c>
      <c r="D48" s="713">
        <v>196.0</v>
      </c>
      <c r="E48" s="714" t="s">
        <v>3386</v>
      </c>
      <c r="F48" s="71">
        <f t="shared" ref="F48:G48" si="131">H48+J48+L48+N48+P48</f>
        <v>7671</v>
      </c>
      <c r="G48" s="679">
        <f t="shared" si="131"/>
        <v>1964</v>
      </c>
      <c r="H48" s="641">
        <v>1756.0</v>
      </c>
      <c r="I48" s="680">
        <v>453.0</v>
      </c>
      <c r="J48" s="641">
        <v>1445.0</v>
      </c>
      <c r="K48" s="680">
        <v>336.0</v>
      </c>
      <c r="L48" s="641">
        <v>841.0</v>
      </c>
      <c r="M48" s="680">
        <v>434.0</v>
      </c>
      <c r="N48" s="641">
        <v>1388.0</v>
      </c>
      <c r="O48" s="680">
        <v>262.0</v>
      </c>
      <c r="P48" s="641">
        <v>2241.0</v>
      </c>
      <c r="Q48" s="680">
        <v>479.0</v>
      </c>
      <c r="R48" s="714"/>
      <c r="S48" s="682">
        <f t="shared" si="10"/>
        <v>7671</v>
      </c>
      <c r="T48" s="683"/>
      <c r="U48" s="625">
        <f t="shared" si="65"/>
        <v>1756</v>
      </c>
      <c r="V48" s="625">
        <f t="shared" si="66"/>
        <v>1445</v>
      </c>
      <c r="W48" s="625">
        <f t="shared" si="67"/>
        <v>841</v>
      </c>
      <c r="X48" s="625">
        <f t="shared" si="68"/>
        <v>1388</v>
      </c>
      <c r="Y48" s="625">
        <f t="shared" si="69"/>
        <v>2241</v>
      </c>
      <c r="Z48" s="656">
        <f t="shared" si="16"/>
        <v>1964</v>
      </c>
      <c r="AA48" s="683"/>
      <c r="AB48" s="625">
        <f t="shared" si="70"/>
        <v>453</v>
      </c>
      <c r="AC48" s="625">
        <f t="shared" si="71"/>
        <v>336</v>
      </c>
      <c r="AD48" s="625">
        <f t="shared" si="72"/>
        <v>434</v>
      </c>
      <c r="AE48" s="625">
        <f t="shared" si="73"/>
        <v>262</v>
      </c>
      <c r="AF48" s="625">
        <f t="shared" si="74"/>
        <v>479</v>
      </c>
      <c r="AG48" s="657">
        <f t="shared" si="22"/>
        <v>0.2560292009</v>
      </c>
      <c r="AH48" s="165"/>
      <c r="AI48" s="165">
        <f t="shared" ref="AI48:AM48" si="132">AB48/U48</f>
        <v>0.2579726651</v>
      </c>
      <c r="AJ48" s="165">
        <f t="shared" si="132"/>
        <v>0.2325259516</v>
      </c>
      <c r="AK48" s="165">
        <f t="shared" si="132"/>
        <v>0.5160523187</v>
      </c>
      <c r="AL48" s="165">
        <f t="shared" si="132"/>
        <v>0.1887608069</v>
      </c>
      <c r="AM48" s="165">
        <f t="shared" si="132"/>
        <v>0.2137438643</v>
      </c>
      <c r="AN48" s="684">
        <f t="shared" si="24"/>
        <v>1907</v>
      </c>
      <c r="AO48" s="685">
        <v>62.0</v>
      </c>
      <c r="AP48" s="685">
        <v>1380.0</v>
      </c>
      <c r="AQ48" s="685">
        <v>527.0</v>
      </c>
      <c r="AR48" s="180">
        <v>0.0</v>
      </c>
      <c r="AS48" s="180">
        <v>0.0</v>
      </c>
      <c r="AT48" s="180">
        <v>0.0</v>
      </c>
      <c r="AU48" s="684">
        <f t="shared" si="114"/>
        <v>1274</v>
      </c>
      <c r="AV48" s="685">
        <f>620+58</f>
        <v>678</v>
      </c>
      <c r="AW48" s="180">
        <f>509+46</f>
        <v>555</v>
      </c>
      <c r="AX48" s="180">
        <f>417+42</f>
        <v>459</v>
      </c>
      <c r="AY48" s="180">
        <f>138+48</f>
        <v>186</v>
      </c>
      <c r="AZ48" s="685">
        <v>28.0</v>
      </c>
      <c r="BA48" s="710">
        <v>46.0</v>
      </c>
      <c r="BB48" s="685"/>
      <c r="BC48" s="715" t="s">
        <v>695</v>
      </c>
      <c r="BD48" s="186" t="s">
        <v>3303</v>
      </c>
      <c r="BE48" s="688"/>
      <c r="BF48" s="688"/>
      <c r="BG48" s="688"/>
      <c r="BH48" s="179"/>
      <c r="BI48" s="179"/>
      <c r="BJ48" s="179"/>
      <c r="BK48" s="685"/>
      <c r="BL48" s="179" t="b">
        <f t="shared" si="26"/>
        <v>1</v>
      </c>
      <c r="BM48" s="179" t="b">
        <f t="shared" si="27"/>
        <v>0</v>
      </c>
      <c r="BN48" s="688" t="b">
        <f t="shared" si="28"/>
        <v>0</v>
      </c>
    </row>
    <row r="49">
      <c r="A49" s="212"/>
      <c r="B49" s="186" t="s">
        <v>3387</v>
      </c>
      <c r="C49" s="694" t="s">
        <v>2493</v>
      </c>
      <c r="D49" s="677">
        <v>316.0</v>
      </c>
      <c r="E49" s="131" t="s">
        <v>3388</v>
      </c>
      <c r="F49" s="678">
        <f t="shared" ref="F49:G49" si="133">H49+J49+L49+N49+P49</f>
        <v>1978.4</v>
      </c>
      <c r="G49" s="679">
        <f t="shared" si="133"/>
        <v>206.18</v>
      </c>
      <c r="H49" s="641">
        <v>565.15</v>
      </c>
      <c r="I49" s="680">
        <v>95.34</v>
      </c>
      <c r="J49" s="641">
        <v>426.89</v>
      </c>
      <c r="K49" s="680">
        <v>4.38</v>
      </c>
      <c r="L49" s="641">
        <v>390.97</v>
      </c>
      <c r="M49" s="680">
        <v>73.95</v>
      </c>
      <c r="N49" s="641">
        <v>335.84</v>
      </c>
      <c r="O49" s="680">
        <v>22.18</v>
      </c>
      <c r="P49" s="641">
        <v>259.55</v>
      </c>
      <c r="Q49" s="680">
        <v>10.33</v>
      </c>
      <c r="R49" s="681" t="s">
        <v>697</v>
      </c>
      <c r="S49" s="682">
        <f t="shared" si="10"/>
        <v>1978.4</v>
      </c>
      <c r="T49" s="683"/>
      <c r="U49" s="625">
        <f t="shared" si="65"/>
        <v>565.15</v>
      </c>
      <c r="V49" s="625">
        <f t="shared" si="66"/>
        <v>426.89</v>
      </c>
      <c r="W49" s="625">
        <f t="shared" si="67"/>
        <v>390.97</v>
      </c>
      <c r="X49" s="625">
        <f t="shared" si="68"/>
        <v>335.84</v>
      </c>
      <c r="Y49" s="625">
        <f t="shared" si="69"/>
        <v>259.55</v>
      </c>
      <c r="Z49" s="656">
        <f t="shared" si="16"/>
        <v>206.18</v>
      </c>
      <c r="AA49" s="683"/>
      <c r="AB49" s="625">
        <f t="shared" si="70"/>
        <v>95.34</v>
      </c>
      <c r="AC49" s="625">
        <f t="shared" si="71"/>
        <v>4.38</v>
      </c>
      <c r="AD49" s="625">
        <f t="shared" si="72"/>
        <v>73.95</v>
      </c>
      <c r="AE49" s="625">
        <f t="shared" si="73"/>
        <v>22.18</v>
      </c>
      <c r="AF49" s="625">
        <f t="shared" si="74"/>
        <v>10.33</v>
      </c>
      <c r="AG49" s="657">
        <f t="shared" si="22"/>
        <v>0.1042155277</v>
      </c>
      <c r="AH49" s="165"/>
      <c r="AI49" s="165">
        <f t="shared" ref="AI49:AM49" si="134">AB49/U49</f>
        <v>0.1686985756</v>
      </c>
      <c r="AJ49" s="165">
        <f t="shared" si="134"/>
        <v>0.0102602544</v>
      </c>
      <c r="AK49" s="165">
        <f t="shared" si="134"/>
        <v>0.1891449472</v>
      </c>
      <c r="AL49" s="165">
        <f t="shared" si="134"/>
        <v>0.06604335398</v>
      </c>
      <c r="AM49" s="165">
        <f t="shared" si="134"/>
        <v>0.03979965325</v>
      </c>
      <c r="AN49" s="684">
        <f t="shared" si="24"/>
        <v>37.479</v>
      </c>
      <c r="AO49" s="625"/>
      <c r="AP49" s="641">
        <v>0.0</v>
      </c>
      <c r="AQ49" s="641">
        <v>0.0</v>
      </c>
      <c r="AR49" s="641">
        <v>0.0</v>
      </c>
      <c r="AS49" s="641">
        <v>0.0</v>
      </c>
      <c r="AT49" s="641">
        <v>37.479</v>
      </c>
      <c r="AU49" s="684">
        <f t="shared" si="114"/>
        <v>242.181</v>
      </c>
      <c r="AV49" s="625"/>
      <c r="AW49" s="641">
        <v>55.617</v>
      </c>
      <c r="AX49" s="641">
        <v>51.212</v>
      </c>
      <c r="AY49" s="641">
        <v>47.971</v>
      </c>
      <c r="AZ49" s="641">
        <v>45.951</v>
      </c>
      <c r="BA49" s="691">
        <v>41.43</v>
      </c>
      <c r="BB49" s="631"/>
      <c r="BC49" s="189" t="s">
        <v>695</v>
      </c>
      <c r="BD49" s="688" t="s">
        <v>3303</v>
      </c>
      <c r="BE49" s="688" t="s">
        <v>3303</v>
      </c>
      <c r="BF49" s="688" t="s">
        <v>3303</v>
      </c>
      <c r="BG49" s="688" t="s">
        <v>3303</v>
      </c>
      <c r="BH49" s="688" t="s">
        <v>3303</v>
      </c>
      <c r="BI49" s="688" t="s">
        <v>3303</v>
      </c>
      <c r="BJ49" s="179"/>
      <c r="BK49" s="631"/>
      <c r="BL49" s="179" t="b">
        <f t="shared" si="26"/>
        <v>1</v>
      </c>
      <c r="BM49" s="179" t="b">
        <f t="shared" si="27"/>
        <v>0</v>
      </c>
      <c r="BN49" s="688" t="b">
        <f t="shared" si="28"/>
        <v>1</v>
      </c>
    </row>
    <row r="50">
      <c r="A50" s="675" t="s">
        <v>3301</v>
      </c>
      <c r="B50" s="186" t="s">
        <v>3389</v>
      </c>
      <c r="C50" s="676" t="s">
        <v>2113</v>
      </c>
      <c r="D50" s="677">
        <v>68.0</v>
      </c>
      <c r="E50" s="632" t="s">
        <v>1381</v>
      </c>
      <c r="F50" s="678">
        <f t="shared" ref="F50:G50" si="135">H50+J50+L50+N50+P50</f>
        <v>11534.87</v>
      </c>
      <c r="G50" s="679">
        <f t="shared" si="135"/>
        <v>2551</v>
      </c>
      <c r="H50" s="641">
        <v>2774.53</v>
      </c>
      <c r="I50" s="680">
        <v>1055.0</v>
      </c>
      <c r="J50" s="641">
        <v>2433.99</v>
      </c>
      <c r="K50" s="680">
        <v>766.0</v>
      </c>
      <c r="L50" s="641">
        <v>789.01</v>
      </c>
      <c r="M50" s="680">
        <v>18.0</v>
      </c>
      <c r="N50" s="641">
        <v>3117.06</v>
      </c>
      <c r="O50" s="680">
        <v>583.0</v>
      </c>
      <c r="P50" s="641">
        <v>2420.28</v>
      </c>
      <c r="Q50" s="680">
        <v>129.0</v>
      </c>
      <c r="R50" s="681" t="s">
        <v>710</v>
      </c>
      <c r="S50" s="682">
        <f t="shared" si="10"/>
        <v>11534.87</v>
      </c>
      <c r="T50" s="683"/>
      <c r="U50" s="625">
        <f t="shared" si="65"/>
        <v>2774.53</v>
      </c>
      <c r="V50" s="625">
        <f t="shared" si="66"/>
        <v>2433.99</v>
      </c>
      <c r="W50" s="625">
        <f t="shared" si="67"/>
        <v>789.01</v>
      </c>
      <c r="X50" s="625">
        <f t="shared" si="68"/>
        <v>3117.06</v>
      </c>
      <c r="Y50" s="625">
        <f t="shared" si="69"/>
        <v>2420.28</v>
      </c>
      <c r="Z50" s="656">
        <f t="shared" si="16"/>
        <v>2551</v>
      </c>
      <c r="AA50" s="683"/>
      <c r="AB50" s="625">
        <f t="shared" si="70"/>
        <v>1055</v>
      </c>
      <c r="AC50" s="625">
        <f t="shared" si="71"/>
        <v>766</v>
      </c>
      <c r="AD50" s="625">
        <f t="shared" si="72"/>
        <v>18</v>
      </c>
      <c r="AE50" s="625">
        <f t="shared" si="73"/>
        <v>583</v>
      </c>
      <c r="AF50" s="625">
        <f t="shared" si="74"/>
        <v>129</v>
      </c>
      <c r="AG50" s="657">
        <f t="shared" si="22"/>
        <v>0.221155505</v>
      </c>
      <c r="AH50" s="165"/>
      <c r="AI50" s="165">
        <f t="shared" ref="AI50:AM50" si="136">AB50/U50</f>
        <v>0.380244582</v>
      </c>
      <c r="AJ50" s="165">
        <f t="shared" si="136"/>
        <v>0.3147095921</v>
      </c>
      <c r="AK50" s="165">
        <f t="shared" si="136"/>
        <v>0.02281339907</v>
      </c>
      <c r="AL50" s="165">
        <f t="shared" si="136"/>
        <v>0.1870352191</v>
      </c>
      <c r="AM50" s="165">
        <f t="shared" si="136"/>
        <v>0.05329961823</v>
      </c>
      <c r="AN50" s="684">
        <f t="shared" si="24"/>
        <v>15873</v>
      </c>
      <c r="AO50" s="180"/>
      <c r="AP50" s="180">
        <v>4230.0</v>
      </c>
      <c r="AQ50" s="180">
        <v>2668.0</v>
      </c>
      <c r="AR50" s="180">
        <v>1130.0</v>
      </c>
      <c r="AS50" s="180">
        <v>4047.0</v>
      </c>
      <c r="AT50" s="180">
        <v>3798.0</v>
      </c>
      <c r="AU50" s="684">
        <f t="shared" si="114"/>
        <v>11098</v>
      </c>
      <c r="AV50" s="180"/>
      <c r="AW50" s="180">
        <v>2440.0</v>
      </c>
      <c r="AX50" s="180">
        <v>2332.0</v>
      </c>
      <c r="AY50" s="180">
        <v>2243.0</v>
      </c>
      <c r="AZ50" s="180">
        <v>2132.0</v>
      </c>
      <c r="BA50" s="686">
        <v>1951.0</v>
      </c>
      <c r="BB50" s="631"/>
      <c r="BC50" s="687" t="s">
        <v>695</v>
      </c>
      <c r="BD50" s="186" t="s">
        <v>3303</v>
      </c>
      <c r="BE50" s="186" t="s">
        <v>3304</v>
      </c>
      <c r="BF50" s="186" t="s">
        <v>3305</v>
      </c>
      <c r="BG50" s="186" t="s">
        <v>3306</v>
      </c>
      <c r="BH50" s="179" t="s">
        <v>3307</v>
      </c>
      <c r="BI50" s="179" t="s">
        <v>3308</v>
      </c>
      <c r="BJ50" s="179"/>
      <c r="BK50" s="646"/>
      <c r="BL50" s="179" t="b">
        <f t="shared" si="26"/>
        <v>1</v>
      </c>
      <c r="BM50" s="179" t="b">
        <f t="shared" si="27"/>
        <v>1</v>
      </c>
      <c r="BN50" s="688" t="b">
        <f t="shared" si="28"/>
        <v>1</v>
      </c>
    </row>
    <row r="51">
      <c r="A51" s="675" t="s">
        <v>3301</v>
      </c>
      <c r="B51" s="186" t="s">
        <v>3390</v>
      </c>
      <c r="C51" s="676" t="s">
        <v>2113</v>
      </c>
      <c r="D51" s="677">
        <v>135.0</v>
      </c>
      <c r="E51" s="632" t="s">
        <v>1370</v>
      </c>
      <c r="F51" s="678">
        <f t="shared" ref="F51:G51" si="137">H51+J51+L51+N51+P51</f>
        <v>4732.83</v>
      </c>
      <c r="G51" s="679">
        <f t="shared" si="137"/>
        <v>740.68</v>
      </c>
      <c r="H51" s="641">
        <v>1175.66</v>
      </c>
      <c r="I51" s="680">
        <v>338.0</v>
      </c>
      <c r="J51" s="641">
        <v>1568.51</v>
      </c>
      <c r="K51" s="680">
        <v>274.99</v>
      </c>
      <c r="L51" s="641">
        <v>436.89</v>
      </c>
      <c r="M51" s="680">
        <v>18.95</v>
      </c>
      <c r="N51" s="641">
        <v>787.5</v>
      </c>
      <c r="O51" s="680">
        <v>-51.98</v>
      </c>
      <c r="P51" s="641">
        <v>764.27</v>
      </c>
      <c r="Q51" s="680">
        <v>160.72</v>
      </c>
      <c r="R51" s="681" t="s">
        <v>702</v>
      </c>
      <c r="S51" s="682">
        <f t="shared" si="10"/>
        <v>4732.83</v>
      </c>
      <c r="T51" s="683"/>
      <c r="U51" s="625">
        <f t="shared" si="65"/>
        <v>1175.66</v>
      </c>
      <c r="V51" s="625">
        <f t="shared" si="66"/>
        <v>1568.51</v>
      </c>
      <c r="W51" s="625">
        <f t="shared" si="67"/>
        <v>436.89</v>
      </c>
      <c r="X51" s="625">
        <f t="shared" si="68"/>
        <v>787.5</v>
      </c>
      <c r="Y51" s="625">
        <f t="shared" si="69"/>
        <v>764.27</v>
      </c>
      <c r="Z51" s="656">
        <f t="shared" si="16"/>
        <v>740.68</v>
      </c>
      <c r="AA51" s="683"/>
      <c r="AB51" s="625">
        <f t="shared" si="70"/>
        <v>338</v>
      </c>
      <c r="AC51" s="625">
        <f t="shared" si="71"/>
        <v>274.99</v>
      </c>
      <c r="AD51" s="625">
        <f t="shared" si="72"/>
        <v>18.95</v>
      </c>
      <c r="AE51" s="625">
        <f t="shared" si="73"/>
        <v>-51.98</v>
      </c>
      <c r="AF51" s="625">
        <f t="shared" si="74"/>
        <v>160.72</v>
      </c>
      <c r="AG51" s="657">
        <f t="shared" si="22"/>
        <v>0.1564983319</v>
      </c>
      <c r="AH51" s="165"/>
      <c r="AI51" s="165">
        <f t="shared" ref="AI51:AM51" si="138">AB51/U51</f>
        <v>0.2874980862</v>
      </c>
      <c r="AJ51" s="165">
        <f t="shared" si="138"/>
        <v>0.175319252</v>
      </c>
      <c r="AK51" s="165">
        <f t="shared" si="138"/>
        <v>0.04337476253</v>
      </c>
      <c r="AL51" s="165">
        <f t="shared" si="138"/>
        <v>-0.06600634921</v>
      </c>
      <c r="AM51" s="165">
        <f t="shared" si="138"/>
        <v>0.2102921742</v>
      </c>
      <c r="AN51" s="684">
        <f t="shared" si="24"/>
        <v>2575</v>
      </c>
      <c r="AO51" s="641">
        <v>665.0</v>
      </c>
      <c r="AP51" s="625">
        <v>1850.0</v>
      </c>
      <c r="AQ51" s="625">
        <v>369.0</v>
      </c>
      <c r="AR51" s="625">
        <v>50.0</v>
      </c>
      <c r="AS51" s="625">
        <v>145.0</v>
      </c>
      <c r="AT51" s="625">
        <v>161.0</v>
      </c>
      <c r="AU51" s="684">
        <f t="shared" si="114"/>
        <v>0</v>
      </c>
      <c r="AV51" s="180">
        <v>0.0</v>
      </c>
      <c r="AW51" s="180">
        <v>0.0</v>
      </c>
      <c r="AX51" s="180">
        <v>0.0</v>
      </c>
      <c r="AY51" s="180">
        <v>0.0</v>
      </c>
      <c r="AZ51" s="180">
        <v>0.0</v>
      </c>
      <c r="BA51" s="686">
        <v>0.0</v>
      </c>
      <c r="BB51" s="631"/>
      <c r="BC51" s="189" t="s">
        <v>695</v>
      </c>
      <c r="BD51" s="186" t="s">
        <v>3303</v>
      </c>
      <c r="BE51" s="179" t="s">
        <v>3304</v>
      </c>
      <c r="BF51" s="179" t="s">
        <v>3305</v>
      </c>
      <c r="BG51" s="179" t="s">
        <v>3306</v>
      </c>
      <c r="BH51" s="179" t="s">
        <v>3307</v>
      </c>
      <c r="BI51" s="179" t="s">
        <v>3308</v>
      </c>
      <c r="BJ51" s="179"/>
      <c r="BK51" s="631"/>
      <c r="BL51" s="179" t="b">
        <f t="shared" si="26"/>
        <v>1</v>
      </c>
      <c r="BM51" s="179" t="b">
        <f t="shared" si="27"/>
        <v>1</v>
      </c>
      <c r="BN51" s="688" t="b">
        <f t="shared" si="28"/>
        <v>0</v>
      </c>
    </row>
    <row r="52">
      <c r="A52" s="689"/>
      <c r="B52" s="186" t="s">
        <v>3391</v>
      </c>
      <c r="C52" s="676" t="s">
        <v>2113</v>
      </c>
      <c r="D52" s="677">
        <v>166.0</v>
      </c>
      <c r="E52" s="632" t="s">
        <v>3391</v>
      </c>
      <c r="F52" s="678">
        <f t="shared" ref="F52:G52" si="139">H52+J52+L52+N52+P52</f>
        <v>4819.93</v>
      </c>
      <c r="G52" s="679">
        <f t="shared" si="139"/>
        <v>1101.4</v>
      </c>
      <c r="H52" s="641">
        <v>1279.6</v>
      </c>
      <c r="I52" s="680">
        <v>282.0</v>
      </c>
      <c r="J52" s="641">
        <v>1133.8</v>
      </c>
      <c r="K52" s="680">
        <v>235.6</v>
      </c>
      <c r="L52" s="641">
        <v>885.1</v>
      </c>
      <c r="M52" s="680">
        <v>166.5</v>
      </c>
      <c r="N52" s="641">
        <v>798.0</v>
      </c>
      <c r="O52" s="680">
        <v>224.7</v>
      </c>
      <c r="P52" s="641">
        <v>723.43</v>
      </c>
      <c r="Q52" s="680">
        <v>192.6</v>
      </c>
      <c r="R52" s="681" t="s">
        <v>710</v>
      </c>
      <c r="S52" s="682">
        <f t="shared" si="10"/>
        <v>4819.93</v>
      </c>
      <c r="T52" s="683"/>
      <c r="U52" s="625">
        <f t="shared" si="65"/>
        <v>1279.6</v>
      </c>
      <c r="V52" s="625">
        <f t="shared" si="66"/>
        <v>1133.8</v>
      </c>
      <c r="W52" s="625">
        <f t="shared" si="67"/>
        <v>885.1</v>
      </c>
      <c r="X52" s="625">
        <f t="shared" si="68"/>
        <v>798</v>
      </c>
      <c r="Y52" s="625">
        <f t="shared" si="69"/>
        <v>723.43</v>
      </c>
      <c r="Z52" s="656">
        <f t="shared" si="16"/>
        <v>1101.4</v>
      </c>
      <c r="AA52" s="683"/>
      <c r="AB52" s="625">
        <f t="shared" si="70"/>
        <v>282</v>
      </c>
      <c r="AC52" s="625">
        <f t="shared" si="71"/>
        <v>235.6</v>
      </c>
      <c r="AD52" s="625">
        <f t="shared" si="72"/>
        <v>166.5</v>
      </c>
      <c r="AE52" s="625">
        <f t="shared" si="73"/>
        <v>224.7</v>
      </c>
      <c r="AF52" s="625">
        <f t="shared" si="74"/>
        <v>192.6</v>
      </c>
      <c r="AG52" s="657">
        <f t="shared" si="22"/>
        <v>0.2285095427</v>
      </c>
      <c r="AH52" s="165"/>
      <c r="AI52" s="165">
        <f t="shared" ref="AI52:AM52" si="140">AB52/U52</f>
        <v>0.2203813692</v>
      </c>
      <c r="AJ52" s="165">
        <f t="shared" si="140"/>
        <v>0.2077967896</v>
      </c>
      <c r="AK52" s="165">
        <f t="shared" si="140"/>
        <v>0.1881143374</v>
      </c>
      <c r="AL52" s="165">
        <f t="shared" si="140"/>
        <v>0.2815789474</v>
      </c>
      <c r="AM52" s="165">
        <f t="shared" si="140"/>
        <v>0.2662317018</v>
      </c>
      <c r="AN52" s="684">
        <f t="shared" si="24"/>
        <v>3020</v>
      </c>
      <c r="AO52" s="625"/>
      <c r="AP52" s="625">
        <v>0.0</v>
      </c>
      <c r="AQ52" s="625">
        <v>1500.0</v>
      </c>
      <c r="AR52" s="625">
        <v>341.0</v>
      </c>
      <c r="AS52" s="625">
        <v>657.0</v>
      </c>
      <c r="AT52" s="625">
        <v>522.0</v>
      </c>
      <c r="AU52" s="684">
        <f t="shared" si="114"/>
        <v>1059.8</v>
      </c>
      <c r="AV52" s="625"/>
      <c r="AW52" s="625">
        <v>282.6</v>
      </c>
      <c r="AX52" s="625">
        <v>234.8</v>
      </c>
      <c r="AY52" s="625">
        <v>219.6</v>
      </c>
      <c r="AZ52" s="625">
        <v>183.4</v>
      </c>
      <c r="BA52" s="693">
        <v>139.4</v>
      </c>
      <c r="BB52" s="631"/>
      <c r="BC52" s="189" t="s">
        <v>695</v>
      </c>
      <c r="BD52" s="688" t="s">
        <v>3303</v>
      </c>
      <c r="BE52" s="179" t="s">
        <v>3304</v>
      </c>
      <c r="BF52" s="179" t="s">
        <v>3305</v>
      </c>
      <c r="BG52" s="179" t="s">
        <v>3306</v>
      </c>
      <c r="BH52" s="179" t="s">
        <v>3307</v>
      </c>
      <c r="BI52" s="179" t="s">
        <v>3308</v>
      </c>
      <c r="BJ52" s="179"/>
      <c r="BK52" s="631"/>
      <c r="BL52" s="179" t="b">
        <f t="shared" si="26"/>
        <v>1</v>
      </c>
      <c r="BM52" s="179" t="b">
        <f t="shared" si="27"/>
        <v>1</v>
      </c>
      <c r="BN52" s="688" t="b">
        <f t="shared" si="28"/>
        <v>0</v>
      </c>
    </row>
    <row r="53">
      <c r="A53" s="675" t="s">
        <v>3301</v>
      </c>
      <c r="B53" s="186" t="s">
        <v>3392</v>
      </c>
      <c r="C53" s="676" t="s">
        <v>2113</v>
      </c>
      <c r="D53" s="677">
        <v>25.0</v>
      </c>
      <c r="E53" s="131" t="s">
        <v>2509</v>
      </c>
      <c r="F53" s="678">
        <f t="shared" ref="F53:G53" si="141">H53+J53+L53+N53+P53</f>
        <v>17837.43</v>
      </c>
      <c r="G53" s="679">
        <f t="shared" si="141"/>
        <v>3489</v>
      </c>
      <c r="H53" s="641">
        <v>4095.0</v>
      </c>
      <c r="I53" s="680">
        <v>1144.0</v>
      </c>
      <c r="J53" s="641">
        <v>3875.43</v>
      </c>
      <c r="K53" s="680">
        <v>507.0</v>
      </c>
      <c r="L53" s="641">
        <v>3727.0</v>
      </c>
      <c r="M53" s="680">
        <v>959.0</v>
      </c>
      <c r="N53" s="641">
        <v>2331.0</v>
      </c>
      <c r="O53" s="680">
        <v>381.0</v>
      </c>
      <c r="P53" s="641">
        <v>3809.0</v>
      </c>
      <c r="Q53" s="680">
        <v>498.0</v>
      </c>
      <c r="R53" s="681" t="s">
        <v>698</v>
      </c>
      <c r="S53" s="682">
        <f t="shared" si="10"/>
        <v>17837.43</v>
      </c>
      <c r="T53" s="683"/>
      <c r="U53" s="625">
        <f t="shared" si="65"/>
        <v>4095</v>
      </c>
      <c r="V53" s="625">
        <f t="shared" si="66"/>
        <v>3875.43</v>
      </c>
      <c r="W53" s="625">
        <f t="shared" si="67"/>
        <v>3727</v>
      </c>
      <c r="X53" s="625">
        <f t="shared" si="68"/>
        <v>2331</v>
      </c>
      <c r="Y53" s="625">
        <f t="shared" si="69"/>
        <v>3809</v>
      </c>
      <c r="Z53" s="656">
        <f t="shared" si="16"/>
        <v>3489</v>
      </c>
      <c r="AA53" s="683"/>
      <c r="AB53" s="625">
        <f t="shared" si="70"/>
        <v>1144</v>
      </c>
      <c r="AC53" s="625">
        <f t="shared" si="71"/>
        <v>507</v>
      </c>
      <c r="AD53" s="625">
        <f t="shared" si="72"/>
        <v>959</v>
      </c>
      <c r="AE53" s="625">
        <f t="shared" si="73"/>
        <v>381</v>
      </c>
      <c r="AF53" s="625">
        <f t="shared" si="74"/>
        <v>498</v>
      </c>
      <c r="AG53" s="657">
        <f t="shared" si="22"/>
        <v>0.1955999267</v>
      </c>
      <c r="AH53" s="165"/>
      <c r="AI53" s="165">
        <f t="shared" ref="AI53:AM53" si="142">AB53/U53</f>
        <v>0.2793650794</v>
      </c>
      <c r="AJ53" s="165">
        <f t="shared" si="142"/>
        <v>0.1308241924</v>
      </c>
      <c r="AK53" s="165">
        <f t="shared" si="142"/>
        <v>0.2573115106</v>
      </c>
      <c r="AL53" s="165">
        <f t="shared" si="142"/>
        <v>0.1634491634</v>
      </c>
      <c r="AM53" s="165">
        <f t="shared" si="142"/>
        <v>0.1307429772</v>
      </c>
      <c r="AN53" s="684">
        <f t="shared" si="24"/>
        <v>4165</v>
      </c>
      <c r="AO53" s="640">
        <v>1633.0</v>
      </c>
      <c r="AP53" s="641">
        <v>3096.0</v>
      </c>
      <c r="AQ53" s="641">
        <v>297.0</v>
      </c>
      <c r="AR53" s="641">
        <v>626.0</v>
      </c>
      <c r="AS53" s="641">
        <v>75.0</v>
      </c>
      <c r="AT53" s="641">
        <v>71.0</v>
      </c>
      <c r="AU53" s="684">
        <f t="shared" si="114"/>
        <v>0</v>
      </c>
      <c r="AV53" s="180">
        <v>0.0</v>
      </c>
      <c r="AW53" s="180">
        <v>0.0</v>
      </c>
      <c r="AX53" s="180">
        <v>0.0</v>
      </c>
      <c r="AY53" s="180">
        <v>0.0</v>
      </c>
      <c r="AZ53" s="180">
        <v>0.0</v>
      </c>
      <c r="BA53" s="686">
        <v>0.0</v>
      </c>
      <c r="BB53" s="631"/>
      <c r="BC53" s="695" t="s">
        <v>695</v>
      </c>
      <c r="BD53" s="186" t="s">
        <v>3303</v>
      </c>
      <c r="BE53" s="695" t="s">
        <v>3304</v>
      </c>
      <c r="BF53" s="695" t="s">
        <v>3305</v>
      </c>
      <c r="BG53" s="695" t="s">
        <v>3306</v>
      </c>
      <c r="BH53" s="695" t="s">
        <v>3307</v>
      </c>
      <c r="BI53" s="695" t="s">
        <v>3308</v>
      </c>
      <c r="BJ53" s="179"/>
      <c r="BK53" s="631"/>
      <c r="BL53" s="179" t="b">
        <f t="shared" si="26"/>
        <v>1</v>
      </c>
      <c r="BM53" s="179" t="b">
        <f t="shared" si="27"/>
        <v>1</v>
      </c>
      <c r="BN53" s="688" t="b">
        <f t="shared" si="28"/>
        <v>0</v>
      </c>
    </row>
    <row r="54">
      <c r="A54" s="689"/>
      <c r="B54" s="186" t="s">
        <v>3393</v>
      </c>
      <c r="C54" s="676" t="s">
        <v>2113</v>
      </c>
      <c r="D54" s="677">
        <v>413.0</v>
      </c>
      <c r="E54" s="632" t="s">
        <v>3394</v>
      </c>
      <c r="F54" s="678">
        <f t="shared" ref="F54:G54" si="143">H54+J54+L54+N54+P54</f>
        <v>4121</v>
      </c>
      <c r="G54" s="679">
        <f t="shared" si="143"/>
        <v>395</v>
      </c>
      <c r="H54" s="641">
        <v>1371.0</v>
      </c>
      <c r="I54" s="680">
        <v>294.0</v>
      </c>
      <c r="J54" s="641">
        <v>806.0</v>
      </c>
      <c r="K54" s="680">
        <v>0.0</v>
      </c>
      <c r="L54" s="641">
        <v>531.0</v>
      </c>
      <c r="M54" s="680">
        <v>-36.0</v>
      </c>
      <c r="N54" s="641">
        <v>908.0</v>
      </c>
      <c r="O54" s="680">
        <v>48.0</v>
      </c>
      <c r="P54" s="641">
        <v>505.0</v>
      </c>
      <c r="Q54" s="680">
        <v>89.0</v>
      </c>
      <c r="R54" s="681" t="s">
        <v>693</v>
      </c>
      <c r="S54" s="682">
        <f t="shared" si="10"/>
        <v>4121</v>
      </c>
      <c r="T54" s="683"/>
      <c r="U54" s="625">
        <f t="shared" si="65"/>
        <v>1371</v>
      </c>
      <c r="V54" s="625">
        <f t="shared" si="66"/>
        <v>806</v>
      </c>
      <c r="W54" s="625">
        <f t="shared" si="67"/>
        <v>531</v>
      </c>
      <c r="X54" s="625">
        <f t="shared" si="68"/>
        <v>908</v>
      </c>
      <c r="Y54" s="625">
        <f t="shared" si="69"/>
        <v>505</v>
      </c>
      <c r="Z54" s="656">
        <f t="shared" si="16"/>
        <v>395</v>
      </c>
      <c r="AA54" s="683"/>
      <c r="AB54" s="625">
        <f t="shared" si="70"/>
        <v>294</v>
      </c>
      <c r="AC54" s="625">
        <f t="shared" si="71"/>
        <v>0</v>
      </c>
      <c r="AD54" s="625">
        <f t="shared" si="72"/>
        <v>-36</v>
      </c>
      <c r="AE54" s="625">
        <f t="shared" si="73"/>
        <v>48</v>
      </c>
      <c r="AF54" s="625">
        <f t="shared" si="74"/>
        <v>89</v>
      </c>
      <c r="AG54" s="657">
        <f t="shared" si="22"/>
        <v>0.09585052172</v>
      </c>
      <c r="AH54" s="165"/>
      <c r="AI54" s="165">
        <f t="shared" ref="AI54:AM54" si="144">AB54/U54</f>
        <v>0.2144420131</v>
      </c>
      <c r="AJ54" s="165">
        <f t="shared" si="144"/>
        <v>0</v>
      </c>
      <c r="AK54" s="165">
        <f t="shared" si="144"/>
        <v>-0.06779661017</v>
      </c>
      <c r="AL54" s="165">
        <f t="shared" si="144"/>
        <v>0.05286343612</v>
      </c>
      <c r="AM54" s="165">
        <f t="shared" si="144"/>
        <v>0.1762376238</v>
      </c>
      <c r="AN54" s="684">
        <f t="shared" si="24"/>
        <v>0</v>
      </c>
      <c r="AO54" s="625"/>
      <c r="AP54" s="625">
        <v>0.0</v>
      </c>
      <c r="AQ54" s="625">
        <v>0.0</v>
      </c>
      <c r="AR54" s="625">
        <v>0.0</v>
      </c>
      <c r="AS54" s="625">
        <v>0.0</v>
      </c>
      <c r="AT54" s="625">
        <v>0.0</v>
      </c>
      <c r="AU54" s="684">
        <f t="shared" si="114"/>
        <v>2715</v>
      </c>
      <c r="AV54" s="641"/>
      <c r="AW54" s="641">
        <v>489.0</v>
      </c>
      <c r="AX54" s="641">
        <v>492.0</v>
      </c>
      <c r="AY54" s="641">
        <v>529.0</v>
      </c>
      <c r="AZ54" s="641">
        <v>695.0</v>
      </c>
      <c r="BA54" s="691">
        <v>510.0</v>
      </c>
      <c r="BB54" s="631"/>
      <c r="BC54" s="189" t="s">
        <v>695</v>
      </c>
      <c r="BD54" s="186" t="s">
        <v>3303</v>
      </c>
      <c r="BE54" s="179" t="s">
        <v>3304</v>
      </c>
      <c r="BF54" s="179" t="s">
        <v>3305</v>
      </c>
      <c r="BG54" s="179" t="s">
        <v>3306</v>
      </c>
      <c r="BH54" s="179" t="s">
        <v>3307</v>
      </c>
      <c r="BI54" s="179" t="s">
        <v>3308</v>
      </c>
      <c r="BJ54" s="179"/>
      <c r="BK54" s="646"/>
      <c r="BL54" s="179" t="b">
        <f t="shared" si="26"/>
        <v>1</v>
      </c>
      <c r="BM54" s="179" t="b">
        <f t="shared" si="27"/>
        <v>0</v>
      </c>
      <c r="BN54" s="688" t="b">
        <f t="shared" si="28"/>
        <v>1</v>
      </c>
    </row>
    <row r="55">
      <c r="A55" s="675" t="s">
        <v>3301</v>
      </c>
      <c r="B55" s="186" t="s">
        <v>3395</v>
      </c>
      <c r="C55" s="676" t="s">
        <v>2113</v>
      </c>
      <c r="D55" s="677">
        <v>365.0</v>
      </c>
      <c r="E55" s="632" t="s">
        <v>1363</v>
      </c>
      <c r="F55" s="678">
        <f t="shared" ref="F55:G55" si="145">H55+J55+L55+N55+P55</f>
        <v>6994.58</v>
      </c>
      <c r="G55" s="679">
        <f t="shared" si="145"/>
        <v>1211</v>
      </c>
      <c r="H55" s="641">
        <v>4044.4</v>
      </c>
      <c r="I55" s="680">
        <v>702.0</v>
      </c>
      <c r="J55" s="641">
        <v>1623.18</v>
      </c>
      <c r="K55" s="680">
        <v>394.0</v>
      </c>
      <c r="L55" s="641">
        <v>316.76</v>
      </c>
      <c r="M55" s="680">
        <v>106.0</v>
      </c>
      <c r="N55" s="641">
        <v>598.7</v>
      </c>
      <c r="O55" s="680">
        <v>4.0</v>
      </c>
      <c r="P55" s="641">
        <v>411.54</v>
      </c>
      <c r="Q55" s="680">
        <v>5.0</v>
      </c>
      <c r="R55" s="681" t="s">
        <v>710</v>
      </c>
      <c r="S55" s="682">
        <f t="shared" si="10"/>
        <v>6994.58</v>
      </c>
      <c r="T55" s="683"/>
      <c r="U55" s="625">
        <f t="shared" si="65"/>
        <v>4044.4</v>
      </c>
      <c r="V55" s="625">
        <f t="shared" si="66"/>
        <v>1623.18</v>
      </c>
      <c r="W55" s="625">
        <f t="shared" si="67"/>
        <v>316.76</v>
      </c>
      <c r="X55" s="625">
        <f t="shared" si="68"/>
        <v>598.7</v>
      </c>
      <c r="Y55" s="625">
        <f t="shared" si="69"/>
        <v>411.54</v>
      </c>
      <c r="Z55" s="656">
        <f t="shared" si="16"/>
        <v>1211</v>
      </c>
      <c r="AA55" s="683"/>
      <c r="AB55" s="625">
        <f t="shared" si="70"/>
        <v>702</v>
      </c>
      <c r="AC55" s="625">
        <f t="shared" si="71"/>
        <v>394</v>
      </c>
      <c r="AD55" s="625">
        <f t="shared" si="72"/>
        <v>106</v>
      </c>
      <c r="AE55" s="625">
        <f t="shared" si="73"/>
        <v>4</v>
      </c>
      <c r="AF55" s="625">
        <f t="shared" si="74"/>
        <v>5</v>
      </c>
      <c r="AG55" s="657">
        <f t="shared" si="22"/>
        <v>0.1731340552</v>
      </c>
      <c r="AH55" s="165"/>
      <c r="AI55" s="165">
        <f t="shared" ref="AI55:AM55" si="146">AB55/U55</f>
        <v>0.173573336</v>
      </c>
      <c r="AJ55" s="165">
        <f t="shared" si="146"/>
        <v>0.2427333999</v>
      </c>
      <c r="AK55" s="165">
        <f t="shared" si="146"/>
        <v>0.3346382119</v>
      </c>
      <c r="AL55" s="165">
        <f t="shared" si="146"/>
        <v>0.006681142475</v>
      </c>
      <c r="AM55" s="165">
        <f t="shared" si="146"/>
        <v>0.01214948729</v>
      </c>
      <c r="AN55" s="684">
        <f t="shared" si="24"/>
        <v>2823</v>
      </c>
      <c r="AO55" s="625"/>
      <c r="AP55" s="625">
        <v>1347.0</v>
      </c>
      <c r="AQ55" s="625">
        <v>539.0</v>
      </c>
      <c r="AR55" s="625">
        <v>100.0</v>
      </c>
      <c r="AS55" s="625">
        <v>370.0</v>
      </c>
      <c r="AT55" s="625">
        <v>467.0</v>
      </c>
      <c r="AU55" s="684">
        <f t="shared" si="114"/>
        <v>1369</v>
      </c>
      <c r="AV55" s="625"/>
      <c r="AW55" s="625">
        <v>306.0</v>
      </c>
      <c r="AX55" s="625">
        <v>260.0</v>
      </c>
      <c r="AY55" s="625">
        <v>258.0</v>
      </c>
      <c r="AZ55" s="625">
        <v>265.0</v>
      </c>
      <c r="BA55" s="693">
        <v>280.0</v>
      </c>
      <c r="BB55" s="631"/>
      <c r="BC55" s="189" t="s">
        <v>695</v>
      </c>
      <c r="BD55" s="688" t="s">
        <v>3303</v>
      </c>
      <c r="BE55" s="179" t="s">
        <v>3304</v>
      </c>
      <c r="BF55" s="179" t="s">
        <v>3305</v>
      </c>
      <c r="BG55" s="179" t="s">
        <v>3306</v>
      </c>
      <c r="BH55" s="179" t="s">
        <v>3307</v>
      </c>
      <c r="BI55" s="179" t="s">
        <v>3308</v>
      </c>
      <c r="BJ55" s="179"/>
      <c r="BK55" s="631"/>
      <c r="BL55" s="179" t="b">
        <f t="shared" si="26"/>
        <v>1</v>
      </c>
      <c r="BM55" s="179" t="b">
        <f t="shared" si="27"/>
        <v>1</v>
      </c>
      <c r="BN55" s="688" t="b">
        <f t="shared" si="28"/>
        <v>1</v>
      </c>
    </row>
    <row r="56">
      <c r="A56" s="212"/>
      <c r="B56" s="186" t="s">
        <v>3396</v>
      </c>
      <c r="C56" s="676" t="s">
        <v>2113</v>
      </c>
      <c r="D56" s="677">
        <v>175.0</v>
      </c>
      <c r="E56" s="131" t="s">
        <v>3397</v>
      </c>
      <c r="F56" s="678">
        <f t="shared" ref="F56:G56" si="147">H56+J56+L56+N56+P56</f>
        <v>29864</v>
      </c>
      <c r="G56" s="679">
        <f t="shared" si="147"/>
        <v>6168</v>
      </c>
      <c r="H56" s="641">
        <v>9054.0</v>
      </c>
      <c r="I56" s="680">
        <v>1889.0</v>
      </c>
      <c r="J56" s="641">
        <v>7615.0</v>
      </c>
      <c r="K56" s="680">
        <v>1507.0</v>
      </c>
      <c r="L56" s="641">
        <v>4128.0</v>
      </c>
      <c r="M56" s="680">
        <v>967.0</v>
      </c>
      <c r="N56" s="641">
        <v>4664.0</v>
      </c>
      <c r="O56" s="680">
        <v>958.0</v>
      </c>
      <c r="P56" s="641">
        <v>4403.0</v>
      </c>
      <c r="Q56" s="680">
        <v>847.0</v>
      </c>
      <c r="R56" s="681" t="s">
        <v>702</v>
      </c>
      <c r="S56" s="682">
        <f t="shared" si="10"/>
        <v>29864</v>
      </c>
      <c r="T56" s="683"/>
      <c r="U56" s="625">
        <f t="shared" si="65"/>
        <v>9054</v>
      </c>
      <c r="V56" s="625">
        <f t="shared" si="66"/>
        <v>7615</v>
      </c>
      <c r="W56" s="625">
        <f t="shared" si="67"/>
        <v>4128</v>
      </c>
      <c r="X56" s="625">
        <f t="shared" si="68"/>
        <v>4664</v>
      </c>
      <c r="Y56" s="625">
        <f t="shared" si="69"/>
        <v>4403</v>
      </c>
      <c r="Z56" s="656">
        <f t="shared" si="16"/>
        <v>6168</v>
      </c>
      <c r="AA56" s="683"/>
      <c r="AB56" s="625">
        <f t="shared" si="70"/>
        <v>1889</v>
      </c>
      <c r="AC56" s="625">
        <f t="shared" si="71"/>
        <v>1507</v>
      </c>
      <c r="AD56" s="625">
        <f t="shared" si="72"/>
        <v>967</v>
      </c>
      <c r="AE56" s="625">
        <f t="shared" si="73"/>
        <v>958</v>
      </c>
      <c r="AF56" s="625">
        <f t="shared" si="74"/>
        <v>847</v>
      </c>
      <c r="AG56" s="657">
        <f t="shared" si="22"/>
        <v>0.2065362979</v>
      </c>
      <c r="AH56" s="165"/>
      <c r="AI56" s="165">
        <f t="shared" ref="AI56:AM56" si="148">AB56/U56</f>
        <v>0.2086370665</v>
      </c>
      <c r="AJ56" s="165">
        <f t="shared" si="148"/>
        <v>0.1978988838</v>
      </c>
      <c r="AK56" s="165">
        <f t="shared" si="148"/>
        <v>0.234253876</v>
      </c>
      <c r="AL56" s="165">
        <f t="shared" si="148"/>
        <v>0.2054030875</v>
      </c>
      <c r="AM56" s="165">
        <f t="shared" si="148"/>
        <v>0.1923688394</v>
      </c>
      <c r="AN56" s="684">
        <f t="shared" si="24"/>
        <v>8215</v>
      </c>
      <c r="AO56" s="641">
        <f>2842+467</f>
        <v>3309</v>
      </c>
      <c r="AP56" s="641">
        <v>4395.0</v>
      </c>
      <c r="AQ56" s="641">
        <v>600.0</v>
      </c>
      <c r="AR56" s="180">
        <v>0.0</v>
      </c>
      <c r="AS56" s="641">
        <v>2220.0</v>
      </c>
      <c r="AT56" s="641">
        <v>1000.0</v>
      </c>
      <c r="AU56" s="684">
        <f t="shared" si="114"/>
        <v>7059</v>
      </c>
      <c r="AV56" s="641">
        <v>2276.0</v>
      </c>
      <c r="AW56" s="641">
        <v>2110.0</v>
      </c>
      <c r="AX56" s="641">
        <v>1822.0</v>
      </c>
      <c r="AY56" s="641">
        <v>1280.0</v>
      </c>
      <c r="AZ56" s="641">
        <v>1060.0</v>
      </c>
      <c r="BA56" s="691">
        <v>787.0</v>
      </c>
      <c r="BB56" s="631"/>
      <c r="BC56" s="189" t="s">
        <v>695</v>
      </c>
      <c r="BD56" s="186" t="s">
        <v>3303</v>
      </c>
      <c r="BE56" s="179" t="s">
        <v>3304</v>
      </c>
      <c r="BF56" s="179" t="s">
        <v>3305</v>
      </c>
      <c r="BG56" s="179" t="s">
        <v>3306</v>
      </c>
      <c r="BH56" s="179" t="s">
        <v>3307</v>
      </c>
      <c r="BI56" s="179" t="s">
        <v>3308</v>
      </c>
      <c r="BJ56" s="179"/>
      <c r="BK56" s="631"/>
      <c r="BL56" s="179" t="b">
        <f t="shared" si="26"/>
        <v>1</v>
      </c>
      <c r="BM56" s="179" t="b">
        <f t="shared" si="27"/>
        <v>1</v>
      </c>
      <c r="BN56" s="688" t="b">
        <f t="shared" si="28"/>
        <v>1</v>
      </c>
    </row>
    <row r="57">
      <c r="A57" s="696" t="s">
        <v>1534</v>
      </c>
      <c r="B57" s="186" t="s">
        <v>3398</v>
      </c>
      <c r="C57" s="676" t="s">
        <v>2113</v>
      </c>
      <c r="D57" s="677">
        <v>79.0</v>
      </c>
      <c r="E57" s="632" t="s">
        <v>54</v>
      </c>
      <c r="F57" s="678">
        <f t="shared" ref="F57:G57" si="149">H57+J57+L57+N57+P57</f>
        <v>18849</v>
      </c>
      <c r="G57" s="679">
        <f t="shared" si="149"/>
        <v>1212</v>
      </c>
      <c r="H57" s="641">
        <v>6320.0</v>
      </c>
      <c r="I57" s="680">
        <v>1178.0</v>
      </c>
      <c r="J57" s="641">
        <v>5492.0</v>
      </c>
      <c r="K57" s="680">
        <v>12.0</v>
      </c>
      <c r="L57" s="641">
        <v>3680.0</v>
      </c>
      <c r="M57" s="680">
        <v>-7.0</v>
      </c>
      <c r="N57" s="641">
        <v>1994.0</v>
      </c>
      <c r="O57" s="680">
        <v>6.0</v>
      </c>
      <c r="P57" s="641">
        <v>1363.0</v>
      </c>
      <c r="Q57" s="680">
        <v>23.0</v>
      </c>
      <c r="R57" s="681" t="s">
        <v>700</v>
      </c>
      <c r="S57" s="682">
        <f t="shared" si="10"/>
        <v>18849</v>
      </c>
      <c r="T57" s="683"/>
      <c r="U57" s="625">
        <f t="shared" si="65"/>
        <v>6320</v>
      </c>
      <c r="V57" s="625">
        <f t="shared" si="66"/>
        <v>5492</v>
      </c>
      <c r="W57" s="625">
        <f t="shared" si="67"/>
        <v>3680</v>
      </c>
      <c r="X57" s="625">
        <f t="shared" si="68"/>
        <v>1994</v>
      </c>
      <c r="Y57" s="625">
        <f t="shared" si="69"/>
        <v>1363</v>
      </c>
      <c r="Z57" s="656">
        <f t="shared" si="16"/>
        <v>1212</v>
      </c>
      <c r="AA57" s="683"/>
      <c r="AB57" s="625">
        <f t="shared" si="70"/>
        <v>1178</v>
      </c>
      <c r="AC57" s="625">
        <f t="shared" si="71"/>
        <v>12</v>
      </c>
      <c r="AD57" s="625">
        <f t="shared" si="72"/>
        <v>-7</v>
      </c>
      <c r="AE57" s="625">
        <f t="shared" si="73"/>
        <v>6</v>
      </c>
      <c r="AF57" s="625">
        <f t="shared" si="74"/>
        <v>23</v>
      </c>
      <c r="AG57" s="657">
        <f t="shared" si="22"/>
        <v>0.06430049339</v>
      </c>
      <c r="AH57" s="165"/>
      <c r="AI57" s="165">
        <f t="shared" ref="AI57:AM57" si="150">AB57/U57</f>
        <v>0.1863924051</v>
      </c>
      <c r="AJ57" s="165">
        <f t="shared" si="150"/>
        <v>0.002184996358</v>
      </c>
      <c r="AK57" s="165">
        <f t="shared" si="150"/>
        <v>-0.001902173913</v>
      </c>
      <c r="AL57" s="165">
        <f t="shared" si="150"/>
        <v>0.003009027081</v>
      </c>
      <c r="AM57" s="165">
        <f t="shared" si="150"/>
        <v>0.01687454145</v>
      </c>
      <c r="AN57" s="684">
        <f t="shared" si="24"/>
        <v>48197</v>
      </c>
      <c r="AO57" s="685">
        <v>3215.0</v>
      </c>
      <c r="AP57" s="180">
        <v>10277.0</v>
      </c>
      <c r="AQ57" s="180">
        <v>15431.0</v>
      </c>
      <c r="AR57" s="180">
        <v>11217.0</v>
      </c>
      <c r="AS57" s="180">
        <v>6873.0</v>
      </c>
      <c r="AT57" s="180">
        <v>4399.0</v>
      </c>
      <c r="AU57" s="684">
        <f t="shared" si="114"/>
        <v>0</v>
      </c>
      <c r="AV57" s="685">
        <v>0.0</v>
      </c>
      <c r="AW57" s="180">
        <v>0.0</v>
      </c>
      <c r="AX57" s="180">
        <v>0.0</v>
      </c>
      <c r="AY57" s="180">
        <v>0.0</v>
      </c>
      <c r="AZ57" s="180">
        <v>0.0</v>
      </c>
      <c r="BA57" s="686">
        <v>0.0</v>
      </c>
      <c r="BB57" s="631"/>
      <c r="BC57" s="687" t="s">
        <v>695</v>
      </c>
      <c r="BD57" s="186" t="s">
        <v>3303</v>
      </c>
      <c r="BE57" s="186" t="s">
        <v>3304</v>
      </c>
      <c r="BF57" s="186" t="s">
        <v>3305</v>
      </c>
      <c r="BG57" s="186" t="s">
        <v>3306</v>
      </c>
      <c r="BH57" s="179" t="s">
        <v>3307</v>
      </c>
      <c r="BI57" s="179" t="s">
        <v>3308</v>
      </c>
      <c r="BJ57" s="179"/>
      <c r="BK57" s="631"/>
      <c r="BL57" s="179" t="b">
        <f t="shared" si="26"/>
        <v>1</v>
      </c>
      <c r="BM57" s="179" t="b">
        <f t="shared" si="27"/>
        <v>1</v>
      </c>
      <c r="BN57" s="688" t="b">
        <f t="shared" si="28"/>
        <v>0</v>
      </c>
    </row>
    <row r="58">
      <c r="A58" s="675" t="s">
        <v>3333</v>
      </c>
      <c r="B58" s="186" t="s">
        <v>3399</v>
      </c>
      <c r="C58" s="697" t="s">
        <v>2113</v>
      </c>
      <c r="D58" s="677">
        <v>10.0</v>
      </c>
      <c r="E58" s="205" t="s">
        <v>51</v>
      </c>
      <c r="F58" s="678"/>
      <c r="G58" s="679"/>
      <c r="H58" s="641"/>
      <c r="I58" s="680"/>
      <c r="J58" s="641"/>
      <c r="K58" s="680"/>
      <c r="L58" s="641"/>
      <c r="M58" s="680"/>
      <c r="N58" s="641"/>
      <c r="O58" s="680"/>
      <c r="P58" s="641"/>
      <c r="Q58" s="680"/>
      <c r="R58" s="632"/>
      <c r="S58" s="682">
        <f t="shared" si="10"/>
        <v>23121</v>
      </c>
      <c r="T58" s="180"/>
      <c r="U58" s="180">
        <v>20523.0</v>
      </c>
      <c r="V58" s="180">
        <v>9452.0</v>
      </c>
      <c r="W58" s="180">
        <v>-5765.0</v>
      </c>
      <c r="X58" s="180">
        <v>-5636.0</v>
      </c>
      <c r="Y58" s="180">
        <v>4547.0</v>
      </c>
      <c r="Z58" s="656">
        <f t="shared" si="16"/>
        <v>1461</v>
      </c>
      <c r="AA58" s="180"/>
      <c r="AB58" s="180">
        <v>1723.0</v>
      </c>
      <c r="AC58" s="180">
        <v>174.0</v>
      </c>
      <c r="AD58" s="180">
        <v>-182.0</v>
      </c>
      <c r="AE58" s="180">
        <v>-73.0</v>
      </c>
      <c r="AF58" s="180">
        <v>-181.0</v>
      </c>
      <c r="AG58" s="657">
        <f t="shared" si="22"/>
        <v>0.06318930842</v>
      </c>
      <c r="AH58" s="165"/>
      <c r="AI58" s="165">
        <f t="shared" ref="AI58:AM58" si="151">AB58/U58</f>
        <v>0.08395458754</v>
      </c>
      <c r="AJ58" s="165">
        <f t="shared" si="151"/>
        <v>0.01840880237</v>
      </c>
      <c r="AK58" s="165">
        <f t="shared" si="151"/>
        <v>0.03156981787</v>
      </c>
      <c r="AL58" s="165">
        <f t="shared" si="151"/>
        <v>0.01295244855</v>
      </c>
      <c r="AM58" s="165">
        <f t="shared" si="151"/>
        <v>-0.0398064658</v>
      </c>
      <c r="AN58" s="684">
        <f t="shared" si="24"/>
        <v>10487</v>
      </c>
      <c r="AO58" s="685">
        <v>14678.0</v>
      </c>
      <c r="AP58" s="180">
        <v>5417.0</v>
      </c>
      <c r="AQ58" s="685">
        <v>0.0</v>
      </c>
      <c r="AR58" s="180">
        <v>1531.0</v>
      </c>
      <c r="AS58" s="180">
        <v>2935.0</v>
      </c>
      <c r="AT58" s="180">
        <v>604.0</v>
      </c>
      <c r="AU58" s="684">
        <f t="shared" si="114"/>
        <v>48259</v>
      </c>
      <c r="AV58" s="685">
        <v>11336.0</v>
      </c>
      <c r="AW58" s="180">
        <v>10968.0</v>
      </c>
      <c r="AX58" s="180">
        <v>10179.0</v>
      </c>
      <c r="AY58" s="180">
        <v>9651.0</v>
      </c>
      <c r="AZ58" s="180">
        <v>8959.0</v>
      </c>
      <c r="BA58" s="686">
        <v>8502.0</v>
      </c>
      <c r="BB58" s="685"/>
      <c r="BC58" s="712" t="s">
        <v>695</v>
      </c>
      <c r="BD58" s="186" t="s">
        <v>3303</v>
      </c>
      <c r="BE58" s="695" t="s">
        <v>3304</v>
      </c>
      <c r="BF58" s="695" t="s">
        <v>3305</v>
      </c>
      <c r="BG58" s="695" t="s">
        <v>3306</v>
      </c>
      <c r="BH58" s="695" t="s">
        <v>3307</v>
      </c>
      <c r="BI58" s="695" t="s">
        <v>3308</v>
      </c>
      <c r="BJ58" s="179"/>
      <c r="BK58" s="685"/>
      <c r="BL58" s="179" t="b">
        <f t="shared" si="26"/>
        <v>1</v>
      </c>
      <c r="BM58" s="179" t="b">
        <f t="shared" si="27"/>
        <v>1</v>
      </c>
      <c r="BN58" s="688" t="b">
        <f t="shared" si="28"/>
        <v>1</v>
      </c>
    </row>
    <row r="59">
      <c r="A59" s="689"/>
      <c r="B59" s="186" t="s">
        <v>3400</v>
      </c>
      <c r="C59" s="676" t="s">
        <v>2113</v>
      </c>
      <c r="D59" s="677">
        <v>438.0</v>
      </c>
      <c r="E59" s="632" t="s">
        <v>3401</v>
      </c>
      <c r="F59" s="678">
        <f t="shared" ref="F59:G59" si="152">H59+J59+L59+N59+P59</f>
        <v>2896.95</v>
      </c>
      <c r="G59" s="679">
        <f t="shared" si="152"/>
        <v>314.5</v>
      </c>
      <c r="H59" s="641">
        <v>1112.96</v>
      </c>
      <c r="I59" s="680">
        <v>246.21</v>
      </c>
      <c r="J59" s="641">
        <v>802.71</v>
      </c>
      <c r="K59" s="680">
        <v>156.45</v>
      </c>
      <c r="L59" s="641">
        <v>278.34</v>
      </c>
      <c r="M59" s="680">
        <v>-204.06</v>
      </c>
      <c r="N59" s="641">
        <v>444.76</v>
      </c>
      <c r="O59" s="680">
        <v>57.02</v>
      </c>
      <c r="P59" s="641">
        <v>258.18</v>
      </c>
      <c r="Q59" s="680">
        <v>58.88</v>
      </c>
      <c r="R59" s="681" t="s">
        <v>702</v>
      </c>
      <c r="S59" s="682">
        <f t="shared" si="10"/>
        <v>2896.95</v>
      </c>
      <c r="T59" s="683"/>
      <c r="U59" s="625">
        <f t="shared" ref="U59:U89" si="155">H59</f>
        <v>1112.96</v>
      </c>
      <c r="V59" s="625">
        <f t="shared" ref="V59:V89" si="156">J59</f>
        <v>802.71</v>
      </c>
      <c r="W59" s="625">
        <f t="shared" ref="W59:W89" si="157">L59</f>
        <v>278.34</v>
      </c>
      <c r="X59" s="625">
        <f t="shared" ref="X59:X89" si="158">N59</f>
        <v>444.76</v>
      </c>
      <c r="Y59" s="625">
        <f t="shared" ref="Y59:Y89" si="159">P59</f>
        <v>258.18</v>
      </c>
      <c r="Z59" s="656">
        <f t="shared" si="16"/>
        <v>314.5</v>
      </c>
      <c r="AA59" s="683"/>
      <c r="AB59" s="625">
        <f t="shared" ref="AB59:AB89" si="160">I59</f>
        <v>246.21</v>
      </c>
      <c r="AC59" s="625">
        <f t="shared" ref="AC59:AC89" si="161">K59</f>
        <v>156.45</v>
      </c>
      <c r="AD59" s="625">
        <f t="shared" ref="AD59:AD89" si="162">M59</f>
        <v>-204.06</v>
      </c>
      <c r="AE59" s="625">
        <f t="shared" ref="AE59:AE89" si="163">O59</f>
        <v>57.02</v>
      </c>
      <c r="AF59" s="625">
        <f t="shared" ref="AF59:AF89" si="164">Q59</f>
        <v>58.88</v>
      </c>
      <c r="AG59" s="657">
        <f t="shared" si="22"/>
        <v>0.1085624536</v>
      </c>
      <c r="AH59" s="165"/>
      <c r="AI59" s="165">
        <f t="shared" ref="AI59:AM59" si="153">AB59/U59</f>
        <v>0.2212208884</v>
      </c>
      <c r="AJ59" s="165">
        <f t="shared" si="153"/>
        <v>0.1949022686</v>
      </c>
      <c r="AK59" s="165">
        <f t="shared" si="153"/>
        <v>-0.7331321405</v>
      </c>
      <c r="AL59" s="165">
        <f t="shared" si="153"/>
        <v>0.1282039752</v>
      </c>
      <c r="AM59" s="165">
        <f t="shared" si="153"/>
        <v>0.2280579441</v>
      </c>
      <c r="AN59" s="684">
        <f t="shared" si="24"/>
        <v>1702</v>
      </c>
      <c r="AO59" s="625"/>
      <c r="AP59" s="625">
        <v>830.0</v>
      </c>
      <c r="AQ59" s="625">
        <v>466.0</v>
      </c>
      <c r="AR59" s="625">
        <v>54.0</v>
      </c>
      <c r="AS59" s="625">
        <v>191.0</v>
      </c>
      <c r="AT59" s="625">
        <v>161.0</v>
      </c>
      <c r="AU59" s="684">
        <f t="shared" si="114"/>
        <v>0</v>
      </c>
      <c r="AV59" s="180"/>
      <c r="AW59" s="180">
        <v>0.0</v>
      </c>
      <c r="AX59" s="180">
        <v>0.0</v>
      </c>
      <c r="AY59" s="180">
        <v>0.0</v>
      </c>
      <c r="AZ59" s="180">
        <v>0.0</v>
      </c>
      <c r="BA59" s="686">
        <v>0.0</v>
      </c>
      <c r="BB59" s="631"/>
      <c r="BC59" s="189" t="s">
        <v>695</v>
      </c>
      <c r="BD59" s="186" t="s">
        <v>3303</v>
      </c>
      <c r="BE59" s="179" t="s">
        <v>3304</v>
      </c>
      <c r="BF59" s="179" t="s">
        <v>3305</v>
      </c>
      <c r="BG59" s="179" t="s">
        <v>3306</v>
      </c>
      <c r="BH59" s="179" t="s">
        <v>3307</v>
      </c>
      <c r="BI59" s="179" t="s">
        <v>3308</v>
      </c>
      <c r="BJ59" s="179"/>
      <c r="BK59" s="646"/>
      <c r="BL59" s="179" t="b">
        <f t="shared" si="26"/>
        <v>1</v>
      </c>
      <c r="BM59" s="179" t="b">
        <f t="shared" si="27"/>
        <v>1</v>
      </c>
      <c r="BN59" s="688" t="b">
        <f t="shared" si="28"/>
        <v>0</v>
      </c>
    </row>
    <row r="60">
      <c r="A60" s="675" t="s">
        <v>3301</v>
      </c>
      <c r="B60" s="186" t="s">
        <v>3402</v>
      </c>
      <c r="C60" s="676" t="s">
        <v>2113</v>
      </c>
      <c r="D60" s="677">
        <v>15.0</v>
      </c>
      <c r="E60" s="632" t="s">
        <v>1351</v>
      </c>
      <c r="F60" s="678">
        <f t="shared" ref="F60:G60" si="154">H60+J60+L60+N60+P60</f>
        <v>28699.55</v>
      </c>
      <c r="G60" s="679">
        <f t="shared" si="154"/>
        <v>7355</v>
      </c>
      <c r="H60" s="641">
        <v>4321.62</v>
      </c>
      <c r="I60" s="680">
        <v>1679.0</v>
      </c>
      <c r="J60" s="641">
        <v>6670.0</v>
      </c>
      <c r="K60" s="680">
        <v>1268.0</v>
      </c>
      <c r="L60" s="641">
        <v>9043.48</v>
      </c>
      <c r="M60" s="680">
        <v>2128.0</v>
      </c>
      <c r="N60" s="641">
        <v>5667.6</v>
      </c>
      <c r="O60" s="680">
        <v>1476.0</v>
      </c>
      <c r="P60" s="641">
        <v>2996.85</v>
      </c>
      <c r="Q60" s="680">
        <v>804.0</v>
      </c>
      <c r="R60" s="681" t="s">
        <v>700</v>
      </c>
      <c r="S60" s="682">
        <f t="shared" si="10"/>
        <v>28699.55</v>
      </c>
      <c r="T60" s="683"/>
      <c r="U60" s="625">
        <f t="shared" si="155"/>
        <v>4321.62</v>
      </c>
      <c r="V60" s="625">
        <f t="shared" si="156"/>
        <v>6670</v>
      </c>
      <c r="W60" s="625">
        <f t="shared" si="157"/>
        <v>9043.48</v>
      </c>
      <c r="X60" s="625">
        <f t="shared" si="158"/>
        <v>5667.6</v>
      </c>
      <c r="Y60" s="625">
        <f t="shared" si="159"/>
        <v>2996.85</v>
      </c>
      <c r="Z60" s="656">
        <f t="shared" si="16"/>
        <v>7355</v>
      </c>
      <c r="AA60" s="683"/>
      <c r="AB60" s="625">
        <f t="shared" si="160"/>
        <v>1679</v>
      </c>
      <c r="AC60" s="625">
        <f t="shared" si="161"/>
        <v>1268</v>
      </c>
      <c r="AD60" s="625">
        <f t="shared" si="162"/>
        <v>2128</v>
      </c>
      <c r="AE60" s="625">
        <f t="shared" si="163"/>
        <v>1476</v>
      </c>
      <c r="AF60" s="625">
        <f t="shared" si="164"/>
        <v>804</v>
      </c>
      <c r="AG60" s="657">
        <f t="shared" si="22"/>
        <v>0.2562757953</v>
      </c>
      <c r="AH60" s="165"/>
      <c r="AI60" s="165">
        <f t="shared" ref="AI60:AM60" si="165">AB60/U60</f>
        <v>0.3885117155</v>
      </c>
      <c r="AJ60" s="165">
        <f t="shared" si="165"/>
        <v>0.1901049475</v>
      </c>
      <c r="AK60" s="165">
        <f t="shared" si="165"/>
        <v>0.2353076471</v>
      </c>
      <c r="AL60" s="165">
        <f t="shared" si="165"/>
        <v>0.2604276943</v>
      </c>
      <c r="AM60" s="165">
        <f t="shared" si="165"/>
        <v>0.2682816958</v>
      </c>
      <c r="AN60" s="684">
        <f t="shared" si="24"/>
        <v>21720</v>
      </c>
      <c r="AO60" s="685">
        <v>2284.0</v>
      </c>
      <c r="AP60" s="180">
        <v>7607.0</v>
      </c>
      <c r="AQ60" s="180">
        <v>7742.0</v>
      </c>
      <c r="AR60" s="180">
        <v>4042.0</v>
      </c>
      <c r="AS60" s="180">
        <v>1987.0</v>
      </c>
      <c r="AT60" s="180">
        <v>342.0</v>
      </c>
      <c r="AU60" s="684">
        <f t="shared" si="114"/>
        <v>2755</v>
      </c>
      <c r="AV60" s="685">
        <v>1450.0</v>
      </c>
      <c r="AW60" s="180">
        <v>1384.0</v>
      </c>
      <c r="AX60" s="180">
        <v>1341.0</v>
      </c>
      <c r="AY60" s="180">
        <v>15.0</v>
      </c>
      <c r="AZ60" s="180">
        <v>15.0</v>
      </c>
      <c r="BA60" s="686">
        <v>0.0</v>
      </c>
      <c r="BB60" s="631"/>
      <c r="BC60" s="202" t="s">
        <v>695</v>
      </c>
      <c r="BD60" s="186" t="s">
        <v>3303</v>
      </c>
      <c r="BE60" s="186" t="s">
        <v>3304</v>
      </c>
      <c r="BF60" s="186" t="s">
        <v>3305</v>
      </c>
      <c r="BG60" s="186" t="s">
        <v>3306</v>
      </c>
      <c r="BH60" s="186" t="s">
        <v>3307</v>
      </c>
      <c r="BI60" s="186" t="s">
        <v>3308</v>
      </c>
      <c r="BJ60" s="179"/>
      <c r="BK60" s="631"/>
      <c r="BL60" s="179" t="b">
        <f t="shared" si="26"/>
        <v>1</v>
      </c>
      <c r="BM60" s="179" t="b">
        <f t="shared" si="27"/>
        <v>1</v>
      </c>
      <c r="BN60" s="688" t="b">
        <f t="shared" si="28"/>
        <v>0</v>
      </c>
    </row>
    <row r="61">
      <c r="A61" s="426"/>
      <c r="B61" s="186" t="s">
        <v>3403</v>
      </c>
      <c r="C61" s="676" t="s">
        <v>3404</v>
      </c>
      <c r="D61" s="677">
        <v>473.0</v>
      </c>
      <c r="E61" s="632" t="s">
        <v>3405</v>
      </c>
      <c r="F61" s="678">
        <f t="shared" ref="F61:G61" si="166">H61+J61+L61+N61+P61</f>
        <v>6219.43</v>
      </c>
      <c r="G61" s="679">
        <f t="shared" si="166"/>
        <v>862.62</v>
      </c>
      <c r="H61" s="641">
        <v>1575.8</v>
      </c>
      <c r="I61" s="680">
        <v>248.41</v>
      </c>
      <c r="J61" s="641">
        <v>1413.32</v>
      </c>
      <c r="K61" s="680">
        <v>162.2</v>
      </c>
      <c r="L61" s="641">
        <v>1178.35</v>
      </c>
      <c r="M61" s="680">
        <v>164.1</v>
      </c>
      <c r="N61" s="641">
        <v>1031.4</v>
      </c>
      <c r="O61" s="680">
        <v>153.74</v>
      </c>
      <c r="P61" s="641">
        <v>1020.56</v>
      </c>
      <c r="Q61" s="680">
        <v>134.17</v>
      </c>
      <c r="R61" s="681" t="s">
        <v>707</v>
      </c>
      <c r="S61" s="682">
        <f t="shared" si="10"/>
        <v>6219.43</v>
      </c>
      <c r="T61" s="683"/>
      <c r="U61" s="625">
        <f t="shared" si="155"/>
        <v>1575.8</v>
      </c>
      <c r="V61" s="625">
        <f t="shared" si="156"/>
        <v>1413.32</v>
      </c>
      <c r="W61" s="625">
        <f t="shared" si="157"/>
        <v>1178.35</v>
      </c>
      <c r="X61" s="625">
        <f t="shared" si="158"/>
        <v>1031.4</v>
      </c>
      <c r="Y61" s="625">
        <f t="shared" si="159"/>
        <v>1020.56</v>
      </c>
      <c r="Z61" s="656">
        <f t="shared" si="16"/>
        <v>862.62</v>
      </c>
      <c r="AA61" s="683"/>
      <c r="AB61" s="625">
        <f t="shared" si="160"/>
        <v>248.41</v>
      </c>
      <c r="AC61" s="625">
        <f t="shared" si="161"/>
        <v>162.2</v>
      </c>
      <c r="AD61" s="625">
        <f t="shared" si="162"/>
        <v>164.1</v>
      </c>
      <c r="AE61" s="625">
        <f t="shared" si="163"/>
        <v>153.74</v>
      </c>
      <c r="AF61" s="625">
        <f t="shared" si="164"/>
        <v>134.17</v>
      </c>
      <c r="AG61" s="657">
        <f t="shared" si="22"/>
        <v>0.1386975977</v>
      </c>
      <c r="AH61" s="165"/>
      <c r="AI61" s="165">
        <f t="shared" ref="AI61:AM61" si="167">AB61/U61</f>
        <v>0.1576405635</v>
      </c>
      <c r="AJ61" s="165">
        <f t="shared" si="167"/>
        <v>0.1147652336</v>
      </c>
      <c r="AK61" s="165">
        <f t="shared" si="167"/>
        <v>0.1392625281</v>
      </c>
      <c r="AL61" s="165">
        <f t="shared" si="167"/>
        <v>0.1490595307</v>
      </c>
      <c r="AM61" s="165">
        <f t="shared" si="167"/>
        <v>0.1314670377</v>
      </c>
      <c r="AN61" s="684">
        <f t="shared" si="24"/>
        <v>3959.865</v>
      </c>
      <c r="AO61" s="641"/>
      <c r="AP61" s="641">
        <v>398.865</v>
      </c>
      <c r="AQ61" s="625">
        <v>1526.0</v>
      </c>
      <c r="AR61" s="625">
        <v>554.0</v>
      </c>
      <c r="AS61" s="625">
        <v>465.0</v>
      </c>
      <c r="AT61" s="625">
        <v>1016.0</v>
      </c>
      <c r="AU61" s="684">
        <f t="shared" si="114"/>
        <v>1714.275</v>
      </c>
      <c r="AV61" s="641"/>
      <c r="AW61" s="641">
        <v>398.865</v>
      </c>
      <c r="AX61" s="625">
        <v>375.12</v>
      </c>
      <c r="AY61" s="625">
        <v>451.33</v>
      </c>
      <c r="AZ61" s="625">
        <v>267.96</v>
      </c>
      <c r="BA61" s="691">
        <v>221.0</v>
      </c>
      <c r="BB61" s="631"/>
      <c r="BC61" s="189" t="s">
        <v>695</v>
      </c>
      <c r="BD61" s="688" t="s">
        <v>3303</v>
      </c>
      <c r="BE61" s="179" t="s">
        <v>3304</v>
      </c>
      <c r="BF61" s="179" t="s">
        <v>3305</v>
      </c>
      <c r="BG61" s="179" t="s">
        <v>3306</v>
      </c>
      <c r="BH61" s="179" t="s">
        <v>3307</v>
      </c>
      <c r="BI61" s="179" t="s">
        <v>3308</v>
      </c>
      <c r="BJ61" s="179"/>
      <c r="BK61" s="631"/>
      <c r="BL61" s="179" t="b">
        <f t="shared" si="26"/>
        <v>1</v>
      </c>
      <c r="BM61" s="179" t="b">
        <f t="shared" si="27"/>
        <v>1</v>
      </c>
      <c r="BN61" s="688" t="b">
        <f t="shared" si="28"/>
        <v>1</v>
      </c>
    </row>
    <row r="62">
      <c r="A62" s="675" t="s">
        <v>3301</v>
      </c>
      <c r="B62" s="186" t="s">
        <v>3406</v>
      </c>
      <c r="C62" s="690" t="s">
        <v>1980</v>
      </c>
      <c r="D62" s="677">
        <v>82.0</v>
      </c>
      <c r="E62" s="632" t="s">
        <v>1340</v>
      </c>
      <c r="F62" s="678">
        <f t="shared" ref="F62:G62" si="168">H62+J62+L62+N62+P62</f>
        <v>42918</v>
      </c>
      <c r="G62" s="679">
        <f t="shared" si="168"/>
        <v>7842.9</v>
      </c>
      <c r="H62" s="641">
        <v>13092.0</v>
      </c>
      <c r="I62" s="680">
        <v>2203.0</v>
      </c>
      <c r="J62" s="641">
        <v>11822.0</v>
      </c>
      <c r="K62" s="680">
        <v>1959.0</v>
      </c>
      <c r="L62" s="641">
        <v>7270.0</v>
      </c>
      <c r="M62" s="680">
        <v>1101.0</v>
      </c>
      <c r="N62" s="641">
        <v>7309.0</v>
      </c>
      <c r="O62" s="680">
        <v>871.17</v>
      </c>
      <c r="P62" s="641">
        <v>3425.0</v>
      </c>
      <c r="Q62" s="680">
        <v>1708.73</v>
      </c>
      <c r="R62" s="681" t="s">
        <v>702</v>
      </c>
      <c r="S62" s="682">
        <f t="shared" si="10"/>
        <v>42918</v>
      </c>
      <c r="T62" s="683"/>
      <c r="U62" s="625">
        <f t="shared" si="155"/>
        <v>13092</v>
      </c>
      <c r="V62" s="625">
        <f t="shared" si="156"/>
        <v>11822</v>
      </c>
      <c r="W62" s="625">
        <f t="shared" si="157"/>
        <v>7270</v>
      </c>
      <c r="X62" s="625">
        <f t="shared" si="158"/>
        <v>7309</v>
      </c>
      <c r="Y62" s="625">
        <f t="shared" si="159"/>
        <v>3425</v>
      </c>
      <c r="Z62" s="656">
        <f t="shared" si="16"/>
        <v>7842.9</v>
      </c>
      <c r="AA62" s="683"/>
      <c r="AB62" s="625">
        <f t="shared" si="160"/>
        <v>2203</v>
      </c>
      <c r="AC62" s="625">
        <f t="shared" si="161"/>
        <v>1959</v>
      </c>
      <c r="AD62" s="625">
        <f t="shared" si="162"/>
        <v>1101</v>
      </c>
      <c r="AE62" s="625">
        <f t="shared" si="163"/>
        <v>871.17</v>
      </c>
      <c r="AF62" s="625">
        <f t="shared" si="164"/>
        <v>1708.73</v>
      </c>
      <c r="AG62" s="657">
        <f t="shared" si="22"/>
        <v>0.1827415071</v>
      </c>
      <c r="AH62" s="165"/>
      <c r="AI62" s="165">
        <f t="shared" ref="AI62:AM62" si="169">AB62/U62</f>
        <v>0.1682706997</v>
      </c>
      <c r="AJ62" s="165">
        <f t="shared" si="169"/>
        <v>0.165708002</v>
      </c>
      <c r="AK62" s="165">
        <f t="shared" si="169"/>
        <v>0.1514442916</v>
      </c>
      <c r="AL62" s="165">
        <f t="shared" si="169"/>
        <v>0.1191914079</v>
      </c>
      <c r="AM62" s="165">
        <f t="shared" si="169"/>
        <v>0.4988992701</v>
      </c>
      <c r="AN62" s="684">
        <f t="shared" si="24"/>
        <v>55109</v>
      </c>
      <c r="AO62" s="180">
        <f>4293+597</f>
        <v>4890</v>
      </c>
      <c r="AP62" s="180">
        <f>7689+692</f>
        <v>8381</v>
      </c>
      <c r="AQ62" s="180">
        <f>2877+636</f>
        <v>3513</v>
      </c>
      <c r="AR62" s="180">
        <f>2659+727</f>
        <v>3386</v>
      </c>
      <c r="AS62" s="180">
        <f>20717+862</f>
        <v>21579</v>
      </c>
      <c r="AT62" s="180">
        <f>17547+703</f>
        <v>18250</v>
      </c>
      <c r="AU62" s="684">
        <f t="shared" si="114"/>
        <v>30350</v>
      </c>
      <c r="AV62" s="685">
        <v>6302.0</v>
      </c>
      <c r="AW62" s="180">
        <v>6224.0</v>
      </c>
      <c r="AX62" s="180">
        <v>6163.0</v>
      </c>
      <c r="AY62" s="180">
        <v>6016.0</v>
      </c>
      <c r="AZ62" s="180">
        <v>5979.0</v>
      </c>
      <c r="BA62" s="686">
        <v>5968.0</v>
      </c>
      <c r="BB62" s="631"/>
      <c r="BC62" s="687" t="s">
        <v>695</v>
      </c>
      <c r="BD62" s="186" t="s">
        <v>3303</v>
      </c>
      <c r="BE62" s="186" t="s">
        <v>3304</v>
      </c>
      <c r="BF62" s="186" t="s">
        <v>3305</v>
      </c>
      <c r="BG62" s="186" t="s">
        <v>3306</v>
      </c>
      <c r="BH62" s="186" t="s">
        <v>3307</v>
      </c>
      <c r="BI62" s="186" t="s">
        <v>3308</v>
      </c>
      <c r="BJ62" s="179"/>
      <c r="BK62" s="631"/>
      <c r="BL62" s="179" t="b">
        <f t="shared" si="26"/>
        <v>1</v>
      </c>
      <c r="BM62" s="179" t="b">
        <f t="shared" si="27"/>
        <v>1</v>
      </c>
      <c r="BN62" s="688" t="b">
        <f t="shared" si="28"/>
        <v>1</v>
      </c>
    </row>
    <row r="63">
      <c r="A63" s="675" t="s">
        <v>3301</v>
      </c>
      <c r="B63" s="186" t="s">
        <v>3407</v>
      </c>
      <c r="C63" s="676" t="s">
        <v>2113</v>
      </c>
      <c r="D63" s="677">
        <v>36.0</v>
      </c>
      <c r="E63" s="632" t="s">
        <v>1327</v>
      </c>
      <c r="F63" s="678">
        <f t="shared" ref="F63:G63" si="170">H63+J63+L63+N63+P63</f>
        <v>35304.81</v>
      </c>
      <c r="G63" s="679">
        <f t="shared" si="170"/>
        <v>1533</v>
      </c>
      <c r="H63" s="641">
        <v>7155.7</v>
      </c>
      <c r="I63" s="680">
        <v>407.0</v>
      </c>
      <c r="J63" s="641">
        <v>9824.95</v>
      </c>
      <c r="K63" s="680">
        <v>522.0</v>
      </c>
      <c r="L63" s="641">
        <v>4143.5</v>
      </c>
      <c r="M63" s="680">
        <v>305.0</v>
      </c>
      <c r="N63" s="641">
        <v>7142.25</v>
      </c>
      <c r="O63" s="680">
        <v>365.0</v>
      </c>
      <c r="P63" s="641">
        <v>7038.41</v>
      </c>
      <c r="Q63" s="680">
        <v>-66.0</v>
      </c>
      <c r="R63" s="681" t="s">
        <v>696</v>
      </c>
      <c r="S63" s="682">
        <f t="shared" si="10"/>
        <v>35304.81</v>
      </c>
      <c r="T63" s="683"/>
      <c r="U63" s="625">
        <f t="shared" si="155"/>
        <v>7155.7</v>
      </c>
      <c r="V63" s="625">
        <f t="shared" si="156"/>
        <v>9824.95</v>
      </c>
      <c r="W63" s="625">
        <f t="shared" si="157"/>
        <v>4143.5</v>
      </c>
      <c r="X63" s="625">
        <f t="shared" si="158"/>
        <v>7142.25</v>
      </c>
      <c r="Y63" s="625">
        <f t="shared" si="159"/>
        <v>7038.41</v>
      </c>
      <c r="Z63" s="656">
        <f t="shared" si="16"/>
        <v>1533</v>
      </c>
      <c r="AA63" s="683"/>
      <c r="AB63" s="625">
        <f t="shared" si="160"/>
        <v>407</v>
      </c>
      <c r="AC63" s="625">
        <f t="shared" si="161"/>
        <v>522</v>
      </c>
      <c r="AD63" s="625">
        <f t="shared" si="162"/>
        <v>305</v>
      </c>
      <c r="AE63" s="625">
        <f t="shared" si="163"/>
        <v>365</v>
      </c>
      <c r="AF63" s="625">
        <f t="shared" si="164"/>
        <v>-66</v>
      </c>
      <c r="AG63" s="657">
        <f t="shared" si="22"/>
        <v>0.04342184535</v>
      </c>
      <c r="AH63" s="165"/>
      <c r="AI63" s="165">
        <f t="shared" ref="AI63:AM63" si="171">AB63/U63</f>
        <v>0.05687773383</v>
      </c>
      <c r="AJ63" s="165">
        <f t="shared" si="171"/>
        <v>0.05313004137</v>
      </c>
      <c r="AK63" s="165">
        <f t="shared" si="171"/>
        <v>0.07360926753</v>
      </c>
      <c r="AL63" s="165">
        <f t="shared" si="171"/>
        <v>0.05110434387</v>
      </c>
      <c r="AM63" s="165">
        <f t="shared" si="171"/>
        <v>-0.009377117843</v>
      </c>
      <c r="AN63" s="684">
        <f t="shared" si="24"/>
        <v>45780</v>
      </c>
      <c r="AO63" s="685">
        <v>1977.0</v>
      </c>
      <c r="AP63" s="180">
        <v>3250.0</v>
      </c>
      <c r="AQ63" s="180">
        <v>7601.0</v>
      </c>
      <c r="AR63" s="180">
        <v>2925.0</v>
      </c>
      <c r="AS63" s="180">
        <v>17571.0</v>
      </c>
      <c r="AT63" s="180">
        <v>14433.0</v>
      </c>
      <c r="AU63" s="684">
        <f t="shared" si="114"/>
        <v>26020</v>
      </c>
      <c r="AV63" s="685">
        <v>5212.0</v>
      </c>
      <c r="AW63" s="180">
        <v>5003.0</v>
      </c>
      <c r="AX63" s="180">
        <v>5198.0</v>
      </c>
      <c r="AY63" s="180">
        <v>5352.0</v>
      </c>
      <c r="AZ63" s="180">
        <v>5447.0</v>
      </c>
      <c r="BA63" s="686">
        <v>5020.0</v>
      </c>
      <c r="BB63" s="631"/>
      <c r="BC63" s="716" t="s">
        <v>695</v>
      </c>
      <c r="BD63" s="186" t="s">
        <v>3303</v>
      </c>
      <c r="BE63" s="186" t="s">
        <v>3304</v>
      </c>
      <c r="BF63" s="186" t="s">
        <v>3305</v>
      </c>
      <c r="BG63" s="186" t="s">
        <v>3306</v>
      </c>
      <c r="BH63" s="186" t="s">
        <v>3307</v>
      </c>
      <c r="BI63" s="186" t="s">
        <v>3308</v>
      </c>
      <c r="BJ63" s="179"/>
      <c r="BK63" s="631"/>
      <c r="BL63" s="179" t="b">
        <f t="shared" si="26"/>
        <v>1</v>
      </c>
      <c r="BM63" s="179" t="b">
        <f t="shared" si="27"/>
        <v>1</v>
      </c>
      <c r="BN63" s="688" t="b">
        <f t="shared" si="28"/>
        <v>1</v>
      </c>
    </row>
    <row r="64">
      <c r="A64" s="689"/>
      <c r="B64" s="186" t="s">
        <v>3408</v>
      </c>
      <c r="C64" s="676" t="s">
        <v>2113</v>
      </c>
      <c r="D64" s="677">
        <v>419.0</v>
      </c>
      <c r="E64" s="632" t="s">
        <v>3409</v>
      </c>
      <c r="F64" s="678">
        <f t="shared" ref="F64:G64" si="172">H64+J64+L64+N64+P64</f>
        <v>10709</v>
      </c>
      <c r="G64" s="679">
        <f t="shared" si="172"/>
        <v>2197</v>
      </c>
      <c r="H64" s="641">
        <v>2485.0</v>
      </c>
      <c r="I64" s="680">
        <v>355.0</v>
      </c>
      <c r="J64" s="641">
        <v>2761.0</v>
      </c>
      <c r="K64" s="680">
        <v>871.0</v>
      </c>
      <c r="L64" s="641">
        <v>1196.0</v>
      </c>
      <c r="M64" s="680">
        <v>377.0</v>
      </c>
      <c r="N64" s="641">
        <v>2178.0</v>
      </c>
      <c r="O64" s="680">
        <v>323.0</v>
      </c>
      <c r="P64" s="641">
        <v>2089.0</v>
      </c>
      <c r="Q64" s="680">
        <v>271.0</v>
      </c>
      <c r="R64" s="681" t="s">
        <v>721</v>
      </c>
      <c r="S64" s="682">
        <f t="shared" si="10"/>
        <v>10709</v>
      </c>
      <c r="T64" s="683"/>
      <c r="U64" s="625">
        <f t="shared" si="155"/>
        <v>2485</v>
      </c>
      <c r="V64" s="625">
        <f t="shared" si="156"/>
        <v>2761</v>
      </c>
      <c r="W64" s="625">
        <f t="shared" si="157"/>
        <v>1196</v>
      </c>
      <c r="X64" s="625">
        <f t="shared" si="158"/>
        <v>2178</v>
      </c>
      <c r="Y64" s="625">
        <f t="shared" si="159"/>
        <v>2089</v>
      </c>
      <c r="Z64" s="656">
        <f t="shared" si="16"/>
        <v>2197</v>
      </c>
      <c r="AA64" s="683"/>
      <c r="AB64" s="625">
        <f t="shared" si="160"/>
        <v>355</v>
      </c>
      <c r="AC64" s="625">
        <f t="shared" si="161"/>
        <v>871</v>
      </c>
      <c r="AD64" s="625">
        <f t="shared" si="162"/>
        <v>377</v>
      </c>
      <c r="AE64" s="625">
        <f t="shared" si="163"/>
        <v>323</v>
      </c>
      <c r="AF64" s="625">
        <f t="shared" si="164"/>
        <v>271</v>
      </c>
      <c r="AG64" s="657">
        <f t="shared" si="22"/>
        <v>0.2051545429</v>
      </c>
      <c r="AH64" s="165"/>
      <c r="AI64" s="165">
        <f t="shared" ref="AI64:AM64" si="173">AB64/U64</f>
        <v>0.1428571429</v>
      </c>
      <c r="AJ64" s="165">
        <f t="shared" si="173"/>
        <v>0.3154654111</v>
      </c>
      <c r="AK64" s="165">
        <f t="shared" si="173"/>
        <v>0.3152173913</v>
      </c>
      <c r="AL64" s="165">
        <f t="shared" si="173"/>
        <v>0.1483011938</v>
      </c>
      <c r="AM64" s="165">
        <f t="shared" si="173"/>
        <v>0.1297271422</v>
      </c>
      <c r="AN64" s="684">
        <f t="shared" si="24"/>
        <v>3213</v>
      </c>
      <c r="AO64" s="641"/>
      <c r="AP64" s="641">
        <v>153.0</v>
      </c>
      <c r="AQ64" s="641">
        <v>545.0</v>
      </c>
      <c r="AR64" s="641">
        <v>270.0</v>
      </c>
      <c r="AS64" s="641">
        <v>1220.0</v>
      </c>
      <c r="AT64" s="641">
        <v>1025.0</v>
      </c>
      <c r="AU64" s="684">
        <f t="shared" si="114"/>
        <v>3612</v>
      </c>
      <c r="AV64" s="625"/>
      <c r="AW64" s="625">
        <v>892.0</v>
      </c>
      <c r="AX64" s="625">
        <v>783.0</v>
      </c>
      <c r="AY64" s="625">
        <v>770.0</v>
      </c>
      <c r="AZ64" s="625">
        <v>682.0</v>
      </c>
      <c r="BA64" s="693">
        <v>485.0</v>
      </c>
      <c r="BB64" s="631"/>
      <c r="BC64" s="189" t="s">
        <v>695</v>
      </c>
      <c r="BD64" s="186" t="s">
        <v>3303</v>
      </c>
      <c r="BE64" s="179" t="s">
        <v>3304</v>
      </c>
      <c r="BF64" s="179" t="s">
        <v>3305</v>
      </c>
      <c r="BG64" s="179" t="s">
        <v>3306</v>
      </c>
      <c r="BH64" s="179" t="s">
        <v>3307</v>
      </c>
      <c r="BI64" s="179" t="s">
        <v>3308</v>
      </c>
      <c r="BJ64" s="179"/>
      <c r="BK64" s="646"/>
      <c r="BL64" s="179" t="b">
        <f t="shared" si="26"/>
        <v>1</v>
      </c>
      <c r="BM64" s="179" t="b">
        <f t="shared" si="27"/>
        <v>1</v>
      </c>
      <c r="BN64" s="688" t="b">
        <f t="shared" si="28"/>
        <v>1</v>
      </c>
    </row>
    <row r="65">
      <c r="A65" s="148" t="s">
        <v>3384</v>
      </c>
      <c r="B65" s="712" t="s">
        <v>3410</v>
      </c>
      <c r="C65" s="676" t="s">
        <v>2113</v>
      </c>
      <c r="D65" s="718">
        <v>170.0</v>
      </c>
      <c r="E65" s="714" t="s">
        <v>3411</v>
      </c>
      <c r="F65" s="71">
        <f t="shared" ref="F65:G65" si="174">H65+J65+L65+N65+P65</f>
        <v>6119.8</v>
      </c>
      <c r="G65" s="679">
        <f t="shared" si="174"/>
        <v>211.8</v>
      </c>
      <c r="H65" s="641">
        <v>1672.0</v>
      </c>
      <c r="I65" s="680">
        <v>201.0</v>
      </c>
      <c r="J65" s="641">
        <v>3772.0</v>
      </c>
      <c r="K65" s="680">
        <v>14.0</v>
      </c>
      <c r="L65" s="641">
        <v>-201.0</v>
      </c>
      <c r="M65" s="680">
        <v>-2.0</v>
      </c>
      <c r="N65" s="641">
        <v>311.8</v>
      </c>
      <c r="O65" s="680">
        <v>-0.7</v>
      </c>
      <c r="P65" s="641">
        <v>565.0</v>
      </c>
      <c r="Q65" s="680">
        <v>-0.5</v>
      </c>
      <c r="R65" s="714"/>
      <c r="S65" s="682">
        <f t="shared" si="10"/>
        <v>6119.8</v>
      </c>
      <c r="T65" s="683"/>
      <c r="U65" s="625">
        <f t="shared" si="155"/>
        <v>1672</v>
      </c>
      <c r="V65" s="625">
        <f t="shared" si="156"/>
        <v>3772</v>
      </c>
      <c r="W65" s="625">
        <f t="shared" si="157"/>
        <v>-201</v>
      </c>
      <c r="X65" s="625">
        <f t="shared" si="158"/>
        <v>311.8</v>
      </c>
      <c r="Y65" s="625">
        <f t="shared" si="159"/>
        <v>565</v>
      </c>
      <c r="Z65" s="656">
        <f t="shared" si="16"/>
        <v>211.8</v>
      </c>
      <c r="AA65" s="683"/>
      <c r="AB65" s="625">
        <f t="shared" si="160"/>
        <v>201</v>
      </c>
      <c r="AC65" s="625">
        <f t="shared" si="161"/>
        <v>14</v>
      </c>
      <c r="AD65" s="625">
        <f t="shared" si="162"/>
        <v>-2</v>
      </c>
      <c r="AE65" s="625">
        <f t="shared" si="163"/>
        <v>-0.7</v>
      </c>
      <c r="AF65" s="625">
        <f t="shared" si="164"/>
        <v>-0.5</v>
      </c>
      <c r="AG65" s="657">
        <f t="shared" si="22"/>
        <v>0.03460897415</v>
      </c>
      <c r="AH65" s="165"/>
      <c r="AI65" s="165">
        <f t="shared" ref="AI65:AM65" si="175">AB65/U65</f>
        <v>0.120215311</v>
      </c>
      <c r="AJ65" s="165">
        <f t="shared" si="175"/>
        <v>0.003711558855</v>
      </c>
      <c r="AK65" s="165">
        <f t="shared" si="175"/>
        <v>0.009950248756</v>
      </c>
      <c r="AL65" s="165">
        <f t="shared" si="175"/>
        <v>-0.002245028865</v>
      </c>
      <c r="AM65" s="165">
        <f t="shared" si="175"/>
        <v>-0.0008849557522</v>
      </c>
      <c r="AN65" s="684">
        <f t="shared" si="24"/>
        <v>541</v>
      </c>
      <c r="AO65" s="685">
        <v>152.0</v>
      </c>
      <c r="AP65" s="685">
        <v>240.0</v>
      </c>
      <c r="AQ65" s="180">
        <v>0.0</v>
      </c>
      <c r="AR65" s="180">
        <v>0.0</v>
      </c>
      <c r="AS65" s="685">
        <v>253.0</v>
      </c>
      <c r="AT65" s="685">
        <v>48.0</v>
      </c>
      <c r="AU65" s="684">
        <f t="shared" si="114"/>
        <v>113</v>
      </c>
      <c r="AV65" s="180">
        <v>0.0</v>
      </c>
      <c r="AW65" s="180">
        <v>0.0</v>
      </c>
      <c r="AX65" s="180">
        <v>0.0</v>
      </c>
      <c r="AY65" s="685">
        <v>41.0</v>
      </c>
      <c r="AZ65" s="685">
        <v>72.0</v>
      </c>
      <c r="BA65" s="710">
        <v>0.0</v>
      </c>
      <c r="BB65" s="685"/>
      <c r="BC65" s="715" t="s">
        <v>695</v>
      </c>
      <c r="BD65" s="186" t="s">
        <v>3303</v>
      </c>
      <c r="BE65" s="688"/>
      <c r="BF65" s="688"/>
      <c r="BG65" s="688"/>
      <c r="BH65" s="179"/>
      <c r="BI65" s="179"/>
      <c r="BJ65" s="179"/>
      <c r="BK65" s="685"/>
      <c r="BL65" s="179" t="b">
        <f t="shared" si="26"/>
        <v>1</v>
      </c>
      <c r="BM65" s="179" t="b">
        <f t="shared" si="27"/>
        <v>1</v>
      </c>
      <c r="BN65" s="688" t="b">
        <f t="shared" si="28"/>
        <v>0</v>
      </c>
    </row>
    <row r="66">
      <c r="A66" s="696" t="s">
        <v>1534</v>
      </c>
      <c r="B66" s="186" t="s">
        <v>3412</v>
      </c>
      <c r="C66" s="676" t="s">
        <v>2113</v>
      </c>
      <c r="D66" s="677">
        <v>441.0</v>
      </c>
      <c r="E66" s="632" t="s">
        <v>38</v>
      </c>
      <c r="F66" s="678">
        <f t="shared" ref="F66:G66" si="176">H66+J66+L66+N66+P66</f>
        <v>4186</v>
      </c>
      <c r="G66" s="679">
        <f t="shared" si="176"/>
        <v>-128</v>
      </c>
      <c r="H66" s="641">
        <v>902.0</v>
      </c>
      <c r="I66" s="680">
        <v>6.0</v>
      </c>
      <c r="J66" s="641">
        <v>822.0</v>
      </c>
      <c r="K66" s="680">
        <v>-1.0</v>
      </c>
      <c r="L66" s="641">
        <v>887.0</v>
      </c>
      <c r="M66" s="680">
        <v>-35.0</v>
      </c>
      <c r="N66" s="641">
        <v>801.0</v>
      </c>
      <c r="O66" s="680">
        <v>-31.0</v>
      </c>
      <c r="P66" s="641">
        <v>774.0</v>
      </c>
      <c r="Q66" s="680">
        <v>-67.0</v>
      </c>
      <c r="R66" s="681" t="s">
        <v>703</v>
      </c>
      <c r="S66" s="682">
        <f t="shared" si="10"/>
        <v>4186</v>
      </c>
      <c r="T66" s="683"/>
      <c r="U66" s="625">
        <f t="shared" si="155"/>
        <v>902</v>
      </c>
      <c r="V66" s="625">
        <f t="shared" si="156"/>
        <v>822</v>
      </c>
      <c r="W66" s="625">
        <f t="shared" si="157"/>
        <v>887</v>
      </c>
      <c r="X66" s="625">
        <f t="shared" si="158"/>
        <v>801</v>
      </c>
      <c r="Y66" s="625">
        <f t="shared" si="159"/>
        <v>774</v>
      </c>
      <c r="Z66" s="656">
        <f t="shared" si="16"/>
        <v>-128</v>
      </c>
      <c r="AA66" s="683"/>
      <c r="AB66" s="625">
        <f t="shared" si="160"/>
        <v>6</v>
      </c>
      <c r="AC66" s="625">
        <f t="shared" si="161"/>
        <v>-1</v>
      </c>
      <c r="AD66" s="625">
        <f t="shared" si="162"/>
        <v>-35</v>
      </c>
      <c r="AE66" s="625">
        <f t="shared" si="163"/>
        <v>-31</v>
      </c>
      <c r="AF66" s="625">
        <f t="shared" si="164"/>
        <v>-67</v>
      </c>
      <c r="AG66" s="657">
        <f t="shared" si="22"/>
        <v>-0.03057811753</v>
      </c>
      <c r="AH66" s="165"/>
      <c r="AI66" s="165">
        <f t="shared" ref="AI66:AM66" si="177">AB66/U66</f>
        <v>0.006651884701</v>
      </c>
      <c r="AJ66" s="165">
        <f t="shared" si="177"/>
        <v>-0.001216545012</v>
      </c>
      <c r="AK66" s="165">
        <f t="shared" si="177"/>
        <v>-0.03945885006</v>
      </c>
      <c r="AL66" s="165">
        <f t="shared" si="177"/>
        <v>-0.03870162297</v>
      </c>
      <c r="AM66" s="165">
        <f t="shared" si="177"/>
        <v>-0.08656330749</v>
      </c>
      <c r="AN66" s="684">
        <f t="shared" si="24"/>
        <v>0</v>
      </c>
      <c r="AO66" s="625"/>
      <c r="AP66" s="625">
        <v>0.0</v>
      </c>
      <c r="AQ66" s="625">
        <v>0.0</v>
      </c>
      <c r="AR66" s="625">
        <v>0.0</v>
      </c>
      <c r="AS66" s="625">
        <v>0.0</v>
      </c>
      <c r="AT66" s="625">
        <v>0.0</v>
      </c>
      <c r="AU66" s="684">
        <f t="shared" si="114"/>
        <v>2365</v>
      </c>
      <c r="AV66" s="625"/>
      <c r="AW66" s="625">
        <v>546.0</v>
      </c>
      <c r="AX66" s="625">
        <v>509.0</v>
      </c>
      <c r="AY66" s="625">
        <v>467.0</v>
      </c>
      <c r="AZ66" s="625">
        <v>436.0</v>
      </c>
      <c r="BA66" s="693">
        <v>407.0</v>
      </c>
      <c r="BB66" s="631"/>
      <c r="BC66" s="189" t="s">
        <v>695</v>
      </c>
      <c r="BD66" s="688" t="s">
        <v>3303</v>
      </c>
      <c r="BE66" s="179" t="s">
        <v>3304</v>
      </c>
      <c r="BF66" s="179" t="s">
        <v>3305</v>
      </c>
      <c r="BG66" s="179" t="s">
        <v>3306</v>
      </c>
      <c r="BH66" s="179" t="s">
        <v>3307</v>
      </c>
      <c r="BI66" s="179" t="s">
        <v>3308</v>
      </c>
      <c r="BJ66" s="179"/>
      <c r="BK66" s="631"/>
      <c r="BL66" s="179" t="b">
        <f t="shared" si="26"/>
        <v>1</v>
      </c>
      <c r="BM66" s="179" t="b">
        <f t="shared" si="27"/>
        <v>1</v>
      </c>
      <c r="BN66" s="688" t="b">
        <f t="shared" si="28"/>
        <v>1</v>
      </c>
    </row>
    <row r="67">
      <c r="A67" s="675" t="s">
        <v>3301</v>
      </c>
      <c r="B67" s="186" t="s">
        <v>3413</v>
      </c>
      <c r="C67" s="676" t="s">
        <v>2113</v>
      </c>
      <c r="D67" s="677">
        <v>100.0</v>
      </c>
      <c r="E67" s="632" t="s">
        <v>1317</v>
      </c>
      <c r="F67" s="678">
        <f t="shared" ref="F67:G67" si="178">H67+J67+L67+N67+P67</f>
        <v>13417</v>
      </c>
      <c r="G67" s="679">
        <f t="shared" si="178"/>
        <v>1806</v>
      </c>
      <c r="H67" s="641">
        <v>3334.0</v>
      </c>
      <c r="I67" s="680">
        <v>468.0</v>
      </c>
      <c r="J67" s="641">
        <v>3432.0</v>
      </c>
      <c r="K67" s="680">
        <v>243.0</v>
      </c>
      <c r="L67" s="641">
        <v>2753.0</v>
      </c>
      <c r="M67" s="680">
        <v>296.0</v>
      </c>
      <c r="N67" s="641">
        <v>3155.0</v>
      </c>
      <c r="O67" s="680">
        <v>508.0</v>
      </c>
      <c r="P67" s="641">
        <v>743.0</v>
      </c>
      <c r="Q67" s="680">
        <v>291.0</v>
      </c>
      <c r="R67" s="681" t="s">
        <v>709</v>
      </c>
      <c r="S67" s="682">
        <f t="shared" si="10"/>
        <v>13417</v>
      </c>
      <c r="T67" s="683"/>
      <c r="U67" s="625">
        <f t="shared" si="155"/>
        <v>3334</v>
      </c>
      <c r="V67" s="625">
        <f t="shared" si="156"/>
        <v>3432</v>
      </c>
      <c r="W67" s="625">
        <f t="shared" si="157"/>
        <v>2753</v>
      </c>
      <c r="X67" s="625">
        <f t="shared" si="158"/>
        <v>3155</v>
      </c>
      <c r="Y67" s="625">
        <f t="shared" si="159"/>
        <v>743</v>
      </c>
      <c r="Z67" s="656">
        <f t="shared" si="16"/>
        <v>1806</v>
      </c>
      <c r="AA67" s="683"/>
      <c r="AB67" s="625">
        <f t="shared" si="160"/>
        <v>468</v>
      </c>
      <c r="AC67" s="625">
        <f t="shared" si="161"/>
        <v>243</v>
      </c>
      <c r="AD67" s="625">
        <f t="shared" si="162"/>
        <v>296</v>
      </c>
      <c r="AE67" s="625">
        <f t="shared" si="163"/>
        <v>508</v>
      </c>
      <c r="AF67" s="625">
        <f t="shared" si="164"/>
        <v>291</v>
      </c>
      <c r="AG67" s="657">
        <f t="shared" si="22"/>
        <v>0.1346053514</v>
      </c>
      <c r="AH67" s="165"/>
      <c r="AI67" s="165">
        <f t="shared" ref="AI67:AM67" si="179">AB67/U67</f>
        <v>0.1403719256</v>
      </c>
      <c r="AJ67" s="165">
        <f t="shared" si="179"/>
        <v>0.0708041958</v>
      </c>
      <c r="AK67" s="165">
        <f t="shared" si="179"/>
        <v>0.1075190701</v>
      </c>
      <c r="AL67" s="165">
        <f t="shared" si="179"/>
        <v>0.1610142631</v>
      </c>
      <c r="AM67" s="165">
        <f t="shared" si="179"/>
        <v>0.3916554509</v>
      </c>
      <c r="AN67" s="684">
        <f t="shared" si="24"/>
        <v>4662</v>
      </c>
      <c r="AO67" s="685">
        <v>2289.0</v>
      </c>
      <c r="AP67" s="180">
        <v>1418.0</v>
      </c>
      <c r="AQ67" s="180">
        <v>111.0</v>
      </c>
      <c r="AR67" s="180">
        <v>118.0</v>
      </c>
      <c r="AS67" s="180">
        <v>1103.0</v>
      </c>
      <c r="AT67" s="180">
        <v>1912.0</v>
      </c>
      <c r="AU67" s="684">
        <f t="shared" si="114"/>
        <v>35404</v>
      </c>
      <c r="AV67" s="685">
        <v>7952.0</v>
      </c>
      <c r="AW67" s="180">
        <v>7616.0</v>
      </c>
      <c r="AX67" s="180">
        <v>7252.0</v>
      </c>
      <c r="AY67" s="180">
        <v>7047.0</v>
      </c>
      <c r="AZ67" s="180">
        <v>6845.0</v>
      </c>
      <c r="BA67" s="686">
        <v>6644.0</v>
      </c>
      <c r="BB67" s="631"/>
      <c r="BC67" s="687" t="s">
        <v>695</v>
      </c>
      <c r="BD67" s="186" t="s">
        <v>3303</v>
      </c>
      <c r="BE67" s="186" t="s">
        <v>3304</v>
      </c>
      <c r="BF67" s="186" t="s">
        <v>3305</v>
      </c>
      <c r="BG67" s="186" t="s">
        <v>3306</v>
      </c>
      <c r="BH67" s="186" t="s">
        <v>3307</v>
      </c>
      <c r="BI67" s="186" t="s">
        <v>3308</v>
      </c>
      <c r="BJ67" s="179"/>
      <c r="BK67" s="646"/>
      <c r="BL67" s="179" t="b">
        <f t="shared" si="26"/>
        <v>1</v>
      </c>
      <c r="BM67" s="179" t="b">
        <f t="shared" si="27"/>
        <v>1</v>
      </c>
      <c r="BN67" s="688" t="b">
        <f t="shared" si="28"/>
        <v>1</v>
      </c>
    </row>
    <row r="68">
      <c r="A68" s="675" t="s">
        <v>3301</v>
      </c>
      <c r="B68" s="186" t="s">
        <v>3414</v>
      </c>
      <c r="C68" s="676" t="s">
        <v>2113</v>
      </c>
      <c r="D68" s="677">
        <v>29.0</v>
      </c>
      <c r="E68" s="632" t="s">
        <v>1308</v>
      </c>
      <c r="F68" s="678">
        <f t="shared" ref="F68:G68" si="180">H68+J68+L68+N68+P68</f>
        <v>84286</v>
      </c>
      <c r="G68" s="679">
        <f t="shared" si="180"/>
        <v>13315</v>
      </c>
      <c r="H68" s="641">
        <v>18368.0</v>
      </c>
      <c r="I68" s="680">
        <v>4025.0</v>
      </c>
      <c r="J68" s="641">
        <v>20574.0</v>
      </c>
      <c r="K68" s="680">
        <v>2355.0</v>
      </c>
      <c r="L68" s="641">
        <v>15375.0</v>
      </c>
      <c r="M68" s="680">
        <v>2824.0</v>
      </c>
      <c r="N68" s="641">
        <v>16221.0</v>
      </c>
      <c r="O68" s="680">
        <v>2085.0</v>
      </c>
      <c r="P68" s="641">
        <v>13748.0</v>
      </c>
      <c r="Q68" s="680">
        <v>2026.0</v>
      </c>
      <c r="R68" s="681" t="s">
        <v>716</v>
      </c>
      <c r="S68" s="682">
        <f t="shared" si="10"/>
        <v>84286</v>
      </c>
      <c r="T68" s="683"/>
      <c r="U68" s="625">
        <f t="shared" si="155"/>
        <v>18368</v>
      </c>
      <c r="V68" s="625">
        <f t="shared" si="156"/>
        <v>20574</v>
      </c>
      <c r="W68" s="625">
        <f t="shared" si="157"/>
        <v>15375</v>
      </c>
      <c r="X68" s="625">
        <f t="shared" si="158"/>
        <v>16221</v>
      </c>
      <c r="Y68" s="625">
        <f t="shared" si="159"/>
        <v>13748</v>
      </c>
      <c r="Z68" s="656">
        <f t="shared" si="16"/>
        <v>13315</v>
      </c>
      <c r="AA68" s="683"/>
      <c r="AB68" s="625">
        <f t="shared" si="160"/>
        <v>4025</v>
      </c>
      <c r="AC68" s="625">
        <f t="shared" si="161"/>
        <v>2355</v>
      </c>
      <c r="AD68" s="625">
        <f t="shared" si="162"/>
        <v>2824</v>
      </c>
      <c r="AE68" s="625">
        <f t="shared" si="163"/>
        <v>2085</v>
      </c>
      <c r="AF68" s="625">
        <f t="shared" si="164"/>
        <v>2026</v>
      </c>
      <c r="AG68" s="657">
        <f t="shared" si="22"/>
        <v>0.1579740408</v>
      </c>
      <c r="AH68" s="165"/>
      <c r="AI68" s="165">
        <f t="shared" ref="AI68:AM68" si="181">AB68/U68</f>
        <v>0.2191310976</v>
      </c>
      <c r="AJ68" s="165">
        <f t="shared" si="181"/>
        <v>0.1144648586</v>
      </c>
      <c r="AK68" s="165">
        <f t="shared" si="181"/>
        <v>0.1836747967</v>
      </c>
      <c r="AL68" s="165">
        <f t="shared" si="181"/>
        <v>0.1285370816</v>
      </c>
      <c r="AM68" s="165">
        <f t="shared" si="181"/>
        <v>0.1473668897</v>
      </c>
      <c r="AN68" s="684">
        <f t="shared" si="24"/>
        <v>24358</v>
      </c>
      <c r="AO68" s="685">
        <v>11291.0</v>
      </c>
      <c r="AP68" s="180">
        <v>13328.0</v>
      </c>
      <c r="AQ68" s="180">
        <v>4672.0</v>
      </c>
      <c r="AR68" s="180">
        <v>534.0</v>
      </c>
      <c r="AS68" s="180">
        <v>504.0</v>
      </c>
      <c r="AT68" s="180">
        <v>5320.0</v>
      </c>
      <c r="AU68" s="684">
        <f t="shared" si="114"/>
        <v>20500</v>
      </c>
      <c r="AV68" s="685">
        <v>4766.0</v>
      </c>
      <c r="AW68" s="180">
        <v>4741.0</v>
      </c>
      <c r="AX68" s="180">
        <v>4532.0</v>
      </c>
      <c r="AY68" s="180">
        <v>4140.0</v>
      </c>
      <c r="AZ68" s="180">
        <v>3735.0</v>
      </c>
      <c r="BA68" s="686">
        <v>3352.0</v>
      </c>
      <c r="BB68" s="631"/>
      <c r="BC68" s="186" t="s">
        <v>695</v>
      </c>
      <c r="BD68" s="186" t="s">
        <v>3303</v>
      </c>
      <c r="BE68" s="186" t="s">
        <v>3304</v>
      </c>
      <c r="BF68" s="186" t="s">
        <v>3305</v>
      </c>
      <c r="BG68" s="186" t="s">
        <v>3306</v>
      </c>
      <c r="BH68" s="186" t="s">
        <v>3307</v>
      </c>
      <c r="BI68" s="186" t="s">
        <v>3308</v>
      </c>
      <c r="BJ68" s="179"/>
      <c r="BK68" s="631"/>
      <c r="BL68" s="179" t="b">
        <f t="shared" si="26"/>
        <v>1</v>
      </c>
      <c r="BM68" s="179" t="b">
        <f t="shared" si="27"/>
        <v>1</v>
      </c>
      <c r="BN68" s="688" t="b">
        <f t="shared" si="28"/>
        <v>1</v>
      </c>
    </row>
    <row r="69">
      <c r="A69" s="675" t="s">
        <v>3301</v>
      </c>
      <c r="B69" s="186" t="s">
        <v>3415</v>
      </c>
      <c r="C69" s="690" t="s">
        <v>2117</v>
      </c>
      <c r="D69" s="677">
        <v>428.0</v>
      </c>
      <c r="E69" s="632" t="s">
        <v>727</v>
      </c>
      <c r="F69" s="678">
        <f t="shared" ref="F69:G69" si="182">H69+J69+L69+N69+P69</f>
        <v>2175.3</v>
      </c>
      <c r="G69" s="679">
        <f t="shared" si="182"/>
        <v>263.02</v>
      </c>
      <c r="H69" s="641">
        <v>1177.54</v>
      </c>
      <c r="I69" s="680">
        <v>121.65</v>
      </c>
      <c r="J69" s="641">
        <v>394.16</v>
      </c>
      <c r="K69" s="680">
        <v>96.43</v>
      </c>
      <c r="L69" s="641">
        <v>327.04</v>
      </c>
      <c r="M69" s="680">
        <v>25.65</v>
      </c>
      <c r="N69" s="641">
        <v>192.09</v>
      </c>
      <c r="O69" s="680">
        <v>-0.92</v>
      </c>
      <c r="P69" s="641">
        <v>84.47</v>
      </c>
      <c r="Q69" s="680">
        <v>20.21</v>
      </c>
      <c r="R69" s="681" t="s">
        <v>693</v>
      </c>
      <c r="S69" s="682">
        <f t="shared" si="10"/>
        <v>2175.3</v>
      </c>
      <c r="T69" s="683"/>
      <c r="U69" s="625">
        <f t="shared" si="155"/>
        <v>1177.54</v>
      </c>
      <c r="V69" s="625">
        <f t="shared" si="156"/>
        <v>394.16</v>
      </c>
      <c r="W69" s="625">
        <f t="shared" si="157"/>
        <v>327.04</v>
      </c>
      <c r="X69" s="625">
        <f t="shared" si="158"/>
        <v>192.09</v>
      </c>
      <c r="Y69" s="625">
        <f t="shared" si="159"/>
        <v>84.47</v>
      </c>
      <c r="Z69" s="656">
        <f t="shared" si="16"/>
        <v>263.02</v>
      </c>
      <c r="AA69" s="683"/>
      <c r="AB69" s="625">
        <f t="shared" si="160"/>
        <v>121.65</v>
      </c>
      <c r="AC69" s="625">
        <f t="shared" si="161"/>
        <v>96.43</v>
      </c>
      <c r="AD69" s="625">
        <f t="shared" si="162"/>
        <v>25.65</v>
      </c>
      <c r="AE69" s="625">
        <f t="shared" si="163"/>
        <v>-0.92</v>
      </c>
      <c r="AF69" s="625">
        <f t="shared" si="164"/>
        <v>20.21</v>
      </c>
      <c r="AG69" s="657">
        <f t="shared" si="22"/>
        <v>0.1209120581</v>
      </c>
      <c r="AH69" s="165"/>
      <c r="AI69" s="165">
        <f t="shared" ref="AI69:AM69" si="183">AB69/U69</f>
        <v>0.1033085925</v>
      </c>
      <c r="AJ69" s="165">
        <f t="shared" si="183"/>
        <v>0.2446468439</v>
      </c>
      <c r="AK69" s="165">
        <f t="shared" si="183"/>
        <v>0.07843077299</v>
      </c>
      <c r="AL69" s="165">
        <f t="shared" si="183"/>
        <v>-0.004789421625</v>
      </c>
      <c r="AM69" s="165">
        <f t="shared" si="183"/>
        <v>0.2392565408</v>
      </c>
      <c r="AN69" s="684">
        <f t="shared" si="24"/>
        <v>188.302</v>
      </c>
      <c r="AO69" s="625">
        <f>101.406+12.539</f>
        <v>113.945</v>
      </c>
      <c r="AP69" s="625">
        <v>171.0</v>
      </c>
      <c r="AQ69" s="625">
        <v>3.0</v>
      </c>
      <c r="AR69" s="625">
        <v>3.0</v>
      </c>
      <c r="AS69" s="625">
        <v>2.0</v>
      </c>
      <c r="AT69" s="641">
        <v>9.302</v>
      </c>
      <c r="AU69" s="684">
        <f t="shared" si="114"/>
        <v>296.076</v>
      </c>
      <c r="AV69" s="641">
        <v>74.936</v>
      </c>
      <c r="AW69" s="641">
        <v>68.0</v>
      </c>
      <c r="AX69" s="641">
        <v>58.0</v>
      </c>
      <c r="AY69" s="641">
        <v>57.0</v>
      </c>
      <c r="AZ69" s="641">
        <v>57.0</v>
      </c>
      <c r="BA69" s="691">
        <v>56.076</v>
      </c>
      <c r="BB69" s="631"/>
      <c r="BC69" s="189" t="s">
        <v>695</v>
      </c>
      <c r="BD69" s="186" t="s">
        <v>3303</v>
      </c>
      <c r="BE69" s="179" t="s">
        <v>3304</v>
      </c>
      <c r="BF69" s="179" t="s">
        <v>3305</v>
      </c>
      <c r="BG69" s="179" t="s">
        <v>3306</v>
      </c>
      <c r="BH69" s="179" t="s">
        <v>3307</v>
      </c>
      <c r="BI69" s="179" t="s">
        <v>3308</v>
      </c>
      <c r="BJ69" s="179"/>
      <c r="BK69" s="631"/>
      <c r="BL69" s="179" t="b">
        <f t="shared" si="26"/>
        <v>1</v>
      </c>
      <c r="BM69" s="179" t="b">
        <f t="shared" si="27"/>
        <v>0</v>
      </c>
      <c r="BN69" s="688" t="b">
        <f t="shared" si="28"/>
        <v>1</v>
      </c>
    </row>
    <row r="70">
      <c r="A70" s="426"/>
      <c r="B70" s="186" t="s">
        <v>3416</v>
      </c>
      <c r="C70" s="676" t="s">
        <v>3404</v>
      </c>
      <c r="D70" s="717">
        <v>360.0</v>
      </c>
      <c r="E70" s="632" t="s">
        <v>3417</v>
      </c>
      <c r="F70" s="678">
        <f t="shared" ref="F70:G70" si="184">H70+J70+L70+N70+P70</f>
        <v>5013.2</v>
      </c>
      <c r="G70" s="679">
        <f t="shared" si="184"/>
        <v>966.2</v>
      </c>
      <c r="H70" s="641">
        <v>755.9</v>
      </c>
      <c r="I70" s="680">
        <v>187.0</v>
      </c>
      <c r="J70" s="641">
        <v>1074.0</v>
      </c>
      <c r="K70" s="680">
        <v>233.0</v>
      </c>
      <c r="L70" s="641">
        <v>1426.5</v>
      </c>
      <c r="M70" s="680">
        <v>232.6</v>
      </c>
      <c r="N70" s="641">
        <v>952.8</v>
      </c>
      <c r="O70" s="680">
        <v>188.2</v>
      </c>
      <c r="P70" s="641">
        <v>804.0</v>
      </c>
      <c r="Q70" s="680">
        <v>125.4</v>
      </c>
      <c r="R70" s="681" t="s">
        <v>710</v>
      </c>
      <c r="S70" s="682">
        <f t="shared" si="10"/>
        <v>5013.2</v>
      </c>
      <c r="T70" s="683"/>
      <c r="U70" s="625">
        <f t="shared" si="155"/>
        <v>755.9</v>
      </c>
      <c r="V70" s="625">
        <f t="shared" si="156"/>
        <v>1074</v>
      </c>
      <c r="W70" s="625">
        <f t="shared" si="157"/>
        <v>1426.5</v>
      </c>
      <c r="X70" s="625">
        <f t="shared" si="158"/>
        <v>952.8</v>
      </c>
      <c r="Y70" s="625">
        <f t="shared" si="159"/>
        <v>804</v>
      </c>
      <c r="Z70" s="656">
        <f t="shared" si="16"/>
        <v>966.2</v>
      </c>
      <c r="AA70" s="683"/>
      <c r="AB70" s="625">
        <f t="shared" si="160"/>
        <v>187</v>
      </c>
      <c r="AC70" s="625">
        <f t="shared" si="161"/>
        <v>233</v>
      </c>
      <c r="AD70" s="625">
        <f t="shared" si="162"/>
        <v>232.6</v>
      </c>
      <c r="AE70" s="625">
        <f t="shared" si="163"/>
        <v>188.2</v>
      </c>
      <c r="AF70" s="625">
        <f t="shared" si="164"/>
        <v>125.4</v>
      </c>
      <c r="AG70" s="657">
        <f t="shared" si="22"/>
        <v>0.1927311897</v>
      </c>
      <c r="AH70" s="165"/>
      <c r="AI70" s="165">
        <f t="shared" ref="AI70:AM70" si="185">AB70/U70</f>
        <v>0.2473872205</v>
      </c>
      <c r="AJ70" s="165">
        <f t="shared" si="185"/>
        <v>0.2169459963</v>
      </c>
      <c r="AK70" s="165">
        <f t="shared" si="185"/>
        <v>0.1630564318</v>
      </c>
      <c r="AL70" s="165">
        <f t="shared" si="185"/>
        <v>0.1975230898</v>
      </c>
      <c r="AM70" s="165">
        <f t="shared" si="185"/>
        <v>0.1559701493</v>
      </c>
      <c r="AN70" s="684">
        <f t="shared" si="24"/>
        <v>498</v>
      </c>
      <c r="AO70" s="641"/>
      <c r="AP70" s="641">
        <v>150.0</v>
      </c>
      <c r="AQ70" s="625">
        <v>50.0</v>
      </c>
      <c r="AR70" s="625">
        <v>298.0</v>
      </c>
      <c r="AS70" s="625">
        <v>0.0</v>
      </c>
      <c r="AT70" s="625">
        <v>0.0</v>
      </c>
      <c r="AU70" s="684">
        <f t="shared" si="114"/>
        <v>2450.2</v>
      </c>
      <c r="AV70" s="641"/>
      <c r="AW70" s="641">
        <v>624.0</v>
      </c>
      <c r="AX70" s="625">
        <v>581.8</v>
      </c>
      <c r="AY70" s="625">
        <v>474.6</v>
      </c>
      <c r="AZ70" s="625">
        <v>413.6</v>
      </c>
      <c r="BA70" s="693">
        <v>356.2</v>
      </c>
      <c r="BB70" s="631"/>
      <c r="BC70" s="189" t="s">
        <v>695</v>
      </c>
      <c r="BD70" s="688" t="s">
        <v>3303</v>
      </c>
      <c r="BE70" s="179" t="s">
        <v>3304</v>
      </c>
      <c r="BF70" s="179" t="s">
        <v>3305</v>
      </c>
      <c r="BG70" s="179" t="s">
        <v>3306</v>
      </c>
      <c r="BH70" s="179" t="s">
        <v>3307</v>
      </c>
      <c r="BI70" s="179" t="s">
        <v>3308</v>
      </c>
      <c r="BJ70" s="179"/>
      <c r="BK70" s="631"/>
      <c r="BL70" s="179" t="b">
        <f t="shared" si="26"/>
        <v>1</v>
      </c>
      <c r="BM70" s="179" t="b">
        <f t="shared" si="27"/>
        <v>0</v>
      </c>
      <c r="BN70" s="688" t="b">
        <f t="shared" si="28"/>
        <v>1</v>
      </c>
    </row>
    <row r="71">
      <c r="A71" s="148" t="s">
        <v>3384</v>
      </c>
      <c r="B71" s="712" t="s">
        <v>3418</v>
      </c>
      <c r="C71" s="676" t="s">
        <v>2113</v>
      </c>
      <c r="D71" s="713">
        <v>49.0</v>
      </c>
      <c r="E71" s="632" t="s">
        <v>2997</v>
      </c>
      <c r="F71" s="71">
        <f t="shared" ref="F71:G71" si="186">H71+J71+L71+N71+P71</f>
        <v>27982</v>
      </c>
      <c r="G71" s="679">
        <f t="shared" si="186"/>
        <v>1320</v>
      </c>
      <c r="H71" s="641">
        <v>16353.0</v>
      </c>
      <c r="I71" s="680">
        <v>1263.0</v>
      </c>
      <c r="J71" s="641">
        <v>7897.0</v>
      </c>
      <c r="K71" s="680">
        <v>32.0</v>
      </c>
      <c r="L71" s="641">
        <v>-3583.0</v>
      </c>
      <c r="M71" s="680">
        <v>3.0</v>
      </c>
      <c r="N71" s="641">
        <v>4556.0</v>
      </c>
      <c r="O71" s="680">
        <v>18.0</v>
      </c>
      <c r="P71" s="641">
        <v>2759.0</v>
      </c>
      <c r="Q71" s="680">
        <v>4.0</v>
      </c>
      <c r="R71" s="714"/>
      <c r="S71" s="682">
        <f t="shared" si="10"/>
        <v>27982</v>
      </c>
      <c r="T71" s="683"/>
      <c r="U71" s="625">
        <f t="shared" si="155"/>
        <v>16353</v>
      </c>
      <c r="V71" s="625">
        <f t="shared" si="156"/>
        <v>7897</v>
      </c>
      <c r="W71" s="625">
        <f t="shared" si="157"/>
        <v>-3583</v>
      </c>
      <c r="X71" s="625">
        <f t="shared" si="158"/>
        <v>4556</v>
      </c>
      <c r="Y71" s="625">
        <f t="shared" si="159"/>
        <v>2759</v>
      </c>
      <c r="Z71" s="656">
        <f t="shared" si="16"/>
        <v>1320</v>
      </c>
      <c r="AA71" s="683"/>
      <c r="AB71" s="625">
        <f t="shared" si="160"/>
        <v>1263</v>
      </c>
      <c r="AC71" s="625">
        <f t="shared" si="161"/>
        <v>32</v>
      </c>
      <c r="AD71" s="625">
        <f t="shared" si="162"/>
        <v>3</v>
      </c>
      <c r="AE71" s="625">
        <f t="shared" si="163"/>
        <v>18</v>
      </c>
      <c r="AF71" s="625">
        <f t="shared" si="164"/>
        <v>4</v>
      </c>
      <c r="AG71" s="657">
        <f t="shared" si="22"/>
        <v>0.04717318276</v>
      </c>
      <c r="AH71" s="165"/>
      <c r="AI71" s="165">
        <f t="shared" ref="AI71:AM71" si="187">AB71/U71</f>
        <v>0.07723353513</v>
      </c>
      <c r="AJ71" s="165">
        <f t="shared" si="187"/>
        <v>0.004052171711</v>
      </c>
      <c r="AK71" s="165">
        <f t="shared" si="187"/>
        <v>-0.0008372871895</v>
      </c>
      <c r="AL71" s="165">
        <f t="shared" si="187"/>
        <v>0.003950834065</v>
      </c>
      <c r="AM71" s="165">
        <f t="shared" si="187"/>
        <v>0.001449800652</v>
      </c>
      <c r="AN71" s="684">
        <f t="shared" si="24"/>
        <v>20284</v>
      </c>
      <c r="AO71" s="180"/>
      <c r="AP71" s="685">
        <v>9270.0</v>
      </c>
      <c r="AQ71" s="685">
        <v>3623.0</v>
      </c>
      <c r="AR71" s="685">
        <v>892.0</v>
      </c>
      <c r="AS71" s="685">
        <v>3500.0</v>
      </c>
      <c r="AT71" s="685">
        <v>2999.0</v>
      </c>
      <c r="AU71" s="684">
        <f t="shared" si="114"/>
        <v>12779</v>
      </c>
      <c r="AV71" s="180"/>
      <c r="AW71" s="685">
        <v>5726.0</v>
      </c>
      <c r="AX71" s="685">
        <v>2359.0</v>
      </c>
      <c r="AY71" s="685">
        <v>1831.0</v>
      </c>
      <c r="AZ71" s="685">
        <v>1500.0</v>
      </c>
      <c r="BA71" s="710">
        <v>1363.0</v>
      </c>
      <c r="BB71" s="685"/>
      <c r="BC71" s="715" t="s">
        <v>695</v>
      </c>
      <c r="BD71" s="688" t="s">
        <v>3303</v>
      </c>
      <c r="BE71" s="695" t="s">
        <v>3304</v>
      </c>
      <c r="BF71" s="695" t="s">
        <v>3305</v>
      </c>
      <c r="BG71" s="695" t="s">
        <v>3306</v>
      </c>
      <c r="BH71" s="180" t="s">
        <v>3307</v>
      </c>
      <c r="BI71" s="180" t="s">
        <v>3308</v>
      </c>
      <c r="BJ71" s="179"/>
      <c r="BK71" s="685"/>
      <c r="BL71" s="179" t="b">
        <f t="shared" si="26"/>
        <v>1</v>
      </c>
      <c r="BM71" s="179" t="b">
        <f t="shared" si="27"/>
        <v>1</v>
      </c>
      <c r="BN71" s="688" t="b">
        <f t="shared" si="28"/>
        <v>1</v>
      </c>
    </row>
    <row r="72">
      <c r="A72" s="696" t="s">
        <v>1534</v>
      </c>
      <c r="B72" s="186" t="s">
        <v>3419</v>
      </c>
      <c r="C72" s="676" t="s">
        <v>2113</v>
      </c>
      <c r="D72" s="677">
        <v>264.0</v>
      </c>
      <c r="E72" s="632" t="s">
        <v>64</v>
      </c>
      <c r="F72" s="678">
        <f t="shared" ref="F72:G72" si="188">H72+J72+L72+N72+P72</f>
        <v>8230</v>
      </c>
      <c r="G72" s="679">
        <f t="shared" si="188"/>
        <v>102</v>
      </c>
      <c r="H72" s="641">
        <v>2093.0</v>
      </c>
      <c r="I72" s="680">
        <v>58.0</v>
      </c>
      <c r="J72" s="641">
        <v>1369.0</v>
      </c>
      <c r="K72" s="680">
        <v>43.0</v>
      </c>
      <c r="L72" s="641">
        <v>1227.0</v>
      </c>
      <c r="M72" s="680">
        <v>-2.0</v>
      </c>
      <c r="N72" s="641">
        <v>1748.0</v>
      </c>
      <c r="O72" s="680">
        <v>0.0</v>
      </c>
      <c r="P72" s="641">
        <v>1793.0</v>
      </c>
      <c r="Q72" s="680">
        <v>3.0</v>
      </c>
      <c r="R72" s="681" t="s">
        <v>696</v>
      </c>
      <c r="S72" s="682">
        <f t="shared" si="10"/>
        <v>8230</v>
      </c>
      <c r="T72" s="683"/>
      <c r="U72" s="625">
        <f t="shared" si="155"/>
        <v>2093</v>
      </c>
      <c r="V72" s="625">
        <f t="shared" si="156"/>
        <v>1369</v>
      </c>
      <c r="W72" s="625">
        <f t="shared" si="157"/>
        <v>1227</v>
      </c>
      <c r="X72" s="625">
        <f t="shared" si="158"/>
        <v>1748</v>
      </c>
      <c r="Y72" s="625">
        <f t="shared" si="159"/>
        <v>1793</v>
      </c>
      <c r="Z72" s="656">
        <f t="shared" si="16"/>
        <v>102</v>
      </c>
      <c r="AA72" s="683"/>
      <c r="AB72" s="625">
        <f t="shared" si="160"/>
        <v>58</v>
      </c>
      <c r="AC72" s="625">
        <f t="shared" si="161"/>
        <v>43</v>
      </c>
      <c r="AD72" s="625">
        <f t="shared" si="162"/>
        <v>-2</v>
      </c>
      <c r="AE72" s="625">
        <f t="shared" si="163"/>
        <v>0</v>
      </c>
      <c r="AF72" s="625">
        <f t="shared" si="164"/>
        <v>3</v>
      </c>
      <c r="AG72" s="657">
        <f t="shared" si="22"/>
        <v>0.01239368165</v>
      </c>
      <c r="AH72" s="165"/>
      <c r="AI72" s="165">
        <f t="shared" ref="AI72:AM72" si="189">AB72/U72</f>
        <v>0.02771141902</v>
      </c>
      <c r="AJ72" s="165">
        <f t="shared" si="189"/>
        <v>0.03140978817</v>
      </c>
      <c r="AK72" s="165">
        <f t="shared" si="189"/>
        <v>-0.00162999185</v>
      </c>
      <c r="AL72" s="165">
        <f t="shared" si="189"/>
        <v>0</v>
      </c>
      <c r="AM72" s="165">
        <f t="shared" si="189"/>
        <v>0.001673173452</v>
      </c>
      <c r="AN72" s="684">
        <f t="shared" si="24"/>
        <v>0</v>
      </c>
      <c r="AO72" s="625"/>
      <c r="AP72" s="625">
        <v>0.0</v>
      </c>
      <c r="AQ72" s="625">
        <v>0.0</v>
      </c>
      <c r="AR72" s="625">
        <v>0.0</v>
      </c>
      <c r="AS72" s="625">
        <v>0.0</v>
      </c>
      <c r="AT72" s="625">
        <v>0.0</v>
      </c>
      <c r="AU72" s="684">
        <f t="shared" si="114"/>
        <v>4860</v>
      </c>
      <c r="AV72" s="625"/>
      <c r="AW72" s="625">
        <v>1089.0</v>
      </c>
      <c r="AX72" s="625">
        <v>1030.0</v>
      </c>
      <c r="AY72" s="625">
        <v>975.0</v>
      </c>
      <c r="AZ72" s="625">
        <v>924.0</v>
      </c>
      <c r="BA72" s="693">
        <v>842.0</v>
      </c>
      <c r="BB72" s="631"/>
      <c r="BC72" s="189" t="s">
        <v>695</v>
      </c>
      <c r="BD72" s="186" t="s">
        <v>3303</v>
      </c>
      <c r="BE72" s="179" t="s">
        <v>3304</v>
      </c>
      <c r="BF72" s="179" t="s">
        <v>3305</v>
      </c>
      <c r="BG72" s="179" t="s">
        <v>3306</v>
      </c>
      <c r="BH72" s="179" t="s">
        <v>3307</v>
      </c>
      <c r="BI72" s="179" t="s">
        <v>3308</v>
      </c>
      <c r="BJ72" s="179"/>
      <c r="BK72" s="646"/>
      <c r="BL72" s="179" t="b">
        <f t="shared" si="26"/>
        <v>1</v>
      </c>
      <c r="BM72" s="179" t="b">
        <f t="shared" si="27"/>
        <v>0</v>
      </c>
      <c r="BN72" s="688" t="b">
        <f t="shared" si="28"/>
        <v>1</v>
      </c>
    </row>
    <row r="73">
      <c r="A73" s="675" t="s">
        <v>3301</v>
      </c>
      <c r="B73" s="186" t="s">
        <v>3420</v>
      </c>
      <c r="C73" s="690" t="s">
        <v>2317</v>
      </c>
      <c r="D73" s="677">
        <v>12.0</v>
      </c>
      <c r="E73" s="632" t="s">
        <v>1300</v>
      </c>
      <c r="F73" s="678">
        <f t="shared" ref="F73:G73" si="190">H73+J73+L73+N73+P73</f>
        <v>20471</v>
      </c>
      <c r="G73" s="679">
        <f t="shared" si="190"/>
        <v>2954</v>
      </c>
      <c r="H73" s="641">
        <v>5426.0</v>
      </c>
      <c r="I73" s="680">
        <v>798.0</v>
      </c>
      <c r="J73" s="641">
        <v>4666.0</v>
      </c>
      <c r="K73" s="680">
        <v>718.0</v>
      </c>
      <c r="L73" s="641">
        <v>3974.0</v>
      </c>
      <c r="M73" s="680">
        <v>616.0</v>
      </c>
      <c r="N73" s="641">
        <v>3413.0</v>
      </c>
      <c r="O73" s="680">
        <v>328.0</v>
      </c>
      <c r="P73" s="641">
        <v>2992.0</v>
      </c>
      <c r="Q73" s="680">
        <v>494.0</v>
      </c>
      <c r="R73" s="681" t="s">
        <v>701</v>
      </c>
      <c r="S73" s="682">
        <f t="shared" si="10"/>
        <v>20471</v>
      </c>
      <c r="T73" s="683"/>
      <c r="U73" s="625">
        <f t="shared" si="155"/>
        <v>5426</v>
      </c>
      <c r="V73" s="625">
        <f t="shared" si="156"/>
        <v>4666</v>
      </c>
      <c r="W73" s="625">
        <f t="shared" si="157"/>
        <v>3974</v>
      </c>
      <c r="X73" s="625">
        <f t="shared" si="158"/>
        <v>3413</v>
      </c>
      <c r="Y73" s="625">
        <f t="shared" si="159"/>
        <v>2992</v>
      </c>
      <c r="Z73" s="656">
        <f t="shared" si="16"/>
        <v>2954</v>
      </c>
      <c r="AA73" s="683"/>
      <c r="AB73" s="625">
        <f t="shared" si="160"/>
        <v>798</v>
      </c>
      <c r="AC73" s="625">
        <f t="shared" si="161"/>
        <v>718</v>
      </c>
      <c r="AD73" s="625">
        <f t="shared" si="162"/>
        <v>616</v>
      </c>
      <c r="AE73" s="625">
        <f t="shared" si="163"/>
        <v>328</v>
      </c>
      <c r="AF73" s="625">
        <f t="shared" si="164"/>
        <v>494</v>
      </c>
      <c r="AG73" s="657">
        <f t="shared" si="22"/>
        <v>0.1443016951</v>
      </c>
      <c r="AH73" s="165"/>
      <c r="AI73" s="165">
        <f t="shared" ref="AI73:AM73" si="191">AB73/U73</f>
        <v>0.1470696646</v>
      </c>
      <c r="AJ73" s="165">
        <f t="shared" si="191"/>
        <v>0.1538791256</v>
      </c>
      <c r="AK73" s="165">
        <f t="shared" si="191"/>
        <v>0.1550075491</v>
      </c>
      <c r="AL73" s="165">
        <f t="shared" si="191"/>
        <v>0.09610313507</v>
      </c>
      <c r="AM73" s="165">
        <f t="shared" si="191"/>
        <v>0.1651069519</v>
      </c>
      <c r="AN73" s="684">
        <f t="shared" si="24"/>
        <v>1706</v>
      </c>
      <c r="AO73" s="685">
        <v>676.0</v>
      </c>
      <c r="AP73" s="180">
        <v>439.0</v>
      </c>
      <c r="AQ73" s="180">
        <v>496.0</v>
      </c>
      <c r="AR73" s="180">
        <v>196.0</v>
      </c>
      <c r="AS73" s="180">
        <v>247.0</v>
      </c>
      <c r="AT73" s="180">
        <v>328.0</v>
      </c>
      <c r="AU73" s="684">
        <f t="shared" si="114"/>
        <v>10660</v>
      </c>
      <c r="AV73" s="685">
        <v>1251.0</v>
      </c>
      <c r="AW73" s="180">
        <f>1498+208</f>
        <v>1706</v>
      </c>
      <c r="AX73" s="180">
        <v>5748.0</v>
      </c>
      <c r="AY73" s="180">
        <v>1479.0</v>
      </c>
      <c r="AZ73" s="180">
        <v>1038.0</v>
      </c>
      <c r="BA73" s="686">
        <v>689.0</v>
      </c>
      <c r="BB73" s="631"/>
      <c r="BC73" s="186" t="s">
        <v>695</v>
      </c>
      <c r="BD73" s="186" t="s">
        <v>3303</v>
      </c>
      <c r="BE73" s="186" t="s">
        <v>3304</v>
      </c>
      <c r="BF73" s="186" t="s">
        <v>3305</v>
      </c>
      <c r="BG73" s="186" t="s">
        <v>3306</v>
      </c>
      <c r="BH73" s="186" t="s">
        <v>3307</v>
      </c>
      <c r="BI73" s="186" t="s">
        <v>3308</v>
      </c>
      <c r="BJ73" s="179"/>
      <c r="BK73" s="631"/>
      <c r="BL73" s="179" t="b">
        <f t="shared" si="26"/>
        <v>1</v>
      </c>
      <c r="BM73" s="179" t="b">
        <f t="shared" si="27"/>
        <v>0</v>
      </c>
      <c r="BN73" s="688" t="b">
        <f t="shared" si="28"/>
        <v>1</v>
      </c>
    </row>
    <row r="74">
      <c r="A74" s="696" t="s">
        <v>1534</v>
      </c>
      <c r="B74" s="186" t="s">
        <v>3421</v>
      </c>
      <c r="C74" s="676" t="s">
        <v>2113</v>
      </c>
      <c r="D74" s="677">
        <v>420.0</v>
      </c>
      <c r="E74" s="632" t="s">
        <v>63</v>
      </c>
      <c r="F74" s="678">
        <f t="shared" ref="F74:G74" si="192">H74+J74+L74+N74+P74</f>
        <v>8409.83</v>
      </c>
      <c r="G74" s="679">
        <f t="shared" si="192"/>
        <v>841.39</v>
      </c>
      <c r="H74" s="641">
        <v>5091.0</v>
      </c>
      <c r="I74" s="680">
        <v>791.0</v>
      </c>
      <c r="J74" s="641">
        <v>1491.0</v>
      </c>
      <c r="K74" s="680">
        <v>207.0</v>
      </c>
      <c r="L74" s="641">
        <v>240.47</v>
      </c>
      <c r="M74" s="680">
        <v>-31.84</v>
      </c>
      <c r="N74" s="641">
        <v>895.9</v>
      </c>
      <c r="O74" s="680">
        <v>-29.58</v>
      </c>
      <c r="P74" s="641">
        <v>691.46</v>
      </c>
      <c r="Q74" s="680">
        <v>-95.19</v>
      </c>
      <c r="R74" s="681" t="s">
        <v>693</v>
      </c>
      <c r="S74" s="682">
        <f t="shared" si="10"/>
        <v>8409.83</v>
      </c>
      <c r="T74" s="683"/>
      <c r="U74" s="625">
        <f t="shared" si="155"/>
        <v>5091</v>
      </c>
      <c r="V74" s="625">
        <f t="shared" si="156"/>
        <v>1491</v>
      </c>
      <c r="W74" s="625">
        <f t="shared" si="157"/>
        <v>240.47</v>
      </c>
      <c r="X74" s="625">
        <f t="shared" si="158"/>
        <v>895.9</v>
      </c>
      <c r="Y74" s="625">
        <f t="shared" si="159"/>
        <v>691.46</v>
      </c>
      <c r="Z74" s="656">
        <f t="shared" si="16"/>
        <v>841.39</v>
      </c>
      <c r="AA74" s="683"/>
      <c r="AB74" s="625">
        <f t="shared" si="160"/>
        <v>791</v>
      </c>
      <c r="AC74" s="625">
        <f t="shared" si="161"/>
        <v>207</v>
      </c>
      <c r="AD74" s="625">
        <f t="shared" si="162"/>
        <v>-31.84</v>
      </c>
      <c r="AE74" s="625">
        <f t="shared" si="163"/>
        <v>-29.58</v>
      </c>
      <c r="AF74" s="625">
        <f t="shared" si="164"/>
        <v>-95.19</v>
      </c>
      <c r="AG74" s="657">
        <f t="shared" si="22"/>
        <v>0.1000483957</v>
      </c>
      <c r="AH74" s="165"/>
      <c r="AI74" s="165">
        <f t="shared" ref="AI74:AM74" si="193">AB74/U74</f>
        <v>0.1553722255</v>
      </c>
      <c r="AJ74" s="165">
        <f t="shared" si="193"/>
        <v>0.138832998</v>
      </c>
      <c r="AK74" s="165">
        <f t="shared" si="193"/>
        <v>-0.1324073689</v>
      </c>
      <c r="AL74" s="165">
        <f t="shared" si="193"/>
        <v>-0.0330170778</v>
      </c>
      <c r="AM74" s="165">
        <f t="shared" si="193"/>
        <v>-0.1376652301</v>
      </c>
      <c r="AN74" s="684">
        <f t="shared" si="24"/>
        <v>2653</v>
      </c>
      <c r="AO74" s="625"/>
      <c r="AP74" s="625">
        <v>1260.0</v>
      </c>
      <c r="AQ74" s="625">
        <v>0.0</v>
      </c>
      <c r="AR74" s="625">
        <v>0.0</v>
      </c>
      <c r="AS74" s="625">
        <v>520.0</v>
      </c>
      <c r="AT74" s="625">
        <v>873.0</v>
      </c>
      <c r="AU74" s="684">
        <f t="shared" si="114"/>
        <v>3188.37</v>
      </c>
      <c r="AV74" s="625"/>
      <c r="AW74" s="625">
        <v>1992.0</v>
      </c>
      <c r="AX74" s="625">
        <v>780.0</v>
      </c>
      <c r="AY74" s="625">
        <v>159.0</v>
      </c>
      <c r="AZ74" s="625">
        <v>146.0</v>
      </c>
      <c r="BA74" s="693">
        <v>111.37</v>
      </c>
      <c r="BB74" s="631"/>
      <c r="BC74" s="189" t="s">
        <v>695</v>
      </c>
      <c r="BD74" s="688" t="s">
        <v>3303</v>
      </c>
      <c r="BE74" s="179" t="s">
        <v>3304</v>
      </c>
      <c r="BF74" s="179" t="s">
        <v>3305</v>
      </c>
      <c r="BG74" s="179" t="s">
        <v>3306</v>
      </c>
      <c r="BH74" s="179" t="s">
        <v>3307</v>
      </c>
      <c r="BI74" s="179" t="s">
        <v>3308</v>
      </c>
      <c r="BJ74" s="179"/>
      <c r="BK74" s="631"/>
      <c r="BL74" s="179" t="b">
        <f t="shared" si="26"/>
        <v>1</v>
      </c>
      <c r="BM74" s="179" t="b">
        <f t="shared" si="27"/>
        <v>1</v>
      </c>
      <c r="BN74" s="688" t="b">
        <f t="shared" si="28"/>
        <v>1</v>
      </c>
    </row>
    <row r="75">
      <c r="A75" s="212"/>
      <c r="B75" s="186" t="s">
        <v>3422</v>
      </c>
      <c r="C75" s="676" t="s">
        <v>2113</v>
      </c>
      <c r="D75" s="677">
        <v>279.0</v>
      </c>
      <c r="E75" s="131" t="s">
        <v>3422</v>
      </c>
      <c r="F75" s="678">
        <f t="shared" ref="F75:G75" si="194">H75+J75+L75+N75+P75</f>
        <v>21862</v>
      </c>
      <c r="G75" s="679">
        <f t="shared" si="194"/>
        <v>3494</v>
      </c>
      <c r="H75" s="641">
        <v>5211.0</v>
      </c>
      <c r="I75" s="680">
        <v>928.0</v>
      </c>
      <c r="J75" s="641">
        <v>4775.0</v>
      </c>
      <c r="K75" s="680">
        <v>827.0</v>
      </c>
      <c r="L75" s="641">
        <v>3504.0</v>
      </c>
      <c r="M75" s="680">
        <v>559.0</v>
      </c>
      <c r="N75" s="641">
        <v>4212.0</v>
      </c>
      <c r="O75" s="680">
        <v>608.0</v>
      </c>
      <c r="P75" s="641">
        <v>4160.0</v>
      </c>
      <c r="Q75" s="680">
        <v>572.0</v>
      </c>
      <c r="R75" s="681" t="s">
        <v>705</v>
      </c>
      <c r="S75" s="682">
        <f t="shared" si="10"/>
        <v>21862</v>
      </c>
      <c r="T75" s="683"/>
      <c r="U75" s="625">
        <f t="shared" si="155"/>
        <v>5211</v>
      </c>
      <c r="V75" s="625">
        <f t="shared" si="156"/>
        <v>4775</v>
      </c>
      <c r="W75" s="625">
        <f t="shared" si="157"/>
        <v>3504</v>
      </c>
      <c r="X75" s="625">
        <f t="shared" si="158"/>
        <v>4212</v>
      </c>
      <c r="Y75" s="625">
        <f t="shared" si="159"/>
        <v>4160</v>
      </c>
      <c r="Z75" s="656">
        <f t="shared" si="16"/>
        <v>3494</v>
      </c>
      <c r="AA75" s="683"/>
      <c r="AB75" s="625">
        <f t="shared" si="160"/>
        <v>928</v>
      </c>
      <c r="AC75" s="625">
        <f t="shared" si="161"/>
        <v>827</v>
      </c>
      <c r="AD75" s="625">
        <f t="shared" si="162"/>
        <v>559</v>
      </c>
      <c r="AE75" s="625">
        <f t="shared" si="163"/>
        <v>608</v>
      </c>
      <c r="AF75" s="625">
        <f t="shared" si="164"/>
        <v>572</v>
      </c>
      <c r="AG75" s="657">
        <f t="shared" si="22"/>
        <v>0.1598206934</v>
      </c>
      <c r="AH75" s="165"/>
      <c r="AI75" s="165">
        <f t="shared" ref="AI75:AM75" si="195">AB75/U75</f>
        <v>0.1780848206</v>
      </c>
      <c r="AJ75" s="165">
        <f t="shared" si="195"/>
        <v>0.1731937173</v>
      </c>
      <c r="AK75" s="165">
        <f t="shared" si="195"/>
        <v>0.1595319635</v>
      </c>
      <c r="AL75" s="165">
        <f t="shared" si="195"/>
        <v>0.1443494777</v>
      </c>
      <c r="AM75" s="165">
        <f t="shared" si="195"/>
        <v>0.1375</v>
      </c>
      <c r="AN75" s="684">
        <f t="shared" si="24"/>
        <v>16528</v>
      </c>
      <c r="AO75" s="641">
        <v>3482.0</v>
      </c>
      <c r="AP75" s="641">
        <v>4731.0</v>
      </c>
      <c r="AQ75" s="641">
        <v>2886.0</v>
      </c>
      <c r="AR75" s="641">
        <v>867.0</v>
      </c>
      <c r="AS75" s="641">
        <v>3373.0</v>
      </c>
      <c r="AT75" s="641">
        <v>4671.0</v>
      </c>
      <c r="AU75" s="684">
        <f t="shared" si="114"/>
        <v>4002</v>
      </c>
      <c r="AV75" s="641">
        <v>882.0</v>
      </c>
      <c r="AW75" s="641">
        <v>852.0</v>
      </c>
      <c r="AX75" s="641">
        <v>839.0</v>
      </c>
      <c r="AY75" s="641">
        <v>797.0</v>
      </c>
      <c r="AZ75" s="641">
        <v>763.0</v>
      </c>
      <c r="BA75" s="691">
        <v>751.0</v>
      </c>
      <c r="BB75" s="631"/>
      <c r="BC75" s="189" t="s">
        <v>695</v>
      </c>
      <c r="BD75" s="186" t="s">
        <v>3303</v>
      </c>
      <c r="BE75" s="179" t="s">
        <v>3304</v>
      </c>
      <c r="BF75" s="179" t="s">
        <v>3305</v>
      </c>
      <c r="BG75" s="179" t="s">
        <v>3306</v>
      </c>
      <c r="BH75" s="179" t="s">
        <v>3307</v>
      </c>
      <c r="BI75" s="179" t="s">
        <v>3308</v>
      </c>
      <c r="BJ75" s="179"/>
      <c r="BK75" s="631"/>
      <c r="BL75" s="179" t="b">
        <f t="shared" si="26"/>
        <v>1</v>
      </c>
      <c r="BM75" s="179" t="b">
        <f t="shared" si="27"/>
        <v>1</v>
      </c>
      <c r="BN75" s="688" t="b">
        <f t="shared" si="28"/>
        <v>1</v>
      </c>
    </row>
    <row r="76">
      <c r="A76" s="689"/>
      <c r="B76" s="186" t="s">
        <v>3423</v>
      </c>
      <c r="C76" s="676" t="s">
        <v>2113</v>
      </c>
      <c r="D76" s="677">
        <v>146.0</v>
      </c>
      <c r="E76" s="632" t="s">
        <v>3424</v>
      </c>
      <c r="F76" s="678">
        <f t="shared" ref="F76:G76" si="196">H76+J76+L76+N76+P76</f>
        <v>6437.72</v>
      </c>
      <c r="G76" s="679">
        <f t="shared" si="196"/>
        <v>1128.72</v>
      </c>
      <c r="H76" s="641">
        <v>1289.61</v>
      </c>
      <c r="I76" s="680">
        <v>378.61</v>
      </c>
      <c r="J76" s="641">
        <v>1212.69</v>
      </c>
      <c r="K76" s="680">
        <v>222.69</v>
      </c>
      <c r="L76" s="641">
        <v>1104.77</v>
      </c>
      <c r="M76" s="680">
        <v>132.77</v>
      </c>
      <c r="N76" s="641">
        <v>1632.61</v>
      </c>
      <c r="O76" s="680">
        <v>243.61</v>
      </c>
      <c r="P76" s="641">
        <v>1198.04</v>
      </c>
      <c r="Q76" s="680">
        <v>151.04</v>
      </c>
      <c r="R76" s="681" t="s">
        <v>3365</v>
      </c>
      <c r="S76" s="682">
        <f t="shared" si="10"/>
        <v>6437.72</v>
      </c>
      <c r="T76" s="683"/>
      <c r="U76" s="625">
        <f t="shared" si="155"/>
        <v>1289.61</v>
      </c>
      <c r="V76" s="625">
        <f t="shared" si="156"/>
        <v>1212.69</v>
      </c>
      <c r="W76" s="625">
        <f t="shared" si="157"/>
        <v>1104.77</v>
      </c>
      <c r="X76" s="625">
        <f t="shared" si="158"/>
        <v>1632.61</v>
      </c>
      <c r="Y76" s="625">
        <f t="shared" si="159"/>
        <v>1198.04</v>
      </c>
      <c r="Z76" s="656">
        <f t="shared" si="16"/>
        <v>1128.72</v>
      </c>
      <c r="AA76" s="683"/>
      <c r="AB76" s="625">
        <f t="shared" si="160"/>
        <v>378.61</v>
      </c>
      <c r="AC76" s="625">
        <f t="shared" si="161"/>
        <v>222.69</v>
      </c>
      <c r="AD76" s="625">
        <f t="shared" si="162"/>
        <v>132.77</v>
      </c>
      <c r="AE76" s="625">
        <f t="shared" si="163"/>
        <v>243.61</v>
      </c>
      <c r="AF76" s="625">
        <f t="shared" si="164"/>
        <v>151.04</v>
      </c>
      <c r="AG76" s="657">
        <f t="shared" si="22"/>
        <v>0.1753291538</v>
      </c>
      <c r="AH76" s="165"/>
      <c r="AI76" s="165">
        <f t="shared" ref="AI76:AM76" si="197">AB76/U76</f>
        <v>0.2935848823</v>
      </c>
      <c r="AJ76" s="165">
        <f t="shared" si="197"/>
        <v>0.1836330802</v>
      </c>
      <c r="AK76" s="165">
        <f t="shared" si="197"/>
        <v>0.1201788608</v>
      </c>
      <c r="AL76" s="165">
        <f t="shared" si="197"/>
        <v>0.1492150605</v>
      </c>
      <c r="AM76" s="165">
        <f t="shared" si="197"/>
        <v>0.1260725852</v>
      </c>
      <c r="AN76" s="684">
        <f t="shared" si="24"/>
        <v>4828</v>
      </c>
      <c r="AO76" s="625"/>
      <c r="AP76" s="625">
        <v>374.0</v>
      </c>
      <c r="AQ76" s="625">
        <v>1402.0</v>
      </c>
      <c r="AR76" s="625">
        <v>641.0</v>
      </c>
      <c r="AS76" s="625">
        <v>1271.0</v>
      </c>
      <c r="AT76" s="625">
        <v>1140.0</v>
      </c>
      <c r="AU76" s="684">
        <f t="shared" si="114"/>
        <v>3925</v>
      </c>
      <c r="AV76" s="625"/>
      <c r="AW76" s="625">
        <v>855.0</v>
      </c>
      <c r="AX76" s="625">
        <v>809.0</v>
      </c>
      <c r="AY76" s="625">
        <v>782.0</v>
      </c>
      <c r="AZ76" s="625">
        <v>761.0</v>
      </c>
      <c r="BA76" s="693">
        <v>718.0</v>
      </c>
      <c r="BB76" s="631"/>
      <c r="BC76" s="189" t="s">
        <v>695</v>
      </c>
      <c r="BD76" s="186" t="s">
        <v>3303</v>
      </c>
      <c r="BE76" s="179" t="s">
        <v>3304</v>
      </c>
      <c r="BF76" s="179" t="s">
        <v>3305</v>
      </c>
      <c r="BG76" s="179" t="s">
        <v>3306</v>
      </c>
      <c r="BH76" s="179" t="s">
        <v>3307</v>
      </c>
      <c r="BI76" s="179" t="s">
        <v>3308</v>
      </c>
      <c r="BJ76" s="179"/>
      <c r="BK76" s="646"/>
      <c r="BL76" s="179" t="b">
        <f t="shared" si="26"/>
        <v>1</v>
      </c>
      <c r="BM76" s="179" t="b">
        <f t="shared" si="27"/>
        <v>1</v>
      </c>
      <c r="BN76" s="688" t="b">
        <f t="shared" si="28"/>
        <v>1</v>
      </c>
    </row>
    <row r="77">
      <c r="A77" s="675" t="s">
        <v>3301</v>
      </c>
      <c r="B77" s="186" t="s">
        <v>3425</v>
      </c>
      <c r="C77" s="676" t="s">
        <v>2113</v>
      </c>
      <c r="D77" s="677">
        <v>6.0</v>
      </c>
      <c r="E77" s="632" t="s">
        <v>1288</v>
      </c>
      <c r="F77" s="678">
        <f t="shared" ref="F77:G77" si="198">H77+J77+L77+N77+P77</f>
        <v>45622</v>
      </c>
      <c r="G77" s="679">
        <f t="shared" si="198"/>
        <v>11633</v>
      </c>
      <c r="H77" s="641">
        <v>10696.0</v>
      </c>
      <c r="I77" s="680">
        <v>2803.0</v>
      </c>
      <c r="J77" s="641">
        <v>10186.0</v>
      </c>
      <c r="K77" s="680">
        <v>2285.0</v>
      </c>
      <c r="L77" s="641">
        <v>9252.0</v>
      </c>
      <c r="M77" s="680">
        <v>2615.0</v>
      </c>
      <c r="N77" s="641">
        <v>8432.0</v>
      </c>
      <c r="O77" s="680">
        <v>2450.0</v>
      </c>
      <c r="P77" s="641">
        <v>7056.0</v>
      </c>
      <c r="Q77" s="680">
        <v>1480.0</v>
      </c>
      <c r="R77" s="681" t="s">
        <v>721</v>
      </c>
      <c r="S77" s="682">
        <f t="shared" si="10"/>
        <v>45622</v>
      </c>
      <c r="T77" s="683"/>
      <c r="U77" s="625">
        <f t="shared" si="155"/>
        <v>10696</v>
      </c>
      <c r="V77" s="625">
        <f t="shared" si="156"/>
        <v>10186</v>
      </c>
      <c r="W77" s="625">
        <f t="shared" si="157"/>
        <v>9252</v>
      </c>
      <c r="X77" s="625">
        <f t="shared" si="158"/>
        <v>8432</v>
      </c>
      <c r="Y77" s="625">
        <f t="shared" si="159"/>
        <v>7056</v>
      </c>
      <c r="Z77" s="656">
        <f t="shared" si="16"/>
        <v>11633</v>
      </c>
      <c r="AA77" s="683"/>
      <c r="AB77" s="625">
        <f t="shared" si="160"/>
        <v>2803</v>
      </c>
      <c r="AC77" s="625">
        <f t="shared" si="161"/>
        <v>2285</v>
      </c>
      <c r="AD77" s="625">
        <f t="shared" si="162"/>
        <v>2615</v>
      </c>
      <c r="AE77" s="625">
        <f t="shared" si="163"/>
        <v>2450</v>
      </c>
      <c r="AF77" s="625">
        <f t="shared" si="164"/>
        <v>1480</v>
      </c>
      <c r="AG77" s="657">
        <f t="shared" si="22"/>
        <v>0.2549866293</v>
      </c>
      <c r="AH77" s="165"/>
      <c r="AI77" s="165">
        <f t="shared" ref="AI77:AM77" si="199">AB77/U77</f>
        <v>0.2620605834</v>
      </c>
      <c r="AJ77" s="165">
        <f t="shared" si="199"/>
        <v>0.2243275083</v>
      </c>
      <c r="AK77" s="165">
        <f t="shared" si="199"/>
        <v>0.282641591</v>
      </c>
      <c r="AL77" s="165">
        <f t="shared" si="199"/>
        <v>0.2905597723</v>
      </c>
      <c r="AM77" s="165">
        <f t="shared" si="199"/>
        <v>0.2097505669</v>
      </c>
      <c r="AN77" s="684">
        <f t="shared" si="24"/>
        <v>3500</v>
      </c>
      <c r="AO77" s="685">
        <v>2012.0</v>
      </c>
      <c r="AP77" s="180">
        <v>3500.0</v>
      </c>
      <c r="AQ77" s="180">
        <v>0.0</v>
      </c>
      <c r="AR77" s="180">
        <v>0.0</v>
      </c>
      <c r="AS77" s="180">
        <v>0.0</v>
      </c>
      <c r="AT77" s="180">
        <v>0.0</v>
      </c>
      <c r="AU77" s="684">
        <f t="shared" si="114"/>
        <v>12797</v>
      </c>
      <c r="AV77" s="685">
        <v>3132.0</v>
      </c>
      <c r="AW77" s="180">
        <v>2907.0</v>
      </c>
      <c r="AX77" s="180">
        <v>2625.0</v>
      </c>
      <c r="AY77" s="180">
        <v>2624.0</v>
      </c>
      <c r="AZ77" s="180">
        <v>2603.0</v>
      </c>
      <c r="BA77" s="686">
        <v>2038.0</v>
      </c>
      <c r="BB77" s="631"/>
      <c r="BC77" s="202" t="s">
        <v>695</v>
      </c>
      <c r="BD77" s="186" t="s">
        <v>3303</v>
      </c>
      <c r="BE77" s="186" t="s">
        <v>3304</v>
      </c>
      <c r="BF77" s="186" t="s">
        <v>3305</v>
      </c>
      <c r="BG77" s="186" t="s">
        <v>3306</v>
      </c>
      <c r="BH77" s="186" t="s">
        <v>3307</v>
      </c>
      <c r="BI77" s="186" t="s">
        <v>3308</v>
      </c>
      <c r="BJ77" s="179"/>
      <c r="BK77" s="631"/>
      <c r="BL77" s="179" t="b">
        <f t="shared" si="26"/>
        <v>1</v>
      </c>
      <c r="BM77" s="179" t="b">
        <f t="shared" si="27"/>
        <v>0</v>
      </c>
      <c r="BN77" s="688" t="b">
        <f t="shared" si="28"/>
        <v>1</v>
      </c>
    </row>
    <row r="78">
      <c r="A78" s="675" t="s">
        <v>3301</v>
      </c>
      <c r="B78" s="186" t="s">
        <v>3426</v>
      </c>
      <c r="C78" s="690" t="s">
        <v>2317</v>
      </c>
      <c r="D78" s="677">
        <v>120.0</v>
      </c>
      <c r="E78" s="632" t="s">
        <v>1282</v>
      </c>
      <c r="F78" s="678">
        <f t="shared" ref="F78:G78" si="200">H78+J78+L78+N78+P78</f>
        <v>20083</v>
      </c>
      <c r="G78" s="679">
        <f t="shared" si="200"/>
        <v>3691.5</v>
      </c>
      <c r="H78" s="641">
        <v>7603.2</v>
      </c>
      <c r="I78" s="680">
        <v>1448.9</v>
      </c>
      <c r="J78" s="641">
        <v>5329.1</v>
      </c>
      <c r="K78" s="680">
        <v>978.1</v>
      </c>
      <c r="L78" s="641">
        <v>2980.6</v>
      </c>
      <c r="M78" s="680">
        <v>484.0</v>
      </c>
      <c r="N78" s="641">
        <v>2117.9</v>
      </c>
      <c r="O78" s="680">
        <v>407.3</v>
      </c>
      <c r="P78" s="641">
        <v>2052.2</v>
      </c>
      <c r="Q78" s="680">
        <v>373.2</v>
      </c>
      <c r="R78" s="681" t="s">
        <v>693</v>
      </c>
      <c r="S78" s="682">
        <f t="shared" si="10"/>
        <v>20083</v>
      </c>
      <c r="T78" s="683"/>
      <c r="U78" s="625">
        <f t="shared" si="155"/>
        <v>7603.2</v>
      </c>
      <c r="V78" s="625">
        <f t="shared" si="156"/>
        <v>5329.1</v>
      </c>
      <c r="W78" s="625">
        <f t="shared" si="157"/>
        <v>2980.6</v>
      </c>
      <c r="X78" s="625">
        <f t="shared" si="158"/>
        <v>2117.9</v>
      </c>
      <c r="Y78" s="625">
        <f t="shared" si="159"/>
        <v>2052.2</v>
      </c>
      <c r="Z78" s="656">
        <f t="shared" si="16"/>
        <v>3691.5</v>
      </c>
      <c r="AA78" s="683"/>
      <c r="AB78" s="625">
        <f t="shared" si="160"/>
        <v>1448.9</v>
      </c>
      <c r="AC78" s="625">
        <f t="shared" si="161"/>
        <v>978.1</v>
      </c>
      <c r="AD78" s="625">
        <f t="shared" si="162"/>
        <v>484</v>
      </c>
      <c r="AE78" s="625">
        <f t="shared" si="163"/>
        <v>407.3</v>
      </c>
      <c r="AF78" s="625">
        <f t="shared" si="164"/>
        <v>373.2</v>
      </c>
      <c r="AG78" s="657">
        <f t="shared" si="22"/>
        <v>0.1838121795</v>
      </c>
      <c r="AH78" s="165"/>
      <c r="AI78" s="165">
        <f t="shared" ref="AI78:AM78" si="201">AB78/U78</f>
        <v>0.1905644992</v>
      </c>
      <c r="AJ78" s="165">
        <f t="shared" si="201"/>
        <v>0.1835394344</v>
      </c>
      <c r="AK78" s="165">
        <f t="shared" si="201"/>
        <v>0.1623834127</v>
      </c>
      <c r="AL78" s="165">
        <f t="shared" si="201"/>
        <v>0.1923131404</v>
      </c>
      <c r="AM78" s="165">
        <f t="shared" si="201"/>
        <v>0.1818536205</v>
      </c>
      <c r="AN78" s="684">
        <f t="shared" si="24"/>
        <v>2947.6</v>
      </c>
      <c r="AO78" s="641">
        <v>1178.5</v>
      </c>
      <c r="AP78" s="641">
        <v>1131.5</v>
      </c>
      <c r="AQ78" s="641">
        <v>848.4</v>
      </c>
      <c r="AR78" s="641">
        <v>360.4</v>
      </c>
      <c r="AS78" s="641">
        <v>479.8</v>
      </c>
      <c r="AT78" s="641">
        <v>127.5</v>
      </c>
      <c r="AU78" s="684">
        <f t="shared" si="114"/>
        <v>1273.6</v>
      </c>
      <c r="AV78" s="641">
        <v>341.2</v>
      </c>
      <c r="AW78" s="625">
        <v>316.5</v>
      </c>
      <c r="AX78" s="625">
        <v>289.3</v>
      </c>
      <c r="AY78" s="625">
        <v>256.0</v>
      </c>
      <c r="AZ78" s="625">
        <v>223.4</v>
      </c>
      <c r="BA78" s="693">
        <v>188.4</v>
      </c>
      <c r="BB78" s="631"/>
      <c r="BC78" s="189" t="s">
        <v>695</v>
      </c>
      <c r="BD78" s="186" t="s">
        <v>3303</v>
      </c>
      <c r="BE78" s="179" t="s">
        <v>3304</v>
      </c>
      <c r="BF78" s="179" t="s">
        <v>3305</v>
      </c>
      <c r="BG78" s="179" t="s">
        <v>3306</v>
      </c>
      <c r="BH78" s="179" t="s">
        <v>3307</v>
      </c>
      <c r="BI78" s="179" t="s">
        <v>3308</v>
      </c>
      <c r="BJ78" s="179"/>
      <c r="BK78" s="631"/>
      <c r="BL78" s="179" t="b">
        <f t="shared" si="26"/>
        <v>1</v>
      </c>
      <c r="BM78" s="179" t="b">
        <f t="shared" si="27"/>
        <v>0</v>
      </c>
      <c r="BN78" s="688" t="b">
        <f t="shared" si="28"/>
        <v>0</v>
      </c>
    </row>
    <row r="79">
      <c r="A79" s="426"/>
      <c r="B79" s="186" t="s">
        <v>3427</v>
      </c>
      <c r="C79" s="676" t="s">
        <v>2113</v>
      </c>
      <c r="D79" s="677">
        <v>132.0</v>
      </c>
      <c r="E79" s="632" t="s">
        <v>3428</v>
      </c>
      <c r="F79" s="678">
        <f t="shared" ref="F79:G79" si="202">H79+J79+L79+N79+P79</f>
        <v>8501.8</v>
      </c>
      <c r="G79" s="679">
        <f t="shared" si="202"/>
        <v>825.5</v>
      </c>
      <c r="H79" s="641">
        <v>2912.0</v>
      </c>
      <c r="I79" s="680">
        <v>271.0</v>
      </c>
      <c r="J79" s="641">
        <v>2337.0</v>
      </c>
      <c r="K79" s="680">
        <v>183.0</v>
      </c>
      <c r="L79" s="641">
        <v>1583.0</v>
      </c>
      <c r="M79" s="680">
        <v>-321.0</v>
      </c>
      <c r="N79" s="641">
        <v>819.5</v>
      </c>
      <c r="O79" s="680">
        <v>453.7</v>
      </c>
      <c r="P79" s="641">
        <v>850.3</v>
      </c>
      <c r="Q79" s="680">
        <v>238.8</v>
      </c>
      <c r="R79" s="681" t="s">
        <v>3429</v>
      </c>
      <c r="S79" s="682">
        <f t="shared" si="10"/>
        <v>8501.8</v>
      </c>
      <c r="T79" s="683"/>
      <c r="U79" s="625">
        <f t="shared" si="155"/>
        <v>2912</v>
      </c>
      <c r="V79" s="625">
        <f t="shared" si="156"/>
        <v>2337</v>
      </c>
      <c r="W79" s="625">
        <f t="shared" si="157"/>
        <v>1583</v>
      </c>
      <c r="X79" s="625">
        <f t="shared" si="158"/>
        <v>819.5</v>
      </c>
      <c r="Y79" s="625">
        <f t="shared" si="159"/>
        <v>850.3</v>
      </c>
      <c r="Z79" s="656">
        <f t="shared" si="16"/>
        <v>825.5</v>
      </c>
      <c r="AA79" s="683"/>
      <c r="AB79" s="625">
        <f t="shared" si="160"/>
        <v>271</v>
      </c>
      <c r="AC79" s="625">
        <f t="shared" si="161"/>
        <v>183</v>
      </c>
      <c r="AD79" s="625">
        <f t="shared" si="162"/>
        <v>-321</v>
      </c>
      <c r="AE79" s="625">
        <f t="shared" si="163"/>
        <v>453.7</v>
      </c>
      <c r="AF79" s="625">
        <f t="shared" si="164"/>
        <v>238.8</v>
      </c>
      <c r="AG79" s="657">
        <f t="shared" si="22"/>
        <v>0.09709708532</v>
      </c>
      <c r="AH79" s="165"/>
      <c r="AI79" s="165">
        <f t="shared" ref="AI79:AM79" si="203">AB79/U79</f>
        <v>0.09306318681</v>
      </c>
      <c r="AJ79" s="165">
        <f t="shared" si="203"/>
        <v>0.0783055199</v>
      </c>
      <c r="AK79" s="165">
        <f t="shared" si="203"/>
        <v>-0.2027795325</v>
      </c>
      <c r="AL79" s="165">
        <f t="shared" si="203"/>
        <v>0.5536302624</v>
      </c>
      <c r="AM79" s="165">
        <f t="shared" si="203"/>
        <v>0.2808420557</v>
      </c>
      <c r="AN79" s="684">
        <f t="shared" si="24"/>
        <v>0</v>
      </c>
      <c r="AO79" s="180">
        <v>0.0</v>
      </c>
      <c r="AP79" s="180">
        <v>0.0</v>
      </c>
      <c r="AQ79" s="180">
        <v>0.0</v>
      </c>
      <c r="AR79" s="180">
        <v>0.0</v>
      </c>
      <c r="AS79" s="180">
        <v>0.0</v>
      </c>
      <c r="AT79" s="180">
        <v>0.0</v>
      </c>
      <c r="AU79" s="684">
        <f t="shared" si="114"/>
        <v>3135</v>
      </c>
      <c r="AV79" s="641">
        <v>821.0</v>
      </c>
      <c r="AW79" s="625">
        <v>818.0</v>
      </c>
      <c r="AX79" s="625">
        <v>742.0</v>
      </c>
      <c r="AY79" s="625">
        <v>615.0</v>
      </c>
      <c r="AZ79" s="625">
        <v>527.0</v>
      </c>
      <c r="BA79" s="693">
        <v>433.0</v>
      </c>
      <c r="BB79" s="631"/>
      <c r="BC79" s="189" t="s">
        <v>695</v>
      </c>
      <c r="BD79" s="186" t="s">
        <v>3303</v>
      </c>
      <c r="BE79" s="179" t="s">
        <v>3304</v>
      </c>
      <c r="BF79" s="179" t="s">
        <v>3305</v>
      </c>
      <c r="BG79" s="179" t="s">
        <v>3306</v>
      </c>
      <c r="BH79" s="179" t="s">
        <v>3307</v>
      </c>
      <c r="BI79" s="179" t="s">
        <v>3308</v>
      </c>
      <c r="BJ79" s="179"/>
      <c r="BK79" s="631"/>
      <c r="BL79" s="179" t="b">
        <f t="shared" si="26"/>
        <v>1</v>
      </c>
      <c r="BM79" s="179" t="b">
        <f t="shared" si="27"/>
        <v>0</v>
      </c>
      <c r="BN79" s="688" t="b">
        <f t="shared" si="28"/>
        <v>1</v>
      </c>
    </row>
    <row r="80">
      <c r="A80" s="696" t="s">
        <v>1534</v>
      </c>
      <c r="B80" s="186" t="s">
        <v>3430</v>
      </c>
      <c r="C80" s="694" t="s">
        <v>3404</v>
      </c>
      <c r="D80" s="677">
        <v>402.0</v>
      </c>
      <c r="E80" s="131" t="s">
        <v>41</v>
      </c>
      <c r="F80" s="678">
        <f t="shared" ref="F80:G80" si="204">H80+J80+L80+N80+P80</f>
        <v>3647.7</v>
      </c>
      <c r="G80" s="679">
        <f t="shared" si="204"/>
        <v>28.3</v>
      </c>
      <c r="H80" s="641">
        <v>1091.7</v>
      </c>
      <c r="I80" s="680">
        <v>165.9</v>
      </c>
      <c r="J80" s="641">
        <v>1016.8</v>
      </c>
      <c r="K80" s="680">
        <v>90.7</v>
      </c>
      <c r="L80" s="641">
        <v>569.8</v>
      </c>
      <c r="M80" s="680">
        <v>-226.9</v>
      </c>
      <c r="N80" s="641">
        <v>209.0</v>
      </c>
      <c r="O80" s="680">
        <v>5.8</v>
      </c>
      <c r="P80" s="641">
        <v>760.4</v>
      </c>
      <c r="Q80" s="680">
        <v>-7.2</v>
      </c>
      <c r="R80" s="681" t="s">
        <v>705</v>
      </c>
      <c r="S80" s="682">
        <f t="shared" si="10"/>
        <v>3647.7</v>
      </c>
      <c r="T80" s="683"/>
      <c r="U80" s="625">
        <f t="shared" si="155"/>
        <v>1091.7</v>
      </c>
      <c r="V80" s="625">
        <f t="shared" si="156"/>
        <v>1016.8</v>
      </c>
      <c r="W80" s="625">
        <f t="shared" si="157"/>
        <v>569.8</v>
      </c>
      <c r="X80" s="625">
        <f t="shared" si="158"/>
        <v>209</v>
      </c>
      <c r="Y80" s="625">
        <f t="shared" si="159"/>
        <v>760.4</v>
      </c>
      <c r="Z80" s="656">
        <f t="shared" si="16"/>
        <v>28.3</v>
      </c>
      <c r="AA80" s="683"/>
      <c r="AB80" s="625">
        <f t="shared" si="160"/>
        <v>165.9</v>
      </c>
      <c r="AC80" s="625">
        <f t="shared" si="161"/>
        <v>90.7</v>
      </c>
      <c r="AD80" s="625">
        <f t="shared" si="162"/>
        <v>-226.9</v>
      </c>
      <c r="AE80" s="625">
        <f t="shared" si="163"/>
        <v>5.8</v>
      </c>
      <c r="AF80" s="625">
        <f t="shared" si="164"/>
        <v>-7.2</v>
      </c>
      <c r="AG80" s="657">
        <f t="shared" si="22"/>
        <v>0.007758313458</v>
      </c>
      <c r="AH80" s="165"/>
      <c r="AI80" s="165">
        <f t="shared" ref="AI80:AM80" si="205">AB80/U80</f>
        <v>0.1519648255</v>
      </c>
      <c r="AJ80" s="165">
        <f t="shared" si="205"/>
        <v>0.08920141621</v>
      </c>
      <c r="AK80" s="165">
        <f t="shared" si="205"/>
        <v>-0.3982098982</v>
      </c>
      <c r="AL80" s="165">
        <f t="shared" si="205"/>
        <v>0.02775119617</v>
      </c>
      <c r="AM80" s="165">
        <f t="shared" si="205"/>
        <v>-0.009468700684</v>
      </c>
      <c r="AN80" s="684">
        <f t="shared" si="24"/>
        <v>2113.2</v>
      </c>
      <c r="AO80" s="625"/>
      <c r="AP80" s="719">
        <v>458.7</v>
      </c>
      <c r="AQ80" s="719">
        <v>1071.3</v>
      </c>
      <c r="AR80" s="719">
        <v>45.4</v>
      </c>
      <c r="AS80" s="719">
        <v>330.3</v>
      </c>
      <c r="AT80" s="719">
        <v>207.5</v>
      </c>
      <c r="AU80" s="684">
        <f t="shared" si="114"/>
        <v>2048.5</v>
      </c>
      <c r="AV80" s="625"/>
      <c r="AW80" s="641">
        <v>589.8</v>
      </c>
      <c r="AX80" s="641">
        <v>563.0</v>
      </c>
      <c r="AY80" s="641">
        <v>202.6</v>
      </c>
      <c r="AZ80" s="641">
        <v>322.3</v>
      </c>
      <c r="BA80" s="691">
        <v>370.8</v>
      </c>
      <c r="BB80" s="631"/>
      <c r="BC80" s="189" t="s">
        <v>695</v>
      </c>
      <c r="BD80" s="688" t="s">
        <v>3303</v>
      </c>
      <c r="BE80" s="179" t="s">
        <v>3304</v>
      </c>
      <c r="BF80" s="179" t="s">
        <v>3305</v>
      </c>
      <c r="BG80" s="179" t="s">
        <v>3306</v>
      </c>
      <c r="BH80" s="179" t="s">
        <v>3307</v>
      </c>
      <c r="BI80" s="179" t="s">
        <v>3308</v>
      </c>
      <c r="BJ80" s="179"/>
      <c r="BK80" s="631"/>
      <c r="BL80" s="179" t="b">
        <f t="shared" si="26"/>
        <v>1</v>
      </c>
      <c r="BM80" s="179" t="b">
        <f t="shared" si="27"/>
        <v>1</v>
      </c>
      <c r="BN80" s="688" t="b">
        <f t="shared" si="28"/>
        <v>1</v>
      </c>
    </row>
    <row r="81">
      <c r="A81" s="689"/>
      <c r="B81" s="186" t="s">
        <v>3431</v>
      </c>
      <c r="C81" s="676" t="s">
        <v>2113</v>
      </c>
      <c r="D81" s="677">
        <v>357.0</v>
      </c>
      <c r="E81" s="632" t="s">
        <v>3432</v>
      </c>
      <c r="F81" s="678">
        <f t="shared" ref="F81:G81" si="206">H81+J81+L81+N81+P81</f>
        <v>5884.83</v>
      </c>
      <c r="G81" s="679">
        <f t="shared" si="206"/>
        <v>814.04</v>
      </c>
      <c r="H81" s="641">
        <v>871.01</v>
      </c>
      <c r="I81" s="680">
        <v>201.93</v>
      </c>
      <c r="J81" s="641">
        <v>1447.43</v>
      </c>
      <c r="K81" s="680">
        <v>216.54</v>
      </c>
      <c r="L81" s="641">
        <v>1266.53</v>
      </c>
      <c r="M81" s="680">
        <v>47.17</v>
      </c>
      <c r="N81" s="641">
        <v>1249.27</v>
      </c>
      <c r="O81" s="680">
        <v>208.34</v>
      </c>
      <c r="P81" s="641">
        <v>1050.59</v>
      </c>
      <c r="Q81" s="680">
        <v>140.06</v>
      </c>
      <c r="R81" s="681" t="s">
        <v>717</v>
      </c>
      <c r="S81" s="682">
        <f t="shared" si="10"/>
        <v>5884.83</v>
      </c>
      <c r="T81" s="683"/>
      <c r="U81" s="625">
        <f t="shared" si="155"/>
        <v>871.01</v>
      </c>
      <c r="V81" s="625">
        <f t="shared" si="156"/>
        <v>1447.43</v>
      </c>
      <c r="W81" s="625">
        <f t="shared" si="157"/>
        <v>1266.53</v>
      </c>
      <c r="X81" s="625">
        <f t="shared" si="158"/>
        <v>1249.27</v>
      </c>
      <c r="Y81" s="625">
        <f t="shared" si="159"/>
        <v>1050.59</v>
      </c>
      <c r="Z81" s="656">
        <f t="shared" si="16"/>
        <v>814.04</v>
      </c>
      <c r="AA81" s="683"/>
      <c r="AB81" s="625">
        <f t="shared" si="160"/>
        <v>201.93</v>
      </c>
      <c r="AC81" s="625">
        <f t="shared" si="161"/>
        <v>216.54</v>
      </c>
      <c r="AD81" s="625">
        <f t="shared" si="162"/>
        <v>47.17</v>
      </c>
      <c r="AE81" s="625">
        <f t="shared" si="163"/>
        <v>208.34</v>
      </c>
      <c r="AF81" s="625">
        <f t="shared" si="164"/>
        <v>140.06</v>
      </c>
      <c r="AG81" s="657">
        <f t="shared" si="22"/>
        <v>0.1383285498</v>
      </c>
      <c r="AH81" s="165"/>
      <c r="AI81" s="165">
        <f t="shared" ref="AI81:AM81" si="207">AB81/U81</f>
        <v>0.2318343073</v>
      </c>
      <c r="AJ81" s="165">
        <f t="shared" si="207"/>
        <v>0.1496030896</v>
      </c>
      <c r="AK81" s="165">
        <f t="shared" si="207"/>
        <v>0.03724349206</v>
      </c>
      <c r="AL81" s="165">
        <f t="shared" si="207"/>
        <v>0.1667693933</v>
      </c>
      <c r="AM81" s="165">
        <f t="shared" si="207"/>
        <v>0.1333155655</v>
      </c>
      <c r="AN81" s="684">
        <f t="shared" si="24"/>
        <v>7345</v>
      </c>
      <c r="AO81" s="641">
        <v>272.0</v>
      </c>
      <c r="AP81" s="625">
        <v>802.0</v>
      </c>
      <c r="AQ81" s="625">
        <v>1539.0</v>
      </c>
      <c r="AR81" s="625">
        <v>1458.0</v>
      </c>
      <c r="AS81" s="625">
        <v>2384.0</v>
      </c>
      <c r="AT81" s="625">
        <v>1162.0</v>
      </c>
      <c r="AU81" s="684">
        <f t="shared" si="114"/>
        <v>0</v>
      </c>
      <c r="AV81" s="180">
        <v>0.0</v>
      </c>
      <c r="AW81" s="180">
        <v>0.0</v>
      </c>
      <c r="AX81" s="180">
        <v>0.0</v>
      </c>
      <c r="AY81" s="180">
        <v>0.0</v>
      </c>
      <c r="AZ81" s="180">
        <v>0.0</v>
      </c>
      <c r="BA81" s="686">
        <v>0.0</v>
      </c>
      <c r="BB81" s="631"/>
      <c r="BC81" s="189" t="s">
        <v>695</v>
      </c>
      <c r="BD81" s="186" t="s">
        <v>3303</v>
      </c>
      <c r="BE81" s="179" t="s">
        <v>3304</v>
      </c>
      <c r="BF81" s="179" t="s">
        <v>3305</v>
      </c>
      <c r="BG81" s="179" t="s">
        <v>3306</v>
      </c>
      <c r="BH81" s="179" t="s">
        <v>3307</v>
      </c>
      <c r="BI81" s="179" t="s">
        <v>3308</v>
      </c>
      <c r="BJ81" s="179"/>
      <c r="BK81" s="631"/>
      <c r="BL81" s="179" t="b">
        <f t="shared" si="26"/>
        <v>1</v>
      </c>
      <c r="BM81" s="179" t="b">
        <f t="shared" si="27"/>
        <v>1</v>
      </c>
      <c r="BN81" s="688" t="b">
        <f t="shared" si="28"/>
        <v>0</v>
      </c>
    </row>
    <row r="82">
      <c r="A82" s="675" t="s">
        <v>3301</v>
      </c>
      <c r="B82" s="186" t="s">
        <v>3433</v>
      </c>
      <c r="C82" s="690" t="s">
        <v>1865</v>
      </c>
      <c r="D82" s="677">
        <v>81.0</v>
      </c>
      <c r="E82" s="632" t="s">
        <v>1271</v>
      </c>
      <c r="F82" s="678">
        <f t="shared" ref="F82:G82" si="208">H82+J82+L82+N82+P82</f>
        <v>14994</v>
      </c>
      <c r="G82" s="679">
        <f t="shared" si="208"/>
        <v>1874.01</v>
      </c>
      <c r="H82" s="641">
        <v>4841.0</v>
      </c>
      <c r="I82" s="680">
        <v>514.0</v>
      </c>
      <c r="J82" s="641">
        <v>3878.0</v>
      </c>
      <c r="K82" s="680">
        <v>899.0</v>
      </c>
      <c r="L82" s="641">
        <v>2029.0</v>
      </c>
      <c r="M82" s="680">
        <v>400.0</v>
      </c>
      <c r="N82" s="641">
        <v>2094.0</v>
      </c>
      <c r="O82" s="680">
        <v>619.0</v>
      </c>
      <c r="P82" s="641">
        <v>2152.0</v>
      </c>
      <c r="Q82" s="680">
        <v>-557.99</v>
      </c>
      <c r="R82" s="681" t="s">
        <v>710</v>
      </c>
      <c r="S82" s="682">
        <f t="shared" si="10"/>
        <v>14994</v>
      </c>
      <c r="T82" s="683"/>
      <c r="U82" s="625">
        <f t="shared" si="155"/>
        <v>4841</v>
      </c>
      <c r="V82" s="625">
        <f t="shared" si="156"/>
        <v>3878</v>
      </c>
      <c r="W82" s="625">
        <f t="shared" si="157"/>
        <v>2029</v>
      </c>
      <c r="X82" s="625">
        <f t="shared" si="158"/>
        <v>2094</v>
      </c>
      <c r="Y82" s="625">
        <f t="shared" si="159"/>
        <v>2152</v>
      </c>
      <c r="Z82" s="656">
        <f t="shared" si="16"/>
        <v>1874.01</v>
      </c>
      <c r="AA82" s="683"/>
      <c r="AB82" s="625">
        <f t="shared" si="160"/>
        <v>514</v>
      </c>
      <c r="AC82" s="625">
        <f t="shared" si="161"/>
        <v>899</v>
      </c>
      <c r="AD82" s="625">
        <f t="shared" si="162"/>
        <v>400</v>
      </c>
      <c r="AE82" s="625">
        <f t="shared" si="163"/>
        <v>619</v>
      </c>
      <c r="AF82" s="625">
        <f t="shared" si="164"/>
        <v>-557.99</v>
      </c>
      <c r="AG82" s="657">
        <f t="shared" si="22"/>
        <v>0.1249839936</v>
      </c>
      <c r="AH82" s="165"/>
      <c r="AI82" s="165">
        <f t="shared" ref="AI82:AM82" si="209">AB82/U82</f>
        <v>0.1061764098</v>
      </c>
      <c r="AJ82" s="165">
        <f t="shared" si="209"/>
        <v>0.231820526</v>
      </c>
      <c r="AK82" s="165">
        <f t="shared" si="209"/>
        <v>0.197141449</v>
      </c>
      <c r="AL82" s="165">
        <f t="shared" si="209"/>
        <v>0.2956064947</v>
      </c>
      <c r="AM82" s="165">
        <f t="shared" si="209"/>
        <v>-0.2592890335</v>
      </c>
      <c r="AN82" s="684">
        <f t="shared" si="24"/>
        <v>9096</v>
      </c>
      <c r="AO82" s="685">
        <v>7216.0</v>
      </c>
      <c r="AP82" s="180">
        <v>3597.0</v>
      </c>
      <c r="AQ82" s="180">
        <v>2538.0</v>
      </c>
      <c r="AR82" s="180">
        <v>750.0</v>
      </c>
      <c r="AS82" s="180">
        <v>1253.0</v>
      </c>
      <c r="AT82" s="180">
        <v>958.0</v>
      </c>
      <c r="AU82" s="684">
        <f t="shared" si="114"/>
        <v>5055</v>
      </c>
      <c r="AV82" s="685">
        <v>1427.0</v>
      </c>
      <c r="AW82" s="180">
        <v>1313.0</v>
      </c>
      <c r="AX82" s="180">
        <v>1040.0</v>
      </c>
      <c r="AY82" s="180">
        <v>956.0</v>
      </c>
      <c r="AZ82" s="180">
        <v>943.0</v>
      </c>
      <c r="BA82" s="686">
        <v>803.0</v>
      </c>
      <c r="BB82" s="631"/>
      <c r="BC82" s="687" t="s">
        <v>695</v>
      </c>
      <c r="BD82" s="186" t="s">
        <v>3303</v>
      </c>
      <c r="BE82" s="186" t="s">
        <v>3304</v>
      </c>
      <c r="BF82" s="186" t="s">
        <v>3305</v>
      </c>
      <c r="BG82" s="186" t="s">
        <v>3306</v>
      </c>
      <c r="BH82" s="179" t="s">
        <v>3307</v>
      </c>
      <c r="BI82" s="179" t="s">
        <v>3308</v>
      </c>
      <c r="BJ82" s="179"/>
      <c r="BK82" s="631"/>
      <c r="BL82" s="179" t="b">
        <f t="shared" si="26"/>
        <v>1</v>
      </c>
      <c r="BM82" s="179" t="b">
        <f t="shared" si="27"/>
        <v>1</v>
      </c>
      <c r="BN82" s="688" t="b">
        <f t="shared" si="28"/>
        <v>1</v>
      </c>
    </row>
    <row r="83">
      <c r="A83" s="689"/>
      <c r="B83" s="186" t="s">
        <v>3434</v>
      </c>
      <c r="C83" s="676" t="s">
        <v>1578</v>
      </c>
      <c r="D83" s="677">
        <v>334.0</v>
      </c>
      <c r="E83" s="632" t="s">
        <v>3435</v>
      </c>
      <c r="F83" s="678">
        <f t="shared" ref="F83:G83" si="210">H83+J83+L83+N83+P83</f>
        <v>4683.44</v>
      </c>
      <c r="G83" s="679">
        <f t="shared" si="210"/>
        <v>985.97</v>
      </c>
      <c r="H83" s="641">
        <v>1320.01</v>
      </c>
      <c r="I83" s="680">
        <v>253.78</v>
      </c>
      <c r="J83" s="641">
        <v>1901.32</v>
      </c>
      <c r="K83" s="680">
        <v>365.0</v>
      </c>
      <c r="L83" s="641">
        <v>669.2</v>
      </c>
      <c r="M83" s="680">
        <v>185.2</v>
      </c>
      <c r="N83" s="641">
        <v>383.57</v>
      </c>
      <c r="O83" s="680">
        <v>87.26</v>
      </c>
      <c r="P83" s="641">
        <v>409.34</v>
      </c>
      <c r="Q83" s="680">
        <v>94.73</v>
      </c>
      <c r="R83" s="681" t="s">
        <v>716</v>
      </c>
      <c r="S83" s="682">
        <f t="shared" si="10"/>
        <v>4683.44</v>
      </c>
      <c r="T83" s="683"/>
      <c r="U83" s="625">
        <f t="shared" si="155"/>
        <v>1320.01</v>
      </c>
      <c r="V83" s="625">
        <f t="shared" si="156"/>
        <v>1901.32</v>
      </c>
      <c r="W83" s="625">
        <f t="shared" si="157"/>
        <v>669.2</v>
      </c>
      <c r="X83" s="625">
        <f t="shared" si="158"/>
        <v>383.57</v>
      </c>
      <c r="Y83" s="625">
        <f t="shared" si="159"/>
        <v>409.34</v>
      </c>
      <c r="Z83" s="656">
        <f t="shared" si="16"/>
        <v>985.97</v>
      </c>
      <c r="AA83" s="683"/>
      <c r="AB83" s="625">
        <f t="shared" si="160"/>
        <v>253.78</v>
      </c>
      <c r="AC83" s="625">
        <f t="shared" si="161"/>
        <v>365</v>
      </c>
      <c r="AD83" s="625">
        <f t="shared" si="162"/>
        <v>185.2</v>
      </c>
      <c r="AE83" s="625">
        <f t="shared" si="163"/>
        <v>87.26</v>
      </c>
      <c r="AF83" s="625">
        <f t="shared" si="164"/>
        <v>94.73</v>
      </c>
      <c r="AG83" s="657">
        <f t="shared" si="22"/>
        <v>0.2105226073</v>
      </c>
      <c r="AH83" s="165"/>
      <c r="AI83" s="165">
        <f t="shared" ref="AI83:AM83" si="211">AB83/U83</f>
        <v>0.1922561193</v>
      </c>
      <c r="AJ83" s="165">
        <f t="shared" si="211"/>
        <v>0.1919718932</v>
      </c>
      <c r="AK83" s="165">
        <f t="shared" si="211"/>
        <v>0.2767483562</v>
      </c>
      <c r="AL83" s="165">
        <f t="shared" si="211"/>
        <v>0.2274943296</v>
      </c>
      <c r="AM83" s="165">
        <f t="shared" si="211"/>
        <v>0.2314213124</v>
      </c>
      <c r="AN83" s="684">
        <f t="shared" si="24"/>
        <v>2328</v>
      </c>
      <c r="AO83" s="625"/>
      <c r="AP83" s="625">
        <v>458.0</v>
      </c>
      <c r="AQ83" s="625">
        <v>1145.0</v>
      </c>
      <c r="AR83" s="625">
        <v>0.0</v>
      </c>
      <c r="AS83" s="625">
        <v>402.0</v>
      </c>
      <c r="AT83" s="625">
        <v>323.0</v>
      </c>
      <c r="AU83" s="684">
        <f t="shared" si="114"/>
        <v>1061.02</v>
      </c>
      <c r="AV83" s="625"/>
      <c r="AW83" s="625">
        <v>163.08</v>
      </c>
      <c r="AX83" s="625">
        <v>602.96</v>
      </c>
      <c r="AY83" s="625">
        <v>107.4</v>
      </c>
      <c r="AZ83" s="625">
        <v>98.31</v>
      </c>
      <c r="BA83" s="693">
        <v>89.27</v>
      </c>
      <c r="BB83" s="631"/>
      <c r="BC83" s="189" t="s">
        <v>695</v>
      </c>
      <c r="BD83" s="688" t="s">
        <v>3303</v>
      </c>
      <c r="BE83" s="179" t="s">
        <v>3304</v>
      </c>
      <c r="BF83" s="179" t="s">
        <v>3305</v>
      </c>
      <c r="BG83" s="179" t="s">
        <v>3306</v>
      </c>
      <c r="BH83" s="179" t="s">
        <v>3307</v>
      </c>
      <c r="BI83" s="179" t="s">
        <v>3308</v>
      </c>
      <c r="BJ83" s="179"/>
      <c r="BK83" s="631"/>
      <c r="BL83" s="179" t="b">
        <f t="shared" si="26"/>
        <v>1</v>
      </c>
      <c r="BM83" s="179" t="b">
        <f t="shared" si="27"/>
        <v>1</v>
      </c>
      <c r="BN83" s="688" t="b">
        <f t="shared" si="28"/>
        <v>1</v>
      </c>
    </row>
    <row r="84">
      <c r="A84" s="675" t="s">
        <v>3301</v>
      </c>
      <c r="B84" s="186" t="s">
        <v>3436</v>
      </c>
      <c r="C84" s="676" t="s">
        <v>2113</v>
      </c>
      <c r="D84" s="677">
        <v>273.0</v>
      </c>
      <c r="E84" s="632" t="s">
        <v>1260</v>
      </c>
      <c r="F84" s="678">
        <f t="shared" ref="F84:G84" si="212">H84+J84+L84+N84+P84</f>
        <v>25370</v>
      </c>
      <c r="G84" s="679">
        <f t="shared" si="212"/>
        <v>5031</v>
      </c>
      <c r="H84" s="641">
        <v>5982.0</v>
      </c>
      <c r="I84" s="680">
        <v>1465.0</v>
      </c>
      <c r="J84" s="641">
        <v>5456.0</v>
      </c>
      <c r="K84" s="680">
        <v>1084.0</v>
      </c>
      <c r="L84" s="641">
        <v>6119.0</v>
      </c>
      <c r="M84" s="680">
        <v>807.0</v>
      </c>
      <c r="N84" s="641">
        <v>4002.0</v>
      </c>
      <c r="O84" s="680">
        <v>836.0</v>
      </c>
      <c r="P84" s="641">
        <v>3811.0</v>
      </c>
      <c r="Q84" s="680">
        <v>839.0</v>
      </c>
      <c r="R84" s="681" t="s">
        <v>710</v>
      </c>
      <c r="S84" s="682">
        <f t="shared" si="10"/>
        <v>25370</v>
      </c>
      <c r="T84" s="683"/>
      <c r="U84" s="625">
        <f t="shared" si="155"/>
        <v>5982</v>
      </c>
      <c r="V84" s="625">
        <f t="shared" si="156"/>
        <v>5456</v>
      </c>
      <c r="W84" s="625">
        <f t="shared" si="157"/>
        <v>6119</v>
      </c>
      <c r="X84" s="625">
        <f t="shared" si="158"/>
        <v>4002</v>
      </c>
      <c r="Y84" s="625">
        <f t="shared" si="159"/>
        <v>3811</v>
      </c>
      <c r="Z84" s="656">
        <f t="shared" si="16"/>
        <v>5031</v>
      </c>
      <c r="AA84" s="683"/>
      <c r="AB84" s="625">
        <f t="shared" si="160"/>
        <v>1465</v>
      </c>
      <c r="AC84" s="625">
        <f t="shared" si="161"/>
        <v>1084</v>
      </c>
      <c r="AD84" s="625">
        <f t="shared" si="162"/>
        <v>807</v>
      </c>
      <c r="AE84" s="625">
        <f t="shared" si="163"/>
        <v>836</v>
      </c>
      <c r="AF84" s="625">
        <f t="shared" si="164"/>
        <v>839</v>
      </c>
      <c r="AG84" s="657">
        <f t="shared" si="22"/>
        <v>0.1983050847</v>
      </c>
      <c r="AH84" s="165"/>
      <c r="AI84" s="165">
        <f t="shared" ref="AI84:AM84" si="213">AB84/U84</f>
        <v>0.2449013708</v>
      </c>
      <c r="AJ84" s="165">
        <f t="shared" si="213"/>
        <v>0.1986803519</v>
      </c>
      <c r="AK84" s="165">
        <f t="shared" si="213"/>
        <v>0.1318842948</v>
      </c>
      <c r="AL84" s="165">
        <f t="shared" si="213"/>
        <v>0.2088955522</v>
      </c>
      <c r="AM84" s="165">
        <f t="shared" si="213"/>
        <v>0.220152191</v>
      </c>
      <c r="AN84" s="684">
        <f t="shared" si="24"/>
        <v>8800</v>
      </c>
      <c r="AO84" s="641">
        <v>1938.0</v>
      </c>
      <c r="AP84" s="641">
        <v>2359.0</v>
      </c>
      <c r="AQ84" s="641">
        <v>2260.0</v>
      </c>
      <c r="AR84" s="641">
        <v>348.0</v>
      </c>
      <c r="AS84" s="641">
        <v>1768.0</v>
      </c>
      <c r="AT84" s="641">
        <v>2065.0</v>
      </c>
      <c r="AU84" s="684">
        <f>SUM(AW84:BB84)</f>
        <v>3040</v>
      </c>
      <c r="AV84" s="641">
        <v>752.0</v>
      </c>
      <c r="AW84" s="625">
        <v>703.0</v>
      </c>
      <c r="AX84" s="625">
        <v>636.0</v>
      </c>
      <c r="AY84" s="625">
        <v>576.0</v>
      </c>
      <c r="AZ84" s="625">
        <v>573.0</v>
      </c>
      <c r="BA84" s="693">
        <v>552.0</v>
      </c>
      <c r="BB84" s="631"/>
      <c r="BC84" s="189" t="s">
        <v>695</v>
      </c>
      <c r="BD84" s="186" t="s">
        <v>3303</v>
      </c>
      <c r="BE84" s="179" t="s">
        <v>3304</v>
      </c>
      <c r="BF84" s="179" t="s">
        <v>3305</v>
      </c>
      <c r="BG84" s="179" t="s">
        <v>3306</v>
      </c>
      <c r="BH84" s="179" t="s">
        <v>3307</v>
      </c>
      <c r="BI84" s="179" t="s">
        <v>3308</v>
      </c>
      <c r="BJ84" s="179"/>
      <c r="BK84" s="631"/>
      <c r="BL84" s="179" t="b">
        <f t="shared" si="26"/>
        <v>1</v>
      </c>
      <c r="BM84" s="179" t="b">
        <f t="shared" si="27"/>
        <v>1</v>
      </c>
      <c r="BN84" s="688" t="b">
        <f t="shared" si="28"/>
        <v>0</v>
      </c>
    </row>
    <row r="85">
      <c r="A85" s="696" t="s">
        <v>1534</v>
      </c>
      <c r="B85" s="186" t="s">
        <v>3437</v>
      </c>
      <c r="C85" s="692" t="s">
        <v>2113</v>
      </c>
      <c r="D85" s="677">
        <v>249.0</v>
      </c>
      <c r="E85" s="632" t="s">
        <v>17</v>
      </c>
      <c r="F85" s="678">
        <f t="shared" ref="F85:G85" si="214">H85+J85+L85+N85+P85</f>
        <v>12782.84</v>
      </c>
      <c r="G85" s="679">
        <f t="shared" si="214"/>
        <v>89.71</v>
      </c>
      <c r="H85" s="641">
        <v>3042.77</v>
      </c>
      <c r="I85" s="680">
        <v>-23.57</v>
      </c>
      <c r="J85" s="641">
        <v>3175.81</v>
      </c>
      <c r="K85" s="680">
        <v>126.44</v>
      </c>
      <c r="L85" s="641">
        <v>2531.65</v>
      </c>
      <c r="M85" s="680">
        <v>-230.94</v>
      </c>
      <c r="N85" s="641">
        <v>1887.35</v>
      </c>
      <c r="O85" s="680">
        <v>173.33</v>
      </c>
      <c r="P85" s="641">
        <v>2145.26</v>
      </c>
      <c r="Q85" s="680">
        <v>44.45</v>
      </c>
      <c r="R85" s="681" t="s">
        <v>717</v>
      </c>
      <c r="S85" s="682">
        <f t="shared" si="10"/>
        <v>12782.84</v>
      </c>
      <c r="T85" s="683"/>
      <c r="U85" s="625">
        <f t="shared" si="155"/>
        <v>3042.77</v>
      </c>
      <c r="V85" s="625">
        <f t="shared" si="156"/>
        <v>3175.81</v>
      </c>
      <c r="W85" s="625">
        <f t="shared" si="157"/>
        <v>2531.65</v>
      </c>
      <c r="X85" s="625">
        <f t="shared" si="158"/>
        <v>1887.35</v>
      </c>
      <c r="Y85" s="625">
        <f t="shared" si="159"/>
        <v>2145.26</v>
      </c>
      <c r="Z85" s="656">
        <f t="shared" si="16"/>
        <v>89.71</v>
      </c>
      <c r="AA85" s="683"/>
      <c r="AB85" s="625">
        <f t="shared" si="160"/>
        <v>-23.57</v>
      </c>
      <c r="AC85" s="625">
        <f t="shared" si="161"/>
        <v>126.44</v>
      </c>
      <c r="AD85" s="625">
        <f t="shared" si="162"/>
        <v>-230.94</v>
      </c>
      <c r="AE85" s="625">
        <f t="shared" si="163"/>
        <v>173.33</v>
      </c>
      <c r="AF85" s="625">
        <f t="shared" si="164"/>
        <v>44.45</v>
      </c>
      <c r="AG85" s="657">
        <f t="shared" si="22"/>
        <v>0.007018002259</v>
      </c>
      <c r="AH85" s="165"/>
      <c r="AI85" s="165">
        <f t="shared" ref="AI85:AM85" si="215">AB85/U85</f>
        <v>-0.00774623123</v>
      </c>
      <c r="AJ85" s="165">
        <f t="shared" si="215"/>
        <v>0.03981346491</v>
      </c>
      <c r="AK85" s="165">
        <f t="shared" si="215"/>
        <v>-0.09122114036</v>
      </c>
      <c r="AL85" s="165">
        <f t="shared" si="215"/>
        <v>0.09183776194</v>
      </c>
      <c r="AM85" s="165">
        <f t="shared" si="215"/>
        <v>0.0207200992</v>
      </c>
      <c r="AN85" s="684">
        <f t="shared" si="24"/>
        <v>0</v>
      </c>
      <c r="AO85" s="180"/>
      <c r="AP85" s="180">
        <v>0.0</v>
      </c>
      <c r="AQ85" s="180">
        <v>0.0</v>
      </c>
      <c r="AR85" s="180">
        <v>0.0</v>
      </c>
      <c r="AS85" s="180">
        <v>0.0</v>
      </c>
      <c r="AT85" s="180">
        <v>0.0</v>
      </c>
      <c r="AU85" s="684">
        <f t="shared" ref="AU85:AU134" si="218">SUM(AW85:BA85)</f>
        <v>0</v>
      </c>
      <c r="AV85" s="180"/>
      <c r="AW85" s="180">
        <v>0.0</v>
      </c>
      <c r="AX85" s="180">
        <v>0.0</v>
      </c>
      <c r="AY85" s="180">
        <v>0.0</v>
      </c>
      <c r="AZ85" s="180">
        <v>0.0</v>
      </c>
      <c r="BA85" s="686">
        <v>0.0</v>
      </c>
      <c r="BB85" s="631"/>
      <c r="BC85" s="189" t="s">
        <v>695</v>
      </c>
      <c r="BD85" s="688" t="s">
        <v>3303</v>
      </c>
      <c r="BE85" s="179" t="s">
        <v>3304</v>
      </c>
      <c r="BF85" s="179" t="s">
        <v>3305</v>
      </c>
      <c r="BG85" s="179" t="s">
        <v>3306</v>
      </c>
      <c r="BH85" s="179" t="s">
        <v>3307</v>
      </c>
      <c r="BI85" s="179" t="s">
        <v>3308</v>
      </c>
      <c r="BJ85" s="179"/>
      <c r="BK85" s="631"/>
      <c r="BL85" s="179" t="b">
        <f t="shared" si="26"/>
        <v>0</v>
      </c>
      <c r="BM85" s="179" t="b">
        <f t="shared" si="27"/>
        <v>0</v>
      </c>
      <c r="BN85" s="688" t="b">
        <f t="shared" si="28"/>
        <v>0</v>
      </c>
    </row>
    <row r="86">
      <c r="A86" s="675" t="s">
        <v>3301</v>
      </c>
      <c r="B86" s="186" t="s">
        <v>3438</v>
      </c>
      <c r="C86" s="676" t="s">
        <v>2409</v>
      </c>
      <c r="D86" s="677">
        <v>108.0</v>
      </c>
      <c r="E86" s="632" t="s">
        <v>1251</v>
      </c>
      <c r="F86" s="678">
        <f t="shared" ref="F86:G86" si="216">H86+J86+L86+N86+P86</f>
        <v>13438.96</v>
      </c>
      <c r="G86" s="679">
        <f t="shared" si="216"/>
        <v>2176.68</v>
      </c>
      <c r="H86" s="641">
        <v>3051.94</v>
      </c>
      <c r="I86" s="680">
        <v>400.75</v>
      </c>
      <c r="J86" s="641">
        <v>2985.35</v>
      </c>
      <c r="K86" s="680">
        <v>472.91</v>
      </c>
      <c r="L86" s="641">
        <v>3303.87</v>
      </c>
      <c r="M86" s="680">
        <v>614.21</v>
      </c>
      <c r="N86" s="641">
        <v>2136.11</v>
      </c>
      <c r="O86" s="680">
        <v>368.45</v>
      </c>
      <c r="P86" s="641">
        <v>1961.69</v>
      </c>
      <c r="Q86" s="680">
        <v>320.36</v>
      </c>
      <c r="R86" s="681" t="s">
        <v>714</v>
      </c>
      <c r="S86" s="682">
        <f t="shared" si="10"/>
        <v>13438.96</v>
      </c>
      <c r="T86" s="683"/>
      <c r="U86" s="625">
        <f t="shared" si="155"/>
        <v>3051.94</v>
      </c>
      <c r="V86" s="625">
        <f t="shared" si="156"/>
        <v>2985.35</v>
      </c>
      <c r="W86" s="625">
        <f t="shared" si="157"/>
        <v>3303.87</v>
      </c>
      <c r="X86" s="625">
        <f t="shared" si="158"/>
        <v>2136.11</v>
      </c>
      <c r="Y86" s="625">
        <f t="shared" si="159"/>
        <v>1961.69</v>
      </c>
      <c r="Z86" s="656">
        <f t="shared" si="16"/>
        <v>2176.68</v>
      </c>
      <c r="AA86" s="683"/>
      <c r="AB86" s="625">
        <f t="shared" si="160"/>
        <v>400.75</v>
      </c>
      <c r="AC86" s="625">
        <f t="shared" si="161"/>
        <v>472.91</v>
      </c>
      <c r="AD86" s="625">
        <f t="shared" si="162"/>
        <v>614.21</v>
      </c>
      <c r="AE86" s="625">
        <f t="shared" si="163"/>
        <v>368.45</v>
      </c>
      <c r="AF86" s="625">
        <f t="shared" si="164"/>
        <v>320.36</v>
      </c>
      <c r="AG86" s="657">
        <f t="shared" si="22"/>
        <v>0.1619678904</v>
      </c>
      <c r="AH86" s="165"/>
      <c r="AI86" s="165">
        <f t="shared" ref="AI86:AM86" si="217">AB86/U86</f>
        <v>0.1313099209</v>
      </c>
      <c r="AJ86" s="165">
        <f t="shared" si="217"/>
        <v>0.1584102367</v>
      </c>
      <c r="AK86" s="165">
        <f t="shared" si="217"/>
        <v>0.1859062251</v>
      </c>
      <c r="AL86" s="165">
        <f t="shared" si="217"/>
        <v>0.1724864356</v>
      </c>
      <c r="AM86" s="165">
        <f t="shared" si="217"/>
        <v>0.163308168</v>
      </c>
      <c r="AN86" s="684">
        <f t="shared" si="24"/>
        <v>9971.987</v>
      </c>
      <c r="AO86" s="180"/>
      <c r="AP86" s="180">
        <v>2748.014</v>
      </c>
      <c r="AQ86" s="180">
        <v>2549.669</v>
      </c>
      <c r="AR86" s="180">
        <v>2466.434</v>
      </c>
      <c r="AS86" s="180">
        <v>1200.376</v>
      </c>
      <c r="AT86" s="180">
        <v>1007.494</v>
      </c>
      <c r="AU86" s="684">
        <f t="shared" si="218"/>
        <v>1875.931</v>
      </c>
      <c r="AV86" s="180"/>
      <c r="AW86" s="180">
        <v>493.726</v>
      </c>
      <c r="AX86" s="180">
        <v>392.188</v>
      </c>
      <c r="AY86" s="180">
        <v>355.926</v>
      </c>
      <c r="AZ86" s="180">
        <v>327.568</v>
      </c>
      <c r="BA86" s="686">
        <v>306.523</v>
      </c>
      <c r="BB86" s="631"/>
      <c r="BC86" s="687" t="s">
        <v>695</v>
      </c>
      <c r="BD86" s="688" t="s">
        <v>3303</v>
      </c>
      <c r="BE86" s="186" t="s">
        <v>3304</v>
      </c>
      <c r="BF86" s="186" t="s">
        <v>3305</v>
      </c>
      <c r="BG86" s="186" t="s">
        <v>3306</v>
      </c>
      <c r="BH86" s="179" t="s">
        <v>3307</v>
      </c>
      <c r="BI86" s="179" t="s">
        <v>3308</v>
      </c>
      <c r="BJ86" s="179"/>
      <c r="BK86" s="631"/>
      <c r="BL86" s="179" t="b">
        <f t="shared" si="26"/>
        <v>1</v>
      </c>
      <c r="BM86" s="179" t="b">
        <f t="shared" si="27"/>
        <v>1</v>
      </c>
      <c r="BN86" s="688" t="b">
        <f t="shared" si="28"/>
        <v>0</v>
      </c>
    </row>
    <row r="87">
      <c r="A87" s="689"/>
      <c r="B87" s="186" t="s">
        <v>3439</v>
      </c>
      <c r="C87" s="676" t="s">
        <v>1578</v>
      </c>
      <c r="D87" s="677">
        <v>144.0</v>
      </c>
      <c r="E87" s="632" t="s">
        <v>3440</v>
      </c>
      <c r="F87" s="678">
        <f t="shared" ref="F87:G87" si="219">H87+J87+L87+N87+P87</f>
        <v>8014.1</v>
      </c>
      <c r="G87" s="679">
        <f t="shared" si="219"/>
        <v>1328.3</v>
      </c>
      <c r="H87" s="641">
        <v>2060.0</v>
      </c>
      <c r="I87" s="680">
        <v>322.0</v>
      </c>
      <c r="J87" s="641">
        <v>1575.5</v>
      </c>
      <c r="K87" s="680">
        <v>271.1</v>
      </c>
      <c r="L87" s="641">
        <v>1651.6</v>
      </c>
      <c r="M87" s="680">
        <v>279.5</v>
      </c>
      <c r="N87" s="641">
        <v>1358.4</v>
      </c>
      <c r="O87" s="680">
        <v>210.1</v>
      </c>
      <c r="P87" s="641">
        <v>1368.6</v>
      </c>
      <c r="Q87" s="680">
        <v>245.6</v>
      </c>
      <c r="R87" s="681" t="s">
        <v>718</v>
      </c>
      <c r="S87" s="682">
        <f t="shared" si="10"/>
        <v>8014.1</v>
      </c>
      <c r="T87" s="683"/>
      <c r="U87" s="625">
        <f t="shared" si="155"/>
        <v>2060</v>
      </c>
      <c r="V87" s="625">
        <f t="shared" si="156"/>
        <v>1575.5</v>
      </c>
      <c r="W87" s="625">
        <f t="shared" si="157"/>
        <v>1651.6</v>
      </c>
      <c r="X87" s="625">
        <f t="shared" si="158"/>
        <v>1358.4</v>
      </c>
      <c r="Y87" s="625">
        <f t="shared" si="159"/>
        <v>1368.6</v>
      </c>
      <c r="Z87" s="656">
        <f t="shared" si="16"/>
        <v>1328.3</v>
      </c>
      <c r="AA87" s="683"/>
      <c r="AB87" s="625">
        <f t="shared" si="160"/>
        <v>322</v>
      </c>
      <c r="AC87" s="625">
        <f t="shared" si="161"/>
        <v>271.1</v>
      </c>
      <c r="AD87" s="625">
        <f t="shared" si="162"/>
        <v>279.5</v>
      </c>
      <c r="AE87" s="625">
        <f t="shared" si="163"/>
        <v>210.1</v>
      </c>
      <c r="AF87" s="625">
        <f t="shared" si="164"/>
        <v>245.6</v>
      </c>
      <c r="AG87" s="657">
        <f t="shared" si="22"/>
        <v>0.1657453738</v>
      </c>
      <c r="AH87" s="165"/>
      <c r="AI87" s="165">
        <f t="shared" ref="AI87:AM87" si="220">AB87/U87</f>
        <v>0.1563106796</v>
      </c>
      <c r="AJ87" s="165">
        <f t="shared" si="220"/>
        <v>0.172072358</v>
      </c>
      <c r="AK87" s="165">
        <f t="shared" si="220"/>
        <v>0.1692298377</v>
      </c>
      <c r="AL87" s="165">
        <f t="shared" si="220"/>
        <v>0.1546672556</v>
      </c>
      <c r="AM87" s="165">
        <f t="shared" si="220"/>
        <v>0.1794534561</v>
      </c>
      <c r="AN87" s="684">
        <f t="shared" si="24"/>
        <v>2198</v>
      </c>
      <c r="AO87" s="625"/>
      <c r="AP87" s="625">
        <v>648.0</v>
      </c>
      <c r="AQ87" s="625">
        <v>950.0</v>
      </c>
      <c r="AR87" s="625">
        <v>400.0</v>
      </c>
      <c r="AS87" s="625">
        <v>200.0</v>
      </c>
      <c r="AT87" s="625">
        <v>0.0</v>
      </c>
      <c r="AU87" s="684">
        <f t="shared" si="218"/>
        <v>0</v>
      </c>
      <c r="AV87" s="180"/>
      <c r="AW87" s="180">
        <v>0.0</v>
      </c>
      <c r="AX87" s="180">
        <v>0.0</v>
      </c>
      <c r="AY87" s="180">
        <v>0.0</v>
      </c>
      <c r="AZ87" s="180">
        <v>0.0</v>
      </c>
      <c r="BA87" s="686">
        <v>0.0</v>
      </c>
      <c r="BB87" s="631"/>
      <c r="BC87" s="189" t="s">
        <v>695</v>
      </c>
      <c r="BD87" s="688" t="s">
        <v>3303</v>
      </c>
      <c r="BE87" s="179" t="s">
        <v>3304</v>
      </c>
      <c r="BF87" s="179" t="s">
        <v>3305</v>
      </c>
      <c r="BG87" s="179" t="s">
        <v>3306</v>
      </c>
      <c r="BH87" s="179" t="s">
        <v>3307</v>
      </c>
      <c r="BI87" s="179" t="s">
        <v>3308</v>
      </c>
      <c r="BJ87" s="179"/>
      <c r="BK87" s="631"/>
      <c r="BL87" s="179" t="b">
        <f t="shared" si="26"/>
        <v>1</v>
      </c>
      <c r="BM87" s="179" t="b">
        <f t="shared" si="27"/>
        <v>1</v>
      </c>
      <c r="BN87" s="688" t="b">
        <f t="shared" si="28"/>
        <v>0</v>
      </c>
    </row>
    <row r="88">
      <c r="A88" s="696" t="s">
        <v>1534</v>
      </c>
      <c r="B88" s="186" t="s">
        <v>3441</v>
      </c>
      <c r="C88" s="676" t="s">
        <v>2113</v>
      </c>
      <c r="D88" s="677">
        <v>242.0</v>
      </c>
      <c r="E88" s="632" t="s">
        <v>22</v>
      </c>
      <c r="F88" s="678">
        <f t="shared" ref="F88:G88" si="221">H88+J88+L88+N88+P88</f>
        <v>10200</v>
      </c>
      <c r="G88" s="679">
        <f t="shared" si="221"/>
        <v>-482</v>
      </c>
      <c r="H88" s="641">
        <v>1007.0</v>
      </c>
      <c r="I88" s="680">
        <v>7.0</v>
      </c>
      <c r="J88" s="641">
        <v>3027.0</v>
      </c>
      <c r="K88" s="680">
        <v>-162.0</v>
      </c>
      <c r="L88" s="641">
        <v>1641.0</v>
      </c>
      <c r="M88" s="680">
        <v>-314.0</v>
      </c>
      <c r="N88" s="641">
        <v>1606.0</v>
      </c>
      <c r="O88" s="680">
        <v>32.0</v>
      </c>
      <c r="P88" s="641">
        <v>2919.0</v>
      </c>
      <c r="Q88" s="680">
        <v>-45.0</v>
      </c>
      <c r="R88" s="681" t="s">
        <v>718</v>
      </c>
      <c r="S88" s="682">
        <f t="shared" si="10"/>
        <v>10200</v>
      </c>
      <c r="T88" s="683"/>
      <c r="U88" s="625">
        <f t="shared" si="155"/>
        <v>1007</v>
      </c>
      <c r="V88" s="625">
        <f t="shared" si="156"/>
        <v>3027</v>
      </c>
      <c r="W88" s="625">
        <f t="shared" si="157"/>
        <v>1641</v>
      </c>
      <c r="X88" s="625">
        <f t="shared" si="158"/>
        <v>1606</v>
      </c>
      <c r="Y88" s="625">
        <f t="shared" si="159"/>
        <v>2919</v>
      </c>
      <c r="Z88" s="656">
        <f t="shared" si="16"/>
        <v>-482</v>
      </c>
      <c r="AA88" s="683"/>
      <c r="AB88" s="625">
        <f t="shared" si="160"/>
        <v>7</v>
      </c>
      <c r="AC88" s="625">
        <f t="shared" si="161"/>
        <v>-162</v>
      </c>
      <c r="AD88" s="625">
        <f t="shared" si="162"/>
        <v>-314</v>
      </c>
      <c r="AE88" s="625">
        <f t="shared" si="163"/>
        <v>32</v>
      </c>
      <c r="AF88" s="625">
        <f t="shared" si="164"/>
        <v>-45</v>
      </c>
      <c r="AG88" s="657">
        <f t="shared" si="22"/>
        <v>-0.04725490196</v>
      </c>
      <c r="AH88" s="165"/>
      <c r="AI88" s="165">
        <f t="shared" ref="AI88:AM88" si="222">AB88/U88</f>
        <v>0.006951340616</v>
      </c>
      <c r="AJ88" s="165">
        <f t="shared" si="222"/>
        <v>-0.05351833499</v>
      </c>
      <c r="AK88" s="165">
        <f t="shared" si="222"/>
        <v>-0.1913467398</v>
      </c>
      <c r="AL88" s="165">
        <f t="shared" si="222"/>
        <v>0.0199252802</v>
      </c>
      <c r="AM88" s="165">
        <f t="shared" si="222"/>
        <v>-0.01541623844</v>
      </c>
      <c r="AN88" s="684">
        <f t="shared" si="24"/>
        <v>4690</v>
      </c>
      <c r="AO88" s="180">
        <v>0.0</v>
      </c>
      <c r="AP88" s="641">
        <v>1610.0</v>
      </c>
      <c r="AQ88" s="180">
        <v>0.0</v>
      </c>
      <c r="AR88" s="641">
        <v>3080.0</v>
      </c>
      <c r="AS88" s="180">
        <v>0.0</v>
      </c>
      <c r="AT88" s="180">
        <v>0.0</v>
      </c>
      <c r="AU88" s="684">
        <f t="shared" si="218"/>
        <v>12286</v>
      </c>
      <c r="AV88" s="641">
        <v>2233.0</v>
      </c>
      <c r="AW88" s="625">
        <v>2209.0</v>
      </c>
      <c r="AX88" s="625">
        <v>2036.0</v>
      </c>
      <c r="AY88" s="625">
        <v>2873.0</v>
      </c>
      <c r="AZ88" s="625">
        <v>2983.0</v>
      </c>
      <c r="BA88" s="693">
        <v>2185.0</v>
      </c>
      <c r="BB88" s="631"/>
      <c r="BC88" s="189" t="s">
        <v>695</v>
      </c>
      <c r="BD88" s="186" t="s">
        <v>3303</v>
      </c>
      <c r="BE88" s="179" t="s">
        <v>3304</v>
      </c>
      <c r="BF88" s="179" t="s">
        <v>3305</v>
      </c>
      <c r="BG88" s="179" t="s">
        <v>3306</v>
      </c>
      <c r="BH88" s="179" t="s">
        <v>3307</v>
      </c>
      <c r="BI88" s="179" t="s">
        <v>3308</v>
      </c>
      <c r="BJ88" s="179"/>
      <c r="BK88" s="631"/>
      <c r="BL88" s="179" t="b">
        <f t="shared" si="26"/>
        <v>1</v>
      </c>
      <c r="BM88" s="179" t="b">
        <f t="shared" si="27"/>
        <v>1</v>
      </c>
      <c r="BN88" s="688" t="b">
        <f t="shared" si="28"/>
        <v>1</v>
      </c>
    </row>
    <row r="89">
      <c r="A89" s="689"/>
      <c r="B89" s="186" t="s">
        <v>3442</v>
      </c>
      <c r="C89" s="676" t="s">
        <v>2113</v>
      </c>
      <c r="D89" s="677">
        <v>445.0</v>
      </c>
      <c r="E89" s="632" t="s">
        <v>3443</v>
      </c>
      <c r="F89" s="678">
        <f t="shared" ref="F89:G89" si="223">H89+J89+L89+N89+P89</f>
        <v>2751.11</v>
      </c>
      <c r="G89" s="679">
        <f t="shared" si="223"/>
        <v>439.63</v>
      </c>
      <c r="H89" s="641">
        <v>730.35</v>
      </c>
      <c r="I89" s="680">
        <v>106.77</v>
      </c>
      <c r="J89" s="641">
        <v>807.67</v>
      </c>
      <c r="K89" s="680">
        <v>150.99</v>
      </c>
      <c r="L89" s="641">
        <v>450.83</v>
      </c>
      <c r="M89" s="680">
        <v>79.31</v>
      </c>
      <c r="N89" s="641">
        <v>431.59</v>
      </c>
      <c r="O89" s="680">
        <v>71.07</v>
      </c>
      <c r="P89" s="641">
        <v>330.67</v>
      </c>
      <c r="Q89" s="680">
        <v>31.49</v>
      </c>
      <c r="R89" s="681" t="s">
        <v>710</v>
      </c>
      <c r="S89" s="682">
        <f t="shared" si="10"/>
        <v>2751.11</v>
      </c>
      <c r="T89" s="683"/>
      <c r="U89" s="625">
        <f t="shared" si="155"/>
        <v>730.35</v>
      </c>
      <c r="V89" s="625">
        <f t="shared" si="156"/>
        <v>807.67</v>
      </c>
      <c r="W89" s="625">
        <f t="shared" si="157"/>
        <v>450.83</v>
      </c>
      <c r="X89" s="625">
        <f t="shared" si="158"/>
        <v>431.59</v>
      </c>
      <c r="Y89" s="625">
        <f t="shared" si="159"/>
        <v>330.67</v>
      </c>
      <c r="Z89" s="656">
        <f t="shared" si="16"/>
        <v>439.63</v>
      </c>
      <c r="AA89" s="683"/>
      <c r="AB89" s="625">
        <f t="shared" si="160"/>
        <v>106.77</v>
      </c>
      <c r="AC89" s="625">
        <f t="shared" si="161"/>
        <v>150.99</v>
      </c>
      <c r="AD89" s="625">
        <f t="shared" si="162"/>
        <v>79.31</v>
      </c>
      <c r="AE89" s="625">
        <f t="shared" si="163"/>
        <v>71.07</v>
      </c>
      <c r="AF89" s="625">
        <f t="shared" si="164"/>
        <v>31.49</v>
      </c>
      <c r="AG89" s="657">
        <f t="shared" si="22"/>
        <v>0.1598009531</v>
      </c>
      <c r="AH89" s="165"/>
      <c r="AI89" s="165">
        <f t="shared" ref="AI89:AM89" si="224">AB89/U89</f>
        <v>0.1461901828</v>
      </c>
      <c r="AJ89" s="165">
        <f t="shared" si="224"/>
        <v>0.1869451632</v>
      </c>
      <c r="AK89" s="165">
        <f t="shared" si="224"/>
        <v>0.1759199698</v>
      </c>
      <c r="AL89" s="165">
        <f t="shared" si="224"/>
        <v>0.1646701731</v>
      </c>
      <c r="AM89" s="165">
        <f t="shared" si="224"/>
        <v>0.09523089485</v>
      </c>
      <c r="AN89" s="684">
        <f t="shared" si="24"/>
        <v>1751</v>
      </c>
      <c r="AO89" s="625"/>
      <c r="AP89" s="625">
        <v>585.0</v>
      </c>
      <c r="AQ89" s="625">
        <v>22.0</v>
      </c>
      <c r="AR89" s="625">
        <v>106.0</v>
      </c>
      <c r="AS89" s="625">
        <v>143.0</v>
      </c>
      <c r="AT89" s="625">
        <v>895.0</v>
      </c>
      <c r="AU89" s="684">
        <f t="shared" si="218"/>
        <v>1424.53</v>
      </c>
      <c r="AV89" s="625"/>
      <c r="AW89" s="625">
        <v>287.55</v>
      </c>
      <c r="AX89" s="625">
        <v>286.9</v>
      </c>
      <c r="AY89" s="625">
        <v>284.31</v>
      </c>
      <c r="AZ89" s="625">
        <v>282.2</v>
      </c>
      <c r="BA89" s="693">
        <v>283.57</v>
      </c>
      <c r="BB89" s="631"/>
      <c r="BC89" s="189" t="s">
        <v>695</v>
      </c>
      <c r="BD89" s="186" t="s">
        <v>3303</v>
      </c>
      <c r="BE89" s="179" t="s">
        <v>3304</v>
      </c>
      <c r="BF89" s="179" t="s">
        <v>3305</v>
      </c>
      <c r="BG89" s="179" t="s">
        <v>3306</v>
      </c>
      <c r="BH89" s="179" t="s">
        <v>3307</v>
      </c>
      <c r="BI89" s="179" t="s">
        <v>3308</v>
      </c>
      <c r="BJ89" s="179"/>
      <c r="BK89" s="646"/>
      <c r="BL89" s="179" t="b">
        <f t="shared" si="26"/>
        <v>1</v>
      </c>
      <c r="BM89" s="179" t="b">
        <f t="shared" si="27"/>
        <v>1</v>
      </c>
      <c r="BN89" s="688" t="b">
        <f t="shared" si="28"/>
        <v>1</v>
      </c>
    </row>
    <row r="90">
      <c r="A90" s="675" t="s">
        <v>3333</v>
      </c>
      <c r="B90" s="186" t="s">
        <v>3444</v>
      </c>
      <c r="C90" s="704" t="s">
        <v>2113</v>
      </c>
      <c r="D90" s="677">
        <v>75.0</v>
      </c>
      <c r="E90" s="245" t="s">
        <v>73</v>
      </c>
      <c r="F90" s="654"/>
      <c r="G90" s="706"/>
      <c r="H90" s="707"/>
      <c r="I90" s="706"/>
      <c r="J90" s="707"/>
      <c r="K90" s="706"/>
      <c r="L90" s="707"/>
      <c r="M90" s="706"/>
      <c r="N90" s="707"/>
      <c r="O90" s="706"/>
      <c r="P90" s="707"/>
      <c r="Q90" s="708"/>
      <c r="R90" s="709"/>
      <c r="S90" s="682">
        <f t="shared" si="10"/>
        <v>2602</v>
      </c>
      <c r="T90" s="641"/>
      <c r="U90" s="641">
        <f>2383-82</f>
        <v>2301</v>
      </c>
      <c r="V90" s="641">
        <f>1523-48</f>
        <v>1475</v>
      </c>
      <c r="W90" s="641">
        <f>-681-4</f>
        <v>-685</v>
      </c>
      <c r="X90" s="641">
        <f>-1196-25</f>
        <v>-1221</v>
      </c>
      <c r="Y90" s="641">
        <f>745-13</f>
        <v>732</v>
      </c>
      <c r="Z90" s="656">
        <f t="shared" si="16"/>
        <v>249</v>
      </c>
      <c r="AA90" s="641"/>
      <c r="AB90" s="641">
        <v>434.0</v>
      </c>
      <c r="AC90" s="641">
        <v>-46.0</v>
      </c>
      <c r="AD90" s="641">
        <v>-176.0</v>
      </c>
      <c r="AE90" s="641">
        <v>-287.0</v>
      </c>
      <c r="AF90" s="641">
        <v>324.0</v>
      </c>
      <c r="AG90" s="657">
        <f t="shared" si="22"/>
        <v>0.09569561875</v>
      </c>
      <c r="AH90" s="165"/>
      <c r="AI90" s="165">
        <f t="shared" ref="AI90:AM90" si="225">AB90/U90</f>
        <v>0.1886136462</v>
      </c>
      <c r="AJ90" s="165">
        <f t="shared" si="225"/>
        <v>-0.03118644068</v>
      </c>
      <c r="AK90" s="165">
        <f t="shared" si="225"/>
        <v>0.2569343066</v>
      </c>
      <c r="AL90" s="165">
        <f t="shared" si="225"/>
        <v>0.2350532351</v>
      </c>
      <c r="AM90" s="165">
        <f t="shared" si="225"/>
        <v>0.4426229508</v>
      </c>
      <c r="AN90" s="684">
        <f t="shared" si="24"/>
        <v>3950</v>
      </c>
      <c r="AO90" s="641">
        <v>625.0</v>
      </c>
      <c r="AP90" s="641">
        <v>2325.0</v>
      </c>
      <c r="AQ90" s="641">
        <v>1000.0</v>
      </c>
      <c r="AR90" s="641">
        <v>125.0</v>
      </c>
      <c r="AS90" s="641">
        <v>500.0</v>
      </c>
      <c r="AT90" s="641">
        <v>0.0</v>
      </c>
      <c r="AU90" s="684">
        <f t="shared" si="218"/>
        <v>7700</v>
      </c>
      <c r="AV90" s="641">
        <v>1972.0</v>
      </c>
      <c r="AW90" s="641">
        <v>2006.0</v>
      </c>
      <c r="AX90" s="641">
        <v>2073.0</v>
      </c>
      <c r="AY90" s="641">
        <v>2071.0</v>
      </c>
      <c r="AZ90" s="641">
        <v>1550.0</v>
      </c>
      <c r="BA90" s="691">
        <v>0.0</v>
      </c>
      <c r="BB90" s="631"/>
      <c r="BC90" s="687" t="s">
        <v>695</v>
      </c>
      <c r="BD90" s="186" t="s">
        <v>3303</v>
      </c>
      <c r="BE90" s="695" t="s">
        <v>3304</v>
      </c>
      <c r="BF90" s="695" t="s">
        <v>3305</v>
      </c>
      <c r="BG90" s="695" t="s">
        <v>3306</v>
      </c>
      <c r="BH90" s="180" t="s">
        <v>3307</v>
      </c>
      <c r="BI90" s="180" t="s">
        <v>3308</v>
      </c>
      <c r="BJ90" s="179"/>
      <c r="BK90" s="631"/>
      <c r="BL90" s="179" t="b">
        <f t="shared" si="26"/>
        <v>1</v>
      </c>
      <c r="BM90" s="179" t="b">
        <f t="shared" si="27"/>
        <v>1</v>
      </c>
      <c r="BN90" s="688" t="b">
        <f t="shared" si="28"/>
        <v>1</v>
      </c>
    </row>
    <row r="91">
      <c r="A91" s="696" t="s">
        <v>1534</v>
      </c>
      <c r="B91" s="186" t="s">
        <v>3445</v>
      </c>
      <c r="C91" s="676" t="s">
        <v>2113</v>
      </c>
      <c r="D91" s="677">
        <v>212.0</v>
      </c>
      <c r="E91" s="632" t="s">
        <v>30</v>
      </c>
      <c r="F91" s="678">
        <f t="shared" ref="F91:G91" si="226">H91+J91+L91+N91+P91</f>
        <v>5845</v>
      </c>
      <c r="G91" s="679">
        <f t="shared" si="226"/>
        <v>-494</v>
      </c>
      <c r="H91" s="641">
        <v>1114.0</v>
      </c>
      <c r="I91" s="680">
        <v>-13.0</v>
      </c>
      <c r="J91" s="641">
        <v>668.0</v>
      </c>
      <c r="K91" s="680">
        <v>-33.0</v>
      </c>
      <c r="L91" s="641">
        <v>1531.0</v>
      </c>
      <c r="M91" s="680">
        <v>-247.0</v>
      </c>
      <c r="N91" s="641">
        <v>1317.0</v>
      </c>
      <c r="O91" s="680">
        <v>-184.0</v>
      </c>
      <c r="P91" s="641">
        <v>1215.0</v>
      </c>
      <c r="Q91" s="680">
        <v>-17.0</v>
      </c>
      <c r="R91" s="681" t="s">
        <v>703</v>
      </c>
      <c r="S91" s="682">
        <f t="shared" si="10"/>
        <v>5845</v>
      </c>
      <c r="T91" s="683"/>
      <c r="U91" s="625">
        <f t="shared" ref="U91:U97" si="229">H91</f>
        <v>1114</v>
      </c>
      <c r="V91" s="625">
        <f t="shared" ref="V91:V97" si="230">J91</f>
        <v>668</v>
      </c>
      <c r="W91" s="625">
        <f t="shared" ref="W91:W97" si="231">L91</f>
        <v>1531</v>
      </c>
      <c r="X91" s="625">
        <f t="shared" ref="X91:X97" si="232">N91</f>
        <v>1317</v>
      </c>
      <c r="Y91" s="625">
        <f t="shared" ref="Y91:Y97" si="233">P91</f>
        <v>1215</v>
      </c>
      <c r="Z91" s="656">
        <f t="shared" si="16"/>
        <v>-494</v>
      </c>
      <c r="AA91" s="683"/>
      <c r="AB91" s="625">
        <f t="shared" ref="AB91:AB97" si="234">I91</f>
        <v>-13</v>
      </c>
      <c r="AC91" s="625">
        <f t="shared" ref="AC91:AC97" si="235">K91</f>
        <v>-33</v>
      </c>
      <c r="AD91" s="625">
        <f t="shared" ref="AD91:AD97" si="236">M91</f>
        <v>-247</v>
      </c>
      <c r="AE91" s="625">
        <f t="shared" ref="AE91:AE97" si="237">O91</f>
        <v>-184</v>
      </c>
      <c r="AF91" s="625">
        <f t="shared" ref="AF91:AF97" si="238">Q91</f>
        <v>-17</v>
      </c>
      <c r="AG91" s="657">
        <f t="shared" si="22"/>
        <v>-0.08451668092</v>
      </c>
      <c r="AH91" s="165"/>
      <c r="AI91" s="165">
        <f t="shared" ref="AI91:AM91" si="227">AB91/U91</f>
        <v>-0.01166965889</v>
      </c>
      <c r="AJ91" s="165">
        <f t="shared" si="227"/>
        <v>-0.0494011976</v>
      </c>
      <c r="AK91" s="165">
        <f t="shared" si="227"/>
        <v>-0.1613324624</v>
      </c>
      <c r="AL91" s="165">
        <f t="shared" si="227"/>
        <v>-0.1397114655</v>
      </c>
      <c r="AM91" s="165">
        <f t="shared" si="227"/>
        <v>-0.01399176955</v>
      </c>
      <c r="AN91" s="684">
        <f t="shared" si="24"/>
        <v>121</v>
      </c>
      <c r="AO91" s="625"/>
      <c r="AP91" s="625">
        <v>55.0</v>
      </c>
      <c r="AQ91" s="625">
        <v>66.0</v>
      </c>
      <c r="AR91" s="625">
        <v>0.0</v>
      </c>
      <c r="AS91" s="625">
        <v>0.0</v>
      </c>
      <c r="AT91" s="625">
        <v>0.0</v>
      </c>
      <c r="AU91" s="684">
        <f t="shared" si="218"/>
        <v>3548</v>
      </c>
      <c r="AV91" s="625"/>
      <c r="AW91" s="625">
        <v>685.0</v>
      </c>
      <c r="AX91" s="625">
        <v>791.0</v>
      </c>
      <c r="AY91" s="625">
        <v>760.0</v>
      </c>
      <c r="AZ91" s="625">
        <v>692.0</v>
      </c>
      <c r="BA91" s="693">
        <v>620.0</v>
      </c>
      <c r="BB91" s="631"/>
      <c r="BC91" s="189" t="s">
        <v>695</v>
      </c>
      <c r="BD91" s="688" t="s">
        <v>3303</v>
      </c>
      <c r="BE91" s="179" t="s">
        <v>3304</v>
      </c>
      <c r="BF91" s="179" t="s">
        <v>3305</v>
      </c>
      <c r="BG91" s="179" t="s">
        <v>3306</v>
      </c>
      <c r="BH91" s="179" t="s">
        <v>3307</v>
      </c>
      <c r="BI91" s="179" t="s">
        <v>3308</v>
      </c>
      <c r="BJ91" s="179"/>
      <c r="BK91" s="631"/>
      <c r="BL91" s="179" t="b">
        <f t="shared" si="26"/>
        <v>1</v>
      </c>
      <c r="BM91" s="179" t="b">
        <f t="shared" si="27"/>
        <v>1</v>
      </c>
      <c r="BN91" s="688" t="b">
        <f t="shared" si="28"/>
        <v>1</v>
      </c>
    </row>
    <row r="92">
      <c r="A92" s="696" t="s">
        <v>1534</v>
      </c>
      <c r="B92" s="186" t="s">
        <v>3446</v>
      </c>
      <c r="C92" s="676" t="s">
        <v>2113</v>
      </c>
      <c r="D92" s="677">
        <v>141.0</v>
      </c>
      <c r="E92" s="632" t="s">
        <v>15</v>
      </c>
      <c r="F92" s="678">
        <f t="shared" ref="F92:G92" si="228">H92+J92+L92+N92+P92</f>
        <v>15624</v>
      </c>
      <c r="G92" s="679">
        <f t="shared" si="228"/>
        <v>-1228</v>
      </c>
      <c r="H92" s="641">
        <v>3999.0</v>
      </c>
      <c r="I92" s="680">
        <v>1.0</v>
      </c>
      <c r="J92" s="641">
        <v>3718.0</v>
      </c>
      <c r="K92" s="680">
        <v>-2.0</v>
      </c>
      <c r="L92" s="641">
        <v>835.0</v>
      </c>
      <c r="M92" s="680">
        <v>-281.0</v>
      </c>
      <c r="N92" s="641">
        <v>4043.0</v>
      </c>
      <c r="O92" s="680">
        <v>-299.0</v>
      </c>
      <c r="P92" s="641">
        <v>3029.0</v>
      </c>
      <c r="Q92" s="680">
        <v>-647.0</v>
      </c>
      <c r="R92" s="681" t="s">
        <v>715</v>
      </c>
      <c r="S92" s="682">
        <f t="shared" si="10"/>
        <v>15624</v>
      </c>
      <c r="T92" s="683"/>
      <c r="U92" s="625">
        <f t="shared" si="229"/>
        <v>3999</v>
      </c>
      <c r="V92" s="625">
        <f t="shared" si="230"/>
        <v>3718</v>
      </c>
      <c r="W92" s="625">
        <f t="shared" si="231"/>
        <v>835</v>
      </c>
      <c r="X92" s="625">
        <f t="shared" si="232"/>
        <v>4043</v>
      </c>
      <c r="Y92" s="625">
        <f t="shared" si="233"/>
        <v>3029</v>
      </c>
      <c r="Z92" s="656">
        <f t="shared" si="16"/>
        <v>-1228</v>
      </c>
      <c r="AA92" s="683"/>
      <c r="AB92" s="625">
        <f t="shared" si="234"/>
        <v>1</v>
      </c>
      <c r="AC92" s="625">
        <f t="shared" si="235"/>
        <v>-2</v>
      </c>
      <c r="AD92" s="625">
        <f t="shared" si="236"/>
        <v>-281</v>
      </c>
      <c r="AE92" s="625">
        <f t="shared" si="237"/>
        <v>-299</v>
      </c>
      <c r="AF92" s="625">
        <f t="shared" si="238"/>
        <v>-647</v>
      </c>
      <c r="AG92" s="657">
        <f t="shared" si="22"/>
        <v>-0.07859703021</v>
      </c>
      <c r="AH92" s="165"/>
      <c r="AI92" s="165">
        <f t="shared" ref="AI92:AM92" si="239">AB92/U92</f>
        <v>0.0002500625156</v>
      </c>
      <c r="AJ92" s="165">
        <f t="shared" si="239"/>
        <v>-0.0005379236148</v>
      </c>
      <c r="AK92" s="165">
        <f t="shared" si="239"/>
        <v>-0.3365269461</v>
      </c>
      <c r="AL92" s="165">
        <f t="shared" si="239"/>
        <v>-0.07395498392</v>
      </c>
      <c r="AM92" s="165">
        <f t="shared" si="239"/>
        <v>-0.2136018488</v>
      </c>
      <c r="AN92" s="684">
        <f t="shared" si="24"/>
        <v>0</v>
      </c>
      <c r="AO92" s="180">
        <v>0.0</v>
      </c>
      <c r="AP92" s="180">
        <v>0.0</v>
      </c>
      <c r="AQ92" s="180">
        <v>0.0</v>
      </c>
      <c r="AR92" s="180">
        <v>0.0</v>
      </c>
      <c r="AS92" s="180">
        <v>0.0</v>
      </c>
      <c r="AT92" s="180">
        <v>0.0</v>
      </c>
      <c r="AU92" s="684">
        <f t="shared" si="218"/>
        <v>14244</v>
      </c>
      <c r="AV92" s="641">
        <v>3244.0</v>
      </c>
      <c r="AW92" s="625">
        <v>3179.0</v>
      </c>
      <c r="AX92" s="625">
        <v>3114.0</v>
      </c>
      <c r="AY92" s="625">
        <v>2812.0</v>
      </c>
      <c r="AZ92" s="625">
        <v>2668.0</v>
      </c>
      <c r="BA92" s="693">
        <v>2471.0</v>
      </c>
      <c r="BB92" s="631"/>
      <c r="BC92" s="189" t="s">
        <v>695</v>
      </c>
      <c r="BD92" s="186" t="s">
        <v>3303</v>
      </c>
      <c r="BE92" s="179" t="s">
        <v>3304</v>
      </c>
      <c r="BF92" s="179" t="s">
        <v>3305</v>
      </c>
      <c r="BG92" s="179" t="s">
        <v>3306</v>
      </c>
      <c r="BH92" s="179" t="s">
        <v>3307</v>
      </c>
      <c r="BI92" s="179" t="s">
        <v>3308</v>
      </c>
      <c r="BJ92" s="179"/>
      <c r="BK92" s="631"/>
      <c r="BL92" s="179" t="b">
        <f t="shared" si="26"/>
        <v>1</v>
      </c>
      <c r="BM92" s="179" t="b">
        <f t="shared" si="27"/>
        <v>1</v>
      </c>
      <c r="BN92" s="688" t="b">
        <f t="shared" si="28"/>
        <v>1</v>
      </c>
    </row>
    <row r="93">
      <c r="A93" s="689"/>
      <c r="B93" s="186" t="s">
        <v>3447</v>
      </c>
      <c r="C93" s="676" t="s">
        <v>2113</v>
      </c>
      <c r="D93" s="677">
        <v>376.0</v>
      </c>
      <c r="E93" s="632" t="s">
        <v>3448</v>
      </c>
      <c r="F93" s="678">
        <f t="shared" ref="F93:G93" si="240">H93+J93+L93+N93+P93</f>
        <v>2094</v>
      </c>
      <c r="G93" s="679">
        <f t="shared" si="240"/>
        <v>579</v>
      </c>
      <c r="H93" s="641">
        <v>172.0</v>
      </c>
      <c r="I93" s="680">
        <v>179.0</v>
      </c>
      <c r="J93" s="641">
        <v>621.0</v>
      </c>
      <c r="K93" s="680">
        <v>114.0</v>
      </c>
      <c r="L93" s="641">
        <v>159.0</v>
      </c>
      <c r="M93" s="680">
        <v>70.0</v>
      </c>
      <c r="N93" s="641">
        <v>454.0</v>
      </c>
      <c r="O93" s="680">
        <v>55.0</v>
      </c>
      <c r="P93" s="641">
        <v>688.0</v>
      </c>
      <c r="Q93" s="680">
        <v>161.0</v>
      </c>
      <c r="R93" s="681" t="s">
        <v>714</v>
      </c>
      <c r="S93" s="682">
        <f t="shared" si="10"/>
        <v>2094</v>
      </c>
      <c r="T93" s="683"/>
      <c r="U93" s="625">
        <f t="shared" si="229"/>
        <v>172</v>
      </c>
      <c r="V93" s="625">
        <f t="shared" si="230"/>
        <v>621</v>
      </c>
      <c r="W93" s="625">
        <f t="shared" si="231"/>
        <v>159</v>
      </c>
      <c r="X93" s="625">
        <f t="shared" si="232"/>
        <v>454</v>
      </c>
      <c r="Y93" s="625">
        <f t="shared" si="233"/>
        <v>688</v>
      </c>
      <c r="Z93" s="656">
        <f t="shared" si="16"/>
        <v>579</v>
      </c>
      <c r="AA93" s="683"/>
      <c r="AB93" s="625">
        <f t="shared" si="234"/>
        <v>179</v>
      </c>
      <c r="AC93" s="625">
        <f t="shared" si="235"/>
        <v>114</v>
      </c>
      <c r="AD93" s="625">
        <f t="shared" si="236"/>
        <v>70</v>
      </c>
      <c r="AE93" s="625">
        <f t="shared" si="237"/>
        <v>55</v>
      </c>
      <c r="AF93" s="625">
        <f t="shared" si="238"/>
        <v>161</v>
      </c>
      <c r="AG93" s="657">
        <f t="shared" si="22"/>
        <v>0.276504298</v>
      </c>
      <c r="AH93" s="165"/>
      <c r="AI93" s="165">
        <f t="shared" ref="AI93:AM93" si="241">AB93/U93</f>
        <v>1.040697674</v>
      </c>
      <c r="AJ93" s="165">
        <f t="shared" si="241"/>
        <v>0.1835748792</v>
      </c>
      <c r="AK93" s="165">
        <f t="shared" si="241"/>
        <v>0.4402515723</v>
      </c>
      <c r="AL93" s="165">
        <f t="shared" si="241"/>
        <v>0.1211453744</v>
      </c>
      <c r="AM93" s="165">
        <f t="shared" si="241"/>
        <v>0.2340116279</v>
      </c>
      <c r="AN93" s="684">
        <f t="shared" si="24"/>
        <v>2787</v>
      </c>
      <c r="AO93" s="625"/>
      <c r="AP93" s="625">
        <v>1002.0</v>
      </c>
      <c r="AQ93" s="625">
        <v>1000.0</v>
      </c>
      <c r="AR93" s="625">
        <v>60.0</v>
      </c>
      <c r="AS93" s="625">
        <v>325.0</v>
      </c>
      <c r="AT93" s="625">
        <v>400.0</v>
      </c>
      <c r="AU93" s="684">
        <f t="shared" si="218"/>
        <v>1775</v>
      </c>
      <c r="AV93" s="625"/>
      <c r="AW93" s="625">
        <v>381.0</v>
      </c>
      <c r="AX93" s="625">
        <v>375.0</v>
      </c>
      <c r="AY93" s="625">
        <v>358.0</v>
      </c>
      <c r="AZ93" s="625">
        <v>343.0</v>
      </c>
      <c r="BA93" s="693">
        <v>318.0</v>
      </c>
      <c r="BB93" s="631"/>
      <c r="BC93" s="189" t="s">
        <v>695</v>
      </c>
      <c r="BD93" s="186" t="s">
        <v>3303</v>
      </c>
      <c r="BE93" s="179" t="s">
        <v>3304</v>
      </c>
      <c r="BF93" s="179" t="s">
        <v>3305</v>
      </c>
      <c r="BG93" s="179" t="s">
        <v>3306</v>
      </c>
      <c r="BH93" s="179" t="s">
        <v>3307</v>
      </c>
      <c r="BI93" s="179" t="s">
        <v>3308</v>
      </c>
      <c r="BJ93" s="179"/>
      <c r="BK93" s="646"/>
      <c r="BL93" s="179" t="b">
        <f t="shared" si="26"/>
        <v>1</v>
      </c>
      <c r="BM93" s="179" t="b">
        <f t="shared" si="27"/>
        <v>1</v>
      </c>
      <c r="BN93" s="688" t="b">
        <f t="shared" si="28"/>
        <v>1</v>
      </c>
    </row>
    <row r="94">
      <c r="A94" s="696" t="s">
        <v>1534</v>
      </c>
      <c r="B94" s="186" t="s">
        <v>3449</v>
      </c>
      <c r="C94" s="676" t="s">
        <v>2113</v>
      </c>
      <c r="D94" s="677">
        <v>293.0</v>
      </c>
      <c r="E94" s="632" t="s">
        <v>77</v>
      </c>
      <c r="F94" s="678">
        <f t="shared" ref="F94:G94" si="242">H94+J94+L94+N94+P94</f>
        <v>2045.29</v>
      </c>
      <c r="G94" s="679">
        <f t="shared" si="242"/>
        <v>199.29</v>
      </c>
      <c r="H94" s="641">
        <v>273.49</v>
      </c>
      <c r="I94" s="680">
        <v>123.59</v>
      </c>
      <c r="J94" s="641">
        <v>266.96</v>
      </c>
      <c r="K94" s="680">
        <v>20.16</v>
      </c>
      <c r="L94" s="641">
        <v>94.62</v>
      </c>
      <c r="M94" s="680">
        <v>-49.78</v>
      </c>
      <c r="N94" s="641">
        <v>709.33</v>
      </c>
      <c r="O94" s="680">
        <v>95.23</v>
      </c>
      <c r="P94" s="641">
        <v>700.89</v>
      </c>
      <c r="Q94" s="680">
        <v>10.09</v>
      </c>
      <c r="R94" s="681" t="s">
        <v>719</v>
      </c>
      <c r="S94" s="682">
        <f t="shared" si="10"/>
        <v>2045.29</v>
      </c>
      <c r="T94" s="683"/>
      <c r="U94" s="625">
        <f t="shared" si="229"/>
        <v>273.49</v>
      </c>
      <c r="V94" s="625">
        <f t="shared" si="230"/>
        <v>266.96</v>
      </c>
      <c r="W94" s="625">
        <f t="shared" si="231"/>
        <v>94.62</v>
      </c>
      <c r="X94" s="625">
        <f t="shared" si="232"/>
        <v>709.33</v>
      </c>
      <c r="Y94" s="625">
        <f t="shared" si="233"/>
        <v>700.89</v>
      </c>
      <c r="Z94" s="656">
        <f t="shared" si="16"/>
        <v>199.29</v>
      </c>
      <c r="AA94" s="683"/>
      <c r="AB94" s="625">
        <f t="shared" si="234"/>
        <v>123.59</v>
      </c>
      <c r="AC94" s="625">
        <f t="shared" si="235"/>
        <v>20.16</v>
      </c>
      <c r="AD94" s="625">
        <f t="shared" si="236"/>
        <v>-49.78</v>
      </c>
      <c r="AE94" s="625">
        <f t="shared" si="237"/>
        <v>95.23</v>
      </c>
      <c r="AF94" s="625">
        <f t="shared" si="238"/>
        <v>10.09</v>
      </c>
      <c r="AG94" s="657">
        <f t="shared" si="22"/>
        <v>0.09743850505</v>
      </c>
      <c r="AH94" s="165"/>
      <c r="AI94" s="165">
        <f t="shared" ref="AI94:AM94" si="243">AB94/U94</f>
        <v>0.451899521</v>
      </c>
      <c r="AJ94" s="165">
        <f t="shared" si="243"/>
        <v>0.07551693138</v>
      </c>
      <c r="AK94" s="165">
        <f t="shared" si="243"/>
        <v>-0.5261044177</v>
      </c>
      <c r="AL94" s="165">
        <f t="shared" si="243"/>
        <v>0.1342534504</v>
      </c>
      <c r="AM94" s="165">
        <f t="shared" si="243"/>
        <v>0.01439598225</v>
      </c>
      <c r="AN94" s="684">
        <f t="shared" si="24"/>
        <v>1687</v>
      </c>
      <c r="AO94" s="641">
        <v>13.7</v>
      </c>
      <c r="AP94" s="625">
        <v>518.0</v>
      </c>
      <c r="AQ94" s="625">
        <v>107.0</v>
      </c>
      <c r="AR94" s="625">
        <v>146.0</v>
      </c>
      <c r="AS94" s="625">
        <v>354.0</v>
      </c>
      <c r="AT94" s="625">
        <v>562.0</v>
      </c>
      <c r="AU94" s="684">
        <f t="shared" si="218"/>
        <v>2777.7</v>
      </c>
      <c r="AV94" s="641">
        <v>617.3</v>
      </c>
      <c r="AW94" s="625">
        <v>602.8</v>
      </c>
      <c r="AX94" s="625">
        <v>566.4</v>
      </c>
      <c r="AY94" s="625">
        <v>560.8</v>
      </c>
      <c r="AZ94" s="625">
        <v>552.9</v>
      </c>
      <c r="BA94" s="693">
        <v>494.8</v>
      </c>
      <c r="BB94" s="631"/>
      <c r="BC94" s="189" t="s">
        <v>695</v>
      </c>
      <c r="BD94" s="186" t="s">
        <v>3303</v>
      </c>
      <c r="BE94" s="179" t="s">
        <v>3304</v>
      </c>
      <c r="BF94" s="179" t="s">
        <v>3305</v>
      </c>
      <c r="BG94" s="179" t="s">
        <v>3306</v>
      </c>
      <c r="BH94" s="179" t="s">
        <v>3307</v>
      </c>
      <c r="BI94" s="179" t="s">
        <v>3308</v>
      </c>
      <c r="BJ94" s="179"/>
      <c r="BK94" s="631"/>
      <c r="BL94" s="179" t="b">
        <f t="shared" si="26"/>
        <v>1</v>
      </c>
      <c r="BM94" s="179" t="b">
        <f t="shared" si="27"/>
        <v>1</v>
      </c>
      <c r="BN94" s="688" t="b">
        <f t="shared" si="28"/>
        <v>1</v>
      </c>
    </row>
    <row r="95">
      <c r="A95" s="675" t="s">
        <v>3301</v>
      </c>
      <c r="B95" s="186" t="s">
        <v>3450</v>
      </c>
      <c r="C95" s="676" t="s">
        <v>2113</v>
      </c>
      <c r="D95" s="677">
        <v>22.0</v>
      </c>
      <c r="E95" s="714" t="s">
        <v>1231</v>
      </c>
      <c r="F95" s="678">
        <f t="shared" ref="F95:G95" si="244">H95+J95+L95+N95+P95</f>
        <v>32018</v>
      </c>
      <c r="G95" s="679">
        <f t="shared" si="244"/>
        <v>6832</v>
      </c>
      <c r="H95" s="641">
        <v>7590.0</v>
      </c>
      <c r="I95" s="680">
        <v>1469.0</v>
      </c>
      <c r="J95" s="641">
        <v>7760.0</v>
      </c>
      <c r="K95" s="680">
        <v>1485.0</v>
      </c>
      <c r="L95" s="641">
        <v>5777.0</v>
      </c>
      <c r="M95" s="680">
        <v>1731.0</v>
      </c>
      <c r="N95" s="641">
        <v>5901.0</v>
      </c>
      <c r="O95" s="680">
        <v>1019.0</v>
      </c>
      <c r="P95" s="641">
        <v>4990.0</v>
      </c>
      <c r="Q95" s="680">
        <v>1128.0</v>
      </c>
      <c r="R95" s="681" t="s">
        <v>3365</v>
      </c>
      <c r="S95" s="682">
        <f t="shared" si="10"/>
        <v>32018</v>
      </c>
      <c r="T95" s="683"/>
      <c r="U95" s="625">
        <f t="shared" si="229"/>
        <v>7590</v>
      </c>
      <c r="V95" s="625">
        <f t="shared" si="230"/>
        <v>7760</v>
      </c>
      <c r="W95" s="625">
        <f t="shared" si="231"/>
        <v>5777</v>
      </c>
      <c r="X95" s="625">
        <f t="shared" si="232"/>
        <v>5901</v>
      </c>
      <c r="Y95" s="625">
        <f t="shared" si="233"/>
        <v>4990</v>
      </c>
      <c r="Z95" s="656">
        <f t="shared" si="16"/>
        <v>6832</v>
      </c>
      <c r="AA95" s="683"/>
      <c r="AB95" s="625">
        <f t="shared" si="234"/>
        <v>1469</v>
      </c>
      <c r="AC95" s="625">
        <f t="shared" si="235"/>
        <v>1485</v>
      </c>
      <c r="AD95" s="625">
        <f t="shared" si="236"/>
        <v>1731</v>
      </c>
      <c r="AE95" s="625">
        <f t="shared" si="237"/>
        <v>1019</v>
      </c>
      <c r="AF95" s="625">
        <f t="shared" si="238"/>
        <v>1128</v>
      </c>
      <c r="AG95" s="657">
        <f t="shared" si="22"/>
        <v>0.2133799738</v>
      </c>
      <c r="AH95" s="165"/>
      <c r="AI95" s="165">
        <f t="shared" ref="AI95:AM95" si="245">AB95/U95</f>
        <v>0.193544137</v>
      </c>
      <c r="AJ95" s="165">
        <f t="shared" si="245"/>
        <v>0.1913659794</v>
      </c>
      <c r="AK95" s="165">
        <f t="shared" si="245"/>
        <v>0.2996364895</v>
      </c>
      <c r="AL95" s="165">
        <f t="shared" si="245"/>
        <v>0.1726825962</v>
      </c>
      <c r="AM95" s="165">
        <f t="shared" si="245"/>
        <v>0.2260521042</v>
      </c>
      <c r="AN95" s="684">
        <f t="shared" si="24"/>
        <v>10302</v>
      </c>
      <c r="AO95" s="685">
        <v>2676.0</v>
      </c>
      <c r="AP95" s="180">
        <v>2316.0</v>
      </c>
      <c r="AQ95" s="180">
        <v>1900.0</v>
      </c>
      <c r="AR95" s="180">
        <v>2700.0</v>
      </c>
      <c r="AS95" s="180">
        <v>1701.0</v>
      </c>
      <c r="AT95" s="180">
        <v>1685.0</v>
      </c>
      <c r="AU95" s="684">
        <f t="shared" si="218"/>
        <v>4881</v>
      </c>
      <c r="AV95" s="685">
        <v>1395.0</v>
      </c>
      <c r="AW95" s="180">
        <v>1229.0</v>
      </c>
      <c r="AX95" s="180">
        <v>1104.0</v>
      </c>
      <c r="AY95" s="180">
        <v>954.0</v>
      </c>
      <c r="AZ95" s="180">
        <v>818.0</v>
      </c>
      <c r="BA95" s="686">
        <v>776.0</v>
      </c>
      <c r="BB95" s="631"/>
      <c r="BC95" s="202" t="s">
        <v>695</v>
      </c>
      <c r="BD95" s="186" t="s">
        <v>3303</v>
      </c>
      <c r="BE95" s="186" t="s">
        <v>3304</v>
      </c>
      <c r="BF95" s="186" t="s">
        <v>3305</v>
      </c>
      <c r="BG95" s="186" t="s">
        <v>3306</v>
      </c>
      <c r="BH95" s="186" t="s">
        <v>3307</v>
      </c>
      <c r="BI95" s="186" t="s">
        <v>3308</v>
      </c>
      <c r="BJ95" s="179"/>
      <c r="BK95" s="631"/>
      <c r="BL95" s="179" t="b">
        <f t="shared" si="26"/>
        <v>1</v>
      </c>
      <c r="BM95" s="179" t="b">
        <f t="shared" si="27"/>
        <v>1</v>
      </c>
      <c r="BN95" s="688" t="b">
        <f t="shared" si="28"/>
        <v>0</v>
      </c>
    </row>
    <row r="96">
      <c r="A96" s="689"/>
      <c r="B96" s="186" t="s">
        <v>3451</v>
      </c>
      <c r="C96" s="676" t="s">
        <v>2113</v>
      </c>
      <c r="D96" s="677">
        <v>369.0</v>
      </c>
      <c r="E96" s="632" t="s">
        <v>3452</v>
      </c>
      <c r="F96" s="678">
        <f t="shared" ref="F96:G96" si="246">H96+J96+L96+N96+P96</f>
        <v>2078.03</v>
      </c>
      <c r="G96" s="679">
        <f t="shared" si="246"/>
        <v>476.29</v>
      </c>
      <c r="H96" s="641">
        <v>486.73</v>
      </c>
      <c r="I96" s="680">
        <v>100.61</v>
      </c>
      <c r="J96" s="641">
        <v>461.54</v>
      </c>
      <c r="K96" s="680">
        <v>95.68</v>
      </c>
      <c r="L96" s="641">
        <v>383.26</v>
      </c>
      <c r="M96" s="680">
        <v>115.53</v>
      </c>
      <c r="N96" s="641">
        <v>399.15</v>
      </c>
      <c r="O96" s="680">
        <v>89.16</v>
      </c>
      <c r="P96" s="641">
        <v>347.35</v>
      </c>
      <c r="Q96" s="680">
        <v>75.31</v>
      </c>
      <c r="R96" s="681" t="s">
        <v>700</v>
      </c>
      <c r="S96" s="682">
        <f t="shared" si="10"/>
        <v>2078.03</v>
      </c>
      <c r="T96" s="683"/>
      <c r="U96" s="625">
        <f t="shared" si="229"/>
        <v>486.73</v>
      </c>
      <c r="V96" s="625">
        <f t="shared" si="230"/>
        <v>461.54</v>
      </c>
      <c r="W96" s="625">
        <f t="shared" si="231"/>
        <v>383.26</v>
      </c>
      <c r="X96" s="625">
        <f t="shared" si="232"/>
        <v>399.15</v>
      </c>
      <c r="Y96" s="625">
        <f t="shared" si="233"/>
        <v>347.35</v>
      </c>
      <c r="Z96" s="656">
        <f t="shared" si="16"/>
        <v>476.29</v>
      </c>
      <c r="AA96" s="683"/>
      <c r="AB96" s="625">
        <f t="shared" si="234"/>
        <v>100.61</v>
      </c>
      <c r="AC96" s="625">
        <f t="shared" si="235"/>
        <v>95.68</v>
      </c>
      <c r="AD96" s="625">
        <f t="shared" si="236"/>
        <v>115.53</v>
      </c>
      <c r="AE96" s="625">
        <f t="shared" si="237"/>
        <v>89.16</v>
      </c>
      <c r="AF96" s="625">
        <f t="shared" si="238"/>
        <v>75.31</v>
      </c>
      <c r="AG96" s="657">
        <f t="shared" si="22"/>
        <v>0.2292026583</v>
      </c>
      <c r="AH96" s="165"/>
      <c r="AI96" s="165">
        <f t="shared" ref="AI96:AM96" si="247">AB96/U96</f>
        <v>0.2067059766</v>
      </c>
      <c r="AJ96" s="165">
        <f t="shared" si="247"/>
        <v>0.2073059756</v>
      </c>
      <c r="AK96" s="165">
        <f t="shared" si="247"/>
        <v>0.3014402755</v>
      </c>
      <c r="AL96" s="165">
        <f t="shared" si="247"/>
        <v>0.2233746712</v>
      </c>
      <c r="AM96" s="165">
        <f t="shared" si="247"/>
        <v>0.2168130128</v>
      </c>
      <c r="AN96" s="684">
        <f t="shared" si="24"/>
        <v>1184.952</v>
      </c>
      <c r="AO96" s="625"/>
      <c r="AP96" s="625">
        <v>660.609</v>
      </c>
      <c r="AQ96" s="625">
        <v>195.546</v>
      </c>
      <c r="AR96" s="625">
        <v>112.553</v>
      </c>
      <c r="AS96" s="625">
        <v>0.0</v>
      </c>
      <c r="AT96" s="625">
        <v>216.244</v>
      </c>
      <c r="AU96" s="684">
        <f t="shared" si="218"/>
        <v>109.61</v>
      </c>
      <c r="AV96" s="625"/>
      <c r="AW96" s="625">
        <v>27.19</v>
      </c>
      <c r="AX96" s="625">
        <v>28.16</v>
      </c>
      <c r="AY96" s="625">
        <v>17.67</v>
      </c>
      <c r="AZ96" s="625">
        <v>17.95</v>
      </c>
      <c r="BA96" s="693">
        <v>18.64</v>
      </c>
      <c r="BB96" s="631"/>
      <c r="BC96" s="189" t="s">
        <v>695</v>
      </c>
      <c r="BD96" s="688" t="s">
        <v>3303</v>
      </c>
      <c r="BE96" s="179" t="s">
        <v>3304</v>
      </c>
      <c r="BF96" s="179" t="s">
        <v>3305</v>
      </c>
      <c r="BG96" s="179" t="s">
        <v>3306</v>
      </c>
      <c r="BH96" s="179" t="s">
        <v>3307</v>
      </c>
      <c r="BI96" s="179" t="s">
        <v>3308</v>
      </c>
      <c r="BJ96" s="179"/>
      <c r="BK96" s="631"/>
      <c r="BL96" s="179" t="b">
        <f t="shared" si="26"/>
        <v>1</v>
      </c>
      <c r="BM96" s="179" t="b">
        <f t="shared" si="27"/>
        <v>1</v>
      </c>
      <c r="BN96" s="688" t="b">
        <f t="shared" si="28"/>
        <v>0</v>
      </c>
    </row>
    <row r="97">
      <c r="A97" s="426"/>
      <c r="B97" s="186" t="s">
        <v>3453</v>
      </c>
      <c r="C97" s="720" t="s">
        <v>2317</v>
      </c>
      <c r="D97" s="677">
        <v>206.0</v>
      </c>
      <c r="E97" s="632" t="s">
        <v>3454</v>
      </c>
      <c r="F97" s="678">
        <f t="shared" ref="F97:G97" si="248">H97+J97+L97+N97+P97</f>
        <v>8781</v>
      </c>
      <c r="G97" s="679">
        <f t="shared" si="248"/>
        <v>1339</v>
      </c>
      <c r="H97" s="641">
        <v>2624.0</v>
      </c>
      <c r="I97" s="680">
        <v>511.0</v>
      </c>
      <c r="J97" s="641">
        <v>1465.0</v>
      </c>
      <c r="K97" s="680">
        <v>152.0</v>
      </c>
      <c r="L97" s="641">
        <v>1345.0</v>
      </c>
      <c r="M97" s="680">
        <v>123.0</v>
      </c>
      <c r="N97" s="641">
        <v>1747.0</v>
      </c>
      <c r="O97" s="680">
        <v>247.0</v>
      </c>
      <c r="P97" s="641">
        <v>1600.0</v>
      </c>
      <c r="Q97" s="680">
        <v>306.0</v>
      </c>
      <c r="R97" s="681" t="s">
        <v>698</v>
      </c>
      <c r="S97" s="682">
        <f t="shared" si="10"/>
        <v>8781</v>
      </c>
      <c r="T97" s="683"/>
      <c r="U97" s="625">
        <f t="shared" si="229"/>
        <v>2624</v>
      </c>
      <c r="V97" s="625">
        <f t="shared" si="230"/>
        <v>1465</v>
      </c>
      <c r="W97" s="625">
        <f t="shared" si="231"/>
        <v>1345</v>
      </c>
      <c r="X97" s="625">
        <f t="shared" si="232"/>
        <v>1747</v>
      </c>
      <c r="Y97" s="625">
        <f t="shared" si="233"/>
        <v>1600</v>
      </c>
      <c r="Z97" s="656">
        <f t="shared" si="16"/>
        <v>1339</v>
      </c>
      <c r="AA97" s="683"/>
      <c r="AB97" s="625">
        <f t="shared" si="234"/>
        <v>511</v>
      </c>
      <c r="AC97" s="625">
        <f t="shared" si="235"/>
        <v>152</v>
      </c>
      <c r="AD97" s="625">
        <f t="shared" si="236"/>
        <v>123</v>
      </c>
      <c r="AE97" s="625">
        <f t="shared" si="237"/>
        <v>247</v>
      </c>
      <c r="AF97" s="625">
        <f t="shared" si="238"/>
        <v>306</v>
      </c>
      <c r="AG97" s="657">
        <f t="shared" si="22"/>
        <v>0.1524883271</v>
      </c>
      <c r="AH97" s="165"/>
      <c r="AI97" s="165">
        <f t="shared" ref="AI97:AM97" si="249">AB97/U97</f>
        <v>0.1947408537</v>
      </c>
      <c r="AJ97" s="165">
        <f t="shared" si="249"/>
        <v>0.1037542662</v>
      </c>
      <c r="AK97" s="165">
        <f t="shared" si="249"/>
        <v>0.09144981413</v>
      </c>
      <c r="AL97" s="165">
        <f t="shared" si="249"/>
        <v>0.1413852318</v>
      </c>
      <c r="AM97" s="165">
        <f t="shared" si="249"/>
        <v>0.19125</v>
      </c>
      <c r="AN97" s="684">
        <f t="shared" si="24"/>
        <v>4192</v>
      </c>
      <c r="AO97" s="641">
        <v>500.0</v>
      </c>
      <c r="AP97" s="625">
        <v>500.0</v>
      </c>
      <c r="AQ97" s="625">
        <v>500.0</v>
      </c>
      <c r="AR97" s="625">
        <v>942.0</v>
      </c>
      <c r="AS97" s="625">
        <v>1250.0</v>
      </c>
      <c r="AT97" s="641">
        <v>1000.0</v>
      </c>
      <c r="AU97" s="684">
        <f t="shared" si="218"/>
        <v>6080</v>
      </c>
      <c r="AV97" s="641">
        <v>1210.0</v>
      </c>
      <c r="AW97" s="625">
        <v>1223.0</v>
      </c>
      <c r="AX97" s="625">
        <v>1210.0</v>
      </c>
      <c r="AY97" s="625">
        <v>1209.0</v>
      </c>
      <c r="AZ97" s="625">
        <v>1209.0</v>
      </c>
      <c r="BA97" s="693">
        <v>1229.0</v>
      </c>
      <c r="BB97" s="631"/>
      <c r="BC97" s="189" t="s">
        <v>695</v>
      </c>
      <c r="BD97" s="186" t="s">
        <v>3303</v>
      </c>
      <c r="BE97" s="179" t="s">
        <v>3304</v>
      </c>
      <c r="BF97" s="179" t="s">
        <v>3305</v>
      </c>
      <c r="BG97" s="179" t="s">
        <v>3306</v>
      </c>
      <c r="BH97" s="179" t="s">
        <v>3307</v>
      </c>
      <c r="BI97" s="179" t="s">
        <v>3308</v>
      </c>
      <c r="BJ97" s="179"/>
      <c r="BK97" s="631"/>
      <c r="BL97" s="179" t="b">
        <f t="shared" si="26"/>
        <v>1</v>
      </c>
      <c r="BM97" s="179" t="b">
        <f t="shared" si="27"/>
        <v>1</v>
      </c>
      <c r="BN97" s="688" t="b">
        <f t="shared" si="28"/>
        <v>1</v>
      </c>
    </row>
    <row r="98">
      <c r="A98" s="696" t="s">
        <v>3327</v>
      </c>
      <c r="B98" s="186" t="s">
        <v>3455</v>
      </c>
      <c r="C98" s="697" t="s">
        <v>2113</v>
      </c>
      <c r="D98" s="677">
        <v>302.0</v>
      </c>
      <c r="E98" s="721" t="s">
        <v>34</v>
      </c>
      <c r="F98" s="654"/>
      <c r="G98" s="706"/>
      <c r="H98" s="707"/>
      <c r="I98" s="706"/>
      <c r="J98" s="707"/>
      <c r="K98" s="706"/>
      <c r="L98" s="707"/>
      <c r="M98" s="706"/>
      <c r="N98" s="707"/>
      <c r="O98" s="706"/>
      <c r="P98" s="707"/>
      <c r="Q98" s="708"/>
      <c r="R98" s="709"/>
      <c r="S98" s="682">
        <f t="shared" si="10"/>
        <v>4507</v>
      </c>
      <c r="T98" s="625"/>
      <c r="U98" s="625">
        <v>1061.0</v>
      </c>
      <c r="V98" s="625">
        <v>1319.0</v>
      </c>
      <c r="W98" s="625">
        <v>1227.0</v>
      </c>
      <c r="X98" s="625">
        <v>1082.0</v>
      </c>
      <c r="Y98" s="625">
        <v>-182.0</v>
      </c>
      <c r="Z98" s="656">
        <f t="shared" si="16"/>
        <v>56</v>
      </c>
      <c r="AA98" s="625"/>
      <c r="AB98" s="625">
        <v>32.0</v>
      </c>
      <c r="AC98" s="625">
        <v>-5.0</v>
      </c>
      <c r="AD98" s="625">
        <v>6.0</v>
      </c>
      <c r="AE98" s="625">
        <v>-14.0</v>
      </c>
      <c r="AF98" s="625">
        <v>37.0</v>
      </c>
      <c r="AG98" s="657">
        <f t="shared" si="22"/>
        <v>0.01242511649</v>
      </c>
      <c r="AH98" s="165"/>
      <c r="AI98" s="165">
        <f t="shared" ref="AI98:AM98" si="250">AB98/U98</f>
        <v>0.0301602262</v>
      </c>
      <c r="AJ98" s="165">
        <f t="shared" si="250"/>
        <v>-0.003790750569</v>
      </c>
      <c r="AK98" s="165">
        <f t="shared" si="250"/>
        <v>0.00488997555</v>
      </c>
      <c r="AL98" s="165">
        <f t="shared" si="250"/>
        <v>-0.01293900185</v>
      </c>
      <c r="AM98" s="165">
        <f t="shared" si="250"/>
        <v>-0.2032967033</v>
      </c>
      <c r="AN98" s="684">
        <f t="shared" si="24"/>
        <v>104</v>
      </c>
      <c r="AO98" s="625">
        <v>0.0</v>
      </c>
      <c r="AP98" s="625">
        <v>0.0</v>
      </c>
      <c r="AQ98" s="625">
        <v>0.0</v>
      </c>
      <c r="AR98" s="625">
        <v>0.0</v>
      </c>
      <c r="AS98" s="641">
        <v>50.0</v>
      </c>
      <c r="AT98" s="641">
        <v>54.0</v>
      </c>
      <c r="AU98" s="684">
        <f t="shared" si="218"/>
        <v>3810</v>
      </c>
      <c r="AV98" s="641">
        <f>918.193+18.319</f>
        <v>936.512</v>
      </c>
      <c r="AW98" s="641">
        <v>860.0</v>
      </c>
      <c r="AX98" s="641">
        <v>793.0</v>
      </c>
      <c r="AY98" s="641">
        <v>767.0</v>
      </c>
      <c r="AZ98" s="641">
        <v>728.0</v>
      </c>
      <c r="BA98" s="691">
        <v>662.0</v>
      </c>
      <c r="BB98" s="722"/>
      <c r="BC98" s="215" t="s">
        <v>695</v>
      </c>
      <c r="BD98" s="186" t="s">
        <v>3303</v>
      </c>
      <c r="BE98" s="179" t="s">
        <v>3304</v>
      </c>
      <c r="BF98" s="179" t="s">
        <v>3305</v>
      </c>
      <c r="BG98" s="179" t="s">
        <v>3306</v>
      </c>
      <c r="BH98" s="179" t="s">
        <v>3307</v>
      </c>
      <c r="BI98" s="179" t="s">
        <v>3308</v>
      </c>
      <c r="BJ98" s="179"/>
      <c r="BK98" s="722"/>
      <c r="BL98" s="179" t="b">
        <f t="shared" si="26"/>
        <v>1</v>
      </c>
      <c r="BM98" s="179" t="b">
        <f t="shared" si="27"/>
        <v>1</v>
      </c>
      <c r="BN98" s="688" t="b">
        <f t="shared" si="28"/>
        <v>1</v>
      </c>
    </row>
    <row r="99">
      <c r="A99" s="689"/>
      <c r="B99" s="186" t="s">
        <v>3456</v>
      </c>
      <c r="C99" s="676" t="s">
        <v>2113</v>
      </c>
      <c r="D99" s="677">
        <v>335.0</v>
      </c>
      <c r="E99" s="632" t="s">
        <v>3457</v>
      </c>
      <c r="F99" s="678">
        <f t="shared" ref="F99:G99" si="251">H99+J99+L99+N99+P99</f>
        <v>7484.57</v>
      </c>
      <c r="G99" s="679">
        <f t="shared" si="251"/>
        <v>354.3</v>
      </c>
      <c r="H99" s="641">
        <v>1852.4</v>
      </c>
      <c r="I99" s="680">
        <v>95.8</v>
      </c>
      <c r="J99" s="641">
        <v>1593.9</v>
      </c>
      <c r="K99" s="680">
        <v>21.5</v>
      </c>
      <c r="L99" s="641">
        <v>1539.8</v>
      </c>
      <c r="M99" s="680">
        <v>73.6</v>
      </c>
      <c r="N99" s="641">
        <v>1179.57</v>
      </c>
      <c r="O99" s="680">
        <v>56.9</v>
      </c>
      <c r="P99" s="641">
        <v>1318.9</v>
      </c>
      <c r="Q99" s="680">
        <v>106.5</v>
      </c>
      <c r="R99" s="681" t="s">
        <v>708</v>
      </c>
      <c r="S99" s="682">
        <f t="shared" si="10"/>
        <v>7484.57</v>
      </c>
      <c r="T99" s="683"/>
      <c r="U99" s="625">
        <f t="shared" ref="U99:U101" si="254">H99</f>
        <v>1852.4</v>
      </c>
      <c r="V99" s="625">
        <f t="shared" ref="V99:V101" si="255">J99</f>
        <v>1593.9</v>
      </c>
      <c r="W99" s="625">
        <f t="shared" ref="W99:W101" si="256">L99</f>
        <v>1539.8</v>
      </c>
      <c r="X99" s="625">
        <f t="shared" ref="X99:X101" si="257">N99</f>
        <v>1179.57</v>
      </c>
      <c r="Y99" s="625">
        <f t="shared" ref="Y99:Y101" si="258">P99</f>
        <v>1318.9</v>
      </c>
      <c r="Z99" s="656">
        <f t="shared" si="16"/>
        <v>354.3</v>
      </c>
      <c r="AA99" s="683"/>
      <c r="AB99" s="625">
        <f t="shared" ref="AB99:AB101" si="259">I99</f>
        <v>95.8</v>
      </c>
      <c r="AC99" s="625">
        <f t="shared" ref="AC99:AC101" si="260">K99</f>
        <v>21.5</v>
      </c>
      <c r="AD99" s="625">
        <f t="shared" ref="AD99:AD101" si="261">M99</f>
        <v>73.6</v>
      </c>
      <c r="AE99" s="625">
        <f t="shared" ref="AE99:AE101" si="262">O99</f>
        <v>56.9</v>
      </c>
      <c r="AF99" s="625">
        <f t="shared" ref="AF99:AF101" si="263">Q99</f>
        <v>106.5</v>
      </c>
      <c r="AG99" s="657">
        <f t="shared" si="22"/>
        <v>0.04733738879</v>
      </c>
      <c r="AH99" s="165"/>
      <c r="AI99" s="165">
        <f t="shared" ref="AI99:AM99" si="252">AB99/U99</f>
        <v>0.05171669186</v>
      </c>
      <c r="AJ99" s="165">
        <f t="shared" si="252"/>
        <v>0.01348892653</v>
      </c>
      <c r="AK99" s="165">
        <f t="shared" si="252"/>
        <v>0.04779841538</v>
      </c>
      <c r="AL99" s="165">
        <f t="shared" si="252"/>
        <v>0.04823791721</v>
      </c>
      <c r="AM99" s="165">
        <f t="shared" si="252"/>
        <v>0.08074910911</v>
      </c>
      <c r="AN99" s="684">
        <f t="shared" si="24"/>
        <v>0</v>
      </c>
      <c r="AO99" s="625"/>
      <c r="AP99" s="625">
        <v>0.0</v>
      </c>
      <c r="AQ99" s="625">
        <v>0.0</v>
      </c>
      <c r="AR99" s="625">
        <v>0.0</v>
      </c>
      <c r="AS99" s="625">
        <v>0.0</v>
      </c>
      <c r="AT99" s="625">
        <v>0.0</v>
      </c>
      <c r="AU99" s="684">
        <f t="shared" si="218"/>
        <v>3713.49</v>
      </c>
      <c r="AV99" s="625"/>
      <c r="AW99" s="625">
        <v>860.03</v>
      </c>
      <c r="AX99" s="625">
        <v>805.44</v>
      </c>
      <c r="AY99" s="625">
        <v>744.67</v>
      </c>
      <c r="AZ99" s="625">
        <v>663.24</v>
      </c>
      <c r="BA99" s="693">
        <v>640.11</v>
      </c>
      <c r="BB99" s="631"/>
      <c r="BC99" s="189" t="s">
        <v>695</v>
      </c>
      <c r="BD99" s="688" t="s">
        <v>3303</v>
      </c>
      <c r="BE99" s="179" t="s">
        <v>3304</v>
      </c>
      <c r="BF99" s="179" t="s">
        <v>3305</v>
      </c>
      <c r="BG99" s="179" t="s">
        <v>3306</v>
      </c>
      <c r="BH99" s="179" t="s">
        <v>3307</v>
      </c>
      <c r="BI99" s="179" t="s">
        <v>3308</v>
      </c>
      <c r="BJ99" s="179"/>
      <c r="BK99" s="631"/>
      <c r="BL99" s="179" t="b">
        <f t="shared" si="26"/>
        <v>1</v>
      </c>
      <c r="BM99" s="179" t="b">
        <f t="shared" si="27"/>
        <v>0</v>
      </c>
      <c r="BN99" s="688" t="b">
        <f t="shared" si="28"/>
        <v>1</v>
      </c>
    </row>
    <row r="100">
      <c r="A100" s="696" t="s">
        <v>1534</v>
      </c>
      <c r="B100" s="186" t="s">
        <v>3458</v>
      </c>
      <c r="C100" s="676" t="s">
        <v>2113</v>
      </c>
      <c r="D100" s="677">
        <v>218.0</v>
      </c>
      <c r="E100" s="632" t="s">
        <v>58</v>
      </c>
      <c r="F100" s="678">
        <f t="shared" ref="F100:G100" si="253">H100+J100+L100+N100+P100</f>
        <v>13096</v>
      </c>
      <c r="G100" s="679">
        <f t="shared" si="253"/>
        <v>635</v>
      </c>
      <c r="H100" s="641">
        <v>2416.0</v>
      </c>
      <c r="I100" s="680">
        <v>-24.0</v>
      </c>
      <c r="J100" s="641">
        <v>2176.0</v>
      </c>
      <c r="K100" s="680">
        <v>322.0</v>
      </c>
      <c r="L100" s="641">
        <v>2291.0</v>
      </c>
      <c r="M100" s="680">
        <v>26.0</v>
      </c>
      <c r="N100" s="641">
        <v>3980.0</v>
      </c>
      <c r="O100" s="680">
        <v>85.0</v>
      </c>
      <c r="P100" s="641">
        <v>2233.0</v>
      </c>
      <c r="Q100" s="680">
        <v>226.0</v>
      </c>
      <c r="R100" s="681" t="s">
        <v>710</v>
      </c>
      <c r="S100" s="682">
        <f t="shared" si="10"/>
        <v>13096</v>
      </c>
      <c r="T100" s="683"/>
      <c r="U100" s="625">
        <f t="shared" si="254"/>
        <v>2416</v>
      </c>
      <c r="V100" s="625">
        <f t="shared" si="255"/>
        <v>2176</v>
      </c>
      <c r="W100" s="625">
        <f t="shared" si="256"/>
        <v>2291</v>
      </c>
      <c r="X100" s="625">
        <f t="shared" si="257"/>
        <v>3980</v>
      </c>
      <c r="Y100" s="625">
        <f t="shared" si="258"/>
        <v>2233</v>
      </c>
      <c r="Z100" s="656">
        <f t="shared" si="16"/>
        <v>635</v>
      </c>
      <c r="AA100" s="683"/>
      <c r="AB100" s="625">
        <f t="shared" si="259"/>
        <v>-24</v>
      </c>
      <c r="AC100" s="625">
        <f t="shared" si="260"/>
        <v>322</v>
      </c>
      <c r="AD100" s="625">
        <f t="shared" si="261"/>
        <v>26</v>
      </c>
      <c r="AE100" s="625">
        <f t="shared" si="262"/>
        <v>85</v>
      </c>
      <c r="AF100" s="625">
        <f t="shared" si="263"/>
        <v>226</v>
      </c>
      <c r="AG100" s="657">
        <f t="shared" si="22"/>
        <v>0.04848808797</v>
      </c>
      <c r="AH100" s="165"/>
      <c r="AI100" s="165">
        <f t="shared" ref="AI100:AM100" si="264">AB100/U100</f>
        <v>-0.009933774834</v>
      </c>
      <c r="AJ100" s="165">
        <f t="shared" si="264"/>
        <v>0.1479779412</v>
      </c>
      <c r="AK100" s="165">
        <f t="shared" si="264"/>
        <v>0.011348756</v>
      </c>
      <c r="AL100" s="165">
        <f t="shared" si="264"/>
        <v>0.02135678392</v>
      </c>
      <c r="AM100" s="165">
        <f t="shared" si="264"/>
        <v>0.1012091357</v>
      </c>
      <c r="AN100" s="684">
        <f t="shared" si="24"/>
        <v>0</v>
      </c>
      <c r="AO100" s="180">
        <v>0.0</v>
      </c>
      <c r="AP100" s="180">
        <v>0.0</v>
      </c>
      <c r="AQ100" s="180">
        <v>0.0</v>
      </c>
      <c r="AR100" s="180">
        <v>0.0</v>
      </c>
      <c r="AS100" s="180">
        <v>0.0</v>
      </c>
      <c r="AT100" s="180">
        <v>0.0</v>
      </c>
      <c r="AU100" s="684">
        <f t="shared" si="218"/>
        <v>7063</v>
      </c>
      <c r="AV100" s="685">
        <v>1433.0</v>
      </c>
      <c r="AW100" s="685">
        <v>1334.0</v>
      </c>
      <c r="AX100" s="685">
        <v>1497.0</v>
      </c>
      <c r="AY100" s="685">
        <v>1492.0</v>
      </c>
      <c r="AZ100" s="685">
        <v>1408.0</v>
      </c>
      <c r="BA100" s="710">
        <v>1332.0</v>
      </c>
      <c r="BB100" s="631"/>
      <c r="BC100" s="687" t="s">
        <v>695</v>
      </c>
      <c r="BD100" s="186" t="s">
        <v>3303</v>
      </c>
      <c r="BE100" s="186" t="s">
        <v>3304</v>
      </c>
      <c r="BF100" s="186" t="s">
        <v>3305</v>
      </c>
      <c r="BG100" s="186" t="s">
        <v>3306</v>
      </c>
      <c r="BH100" s="179" t="s">
        <v>3307</v>
      </c>
      <c r="BI100" s="179" t="s">
        <v>3308</v>
      </c>
      <c r="BJ100" s="179"/>
      <c r="BK100" s="646"/>
      <c r="BL100" s="179" t="b">
        <f t="shared" si="26"/>
        <v>1</v>
      </c>
      <c r="BM100" s="179" t="b">
        <f t="shared" si="27"/>
        <v>0</v>
      </c>
      <c r="BN100" s="688" t="b">
        <f t="shared" si="28"/>
        <v>1</v>
      </c>
    </row>
    <row r="101">
      <c r="A101" s="689"/>
      <c r="B101" s="186" t="s">
        <v>3459</v>
      </c>
      <c r="C101" s="676" t="s">
        <v>2113</v>
      </c>
      <c r="D101" s="717">
        <v>245.0</v>
      </c>
      <c r="E101" s="632" t="s">
        <v>3460</v>
      </c>
      <c r="F101" s="678">
        <f t="shared" ref="F101:G101" si="265">H101+J101+L101+N101+P101</f>
        <v>2613.87</v>
      </c>
      <c r="G101" s="679">
        <f t="shared" si="265"/>
        <v>394.87</v>
      </c>
      <c r="H101" s="641">
        <v>924.19</v>
      </c>
      <c r="I101" s="680">
        <v>150.0</v>
      </c>
      <c r="J101" s="641">
        <v>769.01</v>
      </c>
      <c r="K101" s="680">
        <v>127.0</v>
      </c>
      <c r="L101" s="641">
        <v>306.58</v>
      </c>
      <c r="M101" s="680">
        <v>37.55</v>
      </c>
      <c r="N101" s="641">
        <v>314.17</v>
      </c>
      <c r="O101" s="680">
        <v>35.32</v>
      </c>
      <c r="P101" s="641">
        <v>299.92</v>
      </c>
      <c r="Q101" s="680">
        <v>45.0</v>
      </c>
      <c r="R101" s="681" t="s">
        <v>701</v>
      </c>
      <c r="S101" s="682">
        <f t="shared" si="10"/>
        <v>2613.87</v>
      </c>
      <c r="T101" s="683"/>
      <c r="U101" s="625">
        <f t="shared" si="254"/>
        <v>924.19</v>
      </c>
      <c r="V101" s="625">
        <f t="shared" si="255"/>
        <v>769.01</v>
      </c>
      <c r="W101" s="625">
        <f t="shared" si="256"/>
        <v>306.58</v>
      </c>
      <c r="X101" s="625">
        <f t="shared" si="257"/>
        <v>314.17</v>
      </c>
      <c r="Y101" s="625">
        <f t="shared" si="258"/>
        <v>299.92</v>
      </c>
      <c r="Z101" s="656">
        <f t="shared" si="16"/>
        <v>394.87</v>
      </c>
      <c r="AA101" s="683"/>
      <c r="AB101" s="625">
        <f t="shared" si="259"/>
        <v>150</v>
      </c>
      <c r="AC101" s="625">
        <f t="shared" si="260"/>
        <v>127</v>
      </c>
      <c r="AD101" s="625">
        <f t="shared" si="261"/>
        <v>37.55</v>
      </c>
      <c r="AE101" s="625">
        <f t="shared" si="262"/>
        <v>35.32</v>
      </c>
      <c r="AF101" s="625">
        <f t="shared" si="263"/>
        <v>45</v>
      </c>
      <c r="AG101" s="657">
        <f t="shared" si="22"/>
        <v>0.1510671916</v>
      </c>
      <c r="AH101" s="165"/>
      <c r="AI101" s="165">
        <f t="shared" ref="AI101:AM101" si="266">AB101/U101</f>
        <v>0.1623042881</v>
      </c>
      <c r="AJ101" s="165">
        <f t="shared" si="266"/>
        <v>0.1651473973</v>
      </c>
      <c r="AK101" s="165">
        <f t="shared" si="266"/>
        <v>0.1224802662</v>
      </c>
      <c r="AL101" s="165">
        <f t="shared" si="266"/>
        <v>0.1124232104</v>
      </c>
      <c r="AM101" s="165">
        <f t="shared" si="266"/>
        <v>0.1500400107</v>
      </c>
      <c r="AN101" s="684">
        <f t="shared" si="24"/>
        <v>3466</v>
      </c>
      <c r="AO101" s="641">
        <v>1392.886</v>
      </c>
      <c r="AP101" s="625">
        <v>1582.0</v>
      </c>
      <c r="AQ101" s="625">
        <v>515.0</v>
      </c>
      <c r="AR101" s="625">
        <v>332.0</v>
      </c>
      <c r="AS101" s="625">
        <v>389.0</v>
      </c>
      <c r="AT101" s="625">
        <v>648.0</v>
      </c>
      <c r="AU101" s="684">
        <f t="shared" si="218"/>
        <v>911.89</v>
      </c>
      <c r="AV101" s="641">
        <v>202.029</v>
      </c>
      <c r="AW101" s="625">
        <v>213.8</v>
      </c>
      <c r="AX101" s="625">
        <v>195.77</v>
      </c>
      <c r="AY101" s="625">
        <v>174.93</v>
      </c>
      <c r="AZ101" s="625">
        <v>170.55</v>
      </c>
      <c r="BA101" s="693">
        <v>156.84</v>
      </c>
      <c r="BB101" s="631"/>
      <c r="BC101" s="189" t="s">
        <v>695</v>
      </c>
      <c r="BD101" s="186" t="s">
        <v>3303</v>
      </c>
      <c r="BE101" s="179" t="s">
        <v>3304</v>
      </c>
      <c r="BF101" s="179" t="s">
        <v>3305</v>
      </c>
      <c r="BG101" s="179" t="s">
        <v>3306</v>
      </c>
      <c r="BH101" s="179" t="s">
        <v>3307</v>
      </c>
      <c r="BI101" s="179" t="s">
        <v>3308</v>
      </c>
      <c r="BJ101" s="179"/>
      <c r="BK101" s="631"/>
      <c r="BL101" s="179" t="b">
        <f t="shared" si="26"/>
        <v>1</v>
      </c>
      <c r="BM101" s="179" t="b">
        <f t="shared" si="27"/>
        <v>1</v>
      </c>
      <c r="BN101" s="688" t="b">
        <f t="shared" si="28"/>
        <v>1</v>
      </c>
    </row>
    <row r="102">
      <c r="A102" s="675" t="s">
        <v>3333</v>
      </c>
      <c r="B102" s="186" t="s">
        <v>3461</v>
      </c>
      <c r="C102" s="697" t="s">
        <v>2113</v>
      </c>
      <c r="D102" s="677">
        <v>3.0</v>
      </c>
      <c r="E102" s="205" t="s">
        <v>1222</v>
      </c>
      <c r="F102" s="678"/>
      <c r="G102" s="679"/>
      <c r="H102" s="641"/>
      <c r="I102" s="680"/>
      <c r="J102" s="641"/>
      <c r="K102" s="680"/>
      <c r="L102" s="641"/>
      <c r="M102" s="680"/>
      <c r="N102" s="641"/>
      <c r="O102" s="680"/>
      <c r="P102" s="641"/>
      <c r="Q102" s="680"/>
      <c r="R102" s="632"/>
      <c r="S102" s="682">
        <f t="shared" si="10"/>
        <v>14790</v>
      </c>
      <c r="T102" s="180"/>
      <c r="U102" s="180">
        <v>27520.0</v>
      </c>
      <c r="V102" s="180">
        <v>9008.0</v>
      </c>
      <c r="W102" s="180">
        <v>-26941.0</v>
      </c>
      <c r="X102" s="180">
        <v>129.0</v>
      </c>
      <c r="Y102" s="180">
        <v>5074.0</v>
      </c>
      <c r="Z102" s="656">
        <f t="shared" si="16"/>
        <v>1532</v>
      </c>
      <c r="AA102" s="180"/>
      <c r="AB102" s="723">
        <v>696.0</v>
      </c>
      <c r="AC102" s="723">
        <v>236.0</v>
      </c>
      <c r="AD102" s="723">
        <v>262.0</v>
      </c>
      <c r="AE102" s="723">
        <v>-121.0</v>
      </c>
      <c r="AF102" s="723">
        <v>459.0</v>
      </c>
      <c r="AG102" s="657">
        <f t="shared" si="22"/>
        <v>0.1035835024</v>
      </c>
      <c r="AH102" s="165"/>
      <c r="AI102" s="165">
        <f t="shared" ref="AI102:AM102" si="267">AB102/U102</f>
        <v>0.02529069767</v>
      </c>
      <c r="AJ102" s="165">
        <f t="shared" si="267"/>
        <v>0.02619893428</v>
      </c>
      <c r="AK102" s="165">
        <f t="shared" si="267"/>
        <v>-0.00972495453</v>
      </c>
      <c r="AL102" s="165">
        <f t="shared" si="267"/>
        <v>-0.9379844961</v>
      </c>
      <c r="AM102" s="165">
        <f t="shared" si="267"/>
        <v>0.09046117462</v>
      </c>
      <c r="AN102" s="684">
        <f t="shared" si="24"/>
        <v>16935</v>
      </c>
      <c r="AO102" s="685">
        <v>17748.0</v>
      </c>
      <c r="AP102" s="180">
        <v>15155.0</v>
      </c>
      <c r="AQ102" s="180">
        <v>155.0</v>
      </c>
      <c r="AR102" s="180">
        <v>405.0</v>
      </c>
      <c r="AS102" s="180">
        <v>594.0</v>
      </c>
      <c r="AT102" s="180">
        <v>626.0</v>
      </c>
      <c r="AU102" s="684">
        <f t="shared" si="218"/>
        <v>74292</v>
      </c>
      <c r="AV102" s="180">
        <f>14941+531</f>
        <v>15472</v>
      </c>
      <c r="AW102" s="180">
        <v>15206.0</v>
      </c>
      <c r="AX102" s="180">
        <v>15148.0</v>
      </c>
      <c r="AY102" s="180">
        <v>15053.0</v>
      </c>
      <c r="AZ102" s="180">
        <v>14844.0</v>
      </c>
      <c r="BA102" s="686">
        <v>14041.0</v>
      </c>
      <c r="BB102" s="685"/>
      <c r="BC102" s="712" t="s">
        <v>695</v>
      </c>
      <c r="BD102" s="186" t="s">
        <v>3303</v>
      </c>
      <c r="BE102" s="695" t="s">
        <v>3304</v>
      </c>
      <c r="BF102" s="695" t="s">
        <v>3305</v>
      </c>
      <c r="BG102" s="695" t="s">
        <v>3306</v>
      </c>
      <c r="BH102" s="695" t="s">
        <v>3307</v>
      </c>
      <c r="BI102" s="695" t="s">
        <v>3308</v>
      </c>
      <c r="BJ102" s="179"/>
      <c r="BK102" s="685"/>
      <c r="BL102" s="179" t="b">
        <f t="shared" si="26"/>
        <v>1</v>
      </c>
      <c r="BM102" s="179" t="b">
        <f t="shared" si="27"/>
        <v>1</v>
      </c>
      <c r="BN102" s="688" t="b">
        <f t="shared" si="28"/>
        <v>1</v>
      </c>
    </row>
    <row r="103">
      <c r="A103" s="696" t="s">
        <v>1534</v>
      </c>
      <c r="B103" s="186" t="s">
        <v>3462</v>
      </c>
      <c r="C103" s="676" t="s">
        <v>3404</v>
      </c>
      <c r="D103" s="677">
        <v>41.0</v>
      </c>
      <c r="E103" s="632" t="s">
        <v>56</v>
      </c>
      <c r="F103" s="678">
        <f t="shared" ref="F103:G103" si="268">H103+J103+L103+N103+P103</f>
        <v>16228.85</v>
      </c>
      <c r="G103" s="679">
        <f t="shared" si="268"/>
        <v>752</v>
      </c>
      <c r="H103" s="641">
        <v>4606.0</v>
      </c>
      <c r="I103" s="680">
        <v>579.0</v>
      </c>
      <c r="J103" s="641">
        <v>3376.0</v>
      </c>
      <c r="K103" s="680">
        <v>311.0</v>
      </c>
      <c r="L103" s="641">
        <v>4716.0</v>
      </c>
      <c r="M103" s="680">
        <v>199.0</v>
      </c>
      <c r="N103" s="641">
        <v>1218.35</v>
      </c>
      <c r="O103" s="680">
        <v>-230.0</v>
      </c>
      <c r="P103" s="641">
        <v>2312.5</v>
      </c>
      <c r="Q103" s="680">
        <v>-107.0</v>
      </c>
      <c r="R103" s="681" t="s">
        <v>714</v>
      </c>
      <c r="S103" s="682">
        <f t="shared" si="10"/>
        <v>16228.85</v>
      </c>
      <c r="T103" s="683"/>
      <c r="U103" s="625">
        <f t="shared" ref="U103:U107" si="271">H103</f>
        <v>4606</v>
      </c>
      <c r="V103" s="625">
        <f t="shared" ref="V103:V107" si="272">J103</f>
        <v>3376</v>
      </c>
      <c r="W103" s="625">
        <f t="shared" ref="W103:W107" si="273">L103</f>
        <v>4716</v>
      </c>
      <c r="X103" s="625">
        <f t="shared" ref="X103:X107" si="274">N103</f>
        <v>1218.35</v>
      </c>
      <c r="Y103" s="625">
        <f t="shared" ref="Y103:Y107" si="275">P103</f>
        <v>2312.5</v>
      </c>
      <c r="Z103" s="656">
        <f t="shared" si="16"/>
        <v>752</v>
      </c>
      <c r="AA103" s="683"/>
      <c r="AB103" s="625">
        <f t="shared" ref="AB103:AB107" si="276">I103</f>
        <v>579</v>
      </c>
      <c r="AC103" s="625">
        <f t="shared" ref="AC103:AC107" si="277">K103</f>
        <v>311</v>
      </c>
      <c r="AD103" s="625">
        <f t="shared" ref="AD103:AD107" si="278">M103</f>
        <v>199</v>
      </c>
      <c r="AE103" s="625">
        <f t="shared" ref="AE103:AE107" si="279">O103</f>
        <v>-230</v>
      </c>
      <c r="AF103" s="625">
        <f t="shared" ref="AF103:AF107" si="280">Q103</f>
        <v>-107</v>
      </c>
      <c r="AG103" s="657">
        <f t="shared" si="22"/>
        <v>0.04633723277</v>
      </c>
      <c r="AH103" s="165"/>
      <c r="AI103" s="165">
        <f t="shared" ref="AI103:AM103" si="269">AB103/U103</f>
        <v>0.1257056014</v>
      </c>
      <c r="AJ103" s="165">
        <f t="shared" si="269"/>
        <v>0.09212085308</v>
      </c>
      <c r="AK103" s="165">
        <f t="shared" si="269"/>
        <v>0.04219677693</v>
      </c>
      <c r="AL103" s="165">
        <f t="shared" si="269"/>
        <v>-0.1887799073</v>
      </c>
      <c r="AM103" s="165">
        <f t="shared" si="269"/>
        <v>-0.04627027027</v>
      </c>
      <c r="AN103" s="684">
        <f t="shared" si="24"/>
        <v>5231</v>
      </c>
      <c r="AO103" s="685"/>
      <c r="AP103" s="685">
        <v>1500.0</v>
      </c>
      <c r="AQ103" s="180">
        <v>2248.0</v>
      </c>
      <c r="AR103" s="180">
        <v>0.0</v>
      </c>
      <c r="AS103" s="180">
        <v>3.0</v>
      </c>
      <c r="AT103" s="180">
        <v>1480.0</v>
      </c>
      <c r="AU103" s="684">
        <f t="shared" si="218"/>
        <v>4018</v>
      </c>
      <c r="AV103" s="685"/>
      <c r="AW103" s="685">
        <v>1177.0</v>
      </c>
      <c r="AX103" s="180">
        <v>793.0</v>
      </c>
      <c r="AY103" s="180">
        <v>686.0</v>
      </c>
      <c r="AZ103" s="180">
        <v>679.0</v>
      </c>
      <c r="BA103" s="686">
        <v>683.0</v>
      </c>
      <c r="BB103" s="631"/>
      <c r="BC103" s="186" t="s">
        <v>695</v>
      </c>
      <c r="BD103" s="688" t="s">
        <v>3303</v>
      </c>
      <c r="BE103" s="186" t="s">
        <v>3304</v>
      </c>
      <c r="BF103" s="186" t="s">
        <v>3305</v>
      </c>
      <c r="BG103" s="186" t="s">
        <v>3306</v>
      </c>
      <c r="BH103" s="186" t="s">
        <v>3307</v>
      </c>
      <c r="BI103" s="186" t="s">
        <v>3308</v>
      </c>
      <c r="BJ103" s="179"/>
      <c r="BK103" s="631"/>
      <c r="BL103" s="179" t="b">
        <f t="shared" si="26"/>
        <v>1</v>
      </c>
      <c r="BM103" s="179" t="b">
        <f t="shared" si="27"/>
        <v>1</v>
      </c>
      <c r="BN103" s="688" t="b">
        <f t="shared" si="28"/>
        <v>1</v>
      </c>
    </row>
    <row r="104">
      <c r="A104" s="675" t="s">
        <v>3301</v>
      </c>
      <c r="B104" s="186" t="s">
        <v>3463</v>
      </c>
      <c r="C104" s="676" t="s">
        <v>2113</v>
      </c>
      <c r="D104" s="677">
        <v>411.0</v>
      </c>
      <c r="E104" s="632" t="s">
        <v>1211</v>
      </c>
      <c r="F104" s="678">
        <f t="shared" ref="F104:G104" si="270">H104+J104+L104+N104+P104</f>
        <v>14772</v>
      </c>
      <c r="G104" s="679">
        <f t="shared" si="270"/>
        <v>2941</v>
      </c>
      <c r="H104" s="641">
        <v>3225.0</v>
      </c>
      <c r="I104" s="680">
        <v>570.0</v>
      </c>
      <c r="J104" s="641">
        <v>2846.0</v>
      </c>
      <c r="K104" s="680">
        <v>657.0</v>
      </c>
      <c r="L104" s="641">
        <v>2979.0</v>
      </c>
      <c r="M104" s="680">
        <v>463.0</v>
      </c>
      <c r="N104" s="641">
        <v>3153.0</v>
      </c>
      <c r="O104" s="680">
        <v>788.0</v>
      </c>
      <c r="P104" s="641">
        <v>2569.0</v>
      </c>
      <c r="Q104" s="680">
        <v>463.0</v>
      </c>
      <c r="R104" s="681" t="s">
        <v>707</v>
      </c>
      <c r="S104" s="682">
        <f t="shared" si="10"/>
        <v>14772</v>
      </c>
      <c r="T104" s="683"/>
      <c r="U104" s="625">
        <f t="shared" si="271"/>
        <v>3225</v>
      </c>
      <c r="V104" s="625">
        <f t="shared" si="272"/>
        <v>2846</v>
      </c>
      <c r="W104" s="625">
        <f t="shared" si="273"/>
        <v>2979</v>
      </c>
      <c r="X104" s="625">
        <f t="shared" si="274"/>
        <v>3153</v>
      </c>
      <c r="Y104" s="625">
        <f t="shared" si="275"/>
        <v>2569</v>
      </c>
      <c r="Z104" s="656">
        <f t="shared" si="16"/>
        <v>2941</v>
      </c>
      <c r="AA104" s="683"/>
      <c r="AB104" s="625">
        <f t="shared" si="276"/>
        <v>570</v>
      </c>
      <c r="AC104" s="625">
        <f t="shared" si="277"/>
        <v>657</v>
      </c>
      <c r="AD104" s="625">
        <f t="shared" si="278"/>
        <v>463</v>
      </c>
      <c r="AE104" s="625">
        <f t="shared" si="279"/>
        <v>788</v>
      </c>
      <c r="AF104" s="625">
        <f t="shared" si="280"/>
        <v>463</v>
      </c>
      <c r="AG104" s="657">
        <f t="shared" si="22"/>
        <v>0.1990928784</v>
      </c>
      <c r="AH104" s="165"/>
      <c r="AI104" s="165">
        <f t="shared" ref="AI104:AM104" si="281">AB104/U104</f>
        <v>0.176744186</v>
      </c>
      <c r="AJ104" s="165">
        <f t="shared" si="281"/>
        <v>0.2308503162</v>
      </c>
      <c r="AK104" s="165">
        <f t="shared" si="281"/>
        <v>0.1554212823</v>
      </c>
      <c r="AL104" s="165">
        <f t="shared" si="281"/>
        <v>0.2499207104</v>
      </c>
      <c r="AM104" s="165">
        <f t="shared" si="281"/>
        <v>0.1802257688</v>
      </c>
      <c r="AN104" s="684">
        <f t="shared" si="24"/>
        <v>4709</v>
      </c>
      <c r="AO104" s="641"/>
      <c r="AP104" s="641">
        <v>100.0</v>
      </c>
      <c r="AQ104" s="641">
        <v>1393.0</v>
      </c>
      <c r="AR104" s="641">
        <v>0.0</v>
      </c>
      <c r="AS104" s="641">
        <v>1763.0</v>
      </c>
      <c r="AT104" s="641">
        <v>1453.0</v>
      </c>
      <c r="AU104" s="684">
        <f t="shared" si="218"/>
        <v>4000</v>
      </c>
      <c r="AV104" s="625"/>
      <c r="AW104" s="625">
        <v>927.0</v>
      </c>
      <c r="AX104" s="625">
        <v>897.0</v>
      </c>
      <c r="AY104" s="625">
        <v>858.0</v>
      </c>
      <c r="AZ104" s="625">
        <v>753.0</v>
      </c>
      <c r="BA104" s="693">
        <v>565.0</v>
      </c>
      <c r="BB104" s="631"/>
      <c r="BC104" s="189" t="s">
        <v>695</v>
      </c>
      <c r="BD104" s="688" t="s">
        <v>3303</v>
      </c>
      <c r="BE104" s="179" t="s">
        <v>3304</v>
      </c>
      <c r="BF104" s="179" t="s">
        <v>3305</v>
      </c>
      <c r="BG104" s="179" t="s">
        <v>3306</v>
      </c>
      <c r="BH104" s="179" t="s">
        <v>3307</v>
      </c>
      <c r="BI104" s="179" t="s">
        <v>3308</v>
      </c>
      <c r="BJ104" s="179"/>
      <c r="BK104" s="631"/>
      <c r="BL104" s="179" t="b">
        <f t="shared" si="26"/>
        <v>1</v>
      </c>
      <c r="BM104" s="179" t="b">
        <f t="shared" si="27"/>
        <v>1</v>
      </c>
      <c r="BN104" s="688" t="b">
        <f t="shared" si="28"/>
        <v>1</v>
      </c>
    </row>
    <row r="105">
      <c r="A105" s="212"/>
      <c r="B105" s="186" t="s">
        <v>3464</v>
      </c>
      <c r="C105" s="676" t="s">
        <v>2113</v>
      </c>
      <c r="D105" s="717">
        <v>481.0</v>
      </c>
      <c r="E105" s="131" t="s">
        <v>3465</v>
      </c>
      <c r="F105" s="678">
        <f t="shared" ref="F105:G105" si="282">H105+J105+L105+N105+P105</f>
        <v>3948.01</v>
      </c>
      <c r="G105" s="679">
        <f t="shared" si="282"/>
        <v>834.99</v>
      </c>
      <c r="H105" s="641">
        <v>249.0</v>
      </c>
      <c r="I105" s="680">
        <v>132.0</v>
      </c>
      <c r="J105" s="641">
        <v>1463.0</v>
      </c>
      <c r="K105" s="680">
        <v>244.0</v>
      </c>
      <c r="L105" s="641">
        <v>822.7</v>
      </c>
      <c r="M105" s="680">
        <v>190.54</v>
      </c>
      <c r="N105" s="641">
        <v>853.69</v>
      </c>
      <c r="O105" s="680">
        <v>167.02</v>
      </c>
      <c r="P105" s="641">
        <v>559.62</v>
      </c>
      <c r="Q105" s="680">
        <v>101.43</v>
      </c>
      <c r="R105" s="681" t="s">
        <v>702</v>
      </c>
      <c r="S105" s="682">
        <f t="shared" si="10"/>
        <v>3948.01</v>
      </c>
      <c r="T105" s="683"/>
      <c r="U105" s="625">
        <f t="shared" si="271"/>
        <v>249</v>
      </c>
      <c r="V105" s="625">
        <f t="shared" si="272"/>
        <v>1463</v>
      </c>
      <c r="W105" s="625">
        <f t="shared" si="273"/>
        <v>822.7</v>
      </c>
      <c r="X105" s="625">
        <f t="shared" si="274"/>
        <v>853.69</v>
      </c>
      <c r="Y105" s="625">
        <f t="shared" si="275"/>
        <v>559.62</v>
      </c>
      <c r="Z105" s="656">
        <f t="shared" si="16"/>
        <v>834.99</v>
      </c>
      <c r="AA105" s="683"/>
      <c r="AB105" s="625">
        <f t="shared" si="276"/>
        <v>132</v>
      </c>
      <c r="AC105" s="625">
        <f t="shared" si="277"/>
        <v>244</v>
      </c>
      <c r="AD105" s="625">
        <f t="shared" si="278"/>
        <v>190.54</v>
      </c>
      <c r="AE105" s="625">
        <f t="shared" si="279"/>
        <v>167.02</v>
      </c>
      <c r="AF105" s="625">
        <f t="shared" si="280"/>
        <v>101.43</v>
      </c>
      <c r="AG105" s="657">
        <f t="shared" si="22"/>
        <v>0.2114964248</v>
      </c>
      <c r="AH105" s="165"/>
      <c r="AI105" s="165">
        <f t="shared" ref="AI105:AM105" si="283">AB105/U105</f>
        <v>0.5301204819</v>
      </c>
      <c r="AJ105" s="165">
        <f t="shared" si="283"/>
        <v>0.1667805878</v>
      </c>
      <c r="AK105" s="165">
        <f t="shared" si="283"/>
        <v>0.2316032576</v>
      </c>
      <c r="AL105" s="165">
        <f t="shared" si="283"/>
        <v>0.1956447891</v>
      </c>
      <c r="AM105" s="165">
        <f t="shared" si="283"/>
        <v>0.1812479897</v>
      </c>
      <c r="AN105" s="684">
        <f t="shared" si="24"/>
        <v>699.37</v>
      </c>
      <c r="AO105" s="641">
        <v>72.7</v>
      </c>
      <c r="AP105" s="641">
        <v>440.7</v>
      </c>
      <c r="AQ105" s="641">
        <v>99.2</v>
      </c>
      <c r="AR105" s="641">
        <v>138.603</v>
      </c>
      <c r="AS105" s="641">
        <v>2.066</v>
      </c>
      <c r="AT105" s="641">
        <v>18.801</v>
      </c>
      <c r="AU105" s="684">
        <f t="shared" si="218"/>
        <v>996.09</v>
      </c>
      <c r="AV105" s="641">
        <v>216.6</v>
      </c>
      <c r="AW105" s="641">
        <v>217.5</v>
      </c>
      <c r="AX105" s="641">
        <v>213.0</v>
      </c>
      <c r="AY105" s="641">
        <v>198.663</v>
      </c>
      <c r="AZ105" s="641">
        <v>188.44</v>
      </c>
      <c r="BA105" s="691">
        <v>178.487</v>
      </c>
      <c r="BB105" s="631"/>
      <c r="BC105" s="189" t="s">
        <v>695</v>
      </c>
      <c r="BD105" s="186" t="s">
        <v>3303</v>
      </c>
      <c r="BE105" s="179" t="s">
        <v>3304</v>
      </c>
      <c r="BF105" s="179" t="s">
        <v>3305</v>
      </c>
      <c r="BG105" s="179" t="s">
        <v>3306</v>
      </c>
      <c r="BH105" s="179" t="s">
        <v>3307</v>
      </c>
      <c r="BI105" s="179" t="s">
        <v>3308</v>
      </c>
      <c r="BJ105" s="179"/>
      <c r="BK105" s="631"/>
      <c r="BL105" s="179" t="b">
        <f t="shared" si="26"/>
        <v>1</v>
      </c>
      <c r="BM105" s="179" t="b">
        <f t="shared" si="27"/>
        <v>0</v>
      </c>
      <c r="BN105" s="688" t="b">
        <f t="shared" si="28"/>
        <v>1</v>
      </c>
    </row>
    <row r="106">
      <c r="A106" s="696" t="s">
        <v>1534</v>
      </c>
      <c r="B106" s="186" t="s">
        <v>3466</v>
      </c>
      <c r="C106" s="676" t="s">
        <v>2113</v>
      </c>
      <c r="D106" s="677">
        <v>343.0</v>
      </c>
      <c r="E106" s="632" t="s">
        <v>27</v>
      </c>
      <c r="F106" s="678">
        <f t="shared" ref="F106:G106" si="284">H106+J106+L106+N106+P106</f>
        <v>6662</v>
      </c>
      <c r="G106" s="679">
        <f t="shared" si="284"/>
        <v>-44</v>
      </c>
      <c r="H106" s="641">
        <v>1428.0</v>
      </c>
      <c r="I106" s="680">
        <v>0.0</v>
      </c>
      <c r="J106" s="641">
        <v>1538.0</v>
      </c>
      <c r="K106" s="680">
        <v>2.0</v>
      </c>
      <c r="L106" s="641">
        <v>1108.0</v>
      </c>
      <c r="M106" s="680">
        <v>-14.0</v>
      </c>
      <c r="N106" s="641">
        <v>1093.0</v>
      </c>
      <c r="O106" s="680">
        <v>-16.0</v>
      </c>
      <c r="P106" s="641">
        <v>1495.0</v>
      </c>
      <c r="Q106" s="680">
        <v>-16.0</v>
      </c>
      <c r="R106" s="681" t="s">
        <v>707</v>
      </c>
      <c r="S106" s="682">
        <f t="shared" si="10"/>
        <v>6662</v>
      </c>
      <c r="T106" s="683"/>
      <c r="U106" s="625">
        <f t="shared" si="271"/>
        <v>1428</v>
      </c>
      <c r="V106" s="625">
        <f t="shared" si="272"/>
        <v>1538</v>
      </c>
      <c r="W106" s="625">
        <f t="shared" si="273"/>
        <v>1108</v>
      </c>
      <c r="X106" s="625">
        <f t="shared" si="274"/>
        <v>1093</v>
      </c>
      <c r="Y106" s="625">
        <f t="shared" si="275"/>
        <v>1495</v>
      </c>
      <c r="Z106" s="656">
        <f t="shared" si="16"/>
        <v>-44</v>
      </c>
      <c r="AA106" s="683"/>
      <c r="AB106" s="625">
        <f t="shared" si="276"/>
        <v>0</v>
      </c>
      <c r="AC106" s="625">
        <f t="shared" si="277"/>
        <v>2</v>
      </c>
      <c r="AD106" s="625">
        <f t="shared" si="278"/>
        <v>-14</v>
      </c>
      <c r="AE106" s="625">
        <f t="shared" si="279"/>
        <v>-16</v>
      </c>
      <c r="AF106" s="625">
        <f t="shared" si="280"/>
        <v>-16</v>
      </c>
      <c r="AG106" s="657">
        <f t="shared" si="22"/>
        <v>-0.006604623236</v>
      </c>
      <c r="AH106" s="165"/>
      <c r="AI106" s="165">
        <f t="shared" ref="AI106:AM106" si="285">AB106/U106</f>
        <v>0</v>
      </c>
      <c r="AJ106" s="165">
        <f t="shared" si="285"/>
        <v>0.001300390117</v>
      </c>
      <c r="AK106" s="165">
        <f t="shared" si="285"/>
        <v>-0.01263537906</v>
      </c>
      <c r="AL106" s="165">
        <f t="shared" si="285"/>
        <v>-0.01463860933</v>
      </c>
      <c r="AM106" s="165">
        <f t="shared" si="285"/>
        <v>-0.01070234114</v>
      </c>
      <c r="AN106" s="684">
        <f t="shared" si="24"/>
        <v>0</v>
      </c>
      <c r="AO106" s="625"/>
      <c r="AP106" s="625">
        <v>0.0</v>
      </c>
      <c r="AQ106" s="625">
        <v>0.0</v>
      </c>
      <c r="AR106" s="625">
        <v>0.0</v>
      </c>
      <c r="AS106" s="625">
        <v>0.0</v>
      </c>
      <c r="AT106" s="625">
        <v>0.0</v>
      </c>
      <c r="AU106" s="684">
        <f t="shared" si="218"/>
        <v>4110</v>
      </c>
      <c r="AV106" s="625"/>
      <c r="AW106" s="625">
        <v>891.0</v>
      </c>
      <c r="AX106" s="625">
        <v>849.0</v>
      </c>
      <c r="AY106" s="625">
        <v>845.0</v>
      </c>
      <c r="AZ106" s="625">
        <v>814.0</v>
      </c>
      <c r="BA106" s="693">
        <v>711.0</v>
      </c>
      <c r="BB106" s="212"/>
      <c r="BC106" s="189" t="s">
        <v>695</v>
      </c>
      <c r="BD106" s="186" t="s">
        <v>3303</v>
      </c>
      <c r="BE106" s="179" t="s">
        <v>3304</v>
      </c>
      <c r="BF106" s="179" t="s">
        <v>3305</v>
      </c>
      <c r="BG106" s="179" t="s">
        <v>3306</v>
      </c>
      <c r="BH106" s="179" t="s">
        <v>3307</v>
      </c>
      <c r="BI106" s="179" t="s">
        <v>3308</v>
      </c>
      <c r="BJ106" s="179"/>
      <c r="BK106" s="646"/>
      <c r="BL106" s="179" t="b">
        <f t="shared" si="26"/>
        <v>1</v>
      </c>
      <c r="BM106" s="179" t="b">
        <f t="shared" si="27"/>
        <v>1</v>
      </c>
      <c r="BN106" s="688" t="b">
        <f t="shared" si="28"/>
        <v>1</v>
      </c>
    </row>
    <row r="107">
      <c r="A107" s="689"/>
      <c r="B107" s="186" t="s">
        <v>3467</v>
      </c>
      <c r="C107" s="676" t="s">
        <v>1578</v>
      </c>
      <c r="D107" s="677">
        <v>432.0</v>
      </c>
      <c r="E107" s="632" t="s">
        <v>3468</v>
      </c>
      <c r="F107" s="678">
        <f t="shared" ref="F107:G107" si="286">H107+J107+L107+N107+P107</f>
        <v>3334</v>
      </c>
      <c r="G107" s="679">
        <f t="shared" si="286"/>
        <v>588</v>
      </c>
      <c r="H107" s="641">
        <v>413.0</v>
      </c>
      <c r="I107" s="680">
        <v>64.0</v>
      </c>
      <c r="J107" s="641">
        <v>1178.0</v>
      </c>
      <c r="K107" s="680">
        <v>192.0</v>
      </c>
      <c r="L107" s="641">
        <v>604.0</v>
      </c>
      <c r="M107" s="680">
        <v>114.0</v>
      </c>
      <c r="N107" s="641">
        <v>552.0</v>
      </c>
      <c r="O107" s="680">
        <v>106.0</v>
      </c>
      <c r="P107" s="641">
        <v>587.0</v>
      </c>
      <c r="Q107" s="680">
        <v>112.0</v>
      </c>
      <c r="R107" s="681" t="s">
        <v>696</v>
      </c>
      <c r="S107" s="682">
        <f t="shared" si="10"/>
        <v>3334</v>
      </c>
      <c r="T107" s="683"/>
      <c r="U107" s="625">
        <f t="shared" si="271"/>
        <v>413</v>
      </c>
      <c r="V107" s="625">
        <f t="shared" si="272"/>
        <v>1178</v>
      </c>
      <c r="W107" s="625">
        <f t="shared" si="273"/>
        <v>604</v>
      </c>
      <c r="X107" s="625">
        <f t="shared" si="274"/>
        <v>552</v>
      </c>
      <c r="Y107" s="625">
        <f t="shared" si="275"/>
        <v>587</v>
      </c>
      <c r="Z107" s="656">
        <f t="shared" si="16"/>
        <v>588</v>
      </c>
      <c r="AA107" s="683"/>
      <c r="AB107" s="625">
        <f t="shared" si="276"/>
        <v>64</v>
      </c>
      <c r="AC107" s="625">
        <f t="shared" si="277"/>
        <v>192</v>
      </c>
      <c r="AD107" s="625">
        <f t="shared" si="278"/>
        <v>114</v>
      </c>
      <c r="AE107" s="625">
        <f t="shared" si="279"/>
        <v>106</v>
      </c>
      <c r="AF107" s="625">
        <f t="shared" si="280"/>
        <v>112</v>
      </c>
      <c r="AG107" s="657">
        <f t="shared" si="22"/>
        <v>0.1763647271</v>
      </c>
      <c r="AH107" s="165"/>
      <c r="AI107" s="165">
        <f t="shared" ref="AI107:AM107" si="287">AB107/U107</f>
        <v>0.1549636804</v>
      </c>
      <c r="AJ107" s="165">
        <f t="shared" si="287"/>
        <v>0.1629881154</v>
      </c>
      <c r="AK107" s="165">
        <f t="shared" si="287"/>
        <v>0.1887417219</v>
      </c>
      <c r="AL107" s="165">
        <f t="shared" si="287"/>
        <v>0.1920289855</v>
      </c>
      <c r="AM107" s="165">
        <f t="shared" si="287"/>
        <v>0.1908006814</v>
      </c>
      <c r="AN107" s="684">
        <f t="shared" si="24"/>
        <v>1224</v>
      </c>
      <c r="AO107" s="625"/>
      <c r="AP107" s="625">
        <v>129.0</v>
      </c>
      <c r="AQ107" s="625">
        <v>348.0</v>
      </c>
      <c r="AR107" s="625">
        <v>37.0</v>
      </c>
      <c r="AS107" s="625">
        <v>335.0</v>
      </c>
      <c r="AT107" s="625">
        <v>375.0</v>
      </c>
      <c r="AU107" s="684">
        <f t="shared" si="218"/>
        <v>646</v>
      </c>
      <c r="AV107" s="641"/>
      <c r="AW107" s="641">
        <v>150.0</v>
      </c>
      <c r="AX107" s="641">
        <v>101.0</v>
      </c>
      <c r="AY107" s="641">
        <v>73.0</v>
      </c>
      <c r="AZ107" s="641">
        <v>164.0</v>
      </c>
      <c r="BA107" s="691">
        <v>158.0</v>
      </c>
      <c r="BB107" s="631"/>
      <c r="BC107" s="189" t="s">
        <v>695</v>
      </c>
      <c r="BD107" s="688" t="s">
        <v>3303</v>
      </c>
      <c r="BE107" s="179" t="s">
        <v>3304</v>
      </c>
      <c r="BF107" s="179" t="s">
        <v>3305</v>
      </c>
      <c r="BG107" s="179" t="s">
        <v>3306</v>
      </c>
      <c r="BH107" s="179" t="s">
        <v>3307</v>
      </c>
      <c r="BI107" s="179" t="s">
        <v>3308</v>
      </c>
      <c r="BJ107" s="179"/>
      <c r="BK107" s="631"/>
      <c r="BL107" s="179" t="b">
        <f t="shared" si="26"/>
        <v>1</v>
      </c>
      <c r="BM107" s="179" t="b">
        <f t="shared" si="27"/>
        <v>1</v>
      </c>
      <c r="BN107" s="688" t="b">
        <f t="shared" si="28"/>
        <v>1</v>
      </c>
    </row>
    <row r="108">
      <c r="A108" s="675" t="s">
        <v>3333</v>
      </c>
      <c r="B108" s="186" t="s">
        <v>3469</v>
      </c>
      <c r="C108" s="676" t="s">
        <v>2113</v>
      </c>
      <c r="D108" s="677">
        <v>19.0</v>
      </c>
      <c r="E108" s="724" t="s">
        <v>24</v>
      </c>
      <c r="F108" s="699"/>
      <c r="G108" s="700"/>
      <c r="H108" s="628"/>
      <c r="I108" s="701"/>
      <c r="J108" s="632"/>
      <c r="K108" s="700"/>
      <c r="L108" s="632"/>
      <c r="M108" s="700"/>
      <c r="N108" s="632"/>
      <c r="O108" s="700"/>
      <c r="P108" s="632"/>
      <c r="Q108" s="700"/>
      <c r="R108" s="632"/>
      <c r="S108" s="682">
        <f t="shared" si="10"/>
        <v>7840</v>
      </c>
      <c r="T108" s="625"/>
      <c r="U108" s="625">
        <f>-6548-123</f>
        <v>-6671</v>
      </c>
      <c r="V108" s="625">
        <f>10043-26</f>
        <v>10017</v>
      </c>
      <c r="W108" s="625">
        <f>-231+45</f>
        <v>-186</v>
      </c>
      <c r="X108" s="625">
        <f>2656-33</f>
        <v>2623</v>
      </c>
      <c r="Y108" s="625">
        <f>2051+6</f>
        <v>2057</v>
      </c>
      <c r="Z108" s="656">
        <f t="shared" si="16"/>
        <v>121</v>
      </c>
      <c r="AA108" s="625"/>
      <c r="AB108" s="641">
        <v>68.0</v>
      </c>
      <c r="AC108" s="625">
        <v>102.0</v>
      </c>
      <c r="AD108" s="625">
        <v>-23.0</v>
      </c>
      <c r="AE108" s="625">
        <v>-101.0</v>
      </c>
      <c r="AF108" s="625">
        <v>75.0</v>
      </c>
      <c r="AG108" s="657">
        <f t="shared" si="22"/>
        <v>0.01543367347</v>
      </c>
      <c r="AH108" s="165"/>
      <c r="AI108" s="165">
        <f t="shared" ref="AI108:AM108" si="288">AB108/U108</f>
        <v>-0.01019337431</v>
      </c>
      <c r="AJ108" s="165">
        <f t="shared" si="288"/>
        <v>0.01018268943</v>
      </c>
      <c r="AK108" s="165">
        <f t="shared" si="288"/>
        <v>0.123655914</v>
      </c>
      <c r="AL108" s="165">
        <f t="shared" si="288"/>
        <v>-0.03850552802</v>
      </c>
      <c r="AM108" s="165">
        <f t="shared" si="288"/>
        <v>0.03646086534</v>
      </c>
      <c r="AN108" s="684">
        <f t="shared" si="24"/>
        <v>885</v>
      </c>
      <c r="AO108" s="641">
        <v>0.0</v>
      </c>
      <c r="AP108" s="641">
        <v>484.0</v>
      </c>
      <c r="AQ108" s="641">
        <v>0.0</v>
      </c>
      <c r="AR108" s="641">
        <v>0.0</v>
      </c>
      <c r="AS108" s="641">
        <v>237.0</v>
      </c>
      <c r="AT108" s="641">
        <v>164.0</v>
      </c>
      <c r="AU108" s="684">
        <f t="shared" si="218"/>
        <v>8302</v>
      </c>
      <c r="AV108" s="641">
        <v>403.0</v>
      </c>
      <c r="AW108" s="641">
        <v>2009.0</v>
      </c>
      <c r="AX108" s="641">
        <v>403.0</v>
      </c>
      <c r="AY108" s="641">
        <v>596.0</v>
      </c>
      <c r="AZ108" s="641">
        <v>2389.0</v>
      </c>
      <c r="BA108" s="691">
        <v>2905.0</v>
      </c>
      <c r="BB108" s="685"/>
      <c r="BC108" s="202" t="s">
        <v>695</v>
      </c>
      <c r="BD108" s="186" t="s">
        <v>3303</v>
      </c>
      <c r="BE108" s="186" t="s">
        <v>3304</v>
      </c>
      <c r="BF108" s="186" t="s">
        <v>3305</v>
      </c>
      <c r="BG108" s="186" t="s">
        <v>3306</v>
      </c>
      <c r="BH108" s="186" t="s">
        <v>3307</v>
      </c>
      <c r="BI108" s="186" t="s">
        <v>3308</v>
      </c>
      <c r="BJ108" s="179"/>
      <c r="BK108" s="685"/>
      <c r="BL108" s="179" t="b">
        <f t="shared" si="26"/>
        <v>1</v>
      </c>
      <c r="BM108" s="179" t="b">
        <f t="shared" si="27"/>
        <v>1</v>
      </c>
      <c r="BN108" s="688" t="b">
        <f t="shared" si="28"/>
        <v>1</v>
      </c>
    </row>
    <row r="109">
      <c r="A109" s="212"/>
      <c r="B109" s="186" t="s">
        <v>3470</v>
      </c>
      <c r="C109" s="676" t="s">
        <v>2113</v>
      </c>
      <c r="D109" s="717">
        <v>469.0</v>
      </c>
      <c r="E109" s="131" t="s">
        <v>3471</v>
      </c>
      <c r="F109" s="678">
        <f t="shared" ref="F109:G109" si="289">H109+J109+L109+N109+P109</f>
        <v>2751</v>
      </c>
      <c r="G109" s="679">
        <f t="shared" si="289"/>
        <v>503.8</v>
      </c>
      <c r="H109" s="641">
        <v>547.1</v>
      </c>
      <c r="I109" s="680">
        <v>62.4</v>
      </c>
      <c r="J109" s="641">
        <v>805.3</v>
      </c>
      <c r="K109" s="680">
        <v>153.0</v>
      </c>
      <c r="L109" s="641">
        <v>549.3</v>
      </c>
      <c r="M109" s="680">
        <v>100.0</v>
      </c>
      <c r="N109" s="641">
        <v>416.7</v>
      </c>
      <c r="O109" s="680">
        <v>94.9</v>
      </c>
      <c r="P109" s="641">
        <v>432.6</v>
      </c>
      <c r="Q109" s="680">
        <v>93.5</v>
      </c>
      <c r="R109" s="681" t="s">
        <v>710</v>
      </c>
      <c r="S109" s="682">
        <f t="shared" si="10"/>
        <v>2751</v>
      </c>
      <c r="T109" s="683"/>
      <c r="U109" s="625">
        <f t="shared" ref="U109:U131" si="292">H109</f>
        <v>547.1</v>
      </c>
      <c r="V109" s="625">
        <f t="shared" ref="V109:V131" si="293">J109</f>
        <v>805.3</v>
      </c>
      <c r="W109" s="625">
        <f t="shared" ref="W109:W131" si="294">L109</f>
        <v>549.3</v>
      </c>
      <c r="X109" s="625">
        <f t="shared" ref="X109:X131" si="295">N109</f>
        <v>416.7</v>
      </c>
      <c r="Y109" s="625">
        <f t="shared" ref="Y109:Y131" si="296">P109</f>
        <v>432.6</v>
      </c>
      <c r="Z109" s="656">
        <f t="shared" si="16"/>
        <v>503.8</v>
      </c>
      <c r="AA109" s="683"/>
      <c r="AB109" s="625">
        <f t="shared" ref="AB109:AB131" si="297">I109</f>
        <v>62.4</v>
      </c>
      <c r="AC109" s="625">
        <f t="shared" ref="AC109:AC131" si="298">K109</f>
        <v>153</v>
      </c>
      <c r="AD109" s="625">
        <f t="shared" ref="AD109:AD131" si="299">M109</f>
        <v>100</v>
      </c>
      <c r="AE109" s="625">
        <f t="shared" ref="AE109:AE131" si="300">O109</f>
        <v>94.9</v>
      </c>
      <c r="AF109" s="625">
        <f t="shared" ref="AF109:AF131" si="301">Q109</f>
        <v>93.5</v>
      </c>
      <c r="AG109" s="657">
        <f t="shared" si="22"/>
        <v>0.183133406</v>
      </c>
      <c r="AH109" s="165"/>
      <c r="AI109" s="165">
        <f t="shared" ref="AI109:AM109" si="290">AB109/U109</f>
        <v>0.1140559313</v>
      </c>
      <c r="AJ109" s="165">
        <f t="shared" si="290"/>
        <v>0.1899913076</v>
      </c>
      <c r="AK109" s="165">
        <f t="shared" si="290"/>
        <v>0.1820498817</v>
      </c>
      <c r="AL109" s="165">
        <f t="shared" si="290"/>
        <v>0.2277417807</v>
      </c>
      <c r="AM109" s="165">
        <f t="shared" si="290"/>
        <v>0.2161349977</v>
      </c>
      <c r="AN109" s="684">
        <f t="shared" si="24"/>
        <v>2010</v>
      </c>
      <c r="AO109" s="625"/>
      <c r="AP109" s="641">
        <v>580.1</v>
      </c>
      <c r="AQ109" s="641">
        <v>447.7</v>
      </c>
      <c r="AR109" s="641">
        <v>187.6</v>
      </c>
      <c r="AS109" s="641">
        <v>100.0</v>
      </c>
      <c r="AT109" s="641">
        <v>694.6</v>
      </c>
      <c r="AU109" s="684">
        <f t="shared" si="218"/>
        <v>660.1</v>
      </c>
      <c r="AV109" s="625"/>
      <c r="AW109" s="641">
        <v>145.6</v>
      </c>
      <c r="AX109" s="641">
        <v>143.0</v>
      </c>
      <c r="AY109" s="641">
        <v>133.3</v>
      </c>
      <c r="AZ109" s="641">
        <v>123.0</v>
      </c>
      <c r="BA109" s="691">
        <v>115.2</v>
      </c>
      <c r="BB109" s="631"/>
      <c r="BC109" s="189" t="s">
        <v>695</v>
      </c>
      <c r="BD109" s="688" t="s">
        <v>3303</v>
      </c>
      <c r="BE109" s="179" t="s">
        <v>3304</v>
      </c>
      <c r="BF109" s="179" t="s">
        <v>3305</v>
      </c>
      <c r="BG109" s="179" t="s">
        <v>3306</v>
      </c>
      <c r="BH109" s="179" t="s">
        <v>3307</v>
      </c>
      <c r="BI109" s="179" t="s">
        <v>3308</v>
      </c>
      <c r="BJ109" s="179"/>
      <c r="BK109" s="631"/>
      <c r="BL109" s="179" t="b">
        <f t="shared" si="26"/>
        <v>1</v>
      </c>
      <c r="BM109" s="179" t="b">
        <f t="shared" si="27"/>
        <v>1</v>
      </c>
      <c r="BN109" s="688" t="b">
        <f t="shared" si="28"/>
        <v>1</v>
      </c>
    </row>
    <row r="110">
      <c r="A110" s="212"/>
      <c r="B110" s="186" t="s">
        <v>3472</v>
      </c>
      <c r="C110" s="676" t="s">
        <v>1919</v>
      </c>
      <c r="D110" s="717">
        <v>300.0</v>
      </c>
      <c r="E110" s="131" t="s">
        <v>3473</v>
      </c>
      <c r="F110" s="678">
        <f t="shared" ref="F110:G110" si="291">H110+J110+L110+N110+P110</f>
        <v>9687</v>
      </c>
      <c r="G110" s="679">
        <f t="shared" si="291"/>
        <v>633</v>
      </c>
      <c r="H110" s="641">
        <v>1687.0</v>
      </c>
      <c r="I110" s="680">
        <v>127.0</v>
      </c>
      <c r="J110" s="641">
        <v>1635.0</v>
      </c>
      <c r="K110" s="680">
        <v>88.0</v>
      </c>
      <c r="L110" s="641">
        <v>2865.0</v>
      </c>
      <c r="M110" s="680">
        <v>181.0</v>
      </c>
      <c r="N110" s="641">
        <v>1392.0</v>
      </c>
      <c r="O110" s="680">
        <v>110.0</v>
      </c>
      <c r="P110" s="641">
        <v>2108.0</v>
      </c>
      <c r="Q110" s="680">
        <v>127.0</v>
      </c>
      <c r="R110" s="681" t="s">
        <v>696</v>
      </c>
      <c r="S110" s="682">
        <f t="shared" si="10"/>
        <v>9687</v>
      </c>
      <c r="T110" s="683"/>
      <c r="U110" s="625">
        <f t="shared" si="292"/>
        <v>1687</v>
      </c>
      <c r="V110" s="625">
        <f t="shared" si="293"/>
        <v>1635</v>
      </c>
      <c r="W110" s="625">
        <f t="shared" si="294"/>
        <v>2865</v>
      </c>
      <c r="X110" s="625">
        <f t="shared" si="295"/>
        <v>1392</v>
      </c>
      <c r="Y110" s="625">
        <f t="shared" si="296"/>
        <v>2108</v>
      </c>
      <c r="Z110" s="656">
        <f t="shared" si="16"/>
        <v>633</v>
      </c>
      <c r="AA110" s="683"/>
      <c r="AB110" s="625">
        <f t="shared" si="297"/>
        <v>127</v>
      </c>
      <c r="AC110" s="625">
        <f t="shared" si="298"/>
        <v>88</v>
      </c>
      <c r="AD110" s="625">
        <f t="shared" si="299"/>
        <v>181</v>
      </c>
      <c r="AE110" s="625">
        <f t="shared" si="300"/>
        <v>110</v>
      </c>
      <c r="AF110" s="625">
        <f t="shared" si="301"/>
        <v>127</v>
      </c>
      <c r="AG110" s="657">
        <f t="shared" si="22"/>
        <v>0.06534530814</v>
      </c>
      <c r="AH110" s="165"/>
      <c r="AI110" s="165">
        <f t="shared" ref="AI110:AM110" si="302">AB110/U110</f>
        <v>0.07528156491</v>
      </c>
      <c r="AJ110" s="165">
        <f t="shared" si="302"/>
        <v>0.05382262997</v>
      </c>
      <c r="AK110" s="165">
        <f t="shared" si="302"/>
        <v>0.06317626527</v>
      </c>
      <c r="AL110" s="165">
        <f t="shared" si="302"/>
        <v>0.07902298851</v>
      </c>
      <c r="AM110" s="165">
        <f t="shared" si="302"/>
        <v>0.06024667932</v>
      </c>
      <c r="AN110" s="684">
        <f t="shared" si="24"/>
        <v>4601</v>
      </c>
      <c r="AO110" s="625"/>
      <c r="AP110" s="685">
        <v>2000.0</v>
      </c>
      <c r="AQ110" s="685">
        <v>1000.0</v>
      </c>
      <c r="AR110" s="641">
        <v>1001.0</v>
      </c>
      <c r="AS110" s="641">
        <v>600.0</v>
      </c>
      <c r="AT110" s="641">
        <v>0.0</v>
      </c>
      <c r="AU110" s="684">
        <f t="shared" si="218"/>
        <v>1459</v>
      </c>
      <c r="AV110" s="625"/>
      <c r="AW110" s="641">
        <v>299.0</v>
      </c>
      <c r="AX110" s="641">
        <v>307.0</v>
      </c>
      <c r="AY110" s="641">
        <v>330.0</v>
      </c>
      <c r="AZ110" s="641">
        <v>335.0</v>
      </c>
      <c r="BA110" s="691">
        <v>188.0</v>
      </c>
      <c r="BB110" s="631"/>
      <c r="BC110" s="189" t="s">
        <v>695</v>
      </c>
      <c r="BD110" s="688" t="s">
        <v>3303</v>
      </c>
      <c r="BE110" s="179" t="s">
        <v>3304</v>
      </c>
      <c r="BF110" s="179" t="s">
        <v>3305</v>
      </c>
      <c r="BG110" s="179" t="s">
        <v>3306</v>
      </c>
      <c r="BH110" s="179" t="s">
        <v>3307</v>
      </c>
      <c r="BI110" s="179" t="s">
        <v>3308</v>
      </c>
      <c r="BJ110" s="179"/>
      <c r="BK110" s="631"/>
      <c r="BL110" s="179" t="b">
        <f t="shared" si="26"/>
        <v>1</v>
      </c>
      <c r="BM110" s="179" t="b">
        <f t="shared" si="27"/>
        <v>1</v>
      </c>
      <c r="BN110" s="688" t="b">
        <f t="shared" si="28"/>
        <v>1</v>
      </c>
    </row>
    <row r="111">
      <c r="A111" s="689"/>
      <c r="B111" s="186" t="s">
        <v>3474</v>
      </c>
      <c r="C111" s="690" t="s">
        <v>2317</v>
      </c>
      <c r="D111" s="677">
        <v>456.0</v>
      </c>
      <c r="E111" s="632" t="s">
        <v>3475</v>
      </c>
      <c r="F111" s="678">
        <f t="shared" ref="F111:G111" si="303">H111+J111+L111+N111+P111</f>
        <v>6088.64</v>
      </c>
      <c r="G111" s="679">
        <f t="shared" si="303"/>
        <v>1278</v>
      </c>
      <c r="H111" s="641">
        <v>1351.63</v>
      </c>
      <c r="I111" s="680">
        <v>174.6</v>
      </c>
      <c r="J111" s="641">
        <v>1445.38</v>
      </c>
      <c r="K111" s="680">
        <v>226.7</v>
      </c>
      <c r="L111" s="641">
        <v>750.52</v>
      </c>
      <c r="M111" s="680">
        <v>154.9</v>
      </c>
      <c r="N111" s="641">
        <v>1108.23</v>
      </c>
      <c r="O111" s="680">
        <v>343.4</v>
      </c>
      <c r="P111" s="641">
        <v>1432.88</v>
      </c>
      <c r="Q111" s="680">
        <v>378.4</v>
      </c>
      <c r="R111" s="681" t="s">
        <v>702</v>
      </c>
      <c r="S111" s="682">
        <f t="shared" si="10"/>
        <v>6088.64</v>
      </c>
      <c r="T111" s="683"/>
      <c r="U111" s="625">
        <f t="shared" si="292"/>
        <v>1351.63</v>
      </c>
      <c r="V111" s="625">
        <f t="shared" si="293"/>
        <v>1445.38</v>
      </c>
      <c r="W111" s="625">
        <f t="shared" si="294"/>
        <v>750.52</v>
      </c>
      <c r="X111" s="625">
        <f t="shared" si="295"/>
        <v>1108.23</v>
      </c>
      <c r="Y111" s="625">
        <f t="shared" si="296"/>
        <v>1432.88</v>
      </c>
      <c r="Z111" s="656">
        <f t="shared" si="16"/>
        <v>1278</v>
      </c>
      <c r="AA111" s="683"/>
      <c r="AB111" s="625">
        <f t="shared" si="297"/>
        <v>174.6</v>
      </c>
      <c r="AC111" s="625">
        <f t="shared" si="298"/>
        <v>226.7</v>
      </c>
      <c r="AD111" s="625">
        <f t="shared" si="299"/>
        <v>154.9</v>
      </c>
      <c r="AE111" s="625">
        <f t="shared" si="300"/>
        <v>343.4</v>
      </c>
      <c r="AF111" s="625">
        <f t="shared" si="301"/>
        <v>378.4</v>
      </c>
      <c r="AG111" s="657">
        <f t="shared" si="22"/>
        <v>0.2098990908</v>
      </c>
      <c r="AH111" s="165"/>
      <c r="AI111" s="165">
        <f t="shared" ref="AI111:AM111" si="304">AB111/U111</f>
        <v>0.1291773636</v>
      </c>
      <c r="AJ111" s="165">
        <f t="shared" si="304"/>
        <v>0.1568445668</v>
      </c>
      <c r="AK111" s="165">
        <f t="shared" si="304"/>
        <v>0.2063902361</v>
      </c>
      <c r="AL111" s="165">
        <f t="shared" si="304"/>
        <v>0.309863476</v>
      </c>
      <c r="AM111" s="165">
        <f t="shared" si="304"/>
        <v>0.2640835241</v>
      </c>
      <c r="AN111" s="684">
        <f t="shared" si="24"/>
        <v>2787</v>
      </c>
      <c r="AO111" s="641">
        <v>256.3</v>
      </c>
      <c r="AP111" s="625">
        <v>181.0</v>
      </c>
      <c r="AQ111" s="625">
        <v>208.0</v>
      </c>
      <c r="AR111" s="625">
        <v>218.0</v>
      </c>
      <c r="AS111" s="625">
        <v>755.0</v>
      </c>
      <c r="AT111" s="625">
        <v>1425.0</v>
      </c>
      <c r="AU111" s="684">
        <f t="shared" si="218"/>
        <v>4311.5</v>
      </c>
      <c r="AV111" s="641">
        <v>607.3</v>
      </c>
      <c r="AW111" s="625">
        <v>583.1</v>
      </c>
      <c r="AX111" s="625">
        <v>559.7</v>
      </c>
      <c r="AY111" s="625">
        <v>533.2</v>
      </c>
      <c r="AZ111" s="625">
        <v>518.6</v>
      </c>
      <c r="BA111" s="693">
        <v>2116.9</v>
      </c>
      <c r="BB111" s="631"/>
      <c r="BC111" s="189" t="s">
        <v>695</v>
      </c>
      <c r="BD111" s="186" t="s">
        <v>3303</v>
      </c>
      <c r="BE111" s="179" t="s">
        <v>3304</v>
      </c>
      <c r="BF111" s="179" t="s">
        <v>3305</v>
      </c>
      <c r="BG111" s="179" t="s">
        <v>3306</v>
      </c>
      <c r="BH111" s="179" t="s">
        <v>3307</v>
      </c>
      <c r="BI111" s="179" t="s">
        <v>3308</v>
      </c>
      <c r="BJ111" s="179"/>
      <c r="BK111" s="631"/>
      <c r="BL111" s="179" t="b">
        <f t="shared" si="26"/>
        <v>1</v>
      </c>
      <c r="BM111" s="179" t="b">
        <f t="shared" si="27"/>
        <v>1</v>
      </c>
      <c r="BN111" s="688" t="b">
        <f t="shared" si="28"/>
        <v>1</v>
      </c>
    </row>
    <row r="112">
      <c r="A112" s="675" t="s">
        <v>3301</v>
      </c>
      <c r="B112" s="186" t="s">
        <v>3476</v>
      </c>
      <c r="C112" s="676" t="s">
        <v>2113</v>
      </c>
      <c r="D112" s="677">
        <v>105.0</v>
      </c>
      <c r="E112" s="632" t="s">
        <v>1192</v>
      </c>
      <c r="F112" s="678">
        <f t="shared" ref="F112:G112" si="305">H112+J112+L112+N112+P112</f>
        <v>16842</v>
      </c>
      <c r="G112" s="679">
        <f t="shared" si="305"/>
        <v>2780</v>
      </c>
      <c r="H112" s="641">
        <v>3417.0</v>
      </c>
      <c r="I112" s="680">
        <v>649.0</v>
      </c>
      <c r="J112" s="641">
        <v>3255.0</v>
      </c>
      <c r="K112" s="680">
        <v>515.0</v>
      </c>
      <c r="L112" s="641">
        <v>3145.0</v>
      </c>
      <c r="M112" s="680">
        <v>558.0</v>
      </c>
      <c r="N112" s="641">
        <v>3566.0</v>
      </c>
      <c r="O112" s="680">
        <v>471.0</v>
      </c>
      <c r="P112" s="641">
        <v>3459.0</v>
      </c>
      <c r="Q112" s="680">
        <v>587.0</v>
      </c>
      <c r="R112" s="681" t="s">
        <v>718</v>
      </c>
      <c r="S112" s="682">
        <f t="shared" si="10"/>
        <v>16842</v>
      </c>
      <c r="T112" s="683"/>
      <c r="U112" s="625">
        <f t="shared" si="292"/>
        <v>3417</v>
      </c>
      <c r="V112" s="625">
        <f t="shared" si="293"/>
        <v>3255</v>
      </c>
      <c r="W112" s="625">
        <f t="shared" si="294"/>
        <v>3145</v>
      </c>
      <c r="X112" s="625">
        <f t="shared" si="295"/>
        <v>3566</v>
      </c>
      <c r="Y112" s="625">
        <f t="shared" si="296"/>
        <v>3459</v>
      </c>
      <c r="Z112" s="656">
        <f t="shared" si="16"/>
        <v>2780</v>
      </c>
      <c r="AA112" s="683"/>
      <c r="AB112" s="625">
        <f t="shared" si="297"/>
        <v>649</v>
      </c>
      <c r="AC112" s="625">
        <f t="shared" si="298"/>
        <v>515</v>
      </c>
      <c r="AD112" s="625">
        <f t="shared" si="299"/>
        <v>558</v>
      </c>
      <c r="AE112" s="625">
        <f t="shared" si="300"/>
        <v>471</v>
      </c>
      <c r="AF112" s="625">
        <f t="shared" si="301"/>
        <v>587</v>
      </c>
      <c r="AG112" s="657">
        <f t="shared" si="22"/>
        <v>0.1650635316</v>
      </c>
      <c r="AH112" s="165"/>
      <c r="AI112" s="165">
        <f t="shared" ref="AI112:AM112" si="306">AB112/U112</f>
        <v>0.1899326895</v>
      </c>
      <c r="AJ112" s="165">
        <f t="shared" si="306"/>
        <v>0.158218126</v>
      </c>
      <c r="AK112" s="165">
        <f t="shared" si="306"/>
        <v>0.1774244833</v>
      </c>
      <c r="AL112" s="165">
        <f t="shared" si="306"/>
        <v>0.1320807628</v>
      </c>
      <c r="AM112" s="165">
        <f t="shared" si="306"/>
        <v>0.1697022261</v>
      </c>
      <c r="AN112" s="684">
        <f t="shared" si="24"/>
        <v>5644</v>
      </c>
      <c r="AO112" s="685">
        <v>434.0</v>
      </c>
      <c r="AP112" s="180">
        <v>1229.0</v>
      </c>
      <c r="AQ112" s="180">
        <v>1828.0</v>
      </c>
      <c r="AR112" s="180">
        <v>587.0</v>
      </c>
      <c r="AS112" s="180">
        <v>231.0</v>
      </c>
      <c r="AT112" s="180">
        <v>1769.0</v>
      </c>
      <c r="AU112" s="684">
        <f t="shared" si="218"/>
        <v>6151</v>
      </c>
      <c r="AV112" s="685">
        <v>1428.0</v>
      </c>
      <c r="AW112" s="180">
        <v>1369.0</v>
      </c>
      <c r="AX112" s="180">
        <v>1315.0</v>
      </c>
      <c r="AY112" s="180">
        <v>1240.0</v>
      </c>
      <c r="AZ112" s="180">
        <v>1152.0</v>
      </c>
      <c r="BA112" s="686">
        <v>1075.0</v>
      </c>
      <c r="BB112" s="646"/>
      <c r="BC112" s="687" t="s">
        <v>695</v>
      </c>
      <c r="BD112" s="186" t="s">
        <v>3303</v>
      </c>
      <c r="BE112" s="186" t="s">
        <v>3304</v>
      </c>
      <c r="BF112" s="186" t="s">
        <v>3305</v>
      </c>
      <c r="BG112" s="186" t="s">
        <v>3306</v>
      </c>
      <c r="BH112" s="179" t="s">
        <v>3307</v>
      </c>
      <c r="BI112" s="179" t="s">
        <v>3308</v>
      </c>
      <c r="BJ112" s="179"/>
      <c r="BK112" s="631"/>
      <c r="BL112" s="179" t="b">
        <f t="shared" si="26"/>
        <v>1</v>
      </c>
      <c r="BM112" s="179" t="b">
        <f t="shared" si="27"/>
        <v>1</v>
      </c>
      <c r="BN112" s="688" t="b">
        <f t="shared" si="28"/>
        <v>1</v>
      </c>
    </row>
    <row r="113">
      <c r="A113" s="689"/>
      <c r="B113" s="186" t="s">
        <v>3477</v>
      </c>
      <c r="C113" s="676" t="s">
        <v>3404</v>
      </c>
      <c r="D113" s="677">
        <v>219.0</v>
      </c>
      <c r="E113" s="632" t="s">
        <v>3478</v>
      </c>
      <c r="F113" s="678">
        <f t="shared" ref="F113:G113" si="307">H113+J113+L113+N113+P113</f>
        <v>12011.42</v>
      </c>
      <c r="G113" s="679">
        <f t="shared" si="307"/>
        <v>1774</v>
      </c>
      <c r="H113" s="641">
        <v>2658.3</v>
      </c>
      <c r="I113" s="680">
        <v>487.1</v>
      </c>
      <c r="J113" s="641">
        <v>2591.5</v>
      </c>
      <c r="K113" s="680">
        <v>384.2</v>
      </c>
      <c r="L113" s="641">
        <v>2519.6</v>
      </c>
      <c r="M113" s="680">
        <v>369.8</v>
      </c>
      <c r="N113" s="641">
        <v>2346.8</v>
      </c>
      <c r="O113" s="680">
        <v>381.0</v>
      </c>
      <c r="P113" s="641">
        <v>1895.22</v>
      </c>
      <c r="Q113" s="680">
        <v>151.9</v>
      </c>
      <c r="R113" s="681" t="s">
        <v>719</v>
      </c>
      <c r="S113" s="682">
        <f t="shared" si="10"/>
        <v>12011.42</v>
      </c>
      <c r="T113" s="683"/>
      <c r="U113" s="625">
        <f t="shared" si="292"/>
        <v>2658.3</v>
      </c>
      <c r="V113" s="625">
        <f t="shared" si="293"/>
        <v>2591.5</v>
      </c>
      <c r="W113" s="625">
        <f t="shared" si="294"/>
        <v>2519.6</v>
      </c>
      <c r="X113" s="625">
        <f t="shared" si="295"/>
        <v>2346.8</v>
      </c>
      <c r="Y113" s="625">
        <f t="shared" si="296"/>
        <v>1895.22</v>
      </c>
      <c r="Z113" s="656">
        <f t="shared" si="16"/>
        <v>1774</v>
      </c>
      <c r="AA113" s="683"/>
      <c r="AB113" s="625">
        <f t="shared" si="297"/>
        <v>487.1</v>
      </c>
      <c r="AC113" s="625">
        <f t="shared" si="298"/>
        <v>384.2</v>
      </c>
      <c r="AD113" s="625">
        <f t="shared" si="299"/>
        <v>369.8</v>
      </c>
      <c r="AE113" s="625">
        <f t="shared" si="300"/>
        <v>381</v>
      </c>
      <c r="AF113" s="625">
        <f t="shared" si="301"/>
        <v>151.9</v>
      </c>
      <c r="AG113" s="657">
        <f t="shared" si="22"/>
        <v>0.147692779</v>
      </c>
      <c r="AH113" s="165"/>
      <c r="AI113" s="165">
        <f t="shared" ref="AI113:AM113" si="308">AB113/U113</f>
        <v>0.1832374074</v>
      </c>
      <c r="AJ113" s="165">
        <f t="shared" si="308"/>
        <v>0.148253907</v>
      </c>
      <c r="AK113" s="165">
        <f t="shared" si="308"/>
        <v>0.1467693285</v>
      </c>
      <c r="AL113" s="165">
        <f t="shared" si="308"/>
        <v>0.1623487302</v>
      </c>
      <c r="AM113" s="165">
        <f t="shared" si="308"/>
        <v>0.08014900645</v>
      </c>
      <c r="AN113" s="684">
        <f t="shared" si="24"/>
        <v>2586</v>
      </c>
      <c r="AO113" s="641"/>
      <c r="AP113" s="641">
        <v>1404.0</v>
      </c>
      <c r="AQ113" s="641">
        <v>877.0</v>
      </c>
      <c r="AR113" s="641">
        <v>301.0</v>
      </c>
      <c r="AS113" s="641">
        <v>3.0</v>
      </c>
      <c r="AT113" s="641">
        <v>1.0</v>
      </c>
      <c r="AU113" s="684">
        <f t="shared" si="218"/>
        <v>6156.4</v>
      </c>
      <c r="AV113" s="641"/>
      <c r="AW113" s="641">
        <v>1288.0</v>
      </c>
      <c r="AX113" s="625">
        <v>1244.5</v>
      </c>
      <c r="AY113" s="625">
        <v>1246.4</v>
      </c>
      <c r="AZ113" s="625">
        <v>1195.8</v>
      </c>
      <c r="BA113" s="693">
        <v>1181.7</v>
      </c>
      <c r="BB113" s="631"/>
      <c r="BC113" s="189" t="s">
        <v>695</v>
      </c>
      <c r="BD113" s="688" t="s">
        <v>3303</v>
      </c>
      <c r="BE113" s="179" t="s">
        <v>3304</v>
      </c>
      <c r="BF113" s="179" t="s">
        <v>3305</v>
      </c>
      <c r="BG113" s="179" t="s">
        <v>3306</v>
      </c>
      <c r="BH113" s="179" t="s">
        <v>3307</v>
      </c>
      <c r="BI113" s="179" t="s">
        <v>3308</v>
      </c>
      <c r="BJ113" s="179"/>
      <c r="BK113" s="631"/>
      <c r="BL113" s="179" t="b">
        <f t="shared" si="26"/>
        <v>1</v>
      </c>
      <c r="BM113" s="179" t="b">
        <f t="shared" si="27"/>
        <v>1</v>
      </c>
      <c r="BN113" s="688" t="b">
        <f t="shared" si="28"/>
        <v>1</v>
      </c>
    </row>
    <row r="114">
      <c r="A114" s="696" t="s">
        <v>1534</v>
      </c>
      <c r="B114" s="186" t="s">
        <v>3479</v>
      </c>
      <c r="C114" s="676" t="s">
        <v>2113</v>
      </c>
      <c r="D114" s="677">
        <v>21.0</v>
      </c>
      <c r="E114" s="632" t="s">
        <v>50</v>
      </c>
      <c r="F114" s="678">
        <f t="shared" ref="F114:G114" si="309">H114+J114+L114+N114+P114</f>
        <v>33110</v>
      </c>
      <c r="G114" s="679">
        <f t="shared" si="309"/>
        <v>431</v>
      </c>
      <c r="H114" s="641">
        <v>9086.0</v>
      </c>
      <c r="I114" s="680">
        <v>389.0</v>
      </c>
      <c r="J114" s="641">
        <v>9371.0</v>
      </c>
      <c r="K114" s="680">
        <v>20.0</v>
      </c>
      <c r="L114" s="641">
        <v>6609.0</v>
      </c>
      <c r="M114" s="680">
        <v>84.0</v>
      </c>
      <c r="N114" s="641">
        <v>3724.0</v>
      </c>
      <c r="O114" s="680">
        <v>42.0</v>
      </c>
      <c r="P114" s="641">
        <v>4320.0</v>
      </c>
      <c r="Q114" s="680">
        <v>-104.0</v>
      </c>
      <c r="R114" s="681" t="s">
        <v>703</v>
      </c>
      <c r="S114" s="682">
        <f t="shared" si="10"/>
        <v>33110</v>
      </c>
      <c r="T114" s="683"/>
      <c r="U114" s="625">
        <f t="shared" si="292"/>
        <v>9086</v>
      </c>
      <c r="V114" s="625">
        <f t="shared" si="293"/>
        <v>9371</v>
      </c>
      <c r="W114" s="625">
        <f t="shared" si="294"/>
        <v>6609</v>
      </c>
      <c r="X114" s="625">
        <f t="shared" si="295"/>
        <v>3724</v>
      </c>
      <c r="Y114" s="625">
        <f t="shared" si="296"/>
        <v>4320</v>
      </c>
      <c r="Z114" s="656">
        <f t="shared" si="16"/>
        <v>431</v>
      </c>
      <c r="AA114" s="683"/>
      <c r="AB114" s="625">
        <f t="shared" si="297"/>
        <v>389</v>
      </c>
      <c r="AC114" s="625">
        <f t="shared" si="298"/>
        <v>20</v>
      </c>
      <c r="AD114" s="625">
        <f t="shared" si="299"/>
        <v>84</v>
      </c>
      <c r="AE114" s="625">
        <f t="shared" si="300"/>
        <v>42</v>
      </c>
      <c r="AF114" s="625">
        <f t="shared" si="301"/>
        <v>-104</v>
      </c>
      <c r="AG114" s="657">
        <f t="shared" si="22"/>
        <v>0.01301721534</v>
      </c>
      <c r="AH114" s="165"/>
      <c r="AI114" s="165">
        <f t="shared" ref="AI114:AM114" si="310">AB114/U114</f>
        <v>0.04281311908</v>
      </c>
      <c r="AJ114" s="165">
        <f t="shared" si="310"/>
        <v>0.002134243944</v>
      </c>
      <c r="AK114" s="165">
        <f t="shared" si="310"/>
        <v>0.01270994099</v>
      </c>
      <c r="AL114" s="165">
        <f t="shared" si="310"/>
        <v>0.01127819549</v>
      </c>
      <c r="AM114" s="165">
        <f t="shared" si="310"/>
        <v>-0.02407407407</v>
      </c>
      <c r="AN114" s="684">
        <f t="shared" si="24"/>
        <v>2690</v>
      </c>
      <c r="AO114" s="685">
        <v>11115.0</v>
      </c>
      <c r="AP114" s="180">
        <v>2500.0</v>
      </c>
      <c r="AQ114" s="180">
        <v>0.0</v>
      </c>
      <c r="AR114" s="180">
        <v>90.0</v>
      </c>
      <c r="AS114" s="180">
        <v>0.0</v>
      </c>
      <c r="AT114" s="180">
        <v>100.0</v>
      </c>
      <c r="AU114" s="684">
        <f t="shared" si="218"/>
        <v>5844</v>
      </c>
      <c r="AV114" s="685">
        <v>597.0</v>
      </c>
      <c r="AW114" s="180">
        <v>397.0</v>
      </c>
      <c r="AX114" s="180">
        <v>186.0</v>
      </c>
      <c r="AY114" s="180">
        <v>669.0</v>
      </c>
      <c r="AZ114" s="180">
        <v>2350.0</v>
      </c>
      <c r="BA114" s="686">
        <v>2242.0</v>
      </c>
      <c r="BB114" s="631"/>
      <c r="BC114" s="202" t="s">
        <v>695</v>
      </c>
      <c r="BD114" s="186" t="s">
        <v>3303</v>
      </c>
      <c r="BE114" s="186" t="s">
        <v>3304</v>
      </c>
      <c r="BF114" s="186" t="s">
        <v>3305</v>
      </c>
      <c r="BG114" s="186" t="s">
        <v>3306</v>
      </c>
      <c r="BH114" s="186" t="s">
        <v>3307</v>
      </c>
      <c r="BI114" s="186" t="s">
        <v>3308</v>
      </c>
      <c r="BJ114" s="179"/>
      <c r="BK114" s="631"/>
      <c r="BL114" s="179" t="b">
        <f t="shared" si="26"/>
        <v>1</v>
      </c>
      <c r="BM114" s="179" t="b">
        <f t="shared" si="27"/>
        <v>1</v>
      </c>
      <c r="BN114" s="688" t="b">
        <f t="shared" si="28"/>
        <v>1</v>
      </c>
    </row>
    <row r="115">
      <c r="A115" s="689"/>
      <c r="B115" s="186" t="s">
        <v>3480</v>
      </c>
      <c r="C115" s="676" t="s">
        <v>2113</v>
      </c>
      <c r="D115" s="677">
        <v>179.0</v>
      </c>
      <c r="E115" s="632" t="s">
        <v>3481</v>
      </c>
      <c r="F115" s="678">
        <f t="shared" ref="F115:G115" si="311">H115+J115+L115+N115+P115</f>
        <v>3720.22</v>
      </c>
      <c r="G115" s="679">
        <f t="shared" si="311"/>
        <v>751.08</v>
      </c>
      <c r="H115" s="641">
        <v>1030.58</v>
      </c>
      <c r="I115" s="680">
        <v>197.0</v>
      </c>
      <c r="J115" s="641">
        <v>728.16</v>
      </c>
      <c r="K115" s="680">
        <v>116.43</v>
      </c>
      <c r="L115" s="641">
        <v>671.12</v>
      </c>
      <c r="M115" s="680">
        <v>130.68</v>
      </c>
      <c r="N115" s="641">
        <v>539.09</v>
      </c>
      <c r="O115" s="680">
        <v>167.23</v>
      </c>
      <c r="P115" s="641">
        <v>751.27</v>
      </c>
      <c r="Q115" s="680">
        <v>139.74</v>
      </c>
      <c r="R115" s="681" t="s">
        <v>709</v>
      </c>
      <c r="S115" s="682">
        <f t="shared" si="10"/>
        <v>3720.22</v>
      </c>
      <c r="T115" s="683"/>
      <c r="U115" s="625">
        <f t="shared" si="292"/>
        <v>1030.58</v>
      </c>
      <c r="V115" s="625">
        <f t="shared" si="293"/>
        <v>728.16</v>
      </c>
      <c r="W115" s="625">
        <f t="shared" si="294"/>
        <v>671.12</v>
      </c>
      <c r="X115" s="625">
        <f t="shared" si="295"/>
        <v>539.09</v>
      </c>
      <c r="Y115" s="625">
        <f t="shared" si="296"/>
        <v>751.27</v>
      </c>
      <c r="Z115" s="656">
        <f t="shared" si="16"/>
        <v>751.08</v>
      </c>
      <c r="AA115" s="683"/>
      <c r="AB115" s="625">
        <f t="shared" si="297"/>
        <v>197</v>
      </c>
      <c r="AC115" s="625">
        <f t="shared" si="298"/>
        <v>116.43</v>
      </c>
      <c r="AD115" s="625">
        <f t="shared" si="299"/>
        <v>130.68</v>
      </c>
      <c r="AE115" s="625">
        <f t="shared" si="300"/>
        <v>167.23</v>
      </c>
      <c r="AF115" s="625">
        <f t="shared" si="301"/>
        <v>139.74</v>
      </c>
      <c r="AG115" s="657">
        <f t="shared" si="22"/>
        <v>0.201891286</v>
      </c>
      <c r="AH115" s="165"/>
      <c r="AI115" s="165">
        <f t="shared" ref="AI115:AM115" si="312">AB115/U115</f>
        <v>0.1911544955</v>
      </c>
      <c r="AJ115" s="165">
        <f t="shared" si="312"/>
        <v>0.1598961767</v>
      </c>
      <c r="AK115" s="165">
        <f t="shared" si="312"/>
        <v>0.1947192752</v>
      </c>
      <c r="AL115" s="165">
        <f t="shared" si="312"/>
        <v>0.310207943</v>
      </c>
      <c r="AM115" s="165">
        <f t="shared" si="312"/>
        <v>0.1860050315</v>
      </c>
      <c r="AN115" s="684">
        <f t="shared" si="24"/>
        <v>819</v>
      </c>
      <c r="AO115" s="625"/>
      <c r="AP115" s="625">
        <v>223.0</v>
      </c>
      <c r="AQ115" s="625">
        <v>334.0</v>
      </c>
      <c r="AR115" s="625">
        <v>96.0</v>
      </c>
      <c r="AS115" s="625">
        <v>74.0</v>
      </c>
      <c r="AT115" s="625">
        <v>92.0</v>
      </c>
      <c r="AU115" s="684">
        <f t="shared" si="218"/>
        <v>2269.72</v>
      </c>
      <c r="AV115" s="625"/>
      <c r="AW115" s="625">
        <v>495.92</v>
      </c>
      <c r="AX115" s="625">
        <v>465.65</v>
      </c>
      <c r="AY115" s="625">
        <v>453.28</v>
      </c>
      <c r="AZ115" s="625">
        <v>438.89</v>
      </c>
      <c r="BA115" s="693">
        <v>415.98</v>
      </c>
      <c r="BB115" s="631"/>
      <c r="BC115" s="189" t="s">
        <v>695</v>
      </c>
      <c r="BD115" s="688" t="s">
        <v>3303</v>
      </c>
      <c r="BE115" s="179" t="s">
        <v>3304</v>
      </c>
      <c r="BF115" s="179" t="s">
        <v>3305</v>
      </c>
      <c r="BG115" s="179" t="s">
        <v>3306</v>
      </c>
      <c r="BH115" s="179" t="s">
        <v>3307</v>
      </c>
      <c r="BI115" s="179" t="s">
        <v>3308</v>
      </c>
      <c r="BJ115" s="179"/>
      <c r="BK115" s="631"/>
      <c r="BL115" s="179" t="b">
        <f t="shared" si="26"/>
        <v>1</v>
      </c>
      <c r="BM115" s="179" t="b">
        <f t="shared" si="27"/>
        <v>1</v>
      </c>
      <c r="BN115" s="688" t="b">
        <f t="shared" si="28"/>
        <v>1</v>
      </c>
    </row>
    <row r="116">
      <c r="A116" s="675" t="s">
        <v>3301</v>
      </c>
      <c r="B116" s="186" t="s">
        <v>3482</v>
      </c>
      <c r="C116" s="676" t="s">
        <v>2113</v>
      </c>
      <c r="D116" s="677">
        <v>150.0</v>
      </c>
      <c r="E116" s="632" t="s">
        <v>1180</v>
      </c>
      <c r="F116" s="678">
        <f t="shared" ref="F116:G116" si="313">H116+J116+L116+N116+P116</f>
        <v>29535.99</v>
      </c>
      <c r="G116" s="679">
        <f t="shared" si="313"/>
        <v>8313.61</v>
      </c>
      <c r="H116" s="641">
        <v>4675.3</v>
      </c>
      <c r="I116" s="680">
        <v>2382.02</v>
      </c>
      <c r="J116" s="641">
        <v>8369.0</v>
      </c>
      <c r="K116" s="680">
        <v>1684.83</v>
      </c>
      <c r="L116" s="641">
        <v>5602.69</v>
      </c>
      <c r="M116" s="680">
        <v>1329.83</v>
      </c>
      <c r="N116" s="641">
        <v>3977.0</v>
      </c>
      <c r="O116" s="680">
        <v>1310.12</v>
      </c>
      <c r="P116" s="641">
        <v>6912.0</v>
      </c>
      <c r="Q116" s="680">
        <v>1606.81</v>
      </c>
      <c r="R116" s="681" t="s">
        <v>702</v>
      </c>
      <c r="S116" s="682">
        <f t="shared" si="10"/>
        <v>29535.99</v>
      </c>
      <c r="T116" s="683"/>
      <c r="U116" s="625">
        <f t="shared" si="292"/>
        <v>4675.3</v>
      </c>
      <c r="V116" s="625">
        <f t="shared" si="293"/>
        <v>8369</v>
      </c>
      <c r="W116" s="625">
        <f t="shared" si="294"/>
        <v>5602.69</v>
      </c>
      <c r="X116" s="625">
        <f t="shared" si="295"/>
        <v>3977</v>
      </c>
      <c r="Y116" s="625">
        <f t="shared" si="296"/>
        <v>6912</v>
      </c>
      <c r="Z116" s="656">
        <f t="shared" si="16"/>
        <v>8313.61</v>
      </c>
      <c r="AA116" s="683"/>
      <c r="AB116" s="625">
        <f t="shared" si="297"/>
        <v>2382.02</v>
      </c>
      <c r="AC116" s="625">
        <f t="shared" si="298"/>
        <v>1684.83</v>
      </c>
      <c r="AD116" s="625">
        <f t="shared" si="299"/>
        <v>1329.83</v>
      </c>
      <c r="AE116" s="625">
        <f t="shared" si="300"/>
        <v>1310.12</v>
      </c>
      <c r="AF116" s="625">
        <f t="shared" si="301"/>
        <v>1606.81</v>
      </c>
      <c r="AG116" s="657">
        <f t="shared" si="22"/>
        <v>0.28147389</v>
      </c>
      <c r="AH116" s="165"/>
      <c r="AI116" s="165">
        <f t="shared" ref="AI116:AM116" si="314">AB116/U116</f>
        <v>0.5094903001</v>
      </c>
      <c r="AJ116" s="165">
        <f t="shared" si="314"/>
        <v>0.2013179591</v>
      </c>
      <c r="AK116" s="165">
        <f t="shared" si="314"/>
        <v>0.2373556274</v>
      </c>
      <c r="AL116" s="165">
        <f t="shared" si="314"/>
        <v>0.3294241891</v>
      </c>
      <c r="AM116" s="165">
        <f t="shared" si="314"/>
        <v>0.2324667245</v>
      </c>
      <c r="AN116" s="684">
        <f t="shared" si="24"/>
        <v>8008</v>
      </c>
      <c r="AO116" s="641">
        <v>1000.0</v>
      </c>
      <c r="AP116" s="641">
        <v>1396.0</v>
      </c>
      <c r="AQ116" s="641">
        <v>546.0</v>
      </c>
      <c r="AR116" s="641">
        <v>1583.0</v>
      </c>
      <c r="AS116" s="641">
        <v>1583.0</v>
      </c>
      <c r="AT116" s="641">
        <v>2900.0</v>
      </c>
      <c r="AU116" s="684">
        <f t="shared" si="218"/>
        <v>16956</v>
      </c>
      <c r="AV116" s="641">
        <v>3809.0</v>
      </c>
      <c r="AW116" s="625">
        <v>3709.0</v>
      </c>
      <c r="AX116" s="625">
        <v>3605.0</v>
      </c>
      <c r="AY116" s="625">
        <v>3449.0</v>
      </c>
      <c r="AZ116" s="625">
        <v>3222.0</v>
      </c>
      <c r="BA116" s="693">
        <v>2971.0</v>
      </c>
      <c r="BB116" s="631"/>
      <c r="BC116" s="189" t="s">
        <v>695</v>
      </c>
      <c r="BD116" s="186" t="s">
        <v>3303</v>
      </c>
      <c r="BE116" s="179" t="s">
        <v>3304</v>
      </c>
      <c r="BF116" s="179" t="s">
        <v>3305</v>
      </c>
      <c r="BG116" s="179" t="s">
        <v>3306</v>
      </c>
      <c r="BH116" s="179" t="s">
        <v>3307</v>
      </c>
      <c r="BI116" s="179" t="s">
        <v>3308</v>
      </c>
      <c r="BJ116" s="179"/>
      <c r="BK116" s="631"/>
      <c r="BL116" s="179" t="b">
        <f t="shared" si="26"/>
        <v>1</v>
      </c>
      <c r="BM116" s="179" t="b">
        <f t="shared" si="27"/>
        <v>0</v>
      </c>
      <c r="BN116" s="688" t="b">
        <f t="shared" si="28"/>
        <v>1</v>
      </c>
    </row>
    <row r="117">
      <c r="A117" s="689"/>
      <c r="B117" s="186" t="s">
        <v>3483</v>
      </c>
      <c r="C117" s="676" t="s">
        <v>2113</v>
      </c>
      <c r="D117" s="717">
        <v>409.0</v>
      </c>
      <c r="E117" s="632" t="s">
        <v>3484</v>
      </c>
      <c r="F117" s="678">
        <f t="shared" ref="F117:G117" si="315">H117+J117+L117+N117+P117</f>
        <v>1531.97</v>
      </c>
      <c r="G117" s="679">
        <f t="shared" si="315"/>
        <v>76.17</v>
      </c>
      <c r="H117" s="641">
        <v>677.34</v>
      </c>
      <c r="I117" s="680">
        <v>24.13</v>
      </c>
      <c r="J117" s="641">
        <v>227.19</v>
      </c>
      <c r="K117" s="680">
        <v>1.98</v>
      </c>
      <c r="L117" s="641">
        <v>144.85</v>
      </c>
      <c r="M117" s="680">
        <v>17.8</v>
      </c>
      <c r="N117" s="641">
        <v>245.81</v>
      </c>
      <c r="O117" s="680">
        <v>9.62</v>
      </c>
      <c r="P117" s="641">
        <v>236.78</v>
      </c>
      <c r="Q117" s="680">
        <v>22.64</v>
      </c>
      <c r="R117" s="681" t="s">
        <v>709</v>
      </c>
      <c r="S117" s="682">
        <f t="shared" si="10"/>
        <v>1531.97</v>
      </c>
      <c r="T117" s="683"/>
      <c r="U117" s="625">
        <f t="shared" si="292"/>
        <v>677.34</v>
      </c>
      <c r="V117" s="625">
        <f t="shared" si="293"/>
        <v>227.19</v>
      </c>
      <c r="W117" s="625">
        <f t="shared" si="294"/>
        <v>144.85</v>
      </c>
      <c r="X117" s="625">
        <f t="shared" si="295"/>
        <v>245.81</v>
      </c>
      <c r="Y117" s="625">
        <f t="shared" si="296"/>
        <v>236.78</v>
      </c>
      <c r="Z117" s="656">
        <f t="shared" si="16"/>
        <v>76.17</v>
      </c>
      <c r="AA117" s="683"/>
      <c r="AB117" s="625">
        <f t="shared" si="297"/>
        <v>24.13</v>
      </c>
      <c r="AC117" s="625">
        <f t="shared" si="298"/>
        <v>1.98</v>
      </c>
      <c r="AD117" s="625">
        <f t="shared" si="299"/>
        <v>17.8</v>
      </c>
      <c r="AE117" s="625">
        <f t="shared" si="300"/>
        <v>9.62</v>
      </c>
      <c r="AF117" s="625">
        <f t="shared" si="301"/>
        <v>22.64</v>
      </c>
      <c r="AG117" s="657">
        <f t="shared" si="22"/>
        <v>0.04972029478</v>
      </c>
      <c r="AH117" s="165"/>
      <c r="AI117" s="165">
        <f t="shared" ref="AI117:AM117" si="316">AB117/U117</f>
        <v>0.03562464936</v>
      </c>
      <c r="AJ117" s="165">
        <f t="shared" si="316"/>
        <v>0.008715172323</v>
      </c>
      <c r="AK117" s="165">
        <f t="shared" si="316"/>
        <v>0.1228857439</v>
      </c>
      <c r="AL117" s="165">
        <f t="shared" si="316"/>
        <v>0.03913591799</v>
      </c>
      <c r="AM117" s="165">
        <f t="shared" si="316"/>
        <v>0.0956161838</v>
      </c>
      <c r="AN117" s="684">
        <f t="shared" si="24"/>
        <v>642</v>
      </c>
      <c r="AO117" s="625">
        <f>54+22</f>
        <v>76</v>
      </c>
      <c r="AP117" s="625">
        <v>46.0</v>
      </c>
      <c r="AQ117" s="625">
        <v>15.0</v>
      </c>
      <c r="AR117" s="625">
        <v>325.0</v>
      </c>
      <c r="AS117" s="625">
        <v>133.0</v>
      </c>
      <c r="AT117" s="625">
        <v>123.0</v>
      </c>
      <c r="AU117" s="684">
        <f t="shared" si="218"/>
        <v>511</v>
      </c>
      <c r="AV117" s="641">
        <v>123.0</v>
      </c>
      <c r="AW117" s="641">
        <v>92.0</v>
      </c>
      <c r="AX117" s="641">
        <v>92.0</v>
      </c>
      <c r="AY117" s="641">
        <v>103.0</v>
      </c>
      <c r="AZ117" s="641">
        <v>113.0</v>
      </c>
      <c r="BA117" s="691">
        <v>111.0</v>
      </c>
      <c r="BB117" s="631"/>
      <c r="BC117" s="189" t="s">
        <v>695</v>
      </c>
      <c r="BD117" s="186" t="s">
        <v>3303</v>
      </c>
      <c r="BE117" s="688" t="s">
        <v>3303</v>
      </c>
      <c r="BF117" s="688" t="s">
        <v>3303</v>
      </c>
      <c r="BG117" s="688" t="s">
        <v>3303</v>
      </c>
      <c r="BH117" s="688" t="s">
        <v>3303</v>
      </c>
      <c r="BI117" s="688" t="s">
        <v>3303</v>
      </c>
      <c r="BJ117" s="179"/>
      <c r="BK117" s="631"/>
      <c r="BL117" s="179" t="b">
        <f t="shared" si="26"/>
        <v>1</v>
      </c>
      <c r="BM117" s="179" t="b">
        <f t="shared" si="27"/>
        <v>1</v>
      </c>
      <c r="BN117" s="688" t="b">
        <f t="shared" si="28"/>
        <v>1</v>
      </c>
    </row>
    <row r="118">
      <c r="A118" s="689"/>
      <c r="B118" s="186" t="s">
        <v>3485</v>
      </c>
      <c r="C118" s="676" t="s">
        <v>2113</v>
      </c>
      <c r="D118" s="677">
        <v>252.0</v>
      </c>
      <c r="E118" s="632" t="s">
        <v>3486</v>
      </c>
      <c r="F118" s="678">
        <f t="shared" ref="F118:G118" si="317">H118+J118+L118+N118+P118</f>
        <v>2351.88</v>
      </c>
      <c r="G118" s="679">
        <f t="shared" si="317"/>
        <v>414.72</v>
      </c>
      <c r="H118" s="641">
        <v>872.4</v>
      </c>
      <c r="I118" s="680">
        <v>161.0</v>
      </c>
      <c r="J118" s="641">
        <v>708.0</v>
      </c>
      <c r="K118" s="680">
        <v>116.1</v>
      </c>
      <c r="L118" s="641">
        <v>359.6</v>
      </c>
      <c r="M118" s="680">
        <v>70.8</v>
      </c>
      <c r="N118" s="641">
        <v>224.1</v>
      </c>
      <c r="O118" s="680">
        <v>30.9</v>
      </c>
      <c r="P118" s="641">
        <v>187.78</v>
      </c>
      <c r="Q118" s="680">
        <v>35.92</v>
      </c>
      <c r="R118" s="681" t="s">
        <v>693</v>
      </c>
      <c r="S118" s="682">
        <f t="shared" si="10"/>
        <v>2351.88</v>
      </c>
      <c r="T118" s="683"/>
      <c r="U118" s="625">
        <f t="shared" si="292"/>
        <v>872.4</v>
      </c>
      <c r="V118" s="625">
        <f t="shared" si="293"/>
        <v>708</v>
      </c>
      <c r="W118" s="625">
        <f t="shared" si="294"/>
        <v>359.6</v>
      </c>
      <c r="X118" s="625">
        <f t="shared" si="295"/>
        <v>224.1</v>
      </c>
      <c r="Y118" s="625">
        <f t="shared" si="296"/>
        <v>187.78</v>
      </c>
      <c r="Z118" s="656">
        <f t="shared" si="16"/>
        <v>414.72</v>
      </c>
      <c r="AA118" s="683"/>
      <c r="AB118" s="625">
        <f t="shared" si="297"/>
        <v>161</v>
      </c>
      <c r="AC118" s="625">
        <f t="shared" si="298"/>
        <v>116.1</v>
      </c>
      <c r="AD118" s="625">
        <f t="shared" si="299"/>
        <v>70.8</v>
      </c>
      <c r="AE118" s="625">
        <f t="shared" si="300"/>
        <v>30.9</v>
      </c>
      <c r="AF118" s="625">
        <f t="shared" si="301"/>
        <v>35.92</v>
      </c>
      <c r="AG118" s="657">
        <f t="shared" si="22"/>
        <v>0.1763355273</v>
      </c>
      <c r="AH118" s="165"/>
      <c r="AI118" s="165">
        <f t="shared" ref="AI118:AM118" si="318">AB118/U118</f>
        <v>0.1845483723</v>
      </c>
      <c r="AJ118" s="165">
        <f t="shared" si="318"/>
        <v>0.1639830508</v>
      </c>
      <c r="AK118" s="165">
        <f t="shared" si="318"/>
        <v>0.1968854283</v>
      </c>
      <c r="AL118" s="165">
        <f t="shared" si="318"/>
        <v>0.1378848728</v>
      </c>
      <c r="AM118" s="165">
        <f t="shared" si="318"/>
        <v>0.1912876771</v>
      </c>
      <c r="AN118" s="684">
        <f t="shared" si="24"/>
        <v>997.318</v>
      </c>
      <c r="AO118" s="625"/>
      <c r="AP118" s="625">
        <v>521.2</v>
      </c>
      <c r="AQ118" s="625">
        <v>210.6</v>
      </c>
      <c r="AR118" s="625">
        <v>80.2</v>
      </c>
      <c r="AS118" s="625">
        <v>1.4</v>
      </c>
      <c r="AT118" s="625">
        <v>183.918</v>
      </c>
      <c r="AU118" s="684">
        <f t="shared" si="218"/>
        <v>99.8</v>
      </c>
      <c r="AV118" s="641"/>
      <c r="AW118" s="641">
        <v>23.7</v>
      </c>
      <c r="AX118" s="641">
        <v>23.9</v>
      </c>
      <c r="AY118" s="641">
        <v>11.0</v>
      </c>
      <c r="AZ118" s="641">
        <v>20.3</v>
      </c>
      <c r="BA118" s="691">
        <v>20.9</v>
      </c>
      <c r="BB118" s="631"/>
      <c r="BC118" s="189" t="s">
        <v>695</v>
      </c>
      <c r="BD118" s="688" t="s">
        <v>3303</v>
      </c>
      <c r="BE118" s="179" t="s">
        <v>3304</v>
      </c>
      <c r="BF118" s="179" t="s">
        <v>3305</v>
      </c>
      <c r="BG118" s="179" t="s">
        <v>3306</v>
      </c>
      <c r="BH118" s="179" t="s">
        <v>3307</v>
      </c>
      <c r="BI118" s="179" t="s">
        <v>3308</v>
      </c>
      <c r="BJ118" s="179"/>
      <c r="BK118" s="631"/>
      <c r="BL118" s="179" t="b">
        <f t="shared" si="26"/>
        <v>1</v>
      </c>
      <c r="BM118" s="179" t="b">
        <f t="shared" si="27"/>
        <v>1</v>
      </c>
      <c r="BN118" s="688" t="b">
        <f t="shared" si="28"/>
        <v>0</v>
      </c>
    </row>
    <row r="119">
      <c r="A119" s="696" t="s">
        <v>1534</v>
      </c>
      <c r="B119" s="186" t="s">
        <v>3487</v>
      </c>
      <c r="C119" s="676" t="s">
        <v>2113</v>
      </c>
      <c r="D119" s="717">
        <v>174.0</v>
      </c>
      <c r="E119" s="632" t="s">
        <v>59</v>
      </c>
      <c r="F119" s="678">
        <f t="shared" ref="F119:G119" si="319">H119+J119+L119+N119+P119</f>
        <v>11761</v>
      </c>
      <c r="G119" s="679">
        <f t="shared" si="319"/>
        <v>1436</v>
      </c>
      <c r="H119" s="641">
        <v>2252.0</v>
      </c>
      <c r="I119" s="680">
        <v>550.0</v>
      </c>
      <c r="J119" s="641">
        <v>2910.0</v>
      </c>
      <c r="K119" s="680">
        <v>486.0</v>
      </c>
      <c r="L119" s="641">
        <v>2222.0</v>
      </c>
      <c r="M119" s="680">
        <v>410.0</v>
      </c>
      <c r="N119" s="641">
        <v>2624.0</v>
      </c>
      <c r="O119" s="680">
        <v>8.0</v>
      </c>
      <c r="P119" s="641">
        <v>1753.0</v>
      </c>
      <c r="Q119" s="680">
        <v>-18.0</v>
      </c>
      <c r="R119" s="681" t="s">
        <v>700</v>
      </c>
      <c r="S119" s="682">
        <f t="shared" si="10"/>
        <v>11761</v>
      </c>
      <c r="T119" s="683"/>
      <c r="U119" s="625">
        <f t="shared" si="292"/>
        <v>2252</v>
      </c>
      <c r="V119" s="625">
        <f t="shared" si="293"/>
        <v>2910</v>
      </c>
      <c r="W119" s="625">
        <f t="shared" si="294"/>
        <v>2222</v>
      </c>
      <c r="X119" s="625">
        <f t="shared" si="295"/>
        <v>2624</v>
      </c>
      <c r="Y119" s="625">
        <f t="shared" si="296"/>
        <v>1753</v>
      </c>
      <c r="Z119" s="656">
        <f t="shared" si="16"/>
        <v>1436</v>
      </c>
      <c r="AA119" s="683"/>
      <c r="AB119" s="625">
        <f t="shared" si="297"/>
        <v>550</v>
      </c>
      <c r="AC119" s="625">
        <f t="shared" si="298"/>
        <v>486</v>
      </c>
      <c r="AD119" s="625">
        <f t="shared" si="299"/>
        <v>410</v>
      </c>
      <c r="AE119" s="625">
        <f t="shared" si="300"/>
        <v>8</v>
      </c>
      <c r="AF119" s="625">
        <f t="shared" si="301"/>
        <v>-18</v>
      </c>
      <c r="AG119" s="657">
        <f t="shared" si="22"/>
        <v>0.122098461</v>
      </c>
      <c r="AH119" s="165"/>
      <c r="AI119" s="165">
        <f t="shared" ref="AI119:AM119" si="320">AB119/U119</f>
        <v>0.2442273535</v>
      </c>
      <c r="AJ119" s="165">
        <f t="shared" si="320"/>
        <v>0.1670103093</v>
      </c>
      <c r="AK119" s="165">
        <f t="shared" si="320"/>
        <v>0.1845184518</v>
      </c>
      <c r="AL119" s="165">
        <f t="shared" si="320"/>
        <v>0.003048780488</v>
      </c>
      <c r="AM119" s="165">
        <f t="shared" si="320"/>
        <v>-0.01026811181</v>
      </c>
      <c r="AN119" s="684">
        <f t="shared" si="24"/>
        <v>3602</v>
      </c>
      <c r="AO119" s="641">
        <v>1400.0</v>
      </c>
      <c r="AP119" s="641">
        <v>1550.0</v>
      </c>
      <c r="AQ119" s="641">
        <v>1702.0</v>
      </c>
      <c r="AR119" s="641">
        <v>150.0</v>
      </c>
      <c r="AS119" s="641">
        <v>200.0</v>
      </c>
      <c r="AT119" s="180">
        <v>0.0</v>
      </c>
      <c r="AU119" s="684">
        <f t="shared" si="218"/>
        <v>2344</v>
      </c>
      <c r="AV119" s="641">
        <f>528+21</f>
        <v>549</v>
      </c>
      <c r="AW119" s="625">
        <f>506+21</f>
        <v>527</v>
      </c>
      <c r="AX119" s="625">
        <f>485+21</f>
        <v>506</v>
      </c>
      <c r="AY119" s="625">
        <f>457+21</f>
        <v>478</v>
      </c>
      <c r="AZ119" s="625">
        <f>433+21</f>
        <v>454</v>
      </c>
      <c r="BA119" s="693">
        <v>379.0</v>
      </c>
      <c r="BB119" s="631"/>
      <c r="BC119" s="189" t="s">
        <v>695</v>
      </c>
      <c r="BD119" s="186" t="s">
        <v>3303</v>
      </c>
      <c r="BE119" s="179" t="s">
        <v>3304</v>
      </c>
      <c r="BF119" s="179" t="s">
        <v>3305</v>
      </c>
      <c r="BG119" s="179" t="s">
        <v>3306</v>
      </c>
      <c r="BH119" s="179" t="s">
        <v>3307</v>
      </c>
      <c r="BI119" s="179" t="s">
        <v>3308</v>
      </c>
      <c r="BJ119" s="179"/>
      <c r="BK119" s="631"/>
      <c r="BL119" s="179" t="b">
        <f t="shared" si="26"/>
        <v>1</v>
      </c>
      <c r="BM119" s="179" t="b">
        <f t="shared" si="27"/>
        <v>1</v>
      </c>
      <c r="BN119" s="688" t="b">
        <f t="shared" si="28"/>
        <v>1</v>
      </c>
    </row>
    <row r="120">
      <c r="A120" s="675" t="s">
        <v>3301</v>
      </c>
      <c r="B120" s="186" t="s">
        <v>3488</v>
      </c>
      <c r="C120" s="676" t="s">
        <v>2113</v>
      </c>
      <c r="D120" s="677">
        <v>66.0</v>
      </c>
      <c r="E120" s="714" t="s">
        <v>1171</v>
      </c>
      <c r="F120" s="678">
        <f t="shared" ref="F120:G120" si="321">H120+J120+L120+N120+P120</f>
        <v>29392</v>
      </c>
      <c r="G120" s="679">
        <f t="shared" si="321"/>
        <v>5441</v>
      </c>
      <c r="H120" s="641">
        <v>7117.0</v>
      </c>
      <c r="I120" s="680">
        <v>1222.0</v>
      </c>
      <c r="J120" s="641">
        <v>8693.0</v>
      </c>
      <c r="K120" s="680">
        <v>1769.0</v>
      </c>
      <c r="L120" s="641">
        <v>4662.0</v>
      </c>
      <c r="M120" s="680">
        <v>1021.0</v>
      </c>
      <c r="N120" s="641">
        <v>4420.0</v>
      </c>
      <c r="O120" s="680">
        <v>670.0</v>
      </c>
      <c r="P120" s="641">
        <v>4500.0</v>
      </c>
      <c r="Q120" s="680">
        <v>759.0</v>
      </c>
      <c r="R120" s="681" t="s">
        <v>714</v>
      </c>
      <c r="S120" s="682">
        <f t="shared" si="10"/>
        <v>29392</v>
      </c>
      <c r="T120" s="683"/>
      <c r="U120" s="625">
        <f t="shared" si="292"/>
        <v>7117</v>
      </c>
      <c r="V120" s="625">
        <f t="shared" si="293"/>
        <v>8693</v>
      </c>
      <c r="W120" s="625">
        <f t="shared" si="294"/>
        <v>4662</v>
      </c>
      <c r="X120" s="625">
        <f t="shared" si="295"/>
        <v>4420</v>
      </c>
      <c r="Y120" s="625">
        <f t="shared" si="296"/>
        <v>4500</v>
      </c>
      <c r="Z120" s="656">
        <f t="shared" si="16"/>
        <v>5441</v>
      </c>
      <c r="AA120" s="683"/>
      <c r="AB120" s="625">
        <f t="shared" si="297"/>
        <v>1222</v>
      </c>
      <c r="AC120" s="625">
        <f t="shared" si="298"/>
        <v>1769</v>
      </c>
      <c r="AD120" s="625">
        <f t="shared" si="299"/>
        <v>1021</v>
      </c>
      <c r="AE120" s="625">
        <f t="shared" si="300"/>
        <v>670</v>
      </c>
      <c r="AF120" s="625">
        <f t="shared" si="301"/>
        <v>759</v>
      </c>
      <c r="AG120" s="657">
        <f t="shared" si="22"/>
        <v>0.1851183996</v>
      </c>
      <c r="AH120" s="165"/>
      <c r="AI120" s="165">
        <f t="shared" ref="AI120:AM120" si="322">AB120/U120</f>
        <v>0.1717015596</v>
      </c>
      <c r="AJ120" s="165">
        <f t="shared" si="322"/>
        <v>0.2034970666</v>
      </c>
      <c r="AK120" s="165">
        <f t="shared" si="322"/>
        <v>0.219004719</v>
      </c>
      <c r="AL120" s="165">
        <f t="shared" si="322"/>
        <v>0.1515837104</v>
      </c>
      <c r="AM120" s="165">
        <f t="shared" si="322"/>
        <v>0.1686666667</v>
      </c>
      <c r="AN120" s="725">
        <v>18217.0</v>
      </c>
      <c r="AO120" s="641">
        <v>3811.0</v>
      </c>
      <c r="AP120" s="641">
        <v>7000.0</v>
      </c>
      <c r="AQ120" s="641">
        <v>8215.0</v>
      </c>
      <c r="AR120" s="641">
        <v>441.0</v>
      </c>
      <c r="AS120" s="641">
        <v>1031.0</v>
      </c>
      <c r="AT120" s="641">
        <v>1530.0</v>
      </c>
      <c r="AU120" s="684">
        <f t="shared" si="218"/>
        <v>2467</v>
      </c>
      <c r="AV120" s="641">
        <v>661.0</v>
      </c>
      <c r="AW120" s="641">
        <v>653.0</v>
      </c>
      <c r="AX120" s="641">
        <v>624.0</v>
      </c>
      <c r="AY120" s="641">
        <v>153.0</v>
      </c>
      <c r="AZ120" s="641">
        <v>550.0</v>
      </c>
      <c r="BA120" s="691">
        <v>487.0</v>
      </c>
      <c r="BB120" s="631"/>
      <c r="BC120" s="186" t="s">
        <v>695</v>
      </c>
      <c r="BD120" s="186" t="s">
        <v>3303</v>
      </c>
      <c r="BE120" s="186" t="s">
        <v>3304</v>
      </c>
      <c r="BF120" s="186" t="s">
        <v>3305</v>
      </c>
      <c r="BG120" s="186" t="s">
        <v>3306</v>
      </c>
      <c r="BH120" s="179" t="s">
        <v>3307</v>
      </c>
      <c r="BI120" s="179" t="s">
        <v>3308</v>
      </c>
      <c r="BJ120" s="179"/>
      <c r="BK120" s="631"/>
      <c r="BL120" s="179" t="b">
        <f t="shared" si="26"/>
        <v>1</v>
      </c>
      <c r="BM120" s="179" t="b">
        <f t="shared" si="27"/>
        <v>1</v>
      </c>
      <c r="BN120" s="688" t="b">
        <f t="shared" si="28"/>
        <v>0</v>
      </c>
    </row>
    <row r="121">
      <c r="A121" s="212"/>
      <c r="B121" s="186" t="s">
        <v>3489</v>
      </c>
      <c r="C121" s="676" t="s">
        <v>2113</v>
      </c>
      <c r="D121" s="677">
        <v>325.0</v>
      </c>
      <c r="E121" s="131" t="s">
        <v>3490</v>
      </c>
      <c r="F121" s="678">
        <f t="shared" ref="F121:G121" si="323">H121+J121+L121+N121+P121</f>
        <v>2368.61</v>
      </c>
      <c r="G121" s="679">
        <f t="shared" si="323"/>
        <v>529.23</v>
      </c>
      <c r="H121" s="641">
        <v>457.0</v>
      </c>
      <c r="I121" s="680">
        <v>150.0</v>
      </c>
      <c r="J121" s="641">
        <v>555.88</v>
      </c>
      <c r="K121" s="680">
        <v>123.43</v>
      </c>
      <c r="L121" s="641">
        <v>406.2</v>
      </c>
      <c r="M121" s="680">
        <v>80.55</v>
      </c>
      <c r="N121" s="641">
        <v>478.85</v>
      </c>
      <c r="O121" s="680">
        <v>89.5</v>
      </c>
      <c r="P121" s="641">
        <v>470.68</v>
      </c>
      <c r="Q121" s="680">
        <v>85.75</v>
      </c>
      <c r="R121" s="681" t="s">
        <v>696</v>
      </c>
      <c r="S121" s="682">
        <f t="shared" si="10"/>
        <v>2368.61</v>
      </c>
      <c r="T121" s="683"/>
      <c r="U121" s="625">
        <f t="shared" si="292"/>
        <v>457</v>
      </c>
      <c r="V121" s="625">
        <f t="shared" si="293"/>
        <v>555.88</v>
      </c>
      <c r="W121" s="625">
        <f t="shared" si="294"/>
        <v>406.2</v>
      </c>
      <c r="X121" s="625">
        <f t="shared" si="295"/>
        <v>478.85</v>
      </c>
      <c r="Y121" s="625">
        <f t="shared" si="296"/>
        <v>470.68</v>
      </c>
      <c r="Z121" s="656">
        <f t="shared" si="16"/>
        <v>529.23</v>
      </c>
      <c r="AA121" s="683"/>
      <c r="AB121" s="625">
        <f t="shared" si="297"/>
        <v>150</v>
      </c>
      <c r="AC121" s="625">
        <f t="shared" si="298"/>
        <v>123.43</v>
      </c>
      <c r="AD121" s="625">
        <f t="shared" si="299"/>
        <v>80.55</v>
      </c>
      <c r="AE121" s="625">
        <f t="shared" si="300"/>
        <v>89.5</v>
      </c>
      <c r="AF121" s="625">
        <f t="shared" si="301"/>
        <v>85.75</v>
      </c>
      <c r="AG121" s="657">
        <f t="shared" si="22"/>
        <v>0.2234348415</v>
      </c>
      <c r="AH121" s="165"/>
      <c r="AI121" s="165">
        <f t="shared" ref="AI121:AM121" si="324">AB121/U121</f>
        <v>0.3282275711</v>
      </c>
      <c r="AJ121" s="165">
        <f t="shared" si="324"/>
        <v>0.2220443261</v>
      </c>
      <c r="AK121" s="165">
        <f t="shared" si="324"/>
        <v>0.1983013294</v>
      </c>
      <c r="AL121" s="165">
        <f t="shared" si="324"/>
        <v>0.1869061293</v>
      </c>
      <c r="AM121" s="165">
        <f t="shared" si="324"/>
        <v>0.1821832243</v>
      </c>
      <c r="AN121" s="684">
        <f t="shared" ref="AN121:AN167" si="327">SUM(AP121:AT121)</f>
        <v>1685</v>
      </c>
      <c r="AO121" s="625"/>
      <c r="AP121" s="641">
        <v>485.0</v>
      </c>
      <c r="AQ121" s="641">
        <v>401.0</v>
      </c>
      <c r="AR121" s="641">
        <v>74.0</v>
      </c>
      <c r="AS121" s="641">
        <v>525.0</v>
      </c>
      <c r="AT121" s="641">
        <v>200.0</v>
      </c>
      <c r="AU121" s="684">
        <f t="shared" si="218"/>
        <v>0</v>
      </c>
      <c r="AV121" s="625"/>
      <c r="AW121" s="180">
        <v>0.0</v>
      </c>
      <c r="AX121" s="180">
        <v>0.0</v>
      </c>
      <c r="AY121" s="180">
        <v>0.0</v>
      </c>
      <c r="AZ121" s="180">
        <v>0.0</v>
      </c>
      <c r="BA121" s="686">
        <v>0.0</v>
      </c>
      <c r="BB121" s="631"/>
      <c r="BC121" s="189" t="s">
        <v>695</v>
      </c>
      <c r="BD121" s="688" t="s">
        <v>3303</v>
      </c>
      <c r="BE121" s="179" t="s">
        <v>3304</v>
      </c>
      <c r="BF121" s="179" t="s">
        <v>3305</v>
      </c>
      <c r="BG121" s="179" t="s">
        <v>3306</v>
      </c>
      <c r="BH121" s="179" t="s">
        <v>3307</v>
      </c>
      <c r="BI121" s="179" t="s">
        <v>3308</v>
      </c>
      <c r="BJ121" s="179"/>
      <c r="BK121" s="631"/>
      <c r="BL121" s="179" t="b">
        <f t="shared" si="26"/>
        <v>1</v>
      </c>
      <c r="BM121" s="179" t="b">
        <f t="shared" si="27"/>
        <v>1</v>
      </c>
      <c r="BN121" s="688" t="b">
        <f t="shared" si="28"/>
        <v>0</v>
      </c>
    </row>
    <row r="122">
      <c r="A122" s="689"/>
      <c r="B122" s="186" t="s">
        <v>3491</v>
      </c>
      <c r="C122" s="676" t="s">
        <v>2113</v>
      </c>
      <c r="D122" s="677">
        <v>380.0</v>
      </c>
      <c r="E122" s="632" t="s">
        <v>3492</v>
      </c>
      <c r="F122" s="678">
        <f t="shared" ref="F122:G122" si="325">H122+J122+L122+N122+P122</f>
        <v>7134.54</v>
      </c>
      <c r="G122" s="679">
        <f t="shared" si="325"/>
        <v>738.99</v>
      </c>
      <c r="H122" s="641">
        <v>1730.88</v>
      </c>
      <c r="I122" s="680">
        <v>121.97</v>
      </c>
      <c r="J122" s="641">
        <v>1714.38</v>
      </c>
      <c r="K122" s="680">
        <v>161.4</v>
      </c>
      <c r="L122" s="641">
        <v>1359.06</v>
      </c>
      <c r="M122" s="680">
        <v>117.35</v>
      </c>
      <c r="N122" s="641">
        <v>1172.82</v>
      </c>
      <c r="O122" s="680">
        <v>179.36</v>
      </c>
      <c r="P122" s="641">
        <v>1157.4</v>
      </c>
      <c r="Q122" s="680">
        <v>158.91</v>
      </c>
      <c r="R122" s="681" t="s">
        <v>716</v>
      </c>
      <c r="S122" s="682">
        <f t="shared" si="10"/>
        <v>7134.54</v>
      </c>
      <c r="T122" s="683"/>
      <c r="U122" s="625">
        <f t="shared" si="292"/>
        <v>1730.88</v>
      </c>
      <c r="V122" s="625">
        <f t="shared" si="293"/>
        <v>1714.38</v>
      </c>
      <c r="W122" s="625">
        <f t="shared" si="294"/>
        <v>1359.06</v>
      </c>
      <c r="X122" s="625">
        <f t="shared" si="295"/>
        <v>1172.82</v>
      </c>
      <c r="Y122" s="625">
        <f t="shared" si="296"/>
        <v>1157.4</v>
      </c>
      <c r="Z122" s="656">
        <f t="shared" si="16"/>
        <v>738.99</v>
      </c>
      <c r="AA122" s="683"/>
      <c r="AB122" s="625">
        <f t="shared" si="297"/>
        <v>121.97</v>
      </c>
      <c r="AC122" s="625">
        <f t="shared" si="298"/>
        <v>161.4</v>
      </c>
      <c r="AD122" s="625">
        <f t="shared" si="299"/>
        <v>117.35</v>
      </c>
      <c r="AE122" s="625">
        <f t="shared" si="300"/>
        <v>179.36</v>
      </c>
      <c r="AF122" s="625">
        <f t="shared" si="301"/>
        <v>158.91</v>
      </c>
      <c r="AG122" s="657">
        <f t="shared" si="22"/>
        <v>0.1035792076</v>
      </c>
      <c r="AH122" s="165"/>
      <c r="AI122" s="165">
        <f t="shared" ref="AI122:AM122" si="326">AB122/U122</f>
        <v>0.07046704566</v>
      </c>
      <c r="AJ122" s="165">
        <f t="shared" si="326"/>
        <v>0.09414482203</v>
      </c>
      <c r="AK122" s="165">
        <f t="shared" si="326"/>
        <v>0.08634644534</v>
      </c>
      <c r="AL122" s="165">
        <f t="shared" si="326"/>
        <v>0.1529305435</v>
      </c>
      <c r="AM122" s="165">
        <f t="shared" si="326"/>
        <v>0.1372991187</v>
      </c>
      <c r="AN122" s="684">
        <f t="shared" si="327"/>
        <v>1833</v>
      </c>
      <c r="AO122" s="625"/>
      <c r="AP122" s="625">
        <v>389.0</v>
      </c>
      <c r="AQ122" s="625">
        <v>458.0</v>
      </c>
      <c r="AR122" s="625">
        <v>211.0</v>
      </c>
      <c r="AS122" s="625">
        <v>527.0</v>
      </c>
      <c r="AT122" s="625">
        <v>248.0</v>
      </c>
      <c r="AU122" s="684">
        <f t="shared" si="218"/>
        <v>3274.58</v>
      </c>
      <c r="AV122" s="625"/>
      <c r="AW122" s="625">
        <v>775.03</v>
      </c>
      <c r="AX122" s="625">
        <v>685.99</v>
      </c>
      <c r="AY122" s="625">
        <v>640.73</v>
      </c>
      <c r="AZ122" s="625">
        <v>610.31</v>
      </c>
      <c r="BA122" s="693">
        <v>562.52</v>
      </c>
      <c r="BB122" s="631"/>
      <c r="BC122" s="189" t="s">
        <v>695</v>
      </c>
      <c r="BD122" s="186" t="s">
        <v>3303</v>
      </c>
      <c r="BE122" s="179" t="s">
        <v>3304</v>
      </c>
      <c r="BF122" s="179" t="s">
        <v>3305</v>
      </c>
      <c r="BG122" s="179" t="s">
        <v>3306</v>
      </c>
      <c r="BH122" s="179" t="s">
        <v>3307</v>
      </c>
      <c r="BI122" s="179" t="s">
        <v>3308</v>
      </c>
      <c r="BJ122" s="179"/>
      <c r="BK122" s="646"/>
      <c r="BL122" s="179" t="b">
        <f t="shared" si="26"/>
        <v>1</v>
      </c>
      <c r="BM122" s="179" t="b">
        <f t="shared" si="27"/>
        <v>1</v>
      </c>
      <c r="BN122" s="688" t="b">
        <f t="shared" si="28"/>
        <v>1</v>
      </c>
    </row>
    <row r="123">
      <c r="A123" s="675" t="s">
        <v>3301</v>
      </c>
      <c r="B123" s="186" t="s">
        <v>3493</v>
      </c>
      <c r="C123" s="676" t="s">
        <v>1578</v>
      </c>
      <c r="D123" s="677">
        <v>20.0</v>
      </c>
      <c r="E123" s="632" t="s">
        <v>1162</v>
      </c>
      <c r="F123" s="678">
        <f t="shared" ref="F123:G123" si="328">H123+J123+L123+N123+P123</f>
        <v>80891</v>
      </c>
      <c r="G123" s="679">
        <f t="shared" si="328"/>
        <v>16373</v>
      </c>
      <c r="H123" s="641">
        <v>20110.0</v>
      </c>
      <c r="I123" s="680">
        <v>3918.0</v>
      </c>
      <c r="J123" s="641">
        <v>19339.0</v>
      </c>
      <c r="K123" s="680">
        <v>4066.0</v>
      </c>
      <c r="L123" s="641">
        <v>15085.0</v>
      </c>
      <c r="M123" s="680">
        <v>3462.0</v>
      </c>
      <c r="N123" s="641">
        <v>13198.0</v>
      </c>
      <c r="O123" s="680">
        <v>2370.0</v>
      </c>
      <c r="P123" s="641">
        <v>13159.0</v>
      </c>
      <c r="Q123" s="680">
        <v>2557.0</v>
      </c>
      <c r="R123" s="681" t="s">
        <v>709</v>
      </c>
      <c r="S123" s="682">
        <f t="shared" si="10"/>
        <v>80891</v>
      </c>
      <c r="T123" s="683"/>
      <c r="U123" s="625">
        <f t="shared" si="292"/>
        <v>20110</v>
      </c>
      <c r="V123" s="625">
        <f t="shared" si="293"/>
        <v>19339</v>
      </c>
      <c r="W123" s="625">
        <f t="shared" si="294"/>
        <v>15085</v>
      </c>
      <c r="X123" s="625">
        <f t="shared" si="295"/>
        <v>13198</v>
      </c>
      <c r="Y123" s="625">
        <f t="shared" si="296"/>
        <v>13159</v>
      </c>
      <c r="Z123" s="656">
        <f t="shared" si="16"/>
        <v>16373</v>
      </c>
      <c r="AA123" s="683"/>
      <c r="AB123" s="625">
        <f t="shared" si="297"/>
        <v>3918</v>
      </c>
      <c r="AC123" s="625">
        <f t="shared" si="298"/>
        <v>4066</v>
      </c>
      <c r="AD123" s="625">
        <f t="shared" si="299"/>
        <v>3462</v>
      </c>
      <c r="AE123" s="625">
        <f t="shared" si="300"/>
        <v>2370</v>
      </c>
      <c r="AF123" s="625">
        <f t="shared" si="301"/>
        <v>2557</v>
      </c>
      <c r="AG123" s="657">
        <f t="shared" si="22"/>
        <v>0.2024081789</v>
      </c>
      <c r="AH123" s="165"/>
      <c r="AI123" s="165">
        <f t="shared" ref="AI123:AM123" si="329">AB123/U123</f>
        <v>0.1948284436</v>
      </c>
      <c r="AJ123" s="165">
        <f t="shared" si="329"/>
        <v>0.2102487202</v>
      </c>
      <c r="AK123" s="165">
        <f t="shared" si="329"/>
        <v>0.2294995028</v>
      </c>
      <c r="AL123" s="165">
        <f t="shared" si="329"/>
        <v>0.1795726625</v>
      </c>
      <c r="AM123" s="165">
        <f t="shared" si="329"/>
        <v>0.1943156775</v>
      </c>
      <c r="AN123" s="684">
        <f t="shared" si="327"/>
        <v>39102</v>
      </c>
      <c r="AO123" s="180"/>
      <c r="AP123" s="180">
        <v>6504.0</v>
      </c>
      <c r="AQ123" s="180">
        <v>15001.0</v>
      </c>
      <c r="AR123" s="180">
        <v>597.0</v>
      </c>
      <c r="AS123" s="180">
        <v>7000.0</v>
      </c>
      <c r="AT123" s="180">
        <v>10000.0</v>
      </c>
      <c r="AU123" s="684">
        <f t="shared" si="218"/>
        <v>31887</v>
      </c>
      <c r="AV123" s="180"/>
      <c r="AW123" s="180">
        <v>7789.0</v>
      </c>
      <c r="AX123" s="180">
        <v>6985.0</v>
      </c>
      <c r="AY123" s="180">
        <v>6451.0</v>
      </c>
      <c r="AZ123" s="180">
        <v>5958.0</v>
      </c>
      <c r="BA123" s="686">
        <v>4704.0</v>
      </c>
      <c r="BB123" s="631"/>
      <c r="BC123" s="202" t="s">
        <v>695</v>
      </c>
      <c r="BD123" s="688" t="s">
        <v>3303</v>
      </c>
      <c r="BE123" s="186" t="s">
        <v>3304</v>
      </c>
      <c r="BF123" s="186" t="s">
        <v>3305</v>
      </c>
      <c r="BG123" s="186" t="s">
        <v>3306</v>
      </c>
      <c r="BH123" s="186" t="s">
        <v>3307</v>
      </c>
      <c r="BI123" s="186" t="s">
        <v>3308</v>
      </c>
      <c r="BJ123" s="179"/>
      <c r="BK123" s="631"/>
      <c r="BL123" s="179" t="b">
        <f t="shared" si="26"/>
        <v>1</v>
      </c>
      <c r="BM123" s="179" t="b">
        <f t="shared" si="27"/>
        <v>1</v>
      </c>
      <c r="BN123" s="688" t="b">
        <f t="shared" si="28"/>
        <v>1</v>
      </c>
    </row>
    <row r="124">
      <c r="A124" s="696" t="s">
        <v>1534</v>
      </c>
      <c r="B124" s="186" t="s">
        <v>3494</v>
      </c>
      <c r="C124" s="676" t="s">
        <v>2113</v>
      </c>
      <c r="D124" s="677">
        <v>115.0</v>
      </c>
      <c r="E124" s="632" t="s">
        <v>55</v>
      </c>
      <c r="F124" s="678">
        <f t="shared" ref="F124:G124" si="330">H124+J124+L124+N124+P124</f>
        <v>17194</v>
      </c>
      <c r="G124" s="679">
        <f t="shared" si="330"/>
        <v>1480</v>
      </c>
      <c r="H124" s="641">
        <v>3181.0</v>
      </c>
      <c r="I124" s="680">
        <v>653.0</v>
      </c>
      <c r="J124" s="641">
        <v>3809.0</v>
      </c>
      <c r="K124" s="680">
        <v>415.0</v>
      </c>
      <c r="L124" s="641">
        <v>3239.0</v>
      </c>
      <c r="M124" s="680">
        <v>475.0</v>
      </c>
      <c r="N124" s="641">
        <v>4135.0</v>
      </c>
      <c r="O124" s="680">
        <v>8.0</v>
      </c>
      <c r="P124" s="641">
        <v>2830.0</v>
      </c>
      <c r="Q124" s="680">
        <v>-71.0</v>
      </c>
      <c r="R124" s="681" t="s">
        <v>706</v>
      </c>
      <c r="S124" s="682">
        <f t="shared" si="10"/>
        <v>17194</v>
      </c>
      <c r="T124" s="683"/>
      <c r="U124" s="625">
        <f t="shared" si="292"/>
        <v>3181</v>
      </c>
      <c r="V124" s="625">
        <f t="shared" si="293"/>
        <v>3809</v>
      </c>
      <c r="W124" s="625">
        <f t="shared" si="294"/>
        <v>3239</v>
      </c>
      <c r="X124" s="625">
        <f t="shared" si="295"/>
        <v>4135</v>
      </c>
      <c r="Y124" s="625">
        <f t="shared" si="296"/>
        <v>2830</v>
      </c>
      <c r="Z124" s="656">
        <f t="shared" si="16"/>
        <v>1480</v>
      </c>
      <c r="AA124" s="683"/>
      <c r="AB124" s="625">
        <f t="shared" si="297"/>
        <v>653</v>
      </c>
      <c r="AC124" s="625">
        <f t="shared" si="298"/>
        <v>415</v>
      </c>
      <c r="AD124" s="625">
        <f t="shared" si="299"/>
        <v>475</v>
      </c>
      <c r="AE124" s="625">
        <f t="shared" si="300"/>
        <v>8</v>
      </c>
      <c r="AF124" s="625">
        <f t="shared" si="301"/>
        <v>-71</v>
      </c>
      <c r="AG124" s="657">
        <f t="shared" si="22"/>
        <v>0.08607653833</v>
      </c>
      <c r="AH124" s="165"/>
      <c r="AI124" s="165">
        <f t="shared" ref="AI124:AM124" si="331">AB124/U124</f>
        <v>0.2052813581</v>
      </c>
      <c r="AJ124" s="165">
        <f t="shared" si="331"/>
        <v>0.108952481</v>
      </c>
      <c r="AK124" s="165">
        <f t="shared" si="331"/>
        <v>0.1466502007</v>
      </c>
      <c r="AL124" s="165">
        <f t="shared" si="331"/>
        <v>0.001934703748</v>
      </c>
      <c r="AM124" s="165">
        <f t="shared" si="331"/>
        <v>-0.02508833922</v>
      </c>
      <c r="AN124" s="684">
        <f t="shared" si="327"/>
        <v>19694</v>
      </c>
      <c r="AO124" s="685">
        <v>3715.0</v>
      </c>
      <c r="AP124" s="180">
        <v>4200.0</v>
      </c>
      <c r="AQ124" s="180">
        <v>3380.0</v>
      </c>
      <c r="AR124" s="180">
        <v>3714.0</v>
      </c>
      <c r="AS124" s="180">
        <v>4400.0</v>
      </c>
      <c r="AT124" s="180">
        <v>4000.0</v>
      </c>
      <c r="AU124" s="684">
        <f t="shared" si="218"/>
        <v>12651</v>
      </c>
      <c r="AV124" s="685">
        <v>2855.0</v>
      </c>
      <c r="AW124" s="180">
        <v>2719.0</v>
      </c>
      <c r="AX124" s="180">
        <v>2626.0</v>
      </c>
      <c r="AY124" s="180">
        <v>2592.0</v>
      </c>
      <c r="AZ124" s="180">
        <v>2442.0</v>
      </c>
      <c r="BA124" s="686">
        <v>2272.0</v>
      </c>
      <c r="BB124" s="646"/>
      <c r="BC124" s="687" t="s">
        <v>695</v>
      </c>
      <c r="BD124" s="186" t="s">
        <v>3303</v>
      </c>
      <c r="BE124" s="186" t="s">
        <v>3304</v>
      </c>
      <c r="BF124" s="186" t="s">
        <v>3305</v>
      </c>
      <c r="BG124" s="186" t="s">
        <v>3306</v>
      </c>
      <c r="BH124" s="179" t="s">
        <v>3307</v>
      </c>
      <c r="BI124" s="179" t="s">
        <v>3308</v>
      </c>
      <c r="BJ124" s="179"/>
      <c r="BK124" s="646"/>
      <c r="BL124" s="179" t="b">
        <f t="shared" si="26"/>
        <v>1</v>
      </c>
      <c r="BM124" s="179" t="b">
        <f t="shared" si="27"/>
        <v>1</v>
      </c>
      <c r="BN124" s="688" t="b">
        <f t="shared" si="28"/>
        <v>1</v>
      </c>
    </row>
    <row r="125">
      <c r="A125" s="689"/>
      <c r="B125" s="186" t="s">
        <v>3495</v>
      </c>
      <c r="C125" s="690" t="s">
        <v>1865</v>
      </c>
      <c r="D125" s="677">
        <v>330.0</v>
      </c>
      <c r="E125" s="632" t="s">
        <v>3496</v>
      </c>
      <c r="F125" s="678">
        <f t="shared" ref="F125:G125" si="332">H125+J125+L125+N125+P125</f>
        <v>5554.64</v>
      </c>
      <c r="G125" s="679">
        <f t="shared" si="332"/>
        <v>678.18</v>
      </c>
      <c r="H125" s="641">
        <v>1205.31</v>
      </c>
      <c r="I125" s="680">
        <v>67.64</v>
      </c>
      <c r="J125" s="641">
        <v>1082.31</v>
      </c>
      <c r="K125" s="680">
        <v>171.73</v>
      </c>
      <c r="L125" s="641">
        <v>1028.22</v>
      </c>
      <c r="M125" s="680">
        <v>142.71</v>
      </c>
      <c r="N125" s="641">
        <v>1139.27</v>
      </c>
      <c r="O125" s="680">
        <v>161.23</v>
      </c>
      <c r="P125" s="641">
        <v>1099.53</v>
      </c>
      <c r="Q125" s="680">
        <v>134.87</v>
      </c>
      <c r="R125" s="681" t="s">
        <v>719</v>
      </c>
      <c r="S125" s="682">
        <f t="shared" si="10"/>
        <v>5554.64</v>
      </c>
      <c r="T125" s="683"/>
      <c r="U125" s="625">
        <f t="shared" si="292"/>
        <v>1205.31</v>
      </c>
      <c r="V125" s="625">
        <f t="shared" si="293"/>
        <v>1082.31</v>
      </c>
      <c r="W125" s="625">
        <f t="shared" si="294"/>
        <v>1028.22</v>
      </c>
      <c r="X125" s="625">
        <f t="shared" si="295"/>
        <v>1139.27</v>
      </c>
      <c r="Y125" s="625">
        <f t="shared" si="296"/>
        <v>1099.53</v>
      </c>
      <c r="Z125" s="656">
        <f t="shared" si="16"/>
        <v>678.18</v>
      </c>
      <c r="AA125" s="683"/>
      <c r="AB125" s="625">
        <f t="shared" si="297"/>
        <v>67.64</v>
      </c>
      <c r="AC125" s="625">
        <f t="shared" si="298"/>
        <v>171.73</v>
      </c>
      <c r="AD125" s="625">
        <f t="shared" si="299"/>
        <v>142.71</v>
      </c>
      <c r="AE125" s="625">
        <f t="shared" si="300"/>
        <v>161.23</v>
      </c>
      <c r="AF125" s="625">
        <f t="shared" si="301"/>
        <v>134.87</v>
      </c>
      <c r="AG125" s="657">
        <f t="shared" si="22"/>
        <v>0.1220925208</v>
      </c>
      <c r="AH125" s="165"/>
      <c r="AI125" s="165">
        <f t="shared" ref="AI125:AM125" si="333">AB125/U125</f>
        <v>0.056118343</v>
      </c>
      <c r="AJ125" s="165">
        <f t="shared" si="333"/>
        <v>0.158669882</v>
      </c>
      <c r="AK125" s="165">
        <f t="shared" si="333"/>
        <v>0.1387932544</v>
      </c>
      <c r="AL125" s="165">
        <f t="shared" si="333"/>
        <v>0.1415204473</v>
      </c>
      <c r="AM125" s="165">
        <f t="shared" si="333"/>
        <v>0.1226615008</v>
      </c>
      <c r="AN125" s="684">
        <f t="shared" si="327"/>
        <v>253</v>
      </c>
      <c r="AO125" s="641">
        <v>12.303</v>
      </c>
      <c r="AP125" s="625">
        <v>0.0</v>
      </c>
      <c r="AQ125" s="625">
        <v>20.0</v>
      </c>
      <c r="AR125" s="625">
        <v>12.0</v>
      </c>
      <c r="AS125" s="625">
        <v>174.0</v>
      </c>
      <c r="AT125" s="625">
        <v>47.0</v>
      </c>
      <c r="AU125" s="684">
        <f t="shared" si="218"/>
        <v>2393.489</v>
      </c>
      <c r="AV125" s="641">
        <v>592.932</v>
      </c>
      <c r="AW125" s="641">
        <v>557.839</v>
      </c>
      <c r="AX125" s="625">
        <v>523.11</v>
      </c>
      <c r="AY125" s="625">
        <v>487.38</v>
      </c>
      <c r="AZ125" s="625">
        <v>437.05</v>
      </c>
      <c r="BA125" s="693">
        <v>388.11</v>
      </c>
      <c r="BB125" s="631"/>
      <c r="BC125" s="189" t="s">
        <v>695</v>
      </c>
      <c r="BD125" s="186" t="s">
        <v>3303</v>
      </c>
      <c r="BE125" s="179" t="s">
        <v>3304</v>
      </c>
      <c r="BF125" s="179" t="s">
        <v>3305</v>
      </c>
      <c r="BG125" s="179" t="s">
        <v>3306</v>
      </c>
      <c r="BH125" s="179" t="s">
        <v>3307</v>
      </c>
      <c r="BI125" s="179" t="s">
        <v>3308</v>
      </c>
      <c r="BJ125" s="179"/>
      <c r="BK125" s="631"/>
      <c r="BL125" s="179" t="b">
        <f t="shared" si="26"/>
        <v>1</v>
      </c>
      <c r="BM125" s="179" t="b">
        <f t="shared" si="27"/>
        <v>0</v>
      </c>
      <c r="BN125" s="688" t="b">
        <f t="shared" si="28"/>
        <v>1</v>
      </c>
    </row>
    <row r="126">
      <c r="A126" s="148" t="s">
        <v>3384</v>
      </c>
      <c r="B126" s="712" t="s">
        <v>3497</v>
      </c>
      <c r="C126" s="690" t="s">
        <v>1865</v>
      </c>
      <c r="D126" s="713">
        <v>63.0</v>
      </c>
      <c r="E126" s="632" t="s">
        <v>2845</v>
      </c>
      <c r="F126" s="71">
        <f t="shared" ref="F126:G126" si="334">H126+J126+L126+N126+P126</f>
        <v>6276</v>
      </c>
      <c r="G126" s="679">
        <f t="shared" si="334"/>
        <v>1173</v>
      </c>
      <c r="H126" s="641">
        <v>1510.0</v>
      </c>
      <c r="I126" s="680">
        <v>315.0</v>
      </c>
      <c r="J126" s="641">
        <v>4585.0</v>
      </c>
      <c r="K126" s="680">
        <v>1118.0</v>
      </c>
      <c r="L126" s="641">
        <v>861.0</v>
      </c>
      <c r="M126" s="680">
        <v>-24.0</v>
      </c>
      <c r="N126" s="641">
        <v>-861.0</v>
      </c>
      <c r="O126" s="680">
        <v>-987.0</v>
      </c>
      <c r="P126" s="641">
        <v>181.0</v>
      </c>
      <c r="Q126" s="680">
        <v>751.0</v>
      </c>
      <c r="R126" s="714"/>
      <c r="S126" s="682">
        <f t="shared" si="10"/>
        <v>6276</v>
      </c>
      <c r="T126" s="683"/>
      <c r="U126" s="625">
        <f t="shared" si="292"/>
        <v>1510</v>
      </c>
      <c r="V126" s="625">
        <f t="shared" si="293"/>
        <v>4585</v>
      </c>
      <c r="W126" s="625">
        <f t="shared" si="294"/>
        <v>861</v>
      </c>
      <c r="X126" s="625">
        <f t="shared" si="295"/>
        <v>-861</v>
      </c>
      <c r="Y126" s="625">
        <f t="shared" si="296"/>
        <v>181</v>
      </c>
      <c r="Z126" s="656">
        <f t="shared" si="16"/>
        <v>1173</v>
      </c>
      <c r="AA126" s="683"/>
      <c r="AB126" s="625">
        <f t="shared" si="297"/>
        <v>315</v>
      </c>
      <c r="AC126" s="625">
        <f t="shared" si="298"/>
        <v>1118</v>
      </c>
      <c r="AD126" s="625">
        <f t="shared" si="299"/>
        <v>-24</v>
      </c>
      <c r="AE126" s="625">
        <f t="shared" si="300"/>
        <v>-987</v>
      </c>
      <c r="AF126" s="625">
        <f t="shared" si="301"/>
        <v>751</v>
      </c>
      <c r="AG126" s="657">
        <f t="shared" si="22"/>
        <v>0.1869024857</v>
      </c>
      <c r="AH126" s="165"/>
      <c r="AI126" s="165">
        <f t="shared" ref="AI126:AM126" si="335">AB126/U126</f>
        <v>0.2086092715</v>
      </c>
      <c r="AJ126" s="165">
        <f t="shared" si="335"/>
        <v>0.2438386041</v>
      </c>
      <c r="AK126" s="165">
        <f t="shared" si="335"/>
        <v>-0.02787456446</v>
      </c>
      <c r="AL126" s="165">
        <f t="shared" si="335"/>
        <v>1.146341463</v>
      </c>
      <c r="AM126" s="165">
        <f t="shared" si="335"/>
        <v>4.149171271</v>
      </c>
      <c r="AN126" s="684">
        <f t="shared" si="327"/>
        <v>18615</v>
      </c>
      <c r="AO126" s="685">
        <v>100.0</v>
      </c>
      <c r="AP126" s="180">
        <v>4297.0</v>
      </c>
      <c r="AQ126" s="180">
        <v>6249.0</v>
      </c>
      <c r="AR126" s="180">
        <v>3107.0</v>
      </c>
      <c r="AS126" s="180">
        <v>2405.0</v>
      </c>
      <c r="AT126" s="180">
        <v>2557.0</v>
      </c>
      <c r="AU126" s="684">
        <f t="shared" si="218"/>
        <v>4841</v>
      </c>
      <c r="AV126" s="685">
        <v>1037.0</v>
      </c>
      <c r="AW126" s="685">
        <v>1037.0</v>
      </c>
      <c r="AX126" s="685">
        <v>938.0</v>
      </c>
      <c r="AY126" s="685">
        <v>997.0</v>
      </c>
      <c r="AZ126" s="685">
        <v>970.0</v>
      </c>
      <c r="BA126" s="710">
        <v>899.0</v>
      </c>
      <c r="BB126" s="685"/>
      <c r="BC126" s="695" t="s">
        <v>695</v>
      </c>
      <c r="BD126" s="688" t="s">
        <v>3303</v>
      </c>
      <c r="BE126" s="695" t="s">
        <v>3304</v>
      </c>
      <c r="BF126" s="695" t="s">
        <v>3305</v>
      </c>
      <c r="BG126" s="695" t="s">
        <v>3306</v>
      </c>
      <c r="BH126" s="180" t="s">
        <v>3307</v>
      </c>
      <c r="BI126" s="180" t="s">
        <v>3308</v>
      </c>
      <c r="BJ126" s="179"/>
      <c r="BK126" s="685"/>
      <c r="BL126" s="179" t="b">
        <f t="shared" si="26"/>
        <v>1</v>
      </c>
      <c r="BM126" s="179" t="b">
        <f t="shared" si="27"/>
        <v>1</v>
      </c>
      <c r="BN126" s="688" t="b">
        <f t="shared" si="28"/>
        <v>1</v>
      </c>
    </row>
    <row r="127">
      <c r="A127" s="675" t="s">
        <v>3301</v>
      </c>
      <c r="B127" s="186" t="s">
        <v>3498</v>
      </c>
      <c r="C127" s="676" t="s">
        <v>2113</v>
      </c>
      <c r="D127" s="677">
        <v>42.0</v>
      </c>
      <c r="E127" s="632" t="s">
        <v>1152</v>
      </c>
      <c r="F127" s="678">
        <f t="shared" ref="F127:G127" si="336">H127+J127+L127+N127+P127</f>
        <v>16738</v>
      </c>
      <c r="G127" s="679">
        <f t="shared" si="336"/>
        <v>2939</v>
      </c>
      <c r="H127" s="641">
        <v>3461.0</v>
      </c>
      <c r="I127" s="680">
        <v>755.0</v>
      </c>
      <c r="J127" s="641">
        <v>3350.0</v>
      </c>
      <c r="K127" s="680">
        <v>466.0</v>
      </c>
      <c r="L127" s="641">
        <v>4507.0</v>
      </c>
      <c r="M127" s="680">
        <v>1019.0</v>
      </c>
      <c r="N127" s="641">
        <v>3415.0</v>
      </c>
      <c r="O127" s="680">
        <v>560.0</v>
      </c>
      <c r="P127" s="641">
        <v>2005.0</v>
      </c>
      <c r="Q127" s="680">
        <v>139.0</v>
      </c>
      <c r="R127" s="681" t="s">
        <v>3499</v>
      </c>
      <c r="S127" s="682">
        <f t="shared" si="10"/>
        <v>16738</v>
      </c>
      <c r="T127" s="683"/>
      <c r="U127" s="625">
        <f t="shared" si="292"/>
        <v>3461</v>
      </c>
      <c r="V127" s="625">
        <f t="shared" si="293"/>
        <v>3350</v>
      </c>
      <c r="W127" s="625">
        <f t="shared" si="294"/>
        <v>4507</v>
      </c>
      <c r="X127" s="625">
        <f t="shared" si="295"/>
        <v>3415</v>
      </c>
      <c r="Y127" s="625">
        <f t="shared" si="296"/>
        <v>2005</v>
      </c>
      <c r="Z127" s="656">
        <f t="shared" si="16"/>
        <v>2939</v>
      </c>
      <c r="AA127" s="683"/>
      <c r="AB127" s="625">
        <f t="shared" si="297"/>
        <v>755</v>
      </c>
      <c r="AC127" s="625">
        <f t="shared" si="298"/>
        <v>466</v>
      </c>
      <c r="AD127" s="625">
        <f t="shared" si="299"/>
        <v>1019</v>
      </c>
      <c r="AE127" s="625">
        <f t="shared" si="300"/>
        <v>560</v>
      </c>
      <c r="AF127" s="625">
        <f t="shared" si="301"/>
        <v>139</v>
      </c>
      <c r="AG127" s="657">
        <f t="shared" si="22"/>
        <v>0.1755884813</v>
      </c>
      <c r="AH127" s="165"/>
      <c r="AI127" s="165">
        <f t="shared" ref="AI127:AM127" si="337">AB127/U127</f>
        <v>0.2181450448</v>
      </c>
      <c r="AJ127" s="165">
        <f t="shared" si="337"/>
        <v>0.1391044776</v>
      </c>
      <c r="AK127" s="165">
        <f t="shared" si="337"/>
        <v>0.2260927446</v>
      </c>
      <c r="AL127" s="165">
        <f t="shared" si="337"/>
        <v>0.1639824305</v>
      </c>
      <c r="AM127" s="165">
        <f t="shared" si="337"/>
        <v>0.06932668329</v>
      </c>
      <c r="AN127" s="684">
        <f t="shared" si="327"/>
        <v>6155</v>
      </c>
      <c r="AO127" s="685">
        <v>1573.0</v>
      </c>
      <c r="AP127" s="180">
        <v>2096.0</v>
      </c>
      <c r="AQ127" s="180">
        <v>79.0</v>
      </c>
      <c r="AR127" s="180">
        <v>1820.0</v>
      </c>
      <c r="AS127" s="180">
        <v>1070.0</v>
      </c>
      <c r="AT127" s="180">
        <v>1090.0</v>
      </c>
      <c r="AU127" s="684">
        <f t="shared" si="218"/>
        <v>1625</v>
      </c>
      <c r="AV127" s="685">
        <v>431.0</v>
      </c>
      <c r="AW127" s="180">
        <v>392.0</v>
      </c>
      <c r="AX127" s="180">
        <v>354.0</v>
      </c>
      <c r="AY127" s="180">
        <v>323.0</v>
      </c>
      <c r="AZ127" s="180">
        <v>291.0</v>
      </c>
      <c r="BA127" s="686">
        <v>265.0</v>
      </c>
      <c r="BB127" s="631"/>
      <c r="BC127" s="186" t="s">
        <v>695</v>
      </c>
      <c r="BD127" s="186" t="s">
        <v>3303</v>
      </c>
      <c r="BE127" s="186" t="s">
        <v>3304</v>
      </c>
      <c r="BF127" s="186" t="s">
        <v>3305</v>
      </c>
      <c r="BG127" s="186" t="s">
        <v>3306</v>
      </c>
      <c r="BH127" s="186" t="s">
        <v>3307</v>
      </c>
      <c r="BI127" s="186" t="s">
        <v>3308</v>
      </c>
      <c r="BJ127" s="179"/>
      <c r="BK127" s="631"/>
      <c r="BL127" s="179" t="b">
        <f t="shared" si="26"/>
        <v>1</v>
      </c>
      <c r="BM127" s="179" t="b">
        <f t="shared" si="27"/>
        <v>1</v>
      </c>
      <c r="BN127" s="688" t="b">
        <f t="shared" si="28"/>
        <v>0</v>
      </c>
    </row>
    <row r="128">
      <c r="A128" s="689"/>
      <c r="B128" s="186" t="s">
        <v>3500</v>
      </c>
      <c r="C128" s="697" t="s">
        <v>2113</v>
      </c>
      <c r="D128" s="677">
        <v>466.0</v>
      </c>
      <c r="E128" s="632" t="s">
        <v>3501</v>
      </c>
      <c r="F128" s="678">
        <f t="shared" ref="F128:G128" si="338">H128+J128+L128+N128+P128</f>
        <v>8491</v>
      </c>
      <c r="G128" s="679">
        <f t="shared" si="338"/>
        <v>1082</v>
      </c>
      <c r="H128" s="641">
        <v>2702.0</v>
      </c>
      <c r="I128" s="680">
        <v>129.0</v>
      </c>
      <c r="J128" s="641">
        <v>1578.0</v>
      </c>
      <c r="K128" s="680">
        <v>356.0</v>
      </c>
      <c r="L128" s="641">
        <v>960.0</v>
      </c>
      <c r="M128" s="680">
        <v>236.0</v>
      </c>
      <c r="N128" s="641">
        <v>1643.0</v>
      </c>
      <c r="O128" s="680">
        <v>209.0</v>
      </c>
      <c r="P128" s="641">
        <v>1608.0</v>
      </c>
      <c r="Q128" s="680">
        <v>152.0</v>
      </c>
      <c r="R128" s="681" t="s">
        <v>707</v>
      </c>
      <c r="S128" s="682">
        <f t="shared" si="10"/>
        <v>8491</v>
      </c>
      <c r="T128" s="683"/>
      <c r="U128" s="625">
        <f t="shared" si="292"/>
        <v>2702</v>
      </c>
      <c r="V128" s="625">
        <f t="shared" si="293"/>
        <v>1578</v>
      </c>
      <c r="W128" s="625">
        <f t="shared" si="294"/>
        <v>960</v>
      </c>
      <c r="X128" s="625">
        <f t="shared" si="295"/>
        <v>1643</v>
      </c>
      <c r="Y128" s="625">
        <f t="shared" si="296"/>
        <v>1608</v>
      </c>
      <c r="Z128" s="656">
        <f t="shared" si="16"/>
        <v>1082</v>
      </c>
      <c r="AA128" s="683"/>
      <c r="AB128" s="625">
        <f t="shared" si="297"/>
        <v>129</v>
      </c>
      <c r="AC128" s="625">
        <f t="shared" si="298"/>
        <v>356</v>
      </c>
      <c r="AD128" s="625">
        <f t="shared" si="299"/>
        <v>236</v>
      </c>
      <c r="AE128" s="625">
        <f t="shared" si="300"/>
        <v>209</v>
      </c>
      <c r="AF128" s="625">
        <f t="shared" si="301"/>
        <v>152</v>
      </c>
      <c r="AG128" s="657">
        <f t="shared" si="22"/>
        <v>0.1274290425</v>
      </c>
      <c r="AH128" s="165"/>
      <c r="AI128" s="165">
        <f t="shared" ref="AI128:AM128" si="339">AB128/U128</f>
        <v>0.04774241303</v>
      </c>
      <c r="AJ128" s="165">
        <f t="shared" si="339"/>
        <v>0.2256020279</v>
      </c>
      <c r="AK128" s="165">
        <f t="shared" si="339"/>
        <v>0.2458333333</v>
      </c>
      <c r="AL128" s="165">
        <f t="shared" si="339"/>
        <v>0.1272063299</v>
      </c>
      <c r="AM128" s="165">
        <f t="shared" si="339"/>
        <v>0.09452736318</v>
      </c>
      <c r="AN128" s="684">
        <f t="shared" si="327"/>
        <v>2822</v>
      </c>
      <c r="AO128" s="180"/>
      <c r="AP128" s="180">
        <v>0.0</v>
      </c>
      <c r="AQ128" s="625">
        <v>1350.0</v>
      </c>
      <c r="AR128" s="625">
        <v>92.0</v>
      </c>
      <c r="AS128" s="625">
        <v>441.0</v>
      </c>
      <c r="AT128" s="625">
        <v>939.0</v>
      </c>
      <c r="AU128" s="684">
        <f t="shared" si="218"/>
        <v>3851</v>
      </c>
      <c r="AV128" s="641"/>
      <c r="AW128" s="641">
        <v>1010.0</v>
      </c>
      <c r="AX128" s="641">
        <v>888.0</v>
      </c>
      <c r="AY128" s="641">
        <v>698.0</v>
      </c>
      <c r="AZ128" s="641">
        <v>671.0</v>
      </c>
      <c r="BA128" s="691">
        <v>584.0</v>
      </c>
      <c r="BB128" s="631"/>
      <c r="BC128" s="189" t="s">
        <v>695</v>
      </c>
      <c r="BD128" s="186" t="s">
        <v>3303</v>
      </c>
      <c r="BE128" s="179" t="s">
        <v>3304</v>
      </c>
      <c r="BF128" s="179" t="s">
        <v>3305</v>
      </c>
      <c r="BG128" s="179" t="s">
        <v>3306</v>
      </c>
      <c r="BH128" s="179" t="s">
        <v>3307</v>
      </c>
      <c r="BI128" s="179" t="s">
        <v>3308</v>
      </c>
      <c r="BJ128" s="179"/>
      <c r="BK128" s="646"/>
      <c r="BL128" s="179" t="b">
        <f t="shared" si="26"/>
        <v>1</v>
      </c>
      <c r="BM128" s="179" t="b">
        <f t="shared" si="27"/>
        <v>1</v>
      </c>
      <c r="BN128" s="688" t="b">
        <f t="shared" si="28"/>
        <v>1</v>
      </c>
    </row>
    <row r="129">
      <c r="A129" s="675" t="s">
        <v>3301</v>
      </c>
      <c r="B129" s="186" t="s">
        <v>3502</v>
      </c>
      <c r="C129" s="676" t="s">
        <v>2113</v>
      </c>
      <c r="D129" s="677">
        <v>375.0</v>
      </c>
      <c r="E129" s="131" t="s">
        <v>3237</v>
      </c>
      <c r="F129" s="678">
        <f t="shared" ref="F129:G129" si="340">H129+J129+L129+N129+P129</f>
        <v>3805</v>
      </c>
      <c r="G129" s="679">
        <f t="shared" si="340"/>
        <v>393</v>
      </c>
      <c r="H129" s="641">
        <v>719.0</v>
      </c>
      <c r="I129" s="680">
        <v>138.0</v>
      </c>
      <c r="J129" s="641">
        <v>622.0</v>
      </c>
      <c r="K129" s="680">
        <v>-12.0</v>
      </c>
      <c r="L129" s="641">
        <v>810.0</v>
      </c>
      <c r="M129" s="680">
        <v>90.0</v>
      </c>
      <c r="N129" s="641">
        <v>683.0</v>
      </c>
      <c r="O129" s="680">
        <v>50.0</v>
      </c>
      <c r="P129" s="641">
        <v>971.0</v>
      </c>
      <c r="Q129" s="680">
        <v>127.0</v>
      </c>
      <c r="R129" s="681" t="s">
        <v>718</v>
      </c>
      <c r="S129" s="682">
        <f t="shared" si="10"/>
        <v>3805</v>
      </c>
      <c r="T129" s="683"/>
      <c r="U129" s="625">
        <f t="shared" si="292"/>
        <v>719</v>
      </c>
      <c r="V129" s="625">
        <f t="shared" si="293"/>
        <v>622</v>
      </c>
      <c r="W129" s="625">
        <f t="shared" si="294"/>
        <v>810</v>
      </c>
      <c r="X129" s="625">
        <f t="shared" si="295"/>
        <v>683</v>
      </c>
      <c r="Y129" s="625">
        <f t="shared" si="296"/>
        <v>971</v>
      </c>
      <c r="Z129" s="656">
        <f t="shared" si="16"/>
        <v>393</v>
      </c>
      <c r="AA129" s="683"/>
      <c r="AB129" s="625">
        <f t="shared" si="297"/>
        <v>138</v>
      </c>
      <c r="AC129" s="625">
        <f t="shared" si="298"/>
        <v>-12</v>
      </c>
      <c r="AD129" s="625">
        <f t="shared" si="299"/>
        <v>90</v>
      </c>
      <c r="AE129" s="625">
        <f t="shared" si="300"/>
        <v>50</v>
      </c>
      <c r="AF129" s="625">
        <f t="shared" si="301"/>
        <v>127</v>
      </c>
      <c r="AG129" s="657">
        <f t="shared" si="22"/>
        <v>0.1032851511</v>
      </c>
      <c r="AH129" s="165"/>
      <c r="AI129" s="165">
        <f t="shared" ref="AI129:AM129" si="341">AB129/U129</f>
        <v>0.1919332406</v>
      </c>
      <c r="AJ129" s="165">
        <f t="shared" si="341"/>
        <v>-0.0192926045</v>
      </c>
      <c r="AK129" s="165">
        <f t="shared" si="341"/>
        <v>0.1111111111</v>
      </c>
      <c r="AL129" s="165">
        <f t="shared" si="341"/>
        <v>0.07320644217</v>
      </c>
      <c r="AM129" s="165">
        <f t="shared" si="341"/>
        <v>0.1307929969</v>
      </c>
      <c r="AN129" s="684">
        <f t="shared" si="327"/>
        <v>1241</v>
      </c>
      <c r="AO129" s="641">
        <v>75.0</v>
      </c>
      <c r="AP129" s="641">
        <v>52.0</v>
      </c>
      <c r="AQ129" s="641">
        <v>101.0</v>
      </c>
      <c r="AR129" s="641">
        <v>84.0</v>
      </c>
      <c r="AS129" s="641">
        <v>262.0</v>
      </c>
      <c r="AT129" s="641">
        <v>742.0</v>
      </c>
      <c r="AU129" s="684">
        <f t="shared" si="218"/>
        <v>831</v>
      </c>
      <c r="AV129" s="641">
        <v>200.0</v>
      </c>
      <c r="AW129" s="641">
        <v>192.0</v>
      </c>
      <c r="AX129" s="641">
        <v>186.0</v>
      </c>
      <c r="AY129" s="641">
        <v>172.0</v>
      </c>
      <c r="AZ129" s="641">
        <v>149.0</v>
      </c>
      <c r="BA129" s="691">
        <v>132.0</v>
      </c>
      <c r="BB129" s="646"/>
      <c r="BC129" s="189" t="s">
        <v>695</v>
      </c>
      <c r="BD129" s="186" t="s">
        <v>3303</v>
      </c>
      <c r="BE129" s="179" t="s">
        <v>3304</v>
      </c>
      <c r="BF129" s="179" t="s">
        <v>3305</v>
      </c>
      <c r="BG129" s="179" t="s">
        <v>3306</v>
      </c>
      <c r="BH129" s="179" t="s">
        <v>3307</v>
      </c>
      <c r="BI129" s="179" t="s">
        <v>3308</v>
      </c>
      <c r="BJ129" s="179"/>
      <c r="BK129" s="631"/>
      <c r="BL129" s="179" t="b">
        <f t="shared" si="26"/>
        <v>1</v>
      </c>
      <c r="BM129" s="179" t="b">
        <f t="shared" si="27"/>
        <v>1</v>
      </c>
      <c r="BN129" s="688" t="b">
        <f t="shared" si="28"/>
        <v>1</v>
      </c>
    </row>
    <row r="130">
      <c r="A130" s="689"/>
      <c r="B130" s="186" t="s">
        <v>3503</v>
      </c>
      <c r="C130" s="676" t="s">
        <v>2113</v>
      </c>
      <c r="D130" s="677">
        <v>260.0</v>
      </c>
      <c r="E130" s="632" t="s">
        <v>3504</v>
      </c>
      <c r="F130" s="678">
        <f t="shared" ref="F130:G130" si="342">H130+J130+L130+N130+P130</f>
        <v>8399</v>
      </c>
      <c r="G130" s="679">
        <f t="shared" si="342"/>
        <v>1907</v>
      </c>
      <c r="H130" s="641">
        <v>2035.0</v>
      </c>
      <c r="I130" s="680">
        <v>478.0</v>
      </c>
      <c r="J130" s="641">
        <v>1588.0</v>
      </c>
      <c r="K130" s="680">
        <v>399.0</v>
      </c>
      <c r="L130" s="641">
        <v>1371.0</v>
      </c>
      <c r="M130" s="680">
        <v>301.0</v>
      </c>
      <c r="N130" s="641">
        <v>1697.0</v>
      </c>
      <c r="O130" s="680">
        <v>356.0</v>
      </c>
      <c r="P130" s="641">
        <v>1708.0</v>
      </c>
      <c r="Q130" s="680">
        <v>373.0</v>
      </c>
      <c r="R130" s="681" t="s">
        <v>710</v>
      </c>
      <c r="S130" s="682">
        <f t="shared" si="10"/>
        <v>8399</v>
      </c>
      <c r="T130" s="683"/>
      <c r="U130" s="625">
        <f t="shared" si="292"/>
        <v>2035</v>
      </c>
      <c r="V130" s="625">
        <f t="shared" si="293"/>
        <v>1588</v>
      </c>
      <c r="W130" s="625">
        <f t="shared" si="294"/>
        <v>1371</v>
      </c>
      <c r="X130" s="625">
        <f t="shared" si="295"/>
        <v>1697</v>
      </c>
      <c r="Y130" s="625">
        <f t="shared" si="296"/>
        <v>1708</v>
      </c>
      <c r="Z130" s="656">
        <f t="shared" si="16"/>
        <v>1907</v>
      </c>
      <c r="AA130" s="683"/>
      <c r="AB130" s="625">
        <f t="shared" si="297"/>
        <v>478</v>
      </c>
      <c r="AC130" s="625">
        <f t="shared" si="298"/>
        <v>399</v>
      </c>
      <c r="AD130" s="625">
        <f t="shared" si="299"/>
        <v>301</v>
      </c>
      <c r="AE130" s="625">
        <f t="shared" si="300"/>
        <v>356</v>
      </c>
      <c r="AF130" s="625">
        <f t="shared" si="301"/>
        <v>373</v>
      </c>
      <c r="AG130" s="657">
        <f t="shared" si="22"/>
        <v>0.2270508394</v>
      </c>
      <c r="AH130" s="165"/>
      <c r="AI130" s="165">
        <f t="shared" ref="AI130:AM130" si="343">AB130/U130</f>
        <v>0.2348894349</v>
      </c>
      <c r="AJ130" s="165">
        <f t="shared" si="343"/>
        <v>0.2512594458</v>
      </c>
      <c r="AK130" s="165">
        <f t="shared" si="343"/>
        <v>0.2195477753</v>
      </c>
      <c r="AL130" s="165">
        <f t="shared" si="343"/>
        <v>0.2097819682</v>
      </c>
      <c r="AM130" s="165">
        <f t="shared" si="343"/>
        <v>0.2183840749</v>
      </c>
      <c r="AN130" s="684">
        <f t="shared" si="327"/>
        <v>6956</v>
      </c>
      <c r="AO130" s="641">
        <v>1500.0</v>
      </c>
      <c r="AP130" s="625">
        <v>1750.0</v>
      </c>
      <c r="AQ130" s="625">
        <v>1000.0</v>
      </c>
      <c r="AR130" s="625">
        <v>706.0</v>
      </c>
      <c r="AS130" s="625">
        <v>1500.0</v>
      </c>
      <c r="AT130" s="625">
        <v>2000.0</v>
      </c>
      <c r="AU130" s="684">
        <f t="shared" si="218"/>
        <v>6829</v>
      </c>
      <c r="AV130" s="641">
        <v>1615.0</v>
      </c>
      <c r="AW130" s="625">
        <v>1542.0</v>
      </c>
      <c r="AX130" s="625">
        <v>1463.0</v>
      </c>
      <c r="AY130" s="625">
        <v>1379.0</v>
      </c>
      <c r="AZ130" s="625">
        <v>1321.0</v>
      </c>
      <c r="BA130" s="693">
        <v>1124.0</v>
      </c>
      <c r="BB130" s="631"/>
      <c r="BC130" s="189" t="s">
        <v>695</v>
      </c>
      <c r="BD130" s="186" t="s">
        <v>3303</v>
      </c>
      <c r="BE130" s="179" t="s">
        <v>3304</v>
      </c>
      <c r="BF130" s="179" t="s">
        <v>3305</v>
      </c>
      <c r="BG130" s="179" t="s">
        <v>3306</v>
      </c>
      <c r="BH130" s="179" t="s">
        <v>3307</v>
      </c>
      <c r="BI130" s="179" t="s">
        <v>3308</v>
      </c>
      <c r="BJ130" s="179"/>
      <c r="BK130" s="631"/>
      <c r="BL130" s="179" t="b">
        <f t="shared" si="26"/>
        <v>1</v>
      </c>
      <c r="BM130" s="179" t="b">
        <f t="shared" si="27"/>
        <v>1</v>
      </c>
      <c r="BN130" s="688" t="b">
        <f t="shared" si="28"/>
        <v>1</v>
      </c>
    </row>
    <row r="131">
      <c r="A131" s="689"/>
      <c r="B131" s="186" t="s">
        <v>3505</v>
      </c>
      <c r="C131" s="676" t="s">
        <v>2113</v>
      </c>
      <c r="D131" s="677">
        <v>379.0</v>
      </c>
      <c r="E131" s="632" t="s">
        <v>3506</v>
      </c>
      <c r="F131" s="678">
        <f t="shared" ref="F131:G131" si="344">H131+J131+L131+N131+P131</f>
        <v>877.92</v>
      </c>
      <c r="G131" s="679">
        <f t="shared" si="344"/>
        <v>169.19</v>
      </c>
      <c r="H131" s="641">
        <v>258.42</v>
      </c>
      <c r="I131" s="680">
        <v>61.0</v>
      </c>
      <c r="J131" s="641">
        <v>193.27</v>
      </c>
      <c r="K131" s="680">
        <v>29.48</v>
      </c>
      <c r="L131" s="641">
        <v>146.59</v>
      </c>
      <c r="M131" s="680">
        <v>38.73</v>
      </c>
      <c r="N131" s="641">
        <v>136.95</v>
      </c>
      <c r="O131" s="680">
        <v>20.25</v>
      </c>
      <c r="P131" s="641">
        <v>142.69</v>
      </c>
      <c r="Q131" s="680">
        <v>19.73</v>
      </c>
      <c r="R131" s="681" t="s">
        <v>723</v>
      </c>
      <c r="S131" s="682">
        <f t="shared" si="10"/>
        <v>877.92</v>
      </c>
      <c r="T131" s="683"/>
      <c r="U131" s="625">
        <f t="shared" si="292"/>
        <v>258.42</v>
      </c>
      <c r="V131" s="625">
        <f t="shared" si="293"/>
        <v>193.27</v>
      </c>
      <c r="W131" s="625">
        <f t="shared" si="294"/>
        <v>146.59</v>
      </c>
      <c r="X131" s="625">
        <f t="shared" si="295"/>
        <v>136.95</v>
      </c>
      <c r="Y131" s="625">
        <f t="shared" si="296"/>
        <v>142.69</v>
      </c>
      <c r="Z131" s="656">
        <f t="shared" si="16"/>
        <v>169.19</v>
      </c>
      <c r="AA131" s="683"/>
      <c r="AB131" s="625">
        <f t="shared" si="297"/>
        <v>61</v>
      </c>
      <c r="AC131" s="625">
        <f t="shared" si="298"/>
        <v>29.48</v>
      </c>
      <c r="AD131" s="625">
        <f t="shared" si="299"/>
        <v>38.73</v>
      </c>
      <c r="AE131" s="625">
        <f t="shared" si="300"/>
        <v>20.25</v>
      </c>
      <c r="AF131" s="625">
        <f t="shared" si="301"/>
        <v>19.73</v>
      </c>
      <c r="AG131" s="657">
        <f t="shared" si="22"/>
        <v>0.1927168763</v>
      </c>
      <c r="AH131" s="165"/>
      <c r="AI131" s="165">
        <f t="shared" ref="AI131:AM131" si="345">AB131/U131</f>
        <v>0.2360498413</v>
      </c>
      <c r="AJ131" s="165">
        <f t="shared" si="345"/>
        <v>0.1525327262</v>
      </c>
      <c r="AK131" s="165">
        <f t="shared" si="345"/>
        <v>0.2642062897</v>
      </c>
      <c r="AL131" s="165">
        <f t="shared" si="345"/>
        <v>0.147864184</v>
      </c>
      <c r="AM131" s="165">
        <f t="shared" si="345"/>
        <v>0.138271778</v>
      </c>
      <c r="AN131" s="684">
        <f t="shared" si="327"/>
        <v>232.89</v>
      </c>
      <c r="AO131" s="641">
        <v>217.108</v>
      </c>
      <c r="AP131" s="625">
        <v>107.922</v>
      </c>
      <c r="AQ131" s="625">
        <v>50.0</v>
      </c>
      <c r="AR131" s="625">
        <v>25.0</v>
      </c>
      <c r="AS131" s="625">
        <v>27.899</v>
      </c>
      <c r="AT131" s="625">
        <v>22.069</v>
      </c>
      <c r="AU131" s="684">
        <f t="shared" si="218"/>
        <v>0</v>
      </c>
      <c r="AV131" s="180">
        <v>0.0</v>
      </c>
      <c r="AW131" s="180">
        <v>0.0</v>
      </c>
      <c r="AX131" s="180">
        <v>0.0</v>
      </c>
      <c r="AY131" s="180">
        <v>0.0</v>
      </c>
      <c r="AZ131" s="180">
        <v>0.0</v>
      </c>
      <c r="BA131" s="686">
        <v>0.0</v>
      </c>
      <c r="BB131" s="631"/>
      <c r="BC131" s="189" t="s">
        <v>695</v>
      </c>
      <c r="BD131" s="186" t="s">
        <v>3303</v>
      </c>
      <c r="BE131" s="688" t="s">
        <v>3303</v>
      </c>
      <c r="BF131" s="688" t="s">
        <v>3303</v>
      </c>
      <c r="BG131" s="688" t="s">
        <v>3303</v>
      </c>
      <c r="BH131" s="688" t="s">
        <v>3303</v>
      </c>
      <c r="BI131" s="688" t="s">
        <v>3303</v>
      </c>
      <c r="BJ131" s="179"/>
      <c r="BK131" s="631"/>
      <c r="BL131" s="179" t="b">
        <f t="shared" si="26"/>
        <v>1</v>
      </c>
      <c r="BM131" s="179" t="b">
        <f t="shared" si="27"/>
        <v>1</v>
      </c>
      <c r="BN131" s="688" t="b">
        <f t="shared" si="28"/>
        <v>0</v>
      </c>
    </row>
    <row r="132">
      <c r="A132" s="696" t="s">
        <v>3327</v>
      </c>
      <c r="B132" s="186" t="s">
        <v>3507</v>
      </c>
      <c r="C132" s="697" t="s">
        <v>2113</v>
      </c>
      <c r="D132" s="677">
        <v>62.0</v>
      </c>
      <c r="E132" s="698" t="s">
        <v>1138</v>
      </c>
      <c r="F132" s="699"/>
      <c r="G132" s="700"/>
      <c r="H132" s="628"/>
      <c r="I132" s="701"/>
      <c r="J132" s="632"/>
      <c r="K132" s="700"/>
      <c r="L132" s="632"/>
      <c r="M132" s="700"/>
      <c r="N132" s="632"/>
      <c r="O132" s="700"/>
      <c r="P132" s="632"/>
      <c r="Q132" s="700"/>
      <c r="R132" s="632"/>
      <c r="S132" s="682">
        <f t="shared" si="10"/>
        <v>52496</v>
      </c>
      <c r="T132" s="625"/>
      <c r="U132" s="625">
        <v>-1229.0</v>
      </c>
      <c r="V132" s="625">
        <v>9863.0</v>
      </c>
      <c r="W132" s="625">
        <v>15406.0</v>
      </c>
      <c r="X132" s="625">
        <v>13692.0</v>
      </c>
      <c r="Y132" s="625">
        <v>14764.0</v>
      </c>
      <c r="Z132" s="656">
        <f t="shared" si="16"/>
        <v>10907</v>
      </c>
      <c r="AA132" s="625"/>
      <c r="AB132" s="625">
        <v>4106.0</v>
      </c>
      <c r="AC132" s="625">
        <v>1304.0</v>
      </c>
      <c r="AD132" s="625">
        <v>1120.0</v>
      </c>
      <c r="AE132" s="625">
        <v>1391.0</v>
      </c>
      <c r="AF132" s="625">
        <v>2986.0</v>
      </c>
      <c r="AG132" s="657">
        <f t="shared" si="22"/>
        <v>0.2077682109</v>
      </c>
      <c r="AH132" s="165"/>
      <c r="AI132" s="165">
        <f t="shared" ref="AI132:AM132" si="346">AB132/U132</f>
        <v>-3.340927583</v>
      </c>
      <c r="AJ132" s="165">
        <f t="shared" si="346"/>
        <v>0.1322112947</v>
      </c>
      <c r="AK132" s="165">
        <f t="shared" si="346"/>
        <v>0.07269894846</v>
      </c>
      <c r="AL132" s="165">
        <f t="shared" si="346"/>
        <v>0.1015921706</v>
      </c>
      <c r="AM132" s="165">
        <f t="shared" si="346"/>
        <v>0.2022487131</v>
      </c>
      <c r="AN132" s="684">
        <f t="shared" si="327"/>
        <v>40950</v>
      </c>
      <c r="AO132" s="641">
        <v>0.0</v>
      </c>
      <c r="AP132" s="641">
        <v>0.0</v>
      </c>
      <c r="AQ132" s="641">
        <v>2415.0</v>
      </c>
      <c r="AR132" s="641">
        <v>14229.0</v>
      </c>
      <c r="AS132" s="641">
        <v>13576.0</v>
      </c>
      <c r="AT132" s="641">
        <v>10730.0</v>
      </c>
      <c r="AU132" s="684">
        <f t="shared" si="218"/>
        <v>28326</v>
      </c>
      <c r="AV132" s="641">
        <v>3088.0</v>
      </c>
      <c r="AW132" s="641">
        <v>5997.0</v>
      </c>
      <c r="AX132" s="641">
        <v>5644.0</v>
      </c>
      <c r="AY132" s="641">
        <v>5568.0</v>
      </c>
      <c r="AZ132" s="641">
        <v>5576.0</v>
      </c>
      <c r="BA132" s="691">
        <v>5541.0</v>
      </c>
      <c r="BB132" s="685"/>
      <c r="BC132" s="186" t="s">
        <v>695</v>
      </c>
      <c r="BD132" s="186" t="s">
        <v>3303</v>
      </c>
      <c r="BE132" s="702" t="s">
        <v>3304</v>
      </c>
      <c r="BF132" s="702" t="s">
        <v>3305</v>
      </c>
      <c r="BG132" s="702" t="s">
        <v>3306</v>
      </c>
      <c r="BH132" s="186" t="s">
        <v>3307</v>
      </c>
      <c r="BI132" s="186" t="s">
        <v>3308</v>
      </c>
      <c r="BJ132" s="179"/>
      <c r="BK132" s="685"/>
      <c r="BL132" s="179" t="b">
        <f t="shared" si="26"/>
        <v>1</v>
      </c>
      <c r="BM132" s="179" t="b">
        <f t="shared" si="27"/>
        <v>1</v>
      </c>
      <c r="BN132" s="688" t="b">
        <f t="shared" si="28"/>
        <v>1</v>
      </c>
    </row>
    <row r="133">
      <c r="A133" s="689"/>
      <c r="B133" s="186" t="s">
        <v>3508</v>
      </c>
      <c r="C133" s="676" t="s">
        <v>2113</v>
      </c>
      <c r="D133" s="677">
        <v>184.0</v>
      </c>
      <c r="E133" s="632" t="s">
        <v>3509</v>
      </c>
      <c r="F133" s="678">
        <f t="shared" ref="F133:G133" si="347">H133+J133+L133+N133+P133</f>
        <v>5690</v>
      </c>
      <c r="G133" s="679">
        <f t="shared" si="347"/>
        <v>1416</v>
      </c>
      <c r="H133" s="641">
        <v>1413.0</v>
      </c>
      <c r="I133" s="680">
        <v>427.0</v>
      </c>
      <c r="J133" s="641">
        <v>859.0</v>
      </c>
      <c r="K133" s="680">
        <v>408.0</v>
      </c>
      <c r="L133" s="641">
        <v>692.0</v>
      </c>
      <c r="M133" s="680">
        <v>113.0</v>
      </c>
      <c r="N133" s="641">
        <v>1313.0</v>
      </c>
      <c r="O133" s="680">
        <v>235.0</v>
      </c>
      <c r="P133" s="641">
        <v>1413.0</v>
      </c>
      <c r="Q133" s="680">
        <v>233.0</v>
      </c>
      <c r="R133" s="681" t="s">
        <v>714</v>
      </c>
      <c r="S133" s="682">
        <f t="shared" si="10"/>
        <v>5690</v>
      </c>
      <c r="T133" s="683"/>
      <c r="U133" s="625">
        <f t="shared" ref="U133:U159" si="350">H133</f>
        <v>1413</v>
      </c>
      <c r="V133" s="625">
        <f t="shared" ref="V133:V159" si="351">J133</f>
        <v>859</v>
      </c>
      <c r="W133" s="625">
        <f t="shared" ref="W133:W159" si="352">L133</f>
        <v>692</v>
      </c>
      <c r="X133" s="625">
        <f t="shared" ref="X133:X159" si="353">N133</f>
        <v>1313</v>
      </c>
      <c r="Y133" s="625">
        <f t="shared" ref="Y133:Y159" si="354">P133</f>
        <v>1413</v>
      </c>
      <c r="Z133" s="656">
        <f t="shared" si="16"/>
        <v>1416</v>
      </c>
      <c r="AA133" s="683"/>
      <c r="AB133" s="625">
        <f t="shared" ref="AB133:AB159" si="355">I133</f>
        <v>427</v>
      </c>
      <c r="AC133" s="625">
        <f t="shared" ref="AC133:AC159" si="356">K133</f>
        <v>408</v>
      </c>
      <c r="AD133" s="625">
        <f t="shared" ref="AD133:AD159" si="357">M133</f>
        <v>113</v>
      </c>
      <c r="AE133" s="625">
        <f t="shared" ref="AE133:AE159" si="358">O133</f>
        <v>235</v>
      </c>
      <c r="AF133" s="625">
        <f t="shared" ref="AF133:AF159" si="359">Q133</f>
        <v>233</v>
      </c>
      <c r="AG133" s="657">
        <f t="shared" si="22"/>
        <v>0.248857645</v>
      </c>
      <c r="AH133" s="165"/>
      <c r="AI133" s="165">
        <f t="shared" ref="AI133:AM133" si="348">AB133/U133</f>
        <v>0.3021939137</v>
      </c>
      <c r="AJ133" s="165">
        <f t="shared" si="348"/>
        <v>0.4749708964</v>
      </c>
      <c r="AK133" s="165">
        <f t="shared" si="348"/>
        <v>0.1632947977</v>
      </c>
      <c r="AL133" s="165">
        <f t="shared" si="348"/>
        <v>0.1789794364</v>
      </c>
      <c r="AM133" s="165">
        <f t="shared" si="348"/>
        <v>0.1648973815</v>
      </c>
      <c r="AN133" s="684">
        <f t="shared" si="327"/>
        <v>3432</v>
      </c>
      <c r="AO133" s="625"/>
      <c r="AP133" s="625">
        <v>1284.0</v>
      </c>
      <c r="AQ133" s="625">
        <v>839.0</v>
      </c>
      <c r="AR133" s="625">
        <v>42.0</v>
      </c>
      <c r="AS133" s="625">
        <v>535.0</v>
      </c>
      <c r="AT133" s="625">
        <v>732.0</v>
      </c>
      <c r="AU133" s="684">
        <f t="shared" si="218"/>
        <v>3844</v>
      </c>
      <c r="AV133" s="625"/>
      <c r="AW133" s="625">
        <v>673.0</v>
      </c>
      <c r="AX133" s="625">
        <v>780.0</v>
      </c>
      <c r="AY133" s="625">
        <v>806.0</v>
      </c>
      <c r="AZ133" s="625">
        <v>796.0</v>
      </c>
      <c r="BA133" s="693">
        <v>789.0</v>
      </c>
      <c r="BB133" s="631"/>
      <c r="BC133" s="189" t="s">
        <v>695</v>
      </c>
      <c r="BD133" s="186" t="s">
        <v>3303</v>
      </c>
      <c r="BE133" s="179" t="s">
        <v>3304</v>
      </c>
      <c r="BF133" s="179" t="s">
        <v>3305</v>
      </c>
      <c r="BG133" s="179" t="s">
        <v>3306</v>
      </c>
      <c r="BH133" s="179" t="s">
        <v>3307</v>
      </c>
      <c r="BI133" s="179" t="s">
        <v>3308</v>
      </c>
      <c r="BJ133" s="179"/>
      <c r="BK133" s="646"/>
      <c r="BL133" s="179" t="b">
        <f t="shared" si="26"/>
        <v>1</v>
      </c>
      <c r="BM133" s="179" t="b">
        <f t="shared" si="27"/>
        <v>1</v>
      </c>
      <c r="BN133" s="688" t="b">
        <f t="shared" si="28"/>
        <v>1</v>
      </c>
    </row>
    <row r="134">
      <c r="A134" s="689"/>
      <c r="B134" s="186" t="s">
        <v>3510</v>
      </c>
      <c r="C134" s="676" t="s">
        <v>2113</v>
      </c>
      <c r="D134" s="677">
        <v>371.0</v>
      </c>
      <c r="E134" s="632" t="s">
        <v>3511</v>
      </c>
      <c r="F134" s="678">
        <f t="shared" ref="F134:G134" si="349">H134+J134+L134+N134+P134</f>
        <v>2561.51</v>
      </c>
      <c r="G134" s="679">
        <f t="shared" si="349"/>
        <v>337.7</v>
      </c>
      <c r="H134" s="641">
        <v>667.4</v>
      </c>
      <c r="I134" s="680">
        <v>168.0</v>
      </c>
      <c r="J134" s="641">
        <v>626.2</v>
      </c>
      <c r="K134" s="680">
        <v>105.4</v>
      </c>
      <c r="L134" s="641">
        <v>283.6</v>
      </c>
      <c r="M134" s="680">
        <v>-52.6</v>
      </c>
      <c r="N134" s="641">
        <v>546.7</v>
      </c>
      <c r="O134" s="680">
        <v>92.2</v>
      </c>
      <c r="P134" s="641">
        <v>437.61</v>
      </c>
      <c r="Q134" s="680">
        <v>24.7</v>
      </c>
      <c r="R134" s="681" t="s">
        <v>696</v>
      </c>
      <c r="S134" s="682">
        <f t="shared" si="10"/>
        <v>2561.51</v>
      </c>
      <c r="T134" s="683"/>
      <c r="U134" s="625">
        <f t="shared" si="350"/>
        <v>667.4</v>
      </c>
      <c r="V134" s="625">
        <f t="shared" si="351"/>
        <v>626.2</v>
      </c>
      <c r="W134" s="625">
        <f t="shared" si="352"/>
        <v>283.6</v>
      </c>
      <c r="X134" s="625">
        <f t="shared" si="353"/>
        <v>546.7</v>
      </c>
      <c r="Y134" s="625">
        <f t="shared" si="354"/>
        <v>437.61</v>
      </c>
      <c r="Z134" s="656">
        <f t="shared" si="16"/>
        <v>337.7</v>
      </c>
      <c r="AA134" s="683"/>
      <c r="AB134" s="625">
        <f t="shared" si="355"/>
        <v>168</v>
      </c>
      <c r="AC134" s="625">
        <f t="shared" si="356"/>
        <v>105.4</v>
      </c>
      <c r="AD134" s="625">
        <f t="shared" si="357"/>
        <v>-52.6</v>
      </c>
      <c r="AE134" s="625">
        <f t="shared" si="358"/>
        <v>92.2</v>
      </c>
      <c r="AF134" s="625">
        <f t="shared" si="359"/>
        <v>24.7</v>
      </c>
      <c r="AG134" s="657">
        <f t="shared" si="22"/>
        <v>0.1318362997</v>
      </c>
      <c r="AH134" s="165"/>
      <c r="AI134" s="165">
        <f t="shared" ref="AI134:AM134" si="360">AB134/U134</f>
        <v>0.2517231046</v>
      </c>
      <c r="AJ134" s="165">
        <f t="shared" si="360"/>
        <v>0.1683168317</v>
      </c>
      <c r="AK134" s="165">
        <f t="shared" si="360"/>
        <v>-0.1854724965</v>
      </c>
      <c r="AL134" s="165">
        <f t="shared" si="360"/>
        <v>0.1686482532</v>
      </c>
      <c r="AM134" s="165">
        <f t="shared" si="360"/>
        <v>0.05644295149</v>
      </c>
      <c r="AN134" s="684">
        <f t="shared" si="327"/>
        <v>437</v>
      </c>
      <c r="AO134" s="641"/>
      <c r="AP134" s="641">
        <v>320.0</v>
      </c>
      <c r="AQ134" s="641">
        <v>0.0</v>
      </c>
      <c r="AR134" s="641">
        <v>0.0</v>
      </c>
      <c r="AS134" s="641">
        <v>0.0</v>
      </c>
      <c r="AT134" s="641">
        <v>117.0</v>
      </c>
      <c r="AU134" s="684">
        <f t="shared" si="218"/>
        <v>1968.3</v>
      </c>
      <c r="AV134" s="625"/>
      <c r="AW134" s="625">
        <v>457.3</v>
      </c>
      <c r="AX134" s="625">
        <v>427.7</v>
      </c>
      <c r="AY134" s="625">
        <v>398.1</v>
      </c>
      <c r="AZ134" s="625">
        <v>363.1</v>
      </c>
      <c r="BA134" s="693">
        <v>322.1</v>
      </c>
      <c r="BB134" s="631"/>
      <c r="BC134" s="189" t="s">
        <v>695</v>
      </c>
      <c r="BD134" s="186" t="s">
        <v>3303</v>
      </c>
      <c r="BE134" s="179" t="s">
        <v>3304</v>
      </c>
      <c r="BF134" s="179" t="s">
        <v>3305</v>
      </c>
      <c r="BG134" s="179" t="s">
        <v>3306</v>
      </c>
      <c r="BH134" s="179" t="s">
        <v>3307</v>
      </c>
      <c r="BI134" s="179" t="s">
        <v>3308</v>
      </c>
      <c r="BJ134" s="179"/>
      <c r="BK134" s="646"/>
      <c r="BL134" s="179" t="b">
        <f t="shared" si="26"/>
        <v>1</v>
      </c>
      <c r="BM134" s="179" t="b">
        <f t="shared" si="27"/>
        <v>1</v>
      </c>
      <c r="BN134" s="688" t="b">
        <f t="shared" si="28"/>
        <v>1</v>
      </c>
    </row>
    <row r="135">
      <c r="A135" s="675" t="s">
        <v>3301</v>
      </c>
      <c r="B135" s="186" t="s">
        <v>3512</v>
      </c>
      <c r="C135" s="690" t="s">
        <v>1980</v>
      </c>
      <c r="D135" s="677">
        <v>321.0</v>
      </c>
      <c r="E135" s="632" t="s">
        <v>1128</v>
      </c>
      <c r="F135" s="678">
        <f t="shared" ref="F135:G135" si="361">H135+J135+L135+N135+P135</f>
        <v>10236.95</v>
      </c>
      <c r="G135" s="679">
        <f t="shared" si="361"/>
        <v>1492</v>
      </c>
      <c r="H135" s="641">
        <v>2548.95</v>
      </c>
      <c r="I135" s="680">
        <v>253.0</v>
      </c>
      <c r="J135" s="641">
        <v>2376.0</v>
      </c>
      <c r="K135" s="680">
        <v>399.0</v>
      </c>
      <c r="L135" s="641">
        <v>2127.0</v>
      </c>
      <c r="M135" s="680">
        <v>372.0</v>
      </c>
      <c r="N135" s="641">
        <v>1759.0</v>
      </c>
      <c r="O135" s="680">
        <v>271.0</v>
      </c>
      <c r="P135" s="641">
        <v>1426.0</v>
      </c>
      <c r="Q135" s="680">
        <v>197.0</v>
      </c>
      <c r="R135" s="681" t="s">
        <v>702</v>
      </c>
      <c r="S135" s="682">
        <f t="shared" si="10"/>
        <v>10236.95</v>
      </c>
      <c r="T135" s="683"/>
      <c r="U135" s="625">
        <f t="shared" si="350"/>
        <v>2548.95</v>
      </c>
      <c r="V135" s="625">
        <f t="shared" si="351"/>
        <v>2376</v>
      </c>
      <c r="W135" s="625">
        <f t="shared" si="352"/>
        <v>2127</v>
      </c>
      <c r="X135" s="625">
        <f t="shared" si="353"/>
        <v>1759</v>
      </c>
      <c r="Y135" s="625">
        <f t="shared" si="354"/>
        <v>1426</v>
      </c>
      <c r="Z135" s="656">
        <f t="shared" si="16"/>
        <v>1492</v>
      </c>
      <c r="AA135" s="683"/>
      <c r="AB135" s="625">
        <f t="shared" si="355"/>
        <v>253</v>
      </c>
      <c r="AC135" s="625">
        <f t="shared" si="356"/>
        <v>399</v>
      </c>
      <c r="AD135" s="625">
        <f t="shared" si="357"/>
        <v>372</v>
      </c>
      <c r="AE135" s="625">
        <f t="shared" si="358"/>
        <v>271</v>
      </c>
      <c r="AF135" s="625">
        <f t="shared" si="359"/>
        <v>197</v>
      </c>
      <c r="AG135" s="657">
        <f t="shared" si="22"/>
        <v>0.1457465358</v>
      </c>
      <c r="AH135" s="165"/>
      <c r="AI135" s="165">
        <f t="shared" ref="AI135:AM135" si="362">AB135/U135</f>
        <v>0.09925655662</v>
      </c>
      <c r="AJ135" s="165">
        <f t="shared" si="362"/>
        <v>0.1679292929</v>
      </c>
      <c r="AK135" s="165">
        <f t="shared" si="362"/>
        <v>0.1748942172</v>
      </c>
      <c r="AL135" s="165">
        <f t="shared" si="362"/>
        <v>0.1540648096</v>
      </c>
      <c r="AM135" s="165">
        <f t="shared" si="362"/>
        <v>0.1381486676</v>
      </c>
      <c r="AN135" s="684">
        <f t="shared" si="327"/>
        <v>4017</v>
      </c>
      <c r="AO135" s="641">
        <v>1967.0</v>
      </c>
      <c r="AP135" s="641">
        <v>1861.0</v>
      </c>
      <c r="AQ135" s="641">
        <v>1005.0</v>
      </c>
      <c r="AR135" s="641">
        <v>323.0</v>
      </c>
      <c r="AS135" s="641">
        <v>556.0</v>
      </c>
      <c r="AT135" s="641">
        <v>272.0</v>
      </c>
      <c r="AU135" s="684">
        <f>SUM(AW135:BB135)</f>
        <v>2889</v>
      </c>
      <c r="AV135" s="641">
        <v>889.0</v>
      </c>
      <c r="AW135" s="625">
        <v>774.0</v>
      </c>
      <c r="AX135" s="625">
        <v>646.0</v>
      </c>
      <c r="AY135" s="625">
        <v>561.0</v>
      </c>
      <c r="AZ135" s="625">
        <v>501.0</v>
      </c>
      <c r="BA135" s="693">
        <v>407.0</v>
      </c>
      <c r="BB135" s="631"/>
      <c r="BC135" s="189" t="s">
        <v>695</v>
      </c>
      <c r="BD135" s="186" t="s">
        <v>3303</v>
      </c>
      <c r="BE135" s="179" t="s">
        <v>3304</v>
      </c>
      <c r="BF135" s="179" t="s">
        <v>3305</v>
      </c>
      <c r="BG135" s="179" t="s">
        <v>3306</v>
      </c>
      <c r="BH135" s="179" t="s">
        <v>3307</v>
      </c>
      <c r="BI135" s="179" t="s">
        <v>3308</v>
      </c>
      <c r="BJ135" s="179"/>
      <c r="BK135" s="631"/>
      <c r="BL135" s="179" t="b">
        <f t="shared" si="26"/>
        <v>1</v>
      </c>
      <c r="BM135" s="179" t="b">
        <f t="shared" si="27"/>
        <v>1</v>
      </c>
      <c r="BN135" s="688" t="b">
        <f t="shared" si="28"/>
        <v>1</v>
      </c>
    </row>
    <row r="136">
      <c r="A136" s="212"/>
      <c r="B136" s="186" t="s">
        <v>3513</v>
      </c>
      <c r="C136" s="676" t="s">
        <v>2113</v>
      </c>
      <c r="D136" s="677">
        <v>280.0</v>
      </c>
      <c r="E136" s="131" t="s">
        <v>3514</v>
      </c>
      <c r="F136" s="678">
        <f t="shared" ref="F136:G136" si="363">H136+J136+L136+N136+P136</f>
        <v>4098.99</v>
      </c>
      <c r="G136" s="679">
        <f t="shared" si="363"/>
        <v>478.23</v>
      </c>
      <c r="H136" s="641">
        <v>1230.3</v>
      </c>
      <c r="I136" s="680">
        <v>85.86</v>
      </c>
      <c r="J136" s="641">
        <v>956.77</v>
      </c>
      <c r="K136" s="680">
        <v>142.54</v>
      </c>
      <c r="L136" s="641">
        <v>637.93</v>
      </c>
      <c r="M136" s="680">
        <v>138.95</v>
      </c>
      <c r="N136" s="641">
        <v>659.91</v>
      </c>
      <c r="O136" s="680">
        <v>87.98</v>
      </c>
      <c r="P136" s="641">
        <v>614.08</v>
      </c>
      <c r="Q136" s="680">
        <v>22.9</v>
      </c>
      <c r="R136" s="681" t="s">
        <v>3515</v>
      </c>
      <c r="S136" s="682">
        <f t="shared" si="10"/>
        <v>4098.99</v>
      </c>
      <c r="T136" s="683"/>
      <c r="U136" s="625">
        <f t="shared" si="350"/>
        <v>1230.3</v>
      </c>
      <c r="V136" s="625">
        <f t="shared" si="351"/>
        <v>956.77</v>
      </c>
      <c r="W136" s="625">
        <f t="shared" si="352"/>
        <v>637.93</v>
      </c>
      <c r="X136" s="625">
        <f t="shared" si="353"/>
        <v>659.91</v>
      </c>
      <c r="Y136" s="625">
        <f t="shared" si="354"/>
        <v>614.08</v>
      </c>
      <c r="Z136" s="656">
        <f t="shared" si="16"/>
        <v>478.23</v>
      </c>
      <c r="AA136" s="683"/>
      <c r="AB136" s="625">
        <f t="shared" si="355"/>
        <v>85.86</v>
      </c>
      <c r="AC136" s="625">
        <f t="shared" si="356"/>
        <v>142.54</v>
      </c>
      <c r="AD136" s="625">
        <f t="shared" si="357"/>
        <v>138.95</v>
      </c>
      <c r="AE136" s="625">
        <f t="shared" si="358"/>
        <v>87.98</v>
      </c>
      <c r="AF136" s="625">
        <f t="shared" si="359"/>
        <v>22.9</v>
      </c>
      <c r="AG136" s="657">
        <f t="shared" si="22"/>
        <v>0.1166702041</v>
      </c>
      <c r="AH136" s="165"/>
      <c r="AI136" s="165">
        <f t="shared" ref="AI136:AM136" si="364">AB136/U136</f>
        <v>0.06978785662</v>
      </c>
      <c r="AJ136" s="165">
        <f t="shared" si="364"/>
        <v>0.1489804237</v>
      </c>
      <c r="AK136" s="165">
        <f t="shared" si="364"/>
        <v>0.2178138667</v>
      </c>
      <c r="AL136" s="165">
        <f t="shared" si="364"/>
        <v>0.1333212105</v>
      </c>
      <c r="AM136" s="165">
        <f t="shared" si="364"/>
        <v>0.0372915581</v>
      </c>
      <c r="AN136" s="684">
        <f t="shared" si="327"/>
        <v>1092.874</v>
      </c>
      <c r="AO136" s="625"/>
      <c r="AP136" s="641">
        <f>300.03+31.18</f>
        <v>331.21</v>
      </c>
      <c r="AQ136" s="641">
        <f>151.72+28.471</f>
        <v>180.191</v>
      </c>
      <c r="AR136" s="641">
        <f>92.548+26.842</f>
        <v>119.39</v>
      </c>
      <c r="AS136" s="625">
        <f>275.657+16.525</f>
        <v>292.182</v>
      </c>
      <c r="AT136" s="625">
        <f>150.338+19.563</f>
        <v>169.901</v>
      </c>
      <c r="AU136" s="684">
        <f t="shared" ref="AU136:AU157" si="367">SUM(AW136:BA136)</f>
        <v>622.211</v>
      </c>
      <c r="AV136" s="625"/>
      <c r="AW136" s="641">
        <v>166.724</v>
      </c>
      <c r="AX136" s="641">
        <v>124.442</v>
      </c>
      <c r="AY136" s="641">
        <v>114.234</v>
      </c>
      <c r="AZ136" s="641">
        <v>111.817</v>
      </c>
      <c r="BA136" s="691">
        <v>104.994</v>
      </c>
      <c r="BB136" s="631"/>
      <c r="BC136" s="189" t="s">
        <v>695</v>
      </c>
      <c r="BD136" s="688" t="s">
        <v>3303</v>
      </c>
      <c r="BE136" s="179" t="s">
        <v>3304</v>
      </c>
      <c r="BF136" s="179" t="s">
        <v>3305</v>
      </c>
      <c r="BG136" s="179" t="s">
        <v>3306</v>
      </c>
      <c r="BH136" s="179" t="s">
        <v>3307</v>
      </c>
      <c r="BI136" s="179" t="s">
        <v>3308</v>
      </c>
      <c r="BJ136" s="179"/>
      <c r="BK136" s="631"/>
      <c r="BL136" s="179" t="b">
        <f t="shared" si="26"/>
        <v>1</v>
      </c>
      <c r="BM136" s="179" t="b">
        <f t="shared" si="27"/>
        <v>1</v>
      </c>
      <c r="BN136" s="688" t="b">
        <f t="shared" si="28"/>
        <v>1</v>
      </c>
    </row>
    <row r="137">
      <c r="A137" s="675" t="s">
        <v>3301</v>
      </c>
      <c r="B137" s="186" t="s">
        <v>3516</v>
      </c>
      <c r="C137" s="690" t="s">
        <v>2317</v>
      </c>
      <c r="D137" s="717">
        <v>277.0</v>
      </c>
      <c r="E137" s="632" t="s">
        <v>744</v>
      </c>
      <c r="F137" s="678">
        <f t="shared" ref="F137:G137" si="365">H137+J137+L137+N137+P137</f>
        <v>1631.12</v>
      </c>
      <c r="G137" s="679">
        <f t="shared" si="365"/>
        <v>64.39</v>
      </c>
      <c r="H137" s="641">
        <v>386.8</v>
      </c>
      <c r="I137" s="680">
        <v>-35.29</v>
      </c>
      <c r="J137" s="641">
        <v>577.02</v>
      </c>
      <c r="K137" s="680">
        <v>91.31</v>
      </c>
      <c r="L137" s="641">
        <v>189.34</v>
      </c>
      <c r="M137" s="680">
        <v>-37.03</v>
      </c>
      <c r="N137" s="641">
        <v>201.41</v>
      </c>
      <c r="O137" s="680">
        <v>25.55</v>
      </c>
      <c r="P137" s="641">
        <v>276.55</v>
      </c>
      <c r="Q137" s="680">
        <v>19.85</v>
      </c>
      <c r="R137" s="681" t="s">
        <v>693</v>
      </c>
      <c r="S137" s="682">
        <f t="shared" si="10"/>
        <v>1631.12</v>
      </c>
      <c r="T137" s="683"/>
      <c r="U137" s="625">
        <f t="shared" si="350"/>
        <v>386.8</v>
      </c>
      <c r="V137" s="625">
        <f t="shared" si="351"/>
        <v>577.02</v>
      </c>
      <c r="W137" s="625">
        <f t="shared" si="352"/>
        <v>189.34</v>
      </c>
      <c r="X137" s="625">
        <f t="shared" si="353"/>
        <v>201.41</v>
      </c>
      <c r="Y137" s="625">
        <f t="shared" si="354"/>
        <v>276.55</v>
      </c>
      <c r="Z137" s="656">
        <f t="shared" si="16"/>
        <v>64.39</v>
      </c>
      <c r="AA137" s="683"/>
      <c r="AB137" s="625">
        <f t="shared" si="355"/>
        <v>-35.29</v>
      </c>
      <c r="AC137" s="625">
        <f t="shared" si="356"/>
        <v>91.31</v>
      </c>
      <c r="AD137" s="625">
        <f t="shared" si="357"/>
        <v>-37.03</v>
      </c>
      <c r="AE137" s="625">
        <f t="shared" si="358"/>
        <v>25.55</v>
      </c>
      <c r="AF137" s="625">
        <f t="shared" si="359"/>
        <v>19.85</v>
      </c>
      <c r="AG137" s="657">
        <f t="shared" si="22"/>
        <v>0.03947594291</v>
      </c>
      <c r="AH137" s="165"/>
      <c r="AI137" s="165">
        <f t="shared" ref="AI137:AM137" si="366">AB137/U137</f>
        <v>-0.09123578077</v>
      </c>
      <c r="AJ137" s="165">
        <f t="shared" si="366"/>
        <v>0.1582440817</v>
      </c>
      <c r="AK137" s="165">
        <f t="shared" si="366"/>
        <v>-0.1955740995</v>
      </c>
      <c r="AL137" s="165">
        <f t="shared" si="366"/>
        <v>0.1268556675</v>
      </c>
      <c r="AM137" s="165">
        <f t="shared" si="366"/>
        <v>0.07177725547</v>
      </c>
      <c r="AN137" s="684">
        <f t="shared" si="327"/>
        <v>1750.981</v>
      </c>
      <c r="AO137" s="641">
        <v>265.714</v>
      </c>
      <c r="AP137" s="625">
        <v>282.0</v>
      </c>
      <c r="AQ137" s="625">
        <v>275.0</v>
      </c>
      <c r="AR137" s="625">
        <v>337.0</v>
      </c>
      <c r="AS137" s="625">
        <v>854.0</v>
      </c>
      <c r="AT137" s="641">
        <v>2.981</v>
      </c>
      <c r="AU137" s="684">
        <f t="shared" si="367"/>
        <v>635.838</v>
      </c>
      <c r="AV137" s="625">
        <f>128.42+23.156</f>
        <v>151.576</v>
      </c>
      <c r="AW137" s="625">
        <f>115.95+26.982</f>
        <v>142.932</v>
      </c>
      <c r="AX137" s="625">
        <f>107.19+48.784</f>
        <v>155.974</v>
      </c>
      <c r="AY137" s="641">
        <v>143.962</v>
      </c>
      <c r="AZ137" s="625">
        <v>106.4</v>
      </c>
      <c r="BA137" s="693">
        <v>86.57</v>
      </c>
      <c r="BB137" s="631"/>
      <c r="BC137" s="189" t="s">
        <v>695</v>
      </c>
      <c r="BD137" s="186" t="s">
        <v>3303</v>
      </c>
      <c r="BE137" s="688" t="s">
        <v>3303</v>
      </c>
      <c r="BF137" s="688" t="s">
        <v>3303</v>
      </c>
      <c r="BG137" s="688" t="s">
        <v>3303</v>
      </c>
      <c r="BH137" s="688" t="s">
        <v>3303</v>
      </c>
      <c r="BI137" s="688" t="s">
        <v>3303</v>
      </c>
      <c r="BJ137" s="179"/>
      <c r="BK137" s="631"/>
      <c r="BL137" s="179" t="b">
        <f t="shared" si="26"/>
        <v>1</v>
      </c>
      <c r="BM137" s="179" t="b">
        <f t="shared" si="27"/>
        <v>1</v>
      </c>
      <c r="BN137" s="688" t="b">
        <f t="shared" si="28"/>
        <v>1</v>
      </c>
    </row>
    <row r="138">
      <c r="A138" s="689"/>
      <c r="B138" s="186" t="s">
        <v>3517</v>
      </c>
      <c r="C138" s="676" t="s">
        <v>2113</v>
      </c>
      <c r="D138" s="677">
        <v>190.0</v>
      </c>
      <c r="E138" s="632" t="s">
        <v>3518</v>
      </c>
      <c r="F138" s="678">
        <f t="shared" ref="F138:G138" si="368">H138+J138+L138+N138+P138</f>
        <v>1555.1</v>
      </c>
      <c r="G138" s="679">
        <f t="shared" si="368"/>
        <v>271.4</v>
      </c>
      <c r="H138" s="641">
        <v>418.9</v>
      </c>
      <c r="I138" s="680">
        <v>82.0</v>
      </c>
      <c r="J138" s="641">
        <v>763.9</v>
      </c>
      <c r="K138" s="680">
        <v>95.0</v>
      </c>
      <c r="L138" s="641">
        <v>152.7</v>
      </c>
      <c r="M138" s="680">
        <v>16.4</v>
      </c>
      <c r="N138" s="641">
        <v>130.8</v>
      </c>
      <c r="O138" s="680">
        <v>38.2</v>
      </c>
      <c r="P138" s="641">
        <v>88.8</v>
      </c>
      <c r="Q138" s="680">
        <v>39.8</v>
      </c>
      <c r="R138" s="681" t="s">
        <v>710</v>
      </c>
      <c r="S138" s="682">
        <f t="shared" si="10"/>
        <v>1555.1</v>
      </c>
      <c r="T138" s="683"/>
      <c r="U138" s="625">
        <f t="shared" si="350"/>
        <v>418.9</v>
      </c>
      <c r="V138" s="625">
        <f t="shared" si="351"/>
        <v>763.9</v>
      </c>
      <c r="W138" s="625">
        <f t="shared" si="352"/>
        <v>152.7</v>
      </c>
      <c r="X138" s="625">
        <f t="shared" si="353"/>
        <v>130.8</v>
      </c>
      <c r="Y138" s="625">
        <f t="shared" si="354"/>
        <v>88.8</v>
      </c>
      <c r="Z138" s="656">
        <f t="shared" si="16"/>
        <v>271.4</v>
      </c>
      <c r="AA138" s="683"/>
      <c r="AB138" s="625">
        <f t="shared" si="355"/>
        <v>82</v>
      </c>
      <c r="AC138" s="625">
        <f t="shared" si="356"/>
        <v>95</v>
      </c>
      <c r="AD138" s="625">
        <f t="shared" si="357"/>
        <v>16.4</v>
      </c>
      <c r="AE138" s="625">
        <f t="shared" si="358"/>
        <v>38.2</v>
      </c>
      <c r="AF138" s="625">
        <f t="shared" si="359"/>
        <v>39.8</v>
      </c>
      <c r="AG138" s="657">
        <f t="shared" si="22"/>
        <v>0.1745225387</v>
      </c>
      <c r="AH138" s="165"/>
      <c r="AI138" s="165">
        <f t="shared" ref="AI138:AM138" si="369">AB138/U138</f>
        <v>0.1957507758</v>
      </c>
      <c r="AJ138" s="165">
        <f t="shared" si="369"/>
        <v>0.1243618275</v>
      </c>
      <c r="AK138" s="165">
        <f t="shared" si="369"/>
        <v>0.107400131</v>
      </c>
      <c r="AL138" s="165">
        <f t="shared" si="369"/>
        <v>0.2920489297</v>
      </c>
      <c r="AM138" s="165">
        <f t="shared" si="369"/>
        <v>0.4481981982</v>
      </c>
      <c r="AN138" s="684">
        <f t="shared" si="327"/>
        <v>1234</v>
      </c>
      <c r="AO138" s="625"/>
      <c r="AP138" s="625">
        <v>688.0</v>
      </c>
      <c r="AQ138" s="625">
        <v>396.0</v>
      </c>
      <c r="AR138" s="625">
        <v>124.0</v>
      </c>
      <c r="AS138" s="625">
        <v>14.0</v>
      </c>
      <c r="AT138" s="625">
        <v>12.0</v>
      </c>
      <c r="AU138" s="684">
        <f t="shared" si="367"/>
        <v>100.5</v>
      </c>
      <c r="AV138" s="641"/>
      <c r="AW138" s="641">
        <v>20.0</v>
      </c>
      <c r="AX138" s="625">
        <v>0.0</v>
      </c>
      <c r="AY138" s="625">
        <v>0.0</v>
      </c>
      <c r="AZ138" s="625">
        <v>42.7</v>
      </c>
      <c r="BA138" s="693">
        <v>37.8</v>
      </c>
      <c r="BB138" s="631"/>
      <c r="BC138" s="189" t="s">
        <v>695</v>
      </c>
      <c r="BD138" s="688" t="s">
        <v>3303</v>
      </c>
      <c r="BE138" s="688" t="s">
        <v>3303</v>
      </c>
      <c r="BF138" s="688" t="s">
        <v>3303</v>
      </c>
      <c r="BG138" s="688" t="s">
        <v>3303</v>
      </c>
      <c r="BH138" s="688" t="s">
        <v>3303</v>
      </c>
      <c r="BI138" s="688" t="s">
        <v>3303</v>
      </c>
      <c r="BJ138" s="179"/>
      <c r="BK138" s="631"/>
      <c r="BL138" s="179" t="b">
        <f t="shared" si="26"/>
        <v>1</v>
      </c>
      <c r="BM138" s="179" t="b">
        <f t="shared" si="27"/>
        <v>1</v>
      </c>
      <c r="BN138" s="688" t="b">
        <f t="shared" si="28"/>
        <v>0</v>
      </c>
    </row>
    <row r="139">
      <c r="A139" s="675" t="s">
        <v>3301</v>
      </c>
      <c r="B139" s="186" t="s">
        <v>3519</v>
      </c>
      <c r="C139" s="676" t="s">
        <v>2113</v>
      </c>
      <c r="D139" s="677">
        <v>23.0</v>
      </c>
      <c r="E139" s="714" t="s">
        <v>1120</v>
      </c>
      <c r="F139" s="678">
        <f t="shared" ref="F139:G139" si="370">H139+J139+L139+N139+P139</f>
        <v>176464.5</v>
      </c>
      <c r="G139" s="679">
        <f t="shared" si="370"/>
        <v>20368</v>
      </c>
      <c r="H139" s="641">
        <v>35002.0</v>
      </c>
      <c r="I139" s="680">
        <v>5606.0</v>
      </c>
      <c r="J139" s="641">
        <v>37481.2</v>
      </c>
      <c r="K139" s="680">
        <v>2865.0</v>
      </c>
      <c r="L139" s="641">
        <v>38104.88</v>
      </c>
      <c r="M139" s="680">
        <v>5759.0</v>
      </c>
      <c r="N139" s="641">
        <v>34604.63</v>
      </c>
      <c r="O139" s="680">
        <v>3284.0</v>
      </c>
      <c r="P139" s="641">
        <v>31271.79</v>
      </c>
      <c r="Q139" s="680">
        <v>2854.0</v>
      </c>
      <c r="R139" s="681" t="s">
        <v>696</v>
      </c>
      <c r="S139" s="682">
        <f t="shared" si="10"/>
        <v>176464.5</v>
      </c>
      <c r="T139" s="683"/>
      <c r="U139" s="625">
        <f t="shared" si="350"/>
        <v>35002</v>
      </c>
      <c r="V139" s="625">
        <f t="shared" si="351"/>
        <v>37481.2</v>
      </c>
      <c r="W139" s="625">
        <f t="shared" si="352"/>
        <v>38104.88</v>
      </c>
      <c r="X139" s="625">
        <f t="shared" si="353"/>
        <v>34604.63</v>
      </c>
      <c r="Y139" s="625">
        <f t="shared" si="354"/>
        <v>31271.79</v>
      </c>
      <c r="Z139" s="656">
        <f t="shared" si="16"/>
        <v>20368</v>
      </c>
      <c r="AA139" s="683"/>
      <c r="AB139" s="625">
        <f t="shared" si="355"/>
        <v>5606</v>
      </c>
      <c r="AC139" s="625">
        <f t="shared" si="356"/>
        <v>2865</v>
      </c>
      <c r="AD139" s="625">
        <f t="shared" si="357"/>
        <v>5759</v>
      </c>
      <c r="AE139" s="625">
        <f t="shared" si="358"/>
        <v>3284</v>
      </c>
      <c r="AF139" s="625">
        <f t="shared" si="359"/>
        <v>2854</v>
      </c>
      <c r="AG139" s="657">
        <f t="shared" si="22"/>
        <v>0.1154226487</v>
      </c>
      <c r="AH139" s="165"/>
      <c r="AI139" s="165">
        <f t="shared" ref="AI139:AM139" si="371">AB139/U139</f>
        <v>0.1601622764</v>
      </c>
      <c r="AJ139" s="165">
        <f t="shared" si="371"/>
        <v>0.07643832108</v>
      </c>
      <c r="AK139" s="165">
        <f t="shared" si="371"/>
        <v>0.1511354976</v>
      </c>
      <c r="AL139" s="165">
        <f t="shared" si="371"/>
        <v>0.09490059567</v>
      </c>
      <c r="AM139" s="165">
        <f t="shared" si="371"/>
        <v>0.09126436318</v>
      </c>
      <c r="AN139" s="684">
        <f t="shared" si="327"/>
        <v>72071</v>
      </c>
      <c r="AO139" s="685">
        <v>9824.0</v>
      </c>
      <c r="AP139" s="180">
        <v>3162.0</v>
      </c>
      <c r="AQ139" s="180">
        <v>18408.0</v>
      </c>
      <c r="AR139" s="180">
        <v>6517.0</v>
      </c>
      <c r="AS139" s="180">
        <v>24001.0</v>
      </c>
      <c r="AT139" s="180">
        <v>19983.0</v>
      </c>
      <c r="AU139" s="684">
        <f t="shared" si="367"/>
        <v>61562</v>
      </c>
      <c r="AV139" s="685">
        <v>13463.0</v>
      </c>
      <c r="AW139" s="180">
        <v>13562.0</v>
      </c>
      <c r="AX139" s="180">
        <v>12858.0</v>
      </c>
      <c r="AY139" s="180">
        <v>12690.0</v>
      </c>
      <c r="AZ139" s="180">
        <v>12343.0</v>
      </c>
      <c r="BA139" s="686">
        <v>10109.0</v>
      </c>
      <c r="BB139" s="631"/>
      <c r="BC139" s="726" t="s">
        <v>695</v>
      </c>
      <c r="BD139" s="186" t="s">
        <v>3303</v>
      </c>
      <c r="BE139" s="186" t="s">
        <v>3304</v>
      </c>
      <c r="BF139" s="186" t="s">
        <v>3305</v>
      </c>
      <c r="BG139" s="186" t="s">
        <v>3306</v>
      </c>
      <c r="BH139" s="186" t="s">
        <v>3307</v>
      </c>
      <c r="BI139" s="179" t="s">
        <v>3308</v>
      </c>
      <c r="BJ139" s="179"/>
      <c r="BK139" s="631"/>
      <c r="BL139" s="179" t="b">
        <f t="shared" si="26"/>
        <v>1</v>
      </c>
      <c r="BM139" s="179" t="b">
        <f t="shared" si="27"/>
        <v>1</v>
      </c>
      <c r="BN139" s="688" t="b">
        <f t="shared" si="28"/>
        <v>1</v>
      </c>
    </row>
    <row r="140">
      <c r="A140" s="689"/>
      <c r="B140" s="186" t="s">
        <v>3520</v>
      </c>
      <c r="C140" s="676" t="s">
        <v>2113</v>
      </c>
      <c r="D140" s="677">
        <v>270.0</v>
      </c>
      <c r="E140" s="632" t="s">
        <v>3521</v>
      </c>
      <c r="F140" s="678">
        <f t="shared" ref="F140:G140" si="372">H140+J140+L140+N140+P140</f>
        <v>5424</v>
      </c>
      <c r="G140" s="679">
        <f t="shared" si="372"/>
        <v>868.02</v>
      </c>
      <c r="H140" s="641">
        <v>1166.0</v>
      </c>
      <c r="I140" s="680">
        <v>151.0</v>
      </c>
      <c r="J140" s="641">
        <v>948.0</v>
      </c>
      <c r="K140" s="680">
        <v>188.0</v>
      </c>
      <c r="L140" s="641">
        <v>1154.0</v>
      </c>
      <c r="M140" s="680">
        <v>161.02</v>
      </c>
      <c r="N140" s="641">
        <v>990.0</v>
      </c>
      <c r="O140" s="680">
        <v>345.0</v>
      </c>
      <c r="P140" s="641">
        <v>1166.0</v>
      </c>
      <c r="Q140" s="680">
        <v>23.0</v>
      </c>
      <c r="R140" s="681" t="s">
        <v>703</v>
      </c>
      <c r="S140" s="682">
        <f t="shared" si="10"/>
        <v>5424</v>
      </c>
      <c r="T140" s="683"/>
      <c r="U140" s="625">
        <f t="shared" si="350"/>
        <v>1166</v>
      </c>
      <c r="V140" s="625">
        <f t="shared" si="351"/>
        <v>948</v>
      </c>
      <c r="W140" s="625">
        <f t="shared" si="352"/>
        <v>1154</v>
      </c>
      <c r="X140" s="625">
        <f t="shared" si="353"/>
        <v>990</v>
      </c>
      <c r="Y140" s="625">
        <f t="shared" si="354"/>
        <v>1166</v>
      </c>
      <c r="Z140" s="656">
        <f t="shared" si="16"/>
        <v>868.02</v>
      </c>
      <c r="AA140" s="683"/>
      <c r="AB140" s="625">
        <f t="shared" si="355"/>
        <v>151</v>
      </c>
      <c r="AC140" s="625">
        <f t="shared" si="356"/>
        <v>188</v>
      </c>
      <c r="AD140" s="625">
        <f t="shared" si="357"/>
        <v>161.02</v>
      </c>
      <c r="AE140" s="625">
        <f t="shared" si="358"/>
        <v>345</v>
      </c>
      <c r="AF140" s="625">
        <f t="shared" si="359"/>
        <v>23</v>
      </c>
      <c r="AG140" s="657">
        <f t="shared" si="22"/>
        <v>0.1600331858</v>
      </c>
      <c r="AH140" s="165"/>
      <c r="AI140" s="165">
        <f t="shared" ref="AI140:AM140" si="373">AB140/U140</f>
        <v>0.1295025729</v>
      </c>
      <c r="AJ140" s="165">
        <f t="shared" si="373"/>
        <v>0.1983122363</v>
      </c>
      <c r="AK140" s="165">
        <f t="shared" si="373"/>
        <v>0.1395320624</v>
      </c>
      <c r="AL140" s="165">
        <f t="shared" si="373"/>
        <v>0.3484848485</v>
      </c>
      <c r="AM140" s="165">
        <f t="shared" si="373"/>
        <v>0.01972555746</v>
      </c>
      <c r="AN140" s="684">
        <f t="shared" si="327"/>
        <v>1080</v>
      </c>
      <c r="AO140" s="625"/>
      <c r="AP140" s="625">
        <v>300.0</v>
      </c>
      <c r="AQ140" s="625">
        <v>240.0</v>
      </c>
      <c r="AR140" s="625">
        <v>0.0</v>
      </c>
      <c r="AS140" s="625">
        <v>220.0</v>
      </c>
      <c r="AT140" s="625">
        <v>320.0</v>
      </c>
      <c r="AU140" s="684">
        <f t="shared" si="367"/>
        <v>3898</v>
      </c>
      <c r="AV140" s="625"/>
      <c r="AW140" s="625">
        <v>797.0</v>
      </c>
      <c r="AX140" s="625">
        <v>788.0</v>
      </c>
      <c r="AY140" s="625">
        <v>782.0</v>
      </c>
      <c r="AZ140" s="625">
        <v>769.0</v>
      </c>
      <c r="BA140" s="693">
        <v>762.0</v>
      </c>
      <c r="BB140" s="631"/>
      <c r="BC140" s="189" t="s">
        <v>695</v>
      </c>
      <c r="BD140" s="688" t="s">
        <v>3303</v>
      </c>
      <c r="BE140" s="179" t="s">
        <v>3304</v>
      </c>
      <c r="BF140" s="179" t="s">
        <v>3305</v>
      </c>
      <c r="BG140" s="179" t="s">
        <v>3306</v>
      </c>
      <c r="BH140" s="179" t="s">
        <v>3307</v>
      </c>
      <c r="BI140" s="179" t="s">
        <v>3308</v>
      </c>
      <c r="BJ140" s="179"/>
      <c r="BK140" s="631"/>
      <c r="BL140" s="179" t="b">
        <f t="shared" si="26"/>
        <v>1</v>
      </c>
      <c r="BM140" s="179" t="b">
        <f t="shared" si="27"/>
        <v>1</v>
      </c>
      <c r="BN140" s="688" t="b">
        <f t="shared" si="28"/>
        <v>1</v>
      </c>
    </row>
    <row r="141">
      <c r="A141" s="689"/>
      <c r="B141" s="186" t="s">
        <v>3522</v>
      </c>
      <c r="C141" s="676" t="s">
        <v>2113</v>
      </c>
      <c r="D141" s="677">
        <v>296.0</v>
      </c>
      <c r="E141" s="632" t="s">
        <v>3523</v>
      </c>
      <c r="F141" s="678">
        <f t="shared" ref="F141:G141" si="374">H141+J141+L141+N141+P141</f>
        <v>6459.6</v>
      </c>
      <c r="G141" s="679">
        <f t="shared" si="374"/>
        <v>1489</v>
      </c>
      <c r="H141" s="641">
        <v>1114.6</v>
      </c>
      <c r="I141" s="680">
        <v>320.0</v>
      </c>
      <c r="J141" s="641">
        <v>2217.0</v>
      </c>
      <c r="K141" s="680">
        <v>386.0</v>
      </c>
      <c r="L141" s="641">
        <v>1264.0</v>
      </c>
      <c r="M141" s="680">
        <v>297.0</v>
      </c>
      <c r="N141" s="641">
        <v>1291.0</v>
      </c>
      <c r="O141" s="680">
        <v>303.0</v>
      </c>
      <c r="P141" s="641">
        <v>573.0</v>
      </c>
      <c r="Q141" s="680">
        <v>183.0</v>
      </c>
      <c r="R141" s="681" t="s">
        <v>693</v>
      </c>
      <c r="S141" s="682">
        <f t="shared" si="10"/>
        <v>6459.6</v>
      </c>
      <c r="T141" s="683"/>
      <c r="U141" s="625">
        <f t="shared" si="350"/>
        <v>1114.6</v>
      </c>
      <c r="V141" s="625">
        <f t="shared" si="351"/>
        <v>2217</v>
      </c>
      <c r="W141" s="625">
        <f t="shared" si="352"/>
        <v>1264</v>
      </c>
      <c r="X141" s="625">
        <f t="shared" si="353"/>
        <v>1291</v>
      </c>
      <c r="Y141" s="625">
        <f t="shared" si="354"/>
        <v>573</v>
      </c>
      <c r="Z141" s="656">
        <f t="shared" si="16"/>
        <v>1489</v>
      </c>
      <c r="AA141" s="683"/>
      <c r="AB141" s="625">
        <f t="shared" si="355"/>
        <v>320</v>
      </c>
      <c r="AC141" s="625">
        <f t="shared" si="356"/>
        <v>386</v>
      </c>
      <c r="AD141" s="625">
        <f t="shared" si="357"/>
        <v>297</v>
      </c>
      <c r="AE141" s="625">
        <f t="shared" si="358"/>
        <v>303</v>
      </c>
      <c r="AF141" s="625">
        <f t="shared" si="359"/>
        <v>183</v>
      </c>
      <c r="AG141" s="657">
        <f t="shared" si="22"/>
        <v>0.2305096291</v>
      </c>
      <c r="AH141" s="165"/>
      <c r="AI141" s="165">
        <f t="shared" ref="AI141:AM141" si="375">AB141/U141</f>
        <v>0.2870985107</v>
      </c>
      <c r="AJ141" s="165">
        <f t="shared" si="375"/>
        <v>0.1741091565</v>
      </c>
      <c r="AK141" s="165">
        <f t="shared" si="375"/>
        <v>0.2349683544</v>
      </c>
      <c r="AL141" s="165">
        <f t="shared" si="375"/>
        <v>0.2347017816</v>
      </c>
      <c r="AM141" s="165">
        <f t="shared" si="375"/>
        <v>0.3193717277</v>
      </c>
      <c r="AN141" s="684">
        <f t="shared" si="327"/>
        <v>379</v>
      </c>
      <c r="AO141" s="641">
        <v>706.0</v>
      </c>
      <c r="AP141" s="625">
        <v>379.0</v>
      </c>
      <c r="AQ141" s="625">
        <v>0.0</v>
      </c>
      <c r="AR141" s="625">
        <v>0.0</v>
      </c>
      <c r="AS141" s="625">
        <v>0.0</v>
      </c>
      <c r="AT141" s="625">
        <v>0.0</v>
      </c>
      <c r="AU141" s="684">
        <f t="shared" si="367"/>
        <v>3957</v>
      </c>
      <c r="AV141" s="641">
        <v>1142.0</v>
      </c>
      <c r="AW141" s="625">
        <v>1080.0</v>
      </c>
      <c r="AX141" s="625">
        <v>955.0</v>
      </c>
      <c r="AY141" s="625">
        <v>846.0</v>
      </c>
      <c r="AZ141" s="625">
        <v>844.0</v>
      </c>
      <c r="BA141" s="693">
        <v>232.0</v>
      </c>
      <c r="BB141" s="631"/>
      <c r="BC141" s="189" t="s">
        <v>695</v>
      </c>
      <c r="BD141" s="186" t="s">
        <v>3303</v>
      </c>
      <c r="BE141" s="179" t="s">
        <v>3304</v>
      </c>
      <c r="BF141" s="179" t="s">
        <v>3305</v>
      </c>
      <c r="BG141" s="179" t="s">
        <v>3306</v>
      </c>
      <c r="BH141" s="179" t="s">
        <v>3307</v>
      </c>
      <c r="BI141" s="179" t="s">
        <v>3308</v>
      </c>
      <c r="BJ141" s="179"/>
      <c r="BK141" s="631"/>
      <c r="BL141" s="179" t="b">
        <f t="shared" si="26"/>
        <v>1</v>
      </c>
      <c r="BM141" s="179" t="b">
        <f t="shared" si="27"/>
        <v>0</v>
      </c>
      <c r="BN141" s="688" t="b">
        <f t="shared" si="28"/>
        <v>1</v>
      </c>
    </row>
    <row r="142">
      <c r="A142" s="689"/>
      <c r="B142" s="186" t="s">
        <v>3524</v>
      </c>
      <c r="C142" s="697" t="s">
        <v>2113</v>
      </c>
      <c r="D142" s="677">
        <v>459.0</v>
      </c>
      <c r="E142" s="632" t="s">
        <v>3525</v>
      </c>
      <c r="F142" s="678">
        <f t="shared" ref="F142:G142" si="376">H142+J142+L142+N142+P142</f>
        <v>11050</v>
      </c>
      <c r="G142" s="679">
        <f t="shared" si="376"/>
        <v>1552</v>
      </c>
      <c r="H142" s="641">
        <v>2253.0</v>
      </c>
      <c r="I142" s="680">
        <v>368.0</v>
      </c>
      <c r="J142" s="641">
        <v>3181.0</v>
      </c>
      <c r="K142" s="680">
        <v>423.0</v>
      </c>
      <c r="L142" s="641">
        <v>1473.0</v>
      </c>
      <c r="M142" s="680">
        <v>336.0</v>
      </c>
      <c r="N142" s="641">
        <v>2002.0</v>
      </c>
      <c r="O142" s="680">
        <v>241.0</v>
      </c>
      <c r="P142" s="641">
        <v>2141.0</v>
      </c>
      <c r="Q142" s="680">
        <v>184.0</v>
      </c>
      <c r="R142" s="681" t="s">
        <v>707</v>
      </c>
      <c r="S142" s="682">
        <f t="shared" si="10"/>
        <v>11050</v>
      </c>
      <c r="T142" s="683"/>
      <c r="U142" s="625">
        <f t="shared" si="350"/>
        <v>2253</v>
      </c>
      <c r="V142" s="625">
        <f t="shared" si="351"/>
        <v>3181</v>
      </c>
      <c r="W142" s="625">
        <f t="shared" si="352"/>
        <v>1473</v>
      </c>
      <c r="X142" s="625">
        <f t="shared" si="353"/>
        <v>2002</v>
      </c>
      <c r="Y142" s="625">
        <f t="shared" si="354"/>
        <v>2141</v>
      </c>
      <c r="Z142" s="656">
        <f t="shared" si="16"/>
        <v>1552</v>
      </c>
      <c r="AA142" s="683"/>
      <c r="AB142" s="625">
        <f t="shared" si="355"/>
        <v>368</v>
      </c>
      <c r="AC142" s="625">
        <f t="shared" si="356"/>
        <v>423</v>
      </c>
      <c r="AD142" s="625">
        <f t="shared" si="357"/>
        <v>336</v>
      </c>
      <c r="AE142" s="625">
        <f t="shared" si="358"/>
        <v>241</v>
      </c>
      <c r="AF142" s="625">
        <f t="shared" si="359"/>
        <v>184</v>
      </c>
      <c r="AG142" s="657">
        <f t="shared" si="22"/>
        <v>0.1404524887</v>
      </c>
      <c r="AH142" s="165"/>
      <c r="AI142" s="165">
        <f t="shared" ref="AI142:AM142" si="377">AB142/U142</f>
        <v>0.1633377719</v>
      </c>
      <c r="AJ142" s="165">
        <f t="shared" si="377"/>
        <v>0.1329770512</v>
      </c>
      <c r="AK142" s="165">
        <f t="shared" si="377"/>
        <v>0.2281059063</v>
      </c>
      <c r="AL142" s="165">
        <f t="shared" si="377"/>
        <v>0.1203796204</v>
      </c>
      <c r="AM142" s="165">
        <f t="shared" si="377"/>
        <v>0.085941149</v>
      </c>
      <c r="AN142" s="684">
        <f t="shared" si="327"/>
        <v>3403</v>
      </c>
      <c r="AO142" s="641"/>
      <c r="AP142" s="641">
        <v>44.0</v>
      </c>
      <c r="AQ142" s="641">
        <v>1176.0</v>
      </c>
      <c r="AR142" s="641">
        <v>170.0</v>
      </c>
      <c r="AS142" s="641">
        <v>868.0</v>
      </c>
      <c r="AT142" s="641">
        <v>1145.0</v>
      </c>
      <c r="AU142" s="684">
        <f t="shared" si="367"/>
        <v>3966</v>
      </c>
      <c r="AV142" s="625"/>
      <c r="AW142" s="625">
        <v>854.0</v>
      </c>
      <c r="AX142" s="625">
        <v>823.0</v>
      </c>
      <c r="AY142" s="625">
        <v>829.0</v>
      </c>
      <c r="AZ142" s="625">
        <v>804.0</v>
      </c>
      <c r="BA142" s="693">
        <v>656.0</v>
      </c>
      <c r="BB142" s="631"/>
      <c r="BC142" s="189" t="s">
        <v>695</v>
      </c>
      <c r="BD142" s="688" t="s">
        <v>3303</v>
      </c>
      <c r="BE142" s="179" t="s">
        <v>3304</v>
      </c>
      <c r="BF142" s="179" t="s">
        <v>3305</v>
      </c>
      <c r="BG142" s="179" t="s">
        <v>3306</v>
      </c>
      <c r="BH142" s="179" t="s">
        <v>3307</v>
      </c>
      <c r="BI142" s="179" t="s">
        <v>3308</v>
      </c>
      <c r="BJ142" s="179"/>
      <c r="BK142" s="631"/>
      <c r="BL142" s="179" t="b">
        <f t="shared" si="26"/>
        <v>1</v>
      </c>
      <c r="BM142" s="179" t="b">
        <f t="shared" si="27"/>
        <v>1</v>
      </c>
      <c r="BN142" s="688" t="b">
        <f t="shared" si="28"/>
        <v>1</v>
      </c>
    </row>
    <row r="143">
      <c r="A143" s="689"/>
      <c r="B143" s="186" t="s">
        <v>3526</v>
      </c>
      <c r="C143" s="676" t="s">
        <v>2113</v>
      </c>
      <c r="D143" s="677">
        <v>199.0</v>
      </c>
      <c r="E143" s="632" t="s">
        <v>3527</v>
      </c>
      <c r="F143" s="678">
        <f t="shared" ref="F143:G143" si="378">H143+J143+L143+N143+P143</f>
        <v>9287</v>
      </c>
      <c r="G143" s="679">
        <f t="shared" si="378"/>
        <v>1071</v>
      </c>
      <c r="H143" s="641">
        <v>1786.0</v>
      </c>
      <c r="I143" s="680">
        <v>248.0</v>
      </c>
      <c r="J143" s="641">
        <v>1545.0</v>
      </c>
      <c r="K143" s="680">
        <v>179.0</v>
      </c>
      <c r="L143" s="641">
        <v>2255.0</v>
      </c>
      <c r="M143" s="680">
        <v>252.0</v>
      </c>
      <c r="N143" s="641">
        <v>2158.0</v>
      </c>
      <c r="O143" s="680">
        <v>215.0</v>
      </c>
      <c r="P143" s="641">
        <v>1543.0</v>
      </c>
      <c r="Q143" s="680">
        <v>177.0</v>
      </c>
      <c r="R143" s="681" t="s">
        <v>693</v>
      </c>
      <c r="S143" s="682">
        <f t="shared" si="10"/>
        <v>9287</v>
      </c>
      <c r="T143" s="683"/>
      <c r="U143" s="625">
        <f t="shared" si="350"/>
        <v>1786</v>
      </c>
      <c r="V143" s="625">
        <f t="shared" si="351"/>
        <v>1545</v>
      </c>
      <c r="W143" s="625">
        <f t="shared" si="352"/>
        <v>2255</v>
      </c>
      <c r="X143" s="625">
        <f t="shared" si="353"/>
        <v>2158</v>
      </c>
      <c r="Y143" s="625">
        <f t="shared" si="354"/>
        <v>1543</v>
      </c>
      <c r="Z143" s="656">
        <f t="shared" si="16"/>
        <v>1071</v>
      </c>
      <c r="AA143" s="683"/>
      <c r="AB143" s="625">
        <f t="shared" si="355"/>
        <v>248</v>
      </c>
      <c r="AC143" s="625">
        <f t="shared" si="356"/>
        <v>179</v>
      </c>
      <c r="AD143" s="625">
        <f t="shared" si="357"/>
        <v>252</v>
      </c>
      <c r="AE143" s="625">
        <f t="shared" si="358"/>
        <v>215</v>
      </c>
      <c r="AF143" s="625">
        <f t="shared" si="359"/>
        <v>177</v>
      </c>
      <c r="AG143" s="657">
        <f t="shared" si="22"/>
        <v>0.1153224938</v>
      </c>
      <c r="AH143" s="165"/>
      <c r="AI143" s="165">
        <f t="shared" ref="AI143:AM143" si="379">AB143/U143</f>
        <v>0.1388577828</v>
      </c>
      <c r="AJ143" s="165">
        <f t="shared" si="379"/>
        <v>0.1158576052</v>
      </c>
      <c r="AK143" s="165">
        <f t="shared" si="379"/>
        <v>0.111751663</v>
      </c>
      <c r="AL143" s="165">
        <f t="shared" si="379"/>
        <v>0.09962928638</v>
      </c>
      <c r="AM143" s="165">
        <f t="shared" si="379"/>
        <v>0.1147116008</v>
      </c>
      <c r="AN143" s="684">
        <f t="shared" si="327"/>
        <v>2800</v>
      </c>
      <c r="AO143" s="641">
        <v>225.0</v>
      </c>
      <c r="AP143" s="625">
        <v>100.0</v>
      </c>
      <c r="AQ143" s="625">
        <v>400.0</v>
      </c>
      <c r="AR143" s="625">
        <v>700.0</v>
      </c>
      <c r="AS143" s="625">
        <v>800.0</v>
      </c>
      <c r="AT143" s="625">
        <v>800.0</v>
      </c>
      <c r="AU143" s="684">
        <f t="shared" si="367"/>
        <v>7319</v>
      </c>
      <c r="AV143" s="641">
        <v>1588.0</v>
      </c>
      <c r="AW143" s="625">
        <v>1558.0</v>
      </c>
      <c r="AX143" s="625">
        <v>1516.0</v>
      </c>
      <c r="AY143" s="625">
        <v>1451.0</v>
      </c>
      <c r="AZ143" s="625">
        <v>1408.0</v>
      </c>
      <c r="BA143" s="693">
        <v>1386.0</v>
      </c>
      <c r="BB143" s="631"/>
      <c r="BC143" s="189" t="s">
        <v>695</v>
      </c>
      <c r="BD143" s="186" t="s">
        <v>3303</v>
      </c>
      <c r="BE143" s="179" t="s">
        <v>3304</v>
      </c>
      <c r="BF143" s="179" t="s">
        <v>3305</v>
      </c>
      <c r="BG143" s="179" t="s">
        <v>3306</v>
      </c>
      <c r="BH143" s="179" t="s">
        <v>3307</v>
      </c>
      <c r="BI143" s="179" t="s">
        <v>3308</v>
      </c>
      <c r="BJ143" s="179"/>
      <c r="BK143" s="631"/>
      <c r="BL143" s="179" t="b">
        <f t="shared" si="26"/>
        <v>1</v>
      </c>
      <c r="BM143" s="179" t="b">
        <f t="shared" si="27"/>
        <v>1</v>
      </c>
      <c r="BN143" s="688" t="b">
        <f t="shared" si="28"/>
        <v>1</v>
      </c>
    </row>
    <row r="144">
      <c r="A144" s="696" t="s">
        <v>1534</v>
      </c>
      <c r="B144" s="186" t="s">
        <v>3528</v>
      </c>
      <c r="C144" s="676" t="s">
        <v>2113</v>
      </c>
      <c r="D144" s="677">
        <v>214.0</v>
      </c>
      <c r="E144" s="632" t="s">
        <v>21</v>
      </c>
      <c r="F144" s="678">
        <f t="shared" ref="F144:G144" si="380">H144+J144+L144+N144+P144</f>
        <v>12867.48</v>
      </c>
      <c r="G144" s="679">
        <f t="shared" si="380"/>
        <v>-44</v>
      </c>
      <c r="H144" s="641">
        <v>3227.0</v>
      </c>
      <c r="I144" s="680">
        <v>0.0</v>
      </c>
      <c r="J144" s="641">
        <v>2140.0</v>
      </c>
      <c r="K144" s="680">
        <v>0.0</v>
      </c>
      <c r="L144" s="641">
        <v>2193.0</v>
      </c>
      <c r="M144" s="680">
        <v>-20.0</v>
      </c>
      <c r="N144" s="641">
        <v>2937.29</v>
      </c>
      <c r="O144" s="680">
        <v>-2.0</v>
      </c>
      <c r="P144" s="641">
        <v>2370.19</v>
      </c>
      <c r="Q144" s="680">
        <v>-22.0</v>
      </c>
      <c r="R144" s="681" t="s">
        <v>693</v>
      </c>
      <c r="S144" s="682">
        <f t="shared" si="10"/>
        <v>12867.48</v>
      </c>
      <c r="T144" s="683"/>
      <c r="U144" s="625">
        <f t="shared" si="350"/>
        <v>3227</v>
      </c>
      <c r="V144" s="625">
        <f t="shared" si="351"/>
        <v>2140</v>
      </c>
      <c r="W144" s="625">
        <f t="shared" si="352"/>
        <v>2193</v>
      </c>
      <c r="X144" s="625">
        <f t="shared" si="353"/>
        <v>2937.29</v>
      </c>
      <c r="Y144" s="625">
        <f t="shared" si="354"/>
        <v>2370.19</v>
      </c>
      <c r="Z144" s="656">
        <f t="shared" si="16"/>
        <v>-44</v>
      </c>
      <c r="AA144" s="683"/>
      <c r="AB144" s="625">
        <f t="shared" si="355"/>
        <v>0</v>
      </c>
      <c r="AC144" s="625">
        <f t="shared" si="356"/>
        <v>0</v>
      </c>
      <c r="AD144" s="625">
        <f t="shared" si="357"/>
        <v>-20</v>
      </c>
      <c r="AE144" s="625">
        <f t="shared" si="358"/>
        <v>-2</v>
      </c>
      <c r="AF144" s="625">
        <f t="shared" si="359"/>
        <v>-22</v>
      </c>
      <c r="AG144" s="657">
        <f t="shared" si="22"/>
        <v>-0.003419472966</v>
      </c>
      <c r="AH144" s="165"/>
      <c r="AI144" s="165">
        <f t="shared" ref="AI144:AM144" si="381">AB144/U144</f>
        <v>0</v>
      </c>
      <c r="AJ144" s="165">
        <f t="shared" si="381"/>
        <v>0</v>
      </c>
      <c r="AK144" s="165">
        <f t="shared" si="381"/>
        <v>-0.009119927041</v>
      </c>
      <c r="AL144" s="165">
        <f t="shared" si="381"/>
        <v>-0.0006808997409</v>
      </c>
      <c r="AM144" s="165">
        <f t="shared" si="381"/>
        <v>-0.009281956299</v>
      </c>
      <c r="AN144" s="684">
        <f t="shared" si="327"/>
        <v>693</v>
      </c>
      <c r="AO144" s="641"/>
      <c r="AP144" s="641">
        <v>368.0</v>
      </c>
      <c r="AQ144" s="180">
        <v>0.0</v>
      </c>
      <c r="AR144" s="641">
        <v>50.0</v>
      </c>
      <c r="AS144" s="641">
        <v>2.0</v>
      </c>
      <c r="AT144" s="641">
        <v>273.0</v>
      </c>
      <c r="AU144" s="684">
        <f t="shared" si="367"/>
        <v>11246</v>
      </c>
      <c r="AV144" s="625"/>
      <c r="AW144" s="625">
        <v>2504.0</v>
      </c>
      <c r="AX144" s="625">
        <v>2443.0</v>
      </c>
      <c r="AY144" s="625">
        <v>2362.0</v>
      </c>
      <c r="AZ144" s="625">
        <v>2163.0</v>
      </c>
      <c r="BA144" s="693">
        <f>1618+156</f>
        <v>1774</v>
      </c>
      <c r="BB144" s="631"/>
      <c r="BC144" s="189" t="s">
        <v>695</v>
      </c>
      <c r="BD144" s="186" t="s">
        <v>3303</v>
      </c>
      <c r="BE144" s="179" t="s">
        <v>3304</v>
      </c>
      <c r="BF144" s="179" t="s">
        <v>3305</v>
      </c>
      <c r="BG144" s="179" t="s">
        <v>3306</v>
      </c>
      <c r="BH144" s="179" t="s">
        <v>3307</v>
      </c>
      <c r="BI144" s="179" t="s">
        <v>3308</v>
      </c>
      <c r="BJ144" s="179"/>
      <c r="BK144" s="646"/>
      <c r="BL144" s="179" t="b">
        <f t="shared" si="26"/>
        <v>1</v>
      </c>
      <c r="BM144" s="179" t="b">
        <f t="shared" si="27"/>
        <v>1</v>
      </c>
      <c r="BN144" s="688" t="b">
        <f t="shared" si="28"/>
        <v>1</v>
      </c>
    </row>
    <row r="145">
      <c r="A145" s="426"/>
      <c r="B145" s="186" t="s">
        <v>3529</v>
      </c>
      <c r="C145" s="676" t="s">
        <v>1919</v>
      </c>
      <c r="D145" s="677">
        <v>416.0</v>
      </c>
      <c r="E145" s="632" t="s">
        <v>3530</v>
      </c>
      <c r="F145" s="678">
        <f t="shared" ref="F145:G145" si="382">H145+J145+L145+N145+P145</f>
        <v>6464.86</v>
      </c>
      <c r="G145" s="679">
        <f t="shared" si="382"/>
        <v>961.26</v>
      </c>
      <c r="H145" s="641">
        <v>2002.53</v>
      </c>
      <c r="I145" s="680">
        <v>424.36</v>
      </c>
      <c r="J145" s="641">
        <v>1895.55</v>
      </c>
      <c r="K145" s="680">
        <v>271.83</v>
      </c>
      <c r="L145" s="641">
        <v>1245.66</v>
      </c>
      <c r="M145" s="680">
        <v>140.04</v>
      </c>
      <c r="N145" s="641">
        <v>781.38</v>
      </c>
      <c r="O145" s="680">
        <v>68.64</v>
      </c>
      <c r="P145" s="641">
        <v>539.74</v>
      </c>
      <c r="Q145" s="680">
        <v>56.39</v>
      </c>
      <c r="R145" s="681" t="s">
        <v>702</v>
      </c>
      <c r="S145" s="682">
        <f t="shared" si="10"/>
        <v>6464.86</v>
      </c>
      <c r="T145" s="683"/>
      <c r="U145" s="625">
        <f t="shared" si="350"/>
        <v>2002.53</v>
      </c>
      <c r="V145" s="625">
        <f t="shared" si="351"/>
        <v>1895.55</v>
      </c>
      <c r="W145" s="625">
        <f t="shared" si="352"/>
        <v>1245.66</v>
      </c>
      <c r="X145" s="625">
        <f t="shared" si="353"/>
        <v>781.38</v>
      </c>
      <c r="Y145" s="625">
        <f t="shared" si="354"/>
        <v>539.74</v>
      </c>
      <c r="Z145" s="656">
        <f t="shared" si="16"/>
        <v>961.26</v>
      </c>
      <c r="AA145" s="683"/>
      <c r="AB145" s="625">
        <f t="shared" si="355"/>
        <v>424.36</v>
      </c>
      <c r="AC145" s="625">
        <f t="shared" si="356"/>
        <v>271.83</v>
      </c>
      <c r="AD145" s="625">
        <f t="shared" si="357"/>
        <v>140.04</v>
      </c>
      <c r="AE145" s="625">
        <f t="shared" si="358"/>
        <v>68.64</v>
      </c>
      <c r="AF145" s="625">
        <f t="shared" si="359"/>
        <v>56.39</v>
      </c>
      <c r="AG145" s="657">
        <f t="shared" si="22"/>
        <v>0.1486899948</v>
      </c>
      <c r="AH145" s="165"/>
      <c r="AI145" s="165">
        <f t="shared" ref="AI145:AM145" si="383">AB145/U145</f>
        <v>0.2119119314</v>
      </c>
      <c r="AJ145" s="165">
        <f t="shared" si="383"/>
        <v>0.143404289</v>
      </c>
      <c r="AK145" s="165">
        <f t="shared" si="383"/>
        <v>0.1124223303</v>
      </c>
      <c r="AL145" s="165">
        <f t="shared" si="383"/>
        <v>0.08784458266</v>
      </c>
      <c r="AM145" s="165">
        <f t="shared" si="383"/>
        <v>0.1044762293</v>
      </c>
      <c r="AN145" s="684">
        <f t="shared" si="327"/>
        <v>7934.169</v>
      </c>
      <c r="AO145" s="625"/>
      <c r="AP145" s="625">
        <v>4868.0</v>
      </c>
      <c r="AQ145" s="625">
        <v>939.0</v>
      </c>
      <c r="AR145" s="625">
        <v>829.0</v>
      </c>
      <c r="AS145" s="625">
        <v>1095.0</v>
      </c>
      <c r="AT145" s="641">
        <v>203.169</v>
      </c>
      <c r="AU145" s="684">
        <f t="shared" si="367"/>
        <v>2594.63</v>
      </c>
      <c r="AV145" s="625"/>
      <c r="AW145" s="625">
        <v>638.53</v>
      </c>
      <c r="AX145" s="625">
        <v>559.35</v>
      </c>
      <c r="AY145" s="625">
        <v>522.42</v>
      </c>
      <c r="AZ145" s="625">
        <v>472.26</v>
      </c>
      <c r="BA145" s="693">
        <v>402.07</v>
      </c>
      <c r="BB145" s="631"/>
      <c r="BC145" s="189" t="s">
        <v>695</v>
      </c>
      <c r="BD145" s="688" t="s">
        <v>3303</v>
      </c>
      <c r="BE145" s="179" t="s">
        <v>3304</v>
      </c>
      <c r="BF145" s="179" t="s">
        <v>3305</v>
      </c>
      <c r="BG145" s="179" t="s">
        <v>3306</v>
      </c>
      <c r="BH145" s="179" t="s">
        <v>3307</v>
      </c>
      <c r="BI145" s="179" t="s">
        <v>3308</v>
      </c>
      <c r="BJ145" s="179"/>
      <c r="BK145" s="631"/>
      <c r="BL145" s="179" t="b">
        <f t="shared" si="26"/>
        <v>1</v>
      </c>
      <c r="BM145" s="179" t="b">
        <f t="shared" si="27"/>
        <v>1</v>
      </c>
      <c r="BN145" s="688" t="b">
        <f t="shared" si="28"/>
        <v>1</v>
      </c>
    </row>
    <row r="146">
      <c r="A146" s="212"/>
      <c r="B146" s="186" t="s">
        <v>3531</v>
      </c>
      <c r="C146" s="676" t="s">
        <v>2113</v>
      </c>
      <c r="D146" s="677">
        <v>490.0</v>
      </c>
      <c r="E146" s="131" t="s">
        <v>3532</v>
      </c>
      <c r="F146" s="678">
        <f t="shared" ref="F146:G146" si="384">H146+J146+L146+N146+P146</f>
        <v>3279.17</v>
      </c>
      <c r="G146" s="679">
        <f t="shared" si="384"/>
        <v>489.66</v>
      </c>
      <c r="H146" s="641">
        <v>963.71</v>
      </c>
      <c r="I146" s="680">
        <v>174.28</v>
      </c>
      <c r="J146" s="641">
        <v>898.79</v>
      </c>
      <c r="K146" s="680">
        <v>140.26</v>
      </c>
      <c r="L146" s="641">
        <v>524.17</v>
      </c>
      <c r="M146" s="680">
        <v>80.06</v>
      </c>
      <c r="N146" s="641">
        <v>375.26</v>
      </c>
      <c r="O146" s="680">
        <v>50.7</v>
      </c>
      <c r="P146" s="641">
        <v>517.24</v>
      </c>
      <c r="Q146" s="680">
        <v>44.36</v>
      </c>
      <c r="R146" s="681" t="s">
        <v>723</v>
      </c>
      <c r="S146" s="682">
        <f t="shared" si="10"/>
        <v>3279.17</v>
      </c>
      <c r="T146" s="683"/>
      <c r="U146" s="625">
        <f t="shared" si="350"/>
        <v>963.71</v>
      </c>
      <c r="V146" s="625">
        <f t="shared" si="351"/>
        <v>898.79</v>
      </c>
      <c r="W146" s="625">
        <f t="shared" si="352"/>
        <v>524.17</v>
      </c>
      <c r="X146" s="625">
        <f t="shared" si="353"/>
        <v>375.26</v>
      </c>
      <c r="Y146" s="625">
        <f t="shared" si="354"/>
        <v>517.24</v>
      </c>
      <c r="Z146" s="656">
        <f t="shared" si="16"/>
        <v>489.66</v>
      </c>
      <c r="AA146" s="683"/>
      <c r="AB146" s="625">
        <f t="shared" si="355"/>
        <v>174.28</v>
      </c>
      <c r="AC146" s="625">
        <f t="shared" si="356"/>
        <v>140.26</v>
      </c>
      <c r="AD146" s="625">
        <f t="shared" si="357"/>
        <v>80.06</v>
      </c>
      <c r="AE146" s="625">
        <f t="shared" si="358"/>
        <v>50.7</v>
      </c>
      <c r="AF146" s="625">
        <f t="shared" si="359"/>
        <v>44.36</v>
      </c>
      <c r="AG146" s="657">
        <f t="shared" si="22"/>
        <v>0.1493243717</v>
      </c>
      <c r="AH146" s="165"/>
      <c r="AI146" s="165">
        <f t="shared" ref="AI146:AM146" si="385">AB146/U146</f>
        <v>0.1808427847</v>
      </c>
      <c r="AJ146" s="165">
        <f t="shared" si="385"/>
        <v>0.1560542507</v>
      </c>
      <c r="AK146" s="165">
        <f t="shared" si="385"/>
        <v>0.1527367076</v>
      </c>
      <c r="AL146" s="165">
        <f t="shared" si="385"/>
        <v>0.1351063263</v>
      </c>
      <c r="AM146" s="165">
        <f t="shared" si="385"/>
        <v>0.08576289537</v>
      </c>
      <c r="AN146" s="684">
        <f t="shared" si="327"/>
        <v>802.911</v>
      </c>
      <c r="AO146" s="641">
        <v>0.0</v>
      </c>
      <c r="AP146" s="641">
        <v>299.941</v>
      </c>
      <c r="AQ146" s="641">
        <v>57.175</v>
      </c>
      <c r="AR146" s="641">
        <v>179.585</v>
      </c>
      <c r="AS146" s="641">
        <v>86.892</v>
      </c>
      <c r="AT146" s="641">
        <v>179.318</v>
      </c>
      <c r="AU146" s="684">
        <f t="shared" si="367"/>
        <v>280.654</v>
      </c>
      <c r="AV146" s="641">
        <v>91.149</v>
      </c>
      <c r="AW146" s="641">
        <v>78.304</v>
      </c>
      <c r="AX146" s="641">
        <v>63.535</v>
      </c>
      <c r="AY146" s="641">
        <v>54.62</v>
      </c>
      <c r="AZ146" s="641">
        <v>41.425</v>
      </c>
      <c r="BA146" s="691">
        <v>42.77</v>
      </c>
      <c r="BB146" s="631"/>
      <c r="BC146" s="189" t="s">
        <v>695</v>
      </c>
      <c r="BD146" s="186" t="s">
        <v>3303</v>
      </c>
      <c r="BE146" s="179" t="s">
        <v>3304</v>
      </c>
      <c r="BF146" s="179" t="s">
        <v>3305</v>
      </c>
      <c r="BG146" s="179" t="s">
        <v>3306</v>
      </c>
      <c r="BH146" s="179" t="s">
        <v>3307</v>
      </c>
      <c r="BI146" s="179" t="s">
        <v>3308</v>
      </c>
      <c r="BJ146" s="179"/>
      <c r="BK146" s="631"/>
      <c r="BL146" s="179" t="b">
        <f t="shared" si="26"/>
        <v>1</v>
      </c>
      <c r="BM146" s="179" t="b">
        <f t="shared" si="27"/>
        <v>1</v>
      </c>
      <c r="BN146" s="688" t="b">
        <f t="shared" si="28"/>
        <v>0</v>
      </c>
    </row>
    <row r="147">
      <c r="A147" s="148" t="s">
        <v>3384</v>
      </c>
      <c r="B147" s="712" t="s">
        <v>3533</v>
      </c>
      <c r="C147" s="727" t="s">
        <v>1578</v>
      </c>
      <c r="D147" s="713">
        <v>226.0</v>
      </c>
      <c r="E147" s="714" t="s">
        <v>3534</v>
      </c>
      <c r="F147" s="71">
        <f t="shared" ref="F147:G147" si="386">H147+J147+L147+N147+P147</f>
        <v>2377</v>
      </c>
      <c r="G147" s="679">
        <f t="shared" si="386"/>
        <v>268</v>
      </c>
      <c r="H147" s="641">
        <v>-64.0</v>
      </c>
      <c r="I147" s="680">
        <v>39.0</v>
      </c>
      <c r="J147" s="641">
        <v>1156.0</v>
      </c>
      <c r="K147" s="680">
        <v>311.0</v>
      </c>
      <c r="L147" s="641">
        <v>-584.0</v>
      </c>
      <c r="M147" s="680">
        <v>-439.0</v>
      </c>
      <c r="N147" s="641">
        <v>870.0</v>
      </c>
      <c r="O147" s="680">
        <v>128.0</v>
      </c>
      <c r="P147" s="641">
        <v>999.0</v>
      </c>
      <c r="Q147" s="680">
        <v>229.0</v>
      </c>
      <c r="R147" s="714"/>
      <c r="S147" s="682">
        <f t="shared" si="10"/>
        <v>2377</v>
      </c>
      <c r="T147" s="683"/>
      <c r="U147" s="625">
        <f t="shared" si="350"/>
        <v>-64</v>
      </c>
      <c r="V147" s="625">
        <f t="shared" si="351"/>
        <v>1156</v>
      </c>
      <c r="W147" s="625">
        <f t="shared" si="352"/>
        <v>-584</v>
      </c>
      <c r="X147" s="625">
        <f t="shared" si="353"/>
        <v>870</v>
      </c>
      <c r="Y147" s="625">
        <f t="shared" si="354"/>
        <v>999</v>
      </c>
      <c r="Z147" s="656">
        <f t="shared" si="16"/>
        <v>268</v>
      </c>
      <c r="AA147" s="683"/>
      <c r="AB147" s="625">
        <f t="shared" si="355"/>
        <v>39</v>
      </c>
      <c r="AC147" s="625">
        <f t="shared" si="356"/>
        <v>311</v>
      </c>
      <c r="AD147" s="625">
        <f t="shared" si="357"/>
        <v>-439</v>
      </c>
      <c r="AE147" s="625">
        <f t="shared" si="358"/>
        <v>128</v>
      </c>
      <c r="AF147" s="625">
        <f t="shared" si="359"/>
        <v>229</v>
      </c>
      <c r="AG147" s="657">
        <f t="shared" si="22"/>
        <v>0.1127471603</v>
      </c>
      <c r="AH147" s="165"/>
      <c r="AI147" s="165">
        <f t="shared" ref="AI147:AM147" si="387">AB147/U147</f>
        <v>-0.609375</v>
      </c>
      <c r="AJ147" s="165">
        <f t="shared" si="387"/>
        <v>0.2690311419</v>
      </c>
      <c r="AK147" s="165">
        <f t="shared" si="387"/>
        <v>0.7517123288</v>
      </c>
      <c r="AL147" s="165">
        <f t="shared" si="387"/>
        <v>0.1471264368</v>
      </c>
      <c r="AM147" s="165">
        <f t="shared" si="387"/>
        <v>0.2292292292</v>
      </c>
      <c r="AN147" s="684">
        <f t="shared" si="327"/>
        <v>2887</v>
      </c>
      <c r="AO147" s="180"/>
      <c r="AP147" s="685">
        <v>658.0</v>
      </c>
      <c r="AQ147" s="685">
        <v>1355.0</v>
      </c>
      <c r="AR147" s="685">
        <v>8.0</v>
      </c>
      <c r="AS147" s="685">
        <v>470.0</v>
      </c>
      <c r="AT147" s="685">
        <v>396.0</v>
      </c>
      <c r="AU147" s="684">
        <f t="shared" si="367"/>
        <v>1317</v>
      </c>
      <c r="AV147" s="180"/>
      <c r="AW147" s="685">
        <v>239.0</v>
      </c>
      <c r="AX147" s="685">
        <v>147.0</v>
      </c>
      <c r="AY147" s="685">
        <v>108.0</v>
      </c>
      <c r="AZ147" s="685">
        <v>423.0</v>
      </c>
      <c r="BA147" s="710">
        <v>400.0</v>
      </c>
      <c r="BB147" s="685"/>
      <c r="BC147" s="715" t="s">
        <v>695</v>
      </c>
      <c r="BD147" s="688" t="s">
        <v>3303</v>
      </c>
      <c r="BE147" s="688"/>
      <c r="BF147" s="688"/>
      <c r="BG147" s="688"/>
      <c r="BH147" s="179"/>
      <c r="BI147" s="179"/>
      <c r="BJ147" s="179"/>
      <c r="BK147" s="685"/>
      <c r="BL147" s="179" t="b">
        <f t="shared" si="26"/>
        <v>1</v>
      </c>
      <c r="BM147" s="179" t="b">
        <f t="shared" si="27"/>
        <v>1</v>
      </c>
      <c r="BN147" s="688" t="b">
        <f t="shared" si="28"/>
        <v>1</v>
      </c>
    </row>
    <row r="148">
      <c r="A148" s="675" t="s">
        <v>3301</v>
      </c>
      <c r="B148" s="186" t="s">
        <v>3535</v>
      </c>
      <c r="C148" s="676" t="s">
        <v>1578</v>
      </c>
      <c r="D148" s="677">
        <v>24.0</v>
      </c>
      <c r="E148" s="632" t="s">
        <v>1110</v>
      </c>
      <c r="F148" s="678">
        <f t="shared" ref="F148:G148" si="388">H148+J148+L148+N148+P148</f>
        <v>13977</v>
      </c>
      <c r="G148" s="679">
        <f t="shared" si="388"/>
        <v>2556</v>
      </c>
      <c r="H148" s="641">
        <v>2975.0</v>
      </c>
      <c r="I148" s="680">
        <v>401.0</v>
      </c>
      <c r="J148" s="641">
        <v>1984.0</v>
      </c>
      <c r="K148" s="680">
        <v>349.0</v>
      </c>
      <c r="L148" s="641">
        <v>3237.0</v>
      </c>
      <c r="M148" s="680">
        <v>577.0</v>
      </c>
      <c r="N148" s="641">
        <v>1911.0</v>
      </c>
      <c r="O148" s="680">
        <v>454.0</v>
      </c>
      <c r="P148" s="641">
        <v>3870.0</v>
      </c>
      <c r="Q148" s="680">
        <v>775.0</v>
      </c>
      <c r="R148" s="681" t="s">
        <v>707</v>
      </c>
      <c r="S148" s="682">
        <f t="shared" si="10"/>
        <v>13977</v>
      </c>
      <c r="T148" s="683"/>
      <c r="U148" s="625">
        <f t="shared" si="350"/>
        <v>2975</v>
      </c>
      <c r="V148" s="625">
        <f t="shared" si="351"/>
        <v>1984</v>
      </c>
      <c r="W148" s="625">
        <f t="shared" si="352"/>
        <v>3237</v>
      </c>
      <c r="X148" s="625">
        <f t="shared" si="353"/>
        <v>1911</v>
      </c>
      <c r="Y148" s="625">
        <f t="shared" si="354"/>
        <v>3870</v>
      </c>
      <c r="Z148" s="656">
        <f t="shared" si="16"/>
        <v>2556</v>
      </c>
      <c r="AA148" s="683"/>
      <c r="AB148" s="625">
        <f t="shared" si="355"/>
        <v>401</v>
      </c>
      <c r="AC148" s="625">
        <f t="shared" si="356"/>
        <v>349</v>
      </c>
      <c r="AD148" s="625">
        <f t="shared" si="357"/>
        <v>577</v>
      </c>
      <c r="AE148" s="625">
        <f t="shared" si="358"/>
        <v>454</v>
      </c>
      <c r="AF148" s="625">
        <f t="shared" si="359"/>
        <v>775</v>
      </c>
      <c r="AG148" s="657">
        <f t="shared" si="22"/>
        <v>0.1828718609</v>
      </c>
      <c r="AH148" s="165"/>
      <c r="AI148" s="165">
        <f t="shared" ref="AI148:AM148" si="389">AB148/U148</f>
        <v>0.134789916</v>
      </c>
      <c r="AJ148" s="165">
        <f t="shared" si="389"/>
        <v>0.1759072581</v>
      </c>
      <c r="AK148" s="165">
        <f t="shared" si="389"/>
        <v>0.1782514674</v>
      </c>
      <c r="AL148" s="165">
        <f t="shared" si="389"/>
        <v>0.2375719519</v>
      </c>
      <c r="AM148" s="165">
        <f t="shared" si="389"/>
        <v>0.2002583979</v>
      </c>
      <c r="AN148" s="684">
        <f t="shared" si="327"/>
        <v>6439</v>
      </c>
      <c r="AO148" s="180"/>
      <c r="AP148" s="180">
        <v>993.0</v>
      </c>
      <c r="AQ148" s="180">
        <v>1647.0</v>
      </c>
      <c r="AR148" s="180">
        <v>1324.0</v>
      </c>
      <c r="AS148" s="180">
        <v>465.0</v>
      </c>
      <c r="AT148" s="180">
        <v>2010.0</v>
      </c>
      <c r="AU148" s="684">
        <f t="shared" si="367"/>
        <v>2728</v>
      </c>
      <c r="AV148" s="180"/>
      <c r="AW148" s="180">
        <v>682.0</v>
      </c>
      <c r="AX148" s="180">
        <v>589.0</v>
      </c>
      <c r="AY148" s="180">
        <v>534.0</v>
      </c>
      <c r="AZ148" s="180">
        <v>486.0</v>
      </c>
      <c r="BA148" s="686">
        <v>437.0</v>
      </c>
      <c r="BB148" s="631"/>
      <c r="BC148" s="202" t="s">
        <v>695</v>
      </c>
      <c r="BD148" s="688" t="s">
        <v>3303</v>
      </c>
      <c r="BE148" s="186" t="s">
        <v>3304</v>
      </c>
      <c r="BF148" s="186" t="s">
        <v>3305</v>
      </c>
      <c r="BG148" s="186" t="s">
        <v>3306</v>
      </c>
      <c r="BH148" s="186" t="s">
        <v>3307</v>
      </c>
      <c r="BI148" s="186" t="s">
        <v>3308</v>
      </c>
      <c r="BJ148" s="179"/>
      <c r="BK148" s="631"/>
      <c r="BL148" s="179" t="b">
        <f t="shared" si="26"/>
        <v>1</v>
      </c>
      <c r="BM148" s="179" t="b">
        <f t="shared" si="27"/>
        <v>1</v>
      </c>
      <c r="BN148" s="688" t="b">
        <f t="shared" si="28"/>
        <v>1</v>
      </c>
    </row>
    <row r="149">
      <c r="A149" s="675" t="s">
        <v>3301</v>
      </c>
      <c r="B149" s="186" t="s">
        <v>3536</v>
      </c>
      <c r="C149" s="676" t="s">
        <v>2113</v>
      </c>
      <c r="D149" s="677">
        <v>246.0</v>
      </c>
      <c r="E149" s="131" t="s">
        <v>3191</v>
      </c>
      <c r="F149" s="678">
        <f t="shared" ref="F149:G149" si="390">H149+J149+L149+N149+P149</f>
        <v>6992.89</v>
      </c>
      <c r="G149" s="679">
        <f t="shared" si="390"/>
        <v>1426</v>
      </c>
      <c r="H149" s="641">
        <v>1698.3</v>
      </c>
      <c r="I149" s="680">
        <v>633.0</v>
      </c>
      <c r="J149" s="641">
        <v>2237.53</v>
      </c>
      <c r="K149" s="680">
        <v>415.0</v>
      </c>
      <c r="L149" s="641">
        <v>1649.06</v>
      </c>
      <c r="M149" s="680">
        <v>337.0</v>
      </c>
      <c r="N149" s="641">
        <v>796.0</v>
      </c>
      <c r="O149" s="680">
        <v>11.0</v>
      </c>
      <c r="P149" s="641">
        <v>612.0</v>
      </c>
      <c r="Q149" s="680">
        <v>30.0</v>
      </c>
      <c r="R149" s="681" t="s">
        <v>696</v>
      </c>
      <c r="S149" s="682">
        <f t="shared" si="10"/>
        <v>6992.89</v>
      </c>
      <c r="T149" s="683"/>
      <c r="U149" s="625">
        <f t="shared" si="350"/>
        <v>1698.3</v>
      </c>
      <c r="V149" s="625">
        <f t="shared" si="351"/>
        <v>2237.53</v>
      </c>
      <c r="W149" s="625">
        <f t="shared" si="352"/>
        <v>1649.06</v>
      </c>
      <c r="X149" s="625">
        <f t="shared" si="353"/>
        <v>796</v>
      </c>
      <c r="Y149" s="625">
        <f t="shared" si="354"/>
        <v>612</v>
      </c>
      <c r="Z149" s="656">
        <f t="shared" si="16"/>
        <v>1426</v>
      </c>
      <c r="AA149" s="683"/>
      <c r="AB149" s="625">
        <f t="shared" si="355"/>
        <v>633</v>
      </c>
      <c r="AC149" s="625">
        <f t="shared" si="356"/>
        <v>415</v>
      </c>
      <c r="AD149" s="625">
        <f t="shared" si="357"/>
        <v>337</v>
      </c>
      <c r="AE149" s="625">
        <f t="shared" si="358"/>
        <v>11</v>
      </c>
      <c r="AF149" s="625">
        <f t="shared" si="359"/>
        <v>30</v>
      </c>
      <c r="AG149" s="657">
        <f t="shared" si="22"/>
        <v>0.2039214116</v>
      </c>
      <c r="AH149" s="165"/>
      <c r="AI149" s="165">
        <f t="shared" ref="AI149:AM149" si="391">AB149/U149</f>
        <v>0.3727256668</v>
      </c>
      <c r="AJ149" s="165">
        <f t="shared" si="391"/>
        <v>0.1854723736</v>
      </c>
      <c r="AK149" s="165">
        <f t="shared" si="391"/>
        <v>0.2043588469</v>
      </c>
      <c r="AL149" s="165">
        <f t="shared" si="391"/>
        <v>0.01381909548</v>
      </c>
      <c r="AM149" s="165">
        <f t="shared" si="391"/>
        <v>0.04901960784</v>
      </c>
      <c r="AN149" s="684">
        <f t="shared" si="327"/>
        <v>8912</v>
      </c>
      <c r="AO149" s="641">
        <v>518.0</v>
      </c>
      <c r="AP149" s="641">
        <v>1083.0</v>
      </c>
      <c r="AQ149" s="641">
        <v>3675.0</v>
      </c>
      <c r="AR149" s="641">
        <v>2290.0</v>
      </c>
      <c r="AS149" s="641">
        <v>1500.0</v>
      </c>
      <c r="AT149" s="641">
        <v>364.0</v>
      </c>
      <c r="AU149" s="684">
        <f t="shared" si="367"/>
        <v>3069</v>
      </c>
      <c r="AV149" s="641">
        <v>868.0</v>
      </c>
      <c r="AW149" s="641">
        <v>864.0</v>
      </c>
      <c r="AX149" s="641">
        <v>817.0</v>
      </c>
      <c r="AY149" s="641">
        <v>725.0</v>
      </c>
      <c r="AZ149" s="641">
        <v>499.0</v>
      </c>
      <c r="BA149" s="691">
        <v>164.0</v>
      </c>
      <c r="BB149" s="646"/>
      <c r="BC149" s="189" t="s">
        <v>695</v>
      </c>
      <c r="BD149" s="186" t="s">
        <v>3303</v>
      </c>
      <c r="BE149" s="179" t="s">
        <v>3304</v>
      </c>
      <c r="BF149" s="179" t="s">
        <v>3305</v>
      </c>
      <c r="BG149" s="179" t="s">
        <v>3306</v>
      </c>
      <c r="BH149" s="179" t="s">
        <v>3307</v>
      </c>
      <c r="BI149" s="179" t="s">
        <v>3308</v>
      </c>
      <c r="BJ149" s="179"/>
      <c r="BK149" s="631"/>
      <c r="BL149" s="179" t="b">
        <f t="shared" si="26"/>
        <v>1</v>
      </c>
      <c r="BM149" s="179" t="b">
        <f t="shared" si="27"/>
        <v>1</v>
      </c>
      <c r="BN149" s="688" t="b">
        <f t="shared" si="28"/>
        <v>1</v>
      </c>
    </row>
    <row r="150">
      <c r="A150" s="689"/>
      <c r="B150" s="186" t="s">
        <v>3537</v>
      </c>
      <c r="C150" s="676" t="s">
        <v>2113</v>
      </c>
      <c r="D150" s="677">
        <v>278.0</v>
      </c>
      <c r="E150" s="714" t="s">
        <v>3538</v>
      </c>
      <c r="F150" s="678">
        <f t="shared" ref="F150:G150" si="392">H150+J150+L150+N150+P150</f>
        <v>6984.1</v>
      </c>
      <c r="G150" s="679">
        <f t="shared" si="392"/>
        <v>1504.89</v>
      </c>
      <c r="H150" s="641">
        <v>1281.0</v>
      </c>
      <c r="I150" s="680">
        <v>189.0</v>
      </c>
      <c r="J150" s="641">
        <v>2408.7</v>
      </c>
      <c r="K150" s="680">
        <v>545.5</v>
      </c>
      <c r="L150" s="641">
        <v>1673.7</v>
      </c>
      <c r="M150" s="680">
        <v>457.52</v>
      </c>
      <c r="N150" s="641">
        <v>744.2</v>
      </c>
      <c r="O150" s="680">
        <v>114.55</v>
      </c>
      <c r="P150" s="641">
        <v>876.5</v>
      </c>
      <c r="Q150" s="680">
        <v>198.32</v>
      </c>
      <c r="R150" s="681" t="s">
        <v>715</v>
      </c>
      <c r="S150" s="682">
        <f t="shared" si="10"/>
        <v>6984.1</v>
      </c>
      <c r="T150" s="683"/>
      <c r="U150" s="625">
        <f t="shared" si="350"/>
        <v>1281</v>
      </c>
      <c r="V150" s="625">
        <f t="shared" si="351"/>
        <v>2408.7</v>
      </c>
      <c r="W150" s="625">
        <f t="shared" si="352"/>
        <v>1673.7</v>
      </c>
      <c r="X150" s="625">
        <f t="shared" si="353"/>
        <v>744.2</v>
      </c>
      <c r="Y150" s="625">
        <f t="shared" si="354"/>
        <v>876.5</v>
      </c>
      <c r="Z150" s="656">
        <f t="shared" si="16"/>
        <v>1504.89</v>
      </c>
      <c r="AA150" s="683"/>
      <c r="AB150" s="625">
        <f t="shared" si="355"/>
        <v>189</v>
      </c>
      <c r="AC150" s="625">
        <f t="shared" si="356"/>
        <v>545.5</v>
      </c>
      <c r="AD150" s="625">
        <f t="shared" si="357"/>
        <v>457.52</v>
      </c>
      <c r="AE150" s="625">
        <f t="shared" si="358"/>
        <v>114.55</v>
      </c>
      <c r="AF150" s="625">
        <f t="shared" si="359"/>
        <v>198.32</v>
      </c>
      <c r="AG150" s="657">
        <f t="shared" si="22"/>
        <v>0.2154737189</v>
      </c>
      <c r="AH150" s="165"/>
      <c r="AI150" s="165">
        <f t="shared" ref="AI150:AM150" si="393">AB150/U150</f>
        <v>0.1475409836</v>
      </c>
      <c r="AJ150" s="165">
        <f t="shared" si="393"/>
        <v>0.2264707103</v>
      </c>
      <c r="AK150" s="165">
        <f t="shared" si="393"/>
        <v>0.2733584274</v>
      </c>
      <c r="AL150" s="165">
        <f t="shared" si="393"/>
        <v>0.1539236764</v>
      </c>
      <c r="AM150" s="165">
        <f t="shared" si="393"/>
        <v>0.2262635482</v>
      </c>
      <c r="AN150" s="684">
        <f t="shared" si="327"/>
        <v>0</v>
      </c>
      <c r="AO150" s="625"/>
      <c r="AP150" s="625">
        <v>0.0</v>
      </c>
      <c r="AQ150" s="625">
        <v>0.0</v>
      </c>
      <c r="AR150" s="625">
        <v>0.0</v>
      </c>
      <c r="AS150" s="625">
        <v>0.0</v>
      </c>
      <c r="AT150" s="625">
        <v>0.0</v>
      </c>
      <c r="AU150" s="684">
        <f t="shared" si="367"/>
        <v>195.2</v>
      </c>
      <c r="AV150" s="625"/>
      <c r="AW150" s="625">
        <v>195.2</v>
      </c>
      <c r="AX150" s="625">
        <v>0.0</v>
      </c>
      <c r="AY150" s="625">
        <v>0.0</v>
      </c>
      <c r="AZ150" s="625">
        <v>0.0</v>
      </c>
      <c r="BA150" s="693">
        <v>0.0</v>
      </c>
      <c r="BB150" s="631"/>
      <c r="BC150" s="189" t="s">
        <v>695</v>
      </c>
      <c r="BD150" s="688" t="s">
        <v>3303</v>
      </c>
      <c r="BE150" s="179" t="s">
        <v>3304</v>
      </c>
      <c r="BF150" s="179" t="s">
        <v>3305</v>
      </c>
      <c r="BG150" s="179" t="s">
        <v>3306</v>
      </c>
      <c r="BH150" s="179" t="s">
        <v>3307</v>
      </c>
      <c r="BI150" s="179" t="s">
        <v>3308</v>
      </c>
      <c r="BJ150" s="179"/>
      <c r="BK150" s="631"/>
      <c r="BL150" s="179" t="b">
        <f t="shared" si="26"/>
        <v>0</v>
      </c>
      <c r="BM150" s="179" t="b">
        <f t="shared" si="27"/>
        <v>0</v>
      </c>
      <c r="BN150" s="688" t="b">
        <f t="shared" si="28"/>
        <v>0</v>
      </c>
    </row>
    <row r="151">
      <c r="A151" s="212"/>
      <c r="B151" s="186" t="s">
        <v>3539</v>
      </c>
      <c r="C151" s="676" t="s">
        <v>2113</v>
      </c>
      <c r="D151" s="677">
        <v>489.0</v>
      </c>
      <c r="E151" s="131" t="s">
        <v>3540</v>
      </c>
      <c r="F151" s="678">
        <f t="shared" ref="F151:G151" si="394">H151+J151+L151+N151+P151</f>
        <v>1873.5</v>
      </c>
      <c r="G151" s="679">
        <f t="shared" si="394"/>
        <v>382.31</v>
      </c>
      <c r="H151" s="641">
        <v>544.15</v>
      </c>
      <c r="I151" s="680">
        <v>116.64</v>
      </c>
      <c r="J151" s="641">
        <v>483.23</v>
      </c>
      <c r="K151" s="680">
        <v>104.64</v>
      </c>
      <c r="L151" s="641">
        <v>241.75</v>
      </c>
      <c r="M151" s="680">
        <v>47.96</v>
      </c>
      <c r="N151" s="641">
        <v>285.4</v>
      </c>
      <c r="O151" s="680">
        <v>52.42</v>
      </c>
      <c r="P151" s="641">
        <v>318.97</v>
      </c>
      <c r="Q151" s="680">
        <v>60.65</v>
      </c>
      <c r="R151" s="681" t="s">
        <v>705</v>
      </c>
      <c r="S151" s="682">
        <f t="shared" si="10"/>
        <v>1873.5</v>
      </c>
      <c r="T151" s="683"/>
      <c r="U151" s="625">
        <f t="shared" si="350"/>
        <v>544.15</v>
      </c>
      <c r="V151" s="625">
        <f t="shared" si="351"/>
        <v>483.23</v>
      </c>
      <c r="W151" s="625">
        <f t="shared" si="352"/>
        <v>241.75</v>
      </c>
      <c r="X151" s="625">
        <f t="shared" si="353"/>
        <v>285.4</v>
      </c>
      <c r="Y151" s="625">
        <f t="shared" si="354"/>
        <v>318.97</v>
      </c>
      <c r="Z151" s="656">
        <f t="shared" si="16"/>
        <v>382.31</v>
      </c>
      <c r="AA151" s="683"/>
      <c r="AB151" s="625">
        <f t="shared" si="355"/>
        <v>116.64</v>
      </c>
      <c r="AC151" s="625">
        <f t="shared" si="356"/>
        <v>104.64</v>
      </c>
      <c r="AD151" s="625">
        <f t="shared" si="357"/>
        <v>47.96</v>
      </c>
      <c r="AE151" s="625">
        <f t="shared" si="358"/>
        <v>52.42</v>
      </c>
      <c r="AF151" s="625">
        <f t="shared" si="359"/>
        <v>60.65</v>
      </c>
      <c r="AG151" s="657">
        <f t="shared" si="22"/>
        <v>0.2040619162</v>
      </c>
      <c r="AH151" s="165"/>
      <c r="AI151" s="165">
        <f t="shared" ref="AI151:AM151" si="395">AB151/U151</f>
        <v>0.2143526601</v>
      </c>
      <c r="AJ151" s="165">
        <f t="shared" si="395"/>
        <v>0.2165428471</v>
      </c>
      <c r="AK151" s="165">
        <f t="shared" si="395"/>
        <v>0.1983867632</v>
      </c>
      <c r="AL151" s="165">
        <f t="shared" si="395"/>
        <v>0.1836720392</v>
      </c>
      <c r="AM151" s="165">
        <f t="shared" si="395"/>
        <v>0.1901432737</v>
      </c>
      <c r="AN151" s="684">
        <f t="shared" si="327"/>
        <v>821.332</v>
      </c>
      <c r="AO151" s="641">
        <v>53.919</v>
      </c>
      <c r="AP151" s="641">
        <v>285.983</v>
      </c>
      <c r="AQ151" s="641">
        <v>122.722</v>
      </c>
      <c r="AR151" s="641">
        <v>115.962</v>
      </c>
      <c r="AS151" s="641">
        <v>88.578</v>
      </c>
      <c r="AT151" s="641">
        <v>208.087</v>
      </c>
      <c r="AU151" s="684">
        <f t="shared" si="367"/>
        <v>453.945</v>
      </c>
      <c r="AV151" s="641">
        <v>117.13</v>
      </c>
      <c r="AW151" s="641">
        <v>115.671</v>
      </c>
      <c r="AX151" s="641">
        <v>111.961</v>
      </c>
      <c r="AY151" s="641">
        <v>109.504</v>
      </c>
      <c r="AZ151" s="641">
        <v>27.891</v>
      </c>
      <c r="BA151" s="691">
        <v>88.918</v>
      </c>
      <c r="BB151" s="631"/>
      <c r="BC151" s="189" t="s">
        <v>695</v>
      </c>
      <c r="BD151" s="186" t="s">
        <v>3303</v>
      </c>
      <c r="BE151" s="688" t="s">
        <v>3303</v>
      </c>
      <c r="BF151" s="688" t="s">
        <v>3303</v>
      </c>
      <c r="BG151" s="688" t="s">
        <v>3303</v>
      </c>
      <c r="BH151" s="688" t="s">
        <v>3303</v>
      </c>
      <c r="BI151" s="688" t="s">
        <v>3303</v>
      </c>
      <c r="BJ151" s="179"/>
      <c r="BK151" s="631"/>
      <c r="BL151" s="179" t="b">
        <f t="shared" si="26"/>
        <v>1</v>
      </c>
      <c r="BM151" s="179" t="b">
        <f t="shared" si="27"/>
        <v>1</v>
      </c>
      <c r="BN151" s="688" t="b">
        <f t="shared" si="28"/>
        <v>1</v>
      </c>
    </row>
    <row r="152">
      <c r="A152" s="675" t="s">
        <v>3301</v>
      </c>
      <c r="B152" s="186" t="s">
        <v>3541</v>
      </c>
      <c r="C152" s="711" t="s">
        <v>1854</v>
      </c>
      <c r="D152" s="677">
        <v>119.0</v>
      </c>
      <c r="E152" s="632" t="s">
        <v>1102</v>
      </c>
      <c r="F152" s="678">
        <f t="shared" ref="F152:G152" si="396">H152+J152+L152+N152+P152</f>
        <v>18858.59</v>
      </c>
      <c r="G152" s="679">
        <f t="shared" si="396"/>
        <v>3180.72</v>
      </c>
      <c r="H152" s="641">
        <v>5683.89</v>
      </c>
      <c r="I152" s="680">
        <v>1282.04</v>
      </c>
      <c r="J152" s="641">
        <v>5573.12</v>
      </c>
      <c r="K152" s="680">
        <v>924.47</v>
      </c>
      <c r="L152" s="641">
        <v>2988.54</v>
      </c>
      <c r="M152" s="680">
        <v>428.91</v>
      </c>
      <c r="N152" s="641">
        <v>2380.89</v>
      </c>
      <c r="O152" s="680">
        <v>298.7</v>
      </c>
      <c r="P152" s="641">
        <v>2232.15</v>
      </c>
      <c r="Q152" s="680">
        <v>246.6</v>
      </c>
      <c r="R152" s="681" t="s">
        <v>705</v>
      </c>
      <c r="S152" s="682">
        <f t="shared" si="10"/>
        <v>18858.59</v>
      </c>
      <c r="T152" s="683"/>
      <c r="U152" s="625">
        <f t="shared" si="350"/>
        <v>5683.89</v>
      </c>
      <c r="V152" s="625">
        <f t="shared" si="351"/>
        <v>5573.12</v>
      </c>
      <c r="W152" s="625">
        <f t="shared" si="352"/>
        <v>2988.54</v>
      </c>
      <c r="X152" s="625">
        <f t="shared" si="353"/>
        <v>2380.89</v>
      </c>
      <c r="Y152" s="625">
        <f t="shared" si="354"/>
        <v>2232.15</v>
      </c>
      <c r="Z152" s="656">
        <f t="shared" si="16"/>
        <v>3180.72</v>
      </c>
      <c r="AA152" s="683"/>
      <c r="AB152" s="625">
        <f t="shared" si="355"/>
        <v>1282.04</v>
      </c>
      <c r="AC152" s="625">
        <f t="shared" si="356"/>
        <v>924.47</v>
      </c>
      <c r="AD152" s="625">
        <f t="shared" si="357"/>
        <v>428.91</v>
      </c>
      <c r="AE152" s="625">
        <f t="shared" si="358"/>
        <v>298.7</v>
      </c>
      <c r="AF152" s="625">
        <f t="shared" si="359"/>
        <v>246.6</v>
      </c>
      <c r="AG152" s="657">
        <f t="shared" si="22"/>
        <v>0.168661602</v>
      </c>
      <c r="AH152" s="165"/>
      <c r="AI152" s="165">
        <f t="shared" ref="AI152:AM152" si="397">AB152/U152</f>
        <v>0.225556793</v>
      </c>
      <c r="AJ152" s="165">
        <f t="shared" si="397"/>
        <v>0.1658801533</v>
      </c>
      <c r="AK152" s="165">
        <f t="shared" si="397"/>
        <v>0.1435182397</v>
      </c>
      <c r="AL152" s="165">
        <f t="shared" si="397"/>
        <v>0.125457287</v>
      </c>
      <c r="AM152" s="165">
        <f t="shared" si="397"/>
        <v>0.1104764465</v>
      </c>
      <c r="AN152" s="684">
        <f t="shared" si="327"/>
        <v>3613.952</v>
      </c>
      <c r="AO152" s="641">
        <v>1182.711</v>
      </c>
      <c r="AP152" s="641">
        <v>1039.309</v>
      </c>
      <c r="AQ152" s="641">
        <v>1430.212</v>
      </c>
      <c r="AR152" s="641">
        <v>321.524</v>
      </c>
      <c r="AS152" s="641">
        <v>523.074</v>
      </c>
      <c r="AT152" s="641">
        <v>299.833</v>
      </c>
      <c r="AU152" s="684">
        <f t="shared" si="367"/>
        <v>1043.47</v>
      </c>
      <c r="AV152" s="641">
        <v>430.56</v>
      </c>
      <c r="AW152" s="625">
        <v>438.04</v>
      </c>
      <c r="AX152" s="625">
        <v>309.78</v>
      </c>
      <c r="AY152" s="625">
        <v>195.04</v>
      </c>
      <c r="AZ152" s="625">
        <v>51.45</v>
      </c>
      <c r="BA152" s="693">
        <v>49.16</v>
      </c>
      <c r="BB152" s="631"/>
      <c r="BC152" s="189" t="s">
        <v>695</v>
      </c>
      <c r="BD152" s="186" t="s">
        <v>3303</v>
      </c>
      <c r="BE152" s="179" t="s">
        <v>3304</v>
      </c>
      <c r="BF152" s="179" t="s">
        <v>3305</v>
      </c>
      <c r="BG152" s="179" t="s">
        <v>3306</v>
      </c>
      <c r="BH152" s="179" t="s">
        <v>3307</v>
      </c>
      <c r="BI152" s="179" t="s">
        <v>3308</v>
      </c>
      <c r="BJ152" s="179"/>
      <c r="BK152" s="631"/>
      <c r="BL152" s="179" t="b">
        <f t="shared" si="26"/>
        <v>1</v>
      </c>
      <c r="BM152" s="179" t="b">
        <f t="shared" si="27"/>
        <v>1</v>
      </c>
      <c r="BN152" s="688" t="b">
        <f t="shared" si="28"/>
        <v>0</v>
      </c>
    </row>
    <row r="153">
      <c r="A153" s="689"/>
      <c r="B153" s="186" t="s">
        <v>3542</v>
      </c>
      <c r="C153" s="697" t="s">
        <v>2113</v>
      </c>
      <c r="D153" s="677">
        <v>145.0</v>
      </c>
      <c r="E153" s="632" t="s">
        <v>3543</v>
      </c>
      <c r="F153" s="678">
        <f t="shared" ref="F153:G153" si="398">H153+J153+L153+N153+P153</f>
        <v>4273.3</v>
      </c>
      <c r="G153" s="679">
        <f t="shared" si="398"/>
        <v>714.6</v>
      </c>
      <c r="H153" s="641">
        <v>1624.5</v>
      </c>
      <c r="I153" s="680">
        <v>269.2</v>
      </c>
      <c r="J153" s="641">
        <v>1373.2</v>
      </c>
      <c r="K153" s="680">
        <v>266.2</v>
      </c>
      <c r="L153" s="641">
        <v>598.2</v>
      </c>
      <c r="M153" s="680">
        <v>108.9</v>
      </c>
      <c r="N153" s="641">
        <v>351.4</v>
      </c>
      <c r="O153" s="680">
        <v>40.0</v>
      </c>
      <c r="P153" s="641">
        <v>326.0</v>
      </c>
      <c r="Q153" s="680">
        <v>30.3</v>
      </c>
      <c r="R153" s="681" t="s">
        <v>3544</v>
      </c>
      <c r="S153" s="682">
        <f t="shared" si="10"/>
        <v>4273.3</v>
      </c>
      <c r="T153" s="683"/>
      <c r="U153" s="625">
        <f t="shared" si="350"/>
        <v>1624.5</v>
      </c>
      <c r="V153" s="625">
        <f t="shared" si="351"/>
        <v>1373.2</v>
      </c>
      <c r="W153" s="625">
        <f t="shared" si="352"/>
        <v>598.2</v>
      </c>
      <c r="X153" s="625">
        <f t="shared" si="353"/>
        <v>351.4</v>
      </c>
      <c r="Y153" s="625">
        <f t="shared" si="354"/>
        <v>326</v>
      </c>
      <c r="Z153" s="656">
        <f t="shared" si="16"/>
        <v>714.6</v>
      </c>
      <c r="AA153" s="683"/>
      <c r="AB153" s="625">
        <f t="shared" si="355"/>
        <v>269.2</v>
      </c>
      <c r="AC153" s="625">
        <f t="shared" si="356"/>
        <v>266.2</v>
      </c>
      <c r="AD153" s="625">
        <f t="shared" si="357"/>
        <v>108.9</v>
      </c>
      <c r="AE153" s="625">
        <f t="shared" si="358"/>
        <v>40</v>
      </c>
      <c r="AF153" s="625">
        <f t="shared" si="359"/>
        <v>30.3</v>
      </c>
      <c r="AG153" s="657">
        <f t="shared" si="22"/>
        <v>0.1672243933</v>
      </c>
      <c r="AH153" s="165"/>
      <c r="AI153" s="165">
        <f t="shared" ref="AI153:AM153" si="399">AB153/U153</f>
        <v>0.1657125269</v>
      </c>
      <c r="AJ153" s="165">
        <f t="shared" si="399"/>
        <v>0.1938537722</v>
      </c>
      <c r="AK153" s="165">
        <f t="shared" si="399"/>
        <v>0.1820461384</v>
      </c>
      <c r="AL153" s="165">
        <f t="shared" si="399"/>
        <v>0.1138303927</v>
      </c>
      <c r="AM153" s="165">
        <f t="shared" si="399"/>
        <v>0.09294478528</v>
      </c>
      <c r="AN153" s="684">
        <f t="shared" si="327"/>
        <v>1122</v>
      </c>
      <c r="AO153" s="625"/>
      <c r="AP153" s="625">
        <v>688.0</v>
      </c>
      <c r="AQ153" s="625">
        <v>231.0</v>
      </c>
      <c r="AR153" s="625">
        <v>51.0</v>
      </c>
      <c r="AS153" s="625">
        <v>3.0</v>
      </c>
      <c r="AT153" s="625">
        <v>149.0</v>
      </c>
      <c r="AU153" s="684">
        <f t="shared" si="367"/>
        <v>168.4</v>
      </c>
      <c r="AV153" s="625"/>
      <c r="AW153" s="625">
        <v>45.2</v>
      </c>
      <c r="AX153" s="625">
        <v>38.8</v>
      </c>
      <c r="AY153" s="625">
        <v>29.1</v>
      </c>
      <c r="AZ153" s="625">
        <v>27.6</v>
      </c>
      <c r="BA153" s="693">
        <v>27.7</v>
      </c>
      <c r="BB153" s="631"/>
      <c r="BC153" s="189" t="s">
        <v>695</v>
      </c>
      <c r="BD153" s="688" t="s">
        <v>3303</v>
      </c>
      <c r="BE153" s="179" t="s">
        <v>3304</v>
      </c>
      <c r="BF153" s="179" t="s">
        <v>3305</v>
      </c>
      <c r="BG153" s="179" t="s">
        <v>3306</v>
      </c>
      <c r="BH153" s="179" t="s">
        <v>3307</v>
      </c>
      <c r="BI153" s="179" t="s">
        <v>3308</v>
      </c>
      <c r="BJ153" s="179"/>
      <c r="BK153" s="631"/>
      <c r="BL153" s="179" t="b">
        <f t="shared" si="26"/>
        <v>1</v>
      </c>
      <c r="BM153" s="179" t="b">
        <f t="shared" si="27"/>
        <v>1</v>
      </c>
      <c r="BN153" s="688" t="b">
        <f t="shared" si="28"/>
        <v>0</v>
      </c>
    </row>
    <row r="154">
      <c r="A154" s="689"/>
      <c r="B154" s="186" t="s">
        <v>3545</v>
      </c>
      <c r="C154" s="676" t="s">
        <v>2113</v>
      </c>
      <c r="D154" s="677">
        <v>319.0</v>
      </c>
      <c r="E154" s="632" t="s">
        <v>3545</v>
      </c>
      <c r="F154" s="678">
        <f t="shared" ref="F154:G154" si="400">H154+J154+L154+N154+P154</f>
        <v>3752.94</v>
      </c>
      <c r="G154" s="679">
        <f t="shared" si="400"/>
        <v>754.23</v>
      </c>
      <c r="H154" s="641">
        <v>1018.0</v>
      </c>
      <c r="I154" s="680">
        <v>212.0</v>
      </c>
      <c r="J154" s="641">
        <v>931.0</v>
      </c>
      <c r="K154" s="680">
        <v>194.8</v>
      </c>
      <c r="L154" s="641">
        <v>675.11</v>
      </c>
      <c r="M154" s="680">
        <v>152.35</v>
      </c>
      <c r="N154" s="641">
        <v>591.92</v>
      </c>
      <c r="O154" s="680">
        <v>97.09</v>
      </c>
      <c r="P154" s="641">
        <v>536.91</v>
      </c>
      <c r="Q154" s="680">
        <v>97.99</v>
      </c>
      <c r="R154" s="681" t="s">
        <v>710</v>
      </c>
      <c r="S154" s="682">
        <f t="shared" si="10"/>
        <v>3752.94</v>
      </c>
      <c r="T154" s="683"/>
      <c r="U154" s="625">
        <f t="shared" si="350"/>
        <v>1018</v>
      </c>
      <c r="V154" s="625">
        <f t="shared" si="351"/>
        <v>931</v>
      </c>
      <c r="W154" s="625">
        <f t="shared" si="352"/>
        <v>675.11</v>
      </c>
      <c r="X154" s="625">
        <f t="shared" si="353"/>
        <v>591.92</v>
      </c>
      <c r="Y154" s="625">
        <f t="shared" si="354"/>
        <v>536.91</v>
      </c>
      <c r="Z154" s="656">
        <f t="shared" si="16"/>
        <v>754.23</v>
      </c>
      <c r="AA154" s="683"/>
      <c r="AB154" s="625">
        <f t="shared" si="355"/>
        <v>212</v>
      </c>
      <c r="AC154" s="625">
        <f t="shared" si="356"/>
        <v>194.8</v>
      </c>
      <c r="AD154" s="625">
        <f t="shared" si="357"/>
        <v>152.35</v>
      </c>
      <c r="AE154" s="625">
        <f t="shared" si="358"/>
        <v>97.09</v>
      </c>
      <c r="AF154" s="625">
        <f t="shared" si="359"/>
        <v>97.99</v>
      </c>
      <c r="AG154" s="657">
        <f t="shared" si="22"/>
        <v>0.2009704392</v>
      </c>
      <c r="AH154" s="165"/>
      <c r="AI154" s="165">
        <f t="shared" ref="AI154:AM154" si="401">AB154/U154</f>
        <v>0.2082514735</v>
      </c>
      <c r="AJ154" s="165">
        <f t="shared" si="401"/>
        <v>0.2092373792</v>
      </c>
      <c r="AK154" s="165">
        <f t="shared" si="401"/>
        <v>0.2256669284</v>
      </c>
      <c r="AL154" s="165">
        <f t="shared" si="401"/>
        <v>0.164025544</v>
      </c>
      <c r="AM154" s="165">
        <f t="shared" si="401"/>
        <v>0.1825073103</v>
      </c>
      <c r="AN154" s="684">
        <f t="shared" si="327"/>
        <v>2386</v>
      </c>
      <c r="AO154" s="641">
        <v>38.0</v>
      </c>
      <c r="AP154" s="625">
        <v>1040.0</v>
      </c>
      <c r="AQ154" s="625">
        <v>877.0</v>
      </c>
      <c r="AR154" s="625">
        <v>117.0</v>
      </c>
      <c r="AS154" s="625">
        <v>292.0</v>
      </c>
      <c r="AT154" s="625">
        <v>60.0</v>
      </c>
      <c r="AU154" s="684">
        <f t="shared" si="367"/>
        <v>357</v>
      </c>
      <c r="AV154" s="641">
        <v>302.0</v>
      </c>
      <c r="AW154" s="625">
        <v>284.0</v>
      </c>
      <c r="AX154" s="625">
        <v>73.0</v>
      </c>
      <c r="AY154" s="625">
        <v>0.0</v>
      </c>
      <c r="AZ154" s="625">
        <v>0.0</v>
      </c>
      <c r="BA154" s="693">
        <v>0.0</v>
      </c>
      <c r="BB154" s="631"/>
      <c r="BC154" s="189" t="s">
        <v>695</v>
      </c>
      <c r="BD154" s="186" t="s">
        <v>3303</v>
      </c>
      <c r="BE154" s="179" t="s">
        <v>3304</v>
      </c>
      <c r="BF154" s="179" t="s">
        <v>3305</v>
      </c>
      <c r="BG154" s="179" t="s">
        <v>3306</v>
      </c>
      <c r="BH154" s="179" t="s">
        <v>3307</v>
      </c>
      <c r="BI154" s="179" t="s">
        <v>3308</v>
      </c>
      <c r="BJ154" s="179"/>
      <c r="BK154" s="631"/>
      <c r="BL154" s="179" t="b">
        <f t="shared" si="26"/>
        <v>1</v>
      </c>
      <c r="BM154" s="179" t="b">
        <f t="shared" si="27"/>
        <v>1</v>
      </c>
      <c r="BN154" s="688" t="b">
        <f t="shared" si="28"/>
        <v>0</v>
      </c>
    </row>
    <row r="155">
      <c r="A155" s="675" t="s">
        <v>3301</v>
      </c>
      <c r="B155" s="186" t="s">
        <v>3546</v>
      </c>
      <c r="C155" s="676" t="s">
        <v>2113</v>
      </c>
      <c r="D155" s="677">
        <v>60.0</v>
      </c>
      <c r="E155" s="632" t="s">
        <v>1085</v>
      </c>
      <c r="F155" s="678">
        <f t="shared" ref="F155:G155" si="402">H155+J155+L155+N155+P155</f>
        <v>34591</v>
      </c>
      <c r="G155" s="679">
        <f t="shared" si="402"/>
        <v>5908</v>
      </c>
      <c r="H155" s="641">
        <v>6456.0</v>
      </c>
      <c r="I155" s="680">
        <v>1618.0</v>
      </c>
      <c r="J155" s="641">
        <v>7373.0</v>
      </c>
      <c r="K155" s="680">
        <v>1325.0</v>
      </c>
      <c r="L155" s="641">
        <v>8232.0</v>
      </c>
      <c r="M155" s="680">
        <v>1292.0</v>
      </c>
      <c r="N155" s="641">
        <v>6877.0</v>
      </c>
      <c r="O155" s="680">
        <v>698.0</v>
      </c>
      <c r="P155" s="641">
        <v>5653.0</v>
      </c>
      <c r="Q155" s="680">
        <v>975.0</v>
      </c>
      <c r="R155" s="681" t="s">
        <v>3547</v>
      </c>
      <c r="S155" s="682">
        <f t="shared" si="10"/>
        <v>34591</v>
      </c>
      <c r="T155" s="683"/>
      <c r="U155" s="625">
        <f t="shared" si="350"/>
        <v>6456</v>
      </c>
      <c r="V155" s="625">
        <f t="shared" si="351"/>
        <v>7373</v>
      </c>
      <c r="W155" s="625">
        <f t="shared" si="352"/>
        <v>8232</v>
      </c>
      <c r="X155" s="625">
        <f t="shared" si="353"/>
        <v>6877</v>
      </c>
      <c r="Y155" s="625">
        <f t="shared" si="354"/>
        <v>5653</v>
      </c>
      <c r="Z155" s="656">
        <f t="shared" si="16"/>
        <v>5908</v>
      </c>
      <c r="AA155" s="683"/>
      <c r="AB155" s="625">
        <f t="shared" si="355"/>
        <v>1618</v>
      </c>
      <c r="AC155" s="625">
        <f t="shared" si="356"/>
        <v>1325</v>
      </c>
      <c r="AD155" s="625">
        <f t="shared" si="357"/>
        <v>1292</v>
      </c>
      <c r="AE155" s="625">
        <f t="shared" si="358"/>
        <v>698</v>
      </c>
      <c r="AF155" s="625">
        <f t="shared" si="359"/>
        <v>975</v>
      </c>
      <c r="AG155" s="657">
        <f t="shared" si="22"/>
        <v>0.1707958718</v>
      </c>
      <c r="AH155" s="165"/>
      <c r="AI155" s="165">
        <f t="shared" ref="AI155:AM155" si="403">AB155/U155</f>
        <v>0.2506195787</v>
      </c>
      <c r="AJ155" s="165">
        <f t="shared" si="403"/>
        <v>0.1797097518</v>
      </c>
      <c r="AK155" s="165">
        <f t="shared" si="403"/>
        <v>0.1569484937</v>
      </c>
      <c r="AL155" s="165">
        <f t="shared" si="403"/>
        <v>0.1014977461</v>
      </c>
      <c r="AM155" s="165">
        <f t="shared" si="403"/>
        <v>0.1724747921</v>
      </c>
      <c r="AN155" s="684">
        <f t="shared" si="327"/>
        <v>15779</v>
      </c>
      <c r="AO155" s="685">
        <v>6000.0</v>
      </c>
      <c r="AP155" s="180">
        <v>7900.0</v>
      </c>
      <c r="AQ155" s="180">
        <v>4087.0</v>
      </c>
      <c r="AR155" s="180">
        <v>1100.0</v>
      </c>
      <c r="AS155" s="180">
        <v>1200.0</v>
      </c>
      <c r="AT155" s="180">
        <v>1492.0</v>
      </c>
      <c r="AU155" s="684">
        <f t="shared" si="367"/>
        <v>13623</v>
      </c>
      <c r="AV155" s="685">
        <v>3056.0</v>
      </c>
      <c r="AW155" s="180">
        <v>3016.0</v>
      </c>
      <c r="AX155" s="180">
        <v>2940.0</v>
      </c>
      <c r="AY155" s="180">
        <v>2764.0</v>
      </c>
      <c r="AZ155" s="180">
        <v>2556.0</v>
      </c>
      <c r="BA155" s="686">
        <v>2347.0</v>
      </c>
      <c r="BB155" s="646"/>
      <c r="BC155" s="186" t="s">
        <v>695</v>
      </c>
      <c r="BD155" s="186" t="s">
        <v>3303</v>
      </c>
      <c r="BE155" s="186" t="s">
        <v>3304</v>
      </c>
      <c r="BF155" s="186" t="s">
        <v>3305</v>
      </c>
      <c r="BG155" s="186" t="s">
        <v>3306</v>
      </c>
      <c r="BH155" s="186" t="s">
        <v>3307</v>
      </c>
      <c r="BI155" s="186" t="s">
        <v>3308</v>
      </c>
      <c r="BJ155" s="179"/>
      <c r="BK155" s="631"/>
      <c r="BL155" s="179" t="b">
        <f t="shared" si="26"/>
        <v>1</v>
      </c>
      <c r="BM155" s="179" t="b">
        <f t="shared" si="27"/>
        <v>1</v>
      </c>
      <c r="BN155" s="688" t="b">
        <f t="shared" si="28"/>
        <v>1</v>
      </c>
    </row>
    <row r="156">
      <c r="A156" s="675" t="s">
        <v>3301</v>
      </c>
      <c r="B156" s="186" t="s">
        <v>3548</v>
      </c>
      <c r="C156" s="694" t="s">
        <v>1578</v>
      </c>
      <c r="D156" s="677">
        <v>39.0</v>
      </c>
      <c r="E156" s="632" t="s">
        <v>1071</v>
      </c>
      <c r="F156" s="678">
        <f t="shared" ref="F156:G156" si="404">H156+J156+L156+N156+P156</f>
        <v>35803.9</v>
      </c>
      <c r="G156" s="679">
        <f t="shared" si="404"/>
        <v>7771</v>
      </c>
      <c r="H156" s="641">
        <v>8475.0</v>
      </c>
      <c r="I156" s="680">
        <v>2226.0</v>
      </c>
      <c r="J156" s="641">
        <v>10651.0</v>
      </c>
      <c r="K156" s="680">
        <v>2069.0</v>
      </c>
      <c r="L156" s="641">
        <v>7314.0</v>
      </c>
      <c r="M156" s="680">
        <v>1578.0</v>
      </c>
      <c r="N156" s="641">
        <v>5355.0</v>
      </c>
      <c r="O156" s="680">
        <v>935.0</v>
      </c>
      <c r="P156" s="641">
        <v>4008.9</v>
      </c>
      <c r="Q156" s="680">
        <v>963.0</v>
      </c>
      <c r="R156" s="681" t="s">
        <v>715</v>
      </c>
      <c r="S156" s="682">
        <f t="shared" si="10"/>
        <v>35803.9</v>
      </c>
      <c r="T156" s="683"/>
      <c r="U156" s="625">
        <f t="shared" si="350"/>
        <v>8475</v>
      </c>
      <c r="V156" s="625">
        <f t="shared" si="351"/>
        <v>10651</v>
      </c>
      <c r="W156" s="625">
        <f t="shared" si="352"/>
        <v>7314</v>
      </c>
      <c r="X156" s="625">
        <f t="shared" si="353"/>
        <v>5355</v>
      </c>
      <c r="Y156" s="625">
        <f t="shared" si="354"/>
        <v>4008.9</v>
      </c>
      <c r="Z156" s="656">
        <f t="shared" si="16"/>
        <v>7771</v>
      </c>
      <c r="AA156" s="683"/>
      <c r="AB156" s="625">
        <f t="shared" si="355"/>
        <v>2226</v>
      </c>
      <c r="AC156" s="625">
        <f t="shared" si="356"/>
        <v>2069</v>
      </c>
      <c r="AD156" s="625">
        <f t="shared" si="357"/>
        <v>1578</v>
      </c>
      <c r="AE156" s="625">
        <f t="shared" si="358"/>
        <v>935</v>
      </c>
      <c r="AF156" s="625">
        <f t="shared" si="359"/>
        <v>963</v>
      </c>
      <c r="AG156" s="657">
        <f t="shared" si="22"/>
        <v>0.2170433947</v>
      </c>
      <c r="AH156" s="165"/>
      <c r="AI156" s="165">
        <f t="shared" ref="AI156:AM156" si="405">AB156/U156</f>
        <v>0.2626548673</v>
      </c>
      <c r="AJ156" s="165">
        <f t="shared" si="405"/>
        <v>0.1942540607</v>
      </c>
      <c r="AK156" s="165">
        <f t="shared" si="405"/>
        <v>0.2157506153</v>
      </c>
      <c r="AL156" s="165">
        <f t="shared" si="405"/>
        <v>0.1746031746</v>
      </c>
      <c r="AM156" s="165">
        <f t="shared" si="405"/>
        <v>0.2402155205</v>
      </c>
      <c r="AN156" s="684">
        <f t="shared" si="327"/>
        <v>39457</v>
      </c>
      <c r="AO156" s="180"/>
      <c r="AP156" s="180">
        <v>14124.0</v>
      </c>
      <c r="AQ156" s="180">
        <v>13012.0</v>
      </c>
      <c r="AR156" s="180">
        <v>4971.0</v>
      </c>
      <c r="AS156" s="180">
        <v>4313.0</v>
      </c>
      <c r="AT156" s="180">
        <v>3037.0</v>
      </c>
      <c r="AU156" s="684">
        <f t="shared" si="367"/>
        <v>9131</v>
      </c>
      <c r="AV156" s="180"/>
      <c r="AW156" s="180">
        <v>2370.0</v>
      </c>
      <c r="AX156" s="180">
        <v>1984.0</v>
      </c>
      <c r="AY156" s="180">
        <v>1704.0</v>
      </c>
      <c r="AZ156" s="180">
        <v>1618.0</v>
      </c>
      <c r="BA156" s="686">
        <v>1455.0</v>
      </c>
      <c r="BB156" s="631"/>
      <c r="BC156" s="186" t="s">
        <v>695</v>
      </c>
      <c r="BD156" s="728" t="s">
        <v>3303</v>
      </c>
      <c r="BE156" s="186" t="s">
        <v>3304</v>
      </c>
      <c r="BF156" s="186" t="s">
        <v>3305</v>
      </c>
      <c r="BG156" s="186" t="s">
        <v>3306</v>
      </c>
      <c r="BH156" s="186" t="s">
        <v>3307</v>
      </c>
      <c r="BI156" s="186" t="s">
        <v>3308</v>
      </c>
      <c r="BJ156" s="179"/>
      <c r="BK156" s="631"/>
      <c r="BL156" s="179" t="b">
        <f t="shared" si="26"/>
        <v>1</v>
      </c>
      <c r="BM156" s="179" t="b">
        <f t="shared" si="27"/>
        <v>1</v>
      </c>
      <c r="BN156" s="688" t="b">
        <f t="shared" si="28"/>
        <v>1</v>
      </c>
    </row>
    <row r="157">
      <c r="A157" s="696" t="s">
        <v>1534</v>
      </c>
      <c r="B157" s="186" t="s">
        <v>3549</v>
      </c>
      <c r="C157" s="676" t="s">
        <v>2113</v>
      </c>
      <c r="D157" s="677">
        <v>237.0</v>
      </c>
      <c r="E157" s="632" t="s">
        <v>62</v>
      </c>
      <c r="F157" s="678">
        <f t="shared" ref="F157:G157" si="406">H157+J157+L157+N157+P157</f>
        <v>8756</v>
      </c>
      <c r="G157" s="679">
        <f t="shared" si="406"/>
        <v>279</v>
      </c>
      <c r="H157" s="641">
        <v>1869.0</v>
      </c>
      <c r="I157" s="680">
        <v>838.0</v>
      </c>
      <c r="J157" s="641">
        <v>2567.0</v>
      </c>
      <c r="K157" s="680">
        <v>5.0</v>
      </c>
      <c r="L157" s="641">
        <v>1694.0</v>
      </c>
      <c r="M157" s="680">
        <v>5.0</v>
      </c>
      <c r="N157" s="641">
        <v>1585.0</v>
      </c>
      <c r="O157" s="680">
        <v>7.0</v>
      </c>
      <c r="P157" s="641">
        <v>1041.0</v>
      </c>
      <c r="Q157" s="680">
        <v>-576.0</v>
      </c>
      <c r="R157" s="681" t="s">
        <v>712</v>
      </c>
      <c r="S157" s="682">
        <f t="shared" si="10"/>
        <v>8756</v>
      </c>
      <c r="T157" s="683"/>
      <c r="U157" s="625">
        <f t="shared" si="350"/>
        <v>1869</v>
      </c>
      <c r="V157" s="625">
        <f t="shared" si="351"/>
        <v>2567</v>
      </c>
      <c r="W157" s="625">
        <f t="shared" si="352"/>
        <v>1694</v>
      </c>
      <c r="X157" s="625">
        <f t="shared" si="353"/>
        <v>1585</v>
      </c>
      <c r="Y157" s="625">
        <f t="shared" si="354"/>
        <v>1041</v>
      </c>
      <c r="Z157" s="656">
        <f t="shared" si="16"/>
        <v>279</v>
      </c>
      <c r="AA157" s="683"/>
      <c r="AB157" s="625">
        <f t="shared" si="355"/>
        <v>838</v>
      </c>
      <c r="AC157" s="625">
        <f t="shared" si="356"/>
        <v>5</v>
      </c>
      <c r="AD157" s="625">
        <f t="shared" si="357"/>
        <v>5</v>
      </c>
      <c r="AE157" s="625">
        <f t="shared" si="358"/>
        <v>7</v>
      </c>
      <c r="AF157" s="625">
        <f t="shared" si="359"/>
        <v>-576</v>
      </c>
      <c r="AG157" s="657">
        <f t="shared" si="22"/>
        <v>0.03186386478</v>
      </c>
      <c r="AH157" s="165"/>
      <c r="AI157" s="165">
        <f t="shared" ref="AI157:AM157" si="407">AB157/U157</f>
        <v>0.4483681113</v>
      </c>
      <c r="AJ157" s="165">
        <f t="shared" si="407"/>
        <v>0.001947798987</v>
      </c>
      <c r="AK157" s="165">
        <f t="shared" si="407"/>
        <v>0.002951593861</v>
      </c>
      <c r="AL157" s="165">
        <f t="shared" si="407"/>
        <v>0.004416403785</v>
      </c>
      <c r="AM157" s="165">
        <f t="shared" si="407"/>
        <v>-0.553314121</v>
      </c>
      <c r="AN157" s="684">
        <f t="shared" si="327"/>
        <v>1200</v>
      </c>
      <c r="AO157" s="641"/>
      <c r="AP157" s="641">
        <v>200.0</v>
      </c>
      <c r="AQ157" s="641">
        <v>1000.0</v>
      </c>
      <c r="AR157" s="180">
        <v>0.0</v>
      </c>
      <c r="AS157" s="180">
        <v>0.0</v>
      </c>
      <c r="AT157" s="180">
        <v>0.0</v>
      </c>
      <c r="AU157" s="684">
        <f t="shared" si="367"/>
        <v>6388</v>
      </c>
      <c r="AV157" s="641"/>
      <c r="AW157" s="641">
        <v>780.0</v>
      </c>
      <c r="AX157" s="641">
        <v>1087.0</v>
      </c>
      <c r="AY157" s="641">
        <v>1109.0</v>
      </c>
      <c r="AZ157" s="641">
        <v>1100.0</v>
      </c>
      <c r="BA157" s="691">
        <v>2312.0</v>
      </c>
      <c r="BB157" s="631"/>
      <c r="BC157" s="189" t="s">
        <v>695</v>
      </c>
      <c r="BD157" s="688" t="s">
        <v>3303</v>
      </c>
      <c r="BE157" s="179" t="s">
        <v>3304</v>
      </c>
      <c r="BF157" s="179" t="s">
        <v>3305</v>
      </c>
      <c r="BG157" s="179" t="s">
        <v>3306</v>
      </c>
      <c r="BH157" s="179" t="s">
        <v>3307</v>
      </c>
      <c r="BI157" s="179" t="s">
        <v>3308</v>
      </c>
      <c r="BJ157" s="179"/>
      <c r="BK157" s="631"/>
      <c r="BL157" s="179" t="b">
        <f t="shared" si="26"/>
        <v>1</v>
      </c>
      <c r="BM157" s="179" t="b">
        <f t="shared" si="27"/>
        <v>1</v>
      </c>
      <c r="BN157" s="688" t="b">
        <f t="shared" si="28"/>
        <v>1</v>
      </c>
    </row>
    <row r="158">
      <c r="A158" s="689"/>
      <c r="B158" s="186" t="s">
        <v>3550</v>
      </c>
      <c r="C158" s="676" t="s">
        <v>2113</v>
      </c>
      <c r="D158" s="677">
        <v>439.0</v>
      </c>
      <c r="E158" s="632" t="s">
        <v>3551</v>
      </c>
      <c r="F158" s="678">
        <f t="shared" ref="F158:G158" si="408">H158+J158+L158+N158+P158</f>
        <v>12225.77</v>
      </c>
      <c r="G158" s="679">
        <f t="shared" si="408"/>
        <v>1734.39</v>
      </c>
      <c r="H158" s="641">
        <v>2924.22</v>
      </c>
      <c r="I158" s="680">
        <v>367.03</v>
      </c>
      <c r="J158" s="641">
        <v>2102.63</v>
      </c>
      <c r="K158" s="680">
        <v>331.71</v>
      </c>
      <c r="L158" s="641">
        <v>2355.95</v>
      </c>
      <c r="M158" s="680">
        <v>267.55</v>
      </c>
      <c r="N158" s="641">
        <v>2446.19</v>
      </c>
      <c r="O158" s="680">
        <v>359.67</v>
      </c>
      <c r="P158" s="641">
        <v>2396.78</v>
      </c>
      <c r="Q158" s="680">
        <v>408.43</v>
      </c>
      <c r="R158" s="681" t="s">
        <v>696</v>
      </c>
      <c r="S158" s="682">
        <f t="shared" si="10"/>
        <v>12225.77</v>
      </c>
      <c r="T158" s="683"/>
      <c r="U158" s="625">
        <f t="shared" si="350"/>
        <v>2924.22</v>
      </c>
      <c r="V158" s="625">
        <f t="shared" si="351"/>
        <v>2102.63</v>
      </c>
      <c r="W158" s="625">
        <f t="shared" si="352"/>
        <v>2355.95</v>
      </c>
      <c r="X158" s="625">
        <f t="shared" si="353"/>
        <v>2446.19</v>
      </c>
      <c r="Y158" s="625">
        <f t="shared" si="354"/>
        <v>2396.78</v>
      </c>
      <c r="Z158" s="656">
        <f t="shared" si="16"/>
        <v>1734.39</v>
      </c>
      <c r="AA158" s="683"/>
      <c r="AB158" s="625">
        <f t="shared" si="355"/>
        <v>367.03</v>
      </c>
      <c r="AC158" s="625">
        <f t="shared" si="356"/>
        <v>331.71</v>
      </c>
      <c r="AD158" s="625">
        <f t="shared" si="357"/>
        <v>267.55</v>
      </c>
      <c r="AE158" s="625">
        <f t="shared" si="358"/>
        <v>359.67</v>
      </c>
      <c r="AF158" s="625">
        <f t="shared" si="359"/>
        <v>408.43</v>
      </c>
      <c r="AG158" s="657">
        <f t="shared" si="22"/>
        <v>0.1418634573</v>
      </c>
      <c r="AH158" s="165"/>
      <c r="AI158" s="165">
        <f t="shared" ref="AI158:AM158" si="409">AB158/U158</f>
        <v>0.1255138122</v>
      </c>
      <c r="AJ158" s="165">
        <f t="shared" si="409"/>
        <v>0.1577595678</v>
      </c>
      <c r="AK158" s="165">
        <f t="shared" si="409"/>
        <v>0.1135635306</v>
      </c>
      <c r="AL158" s="165">
        <f t="shared" si="409"/>
        <v>0.1470327325</v>
      </c>
      <c r="AM158" s="165">
        <f t="shared" si="409"/>
        <v>0.1704077971</v>
      </c>
      <c r="AN158" s="684">
        <f t="shared" si="327"/>
        <v>6099</v>
      </c>
      <c r="AO158" s="641"/>
      <c r="AP158" s="641">
        <v>1800.0</v>
      </c>
      <c r="AQ158" s="180">
        <v>0.0</v>
      </c>
      <c r="AR158" s="641">
        <v>374.0</v>
      </c>
      <c r="AS158" s="641">
        <v>1731.0</v>
      </c>
      <c r="AT158" s="641">
        <v>2194.0</v>
      </c>
      <c r="AU158" s="684">
        <f>SUM(AW158:BB158)</f>
        <v>2994.98</v>
      </c>
      <c r="AV158" s="625"/>
      <c r="AW158" s="625">
        <v>784.09</v>
      </c>
      <c r="AX158" s="625">
        <v>580.26</v>
      </c>
      <c r="AY158" s="625">
        <v>568.11</v>
      </c>
      <c r="AZ158" s="625">
        <v>552.14</v>
      </c>
      <c r="BA158" s="693">
        <v>510.38</v>
      </c>
      <c r="BB158" s="631"/>
      <c r="BC158" s="189" t="s">
        <v>695</v>
      </c>
      <c r="BD158" s="688" t="s">
        <v>3303</v>
      </c>
      <c r="BE158" s="179" t="s">
        <v>3304</v>
      </c>
      <c r="BF158" s="179" t="s">
        <v>3305</v>
      </c>
      <c r="BG158" s="179" t="s">
        <v>3306</v>
      </c>
      <c r="BH158" s="179" t="s">
        <v>3307</v>
      </c>
      <c r="BI158" s="179" t="s">
        <v>3308</v>
      </c>
      <c r="BJ158" s="179"/>
      <c r="BK158" s="631"/>
      <c r="BL158" s="179" t="b">
        <f t="shared" si="26"/>
        <v>1</v>
      </c>
      <c r="BM158" s="179" t="b">
        <f t="shared" si="27"/>
        <v>1</v>
      </c>
      <c r="BN158" s="688" t="b">
        <f t="shared" si="28"/>
        <v>1</v>
      </c>
    </row>
    <row r="159">
      <c r="A159" s="689"/>
      <c r="B159" s="186" t="s">
        <v>3552</v>
      </c>
      <c r="C159" s="676" t="s">
        <v>2113</v>
      </c>
      <c r="D159" s="677">
        <v>202.0</v>
      </c>
      <c r="E159" s="632" t="s">
        <v>3553</v>
      </c>
      <c r="F159" s="678">
        <f t="shared" ref="F159:G159" si="410">H159+J159+L159+N159+P159</f>
        <v>816.8</v>
      </c>
      <c r="G159" s="679">
        <f t="shared" si="410"/>
        <v>82.9</v>
      </c>
      <c r="H159" s="641">
        <v>169.4</v>
      </c>
      <c r="I159" s="680">
        <v>17.6</v>
      </c>
      <c r="J159" s="641">
        <v>131.2</v>
      </c>
      <c r="K159" s="680">
        <v>20.2</v>
      </c>
      <c r="L159" s="641">
        <v>56.9</v>
      </c>
      <c r="M159" s="680">
        <v>5.2</v>
      </c>
      <c r="N159" s="641">
        <v>266.4</v>
      </c>
      <c r="O159" s="680">
        <v>16.7</v>
      </c>
      <c r="P159" s="641">
        <v>192.9</v>
      </c>
      <c r="Q159" s="680">
        <v>23.2</v>
      </c>
      <c r="R159" s="681" t="s">
        <v>722</v>
      </c>
      <c r="S159" s="682">
        <f t="shared" si="10"/>
        <v>816.8</v>
      </c>
      <c r="T159" s="683"/>
      <c r="U159" s="625">
        <f t="shared" si="350"/>
        <v>169.4</v>
      </c>
      <c r="V159" s="625">
        <f t="shared" si="351"/>
        <v>131.2</v>
      </c>
      <c r="W159" s="625">
        <f t="shared" si="352"/>
        <v>56.9</v>
      </c>
      <c r="X159" s="625">
        <f t="shared" si="353"/>
        <v>266.4</v>
      </c>
      <c r="Y159" s="625">
        <f t="shared" si="354"/>
        <v>192.9</v>
      </c>
      <c r="Z159" s="656">
        <f t="shared" si="16"/>
        <v>82.9</v>
      </c>
      <c r="AA159" s="683"/>
      <c r="AB159" s="625">
        <f t="shared" si="355"/>
        <v>17.6</v>
      </c>
      <c r="AC159" s="625">
        <f t="shared" si="356"/>
        <v>20.2</v>
      </c>
      <c r="AD159" s="625">
        <f t="shared" si="357"/>
        <v>5.2</v>
      </c>
      <c r="AE159" s="625">
        <f t="shared" si="358"/>
        <v>16.7</v>
      </c>
      <c r="AF159" s="625">
        <f t="shared" si="359"/>
        <v>23.2</v>
      </c>
      <c r="AG159" s="657">
        <f t="shared" si="22"/>
        <v>0.1014936337</v>
      </c>
      <c r="AH159" s="165"/>
      <c r="AI159" s="165">
        <f t="shared" ref="AI159:AM159" si="411">AB159/U159</f>
        <v>0.1038961039</v>
      </c>
      <c r="AJ159" s="165">
        <f t="shared" si="411"/>
        <v>0.1539634146</v>
      </c>
      <c r="AK159" s="165">
        <f t="shared" si="411"/>
        <v>0.0913884007</v>
      </c>
      <c r="AL159" s="165">
        <f t="shared" si="411"/>
        <v>0.06268768769</v>
      </c>
      <c r="AM159" s="165">
        <f t="shared" si="411"/>
        <v>0.1202695697</v>
      </c>
      <c r="AN159" s="684">
        <f t="shared" si="327"/>
        <v>662.2</v>
      </c>
      <c r="AO159" s="641"/>
      <c r="AP159" s="641">
        <v>139.9</v>
      </c>
      <c r="AQ159" s="641">
        <v>136.6</v>
      </c>
      <c r="AR159" s="641">
        <v>129.1</v>
      </c>
      <c r="AS159" s="641">
        <v>129.3</v>
      </c>
      <c r="AT159" s="641">
        <v>127.3</v>
      </c>
      <c r="AU159" s="684">
        <f t="shared" ref="AU159:AU167" si="413">SUM(AW159:BA159)</f>
        <v>662.2</v>
      </c>
      <c r="AV159" s="625"/>
      <c r="AW159" s="625">
        <v>139.9</v>
      </c>
      <c r="AX159" s="625">
        <v>136.6</v>
      </c>
      <c r="AY159" s="625">
        <v>129.1</v>
      </c>
      <c r="AZ159" s="625">
        <v>129.3</v>
      </c>
      <c r="BA159" s="693">
        <v>127.3</v>
      </c>
      <c r="BB159" s="631"/>
      <c r="BC159" s="189" t="s">
        <v>695</v>
      </c>
      <c r="BD159" s="688" t="s">
        <v>3303</v>
      </c>
      <c r="BE159" s="688" t="s">
        <v>3303</v>
      </c>
      <c r="BF159" s="688" t="s">
        <v>3303</v>
      </c>
      <c r="BG159" s="688" t="s">
        <v>3303</v>
      </c>
      <c r="BH159" s="688" t="s">
        <v>3303</v>
      </c>
      <c r="BI159" s="688" t="s">
        <v>3303</v>
      </c>
      <c r="BJ159" s="179"/>
      <c r="BK159" s="631"/>
      <c r="BL159" s="179" t="b">
        <f t="shared" si="26"/>
        <v>1</v>
      </c>
      <c r="BM159" s="179" t="b">
        <f t="shared" si="27"/>
        <v>1</v>
      </c>
      <c r="BN159" s="688" t="b">
        <f t="shared" si="28"/>
        <v>1</v>
      </c>
    </row>
    <row r="160">
      <c r="A160" s="696" t="s">
        <v>3327</v>
      </c>
      <c r="B160" s="186" t="s">
        <v>3554</v>
      </c>
      <c r="C160" s="697" t="s">
        <v>2113</v>
      </c>
      <c r="D160" s="677">
        <v>16.0</v>
      </c>
      <c r="E160" s="698" t="s">
        <v>52</v>
      </c>
      <c r="F160" s="699"/>
      <c r="G160" s="700"/>
      <c r="H160" s="628"/>
      <c r="I160" s="701"/>
      <c r="J160" s="632"/>
      <c r="K160" s="700"/>
      <c r="L160" s="632"/>
      <c r="M160" s="700"/>
      <c r="N160" s="632"/>
      <c r="O160" s="700"/>
      <c r="P160" s="632"/>
      <c r="Q160" s="700"/>
      <c r="R160" s="632"/>
      <c r="S160" s="682">
        <f t="shared" si="10"/>
        <v>22394</v>
      </c>
      <c r="T160" s="625"/>
      <c r="U160" s="625">
        <v>21040.0</v>
      </c>
      <c r="V160" s="625">
        <v>3969.0</v>
      </c>
      <c r="W160" s="625">
        <v>-12481.0</v>
      </c>
      <c r="X160" s="625">
        <v>5476.0</v>
      </c>
      <c r="Y160" s="625">
        <v>4390.0</v>
      </c>
      <c r="Z160" s="656">
        <f t="shared" si="16"/>
        <v>2390</v>
      </c>
      <c r="AA160" s="625"/>
      <c r="AB160" s="625">
        <v>3565.0</v>
      </c>
      <c r="AC160" s="625">
        <v>380.0</v>
      </c>
      <c r="AD160" s="625">
        <v>-2267.0</v>
      </c>
      <c r="AE160" s="625">
        <v>-3.0</v>
      </c>
      <c r="AF160" s="625">
        <v>715.0</v>
      </c>
      <c r="AG160" s="657">
        <f t="shared" si="22"/>
        <v>0.1067250156</v>
      </c>
      <c r="AH160" s="165"/>
      <c r="AI160" s="165">
        <f t="shared" ref="AI160:AM160" si="412">AB160/U160</f>
        <v>0.1694391635</v>
      </c>
      <c r="AJ160" s="165">
        <f t="shared" si="412"/>
        <v>0.0957420005</v>
      </c>
      <c r="AK160" s="165">
        <f t="shared" si="412"/>
        <v>0.1816360869</v>
      </c>
      <c r="AL160" s="165">
        <f t="shared" si="412"/>
        <v>-0.0005478451424</v>
      </c>
      <c r="AM160" s="165">
        <f t="shared" si="412"/>
        <v>0.1628701595</v>
      </c>
      <c r="AN160" s="684">
        <f t="shared" si="327"/>
        <v>21813</v>
      </c>
      <c r="AO160" s="641">
        <v>11572.0</v>
      </c>
      <c r="AP160" s="641">
        <v>11922.0</v>
      </c>
      <c r="AQ160" s="641">
        <v>4654.0</v>
      </c>
      <c r="AR160" s="641">
        <v>0.0</v>
      </c>
      <c r="AS160" s="641">
        <v>1950.0</v>
      </c>
      <c r="AT160" s="641">
        <v>3287.0</v>
      </c>
      <c r="AU160" s="684">
        <f t="shared" si="413"/>
        <v>6625</v>
      </c>
      <c r="AV160" s="641">
        <v>1261.0</v>
      </c>
      <c r="AW160" s="641">
        <v>1279.0</v>
      </c>
      <c r="AX160" s="641">
        <v>1484.0</v>
      </c>
      <c r="AY160" s="641">
        <v>1510.0</v>
      </c>
      <c r="AZ160" s="641">
        <v>1398.0</v>
      </c>
      <c r="BA160" s="691">
        <v>954.0</v>
      </c>
      <c r="BB160" s="685"/>
      <c r="BC160" s="202" t="s">
        <v>695</v>
      </c>
      <c r="BD160" s="186" t="s">
        <v>3303</v>
      </c>
      <c r="BE160" s="186" t="s">
        <v>3304</v>
      </c>
      <c r="BF160" s="186" t="s">
        <v>3305</v>
      </c>
      <c r="BG160" s="186" t="s">
        <v>3306</v>
      </c>
      <c r="BH160" s="186" t="s">
        <v>3307</v>
      </c>
      <c r="BI160" s="186" t="s">
        <v>3308</v>
      </c>
      <c r="BJ160" s="179"/>
      <c r="BK160" s="685"/>
      <c r="BL160" s="179" t="b">
        <f t="shared" si="26"/>
        <v>1</v>
      </c>
      <c r="BM160" s="179" t="b">
        <f t="shared" si="27"/>
        <v>1</v>
      </c>
      <c r="BN160" s="688" t="b">
        <f t="shared" si="28"/>
        <v>1</v>
      </c>
    </row>
    <row r="161">
      <c r="A161" s="148" t="s">
        <v>3384</v>
      </c>
      <c r="B161" s="712" t="s">
        <v>3555</v>
      </c>
      <c r="C161" s="676" t="s">
        <v>2113</v>
      </c>
      <c r="D161" s="713">
        <v>192.0</v>
      </c>
      <c r="E161" s="714" t="s">
        <v>3556</v>
      </c>
      <c r="F161" s="71">
        <f t="shared" ref="F161:G161" si="414">H161+J161+L161+N161+P161</f>
        <v>4448</v>
      </c>
      <c r="G161" s="679">
        <f t="shared" si="414"/>
        <v>697</v>
      </c>
      <c r="H161" s="641">
        <v>2186.0</v>
      </c>
      <c r="I161" s="680">
        <v>364.0</v>
      </c>
      <c r="J161" s="641">
        <v>914.0</v>
      </c>
      <c r="K161" s="680">
        <v>-99.0</v>
      </c>
      <c r="L161" s="641">
        <v>-361.0</v>
      </c>
      <c r="M161" s="680">
        <v>-9.0</v>
      </c>
      <c r="N161" s="641">
        <v>492.0</v>
      </c>
      <c r="O161" s="680">
        <v>272.0</v>
      </c>
      <c r="P161" s="641">
        <v>1217.0</v>
      </c>
      <c r="Q161" s="680">
        <v>169.0</v>
      </c>
      <c r="R161" s="714"/>
      <c r="S161" s="682">
        <f t="shared" si="10"/>
        <v>4448</v>
      </c>
      <c r="T161" s="683"/>
      <c r="U161" s="625">
        <f t="shared" ref="U161:U167" si="417">H161</f>
        <v>2186</v>
      </c>
      <c r="V161" s="625">
        <f t="shared" ref="V161:V167" si="418">J161</f>
        <v>914</v>
      </c>
      <c r="W161" s="625">
        <f t="shared" ref="W161:W167" si="419">L161</f>
        <v>-361</v>
      </c>
      <c r="X161" s="625">
        <f t="shared" ref="X161:X167" si="420">N161</f>
        <v>492</v>
      </c>
      <c r="Y161" s="625">
        <f t="shared" ref="Y161:Y167" si="421">P161</f>
        <v>1217</v>
      </c>
      <c r="Z161" s="656">
        <f t="shared" si="16"/>
        <v>697</v>
      </c>
      <c r="AA161" s="683"/>
      <c r="AB161" s="625">
        <f t="shared" ref="AB161:AB167" si="422">I161</f>
        <v>364</v>
      </c>
      <c r="AC161" s="625">
        <f t="shared" ref="AC161:AC167" si="423">K161</f>
        <v>-99</v>
      </c>
      <c r="AD161" s="625">
        <f t="shared" ref="AD161:AD167" si="424">M161</f>
        <v>-9</v>
      </c>
      <c r="AE161" s="625">
        <f t="shared" ref="AE161:AE167" si="425">O161</f>
        <v>272</v>
      </c>
      <c r="AF161" s="625">
        <f t="shared" ref="AF161:AF167" si="426">Q161</f>
        <v>169</v>
      </c>
      <c r="AG161" s="657">
        <f t="shared" si="22"/>
        <v>0.1566996403</v>
      </c>
      <c r="AH161" s="165"/>
      <c r="AI161" s="165">
        <f t="shared" ref="AI161:AM161" si="415">AB161/U161</f>
        <v>0.1665141812</v>
      </c>
      <c r="AJ161" s="165">
        <f t="shared" si="415"/>
        <v>-0.1083150985</v>
      </c>
      <c r="AK161" s="165">
        <f t="shared" si="415"/>
        <v>0.02493074792</v>
      </c>
      <c r="AL161" s="165">
        <f t="shared" si="415"/>
        <v>0.5528455285</v>
      </c>
      <c r="AM161" s="165">
        <f t="shared" si="415"/>
        <v>0.1388660641</v>
      </c>
      <c r="AN161" s="684">
        <f t="shared" si="327"/>
        <v>7826</v>
      </c>
      <c r="AO161" s="685">
        <v>3953.0</v>
      </c>
      <c r="AP161" s="685">
        <v>2566.0</v>
      </c>
      <c r="AQ161" s="685">
        <v>0.0</v>
      </c>
      <c r="AR161" s="685">
        <v>150.0</v>
      </c>
      <c r="AS161" s="685">
        <v>2260.0</v>
      </c>
      <c r="AT161" s="685">
        <v>2850.0</v>
      </c>
      <c r="AU161" s="684">
        <f t="shared" si="413"/>
        <v>1632</v>
      </c>
      <c r="AV161" s="685">
        <v>587.0</v>
      </c>
      <c r="AW161" s="685">
        <v>321.0</v>
      </c>
      <c r="AX161" s="685">
        <v>0.0</v>
      </c>
      <c r="AY161" s="685">
        <v>156.0</v>
      </c>
      <c r="AZ161" s="685">
        <v>612.0</v>
      </c>
      <c r="BA161" s="710">
        <v>543.0</v>
      </c>
      <c r="BB161" s="685"/>
      <c r="BC161" s="715" t="s">
        <v>695</v>
      </c>
      <c r="BD161" s="186" t="s">
        <v>3303</v>
      </c>
      <c r="BE161" s="688"/>
      <c r="BF161" s="688"/>
      <c r="BG161" s="688"/>
      <c r="BH161" s="179"/>
      <c r="BI161" s="179"/>
      <c r="BJ161" s="179"/>
      <c r="BK161" s="685"/>
      <c r="BL161" s="179" t="b">
        <f t="shared" si="26"/>
        <v>1</v>
      </c>
      <c r="BM161" s="179" t="b">
        <f t="shared" si="27"/>
        <v>1</v>
      </c>
      <c r="BN161" s="688" t="b">
        <f t="shared" si="28"/>
        <v>1</v>
      </c>
    </row>
    <row r="162">
      <c r="A162" s="689"/>
      <c r="B162" s="186" t="s">
        <v>3557</v>
      </c>
      <c r="C162" s="676" t="s">
        <v>2113</v>
      </c>
      <c r="D162" s="677">
        <v>193.0</v>
      </c>
      <c r="E162" s="632" t="s">
        <v>3558</v>
      </c>
      <c r="F162" s="678">
        <f t="shared" ref="F162:G162" si="416">H162+J162+L162+N162+P162</f>
        <v>4777</v>
      </c>
      <c r="G162" s="679">
        <f t="shared" si="416"/>
        <v>837</v>
      </c>
      <c r="H162" s="641">
        <v>1345.0</v>
      </c>
      <c r="I162" s="680">
        <v>262.0</v>
      </c>
      <c r="J162" s="641">
        <v>1458.0</v>
      </c>
      <c r="K162" s="680">
        <v>251.0</v>
      </c>
      <c r="L162" s="641">
        <v>996.0</v>
      </c>
      <c r="M162" s="680">
        <v>172.0</v>
      </c>
      <c r="N162" s="641">
        <v>600.0</v>
      </c>
      <c r="O162" s="680">
        <v>70.0</v>
      </c>
      <c r="P162" s="641">
        <v>378.0</v>
      </c>
      <c r="Q162" s="680">
        <v>82.0</v>
      </c>
      <c r="R162" s="681" t="s">
        <v>696</v>
      </c>
      <c r="S162" s="682">
        <f t="shared" si="10"/>
        <v>4777</v>
      </c>
      <c r="T162" s="683"/>
      <c r="U162" s="625">
        <f t="shared" si="417"/>
        <v>1345</v>
      </c>
      <c r="V162" s="625">
        <f t="shared" si="418"/>
        <v>1458</v>
      </c>
      <c r="W162" s="625">
        <f t="shared" si="419"/>
        <v>996</v>
      </c>
      <c r="X162" s="625">
        <f t="shared" si="420"/>
        <v>600</v>
      </c>
      <c r="Y162" s="625">
        <f t="shared" si="421"/>
        <v>378</v>
      </c>
      <c r="Z162" s="656">
        <f t="shared" si="16"/>
        <v>837</v>
      </c>
      <c r="AA162" s="683"/>
      <c r="AB162" s="625">
        <f t="shared" si="422"/>
        <v>262</v>
      </c>
      <c r="AC162" s="625">
        <f t="shared" si="423"/>
        <v>251</v>
      </c>
      <c r="AD162" s="625">
        <f t="shared" si="424"/>
        <v>172</v>
      </c>
      <c r="AE162" s="625">
        <f t="shared" si="425"/>
        <v>70</v>
      </c>
      <c r="AF162" s="625">
        <f t="shared" si="426"/>
        <v>82</v>
      </c>
      <c r="AG162" s="657">
        <f t="shared" si="22"/>
        <v>0.1752145698</v>
      </c>
      <c r="AH162" s="165"/>
      <c r="AI162" s="165">
        <f t="shared" ref="AI162:AM162" si="427">AB162/U162</f>
        <v>0.194795539</v>
      </c>
      <c r="AJ162" s="165">
        <f t="shared" si="427"/>
        <v>0.1721536351</v>
      </c>
      <c r="AK162" s="165">
        <f t="shared" si="427"/>
        <v>0.1726907631</v>
      </c>
      <c r="AL162" s="165">
        <f t="shared" si="427"/>
        <v>0.1166666667</v>
      </c>
      <c r="AM162" s="165">
        <f t="shared" si="427"/>
        <v>0.2169312169</v>
      </c>
      <c r="AN162" s="684">
        <f t="shared" si="327"/>
        <v>4269</v>
      </c>
      <c r="AO162" s="625"/>
      <c r="AP162" s="625">
        <v>1950.0</v>
      </c>
      <c r="AQ162" s="625">
        <v>1159.0</v>
      </c>
      <c r="AR162" s="625">
        <v>0.0</v>
      </c>
      <c r="AS162" s="625">
        <v>485.0</v>
      </c>
      <c r="AT162" s="625">
        <v>675.0</v>
      </c>
      <c r="AU162" s="684">
        <f t="shared" si="413"/>
        <v>4804</v>
      </c>
      <c r="AV162" s="625"/>
      <c r="AW162" s="625">
        <v>1138.0</v>
      </c>
      <c r="AX162" s="625">
        <v>1026.0</v>
      </c>
      <c r="AY162" s="625">
        <v>943.0</v>
      </c>
      <c r="AZ162" s="625">
        <v>890.0</v>
      </c>
      <c r="BA162" s="693">
        <v>807.0</v>
      </c>
      <c r="BB162" s="631"/>
      <c r="BC162" s="189" t="s">
        <v>695</v>
      </c>
      <c r="BD162" s="186" t="s">
        <v>3303</v>
      </c>
      <c r="BE162" s="179" t="s">
        <v>3304</v>
      </c>
      <c r="BF162" s="179" t="s">
        <v>3305</v>
      </c>
      <c r="BG162" s="179" t="s">
        <v>3306</v>
      </c>
      <c r="BH162" s="179" t="s">
        <v>3307</v>
      </c>
      <c r="BI162" s="179" t="s">
        <v>3308</v>
      </c>
      <c r="BJ162" s="179"/>
      <c r="BK162" s="646"/>
      <c r="BL162" s="179" t="b">
        <f t="shared" si="26"/>
        <v>1</v>
      </c>
      <c r="BM162" s="179" t="b">
        <f t="shared" si="27"/>
        <v>1</v>
      </c>
      <c r="BN162" s="688" t="b">
        <f t="shared" si="28"/>
        <v>1</v>
      </c>
    </row>
    <row r="163">
      <c r="A163" s="689"/>
      <c r="B163" s="186" t="s">
        <v>3559</v>
      </c>
      <c r="C163" s="676" t="s">
        <v>2113</v>
      </c>
      <c r="D163" s="677">
        <v>436.0</v>
      </c>
      <c r="E163" s="632" t="s">
        <v>3560</v>
      </c>
      <c r="F163" s="678">
        <f t="shared" ref="F163:G163" si="428">H163+J163+L163+N163+P163</f>
        <v>3460</v>
      </c>
      <c r="G163" s="679">
        <f t="shared" si="428"/>
        <v>774.77</v>
      </c>
      <c r="H163" s="641">
        <v>844.0</v>
      </c>
      <c r="I163" s="680">
        <v>178.0</v>
      </c>
      <c r="J163" s="641">
        <v>334.0</v>
      </c>
      <c r="K163" s="680">
        <v>145.0</v>
      </c>
      <c r="L163" s="641">
        <v>859.0</v>
      </c>
      <c r="M163" s="680">
        <v>170.0</v>
      </c>
      <c r="N163" s="641">
        <v>638.0</v>
      </c>
      <c r="O163" s="680">
        <v>155.0</v>
      </c>
      <c r="P163" s="641">
        <v>785.0</v>
      </c>
      <c r="Q163" s="680">
        <v>126.77</v>
      </c>
      <c r="R163" s="681" t="s">
        <v>703</v>
      </c>
      <c r="S163" s="682">
        <f t="shared" si="10"/>
        <v>3460</v>
      </c>
      <c r="T163" s="683"/>
      <c r="U163" s="625">
        <f t="shared" si="417"/>
        <v>844</v>
      </c>
      <c r="V163" s="625">
        <f t="shared" si="418"/>
        <v>334</v>
      </c>
      <c r="W163" s="625">
        <f t="shared" si="419"/>
        <v>859</v>
      </c>
      <c r="X163" s="625">
        <f t="shared" si="420"/>
        <v>638</v>
      </c>
      <c r="Y163" s="625">
        <f t="shared" si="421"/>
        <v>785</v>
      </c>
      <c r="Z163" s="656">
        <f t="shared" si="16"/>
        <v>774.77</v>
      </c>
      <c r="AA163" s="683"/>
      <c r="AB163" s="625">
        <f t="shared" si="422"/>
        <v>178</v>
      </c>
      <c r="AC163" s="625">
        <f t="shared" si="423"/>
        <v>145</v>
      </c>
      <c r="AD163" s="625">
        <f t="shared" si="424"/>
        <v>170</v>
      </c>
      <c r="AE163" s="625">
        <f t="shared" si="425"/>
        <v>155</v>
      </c>
      <c r="AF163" s="625">
        <f t="shared" si="426"/>
        <v>126.77</v>
      </c>
      <c r="AG163" s="657">
        <f t="shared" si="22"/>
        <v>0.2239219653</v>
      </c>
      <c r="AH163" s="165"/>
      <c r="AI163" s="165">
        <f t="shared" ref="AI163:AM163" si="429">AB163/U163</f>
        <v>0.2109004739</v>
      </c>
      <c r="AJ163" s="165">
        <f t="shared" si="429"/>
        <v>0.4341317365</v>
      </c>
      <c r="AK163" s="165">
        <f t="shared" si="429"/>
        <v>0.1979045402</v>
      </c>
      <c r="AL163" s="165">
        <f t="shared" si="429"/>
        <v>0.2429467085</v>
      </c>
      <c r="AM163" s="165">
        <f t="shared" si="429"/>
        <v>0.1614904459</v>
      </c>
      <c r="AN163" s="684">
        <f t="shared" si="327"/>
        <v>4217</v>
      </c>
      <c r="AO163" s="641">
        <v>353.0</v>
      </c>
      <c r="AP163" s="625">
        <v>914.0</v>
      </c>
      <c r="AQ163" s="625">
        <v>1026.0</v>
      </c>
      <c r="AR163" s="625">
        <v>727.0</v>
      </c>
      <c r="AS163" s="625">
        <v>896.0</v>
      </c>
      <c r="AT163" s="625">
        <v>654.0</v>
      </c>
      <c r="AU163" s="684">
        <f t="shared" si="413"/>
        <v>1157</v>
      </c>
      <c r="AV163" s="641">
        <v>306.0</v>
      </c>
      <c r="AW163" s="625">
        <f>258+68</f>
        <v>326</v>
      </c>
      <c r="AX163" s="625">
        <f>211+43</f>
        <v>254</v>
      </c>
      <c r="AY163" s="625">
        <f>145+23</f>
        <v>168</v>
      </c>
      <c r="AZ163" s="625">
        <f>144+42</f>
        <v>186</v>
      </c>
      <c r="BA163" s="693">
        <f>134+89</f>
        <v>223</v>
      </c>
      <c r="BB163" s="631"/>
      <c r="BC163" s="189" t="s">
        <v>695</v>
      </c>
      <c r="BD163" s="186" t="s">
        <v>3303</v>
      </c>
      <c r="BE163" s="688" t="s">
        <v>3303</v>
      </c>
      <c r="BF163" s="688" t="s">
        <v>3303</v>
      </c>
      <c r="BG163" s="688" t="s">
        <v>3303</v>
      </c>
      <c r="BH163" s="688" t="s">
        <v>3303</v>
      </c>
      <c r="BI163" s="688" t="s">
        <v>3303</v>
      </c>
      <c r="BJ163" s="179"/>
      <c r="BK163" s="631"/>
      <c r="BL163" s="179" t="b">
        <f t="shared" si="26"/>
        <v>1</v>
      </c>
      <c r="BM163" s="179" t="b">
        <f t="shared" si="27"/>
        <v>1</v>
      </c>
      <c r="BN163" s="688" t="b">
        <f t="shared" si="28"/>
        <v>1</v>
      </c>
    </row>
    <row r="164">
      <c r="A164" s="689"/>
      <c r="B164" s="186" t="s">
        <v>3561</v>
      </c>
      <c r="C164" s="676" t="s">
        <v>2113</v>
      </c>
      <c r="D164" s="677">
        <v>394.0</v>
      </c>
      <c r="E164" s="632" t="s">
        <v>3562</v>
      </c>
      <c r="F164" s="678">
        <f t="shared" ref="F164:G164" si="430">H164+J164+L164+N164+P164</f>
        <v>1709.12</v>
      </c>
      <c r="G164" s="679">
        <f t="shared" si="430"/>
        <v>201.8</v>
      </c>
      <c r="H164" s="641">
        <v>60.9</v>
      </c>
      <c r="I164" s="680">
        <v>-9.8</v>
      </c>
      <c r="J164" s="641">
        <v>405.1</v>
      </c>
      <c r="K164" s="680">
        <v>36.9</v>
      </c>
      <c r="L164" s="641">
        <v>413.3</v>
      </c>
      <c r="M164" s="680">
        <v>70.6</v>
      </c>
      <c r="N164" s="641">
        <v>436.6</v>
      </c>
      <c r="O164" s="680">
        <v>77.4</v>
      </c>
      <c r="P164" s="641">
        <v>393.22</v>
      </c>
      <c r="Q164" s="680">
        <v>26.7</v>
      </c>
      <c r="R164" s="681" t="s">
        <v>705</v>
      </c>
      <c r="S164" s="682">
        <f t="shared" si="10"/>
        <v>1709.12</v>
      </c>
      <c r="T164" s="683"/>
      <c r="U164" s="625">
        <f t="shared" si="417"/>
        <v>60.9</v>
      </c>
      <c r="V164" s="625">
        <f t="shared" si="418"/>
        <v>405.1</v>
      </c>
      <c r="W164" s="625">
        <f t="shared" si="419"/>
        <v>413.3</v>
      </c>
      <c r="X164" s="625">
        <f t="shared" si="420"/>
        <v>436.6</v>
      </c>
      <c r="Y164" s="625">
        <f t="shared" si="421"/>
        <v>393.22</v>
      </c>
      <c r="Z164" s="656">
        <f t="shared" si="16"/>
        <v>201.8</v>
      </c>
      <c r="AA164" s="683"/>
      <c r="AB164" s="625">
        <f t="shared" si="422"/>
        <v>-9.8</v>
      </c>
      <c r="AC164" s="625">
        <f t="shared" si="423"/>
        <v>36.9</v>
      </c>
      <c r="AD164" s="625">
        <f t="shared" si="424"/>
        <v>70.6</v>
      </c>
      <c r="AE164" s="625">
        <f t="shared" si="425"/>
        <v>77.4</v>
      </c>
      <c r="AF164" s="625">
        <f t="shared" si="426"/>
        <v>26.7</v>
      </c>
      <c r="AG164" s="657">
        <f t="shared" si="22"/>
        <v>0.1180724583</v>
      </c>
      <c r="AH164" s="165"/>
      <c r="AI164" s="165">
        <f t="shared" ref="AI164:AM164" si="431">AB164/U164</f>
        <v>-0.1609195402</v>
      </c>
      <c r="AJ164" s="165">
        <f t="shared" si="431"/>
        <v>0.09108862009</v>
      </c>
      <c r="AK164" s="165">
        <f t="shared" si="431"/>
        <v>0.1708202274</v>
      </c>
      <c r="AL164" s="165">
        <f t="shared" si="431"/>
        <v>0.1772789739</v>
      </c>
      <c r="AM164" s="165">
        <f t="shared" si="431"/>
        <v>0.0679009206</v>
      </c>
      <c r="AN164" s="684">
        <f t="shared" si="327"/>
        <v>521.165</v>
      </c>
      <c r="AO164" s="625"/>
      <c r="AP164" s="625">
        <v>81.291</v>
      </c>
      <c r="AQ164" s="625">
        <v>0.0</v>
      </c>
      <c r="AR164" s="625">
        <v>120.228</v>
      </c>
      <c r="AS164" s="625">
        <v>5.697</v>
      </c>
      <c r="AT164" s="625">
        <v>313.949</v>
      </c>
      <c r="AU164" s="684">
        <f t="shared" si="413"/>
        <v>0</v>
      </c>
      <c r="AV164" s="180"/>
      <c r="AW164" s="180">
        <v>0.0</v>
      </c>
      <c r="AX164" s="180">
        <v>0.0</v>
      </c>
      <c r="AY164" s="180">
        <v>0.0</v>
      </c>
      <c r="AZ164" s="180">
        <v>0.0</v>
      </c>
      <c r="BA164" s="686">
        <v>0.0</v>
      </c>
      <c r="BB164" s="631"/>
      <c r="BC164" s="189" t="s">
        <v>695</v>
      </c>
      <c r="BD164" s="688" t="s">
        <v>3303</v>
      </c>
      <c r="BE164" s="688" t="s">
        <v>3303</v>
      </c>
      <c r="BF164" s="688" t="s">
        <v>3303</v>
      </c>
      <c r="BG164" s="688" t="s">
        <v>3303</v>
      </c>
      <c r="BH164" s="688" t="s">
        <v>3303</v>
      </c>
      <c r="BI164" s="688" t="s">
        <v>3303</v>
      </c>
      <c r="BJ164" s="179"/>
      <c r="BK164" s="631"/>
      <c r="BL164" s="179" t="b">
        <f t="shared" si="26"/>
        <v>1</v>
      </c>
      <c r="BM164" s="179" t="b">
        <f t="shared" si="27"/>
        <v>1</v>
      </c>
      <c r="BN164" s="688" t="b">
        <f t="shared" si="28"/>
        <v>0</v>
      </c>
    </row>
    <row r="165">
      <c r="A165" s="675" t="s">
        <v>3301</v>
      </c>
      <c r="B165" s="186" t="s">
        <v>3563</v>
      </c>
      <c r="C165" s="676" t="s">
        <v>2113</v>
      </c>
      <c r="D165" s="677">
        <v>177.0</v>
      </c>
      <c r="E165" s="632" t="s">
        <v>1061</v>
      </c>
      <c r="F165" s="678">
        <f t="shared" ref="F165:G165" si="432">H165+J165+L165+N165+P165</f>
        <v>19312</v>
      </c>
      <c r="G165" s="679">
        <f t="shared" si="432"/>
        <v>3168</v>
      </c>
      <c r="H165" s="641">
        <v>4206.0</v>
      </c>
      <c r="I165" s="680">
        <v>913.0</v>
      </c>
      <c r="J165" s="641">
        <v>4210.0</v>
      </c>
      <c r="K165" s="680">
        <v>600.0</v>
      </c>
      <c r="L165" s="641">
        <v>3248.0</v>
      </c>
      <c r="M165" s="680">
        <v>392.0</v>
      </c>
      <c r="N165" s="641">
        <v>4000.0</v>
      </c>
      <c r="O165" s="680">
        <v>672.0</v>
      </c>
      <c r="P165" s="641">
        <v>3648.0</v>
      </c>
      <c r="Q165" s="680">
        <v>591.0</v>
      </c>
      <c r="R165" s="681" t="s">
        <v>696</v>
      </c>
      <c r="S165" s="682">
        <f t="shared" si="10"/>
        <v>19312</v>
      </c>
      <c r="T165" s="683"/>
      <c r="U165" s="625">
        <f t="shared" si="417"/>
        <v>4206</v>
      </c>
      <c r="V165" s="625">
        <f t="shared" si="418"/>
        <v>4210</v>
      </c>
      <c r="W165" s="625">
        <f t="shared" si="419"/>
        <v>3248</v>
      </c>
      <c r="X165" s="625">
        <f t="shared" si="420"/>
        <v>4000</v>
      </c>
      <c r="Y165" s="625">
        <f t="shared" si="421"/>
        <v>3648</v>
      </c>
      <c r="Z165" s="656">
        <f t="shared" si="16"/>
        <v>3168</v>
      </c>
      <c r="AA165" s="683"/>
      <c r="AB165" s="625">
        <f t="shared" si="422"/>
        <v>913</v>
      </c>
      <c r="AC165" s="625">
        <f t="shared" si="423"/>
        <v>600</v>
      </c>
      <c r="AD165" s="625">
        <f t="shared" si="424"/>
        <v>392</v>
      </c>
      <c r="AE165" s="625">
        <f t="shared" si="425"/>
        <v>672</v>
      </c>
      <c r="AF165" s="625">
        <f t="shared" si="426"/>
        <v>591</v>
      </c>
      <c r="AG165" s="657">
        <f t="shared" si="22"/>
        <v>0.164043082</v>
      </c>
      <c r="AH165" s="165"/>
      <c r="AI165" s="165">
        <f t="shared" ref="AI165:AM165" si="433">AB165/U165</f>
        <v>0.2170708512</v>
      </c>
      <c r="AJ165" s="165">
        <f t="shared" si="433"/>
        <v>0.1425178147</v>
      </c>
      <c r="AK165" s="165">
        <f t="shared" si="433"/>
        <v>0.1206896552</v>
      </c>
      <c r="AL165" s="165">
        <f t="shared" si="433"/>
        <v>0.168</v>
      </c>
      <c r="AM165" s="165">
        <f t="shared" si="433"/>
        <v>0.1620065789</v>
      </c>
      <c r="AN165" s="684">
        <f t="shared" si="327"/>
        <v>30560</v>
      </c>
      <c r="AO165" s="641">
        <v>9032.0</v>
      </c>
      <c r="AP165" s="641">
        <v>8753.0</v>
      </c>
      <c r="AQ165" s="641">
        <v>5904.0</v>
      </c>
      <c r="AR165" s="641">
        <v>4473.0</v>
      </c>
      <c r="AS165" s="641">
        <v>6497.0</v>
      </c>
      <c r="AT165" s="641">
        <v>4933.0</v>
      </c>
      <c r="AU165" s="684">
        <f t="shared" si="413"/>
        <v>7638</v>
      </c>
      <c r="AV165" s="641">
        <v>2158.0</v>
      </c>
      <c r="AW165" s="625">
        <v>1903.0</v>
      </c>
      <c r="AX165" s="625">
        <v>1741.0</v>
      </c>
      <c r="AY165" s="625">
        <v>1605.0</v>
      </c>
      <c r="AZ165" s="625">
        <v>1345.0</v>
      </c>
      <c r="BA165" s="693">
        <v>1044.0</v>
      </c>
      <c r="BB165" s="631"/>
      <c r="BC165" s="189" t="s">
        <v>695</v>
      </c>
      <c r="BD165" s="186" t="s">
        <v>3303</v>
      </c>
      <c r="BE165" s="179" t="s">
        <v>3304</v>
      </c>
      <c r="BF165" s="179" t="s">
        <v>3305</v>
      </c>
      <c r="BG165" s="179" t="s">
        <v>3306</v>
      </c>
      <c r="BH165" s="179" t="s">
        <v>3307</v>
      </c>
      <c r="BI165" s="179" t="s">
        <v>3308</v>
      </c>
      <c r="BJ165" s="179"/>
      <c r="BK165" s="631"/>
      <c r="BL165" s="179" t="b">
        <f t="shared" si="26"/>
        <v>1</v>
      </c>
      <c r="BM165" s="179" t="b">
        <f t="shared" si="27"/>
        <v>1</v>
      </c>
      <c r="BN165" s="688" t="b">
        <f t="shared" si="28"/>
        <v>1</v>
      </c>
    </row>
    <row r="166">
      <c r="A166" s="675" t="s">
        <v>3301</v>
      </c>
      <c r="B166" s="186" t="s">
        <v>3564</v>
      </c>
      <c r="C166" s="676" t="s">
        <v>2113</v>
      </c>
      <c r="D166" s="677">
        <v>169.0</v>
      </c>
      <c r="E166" s="632" t="s">
        <v>1049</v>
      </c>
      <c r="F166" s="678">
        <f t="shared" ref="F166:G166" si="434">H166+J166+L166+N166+P166</f>
        <v>9055.3</v>
      </c>
      <c r="G166" s="679">
        <f t="shared" si="434"/>
        <v>2430.83</v>
      </c>
      <c r="H166" s="641">
        <v>1599.7</v>
      </c>
      <c r="I166" s="680">
        <v>486.0</v>
      </c>
      <c r="J166" s="641">
        <v>2185.8</v>
      </c>
      <c r="K166" s="680">
        <v>860.22</v>
      </c>
      <c r="L166" s="641">
        <v>1271.3</v>
      </c>
      <c r="M166" s="680">
        <v>480.41</v>
      </c>
      <c r="N166" s="641">
        <v>1964.4</v>
      </c>
      <c r="O166" s="680">
        <v>417.56</v>
      </c>
      <c r="P166" s="641">
        <v>2034.1</v>
      </c>
      <c r="Q166" s="680">
        <v>186.64</v>
      </c>
      <c r="R166" s="681" t="s">
        <v>710</v>
      </c>
      <c r="S166" s="682">
        <f t="shared" si="10"/>
        <v>9055.3</v>
      </c>
      <c r="T166" s="683"/>
      <c r="U166" s="625">
        <f t="shared" si="417"/>
        <v>1599.7</v>
      </c>
      <c r="V166" s="625">
        <f t="shared" si="418"/>
        <v>2185.8</v>
      </c>
      <c r="W166" s="625">
        <f t="shared" si="419"/>
        <v>1271.3</v>
      </c>
      <c r="X166" s="625">
        <f t="shared" si="420"/>
        <v>1964.4</v>
      </c>
      <c r="Y166" s="625">
        <f t="shared" si="421"/>
        <v>2034.1</v>
      </c>
      <c r="Z166" s="656">
        <f t="shared" si="16"/>
        <v>2430.83</v>
      </c>
      <c r="AA166" s="683"/>
      <c r="AB166" s="625">
        <f t="shared" si="422"/>
        <v>486</v>
      </c>
      <c r="AC166" s="625">
        <f t="shared" si="423"/>
        <v>860.22</v>
      </c>
      <c r="AD166" s="625">
        <f t="shared" si="424"/>
        <v>480.41</v>
      </c>
      <c r="AE166" s="625">
        <f t="shared" si="425"/>
        <v>417.56</v>
      </c>
      <c r="AF166" s="625">
        <f t="shared" si="426"/>
        <v>186.64</v>
      </c>
      <c r="AG166" s="657">
        <f t="shared" si="22"/>
        <v>0.2684427904</v>
      </c>
      <c r="AH166" s="165"/>
      <c r="AI166" s="165">
        <f t="shared" ref="AI166:AM166" si="435">AB166/U166</f>
        <v>0.3038069638</v>
      </c>
      <c r="AJ166" s="165">
        <f t="shared" si="435"/>
        <v>0.3935492726</v>
      </c>
      <c r="AK166" s="165">
        <f t="shared" si="435"/>
        <v>0.3778887753</v>
      </c>
      <c r="AL166" s="165">
        <f t="shared" si="435"/>
        <v>0.2125636327</v>
      </c>
      <c r="AM166" s="165">
        <f t="shared" si="435"/>
        <v>0.09175556757</v>
      </c>
      <c r="AN166" s="684">
        <f t="shared" si="327"/>
        <v>15834</v>
      </c>
      <c r="AO166" s="641"/>
      <c r="AP166" s="641">
        <v>3896.0</v>
      </c>
      <c r="AQ166" s="641">
        <v>846.0</v>
      </c>
      <c r="AR166" s="641">
        <v>908.0</v>
      </c>
      <c r="AS166" s="641">
        <v>4976.0</v>
      </c>
      <c r="AT166" s="641">
        <v>5208.0</v>
      </c>
      <c r="AU166" s="684">
        <f t="shared" si="413"/>
        <v>18677.5</v>
      </c>
      <c r="AV166" s="625"/>
      <c r="AW166" s="625">
        <v>4168.2</v>
      </c>
      <c r="AX166" s="625">
        <v>3918.6</v>
      </c>
      <c r="AY166" s="625">
        <v>3752.9</v>
      </c>
      <c r="AZ166" s="625">
        <v>3581.9</v>
      </c>
      <c r="BA166" s="693">
        <v>3255.9</v>
      </c>
      <c r="BB166" s="631"/>
      <c r="BC166" s="189" t="s">
        <v>695</v>
      </c>
      <c r="BD166" s="688" t="s">
        <v>3303</v>
      </c>
      <c r="BE166" s="179" t="s">
        <v>3304</v>
      </c>
      <c r="BF166" s="179" t="s">
        <v>3305</v>
      </c>
      <c r="BG166" s="179" t="s">
        <v>3306</v>
      </c>
      <c r="BH166" s="179" t="s">
        <v>3307</v>
      </c>
      <c r="BI166" s="179" t="s">
        <v>3308</v>
      </c>
      <c r="BJ166" s="179"/>
      <c r="BK166" s="631"/>
      <c r="BL166" s="179" t="b">
        <f t="shared" si="26"/>
        <v>1</v>
      </c>
      <c r="BM166" s="179" t="b">
        <f t="shared" si="27"/>
        <v>1</v>
      </c>
      <c r="BN166" s="688" t="b">
        <f t="shared" si="28"/>
        <v>1</v>
      </c>
    </row>
    <row r="167">
      <c r="A167" s="675" t="s">
        <v>3301</v>
      </c>
      <c r="B167" s="186" t="s">
        <v>3565</v>
      </c>
      <c r="C167" s="676" t="s">
        <v>2113</v>
      </c>
      <c r="D167" s="677">
        <v>31.0</v>
      </c>
      <c r="E167" s="714" t="s">
        <v>1038</v>
      </c>
      <c r="F167" s="678">
        <f t="shared" ref="F167:G167" si="436">H167+J167+L167+N167+P167</f>
        <v>105547.21</v>
      </c>
      <c r="G167" s="679">
        <f t="shared" si="436"/>
        <v>20430</v>
      </c>
      <c r="H167" s="641">
        <v>24790.21</v>
      </c>
      <c r="I167" s="680">
        <v>6094.0</v>
      </c>
      <c r="J167" s="641">
        <v>43121.0</v>
      </c>
      <c r="K167" s="680">
        <v>4971.0</v>
      </c>
      <c r="L167" s="641">
        <v>18710.0</v>
      </c>
      <c r="M167" s="680">
        <v>3297.0</v>
      </c>
      <c r="N167" s="641">
        <v>10302.0</v>
      </c>
      <c r="O167" s="680">
        <v>4321.0</v>
      </c>
      <c r="P167" s="641">
        <v>8624.0</v>
      </c>
      <c r="Q167" s="680">
        <v>1747.0</v>
      </c>
      <c r="R167" s="681" t="s">
        <v>702</v>
      </c>
      <c r="S167" s="682">
        <f t="shared" si="10"/>
        <v>105547.21</v>
      </c>
      <c r="T167" s="683"/>
      <c r="U167" s="625">
        <f t="shared" si="417"/>
        <v>24790.21</v>
      </c>
      <c r="V167" s="625">
        <f t="shared" si="418"/>
        <v>43121</v>
      </c>
      <c r="W167" s="625">
        <f t="shared" si="419"/>
        <v>18710</v>
      </c>
      <c r="X167" s="625">
        <f t="shared" si="420"/>
        <v>10302</v>
      </c>
      <c r="Y167" s="625">
        <f t="shared" si="421"/>
        <v>8624</v>
      </c>
      <c r="Z167" s="656">
        <f t="shared" si="16"/>
        <v>20430</v>
      </c>
      <c r="AA167" s="683"/>
      <c r="AB167" s="625">
        <f t="shared" si="422"/>
        <v>6094</v>
      </c>
      <c r="AC167" s="625">
        <f t="shared" si="423"/>
        <v>4971</v>
      </c>
      <c r="AD167" s="625">
        <f t="shared" si="424"/>
        <v>3297</v>
      </c>
      <c r="AE167" s="625">
        <f t="shared" si="425"/>
        <v>4321</v>
      </c>
      <c r="AF167" s="625">
        <f t="shared" si="426"/>
        <v>1747</v>
      </c>
      <c r="AG167" s="657">
        <f t="shared" si="22"/>
        <v>0.1935626721</v>
      </c>
      <c r="AH167" s="165"/>
      <c r="AI167" s="165">
        <f t="shared" ref="AI167:AM167" si="437">AB167/U167</f>
        <v>0.245822847</v>
      </c>
      <c r="AJ167" s="165">
        <f t="shared" si="437"/>
        <v>0.1152802579</v>
      </c>
      <c r="AK167" s="165">
        <f t="shared" si="437"/>
        <v>0.1762159273</v>
      </c>
      <c r="AL167" s="165">
        <f t="shared" si="437"/>
        <v>0.4194331198</v>
      </c>
      <c r="AM167" s="165">
        <f t="shared" si="437"/>
        <v>0.2025742115</v>
      </c>
      <c r="AN167" s="684">
        <f t="shared" si="327"/>
        <v>95846</v>
      </c>
      <c r="AO167" s="685">
        <v>19774.0</v>
      </c>
      <c r="AP167" s="180">
        <v>27956.0</v>
      </c>
      <c r="AQ167" s="180">
        <v>44537.0</v>
      </c>
      <c r="AR167" s="180">
        <v>6272.0</v>
      </c>
      <c r="AS167" s="180">
        <v>4202.0</v>
      </c>
      <c r="AT167" s="180">
        <v>12879.0</v>
      </c>
      <c r="AU167" s="684">
        <f t="shared" si="413"/>
        <v>0</v>
      </c>
      <c r="AV167" s="180">
        <v>0.0</v>
      </c>
      <c r="AW167" s="180">
        <v>0.0</v>
      </c>
      <c r="AX167" s="180">
        <v>0.0</v>
      </c>
      <c r="AY167" s="180">
        <v>0.0</v>
      </c>
      <c r="AZ167" s="180">
        <v>0.0</v>
      </c>
      <c r="BA167" s="686">
        <v>0.0</v>
      </c>
      <c r="BB167" s="631"/>
      <c r="BC167" s="186" t="s">
        <v>695</v>
      </c>
      <c r="BD167" s="186" t="s">
        <v>3303</v>
      </c>
      <c r="BE167" s="702" t="s">
        <v>3304</v>
      </c>
      <c r="BF167" s="702" t="s">
        <v>3305</v>
      </c>
      <c r="BG167" s="702" t="s">
        <v>3306</v>
      </c>
      <c r="BH167" s="186" t="s">
        <v>3307</v>
      </c>
      <c r="BI167" s="179" t="s">
        <v>3308</v>
      </c>
      <c r="BJ167" s="179"/>
      <c r="BK167" s="631"/>
      <c r="BL167" s="179" t="b">
        <f t="shared" si="26"/>
        <v>1</v>
      </c>
      <c r="BM167" s="179" t="b">
        <f t="shared" si="27"/>
        <v>1</v>
      </c>
      <c r="BN167" s="688" t="b">
        <f t="shared" si="28"/>
        <v>0</v>
      </c>
    </row>
    <row r="168">
      <c r="A168" s="675" t="s">
        <v>3333</v>
      </c>
      <c r="B168" s="186" t="s">
        <v>3566</v>
      </c>
      <c r="C168" s="704" t="s">
        <v>2113</v>
      </c>
      <c r="D168" s="677">
        <v>54.0</v>
      </c>
      <c r="E168" s="705" t="s">
        <v>19</v>
      </c>
      <c r="F168" s="654"/>
      <c r="G168" s="706"/>
      <c r="H168" s="707"/>
      <c r="I168" s="706"/>
      <c r="J168" s="707"/>
      <c r="K168" s="706"/>
      <c r="L168" s="707"/>
      <c r="M168" s="706"/>
      <c r="N168" s="707"/>
      <c r="O168" s="706"/>
      <c r="P168" s="707"/>
      <c r="Q168" s="708"/>
      <c r="R168" s="709"/>
      <c r="S168" s="682">
        <f t="shared" si="10"/>
        <v>11658</v>
      </c>
      <c r="T168" s="641"/>
      <c r="U168" s="641">
        <f>2681-45</f>
        <v>2636</v>
      </c>
      <c r="V168" s="641">
        <f>4841-38</f>
        <v>4803</v>
      </c>
      <c r="W168" s="641">
        <f>2970-27</f>
        <v>2943</v>
      </c>
      <c r="X168" s="641">
        <f>2094-4</f>
        <v>2090</v>
      </c>
      <c r="Y168" s="641">
        <f>-803-11</f>
        <v>-814</v>
      </c>
      <c r="Z168" s="656">
        <f t="shared" si="16"/>
        <v>96</v>
      </c>
      <c r="AA168" s="180"/>
      <c r="AB168" s="180">
        <v>159.0</v>
      </c>
      <c r="AC168" s="180">
        <v>62.0</v>
      </c>
      <c r="AD168" s="180">
        <v>271.0</v>
      </c>
      <c r="AE168" s="180">
        <v>-189.0</v>
      </c>
      <c r="AF168" s="180">
        <v>-207.0</v>
      </c>
      <c r="AG168" s="657">
        <f t="shared" si="22"/>
        <v>0.008234688626</v>
      </c>
      <c r="AH168" s="165"/>
      <c r="AI168" s="165">
        <f t="shared" ref="AI168:AM168" si="438">AB168/U168</f>
        <v>0.06031866464</v>
      </c>
      <c r="AJ168" s="165">
        <f t="shared" si="438"/>
        <v>0.01290859879</v>
      </c>
      <c r="AK168" s="165">
        <f t="shared" si="438"/>
        <v>0.0920829086</v>
      </c>
      <c r="AL168" s="165">
        <f t="shared" si="438"/>
        <v>-0.09043062201</v>
      </c>
      <c r="AM168" s="165">
        <f t="shared" si="438"/>
        <v>0.2542997543</v>
      </c>
      <c r="AN168" s="684">
        <v>15057.0</v>
      </c>
      <c r="AO168" s="641">
        <v>3103.0</v>
      </c>
      <c r="AP168" s="625">
        <v>3326.0</v>
      </c>
      <c r="AQ168" s="625">
        <v>4303.0</v>
      </c>
      <c r="AR168" s="625">
        <v>1151.0</v>
      </c>
      <c r="AS168" s="625">
        <v>2285.0</v>
      </c>
      <c r="AT168" s="625">
        <v>3992.0</v>
      </c>
      <c r="AU168" s="684">
        <v>9124.0</v>
      </c>
      <c r="AV168" s="625">
        <f>198+1566</f>
        <v>1764</v>
      </c>
      <c r="AW168" s="625">
        <v>1783.0</v>
      </c>
      <c r="AX168" s="625">
        <v>1842.0</v>
      </c>
      <c r="AY168" s="625">
        <v>1859.0</v>
      </c>
      <c r="AZ168" s="625">
        <v>1821.0</v>
      </c>
      <c r="BA168" s="693">
        <v>1819.0</v>
      </c>
      <c r="BB168" s="631"/>
      <c r="BC168" s="186" t="s">
        <v>695</v>
      </c>
      <c r="BD168" s="186" t="s">
        <v>3303</v>
      </c>
      <c r="BE168" s="695" t="s">
        <v>3304</v>
      </c>
      <c r="BF168" s="695" t="s">
        <v>3305</v>
      </c>
      <c r="BG168" s="695" t="s">
        <v>3306</v>
      </c>
      <c r="BH168" s="695" t="s">
        <v>3307</v>
      </c>
      <c r="BI168" s="695" t="s">
        <v>3308</v>
      </c>
      <c r="BJ168" s="179"/>
      <c r="BK168" s="631"/>
      <c r="BL168" s="179" t="b">
        <f t="shared" si="26"/>
        <v>1</v>
      </c>
      <c r="BM168" s="179" t="b">
        <f t="shared" si="27"/>
        <v>1</v>
      </c>
      <c r="BN168" s="688" t="b">
        <f t="shared" si="28"/>
        <v>1</v>
      </c>
    </row>
    <row r="169">
      <c r="A169" s="675" t="s">
        <v>3301</v>
      </c>
      <c r="B169" s="186" t="s">
        <v>3567</v>
      </c>
      <c r="C169" s="676" t="s">
        <v>1919</v>
      </c>
      <c r="D169" s="677">
        <v>13.0</v>
      </c>
      <c r="E169" s="632" t="s">
        <v>1030</v>
      </c>
      <c r="F169" s="678">
        <f t="shared" ref="F169:G169" si="439">H169+J169+L169+N169+P169</f>
        <v>169280</v>
      </c>
      <c r="G169" s="679">
        <f t="shared" si="439"/>
        <v>33378</v>
      </c>
      <c r="H169" s="641">
        <v>50848.0</v>
      </c>
      <c r="I169" s="680">
        <v>14009.0</v>
      </c>
      <c r="J169" s="641">
        <v>46183.0</v>
      </c>
      <c r="K169" s="680">
        <v>8329.0</v>
      </c>
      <c r="L169" s="641">
        <v>33776.0</v>
      </c>
      <c r="M169" s="680">
        <v>3285.0</v>
      </c>
      <c r="N169" s="641">
        <v>23273.0</v>
      </c>
      <c r="O169" s="680">
        <v>3537.0</v>
      </c>
      <c r="P169" s="641">
        <v>15200.0</v>
      </c>
      <c r="Q169" s="680">
        <v>4218.0</v>
      </c>
      <c r="R169" s="681" t="s">
        <v>701</v>
      </c>
      <c r="S169" s="682">
        <f t="shared" si="10"/>
        <v>169280</v>
      </c>
      <c r="T169" s="683"/>
      <c r="U169" s="625">
        <f t="shared" ref="U169:U199" si="442">H169</f>
        <v>50848</v>
      </c>
      <c r="V169" s="625">
        <f t="shared" ref="V169:V199" si="443">J169</f>
        <v>46183</v>
      </c>
      <c r="W169" s="625">
        <f t="shared" ref="W169:W199" si="444">L169</f>
        <v>33776</v>
      </c>
      <c r="X169" s="625">
        <f t="shared" ref="X169:X199" si="445">N169</f>
        <v>23273</v>
      </c>
      <c r="Y169" s="625">
        <f t="shared" ref="Y169:Y199" si="446">P169</f>
        <v>15200</v>
      </c>
      <c r="Z169" s="656">
        <f t="shared" si="16"/>
        <v>33378</v>
      </c>
      <c r="AA169" s="683"/>
      <c r="AB169" s="625">
        <f t="shared" ref="AB169:AB199" si="447">I169</f>
        <v>14009</v>
      </c>
      <c r="AC169" s="625">
        <f t="shared" ref="AC169:AC199" si="448">K169</f>
        <v>8329</v>
      </c>
      <c r="AD169" s="625">
        <f t="shared" ref="AD169:AD199" si="449">M169</f>
        <v>3285</v>
      </c>
      <c r="AE169" s="625">
        <f t="shared" ref="AE169:AE199" si="450">O169</f>
        <v>3537</v>
      </c>
      <c r="AF169" s="625">
        <f t="shared" ref="AF169:AF199" si="451">Q169</f>
        <v>4218</v>
      </c>
      <c r="AG169" s="657">
        <f t="shared" si="22"/>
        <v>0.197176276</v>
      </c>
      <c r="AH169" s="165"/>
      <c r="AI169" s="165">
        <f t="shared" ref="AI169:AM169" si="440">AB169/U169</f>
        <v>0.2755073946</v>
      </c>
      <c r="AJ169" s="165">
        <f t="shared" si="440"/>
        <v>0.180347747</v>
      </c>
      <c r="AK169" s="165">
        <f t="shared" si="440"/>
        <v>0.09725840834</v>
      </c>
      <c r="AL169" s="165">
        <f t="shared" si="440"/>
        <v>0.1519786877</v>
      </c>
      <c r="AM169" s="165">
        <f t="shared" si="440"/>
        <v>0.2775</v>
      </c>
      <c r="AN169" s="684">
        <f t="shared" ref="AN169:AN281" si="453">SUM(AP169:AT169)</f>
        <v>124837</v>
      </c>
      <c r="AO169" s="685"/>
      <c r="AP169" s="685">
        <v>22245.0</v>
      </c>
      <c r="AQ169" s="180">
        <v>32696.0</v>
      </c>
      <c r="AR169" s="180">
        <v>27385.0</v>
      </c>
      <c r="AS169" s="180">
        <v>22968.0</v>
      </c>
      <c r="AT169" s="180">
        <v>19543.0</v>
      </c>
      <c r="AU169" s="684">
        <f t="shared" ref="AU169:AU179" si="454">SUM(AW169:BA169)</f>
        <v>83404</v>
      </c>
      <c r="AV169" s="685"/>
      <c r="AW169" s="685">
        <v>19800.0</v>
      </c>
      <c r="AX169" s="180">
        <v>18135.0</v>
      </c>
      <c r="AY169" s="180">
        <v>16521.0</v>
      </c>
      <c r="AZ169" s="180">
        <v>15137.0</v>
      </c>
      <c r="BA169" s="691">
        <v>13811.0</v>
      </c>
      <c r="BB169" s="631"/>
      <c r="BC169" s="202" t="s">
        <v>695</v>
      </c>
      <c r="BD169" s="728" t="s">
        <v>3303</v>
      </c>
      <c r="BE169" s="186" t="s">
        <v>3304</v>
      </c>
      <c r="BF169" s="729" t="s">
        <v>3305</v>
      </c>
      <c r="BG169" s="729" t="s">
        <v>3306</v>
      </c>
      <c r="BH169" s="729" t="s">
        <v>3307</v>
      </c>
      <c r="BI169" s="186" t="s">
        <v>3308</v>
      </c>
      <c r="BJ169" s="179"/>
      <c r="BK169" s="631"/>
      <c r="BL169" s="179" t="b">
        <f t="shared" si="26"/>
        <v>1</v>
      </c>
      <c r="BM169" s="179" t="b">
        <f t="shared" si="27"/>
        <v>1</v>
      </c>
      <c r="BN169" s="688" t="b">
        <f t="shared" si="28"/>
        <v>1</v>
      </c>
    </row>
    <row r="170">
      <c r="A170" s="148" t="s">
        <v>3384</v>
      </c>
      <c r="B170" s="712" t="s">
        <v>3568</v>
      </c>
      <c r="C170" s="676" t="s">
        <v>2113</v>
      </c>
      <c r="D170" s="713">
        <v>211.0</v>
      </c>
      <c r="E170" s="714" t="s">
        <v>3569</v>
      </c>
      <c r="F170" s="71">
        <f t="shared" ref="F170:G170" si="441">H170+J170+L170+N170+P170</f>
        <v>20825</v>
      </c>
      <c r="G170" s="679">
        <f t="shared" si="441"/>
        <v>2990.974</v>
      </c>
      <c r="H170" s="641">
        <v>9386.0</v>
      </c>
      <c r="I170" s="680">
        <v>1687.0</v>
      </c>
      <c r="J170" s="641">
        <v>13073.0</v>
      </c>
      <c r="K170" s="680">
        <v>1304.0</v>
      </c>
      <c r="L170" s="641">
        <v>-745.0</v>
      </c>
      <c r="M170" s="680">
        <v>0.0</v>
      </c>
      <c r="N170" s="641">
        <v>-509.0</v>
      </c>
      <c r="O170" s="680">
        <v>0.0</v>
      </c>
      <c r="P170" s="641">
        <v>-380.0</v>
      </c>
      <c r="Q170" s="680">
        <v>-0.026</v>
      </c>
      <c r="R170" s="714"/>
      <c r="S170" s="682">
        <f t="shared" si="10"/>
        <v>20825</v>
      </c>
      <c r="T170" s="683"/>
      <c r="U170" s="625">
        <f t="shared" si="442"/>
        <v>9386</v>
      </c>
      <c r="V170" s="625">
        <f t="shared" si="443"/>
        <v>13073</v>
      </c>
      <c r="W170" s="625">
        <f t="shared" si="444"/>
        <v>-745</v>
      </c>
      <c r="X170" s="625">
        <f t="shared" si="445"/>
        <v>-509</v>
      </c>
      <c r="Y170" s="625">
        <f t="shared" si="446"/>
        <v>-380</v>
      </c>
      <c r="Z170" s="656">
        <f t="shared" si="16"/>
        <v>2990.974</v>
      </c>
      <c r="AA170" s="683"/>
      <c r="AB170" s="625">
        <f t="shared" si="447"/>
        <v>1687</v>
      </c>
      <c r="AC170" s="625">
        <f t="shared" si="448"/>
        <v>1304</v>
      </c>
      <c r="AD170" s="625">
        <f t="shared" si="449"/>
        <v>0</v>
      </c>
      <c r="AE170" s="625">
        <f t="shared" si="450"/>
        <v>0</v>
      </c>
      <c r="AF170" s="625">
        <f t="shared" si="451"/>
        <v>-0.026</v>
      </c>
      <c r="AG170" s="657">
        <f t="shared" si="22"/>
        <v>0.1436242017</v>
      </c>
      <c r="AH170" s="165"/>
      <c r="AI170" s="165">
        <f t="shared" ref="AI170:AM170" si="452">AB170/U170</f>
        <v>0.1797357767</v>
      </c>
      <c r="AJ170" s="165">
        <f t="shared" si="452"/>
        <v>0.09974757133</v>
      </c>
      <c r="AK170" s="165">
        <f t="shared" si="452"/>
        <v>0</v>
      </c>
      <c r="AL170" s="165">
        <f t="shared" si="452"/>
        <v>0</v>
      </c>
      <c r="AM170" s="165">
        <f t="shared" si="452"/>
        <v>0.00006842105263</v>
      </c>
      <c r="AN170" s="684">
        <f t="shared" si="453"/>
        <v>4186</v>
      </c>
      <c r="AO170" s="685">
        <v>1153.0</v>
      </c>
      <c r="AP170" s="180">
        <v>3329.0</v>
      </c>
      <c r="AQ170" s="180">
        <v>857.0</v>
      </c>
      <c r="AR170" s="180">
        <v>0.0</v>
      </c>
      <c r="AS170" s="180">
        <v>0.0</v>
      </c>
      <c r="AT170" s="180">
        <v>0.0</v>
      </c>
      <c r="AU170" s="684">
        <f t="shared" si="454"/>
        <v>0</v>
      </c>
      <c r="AV170" s="685">
        <v>0.0</v>
      </c>
      <c r="AW170" s="685">
        <v>0.0</v>
      </c>
      <c r="AX170" s="685">
        <v>0.0</v>
      </c>
      <c r="AY170" s="685">
        <v>0.0</v>
      </c>
      <c r="AZ170" s="685">
        <v>0.0</v>
      </c>
      <c r="BA170" s="710">
        <v>0.0</v>
      </c>
      <c r="BB170" s="685"/>
      <c r="BC170" s="715" t="s">
        <v>695</v>
      </c>
      <c r="BD170" s="186" t="s">
        <v>3303</v>
      </c>
      <c r="BE170" s="688"/>
      <c r="BF170" s="688"/>
      <c r="BG170" s="688"/>
      <c r="BH170" s="179"/>
      <c r="BI170" s="179"/>
      <c r="BJ170" s="179"/>
      <c r="BK170" s="685"/>
      <c r="BL170" s="179" t="b">
        <f t="shared" si="26"/>
        <v>1</v>
      </c>
      <c r="BM170" s="179" t="b">
        <f t="shared" si="27"/>
        <v>1</v>
      </c>
      <c r="BN170" s="688" t="b">
        <f t="shared" si="28"/>
        <v>0</v>
      </c>
    </row>
    <row r="171">
      <c r="A171" s="212"/>
      <c r="B171" s="186" t="s">
        <v>3570</v>
      </c>
      <c r="C171" s="676" t="s">
        <v>2113</v>
      </c>
      <c r="D171" s="677">
        <v>351.0</v>
      </c>
      <c r="E171" s="131" t="s">
        <v>3571</v>
      </c>
      <c r="F171" s="678">
        <f t="shared" ref="F171:G171" si="455">H171+J171+L171+N171+P171</f>
        <v>1071.59</v>
      </c>
      <c r="G171" s="679">
        <f t="shared" si="455"/>
        <v>115.01</v>
      </c>
      <c r="H171" s="641">
        <v>104.67</v>
      </c>
      <c r="I171" s="680">
        <v>84.8</v>
      </c>
      <c r="J171" s="641">
        <v>355.73</v>
      </c>
      <c r="K171" s="680">
        <v>58.69</v>
      </c>
      <c r="L171" s="641">
        <v>87.04</v>
      </c>
      <c r="M171" s="680">
        <v>-36.32</v>
      </c>
      <c r="N171" s="641">
        <v>151.11</v>
      </c>
      <c r="O171" s="680">
        <v>13.34</v>
      </c>
      <c r="P171" s="641">
        <v>373.04</v>
      </c>
      <c r="Q171" s="680">
        <v>-5.5</v>
      </c>
      <c r="R171" s="681" t="s">
        <v>709</v>
      </c>
      <c r="S171" s="682">
        <f t="shared" si="10"/>
        <v>1071.59</v>
      </c>
      <c r="T171" s="683"/>
      <c r="U171" s="625">
        <f t="shared" si="442"/>
        <v>104.67</v>
      </c>
      <c r="V171" s="625">
        <f t="shared" si="443"/>
        <v>355.73</v>
      </c>
      <c r="W171" s="625">
        <f t="shared" si="444"/>
        <v>87.04</v>
      </c>
      <c r="X171" s="625">
        <f t="shared" si="445"/>
        <v>151.11</v>
      </c>
      <c r="Y171" s="625">
        <f t="shared" si="446"/>
        <v>373.04</v>
      </c>
      <c r="Z171" s="656">
        <f t="shared" si="16"/>
        <v>115.01</v>
      </c>
      <c r="AA171" s="683"/>
      <c r="AB171" s="625">
        <f t="shared" si="447"/>
        <v>84.8</v>
      </c>
      <c r="AC171" s="625">
        <f t="shared" si="448"/>
        <v>58.69</v>
      </c>
      <c r="AD171" s="625">
        <f t="shared" si="449"/>
        <v>-36.32</v>
      </c>
      <c r="AE171" s="625">
        <f t="shared" si="450"/>
        <v>13.34</v>
      </c>
      <c r="AF171" s="625">
        <f t="shared" si="451"/>
        <v>-5.5</v>
      </c>
      <c r="AG171" s="657">
        <f t="shared" si="22"/>
        <v>0.1073264961</v>
      </c>
      <c r="AH171" s="165"/>
      <c r="AI171" s="165">
        <f t="shared" ref="AI171:AM171" si="456">AB171/U171</f>
        <v>0.8101652814</v>
      </c>
      <c r="AJ171" s="165">
        <f t="shared" si="456"/>
        <v>0.1649846794</v>
      </c>
      <c r="AK171" s="165">
        <f t="shared" si="456"/>
        <v>-0.4172794118</v>
      </c>
      <c r="AL171" s="165">
        <f t="shared" si="456"/>
        <v>0.08828006088</v>
      </c>
      <c r="AM171" s="165">
        <f t="shared" si="456"/>
        <v>-0.01474372721</v>
      </c>
      <c r="AN171" s="684">
        <f t="shared" si="453"/>
        <v>1770.755</v>
      </c>
      <c r="AO171" s="641">
        <v>0.0</v>
      </c>
      <c r="AP171" s="641">
        <v>307.572</v>
      </c>
      <c r="AQ171" s="641">
        <v>900.334</v>
      </c>
      <c r="AR171" s="641">
        <v>188.625</v>
      </c>
      <c r="AS171" s="641">
        <v>100.08</v>
      </c>
      <c r="AT171" s="641">
        <v>274.144</v>
      </c>
      <c r="AU171" s="684">
        <f t="shared" si="454"/>
        <v>0</v>
      </c>
      <c r="AV171" s="180">
        <v>0.0</v>
      </c>
      <c r="AW171" s="180">
        <v>0.0</v>
      </c>
      <c r="AX171" s="180">
        <v>0.0</v>
      </c>
      <c r="AY171" s="180">
        <v>0.0</v>
      </c>
      <c r="AZ171" s="180">
        <v>0.0</v>
      </c>
      <c r="BA171" s="686">
        <v>0.0</v>
      </c>
      <c r="BB171" s="631"/>
      <c r="BC171" s="189" t="s">
        <v>695</v>
      </c>
      <c r="BD171" s="186" t="s">
        <v>3303</v>
      </c>
      <c r="BE171" s="688" t="s">
        <v>3303</v>
      </c>
      <c r="BF171" s="688" t="s">
        <v>3303</v>
      </c>
      <c r="BG171" s="688" t="s">
        <v>3303</v>
      </c>
      <c r="BH171" s="688" t="s">
        <v>3303</v>
      </c>
      <c r="BI171" s="688" t="s">
        <v>3303</v>
      </c>
      <c r="BJ171" s="179"/>
      <c r="BK171" s="631"/>
      <c r="BL171" s="179" t="b">
        <f t="shared" si="26"/>
        <v>1</v>
      </c>
      <c r="BM171" s="179" t="b">
        <f t="shared" si="27"/>
        <v>1</v>
      </c>
      <c r="BN171" s="688" t="b">
        <f t="shared" si="28"/>
        <v>0</v>
      </c>
    </row>
    <row r="172">
      <c r="A172" s="689"/>
      <c r="B172" s="186" t="s">
        <v>3572</v>
      </c>
      <c r="C172" s="676" t="s">
        <v>2113</v>
      </c>
      <c r="D172" s="677">
        <v>126.0</v>
      </c>
      <c r="E172" s="632" t="s">
        <v>3573</v>
      </c>
      <c r="F172" s="678">
        <f t="shared" ref="F172:G172" si="457">H172+J172+L172+N172+P172</f>
        <v>4776</v>
      </c>
      <c r="G172" s="679">
        <f t="shared" si="457"/>
        <v>1263</v>
      </c>
      <c r="H172" s="641">
        <v>1023.0</v>
      </c>
      <c r="I172" s="680">
        <v>297.0</v>
      </c>
      <c r="J172" s="641">
        <v>863.0</v>
      </c>
      <c r="K172" s="680">
        <v>209.0</v>
      </c>
      <c r="L172" s="641">
        <v>949.0</v>
      </c>
      <c r="M172" s="680">
        <v>281.0</v>
      </c>
      <c r="N172" s="641">
        <v>960.0</v>
      </c>
      <c r="O172" s="680">
        <v>204.0</v>
      </c>
      <c r="P172" s="641">
        <v>981.0</v>
      </c>
      <c r="Q172" s="680">
        <v>272.0</v>
      </c>
      <c r="R172" s="681" t="s">
        <v>702</v>
      </c>
      <c r="S172" s="682">
        <f t="shared" si="10"/>
        <v>4776</v>
      </c>
      <c r="T172" s="683"/>
      <c r="U172" s="625">
        <f t="shared" si="442"/>
        <v>1023</v>
      </c>
      <c r="V172" s="625">
        <f t="shared" si="443"/>
        <v>863</v>
      </c>
      <c r="W172" s="625">
        <f t="shared" si="444"/>
        <v>949</v>
      </c>
      <c r="X172" s="625">
        <f t="shared" si="445"/>
        <v>960</v>
      </c>
      <c r="Y172" s="625">
        <f t="shared" si="446"/>
        <v>981</v>
      </c>
      <c r="Z172" s="656">
        <f t="shared" si="16"/>
        <v>1263</v>
      </c>
      <c r="AA172" s="683"/>
      <c r="AB172" s="625">
        <f t="shared" si="447"/>
        <v>297</v>
      </c>
      <c r="AC172" s="625">
        <f t="shared" si="448"/>
        <v>209</v>
      </c>
      <c r="AD172" s="625">
        <f t="shared" si="449"/>
        <v>281</v>
      </c>
      <c r="AE172" s="625">
        <f t="shared" si="450"/>
        <v>204</v>
      </c>
      <c r="AF172" s="625">
        <f t="shared" si="451"/>
        <v>272</v>
      </c>
      <c r="AG172" s="657">
        <f t="shared" si="22"/>
        <v>0.2644472362</v>
      </c>
      <c r="AH172" s="165"/>
      <c r="AI172" s="165">
        <f t="shared" ref="AI172:AM172" si="458">AB172/U172</f>
        <v>0.2903225806</v>
      </c>
      <c r="AJ172" s="165">
        <f t="shared" si="458"/>
        <v>0.2421784473</v>
      </c>
      <c r="AK172" s="165">
        <f t="shared" si="458"/>
        <v>0.2961011591</v>
      </c>
      <c r="AL172" s="165">
        <f t="shared" si="458"/>
        <v>0.2125</v>
      </c>
      <c r="AM172" s="165">
        <f t="shared" si="458"/>
        <v>0.2772680938</v>
      </c>
      <c r="AN172" s="684">
        <f t="shared" si="453"/>
        <v>1181</v>
      </c>
      <c r="AO172" s="180">
        <v>0.0</v>
      </c>
      <c r="AP172" s="625">
        <v>400.0</v>
      </c>
      <c r="AQ172" s="625">
        <v>128.0</v>
      </c>
      <c r="AR172" s="625">
        <v>606.0</v>
      </c>
      <c r="AS172" s="625">
        <v>47.0</v>
      </c>
      <c r="AT172" s="625">
        <v>0.0</v>
      </c>
      <c r="AU172" s="684">
        <f t="shared" si="454"/>
        <v>0</v>
      </c>
      <c r="AV172" s="180">
        <v>0.0</v>
      </c>
      <c r="AW172" s="180">
        <v>0.0</v>
      </c>
      <c r="AX172" s="180">
        <v>0.0</v>
      </c>
      <c r="AY172" s="180">
        <v>0.0</v>
      </c>
      <c r="AZ172" s="180">
        <v>0.0</v>
      </c>
      <c r="BA172" s="686">
        <v>0.0</v>
      </c>
      <c r="BB172" s="631"/>
      <c r="BC172" s="189" t="s">
        <v>695</v>
      </c>
      <c r="BD172" s="186" t="s">
        <v>3303</v>
      </c>
      <c r="BE172" s="179" t="s">
        <v>3304</v>
      </c>
      <c r="BF172" s="179" t="s">
        <v>3305</v>
      </c>
      <c r="BG172" s="179" t="s">
        <v>3306</v>
      </c>
      <c r="BH172" s="179" t="s">
        <v>3307</v>
      </c>
      <c r="BI172" s="179" t="s">
        <v>3308</v>
      </c>
      <c r="BJ172" s="179"/>
      <c r="BK172" s="631"/>
      <c r="BL172" s="179" t="b">
        <f t="shared" si="26"/>
        <v>0</v>
      </c>
      <c r="BM172" s="179" t="b">
        <f t="shared" si="27"/>
        <v>0</v>
      </c>
      <c r="BN172" s="688" t="b">
        <f t="shared" si="28"/>
        <v>0</v>
      </c>
    </row>
    <row r="173">
      <c r="A173" s="689"/>
      <c r="B173" s="186" t="s">
        <v>3574</v>
      </c>
      <c r="C173" s="697" t="s">
        <v>2113</v>
      </c>
      <c r="D173" s="717">
        <v>374.0</v>
      </c>
      <c r="E173" s="632" t="s">
        <v>3575</v>
      </c>
      <c r="F173" s="678">
        <f t="shared" ref="F173:G173" si="459">H173+J173+L173+N173+P173</f>
        <v>6618.1</v>
      </c>
      <c r="G173" s="679">
        <f t="shared" si="459"/>
        <v>314.8</v>
      </c>
      <c r="H173" s="641">
        <v>1051.1</v>
      </c>
      <c r="I173" s="680">
        <v>146.1</v>
      </c>
      <c r="J173" s="641">
        <v>1300.4</v>
      </c>
      <c r="K173" s="680">
        <v>43.5</v>
      </c>
      <c r="L173" s="641">
        <v>1146.5</v>
      </c>
      <c r="M173" s="680">
        <v>79.0</v>
      </c>
      <c r="N173" s="641">
        <v>1795.0</v>
      </c>
      <c r="O173" s="680">
        <v>69.1</v>
      </c>
      <c r="P173" s="641">
        <v>1325.1</v>
      </c>
      <c r="Q173" s="680">
        <v>-22.9</v>
      </c>
      <c r="R173" s="681" t="s">
        <v>717</v>
      </c>
      <c r="S173" s="682">
        <f t="shared" si="10"/>
        <v>6618.1</v>
      </c>
      <c r="T173" s="683"/>
      <c r="U173" s="625">
        <f t="shared" si="442"/>
        <v>1051.1</v>
      </c>
      <c r="V173" s="625">
        <f t="shared" si="443"/>
        <v>1300.4</v>
      </c>
      <c r="W173" s="625">
        <f t="shared" si="444"/>
        <v>1146.5</v>
      </c>
      <c r="X173" s="625">
        <f t="shared" si="445"/>
        <v>1795</v>
      </c>
      <c r="Y173" s="625">
        <f t="shared" si="446"/>
        <v>1325.1</v>
      </c>
      <c r="Z173" s="656">
        <f t="shared" si="16"/>
        <v>314.8</v>
      </c>
      <c r="AA173" s="683"/>
      <c r="AB173" s="625">
        <f t="shared" si="447"/>
        <v>146.1</v>
      </c>
      <c r="AC173" s="625">
        <f t="shared" si="448"/>
        <v>43.5</v>
      </c>
      <c r="AD173" s="625">
        <f t="shared" si="449"/>
        <v>79</v>
      </c>
      <c r="AE173" s="625">
        <f t="shared" si="450"/>
        <v>69.1</v>
      </c>
      <c r="AF173" s="625">
        <f t="shared" si="451"/>
        <v>-22.9</v>
      </c>
      <c r="AG173" s="657">
        <f t="shared" si="22"/>
        <v>0.04756652211</v>
      </c>
      <c r="AH173" s="165"/>
      <c r="AI173" s="165">
        <f t="shared" ref="AI173:AM173" si="460">AB173/U173</f>
        <v>0.138997241</v>
      </c>
      <c r="AJ173" s="165">
        <f t="shared" si="460"/>
        <v>0.03345124577</v>
      </c>
      <c r="AK173" s="165">
        <f t="shared" si="460"/>
        <v>0.06890536415</v>
      </c>
      <c r="AL173" s="165">
        <f t="shared" si="460"/>
        <v>0.03849582173</v>
      </c>
      <c r="AM173" s="165">
        <f t="shared" si="460"/>
        <v>-0.01728171459</v>
      </c>
      <c r="AN173" s="684">
        <f t="shared" si="453"/>
        <v>52</v>
      </c>
      <c r="AO173" s="625"/>
      <c r="AP173" s="625">
        <v>52.0</v>
      </c>
      <c r="AQ173" s="625">
        <v>0.0</v>
      </c>
      <c r="AR173" s="625">
        <v>0.0</v>
      </c>
      <c r="AS173" s="625">
        <v>0.0</v>
      </c>
      <c r="AT173" s="625">
        <v>0.0</v>
      </c>
      <c r="AU173" s="684">
        <f t="shared" si="454"/>
        <v>1381</v>
      </c>
      <c r="AV173" s="625"/>
      <c r="AW173" s="625">
        <v>329.3</v>
      </c>
      <c r="AX173" s="625">
        <v>147.8</v>
      </c>
      <c r="AY173" s="625">
        <v>125.3</v>
      </c>
      <c r="AZ173" s="625">
        <v>424.4</v>
      </c>
      <c r="BA173" s="693">
        <v>354.2</v>
      </c>
      <c r="BB173" s="631"/>
      <c r="BC173" s="189" t="s">
        <v>695</v>
      </c>
      <c r="BD173" s="186" t="s">
        <v>3303</v>
      </c>
      <c r="BE173" s="179" t="s">
        <v>3304</v>
      </c>
      <c r="BF173" s="179" t="s">
        <v>3305</v>
      </c>
      <c r="BG173" s="179" t="s">
        <v>3306</v>
      </c>
      <c r="BH173" s="179" t="s">
        <v>3307</v>
      </c>
      <c r="BI173" s="179" t="s">
        <v>3308</v>
      </c>
      <c r="BJ173" s="179"/>
      <c r="BK173" s="646"/>
      <c r="BL173" s="179" t="b">
        <f t="shared" si="26"/>
        <v>1</v>
      </c>
      <c r="BM173" s="179" t="b">
        <f t="shared" si="27"/>
        <v>0</v>
      </c>
      <c r="BN173" s="688" t="b">
        <f t="shared" si="28"/>
        <v>1</v>
      </c>
    </row>
    <row r="174">
      <c r="A174" s="675" t="s">
        <v>3301</v>
      </c>
      <c r="B174" s="186" t="s">
        <v>3576</v>
      </c>
      <c r="C174" s="676" t="s">
        <v>2113</v>
      </c>
      <c r="D174" s="677">
        <v>61.0</v>
      </c>
      <c r="E174" s="632" t="s">
        <v>1020</v>
      </c>
      <c r="F174" s="678">
        <f t="shared" ref="F174:G174" si="461">H174+J174+L174+N174+P174</f>
        <v>48957</v>
      </c>
      <c r="G174" s="679">
        <f t="shared" si="461"/>
        <v>8272</v>
      </c>
      <c r="H174" s="641">
        <v>8921.0</v>
      </c>
      <c r="I174" s="680">
        <v>2518.0</v>
      </c>
      <c r="J174" s="641">
        <v>13607.0</v>
      </c>
      <c r="K174" s="680">
        <v>2554.0</v>
      </c>
      <c r="L174" s="641">
        <v>9628.0</v>
      </c>
      <c r="M174" s="680">
        <v>1641.0</v>
      </c>
      <c r="N174" s="641">
        <v>9204.0</v>
      </c>
      <c r="O174" s="680">
        <v>873.0</v>
      </c>
      <c r="P174" s="641">
        <v>7597.0</v>
      </c>
      <c r="Q174" s="680">
        <v>686.0</v>
      </c>
      <c r="R174" s="681" t="s">
        <v>696</v>
      </c>
      <c r="S174" s="682">
        <f t="shared" si="10"/>
        <v>48957</v>
      </c>
      <c r="T174" s="683"/>
      <c r="U174" s="625">
        <f t="shared" si="442"/>
        <v>8921</v>
      </c>
      <c r="V174" s="625">
        <f t="shared" si="443"/>
        <v>13607</v>
      </c>
      <c r="W174" s="625">
        <f t="shared" si="444"/>
        <v>9628</v>
      </c>
      <c r="X174" s="625">
        <f t="shared" si="445"/>
        <v>9204</v>
      </c>
      <c r="Y174" s="625">
        <f t="shared" si="446"/>
        <v>7597</v>
      </c>
      <c r="Z174" s="656">
        <f t="shared" si="16"/>
        <v>8272</v>
      </c>
      <c r="AA174" s="683"/>
      <c r="AB174" s="625">
        <f t="shared" si="447"/>
        <v>2518</v>
      </c>
      <c r="AC174" s="625">
        <f t="shared" si="448"/>
        <v>2554</v>
      </c>
      <c r="AD174" s="625">
        <f t="shared" si="449"/>
        <v>1641</v>
      </c>
      <c r="AE174" s="625">
        <f t="shared" si="450"/>
        <v>873</v>
      </c>
      <c r="AF174" s="625">
        <f t="shared" si="451"/>
        <v>686</v>
      </c>
      <c r="AG174" s="657">
        <f t="shared" si="22"/>
        <v>0.1689646016</v>
      </c>
      <c r="AH174" s="165"/>
      <c r="AI174" s="165">
        <f t="shared" ref="AI174:AM174" si="462">AB174/U174</f>
        <v>0.2822553525</v>
      </c>
      <c r="AJ174" s="165">
        <f t="shared" si="462"/>
        <v>0.1876975086</v>
      </c>
      <c r="AK174" s="165">
        <f t="shared" si="462"/>
        <v>0.1704403822</v>
      </c>
      <c r="AL174" s="165">
        <f t="shared" si="462"/>
        <v>0.09485006519</v>
      </c>
      <c r="AM174" s="165">
        <f t="shared" si="462"/>
        <v>0.09029880216</v>
      </c>
      <c r="AN174" s="684">
        <f t="shared" si="453"/>
        <v>36356</v>
      </c>
      <c r="AO174" s="685">
        <v>6216.0</v>
      </c>
      <c r="AP174" s="180">
        <v>10871.0</v>
      </c>
      <c r="AQ174" s="180">
        <v>12075.0</v>
      </c>
      <c r="AR174" s="180">
        <v>1890.0</v>
      </c>
      <c r="AS174" s="180">
        <v>5954.0</v>
      </c>
      <c r="AT174" s="180">
        <v>5566.0</v>
      </c>
      <c r="AU174" s="684">
        <f t="shared" si="454"/>
        <v>17313</v>
      </c>
      <c r="AV174" s="685">
        <v>5763.0</v>
      </c>
      <c r="AW174" s="180">
        <v>5401.0</v>
      </c>
      <c r="AX174" s="180">
        <v>4171.0</v>
      </c>
      <c r="AY174" s="180">
        <v>2739.0</v>
      </c>
      <c r="AZ174" s="180">
        <v>2627.0</v>
      </c>
      <c r="BA174" s="686">
        <v>2375.0</v>
      </c>
      <c r="BB174" s="631"/>
      <c r="BC174" s="730" t="s">
        <v>695</v>
      </c>
      <c r="BD174" s="186" t="s">
        <v>3303</v>
      </c>
      <c r="BE174" s="186" t="s">
        <v>3304</v>
      </c>
      <c r="BF174" s="186" t="s">
        <v>3305</v>
      </c>
      <c r="BG174" s="186" t="s">
        <v>3306</v>
      </c>
      <c r="BH174" s="179" t="s">
        <v>3307</v>
      </c>
      <c r="BI174" s="179" t="s">
        <v>3308</v>
      </c>
      <c r="BJ174" s="179"/>
      <c r="BK174" s="631"/>
      <c r="BL174" s="179" t="b">
        <f t="shared" si="26"/>
        <v>1</v>
      </c>
      <c r="BM174" s="179" t="b">
        <f t="shared" si="27"/>
        <v>1</v>
      </c>
      <c r="BN174" s="688" t="b">
        <f t="shared" si="28"/>
        <v>1</v>
      </c>
    </row>
    <row r="175">
      <c r="A175" s="689"/>
      <c r="B175" s="186" t="s">
        <v>3577</v>
      </c>
      <c r="C175" s="676" t="s">
        <v>2113</v>
      </c>
      <c r="D175" s="677">
        <v>418.0</v>
      </c>
      <c r="E175" s="632" t="s">
        <v>3578</v>
      </c>
      <c r="F175" s="678">
        <f t="shared" ref="F175:G175" si="463">H175+J175+L175+N175+P175</f>
        <v>4868</v>
      </c>
      <c r="G175" s="679">
        <f t="shared" si="463"/>
        <v>599</v>
      </c>
      <c r="H175" s="641">
        <v>1229.0</v>
      </c>
      <c r="I175" s="680">
        <v>240.0</v>
      </c>
      <c r="J175" s="641">
        <v>994.0</v>
      </c>
      <c r="K175" s="680">
        <v>134.0</v>
      </c>
      <c r="L175" s="641">
        <v>998.0</v>
      </c>
      <c r="M175" s="680">
        <v>117.0</v>
      </c>
      <c r="N175" s="641">
        <v>687.0</v>
      </c>
      <c r="O175" s="680">
        <v>94.0</v>
      </c>
      <c r="P175" s="641">
        <v>960.0</v>
      </c>
      <c r="Q175" s="680">
        <v>14.0</v>
      </c>
      <c r="R175" s="681" t="s">
        <v>710</v>
      </c>
      <c r="S175" s="682">
        <f t="shared" si="10"/>
        <v>4868</v>
      </c>
      <c r="T175" s="683"/>
      <c r="U175" s="625">
        <f t="shared" si="442"/>
        <v>1229</v>
      </c>
      <c r="V175" s="625">
        <f t="shared" si="443"/>
        <v>994</v>
      </c>
      <c r="W175" s="625">
        <f t="shared" si="444"/>
        <v>998</v>
      </c>
      <c r="X175" s="625">
        <f t="shared" si="445"/>
        <v>687</v>
      </c>
      <c r="Y175" s="625">
        <f t="shared" si="446"/>
        <v>960</v>
      </c>
      <c r="Z175" s="656">
        <f t="shared" si="16"/>
        <v>599</v>
      </c>
      <c r="AA175" s="683"/>
      <c r="AB175" s="625">
        <f t="shared" si="447"/>
        <v>240</v>
      </c>
      <c r="AC175" s="625">
        <f t="shared" si="448"/>
        <v>134</v>
      </c>
      <c r="AD175" s="625">
        <f t="shared" si="449"/>
        <v>117</v>
      </c>
      <c r="AE175" s="625">
        <f t="shared" si="450"/>
        <v>94</v>
      </c>
      <c r="AF175" s="625">
        <f t="shared" si="451"/>
        <v>14</v>
      </c>
      <c r="AG175" s="657">
        <f t="shared" si="22"/>
        <v>0.1230484799</v>
      </c>
      <c r="AH175" s="165"/>
      <c r="AI175" s="165">
        <f t="shared" ref="AI175:AM175" si="464">AB175/U175</f>
        <v>0.195280716</v>
      </c>
      <c r="AJ175" s="165">
        <f t="shared" si="464"/>
        <v>0.1348088531</v>
      </c>
      <c r="AK175" s="165">
        <f t="shared" si="464"/>
        <v>0.1172344689</v>
      </c>
      <c r="AL175" s="165">
        <f t="shared" si="464"/>
        <v>0.1368267831</v>
      </c>
      <c r="AM175" s="165">
        <f t="shared" si="464"/>
        <v>0.01458333333</v>
      </c>
      <c r="AN175" s="684">
        <f t="shared" si="453"/>
        <v>2423</v>
      </c>
      <c r="AO175" s="641">
        <v>804.0</v>
      </c>
      <c r="AP175" s="625">
        <v>836.0</v>
      </c>
      <c r="AQ175" s="625">
        <v>528.0</v>
      </c>
      <c r="AR175" s="625">
        <v>612.0</v>
      </c>
      <c r="AS175" s="625">
        <v>315.0</v>
      </c>
      <c r="AT175" s="625">
        <v>132.0</v>
      </c>
      <c r="AU175" s="684">
        <f t="shared" si="454"/>
        <v>2175</v>
      </c>
      <c r="AV175" s="625">
        <f>589+5</f>
        <v>594</v>
      </c>
      <c r="AW175" s="625">
        <f>530+6</f>
        <v>536</v>
      </c>
      <c r="AX175" s="625">
        <f>482+5</f>
        <v>487</v>
      </c>
      <c r="AY175" s="625">
        <v>436.0</v>
      </c>
      <c r="AZ175" s="625">
        <v>379.0</v>
      </c>
      <c r="BA175" s="693">
        <v>337.0</v>
      </c>
      <c r="BB175" s="631"/>
      <c r="BC175" s="189" t="s">
        <v>695</v>
      </c>
      <c r="BD175" s="186" t="s">
        <v>3303</v>
      </c>
      <c r="BE175" s="179" t="s">
        <v>3304</v>
      </c>
      <c r="BF175" s="179" t="s">
        <v>3305</v>
      </c>
      <c r="BG175" s="179" t="s">
        <v>3306</v>
      </c>
      <c r="BH175" s="179" t="s">
        <v>3307</v>
      </c>
      <c r="BI175" s="179" t="s">
        <v>3308</v>
      </c>
      <c r="BJ175" s="179"/>
      <c r="BK175" s="631"/>
      <c r="BL175" s="179" t="b">
        <f t="shared" si="26"/>
        <v>1</v>
      </c>
      <c r="BM175" s="179" t="b">
        <f t="shared" si="27"/>
        <v>1</v>
      </c>
      <c r="BN175" s="688" t="b">
        <f t="shared" si="28"/>
        <v>1</v>
      </c>
    </row>
    <row r="176">
      <c r="A176" s="696" t="s">
        <v>1534</v>
      </c>
      <c r="B176" s="186" t="s">
        <v>3579</v>
      </c>
      <c r="C176" s="676" t="s">
        <v>2113</v>
      </c>
      <c r="D176" s="677">
        <v>129.0</v>
      </c>
      <c r="E176" s="632" t="s">
        <v>16</v>
      </c>
      <c r="F176" s="678">
        <f t="shared" ref="F176:G176" si="465">H176+J176+L176+N176+P176</f>
        <v>15079.54</v>
      </c>
      <c r="G176" s="679">
        <f t="shared" si="465"/>
        <v>235.98</v>
      </c>
      <c r="H176" s="641">
        <v>4570.65</v>
      </c>
      <c r="I176" s="680">
        <v>109.91</v>
      </c>
      <c r="J176" s="641">
        <v>5255.91</v>
      </c>
      <c r="K176" s="680">
        <v>57.53</v>
      </c>
      <c r="L176" s="641">
        <v>2723.24</v>
      </c>
      <c r="M176" s="680">
        <v>24.22</v>
      </c>
      <c r="N176" s="641">
        <v>1674.1</v>
      </c>
      <c r="O176" s="680">
        <v>21.5</v>
      </c>
      <c r="P176" s="641">
        <v>855.64</v>
      </c>
      <c r="Q176" s="680">
        <v>22.82</v>
      </c>
      <c r="R176" s="681" t="s">
        <v>702</v>
      </c>
      <c r="S176" s="682">
        <f t="shared" si="10"/>
        <v>15079.54</v>
      </c>
      <c r="T176" s="683"/>
      <c r="U176" s="625">
        <f t="shared" si="442"/>
        <v>4570.65</v>
      </c>
      <c r="V176" s="625">
        <f t="shared" si="443"/>
        <v>5255.91</v>
      </c>
      <c r="W176" s="625">
        <f t="shared" si="444"/>
        <v>2723.24</v>
      </c>
      <c r="X176" s="625">
        <f t="shared" si="445"/>
        <v>1674.1</v>
      </c>
      <c r="Y176" s="625">
        <f t="shared" si="446"/>
        <v>855.64</v>
      </c>
      <c r="Z176" s="656">
        <f t="shared" si="16"/>
        <v>235.98</v>
      </c>
      <c r="AA176" s="683"/>
      <c r="AB176" s="625">
        <f t="shared" si="447"/>
        <v>109.91</v>
      </c>
      <c r="AC176" s="625">
        <f t="shared" si="448"/>
        <v>57.53</v>
      </c>
      <c r="AD176" s="625">
        <f t="shared" si="449"/>
        <v>24.22</v>
      </c>
      <c r="AE176" s="625">
        <f t="shared" si="450"/>
        <v>21.5</v>
      </c>
      <c r="AF176" s="625">
        <f t="shared" si="451"/>
        <v>22.82</v>
      </c>
      <c r="AG176" s="657">
        <f t="shared" si="22"/>
        <v>0.01564901847</v>
      </c>
      <c r="AH176" s="165"/>
      <c r="AI176" s="165">
        <f t="shared" ref="AI176:AM176" si="466">AB176/U176</f>
        <v>0.02404690799</v>
      </c>
      <c r="AJ176" s="165">
        <f t="shared" si="466"/>
        <v>0.01094577342</v>
      </c>
      <c r="AK176" s="165">
        <f t="shared" si="466"/>
        <v>0.008893817658</v>
      </c>
      <c r="AL176" s="165">
        <f t="shared" si="466"/>
        <v>0.01284272146</v>
      </c>
      <c r="AM176" s="165">
        <f t="shared" si="466"/>
        <v>0.0266700949</v>
      </c>
      <c r="AN176" s="684">
        <f t="shared" si="453"/>
        <v>600.022</v>
      </c>
      <c r="AO176" s="685">
        <v>6045.0</v>
      </c>
      <c r="AP176" s="180">
        <v>0.0</v>
      </c>
      <c r="AQ176" s="180">
        <v>600.022</v>
      </c>
      <c r="AR176" s="180">
        <v>0.0</v>
      </c>
      <c r="AS176" s="180">
        <v>0.0</v>
      </c>
      <c r="AT176" s="180">
        <v>0.0</v>
      </c>
      <c r="AU176" s="684">
        <f t="shared" si="454"/>
        <v>0</v>
      </c>
      <c r="AV176" s="685">
        <v>0.0</v>
      </c>
      <c r="AW176" s="180">
        <v>0.0</v>
      </c>
      <c r="AX176" s="180">
        <v>0.0</v>
      </c>
      <c r="AY176" s="180">
        <v>0.0</v>
      </c>
      <c r="AZ176" s="180">
        <v>0.0</v>
      </c>
      <c r="BA176" s="686">
        <v>0.0</v>
      </c>
      <c r="BB176" s="631"/>
      <c r="BC176" s="731" t="s">
        <v>695</v>
      </c>
      <c r="BD176" s="186" t="s">
        <v>3303</v>
      </c>
      <c r="BE176" s="186" t="s">
        <v>3304</v>
      </c>
      <c r="BF176" s="186" t="s">
        <v>3305</v>
      </c>
      <c r="BG176" s="186" t="s">
        <v>3306</v>
      </c>
      <c r="BH176" s="179" t="s">
        <v>3307</v>
      </c>
      <c r="BI176" s="179" t="s">
        <v>3308</v>
      </c>
      <c r="BJ176" s="179"/>
      <c r="BK176" s="631"/>
      <c r="BL176" s="179" t="b">
        <f t="shared" si="26"/>
        <v>1</v>
      </c>
      <c r="BM176" s="179" t="b">
        <f t="shared" si="27"/>
        <v>1</v>
      </c>
      <c r="BN176" s="688" t="b">
        <f t="shared" si="28"/>
        <v>0</v>
      </c>
    </row>
    <row r="177">
      <c r="A177" s="696" t="s">
        <v>1534</v>
      </c>
      <c r="B177" s="186" t="s">
        <v>3580</v>
      </c>
      <c r="C177" s="676" t="s">
        <v>2113</v>
      </c>
      <c r="D177" s="677">
        <v>187.0</v>
      </c>
      <c r="E177" s="632" t="s">
        <v>12</v>
      </c>
      <c r="F177" s="678">
        <f t="shared" ref="F177:G177" si="467">H177+J177+L177+N177+P177</f>
        <v>23965</v>
      </c>
      <c r="G177" s="679">
        <f t="shared" si="467"/>
        <v>287</v>
      </c>
      <c r="H177" s="641">
        <v>4692.0</v>
      </c>
      <c r="I177" s="680">
        <v>11.0</v>
      </c>
      <c r="J177" s="641">
        <v>3983.0</v>
      </c>
      <c r="K177" s="680">
        <v>-26.0</v>
      </c>
      <c r="L177" s="641">
        <v>2945.0</v>
      </c>
      <c r="M177" s="680">
        <v>105.0</v>
      </c>
      <c r="N177" s="641">
        <v>4194.0</v>
      </c>
      <c r="O177" s="680">
        <v>167.0</v>
      </c>
      <c r="P177" s="641">
        <v>8151.0</v>
      </c>
      <c r="Q177" s="680">
        <v>30.0</v>
      </c>
      <c r="R177" s="681" t="s">
        <v>705</v>
      </c>
      <c r="S177" s="682">
        <f t="shared" si="10"/>
        <v>23965</v>
      </c>
      <c r="T177" s="683"/>
      <c r="U177" s="625">
        <f t="shared" si="442"/>
        <v>4692</v>
      </c>
      <c r="V177" s="625">
        <f t="shared" si="443"/>
        <v>3983</v>
      </c>
      <c r="W177" s="625">
        <f t="shared" si="444"/>
        <v>2945</v>
      </c>
      <c r="X177" s="625">
        <f t="shared" si="445"/>
        <v>4194</v>
      </c>
      <c r="Y177" s="625">
        <f t="shared" si="446"/>
        <v>8151</v>
      </c>
      <c r="Z177" s="656">
        <f t="shared" si="16"/>
        <v>287</v>
      </c>
      <c r="AA177" s="683"/>
      <c r="AB177" s="625">
        <f t="shared" si="447"/>
        <v>11</v>
      </c>
      <c r="AC177" s="625">
        <f t="shared" si="448"/>
        <v>-26</v>
      </c>
      <c r="AD177" s="625">
        <f t="shared" si="449"/>
        <v>105</v>
      </c>
      <c r="AE177" s="625">
        <f t="shared" si="450"/>
        <v>167</v>
      </c>
      <c r="AF177" s="625">
        <f t="shared" si="451"/>
        <v>30</v>
      </c>
      <c r="AG177" s="657">
        <f t="shared" si="22"/>
        <v>0.01197579804</v>
      </c>
      <c r="AH177" s="165"/>
      <c r="AI177" s="165">
        <f t="shared" ref="AI177:AM177" si="468">AB177/U177</f>
        <v>0.002344416027</v>
      </c>
      <c r="AJ177" s="165">
        <f t="shared" si="468"/>
        <v>-0.006527742907</v>
      </c>
      <c r="AK177" s="165">
        <f t="shared" si="468"/>
        <v>0.03565365025</v>
      </c>
      <c r="AL177" s="165">
        <f t="shared" si="468"/>
        <v>0.03981878875</v>
      </c>
      <c r="AM177" s="165">
        <f t="shared" si="468"/>
        <v>0.003680529996</v>
      </c>
      <c r="AN177" s="684">
        <f t="shared" si="453"/>
        <v>0</v>
      </c>
      <c r="AO177" s="180">
        <v>0.0</v>
      </c>
      <c r="AP177" s="180">
        <v>0.0</v>
      </c>
      <c r="AQ177" s="180">
        <v>0.0</v>
      </c>
      <c r="AR177" s="180">
        <v>0.0</v>
      </c>
      <c r="AS177" s="180">
        <v>0.0</v>
      </c>
      <c r="AT177" s="180">
        <v>0.0</v>
      </c>
      <c r="AU177" s="684">
        <f t="shared" si="454"/>
        <v>13628</v>
      </c>
      <c r="AV177" s="641">
        <v>3782.0</v>
      </c>
      <c r="AW177" s="625">
        <v>3352.0</v>
      </c>
      <c r="AX177" s="625">
        <v>3024.0</v>
      </c>
      <c r="AY177" s="625">
        <v>2743.0</v>
      </c>
      <c r="AZ177" s="625">
        <v>2408.0</v>
      </c>
      <c r="BA177" s="693">
        <v>2101.0</v>
      </c>
      <c r="BB177" s="631"/>
      <c r="BC177" s="189" t="s">
        <v>695</v>
      </c>
      <c r="BD177" s="186" t="s">
        <v>3303</v>
      </c>
      <c r="BE177" s="179" t="s">
        <v>3304</v>
      </c>
      <c r="BF177" s="179" t="s">
        <v>3305</v>
      </c>
      <c r="BG177" s="179" t="s">
        <v>3306</v>
      </c>
      <c r="BH177" s="179" t="s">
        <v>3307</v>
      </c>
      <c r="BI177" s="179" t="s">
        <v>3308</v>
      </c>
      <c r="BJ177" s="179"/>
      <c r="BK177" s="631"/>
      <c r="BL177" s="179" t="b">
        <f t="shared" si="26"/>
        <v>1</v>
      </c>
      <c r="BM177" s="179" t="b">
        <f t="shared" si="27"/>
        <v>0</v>
      </c>
      <c r="BN177" s="688" t="b">
        <f t="shared" si="28"/>
        <v>1</v>
      </c>
    </row>
    <row r="178">
      <c r="A178" s="675" t="s">
        <v>3301</v>
      </c>
      <c r="B178" s="186" t="s">
        <v>3581</v>
      </c>
      <c r="C178" s="676" t="s">
        <v>3404</v>
      </c>
      <c r="D178" s="677">
        <v>93.0</v>
      </c>
      <c r="E178" s="632" t="s">
        <v>1009</v>
      </c>
      <c r="F178" s="678">
        <f t="shared" ref="F178:G178" si="469">H178+J178+L178+N178+P178</f>
        <v>19400</v>
      </c>
      <c r="G178" s="679">
        <f t="shared" si="469"/>
        <v>954</v>
      </c>
      <c r="H178" s="641">
        <v>4479.0</v>
      </c>
      <c r="I178" s="680">
        <v>430.0</v>
      </c>
      <c r="J178" s="641">
        <v>5922.0</v>
      </c>
      <c r="K178" s="680">
        <v>231.0</v>
      </c>
      <c r="L178" s="641">
        <v>5589.0</v>
      </c>
      <c r="M178" s="680">
        <v>328.0</v>
      </c>
      <c r="N178" s="641">
        <v>2873.0</v>
      </c>
      <c r="O178" s="680">
        <v>-109.0</v>
      </c>
      <c r="P178" s="641">
        <v>537.0</v>
      </c>
      <c r="Q178" s="680">
        <v>74.0</v>
      </c>
      <c r="R178" s="681" t="s">
        <v>3544</v>
      </c>
      <c r="S178" s="682">
        <f t="shared" si="10"/>
        <v>19400</v>
      </c>
      <c r="T178" s="683"/>
      <c r="U178" s="625">
        <f t="shared" si="442"/>
        <v>4479</v>
      </c>
      <c r="V178" s="625">
        <f t="shared" si="443"/>
        <v>5922</v>
      </c>
      <c r="W178" s="625">
        <f t="shared" si="444"/>
        <v>5589</v>
      </c>
      <c r="X178" s="625">
        <f t="shared" si="445"/>
        <v>2873</v>
      </c>
      <c r="Y178" s="625">
        <f t="shared" si="446"/>
        <v>537</v>
      </c>
      <c r="Z178" s="656">
        <f t="shared" si="16"/>
        <v>954</v>
      </c>
      <c r="AA178" s="683"/>
      <c r="AB178" s="625">
        <f t="shared" si="447"/>
        <v>430</v>
      </c>
      <c r="AC178" s="625">
        <f t="shared" si="448"/>
        <v>231</v>
      </c>
      <c r="AD178" s="625">
        <f t="shared" si="449"/>
        <v>328</v>
      </c>
      <c r="AE178" s="625">
        <f t="shared" si="450"/>
        <v>-109</v>
      </c>
      <c r="AF178" s="625">
        <f t="shared" si="451"/>
        <v>74</v>
      </c>
      <c r="AG178" s="657">
        <f t="shared" si="22"/>
        <v>0.04917525773</v>
      </c>
      <c r="AH178" s="165"/>
      <c r="AI178" s="165">
        <f t="shared" ref="AI178:AM178" si="470">AB178/U178</f>
        <v>0.09600357223</v>
      </c>
      <c r="AJ178" s="165">
        <f t="shared" si="470"/>
        <v>0.0390070922</v>
      </c>
      <c r="AK178" s="165">
        <f t="shared" si="470"/>
        <v>0.05868670603</v>
      </c>
      <c r="AL178" s="165">
        <f t="shared" si="470"/>
        <v>-0.03793943613</v>
      </c>
      <c r="AM178" s="165">
        <f t="shared" si="470"/>
        <v>0.1378026071</v>
      </c>
      <c r="AN178" s="684">
        <f t="shared" si="453"/>
        <v>17455</v>
      </c>
      <c r="AO178" s="685"/>
      <c r="AP178" s="685">
        <v>5480.0</v>
      </c>
      <c r="AQ178" s="180">
        <v>4014.0</v>
      </c>
      <c r="AR178" s="732">
        <v>608.0</v>
      </c>
      <c r="AS178" s="180">
        <v>3067.0</v>
      </c>
      <c r="AT178" s="180">
        <v>4286.0</v>
      </c>
      <c r="AU178" s="684">
        <f t="shared" si="454"/>
        <v>8271</v>
      </c>
      <c r="AV178" s="685"/>
      <c r="AW178" s="685">
        <v>2012.0</v>
      </c>
      <c r="AX178" s="180">
        <v>1837.0</v>
      </c>
      <c r="AY178" s="732">
        <v>1638.0</v>
      </c>
      <c r="AZ178" s="180">
        <v>1452.0</v>
      </c>
      <c r="BA178" s="686">
        <v>1332.0</v>
      </c>
      <c r="BB178" s="631"/>
      <c r="BC178" s="687" t="s">
        <v>695</v>
      </c>
      <c r="BD178" s="688" t="s">
        <v>3303</v>
      </c>
      <c r="BE178" s="186" t="s">
        <v>3304</v>
      </c>
      <c r="BF178" s="186" t="s">
        <v>3305</v>
      </c>
      <c r="BG178" s="186" t="s">
        <v>3306</v>
      </c>
      <c r="BH178" s="186" t="s">
        <v>3307</v>
      </c>
      <c r="BI178" s="179" t="s">
        <v>3308</v>
      </c>
      <c r="BJ178" s="179"/>
      <c r="BK178" s="631"/>
      <c r="BL178" s="179" t="b">
        <f t="shared" si="26"/>
        <v>1</v>
      </c>
      <c r="BM178" s="179" t="b">
        <f t="shared" si="27"/>
        <v>1</v>
      </c>
      <c r="BN178" s="688" t="b">
        <f t="shared" si="28"/>
        <v>1</v>
      </c>
    </row>
    <row r="179">
      <c r="A179" s="675" t="s">
        <v>3301</v>
      </c>
      <c r="B179" s="186" t="s">
        <v>3582</v>
      </c>
      <c r="C179" s="676" t="s">
        <v>2113</v>
      </c>
      <c r="D179" s="677">
        <v>320.0</v>
      </c>
      <c r="E179" s="632" t="s">
        <v>1000</v>
      </c>
      <c r="F179" s="678">
        <f t="shared" ref="F179:G179" si="471">H179+J179+L179+N179+P179</f>
        <v>16948</v>
      </c>
      <c r="G179" s="679">
        <f t="shared" si="471"/>
        <v>2360</v>
      </c>
      <c r="H179" s="641">
        <v>3998.0</v>
      </c>
      <c r="I179" s="680">
        <v>645.0</v>
      </c>
      <c r="J179" s="641">
        <v>3742.0</v>
      </c>
      <c r="K179" s="680">
        <v>553.0</v>
      </c>
      <c r="L179" s="641">
        <v>2462.0</v>
      </c>
      <c r="M179" s="680">
        <v>307.0</v>
      </c>
      <c r="N179" s="641">
        <v>3408.0</v>
      </c>
      <c r="O179" s="680">
        <v>356.0</v>
      </c>
      <c r="P179" s="641">
        <v>3338.0</v>
      </c>
      <c r="Q179" s="680">
        <v>499.0</v>
      </c>
      <c r="R179" s="681" t="s">
        <v>718</v>
      </c>
      <c r="S179" s="682">
        <f t="shared" si="10"/>
        <v>16948</v>
      </c>
      <c r="T179" s="683"/>
      <c r="U179" s="625">
        <f t="shared" si="442"/>
        <v>3998</v>
      </c>
      <c r="V179" s="625">
        <f t="shared" si="443"/>
        <v>3742</v>
      </c>
      <c r="W179" s="625">
        <f t="shared" si="444"/>
        <v>2462</v>
      </c>
      <c r="X179" s="625">
        <f t="shared" si="445"/>
        <v>3408</v>
      </c>
      <c r="Y179" s="625">
        <f t="shared" si="446"/>
        <v>3338</v>
      </c>
      <c r="Z179" s="656">
        <f t="shared" si="16"/>
        <v>2360</v>
      </c>
      <c r="AA179" s="683"/>
      <c r="AB179" s="625">
        <f t="shared" si="447"/>
        <v>645</v>
      </c>
      <c r="AC179" s="625">
        <f t="shared" si="448"/>
        <v>553</v>
      </c>
      <c r="AD179" s="625">
        <f t="shared" si="449"/>
        <v>307</v>
      </c>
      <c r="AE179" s="625">
        <f t="shared" si="450"/>
        <v>356</v>
      </c>
      <c r="AF179" s="625">
        <f t="shared" si="451"/>
        <v>499</v>
      </c>
      <c r="AG179" s="657">
        <f t="shared" si="22"/>
        <v>0.139249469</v>
      </c>
      <c r="AH179" s="165"/>
      <c r="AI179" s="165">
        <f t="shared" ref="AI179:AM179" si="472">AB179/U179</f>
        <v>0.1613306653</v>
      </c>
      <c r="AJ179" s="165">
        <f t="shared" si="472"/>
        <v>0.1477819348</v>
      </c>
      <c r="AK179" s="165">
        <f t="shared" si="472"/>
        <v>0.1246953696</v>
      </c>
      <c r="AL179" s="165">
        <f t="shared" si="472"/>
        <v>0.1044600939</v>
      </c>
      <c r="AM179" s="165">
        <f t="shared" si="472"/>
        <v>0.149490713</v>
      </c>
      <c r="AN179" s="684">
        <f t="shared" si="453"/>
        <v>12819</v>
      </c>
      <c r="AO179" s="641">
        <v>622.0</v>
      </c>
      <c r="AP179" s="641">
        <v>3110.0</v>
      </c>
      <c r="AQ179" s="641">
        <v>3390.0</v>
      </c>
      <c r="AR179" s="641">
        <v>1439.0</v>
      </c>
      <c r="AS179" s="641">
        <v>2099.0</v>
      </c>
      <c r="AT179" s="641">
        <v>2781.0</v>
      </c>
      <c r="AU179" s="684">
        <f t="shared" si="454"/>
        <v>4948</v>
      </c>
      <c r="AV179" s="641">
        <v>1225.0</v>
      </c>
      <c r="AW179" s="641">
        <v>1167.0</v>
      </c>
      <c r="AX179" s="641">
        <v>1028.0</v>
      </c>
      <c r="AY179" s="641">
        <v>960.0</v>
      </c>
      <c r="AZ179" s="641">
        <v>949.0</v>
      </c>
      <c r="BA179" s="691">
        <v>844.0</v>
      </c>
      <c r="BB179" s="631"/>
      <c r="BC179" s="189" t="s">
        <v>695</v>
      </c>
      <c r="BD179" s="186" t="s">
        <v>3303</v>
      </c>
      <c r="BE179" s="179" t="s">
        <v>3304</v>
      </c>
      <c r="BF179" s="179" t="s">
        <v>3305</v>
      </c>
      <c r="BG179" s="179" t="s">
        <v>3306</v>
      </c>
      <c r="BH179" s="179" t="s">
        <v>3307</v>
      </c>
      <c r="BI179" s="179" t="s">
        <v>3308</v>
      </c>
      <c r="BJ179" s="179"/>
      <c r="BK179" s="631"/>
      <c r="BL179" s="179" t="b">
        <f t="shared" si="26"/>
        <v>1</v>
      </c>
      <c r="BM179" s="179" t="b">
        <f t="shared" si="27"/>
        <v>1</v>
      </c>
      <c r="BN179" s="688" t="b">
        <f t="shared" si="28"/>
        <v>1</v>
      </c>
    </row>
    <row r="180">
      <c r="A180" s="689"/>
      <c r="B180" s="186" t="s">
        <v>3583</v>
      </c>
      <c r="C180" s="676" t="s">
        <v>2113</v>
      </c>
      <c r="D180" s="677">
        <v>477.0</v>
      </c>
      <c r="E180" s="632" t="s">
        <v>3584</v>
      </c>
      <c r="F180" s="678">
        <f t="shared" ref="F180:G180" si="473">H180+J180+L180+N180+P180</f>
        <v>6023.5</v>
      </c>
      <c r="G180" s="679">
        <f t="shared" si="473"/>
        <v>1169</v>
      </c>
      <c r="H180" s="641">
        <v>1120.7</v>
      </c>
      <c r="I180" s="680">
        <v>358.0</v>
      </c>
      <c r="J180" s="641">
        <v>1367.0</v>
      </c>
      <c r="K180" s="680">
        <v>242.0</v>
      </c>
      <c r="L180" s="641">
        <v>1166.4</v>
      </c>
      <c r="M180" s="680">
        <v>203.0</v>
      </c>
      <c r="N180" s="641">
        <v>1293.4</v>
      </c>
      <c r="O180" s="680">
        <v>216.4</v>
      </c>
      <c r="P180" s="641">
        <v>1076.0</v>
      </c>
      <c r="Q180" s="680">
        <v>149.6</v>
      </c>
      <c r="R180" s="681" t="s">
        <v>710</v>
      </c>
      <c r="S180" s="682">
        <f t="shared" si="10"/>
        <v>6023.5</v>
      </c>
      <c r="T180" s="683"/>
      <c r="U180" s="625">
        <f t="shared" si="442"/>
        <v>1120.7</v>
      </c>
      <c r="V180" s="625">
        <f t="shared" si="443"/>
        <v>1367</v>
      </c>
      <c r="W180" s="625">
        <f t="shared" si="444"/>
        <v>1166.4</v>
      </c>
      <c r="X180" s="625">
        <f t="shared" si="445"/>
        <v>1293.4</v>
      </c>
      <c r="Y180" s="625">
        <f t="shared" si="446"/>
        <v>1076</v>
      </c>
      <c r="Z180" s="656">
        <f t="shared" si="16"/>
        <v>1169</v>
      </c>
      <c r="AA180" s="683"/>
      <c r="AB180" s="625">
        <f t="shared" si="447"/>
        <v>358</v>
      </c>
      <c r="AC180" s="625">
        <f t="shared" si="448"/>
        <v>242</v>
      </c>
      <c r="AD180" s="625">
        <f t="shared" si="449"/>
        <v>203</v>
      </c>
      <c r="AE180" s="625">
        <f t="shared" si="450"/>
        <v>216.4</v>
      </c>
      <c r="AF180" s="625">
        <f t="shared" si="451"/>
        <v>149.6</v>
      </c>
      <c r="AG180" s="657">
        <f t="shared" si="22"/>
        <v>0.1940732132</v>
      </c>
      <c r="AH180" s="165"/>
      <c r="AI180" s="165">
        <f t="shared" ref="AI180:AM180" si="474">AB180/U180</f>
        <v>0.3194432051</v>
      </c>
      <c r="AJ180" s="165">
        <f t="shared" si="474"/>
        <v>0.1770299927</v>
      </c>
      <c r="AK180" s="165">
        <f t="shared" si="474"/>
        <v>0.1740397805</v>
      </c>
      <c r="AL180" s="165">
        <f t="shared" si="474"/>
        <v>0.1673109634</v>
      </c>
      <c r="AM180" s="165">
        <f t="shared" si="474"/>
        <v>0.1390334572</v>
      </c>
      <c r="AN180" s="684">
        <f t="shared" si="453"/>
        <v>3027</v>
      </c>
      <c r="AO180" s="625"/>
      <c r="AP180" s="625">
        <v>35.0</v>
      </c>
      <c r="AQ180" s="625">
        <v>268.0</v>
      </c>
      <c r="AR180" s="625">
        <v>700.0</v>
      </c>
      <c r="AS180" s="625">
        <v>1100.0</v>
      </c>
      <c r="AT180" s="625">
        <v>924.0</v>
      </c>
      <c r="AU180" s="684">
        <f>SUM(AW180:BB180)</f>
        <v>3081</v>
      </c>
      <c r="AV180" s="641"/>
      <c r="AW180" s="641">
        <v>797.0</v>
      </c>
      <c r="AX180" s="641">
        <v>625.0</v>
      </c>
      <c r="AY180" s="641">
        <v>631.0</v>
      </c>
      <c r="AZ180" s="641">
        <v>576.0</v>
      </c>
      <c r="BA180" s="691">
        <v>452.0</v>
      </c>
      <c r="BB180" s="631"/>
      <c r="BC180" s="189" t="s">
        <v>695</v>
      </c>
      <c r="BD180" s="688" t="s">
        <v>3303</v>
      </c>
      <c r="BE180" s="179" t="s">
        <v>3304</v>
      </c>
      <c r="BF180" s="179" t="s">
        <v>3305</v>
      </c>
      <c r="BG180" s="179" t="s">
        <v>3306</v>
      </c>
      <c r="BH180" s="179" t="s">
        <v>3307</v>
      </c>
      <c r="BI180" s="179" t="s">
        <v>3308</v>
      </c>
      <c r="BJ180" s="179"/>
      <c r="BK180" s="631"/>
      <c r="BL180" s="179" t="b">
        <f t="shared" si="26"/>
        <v>1</v>
      </c>
      <c r="BM180" s="179" t="b">
        <f t="shared" si="27"/>
        <v>1</v>
      </c>
      <c r="BN180" s="688" t="b">
        <f t="shared" si="28"/>
        <v>1</v>
      </c>
    </row>
    <row r="181">
      <c r="A181" s="675" t="s">
        <v>3301</v>
      </c>
      <c r="B181" s="186" t="s">
        <v>3585</v>
      </c>
      <c r="C181" s="676" t="s">
        <v>2113</v>
      </c>
      <c r="D181" s="677">
        <v>113.0</v>
      </c>
      <c r="E181" s="632" t="s">
        <v>988</v>
      </c>
      <c r="F181" s="678">
        <f t="shared" ref="F181:G181" si="475">H181+J181+L181+N181+P181</f>
        <v>25888</v>
      </c>
      <c r="G181" s="679">
        <f t="shared" si="475"/>
        <v>3983</v>
      </c>
      <c r="H181" s="641">
        <v>5836.0</v>
      </c>
      <c r="I181" s="680">
        <v>1289.0</v>
      </c>
      <c r="J181" s="641">
        <v>10114.0</v>
      </c>
      <c r="K181" s="680">
        <v>1398.0</v>
      </c>
      <c r="L181" s="641">
        <v>3716.0</v>
      </c>
      <c r="M181" s="680">
        <v>246.0</v>
      </c>
      <c r="N181" s="641">
        <v>2508.0</v>
      </c>
      <c r="O181" s="680">
        <v>758.0</v>
      </c>
      <c r="P181" s="641">
        <v>3714.0</v>
      </c>
      <c r="Q181" s="680">
        <v>292.0</v>
      </c>
      <c r="R181" s="681" t="s">
        <v>718</v>
      </c>
      <c r="S181" s="682">
        <f t="shared" si="10"/>
        <v>25888</v>
      </c>
      <c r="T181" s="683"/>
      <c r="U181" s="625">
        <f t="shared" si="442"/>
        <v>5836</v>
      </c>
      <c r="V181" s="625">
        <f t="shared" si="443"/>
        <v>10114</v>
      </c>
      <c r="W181" s="625">
        <f t="shared" si="444"/>
        <v>3716</v>
      </c>
      <c r="X181" s="625">
        <f t="shared" si="445"/>
        <v>2508</v>
      </c>
      <c r="Y181" s="625">
        <f t="shared" si="446"/>
        <v>3714</v>
      </c>
      <c r="Z181" s="656">
        <f t="shared" si="16"/>
        <v>3983</v>
      </c>
      <c r="AA181" s="683"/>
      <c r="AB181" s="625">
        <f t="shared" si="447"/>
        <v>1289</v>
      </c>
      <c r="AC181" s="625">
        <f t="shared" si="448"/>
        <v>1398</v>
      </c>
      <c r="AD181" s="625">
        <f t="shared" si="449"/>
        <v>246</v>
      </c>
      <c r="AE181" s="625">
        <f t="shared" si="450"/>
        <v>758</v>
      </c>
      <c r="AF181" s="625">
        <f t="shared" si="451"/>
        <v>292</v>
      </c>
      <c r="AG181" s="657">
        <f t="shared" si="22"/>
        <v>0.153855068</v>
      </c>
      <c r="AH181" s="165"/>
      <c r="AI181" s="165">
        <f t="shared" ref="AI181:AM181" si="476">AB181/U181</f>
        <v>0.2208704592</v>
      </c>
      <c r="AJ181" s="165">
        <f t="shared" si="476"/>
        <v>0.1382242436</v>
      </c>
      <c r="AK181" s="165">
        <f t="shared" si="476"/>
        <v>0.06620021529</v>
      </c>
      <c r="AL181" s="165">
        <f t="shared" si="476"/>
        <v>0.3022328549</v>
      </c>
      <c r="AM181" s="165">
        <f t="shared" si="476"/>
        <v>0.07862143242</v>
      </c>
      <c r="AN181" s="684">
        <f t="shared" si="453"/>
        <v>7706</v>
      </c>
      <c r="AO181" s="685">
        <v>1500.0</v>
      </c>
      <c r="AP181" s="180">
        <v>1504.0</v>
      </c>
      <c r="AQ181" s="180">
        <v>3705.0</v>
      </c>
      <c r="AR181" s="180">
        <v>490.0</v>
      </c>
      <c r="AS181" s="180">
        <v>744.0</v>
      </c>
      <c r="AT181" s="180">
        <v>1263.0</v>
      </c>
      <c r="AU181" s="684">
        <f t="shared" ref="AU181:AU187" si="479">SUM(AW181:BA181)</f>
        <v>4689</v>
      </c>
      <c r="AV181" s="685">
        <v>1116.0</v>
      </c>
      <c r="AW181" s="180">
        <v>1052.0</v>
      </c>
      <c r="AX181" s="180">
        <v>983.0</v>
      </c>
      <c r="AY181" s="180">
        <v>953.0</v>
      </c>
      <c r="AZ181" s="180">
        <v>880.0</v>
      </c>
      <c r="BA181" s="686">
        <v>821.0</v>
      </c>
      <c r="BB181" s="646"/>
      <c r="BC181" s="687" t="s">
        <v>695</v>
      </c>
      <c r="BD181" s="186" t="s">
        <v>3303</v>
      </c>
      <c r="BE181" s="186" t="s">
        <v>3304</v>
      </c>
      <c r="BF181" s="186" t="s">
        <v>3305</v>
      </c>
      <c r="BG181" s="186" t="s">
        <v>3306</v>
      </c>
      <c r="BH181" s="179" t="s">
        <v>3307</v>
      </c>
      <c r="BI181" s="179" t="s">
        <v>3308</v>
      </c>
      <c r="BJ181" s="179"/>
      <c r="BK181" s="631"/>
      <c r="BL181" s="179" t="b">
        <f t="shared" si="26"/>
        <v>1</v>
      </c>
      <c r="BM181" s="179" t="b">
        <f t="shared" si="27"/>
        <v>1</v>
      </c>
      <c r="BN181" s="688" t="b">
        <f t="shared" si="28"/>
        <v>1</v>
      </c>
    </row>
    <row r="182">
      <c r="A182" s="696" t="s">
        <v>1534</v>
      </c>
      <c r="B182" s="186" t="s">
        <v>3586</v>
      </c>
      <c r="C182" s="697" t="s">
        <v>2113</v>
      </c>
      <c r="D182" s="677">
        <v>130.0</v>
      </c>
      <c r="E182" s="632" t="s">
        <v>28</v>
      </c>
      <c r="F182" s="678">
        <f t="shared" ref="F182:G182" si="477">H182+J182+L182+N182+P182</f>
        <v>6040</v>
      </c>
      <c r="G182" s="679">
        <f t="shared" si="477"/>
        <v>3</v>
      </c>
      <c r="H182" s="641">
        <v>1371.0</v>
      </c>
      <c r="I182" s="680">
        <v>3.0</v>
      </c>
      <c r="J182" s="641">
        <v>2711.0</v>
      </c>
      <c r="K182" s="680">
        <v>0.0</v>
      </c>
      <c r="L182" s="641">
        <v>727.0</v>
      </c>
      <c r="M182" s="680">
        <v>0.0</v>
      </c>
      <c r="N182" s="641">
        <v>769.0</v>
      </c>
      <c r="O182" s="680">
        <v>0.0</v>
      </c>
      <c r="P182" s="641">
        <v>462.0</v>
      </c>
      <c r="Q182" s="680">
        <v>0.0</v>
      </c>
      <c r="R182" s="681" t="s">
        <v>706</v>
      </c>
      <c r="S182" s="682">
        <f t="shared" si="10"/>
        <v>6040</v>
      </c>
      <c r="T182" s="683"/>
      <c r="U182" s="625">
        <f t="shared" si="442"/>
        <v>1371</v>
      </c>
      <c r="V182" s="625">
        <f t="shared" si="443"/>
        <v>2711</v>
      </c>
      <c r="W182" s="625">
        <f t="shared" si="444"/>
        <v>727</v>
      </c>
      <c r="X182" s="625">
        <f t="shared" si="445"/>
        <v>769</v>
      </c>
      <c r="Y182" s="625">
        <f t="shared" si="446"/>
        <v>462</v>
      </c>
      <c r="Z182" s="656">
        <f t="shared" si="16"/>
        <v>3</v>
      </c>
      <c r="AA182" s="683"/>
      <c r="AB182" s="625">
        <f t="shared" si="447"/>
        <v>3</v>
      </c>
      <c r="AC182" s="625">
        <f t="shared" si="448"/>
        <v>0</v>
      </c>
      <c r="AD182" s="625">
        <f t="shared" si="449"/>
        <v>0</v>
      </c>
      <c r="AE182" s="625">
        <f t="shared" si="450"/>
        <v>0</v>
      </c>
      <c r="AF182" s="625">
        <f t="shared" si="451"/>
        <v>0</v>
      </c>
      <c r="AG182" s="657">
        <f t="shared" si="22"/>
        <v>0.0004966887417</v>
      </c>
      <c r="AH182" s="165"/>
      <c r="AI182" s="165">
        <f t="shared" ref="AI182:AM182" si="478">AB182/U182</f>
        <v>0.002188183807</v>
      </c>
      <c r="AJ182" s="165">
        <f t="shared" si="478"/>
        <v>0</v>
      </c>
      <c r="AK182" s="165">
        <f t="shared" si="478"/>
        <v>0</v>
      </c>
      <c r="AL182" s="165">
        <f t="shared" si="478"/>
        <v>0</v>
      </c>
      <c r="AM182" s="165">
        <f t="shared" si="478"/>
        <v>0</v>
      </c>
      <c r="AN182" s="684">
        <f t="shared" si="453"/>
        <v>3573</v>
      </c>
      <c r="AO182" s="641">
        <v>1172.0</v>
      </c>
      <c r="AP182" s="625">
        <v>606.0</v>
      </c>
      <c r="AQ182" s="625">
        <v>48.0</v>
      </c>
      <c r="AR182" s="625">
        <v>229.0</v>
      </c>
      <c r="AS182" s="625">
        <v>1440.0</v>
      </c>
      <c r="AT182" s="625">
        <v>1250.0</v>
      </c>
      <c r="AU182" s="684">
        <f t="shared" si="479"/>
        <v>1015</v>
      </c>
      <c r="AV182" s="641">
        <v>381.0</v>
      </c>
      <c r="AW182" s="625">
        <v>332.0</v>
      </c>
      <c r="AX182" s="625">
        <v>319.0</v>
      </c>
      <c r="AY182" s="625">
        <v>295.0</v>
      </c>
      <c r="AZ182" s="625">
        <v>32.0</v>
      </c>
      <c r="BA182" s="693">
        <v>37.0</v>
      </c>
      <c r="BB182" s="631"/>
      <c r="BC182" s="189" t="s">
        <v>695</v>
      </c>
      <c r="BD182" s="186" t="s">
        <v>3303</v>
      </c>
      <c r="BE182" s="179" t="s">
        <v>3304</v>
      </c>
      <c r="BF182" s="179" t="s">
        <v>3305</v>
      </c>
      <c r="BG182" s="179" t="s">
        <v>3306</v>
      </c>
      <c r="BH182" s="179" t="s">
        <v>3307</v>
      </c>
      <c r="BI182" s="179" t="s">
        <v>3308</v>
      </c>
      <c r="BJ182" s="179"/>
      <c r="BK182" s="631"/>
      <c r="BL182" s="179" t="b">
        <f t="shared" si="26"/>
        <v>1</v>
      </c>
      <c r="BM182" s="179" t="b">
        <f t="shared" si="27"/>
        <v>1</v>
      </c>
      <c r="BN182" s="688" t="b">
        <f t="shared" si="28"/>
        <v>1</v>
      </c>
    </row>
    <row r="183">
      <c r="A183" s="675" t="s">
        <v>3301</v>
      </c>
      <c r="B183" s="186" t="s">
        <v>3587</v>
      </c>
      <c r="C183" s="676" t="s">
        <v>2113</v>
      </c>
      <c r="D183" s="677">
        <v>102.0</v>
      </c>
      <c r="E183" s="632" t="s">
        <v>973</v>
      </c>
      <c r="F183" s="678">
        <f t="shared" ref="F183:G183" si="480">H183+J183+L183+N183+P183</f>
        <v>23617.88</v>
      </c>
      <c r="G183" s="679">
        <f t="shared" si="480"/>
        <v>4346.16</v>
      </c>
      <c r="H183" s="641">
        <v>9436.55</v>
      </c>
      <c r="I183" s="680">
        <v>1895.0</v>
      </c>
      <c r="J183" s="641">
        <v>8488.26</v>
      </c>
      <c r="K183" s="680">
        <v>1753.38</v>
      </c>
      <c r="L183" s="641">
        <v>1105.65</v>
      </c>
      <c r="M183" s="680">
        <v>-177.16</v>
      </c>
      <c r="N183" s="641">
        <v>1644.25</v>
      </c>
      <c r="O183" s="680">
        <v>241.07</v>
      </c>
      <c r="P183" s="641">
        <v>2943.17</v>
      </c>
      <c r="Q183" s="680">
        <v>633.87</v>
      </c>
      <c r="R183" s="681" t="s">
        <v>715</v>
      </c>
      <c r="S183" s="682">
        <f t="shared" si="10"/>
        <v>23617.88</v>
      </c>
      <c r="T183" s="683"/>
      <c r="U183" s="625">
        <f t="shared" si="442"/>
        <v>9436.55</v>
      </c>
      <c r="V183" s="625">
        <f t="shared" si="443"/>
        <v>8488.26</v>
      </c>
      <c r="W183" s="625">
        <f t="shared" si="444"/>
        <v>1105.65</v>
      </c>
      <c r="X183" s="625">
        <f t="shared" si="445"/>
        <v>1644.25</v>
      </c>
      <c r="Y183" s="625">
        <f t="shared" si="446"/>
        <v>2943.17</v>
      </c>
      <c r="Z183" s="656">
        <f t="shared" si="16"/>
        <v>4346.16</v>
      </c>
      <c r="AA183" s="683"/>
      <c r="AB183" s="625">
        <f t="shared" si="447"/>
        <v>1895</v>
      </c>
      <c r="AC183" s="625">
        <f t="shared" si="448"/>
        <v>1753.38</v>
      </c>
      <c r="AD183" s="625">
        <f t="shared" si="449"/>
        <v>-177.16</v>
      </c>
      <c r="AE183" s="625">
        <f t="shared" si="450"/>
        <v>241.07</v>
      </c>
      <c r="AF183" s="625">
        <f t="shared" si="451"/>
        <v>633.87</v>
      </c>
      <c r="AG183" s="657">
        <f t="shared" si="22"/>
        <v>0.1840199036</v>
      </c>
      <c r="AH183" s="165"/>
      <c r="AI183" s="165">
        <f t="shared" ref="AI183:AM183" si="481">AB183/U183</f>
        <v>0.2008149165</v>
      </c>
      <c r="AJ183" s="165">
        <f t="shared" si="481"/>
        <v>0.2065653031</v>
      </c>
      <c r="AK183" s="165">
        <f t="shared" si="481"/>
        <v>-0.160231538</v>
      </c>
      <c r="AL183" s="165">
        <f t="shared" si="481"/>
        <v>0.1466139577</v>
      </c>
      <c r="AM183" s="165">
        <f t="shared" si="481"/>
        <v>0.2153698223</v>
      </c>
      <c r="AN183" s="684">
        <f t="shared" si="453"/>
        <v>7230.693</v>
      </c>
      <c r="AO183" s="641">
        <v>1553.933</v>
      </c>
      <c r="AP183" s="641">
        <v>2762.568</v>
      </c>
      <c r="AQ183" s="641">
        <v>3276.088</v>
      </c>
      <c r="AR183" s="641">
        <v>39.499</v>
      </c>
      <c r="AS183" s="641">
        <v>298.541</v>
      </c>
      <c r="AT183" s="641">
        <v>853.997</v>
      </c>
      <c r="AU183" s="684">
        <f t="shared" si="479"/>
        <v>2486.16</v>
      </c>
      <c r="AV183" s="641">
        <v>514.534</v>
      </c>
      <c r="AW183" s="625">
        <v>533.59</v>
      </c>
      <c r="AX183" s="625">
        <v>483.47</v>
      </c>
      <c r="AY183" s="625">
        <v>491.66</v>
      </c>
      <c r="AZ183" s="625">
        <v>492.06</v>
      </c>
      <c r="BA183" s="693">
        <v>485.38</v>
      </c>
      <c r="BB183" s="631"/>
      <c r="BC183" s="189" t="s">
        <v>695</v>
      </c>
      <c r="BD183" s="186" t="s">
        <v>3303</v>
      </c>
      <c r="BE183" s="179" t="s">
        <v>3304</v>
      </c>
      <c r="BF183" s="179" t="s">
        <v>3305</v>
      </c>
      <c r="BG183" s="179" t="s">
        <v>3306</v>
      </c>
      <c r="BH183" s="179" t="s">
        <v>3307</v>
      </c>
      <c r="BI183" s="179" t="s">
        <v>3308</v>
      </c>
      <c r="BJ183" s="179"/>
      <c r="BK183" s="631"/>
      <c r="BL183" s="179" t="b">
        <f t="shared" si="26"/>
        <v>1</v>
      </c>
      <c r="BM183" s="179" t="b">
        <f t="shared" si="27"/>
        <v>1</v>
      </c>
      <c r="BN183" s="688" t="b">
        <f t="shared" si="28"/>
        <v>0</v>
      </c>
    </row>
    <row r="184">
      <c r="A184" s="675" t="s">
        <v>3301</v>
      </c>
      <c r="B184" s="186" t="s">
        <v>3588</v>
      </c>
      <c r="C184" s="676" t="s">
        <v>1578</v>
      </c>
      <c r="D184" s="677">
        <v>152.0</v>
      </c>
      <c r="E184" s="632" t="s">
        <v>967</v>
      </c>
      <c r="F184" s="678">
        <f t="shared" ref="F184:G184" si="482">H184+J184+L184+N184+P184</f>
        <v>15730</v>
      </c>
      <c r="G184" s="679">
        <f t="shared" si="482"/>
        <v>2415</v>
      </c>
      <c r="H184" s="641">
        <v>3431.0</v>
      </c>
      <c r="I184" s="680">
        <v>1703.0</v>
      </c>
      <c r="J184" s="641">
        <v>8404.0</v>
      </c>
      <c r="K184" s="680">
        <v>482.0</v>
      </c>
      <c r="L184" s="641">
        <v>1436.0</v>
      </c>
      <c r="M184" s="680">
        <v>197.0</v>
      </c>
      <c r="N184" s="641">
        <v>616.0</v>
      </c>
      <c r="O184" s="680">
        <v>65.0</v>
      </c>
      <c r="P184" s="641">
        <v>1843.0</v>
      </c>
      <c r="Q184" s="680">
        <v>-32.0</v>
      </c>
      <c r="R184" s="681" t="s">
        <v>702</v>
      </c>
      <c r="S184" s="682">
        <f t="shared" si="10"/>
        <v>15730</v>
      </c>
      <c r="T184" s="683"/>
      <c r="U184" s="625">
        <f t="shared" si="442"/>
        <v>3431</v>
      </c>
      <c r="V184" s="625">
        <f t="shared" si="443"/>
        <v>8404</v>
      </c>
      <c r="W184" s="625">
        <f t="shared" si="444"/>
        <v>1436</v>
      </c>
      <c r="X184" s="625">
        <f t="shared" si="445"/>
        <v>616</v>
      </c>
      <c r="Y184" s="625">
        <f t="shared" si="446"/>
        <v>1843</v>
      </c>
      <c r="Z184" s="656">
        <f t="shared" si="16"/>
        <v>2415</v>
      </c>
      <c r="AA184" s="683"/>
      <c r="AB184" s="625">
        <f t="shared" si="447"/>
        <v>1703</v>
      </c>
      <c r="AC184" s="625">
        <f t="shared" si="448"/>
        <v>482</v>
      </c>
      <c r="AD184" s="625">
        <f t="shared" si="449"/>
        <v>197</v>
      </c>
      <c r="AE184" s="625">
        <f t="shared" si="450"/>
        <v>65</v>
      </c>
      <c r="AF184" s="625">
        <f t="shared" si="451"/>
        <v>-32</v>
      </c>
      <c r="AG184" s="657">
        <f t="shared" si="22"/>
        <v>0.1535282899</v>
      </c>
      <c r="AH184" s="165"/>
      <c r="AI184" s="165">
        <f t="shared" ref="AI184:AM184" si="483">AB184/U184</f>
        <v>0.4963567473</v>
      </c>
      <c r="AJ184" s="165">
        <f t="shared" si="483"/>
        <v>0.05735364112</v>
      </c>
      <c r="AK184" s="165">
        <f t="shared" si="483"/>
        <v>0.1371866295</v>
      </c>
      <c r="AL184" s="165">
        <f t="shared" si="483"/>
        <v>0.1055194805</v>
      </c>
      <c r="AM184" s="165">
        <f t="shared" si="483"/>
        <v>-0.01736299512</v>
      </c>
      <c r="AN184" s="684">
        <f t="shared" si="453"/>
        <v>11618</v>
      </c>
      <c r="AO184" s="641"/>
      <c r="AP184" s="641">
        <v>10039.0</v>
      </c>
      <c r="AQ184" s="180">
        <v>0.0</v>
      </c>
      <c r="AR184" s="180">
        <v>0.0</v>
      </c>
      <c r="AS184" s="180">
        <v>0.0</v>
      </c>
      <c r="AT184" s="641">
        <v>1579.0</v>
      </c>
      <c r="AU184" s="684">
        <f t="shared" si="479"/>
        <v>1953</v>
      </c>
      <c r="AV184" s="625"/>
      <c r="AW184" s="625">
        <v>398.0</v>
      </c>
      <c r="AX184" s="625">
        <v>399.0</v>
      </c>
      <c r="AY184" s="625">
        <v>395.0</v>
      </c>
      <c r="AZ184" s="625">
        <v>390.0</v>
      </c>
      <c r="BA184" s="693">
        <v>371.0</v>
      </c>
      <c r="BB184" s="631"/>
      <c r="BC184" s="189" t="s">
        <v>695</v>
      </c>
      <c r="BD184" s="688" t="s">
        <v>3303</v>
      </c>
      <c r="BE184" s="179" t="s">
        <v>3304</v>
      </c>
      <c r="BF184" s="179" t="s">
        <v>3305</v>
      </c>
      <c r="BG184" s="179" t="s">
        <v>3306</v>
      </c>
      <c r="BH184" s="179" t="s">
        <v>3307</v>
      </c>
      <c r="BI184" s="179" t="s">
        <v>3308</v>
      </c>
      <c r="BJ184" s="179"/>
      <c r="BK184" s="631"/>
      <c r="BL184" s="179" t="b">
        <f t="shared" si="26"/>
        <v>1</v>
      </c>
      <c r="BM184" s="179" t="b">
        <f t="shared" si="27"/>
        <v>1</v>
      </c>
      <c r="BN184" s="688" t="b">
        <f t="shared" si="28"/>
        <v>0</v>
      </c>
    </row>
    <row r="185">
      <c r="A185" s="689"/>
      <c r="B185" s="186" t="s">
        <v>3589</v>
      </c>
      <c r="C185" s="676" t="s">
        <v>2113</v>
      </c>
      <c r="D185" s="677">
        <v>377.0</v>
      </c>
      <c r="E185" s="632" t="s">
        <v>3589</v>
      </c>
      <c r="F185" s="678">
        <f t="shared" ref="F185:G185" si="484">H185+J185+L185+N185+P185</f>
        <v>6585.42</v>
      </c>
      <c r="G185" s="679">
        <f t="shared" si="484"/>
        <v>1078.51</v>
      </c>
      <c r="H185" s="641">
        <v>2126.51</v>
      </c>
      <c r="I185" s="680">
        <v>412.04</v>
      </c>
      <c r="J185" s="641">
        <v>1509.75</v>
      </c>
      <c r="K185" s="680">
        <v>272.97</v>
      </c>
      <c r="L185" s="641">
        <v>1035.26</v>
      </c>
      <c r="M185" s="680">
        <v>151.53</v>
      </c>
      <c r="N185" s="641">
        <v>991.21</v>
      </c>
      <c r="O185" s="680">
        <v>115.61</v>
      </c>
      <c r="P185" s="641">
        <v>922.69</v>
      </c>
      <c r="Q185" s="680">
        <v>126.36</v>
      </c>
      <c r="R185" s="681" t="s">
        <v>718</v>
      </c>
      <c r="S185" s="682">
        <f t="shared" si="10"/>
        <v>6585.42</v>
      </c>
      <c r="T185" s="683"/>
      <c r="U185" s="625">
        <f t="shared" si="442"/>
        <v>2126.51</v>
      </c>
      <c r="V185" s="625">
        <f t="shared" si="443"/>
        <v>1509.75</v>
      </c>
      <c r="W185" s="625">
        <f t="shared" si="444"/>
        <v>1035.26</v>
      </c>
      <c r="X185" s="625">
        <f t="shared" si="445"/>
        <v>991.21</v>
      </c>
      <c r="Y185" s="625">
        <f t="shared" si="446"/>
        <v>922.69</v>
      </c>
      <c r="Z185" s="656">
        <f t="shared" si="16"/>
        <v>1078.51</v>
      </c>
      <c r="AA185" s="683"/>
      <c r="AB185" s="625">
        <f t="shared" si="447"/>
        <v>412.04</v>
      </c>
      <c r="AC185" s="625">
        <f t="shared" si="448"/>
        <v>272.97</v>
      </c>
      <c r="AD185" s="625">
        <f t="shared" si="449"/>
        <v>151.53</v>
      </c>
      <c r="AE185" s="625">
        <f t="shared" si="450"/>
        <v>115.61</v>
      </c>
      <c r="AF185" s="625">
        <f t="shared" si="451"/>
        <v>126.36</v>
      </c>
      <c r="AG185" s="657">
        <f t="shared" si="22"/>
        <v>0.1637723942</v>
      </c>
      <c r="AH185" s="165"/>
      <c r="AI185" s="165">
        <f t="shared" ref="AI185:AM185" si="485">AB185/U185</f>
        <v>0.1937634904</v>
      </c>
      <c r="AJ185" s="165">
        <f t="shared" si="485"/>
        <v>0.180804769</v>
      </c>
      <c r="AK185" s="165">
        <f t="shared" si="485"/>
        <v>0.1463690281</v>
      </c>
      <c r="AL185" s="165">
        <f t="shared" si="485"/>
        <v>0.1166352236</v>
      </c>
      <c r="AM185" s="165">
        <f t="shared" si="485"/>
        <v>0.1369474038</v>
      </c>
      <c r="AN185" s="684">
        <f t="shared" si="453"/>
        <v>4953</v>
      </c>
      <c r="AO185" s="625"/>
      <c r="AP185" s="625">
        <v>1500.0</v>
      </c>
      <c r="AQ185" s="625">
        <v>1538.0</v>
      </c>
      <c r="AR185" s="625">
        <v>371.0</v>
      </c>
      <c r="AS185" s="625">
        <v>698.0</v>
      </c>
      <c r="AT185" s="625">
        <v>846.0</v>
      </c>
      <c r="AU185" s="684">
        <f t="shared" si="479"/>
        <v>0</v>
      </c>
      <c r="AV185" s="180"/>
      <c r="AW185" s="180">
        <v>0.0</v>
      </c>
      <c r="AX185" s="180">
        <v>0.0</v>
      </c>
      <c r="AY185" s="180">
        <v>0.0</v>
      </c>
      <c r="AZ185" s="180">
        <v>0.0</v>
      </c>
      <c r="BA185" s="686">
        <v>0.0</v>
      </c>
      <c r="BB185" s="631"/>
      <c r="BC185" s="189" t="s">
        <v>695</v>
      </c>
      <c r="BD185" s="186" t="s">
        <v>3303</v>
      </c>
      <c r="BE185" s="179" t="s">
        <v>3304</v>
      </c>
      <c r="BF185" s="179" t="s">
        <v>3305</v>
      </c>
      <c r="BG185" s="179" t="s">
        <v>3306</v>
      </c>
      <c r="BH185" s="179" t="s">
        <v>3307</v>
      </c>
      <c r="BI185" s="179" t="s">
        <v>3308</v>
      </c>
      <c r="BJ185" s="179"/>
      <c r="BK185" s="646"/>
      <c r="BL185" s="179" t="b">
        <f t="shared" si="26"/>
        <v>1</v>
      </c>
      <c r="BM185" s="179" t="b">
        <f t="shared" si="27"/>
        <v>1</v>
      </c>
      <c r="BN185" s="688" t="b">
        <f t="shared" si="28"/>
        <v>0</v>
      </c>
    </row>
    <row r="186">
      <c r="A186" s="689"/>
      <c r="B186" s="186" t="s">
        <v>3590</v>
      </c>
      <c r="C186" s="676" t="s">
        <v>2113</v>
      </c>
      <c r="D186" s="677">
        <v>287.0</v>
      </c>
      <c r="E186" s="632" t="s">
        <v>3591</v>
      </c>
      <c r="F186" s="678">
        <f t="shared" ref="F186:G186" si="486">H186+J186+L186+N186+P186</f>
        <v>10882.44</v>
      </c>
      <c r="G186" s="679">
        <f t="shared" si="486"/>
        <v>1948.11</v>
      </c>
      <c r="H186" s="641">
        <v>2691.48</v>
      </c>
      <c r="I186" s="680">
        <v>455.78</v>
      </c>
      <c r="J186" s="641">
        <v>2665.65</v>
      </c>
      <c r="K186" s="680">
        <v>485.99</v>
      </c>
      <c r="L186" s="641">
        <v>2163.3</v>
      </c>
      <c r="M186" s="680">
        <v>401.33</v>
      </c>
      <c r="N186" s="641">
        <v>1727.41</v>
      </c>
      <c r="O186" s="680">
        <v>315.06</v>
      </c>
      <c r="P186" s="641">
        <v>1634.6</v>
      </c>
      <c r="Q186" s="680">
        <v>289.95</v>
      </c>
      <c r="R186" s="681" t="s">
        <v>698</v>
      </c>
      <c r="S186" s="682">
        <f t="shared" si="10"/>
        <v>10882.44</v>
      </c>
      <c r="T186" s="683"/>
      <c r="U186" s="625">
        <f t="shared" si="442"/>
        <v>2691.48</v>
      </c>
      <c r="V186" s="625">
        <f t="shared" si="443"/>
        <v>2665.65</v>
      </c>
      <c r="W186" s="625">
        <f t="shared" si="444"/>
        <v>2163.3</v>
      </c>
      <c r="X186" s="625">
        <f t="shared" si="445"/>
        <v>1727.41</v>
      </c>
      <c r="Y186" s="625">
        <f t="shared" si="446"/>
        <v>1634.6</v>
      </c>
      <c r="Z186" s="656">
        <f t="shared" si="16"/>
        <v>1948.11</v>
      </c>
      <c r="AA186" s="683"/>
      <c r="AB186" s="625">
        <f t="shared" si="447"/>
        <v>455.78</v>
      </c>
      <c r="AC186" s="625">
        <f t="shared" si="448"/>
        <v>485.99</v>
      </c>
      <c r="AD186" s="625">
        <f t="shared" si="449"/>
        <v>401.33</v>
      </c>
      <c r="AE186" s="625">
        <f t="shared" si="450"/>
        <v>315.06</v>
      </c>
      <c r="AF186" s="625">
        <f t="shared" si="451"/>
        <v>289.95</v>
      </c>
      <c r="AG186" s="657">
        <f t="shared" si="22"/>
        <v>0.1790140814</v>
      </c>
      <c r="AH186" s="165"/>
      <c r="AI186" s="165">
        <f t="shared" ref="AI186:AM186" si="487">AB186/U186</f>
        <v>0.1693417748</v>
      </c>
      <c r="AJ186" s="165">
        <f t="shared" si="487"/>
        <v>0.1823157579</v>
      </c>
      <c r="AK186" s="165">
        <f t="shared" si="487"/>
        <v>0.1855174964</v>
      </c>
      <c r="AL186" s="165">
        <f t="shared" si="487"/>
        <v>0.1823886628</v>
      </c>
      <c r="AM186" s="165">
        <f t="shared" si="487"/>
        <v>0.177382846</v>
      </c>
      <c r="AN186" s="684">
        <f t="shared" si="453"/>
        <v>10992</v>
      </c>
      <c r="AO186" s="641"/>
      <c r="AP186" s="641">
        <v>3282.0</v>
      </c>
      <c r="AQ186" s="641">
        <v>2476.0</v>
      </c>
      <c r="AR186" s="641">
        <v>2087.0</v>
      </c>
      <c r="AS186" s="641">
        <v>1433.0</v>
      </c>
      <c r="AT186" s="641">
        <v>1714.0</v>
      </c>
      <c r="AU186" s="684">
        <f t="shared" si="479"/>
        <v>0</v>
      </c>
      <c r="AV186" s="180"/>
      <c r="AW186" s="180">
        <v>0.0</v>
      </c>
      <c r="AX186" s="180">
        <v>0.0</v>
      </c>
      <c r="AY186" s="180">
        <v>0.0</v>
      </c>
      <c r="AZ186" s="180">
        <v>0.0</v>
      </c>
      <c r="BA186" s="686">
        <v>0.0</v>
      </c>
      <c r="BB186" s="631"/>
      <c r="BC186" s="189" t="s">
        <v>695</v>
      </c>
      <c r="BD186" s="688" t="s">
        <v>3303</v>
      </c>
      <c r="BE186" s="179" t="s">
        <v>3304</v>
      </c>
      <c r="BF186" s="179" t="s">
        <v>3305</v>
      </c>
      <c r="BG186" s="179" t="s">
        <v>3306</v>
      </c>
      <c r="BH186" s="179" t="s">
        <v>3307</v>
      </c>
      <c r="BI186" s="179" t="s">
        <v>3308</v>
      </c>
      <c r="BJ186" s="179"/>
      <c r="BK186" s="631"/>
      <c r="BL186" s="179" t="b">
        <f t="shared" si="26"/>
        <v>1</v>
      </c>
      <c r="BM186" s="179" t="b">
        <f t="shared" si="27"/>
        <v>1</v>
      </c>
      <c r="BN186" s="688" t="b">
        <f t="shared" si="28"/>
        <v>0</v>
      </c>
    </row>
    <row r="187">
      <c r="A187" s="212"/>
      <c r="B187" s="186" t="s">
        <v>3592</v>
      </c>
      <c r="C187" s="676" t="s">
        <v>2113</v>
      </c>
      <c r="D187" s="461">
        <v>446.0</v>
      </c>
      <c r="E187" s="131" t="s">
        <v>3593</v>
      </c>
      <c r="F187" s="678">
        <f t="shared" ref="F187:G187" si="488">H187+J187+L187+N187+P187</f>
        <v>694</v>
      </c>
      <c r="G187" s="679">
        <f t="shared" si="488"/>
        <v>-32</v>
      </c>
      <c r="H187" s="641">
        <v>230.0</v>
      </c>
      <c r="I187" s="680">
        <v>26.0</v>
      </c>
      <c r="J187" s="641">
        <v>165.0</v>
      </c>
      <c r="K187" s="680">
        <v>14.0</v>
      </c>
      <c r="L187" s="641">
        <v>55.0</v>
      </c>
      <c r="M187" s="680">
        <v>-11.0</v>
      </c>
      <c r="N187" s="641">
        <v>113.0</v>
      </c>
      <c r="O187" s="680">
        <v>-64.0</v>
      </c>
      <c r="P187" s="641">
        <v>131.0</v>
      </c>
      <c r="Q187" s="680">
        <v>3.0</v>
      </c>
      <c r="R187" s="681" t="s">
        <v>705</v>
      </c>
      <c r="S187" s="682">
        <f t="shared" si="10"/>
        <v>694</v>
      </c>
      <c r="T187" s="683"/>
      <c r="U187" s="625">
        <f t="shared" si="442"/>
        <v>230</v>
      </c>
      <c r="V187" s="625">
        <f t="shared" si="443"/>
        <v>165</v>
      </c>
      <c r="W187" s="625">
        <f t="shared" si="444"/>
        <v>55</v>
      </c>
      <c r="X187" s="625">
        <f t="shared" si="445"/>
        <v>113</v>
      </c>
      <c r="Y187" s="625">
        <f t="shared" si="446"/>
        <v>131</v>
      </c>
      <c r="Z187" s="656">
        <f t="shared" si="16"/>
        <v>-32</v>
      </c>
      <c r="AA187" s="683"/>
      <c r="AB187" s="625">
        <f t="shared" si="447"/>
        <v>26</v>
      </c>
      <c r="AC187" s="625">
        <f t="shared" si="448"/>
        <v>14</v>
      </c>
      <c r="AD187" s="625">
        <f t="shared" si="449"/>
        <v>-11</v>
      </c>
      <c r="AE187" s="625">
        <f t="shared" si="450"/>
        <v>-64</v>
      </c>
      <c r="AF187" s="625">
        <f t="shared" si="451"/>
        <v>3</v>
      </c>
      <c r="AG187" s="657">
        <f t="shared" si="22"/>
        <v>-0.04610951009</v>
      </c>
      <c r="AH187" s="165"/>
      <c r="AI187" s="165">
        <f t="shared" ref="AI187:AM187" si="489">AB187/U187</f>
        <v>0.1130434783</v>
      </c>
      <c r="AJ187" s="165">
        <f t="shared" si="489"/>
        <v>0.08484848485</v>
      </c>
      <c r="AK187" s="165">
        <f t="shared" si="489"/>
        <v>-0.2</v>
      </c>
      <c r="AL187" s="165">
        <f t="shared" si="489"/>
        <v>-0.5663716814</v>
      </c>
      <c r="AM187" s="165">
        <f t="shared" si="489"/>
        <v>0.02290076336</v>
      </c>
      <c r="AN187" s="684">
        <f t="shared" si="453"/>
        <v>745</v>
      </c>
      <c r="AO187" s="625"/>
      <c r="AP187" s="625">
        <v>286.0</v>
      </c>
      <c r="AQ187" s="625">
        <v>333.0</v>
      </c>
      <c r="AR187" s="625">
        <v>35.0</v>
      </c>
      <c r="AS187" s="625">
        <v>49.0</v>
      </c>
      <c r="AT187" s="625">
        <v>42.0</v>
      </c>
      <c r="AU187" s="684">
        <f t="shared" si="479"/>
        <v>123</v>
      </c>
      <c r="AV187" s="625"/>
      <c r="AW187" s="625"/>
      <c r="AX187" s="641"/>
      <c r="AY187" s="641">
        <v>13.0</v>
      </c>
      <c r="AZ187" s="641">
        <v>55.0</v>
      </c>
      <c r="BA187" s="691">
        <v>55.0</v>
      </c>
      <c r="BB187" s="631"/>
      <c r="BC187" s="189" t="s">
        <v>695</v>
      </c>
      <c r="BD187" s="688" t="s">
        <v>3303</v>
      </c>
      <c r="BE187" s="688" t="s">
        <v>3303</v>
      </c>
      <c r="BF187" s="688" t="s">
        <v>3303</v>
      </c>
      <c r="BG187" s="688" t="s">
        <v>3303</v>
      </c>
      <c r="BH187" s="688" t="s">
        <v>3303</v>
      </c>
      <c r="BI187" s="688" t="s">
        <v>3303</v>
      </c>
      <c r="BJ187" s="179"/>
      <c r="BK187" s="631"/>
      <c r="BL187" s="179" t="b">
        <f t="shared" si="26"/>
        <v>1</v>
      </c>
      <c r="BM187" s="179" t="b">
        <f t="shared" si="27"/>
        <v>1</v>
      </c>
      <c r="BN187" s="688" t="b">
        <f t="shared" si="28"/>
        <v>1</v>
      </c>
    </row>
    <row r="188">
      <c r="A188" s="689"/>
      <c r="B188" s="186" t="s">
        <v>3594</v>
      </c>
      <c r="C188" s="676" t="s">
        <v>2113</v>
      </c>
      <c r="D188" s="677">
        <v>290.0</v>
      </c>
      <c r="E188" s="632" t="s">
        <v>3595</v>
      </c>
      <c r="F188" s="678">
        <f t="shared" ref="F188:G188" si="490">H188+J188+L188+N188+P188</f>
        <v>3472.24</v>
      </c>
      <c r="G188" s="679">
        <f t="shared" si="490"/>
        <v>863.7</v>
      </c>
      <c r="H188" s="641">
        <v>687.29</v>
      </c>
      <c r="I188" s="680">
        <v>169.1</v>
      </c>
      <c r="J188" s="641">
        <v>778.79</v>
      </c>
      <c r="K188" s="680">
        <v>135.2</v>
      </c>
      <c r="L188" s="641">
        <v>630.46</v>
      </c>
      <c r="M188" s="680">
        <v>169.2</v>
      </c>
      <c r="N188" s="641">
        <v>827.2</v>
      </c>
      <c r="O188" s="680">
        <v>165.5</v>
      </c>
      <c r="P188" s="641">
        <v>548.5</v>
      </c>
      <c r="Q188" s="680">
        <v>224.7</v>
      </c>
      <c r="R188" s="681" t="s">
        <v>696</v>
      </c>
      <c r="S188" s="682">
        <f t="shared" si="10"/>
        <v>3472.24</v>
      </c>
      <c r="T188" s="683"/>
      <c r="U188" s="625">
        <f t="shared" si="442"/>
        <v>687.29</v>
      </c>
      <c r="V188" s="625">
        <f t="shared" si="443"/>
        <v>778.79</v>
      </c>
      <c r="W188" s="625">
        <f t="shared" si="444"/>
        <v>630.46</v>
      </c>
      <c r="X188" s="625">
        <f t="shared" si="445"/>
        <v>827.2</v>
      </c>
      <c r="Y188" s="625">
        <f t="shared" si="446"/>
        <v>548.5</v>
      </c>
      <c r="Z188" s="656">
        <f t="shared" si="16"/>
        <v>863.7</v>
      </c>
      <c r="AA188" s="683"/>
      <c r="AB188" s="625">
        <f t="shared" si="447"/>
        <v>169.1</v>
      </c>
      <c r="AC188" s="625">
        <f t="shared" si="448"/>
        <v>135.2</v>
      </c>
      <c r="AD188" s="625">
        <f t="shared" si="449"/>
        <v>169.2</v>
      </c>
      <c r="AE188" s="625">
        <f t="shared" si="450"/>
        <v>165.5</v>
      </c>
      <c r="AF188" s="625">
        <f t="shared" si="451"/>
        <v>224.7</v>
      </c>
      <c r="AG188" s="657">
        <f t="shared" si="22"/>
        <v>0.2487443264</v>
      </c>
      <c r="AH188" s="165"/>
      <c r="AI188" s="165">
        <f t="shared" ref="AI188:AM188" si="491">AB188/U188</f>
        <v>0.24603879</v>
      </c>
      <c r="AJ188" s="165">
        <f t="shared" si="491"/>
        <v>0.17360264</v>
      </c>
      <c r="AK188" s="165">
        <f t="shared" si="491"/>
        <v>0.2683754719</v>
      </c>
      <c r="AL188" s="165">
        <f t="shared" si="491"/>
        <v>0.2000725338</v>
      </c>
      <c r="AM188" s="165">
        <f t="shared" si="491"/>
        <v>0.4096627165</v>
      </c>
      <c r="AN188" s="684">
        <f t="shared" si="453"/>
        <v>2551</v>
      </c>
      <c r="AO188" s="641">
        <v>570.8</v>
      </c>
      <c r="AP188" s="625">
        <v>611.0</v>
      </c>
      <c r="AQ188" s="625">
        <v>527.0</v>
      </c>
      <c r="AR188" s="625">
        <v>222.0</v>
      </c>
      <c r="AS188" s="625">
        <v>610.0</v>
      </c>
      <c r="AT188" s="625">
        <v>581.0</v>
      </c>
      <c r="AU188" s="684">
        <f>SUM(AW188:BB188)</f>
        <v>2848.9</v>
      </c>
      <c r="AV188" s="641">
        <v>562.7</v>
      </c>
      <c r="AW188" s="625">
        <v>581.1</v>
      </c>
      <c r="AX188" s="625">
        <v>592.3</v>
      </c>
      <c r="AY188" s="625">
        <v>562.7</v>
      </c>
      <c r="AZ188" s="625">
        <v>564.3</v>
      </c>
      <c r="BA188" s="693">
        <v>548.5</v>
      </c>
      <c r="BB188" s="631"/>
      <c r="BC188" s="189" t="s">
        <v>695</v>
      </c>
      <c r="BD188" s="186" t="s">
        <v>3303</v>
      </c>
      <c r="BE188" s="179" t="s">
        <v>3304</v>
      </c>
      <c r="BF188" s="179" t="s">
        <v>3305</v>
      </c>
      <c r="BG188" s="179" t="s">
        <v>3306</v>
      </c>
      <c r="BH188" s="179" t="s">
        <v>3307</v>
      </c>
      <c r="BI188" s="179" t="s">
        <v>3308</v>
      </c>
      <c r="BJ188" s="179"/>
      <c r="BK188" s="631"/>
      <c r="BL188" s="179" t="b">
        <f t="shared" si="26"/>
        <v>1</v>
      </c>
      <c r="BM188" s="179" t="b">
        <f t="shared" si="27"/>
        <v>1</v>
      </c>
      <c r="BN188" s="688" t="b">
        <f t="shared" si="28"/>
        <v>1</v>
      </c>
    </row>
    <row r="189">
      <c r="A189" s="696" t="s">
        <v>1534</v>
      </c>
      <c r="B189" s="186" t="s">
        <v>3596</v>
      </c>
      <c r="C189" s="676" t="s">
        <v>2113</v>
      </c>
      <c r="D189" s="677">
        <v>173.0</v>
      </c>
      <c r="E189" s="632" t="s">
        <v>23</v>
      </c>
      <c r="F189" s="678">
        <f t="shared" ref="F189:G189" si="492">H189+J189+L189+N189+P189</f>
        <v>8179.16</v>
      </c>
      <c r="G189" s="679">
        <f t="shared" si="492"/>
        <v>54.87</v>
      </c>
      <c r="H189" s="641">
        <v>2237.65</v>
      </c>
      <c r="I189" s="680">
        <v>52.01</v>
      </c>
      <c r="J189" s="641">
        <v>1974.66</v>
      </c>
      <c r="K189" s="680">
        <v>2.9</v>
      </c>
      <c r="L189" s="641">
        <v>800.52</v>
      </c>
      <c r="M189" s="680">
        <v>0.98</v>
      </c>
      <c r="N189" s="641">
        <v>1650.03</v>
      </c>
      <c r="O189" s="680">
        <v>-1.28</v>
      </c>
      <c r="P189" s="641">
        <v>1516.3</v>
      </c>
      <c r="Q189" s="680">
        <v>0.26</v>
      </c>
      <c r="R189" s="681" t="s">
        <v>720</v>
      </c>
      <c r="S189" s="682">
        <f t="shared" si="10"/>
        <v>8179.16</v>
      </c>
      <c r="T189" s="683"/>
      <c r="U189" s="625">
        <f t="shared" si="442"/>
        <v>2237.65</v>
      </c>
      <c r="V189" s="625">
        <f t="shared" si="443"/>
        <v>1974.66</v>
      </c>
      <c r="W189" s="625">
        <f t="shared" si="444"/>
        <v>800.52</v>
      </c>
      <c r="X189" s="625">
        <f t="shared" si="445"/>
        <v>1650.03</v>
      </c>
      <c r="Y189" s="625">
        <f t="shared" si="446"/>
        <v>1516.3</v>
      </c>
      <c r="Z189" s="656">
        <f t="shared" si="16"/>
        <v>54.87</v>
      </c>
      <c r="AA189" s="683"/>
      <c r="AB189" s="625">
        <f t="shared" si="447"/>
        <v>52.01</v>
      </c>
      <c r="AC189" s="625">
        <f t="shared" si="448"/>
        <v>2.9</v>
      </c>
      <c r="AD189" s="625">
        <f t="shared" si="449"/>
        <v>0.98</v>
      </c>
      <c r="AE189" s="625">
        <f t="shared" si="450"/>
        <v>-1.28</v>
      </c>
      <c r="AF189" s="625">
        <f t="shared" si="451"/>
        <v>0.26</v>
      </c>
      <c r="AG189" s="657">
        <f t="shared" si="22"/>
        <v>0.006708512855</v>
      </c>
      <c r="AH189" s="165"/>
      <c r="AI189" s="165">
        <f t="shared" ref="AI189:AM189" si="493">AB189/U189</f>
        <v>0.02324313454</v>
      </c>
      <c r="AJ189" s="165">
        <f t="shared" si="493"/>
        <v>0.001468607254</v>
      </c>
      <c r="AK189" s="165">
        <f t="shared" si="493"/>
        <v>0.001224204267</v>
      </c>
      <c r="AL189" s="165">
        <f t="shared" si="493"/>
        <v>-0.0007757434713</v>
      </c>
      <c r="AM189" s="165">
        <f t="shared" si="493"/>
        <v>0.0001714700257</v>
      </c>
      <c r="AN189" s="684">
        <f t="shared" si="453"/>
        <v>0</v>
      </c>
      <c r="AO189" s="625"/>
      <c r="AP189" s="625">
        <v>0.0</v>
      </c>
      <c r="AQ189" s="625">
        <v>0.0</v>
      </c>
      <c r="AR189" s="625">
        <v>0.0</v>
      </c>
      <c r="AS189" s="625">
        <v>0.0</v>
      </c>
      <c r="AT189" s="625">
        <v>0.0</v>
      </c>
      <c r="AU189" s="684">
        <f t="shared" ref="AU189:AU281" si="496">SUM(AW189:BA189)</f>
        <v>7737.07</v>
      </c>
      <c r="AV189" s="625"/>
      <c r="AW189" s="625">
        <v>1671.58</v>
      </c>
      <c r="AX189" s="625">
        <v>1667.43</v>
      </c>
      <c r="AY189" s="625">
        <v>1605.37</v>
      </c>
      <c r="AZ189" s="625">
        <v>1457.63</v>
      </c>
      <c r="BA189" s="693">
        <v>1335.06</v>
      </c>
      <c r="BB189" s="631"/>
      <c r="BC189" s="189" t="s">
        <v>695</v>
      </c>
      <c r="BD189" s="688" t="s">
        <v>3303</v>
      </c>
      <c r="BE189" s="179" t="s">
        <v>3304</v>
      </c>
      <c r="BF189" s="179" t="s">
        <v>3305</v>
      </c>
      <c r="BG189" s="179" t="s">
        <v>3306</v>
      </c>
      <c r="BH189" s="179" t="s">
        <v>3307</v>
      </c>
      <c r="BI189" s="179" t="s">
        <v>3308</v>
      </c>
      <c r="BJ189" s="179"/>
      <c r="BK189" s="631"/>
      <c r="BL189" s="179" t="b">
        <f t="shared" si="26"/>
        <v>1</v>
      </c>
      <c r="BM189" s="179" t="b">
        <f t="shared" si="27"/>
        <v>0</v>
      </c>
      <c r="BN189" s="688" t="b">
        <f t="shared" si="28"/>
        <v>1</v>
      </c>
    </row>
    <row r="190">
      <c r="A190" s="689"/>
      <c r="B190" s="186" t="s">
        <v>3597</v>
      </c>
      <c r="C190" s="676" t="s">
        <v>2113</v>
      </c>
      <c r="D190" s="677">
        <v>455.0</v>
      </c>
      <c r="E190" s="632" t="s">
        <v>3598</v>
      </c>
      <c r="F190" s="678">
        <f t="shared" ref="F190:G190" si="494">H190+J190+L190+N190+P190</f>
        <v>2248.3</v>
      </c>
      <c r="G190" s="679">
        <f t="shared" si="494"/>
        <v>277.25</v>
      </c>
      <c r="H190" s="641">
        <v>232.2</v>
      </c>
      <c r="I190" s="680">
        <v>96.45</v>
      </c>
      <c r="J190" s="641">
        <v>418.8</v>
      </c>
      <c r="K190" s="680">
        <v>-95.7</v>
      </c>
      <c r="L190" s="641">
        <v>417.6</v>
      </c>
      <c r="M190" s="680">
        <v>70.1</v>
      </c>
      <c r="N190" s="641">
        <v>677.7</v>
      </c>
      <c r="O190" s="680">
        <v>133.9</v>
      </c>
      <c r="P190" s="641">
        <v>502.0</v>
      </c>
      <c r="Q190" s="680">
        <v>72.5</v>
      </c>
      <c r="R190" s="681" t="s">
        <v>722</v>
      </c>
      <c r="S190" s="682">
        <f t="shared" si="10"/>
        <v>2248.3</v>
      </c>
      <c r="T190" s="683"/>
      <c r="U190" s="625">
        <f t="shared" si="442"/>
        <v>232.2</v>
      </c>
      <c r="V190" s="625">
        <f t="shared" si="443"/>
        <v>418.8</v>
      </c>
      <c r="W190" s="625">
        <f t="shared" si="444"/>
        <v>417.6</v>
      </c>
      <c r="X190" s="625">
        <f t="shared" si="445"/>
        <v>677.7</v>
      </c>
      <c r="Y190" s="625">
        <f t="shared" si="446"/>
        <v>502</v>
      </c>
      <c r="Z190" s="656">
        <f t="shared" si="16"/>
        <v>277.25</v>
      </c>
      <c r="AA190" s="683"/>
      <c r="AB190" s="625">
        <f t="shared" si="447"/>
        <v>96.45</v>
      </c>
      <c r="AC190" s="625">
        <f t="shared" si="448"/>
        <v>-95.7</v>
      </c>
      <c r="AD190" s="625">
        <f t="shared" si="449"/>
        <v>70.1</v>
      </c>
      <c r="AE190" s="625">
        <f t="shared" si="450"/>
        <v>133.9</v>
      </c>
      <c r="AF190" s="625">
        <f t="shared" si="451"/>
        <v>72.5</v>
      </c>
      <c r="AG190" s="657">
        <f t="shared" si="22"/>
        <v>0.1233153939</v>
      </c>
      <c r="AH190" s="165"/>
      <c r="AI190" s="165">
        <f t="shared" ref="AI190:AM190" si="495">AB190/U190</f>
        <v>0.415374677</v>
      </c>
      <c r="AJ190" s="165">
        <f t="shared" si="495"/>
        <v>-0.2285100287</v>
      </c>
      <c r="AK190" s="165">
        <f t="shared" si="495"/>
        <v>0.1678639847</v>
      </c>
      <c r="AL190" s="165">
        <f t="shared" si="495"/>
        <v>0.1975800502</v>
      </c>
      <c r="AM190" s="165">
        <f t="shared" si="495"/>
        <v>0.1444223108</v>
      </c>
      <c r="AN190" s="684">
        <f t="shared" si="453"/>
        <v>943</v>
      </c>
      <c r="AO190" s="625"/>
      <c r="AP190" s="625">
        <v>155.0</v>
      </c>
      <c r="AQ190" s="625">
        <v>122.1</v>
      </c>
      <c r="AR190" s="625">
        <v>51.5</v>
      </c>
      <c r="AS190" s="625">
        <v>357.4</v>
      </c>
      <c r="AT190" s="625">
        <v>257.0</v>
      </c>
      <c r="AU190" s="684">
        <f t="shared" si="496"/>
        <v>416.2</v>
      </c>
      <c r="AV190" s="625"/>
      <c r="AW190" s="625">
        <v>97.3</v>
      </c>
      <c r="AX190" s="625">
        <v>90.4</v>
      </c>
      <c r="AY190" s="625">
        <v>81.8</v>
      </c>
      <c r="AZ190" s="625">
        <v>75.5</v>
      </c>
      <c r="BA190" s="693">
        <v>71.2</v>
      </c>
      <c r="BB190" s="631"/>
      <c r="BC190" s="189" t="s">
        <v>695</v>
      </c>
      <c r="BD190" s="688" t="s">
        <v>3303</v>
      </c>
      <c r="BE190" s="179" t="s">
        <v>3304</v>
      </c>
      <c r="BF190" s="179" t="s">
        <v>3305</v>
      </c>
      <c r="BG190" s="179" t="s">
        <v>3306</v>
      </c>
      <c r="BH190" s="179" t="s">
        <v>3307</v>
      </c>
      <c r="BI190" s="179" t="s">
        <v>3308</v>
      </c>
      <c r="BJ190" s="179"/>
      <c r="BK190" s="631"/>
      <c r="BL190" s="179" t="b">
        <f t="shared" si="26"/>
        <v>1</v>
      </c>
      <c r="BM190" s="179" t="b">
        <f t="shared" si="27"/>
        <v>1</v>
      </c>
      <c r="BN190" s="688" t="b">
        <f t="shared" si="28"/>
        <v>1</v>
      </c>
    </row>
    <row r="191">
      <c r="A191" s="689"/>
      <c r="B191" s="186" t="s">
        <v>3599</v>
      </c>
      <c r="C191" s="676" t="s">
        <v>2113</v>
      </c>
      <c r="D191" s="677">
        <v>306.0</v>
      </c>
      <c r="E191" s="632" t="s">
        <v>3600</v>
      </c>
      <c r="F191" s="678">
        <f t="shared" ref="F191:G191" si="497">H191+J191+L191+N191+P191</f>
        <v>1603.64</v>
      </c>
      <c r="G191" s="679">
        <f t="shared" si="497"/>
        <v>349</v>
      </c>
      <c r="H191" s="641">
        <v>408.5</v>
      </c>
      <c r="I191" s="680">
        <v>68.0</v>
      </c>
      <c r="J191" s="641">
        <v>342.97</v>
      </c>
      <c r="K191" s="680">
        <v>77.0</v>
      </c>
      <c r="L191" s="641">
        <v>38.29</v>
      </c>
      <c r="M191" s="680">
        <v>42.0</v>
      </c>
      <c r="N191" s="641">
        <v>390.63</v>
      </c>
      <c r="O191" s="680">
        <v>103.0</v>
      </c>
      <c r="P191" s="641">
        <v>423.25</v>
      </c>
      <c r="Q191" s="680">
        <v>59.0</v>
      </c>
      <c r="R191" s="681" t="s">
        <v>700</v>
      </c>
      <c r="S191" s="682">
        <f t="shared" si="10"/>
        <v>1603.64</v>
      </c>
      <c r="T191" s="683"/>
      <c r="U191" s="625">
        <f t="shared" si="442"/>
        <v>408.5</v>
      </c>
      <c r="V191" s="625">
        <f t="shared" si="443"/>
        <v>342.97</v>
      </c>
      <c r="W191" s="625">
        <f t="shared" si="444"/>
        <v>38.29</v>
      </c>
      <c r="X191" s="625">
        <f t="shared" si="445"/>
        <v>390.63</v>
      </c>
      <c r="Y191" s="625">
        <f t="shared" si="446"/>
        <v>423.25</v>
      </c>
      <c r="Z191" s="656">
        <f t="shared" si="16"/>
        <v>349</v>
      </c>
      <c r="AA191" s="683"/>
      <c r="AB191" s="625">
        <f t="shared" si="447"/>
        <v>68</v>
      </c>
      <c r="AC191" s="625">
        <f t="shared" si="448"/>
        <v>77</v>
      </c>
      <c r="AD191" s="625">
        <f t="shared" si="449"/>
        <v>42</v>
      </c>
      <c r="AE191" s="625">
        <f t="shared" si="450"/>
        <v>103</v>
      </c>
      <c r="AF191" s="625">
        <f t="shared" si="451"/>
        <v>59</v>
      </c>
      <c r="AG191" s="657">
        <f t="shared" si="22"/>
        <v>0.217629892</v>
      </c>
      <c r="AH191" s="165"/>
      <c r="AI191" s="165">
        <f t="shared" ref="AI191:AM191" si="498">AB191/U191</f>
        <v>0.1664626683</v>
      </c>
      <c r="AJ191" s="165">
        <f t="shared" si="498"/>
        <v>0.2245094323</v>
      </c>
      <c r="AK191" s="165">
        <f t="shared" si="498"/>
        <v>1.096892139</v>
      </c>
      <c r="AL191" s="165">
        <f t="shared" si="498"/>
        <v>0.2636766249</v>
      </c>
      <c r="AM191" s="165">
        <f t="shared" si="498"/>
        <v>0.1393975192</v>
      </c>
      <c r="AN191" s="684">
        <f t="shared" si="453"/>
        <v>1575</v>
      </c>
      <c r="AO191" s="641">
        <v>800.0</v>
      </c>
      <c r="AP191" s="625">
        <v>850.0</v>
      </c>
      <c r="AQ191" s="625">
        <v>725.0</v>
      </c>
      <c r="AR191" s="625">
        <v>0.0</v>
      </c>
      <c r="AS191" s="625">
        <v>0.0</v>
      </c>
      <c r="AT191" s="625">
        <v>0.0</v>
      </c>
      <c r="AU191" s="684">
        <f t="shared" si="496"/>
        <v>1118</v>
      </c>
      <c r="AV191" s="641">
        <v>539.0</v>
      </c>
      <c r="AW191" s="625">
        <v>465.0</v>
      </c>
      <c r="AX191" s="625">
        <v>393.0</v>
      </c>
      <c r="AY191" s="625">
        <v>260.0</v>
      </c>
      <c r="AZ191" s="625">
        <v>0.0</v>
      </c>
      <c r="BA191" s="693">
        <v>0.0</v>
      </c>
      <c r="BB191" s="631"/>
      <c r="BC191" s="189" t="s">
        <v>695</v>
      </c>
      <c r="BD191" s="186" t="s">
        <v>3303</v>
      </c>
      <c r="BE191" s="688" t="s">
        <v>3303</v>
      </c>
      <c r="BF191" s="688" t="s">
        <v>3303</v>
      </c>
      <c r="BG191" s="688" t="s">
        <v>3303</v>
      </c>
      <c r="BH191" s="688" t="s">
        <v>3303</v>
      </c>
      <c r="BI191" s="688" t="s">
        <v>3303</v>
      </c>
      <c r="BJ191" s="179"/>
      <c r="BK191" s="631"/>
      <c r="BL191" s="179" t="b">
        <f t="shared" si="26"/>
        <v>1</v>
      </c>
      <c r="BM191" s="179" t="b">
        <f t="shared" si="27"/>
        <v>1</v>
      </c>
      <c r="BN191" s="688" t="b">
        <f t="shared" si="28"/>
        <v>1</v>
      </c>
    </row>
    <row r="192">
      <c r="A192" s="696" t="s">
        <v>1534</v>
      </c>
      <c r="B192" s="186" t="s">
        <v>3601</v>
      </c>
      <c r="C192" s="676" t="s">
        <v>2113</v>
      </c>
      <c r="D192" s="677">
        <v>395.0</v>
      </c>
      <c r="E192" s="632" t="s">
        <v>71</v>
      </c>
      <c r="F192" s="678">
        <f t="shared" ref="F192:G192" si="499">H192+J192+L192+N192+P192</f>
        <v>3030</v>
      </c>
      <c r="G192" s="679">
        <f t="shared" si="499"/>
        <v>314</v>
      </c>
      <c r="H192" s="641">
        <v>1248.0</v>
      </c>
      <c r="I192" s="680">
        <v>180.0</v>
      </c>
      <c r="J192" s="641">
        <v>841.0</v>
      </c>
      <c r="K192" s="680">
        <v>139.0</v>
      </c>
      <c r="L192" s="641">
        <v>232.0</v>
      </c>
      <c r="M192" s="680">
        <v>4.0</v>
      </c>
      <c r="N192" s="641">
        <v>304.0</v>
      </c>
      <c r="O192" s="680">
        <v>-4.0</v>
      </c>
      <c r="P192" s="641">
        <v>405.0</v>
      </c>
      <c r="Q192" s="680">
        <v>-5.0</v>
      </c>
      <c r="R192" s="681" t="s">
        <v>707</v>
      </c>
      <c r="S192" s="682">
        <f t="shared" si="10"/>
        <v>3030</v>
      </c>
      <c r="T192" s="683"/>
      <c r="U192" s="625">
        <f t="shared" si="442"/>
        <v>1248</v>
      </c>
      <c r="V192" s="625">
        <f t="shared" si="443"/>
        <v>841</v>
      </c>
      <c r="W192" s="625">
        <f t="shared" si="444"/>
        <v>232</v>
      </c>
      <c r="X192" s="625">
        <f t="shared" si="445"/>
        <v>304</v>
      </c>
      <c r="Y192" s="625">
        <f t="shared" si="446"/>
        <v>405</v>
      </c>
      <c r="Z192" s="656">
        <f t="shared" si="16"/>
        <v>314</v>
      </c>
      <c r="AA192" s="683"/>
      <c r="AB192" s="625">
        <f t="shared" si="447"/>
        <v>180</v>
      </c>
      <c r="AC192" s="625">
        <f t="shared" si="448"/>
        <v>139</v>
      </c>
      <c r="AD192" s="625">
        <f t="shared" si="449"/>
        <v>4</v>
      </c>
      <c r="AE192" s="625">
        <f t="shared" si="450"/>
        <v>-4</v>
      </c>
      <c r="AF192" s="625">
        <f t="shared" si="451"/>
        <v>-5</v>
      </c>
      <c r="AG192" s="657">
        <f t="shared" si="22"/>
        <v>0.103630363</v>
      </c>
      <c r="AH192" s="165"/>
      <c r="AI192" s="165">
        <f t="shared" ref="AI192:AM192" si="500">AB192/U192</f>
        <v>0.1442307692</v>
      </c>
      <c r="AJ192" s="165">
        <f t="shared" si="500"/>
        <v>0.1652794293</v>
      </c>
      <c r="AK192" s="165">
        <f t="shared" si="500"/>
        <v>0.01724137931</v>
      </c>
      <c r="AL192" s="165">
        <f t="shared" si="500"/>
        <v>-0.01315789474</v>
      </c>
      <c r="AM192" s="165">
        <f t="shared" si="500"/>
        <v>-0.01234567901</v>
      </c>
      <c r="AN192" s="684">
        <f t="shared" si="453"/>
        <v>1980</v>
      </c>
      <c r="AO192" s="625"/>
      <c r="AP192" s="625">
        <v>795.0</v>
      </c>
      <c r="AQ192" s="625">
        <v>570.0</v>
      </c>
      <c r="AR192" s="625">
        <v>318.0</v>
      </c>
      <c r="AS192" s="625">
        <v>61.0</v>
      </c>
      <c r="AT192" s="625">
        <v>236.0</v>
      </c>
      <c r="AU192" s="684">
        <f t="shared" si="496"/>
        <v>535</v>
      </c>
      <c r="AV192" s="625"/>
      <c r="AW192" s="625">
        <v>136.0</v>
      </c>
      <c r="AX192" s="625">
        <v>108.0</v>
      </c>
      <c r="AY192" s="625">
        <v>104.0</v>
      </c>
      <c r="AZ192" s="625">
        <v>95.0</v>
      </c>
      <c r="BA192" s="693">
        <v>92.0</v>
      </c>
      <c r="BB192" s="631"/>
      <c r="BC192" s="189" t="s">
        <v>695</v>
      </c>
      <c r="BD192" s="186" t="s">
        <v>3303</v>
      </c>
      <c r="BE192" s="179" t="s">
        <v>3304</v>
      </c>
      <c r="BF192" s="179" t="s">
        <v>3305</v>
      </c>
      <c r="BG192" s="179" t="s">
        <v>3306</v>
      </c>
      <c r="BH192" s="179" t="s">
        <v>3307</v>
      </c>
      <c r="BI192" s="179" t="s">
        <v>3308</v>
      </c>
      <c r="BJ192" s="179"/>
      <c r="BK192" s="646"/>
      <c r="BL192" s="179" t="b">
        <f t="shared" si="26"/>
        <v>1</v>
      </c>
      <c r="BM192" s="179" t="b">
        <f t="shared" si="27"/>
        <v>1</v>
      </c>
      <c r="BN192" s="688" t="b">
        <f t="shared" si="28"/>
        <v>1</v>
      </c>
    </row>
    <row r="193">
      <c r="A193" s="689"/>
      <c r="B193" s="186" t="s">
        <v>3602</v>
      </c>
      <c r="C193" s="676" t="s">
        <v>2113</v>
      </c>
      <c r="D193" s="677">
        <v>140.0</v>
      </c>
      <c r="E193" s="632" t="s">
        <v>3603</v>
      </c>
      <c r="F193" s="678">
        <f t="shared" ref="F193:G193" si="501">H193+J193+L193+N193+P193</f>
        <v>8357.6</v>
      </c>
      <c r="G193" s="679">
        <f t="shared" si="501"/>
        <v>1784.52</v>
      </c>
      <c r="H193" s="641">
        <v>2179.8</v>
      </c>
      <c r="I193" s="680">
        <v>567.0</v>
      </c>
      <c r="J193" s="641">
        <v>1287.8</v>
      </c>
      <c r="K193" s="680">
        <v>410.0</v>
      </c>
      <c r="L193" s="641">
        <v>1078.0</v>
      </c>
      <c r="M193" s="680">
        <v>182.5</v>
      </c>
      <c r="N193" s="641">
        <v>2104.3</v>
      </c>
      <c r="O193" s="680">
        <v>352.3</v>
      </c>
      <c r="P193" s="641">
        <v>1707.7</v>
      </c>
      <c r="Q193" s="680">
        <v>272.72</v>
      </c>
      <c r="R193" s="681" t="s">
        <v>701</v>
      </c>
      <c r="S193" s="682">
        <f t="shared" si="10"/>
        <v>8357.6</v>
      </c>
      <c r="T193" s="683"/>
      <c r="U193" s="625">
        <f t="shared" si="442"/>
        <v>2179.8</v>
      </c>
      <c r="V193" s="625">
        <f t="shared" si="443"/>
        <v>1287.8</v>
      </c>
      <c r="W193" s="625">
        <f t="shared" si="444"/>
        <v>1078</v>
      </c>
      <c r="X193" s="625">
        <f t="shared" si="445"/>
        <v>2104.3</v>
      </c>
      <c r="Y193" s="625">
        <f t="shared" si="446"/>
        <v>1707.7</v>
      </c>
      <c r="Z193" s="656">
        <f t="shared" si="16"/>
        <v>1784.52</v>
      </c>
      <c r="AA193" s="683"/>
      <c r="AB193" s="625">
        <f t="shared" si="447"/>
        <v>567</v>
      </c>
      <c r="AC193" s="625">
        <f t="shared" si="448"/>
        <v>410</v>
      </c>
      <c r="AD193" s="625">
        <f t="shared" si="449"/>
        <v>182.5</v>
      </c>
      <c r="AE193" s="625">
        <f t="shared" si="450"/>
        <v>352.3</v>
      </c>
      <c r="AF193" s="625">
        <f t="shared" si="451"/>
        <v>272.72</v>
      </c>
      <c r="AG193" s="657">
        <f t="shared" si="22"/>
        <v>0.2135206279</v>
      </c>
      <c r="AH193" s="165"/>
      <c r="AI193" s="165">
        <f t="shared" ref="AI193:AM193" si="502">AB193/U193</f>
        <v>0.2601156069</v>
      </c>
      <c r="AJ193" s="165">
        <f t="shared" si="502"/>
        <v>0.3183724181</v>
      </c>
      <c r="AK193" s="165">
        <f t="shared" si="502"/>
        <v>0.1692949907</v>
      </c>
      <c r="AL193" s="165">
        <f t="shared" si="502"/>
        <v>0.1674190942</v>
      </c>
      <c r="AM193" s="165">
        <f t="shared" si="502"/>
        <v>0.1597001815</v>
      </c>
      <c r="AN193" s="684">
        <f t="shared" si="453"/>
        <v>510</v>
      </c>
      <c r="AO193" s="641">
        <v>3.5</v>
      </c>
      <c r="AP193" s="625">
        <v>2.0</v>
      </c>
      <c r="AQ193" s="625">
        <v>2.0</v>
      </c>
      <c r="AR193" s="625">
        <v>42.0</v>
      </c>
      <c r="AS193" s="625">
        <v>110.0</v>
      </c>
      <c r="AT193" s="625">
        <v>354.0</v>
      </c>
      <c r="AU193" s="684">
        <f t="shared" si="496"/>
        <v>4895.4</v>
      </c>
      <c r="AV193" s="641">
        <v>1518.6</v>
      </c>
      <c r="AW193" s="625">
        <v>1004.7</v>
      </c>
      <c r="AX193" s="625">
        <v>708.0</v>
      </c>
      <c r="AY193" s="625">
        <v>1239.8</v>
      </c>
      <c r="AZ193" s="625">
        <v>1138.6</v>
      </c>
      <c r="BA193" s="693">
        <v>804.3</v>
      </c>
      <c r="BB193" s="631"/>
      <c r="BC193" s="189" t="s">
        <v>695</v>
      </c>
      <c r="BD193" s="186" t="s">
        <v>3303</v>
      </c>
      <c r="BE193" s="179" t="s">
        <v>3304</v>
      </c>
      <c r="BF193" s="179" t="s">
        <v>3305</v>
      </c>
      <c r="BG193" s="179" t="s">
        <v>3306</v>
      </c>
      <c r="BH193" s="179" t="s">
        <v>3307</v>
      </c>
      <c r="BI193" s="179" t="s">
        <v>3308</v>
      </c>
      <c r="BJ193" s="179"/>
      <c r="BK193" s="631"/>
      <c r="BL193" s="179" t="b">
        <f t="shared" si="26"/>
        <v>1</v>
      </c>
      <c r="BM193" s="179" t="b">
        <f t="shared" si="27"/>
        <v>0</v>
      </c>
      <c r="BN193" s="688" t="b">
        <f t="shared" si="28"/>
        <v>1</v>
      </c>
    </row>
    <row r="194">
      <c r="A194" s="689"/>
      <c r="B194" s="186" t="s">
        <v>3604</v>
      </c>
      <c r="C194" s="676" t="s">
        <v>2113</v>
      </c>
      <c r="D194" s="717">
        <v>447.0</v>
      </c>
      <c r="E194" s="632" t="s">
        <v>3605</v>
      </c>
      <c r="F194" s="678">
        <f t="shared" ref="F194:G194" si="503">H194+J194+L194+N194+P194</f>
        <v>4829.94</v>
      </c>
      <c r="G194" s="679">
        <f t="shared" si="503"/>
        <v>728.6</v>
      </c>
      <c r="H194" s="641">
        <v>1303.3</v>
      </c>
      <c r="I194" s="680">
        <v>187.3</v>
      </c>
      <c r="J194" s="641">
        <v>1058.6</v>
      </c>
      <c r="K194" s="680">
        <v>158.0</v>
      </c>
      <c r="L194" s="641">
        <v>660.44</v>
      </c>
      <c r="M194" s="680">
        <v>109.4</v>
      </c>
      <c r="N194" s="641">
        <v>880.0</v>
      </c>
      <c r="O194" s="680">
        <v>123.2</v>
      </c>
      <c r="P194" s="641">
        <v>927.6</v>
      </c>
      <c r="Q194" s="680">
        <v>150.7</v>
      </c>
      <c r="R194" s="681" t="s">
        <v>710</v>
      </c>
      <c r="S194" s="682">
        <f t="shared" si="10"/>
        <v>4829.94</v>
      </c>
      <c r="T194" s="683"/>
      <c r="U194" s="625">
        <f t="shared" si="442"/>
        <v>1303.3</v>
      </c>
      <c r="V194" s="625">
        <f t="shared" si="443"/>
        <v>1058.6</v>
      </c>
      <c r="W194" s="625">
        <f t="shared" si="444"/>
        <v>660.44</v>
      </c>
      <c r="X194" s="625">
        <f t="shared" si="445"/>
        <v>880</v>
      </c>
      <c r="Y194" s="625">
        <f t="shared" si="446"/>
        <v>927.6</v>
      </c>
      <c r="Z194" s="656">
        <f t="shared" si="16"/>
        <v>728.6</v>
      </c>
      <c r="AA194" s="683"/>
      <c r="AB194" s="625">
        <f t="shared" si="447"/>
        <v>187.3</v>
      </c>
      <c r="AC194" s="625">
        <f t="shared" si="448"/>
        <v>158</v>
      </c>
      <c r="AD194" s="625">
        <f t="shared" si="449"/>
        <v>109.4</v>
      </c>
      <c r="AE194" s="625">
        <f t="shared" si="450"/>
        <v>123.2</v>
      </c>
      <c r="AF194" s="625">
        <f t="shared" si="451"/>
        <v>150.7</v>
      </c>
      <c r="AG194" s="657">
        <f t="shared" si="22"/>
        <v>0.1508507352</v>
      </c>
      <c r="AH194" s="165"/>
      <c r="AI194" s="165">
        <f t="shared" ref="AI194:AM194" si="504">AB194/U194</f>
        <v>0.1437121154</v>
      </c>
      <c r="AJ194" s="165">
        <f t="shared" si="504"/>
        <v>0.1492537313</v>
      </c>
      <c r="AK194" s="165">
        <f t="shared" si="504"/>
        <v>0.1656471443</v>
      </c>
      <c r="AL194" s="165">
        <f t="shared" si="504"/>
        <v>0.14</v>
      </c>
      <c r="AM194" s="165">
        <f t="shared" si="504"/>
        <v>0.1624622682</v>
      </c>
      <c r="AN194" s="684">
        <f t="shared" si="453"/>
        <v>716</v>
      </c>
      <c r="AO194" s="625"/>
      <c r="AP194" s="625">
        <v>523.0</v>
      </c>
      <c r="AQ194" s="625">
        <v>193.0</v>
      </c>
      <c r="AR194" s="625">
        <v>0.0</v>
      </c>
      <c r="AS194" s="625">
        <v>0.0</v>
      </c>
      <c r="AT194" s="625">
        <v>0.0</v>
      </c>
      <c r="AU194" s="684">
        <f t="shared" si="496"/>
        <v>1666.5</v>
      </c>
      <c r="AV194" s="625"/>
      <c r="AW194" s="625">
        <v>420.3</v>
      </c>
      <c r="AX194" s="625">
        <v>379.8</v>
      </c>
      <c r="AY194" s="625">
        <v>299.6</v>
      </c>
      <c r="AZ194" s="625">
        <v>298.7</v>
      </c>
      <c r="BA194" s="693">
        <v>268.1</v>
      </c>
      <c r="BB194" s="631"/>
      <c r="BC194" s="189" t="s">
        <v>695</v>
      </c>
      <c r="BD194" s="688" t="s">
        <v>3303</v>
      </c>
      <c r="BE194" s="179" t="s">
        <v>3304</v>
      </c>
      <c r="BF194" s="179" t="s">
        <v>3305</v>
      </c>
      <c r="BG194" s="179" t="s">
        <v>3306</v>
      </c>
      <c r="BH194" s="179" t="s">
        <v>3307</v>
      </c>
      <c r="BI194" s="179" t="s">
        <v>3308</v>
      </c>
      <c r="BJ194" s="179"/>
      <c r="BK194" s="631"/>
      <c r="BL194" s="179" t="b">
        <f t="shared" si="26"/>
        <v>1</v>
      </c>
      <c r="BM194" s="179" t="b">
        <f t="shared" si="27"/>
        <v>0</v>
      </c>
      <c r="BN194" s="688" t="b">
        <f t="shared" si="28"/>
        <v>1</v>
      </c>
    </row>
    <row r="195">
      <c r="A195" s="212"/>
      <c r="B195" s="186" t="s">
        <v>3606</v>
      </c>
      <c r="C195" s="676" t="s">
        <v>2113</v>
      </c>
      <c r="D195" s="461">
        <v>134.0</v>
      </c>
      <c r="E195" s="733" t="s">
        <v>3607</v>
      </c>
      <c r="F195" s="678">
        <f t="shared" ref="F195:G195" si="505">H195+J195+L195+N195+P195</f>
        <v>9913.9</v>
      </c>
      <c r="G195" s="679">
        <f t="shared" si="505"/>
        <v>895</v>
      </c>
      <c r="H195" s="641">
        <v>170.95</v>
      </c>
      <c r="I195" s="680">
        <v>75.0</v>
      </c>
      <c r="J195" s="641">
        <v>3896.21</v>
      </c>
      <c r="K195" s="680">
        <v>179.0</v>
      </c>
      <c r="L195" s="641">
        <v>2051.7</v>
      </c>
      <c r="M195" s="680">
        <v>160.0</v>
      </c>
      <c r="N195" s="641">
        <v>2163.58</v>
      </c>
      <c r="O195" s="680">
        <v>389.0</v>
      </c>
      <c r="P195" s="641">
        <v>1631.46</v>
      </c>
      <c r="Q195" s="680">
        <v>92.0</v>
      </c>
      <c r="R195" s="681" t="s">
        <v>696</v>
      </c>
      <c r="S195" s="682">
        <f t="shared" si="10"/>
        <v>9913.9</v>
      </c>
      <c r="T195" s="683"/>
      <c r="U195" s="625">
        <f t="shared" si="442"/>
        <v>170.95</v>
      </c>
      <c r="V195" s="625">
        <f t="shared" si="443"/>
        <v>3896.21</v>
      </c>
      <c r="W195" s="625">
        <f t="shared" si="444"/>
        <v>2051.7</v>
      </c>
      <c r="X195" s="625">
        <f t="shared" si="445"/>
        <v>2163.58</v>
      </c>
      <c r="Y195" s="625">
        <f t="shared" si="446"/>
        <v>1631.46</v>
      </c>
      <c r="Z195" s="656">
        <f t="shared" si="16"/>
        <v>895</v>
      </c>
      <c r="AA195" s="683"/>
      <c r="AB195" s="625">
        <f t="shared" si="447"/>
        <v>75</v>
      </c>
      <c r="AC195" s="625">
        <f t="shared" si="448"/>
        <v>179</v>
      </c>
      <c r="AD195" s="625">
        <f t="shared" si="449"/>
        <v>160</v>
      </c>
      <c r="AE195" s="625">
        <f t="shared" si="450"/>
        <v>389</v>
      </c>
      <c r="AF195" s="625">
        <f t="shared" si="451"/>
        <v>92</v>
      </c>
      <c r="AG195" s="657">
        <f t="shared" si="22"/>
        <v>0.09027728744</v>
      </c>
      <c r="AH195" s="165"/>
      <c r="AI195" s="165">
        <f t="shared" ref="AI195:AM195" si="506">AB195/U195</f>
        <v>0.4387247733</v>
      </c>
      <c r="AJ195" s="165">
        <f t="shared" si="506"/>
        <v>0.04594208218</v>
      </c>
      <c r="AK195" s="165">
        <f t="shared" si="506"/>
        <v>0.07798411074</v>
      </c>
      <c r="AL195" s="165">
        <f t="shared" si="506"/>
        <v>0.1797945997</v>
      </c>
      <c r="AM195" s="165">
        <f t="shared" si="506"/>
        <v>0.05639120788</v>
      </c>
      <c r="AN195" s="684">
        <f t="shared" si="453"/>
        <v>701</v>
      </c>
      <c r="AO195" s="180">
        <v>0.0</v>
      </c>
      <c r="AP195" s="180">
        <v>0.0</v>
      </c>
      <c r="AQ195" s="180">
        <v>0.0</v>
      </c>
      <c r="AR195" s="641">
        <v>58.0</v>
      </c>
      <c r="AS195" s="641">
        <v>57.0</v>
      </c>
      <c r="AT195" s="641">
        <v>586.0</v>
      </c>
      <c r="AU195" s="684">
        <f t="shared" si="496"/>
        <v>3130</v>
      </c>
      <c r="AV195" s="625">
        <f>389+58</f>
        <v>447</v>
      </c>
      <c r="AW195" s="625">
        <f>58+631</f>
        <v>689</v>
      </c>
      <c r="AX195" s="625">
        <f>30+617</f>
        <v>647</v>
      </c>
      <c r="AY195" s="641">
        <v>600.0</v>
      </c>
      <c r="AZ195" s="641">
        <v>595.0</v>
      </c>
      <c r="BA195" s="691">
        <v>599.0</v>
      </c>
      <c r="BB195" s="631"/>
      <c r="BC195" s="189" t="s">
        <v>695</v>
      </c>
      <c r="BD195" s="186" t="s">
        <v>3303</v>
      </c>
      <c r="BE195" s="179" t="s">
        <v>3304</v>
      </c>
      <c r="BF195" s="179" t="s">
        <v>3305</v>
      </c>
      <c r="BG195" s="179" t="s">
        <v>3306</v>
      </c>
      <c r="BH195" s="179" t="s">
        <v>3307</v>
      </c>
      <c r="BI195" s="179" t="s">
        <v>3308</v>
      </c>
      <c r="BJ195" s="179"/>
      <c r="BK195" s="631"/>
      <c r="BL195" s="179" t="b">
        <f t="shared" si="26"/>
        <v>1</v>
      </c>
      <c r="BM195" s="179" t="b">
        <f t="shared" si="27"/>
        <v>0</v>
      </c>
      <c r="BN195" s="688" t="b">
        <f t="shared" si="28"/>
        <v>1</v>
      </c>
    </row>
    <row r="196">
      <c r="A196" s="426"/>
      <c r="B196" s="186" t="s">
        <v>3608</v>
      </c>
      <c r="C196" s="676" t="s">
        <v>1919</v>
      </c>
      <c r="D196" s="717">
        <v>261.0</v>
      </c>
      <c r="E196" s="632" t="s">
        <v>3609</v>
      </c>
      <c r="F196" s="678">
        <f t="shared" ref="F196:G196" si="507">H196+J196+L196+N196+P196</f>
        <v>5117.82</v>
      </c>
      <c r="G196" s="679">
        <f t="shared" si="507"/>
        <v>958.4</v>
      </c>
      <c r="H196" s="641">
        <v>1362.61</v>
      </c>
      <c r="I196" s="680">
        <v>161.47</v>
      </c>
      <c r="J196" s="641">
        <v>597.89</v>
      </c>
      <c r="K196" s="680">
        <v>297.67</v>
      </c>
      <c r="L196" s="641">
        <v>1238.14</v>
      </c>
      <c r="M196" s="680">
        <v>247.09</v>
      </c>
      <c r="N196" s="641">
        <v>815.18</v>
      </c>
      <c r="O196" s="680">
        <v>105.8</v>
      </c>
      <c r="P196" s="641">
        <v>1104.0</v>
      </c>
      <c r="Q196" s="680">
        <v>146.37</v>
      </c>
      <c r="R196" s="681" t="s">
        <v>707</v>
      </c>
      <c r="S196" s="682">
        <f t="shared" si="10"/>
        <v>5117.82</v>
      </c>
      <c r="T196" s="683"/>
      <c r="U196" s="625">
        <f t="shared" si="442"/>
        <v>1362.61</v>
      </c>
      <c r="V196" s="625">
        <f t="shared" si="443"/>
        <v>597.89</v>
      </c>
      <c r="W196" s="625">
        <f t="shared" si="444"/>
        <v>1238.14</v>
      </c>
      <c r="X196" s="625">
        <f t="shared" si="445"/>
        <v>815.18</v>
      </c>
      <c r="Y196" s="625">
        <f t="shared" si="446"/>
        <v>1104</v>
      </c>
      <c r="Z196" s="656">
        <f t="shared" si="16"/>
        <v>958.4</v>
      </c>
      <c r="AA196" s="683"/>
      <c r="AB196" s="625">
        <f t="shared" si="447"/>
        <v>161.47</v>
      </c>
      <c r="AC196" s="625">
        <f t="shared" si="448"/>
        <v>297.67</v>
      </c>
      <c r="AD196" s="625">
        <f t="shared" si="449"/>
        <v>247.09</v>
      </c>
      <c r="AE196" s="625">
        <f t="shared" si="450"/>
        <v>105.8</v>
      </c>
      <c r="AF196" s="625">
        <f t="shared" si="451"/>
        <v>146.37</v>
      </c>
      <c r="AG196" s="657">
        <f t="shared" si="22"/>
        <v>0.1872672349</v>
      </c>
      <c r="AH196" s="165"/>
      <c r="AI196" s="165">
        <f t="shared" ref="AI196:AM196" si="508">AB196/U196</f>
        <v>0.1185005247</v>
      </c>
      <c r="AJ196" s="165">
        <f t="shared" si="508"/>
        <v>0.4978675007</v>
      </c>
      <c r="AK196" s="165">
        <f t="shared" si="508"/>
        <v>0.1995654772</v>
      </c>
      <c r="AL196" s="165">
        <f t="shared" si="508"/>
        <v>0.1297872862</v>
      </c>
      <c r="AM196" s="165">
        <f t="shared" si="508"/>
        <v>0.1325815217</v>
      </c>
      <c r="AN196" s="684">
        <f t="shared" si="453"/>
        <v>2136</v>
      </c>
      <c r="AO196" s="625"/>
      <c r="AP196" s="625">
        <v>460.0</v>
      </c>
      <c r="AQ196" s="625">
        <v>219.0</v>
      </c>
      <c r="AR196" s="625">
        <v>216.0</v>
      </c>
      <c r="AS196" s="625">
        <v>860.0</v>
      </c>
      <c r="AT196" s="641">
        <v>381.0</v>
      </c>
      <c r="AU196" s="684">
        <f t="shared" si="496"/>
        <v>2276.63</v>
      </c>
      <c r="AV196" s="625"/>
      <c r="AW196" s="625">
        <v>569.86</v>
      </c>
      <c r="AX196" s="625">
        <v>475.17</v>
      </c>
      <c r="AY196" s="625">
        <v>453.84</v>
      </c>
      <c r="AZ196" s="625">
        <v>412.47</v>
      </c>
      <c r="BA196" s="693">
        <v>365.29</v>
      </c>
      <c r="BB196" s="631"/>
      <c r="BC196" s="189" t="s">
        <v>695</v>
      </c>
      <c r="BD196" s="688" t="s">
        <v>3303</v>
      </c>
      <c r="BE196" s="179" t="s">
        <v>3304</v>
      </c>
      <c r="BF196" s="179" t="s">
        <v>3305</v>
      </c>
      <c r="BG196" s="179" t="s">
        <v>3306</v>
      </c>
      <c r="BH196" s="179" t="s">
        <v>3307</v>
      </c>
      <c r="BI196" s="179" t="s">
        <v>3308</v>
      </c>
      <c r="BJ196" s="179"/>
      <c r="BK196" s="631"/>
      <c r="BL196" s="179" t="b">
        <f t="shared" si="26"/>
        <v>1</v>
      </c>
      <c r="BM196" s="179" t="b">
        <f t="shared" si="27"/>
        <v>1</v>
      </c>
      <c r="BN196" s="688" t="b">
        <f t="shared" si="28"/>
        <v>1</v>
      </c>
    </row>
    <row r="197">
      <c r="A197" s="696" t="s">
        <v>1534</v>
      </c>
      <c r="B197" s="186" t="s">
        <v>3610</v>
      </c>
      <c r="C197" s="676" t="s">
        <v>2113</v>
      </c>
      <c r="D197" s="677">
        <v>147.0</v>
      </c>
      <c r="E197" s="632" t="s">
        <v>68</v>
      </c>
      <c r="F197" s="678">
        <f t="shared" ref="F197:G197" si="509">H197+J197+L197+N197+P197</f>
        <v>3918.8</v>
      </c>
      <c r="G197" s="679">
        <f t="shared" si="509"/>
        <v>249.2</v>
      </c>
      <c r="H197" s="641">
        <v>1402.5</v>
      </c>
      <c r="I197" s="680">
        <v>201.0</v>
      </c>
      <c r="J197" s="641">
        <v>1194.5</v>
      </c>
      <c r="K197" s="680">
        <v>115.7</v>
      </c>
      <c r="L197" s="641">
        <v>505.1</v>
      </c>
      <c r="M197" s="680">
        <v>-78.1</v>
      </c>
      <c r="N197" s="641">
        <v>423.5</v>
      </c>
      <c r="O197" s="680">
        <v>23.6</v>
      </c>
      <c r="P197" s="641">
        <v>393.2</v>
      </c>
      <c r="Q197" s="680">
        <v>-13.0</v>
      </c>
      <c r="R197" s="681" t="s">
        <v>703</v>
      </c>
      <c r="S197" s="682">
        <f t="shared" si="10"/>
        <v>3918.8</v>
      </c>
      <c r="T197" s="683"/>
      <c r="U197" s="625">
        <f t="shared" si="442"/>
        <v>1402.5</v>
      </c>
      <c r="V197" s="625">
        <f t="shared" si="443"/>
        <v>1194.5</v>
      </c>
      <c r="W197" s="625">
        <f t="shared" si="444"/>
        <v>505.1</v>
      </c>
      <c r="X197" s="625">
        <f t="shared" si="445"/>
        <v>423.5</v>
      </c>
      <c r="Y197" s="625">
        <f t="shared" si="446"/>
        <v>393.2</v>
      </c>
      <c r="Z197" s="656">
        <f t="shared" si="16"/>
        <v>249.2</v>
      </c>
      <c r="AA197" s="683"/>
      <c r="AB197" s="625">
        <f t="shared" si="447"/>
        <v>201</v>
      </c>
      <c r="AC197" s="625">
        <f t="shared" si="448"/>
        <v>115.7</v>
      </c>
      <c r="AD197" s="625">
        <f t="shared" si="449"/>
        <v>-78.1</v>
      </c>
      <c r="AE197" s="625">
        <f t="shared" si="450"/>
        <v>23.6</v>
      </c>
      <c r="AF197" s="625">
        <f t="shared" si="451"/>
        <v>-13</v>
      </c>
      <c r="AG197" s="657">
        <f t="shared" si="22"/>
        <v>0.06359089517</v>
      </c>
      <c r="AH197" s="165"/>
      <c r="AI197" s="165">
        <f t="shared" ref="AI197:AM197" si="510">AB197/U197</f>
        <v>0.143315508</v>
      </c>
      <c r="AJ197" s="165">
        <f t="shared" si="510"/>
        <v>0.09686061113</v>
      </c>
      <c r="AK197" s="165">
        <f t="shared" si="510"/>
        <v>-0.154622847</v>
      </c>
      <c r="AL197" s="165">
        <f t="shared" si="510"/>
        <v>0.05572609209</v>
      </c>
      <c r="AM197" s="165">
        <f t="shared" si="510"/>
        <v>-0.03306205493</v>
      </c>
      <c r="AN197" s="684">
        <f t="shared" si="453"/>
        <v>1417</v>
      </c>
      <c r="AO197" s="625"/>
      <c r="AP197" s="625">
        <v>869.0</v>
      </c>
      <c r="AQ197" s="625">
        <v>281.0</v>
      </c>
      <c r="AR197" s="625">
        <v>29.0</v>
      </c>
      <c r="AS197" s="625">
        <v>169.0</v>
      </c>
      <c r="AT197" s="625">
        <v>69.0</v>
      </c>
      <c r="AU197" s="684">
        <f t="shared" si="496"/>
        <v>616.7</v>
      </c>
      <c r="AV197" s="625"/>
      <c r="AW197" s="625">
        <v>154.1</v>
      </c>
      <c r="AX197" s="625">
        <v>142.5</v>
      </c>
      <c r="AY197" s="625">
        <v>68.1</v>
      </c>
      <c r="AZ197" s="625">
        <v>130.8</v>
      </c>
      <c r="BA197" s="693">
        <v>121.2</v>
      </c>
      <c r="BB197" s="631"/>
      <c r="BC197" s="189" t="s">
        <v>695</v>
      </c>
      <c r="BD197" s="688" t="s">
        <v>3303</v>
      </c>
      <c r="BE197" s="179" t="s">
        <v>3304</v>
      </c>
      <c r="BF197" s="179" t="s">
        <v>3305</v>
      </c>
      <c r="BG197" s="179" t="s">
        <v>3306</v>
      </c>
      <c r="BH197" s="179" t="s">
        <v>3307</v>
      </c>
      <c r="BI197" s="179" t="s">
        <v>3308</v>
      </c>
      <c r="BJ197" s="179"/>
      <c r="BK197" s="631"/>
      <c r="BL197" s="179" t="b">
        <f t="shared" si="26"/>
        <v>1</v>
      </c>
      <c r="BM197" s="179" t="b">
        <f t="shared" si="27"/>
        <v>1</v>
      </c>
      <c r="BN197" s="688" t="b">
        <f t="shared" si="28"/>
        <v>1</v>
      </c>
    </row>
    <row r="198">
      <c r="A198" s="675" t="s">
        <v>3301</v>
      </c>
      <c r="B198" s="186" t="s">
        <v>3611</v>
      </c>
      <c r="C198" s="676" t="s">
        <v>2113</v>
      </c>
      <c r="D198" s="677">
        <v>46.0</v>
      </c>
      <c r="E198" s="632" t="s">
        <v>956</v>
      </c>
      <c r="F198" s="678">
        <f t="shared" ref="F198:G198" si="511">H198+J198+L198+N198+P198</f>
        <v>22443</v>
      </c>
      <c r="G198" s="679">
        <f t="shared" si="511"/>
        <v>3370.88</v>
      </c>
      <c r="H198" s="641">
        <v>7059.0</v>
      </c>
      <c r="I198" s="680">
        <v>1051.36</v>
      </c>
      <c r="J198" s="641">
        <v>3696.0</v>
      </c>
      <c r="K198" s="680">
        <v>515.4</v>
      </c>
      <c r="L198" s="641">
        <v>3960.0</v>
      </c>
      <c r="M198" s="680">
        <v>715.0</v>
      </c>
      <c r="N198" s="641">
        <v>3927.0</v>
      </c>
      <c r="O198" s="680">
        <v>661.31</v>
      </c>
      <c r="P198" s="641">
        <v>3801.0</v>
      </c>
      <c r="Q198" s="680">
        <v>427.81</v>
      </c>
      <c r="R198" s="681" t="s">
        <v>696</v>
      </c>
      <c r="S198" s="682">
        <f t="shared" si="10"/>
        <v>22443</v>
      </c>
      <c r="T198" s="683"/>
      <c r="U198" s="625">
        <f t="shared" si="442"/>
        <v>7059</v>
      </c>
      <c r="V198" s="625">
        <f t="shared" si="443"/>
        <v>3696</v>
      </c>
      <c r="W198" s="625">
        <f t="shared" si="444"/>
        <v>3960</v>
      </c>
      <c r="X198" s="625">
        <f t="shared" si="445"/>
        <v>3927</v>
      </c>
      <c r="Y198" s="625">
        <f t="shared" si="446"/>
        <v>3801</v>
      </c>
      <c r="Z198" s="656">
        <f t="shared" si="16"/>
        <v>3370.88</v>
      </c>
      <c r="AA198" s="683"/>
      <c r="AB198" s="625">
        <f t="shared" si="447"/>
        <v>1051.36</v>
      </c>
      <c r="AC198" s="625">
        <f t="shared" si="448"/>
        <v>515.4</v>
      </c>
      <c r="AD198" s="625">
        <f t="shared" si="449"/>
        <v>715</v>
      </c>
      <c r="AE198" s="625">
        <f t="shared" si="450"/>
        <v>661.31</v>
      </c>
      <c r="AF198" s="625">
        <f t="shared" si="451"/>
        <v>427.81</v>
      </c>
      <c r="AG198" s="657">
        <f t="shared" si="22"/>
        <v>0.1501973889</v>
      </c>
      <c r="AH198" s="165"/>
      <c r="AI198" s="165">
        <f t="shared" ref="AI198:AM198" si="512">AB198/U198</f>
        <v>0.1489389432</v>
      </c>
      <c r="AJ198" s="165">
        <f t="shared" si="512"/>
        <v>0.1394480519</v>
      </c>
      <c r="AK198" s="165">
        <f t="shared" si="512"/>
        <v>0.1805555556</v>
      </c>
      <c r="AL198" s="165">
        <f t="shared" si="512"/>
        <v>0.1684008149</v>
      </c>
      <c r="AM198" s="165">
        <f t="shared" si="512"/>
        <v>0.11255196</v>
      </c>
      <c r="AN198" s="684">
        <f t="shared" si="453"/>
        <v>8606</v>
      </c>
      <c r="AO198" s="685">
        <v>1000.0</v>
      </c>
      <c r="AP198" s="180">
        <v>1500.0</v>
      </c>
      <c r="AQ198" s="180">
        <v>106.0</v>
      </c>
      <c r="AR198" s="180">
        <v>2000.0</v>
      </c>
      <c r="AS198" s="180">
        <v>3000.0</v>
      </c>
      <c r="AT198" s="180">
        <v>2000.0</v>
      </c>
      <c r="AU198" s="684">
        <f t="shared" si="496"/>
        <v>27730</v>
      </c>
      <c r="AV198" s="685">
        <v>6682.0</v>
      </c>
      <c r="AW198" s="180">
        <v>6172.0</v>
      </c>
      <c r="AX198" s="180">
        <v>5815.0</v>
      </c>
      <c r="AY198" s="180">
        <v>5509.0</v>
      </c>
      <c r="AZ198" s="180">
        <v>5304.0</v>
      </c>
      <c r="BA198" s="686">
        <v>4930.0</v>
      </c>
      <c r="BB198" s="631"/>
      <c r="BC198" s="186" t="s">
        <v>695</v>
      </c>
      <c r="BD198" s="186" t="s">
        <v>3303</v>
      </c>
      <c r="BE198" s="186" t="s">
        <v>3304</v>
      </c>
      <c r="BF198" s="186" t="s">
        <v>3305</v>
      </c>
      <c r="BG198" s="186" t="s">
        <v>3306</v>
      </c>
      <c r="BH198" s="186" t="s">
        <v>3307</v>
      </c>
      <c r="BI198" s="186" t="s">
        <v>3308</v>
      </c>
      <c r="BJ198" s="179"/>
      <c r="BK198" s="631"/>
      <c r="BL198" s="179" t="b">
        <f t="shared" si="26"/>
        <v>1</v>
      </c>
      <c r="BM198" s="179" t="b">
        <f t="shared" si="27"/>
        <v>1</v>
      </c>
      <c r="BN198" s="688" t="b">
        <f t="shared" si="28"/>
        <v>1</v>
      </c>
    </row>
    <row r="199">
      <c r="A199" s="148" t="s">
        <v>3384</v>
      </c>
      <c r="B199" s="712" t="s">
        <v>3612</v>
      </c>
      <c r="C199" s="676" t="s">
        <v>2113</v>
      </c>
      <c r="D199" s="713">
        <v>17.0</v>
      </c>
      <c r="E199" s="734" t="s">
        <v>2635</v>
      </c>
      <c r="F199" s="71">
        <f t="shared" ref="F199:G199" si="513">H199+J199+L199+N199+P199</f>
        <v>17623</v>
      </c>
      <c r="G199" s="679">
        <f t="shared" si="513"/>
        <v>1395</v>
      </c>
      <c r="H199" s="641">
        <v>12455.0</v>
      </c>
      <c r="I199" s="680">
        <v>1263.0</v>
      </c>
      <c r="J199" s="641">
        <v>1732.0</v>
      </c>
      <c r="K199" s="680">
        <v>363.0</v>
      </c>
      <c r="L199" s="641">
        <v>-5231.0</v>
      </c>
      <c r="M199" s="680">
        <v>-1324.0</v>
      </c>
      <c r="N199" s="641">
        <v>3206.0</v>
      </c>
      <c r="O199" s="680">
        <v>354.0</v>
      </c>
      <c r="P199" s="641">
        <v>5461.0</v>
      </c>
      <c r="Q199" s="680">
        <v>739.0</v>
      </c>
      <c r="R199" s="714"/>
      <c r="S199" s="682">
        <f t="shared" si="10"/>
        <v>17623</v>
      </c>
      <c r="T199" s="683"/>
      <c r="U199" s="625">
        <f t="shared" si="442"/>
        <v>12455</v>
      </c>
      <c r="V199" s="625">
        <f t="shared" si="443"/>
        <v>1732</v>
      </c>
      <c r="W199" s="625">
        <f t="shared" si="444"/>
        <v>-5231</v>
      </c>
      <c r="X199" s="625">
        <f t="shared" si="445"/>
        <v>3206</v>
      </c>
      <c r="Y199" s="625">
        <f t="shared" si="446"/>
        <v>5461</v>
      </c>
      <c r="Z199" s="656">
        <f t="shared" si="16"/>
        <v>1395</v>
      </c>
      <c r="AA199" s="683"/>
      <c r="AB199" s="625">
        <f t="shared" si="447"/>
        <v>1263</v>
      </c>
      <c r="AC199" s="625">
        <f t="shared" si="448"/>
        <v>363</v>
      </c>
      <c r="AD199" s="625">
        <f t="shared" si="449"/>
        <v>-1324</v>
      </c>
      <c r="AE199" s="625">
        <f t="shared" si="450"/>
        <v>354</v>
      </c>
      <c r="AF199" s="625">
        <f t="shared" si="451"/>
        <v>739</v>
      </c>
      <c r="AG199" s="657">
        <f t="shared" si="22"/>
        <v>0.07915791863</v>
      </c>
      <c r="AH199" s="165"/>
      <c r="AI199" s="165">
        <f t="shared" ref="AI199:AM199" si="514">AB199/U199</f>
        <v>0.1014050582</v>
      </c>
      <c r="AJ199" s="165">
        <f t="shared" si="514"/>
        <v>0.2095842956</v>
      </c>
      <c r="AK199" s="165">
        <f t="shared" si="514"/>
        <v>0.2531064806</v>
      </c>
      <c r="AL199" s="165">
        <f t="shared" si="514"/>
        <v>0.1104179663</v>
      </c>
      <c r="AM199" s="165">
        <f t="shared" si="514"/>
        <v>0.1353232009</v>
      </c>
      <c r="AN199" s="684">
        <f t="shared" si="453"/>
        <v>8251</v>
      </c>
      <c r="AO199" s="180"/>
      <c r="AP199" s="685">
        <v>1513.0</v>
      </c>
      <c r="AQ199" s="685">
        <v>0.0</v>
      </c>
      <c r="AR199" s="685">
        <v>443.0</v>
      </c>
      <c r="AS199" s="685">
        <v>1650.0</v>
      </c>
      <c r="AT199" s="685">
        <v>4645.0</v>
      </c>
      <c r="AU199" s="684">
        <f t="shared" si="496"/>
        <v>7959</v>
      </c>
      <c r="AV199" s="180"/>
      <c r="AW199" s="685">
        <v>1793.0</v>
      </c>
      <c r="AX199" s="685">
        <v>1585.0</v>
      </c>
      <c r="AY199" s="685">
        <v>1575.0</v>
      </c>
      <c r="AZ199" s="685">
        <v>1570.0</v>
      </c>
      <c r="BA199" s="710">
        <v>1436.0</v>
      </c>
      <c r="BB199" s="685"/>
      <c r="BC199" s="695" t="s">
        <v>695</v>
      </c>
      <c r="BD199" s="688" t="s">
        <v>3303</v>
      </c>
      <c r="BE199" s="695" t="s">
        <v>3304</v>
      </c>
      <c r="BF199" s="695" t="s">
        <v>3305</v>
      </c>
      <c r="BG199" s="695" t="s">
        <v>3306</v>
      </c>
      <c r="BH199" s="695" t="s">
        <v>3307</v>
      </c>
      <c r="BI199" s="695" t="s">
        <v>3308</v>
      </c>
      <c r="BJ199" s="179"/>
      <c r="BK199" s="685"/>
      <c r="BL199" s="179" t="b">
        <f t="shared" si="26"/>
        <v>1</v>
      </c>
      <c r="BM199" s="179" t="b">
        <f t="shared" si="27"/>
        <v>1</v>
      </c>
      <c r="BN199" s="688" t="b">
        <f t="shared" si="28"/>
        <v>1</v>
      </c>
    </row>
    <row r="200">
      <c r="A200" s="696" t="s">
        <v>3327</v>
      </c>
      <c r="B200" s="186" t="s">
        <v>3613</v>
      </c>
      <c r="C200" s="676" t="s">
        <v>2113</v>
      </c>
      <c r="D200" s="677">
        <v>164.0</v>
      </c>
      <c r="E200" s="721" t="s">
        <v>57</v>
      </c>
      <c r="F200" s="654"/>
      <c r="G200" s="706"/>
      <c r="H200" s="707"/>
      <c r="I200" s="706"/>
      <c r="J200" s="707"/>
      <c r="K200" s="706"/>
      <c r="L200" s="707"/>
      <c r="M200" s="706"/>
      <c r="N200" s="707"/>
      <c r="O200" s="706"/>
      <c r="P200" s="707"/>
      <c r="Q200" s="708"/>
      <c r="R200" s="709"/>
      <c r="S200" s="682">
        <f t="shared" si="10"/>
        <v>14583</v>
      </c>
      <c r="T200" s="625"/>
      <c r="U200" s="625">
        <v>9912.0</v>
      </c>
      <c r="V200" s="625">
        <v>2702.0</v>
      </c>
      <c r="W200" s="625">
        <v>-264.0</v>
      </c>
      <c r="X200" s="625">
        <v>984.0</v>
      </c>
      <c r="Y200" s="625">
        <v>1249.0</v>
      </c>
      <c r="Z200" s="656">
        <f t="shared" si="16"/>
        <v>241</v>
      </c>
      <c r="AA200" s="625"/>
      <c r="AB200" s="625">
        <v>260.0</v>
      </c>
      <c r="AC200" s="625">
        <v>1.0</v>
      </c>
      <c r="AD200" s="625">
        <v>-12.0</v>
      </c>
      <c r="AE200" s="625">
        <v>-8.0</v>
      </c>
      <c r="AF200" s="641">
        <v>0.0</v>
      </c>
      <c r="AG200" s="657">
        <f t="shared" si="22"/>
        <v>0.01652609202</v>
      </c>
      <c r="AH200" s="165"/>
      <c r="AI200" s="165">
        <f t="shared" ref="AI200:AM200" si="515">AB200/U200</f>
        <v>0.02623083132</v>
      </c>
      <c r="AJ200" s="165">
        <f t="shared" si="515"/>
        <v>0.000370096225</v>
      </c>
      <c r="AK200" s="165">
        <f t="shared" si="515"/>
        <v>0.04545454545</v>
      </c>
      <c r="AL200" s="165">
        <f t="shared" si="515"/>
        <v>-0.008130081301</v>
      </c>
      <c r="AM200" s="165">
        <f t="shared" si="515"/>
        <v>0</v>
      </c>
      <c r="AN200" s="684">
        <f t="shared" si="453"/>
        <v>2964</v>
      </c>
      <c r="AO200" s="631"/>
      <c r="AP200" s="188">
        <v>1687.0</v>
      </c>
      <c r="AQ200" s="188">
        <v>269.0</v>
      </c>
      <c r="AR200" s="188">
        <v>176.0</v>
      </c>
      <c r="AS200" s="188">
        <v>653.0</v>
      </c>
      <c r="AT200" s="188">
        <v>179.0</v>
      </c>
      <c r="AU200" s="684">
        <f t="shared" si="496"/>
        <v>8391</v>
      </c>
      <c r="AV200" s="625"/>
      <c r="AW200" s="188">
        <v>6269.0</v>
      </c>
      <c r="AX200" s="188">
        <v>1594.0</v>
      </c>
      <c r="AY200" s="188">
        <v>346.0</v>
      </c>
      <c r="AZ200" s="188">
        <v>127.0</v>
      </c>
      <c r="BA200" s="691">
        <v>55.0</v>
      </c>
      <c r="BB200" s="631"/>
      <c r="BC200" s="189" t="s">
        <v>695</v>
      </c>
      <c r="BD200" s="688" t="s">
        <v>3303</v>
      </c>
      <c r="BE200" s="179" t="s">
        <v>3304</v>
      </c>
      <c r="BF200" s="179" t="s">
        <v>3305</v>
      </c>
      <c r="BG200" s="179" t="s">
        <v>3306</v>
      </c>
      <c r="BH200" s="179" t="s">
        <v>3307</v>
      </c>
      <c r="BI200" s="179" t="s">
        <v>3308</v>
      </c>
      <c r="BJ200" s="179"/>
      <c r="BK200" s="631"/>
      <c r="BL200" s="179" t="b">
        <f t="shared" si="26"/>
        <v>1</v>
      </c>
      <c r="BM200" s="179" t="b">
        <f t="shared" si="27"/>
        <v>1</v>
      </c>
      <c r="BN200" s="688" t="b">
        <f t="shared" si="28"/>
        <v>1</v>
      </c>
    </row>
    <row r="201">
      <c r="A201" s="675" t="s">
        <v>3301</v>
      </c>
      <c r="B201" s="186" t="s">
        <v>3614</v>
      </c>
      <c r="C201" s="676" t="s">
        <v>2113</v>
      </c>
      <c r="D201" s="677">
        <v>168.0</v>
      </c>
      <c r="E201" s="632" t="s">
        <v>948</v>
      </c>
      <c r="F201" s="678">
        <f t="shared" ref="F201:G201" si="516">H201+J201+L201+N201+P201</f>
        <v>32422</v>
      </c>
      <c r="G201" s="679">
        <f t="shared" si="516"/>
        <v>3726</v>
      </c>
      <c r="H201" s="641">
        <v>7151.0</v>
      </c>
      <c r="I201" s="680">
        <v>782.0</v>
      </c>
      <c r="J201" s="641">
        <v>6382.0</v>
      </c>
      <c r="K201" s="680">
        <v>894.0</v>
      </c>
      <c r="L201" s="641">
        <v>6156.0</v>
      </c>
      <c r="M201" s="680">
        <v>669.0</v>
      </c>
      <c r="N201" s="641">
        <v>6475.0</v>
      </c>
      <c r="O201" s="680">
        <v>608.0</v>
      </c>
      <c r="P201" s="641">
        <v>6258.0</v>
      </c>
      <c r="Q201" s="680">
        <v>773.0</v>
      </c>
      <c r="R201" s="681" t="s">
        <v>716</v>
      </c>
      <c r="S201" s="682">
        <f t="shared" si="10"/>
        <v>32422</v>
      </c>
      <c r="T201" s="683"/>
      <c r="U201" s="625">
        <f t="shared" ref="U201:U241" si="519">H201</f>
        <v>7151</v>
      </c>
      <c r="V201" s="625">
        <f t="shared" ref="V201:V241" si="520">J201</f>
        <v>6382</v>
      </c>
      <c r="W201" s="625">
        <f t="shared" ref="W201:W241" si="521">L201</f>
        <v>6156</v>
      </c>
      <c r="X201" s="625">
        <f t="shared" ref="X201:X241" si="522">N201</f>
        <v>6475</v>
      </c>
      <c r="Y201" s="625">
        <f t="shared" ref="Y201:Y241" si="523">P201</f>
        <v>6258</v>
      </c>
      <c r="Z201" s="656">
        <f t="shared" si="16"/>
        <v>3726</v>
      </c>
      <c r="AA201" s="683"/>
      <c r="AB201" s="625">
        <f t="shared" ref="AB201:AB241" si="524">I201</f>
        <v>782</v>
      </c>
      <c r="AC201" s="625">
        <f t="shared" ref="AC201:AC241" si="525">K201</f>
        <v>894</v>
      </c>
      <c r="AD201" s="625">
        <f t="shared" ref="AD201:AD241" si="526">M201</f>
        <v>669</v>
      </c>
      <c r="AE201" s="625">
        <f t="shared" ref="AE201:AE241" si="527">O201</f>
        <v>608</v>
      </c>
      <c r="AF201" s="625">
        <f t="shared" ref="AF201:AF241" si="528">Q201</f>
        <v>773</v>
      </c>
      <c r="AG201" s="657">
        <f t="shared" si="22"/>
        <v>0.1149219666</v>
      </c>
      <c r="AH201" s="165"/>
      <c r="AI201" s="165">
        <f t="shared" ref="AI201:AM201" si="517">AB201/U201</f>
        <v>0.1093553349</v>
      </c>
      <c r="AJ201" s="165">
        <f t="shared" si="517"/>
        <v>0.1400814792</v>
      </c>
      <c r="AK201" s="165">
        <f t="shared" si="517"/>
        <v>0.1086744639</v>
      </c>
      <c r="AL201" s="165">
        <f t="shared" si="517"/>
        <v>0.0938996139</v>
      </c>
      <c r="AM201" s="165">
        <f t="shared" si="517"/>
        <v>0.123521892</v>
      </c>
      <c r="AN201" s="684">
        <f t="shared" si="453"/>
        <v>12889</v>
      </c>
      <c r="AO201" s="641">
        <v>651.0</v>
      </c>
      <c r="AP201" s="641">
        <v>3731.0</v>
      </c>
      <c r="AQ201" s="641">
        <v>1079.0</v>
      </c>
      <c r="AR201" s="641">
        <v>1624.0</v>
      </c>
      <c r="AS201" s="641">
        <v>3578.0</v>
      </c>
      <c r="AT201" s="641">
        <v>2877.0</v>
      </c>
      <c r="AU201" s="684">
        <f t="shared" si="496"/>
        <v>11158</v>
      </c>
      <c r="AV201" s="641">
        <f>2461+417</f>
        <v>2878</v>
      </c>
      <c r="AW201" s="641">
        <f>2391+301</f>
        <v>2692</v>
      </c>
      <c r="AX201" s="641">
        <f>2056+233</f>
        <v>2289</v>
      </c>
      <c r="AY201" s="641">
        <f>1980+229</f>
        <v>2209</v>
      </c>
      <c r="AZ201" s="641">
        <f>1895+236</f>
        <v>2131</v>
      </c>
      <c r="BA201" s="691">
        <f>1601+236</f>
        <v>1837</v>
      </c>
      <c r="BB201" s="631"/>
      <c r="BC201" s="189" t="s">
        <v>695</v>
      </c>
      <c r="BD201" s="186" t="s">
        <v>3303</v>
      </c>
      <c r="BE201" s="179" t="s">
        <v>3304</v>
      </c>
      <c r="BF201" s="179" t="s">
        <v>3305</v>
      </c>
      <c r="BG201" s="179" t="s">
        <v>3306</v>
      </c>
      <c r="BH201" s="179" t="s">
        <v>3307</v>
      </c>
      <c r="BI201" s="179" t="s">
        <v>3308</v>
      </c>
      <c r="BJ201" s="179"/>
      <c r="BK201" s="631"/>
      <c r="BL201" s="179" t="b">
        <f t="shared" si="26"/>
        <v>1</v>
      </c>
      <c r="BM201" s="179" t="b">
        <f t="shared" si="27"/>
        <v>1</v>
      </c>
      <c r="BN201" s="688" t="b">
        <f t="shared" si="28"/>
        <v>1</v>
      </c>
    </row>
    <row r="202">
      <c r="A202" s="689"/>
      <c r="B202" s="186" t="s">
        <v>3615</v>
      </c>
      <c r="C202" s="676" t="s">
        <v>2113</v>
      </c>
      <c r="D202" s="717">
        <v>424.0</v>
      </c>
      <c r="E202" s="632" t="s">
        <v>3616</v>
      </c>
      <c r="F202" s="678">
        <f t="shared" ref="F202:G202" si="518">H202+J202+L202+N202+P202</f>
        <v>1782.22</v>
      </c>
      <c r="G202" s="679">
        <f t="shared" si="518"/>
        <v>354.72</v>
      </c>
      <c r="H202" s="641">
        <v>582.5</v>
      </c>
      <c r="I202" s="680">
        <v>145.0</v>
      </c>
      <c r="J202" s="641">
        <v>473.1</v>
      </c>
      <c r="K202" s="680">
        <v>72.7</v>
      </c>
      <c r="L202" s="641">
        <v>59.5</v>
      </c>
      <c r="M202" s="680">
        <v>56.5</v>
      </c>
      <c r="N202" s="641">
        <v>326.15</v>
      </c>
      <c r="O202" s="680">
        <v>46.44</v>
      </c>
      <c r="P202" s="641">
        <v>340.97</v>
      </c>
      <c r="Q202" s="680">
        <v>34.08</v>
      </c>
      <c r="R202" s="681" t="s">
        <v>719</v>
      </c>
      <c r="S202" s="682">
        <f t="shared" si="10"/>
        <v>1782.22</v>
      </c>
      <c r="T202" s="683"/>
      <c r="U202" s="625">
        <f t="shared" si="519"/>
        <v>582.5</v>
      </c>
      <c r="V202" s="625">
        <f t="shared" si="520"/>
        <v>473.1</v>
      </c>
      <c r="W202" s="625">
        <f t="shared" si="521"/>
        <v>59.5</v>
      </c>
      <c r="X202" s="625">
        <f t="shared" si="522"/>
        <v>326.15</v>
      </c>
      <c r="Y202" s="625">
        <f t="shared" si="523"/>
        <v>340.97</v>
      </c>
      <c r="Z202" s="656">
        <f t="shared" si="16"/>
        <v>354.72</v>
      </c>
      <c r="AA202" s="683"/>
      <c r="AB202" s="625">
        <f t="shared" si="524"/>
        <v>145</v>
      </c>
      <c r="AC202" s="625">
        <f t="shared" si="525"/>
        <v>72.7</v>
      </c>
      <c r="AD202" s="625">
        <f t="shared" si="526"/>
        <v>56.5</v>
      </c>
      <c r="AE202" s="625">
        <f t="shared" si="527"/>
        <v>46.44</v>
      </c>
      <c r="AF202" s="625">
        <f t="shared" si="528"/>
        <v>34.08</v>
      </c>
      <c r="AG202" s="657">
        <f t="shared" si="22"/>
        <v>0.1990326671</v>
      </c>
      <c r="AH202" s="165"/>
      <c r="AI202" s="165">
        <f t="shared" ref="AI202:AM202" si="529">AB202/U202</f>
        <v>0.2489270386</v>
      </c>
      <c r="AJ202" s="165">
        <f t="shared" si="529"/>
        <v>0.1536673008</v>
      </c>
      <c r="AK202" s="165">
        <f t="shared" si="529"/>
        <v>0.9495798319</v>
      </c>
      <c r="AL202" s="165">
        <f t="shared" si="529"/>
        <v>0.1423884716</v>
      </c>
      <c r="AM202" s="165">
        <f t="shared" si="529"/>
        <v>0.09995014224</v>
      </c>
      <c r="AN202" s="684">
        <f t="shared" si="453"/>
        <v>1373.941</v>
      </c>
      <c r="AO202" s="641">
        <v>178.6</v>
      </c>
      <c r="AP202" s="625">
        <v>505.0</v>
      </c>
      <c r="AQ202" s="625">
        <v>461.6</v>
      </c>
      <c r="AR202" s="625">
        <v>50.3</v>
      </c>
      <c r="AS202" s="625">
        <v>8.378</v>
      </c>
      <c r="AT202" s="625">
        <v>348.663</v>
      </c>
      <c r="AU202" s="684">
        <f t="shared" si="496"/>
        <v>754</v>
      </c>
      <c r="AV202" s="641">
        <v>147.3</v>
      </c>
      <c r="AW202" s="625">
        <v>150.0</v>
      </c>
      <c r="AX202" s="625">
        <v>153.4</v>
      </c>
      <c r="AY202" s="625">
        <v>152.5</v>
      </c>
      <c r="AZ202" s="625">
        <v>149.1</v>
      </c>
      <c r="BA202" s="693">
        <v>149.0</v>
      </c>
      <c r="BB202" s="631"/>
      <c r="BC202" s="189" t="s">
        <v>695</v>
      </c>
      <c r="BD202" s="186" t="s">
        <v>3303</v>
      </c>
      <c r="BE202" s="688" t="s">
        <v>3303</v>
      </c>
      <c r="BF202" s="688" t="s">
        <v>3303</v>
      </c>
      <c r="BG202" s="688" t="s">
        <v>3303</v>
      </c>
      <c r="BH202" s="688" t="s">
        <v>3303</v>
      </c>
      <c r="BI202" s="688" t="s">
        <v>3303</v>
      </c>
      <c r="BJ202" s="179"/>
      <c r="BK202" s="631"/>
      <c r="BL202" s="179" t="b">
        <f t="shared" si="26"/>
        <v>1</v>
      </c>
      <c r="BM202" s="179" t="b">
        <f t="shared" si="27"/>
        <v>1</v>
      </c>
      <c r="BN202" s="688" t="b">
        <f t="shared" si="28"/>
        <v>1</v>
      </c>
    </row>
    <row r="203">
      <c r="A203" s="696" t="s">
        <v>1534</v>
      </c>
      <c r="B203" s="186" t="s">
        <v>3617</v>
      </c>
      <c r="C203" s="676" t="s">
        <v>2113</v>
      </c>
      <c r="D203" s="677">
        <v>232.0</v>
      </c>
      <c r="E203" s="632" t="s">
        <v>76</v>
      </c>
      <c r="F203" s="678">
        <f t="shared" ref="F203:G203" si="530">H203+J203+L203+N203+P203</f>
        <v>2056</v>
      </c>
      <c r="G203" s="679">
        <f t="shared" si="530"/>
        <v>267</v>
      </c>
      <c r="H203" s="641">
        <v>268.0</v>
      </c>
      <c r="I203" s="680">
        <v>137.0</v>
      </c>
      <c r="J203" s="641">
        <v>456.0</v>
      </c>
      <c r="K203" s="680">
        <v>25.0</v>
      </c>
      <c r="L203" s="641">
        <v>184.0</v>
      </c>
      <c r="M203" s="680">
        <v>12.0</v>
      </c>
      <c r="N203" s="641">
        <v>581.0</v>
      </c>
      <c r="O203" s="680">
        <v>86.0</v>
      </c>
      <c r="P203" s="641">
        <v>567.0</v>
      </c>
      <c r="Q203" s="680">
        <v>7.0</v>
      </c>
      <c r="R203" s="681" t="s">
        <v>716</v>
      </c>
      <c r="S203" s="682">
        <f t="shared" si="10"/>
        <v>2056</v>
      </c>
      <c r="T203" s="683"/>
      <c r="U203" s="625">
        <f t="shared" si="519"/>
        <v>268</v>
      </c>
      <c r="V203" s="625">
        <f t="shared" si="520"/>
        <v>456</v>
      </c>
      <c r="W203" s="625">
        <f t="shared" si="521"/>
        <v>184</v>
      </c>
      <c r="X203" s="625">
        <f t="shared" si="522"/>
        <v>581</v>
      </c>
      <c r="Y203" s="625">
        <f t="shared" si="523"/>
        <v>567</v>
      </c>
      <c r="Z203" s="656">
        <f t="shared" si="16"/>
        <v>267</v>
      </c>
      <c r="AA203" s="683"/>
      <c r="AB203" s="625">
        <f t="shared" si="524"/>
        <v>137</v>
      </c>
      <c r="AC203" s="625">
        <f t="shared" si="525"/>
        <v>25</v>
      </c>
      <c r="AD203" s="625">
        <f t="shared" si="526"/>
        <v>12</v>
      </c>
      <c r="AE203" s="625">
        <f t="shared" si="527"/>
        <v>86</v>
      </c>
      <c r="AF203" s="625">
        <f t="shared" si="528"/>
        <v>7</v>
      </c>
      <c r="AG203" s="657">
        <f t="shared" si="22"/>
        <v>0.1298638132</v>
      </c>
      <c r="AH203" s="165"/>
      <c r="AI203" s="165">
        <f t="shared" ref="AI203:AM203" si="531">AB203/U203</f>
        <v>0.5111940299</v>
      </c>
      <c r="AJ203" s="165">
        <f t="shared" si="531"/>
        <v>0.0548245614</v>
      </c>
      <c r="AK203" s="165">
        <f t="shared" si="531"/>
        <v>0.0652173913</v>
      </c>
      <c r="AL203" s="165">
        <f t="shared" si="531"/>
        <v>0.148020654</v>
      </c>
      <c r="AM203" s="165">
        <f t="shared" si="531"/>
        <v>0.01234567901</v>
      </c>
      <c r="AN203" s="684">
        <f t="shared" si="453"/>
        <v>2446</v>
      </c>
      <c r="AO203" s="625"/>
      <c r="AP203" s="625">
        <v>190.0</v>
      </c>
      <c r="AQ203" s="625">
        <v>210.0</v>
      </c>
      <c r="AR203" s="625">
        <v>0.0</v>
      </c>
      <c r="AS203" s="625">
        <v>325.0</v>
      </c>
      <c r="AT203" s="625">
        <v>1721.0</v>
      </c>
      <c r="AU203" s="684">
        <f t="shared" si="496"/>
        <v>2523</v>
      </c>
      <c r="AV203" s="625"/>
      <c r="AW203" s="625">
        <v>570.0</v>
      </c>
      <c r="AX203" s="625">
        <v>536.0</v>
      </c>
      <c r="AY203" s="625">
        <v>496.0</v>
      </c>
      <c r="AZ203" s="625">
        <v>468.0</v>
      </c>
      <c r="BA203" s="693">
        <v>453.0</v>
      </c>
      <c r="BB203" s="631"/>
      <c r="BC203" s="189" t="s">
        <v>695</v>
      </c>
      <c r="BD203" s="186" t="s">
        <v>3303</v>
      </c>
      <c r="BE203" s="179" t="s">
        <v>3304</v>
      </c>
      <c r="BF203" s="179" t="s">
        <v>3305</v>
      </c>
      <c r="BG203" s="179" t="s">
        <v>3306</v>
      </c>
      <c r="BH203" s="179" t="s">
        <v>3307</v>
      </c>
      <c r="BI203" s="179" t="s">
        <v>3308</v>
      </c>
      <c r="BJ203" s="179"/>
      <c r="BK203" s="646"/>
      <c r="BL203" s="179" t="b">
        <f t="shared" si="26"/>
        <v>1</v>
      </c>
      <c r="BM203" s="179" t="b">
        <f t="shared" si="27"/>
        <v>1</v>
      </c>
      <c r="BN203" s="688" t="b">
        <f t="shared" si="28"/>
        <v>1</v>
      </c>
    </row>
    <row r="204">
      <c r="A204" s="696" t="s">
        <v>1534</v>
      </c>
      <c r="B204" s="186" t="s">
        <v>37</v>
      </c>
      <c r="C204" s="676" t="s">
        <v>2113</v>
      </c>
      <c r="D204" s="677">
        <v>470.0</v>
      </c>
      <c r="E204" s="632" t="s">
        <v>37</v>
      </c>
      <c r="F204" s="678">
        <f t="shared" ref="F204:G204" si="532">H204+J204+L204+N204+P204</f>
        <v>4309</v>
      </c>
      <c r="G204" s="679">
        <f t="shared" si="532"/>
        <v>-40</v>
      </c>
      <c r="H204" s="641">
        <v>891.0</v>
      </c>
      <c r="I204" s="680">
        <v>-2.0</v>
      </c>
      <c r="J204" s="641">
        <v>485.0</v>
      </c>
      <c r="K204" s="680">
        <v>-1.0</v>
      </c>
      <c r="L204" s="641">
        <v>878.0</v>
      </c>
      <c r="M204" s="680">
        <v>-8.0</v>
      </c>
      <c r="N204" s="641">
        <v>945.0</v>
      </c>
      <c r="O204" s="680">
        <v>-10.0</v>
      </c>
      <c r="P204" s="641">
        <v>1110.0</v>
      </c>
      <c r="Q204" s="680">
        <v>-19.0</v>
      </c>
      <c r="R204" s="681" t="s">
        <v>716</v>
      </c>
      <c r="S204" s="682">
        <f t="shared" si="10"/>
        <v>4309</v>
      </c>
      <c r="T204" s="683"/>
      <c r="U204" s="625">
        <f t="shared" si="519"/>
        <v>891</v>
      </c>
      <c r="V204" s="625">
        <f t="shared" si="520"/>
        <v>485</v>
      </c>
      <c r="W204" s="625">
        <f t="shared" si="521"/>
        <v>878</v>
      </c>
      <c r="X204" s="625">
        <f t="shared" si="522"/>
        <v>945</v>
      </c>
      <c r="Y204" s="625">
        <f t="shared" si="523"/>
        <v>1110</v>
      </c>
      <c r="Z204" s="656">
        <f t="shared" si="16"/>
        <v>-40</v>
      </c>
      <c r="AA204" s="683"/>
      <c r="AB204" s="625">
        <f t="shared" si="524"/>
        <v>-2</v>
      </c>
      <c r="AC204" s="625">
        <f t="shared" si="525"/>
        <v>-1</v>
      </c>
      <c r="AD204" s="625">
        <f t="shared" si="526"/>
        <v>-8</v>
      </c>
      <c r="AE204" s="625">
        <f t="shared" si="527"/>
        <v>-10</v>
      </c>
      <c r="AF204" s="625">
        <f t="shared" si="528"/>
        <v>-19</v>
      </c>
      <c r="AG204" s="657">
        <f t="shared" si="22"/>
        <v>-0.009282896264</v>
      </c>
      <c r="AH204" s="165"/>
      <c r="AI204" s="165">
        <f t="shared" ref="AI204:AM204" si="533">AB204/U204</f>
        <v>-0.002244668911</v>
      </c>
      <c r="AJ204" s="165">
        <f t="shared" si="533"/>
        <v>-0.00206185567</v>
      </c>
      <c r="AK204" s="165">
        <f t="shared" si="533"/>
        <v>-0.009111617312</v>
      </c>
      <c r="AL204" s="165">
        <f t="shared" si="533"/>
        <v>-0.01058201058</v>
      </c>
      <c r="AM204" s="165">
        <f t="shared" si="533"/>
        <v>-0.01711711712</v>
      </c>
      <c r="AN204" s="684">
        <f t="shared" si="453"/>
        <v>1003</v>
      </c>
      <c r="AO204" s="625"/>
      <c r="AP204" s="625">
        <v>0.0</v>
      </c>
      <c r="AQ204" s="625">
        <v>1003.0</v>
      </c>
      <c r="AR204" s="625">
        <v>0.0</v>
      </c>
      <c r="AS204" s="625">
        <v>0.0</v>
      </c>
      <c r="AT204" s="625">
        <v>0.0</v>
      </c>
      <c r="AU204" s="684">
        <f t="shared" si="496"/>
        <v>5666</v>
      </c>
      <c r="AV204" s="625"/>
      <c r="AW204" s="625">
        <v>787.0</v>
      </c>
      <c r="AX204" s="625">
        <v>1279.0</v>
      </c>
      <c r="AY204" s="625">
        <v>1275.0</v>
      </c>
      <c r="AZ204" s="625">
        <v>1192.0</v>
      </c>
      <c r="BA204" s="693">
        <v>1133.0</v>
      </c>
      <c r="BB204" s="631"/>
      <c r="BC204" s="189" t="s">
        <v>695</v>
      </c>
      <c r="BD204" s="186" t="s">
        <v>3303</v>
      </c>
      <c r="BE204" s="179" t="s">
        <v>3304</v>
      </c>
      <c r="BF204" s="179" t="s">
        <v>3305</v>
      </c>
      <c r="BG204" s="179" t="s">
        <v>3306</v>
      </c>
      <c r="BH204" s="179" t="s">
        <v>3307</v>
      </c>
      <c r="BI204" s="179" t="s">
        <v>3308</v>
      </c>
      <c r="BJ204" s="179"/>
      <c r="BK204" s="646"/>
      <c r="BL204" s="179" t="b">
        <f t="shared" si="26"/>
        <v>1</v>
      </c>
      <c r="BM204" s="179" t="b">
        <f t="shared" si="27"/>
        <v>1</v>
      </c>
      <c r="BN204" s="688" t="b">
        <f t="shared" si="28"/>
        <v>1</v>
      </c>
    </row>
    <row r="205">
      <c r="A205" s="696" t="s">
        <v>1534</v>
      </c>
      <c r="B205" s="186" t="s">
        <v>3618</v>
      </c>
      <c r="C205" s="676" t="s">
        <v>2113</v>
      </c>
      <c r="D205" s="677">
        <v>236.0</v>
      </c>
      <c r="E205" s="632" t="s">
        <v>18</v>
      </c>
      <c r="F205" s="678">
        <f t="shared" ref="F205:G205" si="534">H205+J205+L205+N205+P205</f>
        <v>11976.3</v>
      </c>
      <c r="G205" s="679">
        <f t="shared" si="534"/>
        <v>45.9</v>
      </c>
      <c r="H205" s="641">
        <v>5800.8</v>
      </c>
      <c r="I205" s="680">
        <v>-57.3</v>
      </c>
      <c r="J205" s="641">
        <v>1869.7</v>
      </c>
      <c r="K205" s="680">
        <v>110.3</v>
      </c>
      <c r="L205" s="641">
        <v>1318.2</v>
      </c>
      <c r="M205" s="680">
        <v>15.8</v>
      </c>
      <c r="N205" s="641">
        <v>1347.0</v>
      </c>
      <c r="O205" s="680">
        <v>31.9</v>
      </c>
      <c r="P205" s="641">
        <v>1640.6</v>
      </c>
      <c r="Q205" s="680">
        <v>-54.8</v>
      </c>
      <c r="R205" s="681" t="s">
        <v>697</v>
      </c>
      <c r="S205" s="682">
        <f t="shared" si="10"/>
        <v>11976.3</v>
      </c>
      <c r="T205" s="683"/>
      <c r="U205" s="625">
        <f t="shared" si="519"/>
        <v>5800.8</v>
      </c>
      <c r="V205" s="625">
        <f t="shared" si="520"/>
        <v>1869.7</v>
      </c>
      <c r="W205" s="625">
        <f t="shared" si="521"/>
        <v>1318.2</v>
      </c>
      <c r="X205" s="625">
        <f t="shared" si="522"/>
        <v>1347</v>
      </c>
      <c r="Y205" s="625">
        <f t="shared" si="523"/>
        <v>1640.6</v>
      </c>
      <c r="Z205" s="656">
        <f t="shared" si="16"/>
        <v>45.9</v>
      </c>
      <c r="AA205" s="683"/>
      <c r="AB205" s="625">
        <f t="shared" si="524"/>
        <v>-57.3</v>
      </c>
      <c r="AC205" s="625">
        <f t="shared" si="525"/>
        <v>110.3</v>
      </c>
      <c r="AD205" s="625">
        <f t="shared" si="526"/>
        <v>15.8</v>
      </c>
      <c r="AE205" s="625">
        <f t="shared" si="527"/>
        <v>31.9</v>
      </c>
      <c r="AF205" s="625">
        <f t="shared" si="528"/>
        <v>-54.8</v>
      </c>
      <c r="AG205" s="657">
        <f t="shared" si="22"/>
        <v>0.003832569324</v>
      </c>
      <c r="AH205" s="165"/>
      <c r="AI205" s="165">
        <f t="shared" ref="AI205:AM205" si="535">AB205/U205</f>
        <v>-0.009877947869</v>
      </c>
      <c r="AJ205" s="165">
        <f t="shared" si="535"/>
        <v>0.0589934214</v>
      </c>
      <c r="AK205" s="165">
        <f t="shared" si="535"/>
        <v>0.01198604157</v>
      </c>
      <c r="AL205" s="165">
        <f t="shared" si="535"/>
        <v>0.02368225687</v>
      </c>
      <c r="AM205" s="165">
        <f t="shared" si="535"/>
        <v>-0.03340241375</v>
      </c>
      <c r="AN205" s="684">
        <f t="shared" si="453"/>
        <v>3892</v>
      </c>
      <c r="AO205" s="641">
        <v>740.4</v>
      </c>
      <c r="AP205" s="641">
        <v>1695.0</v>
      </c>
      <c r="AQ205" s="641">
        <v>937.0</v>
      </c>
      <c r="AR205" s="641">
        <v>307.0</v>
      </c>
      <c r="AS205" s="641">
        <v>281.0</v>
      </c>
      <c r="AT205" s="641">
        <v>672.0</v>
      </c>
      <c r="AU205" s="684">
        <f t="shared" si="496"/>
        <v>3115.5</v>
      </c>
      <c r="AV205" s="641">
        <v>625.5</v>
      </c>
      <c r="AW205" s="625">
        <v>642.3</v>
      </c>
      <c r="AX205" s="625">
        <v>654.1</v>
      </c>
      <c r="AY205" s="625">
        <v>614.5</v>
      </c>
      <c r="AZ205" s="625">
        <v>606.0</v>
      </c>
      <c r="BA205" s="693">
        <v>598.6</v>
      </c>
      <c r="BB205" s="631"/>
      <c r="BC205" s="189" t="s">
        <v>695</v>
      </c>
      <c r="BD205" s="186" t="s">
        <v>3303</v>
      </c>
      <c r="BE205" s="179" t="s">
        <v>3304</v>
      </c>
      <c r="BF205" s="179" t="s">
        <v>3305</v>
      </c>
      <c r="BG205" s="179" t="s">
        <v>3306</v>
      </c>
      <c r="BH205" s="179" t="s">
        <v>3307</v>
      </c>
      <c r="BI205" s="179" t="s">
        <v>3308</v>
      </c>
      <c r="BJ205" s="179"/>
      <c r="BK205" s="646"/>
      <c r="BL205" s="179" t="b">
        <f t="shared" si="26"/>
        <v>1</v>
      </c>
      <c r="BM205" s="179" t="b">
        <f t="shared" si="27"/>
        <v>1</v>
      </c>
      <c r="BN205" s="688" t="b">
        <f t="shared" si="28"/>
        <v>1</v>
      </c>
    </row>
    <row r="206">
      <c r="A206" s="675" t="s">
        <v>3301</v>
      </c>
      <c r="B206" s="186" t="s">
        <v>3619</v>
      </c>
      <c r="C206" s="676" t="s">
        <v>1919</v>
      </c>
      <c r="D206" s="677">
        <v>51.0</v>
      </c>
      <c r="E206" s="632" t="s">
        <v>936</v>
      </c>
      <c r="F206" s="678">
        <f t="shared" ref="F206:G206" si="536">H206+J206+L206+N206+P206</f>
        <v>48686.42</v>
      </c>
      <c r="G206" s="679">
        <f t="shared" si="536"/>
        <v>8212</v>
      </c>
      <c r="H206" s="641">
        <v>11754.0</v>
      </c>
      <c r="I206" s="680">
        <v>2303.0</v>
      </c>
      <c r="J206" s="641">
        <v>11343.0</v>
      </c>
      <c r="K206" s="680">
        <v>1916.0</v>
      </c>
      <c r="L206" s="641">
        <v>10534.0</v>
      </c>
      <c r="M206" s="680">
        <v>1663.0</v>
      </c>
      <c r="N206" s="641">
        <v>10046.0</v>
      </c>
      <c r="O206" s="680">
        <v>1266.0</v>
      </c>
      <c r="P206" s="641">
        <v>5009.42</v>
      </c>
      <c r="Q206" s="680">
        <v>1064.0</v>
      </c>
      <c r="R206" s="681" t="s">
        <v>707</v>
      </c>
      <c r="S206" s="682">
        <f t="shared" si="10"/>
        <v>48686.42</v>
      </c>
      <c r="T206" s="683"/>
      <c r="U206" s="625">
        <f t="shared" si="519"/>
        <v>11754</v>
      </c>
      <c r="V206" s="625">
        <f t="shared" si="520"/>
        <v>11343</v>
      </c>
      <c r="W206" s="625">
        <f t="shared" si="521"/>
        <v>10534</v>
      </c>
      <c r="X206" s="625">
        <f t="shared" si="522"/>
        <v>10046</v>
      </c>
      <c r="Y206" s="625">
        <f t="shared" si="523"/>
        <v>5009.42</v>
      </c>
      <c r="Z206" s="656">
        <f t="shared" si="16"/>
        <v>8212</v>
      </c>
      <c r="AA206" s="683"/>
      <c r="AB206" s="625">
        <f t="shared" si="524"/>
        <v>2303</v>
      </c>
      <c r="AC206" s="625">
        <f t="shared" si="525"/>
        <v>1916</v>
      </c>
      <c r="AD206" s="625">
        <f t="shared" si="526"/>
        <v>1663</v>
      </c>
      <c r="AE206" s="625">
        <f t="shared" si="527"/>
        <v>1266</v>
      </c>
      <c r="AF206" s="625">
        <f t="shared" si="528"/>
        <v>1064</v>
      </c>
      <c r="AG206" s="657">
        <f t="shared" si="22"/>
        <v>0.168671264</v>
      </c>
      <c r="AH206" s="165"/>
      <c r="AI206" s="165">
        <f t="shared" ref="AI206:AM206" si="537">AB206/U206</f>
        <v>0.1959332993</v>
      </c>
      <c r="AJ206" s="165">
        <f t="shared" si="537"/>
        <v>0.1689147492</v>
      </c>
      <c r="AK206" s="165">
        <f t="shared" si="537"/>
        <v>0.1578697551</v>
      </c>
      <c r="AL206" s="165">
        <f t="shared" si="537"/>
        <v>0.1260203066</v>
      </c>
      <c r="AM206" s="165">
        <f t="shared" si="537"/>
        <v>0.2123998387</v>
      </c>
      <c r="AN206" s="684">
        <f t="shared" si="453"/>
        <v>40773</v>
      </c>
      <c r="AO206" s="685"/>
      <c r="AP206" s="685">
        <v>7353.0</v>
      </c>
      <c r="AQ206" s="180">
        <v>10003.0</v>
      </c>
      <c r="AR206" s="180">
        <v>11009.0</v>
      </c>
      <c r="AS206" s="180">
        <v>7405.0</v>
      </c>
      <c r="AT206" s="180">
        <v>5003.0</v>
      </c>
      <c r="AU206" s="684">
        <f t="shared" si="496"/>
        <v>41319</v>
      </c>
      <c r="AV206" s="685"/>
      <c r="AW206" s="685">
        <v>8999.0</v>
      </c>
      <c r="AX206" s="180">
        <v>8770.0</v>
      </c>
      <c r="AY206" s="180">
        <v>8263.0</v>
      </c>
      <c r="AZ206" s="180">
        <v>7789.0</v>
      </c>
      <c r="BA206" s="686">
        <v>7498.0</v>
      </c>
      <c r="BB206" s="631"/>
      <c r="BC206" s="186" t="s">
        <v>695</v>
      </c>
      <c r="BD206" s="728" t="s">
        <v>3303</v>
      </c>
      <c r="BE206" s="186" t="s">
        <v>3304</v>
      </c>
      <c r="BF206" s="186" t="s">
        <v>3305</v>
      </c>
      <c r="BG206" s="186" t="s">
        <v>3306</v>
      </c>
      <c r="BH206" s="186" t="s">
        <v>3307</v>
      </c>
      <c r="BI206" s="186" t="s">
        <v>3308</v>
      </c>
      <c r="BJ206" s="179"/>
      <c r="BK206" s="631"/>
      <c r="BL206" s="179" t="b">
        <f t="shared" si="26"/>
        <v>1</v>
      </c>
      <c r="BM206" s="179" t="b">
        <f t="shared" si="27"/>
        <v>1</v>
      </c>
      <c r="BN206" s="688" t="b">
        <f t="shared" si="28"/>
        <v>1</v>
      </c>
    </row>
    <row r="207">
      <c r="A207" s="675" t="s">
        <v>3301</v>
      </c>
      <c r="B207" s="186" t="s">
        <v>3620</v>
      </c>
      <c r="C207" s="676" t="s">
        <v>2113</v>
      </c>
      <c r="D207" s="677">
        <v>88.0</v>
      </c>
      <c r="E207" s="632" t="s">
        <v>925</v>
      </c>
      <c r="F207" s="678">
        <f t="shared" ref="F207:G207" si="538">H207+J207+L207+N207+P207</f>
        <v>20853.96</v>
      </c>
      <c r="G207" s="679">
        <f t="shared" si="538"/>
        <v>4355.2</v>
      </c>
      <c r="H207" s="641">
        <v>1146.86</v>
      </c>
      <c r="I207" s="680">
        <v>733.2</v>
      </c>
      <c r="J207" s="641">
        <v>4210.0</v>
      </c>
      <c r="K207" s="680">
        <v>739.5</v>
      </c>
      <c r="L207" s="641">
        <v>7173.2</v>
      </c>
      <c r="M207" s="680">
        <v>1104.7</v>
      </c>
      <c r="N207" s="641">
        <v>5160.3</v>
      </c>
      <c r="O207" s="680">
        <v>1104.7</v>
      </c>
      <c r="P207" s="641">
        <v>3163.6</v>
      </c>
      <c r="Q207" s="680">
        <v>673.1</v>
      </c>
      <c r="R207" s="681" t="s">
        <v>707</v>
      </c>
      <c r="S207" s="682">
        <f t="shared" si="10"/>
        <v>20853.96</v>
      </c>
      <c r="T207" s="683"/>
      <c r="U207" s="625">
        <f t="shared" si="519"/>
        <v>1146.86</v>
      </c>
      <c r="V207" s="625">
        <f t="shared" si="520"/>
        <v>4210</v>
      </c>
      <c r="W207" s="625">
        <f t="shared" si="521"/>
        <v>7173.2</v>
      </c>
      <c r="X207" s="625">
        <f t="shared" si="522"/>
        <v>5160.3</v>
      </c>
      <c r="Y207" s="625">
        <f t="shared" si="523"/>
        <v>3163.6</v>
      </c>
      <c r="Z207" s="656">
        <f t="shared" si="16"/>
        <v>4355.2</v>
      </c>
      <c r="AA207" s="683"/>
      <c r="AB207" s="625">
        <f t="shared" si="524"/>
        <v>733.2</v>
      </c>
      <c r="AC207" s="625">
        <f t="shared" si="525"/>
        <v>739.5</v>
      </c>
      <c r="AD207" s="625">
        <f t="shared" si="526"/>
        <v>1104.7</v>
      </c>
      <c r="AE207" s="625">
        <f t="shared" si="527"/>
        <v>1104.7</v>
      </c>
      <c r="AF207" s="625">
        <f t="shared" si="528"/>
        <v>673.1</v>
      </c>
      <c r="AG207" s="657">
        <f t="shared" si="22"/>
        <v>0.2088428289</v>
      </c>
      <c r="AH207" s="165"/>
      <c r="AI207" s="165">
        <f t="shared" ref="AI207:AM207" si="539">AB207/U207</f>
        <v>0.6393108139</v>
      </c>
      <c r="AJ207" s="165">
        <f t="shared" si="539"/>
        <v>0.1756532067</v>
      </c>
      <c r="AK207" s="165">
        <f t="shared" si="539"/>
        <v>0.1540037919</v>
      </c>
      <c r="AL207" s="165">
        <f t="shared" si="539"/>
        <v>0.214076701</v>
      </c>
      <c r="AM207" s="165">
        <f t="shared" si="539"/>
        <v>0.2127639398</v>
      </c>
      <c r="AN207" s="684">
        <f t="shared" si="453"/>
        <v>617</v>
      </c>
      <c r="AO207" s="180">
        <f>95+45.7</f>
        <v>140.7</v>
      </c>
      <c r="AP207" s="180">
        <f>22.3+76.7</f>
        <v>99</v>
      </c>
      <c r="AQ207" s="180">
        <f>155.8+67.2</f>
        <v>223</v>
      </c>
      <c r="AR207" s="180">
        <f>42.9+68.7</f>
        <v>111.6</v>
      </c>
      <c r="AS207" s="180">
        <f>6.9+84.4</f>
        <v>91.3</v>
      </c>
      <c r="AT207" s="180">
        <f>78.6+13.5</f>
        <v>92.1</v>
      </c>
      <c r="AU207" s="684">
        <f t="shared" si="496"/>
        <v>7950.3</v>
      </c>
      <c r="AV207" s="180">
        <f>234+43.6</f>
        <v>277.6</v>
      </c>
      <c r="AW207" s="180">
        <f>234+26.8</f>
        <v>260.8</v>
      </c>
      <c r="AX207" s="180">
        <f>3746.5+26.8</f>
        <v>3773.3</v>
      </c>
      <c r="AY207" s="180">
        <f>1551+26.8</f>
        <v>1577.8</v>
      </c>
      <c r="AZ207" s="180">
        <f>1643.2+26.8</f>
        <v>1670</v>
      </c>
      <c r="BA207" s="686">
        <f>654.9+13.5</f>
        <v>668.4</v>
      </c>
      <c r="BB207" s="631"/>
      <c r="BC207" s="687" t="s">
        <v>695</v>
      </c>
      <c r="BD207" s="186" t="s">
        <v>3303</v>
      </c>
      <c r="BE207" s="186" t="s">
        <v>3304</v>
      </c>
      <c r="BF207" s="186" t="s">
        <v>3305</v>
      </c>
      <c r="BG207" s="186" t="s">
        <v>3306</v>
      </c>
      <c r="BH207" s="179" t="s">
        <v>3307</v>
      </c>
      <c r="BI207" s="179" t="s">
        <v>3308</v>
      </c>
      <c r="BJ207" s="179"/>
      <c r="BK207" s="631"/>
      <c r="BL207" s="179" t="b">
        <f t="shared" si="26"/>
        <v>1</v>
      </c>
      <c r="BM207" s="179" t="b">
        <f t="shared" si="27"/>
        <v>0</v>
      </c>
      <c r="BN207" s="688" t="b">
        <f t="shared" si="28"/>
        <v>1</v>
      </c>
    </row>
    <row r="208">
      <c r="A208" s="426"/>
      <c r="B208" s="735" t="s">
        <v>3621</v>
      </c>
      <c r="C208" s="676" t="s">
        <v>2113</v>
      </c>
      <c r="D208" s="677">
        <v>78.0</v>
      </c>
      <c r="E208" s="736" t="s">
        <v>3622</v>
      </c>
      <c r="F208" s="678">
        <f t="shared" ref="F208:G208" si="540">H208+J208+L208+N208+P208</f>
        <v>20448.65</v>
      </c>
      <c r="G208" s="679">
        <f t="shared" si="540"/>
        <v>3353.99</v>
      </c>
      <c r="H208" s="641">
        <v>3478.0</v>
      </c>
      <c r="I208" s="680">
        <v>810.0</v>
      </c>
      <c r="J208" s="641">
        <v>5495.47</v>
      </c>
      <c r="K208" s="680">
        <v>755.01</v>
      </c>
      <c r="L208" s="641">
        <v>4892.58</v>
      </c>
      <c r="M208" s="680">
        <v>871.19</v>
      </c>
      <c r="N208" s="641">
        <v>3724.45</v>
      </c>
      <c r="O208" s="680">
        <v>504.05</v>
      </c>
      <c r="P208" s="641">
        <v>2858.15</v>
      </c>
      <c r="Q208" s="680">
        <v>413.74</v>
      </c>
      <c r="R208" s="681" t="s">
        <v>705</v>
      </c>
      <c r="S208" s="682">
        <f t="shared" si="10"/>
        <v>20448.65</v>
      </c>
      <c r="T208" s="683"/>
      <c r="U208" s="625">
        <f t="shared" si="519"/>
        <v>3478</v>
      </c>
      <c r="V208" s="625">
        <f t="shared" si="520"/>
        <v>5495.47</v>
      </c>
      <c r="W208" s="625">
        <f t="shared" si="521"/>
        <v>4892.58</v>
      </c>
      <c r="X208" s="625">
        <f t="shared" si="522"/>
        <v>3724.45</v>
      </c>
      <c r="Y208" s="625">
        <f t="shared" si="523"/>
        <v>2858.15</v>
      </c>
      <c r="Z208" s="656">
        <f t="shared" si="16"/>
        <v>3353.99</v>
      </c>
      <c r="AA208" s="683"/>
      <c r="AB208" s="625">
        <f t="shared" si="524"/>
        <v>810</v>
      </c>
      <c r="AC208" s="625">
        <f t="shared" si="525"/>
        <v>755.01</v>
      </c>
      <c r="AD208" s="625">
        <f t="shared" si="526"/>
        <v>871.19</v>
      </c>
      <c r="AE208" s="625">
        <f t="shared" si="527"/>
        <v>504.05</v>
      </c>
      <c r="AF208" s="625">
        <f t="shared" si="528"/>
        <v>413.74</v>
      </c>
      <c r="AG208" s="657">
        <f t="shared" si="22"/>
        <v>0.1640201187</v>
      </c>
      <c r="AH208" s="165"/>
      <c r="AI208" s="165">
        <f t="shared" ref="AI208:AM208" si="541">AB208/U208</f>
        <v>0.2328924669</v>
      </c>
      <c r="AJ208" s="165">
        <f t="shared" si="541"/>
        <v>0.137387703</v>
      </c>
      <c r="AK208" s="165">
        <f t="shared" si="541"/>
        <v>0.1780635166</v>
      </c>
      <c r="AL208" s="165">
        <f t="shared" si="541"/>
        <v>0.1353354187</v>
      </c>
      <c r="AM208" s="165">
        <f t="shared" si="541"/>
        <v>0.1447579728</v>
      </c>
      <c r="AN208" s="684">
        <f t="shared" si="453"/>
        <v>7208.442</v>
      </c>
      <c r="AO208" s="641"/>
      <c r="AP208" s="641">
        <v>2137.0</v>
      </c>
      <c r="AQ208" s="641">
        <v>1137.0</v>
      </c>
      <c r="AR208" s="641">
        <v>1440.0</v>
      </c>
      <c r="AS208" s="641">
        <v>1088.57</v>
      </c>
      <c r="AT208" s="641">
        <v>1405.872</v>
      </c>
      <c r="AU208" s="684">
        <f t="shared" si="496"/>
        <v>4600.243</v>
      </c>
      <c r="AV208" s="641"/>
      <c r="AW208" s="641">
        <v>1166.0</v>
      </c>
      <c r="AX208" s="641">
        <v>987.0</v>
      </c>
      <c r="AY208" s="641">
        <v>884.0</v>
      </c>
      <c r="AZ208" s="641">
        <v>828.733</v>
      </c>
      <c r="BA208" s="691">
        <v>734.51</v>
      </c>
      <c r="BB208" s="631"/>
      <c r="BC208" s="189" t="s">
        <v>695</v>
      </c>
      <c r="BD208" s="688" t="s">
        <v>3303</v>
      </c>
      <c r="BE208" s="179" t="s">
        <v>3304</v>
      </c>
      <c r="BF208" s="179" t="s">
        <v>3305</v>
      </c>
      <c r="BG208" s="179" t="s">
        <v>3306</v>
      </c>
      <c r="BH208" s="179" t="s">
        <v>3307</v>
      </c>
      <c r="BI208" s="179" t="s">
        <v>3308</v>
      </c>
      <c r="BJ208" s="179"/>
      <c r="BK208" s="631"/>
      <c r="BL208" s="179" t="b">
        <f t="shared" si="26"/>
        <v>1</v>
      </c>
      <c r="BM208" s="179" t="b">
        <f t="shared" si="27"/>
        <v>1</v>
      </c>
      <c r="BN208" s="688" t="b">
        <f t="shared" si="28"/>
        <v>1</v>
      </c>
    </row>
    <row r="209">
      <c r="A209" s="689"/>
      <c r="B209" s="186" t="s">
        <v>3623</v>
      </c>
      <c r="C209" s="676" t="s">
        <v>2113</v>
      </c>
      <c r="D209" s="677">
        <v>259.0</v>
      </c>
      <c r="E209" s="632" t="s">
        <v>3624</v>
      </c>
      <c r="F209" s="678">
        <f t="shared" ref="F209:G209" si="542">H209+J209+L209+N209+P209</f>
        <v>10137.68</v>
      </c>
      <c r="G209" s="679">
        <f t="shared" si="542"/>
        <v>1357.1</v>
      </c>
      <c r="H209" s="641">
        <v>3340.0</v>
      </c>
      <c r="I209" s="680">
        <v>615.0</v>
      </c>
      <c r="J209" s="641">
        <v>2436.17</v>
      </c>
      <c r="K209" s="680">
        <v>430.69</v>
      </c>
      <c r="L209" s="641">
        <v>1703.42</v>
      </c>
      <c r="M209" s="680">
        <v>159.68</v>
      </c>
      <c r="N209" s="641">
        <v>1317.75</v>
      </c>
      <c r="O209" s="680">
        <v>196.19</v>
      </c>
      <c r="P209" s="641">
        <v>1340.34</v>
      </c>
      <c r="Q209" s="680">
        <v>-44.46</v>
      </c>
      <c r="R209" s="681" t="s">
        <v>709</v>
      </c>
      <c r="S209" s="682">
        <f t="shared" si="10"/>
        <v>10137.68</v>
      </c>
      <c r="T209" s="683"/>
      <c r="U209" s="625">
        <f t="shared" si="519"/>
        <v>3340</v>
      </c>
      <c r="V209" s="625">
        <f t="shared" si="520"/>
        <v>2436.17</v>
      </c>
      <c r="W209" s="625">
        <f t="shared" si="521"/>
        <v>1703.42</v>
      </c>
      <c r="X209" s="625">
        <f t="shared" si="522"/>
        <v>1317.75</v>
      </c>
      <c r="Y209" s="625">
        <f t="shared" si="523"/>
        <v>1340.34</v>
      </c>
      <c r="Z209" s="656">
        <f t="shared" si="16"/>
        <v>1357.1</v>
      </c>
      <c r="AA209" s="683"/>
      <c r="AB209" s="625">
        <f t="shared" si="524"/>
        <v>615</v>
      </c>
      <c r="AC209" s="625">
        <f t="shared" si="525"/>
        <v>430.69</v>
      </c>
      <c r="AD209" s="625">
        <f t="shared" si="526"/>
        <v>159.68</v>
      </c>
      <c r="AE209" s="625">
        <f t="shared" si="527"/>
        <v>196.19</v>
      </c>
      <c r="AF209" s="625">
        <f t="shared" si="528"/>
        <v>-44.46</v>
      </c>
      <c r="AG209" s="657">
        <f t="shared" si="22"/>
        <v>0.1338669202</v>
      </c>
      <c r="AH209" s="165"/>
      <c r="AI209" s="165">
        <f t="shared" ref="AI209:AM209" si="543">AB209/U209</f>
        <v>0.1841317365</v>
      </c>
      <c r="AJ209" s="165">
        <f t="shared" si="543"/>
        <v>0.1767897971</v>
      </c>
      <c r="AK209" s="165">
        <f t="shared" si="543"/>
        <v>0.09374082728</v>
      </c>
      <c r="AL209" s="165">
        <f t="shared" si="543"/>
        <v>0.148882565</v>
      </c>
      <c r="AM209" s="165">
        <f t="shared" si="543"/>
        <v>-0.03317068803</v>
      </c>
      <c r="AN209" s="684">
        <f t="shared" si="453"/>
        <v>2719</v>
      </c>
      <c r="AO209" s="641">
        <v>1000.0</v>
      </c>
      <c r="AP209" s="641">
        <v>1075.0</v>
      </c>
      <c r="AQ209" s="641">
        <v>897.0</v>
      </c>
      <c r="AR209" s="641">
        <v>171.0</v>
      </c>
      <c r="AS209" s="641">
        <v>274.0</v>
      </c>
      <c r="AT209" s="641">
        <v>302.0</v>
      </c>
      <c r="AU209" s="684">
        <f t="shared" si="496"/>
        <v>648.5</v>
      </c>
      <c r="AV209" s="641">
        <v>143.0</v>
      </c>
      <c r="AW209" s="625">
        <v>144.12</v>
      </c>
      <c r="AX209" s="625">
        <v>147.83</v>
      </c>
      <c r="AY209" s="625">
        <v>130.18</v>
      </c>
      <c r="AZ209" s="625">
        <v>122.35</v>
      </c>
      <c r="BA209" s="693">
        <v>104.02</v>
      </c>
      <c r="BB209" s="631"/>
      <c r="BC209" s="189" t="s">
        <v>695</v>
      </c>
      <c r="BD209" s="186" t="s">
        <v>3303</v>
      </c>
      <c r="BE209" s="179" t="s">
        <v>3304</v>
      </c>
      <c r="BF209" s="179" t="s">
        <v>3305</v>
      </c>
      <c r="BG209" s="179" t="s">
        <v>3306</v>
      </c>
      <c r="BH209" s="179" t="s">
        <v>3307</v>
      </c>
      <c r="BI209" s="179" t="s">
        <v>3308</v>
      </c>
      <c r="BJ209" s="179"/>
      <c r="BK209" s="631"/>
      <c r="BL209" s="179" t="b">
        <f t="shared" si="26"/>
        <v>1</v>
      </c>
      <c r="BM209" s="179" t="b">
        <f t="shared" si="27"/>
        <v>1</v>
      </c>
      <c r="BN209" s="688" t="b">
        <f t="shared" si="28"/>
        <v>0</v>
      </c>
    </row>
    <row r="210">
      <c r="A210" s="148" t="s">
        <v>3384</v>
      </c>
      <c r="B210" s="712" t="s">
        <v>3625</v>
      </c>
      <c r="C210" s="711" t="s">
        <v>2317</v>
      </c>
      <c r="D210" s="713">
        <v>98.0</v>
      </c>
      <c r="E210" s="632" t="s">
        <v>3176</v>
      </c>
      <c r="F210" s="71">
        <f t="shared" ref="F210:G210" si="544">H210+J210+L210+N210+P210</f>
        <v>31639</v>
      </c>
      <c r="G210" s="679">
        <f t="shared" si="544"/>
        <v>6388</v>
      </c>
      <c r="H210" s="641">
        <v>12536.0</v>
      </c>
      <c r="I210" s="680">
        <v>1114.0</v>
      </c>
      <c r="J210" s="641">
        <v>8773.0</v>
      </c>
      <c r="K210" s="680">
        <v>942.0</v>
      </c>
      <c r="L210" s="641">
        <v>5003.0</v>
      </c>
      <c r="M210" s="680">
        <v>210.0</v>
      </c>
      <c r="N210" s="641">
        <v>7040.0</v>
      </c>
      <c r="O210" s="680">
        <v>1563.0</v>
      </c>
      <c r="P210" s="641">
        <v>-1713.0</v>
      </c>
      <c r="Q210" s="680">
        <v>2559.0</v>
      </c>
      <c r="R210" s="714"/>
      <c r="S210" s="682">
        <f t="shared" si="10"/>
        <v>31639</v>
      </c>
      <c r="T210" s="683"/>
      <c r="U210" s="625">
        <f t="shared" si="519"/>
        <v>12536</v>
      </c>
      <c r="V210" s="625">
        <f t="shared" si="520"/>
        <v>8773</v>
      </c>
      <c r="W210" s="625">
        <f t="shared" si="521"/>
        <v>5003</v>
      </c>
      <c r="X210" s="625">
        <f t="shared" si="522"/>
        <v>7040</v>
      </c>
      <c r="Y210" s="625">
        <f t="shared" si="523"/>
        <v>-1713</v>
      </c>
      <c r="Z210" s="656">
        <f t="shared" si="16"/>
        <v>6388</v>
      </c>
      <c r="AA210" s="683"/>
      <c r="AB210" s="625">
        <f t="shared" si="524"/>
        <v>1114</v>
      </c>
      <c r="AC210" s="625">
        <f t="shared" si="525"/>
        <v>942</v>
      </c>
      <c r="AD210" s="625">
        <f t="shared" si="526"/>
        <v>210</v>
      </c>
      <c r="AE210" s="625">
        <f t="shared" si="527"/>
        <v>1563</v>
      </c>
      <c r="AF210" s="625">
        <f t="shared" si="528"/>
        <v>2559</v>
      </c>
      <c r="AG210" s="657">
        <f t="shared" si="22"/>
        <v>0.201902715</v>
      </c>
      <c r="AH210" s="165"/>
      <c r="AI210" s="165">
        <f t="shared" ref="AI210:AM210" si="545">AB210/U210</f>
        <v>0.08886407147</v>
      </c>
      <c r="AJ210" s="165">
        <f t="shared" si="545"/>
        <v>0.1073749003</v>
      </c>
      <c r="AK210" s="165">
        <f t="shared" si="545"/>
        <v>0.04197481511</v>
      </c>
      <c r="AL210" s="165">
        <f t="shared" si="545"/>
        <v>0.2220170455</v>
      </c>
      <c r="AM210" s="165">
        <f t="shared" si="545"/>
        <v>-1.493870403</v>
      </c>
      <c r="AN210" s="684">
        <f t="shared" si="453"/>
        <v>33318</v>
      </c>
      <c r="AO210" s="180"/>
      <c r="AP210" s="685">
        <v>3129.0</v>
      </c>
      <c r="AQ210" s="685">
        <v>3366.0</v>
      </c>
      <c r="AR210" s="685">
        <v>2450.0</v>
      </c>
      <c r="AS210" s="685">
        <v>1793.0</v>
      </c>
      <c r="AT210" s="685">
        <v>22580.0</v>
      </c>
      <c r="AU210" s="684">
        <f t="shared" si="496"/>
        <v>15536</v>
      </c>
      <c r="AV210" s="180"/>
      <c r="AW210" s="685">
        <v>3212.0</v>
      </c>
      <c r="AX210" s="685">
        <v>3008.0</v>
      </c>
      <c r="AY210" s="685">
        <v>2882.0</v>
      </c>
      <c r="AZ210" s="685">
        <v>2968.0</v>
      </c>
      <c r="BA210" s="710">
        <v>3466.0</v>
      </c>
      <c r="BB210" s="685"/>
      <c r="BC210" s="715" t="s">
        <v>695</v>
      </c>
      <c r="BD210" s="688" t="s">
        <v>3303</v>
      </c>
      <c r="BE210" s="695" t="s">
        <v>3304</v>
      </c>
      <c r="BF210" s="695" t="s">
        <v>3305</v>
      </c>
      <c r="BG210" s="695" t="s">
        <v>3306</v>
      </c>
      <c r="BH210" s="180" t="s">
        <v>3307</v>
      </c>
      <c r="BI210" s="180" t="s">
        <v>3308</v>
      </c>
      <c r="BJ210" s="179"/>
      <c r="BK210" s="685"/>
      <c r="BL210" s="179" t="b">
        <f t="shared" si="26"/>
        <v>1</v>
      </c>
      <c r="BM210" s="179" t="b">
        <f t="shared" si="27"/>
        <v>1</v>
      </c>
      <c r="BN210" s="688" t="b">
        <f t="shared" si="28"/>
        <v>1</v>
      </c>
    </row>
    <row r="211">
      <c r="A211" s="689"/>
      <c r="B211" s="186" t="s">
        <v>3626</v>
      </c>
      <c r="C211" s="676" t="s">
        <v>2113</v>
      </c>
      <c r="D211" s="677">
        <v>244.0</v>
      </c>
      <c r="E211" s="632" t="s">
        <v>3627</v>
      </c>
      <c r="F211" s="678">
        <f t="shared" ref="F211:G211" si="546">H211+J211+L211+N211+P211</f>
        <v>2398.98</v>
      </c>
      <c r="G211" s="679">
        <f t="shared" si="546"/>
        <v>469</v>
      </c>
      <c r="H211" s="641">
        <v>502.61</v>
      </c>
      <c r="I211" s="680">
        <v>97.67</v>
      </c>
      <c r="J211" s="641">
        <v>501.37</v>
      </c>
      <c r="K211" s="680">
        <v>65.27</v>
      </c>
      <c r="L211" s="641">
        <v>587.18</v>
      </c>
      <c r="M211" s="680">
        <v>134.54</v>
      </c>
      <c r="N211" s="641">
        <v>515.35</v>
      </c>
      <c r="O211" s="680">
        <v>121.21</v>
      </c>
      <c r="P211" s="641">
        <v>292.47</v>
      </c>
      <c r="Q211" s="680">
        <v>50.31</v>
      </c>
      <c r="R211" s="681" t="s">
        <v>693</v>
      </c>
      <c r="S211" s="682">
        <f t="shared" si="10"/>
        <v>2398.98</v>
      </c>
      <c r="T211" s="683"/>
      <c r="U211" s="625">
        <f t="shared" si="519"/>
        <v>502.61</v>
      </c>
      <c r="V211" s="625">
        <f t="shared" si="520"/>
        <v>501.37</v>
      </c>
      <c r="W211" s="625">
        <f t="shared" si="521"/>
        <v>587.18</v>
      </c>
      <c r="X211" s="625">
        <f t="shared" si="522"/>
        <v>515.35</v>
      </c>
      <c r="Y211" s="625">
        <f t="shared" si="523"/>
        <v>292.47</v>
      </c>
      <c r="Z211" s="656">
        <f t="shared" si="16"/>
        <v>469</v>
      </c>
      <c r="AA211" s="683"/>
      <c r="AB211" s="625">
        <f t="shared" si="524"/>
        <v>97.67</v>
      </c>
      <c r="AC211" s="625">
        <f t="shared" si="525"/>
        <v>65.27</v>
      </c>
      <c r="AD211" s="625">
        <f t="shared" si="526"/>
        <v>134.54</v>
      </c>
      <c r="AE211" s="625">
        <f t="shared" si="527"/>
        <v>121.21</v>
      </c>
      <c r="AF211" s="625">
        <f t="shared" si="528"/>
        <v>50.31</v>
      </c>
      <c r="AG211" s="657">
        <f t="shared" si="22"/>
        <v>0.1954997541</v>
      </c>
      <c r="AH211" s="165"/>
      <c r="AI211" s="165">
        <f t="shared" ref="AI211:AM211" si="547">AB211/U211</f>
        <v>0.1943256203</v>
      </c>
      <c r="AJ211" s="165">
        <f t="shared" si="547"/>
        <v>0.1301832978</v>
      </c>
      <c r="AK211" s="165">
        <f t="shared" si="547"/>
        <v>0.2291290575</v>
      </c>
      <c r="AL211" s="165">
        <f t="shared" si="547"/>
        <v>0.2351993791</v>
      </c>
      <c r="AM211" s="165">
        <f t="shared" si="547"/>
        <v>0.1720176428</v>
      </c>
      <c r="AN211" s="684">
        <f t="shared" si="453"/>
        <v>905</v>
      </c>
      <c r="AO211" s="625"/>
      <c r="AP211" s="625">
        <v>128.0</v>
      </c>
      <c r="AQ211" s="625">
        <v>67.0</v>
      </c>
      <c r="AR211" s="625">
        <v>247.0</v>
      </c>
      <c r="AS211" s="625">
        <v>20.0</v>
      </c>
      <c r="AT211" s="625">
        <v>443.0</v>
      </c>
      <c r="AU211" s="684">
        <f t="shared" si="496"/>
        <v>127.21</v>
      </c>
      <c r="AV211" s="625"/>
      <c r="AW211" s="625">
        <v>41.06</v>
      </c>
      <c r="AX211" s="625">
        <v>34.02</v>
      </c>
      <c r="AY211" s="625">
        <v>28.89</v>
      </c>
      <c r="AZ211" s="625">
        <v>23.24</v>
      </c>
      <c r="BA211" s="693">
        <v>0.0</v>
      </c>
      <c r="BB211" s="631"/>
      <c r="BC211" s="189" t="s">
        <v>695</v>
      </c>
      <c r="BD211" s="688" t="s">
        <v>3303</v>
      </c>
      <c r="BE211" s="179" t="s">
        <v>3304</v>
      </c>
      <c r="BF211" s="179" t="s">
        <v>3305</v>
      </c>
      <c r="BG211" s="179" t="s">
        <v>3306</v>
      </c>
      <c r="BH211" s="179" t="s">
        <v>3307</v>
      </c>
      <c r="BI211" s="179" t="s">
        <v>3308</v>
      </c>
      <c r="BJ211" s="179"/>
      <c r="BK211" s="631"/>
      <c r="BL211" s="179" t="b">
        <f t="shared" si="26"/>
        <v>1</v>
      </c>
      <c r="BM211" s="179" t="b">
        <f t="shared" si="27"/>
        <v>1</v>
      </c>
      <c r="BN211" s="688" t="b">
        <f t="shared" si="28"/>
        <v>0</v>
      </c>
    </row>
    <row r="212">
      <c r="A212" s="689"/>
      <c r="B212" s="186" t="s">
        <v>3628</v>
      </c>
      <c r="C212" s="676" t="s">
        <v>2113</v>
      </c>
      <c r="D212" s="677">
        <v>391.0</v>
      </c>
      <c r="E212" s="632" t="s">
        <v>3629</v>
      </c>
      <c r="F212" s="678">
        <f t="shared" ref="F212:G212" si="548">H212+J212+L212+N212+P212</f>
        <v>6775</v>
      </c>
      <c r="G212" s="679">
        <f t="shared" si="548"/>
        <v>1286</v>
      </c>
      <c r="H212" s="641">
        <v>1069.0</v>
      </c>
      <c r="I212" s="680">
        <v>200.0</v>
      </c>
      <c r="J212" s="641">
        <v>2243.0</v>
      </c>
      <c r="K212" s="680">
        <v>528.0</v>
      </c>
      <c r="L212" s="641">
        <v>1749.0</v>
      </c>
      <c r="M212" s="680">
        <v>300.0</v>
      </c>
      <c r="N212" s="641">
        <v>865.0</v>
      </c>
      <c r="O212" s="680">
        <v>176.0</v>
      </c>
      <c r="P212" s="641">
        <v>849.0</v>
      </c>
      <c r="Q212" s="680">
        <v>82.0</v>
      </c>
      <c r="R212" s="681" t="s">
        <v>706</v>
      </c>
      <c r="S212" s="682">
        <f t="shared" si="10"/>
        <v>6775</v>
      </c>
      <c r="T212" s="683"/>
      <c r="U212" s="625">
        <f t="shared" si="519"/>
        <v>1069</v>
      </c>
      <c r="V212" s="625">
        <f t="shared" si="520"/>
        <v>2243</v>
      </c>
      <c r="W212" s="625">
        <f t="shared" si="521"/>
        <v>1749</v>
      </c>
      <c r="X212" s="625">
        <f t="shared" si="522"/>
        <v>865</v>
      </c>
      <c r="Y212" s="625">
        <f t="shared" si="523"/>
        <v>849</v>
      </c>
      <c r="Z212" s="656">
        <f t="shared" si="16"/>
        <v>1286</v>
      </c>
      <c r="AA212" s="683"/>
      <c r="AB212" s="625">
        <f t="shared" si="524"/>
        <v>200</v>
      </c>
      <c r="AC212" s="625">
        <f t="shared" si="525"/>
        <v>528</v>
      </c>
      <c r="AD212" s="625">
        <f t="shared" si="526"/>
        <v>300</v>
      </c>
      <c r="AE212" s="625">
        <f t="shared" si="527"/>
        <v>176</v>
      </c>
      <c r="AF212" s="625">
        <f t="shared" si="528"/>
        <v>82</v>
      </c>
      <c r="AG212" s="657">
        <f t="shared" si="22"/>
        <v>0.1898154982</v>
      </c>
      <c r="AH212" s="165"/>
      <c r="AI212" s="165">
        <f t="shared" ref="AI212:AM212" si="549">AB212/U212</f>
        <v>0.187090739</v>
      </c>
      <c r="AJ212" s="165">
        <f t="shared" si="549"/>
        <v>0.2353990192</v>
      </c>
      <c r="AK212" s="165">
        <f t="shared" si="549"/>
        <v>0.1715265866</v>
      </c>
      <c r="AL212" s="165">
        <f t="shared" si="549"/>
        <v>0.2034682081</v>
      </c>
      <c r="AM212" s="165">
        <f t="shared" si="549"/>
        <v>0.09658421673</v>
      </c>
      <c r="AN212" s="684">
        <f t="shared" si="453"/>
        <v>4607</v>
      </c>
      <c r="AO212" s="641">
        <v>275.0</v>
      </c>
      <c r="AP212" s="625">
        <v>1408.0</v>
      </c>
      <c r="AQ212" s="625">
        <v>2199.0</v>
      </c>
      <c r="AR212" s="625">
        <v>325.0</v>
      </c>
      <c r="AS212" s="625">
        <v>353.0</v>
      </c>
      <c r="AT212" s="625">
        <v>322.0</v>
      </c>
      <c r="AU212" s="684">
        <f t="shared" si="496"/>
        <v>1463</v>
      </c>
      <c r="AV212" s="641">
        <v>314.0</v>
      </c>
      <c r="AW212" s="625">
        <v>305.0</v>
      </c>
      <c r="AX212" s="625">
        <v>309.0</v>
      </c>
      <c r="AY212" s="625">
        <v>297.0</v>
      </c>
      <c r="AZ212" s="625">
        <v>286.0</v>
      </c>
      <c r="BA212" s="693">
        <v>266.0</v>
      </c>
      <c r="BB212" s="631"/>
      <c r="BC212" s="189" t="s">
        <v>695</v>
      </c>
      <c r="BD212" s="186" t="s">
        <v>3303</v>
      </c>
      <c r="BE212" s="179" t="s">
        <v>3304</v>
      </c>
      <c r="BF212" s="179" t="s">
        <v>3305</v>
      </c>
      <c r="BG212" s="179" t="s">
        <v>3306</v>
      </c>
      <c r="BH212" s="179" t="s">
        <v>3307</v>
      </c>
      <c r="BI212" s="179" t="s">
        <v>3308</v>
      </c>
      <c r="BJ212" s="179"/>
      <c r="BK212" s="631"/>
      <c r="BL212" s="179" t="b">
        <f t="shared" si="26"/>
        <v>1</v>
      </c>
      <c r="BM212" s="179" t="b">
        <f t="shared" si="27"/>
        <v>1</v>
      </c>
      <c r="BN212" s="688" t="b">
        <f t="shared" si="28"/>
        <v>1</v>
      </c>
    </row>
    <row r="213">
      <c r="A213" s="689"/>
      <c r="B213" s="186" t="s">
        <v>3630</v>
      </c>
      <c r="C213" s="690" t="s">
        <v>2317</v>
      </c>
      <c r="D213" s="677">
        <v>363.0</v>
      </c>
      <c r="E213" s="632" t="s">
        <v>3631</v>
      </c>
      <c r="F213" s="678">
        <f t="shared" ref="F213:G213" si="550">H213+J213+L213+N213+P213</f>
        <v>7079.2</v>
      </c>
      <c r="G213" s="679">
        <f t="shared" si="550"/>
        <v>1476.48</v>
      </c>
      <c r="H213" s="641">
        <v>1886.6</v>
      </c>
      <c r="I213" s="680">
        <v>406.0</v>
      </c>
      <c r="J213" s="641">
        <v>1589.38</v>
      </c>
      <c r="K213" s="680">
        <v>321.0</v>
      </c>
      <c r="L213" s="641">
        <v>1096.7</v>
      </c>
      <c r="M213" s="680">
        <v>215.0</v>
      </c>
      <c r="N213" s="641">
        <v>1290.87</v>
      </c>
      <c r="O213" s="680">
        <v>286.0</v>
      </c>
      <c r="P213" s="641">
        <v>1215.65</v>
      </c>
      <c r="Q213" s="680">
        <v>248.48</v>
      </c>
      <c r="R213" s="681" t="s">
        <v>705</v>
      </c>
      <c r="S213" s="682">
        <f t="shared" si="10"/>
        <v>7079.2</v>
      </c>
      <c r="T213" s="683"/>
      <c r="U213" s="625">
        <f t="shared" si="519"/>
        <v>1886.6</v>
      </c>
      <c r="V213" s="625">
        <f t="shared" si="520"/>
        <v>1589.38</v>
      </c>
      <c r="W213" s="625">
        <f t="shared" si="521"/>
        <v>1096.7</v>
      </c>
      <c r="X213" s="625">
        <f t="shared" si="522"/>
        <v>1290.87</v>
      </c>
      <c r="Y213" s="625">
        <f t="shared" si="523"/>
        <v>1215.65</v>
      </c>
      <c r="Z213" s="656">
        <f t="shared" si="16"/>
        <v>1476.48</v>
      </c>
      <c r="AA213" s="683"/>
      <c r="AB213" s="625">
        <f t="shared" si="524"/>
        <v>406</v>
      </c>
      <c r="AC213" s="625">
        <f t="shared" si="525"/>
        <v>321</v>
      </c>
      <c r="AD213" s="625">
        <f t="shared" si="526"/>
        <v>215</v>
      </c>
      <c r="AE213" s="625">
        <f t="shared" si="527"/>
        <v>286</v>
      </c>
      <c r="AF213" s="625">
        <f t="shared" si="528"/>
        <v>248.48</v>
      </c>
      <c r="AG213" s="657">
        <f t="shared" si="22"/>
        <v>0.2085659397</v>
      </c>
      <c r="AH213" s="165"/>
      <c r="AI213" s="165">
        <f t="shared" ref="AI213:AM213" si="551">AB213/U213</f>
        <v>0.2152019506</v>
      </c>
      <c r="AJ213" s="165">
        <f t="shared" si="551"/>
        <v>0.2019655463</v>
      </c>
      <c r="AK213" s="165">
        <f t="shared" si="551"/>
        <v>0.1960426735</v>
      </c>
      <c r="AL213" s="165">
        <f t="shared" si="551"/>
        <v>0.2215560049</v>
      </c>
      <c r="AM213" s="165">
        <f t="shared" si="551"/>
        <v>0.2044009378</v>
      </c>
      <c r="AN213" s="684">
        <f t="shared" si="453"/>
        <v>1479</v>
      </c>
      <c r="AO213" s="625">
        <f>862+40</f>
        <v>902</v>
      </c>
      <c r="AP213" s="625">
        <v>216.0</v>
      </c>
      <c r="AQ213" s="641">
        <v>151.0</v>
      </c>
      <c r="AR213" s="641">
        <v>272.0</v>
      </c>
      <c r="AS213" s="641">
        <v>778.0</v>
      </c>
      <c r="AT213" s="641">
        <v>62.0</v>
      </c>
      <c r="AU213" s="684">
        <f t="shared" si="496"/>
        <v>1042.34</v>
      </c>
      <c r="AV213" s="641">
        <v>355.0</v>
      </c>
      <c r="AW213" s="625">
        <v>277.0</v>
      </c>
      <c r="AX213" s="625">
        <v>218.0</v>
      </c>
      <c r="AY213" s="625">
        <v>205.0</v>
      </c>
      <c r="AZ213" s="625">
        <v>191.0</v>
      </c>
      <c r="BA213" s="693">
        <v>151.34</v>
      </c>
      <c r="BB213" s="631"/>
      <c r="BC213" s="189" t="s">
        <v>695</v>
      </c>
      <c r="BD213" s="186" t="s">
        <v>3303</v>
      </c>
      <c r="BE213" s="179" t="s">
        <v>3304</v>
      </c>
      <c r="BF213" s="179" t="s">
        <v>3305</v>
      </c>
      <c r="BG213" s="179" t="s">
        <v>3306</v>
      </c>
      <c r="BH213" s="179" t="s">
        <v>3307</v>
      </c>
      <c r="BI213" s="179" t="s">
        <v>3308</v>
      </c>
      <c r="BJ213" s="179"/>
      <c r="BK213" s="631"/>
      <c r="BL213" s="179" t="b">
        <f t="shared" si="26"/>
        <v>1</v>
      </c>
      <c r="BM213" s="179" t="b">
        <f t="shared" si="27"/>
        <v>1</v>
      </c>
      <c r="BN213" s="688" t="b">
        <f t="shared" si="28"/>
        <v>0</v>
      </c>
    </row>
    <row r="214">
      <c r="A214" s="148" t="s">
        <v>3384</v>
      </c>
      <c r="B214" s="712" t="s">
        <v>3632</v>
      </c>
      <c r="C214" s="676" t="s">
        <v>2113</v>
      </c>
      <c r="D214" s="713">
        <v>57.0</v>
      </c>
      <c r="E214" s="632" t="s">
        <v>2798</v>
      </c>
      <c r="F214" s="71">
        <f t="shared" ref="F214:G214" si="552">H214+J214+L214+N214+P214</f>
        <v>11144</v>
      </c>
      <c r="G214" s="679">
        <f t="shared" si="552"/>
        <v>3065</v>
      </c>
      <c r="H214" s="641">
        <v>3935.0</v>
      </c>
      <c r="I214" s="680">
        <v>1724.0</v>
      </c>
      <c r="J214" s="641">
        <v>3438.0</v>
      </c>
      <c r="K214" s="680">
        <v>387.0</v>
      </c>
      <c r="L214" s="641">
        <v>-2807.0</v>
      </c>
      <c r="M214" s="680">
        <v>324.0</v>
      </c>
      <c r="N214" s="641">
        <v>3159.0</v>
      </c>
      <c r="O214" s="680">
        <v>188.0</v>
      </c>
      <c r="P214" s="641">
        <v>3419.0</v>
      </c>
      <c r="Q214" s="680">
        <v>442.0</v>
      </c>
      <c r="R214" s="714"/>
      <c r="S214" s="682">
        <f t="shared" si="10"/>
        <v>11144</v>
      </c>
      <c r="T214" s="683"/>
      <c r="U214" s="625">
        <f t="shared" si="519"/>
        <v>3935</v>
      </c>
      <c r="V214" s="625">
        <f t="shared" si="520"/>
        <v>3438</v>
      </c>
      <c r="W214" s="625">
        <f t="shared" si="521"/>
        <v>-2807</v>
      </c>
      <c r="X214" s="625">
        <f t="shared" si="522"/>
        <v>3159</v>
      </c>
      <c r="Y214" s="625">
        <f t="shared" si="523"/>
        <v>3419</v>
      </c>
      <c r="Z214" s="656">
        <f t="shared" si="16"/>
        <v>3065</v>
      </c>
      <c r="AA214" s="683"/>
      <c r="AB214" s="625">
        <f t="shared" si="524"/>
        <v>1724</v>
      </c>
      <c r="AC214" s="625">
        <f t="shared" si="525"/>
        <v>387</v>
      </c>
      <c r="AD214" s="625">
        <f t="shared" si="526"/>
        <v>324</v>
      </c>
      <c r="AE214" s="625">
        <f t="shared" si="527"/>
        <v>188</v>
      </c>
      <c r="AF214" s="625">
        <f t="shared" si="528"/>
        <v>442</v>
      </c>
      <c r="AG214" s="657">
        <f t="shared" si="22"/>
        <v>0.2750358938</v>
      </c>
      <c r="AH214" s="165"/>
      <c r="AI214" s="165">
        <f t="shared" ref="AI214:AM214" si="553">AB214/U214</f>
        <v>0.4381194409</v>
      </c>
      <c r="AJ214" s="165">
        <f t="shared" si="553"/>
        <v>0.112565445</v>
      </c>
      <c r="AK214" s="165">
        <f t="shared" si="553"/>
        <v>-0.1154257214</v>
      </c>
      <c r="AL214" s="165">
        <f t="shared" si="553"/>
        <v>0.05951250396</v>
      </c>
      <c r="AM214" s="165">
        <f t="shared" si="553"/>
        <v>0.1292775665</v>
      </c>
      <c r="AN214" s="684">
        <f t="shared" si="453"/>
        <v>5653</v>
      </c>
      <c r="AO214" s="685">
        <v>12870.0</v>
      </c>
      <c r="AP214" s="685">
        <v>2803.0</v>
      </c>
      <c r="AQ214" s="685">
        <v>2327.0</v>
      </c>
      <c r="AR214" s="685">
        <v>47.0</v>
      </c>
      <c r="AS214" s="685">
        <v>151.0</v>
      </c>
      <c r="AT214" s="685">
        <v>325.0</v>
      </c>
      <c r="AU214" s="684">
        <f t="shared" si="496"/>
        <v>13429</v>
      </c>
      <c r="AV214" s="685">
        <v>3239.0</v>
      </c>
      <c r="AW214" s="685">
        <v>3128.0</v>
      </c>
      <c r="AX214" s="685">
        <v>2957.0</v>
      </c>
      <c r="AY214" s="685">
        <v>2732.0</v>
      </c>
      <c r="AZ214" s="685">
        <v>2442.0</v>
      </c>
      <c r="BA214" s="710">
        <v>2170.0</v>
      </c>
      <c r="BB214" s="685"/>
      <c r="BC214" s="695" t="s">
        <v>695</v>
      </c>
      <c r="BD214" s="186" t="s">
        <v>3303</v>
      </c>
      <c r="BE214" s="695" t="s">
        <v>3304</v>
      </c>
      <c r="BF214" s="695" t="s">
        <v>3305</v>
      </c>
      <c r="BG214" s="695" t="s">
        <v>3306</v>
      </c>
      <c r="BH214" s="695" t="s">
        <v>3307</v>
      </c>
      <c r="BI214" s="695" t="s">
        <v>3308</v>
      </c>
      <c r="BJ214" s="179"/>
      <c r="BK214" s="685"/>
      <c r="BL214" s="179" t="b">
        <f t="shared" si="26"/>
        <v>1</v>
      </c>
      <c r="BM214" s="179" t="b">
        <f t="shared" si="27"/>
        <v>1</v>
      </c>
      <c r="BN214" s="688" t="b">
        <f t="shared" si="28"/>
        <v>1</v>
      </c>
    </row>
    <row r="215">
      <c r="A215" s="426"/>
      <c r="B215" s="186" t="s">
        <v>3633</v>
      </c>
      <c r="C215" s="676" t="s">
        <v>2113</v>
      </c>
      <c r="D215" s="677">
        <v>339.0</v>
      </c>
      <c r="E215" s="632" t="s">
        <v>3634</v>
      </c>
      <c r="F215" s="678">
        <f t="shared" ref="F215:G215" si="554">H215+J215+L215+N215+P215</f>
        <v>13368.7</v>
      </c>
      <c r="G215" s="679">
        <f t="shared" si="554"/>
        <v>3266.1</v>
      </c>
      <c r="H215" s="641">
        <v>832.9</v>
      </c>
      <c r="I215" s="680">
        <v>969.0</v>
      </c>
      <c r="J215" s="641">
        <v>5938.5</v>
      </c>
      <c r="K215" s="680">
        <v>1429.8</v>
      </c>
      <c r="L215" s="641">
        <v>2441.1</v>
      </c>
      <c r="M215" s="680">
        <v>199.0</v>
      </c>
      <c r="N215" s="641">
        <v>2009.3</v>
      </c>
      <c r="O215" s="680">
        <v>444.6</v>
      </c>
      <c r="P215" s="641">
        <v>2146.9</v>
      </c>
      <c r="Q215" s="680">
        <v>223.7</v>
      </c>
      <c r="R215" s="681" t="s">
        <v>696</v>
      </c>
      <c r="S215" s="682">
        <f t="shared" si="10"/>
        <v>13368.7</v>
      </c>
      <c r="T215" s="683"/>
      <c r="U215" s="625">
        <f t="shared" si="519"/>
        <v>832.9</v>
      </c>
      <c r="V215" s="625">
        <f t="shared" si="520"/>
        <v>5938.5</v>
      </c>
      <c r="W215" s="625">
        <f t="shared" si="521"/>
        <v>2441.1</v>
      </c>
      <c r="X215" s="625">
        <f t="shared" si="522"/>
        <v>2009.3</v>
      </c>
      <c r="Y215" s="625">
        <f t="shared" si="523"/>
        <v>2146.9</v>
      </c>
      <c r="Z215" s="656">
        <f t="shared" si="16"/>
        <v>3266.1</v>
      </c>
      <c r="AA215" s="683"/>
      <c r="AB215" s="625">
        <f t="shared" si="524"/>
        <v>969</v>
      </c>
      <c r="AC215" s="625">
        <f t="shared" si="525"/>
        <v>1429.8</v>
      </c>
      <c r="AD215" s="625">
        <f t="shared" si="526"/>
        <v>199</v>
      </c>
      <c r="AE215" s="625">
        <f t="shared" si="527"/>
        <v>444.6</v>
      </c>
      <c r="AF215" s="625">
        <f t="shared" si="528"/>
        <v>223.7</v>
      </c>
      <c r="AG215" s="657">
        <f t="shared" si="22"/>
        <v>0.2443094691</v>
      </c>
      <c r="AH215" s="165"/>
      <c r="AI215" s="165">
        <f t="shared" ref="AI215:AM215" si="555">AB215/U215</f>
        <v>1.163404971</v>
      </c>
      <c r="AJ215" s="165">
        <f t="shared" si="555"/>
        <v>0.2407678707</v>
      </c>
      <c r="AK215" s="165">
        <f t="shared" si="555"/>
        <v>0.08152062595</v>
      </c>
      <c r="AL215" s="165">
        <f t="shared" si="555"/>
        <v>0.2212710894</v>
      </c>
      <c r="AM215" s="165">
        <f t="shared" si="555"/>
        <v>0.1041967488</v>
      </c>
      <c r="AN215" s="684">
        <f t="shared" si="453"/>
        <v>9855.3</v>
      </c>
      <c r="AO215" s="641">
        <v>2235.0</v>
      </c>
      <c r="AP215" s="641">
        <v>2082.8</v>
      </c>
      <c r="AQ215" s="641">
        <v>1645.4</v>
      </c>
      <c r="AR215" s="641">
        <v>5846.8</v>
      </c>
      <c r="AS215" s="641">
        <v>275.9</v>
      </c>
      <c r="AT215" s="641">
        <v>4.4</v>
      </c>
      <c r="AU215" s="684">
        <f t="shared" si="496"/>
        <v>0</v>
      </c>
      <c r="AV215" s="180">
        <v>0.0</v>
      </c>
      <c r="AW215" s="180">
        <v>0.0</v>
      </c>
      <c r="AX215" s="180">
        <v>0.0</v>
      </c>
      <c r="AY215" s="180">
        <v>0.0</v>
      </c>
      <c r="AZ215" s="180">
        <v>0.0</v>
      </c>
      <c r="BA215" s="686">
        <v>0.0</v>
      </c>
      <c r="BB215" s="631"/>
      <c r="BC215" s="189" t="s">
        <v>695</v>
      </c>
      <c r="BD215" s="186" t="s">
        <v>3303</v>
      </c>
      <c r="BE215" s="179" t="s">
        <v>3304</v>
      </c>
      <c r="BF215" s="179" t="s">
        <v>3305</v>
      </c>
      <c r="BG215" s="179" t="s">
        <v>3306</v>
      </c>
      <c r="BH215" s="179" t="s">
        <v>3307</v>
      </c>
      <c r="BI215" s="179" t="s">
        <v>3308</v>
      </c>
      <c r="BJ215" s="179"/>
      <c r="BK215" s="646"/>
      <c r="BL215" s="179" t="b">
        <f t="shared" si="26"/>
        <v>1</v>
      </c>
      <c r="BM215" s="179" t="b">
        <f t="shared" si="27"/>
        <v>1</v>
      </c>
      <c r="BN215" s="688" t="b">
        <f t="shared" si="28"/>
        <v>0</v>
      </c>
    </row>
    <row r="216">
      <c r="A216" s="689"/>
      <c r="B216" s="186" t="s">
        <v>3635</v>
      </c>
      <c r="C216" s="676" t="s">
        <v>2113</v>
      </c>
      <c r="D216" s="677">
        <v>483.0</v>
      </c>
      <c r="E216" s="632" t="s">
        <v>3636</v>
      </c>
      <c r="F216" s="678">
        <f t="shared" ref="F216:G216" si="556">H216+J216+L216+N216+P216</f>
        <v>10999</v>
      </c>
      <c r="G216" s="679">
        <f t="shared" si="556"/>
        <v>1715</v>
      </c>
      <c r="H216" s="641">
        <v>2760.0</v>
      </c>
      <c r="I216" s="680">
        <v>493.0</v>
      </c>
      <c r="J216" s="641">
        <v>3142.0</v>
      </c>
      <c r="K216" s="680">
        <v>456.0</v>
      </c>
      <c r="L216" s="641">
        <v>1248.0</v>
      </c>
      <c r="M216" s="680">
        <v>312.0</v>
      </c>
      <c r="N216" s="641">
        <v>1923.0</v>
      </c>
      <c r="O216" s="680">
        <v>279.0</v>
      </c>
      <c r="P216" s="641">
        <v>1926.0</v>
      </c>
      <c r="Q216" s="680">
        <v>175.0</v>
      </c>
      <c r="R216" s="681" t="s">
        <v>3637</v>
      </c>
      <c r="S216" s="682">
        <f t="shared" si="10"/>
        <v>10999</v>
      </c>
      <c r="T216" s="683"/>
      <c r="U216" s="625">
        <f t="shared" si="519"/>
        <v>2760</v>
      </c>
      <c r="V216" s="625">
        <f t="shared" si="520"/>
        <v>3142</v>
      </c>
      <c r="W216" s="625">
        <f t="shared" si="521"/>
        <v>1248</v>
      </c>
      <c r="X216" s="625">
        <f t="shared" si="522"/>
        <v>1923</v>
      </c>
      <c r="Y216" s="625">
        <f t="shared" si="523"/>
        <v>1926</v>
      </c>
      <c r="Z216" s="656">
        <f t="shared" si="16"/>
        <v>1715</v>
      </c>
      <c r="AA216" s="683"/>
      <c r="AB216" s="625">
        <f t="shared" si="524"/>
        <v>493</v>
      </c>
      <c r="AC216" s="625">
        <f t="shared" si="525"/>
        <v>456</v>
      </c>
      <c r="AD216" s="625">
        <f t="shared" si="526"/>
        <v>312</v>
      </c>
      <c r="AE216" s="625">
        <f t="shared" si="527"/>
        <v>279</v>
      </c>
      <c r="AF216" s="625">
        <f t="shared" si="528"/>
        <v>175</v>
      </c>
      <c r="AG216" s="657">
        <f t="shared" si="22"/>
        <v>0.1559232658</v>
      </c>
      <c r="AH216" s="165"/>
      <c r="AI216" s="165">
        <f t="shared" ref="AI216:AM216" si="557">AB216/U216</f>
        <v>0.1786231884</v>
      </c>
      <c r="AJ216" s="165">
        <f t="shared" si="557"/>
        <v>0.1451304901</v>
      </c>
      <c r="AK216" s="165">
        <f t="shared" si="557"/>
        <v>0.25</v>
      </c>
      <c r="AL216" s="165">
        <f t="shared" si="557"/>
        <v>0.1450858034</v>
      </c>
      <c r="AM216" s="165">
        <f t="shared" si="557"/>
        <v>0.09086188993</v>
      </c>
      <c r="AN216" s="684">
        <f t="shared" si="453"/>
        <v>4420</v>
      </c>
      <c r="AO216" s="641">
        <v>252.0</v>
      </c>
      <c r="AP216" s="641">
        <v>230.0</v>
      </c>
      <c r="AQ216" s="641">
        <v>967.0</v>
      </c>
      <c r="AR216" s="641">
        <v>0.0</v>
      </c>
      <c r="AS216" s="641">
        <v>1101.0</v>
      </c>
      <c r="AT216" s="641">
        <v>2122.0</v>
      </c>
      <c r="AU216" s="684">
        <f t="shared" si="496"/>
        <v>3348</v>
      </c>
      <c r="AV216" s="625">
        <f>787+98</f>
        <v>885</v>
      </c>
      <c r="AW216" s="625">
        <v>762.0</v>
      </c>
      <c r="AX216" s="625">
        <v>716.0</v>
      </c>
      <c r="AY216" s="625">
        <v>698.0</v>
      </c>
      <c r="AZ216" s="625">
        <v>656.0</v>
      </c>
      <c r="BA216" s="693">
        <v>516.0</v>
      </c>
      <c r="BB216" s="631"/>
      <c r="BC216" s="189" t="s">
        <v>695</v>
      </c>
      <c r="BD216" s="186" t="s">
        <v>3303</v>
      </c>
      <c r="BE216" s="179" t="s">
        <v>3304</v>
      </c>
      <c r="BF216" s="179" t="s">
        <v>3305</v>
      </c>
      <c r="BG216" s="179" t="s">
        <v>3306</v>
      </c>
      <c r="BH216" s="179" t="s">
        <v>3307</v>
      </c>
      <c r="BI216" s="179" t="s">
        <v>3308</v>
      </c>
      <c r="BJ216" s="179"/>
      <c r="BK216" s="631"/>
      <c r="BL216" s="179" t="b">
        <f t="shared" si="26"/>
        <v>1</v>
      </c>
      <c r="BM216" s="179" t="b">
        <f t="shared" si="27"/>
        <v>1</v>
      </c>
      <c r="BN216" s="688" t="b">
        <f t="shared" si="28"/>
        <v>1</v>
      </c>
    </row>
    <row r="217">
      <c r="A217" s="696" t="s">
        <v>1534</v>
      </c>
      <c r="B217" s="186" t="s">
        <v>3638</v>
      </c>
      <c r="C217" s="676" t="s">
        <v>2113</v>
      </c>
      <c r="D217" s="677">
        <v>257.0</v>
      </c>
      <c r="E217" s="632" t="s">
        <v>74</v>
      </c>
      <c r="F217" s="678">
        <f t="shared" ref="F217:G217" si="558">H217+J217+L217+N217+P217</f>
        <v>2302.2</v>
      </c>
      <c r="G217" s="679">
        <f t="shared" si="558"/>
        <v>189.43</v>
      </c>
      <c r="H217" s="641">
        <v>399.0</v>
      </c>
      <c r="I217" s="680">
        <v>-12.0</v>
      </c>
      <c r="J217" s="641">
        <v>327.0</v>
      </c>
      <c r="K217" s="680">
        <v>80.0</v>
      </c>
      <c r="L217" s="641">
        <v>79.0</v>
      </c>
      <c r="M217" s="680">
        <v>62.0</v>
      </c>
      <c r="N217" s="641">
        <v>871.0</v>
      </c>
      <c r="O217" s="680">
        <v>-9.0</v>
      </c>
      <c r="P217" s="641">
        <v>626.2</v>
      </c>
      <c r="Q217" s="680">
        <v>68.43</v>
      </c>
      <c r="R217" s="681" t="s">
        <v>698</v>
      </c>
      <c r="S217" s="682">
        <f t="shared" si="10"/>
        <v>2302.2</v>
      </c>
      <c r="T217" s="683"/>
      <c r="U217" s="625">
        <f t="shared" si="519"/>
        <v>399</v>
      </c>
      <c r="V217" s="625">
        <f t="shared" si="520"/>
        <v>327</v>
      </c>
      <c r="W217" s="625">
        <f t="shared" si="521"/>
        <v>79</v>
      </c>
      <c r="X217" s="625">
        <f t="shared" si="522"/>
        <v>871</v>
      </c>
      <c r="Y217" s="625">
        <f t="shared" si="523"/>
        <v>626.2</v>
      </c>
      <c r="Z217" s="656">
        <f t="shared" si="16"/>
        <v>189.43</v>
      </c>
      <c r="AA217" s="683"/>
      <c r="AB217" s="625">
        <f t="shared" si="524"/>
        <v>-12</v>
      </c>
      <c r="AC217" s="625">
        <f t="shared" si="525"/>
        <v>80</v>
      </c>
      <c r="AD217" s="625">
        <f t="shared" si="526"/>
        <v>62</v>
      </c>
      <c r="AE217" s="625">
        <f t="shared" si="527"/>
        <v>-9</v>
      </c>
      <c r="AF217" s="625">
        <f t="shared" si="528"/>
        <v>68.43</v>
      </c>
      <c r="AG217" s="657">
        <f t="shared" si="22"/>
        <v>0.08228216489</v>
      </c>
      <c r="AH217" s="165"/>
      <c r="AI217" s="165">
        <f t="shared" ref="AI217:AM217" si="559">AB217/U217</f>
        <v>-0.03007518797</v>
      </c>
      <c r="AJ217" s="165">
        <f t="shared" si="559"/>
        <v>0.244648318</v>
      </c>
      <c r="AK217" s="165">
        <f t="shared" si="559"/>
        <v>0.7848101266</v>
      </c>
      <c r="AL217" s="165">
        <f t="shared" si="559"/>
        <v>-0.01033295063</v>
      </c>
      <c r="AM217" s="165">
        <f t="shared" si="559"/>
        <v>0.1092781859</v>
      </c>
      <c r="AN217" s="684">
        <f t="shared" si="453"/>
        <v>743.679</v>
      </c>
      <c r="AO217" s="625"/>
      <c r="AP217" s="625">
        <v>81.0</v>
      </c>
      <c r="AQ217" s="625">
        <v>99.0</v>
      </c>
      <c r="AR217" s="625">
        <v>163.0</v>
      </c>
      <c r="AS217" s="625">
        <v>101.0</v>
      </c>
      <c r="AT217" s="625">
        <v>299.679</v>
      </c>
      <c r="AU217" s="684">
        <f t="shared" si="496"/>
        <v>884</v>
      </c>
      <c r="AV217" s="625"/>
      <c r="AW217" s="625">
        <v>205.0</v>
      </c>
      <c r="AX217" s="625">
        <v>194.0</v>
      </c>
      <c r="AY217" s="625">
        <v>182.0</v>
      </c>
      <c r="AZ217" s="625">
        <v>163.0</v>
      </c>
      <c r="BA217" s="693">
        <v>140.0</v>
      </c>
      <c r="BB217" s="631"/>
      <c r="BC217" s="189" t="s">
        <v>695</v>
      </c>
      <c r="BD217" s="688" t="s">
        <v>3303</v>
      </c>
      <c r="BE217" s="179" t="s">
        <v>3304</v>
      </c>
      <c r="BF217" s="179" t="s">
        <v>3305</v>
      </c>
      <c r="BG217" s="179" t="s">
        <v>3306</v>
      </c>
      <c r="BH217" s="179" t="s">
        <v>3307</v>
      </c>
      <c r="BI217" s="179" t="s">
        <v>3308</v>
      </c>
      <c r="BJ217" s="179"/>
      <c r="BK217" s="631"/>
      <c r="BL217" s="179" t="b">
        <f t="shared" si="26"/>
        <v>1</v>
      </c>
      <c r="BM217" s="179" t="b">
        <f t="shared" si="27"/>
        <v>1</v>
      </c>
      <c r="BN217" s="688" t="b">
        <f t="shared" si="28"/>
        <v>1</v>
      </c>
    </row>
    <row r="218">
      <c r="A218" s="689"/>
      <c r="B218" s="186" t="s">
        <v>3639</v>
      </c>
      <c r="C218" s="676" t="s">
        <v>2113</v>
      </c>
      <c r="D218" s="677">
        <v>247.0</v>
      </c>
      <c r="E218" s="632" t="s">
        <v>3640</v>
      </c>
      <c r="F218" s="678">
        <f t="shared" ref="F218:G218" si="560">H218+J218+L218+N218+P218</f>
        <v>5774.9</v>
      </c>
      <c r="G218" s="679">
        <f t="shared" si="560"/>
        <v>1132.69</v>
      </c>
      <c r="H218" s="641">
        <v>2086.3</v>
      </c>
      <c r="I218" s="680">
        <v>418.9</v>
      </c>
      <c r="J218" s="641">
        <v>1680.5</v>
      </c>
      <c r="K218" s="680">
        <v>362.9</v>
      </c>
      <c r="L218" s="641">
        <v>441.0</v>
      </c>
      <c r="M218" s="680">
        <v>77.6</v>
      </c>
      <c r="N218" s="641">
        <v>839.5</v>
      </c>
      <c r="O218" s="680">
        <v>136.3</v>
      </c>
      <c r="P218" s="641">
        <v>727.6</v>
      </c>
      <c r="Q218" s="680">
        <v>136.99</v>
      </c>
      <c r="R218" s="681" t="s">
        <v>702</v>
      </c>
      <c r="S218" s="682">
        <f t="shared" si="10"/>
        <v>5774.9</v>
      </c>
      <c r="T218" s="683"/>
      <c r="U218" s="625">
        <f t="shared" si="519"/>
        <v>2086.3</v>
      </c>
      <c r="V218" s="625">
        <f t="shared" si="520"/>
        <v>1680.5</v>
      </c>
      <c r="W218" s="625">
        <f t="shared" si="521"/>
        <v>441</v>
      </c>
      <c r="X218" s="625">
        <f t="shared" si="522"/>
        <v>839.5</v>
      </c>
      <c r="Y218" s="625">
        <f t="shared" si="523"/>
        <v>727.6</v>
      </c>
      <c r="Z218" s="656">
        <f t="shared" si="16"/>
        <v>1132.69</v>
      </c>
      <c r="AA218" s="683"/>
      <c r="AB218" s="625">
        <f t="shared" si="524"/>
        <v>418.9</v>
      </c>
      <c r="AC218" s="625">
        <f t="shared" si="525"/>
        <v>362.9</v>
      </c>
      <c r="AD218" s="625">
        <f t="shared" si="526"/>
        <v>77.6</v>
      </c>
      <c r="AE218" s="625">
        <f t="shared" si="527"/>
        <v>136.3</v>
      </c>
      <c r="AF218" s="625">
        <f t="shared" si="528"/>
        <v>136.99</v>
      </c>
      <c r="AG218" s="657">
        <f t="shared" si="22"/>
        <v>0.1961401929</v>
      </c>
      <c r="AH218" s="165"/>
      <c r="AI218" s="165">
        <f t="shared" ref="AI218:AM218" si="561">AB218/U218</f>
        <v>0.2007860806</v>
      </c>
      <c r="AJ218" s="165">
        <f t="shared" si="561"/>
        <v>0.2159476346</v>
      </c>
      <c r="AK218" s="165">
        <f t="shared" si="561"/>
        <v>0.1759637188</v>
      </c>
      <c r="AL218" s="165">
        <f t="shared" si="561"/>
        <v>0.1623585468</v>
      </c>
      <c r="AM218" s="165">
        <f t="shared" si="561"/>
        <v>0.1882765256</v>
      </c>
      <c r="AN218" s="684">
        <f t="shared" si="453"/>
        <v>1826</v>
      </c>
      <c r="AO218" s="625"/>
      <c r="AP218" s="625">
        <v>630.0</v>
      </c>
      <c r="AQ218" s="625">
        <v>324.0</v>
      </c>
      <c r="AR218" s="625">
        <v>337.0</v>
      </c>
      <c r="AS218" s="625">
        <v>50.0</v>
      </c>
      <c r="AT218" s="625">
        <v>485.0</v>
      </c>
      <c r="AU218" s="684">
        <f t="shared" si="496"/>
        <v>854.8</v>
      </c>
      <c r="AV218" s="625"/>
      <c r="AW218" s="625">
        <v>217.1</v>
      </c>
      <c r="AX218" s="625">
        <v>177.0</v>
      </c>
      <c r="AY218" s="625">
        <v>164.1</v>
      </c>
      <c r="AZ218" s="625">
        <v>151.3</v>
      </c>
      <c r="BA218" s="693">
        <v>145.3</v>
      </c>
      <c r="BB218" s="631"/>
      <c r="BC218" s="189" t="s">
        <v>695</v>
      </c>
      <c r="BD218" s="688" t="s">
        <v>3303</v>
      </c>
      <c r="BE218" s="179" t="s">
        <v>3304</v>
      </c>
      <c r="BF218" s="179" t="s">
        <v>3305</v>
      </c>
      <c r="BG218" s="179" t="s">
        <v>3306</v>
      </c>
      <c r="BH218" s="179" t="s">
        <v>3307</v>
      </c>
      <c r="BI218" s="179" t="s">
        <v>3308</v>
      </c>
      <c r="BJ218" s="179"/>
      <c r="BK218" s="631"/>
      <c r="BL218" s="179" t="b">
        <f t="shared" si="26"/>
        <v>1</v>
      </c>
      <c r="BM218" s="179" t="b">
        <f t="shared" si="27"/>
        <v>1</v>
      </c>
      <c r="BN218" s="688" t="b">
        <f t="shared" si="28"/>
        <v>0</v>
      </c>
    </row>
    <row r="219">
      <c r="A219" s="212"/>
      <c r="B219" s="186" t="s">
        <v>3641</v>
      </c>
      <c r="C219" s="676" t="s">
        <v>2113</v>
      </c>
      <c r="D219" s="677">
        <v>309.0</v>
      </c>
      <c r="E219" s="131" t="s">
        <v>3642</v>
      </c>
      <c r="F219" s="678">
        <f t="shared" ref="F219:G219" si="562">H219+J219+L219+N219+P219</f>
        <v>6884.9</v>
      </c>
      <c r="G219" s="679">
        <f t="shared" si="562"/>
        <v>554</v>
      </c>
      <c r="H219" s="641">
        <v>1749.5</v>
      </c>
      <c r="I219" s="680">
        <v>72.4</v>
      </c>
      <c r="J219" s="641">
        <v>1507.8</v>
      </c>
      <c r="K219" s="680">
        <v>234.9</v>
      </c>
      <c r="L219" s="641">
        <v>1099.1</v>
      </c>
      <c r="M219" s="680">
        <v>71.7</v>
      </c>
      <c r="N219" s="641">
        <v>1254.5</v>
      </c>
      <c r="O219" s="680">
        <v>46.1</v>
      </c>
      <c r="P219" s="641">
        <v>1274.0</v>
      </c>
      <c r="Q219" s="680">
        <v>128.9</v>
      </c>
      <c r="R219" s="681" t="s">
        <v>723</v>
      </c>
      <c r="S219" s="682">
        <f t="shared" si="10"/>
        <v>6884.9</v>
      </c>
      <c r="T219" s="683"/>
      <c r="U219" s="625">
        <f t="shared" si="519"/>
        <v>1749.5</v>
      </c>
      <c r="V219" s="625">
        <f t="shared" si="520"/>
        <v>1507.8</v>
      </c>
      <c r="W219" s="625">
        <f t="shared" si="521"/>
        <v>1099.1</v>
      </c>
      <c r="X219" s="625">
        <f t="shared" si="522"/>
        <v>1254.5</v>
      </c>
      <c r="Y219" s="625">
        <f t="shared" si="523"/>
        <v>1274</v>
      </c>
      <c r="Z219" s="656">
        <f t="shared" si="16"/>
        <v>554</v>
      </c>
      <c r="AA219" s="683"/>
      <c r="AB219" s="625">
        <f t="shared" si="524"/>
        <v>72.4</v>
      </c>
      <c r="AC219" s="625">
        <f t="shared" si="525"/>
        <v>234.9</v>
      </c>
      <c r="AD219" s="625">
        <f t="shared" si="526"/>
        <v>71.7</v>
      </c>
      <c r="AE219" s="625">
        <f t="shared" si="527"/>
        <v>46.1</v>
      </c>
      <c r="AF219" s="625">
        <f t="shared" si="528"/>
        <v>128.9</v>
      </c>
      <c r="AG219" s="657">
        <f t="shared" si="22"/>
        <v>0.08046594722</v>
      </c>
      <c r="AH219" s="165"/>
      <c r="AI219" s="165">
        <f t="shared" ref="AI219:AM219" si="563">AB219/U219</f>
        <v>0.04138325236</v>
      </c>
      <c r="AJ219" s="165">
        <f t="shared" si="563"/>
        <v>0.1557898926</v>
      </c>
      <c r="AK219" s="165">
        <f t="shared" si="563"/>
        <v>0.06523519243</v>
      </c>
      <c r="AL219" s="165">
        <f t="shared" si="563"/>
        <v>0.03674770825</v>
      </c>
      <c r="AM219" s="165">
        <f t="shared" si="563"/>
        <v>0.101177394</v>
      </c>
      <c r="AN219" s="684">
        <f t="shared" si="453"/>
        <v>1690.8</v>
      </c>
      <c r="AO219" s="625"/>
      <c r="AP219" s="641">
        <v>203.5</v>
      </c>
      <c r="AQ219" s="641">
        <v>252.2</v>
      </c>
      <c r="AR219" s="641">
        <v>98.8</v>
      </c>
      <c r="AS219" s="641">
        <v>399.4</v>
      </c>
      <c r="AT219" s="641">
        <v>736.9</v>
      </c>
      <c r="AU219" s="684">
        <f t="shared" si="496"/>
        <v>2621</v>
      </c>
      <c r="AV219" s="625"/>
      <c r="AW219" s="641">
        <v>592.9</v>
      </c>
      <c r="AX219" s="641">
        <v>552.6</v>
      </c>
      <c r="AY219" s="641">
        <v>522.5</v>
      </c>
      <c r="AZ219" s="641">
        <v>491.2</v>
      </c>
      <c r="BA219" s="691">
        <v>461.8</v>
      </c>
      <c r="BB219" s="631"/>
      <c r="BC219" s="189" t="s">
        <v>695</v>
      </c>
      <c r="BD219" s="688" t="s">
        <v>3303</v>
      </c>
      <c r="BE219" s="179" t="s">
        <v>3304</v>
      </c>
      <c r="BF219" s="179" t="s">
        <v>3305</v>
      </c>
      <c r="BG219" s="179" t="s">
        <v>3306</v>
      </c>
      <c r="BH219" s="179" t="s">
        <v>3307</v>
      </c>
      <c r="BI219" s="179" t="s">
        <v>3308</v>
      </c>
      <c r="BJ219" s="179"/>
      <c r="BK219" s="631"/>
      <c r="BL219" s="179" t="b">
        <f t="shared" si="26"/>
        <v>1</v>
      </c>
      <c r="BM219" s="179" t="b">
        <f t="shared" si="27"/>
        <v>1</v>
      </c>
      <c r="BN219" s="688" t="b">
        <f t="shared" si="28"/>
        <v>1</v>
      </c>
    </row>
    <row r="220">
      <c r="A220" s="689"/>
      <c r="B220" s="186" t="s">
        <v>3643</v>
      </c>
      <c r="C220" s="676" t="s">
        <v>2113</v>
      </c>
      <c r="D220" s="677">
        <v>500.0</v>
      </c>
      <c r="E220" s="632" t="s">
        <v>3644</v>
      </c>
      <c r="F220" s="678">
        <f t="shared" ref="F220:G220" si="564">H220+J220+L220+N220+P220</f>
        <v>2668.12</v>
      </c>
      <c r="G220" s="679">
        <f t="shared" si="564"/>
        <v>562.32</v>
      </c>
      <c r="H220" s="641">
        <v>733.62</v>
      </c>
      <c r="I220" s="680">
        <v>137.0</v>
      </c>
      <c r="J220" s="641">
        <v>629.22</v>
      </c>
      <c r="K220" s="680">
        <v>137.86</v>
      </c>
      <c r="L220" s="641">
        <v>351.48</v>
      </c>
      <c r="M220" s="680">
        <v>79.93</v>
      </c>
      <c r="N220" s="641">
        <v>506.67</v>
      </c>
      <c r="O220" s="680">
        <v>107.7</v>
      </c>
      <c r="P220" s="641">
        <v>447.13</v>
      </c>
      <c r="Q220" s="680">
        <v>99.83</v>
      </c>
      <c r="R220" s="681" t="s">
        <v>702</v>
      </c>
      <c r="S220" s="682">
        <f t="shared" si="10"/>
        <v>2668.12</v>
      </c>
      <c r="T220" s="683"/>
      <c r="U220" s="625">
        <f t="shared" si="519"/>
        <v>733.62</v>
      </c>
      <c r="V220" s="625">
        <f t="shared" si="520"/>
        <v>629.22</v>
      </c>
      <c r="W220" s="625">
        <f t="shared" si="521"/>
        <v>351.48</v>
      </c>
      <c r="X220" s="625">
        <f t="shared" si="522"/>
        <v>506.67</v>
      </c>
      <c r="Y220" s="625">
        <f t="shared" si="523"/>
        <v>447.13</v>
      </c>
      <c r="Z220" s="656">
        <f t="shared" si="16"/>
        <v>562.32</v>
      </c>
      <c r="AA220" s="683"/>
      <c r="AB220" s="625">
        <f t="shared" si="524"/>
        <v>137</v>
      </c>
      <c r="AC220" s="625">
        <f t="shared" si="525"/>
        <v>137.86</v>
      </c>
      <c r="AD220" s="625">
        <f t="shared" si="526"/>
        <v>79.93</v>
      </c>
      <c r="AE220" s="625">
        <f t="shared" si="527"/>
        <v>107.7</v>
      </c>
      <c r="AF220" s="625">
        <f t="shared" si="528"/>
        <v>99.83</v>
      </c>
      <c r="AG220" s="657">
        <f t="shared" si="22"/>
        <v>0.2107551384</v>
      </c>
      <c r="AH220" s="165"/>
      <c r="AI220" s="165">
        <f t="shared" ref="AI220:AM220" si="565">AB220/U220</f>
        <v>0.1867451814</v>
      </c>
      <c r="AJ220" s="165">
        <f t="shared" si="565"/>
        <v>0.2190966594</v>
      </c>
      <c r="AK220" s="165">
        <f t="shared" si="565"/>
        <v>0.2274098099</v>
      </c>
      <c r="AL220" s="165">
        <f t="shared" si="565"/>
        <v>0.212564391</v>
      </c>
      <c r="AM220" s="165">
        <f t="shared" si="565"/>
        <v>0.2232684007</v>
      </c>
      <c r="AN220" s="684">
        <f t="shared" si="453"/>
        <v>1397.851</v>
      </c>
      <c r="AO220" s="625"/>
      <c r="AP220" s="625">
        <v>319.897</v>
      </c>
      <c r="AQ220" s="625">
        <v>287.738</v>
      </c>
      <c r="AR220" s="625">
        <v>159.172</v>
      </c>
      <c r="AS220" s="625">
        <v>277.535</v>
      </c>
      <c r="AT220" s="625">
        <v>353.509</v>
      </c>
      <c r="AU220" s="684">
        <f t="shared" si="496"/>
        <v>797.89</v>
      </c>
      <c r="AV220" s="625"/>
      <c r="AW220" s="625">
        <v>189.29</v>
      </c>
      <c r="AX220" s="625">
        <v>170.61</v>
      </c>
      <c r="AY220" s="625">
        <v>155.94</v>
      </c>
      <c r="AZ220" s="625">
        <v>145.63</v>
      </c>
      <c r="BA220" s="693">
        <v>136.42</v>
      </c>
      <c r="BB220" s="631"/>
      <c r="BC220" s="189" t="s">
        <v>695</v>
      </c>
      <c r="BD220" s="186" t="s">
        <v>3303</v>
      </c>
      <c r="BE220" s="179" t="s">
        <v>3304</v>
      </c>
      <c r="BF220" s="179" t="s">
        <v>3305</v>
      </c>
      <c r="BG220" s="179" t="s">
        <v>3306</v>
      </c>
      <c r="BH220" s="179" t="s">
        <v>3307</v>
      </c>
      <c r="BI220" s="179" t="s">
        <v>3308</v>
      </c>
      <c r="BJ220" s="179"/>
      <c r="BK220" s="646"/>
      <c r="BL220" s="179" t="b">
        <f t="shared" si="26"/>
        <v>1</v>
      </c>
      <c r="BM220" s="179" t="b">
        <f t="shared" si="27"/>
        <v>1</v>
      </c>
      <c r="BN220" s="688" t="b">
        <f t="shared" si="28"/>
        <v>1</v>
      </c>
    </row>
    <row r="221">
      <c r="A221" s="426"/>
      <c r="B221" s="186" t="s">
        <v>3645</v>
      </c>
      <c r="C221" s="690" t="s">
        <v>2317</v>
      </c>
      <c r="D221" s="677">
        <v>476.0</v>
      </c>
      <c r="E221" s="632" t="s">
        <v>3646</v>
      </c>
      <c r="F221" s="678">
        <f t="shared" ref="F221:G221" si="566">H221+J221+L221+N221+P221</f>
        <v>2727.2</v>
      </c>
      <c r="G221" s="679">
        <f t="shared" si="566"/>
        <v>474.4</v>
      </c>
      <c r="H221" s="641">
        <v>357.7</v>
      </c>
      <c r="I221" s="680">
        <v>71.6</v>
      </c>
      <c r="J221" s="641">
        <v>859.4</v>
      </c>
      <c r="K221" s="680">
        <v>149.6</v>
      </c>
      <c r="L221" s="641">
        <v>542.3</v>
      </c>
      <c r="M221" s="680">
        <v>68.1</v>
      </c>
      <c r="N221" s="641">
        <v>264.3</v>
      </c>
      <c r="O221" s="680">
        <v>105.6</v>
      </c>
      <c r="P221" s="641">
        <v>703.5</v>
      </c>
      <c r="Q221" s="680">
        <v>79.5</v>
      </c>
      <c r="R221" s="681" t="s">
        <v>722</v>
      </c>
      <c r="S221" s="682">
        <f t="shared" si="10"/>
        <v>2727.2</v>
      </c>
      <c r="T221" s="683"/>
      <c r="U221" s="625">
        <f t="shared" si="519"/>
        <v>357.7</v>
      </c>
      <c r="V221" s="625">
        <f t="shared" si="520"/>
        <v>859.4</v>
      </c>
      <c r="W221" s="625">
        <f t="shared" si="521"/>
        <v>542.3</v>
      </c>
      <c r="X221" s="625">
        <f t="shared" si="522"/>
        <v>264.3</v>
      </c>
      <c r="Y221" s="625">
        <f t="shared" si="523"/>
        <v>703.5</v>
      </c>
      <c r="Z221" s="656">
        <f t="shared" si="16"/>
        <v>474.4</v>
      </c>
      <c r="AA221" s="683"/>
      <c r="AB221" s="625">
        <f t="shared" si="524"/>
        <v>71.6</v>
      </c>
      <c r="AC221" s="625">
        <f t="shared" si="525"/>
        <v>149.6</v>
      </c>
      <c r="AD221" s="625">
        <f t="shared" si="526"/>
        <v>68.1</v>
      </c>
      <c r="AE221" s="625">
        <f t="shared" si="527"/>
        <v>105.6</v>
      </c>
      <c r="AF221" s="625">
        <f t="shared" si="528"/>
        <v>79.5</v>
      </c>
      <c r="AG221" s="657">
        <f t="shared" si="22"/>
        <v>0.1739513054</v>
      </c>
      <c r="AH221" s="165"/>
      <c r="AI221" s="165">
        <f t="shared" ref="AI221:AM221" si="567">AB221/U221</f>
        <v>0.2001677383</v>
      </c>
      <c r="AJ221" s="165">
        <f t="shared" si="567"/>
        <v>0.174074936</v>
      </c>
      <c r="AK221" s="165">
        <f t="shared" si="567"/>
        <v>0.1255762493</v>
      </c>
      <c r="AL221" s="165">
        <f t="shared" si="567"/>
        <v>0.3995459705</v>
      </c>
      <c r="AM221" s="165">
        <f t="shared" si="567"/>
        <v>0.1130063966</v>
      </c>
      <c r="AN221" s="684">
        <f t="shared" si="453"/>
        <v>3356.3</v>
      </c>
      <c r="AO221" s="641">
        <v>311.5</v>
      </c>
      <c r="AP221" s="625">
        <v>301.0</v>
      </c>
      <c r="AQ221" s="625">
        <v>300.0</v>
      </c>
      <c r="AR221" s="625">
        <v>264.0</v>
      </c>
      <c r="AS221" s="625">
        <v>1009.0</v>
      </c>
      <c r="AT221" s="641">
        <v>1482.3</v>
      </c>
      <c r="AU221" s="684">
        <f t="shared" si="496"/>
        <v>2389.9</v>
      </c>
      <c r="AV221" s="641">
        <v>542.4</v>
      </c>
      <c r="AW221" s="625">
        <v>519.4</v>
      </c>
      <c r="AX221" s="625">
        <v>497.1</v>
      </c>
      <c r="AY221" s="625">
        <v>472.8</v>
      </c>
      <c r="AZ221" s="625">
        <v>459.8</v>
      </c>
      <c r="BA221" s="693">
        <v>440.8</v>
      </c>
      <c r="BB221" s="631"/>
      <c r="BC221" s="189" t="s">
        <v>695</v>
      </c>
      <c r="BD221" s="186" t="s">
        <v>3303</v>
      </c>
      <c r="BE221" s="179" t="s">
        <v>3304</v>
      </c>
      <c r="BF221" s="179" t="s">
        <v>3305</v>
      </c>
      <c r="BG221" s="179" t="s">
        <v>3306</v>
      </c>
      <c r="BH221" s="179" t="s">
        <v>3307</v>
      </c>
      <c r="BI221" s="179" t="s">
        <v>3308</v>
      </c>
      <c r="BJ221" s="179"/>
      <c r="BK221" s="631"/>
      <c r="BL221" s="179" t="b">
        <f t="shared" si="26"/>
        <v>1</v>
      </c>
      <c r="BM221" s="179" t="b">
        <f t="shared" si="27"/>
        <v>1</v>
      </c>
      <c r="BN221" s="688" t="b">
        <f t="shared" si="28"/>
        <v>1</v>
      </c>
    </row>
    <row r="222">
      <c r="A222" s="689"/>
      <c r="B222" s="186" t="s">
        <v>3647</v>
      </c>
      <c r="C222" s="676" t="s">
        <v>1578</v>
      </c>
      <c r="D222" s="677">
        <v>223.0</v>
      </c>
      <c r="E222" s="632" t="s">
        <v>3648</v>
      </c>
      <c r="F222" s="678">
        <f t="shared" ref="F222:G222" si="568">H222+J222+L222+N222+P222</f>
        <v>8296.35</v>
      </c>
      <c r="G222" s="679">
        <f t="shared" si="568"/>
        <v>1596.78</v>
      </c>
      <c r="H222" s="641">
        <v>1929.94</v>
      </c>
      <c r="I222" s="680">
        <v>338.48</v>
      </c>
      <c r="J222" s="641">
        <v>2180.52</v>
      </c>
      <c r="K222" s="680">
        <v>442.15</v>
      </c>
      <c r="L222" s="641">
        <v>101.73</v>
      </c>
      <c r="M222" s="680">
        <v>44.16</v>
      </c>
      <c r="N222" s="641">
        <v>2107.76</v>
      </c>
      <c r="O222" s="680">
        <v>414.82</v>
      </c>
      <c r="P222" s="641">
        <v>1976.4</v>
      </c>
      <c r="Q222" s="680">
        <v>357.17</v>
      </c>
      <c r="R222" s="681" t="s">
        <v>702</v>
      </c>
      <c r="S222" s="682">
        <f t="shared" si="10"/>
        <v>8296.35</v>
      </c>
      <c r="T222" s="683"/>
      <c r="U222" s="625">
        <f t="shared" si="519"/>
        <v>1929.94</v>
      </c>
      <c r="V222" s="625">
        <f t="shared" si="520"/>
        <v>2180.52</v>
      </c>
      <c r="W222" s="625">
        <f t="shared" si="521"/>
        <v>101.73</v>
      </c>
      <c r="X222" s="625">
        <f t="shared" si="522"/>
        <v>2107.76</v>
      </c>
      <c r="Y222" s="625">
        <f t="shared" si="523"/>
        <v>1976.4</v>
      </c>
      <c r="Z222" s="656">
        <f t="shared" si="16"/>
        <v>1596.78</v>
      </c>
      <c r="AA222" s="683"/>
      <c r="AB222" s="625">
        <f t="shared" si="524"/>
        <v>338.48</v>
      </c>
      <c r="AC222" s="625">
        <f t="shared" si="525"/>
        <v>442.15</v>
      </c>
      <c r="AD222" s="625">
        <f t="shared" si="526"/>
        <v>44.16</v>
      </c>
      <c r="AE222" s="625">
        <f t="shared" si="527"/>
        <v>414.82</v>
      </c>
      <c r="AF222" s="625">
        <f t="shared" si="528"/>
        <v>357.17</v>
      </c>
      <c r="AG222" s="657">
        <f t="shared" si="22"/>
        <v>0.192467772</v>
      </c>
      <c r="AH222" s="165"/>
      <c r="AI222" s="165">
        <f t="shared" ref="AI222:AM222" si="569">AB222/U222</f>
        <v>0.1753836907</v>
      </c>
      <c r="AJ222" s="165">
        <f t="shared" si="569"/>
        <v>0.2027727331</v>
      </c>
      <c r="AK222" s="165">
        <f t="shared" si="569"/>
        <v>0.4340902389</v>
      </c>
      <c r="AL222" s="165">
        <f t="shared" si="569"/>
        <v>0.196806088</v>
      </c>
      <c r="AM222" s="165">
        <f t="shared" si="569"/>
        <v>0.1807174661</v>
      </c>
      <c r="AN222" s="684">
        <f t="shared" si="453"/>
        <v>4349</v>
      </c>
      <c r="AO222" s="625"/>
      <c r="AP222" s="625">
        <v>999.0</v>
      </c>
      <c r="AQ222" s="625">
        <v>707.0</v>
      </c>
      <c r="AR222" s="625">
        <v>178.0</v>
      </c>
      <c r="AS222" s="625">
        <v>1336.0</v>
      </c>
      <c r="AT222" s="625">
        <v>1129.0</v>
      </c>
      <c r="AU222" s="684">
        <f t="shared" si="496"/>
        <v>1644.8</v>
      </c>
      <c r="AV222" s="625"/>
      <c r="AW222" s="625">
        <v>431.3</v>
      </c>
      <c r="AX222" s="625">
        <v>405.12</v>
      </c>
      <c r="AY222" s="625">
        <v>101.4</v>
      </c>
      <c r="AZ222" s="625">
        <v>369.79</v>
      </c>
      <c r="BA222" s="693">
        <v>337.19</v>
      </c>
      <c r="BB222" s="631"/>
      <c r="BC222" s="189" t="s">
        <v>695</v>
      </c>
      <c r="BD222" s="688" t="s">
        <v>3303</v>
      </c>
      <c r="BE222" s="179" t="s">
        <v>3304</v>
      </c>
      <c r="BF222" s="179" t="s">
        <v>3305</v>
      </c>
      <c r="BG222" s="179" t="s">
        <v>3306</v>
      </c>
      <c r="BH222" s="179" t="s">
        <v>3307</v>
      </c>
      <c r="BI222" s="179" t="s">
        <v>3308</v>
      </c>
      <c r="BJ222" s="179"/>
      <c r="BK222" s="631"/>
      <c r="BL222" s="179" t="b">
        <f t="shared" si="26"/>
        <v>1</v>
      </c>
      <c r="BM222" s="179" t="b">
        <f t="shared" si="27"/>
        <v>1</v>
      </c>
      <c r="BN222" s="688" t="b">
        <f t="shared" si="28"/>
        <v>1</v>
      </c>
    </row>
    <row r="223">
      <c r="A223" s="689"/>
      <c r="B223" s="186" t="s">
        <v>3649</v>
      </c>
      <c r="C223" s="676" t="s">
        <v>2113</v>
      </c>
      <c r="D223" s="677">
        <v>366.0</v>
      </c>
      <c r="E223" s="632" t="s">
        <v>3650</v>
      </c>
      <c r="F223" s="678">
        <f t="shared" ref="F223:G223" si="570">H223+J223+L223+N223+P223</f>
        <v>11897.04</v>
      </c>
      <c r="G223" s="679">
        <f t="shared" si="570"/>
        <v>2209.04</v>
      </c>
      <c r="H223" s="641">
        <v>3849.41</v>
      </c>
      <c r="I223" s="680">
        <v>928.0</v>
      </c>
      <c r="J223" s="641">
        <v>2556.04</v>
      </c>
      <c r="K223" s="680">
        <v>438.0</v>
      </c>
      <c r="L223" s="641">
        <v>1980.53</v>
      </c>
      <c r="M223" s="680">
        <v>349.0</v>
      </c>
      <c r="N223" s="641">
        <v>1847.96</v>
      </c>
      <c r="O223" s="680">
        <v>303.0</v>
      </c>
      <c r="P223" s="641">
        <v>1663.1</v>
      </c>
      <c r="Q223" s="680">
        <v>191.04</v>
      </c>
      <c r="R223" s="681" t="s">
        <v>696</v>
      </c>
      <c r="S223" s="682">
        <f t="shared" si="10"/>
        <v>11897.04</v>
      </c>
      <c r="T223" s="683"/>
      <c r="U223" s="625">
        <f t="shared" si="519"/>
        <v>3849.41</v>
      </c>
      <c r="V223" s="625">
        <f t="shared" si="520"/>
        <v>2556.04</v>
      </c>
      <c r="W223" s="625">
        <f t="shared" si="521"/>
        <v>1980.53</v>
      </c>
      <c r="X223" s="625">
        <f t="shared" si="522"/>
        <v>1847.96</v>
      </c>
      <c r="Y223" s="625">
        <f t="shared" si="523"/>
        <v>1663.1</v>
      </c>
      <c r="Z223" s="656">
        <f t="shared" si="16"/>
        <v>2209.04</v>
      </c>
      <c r="AA223" s="683"/>
      <c r="AB223" s="625">
        <f t="shared" si="524"/>
        <v>928</v>
      </c>
      <c r="AC223" s="625">
        <f t="shared" si="525"/>
        <v>438</v>
      </c>
      <c r="AD223" s="625">
        <f t="shared" si="526"/>
        <v>349</v>
      </c>
      <c r="AE223" s="625">
        <f t="shared" si="527"/>
        <v>303</v>
      </c>
      <c r="AF223" s="625">
        <f t="shared" si="528"/>
        <v>191.04</v>
      </c>
      <c r="AG223" s="657">
        <f t="shared" si="22"/>
        <v>0.1856797993</v>
      </c>
      <c r="AH223" s="165"/>
      <c r="AI223" s="165">
        <f t="shared" ref="AI223:AM223" si="571">AB223/U223</f>
        <v>0.2410759051</v>
      </c>
      <c r="AJ223" s="165">
        <f t="shared" si="571"/>
        <v>0.1713588207</v>
      </c>
      <c r="AK223" s="165">
        <f t="shared" si="571"/>
        <v>0.1762154575</v>
      </c>
      <c r="AL223" s="165">
        <f t="shared" si="571"/>
        <v>0.163964588</v>
      </c>
      <c r="AM223" s="165">
        <f t="shared" si="571"/>
        <v>0.1148698214</v>
      </c>
      <c r="AN223" s="684">
        <f t="shared" si="453"/>
        <v>16093</v>
      </c>
      <c r="AO223" s="641">
        <v>3301.0</v>
      </c>
      <c r="AP223" s="641">
        <v>12004.0</v>
      </c>
      <c r="AQ223" s="180">
        <v>0.0</v>
      </c>
      <c r="AR223" s="641">
        <v>1164.0</v>
      </c>
      <c r="AS223" s="641">
        <v>1240.0</v>
      </c>
      <c r="AT223" s="641">
        <v>1685.0</v>
      </c>
      <c r="AU223" s="684">
        <f t="shared" si="496"/>
        <v>3475</v>
      </c>
      <c r="AV223" s="641">
        <v>1147.0</v>
      </c>
      <c r="AW223" s="625">
        <v>1024.0</v>
      </c>
      <c r="AX223" s="625">
        <v>743.0</v>
      </c>
      <c r="AY223" s="625">
        <v>645.0</v>
      </c>
      <c r="AZ223" s="625">
        <v>560.0</v>
      </c>
      <c r="BA223" s="693">
        <v>503.0</v>
      </c>
      <c r="BB223" s="631"/>
      <c r="BC223" s="189" t="s">
        <v>695</v>
      </c>
      <c r="BD223" s="186" t="s">
        <v>3303</v>
      </c>
      <c r="BE223" s="179" t="s">
        <v>3304</v>
      </c>
      <c r="BF223" s="179" t="s">
        <v>3305</v>
      </c>
      <c r="BG223" s="179" t="s">
        <v>3306</v>
      </c>
      <c r="BH223" s="179" t="s">
        <v>3307</v>
      </c>
      <c r="BI223" s="179" t="s">
        <v>3308</v>
      </c>
      <c r="BJ223" s="179"/>
      <c r="BK223" s="646"/>
      <c r="BL223" s="179" t="b">
        <f t="shared" si="26"/>
        <v>1</v>
      </c>
      <c r="BM223" s="179" t="b">
        <f t="shared" si="27"/>
        <v>1</v>
      </c>
      <c r="BN223" s="688" t="b">
        <f t="shared" si="28"/>
        <v>1</v>
      </c>
    </row>
    <row r="224">
      <c r="A224" s="696" t="s">
        <v>1534</v>
      </c>
      <c r="B224" s="186" t="s">
        <v>3651</v>
      </c>
      <c r="C224" s="676" t="s">
        <v>1578</v>
      </c>
      <c r="D224" s="677">
        <v>133.0</v>
      </c>
      <c r="E224" s="714" t="s">
        <v>29</v>
      </c>
      <c r="F224" s="678">
        <f t="shared" ref="F224:G224" si="572">H224+J224+L224+N224+P224</f>
        <v>6031.73</v>
      </c>
      <c r="G224" s="679">
        <f t="shared" si="572"/>
        <v>175</v>
      </c>
      <c r="H224" s="641">
        <v>594.73</v>
      </c>
      <c r="I224" s="680">
        <v>173.0</v>
      </c>
      <c r="J224" s="641">
        <v>1354.0</v>
      </c>
      <c r="K224" s="680">
        <v>6.0</v>
      </c>
      <c r="L224" s="641">
        <v>2630.0</v>
      </c>
      <c r="M224" s="680">
        <v>-12.0</v>
      </c>
      <c r="N224" s="641">
        <v>653.0</v>
      </c>
      <c r="O224" s="680">
        <v>8.0</v>
      </c>
      <c r="P224" s="641">
        <v>800.0</v>
      </c>
      <c r="Q224" s="680">
        <v>0.0</v>
      </c>
      <c r="R224" s="681" t="s">
        <v>702</v>
      </c>
      <c r="S224" s="682">
        <f t="shared" si="10"/>
        <v>6031.73</v>
      </c>
      <c r="T224" s="683"/>
      <c r="U224" s="625">
        <f t="shared" si="519"/>
        <v>594.73</v>
      </c>
      <c r="V224" s="625">
        <f t="shared" si="520"/>
        <v>1354</v>
      </c>
      <c r="W224" s="625">
        <f t="shared" si="521"/>
        <v>2630</v>
      </c>
      <c r="X224" s="625">
        <f t="shared" si="522"/>
        <v>653</v>
      </c>
      <c r="Y224" s="625">
        <f t="shared" si="523"/>
        <v>800</v>
      </c>
      <c r="Z224" s="656">
        <f t="shared" si="16"/>
        <v>175</v>
      </c>
      <c r="AA224" s="683"/>
      <c r="AB224" s="625">
        <f t="shared" si="524"/>
        <v>173</v>
      </c>
      <c r="AC224" s="625">
        <f t="shared" si="525"/>
        <v>6</v>
      </c>
      <c r="AD224" s="625">
        <f t="shared" si="526"/>
        <v>-12</v>
      </c>
      <c r="AE224" s="625">
        <f t="shared" si="527"/>
        <v>8</v>
      </c>
      <c r="AF224" s="625">
        <f t="shared" si="528"/>
        <v>0</v>
      </c>
      <c r="AG224" s="657">
        <f t="shared" si="22"/>
        <v>0.02901323501</v>
      </c>
      <c r="AH224" s="165"/>
      <c r="AI224" s="165">
        <f t="shared" ref="AI224:AM224" si="573">AB224/U224</f>
        <v>0.2908883023</v>
      </c>
      <c r="AJ224" s="165">
        <f t="shared" si="573"/>
        <v>0.004431314623</v>
      </c>
      <c r="AK224" s="165">
        <f t="shared" si="573"/>
        <v>-0.004562737643</v>
      </c>
      <c r="AL224" s="165">
        <f t="shared" si="573"/>
        <v>0.01225114855</v>
      </c>
      <c r="AM224" s="165">
        <f t="shared" si="573"/>
        <v>0</v>
      </c>
      <c r="AN224" s="684">
        <f t="shared" si="453"/>
        <v>4000</v>
      </c>
      <c r="AO224" s="625"/>
      <c r="AP224" s="625">
        <v>4000.0</v>
      </c>
      <c r="AQ224" s="625">
        <v>0.0</v>
      </c>
      <c r="AR224" s="625">
        <v>0.0</v>
      </c>
      <c r="AS224" s="625">
        <v>0.0</v>
      </c>
      <c r="AT224" s="625">
        <v>0.0</v>
      </c>
      <c r="AU224" s="684">
        <f t="shared" si="496"/>
        <v>0</v>
      </c>
      <c r="AV224" s="180"/>
      <c r="AW224" s="180">
        <v>0.0</v>
      </c>
      <c r="AX224" s="180">
        <v>0.0</v>
      </c>
      <c r="AY224" s="180">
        <v>0.0</v>
      </c>
      <c r="AZ224" s="180">
        <v>0.0</v>
      </c>
      <c r="BA224" s="686">
        <v>0.0</v>
      </c>
      <c r="BB224" s="631"/>
      <c r="BC224" s="189" t="s">
        <v>695</v>
      </c>
      <c r="BD224" s="688" t="s">
        <v>3303</v>
      </c>
      <c r="BE224" s="179" t="s">
        <v>3304</v>
      </c>
      <c r="BF224" s="179" t="s">
        <v>3305</v>
      </c>
      <c r="BG224" s="179" t="s">
        <v>3306</v>
      </c>
      <c r="BH224" s="179" t="s">
        <v>3307</v>
      </c>
      <c r="BI224" s="179" t="s">
        <v>3308</v>
      </c>
      <c r="BJ224" s="179"/>
      <c r="BK224" s="631"/>
      <c r="BL224" s="179" t="b">
        <f t="shared" si="26"/>
        <v>1</v>
      </c>
      <c r="BM224" s="179" t="b">
        <f t="shared" si="27"/>
        <v>1</v>
      </c>
      <c r="BN224" s="688" t="b">
        <f t="shared" si="28"/>
        <v>0</v>
      </c>
    </row>
    <row r="225">
      <c r="A225" s="426"/>
      <c r="B225" s="186" t="s">
        <v>3652</v>
      </c>
      <c r="C225" s="690" t="s">
        <v>2317</v>
      </c>
      <c r="D225" s="461">
        <v>471.0</v>
      </c>
      <c r="E225" s="632" t="s">
        <v>3653</v>
      </c>
      <c r="F225" s="678">
        <f t="shared" ref="F225:G225" si="574">H225+J225+L225+N225+P225</f>
        <v>620.4</v>
      </c>
      <c r="G225" s="679">
        <f t="shared" si="574"/>
        <v>1.61</v>
      </c>
      <c r="H225" s="641">
        <v>161.92</v>
      </c>
      <c r="I225" s="680">
        <v>1.07</v>
      </c>
      <c r="J225" s="641">
        <v>196.06</v>
      </c>
      <c r="K225" s="680">
        <v>0.71</v>
      </c>
      <c r="L225" s="641">
        <v>95.29</v>
      </c>
      <c r="M225" s="680">
        <v>-0.92</v>
      </c>
      <c r="N225" s="641">
        <v>150.95</v>
      </c>
      <c r="O225" s="680">
        <v>0.87</v>
      </c>
      <c r="P225" s="641">
        <v>16.18</v>
      </c>
      <c r="Q225" s="680">
        <v>-0.12</v>
      </c>
      <c r="R225" s="681" t="s">
        <v>702</v>
      </c>
      <c r="S225" s="682">
        <f t="shared" si="10"/>
        <v>620.4</v>
      </c>
      <c r="T225" s="683"/>
      <c r="U225" s="625">
        <f t="shared" si="519"/>
        <v>161.92</v>
      </c>
      <c r="V225" s="625">
        <f t="shared" si="520"/>
        <v>196.06</v>
      </c>
      <c r="W225" s="625">
        <f t="shared" si="521"/>
        <v>95.29</v>
      </c>
      <c r="X225" s="625">
        <f t="shared" si="522"/>
        <v>150.95</v>
      </c>
      <c r="Y225" s="625">
        <f t="shared" si="523"/>
        <v>16.18</v>
      </c>
      <c r="Z225" s="656">
        <f t="shared" si="16"/>
        <v>1.61</v>
      </c>
      <c r="AA225" s="683"/>
      <c r="AB225" s="625">
        <f t="shared" si="524"/>
        <v>1.07</v>
      </c>
      <c r="AC225" s="625">
        <f t="shared" si="525"/>
        <v>0.71</v>
      </c>
      <c r="AD225" s="625">
        <f t="shared" si="526"/>
        <v>-0.92</v>
      </c>
      <c r="AE225" s="625">
        <f t="shared" si="527"/>
        <v>0.87</v>
      </c>
      <c r="AF225" s="625">
        <f t="shared" si="528"/>
        <v>-0.12</v>
      </c>
      <c r="AG225" s="657">
        <f t="shared" si="22"/>
        <v>0.002595099936</v>
      </c>
      <c r="AH225" s="165"/>
      <c r="AI225" s="165">
        <f t="shared" ref="AI225:AM225" si="575">AB225/U225</f>
        <v>0.006608201581</v>
      </c>
      <c r="AJ225" s="165">
        <f t="shared" si="575"/>
        <v>0.003621340406</v>
      </c>
      <c r="AK225" s="165">
        <f t="shared" si="575"/>
        <v>-0.009654738168</v>
      </c>
      <c r="AL225" s="165">
        <f t="shared" si="575"/>
        <v>0.005763497847</v>
      </c>
      <c r="AM225" s="165">
        <f t="shared" si="575"/>
        <v>-0.007416563659</v>
      </c>
      <c r="AN225" s="684">
        <f t="shared" si="453"/>
        <v>744.425</v>
      </c>
      <c r="AO225" s="641">
        <v>107.093</v>
      </c>
      <c r="AP225" s="641">
        <v>331.1</v>
      </c>
      <c r="AQ225" s="641">
        <v>64.1</v>
      </c>
      <c r="AR225" s="641">
        <v>179.0</v>
      </c>
      <c r="AS225" s="641">
        <v>12.6</v>
      </c>
      <c r="AT225" s="641">
        <v>157.625</v>
      </c>
      <c r="AU225" s="684">
        <f t="shared" si="496"/>
        <v>0</v>
      </c>
      <c r="AV225" s="180">
        <v>0.0</v>
      </c>
      <c r="AW225" s="180">
        <v>0.0</v>
      </c>
      <c r="AX225" s="180">
        <v>0.0</v>
      </c>
      <c r="AY225" s="180">
        <v>0.0</v>
      </c>
      <c r="AZ225" s="180">
        <v>0.0</v>
      </c>
      <c r="BA225" s="686">
        <v>0.0</v>
      </c>
      <c r="BB225" s="631"/>
      <c r="BC225" s="189" t="s">
        <v>695</v>
      </c>
      <c r="BD225" s="186" t="s">
        <v>3303</v>
      </c>
      <c r="BE225" s="688" t="s">
        <v>3303</v>
      </c>
      <c r="BF225" s="688" t="s">
        <v>3303</v>
      </c>
      <c r="BG225" s="688" t="s">
        <v>3303</v>
      </c>
      <c r="BH225" s="688" t="s">
        <v>3303</v>
      </c>
      <c r="BI225" s="688" t="s">
        <v>3303</v>
      </c>
      <c r="BJ225" s="179"/>
      <c r="BK225" s="631"/>
      <c r="BL225" s="179" t="b">
        <f t="shared" si="26"/>
        <v>1</v>
      </c>
      <c r="BM225" s="179" t="b">
        <f t="shared" si="27"/>
        <v>1</v>
      </c>
      <c r="BN225" s="688" t="b">
        <f t="shared" si="28"/>
        <v>0</v>
      </c>
    </row>
    <row r="226">
      <c r="A226" s="689"/>
      <c r="B226" s="186" t="s">
        <v>3654</v>
      </c>
      <c r="C226" s="676" t="s">
        <v>2409</v>
      </c>
      <c r="D226" s="717">
        <v>479.0</v>
      </c>
      <c r="E226" s="714" t="s">
        <v>3655</v>
      </c>
      <c r="F226" s="678">
        <f t="shared" ref="F226:G226" si="576">H226+J226+L226+N226+P226</f>
        <v>1406</v>
      </c>
      <c r="G226" s="679">
        <f t="shared" si="576"/>
        <v>130</v>
      </c>
      <c r="H226" s="641">
        <v>355.0</v>
      </c>
      <c r="I226" s="680">
        <v>69.0</v>
      </c>
      <c r="J226" s="641">
        <v>351.0</v>
      </c>
      <c r="K226" s="680">
        <v>13.0</v>
      </c>
      <c r="L226" s="641">
        <v>257.0</v>
      </c>
      <c r="M226" s="680">
        <v>34.0</v>
      </c>
      <c r="N226" s="641">
        <v>283.0</v>
      </c>
      <c r="O226" s="680">
        <v>10.0</v>
      </c>
      <c r="P226" s="641">
        <v>160.0</v>
      </c>
      <c r="Q226" s="680">
        <v>4.0</v>
      </c>
      <c r="R226" s="681" t="s">
        <v>718</v>
      </c>
      <c r="S226" s="682">
        <f t="shared" si="10"/>
        <v>1406</v>
      </c>
      <c r="T226" s="683"/>
      <c r="U226" s="625">
        <f t="shared" si="519"/>
        <v>355</v>
      </c>
      <c r="V226" s="625">
        <f t="shared" si="520"/>
        <v>351</v>
      </c>
      <c r="W226" s="625">
        <f t="shared" si="521"/>
        <v>257</v>
      </c>
      <c r="X226" s="625">
        <f t="shared" si="522"/>
        <v>283</v>
      </c>
      <c r="Y226" s="625">
        <f t="shared" si="523"/>
        <v>160</v>
      </c>
      <c r="Z226" s="656">
        <f t="shared" si="16"/>
        <v>130</v>
      </c>
      <c r="AA226" s="683"/>
      <c r="AB226" s="625">
        <f t="shared" si="524"/>
        <v>69</v>
      </c>
      <c r="AC226" s="625">
        <f t="shared" si="525"/>
        <v>13</v>
      </c>
      <c r="AD226" s="625">
        <f t="shared" si="526"/>
        <v>34</v>
      </c>
      <c r="AE226" s="625">
        <f t="shared" si="527"/>
        <v>10</v>
      </c>
      <c r="AF226" s="625">
        <f t="shared" si="528"/>
        <v>4</v>
      </c>
      <c r="AG226" s="657">
        <f t="shared" si="22"/>
        <v>0.09246088193</v>
      </c>
      <c r="AH226" s="165"/>
      <c r="AI226" s="165">
        <f t="shared" ref="AI226:AM226" si="577">AB226/U226</f>
        <v>0.1943661972</v>
      </c>
      <c r="AJ226" s="165">
        <f t="shared" si="577"/>
        <v>0.03703703704</v>
      </c>
      <c r="AK226" s="165">
        <f t="shared" si="577"/>
        <v>0.1322957198</v>
      </c>
      <c r="AL226" s="165">
        <f t="shared" si="577"/>
        <v>0.03533568905</v>
      </c>
      <c r="AM226" s="165">
        <f t="shared" si="577"/>
        <v>0.025</v>
      </c>
      <c r="AN226" s="684">
        <f t="shared" si="453"/>
        <v>793</v>
      </c>
      <c r="AO226" s="625"/>
      <c r="AP226" s="625">
        <v>267.0</v>
      </c>
      <c r="AQ226" s="625">
        <v>226.0</v>
      </c>
      <c r="AR226" s="625">
        <v>34.0</v>
      </c>
      <c r="AS226" s="625">
        <v>197.0</v>
      </c>
      <c r="AT226" s="625">
        <v>69.0</v>
      </c>
      <c r="AU226" s="684">
        <f t="shared" si="496"/>
        <v>396</v>
      </c>
      <c r="AV226" s="625"/>
      <c r="AW226" s="625">
        <v>83.0</v>
      </c>
      <c r="AX226" s="625">
        <v>86.0</v>
      </c>
      <c r="AY226" s="625">
        <v>87.0</v>
      </c>
      <c r="AZ226" s="625">
        <v>87.0</v>
      </c>
      <c r="BA226" s="693">
        <v>53.0</v>
      </c>
      <c r="BB226" s="631"/>
      <c r="BC226" s="189" t="s">
        <v>695</v>
      </c>
      <c r="BD226" s="688" t="s">
        <v>3303</v>
      </c>
      <c r="BE226" s="688" t="s">
        <v>3303</v>
      </c>
      <c r="BF226" s="688" t="s">
        <v>3303</v>
      </c>
      <c r="BG226" s="688" t="s">
        <v>3303</v>
      </c>
      <c r="BH226" s="688" t="s">
        <v>3303</v>
      </c>
      <c r="BI226" s="688" t="s">
        <v>3303</v>
      </c>
      <c r="BJ226" s="179"/>
      <c r="BK226" s="631"/>
      <c r="BL226" s="179" t="b">
        <f t="shared" si="26"/>
        <v>1</v>
      </c>
      <c r="BM226" s="179" t="b">
        <f t="shared" si="27"/>
        <v>1</v>
      </c>
      <c r="BN226" s="688" t="b">
        <f t="shared" si="28"/>
        <v>1</v>
      </c>
    </row>
    <row r="227">
      <c r="A227" s="696" t="s">
        <v>1534</v>
      </c>
      <c r="B227" s="186" t="s">
        <v>3656</v>
      </c>
      <c r="C227" s="676" t="s">
        <v>2113</v>
      </c>
      <c r="D227" s="717">
        <v>285.0</v>
      </c>
      <c r="E227" s="632" t="s">
        <v>32</v>
      </c>
      <c r="F227" s="678">
        <f t="shared" ref="F227:G227" si="578">H227+J227+L227+N227+P227</f>
        <v>5170.68</v>
      </c>
      <c r="G227" s="679">
        <f t="shared" si="578"/>
        <v>6</v>
      </c>
      <c r="H227" s="641">
        <v>1450.0</v>
      </c>
      <c r="I227" s="680">
        <v>0.0</v>
      </c>
      <c r="J227" s="641">
        <v>352.0</v>
      </c>
      <c r="K227" s="680">
        <v>0.0</v>
      </c>
      <c r="L227" s="641">
        <v>1483.0</v>
      </c>
      <c r="M227" s="680">
        <v>0.0</v>
      </c>
      <c r="N227" s="641">
        <v>1205.0</v>
      </c>
      <c r="O227" s="680">
        <v>0.0</v>
      </c>
      <c r="P227" s="641">
        <v>680.68</v>
      </c>
      <c r="Q227" s="680">
        <v>6.0</v>
      </c>
      <c r="R227" s="681" t="s">
        <v>702</v>
      </c>
      <c r="S227" s="682">
        <f t="shared" si="10"/>
        <v>5170.68</v>
      </c>
      <c r="T227" s="683"/>
      <c r="U227" s="625">
        <f t="shared" si="519"/>
        <v>1450</v>
      </c>
      <c r="V227" s="625">
        <f t="shared" si="520"/>
        <v>352</v>
      </c>
      <c r="W227" s="625">
        <f t="shared" si="521"/>
        <v>1483</v>
      </c>
      <c r="X227" s="625">
        <f t="shared" si="522"/>
        <v>1205</v>
      </c>
      <c r="Y227" s="625">
        <f t="shared" si="523"/>
        <v>680.68</v>
      </c>
      <c r="Z227" s="656">
        <f t="shared" si="16"/>
        <v>6</v>
      </c>
      <c r="AA227" s="683"/>
      <c r="AB227" s="625">
        <f t="shared" si="524"/>
        <v>0</v>
      </c>
      <c r="AC227" s="625">
        <f t="shared" si="525"/>
        <v>0</v>
      </c>
      <c r="AD227" s="625">
        <f t="shared" si="526"/>
        <v>0</v>
      </c>
      <c r="AE227" s="625">
        <f t="shared" si="527"/>
        <v>0</v>
      </c>
      <c r="AF227" s="625">
        <f t="shared" si="528"/>
        <v>6</v>
      </c>
      <c r="AG227" s="657">
        <f t="shared" si="22"/>
        <v>0.001160388962</v>
      </c>
      <c r="AH227" s="165"/>
      <c r="AI227" s="165">
        <f t="shared" ref="AI227:AM227" si="579">AB227/U227</f>
        <v>0</v>
      </c>
      <c r="AJ227" s="165">
        <f t="shared" si="579"/>
        <v>0</v>
      </c>
      <c r="AK227" s="165">
        <f t="shared" si="579"/>
        <v>0</v>
      </c>
      <c r="AL227" s="165">
        <f t="shared" si="579"/>
        <v>0</v>
      </c>
      <c r="AM227" s="165">
        <f t="shared" si="579"/>
        <v>0.008814714697</v>
      </c>
      <c r="AN227" s="684">
        <f t="shared" si="453"/>
        <v>1430</v>
      </c>
      <c r="AO227" s="625"/>
      <c r="AP227" s="625">
        <v>478.0</v>
      </c>
      <c r="AQ227" s="625">
        <v>339.0</v>
      </c>
      <c r="AR227" s="625">
        <v>566.0</v>
      </c>
      <c r="AS227" s="625">
        <v>26.0</v>
      </c>
      <c r="AT227" s="625">
        <v>21.0</v>
      </c>
      <c r="AU227" s="684">
        <f t="shared" si="496"/>
        <v>6336</v>
      </c>
      <c r="AV227" s="641"/>
      <c r="AW227" s="641">
        <v>1474.0</v>
      </c>
      <c r="AX227" s="641">
        <v>1430.0</v>
      </c>
      <c r="AY227" s="641">
        <v>1331.0</v>
      </c>
      <c r="AZ227" s="641">
        <v>1135.0</v>
      </c>
      <c r="BA227" s="691">
        <v>966.0</v>
      </c>
      <c r="BB227" s="631"/>
      <c r="BC227" s="189" t="s">
        <v>695</v>
      </c>
      <c r="BD227" s="688" t="s">
        <v>3303</v>
      </c>
      <c r="BE227" s="179" t="s">
        <v>3304</v>
      </c>
      <c r="BF227" s="179" t="s">
        <v>3305</v>
      </c>
      <c r="BG227" s="179" t="s">
        <v>3306</v>
      </c>
      <c r="BH227" s="179" t="s">
        <v>3307</v>
      </c>
      <c r="BI227" s="179" t="s">
        <v>3308</v>
      </c>
      <c r="BJ227" s="179"/>
      <c r="BK227" s="631"/>
      <c r="BL227" s="179" t="b">
        <f t="shared" si="26"/>
        <v>1</v>
      </c>
      <c r="BM227" s="179" t="b">
        <f t="shared" si="27"/>
        <v>1</v>
      </c>
      <c r="BN227" s="688" t="b">
        <f t="shared" si="28"/>
        <v>1</v>
      </c>
    </row>
    <row r="228">
      <c r="A228" s="689"/>
      <c r="B228" s="186" t="s">
        <v>3657</v>
      </c>
      <c r="C228" s="676" t="s">
        <v>2113</v>
      </c>
      <c r="D228" s="677">
        <v>178.0</v>
      </c>
      <c r="E228" s="632" t="s">
        <v>3658</v>
      </c>
      <c r="F228" s="678">
        <f t="shared" ref="F228:G228" si="580">H228+J228+L228+N228+P228</f>
        <v>9715.21</v>
      </c>
      <c r="G228" s="679">
        <f t="shared" si="580"/>
        <v>2000.66</v>
      </c>
      <c r="H228" s="641">
        <v>2325.6</v>
      </c>
      <c r="I228" s="680">
        <v>503.3</v>
      </c>
      <c r="J228" s="641">
        <v>2060.0</v>
      </c>
      <c r="K228" s="680">
        <v>324.2</v>
      </c>
      <c r="L228" s="641">
        <v>2233.5</v>
      </c>
      <c r="M228" s="680">
        <v>449.8</v>
      </c>
      <c r="N228" s="641">
        <v>1839.2</v>
      </c>
      <c r="O228" s="680">
        <v>434.6</v>
      </c>
      <c r="P228" s="641">
        <v>1256.91</v>
      </c>
      <c r="Q228" s="680">
        <v>288.76</v>
      </c>
      <c r="R228" s="681" t="s">
        <v>707</v>
      </c>
      <c r="S228" s="682">
        <f t="shared" si="10"/>
        <v>9715.21</v>
      </c>
      <c r="T228" s="683"/>
      <c r="U228" s="625">
        <f t="shared" si="519"/>
        <v>2325.6</v>
      </c>
      <c r="V228" s="625">
        <f t="shared" si="520"/>
        <v>2060</v>
      </c>
      <c r="W228" s="625">
        <f t="shared" si="521"/>
        <v>2233.5</v>
      </c>
      <c r="X228" s="625">
        <f t="shared" si="522"/>
        <v>1839.2</v>
      </c>
      <c r="Y228" s="625">
        <f t="shared" si="523"/>
        <v>1256.91</v>
      </c>
      <c r="Z228" s="656">
        <f t="shared" si="16"/>
        <v>2000.66</v>
      </c>
      <c r="AA228" s="683"/>
      <c r="AB228" s="625">
        <f t="shared" si="524"/>
        <v>503.3</v>
      </c>
      <c r="AC228" s="625">
        <f t="shared" si="525"/>
        <v>324.2</v>
      </c>
      <c r="AD228" s="625">
        <f t="shared" si="526"/>
        <v>449.8</v>
      </c>
      <c r="AE228" s="625">
        <f t="shared" si="527"/>
        <v>434.6</v>
      </c>
      <c r="AF228" s="625">
        <f t="shared" si="528"/>
        <v>288.76</v>
      </c>
      <c r="AG228" s="657">
        <f t="shared" si="22"/>
        <v>0.2059307004</v>
      </c>
      <c r="AH228" s="165"/>
      <c r="AI228" s="165">
        <f t="shared" ref="AI228:AM228" si="581">AB228/U228</f>
        <v>0.2164172687</v>
      </c>
      <c r="AJ228" s="165">
        <f t="shared" si="581"/>
        <v>0.1573786408</v>
      </c>
      <c r="AK228" s="165">
        <f t="shared" si="581"/>
        <v>0.2013879561</v>
      </c>
      <c r="AL228" s="165">
        <f t="shared" si="581"/>
        <v>0.2362983906</v>
      </c>
      <c r="AM228" s="165">
        <f t="shared" si="581"/>
        <v>0.2297380083</v>
      </c>
      <c r="AN228" s="684">
        <f t="shared" si="453"/>
        <v>7473</v>
      </c>
      <c r="AO228" s="625"/>
      <c r="AP228" s="625">
        <v>883.0</v>
      </c>
      <c r="AQ228" s="625">
        <v>2752.0</v>
      </c>
      <c r="AR228" s="625">
        <v>2446.0</v>
      </c>
      <c r="AS228" s="625">
        <v>779.0</v>
      </c>
      <c r="AT228" s="625">
        <v>613.0</v>
      </c>
      <c r="AU228" s="684">
        <f t="shared" si="496"/>
        <v>2437.3</v>
      </c>
      <c r="AV228" s="625"/>
      <c r="AW228" s="625">
        <v>618.5</v>
      </c>
      <c r="AX228" s="625">
        <v>587.1</v>
      </c>
      <c r="AY228" s="625">
        <v>488.0</v>
      </c>
      <c r="AZ228" s="625">
        <v>420.8</v>
      </c>
      <c r="BA228" s="693">
        <v>322.9</v>
      </c>
      <c r="BB228" s="631"/>
      <c r="BC228" s="189" t="s">
        <v>695</v>
      </c>
      <c r="BD228" s="186" t="s">
        <v>3303</v>
      </c>
      <c r="BE228" s="179" t="s">
        <v>3304</v>
      </c>
      <c r="BF228" s="179" t="s">
        <v>3305</v>
      </c>
      <c r="BG228" s="179" t="s">
        <v>3306</v>
      </c>
      <c r="BH228" s="179" t="s">
        <v>3307</v>
      </c>
      <c r="BI228" s="179" t="s">
        <v>3308</v>
      </c>
      <c r="BJ228" s="179"/>
      <c r="BK228" s="646"/>
      <c r="BL228" s="179" t="b">
        <f t="shared" si="26"/>
        <v>1</v>
      </c>
      <c r="BM228" s="179" t="b">
        <f t="shared" si="27"/>
        <v>1</v>
      </c>
      <c r="BN228" s="688" t="b">
        <f t="shared" si="28"/>
        <v>1</v>
      </c>
    </row>
    <row r="229">
      <c r="A229" s="689"/>
      <c r="B229" s="186" t="s">
        <v>3659</v>
      </c>
      <c r="C229" s="676" t="s">
        <v>2113</v>
      </c>
      <c r="D229" s="677">
        <v>299.0</v>
      </c>
      <c r="E229" s="632" t="s">
        <v>3660</v>
      </c>
      <c r="F229" s="678">
        <f t="shared" ref="F229:G229" si="582">H229+J229+L229+N229+P229</f>
        <v>1087.29</v>
      </c>
      <c r="G229" s="679">
        <f t="shared" si="582"/>
        <v>307.07</v>
      </c>
      <c r="H229" s="641">
        <v>372.5</v>
      </c>
      <c r="I229" s="680">
        <v>93.8</v>
      </c>
      <c r="J229" s="641">
        <v>441.6</v>
      </c>
      <c r="K229" s="680">
        <v>80.4</v>
      </c>
      <c r="L229" s="641">
        <v>18.21</v>
      </c>
      <c r="M229" s="680">
        <v>33.82</v>
      </c>
      <c r="N229" s="641">
        <v>187.08</v>
      </c>
      <c r="O229" s="680">
        <v>62.02</v>
      </c>
      <c r="P229" s="641">
        <v>67.9</v>
      </c>
      <c r="Q229" s="680">
        <v>37.03</v>
      </c>
      <c r="R229" s="681" t="s">
        <v>715</v>
      </c>
      <c r="S229" s="682">
        <f t="shared" si="10"/>
        <v>1087.29</v>
      </c>
      <c r="T229" s="683"/>
      <c r="U229" s="625">
        <f t="shared" si="519"/>
        <v>372.5</v>
      </c>
      <c r="V229" s="625">
        <f t="shared" si="520"/>
        <v>441.6</v>
      </c>
      <c r="W229" s="625">
        <f t="shared" si="521"/>
        <v>18.21</v>
      </c>
      <c r="X229" s="625">
        <f t="shared" si="522"/>
        <v>187.08</v>
      </c>
      <c r="Y229" s="625">
        <f t="shared" si="523"/>
        <v>67.9</v>
      </c>
      <c r="Z229" s="656">
        <f t="shared" si="16"/>
        <v>307.07</v>
      </c>
      <c r="AA229" s="683"/>
      <c r="AB229" s="625">
        <f t="shared" si="524"/>
        <v>93.8</v>
      </c>
      <c r="AC229" s="625">
        <f t="shared" si="525"/>
        <v>80.4</v>
      </c>
      <c r="AD229" s="625">
        <f t="shared" si="526"/>
        <v>33.82</v>
      </c>
      <c r="AE229" s="625">
        <f t="shared" si="527"/>
        <v>62.02</v>
      </c>
      <c r="AF229" s="625">
        <f t="shared" si="528"/>
        <v>37.03</v>
      </c>
      <c r="AG229" s="657">
        <f t="shared" si="22"/>
        <v>0.2824177542</v>
      </c>
      <c r="AH229" s="165"/>
      <c r="AI229" s="165">
        <f t="shared" ref="AI229:AM229" si="583">AB229/U229</f>
        <v>0.2518120805</v>
      </c>
      <c r="AJ229" s="165">
        <f t="shared" si="583"/>
        <v>0.1820652174</v>
      </c>
      <c r="AK229" s="165">
        <f t="shared" si="583"/>
        <v>1.857221307</v>
      </c>
      <c r="AL229" s="165">
        <f t="shared" si="583"/>
        <v>0.331515929</v>
      </c>
      <c r="AM229" s="165">
        <f t="shared" si="583"/>
        <v>0.5453608247</v>
      </c>
      <c r="AN229" s="684">
        <f t="shared" si="453"/>
        <v>1010.407</v>
      </c>
      <c r="AO229" s="641">
        <v>177.6</v>
      </c>
      <c r="AP229" s="625">
        <v>261.9</v>
      </c>
      <c r="AQ229" s="625">
        <v>356.2</v>
      </c>
      <c r="AR229" s="625">
        <v>71.721</v>
      </c>
      <c r="AS229" s="625">
        <v>296.476</v>
      </c>
      <c r="AT229" s="625">
        <v>24.11</v>
      </c>
      <c r="AU229" s="684">
        <f t="shared" si="496"/>
        <v>95.23</v>
      </c>
      <c r="AV229" s="641">
        <v>40.0</v>
      </c>
      <c r="AW229" s="641">
        <v>34.5</v>
      </c>
      <c r="AX229" s="641">
        <v>18.3</v>
      </c>
      <c r="AY229" s="641">
        <v>17.1</v>
      </c>
      <c r="AZ229" s="641">
        <v>15.5</v>
      </c>
      <c r="BA229" s="691">
        <v>9.83</v>
      </c>
      <c r="BB229" s="631"/>
      <c r="BC229" s="189" t="s">
        <v>695</v>
      </c>
      <c r="BD229" s="186" t="s">
        <v>3303</v>
      </c>
      <c r="BE229" s="688" t="s">
        <v>3303</v>
      </c>
      <c r="BF229" s="688" t="s">
        <v>3303</v>
      </c>
      <c r="BG229" s="688" t="s">
        <v>3303</v>
      </c>
      <c r="BH229" s="688" t="s">
        <v>3303</v>
      </c>
      <c r="BI229" s="688" t="s">
        <v>3303</v>
      </c>
      <c r="BJ229" s="179"/>
      <c r="BK229" s="631"/>
      <c r="BL229" s="179" t="b">
        <f t="shared" si="26"/>
        <v>1</v>
      </c>
      <c r="BM229" s="179" t="b">
        <f t="shared" si="27"/>
        <v>1</v>
      </c>
      <c r="BN229" s="688" t="b">
        <f t="shared" si="28"/>
        <v>0</v>
      </c>
    </row>
    <row r="230">
      <c r="A230" s="696" t="s">
        <v>1534</v>
      </c>
      <c r="B230" s="186" t="s">
        <v>3661</v>
      </c>
      <c r="C230" s="676" t="s">
        <v>2113</v>
      </c>
      <c r="D230" s="677">
        <v>138.0</v>
      </c>
      <c r="E230" s="632" t="s">
        <v>53</v>
      </c>
      <c r="F230" s="678">
        <f t="shared" ref="F230:G230" si="584">H230+J230+L230+N230+P230</f>
        <v>19021</v>
      </c>
      <c r="G230" s="679">
        <f t="shared" si="584"/>
        <v>582</v>
      </c>
      <c r="H230" s="641">
        <v>4196.0</v>
      </c>
      <c r="I230" s="680">
        <v>10.0</v>
      </c>
      <c r="J230" s="641">
        <v>2601.0</v>
      </c>
      <c r="K230" s="680">
        <v>50.0</v>
      </c>
      <c r="L230" s="641">
        <v>3396.0</v>
      </c>
      <c r="M230" s="680">
        <v>199.0</v>
      </c>
      <c r="N230" s="641">
        <v>6267.0</v>
      </c>
      <c r="O230" s="680">
        <v>156.0</v>
      </c>
      <c r="P230" s="641">
        <v>2561.0</v>
      </c>
      <c r="Q230" s="680">
        <v>167.0</v>
      </c>
      <c r="R230" s="681" t="s">
        <v>709</v>
      </c>
      <c r="S230" s="682">
        <f t="shared" si="10"/>
        <v>19021</v>
      </c>
      <c r="T230" s="683"/>
      <c r="U230" s="625">
        <f t="shared" si="519"/>
        <v>4196</v>
      </c>
      <c r="V230" s="625">
        <f t="shared" si="520"/>
        <v>2601</v>
      </c>
      <c r="W230" s="625">
        <f t="shared" si="521"/>
        <v>3396</v>
      </c>
      <c r="X230" s="625">
        <f t="shared" si="522"/>
        <v>6267</v>
      </c>
      <c r="Y230" s="625">
        <f t="shared" si="523"/>
        <v>2561</v>
      </c>
      <c r="Z230" s="656">
        <f t="shared" si="16"/>
        <v>582</v>
      </c>
      <c r="AA230" s="683"/>
      <c r="AB230" s="625">
        <f t="shared" si="524"/>
        <v>10</v>
      </c>
      <c r="AC230" s="625">
        <f t="shared" si="525"/>
        <v>50</v>
      </c>
      <c r="AD230" s="625">
        <f t="shared" si="526"/>
        <v>199</v>
      </c>
      <c r="AE230" s="625">
        <f t="shared" si="527"/>
        <v>156</v>
      </c>
      <c r="AF230" s="625">
        <f t="shared" si="528"/>
        <v>167</v>
      </c>
      <c r="AG230" s="657">
        <f t="shared" si="22"/>
        <v>0.03059776037</v>
      </c>
      <c r="AH230" s="165"/>
      <c r="AI230" s="165">
        <f t="shared" ref="AI230:AM230" si="585">AB230/U230</f>
        <v>0.002383222116</v>
      </c>
      <c r="AJ230" s="165">
        <f t="shared" si="585"/>
        <v>0.01922337562</v>
      </c>
      <c r="AK230" s="165">
        <f t="shared" si="585"/>
        <v>0.058598351</v>
      </c>
      <c r="AL230" s="165">
        <f t="shared" si="585"/>
        <v>0.02489229296</v>
      </c>
      <c r="AM230" s="165">
        <f t="shared" si="585"/>
        <v>0.06520890277</v>
      </c>
      <c r="AN230" s="684">
        <f t="shared" si="453"/>
        <v>0</v>
      </c>
      <c r="AO230" s="180">
        <v>0.0</v>
      </c>
      <c r="AP230" s="180">
        <v>0.0</v>
      </c>
      <c r="AQ230" s="180">
        <v>0.0</v>
      </c>
      <c r="AR230" s="180">
        <v>0.0</v>
      </c>
      <c r="AS230" s="180">
        <v>0.0</v>
      </c>
      <c r="AT230" s="180">
        <v>0.0</v>
      </c>
      <c r="AU230" s="684">
        <f t="shared" si="496"/>
        <v>13364</v>
      </c>
      <c r="AV230" s="641">
        <v>3035.0</v>
      </c>
      <c r="AW230" s="625">
        <v>2907.0</v>
      </c>
      <c r="AX230" s="625">
        <v>2777.0</v>
      </c>
      <c r="AY230" s="625">
        <v>2685.0</v>
      </c>
      <c r="AZ230" s="625">
        <v>2570.0</v>
      </c>
      <c r="BA230" s="693">
        <v>2425.0</v>
      </c>
      <c r="BB230" s="631"/>
      <c r="BC230" s="189" t="s">
        <v>695</v>
      </c>
      <c r="BD230" s="186" t="s">
        <v>3303</v>
      </c>
      <c r="BE230" s="179" t="s">
        <v>3304</v>
      </c>
      <c r="BF230" s="179" t="s">
        <v>3305</v>
      </c>
      <c r="BG230" s="179" t="s">
        <v>3306</v>
      </c>
      <c r="BH230" s="179" t="s">
        <v>3307</v>
      </c>
      <c r="BI230" s="179" t="s">
        <v>3308</v>
      </c>
      <c r="BJ230" s="179"/>
      <c r="BK230" s="646"/>
      <c r="BL230" s="179" t="b">
        <f t="shared" si="26"/>
        <v>1</v>
      </c>
      <c r="BM230" s="179" t="b">
        <f t="shared" si="27"/>
        <v>0</v>
      </c>
      <c r="BN230" s="688" t="b">
        <f t="shared" si="28"/>
        <v>1</v>
      </c>
    </row>
    <row r="231">
      <c r="A231" s="148" t="s">
        <v>3384</v>
      </c>
      <c r="B231" s="712" t="s">
        <v>3662</v>
      </c>
      <c r="C231" s="676" t="s">
        <v>2113</v>
      </c>
      <c r="D231" s="713">
        <v>165.0</v>
      </c>
      <c r="E231" s="714" t="s">
        <v>3663</v>
      </c>
      <c r="F231" s="71">
        <f t="shared" ref="F231:G231" si="586">H231+J231+L231+N231+P231</f>
        <v>3731</v>
      </c>
      <c r="G231" s="679">
        <f t="shared" si="586"/>
        <v>976</v>
      </c>
      <c r="H231" s="641">
        <v>731.0</v>
      </c>
      <c r="I231" s="680">
        <v>-36.0</v>
      </c>
      <c r="J231" s="641">
        <v>1292.0</v>
      </c>
      <c r="K231" s="680">
        <v>337.0</v>
      </c>
      <c r="L231" s="641">
        <v>-4251.0</v>
      </c>
      <c r="M231" s="680">
        <v>-273.0</v>
      </c>
      <c r="N231" s="641">
        <v>2855.0</v>
      </c>
      <c r="O231" s="680">
        <v>610.0</v>
      </c>
      <c r="P231" s="641">
        <v>3104.0</v>
      </c>
      <c r="Q231" s="680">
        <v>338.0</v>
      </c>
      <c r="R231" s="714"/>
      <c r="S231" s="682">
        <f t="shared" si="10"/>
        <v>3731</v>
      </c>
      <c r="T231" s="683"/>
      <c r="U231" s="625">
        <f t="shared" si="519"/>
        <v>731</v>
      </c>
      <c r="V231" s="625">
        <f t="shared" si="520"/>
        <v>1292</v>
      </c>
      <c r="W231" s="625">
        <f t="shared" si="521"/>
        <v>-4251</v>
      </c>
      <c r="X231" s="625">
        <f t="shared" si="522"/>
        <v>2855</v>
      </c>
      <c r="Y231" s="625">
        <f t="shared" si="523"/>
        <v>3104</v>
      </c>
      <c r="Z231" s="656">
        <f t="shared" si="16"/>
        <v>976</v>
      </c>
      <c r="AA231" s="683"/>
      <c r="AB231" s="625">
        <f t="shared" si="524"/>
        <v>-36</v>
      </c>
      <c r="AC231" s="625">
        <f t="shared" si="525"/>
        <v>337</v>
      </c>
      <c r="AD231" s="625">
        <f t="shared" si="526"/>
        <v>-273</v>
      </c>
      <c r="AE231" s="625">
        <f t="shared" si="527"/>
        <v>610</v>
      </c>
      <c r="AF231" s="625">
        <f t="shared" si="528"/>
        <v>338</v>
      </c>
      <c r="AG231" s="657">
        <f t="shared" si="22"/>
        <v>0.2615920665</v>
      </c>
      <c r="AH231" s="165"/>
      <c r="AI231" s="165">
        <f t="shared" ref="AI231:AM231" si="587">AB231/U231</f>
        <v>-0.04924760602</v>
      </c>
      <c r="AJ231" s="165">
        <f t="shared" si="587"/>
        <v>0.2608359133</v>
      </c>
      <c r="AK231" s="165">
        <f t="shared" si="587"/>
        <v>0.06422018349</v>
      </c>
      <c r="AL231" s="165">
        <f t="shared" si="587"/>
        <v>0.2136602452</v>
      </c>
      <c r="AM231" s="165">
        <f t="shared" si="587"/>
        <v>0.1088917526</v>
      </c>
      <c r="AN231" s="684">
        <f t="shared" si="453"/>
        <v>4451</v>
      </c>
      <c r="AO231" s="180">
        <v>0.0</v>
      </c>
      <c r="AP231" s="180">
        <v>0.0</v>
      </c>
      <c r="AQ231" s="180">
        <v>0.0</v>
      </c>
      <c r="AR231" s="685">
        <v>451.0</v>
      </c>
      <c r="AS231" s="685">
        <v>2000.0</v>
      </c>
      <c r="AT231" s="685">
        <v>2000.0</v>
      </c>
      <c r="AU231" s="684">
        <f t="shared" si="496"/>
        <v>892</v>
      </c>
      <c r="AV231" s="685">
        <v>428.0</v>
      </c>
      <c r="AW231" s="180">
        <v>0.0</v>
      </c>
      <c r="AX231" s="180">
        <v>0.0</v>
      </c>
      <c r="AY231" s="685">
        <v>188.0</v>
      </c>
      <c r="AZ231" s="685">
        <v>372.0</v>
      </c>
      <c r="BA231" s="710">
        <v>332.0</v>
      </c>
      <c r="BB231" s="685"/>
      <c r="BC231" s="715" t="s">
        <v>695</v>
      </c>
      <c r="BD231" s="186" t="s">
        <v>3303</v>
      </c>
      <c r="BE231" s="688"/>
      <c r="BF231" s="688"/>
      <c r="BG231" s="688"/>
      <c r="BH231" s="179"/>
      <c r="BI231" s="179"/>
      <c r="BJ231" s="179"/>
      <c r="BK231" s="685"/>
      <c r="BL231" s="179" t="b">
        <f t="shared" si="26"/>
        <v>1</v>
      </c>
      <c r="BM231" s="179" t="b">
        <f t="shared" si="27"/>
        <v>1</v>
      </c>
      <c r="BN231" s="688" t="b">
        <f t="shared" si="28"/>
        <v>0</v>
      </c>
    </row>
    <row r="232">
      <c r="A232" s="689"/>
      <c r="B232" s="186" t="s">
        <v>3664</v>
      </c>
      <c r="C232" s="676" t="s">
        <v>2113</v>
      </c>
      <c r="D232" s="677">
        <v>399.0</v>
      </c>
      <c r="E232" s="632" t="s">
        <v>3665</v>
      </c>
      <c r="F232" s="678">
        <f t="shared" ref="F232:G232" si="588">H232+J232+L232+N232+P232</f>
        <v>263.88</v>
      </c>
      <c r="G232" s="679">
        <f t="shared" si="588"/>
        <v>13.36</v>
      </c>
      <c r="H232" s="641">
        <v>44.52</v>
      </c>
      <c r="I232" s="680">
        <v>8.59</v>
      </c>
      <c r="J232" s="641">
        <v>96.79</v>
      </c>
      <c r="K232" s="680">
        <v>5.44</v>
      </c>
      <c r="L232" s="641">
        <v>80.22</v>
      </c>
      <c r="M232" s="680">
        <v>1.84</v>
      </c>
      <c r="N232" s="641">
        <v>2.76</v>
      </c>
      <c r="O232" s="680">
        <v>-0.9</v>
      </c>
      <c r="P232" s="641">
        <v>39.59</v>
      </c>
      <c r="Q232" s="680">
        <v>-1.61</v>
      </c>
      <c r="R232" s="681" t="s">
        <v>703</v>
      </c>
      <c r="S232" s="682">
        <f t="shared" si="10"/>
        <v>263.88</v>
      </c>
      <c r="T232" s="683"/>
      <c r="U232" s="625">
        <f t="shared" si="519"/>
        <v>44.52</v>
      </c>
      <c r="V232" s="625">
        <f t="shared" si="520"/>
        <v>96.79</v>
      </c>
      <c r="W232" s="625">
        <f t="shared" si="521"/>
        <v>80.22</v>
      </c>
      <c r="X232" s="625">
        <f t="shared" si="522"/>
        <v>2.76</v>
      </c>
      <c r="Y232" s="625">
        <f t="shared" si="523"/>
        <v>39.59</v>
      </c>
      <c r="Z232" s="656">
        <f t="shared" si="16"/>
        <v>13.36</v>
      </c>
      <c r="AA232" s="683"/>
      <c r="AB232" s="625">
        <f t="shared" si="524"/>
        <v>8.59</v>
      </c>
      <c r="AC232" s="625">
        <f t="shared" si="525"/>
        <v>5.44</v>
      </c>
      <c r="AD232" s="625">
        <f t="shared" si="526"/>
        <v>1.84</v>
      </c>
      <c r="AE232" s="625">
        <f t="shared" si="527"/>
        <v>-0.9</v>
      </c>
      <c r="AF232" s="625">
        <f t="shared" si="528"/>
        <v>-1.61</v>
      </c>
      <c r="AG232" s="657">
        <f t="shared" si="22"/>
        <v>0.05062907382</v>
      </c>
      <c r="AH232" s="165"/>
      <c r="AI232" s="165">
        <f t="shared" ref="AI232:AM232" si="589">AB232/U232</f>
        <v>0.1929469901</v>
      </c>
      <c r="AJ232" s="165">
        <f t="shared" si="589"/>
        <v>0.05620415332</v>
      </c>
      <c r="AK232" s="165">
        <f t="shared" si="589"/>
        <v>0.02293692346</v>
      </c>
      <c r="AL232" s="165">
        <f t="shared" si="589"/>
        <v>-0.3260869565</v>
      </c>
      <c r="AM232" s="165">
        <f t="shared" si="589"/>
        <v>-0.04066683506</v>
      </c>
      <c r="AN232" s="684">
        <f t="shared" si="453"/>
        <v>67.819</v>
      </c>
      <c r="AO232" s="625"/>
      <c r="AP232" s="625">
        <v>32.494</v>
      </c>
      <c r="AQ232" s="625">
        <v>5.325</v>
      </c>
      <c r="AR232" s="625">
        <v>10.0</v>
      </c>
      <c r="AS232" s="625">
        <v>0.0</v>
      </c>
      <c r="AT232" s="625">
        <v>20.0</v>
      </c>
      <c r="AU232" s="684">
        <f t="shared" si="496"/>
        <v>139.176</v>
      </c>
      <c r="AV232" s="625"/>
      <c r="AW232" s="625">
        <v>29.708</v>
      </c>
      <c r="AX232" s="625">
        <v>28.327</v>
      </c>
      <c r="AY232" s="625">
        <v>34.509</v>
      </c>
      <c r="AZ232" s="625">
        <v>20.709</v>
      </c>
      <c r="BA232" s="693">
        <v>25.923</v>
      </c>
      <c r="BB232" s="631"/>
      <c r="BC232" s="189" t="s">
        <v>695</v>
      </c>
      <c r="BD232" s="688" t="s">
        <v>3303</v>
      </c>
      <c r="BE232" s="688" t="s">
        <v>3303</v>
      </c>
      <c r="BF232" s="688" t="s">
        <v>3303</v>
      </c>
      <c r="BG232" s="688" t="s">
        <v>3303</v>
      </c>
      <c r="BH232" s="688" t="s">
        <v>3303</v>
      </c>
      <c r="BI232" s="688" t="s">
        <v>3303</v>
      </c>
      <c r="BJ232" s="179"/>
      <c r="BK232" s="631"/>
      <c r="BL232" s="179" t="b">
        <f t="shared" si="26"/>
        <v>1</v>
      </c>
      <c r="BM232" s="179" t="b">
        <f t="shared" si="27"/>
        <v>1</v>
      </c>
      <c r="BN232" s="688" t="b">
        <f t="shared" si="28"/>
        <v>1</v>
      </c>
    </row>
    <row r="233">
      <c r="A233" s="675" t="s">
        <v>3301</v>
      </c>
      <c r="B233" s="186" t="s">
        <v>3666</v>
      </c>
      <c r="C233" s="690" t="s">
        <v>1865</v>
      </c>
      <c r="D233" s="677">
        <v>125.0</v>
      </c>
      <c r="E233" s="632" t="s">
        <v>914</v>
      </c>
      <c r="F233" s="678">
        <f t="shared" ref="F233:G233" si="590">H233+J233+L233+N233+P233</f>
        <v>15982</v>
      </c>
      <c r="G233" s="679">
        <f t="shared" si="590"/>
        <v>2548.8</v>
      </c>
      <c r="H233" s="641">
        <v>3320.9</v>
      </c>
      <c r="I233" s="680">
        <v>477.6</v>
      </c>
      <c r="J233" s="641">
        <v>3948.5</v>
      </c>
      <c r="K233" s="680">
        <v>681.8</v>
      </c>
      <c r="L233" s="641">
        <v>867.7</v>
      </c>
      <c r="M233" s="680">
        <v>49.9</v>
      </c>
      <c r="N233" s="641">
        <v>3070.9</v>
      </c>
      <c r="O233" s="680">
        <v>1414.3</v>
      </c>
      <c r="P233" s="641">
        <v>4774.0</v>
      </c>
      <c r="Q233" s="680">
        <v>-74.8</v>
      </c>
      <c r="R233" s="681" t="s">
        <v>701</v>
      </c>
      <c r="S233" s="682">
        <f t="shared" si="10"/>
        <v>15982</v>
      </c>
      <c r="T233" s="683"/>
      <c r="U233" s="625">
        <f t="shared" si="519"/>
        <v>3320.9</v>
      </c>
      <c r="V233" s="625">
        <f t="shared" si="520"/>
        <v>3948.5</v>
      </c>
      <c r="W233" s="625">
        <f t="shared" si="521"/>
        <v>867.7</v>
      </c>
      <c r="X233" s="625">
        <f t="shared" si="522"/>
        <v>3070.9</v>
      </c>
      <c r="Y233" s="625">
        <f t="shared" si="523"/>
        <v>4774</v>
      </c>
      <c r="Z233" s="656">
        <f t="shared" si="16"/>
        <v>2548.8</v>
      </c>
      <c r="AA233" s="683"/>
      <c r="AB233" s="625">
        <f t="shared" si="524"/>
        <v>477.6</v>
      </c>
      <c r="AC233" s="625">
        <f t="shared" si="525"/>
        <v>681.8</v>
      </c>
      <c r="AD233" s="625">
        <f t="shared" si="526"/>
        <v>49.9</v>
      </c>
      <c r="AE233" s="625">
        <f t="shared" si="527"/>
        <v>1414.3</v>
      </c>
      <c r="AF233" s="625">
        <f t="shared" si="528"/>
        <v>-74.8</v>
      </c>
      <c r="AG233" s="657">
        <f t="shared" si="22"/>
        <v>0.1594794143</v>
      </c>
      <c r="AH233" s="165"/>
      <c r="AI233" s="165">
        <f t="shared" ref="AI233:AM233" si="591">AB233/U233</f>
        <v>0.1438164353</v>
      </c>
      <c r="AJ233" s="165">
        <f t="shared" si="591"/>
        <v>0.172673167</v>
      </c>
      <c r="AK233" s="165">
        <f t="shared" si="591"/>
        <v>0.05750835542</v>
      </c>
      <c r="AL233" s="165">
        <f t="shared" si="591"/>
        <v>0.4605490247</v>
      </c>
      <c r="AM233" s="165">
        <f t="shared" si="591"/>
        <v>-0.01566820276</v>
      </c>
      <c r="AN233" s="684">
        <f t="shared" si="453"/>
        <v>23067.7</v>
      </c>
      <c r="AO233" s="685">
        <v>984.4</v>
      </c>
      <c r="AP233" s="180">
        <v>4013.0</v>
      </c>
      <c r="AQ233" s="180">
        <v>0.0</v>
      </c>
      <c r="AR233" s="180">
        <v>1698.9</v>
      </c>
      <c r="AS233" s="180">
        <v>10222.3</v>
      </c>
      <c r="AT233" s="180">
        <v>7133.5</v>
      </c>
      <c r="AU233" s="684">
        <f t="shared" si="496"/>
        <v>9810.5</v>
      </c>
      <c r="AV233" s="685">
        <v>2431.8</v>
      </c>
      <c r="AW233" s="180">
        <v>2263.3</v>
      </c>
      <c r="AX233" s="180">
        <v>2119.0</v>
      </c>
      <c r="AY233" s="180">
        <v>1923.5</v>
      </c>
      <c r="AZ233" s="180">
        <v>1761.3</v>
      </c>
      <c r="BA233" s="686">
        <v>1743.4</v>
      </c>
      <c r="BB233" s="631"/>
      <c r="BC233" s="731" t="s">
        <v>695</v>
      </c>
      <c r="BD233" s="186" t="s">
        <v>3303</v>
      </c>
      <c r="BE233" s="186" t="s">
        <v>3304</v>
      </c>
      <c r="BF233" s="186" t="s">
        <v>3305</v>
      </c>
      <c r="BG233" s="186" t="s">
        <v>3306</v>
      </c>
      <c r="BH233" s="179" t="s">
        <v>3307</v>
      </c>
      <c r="BI233" s="179" t="s">
        <v>3308</v>
      </c>
      <c r="BJ233" s="179"/>
      <c r="BK233" s="631"/>
      <c r="BL233" s="179" t="b">
        <f t="shared" si="26"/>
        <v>1</v>
      </c>
      <c r="BM233" s="179" t="b">
        <f t="shared" si="27"/>
        <v>1</v>
      </c>
      <c r="BN233" s="688" t="b">
        <f t="shared" si="28"/>
        <v>1</v>
      </c>
    </row>
    <row r="234">
      <c r="A234" s="689"/>
      <c r="B234" s="186" t="s">
        <v>3667</v>
      </c>
      <c r="C234" s="676" t="s">
        <v>2113</v>
      </c>
      <c r="D234" s="461">
        <v>305.0</v>
      </c>
      <c r="E234" s="714" t="s">
        <v>3668</v>
      </c>
      <c r="F234" s="678">
        <f t="shared" ref="F234:G234" si="592">H234+J234+L234+N234+P234</f>
        <v>7653</v>
      </c>
      <c r="G234" s="679">
        <f t="shared" si="592"/>
        <v>734.89</v>
      </c>
      <c r="H234" s="641">
        <v>1857.0</v>
      </c>
      <c r="I234" s="680">
        <v>161.0</v>
      </c>
      <c r="J234" s="641">
        <v>1507.0</v>
      </c>
      <c r="K234" s="680">
        <v>168.83</v>
      </c>
      <c r="L234" s="641">
        <v>1631.0</v>
      </c>
      <c r="M234" s="680">
        <v>235.2</v>
      </c>
      <c r="N234" s="641">
        <v>1467.0</v>
      </c>
      <c r="O234" s="680">
        <v>148.86</v>
      </c>
      <c r="P234" s="641">
        <v>1191.0</v>
      </c>
      <c r="Q234" s="680">
        <v>21.0</v>
      </c>
      <c r="R234" s="681" t="s">
        <v>708</v>
      </c>
      <c r="S234" s="682">
        <f t="shared" si="10"/>
        <v>7653</v>
      </c>
      <c r="T234" s="683"/>
      <c r="U234" s="625">
        <f t="shared" si="519"/>
        <v>1857</v>
      </c>
      <c r="V234" s="625">
        <f t="shared" si="520"/>
        <v>1507</v>
      </c>
      <c r="W234" s="625">
        <f t="shared" si="521"/>
        <v>1631</v>
      </c>
      <c r="X234" s="625">
        <f t="shared" si="522"/>
        <v>1467</v>
      </c>
      <c r="Y234" s="625">
        <f t="shared" si="523"/>
        <v>1191</v>
      </c>
      <c r="Z234" s="656">
        <f t="shared" si="16"/>
        <v>734.89</v>
      </c>
      <c r="AA234" s="683"/>
      <c r="AB234" s="625">
        <f t="shared" si="524"/>
        <v>161</v>
      </c>
      <c r="AC234" s="625">
        <f t="shared" si="525"/>
        <v>168.83</v>
      </c>
      <c r="AD234" s="625">
        <f t="shared" si="526"/>
        <v>235.2</v>
      </c>
      <c r="AE234" s="625">
        <f t="shared" si="527"/>
        <v>148.86</v>
      </c>
      <c r="AF234" s="625">
        <f t="shared" si="528"/>
        <v>21</v>
      </c>
      <c r="AG234" s="657">
        <f t="shared" si="22"/>
        <v>0.09602639488</v>
      </c>
      <c r="AH234" s="165"/>
      <c r="AI234" s="165">
        <f t="shared" ref="AI234:AM234" si="593">AB234/U234</f>
        <v>0.08669897684</v>
      </c>
      <c r="AJ234" s="165">
        <f t="shared" si="593"/>
        <v>0.1120305242</v>
      </c>
      <c r="AK234" s="165">
        <f t="shared" si="593"/>
        <v>0.1442060086</v>
      </c>
      <c r="AL234" s="165">
        <f t="shared" si="593"/>
        <v>0.1014723926</v>
      </c>
      <c r="AM234" s="165">
        <f t="shared" si="593"/>
        <v>0.01763224181</v>
      </c>
      <c r="AN234" s="684">
        <f t="shared" si="453"/>
        <v>7045</v>
      </c>
      <c r="AO234" s="625">
        <f>3781+95</f>
        <v>3876</v>
      </c>
      <c r="AP234" s="625">
        <v>1623.0</v>
      </c>
      <c r="AQ234" s="625">
        <v>1439.0</v>
      </c>
      <c r="AR234" s="625">
        <v>1093.0</v>
      </c>
      <c r="AS234" s="625">
        <v>2416.0</v>
      </c>
      <c r="AT234" s="625">
        <v>474.0</v>
      </c>
      <c r="AU234" s="684">
        <f t="shared" si="496"/>
        <v>4485</v>
      </c>
      <c r="AV234" s="641">
        <v>970.0</v>
      </c>
      <c r="AW234" s="625">
        <v>972.0</v>
      </c>
      <c r="AX234" s="625">
        <v>866.0</v>
      </c>
      <c r="AY234" s="625">
        <v>889.0</v>
      </c>
      <c r="AZ234" s="625">
        <v>930.0</v>
      </c>
      <c r="BA234" s="693">
        <v>828.0</v>
      </c>
      <c r="BB234" s="631"/>
      <c r="BC234" s="189" t="s">
        <v>695</v>
      </c>
      <c r="BD234" s="186" t="s">
        <v>3303</v>
      </c>
      <c r="BE234" s="179" t="s">
        <v>3304</v>
      </c>
      <c r="BF234" s="179" t="s">
        <v>3305</v>
      </c>
      <c r="BG234" s="179" t="s">
        <v>3306</v>
      </c>
      <c r="BH234" s="179" t="s">
        <v>3307</v>
      </c>
      <c r="BI234" s="179" t="s">
        <v>3308</v>
      </c>
      <c r="BJ234" s="179"/>
      <c r="BK234" s="631"/>
      <c r="BL234" s="179" t="b">
        <f t="shared" si="26"/>
        <v>1</v>
      </c>
      <c r="BM234" s="179" t="b">
        <f t="shared" si="27"/>
        <v>1</v>
      </c>
      <c r="BN234" s="688" t="b">
        <f t="shared" si="28"/>
        <v>1</v>
      </c>
    </row>
    <row r="235">
      <c r="A235" s="212"/>
      <c r="B235" s="186" t="s">
        <v>3669</v>
      </c>
      <c r="C235" s="676" t="s">
        <v>2113</v>
      </c>
      <c r="D235" s="677">
        <v>176.0</v>
      </c>
      <c r="E235" s="131" t="s">
        <v>3670</v>
      </c>
      <c r="F235" s="678">
        <f t="shared" ref="F235:G235" si="594">H235+J235+L235+N235+P235</f>
        <v>12116.04</v>
      </c>
      <c r="G235" s="679">
        <f t="shared" si="594"/>
        <v>1895.89</v>
      </c>
      <c r="H235" s="641">
        <v>4890.45</v>
      </c>
      <c r="I235" s="680">
        <v>942.49</v>
      </c>
      <c r="J235" s="641">
        <v>4103.84</v>
      </c>
      <c r="K235" s="680">
        <v>510.44</v>
      </c>
      <c r="L235" s="641">
        <v>687.14</v>
      </c>
      <c r="M235" s="680">
        <v>65.7</v>
      </c>
      <c r="N235" s="641">
        <v>856.95</v>
      </c>
      <c r="O235" s="680">
        <v>125.84</v>
      </c>
      <c r="P235" s="641">
        <v>1577.66</v>
      </c>
      <c r="Q235" s="680">
        <v>251.42</v>
      </c>
      <c r="R235" s="681" t="s">
        <v>3365</v>
      </c>
      <c r="S235" s="682">
        <f t="shared" si="10"/>
        <v>12116.04</v>
      </c>
      <c r="T235" s="683"/>
      <c r="U235" s="625">
        <f t="shared" si="519"/>
        <v>4890.45</v>
      </c>
      <c r="V235" s="625">
        <f t="shared" si="520"/>
        <v>4103.84</v>
      </c>
      <c r="W235" s="625">
        <f t="shared" si="521"/>
        <v>687.14</v>
      </c>
      <c r="X235" s="625">
        <f t="shared" si="522"/>
        <v>856.95</v>
      </c>
      <c r="Y235" s="625">
        <f t="shared" si="523"/>
        <v>1577.66</v>
      </c>
      <c r="Z235" s="656">
        <f t="shared" si="16"/>
        <v>1895.89</v>
      </c>
      <c r="AA235" s="683"/>
      <c r="AB235" s="625">
        <f t="shared" si="524"/>
        <v>942.49</v>
      </c>
      <c r="AC235" s="625">
        <f t="shared" si="525"/>
        <v>510.44</v>
      </c>
      <c r="AD235" s="625">
        <f t="shared" si="526"/>
        <v>65.7</v>
      </c>
      <c r="AE235" s="625">
        <f t="shared" si="527"/>
        <v>125.84</v>
      </c>
      <c r="AF235" s="625">
        <f t="shared" si="528"/>
        <v>251.42</v>
      </c>
      <c r="AG235" s="657">
        <f t="shared" si="22"/>
        <v>0.156477694</v>
      </c>
      <c r="AH235" s="165"/>
      <c r="AI235" s="165">
        <f t="shared" ref="AI235:AM235" si="595">AB235/U235</f>
        <v>0.1927205063</v>
      </c>
      <c r="AJ235" s="165">
        <f t="shared" si="595"/>
        <v>0.1243810675</v>
      </c>
      <c r="AK235" s="165">
        <f t="shared" si="595"/>
        <v>0.09561370318</v>
      </c>
      <c r="AL235" s="165">
        <f t="shared" si="595"/>
        <v>0.1468463738</v>
      </c>
      <c r="AM235" s="165">
        <f t="shared" si="595"/>
        <v>0.1593626003</v>
      </c>
      <c r="AN235" s="684">
        <f t="shared" si="453"/>
        <v>3840.243</v>
      </c>
      <c r="AO235" s="625"/>
      <c r="AP235" s="641">
        <v>1800.905</v>
      </c>
      <c r="AQ235" s="641">
        <v>1060.632</v>
      </c>
      <c r="AR235" s="641">
        <v>106.529</v>
      </c>
      <c r="AS235" s="641">
        <v>348.608</v>
      </c>
      <c r="AT235" s="641">
        <v>523.569</v>
      </c>
      <c r="AU235" s="684">
        <f t="shared" si="496"/>
        <v>1028.563</v>
      </c>
      <c r="AV235" s="625"/>
      <c r="AW235" s="641">
        <v>237.163</v>
      </c>
      <c r="AX235" s="641">
        <v>212.968</v>
      </c>
      <c r="AY235" s="641">
        <v>209.248</v>
      </c>
      <c r="AZ235" s="641">
        <v>200.271</v>
      </c>
      <c r="BA235" s="691">
        <v>168.913</v>
      </c>
      <c r="BB235" s="631"/>
      <c r="BC235" s="189" t="s">
        <v>695</v>
      </c>
      <c r="BD235" s="688" t="s">
        <v>3303</v>
      </c>
      <c r="BE235" s="179" t="s">
        <v>3304</v>
      </c>
      <c r="BF235" s="179" t="s">
        <v>3305</v>
      </c>
      <c r="BG235" s="179" t="s">
        <v>3306</v>
      </c>
      <c r="BH235" s="179" t="s">
        <v>3307</v>
      </c>
      <c r="BI235" s="179" t="s">
        <v>3308</v>
      </c>
      <c r="BJ235" s="179"/>
      <c r="BK235" s="631"/>
      <c r="BL235" s="179" t="b">
        <f t="shared" si="26"/>
        <v>1</v>
      </c>
      <c r="BM235" s="179" t="b">
        <f t="shared" si="27"/>
        <v>1</v>
      </c>
      <c r="BN235" s="688" t="b">
        <f t="shared" si="28"/>
        <v>0</v>
      </c>
    </row>
    <row r="236">
      <c r="A236" s="148" t="s">
        <v>3384</v>
      </c>
      <c r="B236" s="712" t="s">
        <v>3671</v>
      </c>
      <c r="C236" s="711" t="s">
        <v>2317</v>
      </c>
      <c r="D236" s="713">
        <v>59.0</v>
      </c>
      <c r="E236" s="632" t="s">
        <v>3017</v>
      </c>
      <c r="F236" s="71">
        <f t="shared" ref="F236:G236" si="596">H236+J236+L236+N236+P236</f>
        <v>177.5</v>
      </c>
      <c r="G236" s="679">
        <f t="shared" si="596"/>
        <v>13.2</v>
      </c>
      <c r="H236" s="641">
        <v>46.0</v>
      </c>
      <c r="I236" s="680">
        <v>8.2</v>
      </c>
      <c r="J236" s="641">
        <v>37.4</v>
      </c>
      <c r="K236" s="680">
        <v>6.7</v>
      </c>
      <c r="L236" s="641">
        <v>86.5</v>
      </c>
      <c r="M236" s="680">
        <v>-0.6</v>
      </c>
      <c r="N236" s="641">
        <v>-1.8</v>
      </c>
      <c r="O236" s="680">
        <v>-1.9</v>
      </c>
      <c r="P236" s="641">
        <v>9.4</v>
      </c>
      <c r="Q236" s="680">
        <v>0.8</v>
      </c>
      <c r="R236" s="714"/>
      <c r="S236" s="682">
        <f t="shared" si="10"/>
        <v>177.5</v>
      </c>
      <c r="T236" s="683"/>
      <c r="U236" s="625">
        <f t="shared" si="519"/>
        <v>46</v>
      </c>
      <c r="V236" s="625">
        <f t="shared" si="520"/>
        <v>37.4</v>
      </c>
      <c r="W236" s="625">
        <f t="shared" si="521"/>
        <v>86.5</v>
      </c>
      <c r="X236" s="625">
        <f t="shared" si="522"/>
        <v>-1.8</v>
      </c>
      <c r="Y236" s="625">
        <f t="shared" si="523"/>
        <v>9.4</v>
      </c>
      <c r="Z236" s="656">
        <f t="shared" si="16"/>
        <v>13.2</v>
      </c>
      <c r="AA236" s="683"/>
      <c r="AB236" s="625">
        <f t="shared" si="524"/>
        <v>8.2</v>
      </c>
      <c r="AC236" s="625">
        <f t="shared" si="525"/>
        <v>6.7</v>
      </c>
      <c r="AD236" s="625">
        <f t="shared" si="526"/>
        <v>-0.6</v>
      </c>
      <c r="AE236" s="625">
        <f t="shared" si="527"/>
        <v>-1.9</v>
      </c>
      <c r="AF236" s="625">
        <f t="shared" si="528"/>
        <v>0.8</v>
      </c>
      <c r="AG236" s="657">
        <f t="shared" si="22"/>
        <v>0.07436619718</v>
      </c>
      <c r="AH236" s="165"/>
      <c r="AI236" s="165">
        <f t="shared" ref="AI236:AM236" si="597">AB236/U236</f>
        <v>0.1782608696</v>
      </c>
      <c r="AJ236" s="165">
        <f t="shared" si="597"/>
        <v>0.179144385</v>
      </c>
      <c r="AK236" s="165">
        <f t="shared" si="597"/>
        <v>-0.006936416185</v>
      </c>
      <c r="AL236" s="165">
        <f t="shared" si="597"/>
        <v>1.055555556</v>
      </c>
      <c r="AM236" s="165">
        <f t="shared" si="597"/>
        <v>0.08510638298</v>
      </c>
      <c r="AN236" s="684">
        <f t="shared" si="453"/>
        <v>24</v>
      </c>
      <c r="AO236" s="180"/>
      <c r="AP236" s="685">
        <v>0.0</v>
      </c>
      <c r="AQ236" s="685">
        <v>12.0</v>
      </c>
      <c r="AR236" s="685">
        <v>8.0</v>
      </c>
      <c r="AS236" s="685">
        <v>4.0</v>
      </c>
      <c r="AT236" s="685">
        <v>0.0</v>
      </c>
      <c r="AU236" s="684">
        <f t="shared" si="496"/>
        <v>135</v>
      </c>
      <c r="AV236" s="180"/>
      <c r="AW236" s="685">
        <v>10.0</v>
      </c>
      <c r="AX236" s="685">
        <v>125.0</v>
      </c>
      <c r="AY236" s="685">
        <v>0.0</v>
      </c>
      <c r="AZ236" s="685">
        <v>0.0</v>
      </c>
      <c r="BA236" s="710">
        <v>0.0</v>
      </c>
      <c r="BB236" s="685"/>
      <c r="BC236" s="715" t="s">
        <v>695</v>
      </c>
      <c r="BD236" s="688" t="s">
        <v>3303</v>
      </c>
      <c r="BE236" s="695" t="s">
        <v>3304</v>
      </c>
      <c r="BF236" s="695" t="s">
        <v>3305</v>
      </c>
      <c r="BG236" s="695" t="s">
        <v>3306</v>
      </c>
      <c r="BH236" s="180" t="s">
        <v>3307</v>
      </c>
      <c r="BI236" s="180" t="s">
        <v>3308</v>
      </c>
      <c r="BJ236" s="179"/>
      <c r="BK236" s="685"/>
      <c r="BL236" s="179" t="b">
        <f t="shared" si="26"/>
        <v>1</v>
      </c>
      <c r="BM236" s="179" t="b">
        <f t="shared" si="27"/>
        <v>1</v>
      </c>
      <c r="BN236" s="688" t="b">
        <f t="shared" si="28"/>
        <v>1</v>
      </c>
    </row>
    <row r="237">
      <c r="A237" s="689"/>
      <c r="B237" s="186" t="s">
        <v>3672</v>
      </c>
      <c r="C237" s="676" t="s">
        <v>2113</v>
      </c>
      <c r="D237" s="677">
        <v>224.0</v>
      </c>
      <c r="E237" s="632" t="s">
        <v>3673</v>
      </c>
      <c r="F237" s="678">
        <f t="shared" ref="F237:G237" si="598">H237+J237+L237+N237+P237</f>
        <v>1856.67</v>
      </c>
      <c r="G237" s="679">
        <f t="shared" si="598"/>
        <v>269</v>
      </c>
      <c r="H237" s="641">
        <v>502.67</v>
      </c>
      <c r="I237" s="680">
        <v>-76.0</v>
      </c>
      <c r="J237" s="641">
        <v>336.0</v>
      </c>
      <c r="K237" s="680">
        <v>155.0</v>
      </c>
      <c r="L237" s="641">
        <v>219.0</v>
      </c>
      <c r="M237" s="680">
        <v>80.0</v>
      </c>
      <c r="N237" s="641">
        <v>320.0</v>
      </c>
      <c r="O237" s="680">
        <v>-17.0</v>
      </c>
      <c r="P237" s="641">
        <v>479.0</v>
      </c>
      <c r="Q237" s="680">
        <v>127.0</v>
      </c>
      <c r="R237" s="681" t="s">
        <v>703</v>
      </c>
      <c r="S237" s="682">
        <f t="shared" si="10"/>
        <v>1856.67</v>
      </c>
      <c r="T237" s="683"/>
      <c r="U237" s="625">
        <f t="shared" si="519"/>
        <v>502.67</v>
      </c>
      <c r="V237" s="625">
        <f t="shared" si="520"/>
        <v>336</v>
      </c>
      <c r="W237" s="625">
        <f t="shared" si="521"/>
        <v>219</v>
      </c>
      <c r="X237" s="625">
        <f t="shared" si="522"/>
        <v>320</v>
      </c>
      <c r="Y237" s="625">
        <f t="shared" si="523"/>
        <v>479</v>
      </c>
      <c r="Z237" s="656">
        <f t="shared" si="16"/>
        <v>269</v>
      </c>
      <c r="AA237" s="683"/>
      <c r="AB237" s="625">
        <f t="shared" si="524"/>
        <v>-76</v>
      </c>
      <c r="AC237" s="625">
        <f t="shared" si="525"/>
        <v>155</v>
      </c>
      <c r="AD237" s="625">
        <f t="shared" si="526"/>
        <v>80</v>
      </c>
      <c r="AE237" s="625">
        <f t="shared" si="527"/>
        <v>-17</v>
      </c>
      <c r="AF237" s="625">
        <f t="shared" si="528"/>
        <v>127</v>
      </c>
      <c r="AG237" s="657">
        <f t="shared" si="22"/>
        <v>0.1448830433</v>
      </c>
      <c r="AH237" s="165"/>
      <c r="AI237" s="165">
        <f t="shared" ref="AI237:AM237" si="599">AB237/U237</f>
        <v>-0.1511926313</v>
      </c>
      <c r="AJ237" s="165">
        <f t="shared" si="599"/>
        <v>0.4613095238</v>
      </c>
      <c r="AK237" s="165">
        <f t="shared" si="599"/>
        <v>0.3652968037</v>
      </c>
      <c r="AL237" s="165">
        <f t="shared" si="599"/>
        <v>-0.053125</v>
      </c>
      <c r="AM237" s="165">
        <f t="shared" si="599"/>
        <v>0.2651356994</v>
      </c>
      <c r="AN237" s="684">
        <f t="shared" si="453"/>
        <v>607</v>
      </c>
      <c r="AO237" s="625"/>
      <c r="AP237" s="625">
        <v>0.0</v>
      </c>
      <c r="AQ237" s="625">
        <v>0.0</v>
      </c>
      <c r="AR237" s="625">
        <v>0.0</v>
      </c>
      <c r="AS237" s="625">
        <v>307.0</v>
      </c>
      <c r="AT237" s="625">
        <v>300.0</v>
      </c>
      <c r="AU237" s="684">
        <f t="shared" si="496"/>
        <v>4345</v>
      </c>
      <c r="AV237" s="625"/>
      <c r="AW237" s="625">
        <v>1051.0</v>
      </c>
      <c r="AX237" s="625">
        <v>950.0</v>
      </c>
      <c r="AY237" s="625">
        <v>863.0</v>
      </c>
      <c r="AZ237" s="625">
        <v>778.0</v>
      </c>
      <c r="BA237" s="693">
        <v>703.0</v>
      </c>
      <c r="BB237" s="631"/>
      <c r="BC237" s="189" t="s">
        <v>695</v>
      </c>
      <c r="BD237" s="688" t="s">
        <v>3303</v>
      </c>
      <c r="BE237" s="688" t="s">
        <v>3303</v>
      </c>
      <c r="BF237" s="688" t="s">
        <v>3303</v>
      </c>
      <c r="BG237" s="688" t="s">
        <v>3303</v>
      </c>
      <c r="BH237" s="688" t="s">
        <v>3303</v>
      </c>
      <c r="BI237" s="688" t="s">
        <v>3303</v>
      </c>
      <c r="BJ237" s="179"/>
      <c r="BK237" s="631"/>
      <c r="BL237" s="179" t="b">
        <f t="shared" si="26"/>
        <v>1</v>
      </c>
      <c r="BM237" s="179" t="b">
        <f t="shared" si="27"/>
        <v>1</v>
      </c>
      <c r="BN237" s="688" t="b">
        <f t="shared" si="28"/>
        <v>1</v>
      </c>
    </row>
    <row r="238">
      <c r="A238" s="675" t="s">
        <v>3301</v>
      </c>
      <c r="B238" s="186" t="s">
        <v>3674</v>
      </c>
      <c r="C238" s="676" t="s">
        <v>2113</v>
      </c>
      <c r="D238" s="677">
        <v>235.0</v>
      </c>
      <c r="E238" s="632" t="s">
        <v>905</v>
      </c>
      <c r="F238" s="678">
        <f t="shared" ref="F238:G238" si="600">H238+J238+L238+N238+P238</f>
        <v>22832</v>
      </c>
      <c r="G238" s="679">
        <f t="shared" si="600"/>
        <v>4607</v>
      </c>
      <c r="H238" s="641">
        <v>4569.0</v>
      </c>
      <c r="I238" s="680">
        <v>1145.0</v>
      </c>
      <c r="J238" s="641">
        <v>3743.0</v>
      </c>
      <c r="K238" s="680">
        <v>895.0</v>
      </c>
      <c r="L238" s="641">
        <v>6276.0</v>
      </c>
      <c r="M238" s="680">
        <v>843.0</v>
      </c>
      <c r="N238" s="641">
        <v>3878.0</v>
      </c>
      <c r="O238" s="680">
        <v>949.0</v>
      </c>
      <c r="P238" s="641">
        <v>4366.0</v>
      </c>
      <c r="Q238" s="680">
        <v>775.0</v>
      </c>
      <c r="R238" s="681" t="s">
        <v>700</v>
      </c>
      <c r="S238" s="682">
        <f t="shared" si="10"/>
        <v>22832</v>
      </c>
      <c r="T238" s="683"/>
      <c r="U238" s="625">
        <f t="shared" si="519"/>
        <v>4569</v>
      </c>
      <c r="V238" s="625">
        <f t="shared" si="520"/>
        <v>3743</v>
      </c>
      <c r="W238" s="625">
        <f t="shared" si="521"/>
        <v>6276</v>
      </c>
      <c r="X238" s="625">
        <f t="shared" si="522"/>
        <v>3878</v>
      </c>
      <c r="Y238" s="625">
        <f t="shared" si="523"/>
        <v>4366</v>
      </c>
      <c r="Z238" s="656">
        <f t="shared" si="16"/>
        <v>4607</v>
      </c>
      <c r="AA238" s="683"/>
      <c r="AB238" s="625">
        <f t="shared" si="524"/>
        <v>1145</v>
      </c>
      <c r="AC238" s="625">
        <f t="shared" si="525"/>
        <v>895</v>
      </c>
      <c r="AD238" s="625">
        <f t="shared" si="526"/>
        <v>843</v>
      </c>
      <c r="AE238" s="625">
        <f t="shared" si="527"/>
        <v>949</v>
      </c>
      <c r="AF238" s="625">
        <f t="shared" si="528"/>
        <v>775</v>
      </c>
      <c r="AG238" s="657">
        <f t="shared" si="22"/>
        <v>0.201778206</v>
      </c>
      <c r="AH238" s="165"/>
      <c r="AI238" s="165">
        <f t="shared" ref="AI238:AM238" si="601">AB238/U238</f>
        <v>0.2506018822</v>
      </c>
      <c r="AJ238" s="165">
        <f t="shared" si="601"/>
        <v>0.239113011</v>
      </c>
      <c r="AK238" s="165">
        <f t="shared" si="601"/>
        <v>0.1343212237</v>
      </c>
      <c r="AL238" s="165">
        <f t="shared" si="601"/>
        <v>0.24471377</v>
      </c>
      <c r="AM238" s="165">
        <f t="shared" si="601"/>
        <v>0.1775080165</v>
      </c>
      <c r="AN238" s="684">
        <f t="shared" si="453"/>
        <v>12667</v>
      </c>
      <c r="AO238" s="641">
        <v>1112.0</v>
      </c>
      <c r="AP238" s="641">
        <v>3320.0</v>
      </c>
      <c r="AQ238" s="641">
        <v>2876.0</v>
      </c>
      <c r="AR238" s="641">
        <v>985.0</v>
      </c>
      <c r="AS238" s="641">
        <v>3618.0</v>
      </c>
      <c r="AT238" s="641">
        <v>1868.0</v>
      </c>
      <c r="AU238" s="684">
        <f t="shared" si="496"/>
        <v>2569</v>
      </c>
      <c r="AV238" s="641">
        <v>406.0</v>
      </c>
      <c r="AW238" s="625">
        <v>434.0</v>
      </c>
      <c r="AX238" s="625">
        <v>500.0</v>
      </c>
      <c r="AY238" s="625">
        <v>520.0</v>
      </c>
      <c r="AZ238" s="625">
        <v>581.0</v>
      </c>
      <c r="BA238" s="693">
        <v>534.0</v>
      </c>
      <c r="BB238" s="631"/>
      <c r="BC238" s="189" t="s">
        <v>695</v>
      </c>
      <c r="BD238" s="186" t="s">
        <v>3303</v>
      </c>
      <c r="BE238" s="179" t="s">
        <v>3304</v>
      </c>
      <c r="BF238" s="179" t="s">
        <v>3305</v>
      </c>
      <c r="BG238" s="179" t="s">
        <v>3306</v>
      </c>
      <c r="BH238" s="179" t="s">
        <v>3307</v>
      </c>
      <c r="BI238" s="179" t="s">
        <v>3308</v>
      </c>
      <c r="BJ238" s="179"/>
      <c r="BK238" s="631"/>
      <c r="BL238" s="179" t="b">
        <f t="shared" si="26"/>
        <v>1</v>
      </c>
      <c r="BM238" s="179" t="b">
        <f t="shared" si="27"/>
        <v>1</v>
      </c>
      <c r="BN238" s="688" t="b">
        <f t="shared" si="28"/>
        <v>0</v>
      </c>
    </row>
    <row r="239">
      <c r="A239" s="696" t="s">
        <v>1534</v>
      </c>
      <c r="B239" s="186" t="s">
        <v>3675</v>
      </c>
      <c r="C239" s="676" t="s">
        <v>2113</v>
      </c>
      <c r="D239" s="737">
        <v>51.5</v>
      </c>
      <c r="E239" s="632" t="s">
        <v>13</v>
      </c>
      <c r="F239" s="678">
        <f t="shared" ref="F239:G239" si="602">H239+J239+L239+N239+P239</f>
        <v>17916.13</v>
      </c>
      <c r="G239" s="679">
        <f t="shared" si="602"/>
        <v>-80</v>
      </c>
      <c r="H239" s="641">
        <v>3052.0</v>
      </c>
      <c r="I239" s="680">
        <v>-22.0</v>
      </c>
      <c r="J239" s="641">
        <v>3312.0</v>
      </c>
      <c r="K239" s="680">
        <v>22.0</v>
      </c>
      <c r="L239" s="641">
        <v>3428.86</v>
      </c>
      <c r="M239" s="680">
        <v>-17.0</v>
      </c>
      <c r="N239" s="641">
        <v>4493.22</v>
      </c>
      <c r="O239" s="680">
        <v>-24.0</v>
      </c>
      <c r="P239" s="641">
        <v>3630.05</v>
      </c>
      <c r="Q239" s="680">
        <v>-39.0</v>
      </c>
      <c r="R239" s="681" t="s">
        <v>701</v>
      </c>
      <c r="S239" s="682">
        <f t="shared" si="10"/>
        <v>17916.13</v>
      </c>
      <c r="T239" s="683"/>
      <c r="U239" s="625">
        <f t="shared" si="519"/>
        <v>3052</v>
      </c>
      <c r="V239" s="625">
        <f t="shared" si="520"/>
        <v>3312</v>
      </c>
      <c r="W239" s="625">
        <f t="shared" si="521"/>
        <v>3428.86</v>
      </c>
      <c r="X239" s="625">
        <f t="shared" si="522"/>
        <v>4493.22</v>
      </c>
      <c r="Y239" s="625">
        <f t="shared" si="523"/>
        <v>3630.05</v>
      </c>
      <c r="Z239" s="656">
        <f t="shared" si="16"/>
        <v>-80</v>
      </c>
      <c r="AA239" s="683"/>
      <c r="AB239" s="625">
        <f t="shared" si="524"/>
        <v>-22</v>
      </c>
      <c r="AC239" s="625">
        <f t="shared" si="525"/>
        <v>22</v>
      </c>
      <c r="AD239" s="625">
        <f t="shared" si="526"/>
        <v>-17</v>
      </c>
      <c r="AE239" s="625">
        <f t="shared" si="527"/>
        <v>-24</v>
      </c>
      <c r="AF239" s="625">
        <f t="shared" si="528"/>
        <v>-39</v>
      </c>
      <c r="AG239" s="657">
        <f t="shared" si="22"/>
        <v>-0.004465250029</v>
      </c>
      <c r="AH239" s="165"/>
      <c r="AI239" s="165">
        <f t="shared" ref="AI239:AM239" si="603">AB239/U239</f>
        <v>-0.007208387942</v>
      </c>
      <c r="AJ239" s="165">
        <f t="shared" si="603"/>
        <v>0.006642512077</v>
      </c>
      <c r="AK239" s="165">
        <f t="shared" si="603"/>
        <v>-0.004957916042</v>
      </c>
      <c r="AL239" s="165">
        <f t="shared" si="603"/>
        <v>-0.005341381014</v>
      </c>
      <c r="AM239" s="165">
        <f t="shared" si="603"/>
        <v>-0.01074365367</v>
      </c>
      <c r="AN239" s="684">
        <f t="shared" si="453"/>
        <v>23607</v>
      </c>
      <c r="AO239" s="641">
        <v>13074.0</v>
      </c>
      <c r="AP239" s="641">
        <v>3000.0</v>
      </c>
      <c r="AQ239" s="180">
        <v>0.0</v>
      </c>
      <c r="AR239" s="641">
        <v>19536.0</v>
      </c>
      <c r="AS239" s="180">
        <v>0.0</v>
      </c>
      <c r="AT239" s="641">
        <v>1071.0</v>
      </c>
      <c r="AU239" s="684">
        <f t="shared" si="496"/>
        <v>0</v>
      </c>
      <c r="AV239" s="685">
        <v>747.0</v>
      </c>
      <c r="AW239" s="180">
        <v>0.0</v>
      </c>
      <c r="AX239" s="180">
        <v>0.0</v>
      </c>
      <c r="AY239" s="180">
        <v>0.0</v>
      </c>
      <c r="AZ239" s="180">
        <v>0.0</v>
      </c>
      <c r="BA239" s="686">
        <v>0.0</v>
      </c>
      <c r="BB239" s="631"/>
      <c r="BC239" s="189" t="s">
        <v>695</v>
      </c>
      <c r="BD239" s="186" t="s">
        <v>3303</v>
      </c>
      <c r="BE239" s="688" t="s">
        <v>3303</v>
      </c>
      <c r="BF239" s="688" t="s">
        <v>3303</v>
      </c>
      <c r="BG239" s="688" t="s">
        <v>3303</v>
      </c>
      <c r="BH239" s="688" t="s">
        <v>3303</v>
      </c>
      <c r="BI239" s="688" t="s">
        <v>3303</v>
      </c>
      <c r="BJ239" s="179"/>
      <c r="BK239" s="631"/>
      <c r="BL239" s="179" t="b">
        <f t="shared" si="26"/>
        <v>1</v>
      </c>
      <c r="BM239" s="179" t="b">
        <f t="shared" si="27"/>
        <v>1</v>
      </c>
      <c r="BN239" s="688" t="b">
        <f t="shared" si="28"/>
        <v>1</v>
      </c>
    </row>
    <row r="240">
      <c r="A240" s="675" t="s">
        <v>3301</v>
      </c>
      <c r="B240" s="186" t="s">
        <v>3676</v>
      </c>
      <c r="C240" s="676" t="s">
        <v>1578</v>
      </c>
      <c r="D240" s="677">
        <v>33.0</v>
      </c>
      <c r="E240" s="632" t="s">
        <v>897</v>
      </c>
      <c r="F240" s="678">
        <f t="shared" ref="F240:G240" si="604">H240+J240+L240+N240+P240</f>
        <v>20635</v>
      </c>
      <c r="G240" s="679">
        <f t="shared" si="604"/>
        <v>2833</v>
      </c>
      <c r="H240" s="641">
        <v>2085.0</v>
      </c>
      <c r="I240" s="680">
        <v>-84.0</v>
      </c>
      <c r="J240" s="641">
        <v>7686.0</v>
      </c>
      <c r="K240" s="680">
        <v>1111.0</v>
      </c>
      <c r="L240" s="641">
        <v>4501.0</v>
      </c>
      <c r="M240" s="680">
        <v>1013.0</v>
      </c>
      <c r="N240" s="641">
        <v>3368.0</v>
      </c>
      <c r="O240" s="680">
        <v>536.0</v>
      </c>
      <c r="P240" s="641">
        <v>2995.0</v>
      </c>
      <c r="Q240" s="680">
        <v>257.0</v>
      </c>
      <c r="R240" s="681" t="s">
        <v>719</v>
      </c>
      <c r="S240" s="682">
        <f t="shared" si="10"/>
        <v>20635</v>
      </c>
      <c r="T240" s="683"/>
      <c r="U240" s="625">
        <f t="shared" si="519"/>
        <v>2085</v>
      </c>
      <c r="V240" s="625">
        <f t="shared" si="520"/>
        <v>7686</v>
      </c>
      <c r="W240" s="625">
        <f t="shared" si="521"/>
        <v>4501</v>
      </c>
      <c r="X240" s="625">
        <f t="shared" si="522"/>
        <v>3368</v>
      </c>
      <c r="Y240" s="625">
        <f t="shared" si="523"/>
        <v>2995</v>
      </c>
      <c r="Z240" s="656">
        <f t="shared" si="16"/>
        <v>2833</v>
      </c>
      <c r="AA240" s="683"/>
      <c r="AB240" s="625">
        <f t="shared" si="524"/>
        <v>-84</v>
      </c>
      <c r="AC240" s="625">
        <f t="shared" si="525"/>
        <v>1111</v>
      </c>
      <c r="AD240" s="625">
        <f t="shared" si="526"/>
        <v>1013</v>
      </c>
      <c r="AE240" s="625">
        <f t="shared" si="527"/>
        <v>536</v>
      </c>
      <c r="AF240" s="625">
        <f t="shared" si="528"/>
        <v>257</v>
      </c>
      <c r="AG240" s="657">
        <f t="shared" si="22"/>
        <v>0.1372910104</v>
      </c>
      <c r="AH240" s="165"/>
      <c r="AI240" s="165">
        <f t="shared" ref="AI240:AM240" si="605">AB240/U240</f>
        <v>-0.04028776978</v>
      </c>
      <c r="AJ240" s="165">
        <f t="shared" si="605"/>
        <v>0.1445485298</v>
      </c>
      <c r="AK240" s="165">
        <f t="shared" si="605"/>
        <v>0.2250610975</v>
      </c>
      <c r="AL240" s="165">
        <f t="shared" si="605"/>
        <v>0.1591448931</v>
      </c>
      <c r="AM240" s="165">
        <f t="shared" si="605"/>
        <v>0.0858096828</v>
      </c>
      <c r="AN240" s="684">
        <f t="shared" si="453"/>
        <v>14616</v>
      </c>
      <c r="AO240" s="180"/>
      <c r="AP240" s="180">
        <v>2826.0</v>
      </c>
      <c r="AQ240" s="180">
        <v>7356.0</v>
      </c>
      <c r="AR240" s="180">
        <v>745.0</v>
      </c>
      <c r="AS240" s="180">
        <v>1565.0</v>
      </c>
      <c r="AT240" s="180">
        <v>2124.0</v>
      </c>
      <c r="AU240" s="684">
        <f t="shared" si="496"/>
        <v>7392</v>
      </c>
      <c r="AV240" s="180"/>
      <c r="AW240" s="180">
        <v>1836.0</v>
      </c>
      <c r="AX240" s="180">
        <v>1548.0</v>
      </c>
      <c r="AY240" s="180">
        <v>1343.0</v>
      </c>
      <c r="AZ240" s="180">
        <v>1330.0</v>
      </c>
      <c r="BA240" s="686">
        <v>1335.0</v>
      </c>
      <c r="BB240" s="631"/>
      <c r="BC240" s="186" t="s">
        <v>695</v>
      </c>
      <c r="BD240" s="688" t="s">
        <v>3303</v>
      </c>
      <c r="BE240" s="186" t="s">
        <v>3304</v>
      </c>
      <c r="BF240" s="186" t="s">
        <v>3305</v>
      </c>
      <c r="BG240" s="186" t="s">
        <v>3306</v>
      </c>
      <c r="BH240" s="186" t="s">
        <v>3307</v>
      </c>
      <c r="BI240" s="186" t="s">
        <v>3308</v>
      </c>
      <c r="BJ240" s="179"/>
      <c r="BK240" s="631"/>
      <c r="BL240" s="179" t="b">
        <f t="shared" si="26"/>
        <v>1</v>
      </c>
      <c r="BM240" s="179" t="b">
        <f t="shared" si="27"/>
        <v>1</v>
      </c>
      <c r="BN240" s="688" t="b">
        <f t="shared" si="28"/>
        <v>1</v>
      </c>
    </row>
    <row r="241">
      <c r="A241" s="696" t="s">
        <v>1534</v>
      </c>
      <c r="B241" s="186" t="s">
        <v>3677</v>
      </c>
      <c r="C241" s="676" t="s">
        <v>2113</v>
      </c>
      <c r="D241" s="677">
        <v>457.0</v>
      </c>
      <c r="E241" s="632" t="s">
        <v>70</v>
      </c>
      <c r="F241" s="678">
        <f t="shared" ref="F241:G241" si="606">H241+J241+L241+N241+P241</f>
        <v>3075.88</v>
      </c>
      <c r="G241" s="679">
        <f t="shared" si="606"/>
        <v>331.63</v>
      </c>
      <c r="H241" s="641">
        <v>1344.54</v>
      </c>
      <c r="I241" s="680">
        <v>203.12</v>
      </c>
      <c r="J241" s="641">
        <v>839.62</v>
      </c>
      <c r="K241" s="680">
        <v>73.09</v>
      </c>
      <c r="L241" s="641">
        <v>312.38</v>
      </c>
      <c r="M241" s="680">
        <v>11.62</v>
      </c>
      <c r="N241" s="641">
        <v>312.43</v>
      </c>
      <c r="O241" s="680">
        <v>54.37</v>
      </c>
      <c r="P241" s="641">
        <v>266.91</v>
      </c>
      <c r="Q241" s="680">
        <v>-10.57</v>
      </c>
      <c r="R241" s="681" t="s">
        <v>723</v>
      </c>
      <c r="S241" s="682">
        <f t="shared" si="10"/>
        <v>3075.88</v>
      </c>
      <c r="T241" s="683"/>
      <c r="U241" s="625">
        <f t="shared" si="519"/>
        <v>1344.54</v>
      </c>
      <c r="V241" s="625">
        <f t="shared" si="520"/>
        <v>839.62</v>
      </c>
      <c r="W241" s="625">
        <f t="shared" si="521"/>
        <v>312.38</v>
      </c>
      <c r="X241" s="625">
        <f t="shared" si="522"/>
        <v>312.43</v>
      </c>
      <c r="Y241" s="625">
        <f t="shared" si="523"/>
        <v>266.91</v>
      </c>
      <c r="Z241" s="656">
        <f t="shared" si="16"/>
        <v>331.63</v>
      </c>
      <c r="AA241" s="683"/>
      <c r="AB241" s="625">
        <f t="shared" si="524"/>
        <v>203.12</v>
      </c>
      <c r="AC241" s="625">
        <f t="shared" si="525"/>
        <v>73.09</v>
      </c>
      <c r="AD241" s="625">
        <f t="shared" si="526"/>
        <v>11.62</v>
      </c>
      <c r="AE241" s="625">
        <f t="shared" si="527"/>
        <v>54.37</v>
      </c>
      <c r="AF241" s="625">
        <f t="shared" si="528"/>
        <v>-10.57</v>
      </c>
      <c r="AG241" s="657">
        <f t="shared" si="22"/>
        <v>0.1078162997</v>
      </c>
      <c r="AH241" s="165"/>
      <c r="AI241" s="165">
        <f t="shared" ref="AI241:AM241" si="607">AB241/U241</f>
        <v>0.1510702545</v>
      </c>
      <c r="AJ241" s="165">
        <f t="shared" si="607"/>
        <v>0.08705128511</v>
      </c>
      <c r="AK241" s="165">
        <f t="shared" si="607"/>
        <v>0.03719828414</v>
      </c>
      <c r="AL241" s="165">
        <f t="shared" si="607"/>
        <v>0.1740229811</v>
      </c>
      <c r="AM241" s="165">
        <f t="shared" si="607"/>
        <v>-0.03960136376</v>
      </c>
      <c r="AN241" s="684">
        <f t="shared" si="453"/>
        <v>2025</v>
      </c>
      <c r="AO241" s="625"/>
      <c r="AP241" s="625">
        <v>376.0</v>
      </c>
      <c r="AQ241" s="625">
        <v>281.0</v>
      </c>
      <c r="AR241" s="625">
        <v>103.0</v>
      </c>
      <c r="AS241" s="625">
        <v>157.0</v>
      </c>
      <c r="AT241" s="625">
        <v>1108.0</v>
      </c>
      <c r="AU241" s="684">
        <f t="shared" si="496"/>
        <v>0</v>
      </c>
      <c r="AV241" s="180"/>
      <c r="AW241" s="180">
        <v>0.0</v>
      </c>
      <c r="AX241" s="180">
        <v>0.0</v>
      </c>
      <c r="AY241" s="180">
        <v>0.0</v>
      </c>
      <c r="AZ241" s="180">
        <v>0.0</v>
      </c>
      <c r="BA241" s="686">
        <v>0.0</v>
      </c>
      <c r="BB241" s="631"/>
      <c r="BC241" s="189" t="s">
        <v>695</v>
      </c>
      <c r="BD241" s="688" t="s">
        <v>3303</v>
      </c>
      <c r="BE241" s="179" t="s">
        <v>3304</v>
      </c>
      <c r="BF241" s="179" t="s">
        <v>3305</v>
      </c>
      <c r="BG241" s="179" t="s">
        <v>3306</v>
      </c>
      <c r="BH241" s="179" t="s">
        <v>3307</v>
      </c>
      <c r="BI241" s="179" t="s">
        <v>3308</v>
      </c>
      <c r="BJ241" s="179"/>
      <c r="BK241" s="631"/>
      <c r="BL241" s="179" t="b">
        <f t="shared" si="26"/>
        <v>1</v>
      </c>
      <c r="BM241" s="179" t="b">
        <f t="shared" si="27"/>
        <v>1</v>
      </c>
      <c r="BN241" s="688" t="b">
        <f t="shared" si="28"/>
        <v>0</v>
      </c>
    </row>
    <row r="242">
      <c r="A242" s="675" t="s">
        <v>3333</v>
      </c>
      <c r="B242" s="186" t="s">
        <v>3678</v>
      </c>
      <c r="C242" s="676" t="s">
        <v>2113</v>
      </c>
      <c r="D242" s="677">
        <v>50.0</v>
      </c>
      <c r="E242" s="714" t="s">
        <v>35</v>
      </c>
      <c r="F242" s="678"/>
      <c r="G242" s="679"/>
      <c r="H242" s="641"/>
      <c r="I242" s="680"/>
      <c r="J242" s="641"/>
      <c r="K242" s="680"/>
      <c r="L242" s="641"/>
      <c r="M242" s="680"/>
      <c r="N242" s="641"/>
      <c r="O242" s="680"/>
      <c r="P242" s="641"/>
      <c r="Q242" s="680"/>
      <c r="R242" s="632"/>
      <c r="S242" s="682">
        <f t="shared" si="10"/>
        <v>4426</v>
      </c>
      <c r="T242" s="625"/>
      <c r="U242" s="625">
        <f>5524+12-62</f>
        <v>5474</v>
      </c>
      <c r="V242" s="641">
        <f>-130-9</f>
        <v>-139</v>
      </c>
      <c r="W242" s="641">
        <f>-198-4</f>
        <v>-202</v>
      </c>
      <c r="X242" s="641">
        <f>-287-5</f>
        <v>-292</v>
      </c>
      <c r="Y242" s="641">
        <f>-412-3</f>
        <v>-415</v>
      </c>
      <c r="Z242" s="656">
        <f t="shared" si="16"/>
        <v>-1</v>
      </c>
      <c r="AA242" s="641"/>
      <c r="AB242" s="641">
        <v>0.0</v>
      </c>
      <c r="AC242" s="641">
        <v>0.0</v>
      </c>
      <c r="AD242" s="641">
        <v>0.0</v>
      </c>
      <c r="AE242" s="641">
        <v>0.0</v>
      </c>
      <c r="AF242" s="641">
        <v>-1.0</v>
      </c>
      <c r="AG242" s="657">
        <f t="shared" si="22"/>
        <v>-0.0002259376412</v>
      </c>
      <c r="AH242" s="165"/>
      <c r="AI242" s="165">
        <f t="shared" ref="AI242:AM242" si="608">AB242/U242</f>
        <v>0</v>
      </c>
      <c r="AJ242" s="165">
        <f t="shared" si="608"/>
        <v>0</v>
      </c>
      <c r="AK242" s="165">
        <f t="shared" si="608"/>
        <v>0</v>
      </c>
      <c r="AL242" s="165">
        <f t="shared" si="608"/>
        <v>0</v>
      </c>
      <c r="AM242" s="165">
        <f t="shared" si="608"/>
        <v>0.002409638554</v>
      </c>
      <c r="AN242" s="684">
        <f t="shared" si="453"/>
        <v>0</v>
      </c>
      <c r="AO242" s="180">
        <v>0.0</v>
      </c>
      <c r="AP242" s="180">
        <v>0.0</v>
      </c>
      <c r="AQ242" s="180">
        <v>0.0</v>
      </c>
      <c r="AR242" s="180">
        <v>0.0</v>
      </c>
      <c r="AS242" s="180">
        <v>0.0</v>
      </c>
      <c r="AT242" s="180">
        <v>0.0</v>
      </c>
      <c r="AU242" s="684">
        <f t="shared" si="496"/>
        <v>0</v>
      </c>
      <c r="AV242" s="180">
        <v>0.0</v>
      </c>
      <c r="AW242" s="180">
        <v>0.0</v>
      </c>
      <c r="AX242" s="180">
        <v>0.0</v>
      </c>
      <c r="AY242" s="180">
        <v>0.0</v>
      </c>
      <c r="AZ242" s="180">
        <v>0.0</v>
      </c>
      <c r="BA242" s="686">
        <v>0.0</v>
      </c>
      <c r="BB242" s="685"/>
      <c r="BC242" s="715" t="s">
        <v>695</v>
      </c>
      <c r="BD242" s="186" t="s">
        <v>3303</v>
      </c>
      <c r="BE242" s="695" t="s">
        <v>3304</v>
      </c>
      <c r="BF242" s="695" t="s">
        <v>3305</v>
      </c>
      <c r="BG242" s="695" t="s">
        <v>3306</v>
      </c>
      <c r="BH242" s="180" t="s">
        <v>3307</v>
      </c>
      <c r="BI242" s="180" t="s">
        <v>3308</v>
      </c>
      <c r="BJ242" s="179"/>
      <c r="BK242" s="685"/>
      <c r="BL242" s="179" t="b">
        <f t="shared" si="26"/>
        <v>1</v>
      </c>
      <c r="BM242" s="179" t="b">
        <f t="shared" si="27"/>
        <v>1</v>
      </c>
      <c r="BN242" s="688" t="b">
        <f t="shared" si="28"/>
        <v>1</v>
      </c>
    </row>
    <row r="243">
      <c r="A243" s="675" t="s">
        <v>3301</v>
      </c>
      <c r="B243" s="186" t="s">
        <v>3679</v>
      </c>
      <c r="C243" s="676" t="s">
        <v>2113</v>
      </c>
      <c r="D243" s="677">
        <v>200.0</v>
      </c>
      <c r="E243" s="632" t="s">
        <v>878</v>
      </c>
      <c r="F243" s="678">
        <f t="shared" ref="F243:G243" si="609">H243+J243+L243+N243+P243</f>
        <v>32843</v>
      </c>
      <c r="G243" s="679">
        <f t="shared" si="609"/>
        <v>3975.26</v>
      </c>
      <c r="H243" s="641">
        <v>9095.0</v>
      </c>
      <c r="I243" s="680">
        <v>1235.0</v>
      </c>
      <c r="J243" s="641">
        <v>7980.0</v>
      </c>
      <c r="K243" s="680">
        <v>948.0</v>
      </c>
      <c r="L243" s="641">
        <v>5200.0</v>
      </c>
      <c r="M243" s="680">
        <v>357.0</v>
      </c>
      <c r="N243" s="641">
        <v>4903.0</v>
      </c>
      <c r="O243" s="680">
        <v>483.0</v>
      </c>
      <c r="P243" s="641">
        <v>5665.0</v>
      </c>
      <c r="Q243" s="680">
        <v>952.26</v>
      </c>
      <c r="R243" s="681" t="s">
        <v>693</v>
      </c>
      <c r="S243" s="682">
        <f t="shared" si="10"/>
        <v>32843</v>
      </c>
      <c r="T243" s="683"/>
      <c r="U243" s="625">
        <f t="shared" ref="U243:U256" si="612">H243</f>
        <v>9095</v>
      </c>
      <c r="V243" s="625">
        <f t="shared" ref="V243:V256" si="613">J243</f>
        <v>7980</v>
      </c>
      <c r="W243" s="625">
        <f t="shared" ref="W243:W256" si="614">L243</f>
        <v>5200</v>
      </c>
      <c r="X243" s="625">
        <f t="shared" ref="X243:X256" si="615">N243</f>
        <v>4903</v>
      </c>
      <c r="Y243" s="625">
        <f t="shared" ref="Y243:Y256" si="616">P243</f>
        <v>5665</v>
      </c>
      <c r="Z243" s="656">
        <f t="shared" si="16"/>
        <v>3975.26</v>
      </c>
      <c r="AA243" s="683"/>
      <c r="AB243" s="625">
        <f t="shared" ref="AB243:AB256" si="617">I243</f>
        <v>1235</v>
      </c>
      <c r="AC243" s="625">
        <f t="shared" ref="AC243:AC256" si="618">K243</f>
        <v>948</v>
      </c>
      <c r="AD243" s="625">
        <f t="shared" ref="AD243:AD256" si="619">M243</f>
        <v>357</v>
      </c>
      <c r="AE243" s="625">
        <f t="shared" ref="AE243:AE256" si="620">O243</f>
        <v>483</v>
      </c>
      <c r="AF243" s="625">
        <f t="shared" ref="AF243:AF256" si="621">Q243</f>
        <v>952.26</v>
      </c>
      <c r="AG243" s="657">
        <f t="shared" si="22"/>
        <v>0.121038273</v>
      </c>
      <c r="AH243" s="165"/>
      <c r="AI243" s="165">
        <f t="shared" ref="AI243:AM243" si="610">AB243/U243</f>
        <v>0.135788895</v>
      </c>
      <c r="AJ243" s="165">
        <f t="shared" si="610"/>
        <v>0.1187969925</v>
      </c>
      <c r="AK243" s="165">
        <f t="shared" si="610"/>
        <v>0.06865384615</v>
      </c>
      <c r="AL243" s="165">
        <f t="shared" si="610"/>
        <v>0.09851111564</v>
      </c>
      <c r="AM243" s="165">
        <f t="shared" si="610"/>
        <v>0.1680953222</v>
      </c>
      <c r="AN243" s="684">
        <f t="shared" si="453"/>
        <v>14755</v>
      </c>
      <c r="AO243" s="641">
        <v>293.0</v>
      </c>
      <c r="AP243" s="641">
        <v>3615.0</v>
      </c>
      <c r="AQ243" s="641">
        <v>527.0</v>
      </c>
      <c r="AR243" s="738">
        <v>2553.0</v>
      </c>
      <c r="AS243" s="641">
        <v>2960.0</v>
      </c>
      <c r="AT243" s="641">
        <v>5100.0</v>
      </c>
      <c r="AU243" s="684">
        <f t="shared" si="496"/>
        <v>17172</v>
      </c>
      <c r="AV243" s="641">
        <v>4557.0</v>
      </c>
      <c r="AW243" s="625">
        <v>4297.0</v>
      </c>
      <c r="AX243" s="625">
        <v>3886.0</v>
      </c>
      <c r="AY243" s="625">
        <v>3426.0</v>
      </c>
      <c r="AZ243" s="625">
        <v>3008.0</v>
      </c>
      <c r="BA243" s="693">
        <v>2555.0</v>
      </c>
      <c r="BB243" s="631"/>
      <c r="BC243" s="189" t="s">
        <v>695</v>
      </c>
      <c r="BD243" s="186" t="s">
        <v>3303</v>
      </c>
      <c r="BE243" s="179" t="s">
        <v>3304</v>
      </c>
      <c r="BF243" s="179" t="s">
        <v>3305</v>
      </c>
      <c r="BG243" s="179" t="s">
        <v>3306</v>
      </c>
      <c r="BH243" s="179" t="s">
        <v>3307</v>
      </c>
      <c r="BI243" s="179" t="s">
        <v>3308</v>
      </c>
      <c r="BJ243" s="179"/>
      <c r="BK243" s="631"/>
      <c r="BL243" s="179" t="b">
        <f t="shared" si="26"/>
        <v>1</v>
      </c>
      <c r="BM243" s="179" t="b">
        <f t="shared" si="27"/>
        <v>1</v>
      </c>
      <c r="BN243" s="688" t="b">
        <f t="shared" si="28"/>
        <v>1</v>
      </c>
    </row>
    <row r="244">
      <c r="A244" s="696" t="s">
        <v>1534</v>
      </c>
      <c r="B244" s="186" t="s">
        <v>3680</v>
      </c>
      <c r="C244" s="676" t="s">
        <v>2113</v>
      </c>
      <c r="D244" s="677">
        <v>318.0</v>
      </c>
      <c r="E244" s="632" t="s">
        <v>72</v>
      </c>
      <c r="F244" s="678">
        <f t="shared" ref="F244:G244" si="611">H244+J244+L244+N244+P244</f>
        <v>2863</v>
      </c>
      <c r="G244" s="679">
        <f t="shared" si="611"/>
        <v>267</v>
      </c>
      <c r="H244" s="641">
        <v>777.0</v>
      </c>
      <c r="I244" s="680">
        <v>272.0</v>
      </c>
      <c r="J244" s="641">
        <v>684.0</v>
      </c>
      <c r="K244" s="680">
        <v>41.0</v>
      </c>
      <c r="L244" s="641">
        <v>202.0</v>
      </c>
      <c r="M244" s="680">
        <v>-1.0</v>
      </c>
      <c r="N244" s="641">
        <v>652.0</v>
      </c>
      <c r="O244" s="680">
        <v>-48.0</v>
      </c>
      <c r="P244" s="641">
        <v>548.0</v>
      </c>
      <c r="Q244" s="680">
        <v>3.0</v>
      </c>
      <c r="R244" s="681" t="s">
        <v>721</v>
      </c>
      <c r="S244" s="682">
        <f t="shared" si="10"/>
        <v>2863</v>
      </c>
      <c r="T244" s="683"/>
      <c r="U244" s="625">
        <f t="shared" si="612"/>
        <v>777</v>
      </c>
      <c r="V244" s="625">
        <f t="shared" si="613"/>
        <v>684</v>
      </c>
      <c r="W244" s="625">
        <f t="shared" si="614"/>
        <v>202</v>
      </c>
      <c r="X244" s="625">
        <f t="shared" si="615"/>
        <v>652</v>
      </c>
      <c r="Y244" s="625">
        <f t="shared" si="616"/>
        <v>548</v>
      </c>
      <c r="Z244" s="656">
        <f t="shared" si="16"/>
        <v>267</v>
      </c>
      <c r="AA244" s="683"/>
      <c r="AB244" s="625">
        <f t="shared" si="617"/>
        <v>272</v>
      </c>
      <c r="AC244" s="625">
        <f t="shared" si="618"/>
        <v>41</v>
      </c>
      <c r="AD244" s="625">
        <f t="shared" si="619"/>
        <v>-1</v>
      </c>
      <c r="AE244" s="625">
        <f t="shared" si="620"/>
        <v>-48</v>
      </c>
      <c r="AF244" s="625">
        <f t="shared" si="621"/>
        <v>3</v>
      </c>
      <c r="AG244" s="657">
        <f t="shared" si="22"/>
        <v>0.09325881942</v>
      </c>
      <c r="AH244" s="165"/>
      <c r="AI244" s="165">
        <f t="shared" ref="AI244:AM244" si="622">AB244/U244</f>
        <v>0.3500643501</v>
      </c>
      <c r="AJ244" s="165">
        <f t="shared" si="622"/>
        <v>0.05994152047</v>
      </c>
      <c r="AK244" s="165">
        <f t="shared" si="622"/>
        <v>-0.00495049505</v>
      </c>
      <c r="AL244" s="165">
        <f t="shared" si="622"/>
        <v>-0.0736196319</v>
      </c>
      <c r="AM244" s="165">
        <f t="shared" si="622"/>
        <v>0.005474452555</v>
      </c>
      <c r="AN244" s="684">
        <f t="shared" si="453"/>
        <v>4257</v>
      </c>
      <c r="AO244" s="625"/>
      <c r="AP244" s="625">
        <v>867.0</v>
      </c>
      <c r="AQ244" s="625">
        <v>921.0</v>
      </c>
      <c r="AR244" s="625">
        <v>183.0</v>
      </c>
      <c r="AS244" s="625">
        <v>503.0</v>
      </c>
      <c r="AT244" s="625">
        <v>1783.0</v>
      </c>
      <c r="AU244" s="684">
        <f t="shared" si="496"/>
        <v>91</v>
      </c>
      <c r="AV244" s="625"/>
      <c r="AW244" s="625">
        <v>17.0</v>
      </c>
      <c r="AX244" s="625">
        <v>18.0</v>
      </c>
      <c r="AY244" s="625">
        <v>18.0</v>
      </c>
      <c r="AZ244" s="625">
        <v>18.0</v>
      </c>
      <c r="BA244" s="693">
        <v>20.0</v>
      </c>
      <c r="BB244" s="631"/>
      <c r="BC244" s="189" t="s">
        <v>695</v>
      </c>
      <c r="BD244" s="186" t="s">
        <v>3303</v>
      </c>
      <c r="BE244" s="179" t="s">
        <v>3304</v>
      </c>
      <c r="BF244" s="179" t="s">
        <v>3305</v>
      </c>
      <c r="BG244" s="179" t="s">
        <v>3306</v>
      </c>
      <c r="BH244" s="179" t="s">
        <v>3307</v>
      </c>
      <c r="BI244" s="179" t="s">
        <v>3308</v>
      </c>
      <c r="BJ244" s="179"/>
      <c r="BK244" s="646"/>
      <c r="BL244" s="179" t="b">
        <f t="shared" si="26"/>
        <v>1</v>
      </c>
      <c r="BM244" s="179" t="b">
        <f t="shared" si="27"/>
        <v>1</v>
      </c>
      <c r="BN244" s="688" t="b">
        <f t="shared" si="28"/>
        <v>0</v>
      </c>
    </row>
    <row r="245">
      <c r="A245" s="675" t="s">
        <v>3301</v>
      </c>
      <c r="B245" s="186" t="s">
        <v>3681</v>
      </c>
      <c r="C245" s="676" t="s">
        <v>2113</v>
      </c>
      <c r="D245" s="677">
        <v>97.0</v>
      </c>
      <c r="E245" s="632" t="s">
        <v>868</v>
      </c>
      <c r="F245" s="678">
        <f t="shared" ref="F245:G245" si="623">H245+J245+L245+N245+P245</f>
        <v>14853</v>
      </c>
      <c r="G245" s="679">
        <f t="shared" si="623"/>
        <v>1716</v>
      </c>
      <c r="H245" s="641">
        <v>3605.0</v>
      </c>
      <c r="I245" s="680">
        <v>717.0</v>
      </c>
      <c r="J245" s="641">
        <v>3180.0</v>
      </c>
      <c r="K245" s="680">
        <v>370.0</v>
      </c>
      <c r="L245" s="641">
        <v>4582.0</v>
      </c>
      <c r="M245" s="680">
        <v>435.0</v>
      </c>
      <c r="N245" s="641">
        <v>2216.0</v>
      </c>
      <c r="O245" s="680">
        <v>175.0</v>
      </c>
      <c r="P245" s="641">
        <v>1270.0</v>
      </c>
      <c r="Q245" s="680">
        <v>19.0</v>
      </c>
      <c r="R245" s="681" t="s">
        <v>708</v>
      </c>
      <c r="S245" s="682">
        <f t="shared" si="10"/>
        <v>14853</v>
      </c>
      <c r="T245" s="683"/>
      <c r="U245" s="625">
        <f t="shared" si="612"/>
        <v>3605</v>
      </c>
      <c r="V245" s="625">
        <f t="shared" si="613"/>
        <v>3180</v>
      </c>
      <c r="W245" s="625">
        <f t="shared" si="614"/>
        <v>4582</v>
      </c>
      <c r="X245" s="625">
        <f t="shared" si="615"/>
        <v>2216</v>
      </c>
      <c r="Y245" s="625">
        <f t="shared" si="616"/>
        <v>1270</v>
      </c>
      <c r="Z245" s="656">
        <f t="shared" si="16"/>
        <v>1716</v>
      </c>
      <c r="AA245" s="683"/>
      <c r="AB245" s="625">
        <f t="shared" si="617"/>
        <v>717</v>
      </c>
      <c r="AC245" s="625">
        <f t="shared" si="618"/>
        <v>370</v>
      </c>
      <c r="AD245" s="625">
        <f t="shared" si="619"/>
        <v>435</v>
      </c>
      <c r="AE245" s="625">
        <f t="shared" si="620"/>
        <v>175</v>
      </c>
      <c r="AF245" s="625">
        <f t="shared" si="621"/>
        <v>19</v>
      </c>
      <c r="AG245" s="657">
        <f t="shared" si="22"/>
        <v>0.1155322157</v>
      </c>
      <c r="AH245" s="165"/>
      <c r="AI245" s="165">
        <f t="shared" ref="AI245:AM245" si="624">AB245/U245</f>
        <v>0.19889043</v>
      </c>
      <c r="AJ245" s="165">
        <f t="shared" si="624"/>
        <v>0.1163522013</v>
      </c>
      <c r="AK245" s="165">
        <f t="shared" si="624"/>
        <v>0.09493670886</v>
      </c>
      <c r="AL245" s="165">
        <f t="shared" si="624"/>
        <v>0.07897111913</v>
      </c>
      <c r="AM245" s="165">
        <f t="shared" si="624"/>
        <v>0.01496062992</v>
      </c>
      <c r="AN245" s="684">
        <f t="shared" si="453"/>
        <v>8500</v>
      </c>
      <c r="AO245" s="685">
        <v>3000.0</v>
      </c>
      <c r="AP245" s="180">
        <v>3000.0</v>
      </c>
      <c r="AQ245" s="180">
        <v>2000.0</v>
      </c>
      <c r="AR245" s="180">
        <v>1500.0</v>
      </c>
      <c r="AS245" s="180">
        <v>1500.0</v>
      </c>
      <c r="AT245" s="180">
        <v>500.0</v>
      </c>
      <c r="AU245" s="684">
        <f t="shared" si="496"/>
        <v>1750</v>
      </c>
      <c r="AV245" s="685">
        <v>523.0</v>
      </c>
      <c r="AW245" s="180">
        <v>455.0</v>
      </c>
      <c r="AX245" s="180">
        <v>395.0</v>
      </c>
      <c r="AY245" s="180">
        <v>337.0</v>
      </c>
      <c r="AZ245" s="180">
        <v>297.0</v>
      </c>
      <c r="BA245" s="686">
        <v>266.0</v>
      </c>
      <c r="BB245" s="631"/>
      <c r="BC245" s="687" t="s">
        <v>695</v>
      </c>
      <c r="BD245" s="186" t="s">
        <v>3303</v>
      </c>
      <c r="BE245" s="186" t="s">
        <v>3304</v>
      </c>
      <c r="BF245" s="186" t="s">
        <v>3305</v>
      </c>
      <c r="BG245" s="186" t="s">
        <v>3306</v>
      </c>
      <c r="BH245" s="179" t="s">
        <v>3307</v>
      </c>
      <c r="BI245" s="179" t="s">
        <v>3308</v>
      </c>
      <c r="BJ245" s="179"/>
      <c r="BK245" s="631"/>
      <c r="BL245" s="179" t="b">
        <f t="shared" si="26"/>
        <v>1</v>
      </c>
      <c r="BM245" s="179" t="b">
        <f t="shared" si="27"/>
        <v>1</v>
      </c>
      <c r="BN245" s="688" t="b">
        <f t="shared" si="28"/>
        <v>1</v>
      </c>
    </row>
    <row r="246">
      <c r="A246" s="689"/>
      <c r="B246" s="186" t="s">
        <v>3682</v>
      </c>
      <c r="C246" s="690" t="s">
        <v>1980</v>
      </c>
      <c r="D246" s="677">
        <v>254.0</v>
      </c>
      <c r="E246" s="632" t="s">
        <v>3683</v>
      </c>
      <c r="F246" s="678">
        <f t="shared" ref="F246:G246" si="625">H246+J246+L246+N246+P246</f>
        <v>3059.13</v>
      </c>
      <c r="G246" s="679">
        <f t="shared" si="625"/>
        <v>710.08</v>
      </c>
      <c r="H246" s="641">
        <v>1304.68</v>
      </c>
      <c r="I246" s="680">
        <v>296.72</v>
      </c>
      <c r="J246" s="641">
        <v>698.92</v>
      </c>
      <c r="K246" s="680">
        <v>148.71</v>
      </c>
      <c r="L246" s="641">
        <v>248.59</v>
      </c>
      <c r="M246" s="680">
        <v>49.49</v>
      </c>
      <c r="N246" s="641">
        <v>194.94</v>
      </c>
      <c r="O246" s="680">
        <v>48.76</v>
      </c>
      <c r="P246" s="641">
        <v>612.0</v>
      </c>
      <c r="Q246" s="680">
        <v>166.4</v>
      </c>
      <c r="R246" s="681" t="s">
        <v>3365</v>
      </c>
      <c r="S246" s="682">
        <f t="shared" si="10"/>
        <v>3059.13</v>
      </c>
      <c r="T246" s="683"/>
      <c r="U246" s="625">
        <f t="shared" si="612"/>
        <v>1304.68</v>
      </c>
      <c r="V246" s="625">
        <f t="shared" si="613"/>
        <v>698.92</v>
      </c>
      <c r="W246" s="625">
        <f t="shared" si="614"/>
        <v>248.59</v>
      </c>
      <c r="X246" s="625">
        <f t="shared" si="615"/>
        <v>194.94</v>
      </c>
      <c r="Y246" s="625">
        <f t="shared" si="616"/>
        <v>612</v>
      </c>
      <c r="Z246" s="656">
        <f t="shared" si="16"/>
        <v>710.08</v>
      </c>
      <c r="AA246" s="683"/>
      <c r="AB246" s="625">
        <f t="shared" si="617"/>
        <v>296.72</v>
      </c>
      <c r="AC246" s="625">
        <f t="shared" si="618"/>
        <v>148.71</v>
      </c>
      <c r="AD246" s="625">
        <f t="shared" si="619"/>
        <v>49.49</v>
      </c>
      <c r="AE246" s="625">
        <f t="shared" si="620"/>
        <v>48.76</v>
      </c>
      <c r="AF246" s="625">
        <f t="shared" si="621"/>
        <v>166.4</v>
      </c>
      <c r="AG246" s="657">
        <f t="shared" si="22"/>
        <v>0.232118282</v>
      </c>
      <c r="AH246" s="165"/>
      <c r="AI246" s="165">
        <f t="shared" ref="AI246:AM246" si="626">AB246/U246</f>
        <v>0.2274274152</v>
      </c>
      <c r="AJ246" s="165">
        <f t="shared" si="626"/>
        <v>0.2127711326</v>
      </c>
      <c r="AK246" s="165">
        <f t="shared" si="626"/>
        <v>0.1990828271</v>
      </c>
      <c r="AL246" s="165">
        <f t="shared" si="626"/>
        <v>0.2501282446</v>
      </c>
      <c r="AM246" s="165">
        <f t="shared" si="626"/>
        <v>0.2718954248</v>
      </c>
      <c r="AN246" s="684">
        <f t="shared" si="453"/>
        <v>165</v>
      </c>
      <c r="AO246" s="641">
        <v>42007.0</v>
      </c>
      <c r="AP246" s="625">
        <v>165.0</v>
      </c>
      <c r="AQ246" s="180">
        <v>0.0</v>
      </c>
      <c r="AR246" s="180">
        <v>0.0</v>
      </c>
      <c r="AS246" s="180">
        <v>0.0</v>
      </c>
      <c r="AT246" s="180">
        <v>0.0</v>
      </c>
      <c r="AU246" s="684">
        <f t="shared" si="496"/>
        <v>436.19</v>
      </c>
      <c r="AV246" s="641">
        <v>95969.0</v>
      </c>
      <c r="AW246" s="625">
        <v>94.94</v>
      </c>
      <c r="AX246" s="625">
        <v>90.8</v>
      </c>
      <c r="AY246" s="625">
        <v>88.32</v>
      </c>
      <c r="AZ246" s="625">
        <v>84.14</v>
      </c>
      <c r="BA246" s="691">
        <v>77.99</v>
      </c>
      <c r="BB246" s="631"/>
      <c r="BC246" s="189" t="s">
        <v>695</v>
      </c>
      <c r="BD246" s="186" t="s">
        <v>3303</v>
      </c>
      <c r="BE246" s="179" t="s">
        <v>3304</v>
      </c>
      <c r="BF246" s="179" t="s">
        <v>3305</v>
      </c>
      <c r="BG246" s="179" t="s">
        <v>3306</v>
      </c>
      <c r="BH246" s="179" t="s">
        <v>3307</v>
      </c>
      <c r="BI246" s="179" t="s">
        <v>3308</v>
      </c>
      <c r="BJ246" s="179"/>
      <c r="BK246" s="631"/>
      <c r="BL246" s="179" t="b">
        <f t="shared" si="26"/>
        <v>0</v>
      </c>
      <c r="BM246" s="179" t="b">
        <f t="shared" si="27"/>
        <v>0</v>
      </c>
      <c r="BN246" s="688" t="b">
        <f t="shared" si="28"/>
        <v>0</v>
      </c>
    </row>
    <row r="247">
      <c r="A247" s="689"/>
      <c r="B247" s="186" t="s">
        <v>3684</v>
      </c>
      <c r="C247" s="676" t="s">
        <v>2113</v>
      </c>
      <c r="D247" s="677">
        <v>291.0</v>
      </c>
      <c r="E247" s="632" t="s">
        <v>3685</v>
      </c>
      <c r="F247" s="678">
        <f t="shared" ref="F247:G247" si="627">H247+J247+L247+N247+P247</f>
        <v>4904.13</v>
      </c>
      <c r="G247" s="679">
        <f t="shared" si="627"/>
        <v>909.83</v>
      </c>
      <c r="H247" s="641">
        <v>1362.56</v>
      </c>
      <c r="I247" s="680">
        <v>225.57</v>
      </c>
      <c r="J247" s="641">
        <v>1245.85</v>
      </c>
      <c r="K247" s="680">
        <v>221.15</v>
      </c>
      <c r="L247" s="641">
        <v>929.64</v>
      </c>
      <c r="M247" s="680">
        <v>211.23</v>
      </c>
      <c r="N247" s="641">
        <v>698.29</v>
      </c>
      <c r="O247" s="680">
        <v>128.49</v>
      </c>
      <c r="P247" s="641">
        <v>667.79</v>
      </c>
      <c r="Q247" s="680">
        <v>123.39</v>
      </c>
      <c r="R247" s="681" t="s">
        <v>714</v>
      </c>
      <c r="S247" s="682">
        <f t="shared" si="10"/>
        <v>4904.13</v>
      </c>
      <c r="T247" s="683"/>
      <c r="U247" s="625">
        <f t="shared" si="612"/>
        <v>1362.56</v>
      </c>
      <c r="V247" s="625">
        <f t="shared" si="613"/>
        <v>1245.85</v>
      </c>
      <c r="W247" s="625">
        <f t="shared" si="614"/>
        <v>929.64</v>
      </c>
      <c r="X247" s="625">
        <f t="shared" si="615"/>
        <v>698.29</v>
      </c>
      <c r="Y247" s="625">
        <f t="shared" si="616"/>
        <v>667.79</v>
      </c>
      <c r="Z247" s="656">
        <f t="shared" si="16"/>
        <v>909.83</v>
      </c>
      <c r="AA247" s="683"/>
      <c r="AB247" s="625">
        <f t="shared" si="617"/>
        <v>225.57</v>
      </c>
      <c r="AC247" s="625">
        <f t="shared" si="618"/>
        <v>221.15</v>
      </c>
      <c r="AD247" s="625">
        <f t="shared" si="619"/>
        <v>211.23</v>
      </c>
      <c r="AE247" s="625">
        <f t="shared" si="620"/>
        <v>128.49</v>
      </c>
      <c r="AF247" s="625">
        <f t="shared" si="621"/>
        <v>123.39</v>
      </c>
      <c r="AG247" s="657">
        <f t="shared" si="22"/>
        <v>0.1855232223</v>
      </c>
      <c r="AH247" s="165"/>
      <c r="AI247" s="165">
        <f t="shared" ref="AI247:AM247" si="628">AB247/U247</f>
        <v>0.1655486731</v>
      </c>
      <c r="AJ247" s="165">
        <f t="shared" si="628"/>
        <v>0.177509331</v>
      </c>
      <c r="AK247" s="165">
        <f t="shared" si="628"/>
        <v>0.2272169872</v>
      </c>
      <c r="AL247" s="165">
        <f t="shared" si="628"/>
        <v>0.1840066448</v>
      </c>
      <c r="AM247" s="165">
        <f t="shared" si="628"/>
        <v>0.1847736564</v>
      </c>
      <c r="AN247" s="684">
        <f t="shared" si="453"/>
        <v>2782</v>
      </c>
      <c r="AO247" s="625">
        <f>594.39+24.245</f>
        <v>618.635</v>
      </c>
      <c r="AP247" s="625">
        <v>729.0</v>
      </c>
      <c r="AQ247" s="625">
        <v>814.0</v>
      </c>
      <c r="AR247" s="625">
        <v>351.0</v>
      </c>
      <c r="AS247" s="625">
        <v>537.0</v>
      </c>
      <c r="AT247" s="625">
        <v>351.0</v>
      </c>
      <c r="AU247" s="684">
        <f t="shared" si="496"/>
        <v>1133.06</v>
      </c>
      <c r="AV247" s="641">
        <v>449.62</v>
      </c>
      <c r="AW247" s="625">
        <v>409.6</v>
      </c>
      <c r="AX247" s="625">
        <v>239.01</v>
      </c>
      <c r="AY247" s="625">
        <v>174.66</v>
      </c>
      <c r="AZ247" s="625">
        <v>162.7</v>
      </c>
      <c r="BA247" s="693">
        <v>147.09</v>
      </c>
      <c r="BB247" s="631"/>
      <c r="BC247" s="189" t="s">
        <v>695</v>
      </c>
      <c r="BD247" s="186" t="s">
        <v>3303</v>
      </c>
      <c r="BE247" s="179" t="s">
        <v>3304</v>
      </c>
      <c r="BF247" s="179" t="s">
        <v>3305</v>
      </c>
      <c r="BG247" s="179" t="s">
        <v>3306</v>
      </c>
      <c r="BH247" s="179" t="s">
        <v>3307</v>
      </c>
      <c r="BI247" s="179" t="s">
        <v>3308</v>
      </c>
      <c r="BJ247" s="179"/>
      <c r="BK247" s="631"/>
      <c r="BL247" s="179" t="b">
        <f t="shared" si="26"/>
        <v>1</v>
      </c>
      <c r="BM247" s="179" t="b">
        <f t="shared" si="27"/>
        <v>1</v>
      </c>
      <c r="BN247" s="688" t="b">
        <f t="shared" si="28"/>
        <v>1</v>
      </c>
    </row>
    <row r="248">
      <c r="A248" s="675" t="s">
        <v>3301</v>
      </c>
      <c r="B248" s="186" t="s">
        <v>3686</v>
      </c>
      <c r="C248" s="676" t="s">
        <v>2113</v>
      </c>
      <c r="D248" s="677">
        <v>112.0</v>
      </c>
      <c r="E248" s="714" t="s">
        <v>854</v>
      </c>
      <c r="F248" s="678">
        <f t="shared" ref="F248:G248" si="629">H248+J248+L248+N248+P248</f>
        <v>16521</v>
      </c>
      <c r="G248" s="679">
        <f t="shared" si="629"/>
        <v>2797</v>
      </c>
      <c r="H248" s="641">
        <v>3093.0</v>
      </c>
      <c r="I248" s="680">
        <v>636.0</v>
      </c>
      <c r="J248" s="641">
        <v>4101.0</v>
      </c>
      <c r="K248" s="680">
        <v>659.0</v>
      </c>
      <c r="L248" s="641">
        <v>3091.0</v>
      </c>
      <c r="M248" s="680">
        <v>532.0</v>
      </c>
      <c r="N248" s="641">
        <v>3205.0</v>
      </c>
      <c r="O248" s="680">
        <v>546.0</v>
      </c>
      <c r="P248" s="641">
        <v>3031.0</v>
      </c>
      <c r="Q248" s="680">
        <v>424.0</v>
      </c>
      <c r="R248" s="681" t="s">
        <v>696</v>
      </c>
      <c r="S248" s="682">
        <f t="shared" si="10"/>
        <v>16521</v>
      </c>
      <c r="T248" s="683"/>
      <c r="U248" s="625">
        <f t="shared" si="612"/>
        <v>3093</v>
      </c>
      <c r="V248" s="625">
        <f t="shared" si="613"/>
        <v>4101</v>
      </c>
      <c r="W248" s="625">
        <f t="shared" si="614"/>
        <v>3091</v>
      </c>
      <c r="X248" s="625">
        <f t="shared" si="615"/>
        <v>3205</v>
      </c>
      <c r="Y248" s="625">
        <f t="shared" si="616"/>
        <v>3031</v>
      </c>
      <c r="Z248" s="656">
        <f t="shared" si="16"/>
        <v>2797</v>
      </c>
      <c r="AA248" s="683"/>
      <c r="AB248" s="625">
        <f t="shared" si="617"/>
        <v>636</v>
      </c>
      <c r="AC248" s="625">
        <f t="shared" si="618"/>
        <v>659</v>
      </c>
      <c r="AD248" s="625">
        <f t="shared" si="619"/>
        <v>532</v>
      </c>
      <c r="AE248" s="625">
        <f t="shared" si="620"/>
        <v>546</v>
      </c>
      <c r="AF248" s="625">
        <f t="shared" si="621"/>
        <v>424</v>
      </c>
      <c r="AG248" s="657">
        <f t="shared" si="22"/>
        <v>0.1692996792</v>
      </c>
      <c r="AH248" s="165"/>
      <c r="AI248" s="165">
        <f t="shared" ref="AI248:AM248" si="630">AB248/U248</f>
        <v>0.2056256062</v>
      </c>
      <c r="AJ248" s="165">
        <f t="shared" si="630"/>
        <v>0.160692514</v>
      </c>
      <c r="AK248" s="165">
        <f t="shared" si="630"/>
        <v>0.1721125849</v>
      </c>
      <c r="AL248" s="165">
        <f t="shared" si="630"/>
        <v>0.1703588144</v>
      </c>
      <c r="AM248" s="165">
        <f t="shared" si="630"/>
        <v>0.1398878258</v>
      </c>
      <c r="AN248" s="684">
        <f t="shared" si="453"/>
        <v>7551</v>
      </c>
      <c r="AO248" s="685">
        <v>958.0</v>
      </c>
      <c r="AP248" s="180">
        <v>2000.0</v>
      </c>
      <c r="AQ248" s="180">
        <v>2156.0</v>
      </c>
      <c r="AR248" s="180">
        <v>625.0</v>
      </c>
      <c r="AS248" s="180">
        <v>1500.0</v>
      </c>
      <c r="AT248" s="180">
        <v>1270.0</v>
      </c>
      <c r="AU248" s="684">
        <f t="shared" si="496"/>
        <v>4263</v>
      </c>
      <c r="AV248" s="685">
        <v>908.0</v>
      </c>
      <c r="AW248" s="180">
        <v>875.0</v>
      </c>
      <c r="AX248" s="180">
        <v>869.0</v>
      </c>
      <c r="AY248" s="180">
        <v>861.0</v>
      </c>
      <c r="AZ248" s="180">
        <v>844.0</v>
      </c>
      <c r="BA248" s="686">
        <v>814.0</v>
      </c>
      <c r="BB248" s="631"/>
      <c r="BC248" s="687" t="s">
        <v>695</v>
      </c>
      <c r="BD248" s="186" t="s">
        <v>3303</v>
      </c>
      <c r="BE248" s="186" t="s">
        <v>3304</v>
      </c>
      <c r="BF248" s="186" t="s">
        <v>3305</v>
      </c>
      <c r="BG248" s="186" t="s">
        <v>3306</v>
      </c>
      <c r="BH248" s="179" t="s">
        <v>3307</v>
      </c>
      <c r="BI248" s="179" t="s">
        <v>3308</v>
      </c>
      <c r="BJ248" s="179"/>
      <c r="BK248" s="646"/>
      <c r="BL248" s="179" t="b">
        <f t="shared" si="26"/>
        <v>1</v>
      </c>
      <c r="BM248" s="179" t="b">
        <f t="shared" si="27"/>
        <v>1</v>
      </c>
      <c r="BN248" s="688" t="b">
        <f t="shared" si="28"/>
        <v>1</v>
      </c>
    </row>
    <row r="249">
      <c r="A249" s="212"/>
      <c r="B249" s="186" t="s">
        <v>3687</v>
      </c>
      <c r="C249" s="676" t="s">
        <v>2113</v>
      </c>
      <c r="D249" s="677">
        <v>157.0</v>
      </c>
      <c r="E249" s="131" t="s">
        <v>3688</v>
      </c>
      <c r="F249" s="678">
        <f t="shared" ref="F249:G249" si="631">H249+J249+L249+N249+P249</f>
        <v>27959.95</v>
      </c>
      <c r="G249" s="679">
        <f t="shared" si="631"/>
        <v>3923.95</v>
      </c>
      <c r="H249" s="641">
        <v>7554.0</v>
      </c>
      <c r="I249" s="680">
        <v>930.0</v>
      </c>
      <c r="J249" s="641">
        <v>7902.0</v>
      </c>
      <c r="K249" s="680">
        <v>1113.0</v>
      </c>
      <c r="L249" s="641">
        <v>5318.0</v>
      </c>
      <c r="M249" s="680">
        <v>979.0</v>
      </c>
      <c r="N249" s="641">
        <v>3922.0</v>
      </c>
      <c r="O249" s="680">
        <v>357.0</v>
      </c>
      <c r="P249" s="641">
        <v>3263.95</v>
      </c>
      <c r="Q249" s="680">
        <v>544.95</v>
      </c>
      <c r="R249" s="681" t="s">
        <v>709</v>
      </c>
      <c r="S249" s="682">
        <f t="shared" si="10"/>
        <v>27959.95</v>
      </c>
      <c r="T249" s="683"/>
      <c r="U249" s="625">
        <f t="shared" si="612"/>
        <v>7554</v>
      </c>
      <c r="V249" s="625">
        <f t="shared" si="613"/>
        <v>7902</v>
      </c>
      <c r="W249" s="625">
        <f t="shared" si="614"/>
        <v>5318</v>
      </c>
      <c r="X249" s="625">
        <f t="shared" si="615"/>
        <v>3922</v>
      </c>
      <c r="Y249" s="625">
        <f t="shared" si="616"/>
        <v>3263.95</v>
      </c>
      <c r="Z249" s="656">
        <f t="shared" si="16"/>
        <v>3923.95</v>
      </c>
      <c r="AA249" s="683"/>
      <c r="AB249" s="625">
        <f t="shared" si="617"/>
        <v>930</v>
      </c>
      <c r="AC249" s="625">
        <f t="shared" si="618"/>
        <v>1113</v>
      </c>
      <c r="AD249" s="625">
        <f t="shared" si="619"/>
        <v>979</v>
      </c>
      <c r="AE249" s="625">
        <f t="shared" si="620"/>
        <v>357</v>
      </c>
      <c r="AF249" s="625">
        <f t="shared" si="621"/>
        <v>544.95</v>
      </c>
      <c r="AG249" s="657">
        <f t="shared" si="22"/>
        <v>0.1403418103</v>
      </c>
      <c r="AH249" s="165"/>
      <c r="AI249" s="165">
        <f t="shared" ref="AI249:AM249" si="632">AB249/U249</f>
        <v>0.1231135822</v>
      </c>
      <c r="AJ249" s="165">
        <f t="shared" si="632"/>
        <v>0.1408504176</v>
      </c>
      <c r="AK249" s="165">
        <f t="shared" si="632"/>
        <v>0.1840917638</v>
      </c>
      <c r="AL249" s="165">
        <f t="shared" si="632"/>
        <v>0.09102498725</v>
      </c>
      <c r="AM249" s="165">
        <f t="shared" si="632"/>
        <v>0.1669602782</v>
      </c>
      <c r="AN249" s="684">
        <f t="shared" si="453"/>
        <v>3071</v>
      </c>
      <c r="AO249" s="631"/>
      <c r="AP249" s="641">
        <v>250.0</v>
      </c>
      <c r="AQ249" s="641">
        <v>1616.0</v>
      </c>
      <c r="AR249" s="641">
        <v>0.0</v>
      </c>
      <c r="AS249" s="641">
        <v>0.0</v>
      </c>
      <c r="AT249" s="641">
        <v>1205.0</v>
      </c>
      <c r="AU249" s="684">
        <f t="shared" si="496"/>
        <v>11403</v>
      </c>
      <c r="AV249" s="625"/>
      <c r="AW249" s="641">
        <v>2989.0</v>
      </c>
      <c r="AX249" s="641">
        <v>2852.0</v>
      </c>
      <c r="AY249" s="641">
        <v>2725.0</v>
      </c>
      <c r="AZ249" s="641">
        <v>1459.0</v>
      </c>
      <c r="BA249" s="691">
        <v>1378.0</v>
      </c>
      <c r="BB249" s="631"/>
      <c r="BC249" s="189" t="s">
        <v>695</v>
      </c>
      <c r="BD249" s="688" t="s">
        <v>3303</v>
      </c>
      <c r="BE249" s="179" t="s">
        <v>3304</v>
      </c>
      <c r="BF249" s="179" t="s">
        <v>3305</v>
      </c>
      <c r="BG249" s="179" t="s">
        <v>3306</v>
      </c>
      <c r="BH249" s="179" t="s">
        <v>3307</v>
      </c>
      <c r="BI249" s="179" t="s">
        <v>3308</v>
      </c>
      <c r="BJ249" s="179"/>
      <c r="BK249" s="631"/>
      <c r="BL249" s="179" t="b">
        <f t="shared" si="26"/>
        <v>1</v>
      </c>
      <c r="BM249" s="179" t="b">
        <f t="shared" si="27"/>
        <v>0</v>
      </c>
      <c r="BN249" s="688" t="b">
        <f t="shared" si="28"/>
        <v>1</v>
      </c>
    </row>
    <row r="250">
      <c r="A250" s="675" t="s">
        <v>3301</v>
      </c>
      <c r="B250" s="186" t="s">
        <v>3689</v>
      </c>
      <c r="C250" s="676" t="s">
        <v>2113</v>
      </c>
      <c r="D250" s="677">
        <v>149.0</v>
      </c>
      <c r="E250" s="632" t="s">
        <v>846</v>
      </c>
      <c r="F250" s="678">
        <f t="shared" ref="F250:G250" si="633">H250+J250+L250+N250+P250</f>
        <v>39895</v>
      </c>
      <c r="G250" s="679">
        <f t="shared" si="633"/>
        <v>6164</v>
      </c>
      <c r="H250" s="641">
        <v>7801.0</v>
      </c>
      <c r="I250" s="680">
        <v>1366.0</v>
      </c>
      <c r="J250" s="641">
        <v>7891.0</v>
      </c>
      <c r="K250" s="680">
        <v>1203.0</v>
      </c>
      <c r="L250" s="641">
        <v>7690.0</v>
      </c>
      <c r="M250" s="680">
        <v>1146.0</v>
      </c>
      <c r="N250" s="641">
        <v>8233.0</v>
      </c>
      <c r="O250" s="680">
        <v>1162.0</v>
      </c>
      <c r="P250" s="641">
        <v>8280.0</v>
      </c>
      <c r="Q250" s="680">
        <v>1287.0</v>
      </c>
      <c r="R250" s="681" t="s">
        <v>719</v>
      </c>
      <c r="S250" s="682">
        <f t="shared" si="10"/>
        <v>39895</v>
      </c>
      <c r="T250" s="683"/>
      <c r="U250" s="625">
        <f t="shared" si="612"/>
        <v>7801</v>
      </c>
      <c r="V250" s="625">
        <f t="shared" si="613"/>
        <v>7891</v>
      </c>
      <c r="W250" s="625">
        <f t="shared" si="614"/>
        <v>7690</v>
      </c>
      <c r="X250" s="625">
        <f t="shared" si="615"/>
        <v>8233</v>
      </c>
      <c r="Y250" s="625">
        <f t="shared" si="616"/>
        <v>8280</v>
      </c>
      <c r="Z250" s="656">
        <f t="shared" si="16"/>
        <v>6164</v>
      </c>
      <c r="AA250" s="683"/>
      <c r="AB250" s="625">
        <f t="shared" si="617"/>
        <v>1366</v>
      </c>
      <c r="AC250" s="625">
        <f t="shared" si="618"/>
        <v>1203</v>
      </c>
      <c r="AD250" s="625">
        <f t="shared" si="619"/>
        <v>1146</v>
      </c>
      <c r="AE250" s="625">
        <f t="shared" si="620"/>
        <v>1162</v>
      </c>
      <c r="AF250" s="625">
        <f t="shared" si="621"/>
        <v>1287</v>
      </c>
      <c r="AG250" s="657">
        <f t="shared" si="22"/>
        <v>0.1545055771</v>
      </c>
      <c r="AH250" s="165"/>
      <c r="AI250" s="165">
        <f t="shared" ref="AI250:AM250" si="634">AB250/U250</f>
        <v>0.1751057557</v>
      </c>
      <c r="AJ250" s="165">
        <f t="shared" si="634"/>
        <v>0.1524521607</v>
      </c>
      <c r="AK250" s="165">
        <f t="shared" si="634"/>
        <v>0.1490247074</v>
      </c>
      <c r="AL250" s="165">
        <f t="shared" si="634"/>
        <v>0.1411393174</v>
      </c>
      <c r="AM250" s="165">
        <f t="shared" si="634"/>
        <v>0.1554347826</v>
      </c>
      <c r="AN250" s="684">
        <f t="shared" si="453"/>
        <v>12993</v>
      </c>
      <c r="AO250" s="641">
        <v>62.0</v>
      </c>
      <c r="AP250" s="625">
        <f>1100+69</f>
        <v>1169</v>
      </c>
      <c r="AQ250" s="625">
        <f>1250+1555</f>
        <v>2805</v>
      </c>
      <c r="AR250" s="641">
        <v>1672.0</v>
      </c>
      <c r="AS250" s="641">
        <v>4525.0</v>
      </c>
      <c r="AT250" s="641">
        <v>2822.0</v>
      </c>
      <c r="AU250" s="684">
        <f t="shared" si="496"/>
        <v>13925</v>
      </c>
      <c r="AV250" s="641">
        <f>2970+341</f>
        <v>3311</v>
      </c>
      <c r="AW250" s="641">
        <f>2776+299</f>
        <v>3075</v>
      </c>
      <c r="AX250" s="641">
        <f>2579+308</f>
        <v>2887</v>
      </c>
      <c r="AY250" s="641">
        <f>2552+300</f>
        <v>2852</v>
      </c>
      <c r="AZ250" s="641">
        <f>2443+302</f>
        <v>2745</v>
      </c>
      <c r="BA250" s="691">
        <f>2092+274</f>
        <v>2366</v>
      </c>
      <c r="BB250" s="631"/>
      <c r="BC250" s="189" t="s">
        <v>695</v>
      </c>
      <c r="BD250" s="186" t="s">
        <v>3303</v>
      </c>
      <c r="BE250" s="179" t="s">
        <v>3304</v>
      </c>
      <c r="BF250" s="179" t="s">
        <v>3305</v>
      </c>
      <c r="BG250" s="186" t="s">
        <v>3306</v>
      </c>
      <c r="BH250" s="179" t="s">
        <v>3307</v>
      </c>
      <c r="BI250" s="179" t="s">
        <v>3308</v>
      </c>
      <c r="BJ250" s="179"/>
      <c r="BK250" s="631"/>
      <c r="BL250" s="179" t="b">
        <f t="shared" si="26"/>
        <v>1</v>
      </c>
      <c r="BM250" s="179" t="b">
        <f t="shared" si="27"/>
        <v>1</v>
      </c>
      <c r="BN250" s="688" t="b">
        <f t="shared" si="28"/>
        <v>1</v>
      </c>
    </row>
    <row r="251">
      <c r="A251" s="689"/>
      <c r="B251" s="186" t="s">
        <v>3690</v>
      </c>
      <c r="C251" s="676" t="s">
        <v>2113</v>
      </c>
      <c r="D251" s="677">
        <v>403.0</v>
      </c>
      <c r="E251" s="632" t="s">
        <v>3691</v>
      </c>
      <c r="F251" s="678">
        <f t="shared" ref="F251:G251" si="635">H251+J251+L251+N251+P251</f>
        <v>2120.95</v>
      </c>
      <c r="G251" s="679">
        <f t="shared" si="635"/>
        <v>421.93</v>
      </c>
      <c r="H251" s="641">
        <v>831.43</v>
      </c>
      <c r="I251" s="680">
        <v>181.03</v>
      </c>
      <c r="J251" s="641">
        <v>614.88</v>
      </c>
      <c r="K251" s="680">
        <v>115.08</v>
      </c>
      <c r="L251" s="641">
        <v>291.46</v>
      </c>
      <c r="M251" s="680">
        <v>59.06</v>
      </c>
      <c r="N251" s="641">
        <v>210.46</v>
      </c>
      <c r="O251" s="680">
        <v>35.27</v>
      </c>
      <c r="P251" s="641">
        <v>172.72</v>
      </c>
      <c r="Q251" s="680">
        <v>31.49</v>
      </c>
      <c r="R251" s="681" t="s">
        <v>703</v>
      </c>
      <c r="S251" s="682">
        <f t="shared" si="10"/>
        <v>2120.95</v>
      </c>
      <c r="T251" s="683"/>
      <c r="U251" s="625">
        <f t="shared" si="612"/>
        <v>831.43</v>
      </c>
      <c r="V251" s="625">
        <f t="shared" si="613"/>
        <v>614.88</v>
      </c>
      <c r="W251" s="625">
        <f t="shared" si="614"/>
        <v>291.46</v>
      </c>
      <c r="X251" s="625">
        <f t="shared" si="615"/>
        <v>210.46</v>
      </c>
      <c r="Y251" s="625">
        <f t="shared" si="616"/>
        <v>172.72</v>
      </c>
      <c r="Z251" s="656">
        <f t="shared" si="16"/>
        <v>421.93</v>
      </c>
      <c r="AA251" s="683"/>
      <c r="AB251" s="625">
        <f t="shared" si="617"/>
        <v>181.03</v>
      </c>
      <c r="AC251" s="625">
        <f t="shared" si="618"/>
        <v>115.08</v>
      </c>
      <c r="AD251" s="625">
        <f t="shared" si="619"/>
        <v>59.06</v>
      </c>
      <c r="AE251" s="625">
        <f t="shared" si="620"/>
        <v>35.27</v>
      </c>
      <c r="AF251" s="625">
        <f t="shared" si="621"/>
        <v>31.49</v>
      </c>
      <c r="AG251" s="657">
        <f t="shared" si="22"/>
        <v>0.1989344398</v>
      </c>
      <c r="AH251" s="165"/>
      <c r="AI251" s="165">
        <f t="shared" ref="AI251:AM251" si="636">AB251/U251</f>
        <v>0.2177333029</v>
      </c>
      <c r="AJ251" s="165">
        <f t="shared" si="636"/>
        <v>0.1871584699</v>
      </c>
      <c r="AK251" s="165">
        <f t="shared" si="636"/>
        <v>0.2026350099</v>
      </c>
      <c r="AL251" s="165">
        <f t="shared" si="636"/>
        <v>0.1675852894</v>
      </c>
      <c r="AM251" s="165">
        <f t="shared" si="636"/>
        <v>0.1823182029</v>
      </c>
      <c r="AN251" s="684">
        <f t="shared" si="453"/>
        <v>149.615</v>
      </c>
      <c r="AO251" s="625"/>
      <c r="AP251" s="625">
        <v>95.774</v>
      </c>
      <c r="AQ251" s="625">
        <v>0.0</v>
      </c>
      <c r="AR251" s="625">
        <v>29.212</v>
      </c>
      <c r="AS251" s="625">
        <v>0.0</v>
      </c>
      <c r="AT251" s="625">
        <v>24.629</v>
      </c>
      <c r="AU251" s="684">
        <f t="shared" si="496"/>
        <v>0</v>
      </c>
      <c r="AV251" s="180"/>
      <c r="AW251" s="180">
        <v>0.0</v>
      </c>
      <c r="AX251" s="180">
        <v>0.0</v>
      </c>
      <c r="AY251" s="180">
        <v>0.0</v>
      </c>
      <c r="AZ251" s="180">
        <v>0.0</v>
      </c>
      <c r="BA251" s="686">
        <v>0.0</v>
      </c>
      <c r="BB251" s="631"/>
      <c r="BC251" s="189" t="s">
        <v>695</v>
      </c>
      <c r="BD251" s="688" t="s">
        <v>3303</v>
      </c>
      <c r="BE251" s="179" t="s">
        <v>3304</v>
      </c>
      <c r="BF251" s="179" t="s">
        <v>3305</v>
      </c>
      <c r="BG251" s="179" t="s">
        <v>3306</v>
      </c>
      <c r="BH251" s="179" t="s">
        <v>3307</v>
      </c>
      <c r="BI251" s="179" t="s">
        <v>3308</v>
      </c>
      <c r="BJ251" s="179"/>
      <c r="BK251" s="631"/>
      <c r="BL251" s="179" t="b">
        <f t="shared" si="26"/>
        <v>0</v>
      </c>
      <c r="BM251" s="179" t="b">
        <f t="shared" si="27"/>
        <v>0</v>
      </c>
      <c r="BN251" s="688" t="b">
        <f t="shared" si="28"/>
        <v>0</v>
      </c>
    </row>
    <row r="252">
      <c r="A252" s="696" t="s">
        <v>1534</v>
      </c>
      <c r="B252" s="186" t="s">
        <v>45</v>
      </c>
      <c r="C252" s="690" t="s">
        <v>2317</v>
      </c>
      <c r="D252" s="677">
        <v>388.0</v>
      </c>
      <c r="E252" s="632" t="s">
        <v>45</v>
      </c>
      <c r="F252" s="678">
        <f t="shared" ref="F252:G252" si="637">H252+J252+L252+N252+P252</f>
        <v>2114</v>
      </c>
      <c r="G252" s="679">
        <f t="shared" si="637"/>
        <v>-74.8</v>
      </c>
      <c r="H252" s="641">
        <v>344.0</v>
      </c>
      <c r="I252" s="680">
        <v>21.0</v>
      </c>
      <c r="J252" s="641">
        <v>640.0</v>
      </c>
      <c r="K252" s="680">
        <v>-56.0</v>
      </c>
      <c r="L252" s="641">
        <v>420.0</v>
      </c>
      <c r="M252" s="680">
        <v>-85.0</v>
      </c>
      <c r="N252" s="641">
        <v>263.7</v>
      </c>
      <c r="O252" s="680">
        <v>47.9</v>
      </c>
      <c r="P252" s="641">
        <v>446.3</v>
      </c>
      <c r="Q252" s="680">
        <v>-2.7</v>
      </c>
      <c r="R252" s="681" t="s">
        <v>716</v>
      </c>
      <c r="S252" s="682">
        <f t="shared" si="10"/>
        <v>2114</v>
      </c>
      <c r="T252" s="683"/>
      <c r="U252" s="625">
        <f t="shared" si="612"/>
        <v>344</v>
      </c>
      <c r="V252" s="625">
        <f t="shared" si="613"/>
        <v>640</v>
      </c>
      <c r="W252" s="625">
        <f t="shared" si="614"/>
        <v>420</v>
      </c>
      <c r="X252" s="625">
        <f t="shared" si="615"/>
        <v>263.7</v>
      </c>
      <c r="Y252" s="625">
        <f t="shared" si="616"/>
        <v>446.3</v>
      </c>
      <c r="Z252" s="656">
        <f t="shared" si="16"/>
        <v>-74.8</v>
      </c>
      <c r="AA252" s="683"/>
      <c r="AB252" s="625">
        <f t="shared" si="617"/>
        <v>21</v>
      </c>
      <c r="AC252" s="625">
        <f t="shared" si="618"/>
        <v>-56</v>
      </c>
      <c r="AD252" s="625">
        <f t="shared" si="619"/>
        <v>-85</v>
      </c>
      <c r="AE252" s="625">
        <f t="shared" si="620"/>
        <v>47.9</v>
      </c>
      <c r="AF252" s="625">
        <f t="shared" si="621"/>
        <v>-2.7</v>
      </c>
      <c r="AG252" s="657">
        <f t="shared" si="22"/>
        <v>-0.03538315989</v>
      </c>
      <c r="AH252" s="165"/>
      <c r="AI252" s="165">
        <f t="shared" ref="AI252:AM252" si="638">AB252/U252</f>
        <v>0.06104651163</v>
      </c>
      <c r="AJ252" s="165">
        <f t="shared" si="638"/>
        <v>-0.0875</v>
      </c>
      <c r="AK252" s="165">
        <f t="shared" si="638"/>
        <v>-0.2023809524</v>
      </c>
      <c r="AL252" s="165">
        <f t="shared" si="638"/>
        <v>0.1816458096</v>
      </c>
      <c r="AM252" s="165">
        <f t="shared" si="638"/>
        <v>-0.006049742326</v>
      </c>
      <c r="AN252" s="684">
        <f t="shared" si="453"/>
        <v>153</v>
      </c>
      <c r="AO252" s="641">
        <v>22.0</v>
      </c>
      <c r="AP252" s="625">
        <v>38.0</v>
      </c>
      <c r="AQ252" s="625">
        <v>0.0</v>
      </c>
      <c r="AR252" s="625">
        <v>38.0</v>
      </c>
      <c r="AS252" s="625">
        <v>17.0</v>
      </c>
      <c r="AT252" s="641">
        <v>60.0</v>
      </c>
      <c r="AU252" s="684">
        <f t="shared" si="496"/>
        <v>1228</v>
      </c>
      <c r="AV252" s="641">
        <v>308.0</v>
      </c>
      <c r="AW252" s="625">
        <v>296.0</v>
      </c>
      <c r="AX252" s="625">
        <v>282.0</v>
      </c>
      <c r="AY252" s="625">
        <v>273.0</v>
      </c>
      <c r="AZ252" s="625">
        <v>200.0</v>
      </c>
      <c r="BA252" s="693">
        <v>177.0</v>
      </c>
      <c r="BB252" s="631"/>
      <c r="BC252" s="189" t="s">
        <v>695</v>
      </c>
      <c r="BD252" s="186" t="s">
        <v>3303</v>
      </c>
      <c r="BE252" s="179" t="s">
        <v>3304</v>
      </c>
      <c r="BF252" s="179" t="s">
        <v>3305</v>
      </c>
      <c r="BG252" s="179" t="s">
        <v>3306</v>
      </c>
      <c r="BH252" s="179" t="s">
        <v>3307</v>
      </c>
      <c r="BI252" s="179" t="s">
        <v>3308</v>
      </c>
      <c r="BJ252" s="179"/>
      <c r="BK252" s="631"/>
      <c r="BL252" s="179" t="b">
        <f t="shared" si="26"/>
        <v>1</v>
      </c>
      <c r="BM252" s="179" t="b">
        <f t="shared" si="27"/>
        <v>1</v>
      </c>
      <c r="BN252" s="688" t="b">
        <f t="shared" si="28"/>
        <v>1</v>
      </c>
    </row>
    <row r="253">
      <c r="A253" s="689"/>
      <c r="B253" s="186" t="s">
        <v>3692</v>
      </c>
      <c r="C253" s="676" t="s">
        <v>1578</v>
      </c>
      <c r="D253" s="677">
        <v>383.0</v>
      </c>
      <c r="E253" s="632" t="s">
        <v>3693</v>
      </c>
      <c r="F253" s="678">
        <f t="shared" ref="F253:G253" si="639">H253+J253+L253+N253+P253</f>
        <v>4738.78</v>
      </c>
      <c r="G253" s="679">
        <f t="shared" si="639"/>
        <v>964.64</v>
      </c>
      <c r="H253" s="641">
        <v>1573.83</v>
      </c>
      <c r="I253" s="680">
        <v>315.76</v>
      </c>
      <c r="J253" s="641">
        <v>1240.47</v>
      </c>
      <c r="K253" s="680">
        <v>280.3</v>
      </c>
      <c r="L253" s="641">
        <v>219.55</v>
      </c>
      <c r="M253" s="680">
        <v>67.72</v>
      </c>
      <c r="N253" s="641">
        <v>875.04</v>
      </c>
      <c r="O253" s="680">
        <v>163.6</v>
      </c>
      <c r="P253" s="641">
        <v>829.89</v>
      </c>
      <c r="Q253" s="680">
        <v>137.26</v>
      </c>
      <c r="R253" s="681" t="s">
        <v>710</v>
      </c>
      <c r="S253" s="682">
        <f t="shared" si="10"/>
        <v>4738.78</v>
      </c>
      <c r="T253" s="683"/>
      <c r="U253" s="625">
        <f t="shared" si="612"/>
        <v>1573.83</v>
      </c>
      <c r="V253" s="625">
        <f t="shared" si="613"/>
        <v>1240.47</v>
      </c>
      <c r="W253" s="625">
        <f t="shared" si="614"/>
        <v>219.55</v>
      </c>
      <c r="X253" s="625">
        <f t="shared" si="615"/>
        <v>875.04</v>
      </c>
      <c r="Y253" s="625">
        <f t="shared" si="616"/>
        <v>829.89</v>
      </c>
      <c r="Z253" s="656">
        <f t="shared" si="16"/>
        <v>964.64</v>
      </c>
      <c r="AA253" s="683"/>
      <c r="AB253" s="625">
        <f t="shared" si="617"/>
        <v>315.76</v>
      </c>
      <c r="AC253" s="625">
        <f t="shared" si="618"/>
        <v>280.3</v>
      </c>
      <c r="AD253" s="625">
        <f t="shared" si="619"/>
        <v>67.72</v>
      </c>
      <c r="AE253" s="625">
        <f t="shared" si="620"/>
        <v>163.6</v>
      </c>
      <c r="AF253" s="625">
        <f t="shared" si="621"/>
        <v>137.26</v>
      </c>
      <c r="AG253" s="657">
        <f t="shared" si="22"/>
        <v>0.2035629424</v>
      </c>
      <c r="AH253" s="165"/>
      <c r="AI253" s="165">
        <f t="shared" ref="AI253:AM253" si="640">AB253/U253</f>
        <v>0.2006315803</v>
      </c>
      <c r="AJ253" s="165">
        <f t="shared" si="640"/>
        <v>0.2259627399</v>
      </c>
      <c r="AK253" s="165">
        <f t="shared" si="640"/>
        <v>0.3084491004</v>
      </c>
      <c r="AL253" s="165">
        <f t="shared" si="640"/>
        <v>0.1869628817</v>
      </c>
      <c r="AM253" s="165">
        <f t="shared" si="640"/>
        <v>0.1653954139</v>
      </c>
      <c r="AN253" s="684">
        <f t="shared" si="453"/>
        <v>3876</v>
      </c>
      <c r="AO253" s="625"/>
      <c r="AP253" s="625">
        <v>907.0</v>
      </c>
      <c r="AQ253" s="625">
        <v>1538.0</v>
      </c>
      <c r="AR253" s="625">
        <v>118.0</v>
      </c>
      <c r="AS253" s="625">
        <v>691.0</v>
      </c>
      <c r="AT253" s="625">
        <v>622.0</v>
      </c>
      <c r="AU253" s="684">
        <f t="shared" si="496"/>
        <v>0</v>
      </c>
      <c r="AV253" s="180"/>
      <c r="AW253" s="180">
        <v>0.0</v>
      </c>
      <c r="AX253" s="180">
        <v>0.0</v>
      </c>
      <c r="AY253" s="180">
        <v>0.0</v>
      </c>
      <c r="AZ253" s="180">
        <v>0.0</v>
      </c>
      <c r="BA253" s="686">
        <v>0.0</v>
      </c>
      <c r="BB253" s="631"/>
      <c r="BC253" s="189" t="s">
        <v>695</v>
      </c>
      <c r="BD253" s="688" t="s">
        <v>3303</v>
      </c>
      <c r="BE253" s="179" t="s">
        <v>3304</v>
      </c>
      <c r="BF253" s="179" t="s">
        <v>3305</v>
      </c>
      <c r="BG253" s="179" t="s">
        <v>3306</v>
      </c>
      <c r="BH253" s="179" t="s">
        <v>3307</v>
      </c>
      <c r="BI253" s="179" t="s">
        <v>3308</v>
      </c>
      <c r="BJ253" s="179"/>
      <c r="BK253" s="631"/>
      <c r="BL253" s="179" t="b">
        <f t="shared" si="26"/>
        <v>1</v>
      </c>
      <c r="BM253" s="179" t="b">
        <f t="shared" si="27"/>
        <v>1</v>
      </c>
      <c r="BN253" s="688" t="b">
        <f t="shared" si="28"/>
        <v>0</v>
      </c>
    </row>
    <row r="254">
      <c r="A254" s="675" t="s">
        <v>3301</v>
      </c>
      <c r="B254" s="186" t="s">
        <v>3694</v>
      </c>
      <c r="C254" s="676" t="s">
        <v>2113</v>
      </c>
      <c r="D254" s="677">
        <v>159.0</v>
      </c>
      <c r="E254" s="632" t="s">
        <v>835</v>
      </c>
      <c r="F254" s="678">
        <f t="shared" ref="F254:G254" si="641">H254+J254+L254+N254+P254</f>
        <v>38531</v>
      </c>
      <c r="G254" s="679">
        <f t="shared" si="641"/>
        <v>6081</v>
      </c>
      <c r="H254" s="641">
        <v>8732.0</v>
      </c>
      <c r="I254" s="680">
        <v>1465.0</v>
      </c>
      <c r="J254" s="641">
        <v>8131.0</v>
      </c>
      <c r="K254" s="680">
        <v>1446.0</v>
      </c>
      <c r="L254" s="641">
        <v>6721.0</v>
      </c>
      <c r="M254" s="680">
        <v>1026.0</v>
      </c>
      <c r="N254" s="641">
        <v>7493.0</v>
      </c>
      <c r="O254" s="680">
        <v>1000.0</v>
      </c>
      <c r="P254" s="641">
        <v>7454.0</v>
      </c>
      <c r="Q254" s="680">
        <v>1144.0</v>
      </c>
      <c r="R254" s="681" t="s">
        <v>3695</v>
      </c>
      <c r="S254" s="682">
        <f t="shared" si="10"/>
        <v>38531</v>
      </c>
      <c r="T254" s="683"/>
      <c r="U254" s="625">
        <f t="shared" si="612"/>
        <v>8732</v>
      </c>
      <c r="V254" s="625">
        <f t="shared" si="613"/>
        <v>8131</v>
      </c>
      <c r="W254" s="625">
        <f t="shared" si="614"/>
        <v>6721</v>
      </c>
      <c r="X254" s="625">
        <f t="shared" si="615"/>
        <v>7493</v>
      </c>
      <c r="Y254" s="625">
        <f t="shared" si="616"/>
        <v>7454</v>
      </c>
      <c r="Z254" s="656">
        <f t="shared" si="16"/>
        <v>6081</v>
      </c>
      <c r="AA254" s="683"/>
      <c r="AB254" s="625">
        <f t="shared" si="617"/>
        <v>1465</v>
      </c>
      <c r="AC254" s="625">
        <f t="shared" si="618"/>
        <v>1446</v>
      </c>
      <c r="AD254" s="625">
        <f t="shared" si="619"/>
        <v>1026</v>
      </c>
      <c r="AE254" s="625">
        <f t="shared" si="620"/>
        <v>1000</v>
      </c>
      <c r="AF254" s="625">
        <f t="shared" si="621"/>
        <v>1144</v>
      </c>
      <c r="AG254" s="657">
        <f t="shared" si="22"/>
        <v>0.1578209753</v>
      </c>
      <c r="AH254" s="165"/>
      <c r="AI254" s="165">
        <f t="shared" ref="AI254:AM254" si="642">AB254/U254</f>
        <v>0.1677737059</v>
      </c>
      <c r="AJ254" s="165">
        <f t="shared" si="642"/>
        <v>0.1778379043</v>
      </c>
      <c r="AK254" s="165">
        <f t="shared" si="642"/>
        <v>0.1526558548</v>
      </c>
      <c r="AL254" s="165">
        <f t="shared" si="642"/>
        <v>0.133457894</v>
      </c>
      <c r="AM254" s="165">
        <f t="shared" si="642"/>
        <v>0.1534746445</v>
      </c>
      <c r="AN254" s="684">
        <f t="shared" si="453"/>
        <v>31307</v>
      </c>
      <c r="AO254" s="641">
        <v>705.0</v>
      </c>
      <c r="AP254" s="641">
        <v>6282.0</v>
      </c>
      <c r="AQ254" s="641">
        <v>7291.0</v>
      </c>
      <c r="AR254" s="641">
        <v>3705.0</v>
      </c>
      <c r="AS254" s="641">
        <v>5804.0</v>
      </c>
      <c r="AT254" s="641">
        <v>8225.0</v>
      </c>
      <c r="AU254" s="684">
        <f t="shared" si="496"/>
        <v>13482</v>
      </c>
      <c r="AV254" s="641">
        <v>3173.0</v>
      </c>
      <c r="AW254" s="641">
        <v>3159.0</v>
      </c>
      <c r="AX254" s="641">
        <v>2800.0</v>
      </c>
      <c r="AY254" s="641">
        <v>2626.0</v>
      </c>
      <c r="AZ254" s="641">
        <v>2598.0</v>
      </c>
      <c r="BA254" s="691">
        <v>2299.0</v>
      </c>
      <c r="BB254" s="631"/>
      <c r="BC254" s="189" t="s">
        <v>695</v>
      </c>
      <c r="BD254" s="186" t="s">
        <v>3303</v>
      </c>
      <c r="BE254" s="179" t="s">
        <v>3304</v>
      </c>
      <c r="BF254" s="179" t="s">
        <v>3305</v>
      </c>
      <c r="BG254" s="179" t="s">
        <v>3306</v>
      </c>
      <c r="BH254" s="179" t="s">
        <v>3307</v>
      </c>
      <c r="BI254" s="179" t="s">
        <v>3308</v>
      </c>
      <c r="BJ254" s="179"/>
      <c r="BK254" s="631"/>
      <c r="BL254" s="179" t="b">
        <f t="shared" si="26"/>
        <v>1</v>
      </c>
      <c r="BM254" s="179" t="b">
        <f t="shared" si="27"/>
        <v>1</v>
      </c>
      <c r="BN254" s="688" t="b">
        <f t="shared" si="28"/>
        <v>1</v>
      </c>
    </row>
    <row r="255">
      <c r="A255" s="675" t="s">
        <v>3301</v>
      </c>
      <c r="B255" s="186" t="s">
        <v>3696</v>
      </c>
      <c r="C255" s="697" t="s">
        <v>2113</v>
      </c>
      <c r="D255" s="677">
        <v>37.0</v>
      </c>
      <c r="E255" s="724" t="s">
        <v>823</v>
      </c>
      <c r="F255" s="678">
        <f t="shared" ref="F255:G255" si="643">H255+J255+L255+N255+P255</f>
        <v>39101.05</v>
      </c>
      <c r="G255" s="679">
        <f t="shared" si="643"/>
        <v>4892</v>
      </c>
      <c r="H255" s="739">
        <v>11154.42</v>
      </c>
      <c r="I255" s="740">
        <v>2006.0</v>
      </c>
      <c r="J255" s="739">
        <v>11322.44</v>
      </c>
      <c r="K255" s="740">
        <v>1388.0</v>
      </c>
      <c r="L255" s="739">
        <v>5218.54</v>
      </c>
      <c r="M255" s="740">
        <v>839.0</v>
      </c>
      <c r="N255" s="739">
        <v>5761.31</v>
      </c>
      <c r="O255" s="740">
        <v>570.0</v>
      </c>
      <c r="P255" s="739">
        <v>5644.34</v>
      </c>
      <c r="Q255" s="740">
        <v>89.0</v>
      </c>
      <c r="R255" s="681" t="s">
        <v>709</v>
      </c>
      <c r="S255" s="682">
        <f t="shared" si="10"/>
        <v>39101.05</v>
      </c>
      <c r="T255" s="683"/>
      <c r="U255" s="625">
        <f t="shared" si="612"/>
        <v>11154.42</v>
      </c>
      <c r="V255" s="625">
        <f t="shared" si="613"/>
        <v>11322.44</v>
      </c>
      <c r="W255" s="625">
        <f t="shared" si="614"/>
        <v>5218.54</v>
      </c>
      <c r="X255" s="625">
        <f t="shared" si="615"/>
        <v>5761.31</v>
      </c>
      <c r="Y255" s="625">
        <f t="shared" si="616"/>
        <v>5644.34</v>
      </c>
      <c r="Z255" s="656">
        <f t="shared" si="16"/>
        <v>4892</v>
      </c>
      <c r="AA255" s="683"/>
      <c r="AB255" s="625">
        <f t="shared" si="617"/>
        <v>2006</v>
      </c>
      <c r="AC255" s="625">
        <f t="shared" si="618"/>
        <v>1388</v>
      </c>
      <c r="AD255" s="625">
        <f t="shared" si="619"/>
        <v>839</v>
      </c>
      <c r="AE255" s="625">
        <f t="shared" si="620"/>
        <v>570</v>
      </c>
      <c r="AF255" s="625">
        <f t="shared" si="621"/>
        <v>89</v>
      </c>
      <c r="AG255" s="657">
        <f t="shared" si="22"/>
        <v>0.1251117297</v>
      </c>
      <c r="AH255" s="165"/>
      <c r="AI255" s="165">
        <f t="shared" ref="AI255:AM255" si="644">AB255/U255</f>
        <v>0.1798390235</v>
      </c>
      <c r="AJ255" s="165">
        <f t="shared" si="644"/>
        <v>0.1225884173</v>
      </c>
      <c r="AK255" s="165">
        <f t="shared" si="644"/>
        <v>0.1607729365</v>
      </c>
      <c r="AL255" s="165">
        <f t="shared" si="644"/>
        <v>0.0989358323</v>
      </c>
      <c r="AM255" s="165">
        <f t="shared" si="644"/>
        <v>0.01576800831</v>
      </c>
      <c r="AN255" s="684">
        <f t="shared" si="453"/>
        <v>6239</v>
      </c>
      <c r="AO255" s="641">
        <v>2250.0</v>
      </c>
      <c r="AP255" s="641">
        <v>3500.0</v>
      </c>
      <c r="AQ255" s="641">
        <v>500.0</v>
      </c>
      <c r="AR255" s="641">
        <v>224.0</v>
      </c>
      <c r="AS255" s="641">
        <v>1004.0</v>
      </c>
      <c r="AT255" s="641">
        <v>1011.0</v>
      </c>
      <c r="AU255" s="684">
        <f t="shared" si="496"/>
        <v>18130</v>
      </c>
      <c r="AV255" s="641">
        <v>5372.0</v>
      </c>
      <c r="AW255" s="641">
        <v>5114.0</v>
      </c>
      <c r="AX255" s="641">
        <v>3437.0</v>
      </c>
      <c r="AY255" s="641">
        <v>3374.0</v>
      </c>
      <c r="AZ255" s="641">
        <v>3194.0</v>
      </c>
      <c r="BA255" s="691">
        <v>3011.0</v>
      </c>
      <c r="BB255" s="685"/>
      <c r="BC255" s="186" t="s">
        <v>695</v>
      </c>
      <c r="BD255" s="186" t="s">
        <v>3303</v>
      </c>
      <c r="BE255" s="703" t="s">
        <v>3304</v>
      </c>
      <c r="BF255" s="703" t="s">
        <v>3305</v>
      </c>
      <c r="BG255" s="703" t="s">
        <v>3306</v>
      </c>
      <c r="BH255" s="703" t="s">
        <v>3307</v>
      </c>
      <c r="BI255" s="186" t="s">
        <v>3308</v>
      </c>
      <c r="BJ255" s="179"/>
      <c r="BK255" s="685"/>
      <c r="BL255" s="179" t="b">
        <f t="shared" si="26"/>
        <v>1</v>
      </c>
      <c r="BM255" s="179" t="b">
        <f t="shared" si="27"/>
        <v>1</v>
      </c>
      <c r="BN255" s="688" t="b">
        <f t="shared" si="28"/>
        <v>1</v>
      </c>
    </row>
    <row r="256">
      <c r="A256" s="689"/>
      <c r="B256" s="186" t="s">
        <v>3697</v>
      </c>
      <c r="C256" s="676" t="s">
        <v>2113</v>
      </c>
      <c r="D256" s="677">
        <v>355.0</v>
      </c>
      <c r="E256" s="632" t="s">
        <v>3698</v>
      </c>
      <c r="F256" s="678">
        <f t="shared" ref="F256:G256" si="645">H256+J256+L256+N256+P256</f>
        <v>7844</v>
      </c>
      <c r="G256" s="679">
        <f t="shared" si="645"/>
        <v>473</v>
      </c>
      <c r="H256" s="641">
        <v>2475.0</v>
      </c>
      <c r="I256" s="680">
        <v>-34.0</v>
      </c>
      <c r="J256" s="641">
        <v>1624.0</v>
      </c>
      <c r="K256" s="680">
        <v>78.0</v>
      </c>
      <c r="L256" s="641">
        <v>991.0</v>
      </c>
      <c r="M256" s="680">
        <v>290.0</v>
      </c>
      <c r="N256" s="641">
        <v>1407.0</v>
      </c>
      <c r="O256" s="680">
        <v>97.0</v>
      </c>
      <c r="P256" s="641">
        <v>1347.0</v>
      </c>
      <c r="Q256" s="680">
        <v>42.0</v>
      </c>
      <c r="R256" s="681" t="s">
        <v>700</v>
      </c>
      <c r="S256" s="682">
        <f t="shared" si="10"/>
        <v>7844</v>
      </c>
      <c r="T256" s="683"/>
      <c r="U256" s="625">
        <f t="shared" si="612"/>
        <v>2475</v>
      </c>
      <c r="V256" s="625">
        <f t="shared" si="613"/>
        <v>1624</v>
      </c>
      <c r="W256" s="625">
        <f t="shared" si="614"/>
        <v>991</v>
      </c>
      <c r="X256" s="625">
        <f t="shared" si="615"/>
        <v>1407</v>
      </c>
      <c r="Y256" s="625">
        <f t="shared" si="616"/>
        <v>1347</v>
      </c>
      <c r="Z256" s="656">
        <f t="shared" si="16"/>
        <v>473</v>
      </c>
      <c r="AA256" s="683"/>
      <c r="AB256" s="625">
        <f t="shared" si="617"/>
        <v>-34</v>
      </c>
      <c r="AC256" s="625">
        <f t="shared" si="618"/>
        <v>78</v>
      </c>
      <c r="AD256" s="625">
        <f t="shared" si="619"/>
        <v>290</v>
      </c>
      <c r="AE256" s="625">
        <f t="shared" si="620"/>
        <v>97</v>
      </c>
      <c r="AF256" s="625">
        <f t="shared" si="621"/>
        <v>42</v>
      </c>
      <c r="AG256" s="657">
        <f t="shared" si="22"/>
        <v>0.0603008669</v>
      </c>
      <c r="AH256" s="165"/>
      <c r="AI256" s="165">
        <f t="shared" ref="AI256:AM256" si="646">AB256/U256</f>
        <v>-0.01373737374</v>
      </c>
      <c r="AJ256" s="165">
        <f t="shared" si="646"/>
        <v>0.04802955665</v>
      </c>
      <c r="AK256" s="165">
        <f t="shared" si="646"/>
        <v>0.2926337033</v>
      </c>
      <c r="AL256" s="165">
        <f t="shared" si="646"/>
        <v>0.06894100924</v>
      </c>
      <c r="AM256" s="165">
        <f t="shared" si="646"/>
        <v>0.03118040089</v>
      </c>
      <c r="AN256" s="684">
        <f t="shared" si="453"/>
        <v>3075</v>
      </c>
      <c r="AO256" s="641">
        <v>1070.0</v>
      </c>
      <c r="AP256" s="625">
        <v>1068.0</v>
      </c>
      <c r="AQ256" s="625">
        <v>34.0</v>
      </c>
      <c r="AR256" s="625">
        <v>286.0</v>
      </c>
      <c r="AS256" s="625">
        <v>870.0</v>
      </c>
      <c r="AT256" s="625">
        <v>817.0</v>
      </c>
      <c r="AU256" s="684">
        <f t="shared" si="496"/>
        <v>0</v>
      </c>
      <c r="AV256" s="685">
        <v>406.0</v>
      </c>
      <c r="AW256" s="180">
        <v>0.0</v>
      </c>
      <c r="AX256" s="180">
        <v>0.0</v>
      </c>
      <c r="AY256" s="180">
        <v>0.0</v>
      </c>
      <c r="AZ256" s="180">
        <v>0.0</v>
      </c>
      <c r="BA256" s="686">
        <v>0.0</v>
      </c>
      <c r="BB256" s="631"/>
      <c r="BC256" s="189" t="s">
        <v>695</v>
      </c>
      <c r="BD256" s="186" t="s">
        <v>3303</v>
      </c>
      <c r="BE256" s="179" t="s">
        <v>3304</v>
      </c>
      <c r="BF256" s="179" t="s">
        <v>3305</v>
      </c>
      <c r="BG256" s="179" t="s">
        <v>3306</v>
      </c>
      <c r="BH256" s="179" t="s">
        <v>3307</v>
      </c>
      <c r="BI256" s="179" t="s">
        <v>3308</v>
      </c>
      <c r="BJ256" s="179"/>
      <c r="BK256" s="631"/>
      <c r="BL256" s="179" t="b">
        <f t="shared" si="26"/>
        <v>1</v>
      </c>
      <c r="BM256" s="179" t="b">
        <f t="shared" si="27"/>
        <v>1</v>
      </c>
      <c r="BN256" s="688" t="b">
        <f t="shared" si="28"/>
        <v>0</v>
      </c>
    </row>
    <row r="257">
      <c r="A257" s="675" t="s">
        <v>3333</v>
      </c>
      <c r="B257" s="186" t="s">
        <v>1534</v>
      </c>
      <c r="C257" s="704" t="s">
        <v>2113</v>
      </c>
      <c r="D257" s="677">
        <v>186.0</v>
      </c>
      <c r="E257" s="246" t="s">
        <v>33</v>
      </c>
      <c r="F257" s="654"/>
      <c r="G257" s="741"/>
      <c r="H257" s="742"/>
      <c r="I257" s="741"/>
      <c r="J257" s="742"/>
      <c r="K257" s="741"/>
      <c r="L257" s="742"/>
      <c r="M257" s="741"/>
      <c r="N257" s="742"/>
      <c r="O257" s="741"/>
      <c r="P257" s="742"/>
      <c r="Q257" s="741"/>
      <c r="R257" s="742"/>
      <c r="S257" s="682">
        <f t="shared" si="10"/>
        <v>4894</v>
      </c>
      <c r="T257" s="625"/>
      <c r="U257" s="625">
        <f>2847-54</f>
        <v>2793</v>
      </c>
      <c r="V257" s="641">
        <f>3400-50</f>
        <v>3350</v>
      </c>
      <c r="W257" s="625">
        <f>-1303+3</f>
        <v>-1300</v>
      </c>
      <c r="X257" s="641">
        <f>-381-0</f>
        <v>-381</v>
      </c>
      <c r="Y257" s="641">
        <f>434-2</f>
        <v>432</v>
      </c>
      <c r="Z257" s="656">
        <f t="shared" si="16"/>
        <v>26</v>
      </c>
      <c r="AA257" s="641"/>
      <c r="AB257" s="641">
        <v>101.0</v>
      </c>
      <c r="AC257" s="641">
        <v>-7.0</v>
      </c>
      <c r="AD257" s="641">
        <v>-10.0</v>
      </c>
      <c r="AE257" s="641">
        <v>-18.0</v>
      </c>
      <c r="AF257" s="641">
        <v>-40.0</v>
      </c>
      <c r="AG257" s="657">
        <f t="shared" si="22"/>
        <v>0.005312627707</v>
      </c>
      <c r="AH257" s="165"/>
      <c r="AI257" s="165">
        <f t="shared" ref="AI257:AM257" si="647">AB257/U257</f>
        <v>0.03616183315</v>
      </c>
      <c r="AJ257" s="165">
        <f t="shared" si="647"/>
        <v>-0.002089552239</v>
      </c>
      <c r="AK257" s="165">
        <f t="shared" si="647"/>
        <v>0.007692307692</v>
      </c>
      <c r="AL257" s="165">
        <f t="shared" si="647"/>
        <v>0.04724409449</v>
      </c>
      <c r="AM257" s="165">
        <f t="shared" si="647"/>
        <v>-0.09259259259</v>
      </c>
      <c r="AN257" s="684">
        <f t="shared" si="453"/>
        <v>1162</v>
      </c>
      <c r="AO257" s="641">
        <v>175.0</v>
      </c>
      <c r="AP257" s="641">
        <v>849.0</v>
      </c>
      <c r="AQ257" s="641">
        <v>150.0</v>
      </c>
      <c r="AR257" s="641">
        <v>0.0</v>
      </c>
      <c r="AS257" s="641">
        <v>88.0</v>
      </c>
      <c r="AT257" s="641">
        <v>75.0</v>
      </c>
      <c r="AU257" s="684">
        <f t="shared" si="496"/>
        <v>79</v>
      </c>
      <c r="AV257" s="180">
        <v>0.0</v>
      </c>
      <c r="AW257" s="180">
        <v>0.0</v>
      </c>
      <c r="AX257" s="180">
        <v>0.0</v>
      </c>
      <c r="AY257" s="685">
        <v>8.0</v>
      </c>
      <c r="AZ257" s="685">
        <v>35.0</v>
      </c>
      <c r="BA257" s="710">
        <v>36.0</v>
      </c>
      <c r="BB257" s="625"/>
      <c r="BC257" s="189" t="s">
        <v>695</v>
      </c>
      <c r="BD257" s="186" t="s">
        <v>3303</v>
      </c>
      <c r="BE257" s="179" t="s">
        <v>3304</v>
      </c>
      <c r="BF257" s="179" t="s">
        <v>3305</v>
      </c>
      <c r="BG257" s="179" t="s">
        <v>3306</v>
      </c>
      <c r="BH257" s="179" t="s">
        <v>3307</v>
      </c>
      <c r="BI257" s="179" t="s">
        <v>3308</v>
      </c>
      <c r="BJ257" s="179"/>
      <c r="BK257" s="625"/>
      <c r="BL257" s="179" t="b">
        <f t="shared" si="26"/>
        <v>1</v>
      </c>
      <c r="BM257" s="179" t="b">
        <f t="shared" si="27"/>
        <v>1</v>
      </c>
      <c r="BN257" s="688" t="b">
        <f t="shared" si="28"/>
        <v>1</v>
      </c>
    </row>
    <row r="258">
      <c r="A258" s="689"/>
      <c r="B258" s="186" t="s">
        <v>3699</v>
      </c>
      <c r="C258" s="676" t="s">
        <v>2113</v>
      </c>
      <c r="D258" s="677">
        <v>311.0</v>
      </c>
      <c r="E258" s="632" t="s">
        <v>3700</v>
      </c>
      <c r="F258" s="678">
        <f t="shared" ref="F258:G258" si="648">H258+J258+L258+N258+P258</f>
        <v>4933.07</v>
      </c>
      <c r="G258" s="679">
        <f t="shared" si="648"/>
        <v>1145.63</v>
      </c>
      <c r="H258" s="641">
        <v>756.84</v>
      </c>
      <c r="I258" s="680">
        <v>178.67</v>
      </c>
      <c r="J258" s="641">
        <v>1169.32</v>
      </c>
      <c r="K258" s="680">
        <v>276.47</v>
      </c>
      <c r="L258" s="641">
        <v>1136.75</v>
      </c>
      <c r="M258" s="680">
        <v>268.97</v>
      </c>
      <c r="N258" s="641">
        <v>957.19</v>
      </c>
      <c r="O258" s="680">
        <v>225.66</v>
      </c>
      <c r="P258" s="641">
        <v>912.97</v>
      </c>
      <c r="Q258" s="680">
        <v>195.86</v>
      </c>
      <c r="R258" s="681" t="s">
        <v>716</v>
      </c>
      <c r="S258" s="682">
        <f t="shared" si="10"/>
        <v>4933.07</v>
      </c>
      <c r="T258" s="683"/>
      <c r="U258" s="625">
        <f t="shared" ref="U258:U374" si="651">H258</f>
        <v>756.84</v>
      </c>
      <c r="V258" s="625">
        <f t="shared" ref="V258:V374" si="652">J258</f>
        <v>1169.32</v>
      </c>
      <c r="W258" s="625">
        <f t="shared" ref="W258:W374" si="653">L258</f>
        <v>1136.75</v>
      </c>
      <c r="X258" s="625">
        <f t="shared" ref="X258:X374" si="654">N258</f>
        <v>957.19</v>
      </c>
      <c r="Y258" s="625">
        <f t="shared" ref="Y258:Y374" si="655">P258</f>
        <v>912.97</v>
      </c>
      <c r="Z258" s="656">
        <f t="shared" si="16"/>
        <v>1145.63</v>
      </c>
      <c r="AA258" s="683"/>
      <c r="AB258" s="625">
        <f t="shared" ref="AB258:AB374" si="656">I258</f>
        <v>178.67</v>
      </c>
      <c r="AC258" s="625">
        <f t="shared" ref="AC258:AC374" si="657">K258</f>
        <v>276.47</v>
      </c>
      <c r="AD258" s="625">
        <f t="shared" ref="AD258:AD374" si="658">M258</f>
        <v>268.97</v>
      </c>
      <c r="AE258" s="625">
        <f t="shared" ref="AE258:AE374" si="659">O258</f>
        <v>225.66</v>
      </c>
      <c r="AF258" s="625">
        <f t="shared" ref="AF258:AF374" si="660">Q258</f>
        <v>195.86</v>
      </c>
      <c r="AG258" s="657">
        <f t="shared" si="22"/>
        <v>0.2322346936</v>
      </c>
      <c r="AH258" s="165"/>
      <c r="AI258" s="165">
        <f t="shared" ref="AI258:AM258" si="649">AB258/U258</f>
        <v>0.2360736748</v>
      </c>
      <c r="AJ258" s="165">
        <f t="shared" si="649"/>
        <v>0.2364365614</v>
      </c>
      <c r="AK258" s="165">
        <f t="shared" si="649"/>
        <v>0.2366131515</v>
      </c>
      <c r="AL258" s="165">
        <f t="shared" si="649"/>
        <v>0.2357525674</v>
      </c>
      <c r="AM258" s="165">
        <f t="shared" si="649"/>
        <v>0.2145305979</v>
      </c>
      <c r="AN258" s="684">
        <f t="shared" si="453"/>
        <v>3429</v>
      </c>
      <c r="AO258" s="625"/>
      <c r="AP258" s="625">
        <v>833.0</v>
      </c>
      <c r="AQ258" s="625">
        <v>1221.0</v>
      </c>
      <c r="AR258" s="625">
        <v>207.0</v>
      </c>
      <c r="AS258" s="625">
        <v>771.0</v>
      </c>
      <c r="AT258" s="625">
        <v>397.0</v>
      </c>
      <c r="AU258" s="684">
        <f t="shared" si="496"/>
        <v>232.03</v>
      </c>
      <c r="AV258" s="625"/>
      <c r="AW258" s="625">
        <v>58.45</v>
      </c>
      <c r="AX258" s="625">
        <v>65.9</v>
      </c>
      <c r="AY258" s="625">
        <v>17.34</v>
      </c>
      <c r="AZ258" s="625">
        <v>53.0</v>
      </c>
      <c r="BA258" s="693">
        <v>37.34</v>
      </c>
      <c r="BB258" s="631"/>
      <c r="BC258" s="189" t="s">
        <v>695</v>
      </c>
      <c r="BD258" s="688" t="s">
        <v>3303</v>
      </c>
      <c r="BE258" s="179" t="s">
        <v>3304</v>
      </c>
      <c r="BF258" s="179" t="s">
        <v>3305</v>
      </c>
      <c r="BG258" s="179" t="s">
        <v>3306</v>
      </c>
      <c r="BH258" s="179" t="s">
        <v>3307</v>
      </c>
      <c r="BI258" s="179" t="s">
        <v>3308</v>
      </c>
      <c r="BJ258" s="179"/>
      <c r="BK258" s="631"/>
      <c r="BL258" s="179" t="b">
        <f t="shared" si="26"/>
        <v>1</v>
      </c>
      <c r="BM258" s="179" t="b">
        <f t="shared" si="27"/>
        <v>1</v>
      </c>
      <c r="BN258" s="688" t="b">
        <f t="shared" si="28"/>
        <v>0</v>
      </c>
    </row>
    <row r="259">
      <c r="A259" s="675" t="s">
        <v>3301</v>
      </c>
      <c r="B259" s="186" t="s">
        <v>3701</v>
      </c>
      <c r="C259" s="676" t="s">
        <v>2113</v>
      </c>
      <c r="D259" s="677">
        <v>347.0</v>
      </c>
      <c r="E259" s="632" t="s">
        <v>3702</v>
      </c>
      <c r="F259" s="678">
        <f t="shared" ref="F259:G259" si="650">H259+J259+L259+N259+P259</f>
        <v>5753.3</v>
      </c>
      <c r="G259" s="679">
        <f t="shared" si="650"/>
        <v>120.49</v>
      </c>
      <c r="H259" s="641">
        <v>1102.61</v>
      </c>
      <c r="I259" s="680">
        <v>683.99</v>
      </c>
      <c r="J259" s="641">
        <v>1100.53</v>
      </c>
      <c r="K259" s="680">
        <v>34.57</v>
      </c>
      <c r="L259" s="641">
        <v>1965.75</v>
      </c>
      <c r="M259" s="680">
        <v>-1140.95</v>
      </c>
      <c r="N259" s="641">
        <v>1202.02</v>
      </c>
      <c r="O259" s="680">
        <v>359.78</v>
      </c>
      <c r="P259" s="641">
        <v>382.39</v>
      </c>
      <c r="Q259" s="680">
        <v>183.1</v>
      </c>
      <c r="R259" s="681" t="s">
        <v>714</v>
      </c>
      <c r="S259" s="682">
        <f t="shared" si="10"/>
        <v>5753.3</v>
      </c>
      <c r="T259" s="683"/>
      <c r="U259" s="625">
        <f t="shared" si="651"/>
        <v>1102.61</v>
      </c>
      <c r="V259" s="625">
        <f t="shared" si="652"/>
        <v>1100.53</v>
      </c>
      <c r="W259" s="625">
        <f t="shared" si="653"/>
        <v>1965.75</v>
      </c>
      <c r="X259" s="625">
        <f t="shared" si="654"/>
        <v>1202.02</v>
      </c>
      <c r="Y259" s="625">
        <f t="shared" si="655"/>
        <v>382.39</v>
      </c>
      <c r="Z259" s="656">
        <f t="shared" si="16"/>
        <v>120.49</v>
      </c>
      <c r="AA259" s="683"/>
      <c r="AB259" s="625">
        <f t="shared" si="656"/>
        <v>683.99</v>
      </c>
      <c r="AC259" s="625">
        <f t="shared" si="657"/>
        <v>34.57</v>
      </c>
      <c r="AD259" s="625">
        <f t="shared" si="658"/>
        <v>-1140.95</v>
      </c>
      <c r="AE259" s="625">
        <f t="shared" si="659"/>
        <v>359.78</v>
      </c>
      <c r="AF259" s="625">
        <f t="shared" si="660"/>
        <v>183.1</v>
      </c>
      <c r="AG259" s="657">
        <f t="shared" si="22"/>
        <v>0.02094276328</v>
      </c>
      <c r="AH259" s="165"/>
      <c r="AI259" s="165">
        <f t="shared" ref="AI259:AM259" si="661">AB259/U259</f>
        <v>0.6203371999</v>
      </c>
      <c r="AJ259" s="165">
        <f t="shared" si="661"/>
        <v>0.03141213779</v>
      </c>
      <c r="AK259" s="165">
        <f t="shared" si="661"/>
        <v>-0.5804146</v>
      </c>
      <c r="AL259" s="165">
        <f t="shared" si="661"/>
        <v>0.2993128234</v>
      </c>
      <c r="AM259" s="165">
        <f t="shared" si="661"/>
        <v>0.4788305134</v>
      </c>
      <c r="AN259" s="684">
        <f t="shared" si="453"/>
        <v>1006</v>
      </c>
      <c r="AO259" s="641">
        <v>250.1</v>
      </c>
      <c r="AP259" s="625">
        <v>200.0</v>
      </c>
      <c r="AQ259" s="625">
        <v>50.0</v>
      </c>
      <c r="AR259" s="625">
        <v>0.0</v>
      </c>
      <c r="AS259" s="625">
        <v>400.0</v>
      </c>
      <c r="AT259" s="625">
        <v>356.0</v>
      </c>
      <c r="AU259" s="684">
        <f t="shared" si="496"/>
        <v>1170.3</v>
      </c>
      <c r="AV259" s="641">
        <v>277.1</v>
      </c>
      <c r="AW259" s="625">
        <v>254.2</v>
      </c>
      <c r="AX259" s="625">
        <v>239.4</v>
      </c>
      <c r="AY259" s="625">
        <v>231.9</v>
      </c>
      <c r="AZ259" s="625">
        <v>229.2</v>
      </c>
      <c r="BA259" s="693">
        <v>215.6</v>
      </c>
      <c r="BB259" s="631"/>
      <c r="BC259" s="189" t="s">
        <v>695</v>
      </c>
      <c r="BD259" s="186" t="s">
        <v>3303</v>
      </c>
      <c r="BE259" s="179" t="s">
        <v>3304</v>
      </c>
      <c r="BF259" s="179" t="s">
        <v>3305</v>
      </c>
      <c r="BG259" s="179" t="s">
        <v>3306</v>
      </c>
      <c r="BH259" s="179" t="s">
        <v>3307</v>
      </c>
      <c r="BI259" s="179" t="s">
        <v>3308</v>
      </c>
      <c r="BJ259" s="179"/>
      <c r="BK259" s="631"/>
      <c r="BL259" s="179" t="b">
        <f t="shared" si="26"/>
        <v>1</v>
      </c>
      <c r="BM259" s="179" t="b">
        <f t="shared" si="27"/>
        <v>1</v>
      </c>
      <c r="BN259" s="688" t="b">
        <f t="shared" si="28"/>
        <v>1</v>
      </c>
    </row>
    <row r="260">
      <c r="A260" s="148" t="s">
        <v>3384</v>
      </c>
      <c r="B260" s="712" t="s">
        <v>3703</v>
      </c>
      <c r="C260" s="676" t="s">
        <v>2113</v>
      </c>
      <c r="D260" s="713">
        <v>117.0</v>
      </c>
      <c r="E260" s="714" t="s">
        <v>3704</v>
      </c>
      <c r="F260" s="71">
        <f t="shared" ref="F260:G260" si="662">H260+J260+L260+N260+P260</f>
        <v>1245</v>
      </c>
      <c r="G260" s="679">
        <f t="shared" si="662"/>
        <v>194</v>
      </c>
      <c r="H260" s="641">
        <v>351.0</v>
      </c>
      <c r="I260" s="680">
        <v>69.0</v>
      </c>
      <c r="J260" s="641">
        <v>213.0</v>
      </c>
      <c r="K260" s="680">
        <v>11.0</v>
      </c>
      <c r="L260" s="641">
        <v>-297.0</v>
      </c>
      <c r="M260" s="680">
        <v>-20.0</v>
      </c>
      <c r="N260" s="641">
        <v>494.0</v>
      </c>
      <c r="O260" s="680">
        <v>102.0</v>
      </c>
      <c r="P260" s="641">
        <v>484.0</v>
      </c>
      <c r="Q260" s="680">
        <v>32.0</v>
      </c>
      <c r="R260" s="714"/>
      <c r="S260" s="682">
        <f t="shared" si="10"/>
        <v>1245</v>
      </c>
      <c r="T260" s="683"/>
      <c r="U260" s="625">
        <f t="shared" si="651"/>
        <v>351</v>
      </c>
      <c r="V260" s="625">
        <f t="shared" si="652"/>
        <v>213</v>
      </c>
      <c r="W260" s="625">
        <f t="shared" si="653"/>
        <v>-297</v>
      </c>
      <c r="X260" s="625">
        <f t="shared" si="654"/>
        <v>494</v>
      </c>
      <c r="Y260" s="625">
        <f t="shared" si="655"/>
        <v>484</v>
      </c>
      <c r="Z260" s="656">
        <f t="shared" si="16"/>
        <v>194</v>
      </c>
      <c r="AA260" s="683"/>
      <c r="AB260" s="625">
        <f t="shared" si="656"/>
        <v>69</v>
      </c>
      <c r="AC260" s="625">
        <f t="shared" si="657"/>
        <v>11</v>
      </c>
      <c r="AD260" s="625">
        <f t="shared" si="658"/>
        <v>-20</v>
      </c>
      <c r="AE260" s="625">
        <f t="shared" si="659"/>
        <v>102</v>
      </c>
      <c r="AF260" s="625">
        <f t="shared" si="660"/>
        <v>32</v>
      </c>
      <c r="AG260" s="657">
        <f t="shared" si="22"/>
        <v>0.1558232932</v>
      </c>
      <c r="AH260" s="165"/>
      <c r="AI260" s="165">
        <f t="shared" ref="AI260:AM260" si="663">AB260/U260</f>
        <v>0.1965811966</v>
      </c>
      <c r="AJ260" s="165">
        <f t="shared" si="663"/>
        <v>0.05164319249</v>
      </c>
      <c r="AK260" s="165">
        <f t="shared" si="663"/>
        <v>0.06734006734</v>
      </c>
      <c r="AL260" s="165">
        <f t="shared" si="663"/>
        <v>0.2064777328</v>
      </c>
      <c r="AM260" s="165">
        <f t="shared" si="663"/>
        <v>0.06611570248</v>
      </c>
      <c r="AN260" s="684">
        <f t="shared" si="453"/>
        <v>14</v>
      </c>
      <c r="AO260" s="685">
        <v>294.0</v>
      </c>
      <c r="AP260" s="685">
        <v>14.0</v>
      </c>
      <c r="AQ260" s="685">
        <v>0.0</v>
      </c>
      <c r="AR260" s="685">
        <v>0.0</v>
      </c>
      <c r="AS260" s="685">
        <v>0.0</v>
      </c>
      <c r="AT260" s="685">
        <v>0.0</v>
      </c>
      <c r="AU260" s="684">
        <f t="shared" si="496"/>
        <v>65</v>
      </c>
      <c r="AV260" s="685">
        <v>7.0</v>
      </c>
      <c r="AW260" s="685">
        <v>37.0</v>
      </c>
      <c r="AX260" s="685">
        <v>28.0</v>
      </c>
      <c r="AY260" s="685">
        <v>0.0</v>
      </c>
      <c r="AZ260" s="685">
        <v>0.0</v>
      </c>
      <c r="BA260" s="710">
        <v>0.0</v>
      </c>
      <c r="BB260" s="685"/>
      <c r="BC260" s="715" t="s">
        <v>695</v>
      </c>
      <c r="BD260" s="186" t="s">
        <v>3303</v>
      </c>
      <c r="BE260" s="688"/>
      <c r="BF260" s="688"/>
      <c r="BG260" s="688"/>
      <c r="BH260" s="179"/>
      <c r="BI260" s="179"/>
      <c r="BJ260" s="179"/>
      <c r="BK260" s="685"/>
      <c r="BL260" s="179" t="b">
        <f t="shared" si="26"/>
        <v>0</v>
      </c>
      <c r="BM260" s="179" t="b">
        <f t="shared" si="27"/>
        <v>0</v>
      </c>
      <c r="BN260" s="688" t="b">
        <f t="shared" si="28"/>
        <v>0</v>
      </c>
    </row>
    <row r="261">
      <c r="A261" s="148" t="s">
        <v>3384</v>
      </c>
      <c r="B261" s="712" t="s">
        <v>3705</v>
      </c>
      <c r="C261" s="676" t="s">
        <v>2113</v>
      </c>
      <c r="D261" s="713">
        <v>18.0</v>
      </c>
      <c r="E261" s="734" t="s">
        <v>2649</v>
      </c>
      <c r="F261" s="71">
        <f t="shared" ref="F261:G261" si="664">H261+J261+L261+N261+P261</f>
        <v>16094</v>
      </c>
      <c r="G261" s="679">
        <f t="shared" si="664"/>
        <v>1759</v>
      </c>
      <c r="H261" s="641">
        <v>11563.0</v>
      </c>
      <c r="I261" s="680">
        <v>2147.0</v>
      </c>
      <c r="J261" s="641">
        <v>1022.0</v>
      </c>
      <c r="K261" s="680">
        <v>68.0</v>
      </c>
      <c r="L261" s="641">
        <v>-2081.0</v>
      </c>
      <c r="M261" s="680">
        <v>-1033.0</v>
      </c>
      <c r="N261" s="641">
        <v>2459.0</v>
      </c>
      <c r="O261" s="680">
        <v>145.0</v>
      </c>
      <c r="P261" s="641">
        <v>3131.0</v>
      </c>
      <c r="Q261" s="680">
        <v>432.0</v>
      </c>
      <c r="R261" s="714"/>
      <c r="S261" s="682">
        <f t="shared" si="10"/>
        <v>16094</v>
      </c>
      <c r="T261" s="683"/>
      <c r="U261" s="625">
        <f t="shared" si="651"/>
        <v>11563</v>
      </c>
      <c r="V261" s="625">
        <f t="shared" si="652"/>
        <v>1022</v>
      </c>
      <c r="W261" s="625">
        <f t="shared" si="653"/>
        <v>-2081</v>
      </c>
      <c r="X261" s="625">
        <f t="shared" si="654"/>
        <v>2459</v>
      </c>
      <c r="Y261" s="625">
        <f t="shared" si="655"/>
        <v>3131</v>
      </c>
      <c r="Z261" s="656">
        <f t="shared" si="16"/>
        <v>1759</v>
      </c>
      <c r="AA261" s="683"/>
      <c r="AB261" s="625">
        <f t="shared" si="656"/>
        <v>2147</v>
      </c>
      <c r="AC261" s="625">
        <f t="shared" si="657"/>
        <v>68</v>
      </c>
      <c r="AD261" s="625">
        <f t="shared" si="658"/>
        <v>-1033</v>
      </c>
      <c r="AE261" s="625">
        <f t="shared" si="659"/>
        <v>145</v>
      </c>
      <c r="AF261" s="625">
        <f t="shared" si="660"/>
        <v>432</v>
      </c>
      <c r="AG261" s="657">
        <f t="shared" si="22"/>
        <v>0.1092953896</v>
      </c>
      <c r="AH261" s="165"/>
      <c r="AI261" s="165">
        <f t="shared" ref="AI261:AM261" si="665">AB261/U261</f>
        <v>0.1856784571</v>
      </c>
      <c r="AJ261" s="165">
        <f t="shared" si="665"/>
        <v>0.06653620352</v>
      </c>
      <c r="AK261" s="165">
        <f t="shared" si="665"/>
        <v>0.4963959635</v>
      </c>
      <c r="AL261" s="165">
        <f t="shared" si="665"/>
        <v>0.05896705978</v>
      </c>
      <c r="AM261" s="165">
        <f t="shared" si="665"/>
        <v>0.1379750878</v>
      </c>
      <c r="AN261" s="684">
        <f t="shared" si="453"/>
        <v>6903</v>
      </c>
      <c r="AO261" s="180"/>
      <c r="AP261" s="180">
        <v>4577.0</v>
      </c>
      <c r="AQ261" s="180">
        <v>27.0</v>
      </c>
      <c r="AR261" s="180">
        <v>156.0</v>
      </c>
      <c r="AS261" s="180">
        <v>777.0</v>
      </c>
      <c r="AT261" s="180">
        <v>1366.0</v>
      </c>
      <c r="AU261" s="684">
        <f t="shared" si="496"/>
        <v>7625</v>
      </c>
      <c r="AV261" s="180"/>
      <c r="AW261" s="685">
        <v>1562.0</v>
      </c>
      <c r="AX261" s="685">
        <v>1602.0</v>
      </c>
      <c r="AY261" s="685">
        <v>1600.0</v>
      </c>
      <c r="AZ261" s="685">
        <v>1492.0</v>
      </c>
      <c r="BA261" s="710">
        <v>1369.0</v>
      </c>
      <c r="BB261" s="685"/>
      <c r="BC261" s="695" t="s">
        <v>695</v>
      </c>
      <c r="BD261" s="688" t="s">
        <v>3303</v>
      </c>
      <c r="BE261" s="695" t="s">
        <v>3304</v>
      </c>
      <c r="BF261" s="695" t="s">
        <v>3305</v>
      </c>
      <c r="BG261" s="695" t="s">
        <v>3306</v>
      </c>
      <c r="BH261" s="695" t="s">
        <v>3307</v>
      </c>
      <c r="BI261" s="695" t="s">
        <v>3308</v>
      </c>
      <c r="BJ261" s="179"/>
      <c r="BK261" s="685"/>
      <c r="BL261" s="179" t="b">
        <f t="shared" si="26"/>
        <v>1</v>
      </c>
      <c r="BM261" s="179" t="b">
        <f t="shared" si="27"/>
        <v>1</v>
      </c>
      <c r="BN261" s="688" t="b">
        <f t="shared" si="28"/>
        <v>1</v>
      </c>
    </row>
    <row r="262">
      <c r="A262" s="675" t="s">
        <v>3301</v>
      </c>
      <c r="B262" s="186" t="s">
        <v>3706</v>
      </c>
      <c r="C262" s="676" t="s">
        <v>2113</v>
      </c>
      <c r="D262" s="677">
        <v>26.0</v>
      </c>
      <c r="E262" s="632" t="s">
        <v>809</v>
      </c>
      <c r="F262" s="678">
        <f t="shared" ref="F262:G262" si="666">H262+J262+L262+N262+P262</f>
        <v>111872.81</v>
      </c>
      <c r="G262" s="679">
        <f t="shared" si="666"/>
        <v>9818</v>
      </c>
      <c r="H262" s="641">
        <v>23692.0</v>
      </c>
      <c r="I262" s="680">
        <v>2411.0</v>
      </c>
      <c r="J262" s="641">
        <v>24240.0</v>
      </c>
      <c r="K262" s="680">
        <v>1876.0</v>
      </c>
      <c r="L262" s="641">
        <v>22816.0</v>
      </c>
      <c r="M262" s="680">
        <v>2826.0</v>
      </c>
      <c r="N262" s="641">
        <v>20284.0</v>
      </c>
      <c r="O262" s="680">
        <v>518.0</v>
      </c>
      <c r="P262" s="641">
        <v>20840.81</v>
      </c>
      <c r="Q262" s="680">
        <v>2187.0</v>
      </c>
      <c r="R262" s="681" t="s">
        <v>696</v>
      </c>
      <c r="S262" s="682">
        <f t="shared" si="10"/>
        <v>111872.81</v>
      </c>
      <c r="T262" s="683"/>
      <c r="U262" s="625">
        <f t="shared" si="651"/>
        <v>23692</v>
      </c>
      <c r="V262" s="625">
        <f t="shared" si="652"/>
        <v>24240</v>
      </c>
      <c r="W262" s="625">
        <f t="shared" si="653"/>
        <v>22816</v>
      </c>
      <c r="X262" s="625">
        <f t="shared" si="654"/>
        <v>20284</v>
      </c>
      <c r="Y262" s="625">
        <f t="shared" si="655"/>
        <v>20840.81</v>
      </c>
      <c r="Z262" s="656">
        <f t="shared" si="16"/>
        <v>9818</v>
      </c>
      <c r="AA262" s="683"/>
      <c r="AB262" s="625">
        <f t="shared" si="656"/>
        <v>2411</v>
      </c>
      <c r="AC262" s="625">
        <f t="shared" si="657"/>
        <v>1876</v>
      </c>
      <c r="AD262" s="625">
        <f t="shared" si="658"/>
        <v>2826</v>
      </c>
      <c r="AE262" s="625">
        <f t="shared" si="659"/>
        <v>518</v>
      </c>
      <c r="AF262" s="625">
        <f t="shared" si="660"/>
        <v>2187</v>
      </c>
      <c r="AG262" s="657">
        <f t="shared" si="22"/>
        <v>0.08776037716</v>
      </c>
      <c r="AH262" s="165"/>
      <c r="AI262" s="165">
        <f t="shared" ref="AI262:AM262" si="667">AB262/U262</f>
        <v>0.1017643086</v>
      </c>
      <c r="AJ262" s="165">
        <f t="shared" si="667"/>
        <v>0.07739273927</v>
      </c>
      <c r="AK262" s="165">
        <f t="shared" si="667"/>
        <v>0.1238604488</v>
      </c>
      <c r="AL262" s="165">
        <f t="shared" si="667"/>
        <v>0.02553736936</v>
      </c>
      <c r="AM262" s="165">
        <f t="shared" si="667"/>
        <v>0.1049383397</v>
      </c>
      <c r="AN262" s="684">
        <f t="shared" si="453"/>
        <v>0</v>
      </c>
      <c r="AO262" s="180">
        <v>0.0</v>
      </c>
      <c r="AP262" s="180">
        <v>0.0</v>
      </c>
      <c r="AQ262" s="180">
        <v>0.0</v>
      </c>
      <c r="AR262" s="180">
        <v>0.0</v>
      </c>
      <c r="AS262" s="180">
        <v>0.0</v>
      </c>
      <c r="AT262" s="180">
        <v>0.0</v>
      </c>
      <c r="AU262" s="684">
        <f t="shared" si="496"/>
        <v>51270</v>
      </c>
      <c r="AV262" s="685">
        <v>11025.0</v>
      </c>
      <c r="AW262" s="180">
        <v>10805.0</v>
      </c>
      <c r="AX262" s="180">
        <v>10445.0</v>
      </c>
      <c r="AY262" s="180">
        <v>10232.0</v>
      </c>
      <c r="AZ262" s="180">
        <v>10016.0</v>
      </c>
      <c r="BA262" s="686">
        <v>9772.0</v>
      </c>
      <c r="BB262" s="631"/>
      <c r="BC262" s="202" t="s">
        <v>695</v>
      </c>
      <c r="BD262" s="186" t="s">
        <v>3303</v>
      </c>
      <c r="BE262" s="186" t="s">
        <v>3304</v>
      </c>
      <c r="BF262" s="186" t="s">
        <v>3305</v>
      </c>
      <c r="BG262" s="186" t="s">
        <v>3306</v>
      </c>
      <c r="BH262" s="179" t="s">
        <v>3307</v>
      </c>
      <c r="BI262" s="179" t="s">
        <v>3308</v>
      </c>
      <c r="BJ262" s="179"/>
      <c r="BK262" s="631"/>
      <c r="BL262" s="179" t="b">
        <f t="shared" si="26"/>
        <v>1</v>
      </c>
      <c r="BM262" s="179" t="b">
        <f t="shared" si="27"/>
        <v>0</v>
      </c>
      <c r="BN262" s="688" t="b">
        <f t="shared" si="28"/>
        <v>1</v>
      </c>
    </row>
    <row r="263">
      <c r="A263" s="696" t="s">
        <v>1534</v>
      </c>
      <c r="B263" s="186" t="s">
        <v>3707</v>
      </c>
      <c r="C263" s="676" t="s">
        <v>2113</v>
      </c>
      <c r="D263" s="677">
        <v>427.0</v>
      </c>
      <c r="E263" s="632" t="s">
        <v>61</v>
      </c>
      <c r="F263" s="678">
        <f t="shared" ref="F263:G263" si="668">H263+J263+L263+N263+P263</f>
        <v>10145.79</v>
      </c>
      <c r="G263" s="679">
        <f t="shared" si="668"/>
        <v>1042.36</v>
      </c>
      <c r="H263" s="641">
        <v>3222.1</v>
      </c>
      <c r="I263" s="680">
        <v>698.58</v>
      </c>
      <c r="J263" s="641">
        <v>2004.2</v>
      </c>
      <c r="K263" s="680">
        <v>355.79</v>
      </c>
      <c r="L263" s="641">
        <v>2866.57</v>
      </c>
      <c r="M263" s="680">
        <v>-12.78</v>
      </c>
      <c r="N263" s="641">
        <v>1249.85</v>
      </c>
      <c r="O263" s="680">
        <v>0.0</v>
      </c>
      <c r="P263" s="641">
        <v>803.07</v>
      </c>
      <c r="Q263" s="680">
        <v>0.77</v>
      </c>
      <c r="R263" s="681" t="s">
        <v>708</v>
      </c>
      <c r="S263" s="682">
        <f t="shared" si="10"/>
        <v>10145.79</v>
      </c>
      <c r="T263" s="683"/>
      <c r="U263" s="625">
        <f t="shared" si="651"/>
        <v>3222.1</v>
      </c>
      <c r="V263" s="625">
        <f t="shared" si="652"/>
        <v>2004.2</v>
      </c>
      <c r="W263" s="625">
        <f t="shared" si="653"/>
        <v>2866.57</v>
      </c>
      <c r="X263" s="625">
        <f t="shared" si="654"/>
        <v>1249.85</v>
      </c>
      <c r="Y263" s="625">
        <f t="shared" si="655"/>
        <v>803.07</v>
      </c>
      <c r="Z263" s="656">
        <f t="shared" si="16"/>
        <v>1042.36</v>
      </c>
      <c r="AA263" s="683"/>
      <c r="AB263" s="625">
        <f t="shared" si="656"/>
        <v>698.58</v>
      </c>
      <c r="AC263" s="625">
        <f t="shared" si="657"/>
        <v>355.79</v>
      </c>
      <c r="AD263" s="625">
        <f t="shared" si="658"/>
        <v>-12.78</v>
      </c>
      <c r="AE263" s="625">
        <f t="shared" si="659"/>
        <v>0</v>
      </c>
      <c r="AF263" s="625">
        <f t="shared" si="660"/>
        <v>0.77</v>
      </c>
      <c r="AG263" s="657">
        <f t="shared" si="22"/>
        <v>0.1027381801</v>
      </c>
      <c r="AH263" s="165"/>
      <c r="AI263" s="165">
        <f t="shared" ref="AI263:AM263" si="669">AB263/U263</f>
        <v>0.2168089134</v>
      </c>
      <c r="AJ263" s="165">
        <f t="shared" si="669"/>
        <v>0.1775222034</v>
      </c>
      <c r="AK263" s="165">
        <f t="shared" si="669"/>
        <v>-0.004458289873</v>
      </c>
      <c r="AL263" s="165">
        <f t="shared" si="669"/>
        <v>0</v>
      </c>
      <c r="AM263" s="165">
        <f t="shared" si="669"/>
        <v>0.0009588205262</v>
      </c>
      <c r="AN263" s="684">
        <f t="shared" si="453"/>
        <v>2506</v>
      </c>
      <c r="AO263" s="180"/>
      <c r="AP263" s="180">
        <v>0.0</v>
      </c>
      <c r="AQ263" s="641">
        <v>1425.0</v>
      </c>
      <c r="AR263" s="641">
        <v>539.0</v>
      </c>
      <c r="AS263" s="641">
        <v>192.0</v>
      </c>
      <c r="AT263" s="641">
        <v>350.0</v>
      </c>
      <c r="AU263" s="684">
        <f t="shared" si="496"/>
        <v>0</v>
      </c>
      <c r="AV263" s="180"/>
      <c r="AW263" s="180">
        <v>0.0</v>
      </c>
      <c r="AX263" s="180">
        <v>0.0</v>
      </c>
      <c r="AY263" s="180">
        <v>0.0</v>
      </c>
      <c r="AZ263" s="180">
        <v>0.0</v>
      </c>
      <c r="BA263" s="686">
        <v>0.0</v>
      </c>
      <c r="BB263" s="631"/>
      <c r="BC263" s="189" t="s">
        <v>695</v>
      </c>
      <c r="BD263" s="186" t="s">
        <v>3303</v>
      </c>
      <c r="BE263" s="179" t="s">
        <v>3304</v>
      </c>
      <c r="BF263" s="179" t="s">
        <v>3305</v>
      </c>
      <c r="BG263" s="179" t="s">
        <v>3306</v>
      </c>
      <c r="BH263" s="179" t="s">
        <v>3307</v>
      </c>
      <c r="BI263" s="179" t="s">
        <v>3308</v>
      </c>
      <c r="BJ263" s="179"/>
      <c r="BK263" s="646"/>
      <c r="BL263" s="179" t="b">
        <f t="shared" si="26"/>
        <v>1</v>
      </c>
      <c r="BM263" s="179" t="b">
        <f t="shared" si="27"/>
        <v>1</v>
      </c>
      <c r="BN263" s="688" t="b">
        <f t="shared" si="28"/>
        <v>0</v>
      </c>
    </row>
    <row r="264">
      <c r="A264" s="675" t="s">
        <v>3301</v>
      </c>
      <c r="B264" s="186" t="s">
        <v>3301</v>
      </c>
      <c r="C264" s="690" t="s">
        <v>2317</v>
      </c>
      <c r="D264" s="677">
        <v>137.0</v>
      </c>
      <c r="E264" s="632" t="s">
        <v>802</v>
      </c>
      <c r="F264" s="678">
        <f t="shared" ref="F264:G264" si="670">H264+J264+L264+N264+P264</f>
        <v>48482</v>
      </c>
      <c r="G264" s="679">
        <f t="shared" si="670"/>
        <v>8947</v>
      </c>
      <c r="H264" s="641">
        <v>11420.0</v>
      </c>
      <c r="I264" s="680">
        <v>2166.0</v>
      </c>
      <c r="J264" s="641">
        <v>11002.0</v>
      </c>
      <c r="K264" s="680">
        <v>1943.0</v>
      </c>
      <c r="L264" s="641">
        <v>8677.0</v>
      </c>
      <c r="M264" s="680">
        <v>1662.0</v>
      </c>
      <c r="N264" s="641">
        <v>9062.0</v>
      </c>
      <c r="O264" s="680">
        <v>1504.0</v>
      </c>
      <c r="P264" s="641">
        <v>8321.0</v>
      </c>
      <c r="Q264" s="680">
        <v>1672.0</v>
      </c>
      <c r="R264" s="681" t="s">
        <v>702</v>
      </c>
      <c r="S264" s="682">
        <f t="shared" si="10"/>
        <v>48482</v>
      </c>
      <c r="T264" s="683"/>
      <c r="U264" s="625">
        <f t="shared" si="651"/>
        <v>11420</v>
      </c>
      <c r="V264" s="625">
        <f t="shared" si="652"/>
        <v>11002</v>
      </c>
      <c r="W264" s="625">
        <f t="shared" si="653"/>
        <v>8677</v>
      </c>
      <c r="X264" s="625">
        <f t="shared" si="654"/>
        <v>9062</v>
      </c>
      <c r="Y264" s="625">
        <f t="shared" si="655"/>
        <v>8321</v>
      </c>
      <c r="Z264" s="656">
        <f t="shared" si="16"/>
        <v>8947</v>
      </c>
      <c r="AA264" s="683"/>
      <c r="AB264" s="625">
        <f t="shared" si="656"/>
        <v>2166</v>
      </c>
      <c r="AC264" s="625">
        <f t="shared" si="657"/>
        <v>1943</v>
      </c>
      <c r="AD264" s="625">
        <f t="shared" si="658"/>
        <v>1662</v>
      </c>
      <c r="AE264" s="625">
        <f t="shared" si="659"/>
        <v>1504</v>
      </c>
      <c r="AF264" s="625">
        <f t="shared" si="660"/>
        <v>1672</v>
      </c>
      <c r="AG264" s="657">
        <f t="shared" si="22"/>
        <v>0.1845427169</v>
      </c>
      <c r="AH264" s="165"/>
      <c r="AI264" s="165">
        <f t="shared" ref="AI264:AM264" si="671">AB264/U264</f>
        <v>0.1896672504</v>
      </c>
      <c r="AJ264" s="165">
        <f t="shared" si="671"/>
        <v>0.1766042538</v>
      </c>
      <c r="AK264" s="165">
        <f t="shared" si="671"/>
        <v>0.1915408551</v>
      </c>
      <c r="AL264" s="165">
        <f t="shared" si="671"/>
        <v>0.1659677775</v>
      </c>
      <c r="AM264" s="165">
        <f t="shared" si="671"/>
        <v>0.2009373873</v>
      </c>
      <c r="AN264" s="684">
        <f t="shared" si="453"/>
        <v>44178</v>
      </c>
      <c r="AO264" s="641">
        <v>12101.0</v>
      </c>
      <c r="AP264" s="641">
        <v>11589.0</v>
      </c>
      <c r="AQ264" s="641">
        <v>8676.0</v>
      </c>
      <c r="AR264" s="641">
        <v>8114.0</v>
      </c>
      <c r="AS264" s="641">
        <v>8607.0</v>
      </c>
      <c r="AT264" s="641">
        <v>7192.0</v>
      </c>
      <c r="AU264" s="684">
        <f t="shared" si="496"/>
        <v>12852</v>
      </c>
      <c r="AV264" s="641">
        <v>3751.0</v>
      </c>
      <c r="AW264" s="641">
        <v>3203.0</v>
      </c>
      <c r="AX264" s="641">
        <v>2798.0</v>
      </c>
      <c r="AY264" s="641">
        <v>2664.0</v>
      </c>
      <c r="AZ264" s="641">
        <v>2269.0</v>
      </c>
      <c r="BA264" s="691">
        <v>1918.0</v>
      </c>
      <c r="BB264" s="631"/>
      <c r="BC264" s="189" t="s">
        <v>695</v>
      </c>
      <c r="BD264" s="186" t="s">
        <v>3303</v>
      </c>
      <c r="BE264" s="179" t="s">
        <v>3304</v>
      </c>
      <c r="BF264" s="179" t="s">
        <v>3305</v>
      </c>
      <c r="BG264" s="179" t="s">
        <v>3306</v>
      </c>
      <c r="BH264" s="179" t="s">
        <v>3307</v>
      </c>
      <c r="BI264" s="179" t="s">
        <v>3308</v>
      </c>
      <c r="BJ264" s="179"/>
      <c r="BK264" s="631"/>
      <c r="BL264" s="179" t="b">
        <f t="shared" si="26"/>
        <v>1</v>
      </c>
      <c r="BM264" s="179" t="b">
        <f t="shared" si="27"/>
        <v>1</v>
      </c>
      <c r="BN264" s="688" t="b">
        <f t="shared" si="28"/>
        <v>1</v>
      </c>
    </row>
    <row r="265">
      <c r="A265" s="689"/>
      <c r="B265" s="186" t="s">
        <v>3708</v>
      </c>
      <c r="C265" s="676" t="s">
        <v>2113</v>
      </c>
      <c r="D265" s="677">
        <v>494.0</v>
      </c>
      <c r="E265" s="632" t="s">
        <v>3709</v>
      </c>
      <c r="F265" s="678">
        <f t="shared" ref="F265:G265" si="672">H265+J265+L265+N265+P265</f>
        <v>3630.14</v>
      </c>
      <c r="G265" s="679">
        <f t="shared" si="672"/>
        <v>310.03</v>
      </c>
      <c r="H265" s="641">
        <v>796.05</v>
      </c>
      <c r="I265" s="680">
        <v>85.2</v>
      </c>
      <c r="J265" s="641">
        <v>837.0</v>
      </c>
      <c r="K265" s="680">
        <v>103.9</v>
      </c>
      <c r="L265" s="641">
        <v>709.15</v>
      </c>
      <c r="M265" s="680">
        <v>69.18</v>
      </c>
      <c r="N265" s="641">
        <v>709.62</v>
      </c>
      <c r="O265" s="680">
        <v>31.23</v>
      </c>
      <c r="P265" s="641">
        <v>578.32</v>
      </c>
      <c r="Q265" s="680">
        <v>20.52</v>
      </c>
      <c r="R265" s="681" t="s">
        <v>3637</v>
      </c>
      <c r="S265" s="682">
        <f t="shared" si="10"/>
        <v>3630.14</v>
      </c>
      <c r="T265" s="683"/>
      <c r="U265" s="625">
        <f t="shared" si="651"/>
        <v>796.05</v>
      </c>
      <c r="V265" s="625">
        <f t="shared" si="652"/>
        <v>837</v>
      </c>
      <c r="W265" s="625">
        <f t="shared" si="653"/>
        <v>709.15</v>
      </c>
      <c r="X265" s="625">
        <f t="shared" si="654"/>
        <v>709.62</v>
      </c>
      <c r="Y265" s="625">
        <f t="shared" si="655"/>
        <v>578.32</v>
      </c>
      <c r="Z265" s="656">
        <f t="shared" si="16"/>
        <v>310.03</v>
      </c>
      <c r="AA265" s="683"/>
      <c r="AB265" s="625">
        <f t="shared" si="656"/>
        <v>85.2</v>
      </c>
      <c r="AC265" s="625">
        <f t="shared" si="657"/>
        <v>103.9</v>
      </c>
      <c r="AD265" s="625">
        <f t="shared" si="658"/>
        <v>69.18</v>
      </c>
      <c r="AE265" s="625">
        <f t="shared" si="659"/>
        <v>31.23</v>
      </c>
      <c r="AF265" s="625">
        <f t="shared" si="660"/>
        <v>20.52</v>
      </c>
      <c r="AG265" s="657">
        <f t="shared" si="22"/>
        <v>0.08540441966</v>
      </c>
      <c r="AH265" s="165"/>
      <c r="AI265" s="165">
        <f t="shared" ref="AI265:AM265" si="673">AB265/U265</f>
        <v>0.107028453</v>
      </c>
      <c r="AJ265" s="165">
        <f t="shared" si="673"/>
        <v>0.1241338112</v>
      </c>
      <c r="AK265" s="165">
        <f t="shared" si="673"/>
        <v>0.09755340901</v>
      </c>
      <c r="AL265" s="165">
        <f t="shared" si="673"/>
        <v>0.04400946986</v>
      </c>
      <c r="AM265" s="165">
        <f t="shared" si="673"/>
        <v>0.03548208604</v>
      </c>
      <c r="AN265" s="684">
        <f t="shared" si="453"/>
        <v>163</v>
      </c>
      <c r="AO265" s="641">
        <v>200.0</v>
      </c>
      <c r="AP265" s="625">
        <v>0.0</v>
      </c>
      <c r="AQ265" s="625">
        <v>0.0</v>
      </c>
      <c r="AR265" s="625">
        <v>26.0</v>
      </c>
      <c r="AS265" s="625">
        <v>3.0</v>
      </c>
      <c r="AT265" s="625">
        <v>134.0</v>
      </c>
      <c r="AU265" s="684">
        <f t="shared" si="496"/>
        <v>901.31</v>
      </c>
      <c r="AV265" s="641">
        <v>228.4</v>
      </c>
      <c r="AW265" s="625">
        <v>212.6</v>
      </c>
      <c r="AX265" s="625">
        <v>196.4</v>
      </c>
      <c r="AY265" s="625">
        <v>180.2</v>
      </c>
      <c r="AZ265" s="625">
        <v>164.0</v>
      </c>
      <c r="BA265" s="693">
        <v>148.11</v>
      </c>
      <c r="BB265" s="631"/>
      <c r="BC265" s="189" t="s">
        <v>695</v>
      </c>
      <c r="BD265" s="186" t="s">
        <v>3303</v>
      </c>
      <c r="BE265" s="179" t="s">
        <v>3304</v>
      </c>
      <c r="BF265" s="179" t="s">
        <v>3305</v>
      </c>
      <c r="BG265" s="179" t="s">
        <v>3306</v>
      </c>
      <c r="BH265" s="179" t="s">
        <v>3307</v>
      </c>
      <c r="BI265" s="179" t="s">
        <v>3308</v>
      </c>
      <c r="BJ265" s="179"/>
      <c r="BK265" s="631"/>
      <c r="BL265" s="179" t="b">
        <f t="shared" si="26"/>
        <v>1</v>
      </c>
      <c r="BM265" s="179" t="b">
        <f t="shared" si="27"/>
        <v>0</v>
      </c>
      <c r="BN265" s="688" t="b">
        <f t="shared" si="28"/>
        <v>1</v>
      </c>
    </row>
    <row r="266">
      <c r="A266" s="689"/>
      <c r="B266" s="186" t="s">
        <v>3710</v>
      </c>
      <c r="C266" s="676" t="s">
        <v>2113</v>
      </c>
      <c r="D266" s="677">
        <v>367.0</v>
      </c>
      <c r="E266" s="632" t="s">
        <v>3711</v>
      </c>
      <c r="F266" s="678">
        <f t="shared" ref="F266:G266" si="674">H266+J266+L266+N266+P266</f>
        <v>4787.93</v>
      </c>
      <c r="G266" s="679">
        <f t="shared" si="674"/>
        <v>996.38</v>
      </c>
      <c r="H266" s="641">
        <v>1240.0</v>
      </c>
      <c r="I266" s="680">
        <v>296.0</v>
      </c>
      <c r="J266" s="641">
        <v>1234.0</v>
      </c>
      <c r="K266" s="680">
        <v>239.0</v>
      </c>
      <c r="L266" s="641">
        <v>831.0</v>
      </c>
      <c r="M266" s="680">
        <v>162.31</v>
      </c>
      <c r="N266" s="641">
        <v>732.87</v>
      </c>
      <c r="O266" s="680">
        <v>118.1</v>
      </c>
      <c r="P266" s="641">
        <v>750.06</v>
      </c>
      <c r="Q266" s="680">
        <v>180.97</v>
      </c>
      <c r="R266" s="681" t="s">
        <v>700</v>
      </c>
      <c r="S266" s="682">
        <f t="shared" si="10"/>
        <v>4787.93</v>
      </c>
      <c r="T266" s="683"/>
      <c r="U266" s="625">
        <f t="shared" si="651"/>
        <v>1240</v>
      </c>
      <c r="V266" s="625">
        <f t="shared" si="652"/>
        <v>1234</v>
      </c>
      <c r="W266" s="625">
        <f t="shared" si="653"/>
        <v>831</v>
      </c>
      <c r="X266" s="625">
        <f t="shared" si="654"/>
        <v>732.87</v>
      </c>
      <c r="Y266" s="625">
        <f t="shared" si="655"/>
        <v>750.06</v>
      </c>
      <c r="Z266" s="656">
        <f t="shared" si="16"/>
        <v>996.38</v>
      </c>
      <c r="AA266" s="683"/>
      <c r="AB266" s="625">
        <f t="shared" si="656"/>
        <v>296</v>
      </c>
      <c r="AC266" s="625">
        <f t="shared" si="657"/>
        <v>239</v>
      </c>
      <c r="AD266" s="625">
        <f t="shared" si="658"/>
        <v>162.31</v>
      </c>
      <c r="AE266" s="625">
        <f t="shared" si="659"/>
        <v>118.1</v>
      </c>
      <c r="AF266" s="625">
        <f t="shared" si="660"/>
        <v>180.97</v>
      </c>
      <c r="AG266" s="657">
        <f t="shared" si="22"/>
        <v>0.2081024576</v>
      </c>
      <c r="AH266" s="165"/>
      <c r="AI266" s="165">
        <f t="shared" ref="AI266:AM266" si="675">AB266/U266</f>
        <v>0.2387096774</v>
      </c>
      <c r="AJ266" s="165">
        <f t="shared" si="675"/>
        <v>0.1936790924</v>
      </c>
      <c r="AK266" s="165">
        <f t="shared" si="675"/>
        <v>0.1953188929</v>
      </c>
      <c r="AL266" s="165">
        <f t="shared" si="675"/>
        <v>0.1611472703</v>
      </c>
      <c r="AM266" s="165">
        <f t="shared" si="675"/>
        <v>0.2412740314</v>
      </c>
      <c r="AN266" s="684">
        <f t="shared" si="453"/>
        <v>605</v>
      </c>
      <c r="AO266" s="641">
        <v>537.163</v>
      </c>
      <c r="AP266" s="625">
        <v>94.0</v>
      </c>
      <c r="AQ266" s="625">
        <v>122.0</v>
      </c>
      <c r="AR266" s="625">
        <v>346.0</v>
      </c>
      <c r="AS266" s="625">
        <v>18.0</v>
      </c>
      <c r="AT266" s="625">
        <v>25.0</v>
      </c>
      <c r="AU266" s="684">
        <f t="shared" si="496"/>
        <v>1238.22</v>
      </c>
      <c r="AV266" s="641">
        <v>501.456</v>
      </c>
      <c r="AW266" s="625">
        <v>235.19</v>
      </c>
      <c r="AX266" s="625">
        <v>355.74</v>
      </c>
      <c r="AY266" s="625">
        <v>84.15</v>
      </c>
      <c r="AZ266" s="625">
        <v>308.19</v>
      </c>
      <c r="BA266" s="693">
        <v>254.95</v>
      </c>
      <c r="BB266" s="631"/>
      <c r="BC266" s="189" t="s">
        <v>695</v>
      </c>
      <c r="BD266" s="186" t="s">
        <v>3303</v>
      </c>
      <c r="BE266" s="179" t="s">
        <v>3304</v>
      </c>
      <c r="BF266" s="179" t="s">
        <v>3305</v>
      </c>
      <c r="BG266" s="179" t="s">
        <v>3306</v>
      </c>
      <c r="BH266" s="179" t="s">
        <v>3307</v>
      </c>
      <c r="BI266" s="179" t="s">
        <v>3308</v>
      </c>
      <c r="BJ266" s="179"/>
      <c r="BK266" s="631"/>
      <c r="BL266" s="179" t="b">
        <f t="shared" si="26"/>
        <v>1</v>
      </c>
      <c r="BM266" s="179" t="b">
        <f t="shared" si="27"/>
        <v>0</v>
      </c>
      <c r="BN266" s="688" t="b">
        <f t="shared" si="28"/>
        <v>1</v>
      </c>
    </row>
    <row r="267">
      <c r="A267" s="689"/>
      <c r="B267" s="186" t="s">
        <v>3712</v>
      </c>
      <c r="C267" s="676" t="s">
        <v>2113</v>
      </c>
      <c r="D267" s="677">
        <v>272.0</v>
      </c>
      <c r="E267" s="632" t="s">
        <v>3713</v>
      </c>
      <c r="F267" s="678">
        <f t="shared" ref="F267:G267" si="676">H267+J267+L267+N267+P267</f>
        <v>6347</v>
      </c>
      <c r="G267" s="679">
        <f t="shared" si="676"/>
        <v>1079</v>
      </c>
      <c r="H267" s="641">
        <v>1826.0</v>
      </c>
      <c r="I267" s="680">
        <v>374.0</v>
      </c>
      <c r="J267" s="641">
        <v>1221.0</v>
      </c>
      <c r="K267" s="680">
        <v>221.0</v>
      </c>
      <c r="L267" s="641">
        <v>987.0</v>
      </c>
      <c r="M267" s="680">
        <v>119.0</v>
      </c>
      <c r="N267" s="641">
        <v>1182.0</v>
      </c>
      <c r="O267" s="680">
        <v>199.0</v>
      </c>
      <c r="P267" s="641">
        <v>1131.0</v>
      </c>
      <c r="Q267" s="680">
        <v>166.0</v>
      </c>
      <c r="R267" s="681" t="s">
        <v>710</v>
      </c>
      <c r="S267" s="682">
        <f t="shared" si="10"/>
        <v>6347</v>
      </c>
      <c r="T267" s="683"/>
      <c r="U267" s="625">
        <f t="shared" si="651"/>
        <v>1826</v>
      </c>
      <c r="V267" s="625">
        <f t="shared" si="652"/>
        <v>1221</v>
      </c>
      <c r="W267" s="625">
        <f t="shared" si="653"/>
        <v>987</v>
      </c>
      <c r="X267" s="625">
        <f t="shared" si="654"/>
        <v>1182</v>
      </c>
      <c r="Y267" s="625">
        <f t="shared" si="655"/>
        <v>1131</v>
      </c>
      <c r="Z267" s="656">
        <f t="shared" si="16"/>
        <v>1079</v>
      </c>
      <c r="AA267" s="683"/>
      <c r="AB267" s="625">
        <f t="shared" si="656"/>
        <v>374</v>
      </c>
      <c r="AC267" s="625">
        <f t="shared" si="657"/>
        <v>221</v>
      </c>
      <c r="AD267" s="625">
        <f t="shared" si="658"/>
        <v>119</v>
      </c>
      <c r="AE267" s="625">
        <f t="shared" si="659"/>
        <v>199</v>
      </c>
      <c r="AF267" s="625">
        <f t="shared" si="660"/>
        <v>166</v>
      </c>
      <c r="AG267" s="657">
        <f t="shared" si="22"/>
        <v>0.1700015755</v>
      </c>
      <c r="AH267" s="165"/>
      <c r="AI267" s="165">
        <f t="shared" ref="AI267:AM267" si="677">AB267/U267</f>
        <v>0.2048192771</v>
      </c>
      <c r="AJ267" s="165">
        <f t="shared" si="677"/>
        <v>0.180999181</v>
      </c>
      <c r="AK267" s="165">
        <f t="shared" si="677"/>
        <v>0.1205673759</v>
      </c>
      <c r="AL267" s="165">
        <f t="shared" si="677"/>
        <v>0.168358714</v>
      </c>
      <c r="AM267" s="165">
        <f t="shared" si="677"/>
        <v>0.1467727675</v>
      </c>
      <c r="AN267" s="684">
        <f t="shared" si="453"/>
        <v>3024</v>
      </c>
      <c r="AO267" s="641">
        <v>850.0</v>
      </c>
      <c r="AP267" s="625">
        <v>603.0</v>
      </c>
      <c r="AQ267" s="625">
        <v>695.0</v>
      </c>
      <c r="AR267" s="625">
        <v>601.0</v>
      </c>
      <c r="AS267" s="625">
        <v>700.0</v>
      </c>
      <c r="AT267" s="625">
        <v>425.0</v>
      </c>
      <c r="AU267" s="684">
        <f t="shared" si="496"/>
        <v>1709</v>
      </c>
      <c r="AV267" s="641">
        <v>392.0</v>
      </c>
      <c r="AW267" s="625">
        <v>370.0</v>
      </c>
      <c r="AX267" s="625">
        <v>357.0</v>
      </c>
      <c r="AY267" s="625">
        <v>338.0</v>
      </c>
      <c r="AZ267" s="625">
        <v>328.0</v>
      </c>
      <c r="BA267" s="693">
        <v>316.0</v>
      </c>
      <c r="BB267" s="631"/>
      <c r="BC267" s="189" t="s">
        <v>695</v>
      </c>
      <c r="BD267" s="186" t="s">
        <v>3303</v>
      </c>
      <c r="BE267" s="179" t="s">
        <v>3304</v>
      </c>
      <c r="BF267" s="179" t="s">
        <v>3305</v>
      </c>
      <c r="BG267" s="179" t="s">
        <v>3306</v>
      </c>
      <c r="BH267" s="179" t="s">
        <v>3307</v>
      </c>
      <c r="BI267" s="179" t="s">
        <v>3308</v>
      </c>
      <c r="BJ267" s="179"/>
      <c r="BK267" s="631"/>
      <c r="BL267" s="179" t="b">
        <f t="shared" si="26"/>
        <v>1</v>
      </c>
      <c r="BM267" s="179" t="b">
        <f t="shared" si="27"/>
        <v>1</v>
      </c>
      <c r="BN267" s="688" t="b">
        <f t="shared" si="28"/>
        <v>1</v>
      </c>
    </row>
    <row r="268">
      <c r="A268" s="148" t="s">
        <v>3384</v>
      </c>
      <c r="B268" s="712" t="s">
        <v>3714</v>
      </c>
      <c r="C268" s="711" t="s">
        <v>2317</v>
      </c>
      <c r="D268" s="713">
        <v>27.0</v>
      </c>
      <c r="E268" s="734" t="s">
        <v>2614</v>
      </c>
      <c r="F268" s="71">
        <f t="shared" ref="F268:G268" si="678">H268+J268+L268+N268+P268</f>
        <v>8658</v>
      </c>
      <c r="G268" s="679">
        <f t="shared" si="678"/>
        <v>1335</v>
      </c>
      <c r="H268" s="641">
        <v>2961.0</v>
      </c>
      <c r="I268" s="680">
        <v>39.0</v>
      </c>
      <c r="J268" s="641">
        <v>-54.0</v>
      </c>
      <c r="K268" s="680">
        <v>79.0</v>
      </c>
      <c r="L268" s="641">
        <v>710.0</v>
      </c>
      <c r="M268" s="680">
        <v>150.0</v>
      </c>
      <c r="N268" s="641">
        <v>1852.0</v>
      </c>
      <c r="O268" s="680">
        <v>201.0</v>
      </c>
      <c r="P268" s="641">
        <v>3189.0</v>
      </c>
      <c r="Q268" s="680">
        <v>866.0</v>
      </c>
      <c r="R268" s="714"/>
      <c r="S268" s="682">
        <f t="shared" si="10"/>
        <v>8658</v>
      </c>
      <c r="T268" s="683"/>
      <c r="U268" s="625">
        <f t="shared" si="651"/>
        <v>2961</v>
      </c>
      <c r="V268" s="625">
        <f t="shared" si="652"/>
        <v>-54</v>
      </c>
      <c r="W268" s="625">
        <f t="shared" si="653"/>
        <v>710</v>
      </c>
      <c r="X268" s="625">
        <f t="shared" si="654"/>
        <v>1852</v>
      </c>
      <c r="Y268" s="625">
        <f t="shared" si="655"/>
        <v>3189</v>
      </c>
      <c r="Z268" s="656">
        <f t="shared" si="16"/>
        <v>1335</v>
      </c>
      <c r="AA268" s="683"/>
      <c r="AB268" s="625">
        <f t="shared" si="656"/>
        <v>39</v>
      </c>
      <c r="AC268" s="625">
        <f t="shared" si="657"/>
        <v>79</v>
      </c>
      <c r="AD268" s="625">
        <f t="shared" si="658"/>
        <v>150</v>
      </c>
      <c r="AE268" s="625">
        <f t="shared" si="659"/>
        <v>201</v>
      </c>
      <c r="AF268" s="625">
        <f t="shared" si="660"/>
        <v>866</v>
      </c>
      <c r="AG268" s="657">
        <f t="shared" si="22"/>
        <v>0.1541926542</v>
      </c>
      <c r="AH268" s="165"/>
      <c r="AI268" s="165">
        <f t="shared" ref="AI268:AM268" si="679">AB268/U268</f>
        <v>0.01317122594</v>
      </c>
      <c r="AJ268" s="165">
        <f t="shared" si="679"/>
        <v>-1.462962963</v>
      </c>
      <c r="AK268" s="165">
        <f t="shared" si="679"/>
        <v>0.2112676056</v>
      </c>
      <c r="AL268" s="165">
        <f t="shared" si="679"/>
        <v>0.1085313175</v>
      </c>
      <c r="AM268" s="165">
        <f t="shared" si="679"/>
        <v>0.2715584823</v>
      </c>
      <c r="AN268" s="684">
        <f t="shared" si="453"/>
        <v>11274</v>
      </c>
      <c r="AO268" s="180"/>
      <c r="AP268" s="685">
        <v>187.0</v>
      </c>
      <c r="AQ268" s="685">
        <v>110.0</v>
      </c>
      <c r="AR268" s="685">
        <v>1589.0</v>
      </c>
      <c r="AS268" s="685">
        <v>4160.0</v>
      </c>
      <c r="AT268" s="685">
        <v>5228.0</v>
      </c>
      <c r="AU268" s="684">
        <f t="shared" si="496"/>
        <v>8405</v>
      </c>
      <c r="AV268" s="180"/>
      <c r="AW268" s="685">
        <v>1659.0</v>
      </c>
      <c r="AX268" s="685">
        <v>1617.0</v>
      </c>
      <c r="AY268" s="685">
        <v>1747.0</v>
      </c>
      <c r="AZ268" s="685">
        <v>1643.0</v>
      </c>
      <c r="BA268" s="710">
        <v>1739.0</v>
      </c>
      <c r="BB268" s="685"/>
      <c r="BC268" s="695" t="s">
        <v>695</v>
      </c>
      <c r="BD268" s="688" t="s">
        <v>3303</v>
      </c>
      <c r="BE268" s="695" t="s">
        <v>3304</v>
      </c>
      <c r="BF268" s="695" t="s">
        <v>3305</v>
      </c>
      <c r="BG268" s="695" t="s">
        <v>3306</v>
      </c>
      <c r="BH268" s="695" t="s">
        <v>3307</v>
      </c>
      <c r="BI268" s="695" t="s">
        <v>3308</v>
      </c>
      <c r="BJ268" s="179"/>
      <c r="BK268" s="685"/>
      <c r="BL268" s="179" t="b">
        <f t="shared" si="26"/>
        <v>1</v>
      </c>
      <c r="BM268" s="179" t="b">
        <f t="shared" si="27"/>
        <v>1</v>
      </c>
      <c r="BN268" s="688" t="b">
        <f t="shared" si="28"/>
        <v>1</v>
      </c>
    </row>
    <row r="269">
      <c r="A269" s="675" t="s">
        <v>3301</v>
      </c>
      <c r="B269" s="186" t="s">
        <v>3715</v>
      </c>
      <c r="C269" s="676" t="s">
        <v>1578</v>
      </c>
      <c r="D269" s="677">
        <v>1.0</v>
      </c>
      <c r="E269" s="632" t="s">
        <v>793</v>
      </c>
      <c r="F269" s="678">
        <f t="shared" ref="F269:G269" si="680">H269+J269+L269+N269+P269</f>
        <v>83420</v>
      </c>
      <c r="G269" s="679">
        <f t="shared" si="680"/>
        <v>13478</v>
      </c>
      <c r="H269" s="641">
        <v>17379.0</v>
      </c>
      <c r="I269" s="680">
        <v>2030.0</v>
      </c>
      <c r="J269" s="641">
        <v>14887.0</v>
      </c>
      <c r="K269" s="680">
        <v>3313.0</v>
      </c>
      <c r="L269" s="641">
        <v>19261.0</v>
      </c>
      <c r="M269" s="680">
        <v>2991.0</v>
      </c>
      <c r="N269" s="641">
        <v>16511.0</v>
      </c>
      <c r="O269" s="680">
        <v>2794.0</v>
      </c>
      <c r="P269" s="641">
        <v>15382.0</v>
      </c>
      <c r="Q269" s="680">
        <v>2350.0</v>
      </c>
      <c r="R269" s="681" t="s">
        <v>3515</v>
      </c>
      <c r="S269" s="682">
        <f t="shared" si="10"/>
        <v>83420</v>
      </c>
      <c r="T269" s="683"/>
      <c r="U269" s="625">
        <f t="shared" si="651"/>
        <v>17379</v>
      </c>
      <c r="V269" s="625">
        <f t="shared" si="652"/>
        <v>14887</v>
      </c>
      <c r="W269" s="625">
        <f t="shared" si="653"/>
        <v>19261</v>
      </c>
      <c r="X269" s="625">
        <f t="shared" si="654"/>
        <v>16511</v>
      </c>
      <c r="Y269" s="625">
        <f t="shared" si="655"/>
        <v>15382</v>
      </c>
      <c r="Z269" s="656">
        <f t="shared" si="16"/>
        <v>13478</v>
      </c>
      <c r="AA269" s="683"/>
      <c r="AB269" s="625">
        <f t="shared" si="656"/>
        <v>2030</v>
      </c>
      <c r="AC269" s="625">
        <f t="shared" si="657"/>
        <v>3313</v>
      </c>
      <c r="AD269" s="625">
        <f t="shared" si="658"/>
        <v>2991</v>
      </c>
      <c r="AE269" s="625">
        <f t="shared" si="659"/>
        <v>2794</v>
      </c>
      <c r="AF269" s="625">
        <f t="shared" si="660"/>
        <v>2350</v>
      </c>
      <c r="AG269" s="657">
        <f t="shared" si="22"/>
        <v>0.1615679693</v>
      </c>
      <c r="AH269" s="165"/>
      <c r="AI269" s="165">
        <f t="shared" ref="AI269:AM269" si="681">AB269/U269</f>
        <v>0.1168076414</v>
      </c>
      <c r="AJ269" s="165">
        <f t="shared" si="681"/>
        <v>0.2225431585</v>
      </c>
      <c r="AK269" s="165">
        <f t="shared" si="681"/>
        <v>0.1552878874</v>
      </c>
      <c r="AL269" s="165">
        <f t="shared" si="681"/>
        <v>0.1692205197</v>
      </c>
      <c r="AM269" s="165">
        <f t="shared" si="681"/>
        <v>0.1527759719</v>
      </c>
      <c r="AN269" s="684">
        <f t="shared" si="453"/>
        <v>35459</v>
      </c>
      <c r="AO269" s="180"/>
      <c r="AP269" s="180">
        <v>9920.0</v>
      </c>
      <c r="AQ269" s="180">
        <v>9787.0</v>
      </c>
      <c r="AR269" s="180">
        <v>2625.0</v>
      </c>
      <c r="AS269" s="180">
        <v>5717.0</v>
      </c>
      <c r="AT269" s="180">
        <v>7410.0</v>
      </c>
      <c r="AU269" s="684">
        <f t="shared" si="496"/>
        <v>30532</v>
      </c>
      <c r="AV269" s="180"/>
      <c r="AW269" s="180">
        <v>6114.0</v>
      </c>
      <c r="AX269" s="180">
        <v>6152.0</v>
      </c>
      <c r="AY269" s="180">
        <v>6116.0</v>
      </c>
      <c r="AZ269" s="180">
        <v>6048.0</v>
      </c>
      <c r="BA269" s="686">
        <v>6102.0</v>
      </c>
      <c r="BB269" s="631"/>
      <c r="BC269" s="731" t="s">
        <v>695</v>
      </c>
      <c r="BD269" s="688" t="s">
        <v>3303</v>
      </c>
      <c r="BE269" s="703" t="s">
        <v>3304</v>
      </c>
      <c r="BF269" s="703" t="s">
        <v>3305</v>
      </c>
      <c r="BG269" s="703" t="s">
        <v>3306</v>
      </c>
      <c r="BH269" s="703" t="s">
        <v>3307</v>
      </c>
      <c r="BI269" s="186" t="s">
        <v>3308</v>
      </c>
      <c r="BJ269" s="179"/>
      <c r="BK269" s="631"/>
      <c r="BL269" s="179" t="b">
        <f t="shared" si="26"/>
        <v>1</v>
      </c>
      <c r="BM269" s="179" t="b">
        <f t="shared" si="27"/>
        <v>1</v>
      </c>
      <c r="BN269" s="688" t="b">
        <f t="shared" si="28"/>
        <v>1</v>
      </c>
    </row>
    <row r="270">
      <c r="A270" s="675" t="s">
        <v>3301</v>
      </c>
      <c r="B270" s="186" t="s">
        <v>3716</v>
      </c>
      <c r="C270" s="690" t="s">
        <v>2317</v>
      </c>
      <c r="D270" s="677">
        <v>48.0</v>
      </c>
      <c r="E270" s="632" t="s">
        <v>781</v>
      </c>
      <c r="F270" s="678">
        <f t="shared" ref="F270:G270" si="682">H270+J270+L270+N270+P270</f>
        <v>38437.87</v>
      </c>
      <c r="G270" s="679">
        <f t="shared" si="682"/>
        <v>2979</v>
      </c>
      <c r="H270" s="641">
        <v>5379.75</v>
      </c>
      <c r="I270" s="680">
        <v>436.0</v>
      </c>
      <c r="J270" s="641">
        <v>4700.71</v>
      </c>
      <c r="K270" s="680">
        <v>594.0</v>
      </c>
      <c r="L270" s="641">
        <v>4247.9</v>
      </c>
      <c r="M270" s="680">
        <v>95.0</v>
      </c>
      <c r="N270" s="641">
        <v>11912.15</v>
      </c>
      <c r="O270" s="680">
        <v>14.0</v>
      </c>
      <c r="P270" s="641">
        <v>12197.36</v>
      </c>
      <c r="Q270" s="680">
        <v>1840.0</v>
      </c>
      <c r="R270" s="681" t="s">
        <v>702</v>
      </c>
      <c r="S270" s="682">
        <f t="shared" si="10"/>
        <v>38437.87</v>
      </c>
      <c r="T270" s="683"/>
      <c r="U270" s="625">
        <f t="shared" si="651"/>
        <v>5379.75</v>
      </c>
      <c r="V270" s="625">
        <f t="shared" si="652"/>
        <v>4700.71</v>
      </c>
      <c r="W270" s="625">
        <f t="shared" si="653"/>
        <v>4247.9</v>
      </c>
      <c r="X270" s="625">
        <f t="shared" si="654"/>
        <v>11912.15</v>
      </c>
      <c r="Y270" s="625">
        <f t="shared" si="655"/>
        <v>12197.36</v>
      </c>
      <c r="Z270" s="656">
        <f t="shared" si="16"/>
        <v>2979</v>
      </c>
      <c r="AA270" s="683"/>
      <c r="AB270" s="625">
        <f t="shared" si="656"/>
        <v>436</v>
      </c>
      <c r="AC270" s="625">
        <f t="shared" si="657"/>
        <v>594</v>
      </c>
      <c r="AD270" s="625">
        <f t="shared" si="658"/>
        <v>95</v>
      </c>
      <c r="AE270" s="625">
        <f t="shared" si="659"/>
        <v>14</v>
      </c>
      <c r="AF270" s="625">
        <f t="shared" si="660"/>
        <v>1840</v>
      </c>
      <c r="AG270" s="657">
        <f t="shared" si="22"/>
        <v>0.07750169299</v>
      </c>
      <c r="AH270" s="165"/>
      <c r="AI270" s="165">
        <f t="shared" ref="AI270:AM270" si="683">AB270/U270</f>
        <v>0.08104465821</v>
      </c>
      <c r="AJ270" s="165">
        <f t="shared" si="683"/>
        <v>0.1263638897</v>
      </c>
      <c r="AK270" s="165">
        <f t="shared" si="683"/>
        <v>0.02236399162</v>
      </c>
      <c r="AL270" s="165">
        <f t="shared" si="683"/>
        <v>0.001175270627</v>
      </c>
      <c r="AM270" s="165">
        <f t="shared" si="683"/>
        <v>0.1508523156</v>
      </c>
      <c r="AN270" s="684">
        <f t="shared" si="453"/>
        <v>3577</v>
      </c>
      <c r="AO270" s="180">
        <v>0.0</v>
      </c>
      <c r="AP270" s="180">
        <v>0.0</v>
      </c>
      <c r="AQ270" s="180">
        <v>0.0</v>
      </c>
      <c r="AR270" s="180">
        <v>0.0</v>
      </c>
      <c r="AS270" s="180">
        <v>0.0</v>
      </c>
      <c r="AT270" s="180">
        <v>3577.0</v>
      </c>
      <c r="AU270" s="684">
        <f t="shared" si="496"/>
        <v>6997</v>
      </c>
      <c r="AV270" s="180">
        <v>0.0</v>
      </c>
      <c r="AW270" s="180">
        <v>0.0</v>
      </c>
      <c r="AX270" s="180">
        <v>0.0</v>
      </c>
      <c r="AY270" s="180">
        <v>1587.0</v>
      </c>
      <c r="AZ270" s="180">
        <v>2895.0</v>
      </c>
      <c r="BA270" s="686">
        <v>2515.0</v>
      </c>
      <c r="BB270" s="631"/>
      <c r="BC270" s="186" t="s">
        <v>695</v>
      </c>
      <c r="BD270" s="186" t="s">
        <v>3303</v>
      </c>
      <c r="BE270" s="186" t="s">
        <v>3304</v>
      </c>
      <c r="BF270" s="186" t="s">
        <v>3305</v>
      </c>
      <c r="BG270" s="186" t="s">
        <v>3306</v>
      </c>
      <c r="BH270" s="186" t="s">
        <v>3307</v>
      </c>
      <c r="BI270" s="179" t="s">
        <v>3308</v>
      </c>
      <c r="BJ270" s="179"/>
      <c r="BK270" s="631"/>
      <c r="BL270" s="179" t="b">
        <f t="shared" si="26"/>
        <v>1</v>
      </c>
      <c r="BM270" s="179" t="b">
        <f t="shared" si="27"/>
        <v>1</v>
      </c>
      <c r="BN270" s="688" t="b">
        <f t="shared" si="28"/>
        <v>1</v>
      </c>
    </row>
    <row r="271">
      <c r="A271" s="689"/>
      <c r="B271" s="186" t="s">
        <v>3717</v>
      </c>
      <c r="C271" s="676" t="s">
        <v>2113</v>
      </c>
      <c r="D271" s="677">
        <v>204.0</v>
      </c>
      <c r="E271" s="632" t="s">
        <v>3718</v>
      </c>
      <c r="F271" s="678">
        <f t="shared" ref="F271:G271" si="684">H271+J271+L271+N271+P271</f>
        <v>10627.19</v>
      </c>
      <c r="G271" s="679">
        <f t="shared" si="684"/>
        <v>1471</v>
      </c>
      <c r="H271" s="641">
        <v>2649.0</v>
      </c>
      <c r="I271" s="680">
        <v>456.0</v>
      </c>
      <c r="J271" s="641">
        <v>2079.0</v>
      </c>
      <c r="K271" s="680">
        <v>436.0</v>
      </c>
      <c r="L271" s="641">
        <v>1817.57</v>
      </c>
      <c r="M271" s="680">
        <v>114.0</v>
      </c>
      <c r="N271" s="641">
        <v>1978.62</v>
      </c>
      <c r="O271" s="680">
        <v>204.0</v>
      </c>
      <c r="P271" s="641">
        <v>2103.0</v>
      </c>
      <c r="Q271" s="680">
        <v>261.0</v>
      </c>
      <c r="R271" s="681" t="s">
        <v>693</v>
      </c>
      <c r="S271" s="682">
        <f t="shared" si="10"/>
        <v>10627.19</v>
      </c>
      <c r="T271" s="683"/>
      <c r="U271" s="625">
        <f t="shared" si="651"/>
        <v>2649</v>
      </c>
      <c r="V271" s="625">
        <f t="shared" si="652"/>
        <v>2079</v>
      </c>
      <c r="W271" s="625">
        <f t="shared" si="653"/>
        <v>1817.57</v>
      </c>
      <c r="X271" s="625">
        <f t="shared" si="654"/>
        <v>1978.62</v>
      </c>
      <c r="Y271" s="625">
        <f t="shared" si="655"/>
        <v>2103</v>
      </c>
      <c r="Z271" s="656">
        <f t="shared" si="16"/>
        <v>1471</v>
      </c>
      <c r="AA271" s="683"/>
      <c r="AB271" s="625">
        <f t="shared" si="656"/>
        <v>456</v>
      </c>
      <c r="AC271" s="625">
        <f t="shared" si="657"/>
        <v>436</v>
      </c>
      <c r="AD271" s="625">
        <f t="shared" si="658"/>
        <v>114</v>
      </c>
      <c r="AE271" s="625">
        <f t="shared" si="659"/>
        <v>204</v>
      </c>
      <c r="AF271" s="625">
        <f t="shared" si="660"/>
        <v>261</v>
      </c>
      <c r="AG271" s="657">
        <f t="shared" si="22"/>
        <v>0.1384185283</v>
      </c>
      <c r="AH271" s="165"/>
      <c r="AI271" s="165">
        <f t="shared" ref="AI271:AM271" si="685">AB271/U271</f>
        <v>0.1721404304</v>
      </c>
      <c r="AJ271" s="165">
        <f t="shared" si="685"/>
        <v>0.2097162097</v>
      </c>
      <c r="AK271" s="165">
        <f t="shared" si="685"/>
        <v>0.06272110565</v>
      </c>
      <c r="AL271" s="165">
        <f t="shared" si="685"/>
        <v>0.1031021621</v>
      </c>
      <c r="AM271" s="165">
        <f t="shared" si="685"/>
        <v>0.1241084165</v>
      </c>
      <c r="AN271" s="684">
        <f t="shared" si="453"/>
        <v>4504</v>
      </c>
      <c r="AO271" s="641"/>
      <c r="AP271" s="641">
        <v>1500.0</v>
      </c>
      <c r="AQ271" s="641">
        <v>1350.0</v>
      </c>
      <c r="AR271" s="641">
        <v>402.0</v>
      </c>
      <c r="AS271" s="641">
        <v>248.0</v>
      </c>
      <c r="AT271" s="641">
        <v>1004.0</v>
      </c>
      <c r="AU271" s="684">
        <f t="shared" si="496"/>
        <v>4652</v>
      </c>
      <c r="AV271" s="625"/>
      <c r="AW271" s="625">
        <v>1077.0</v>
      </c>
      <c r="AX271" s="625">
        <v>970.0</v>
      </c>
      <c r="AY271" s="625">
        <v>927.0</v>
      </c>
      <c r="AZ271" s="625">
        <v>876.0</v>
      </c>
      <c r="BA271" s="693">
        <v>802.0</v>
      </c>
      <c r="BB271" s="631"/>
      <c r="BC271" s="189" t="s">
        <v>695</v>
      </c>
      <c r="BD271" s="186" t="s">
        <v>3303</v>
      </c>
      <c r="BE271" s="179" t="s">
        <v>3304</v>
      </c>
      <c r="BF271" s="179" t="s">
        <v>3305</v>
      </c>
      <c r="BG271" s="179" t="s">
        <v>3306</v>
      </c>
      <c r="BH271" s="179" t="s">
        <v>3307</v>
      </c>
      <c r="BI271" s="179" t="s">
        <v>3308</v>
      </c>
      <c r="BJ271" s="179"/>
      <c r="BK271" s="646"/>
      <c r="BL271" s="179" t="b">
        <f t="shared" si="26"/>
        <v>1</v>
      </c>
      <c r="BM271" s="179" t="b">
        <f t="shared" si="27"/>
        <v>1</v>
      </c>
      <c r="BN271" s="688" t="b">
        <f t="shared" si="28"/>
        <v>1</v>
      </c>
    </row>
    <row r="272">
      <c r="A272" s="623"/>
      <c r="B272" s="186" t="s">
        <v>3719</v>
      </c>
      <c r="C272" s="676" t="s">
        <v>2113</v>
      </c>
      <c r="D272" s="677">
        <v>181.0</v>
      </c>
      <c r="E272" s="131" t="s">
        <v>3720</v>
      </c>
      <c r="F272" s="678">
        <f t="shared" ref="F272:G272" si="686">H272+J272+L272+N272+P272</f>
        <v>1578.69</v>
      </c>
      <c r="G272" s="679">
        <f t="shared" si="686"/>
        <v>366.86</v>
      </c>
      <c r="H272" s="641">
        <v>816.37</v>
      </c>
      <c r="I272" s="680">
        <v>166.13</v>
      </c>
      <c r="J272" s="641">
        <v>366.56</v>
      </c>
      <c r="K272" s="680">
        <v>107.92</v>
      </c>
      <c r="L272" s="641">
        <v>14.71</v>
      </c>
      <c r="M272" s="680">
        <v>25.61</v>
      </c>
      <c r="N272" s="641">
        <v>189.95</v>
      </c>
      <c r="O272" s="680">
        <v>35.36</v>
      </c>
      <c r="P272" s="641">
        <v>191.1</v>
      </c>
      <c r="Q272" s="680">
        <v>31.84</v>
      </c>
      <c r="R272" s="681" t="s">
        <v>716</v>
      </c>
      <c r="S272" s="682">
        <f t="shared" si="10"/>
        <v>1578.69</v>
      </c>
      <c r="T272" s="683"/>
      <c r="U272" s="625">
        <f t="shared" si="651"/>
        <v>816.37</v>
      </c>
      <c r="V272" s="625">
        <f t="shared" si="652"/>
        <v>366.56</v>
      </c>
      <c r="W272" s="625">
        <f t="shared" si="653"/>
        <v>14.71</v>
      </c>
      <c r="X272" s="625">
        <f t="shared" si="654"/>
        <v>189.95</v>
      </c>
      <c r="Y272" s="625">
        <f t="shared" si="655"/>
        <v>191.1</v>
      </c>
      <c r="Z272" s="656">
        <f t="shared" si="16"/>
        <v>366.86</v>
      </c>
      <c r="AA272" s="683"/>
      <c r="AB272" s="625">
        <f t="shared" si="656"/>
        <v>166.13</v>
      </c>
      <c r="AC272" s="625">
        <f t="shared" si="657"/>
        <v>107.92</v>
      </c>
      <c r="AD272" s="625">
        <f t="shared" si="658"/>
        <v>25.61</v>
      </c>
      <c r="AE272" s="625">
        <f t="shared" si="659"/>
        <v>35.36</v>
      </c>
      <c r="AF272" s="625">
        <f t="shared" si="660"/>
        <v>31.84</v>
      </c>
      <c r="AG272" s="657">
        <f t="shared" si="22"/>
        <v>0.232382545</v>
      </c>
      <c r="AH272" s="165"/>
      <c r="AI272" s="165">
        <f t="shared" ref="AI272:AM272" si="687">AB272/U272</f>
        <v>0.2034984137</v>
      </c>
      <c r="AJ272" s="165">
        <f t="shared" si="687"/>
        <v>0.2944129201</v>
      </c>
      <c r="AK272" s="165">
        <f t="shared" si="687"/>
        <v>1.740992522</v>
      </c>
      <c r="AL272" s="165">
        <f t="shared" si="687"/>
        <v>0.1861542511</v>
      </c>
      <c r="AM272" s="165">
        <f t="shared" si="687"/>
        <v>0.166614338</v>
      </c>
      <c r="AN272" s="684">
        <f t="shared" si="453"/>
        <v>0</v>
      </c>
      <c r="AO272" s="180"/>
      <c r="AP272" s="180">
        <v>0.0</v>
      </c>
      <c r="AQ272" s="180">
        <v>0.0</v>
      </c>
      <c r="AR272" s="180">
        <v>0.0</v>
      </c>
      <c r="AS272" s="180">
        <v>0.0</v>
      </c>
      <c r="AT272" s="180">
        <v>0.0</v>
      </c>
      <c r="AU272" s="684">
        <f t="shared" si="496"/>
        <v>144.955</v>
      </c>
      <c r="AV272" s="625"/>
      <c r="AW272" s="641">
        <v>57.408</v>
      </c>
      <c r="AX272" s="641">
        <v>57.408</v>
      </c>
      <c r="AY272" s="641">
        <v>30.139</v>
      </c>
      <c r="AZ272" s="180">
        <v>0.0</v>
      </c>
      <c r="BA272" s="686">
        <v>0.0</v>
      </c>
      <c r="BB272" s="631"/>
      <c r="BC272" s="189" t="s">
        <v>695</v>
      </c>
      <c r="BD272" s="186" t="s">
        <v>3303</v>
      </c>
      <c r="BE272" s="688" t="s">
        <v>3303</v>
      </c>
      <c r="BF272" s="688" t="s">
        <v>3303</v>
      </c>
      <c r="BG272" s="688" t="s">
        <v>3303</v>
      </c>
      <c r="BH272" s="688" t="s">
        <v>3303</v>
      </c>
      <c r="BI272" s="688" t="s">
        <v>3303</v>
      </c>
      <c r="BJ272" s="179"/>
      <c r="BK272" s="646"/>
      <c r="BL272" s="179" t="b">
        <f t="shared" si="26"/>
        <v>0</v>
      </c>
      <c r="BM272" s="179" t="b">
        <f t="shared" si="27"/>
        <v>0</v>
      </c>
      <c r="BN272" s="688" t="b">
        <f t="shared" si="28"/>
        <v>0</v>
      </c>
    </row>
    <row r="273">
      <c r="A273" s="689"/>
      <c r="B273" s="186" t="s">
        <v>3721</v>
      </c>
      <c r="C273" s="676" t="s">
        <v>2113</v>
      </c>
      <c r="D273" s="461">
        <v>453.0</v>
      </c>
      <c r="E273" s="632" t="s">
        <v>3722</v>
      </c>
      <c r="F273" s="678">
        <f t="shared" ref="F273:G273" si="688">H273+J273+L273+N273+P273</f>
        <v>912.7</v>
      </c>
      <c r="G273" s="679">
        <f t="shared" si="688"/>
        <v>-25.3</v>
      </c>
      <c r="H273" s="641">
        <v>369.0</v>
      </c>
      <c r="I273" s="680">
        <v>37.0</v>
      </c>
      <c r="J273" s="641">
        <v>226.0</v>
      </c>
      <c r="K273" s="680">
        <v>-81.0</v>
      </c>
      <c r="L273" s="641">
        <v>61.0</v>
      </c>
      <c r="M273" s="680">
        <v>6.1</v>
      </c>
      <c r="N273" s="641">
        <v>117.4</v>
      </c>
      <c r="O273" s="680">
        <v>5.7</v>
      </c>
      <c r="P273" s="641">
        <v>139.3</v>
      </c>
      <c r="Q273" s="680">
        <v>6.9</v>
      </c>
      <c r="R273" s="681" t="s">
        <v>716</v>
      </c>
      <c r="S273" s="682">
        <f t="shared" si="10"/>
        <v>912.7</v>
      </c>
      <c r="T273" s="683"/>
      <c r="U273" s="625">
        <f t="shared" si="651"/>
        <v>369</v>
      </c>
      <c r="V273" s="625">
        <f t="shared" si="652"/>
        <v>226</v>
      </c>
      <c r="W273" s="625">
        <f t="shared" si="653"/>
        <v>61</v>
      </c>
      <c r="X273" s="625">
        <f t="shared" si="654"/>
        <v>117.4</v>
      </c>
      <c r="Y273" s="625">
        <f t="shared" si="655"/>
        <v>139.3</v>
      </c>
      <c r="Z273" s="656">
        <f t="shared" si="16"/>
        <v>-25.3</v>
      </c>
      <c r="AA273" s="683"/>
      <c r="AB273" s="625">
        <f t="shared" si="656"/>
        <v>37</v>
      </c>
      <c r="AC273" s="625">
        <f t="shared" si="657"/>
        <v>-81</v>
      </c>
      <c r="AD273" s="625">
        <f t="shared" si="658"/>
        <v>6.1</v>
      </c>
      <c r="AE273" s="625">
        <f t="shared" si="659"/>
        <v>5.7</v>
      </c>
      <c r="AF273" s="625">
        <f t="shared" si="660"/>
        <v>6.9</v>
      </c>
      <c r="AG273" s="657">
        <f t="shared" si="22"/>
        <v>-0.02771995179</v>
      </c>
      <c r="AH273" s="165"/>
      <c r="AI273" s="165">
        <f t="shared" ref="AI273:AM273" si="689">AB273/U273</f>
        <v>0.1002710027</v>
      </c>
      <c r="AJ273" s="165">
        <f t="shared" si="689"/>
        <v>-0.3584070796</v>
      </c>
      <c r="AK273" s="165">
        <f t="shared" si="689"/>
        <v>0.1</v>
      </c>
      <c r="AL273" s="165">
        <f t="shared" si="689"/>
        <v>0.04855195911</v>
      </c>
      <c r="AM273" s="165">
        <f t="shared" si="689"/>
        <v>0.04953338119</v>
      </c>
      <c r="AN273" s="684">
        <f t="shared" si="453"/>
        <v>980</v>
      </c>
      <c r="AO273" s="641">
        <v>409.0</v>
      </c>
      <c r="AP273" s="625">
        <v>473.0</v>
      </c>
      <c r="AQ273" s="625">
        <v>300.0</v>
      </c>
      <c r="AR273" s="625">
        <v>207.0</v>
      </c>
      <c r="AS273" s="625">
        <v>0.0</v>
      </c>
      <c r="AT273" s="625">
        <v>0.0</v>
      </c>
      <c r="AU273" s="684">
        <f t="shared" si="496"/>
        <v>424.3</v>
      </c>
      <c r="AV273" s="641">
        <v>123.0</v>
      </c>
      <c r="AW273" s="625">
        <v>111.0</v>
      </c>
      <c r="AX273" s="625">
        <v>92.0</v>
      </c>
      <c r="AY273" s="625">
        <v>93.0</v>
      </c>
      <c r="AZ273" s="625">
        <v>82.0</v>
      </c>
      <c r="BA273" s="693">
        <v>46.3</v>
      </c>
      <c r="BB273" s="631"/>
      <c r="BC273" s="189" t="s">
        <v>695</v>
      </c>
      <c r="BD273" s="186" t="s">
        <v>3303</v>
      </c>
      <c r="BE273" s="688" t="s">
        <v>3303</v>
      </c>
      <c r="BF273" s="688" t="s">
        <v>3303</v>
      </c>
      <c r="BG273" s="688" t="s">
        <v>3303</v>
      </c>
      <c r="BH273" s="688" t="s">
        <v>3303</v>
      </c>
      <c r="BI273" s="688" t="s">
        <v>3303</v>
      </c>
      <c r="BJ273" s="179"/>
      <c r="BK273" s="631"/>
      <c r="BL273" s="179" t="b">
        <f t="shared" si="26"/>
        <v>1</v>
      </c>
      <c r="BM273" s="179" t="b">
        <f t="shared" si="27"/>
        <v>1</v>
      </c>
      <c r="BN273" s="688" t="b">
        <f t="shared" si="28"/>
        <v>1</v>
      </c>
    </row>
    <row r="274">
      <c r="A274" s="696" t="s">
        <v>1534</v>
      </c>
      <c r="B274" s="186" t="s">
        <v>3723</v>
      </c>
      <c r="C274" s="676" t="s">
        <v>2113</v>
      </c>
      <c r="D274" s="461">
        <v>263.0</v>
      </c>
      <c r="E274" s="632" t="s">
        <v>66</v>
      </c>
      <c r="F274" s="678">
        <f t="shared" ref="F274:G274" si="690">H274+J274+L274+N274+P274</f>
        <v>6427</v>
      </c>
      <c r="G274" s="679">
        <f t="shared" si="690"/>
        <v>877</v>
      </c>
      <c r="H274" s="641">
        <v>2449.0</v>
      </c>
      <c r="I274" s="680">
        <v>473.0</v>
      </c>
      <c r="J274" s="641">
        <v>2241.0</v>
      </c>
      <c r="K274" s="680">
        <v>434.0</v>
      </c>
      <c r="L274" s="641">
        <v>227.0</v>
      </c>
      <c r="M274" s="680">
        <v>-208.0</v>
      </c>
      <c r="N274" s="641">
        <v>451.0</v>
      </c>
      <c r="O274" s="680">
        <v>20.0</v>
      </c>
      <c r="P274" s="641">
        <v>1059.0</v>
      </c>
      <c r="Q274" s="680">
        <v>158.0</v>
      </c>
      <c r="R274" s="681" t="s">
        <v>693</v>
      </c>
      <c r="S274" s="682">
        <f t="shared" si="10"/>
        <v>6427</v>
      </c>
      <c r="T274" s="683"/>
      <c r="U274" s="625">
        <f t="shared" si="651"/>
        <v>2449</v>
      </c>
      <c r="V274" s="625">
        <f t="shared" si="652"/>
        <v>2241</v>
      </c>
      <c r="W274" s="625">
        <f t="shared" si="653"/>
        <v>227</v>
      </c>
      <c r="X274" s="625">
        <f t="shared" si="654"/>
        <v>451</v>
      </c>
      <c r="Y274" s="625">
        <f t="shared" si="655"/>
        <v>1059</v>
      </c>
      <c r="Z274" s="656">
        <f t="shared" si="16"/>
        <v>877</v>
      </c>
      <c r="AA274" s="683"/>
      <c r="AB274" s="625">
        <f t="shared" si="656"/>
        <v>473</v>
      </c>
      <c r="AC274" s="625">
        <f t="shared" si="657"/>
        <v>434</v>
      </c>
      <c r="AD274" s="625">
        <f t="shared" si="658"/>
        <v>-208</v>
      </c>
      <c r="AE274" s="625">
        <f t="shared" si="659"/>
        <v>20</v>
      </c>
      <c r="AF274" s="625">
        <f t="shared" si="660"/>
        <v>158</v>
      </c>
      <c r="AG274" s="657">
        <f t="shared" si="22"/>
        <v>0.136455578</v>
      </c>
      <c r="AH274" s="165"/>
      <c r="AI274" s="165">
        <f t="shared" ref="AI274:AM274" si="691">AB274/U274</f>
        <v>0.1931400572</v>
      </c>
      <c r="AJ274" s="165">
        <f t="shared" si="691"/>
        <v>0.1936635431</v>
      </c>
      <c r="AK274" s="165">
        <f t="shared" si="691"/>
        <v>-0.9162995595</v>
      </c>
      <c r="AL274" s="165">
        <f t="shared" si="691"/>
        <v>0.044345898</v>
      </c>
      <c r="AM274" s="165">
        <f t="shared" si="691"/>
        <v>0.149197356</v>
      </c>
      <c r="AN274" s="684">
        <f t="shared" si="453"/>
        <v>321</v>
      </c>
      <c r="AO274" s="625"/>
      <c r="AP274" s="625">
        <v>101.0</v>
      </c>
      <c r="AQ274" s="625">
        <v>30.0</v>
      </c>
      <c r="AR274" s="625">
        <v>54.0</v>
      </c>
      <c r="AS274" s="625">
        <v>30.0</v>
      </c>
      <c r="AT274" s="625">
        <v>106.0</v>
      </c>
      <c r="AU274" s="684">
        <f t="shared" si="496"/>
        <v>703</v>
      </c>
      <c r="AV274" s="625"/>
      <c r="AW274" s="625">
        <v>169.0</v>
      </c>
      <c r="AX274" s="625">
        <v>145.0</v>
      </c>
      <c r="AY274" s="625">
        <v>137.0</v>
      </c>
      <c r="AZ274" s="625">
        <v>132.0</v>
      </c>
      <c r="BA274" s="693">
        <v>120.0</v>
      </c>
      <c r="BB274" s="631"/>
      <c r="BC274" s="189" t="s">
        <v>695</v>
      </c>
      <c r="BD274" s="688" t="s">
        <v>3303</v>
      </c>
      <c r="BE274" s="179" t="s">
        <v>3304</v>
      </c>
      <c r="BF274" s="179" t="s">
        <v>3305</v>
      </c>
      <c r="BG274" s="179" t="s">
        <v>3306</v>
      </c>
      <c r="BH274" s="179" t="s">
        <v>3307</v>
      </c>
      <c r="BI274" s="179" t="s">
        <v>3308</v>
      </c>
      <c r="BJ274" s="179"/>
      <c r="BK274" s="631"/>
      <c r="BL274" s="179" t="b">
        <f t="shared" si="26"/>
        <v>1</v>
      </c>
      <c r="BM274" s="179" t="b">
        <f t="shared" si="27"/>
        <v>0</v>
      </c>
      <c r="BN274" s="688" t="b">
        <f t="shared" si="28"/>
        <v>0</v>
      </c>
    </row>
    <row r="275">
      <c r="A275" s="212"/>
      <c r="B275" s="186" t="s">
        <v>3724</v>
      </c>
      <c r="C275" s="690" t="s">
        <v>2317</v>
      </c>
      <c r="D275" s="677">
        <v>183.0</v>
      </c>
      <c r="E275" s="131" t="s">
        <v>3725</v>
      </c>
      <c r="F275" s="678">
        <f t="shared" ref="F275:G275" si="692">H275+J275+L275+N275+P275</f>
        <v>3987.25</v>
      </c>
      <c r="G275" s="679">
        <f t="shared" si="692"/>
        <v>538.6</v>
      </c>
      <c r="H275" s="641">
        <v>815.5</v>
      </c>
      <c r="I275" s="680">
        <v>205.2</v>
      </c>
      <c r="J275" s="641">
        <v>795.2</v>
      </c>
      <c r="K275" s="680">
        <v>171.2</v>
      </c>
      <c r="L275" s="641">
        <v>809.95</v>
      </c>
      <c r="M275" s="680">
        <v>31.6</v>
      </c>
      <c r="N275" s="641">
        <v>856.7</v>
      </c>
      <c r="O275" s="680">
        <v>134.7</v>
      </c>
      <c r="P275" s="641">
        <v>709.9</v>
      </c>
      <c r="Q275" s="680">
        <v>-4.1</v>
      </c>
      <c r="R275" s="681" t="s">
        <v>718</v>
      </c>
      <c r="S275" s="682">
        <f t="shared" si="10"/>
        <v>3987.25</v>
      </c>
      <c r="T275" s="683"/>
      <c r="U275" s="625">
        <f t="shared" si="651"/>
        <v>815.5</v>
      </c>
      <c r="V275" s="625">
        <f t="shared" si="652"/>
        <v>795.2</v>
      </c>
      <c r="W275" s="625">
        <f t="shared" si="653"/>
        <v>809.95</v>
      </c>
      <c r="X275" s="625">
        <f t="shared" si="654"/>
        <v>856.7</v>
      </c>
      <c r="Y275" s="625">
        <f t="shared" si="655"/>
        <v>709.9</v>
      </c>
      <c r="Z275" s="656">
        <f t="shared" si="16"/>
        <v>538.6</v>
      </c>
      <c r="AA275" s="683"/>
      <c r="AB275" s="625">
        <f t="shared" si="656"/>
        <v>205.2</v>
      </c>
      <c r="AC275" s="625">
        <f t="shared" si="657"/>
        <v>171.2</v>
      </c>
      <c r="AD275" s="625">
        <f t="shared" si="658"/>
        <v>31.6</v>
      </c>
      <c r="AE275" s="625">
        <f t="shared" si="659"/>
        <v>134.7</v>
      </c>
      <c r="AF275" s="625">
        <f t="shared" si="660"/>
        <v>-4.1</v>
      </c>
      <c r="AG275" s="657">
        <f t="shared" si="22"/>
        <v>0.1350805693</v>
      </c>
      <c r="AH275" s="165"/>
      <c r="AI275" s="165">
        <f t="shared" ref="AI275:AM275" si="693">AB275/U275</f>
        <v>0.2516247701</v>
      </c>
      <c r="AJ275" s="165">
        <f t="shared" si="693"/>
        <v>0.2152917505</v>
      </c>
      <c r="AK275" s="165">
        <f t="shared" si="693"/>
        <v>0.039014754</v>
      </c>
      <c r="AL275" s="165">
        <f t="shared" si="693"/>
        <v>0.1572312361</v>
      </c>
      <c r="AM275" s="165">
        <f t="shared" si="693"/>
        <v>-0.005775461333</v>
      </c>
      <c r="AN275" s="684">
        <f t="shared" si="453"/>
        <v>1006.1</v>
      </c>
      <c r="AO275" s="180">
        <v>0.0</v>
      </c>
      <c r="AP275" s="641">
        <v>600.0</v>
      </c>
      <c r="AQ275" s="641">
        <v>122.4</v>
      </c>
      <c r="AR275" s="641">
        <v>0.0</v>
      </c>
      <c r="AS275" s="641">
        <v>88.6</v>
      </c>
      <c r="AT275" s="641">
        <v>195.1</v>
      </c>
      <c r="AU275" s="684">
        <f t="shared" si="496"/>
        <v>1746.6</v>
      </c>
      <c r="AV275" s="641">
        <v>281.3</v>
      </c>
      <c r="AW275" s="641">
        <v>259.5</v>
      </c>
      <c r="AX275" s="641">
        <v>233.8</v>
      </c>
      <c r="AY275" s="641">
        <v>344.5</v>
      </c>
      <c r="AZ275" s="641">
        <v>467.9</v>
      </c>
      <c r="BA275" s="691">
        <v>440.9</v>
      </c>
      <c r="BB275" s="631"/>
      <c r="BC275" s="189" t="s">
        <v>695</v>
      </c>
      <c r="BD275" s="186" t="s">
        <v>3303</v>
      </c>
      <c r="BE275" s="179" t="s">
        <v>3304</v>
      </c>
      <c r="BF275" s="179" t="s">
        <v>3305</v>
      </c>
      <c r="BG275" s="179" t="s">
        <v>3306</v>
      </c>
      <c r="BH275" s="179" t="s">
        <v>3307</v>
      </c>
      <c r="BI275" s="179" t="s">
        <v>3308</v>
      </c>
      <c r="BJ275" s="179"/>
      <c r="BK275" s="631"/>
      <c r="BL275" s="179" t="b">
        <f t="shared" si="26"/>
        <v>1</v>
      </c>
      <c r="BM275" s="179" t="b">
        <f t="shared" si="27"/>
        <v>1</v>
      </c>
      <c r="BN275" s="688" t="b">
        <f t="shared" si="28"/>
        <v>1</v>
      </c>
    </row>
    <row r="276">
      <c r="A276" s="696" t="s">
        <v>1534</v>
      </c>
      <c r="B276" s="186" t="s">
        <v>3726</v>
      </c>
      <c r="C276" s="676" t="s">
        <v>2113</v>
      </c>
      <c r="D276" s="677">
        <v>203.0</v>
      </c>
      <c r="E276" s="743" t="s">
        <v>69</v>
      </c>
      <c r="F276" s="678">
        <f t="shared" ref="F276:G276" si="694">H276+J276+L276+N276+P276</f>
        <v>3578.26</v>
      </c>
      <c r="G276" s="679">
        <f t="shared" si="694"/>
        <v>249</v>
      </c>
      <c r="H276" s="641">
        <v>36.26</v>
      </c>
      <c r="I276" s="680">
        <v>-40.0</v>
      </c>
      <c r="J276" s="641">
        <v>1207.0</v>
      </c>
      <c r="K276" s="680">
        <v>132.0</v>
      </c>
      <c r="L276" s="641">
        <v>986.0</v>
      </c>
      <c r="M276" s="680">
        <v>90.0</v>
      </c>
      <c r="N276" s="641">
        <v>632.0</v>
      </c>
      <c r="O276" s="680">
        <v>177.0</v>
      </c>
      <c r="P276" s="641">
        <v>717.0</v>
      </c>
      <c r="Q276" s="680">
        <v>-110.0</v>
      </c>
      <c r="R276" s="681" t="s">
        <v>703</v>
      </c>
      <c r="S276" s="682">
        <f t="shared" si="10"/>
        <v>3578.26</v>
      </c>
      <c r="T276" s="683"/>
      <c r="U276" s="625">
        <f t="shared" si="651"/>
        <v>36.26</v>
      </c>
      <c r="V276" s="625">
        <f t="shared" si="652"/>
        <v>1207</v>
      </c>
      <c r="W276" s="625">
        <f t="shared" si="653"/>
        <v>986</v>
      </c>
      <c r="X276" s="625">
        <f t="shared" si="654"/>
        <v>632</v>
      </c>
      <c r="Y276" s="625">
        <f t="shared" si="655"/>
        <v>717</v>
      </c>
      <c r="Z276" s="656">
        <f t="shared" si="16"/>
        <v>249</v>
      </c>
      <c r="AA276" s="683"/>
      <c r="AB276" s="625">
        <f t="shared" si="656"/>
        <v>-40</v>
      </c>
      <c r="AC276" s="625">
        <f t="shared" si="657"/>
        <v>132</v>
      </c>
      <c r="AD276" s="625">
        <f t="shared" si="658"/>
        <v>90</v>
      </c>
      <c r="AE276" s="625">
        <f t="shared" si="659"/>
        <v>177</v>
      </c>
      <c r="AF276" s="625">
        <f t="shared" si="660"/>
        <v>-110</v>
      </c>
      <c r="AG276" s="657">
        <f t="shared" si="22"/>
        <v>0.06958689419</v>
      </c>
      <c r="AH276" s="165"/>
      <c r="AI276" s="165">
        <f t="shared" ref="AI276:AM276" si="695">AB276/U276</f>
        <v>-1.10314396</v>
      </c>
      <c r="AJ276" s="165">
        <f t="shared" si="695"/>
        <v>0.1093620547</v>
      </c>
      <c r="AK276" s="165">
        <f t="shared" si="695"/>
        <v>0.09127789047</v>
      </c>
      <c r="AL276" s="165">
        <f t="shared" si="695"/>
        <v>0.2800632911</v>
      </c>
      <c r="AM276" s="165">
        <f t="shared" si="695"/>
        <v>-0.1534170153</v>
      </c>
      <c r="AN276" s="684">
        <f t="shared" si="453"/>
        <v>3366</v>
      </c>
      <c r="AO276" s="625"/>
      <c r="AP276" s="641">
        <v>903.0</v>
      </c>
      <c r="AQ276" s="641">
        <v>1041.0</v>
      </c>
      <c r="AR276" s="641">
        <v>121.0</v>
      </c>
      <c r="AS276" s="641">
        <v>148.0</v>
      </c>
      <c r="AT276" s="641">
        <v>1153.0</v>
      </c>
      <c r="AU276" s="684">
        <f t="shared" si="496"/>
        <v>1650</v>
      </c>
      <c r="AV276" s="625"/>
      <c r="AW276" s="641">
        <v>390.0</v>
      </c>
      <c r="AX276" s="641">
        <v>338.0</v>
      </c>
      <c r="AY276" s="641">
        <v>311.0</v>
      </c>
      <c r="AZ276" s="641">
        <v>305.0</v>
      </c>
      <c r="BA276" s="691">
        <v>306.0</v>
      </c>
      <c r="BB276" s="631"/>
      <c r="BC276" s="215" t="s">
        <v>695</v>
      </c>
      <c r="BD276" s="186" t="s">
        <v>3303</v>
      </c>
      <c r="BE276" s="179" t="s">
        <v>3304</v>
      </c>
      <c r="BF276" s="179" t="s">
        <v>3305</v>
      </c>
      <c r="BG276" s="179" t="s">
        <v>3306</v>
      </c>
      <c r="BH276" s="179" t="s">
        <v>3307</v>
      </c>
      <c r="BI276" s="179" t="s">
        <v>3308</v>
      </c>
      <c r="BJ276" s="179"/>
      <c r="BK276" s="646"/>
      <c r="BL276" s="179" t="b">
        <f t="shared" si="26"/>
        <v>1</v>
      </c>
      <c r="BM276" s="179" t="b">
        <f t="shared" si="27"/>
        <v>1</v>
      </c>
      <c r="BN276" s="688" t="b">
        <f t="shared" si="28"/>
        <v>1</v>
      </c>
    </row>
    <row r="277">
      <c r="A277" s="696" t="s">
        <v>1534</v>
      </c>
      <c r="B277" s="186" t="s">
        <v>3727</v>
      </c>
      <c r="C277" s="676" t="s">
        <v>2113</v>
      </c>
      <c r="D277" s="677">
        <v>370.0</v>
      </c>
      <c r="E277" s="632" t="s">
        <v>25</v>
      </c>
      <c r="F277" s="678">
        <f t="shared" ref="F277:G277" si="696">H277+J277+L277+N277+P277</f>
        <v>7818</v>
      </c>
      <c r="G277" s="679">
        <f t="shared" si="696"/>
        <v>-179</v>
      </c>
      <c r="H277" s="641">
        <v>2455.0</v>
      </c>
      <c r="I277" s="680">
        <v>-25.0</v>
      </c>
      <c r="J277" s="641">
        <v>2027.0</v>
      </c>
      <c r="K277" s="680">
        <v>-1.0</v>
      </c>
      <c r="L277" s="641">
        <v>291.0</v>
      </c>
      <c r="M277" s="680">
        <v>-29.0</v>
      </c>
      <c r="N277" s="641">
        <v>1211.0</v>
      </c>
      <c r="O277" s="680">
        <v>-41.0</v>
      </c>
      <c r="P277" s="641">
        <v>1834.0</v>
      </c>
      <c r="Q277" s="680">
        <v>-83.0</v>
      </c>
      <c r="R277" s="681" t="s">
        <v>720</v>
      </c>
      <c r="S277" s="682">
        <f t="shared" si="10"/>
        <v>7818</v>
      </c>
      <c r="T277" s="683"/>
      <c r="U277" s="625">
        <f t="shared" si="651"/>
        <v>2455</v>
      </c>
      <c r="V277" s="625">
        <f t="shared" si="652"/>
        <v>2027</v>
      </c>
      <c r="W277" s="625">
        <f t="shared" si="653"/>
        <v>291</v>
      </c>
      <c r="X277" s="625">
        <f t="shared" si="654"/>
        <v>1211</v>
      </c>
      <c r="Y277" s="625">
        <f t="shared" si="655"/>
        <v>1834</v>
      </c>
      <c r="Z277" s="656">
        <f t="shared" si="16"/>
        <v>-179</v>
      </c>
      <c r="AA277" s="683"/>
      <c r="AB277" s="625">
        <f t="shared" si="656"/>
        <v>-25</v>
      </c>
      <c r="AC277" s="625">
        <f t="shared" si="657"/>
        <v>-1</v>
      </c>
      <c r="AD277" s="625">
        <f t="shared" si="658"/>
        <v>-29</v>
      </c>
      <c r="AE277" s="625">
        <f t="shared" si="659"/>
        <v>-41</v>
      </c>
      <c r="AF277" s="625">
        <f t="shared" si="660"/>
        <v>-83</v>
      </c>
      <c r="AG277" s="657">
        <f t="shared" si="22"/>
        <v>-0.0228958813</v>
      </c>
      <c r="AH277" s="165"/>
      <c r="AI277" s="165">
        <f t="shared" ref="AI277:AM277" si="697">AB277/U277</f>
        <v>-0.01018329939</v>
      </c>
      <c r="AJ277" s="165">
        <f t="shared" si="697"/>
        <v>-0.0004933399112</v>
      </c>
      <c r="AK277" s="165">
        <f t="shared" si="697"/>
        <v>-0.09965635739</v>
      </c>
      <c r="AL277" s="165">
        <f t="shared" si="697"/>
        <v>-0.03385631709</v>
      </c>
      <c r="AM277" s="165">
        <f t="shared" si="697"/>
        <v>-0.04525627045</v>
      </c>
      <c r="AN277" s="684">
        <f t="shared" si="453"/>
        <v>0</v>
      </c>
      <c r="AO277" s="625"/>
      <c r="AP277" s="625">
        <v>0.0</v>
      </c>
      <c r="AQ277" s="625">
        <v>0.0</v>
      </c>
      <c r="AR277" s="625">
        <v>0.0</v>
      </c>
      <c r="AS277" s="625">
        <v>0.0</v>
      </c>
      <c r="AT277" s="625">
        <v>0.0</v>
      </c>
      <c r="AU277" s="684">
        <f t="shared" si="496"/>
        <v>9232</v>
      </c>
      <c r="AV277" s="625"/>
      <c r="AW277" s="625">
        <v>2071.0</v>
      </c>
      <c r="AX277" s="625">
        <v>1992.0</v>
      </c>
      <c r="AY277" s="625">
        <v>1941.0</v>
      </c>
      <c r="AZ277" s="625">
        <v>1842.0</v>
      </c>
      <c r="BA277" s="693">
        <v>1386.0</v>
      </c>
      <c r="BB277" s="631"/>
      <c r="BC277" s="189" t="s">
        <v>695</v>
      </c>
      <c r="BD277" s="688" t="s">
        <v>3303</v>
      </c>
      <c r="BE277" s="179" t="s">
        <v>3304</v>
      </c>
      <c r="BF277" s="179" t="s">
        <v>3305</v>
      </c>
      <c r="BG277" s="179" t="s">
        <v>3306</v>
      </c>
      <c r="BH277" s="179" t="s">
        <v>3307</v>
      </c>
      <c r="BI277" s="179" t="s">
        <v>3308</v>
      </c>
      <c r="BJ277" s="179"/>
      <c r="BK277" s="631"/>
      <c r="BL277" s="179" t="b">
        <f t="shared" si="26"/>
        <v>1</v>
      </c>
      <c r="BM277" s="179" t="b">
        <f t="shared" si="27"/>
        <v>1</v>
      </c>
      <c r="BN277" s="688" t="b">
        <f t="shared" si="28"/>
        <v>1</v>
      </c>
    </row>
    <row r="278">
      <c r="A278" s="212"/>
      <c r="B278" s="186" t="s">
        <v>3728</v>
      </c>
      <c r="C278" s="676" t="s">
        <v>1578</v>
      </c>
      <c r="D278" s="677">
        <v>437.0</v>
      </c>
      <c r="E278" s="131" t="s">
        <v>3729</v>
      </c>
      <c r="F278" s="678">
        <f t="shared" ref="F278:G278" si="698">H278+J278+L278+N278+P278</f>
        <v>3870.82</v>
      </c>
      <c r="G278" s="679">
        <f t="shared" si="698"/>
        <v>826.1</v>
      </c>
      <c r="H278" s="641">
        <v>1260.37</v>
      </c>
      <c r="I278" s="680">
        <v>299.02</v>
      </c>
      <c r="J278" s="641">
        <v>1219.38</v>
      </c>
      <c r="K278" s="680">
        <v>234.64</v>
      </c>
      <c r="L278" s="641">
        <v>733.82</v>
      </c>
      <c r="M278" s="680">
        <v>171.82</v>
      </c>
      <c r="N278" s="641">
        <v>339.01</v>
      </c>
      <c r="O278" s="680">
        <v>76.87</v>
      </c>
      <c r="P278" s="641">
        <v>318.24</v>
      </c>
      <c r="Q278" s="680">
        <v>43.75</v>
      </c>
      <c r="R278" s="681" t="s">
        <v>702</v>
      </c>
      <c r="S278" s="682">
        <f t="shared" si="10"/>
        <v>3870.82</v>
      </c>
      <c r="T278" s="683"/>
      <c r="U278" s="625">
        <f t="shared" si="651"/>
        <v>1260.37</v>
      </c>
      <c r="V278" s="625">
        <f t="shared" si="652"/>
        <v>1219.38</v>
      </c>
      <c r="W278" s="625">
        <f t="shared" si="653"/>
        <v>733.82</v>
      </c>
      <c r="X278" s="625">
        <f t="shared" si="654"/>
        <v>339.01</v>
      </c>
      <c r="Y278" s="625">
        <f t="shared" si="655"/>
        <v>318.24</v>
      </c>
      <c r="Z278" s="656">
        <f t="shared" si="16"/>
        <v>826.1</v>
      </c>
      <c r="AA278" s="683"/>
      <c r="AB278" s="625">
        <f t="shared" si="656"/>
        <v>299.02</v>
      </c>
      <c r="AC278" s="625">
        <f t="shared" si="657"/>
        <v>234.64</v>
      </c>
      <c r="AD278" s="625">
        <f t="shared" si="658"/>
        <v>171.82</v>
      </c>
      <c r="AE278" s="625">
        <f t="shared" si="659"/>
        <v>76.87</v>
      </c>
      <c r="AF278" s="625">
        <f t="shared" si="660"/>
        <v>43.75</v>
      </c>
      <c r="AG278" s="657">
        <f t="shared" si="22"/>
        <v>0.2134173121</v>
      </c>
      <c r="AH278" s="165"/>
      <c r="AI278" s="165">
        <f t="shared" ref="AI278:AM278" si="699">AB278/U278</f>
        <v>0.2372477923</v>
      </c>
      <c r="AJ278" s="165">
        <f t="shared" si="699"/>
        <v>0.1924256589</v>
      </c>
      <c r="AK278" s="165">
        <f t="shared" si="699"/>
        <v>0.2341446131</v>
      </c>
      <c r="AL278" s="165">
        <f t="shared" si="699"/>
        <v>0.2267484735</v>
      </c>
      <c r="AM278" s="165">
        <f t="shared" si="699"/>
        <v>0.1374748617</v>
      </c>
      <c r="AN278" s="684">
        <f t="shared" si="453"/>
        <v>2373.609</v>
      </c>
      <c r="AO278" s="625"/>
      <c r="AP278" s="641">
        <v>880.038</v>
      </c>
      <c r="AQ278" s="641">
        <v>899.433</v>
      </c>
      <c r="AR278" s="641">
        <v>150.0</v>
      </c>
      <c r="AS278" s="641">
        <v>148.834</v>
      </c>
      <c r="AT278" s="641">
        <v>295.304</v>
      </c>
      <c r="AU278" s="684">
        <f t="shared" si="496"/>
        <v>604.718</v>
      </c>
      <c r="AV278" s="641"/>
      <c r="AW278" s="641">
        <v>217.345</v>
      </c>
      <c r="AX278" s="641">
        <v>187.539</v>
      </c>
      <c r="AY278" s="641">
        <v>157.645</v>
      </c>
      <c r="AZ278" s="641">
        <v>27.752</v>
      </c>
      <c r="BA278" s="691">
        <v>14.437</v>
      </c>
      <c r="BB278" s="631"/>
      <c r="BC278" s="189" t="s">
        <v>695</v>
      </c>
      <c r="BD278" s="688" t="s">
        <v>3303</v>
      </c>
      <c r="BE278" s="179" t="s">
        <v>3304</v>
      </c>
      <c r="BF278" s="179" t="s">
        <v>3305</v>
      </c>
      <c r="BG278" s="179" t="s">
        <v>3306</v>
      </c>
      <c r="BH278" s="179" t="s">
        <v>3307</v>
      </c>
      <c r="BI278" s="179" t="s">
        <v>3308</v>
      </c>
      <c r="BJ278" s="179"/>
      <c r="BK278" s="631"/>
      <c r="BL278" s="179" t="b">
        <f t="shared" si="26"/>
        <v>1</v>
      </c>
      <c r="BM278" s="179" t="b">
        <f t="shared" si="27"/>
        <v>1</v>
      </c>
      <c r="BN278" s="688" t="b">
        <f t="shared" si="28"/>
        <v>0</v>
      </c>
    </row>
    <row r="279">
      <c r="A279" s="696" t="s">
        <v>1534</v>
      </c>
      <c r="B279" s="186" t="s">
        <v>3730</v>
      </c>
      <c r="C279" s="676" t="s">
        <v>2113</v>
      </c>
      <c r="D279" s="677">
        <v>271.0</v>
      </c>
      <c r="E279" s="632" t="s">
        <v>26</v>
      </c>
      <c r="F279" s="678">
        <f t="shared" ref="F279:G279" si="700">H279+J279+L279+N279+P279</f>
        <v>7522</v>
      </c>
      <c r="G279" s="679">
        <f t="shared" si="700"/>
        <v>-47</v>
      </c>
      <c r="H279" s="641">
        <v>1598.0</v>
      </c>
      <c r="I279" s="680">
        <v>1.0</v>
      </c>
      <c r="J279" s="641">
        <v>1529.0</v>
      </c>
      <c r="K279" s="680">
        <v>15.0</v>
      </c>
      <c r="L279" s="641">
        <v>1465.0</v>
      </c>
      <c r="M279" s="680">
        <v>-13.0</v>
      </c>
      <c r="N279" s="641">
        <v>1496.0</v>
      </c>
      <c r="O279" s="680">
        <v>-16.0</v>
      </c>
      <c r="P279" s="641">
        <v>1434.0</v>
      </c>
      <c r="Q279" s="680">
        <v>-34.0</v>
      </c>
      <c r="R279" s="681" t="s">
        <v>719</v>
      </c>
      <c r="S279" s="682">
        <f t="shared" si="10"/>
        <v>7522</v>
      </c>
      <c r="T279" s="683"/>
      <c r="U279" s="625">
        <f t="shared" si="651"/>
        <v>1598</v>
      </c>
      <c r="V279" s="625">
        <f t="shared" si="652"/>
        <v>1529</v>
      </c>
      <c r="W279" s="625">
        <f t="shared" si="653"/>
        <v>1465</v>
      </c>
      <c r="X279" s="625">
        <f t="shared" si="654"/>
        <v>1496</v>
      </c>
      <c r="Y279" s="625">
        <f t="shared" si="655"/>
        <v>1434</v>
      </c>
      <c r="Z279" s="656">
        <f t="shared" si="16"/>
        <v>-47</v>
      </c>
      <c r="AA279" s="683"/>
      <c r="AB279" s="625">
        <f t="shared" si="656"/>
        <v>1</v>
      </c>
      <c r="AC279" s="625">
        <f t="shared" si="657"/>
        <v>15</v>
      </c>
      <c r="AD279" s="625">
        <f t="shared" si="658"/>
        <v>-13</v>
      </c>
      <c r="AE279" s="625">
        <f t="shared" si="659"/>
        <v>-16</v>
      </c>
      <c r="AF279" s="625">
        <f t="shared" si="660"/>
        <v>-34</v>
      </c>
      <c r="AG279" s="657">
        <f t="shared" si="22"/>
        <v>-0.006248338208</v>
      </c>
      <c r="AH279" s="165"/>
      <c r="AI279" s="165">
        <f t="shared" ref="AI279:AM279" si="701">AB279/U279</f>
        <v>0.0006257822278</v>
      </c>
      <c r="AJ279" s="165">
        <f t="shared" si="701"/>
        <v>0.009810333551</v>
      </c>
      <c r="AK279" s="165">
        <f t="shared" si="701"/>
        <v>-0.008873720137</v>
      </c>
      <c r="AL279" s="165">
        <f t="shared" si="701"/>
        <v>-0.01069518717</v>
      </c>
      <c r="AM279" s="165">
        <f t="shared" si="701"/>
        <v>-0.02370990237</v>
      </c>
      <c r="AN279" s="684">
        <f t="shared" si="453"/>
        <v>0</v>
      </c>
      <c r="AO279" s="625"/>
      <c r="AP279" s="625">
        <v>0.0</v>
      </c>
      <c r="AQ279" s="625">
        <v>0.0</v>
      </c>
      <c r="AR279" s="625">
        <v>0.0</v>
      </c>
      <c r="AS279" s="625">
        <v>0.0</v>
      </c>
      <c r="AT279" s="625">
        <v>0.0</v>
      </c>
      <c r="AU279" s="684">
        <f t="shared" si="496"/>
        <v>4324</v>
      </c>
      <c r="AV279" s="625"/>
      <c r="AW279" s="625">
        <v>1012.0</v>
      </c>
      <c r="AX279" s="625">
        <v>935.0</v>
      </c>
      <c r="AY279" s="625">
        <v>856.0</v>
      </c>
      <c r="AZ279" s="625">
        <v>791.0</v>
      </c>
      <c r="BA279" s="693">
        <v>730.0</v>
      </c>
      <c r="BB279" s="631"/>
      <c r="BC279" s="189" t="s">
        <v>695</v>
      </c>
      <c r="BD279" s="688" t="s">
        <v>3303</v>
      </c>
      <c r="BE279" s="179" t="s">
        <v>3304</v>
      </c>
      <c r="BF279" s="179" t="s">
        <v>3305</v>
      </c>
      <c r="BG279" s="179" t="s">
        <v>3306</v>
      </c>
      <c r="BH279" s="179" t="s">
        <v>3307</v>
      </c>
      <c r="BI279" s="179" t="s">
        <v>3308</v>
      </c>
      <c r="BJ279" s="179"/>
      <c r="BK279" s="631"/>
      <c r="BL279" s="179" t="b">
        <f t="shared" si="26"/>
        <v>1</v>
      </c>
      <c r="BM279" s="179" t="b">
        <f t="shared" si="27"/>
        <v>1</v>
      </c>
      <c r="BN279" s="688" t="b">
        <f t="shared" si="28"/>
        <v>1</v>
      </c>
    </row>
    <row r="280">
      <c r="A280" s="689"/>
      <c r="B280" s="186" t="s">
        <v>3731</v>
      </c>
      <c r="C280" s="676" t="s">
        <v>2113</v>
      </c>
      <c r="D280" s="677">
        <v>478.0</v>
      </c>
      <c r="E280" s="632" t="s">
        <v>3732</v>
      </c>
      <c r="F280" s="678">
        <f t="shared" ref="F280:G280" si="702">H280+J280+L280+N280+P280</f>
        <v>1438</v>
      </c>
      <c r="G280" s="679">
        <f t="shared" si="702"/>
        <v>95</v>
      </c>
      <c r="H280" s="641">
        <v>301.0</v>
      </c>
      <c r="I280" s="680">
        <v>-17.0</v>
      </c>
      <c r="J280" s="641">
        <v>407.0</v>
      </c>
      <c r="K280" s="680">
        <v>56.0</v>
      </c>
      <c r="L280" s="641">
        <v>41.0</v>
      </c>
      <c r="M280" s="680">
        <v>36.0</v>
      </c>
      <c r="N280" s="641">
        <v>376.0</v>
      </c>
      <c r="O280" s="680">
        <v>18.0</v>
      </c>
      <c r="P280" s="641">
        <v>313.0</v>
      </c>
      <c r="Q280" s="680">
        <v>2.0</v>
      </c>
      <c r="R280" s="681" t="s">
        <v>700</v>
      </c>
      <c r="S280" s="682">
        <f t="shared" si="10"/>
        <v>1438</v>
      </c>
      <c r="T280" s="683"/>
      <c r="U280" s="625">
        <f t="shared" si="651"/>
        <v>301</v>
      </c>
      <c r="V280" s="625">
        <f t="shared" si="652"/>
        <v>407</v>
      </c>
      <c r="W280" s="625">
        <f t="shared" si="653"/>
        <v>41</v>
      </c>
      <c r="X280" s="625">
        <f t="shared" si="654"/>
        <v>376</v>
      </c>
      <c r="Y280" s="625">
        <f t="shared" si="655"/>
        <v>313</v>
      </c>
      <c r="Z280" s="656">
        <f t="shared" si="16"/>
        <v>95</v>
      </c>
      <c r="AA280" s="683"/>
      <c r="AB280" s="625">
        <f t="shared" si="656"/>
        <v>-17</v>
      </c>
      <c r="AC280" s="625">
        <f t="shared" si="657"/>
        <v>56</v>
      </c>
      <c r="AD280" s="625">
        <f t="shared" si="658"/>
        <v>36</v>
      </c>
      <c r="AE280" s="625">
        <f t="shared" si="659"/>
        <v>18</v>
      </c>
      <c r="AF280" s="625">
        <f t="shared" si="660"/>
        <v>2</v>
      </c>
      <c r="AG280" s="657">
        <f t="shared" si="22"/>
        <v>0.06606397775</v>
      </c>
      <c r="AH280" s="165"/>
      <c r="AI280" s="165">
        <f t="shared" ref="AI280:AM280" si="703">AB280/U280</f>
        <v>-0.05647840532</v>
      </c>
      <c r="AJ280" s="165">
        <f t="shared" si="703"/>
        <v>0.1375921376</v>
      </c>
      <c r="AK280" s="165">
        <f t="shared" si="703"/>
        <v>0.8780487805</v>
      </c>
      <c r="AL280" s="165">
        <f t="shared" si="703"/>
        <v>0.04787234043</v>
      </c>
      <c r="AM280" s="165">
        <f t="shared" si="703"/>
        <v>0.006389776358</v>
      </c>
      <c r="AN280" s="684">
        <f t="shared" si="453"/>
        <v>1997</v>
      </c>
      <c r="AO280" s="625">
        <v>0.0</v>
      </c>
      <c r="AP280" s="625">
        <v>0.0</v>
      </c>
      <c r="AQ280" s="625">
        <v>0.0</v>
      </c>
      <c r="AR280" s="625">
        <v>114.0</v>
      </c>
      <c r="AS280" s="625">
        <v>1347.0</v>
      </c>
      <c r="AT280" s="625">
        <v>536.0</v>
      </c>
      <c r="AU280" s="684">
        <f t="shared" si="496"/>
        <v>0</v>
      </c>
      <c r="AV280" s="180">
        <v>0.0</v>
      </c>
      <c r="AW280" s="180">
        <v>0.0</v>
      </c>
      <c r="AX280" s="180">
        <v>0.0</v>
      </c>
      <c r="AY280" s="180">
        <v>0.0</v>
      </c>
      <c r="AZ280" s="180">
        <v>0.0</v>
      </c>
      <c r="BA280" s="686">
        <v>0.0</v>
      </c>
      <c r="BB280" s="631"/>
      <c r="BC280" s="189" t="s">
        <v>695</v>
      </c>
      <c r="BD280" s="186" t="s">
        <v>3303</v>
      </c>
      <c r="BE280" s="688" t="s">
        <v>3303</v>
      </c>
      <c r="BF280" s="688" t="s">
        <v>3303</v>
      </c>
      <c r="BG280" s="688" t="s">
        <v>3303</v>
      </c>
      <c r="BH280" s="688" t="s">
        <v>3303</v>
      </c>
      <c r="BI280" s="688" t="s">
        <v>3303</v>
      </c>
      <c r="BJ280" s="179"/>
      <c r="BK280" s="631"/>
      <c r="BL280" s="179" t="b">
        <f t="shared" si="26"/>
        <v>1</v>
      </c>
      <c r="BM280" s="179" t="b">
        <f t="shared" si="27"/>
        <v>1</v>
      </c>
      <c r="BN280" s="688" t="b">
        <f t="shared" si="28"/>
        <v>0</v>
      </c>
    </row>
    <row r="281">
      <c r="A281" s="689"/>
      <c r="B281" s="186" t="s">
        <v>3733</v>
      </c>
      <c r="C281" s="676" t="s">
        <v>2113</v>
      </c>
      <c r="D281" s="677">
        <v>463.0</v>
      </c>
      <c r="E281" s="632" t="s">
        <v>3734</v>
      </c>
      <c r="F281" s="678">
        <f t="shared" ref="F281:G281" si="704">H281+J281+L281+N281+P281</f>
        <v>5752</v>
      </c>
      <c r="G281" s="679">
        <f t="shared" si="704"/>
        <v>1493</v>
      </c>
      <c r="H281" s="641">
        <v>1564.0</v>
      </c>
      <c r="I281" s="680">
        <v>514.0</v>
      </c>
      <c r="J281" s="641">
        <v>1273.0</v>
      </c>
      <c r="K281" s="680">
        <v>311.0</v>
      </c>
      <c r="L281" s="641">
        <v>1073.0</v>
      </c>
      <c r="M281" s="680">
        <v>232.0</v>
      </c>
      <c r="N281" s="641">
        <v>937.0</v>
      </c>
      <c r="O281" s="680">
        <v>192.0</v>
      </c>
      <c r="P281" s="641">
        <v>905.0</v>
      </c>
      <c r="Q281" s="680">
        <v>244.0</v>
      </c>
      <c r="R281" s="681" t="s">
        <v>706</v>
      </c>
      <c r="S281" s="682">
        <f t="shared" si="10"/>
        <v>5752</v>
      </c>
      <c r="T281" s="683"/>
      <c r="U281" s="625">
        <f t="shared" si="651"/>
        <v>1564</v>
      </c>
      <c r="V281" s="625">
        <f t="shared" si="652"/>
        <v>1273</v>
      </c>
      <c r="W281" s="625">
        <f t="shared" si="653"/>
        <v>1073</v>
      </c>
      <c r="X281" s="625">
        <f t="shared" si="654"/>
        <v>937</v>
      </c>
      <c r="Y281" s="625">
        <f t="shared" si="655"/>
        <v>905</v>
      </c>
      <c r="Z281" s="656">
        <f t="shared" si="16"/>
        <v>1493</v>
      </c>
      <c r="AA281" s="683"/>
      <c r="AB281" s="625">
        <f t="shared" si="656"/>
        <v>514</v>
      </c>
      <c r="AC281" s="625">
        <f t="shared" si="657"/>
        <v>311</v>
      </c>
      <c r="AD281" s="625">
        <f t="shared" si="658"/>
        <v>232</v>
      </c>
      <c r="AE281" s="625">
        <f t="shared" si="659"/>
        <v>192</v>
      </c>
      <c r="AF281" s="625">
        <f t="shared" si="660"/>
        <v>244</v>
      </c>
      <c r="AG281" s="657">
        <f t="shared" si="22"/>
        <v>0.2595618915</v>
      </c>
      <c r="AH281" s="165"/>
      <c r="AI281" s="165">
        <f t="shared" ref="AI281:AM281" si="705">AB281/U281</f>
        <v>0.3286445013</v>
      </c>
      <c r="AJ281" s="165">
        <f t="shared" si="705"/>
        <v>0.2443047918</v>
      </c>
      <c r="AK281" s="165">
        <f t="shared" si="705"/>
        <v>0.2162162162</v>
      </c>
      <c r="AL281" s="165">
        <f t="shared" si="705"/>
        <v>0.204909285</v>
      </c>
      <c r="AM281" s="165">
        <f t="shared" si="705"/>
        <v>0.2696132597</v>
      </c>
      <c r="AN281" s="684">
        <f t="shared" si="453"/>
        <v>3911</v>
      </c>
      <c r="AO281" s="625"/>
      <c r="AP281" s="625">
        <v>1594.0</v>
      </c>
      <c r="AQ281" s="625">
        <v>743.0</v>
      </c>
      <c r="AR281" s="625">
        <v>250.0</v>
      </c>
      <c r="AS281" s="625">
        <v>626.0</v>
      </c>
      <c r="AT281" s="625">
        <v>698.0</v>
      </c>
      <c r="AU281" s="684">
        <f t="shared" si="496"/>
        <v>2022</v>
      </c>
      <c r="AV281" s="625"/>
      <c r="AW281" s="625">
        <v>611.0</v>
      </c>
      <c r="AX281" s="625">
        <v>474.0</v>
      </c>
      <c r="AY281" s="625">
        <v>380.0</v>
      </c>
      <c r="AZ281" s="625">
        <v>314.0</v>
      </c>
      <c r="BA281" s="693">
        <v>243.0</v>
      </c>
      <c r="BB281" s="631"/>
      <c r="BC281" s="189" t="s">
        <v>695</v>
      </c>
      <c r="BD281" s="186" t="s">
        <v>3303</v>
      </c>
      <c r="BE281" s="179" t="s">
        <v>3304</v>
      </c>
      <c r="BF281" s="179" t="s">
        <v>3305</v>
      </c>
      <c r="BG281" s="179" t="s">
        <v>3306</v>
      </c>
      <c r="BH281" s="179" t="s">
        <v>3307</v>
      </c>
      <c r="BI281" s="179" t="s">
        <v>3308</v>
      </c>
      <c r="BJ281" s="179"/>
      <c r="BK281" s="646"/>
      <c r="BL281" s="179" t="b">
        <f t="shared" si="26"/>
        <v>1</v>
      </c>
      <c r="BM281" s="179" t="b">
        <f t="shared" si="27"/>
        <v>1</v>
      </c>
      <c r="BN281" s="688" t="b">
        <f t="shared" si="28"/>
        <v>1</v>
      </c>
    </row>
    <row r="282" hidden="1">
      <c r="A282" s="212"/>
      <c r="B282" s="186" t="s">
        <v>3735</v>
      </c>
      <c r="C282" s="744" t="s">
        <v>1854</v>
      </c>
      <c r="D282" s="717">
        <v>502.0</v>
      </c>
      <c r="E282" s="131" t="s">
        <v>3736</v>
      </c>
      <c r="F282" s="678">
        <f t="shared" ref="F282:G282" si="706">H282+J282+L282+N282+P282</f>
        <v>4068.21</v>
      </c>
      <c r="G282" s="679">
        <f t="shared" si="706"/>
        <v>608.82</v>
      </c>
      <c r="H282" s="641">
        <v>733.81</v>
      </c>
      <c r="I282" s="680">
        <v>198.51</v>
      </c>
      <c r="J282" s="641">
        <v>1900.26</v>
      </c>
      <c r="K282" s="680">
        <v>322.55</v>
      </c>
      <c r="L282" s="641">
        <v>745.04</v>
      </c>
      <c r="M282" s="680">
        <v>90.35</v>
      </c>
      <c r="N282" s="641">
        <v>442.36</v>
      </c>
      <c r="O282" s="680">
        <v>-10.0</v>
      </c>
      <c r="P282" s="641">
        <v>246.74</v>
      </c>
      <c r="Q282" s="680">
        <v>7.41</v>
      </c>
      <c r="R282" s="681" t="s">
        <v>696</v>
      </c>
      <c r="S282" s="682">
        <f t="shared" si="10"/>
        <v>4068.21</v>
      </c>
      <c r="T282" s="683"/>
      <c r="U282" s="625">
        <f t="shared" si="651"/>
        <v>733.81</v>
      </c>
      <c r="V282" s="625">
        <f t="shared" si="652"/>
        <v>1900.26</v>
      </c>
      <c r="W282" s="625">
        <f t="shared" si="653"/>
        <v>745.04</v>
      </c>
      <c r="X282" s="625">
        <f t="shared" si="654"/>
        <v>442.36</v>
      </c>
      <c r="Y282" s="625">
        <f t="shared" si="655"/>
        <v>246.74</v>
      </c>
      <c r="Z282" s="656">
        <f t="shared" si="16"/>
        <v>608.82</v>
      </c>
      <c r="AA282" s="683"/>
      <c r="AB282" s="625">
        <f t="shared" si="656"/>
        <v>198.51</v>
      </c>
      <c r="AC282" s="625">
        <f t="shared" si="657"/>
        <v>322.55</v>
      </c>
      <c r="AD282" s="625">
        <f t="shared" si="658"/>
        <v>90.35</v>
      </c>
      <c r="AE282" s="625">
        <f t="shared" si="659"/>
        <v>-10</v>
      </c>
      <c r="AF282" s="625">
        <f t="shared" si="660"/>
        <v>7.41</v>
      </c>
      <c r="AG282" s="657">
        <f t="shared" si="22"/>
        <v>0.1496530415</v>
      </c>
      <c r="AH282" s="165"/>
      <c r="AI282" s="165">
        <f t="shared" ref="AI282:AM282" si="707">AB282/U282</f>
        <v>0.2705196168</v>
      </c>
      <c r="AJ282" s="165">
        <f t="shared" si="707"/>
        <v>0.1697399303</v>
      </c>
      <c r="AK282" s="165">
        <f t="shared" si="707"/>
        <v>0.1212686567</v>
      </c>
      <c r="AL282" s="165">
        <f t="shared" si="707"/>
        <v>-0.02260602224</v>
      </c>
      <c r="AM282" s="165">
        <f t="shared" si="707"/>
        <v>0.03003161222</v>
      </c>
      <c r="AN282" s="684"/>
      <c r="AO282" s="625"/>
      <c r="AP282" s="625"/>
      <c r="AQ282" s="625"/>
      <c r="AR282" s="625"/>
      <c r="AS282" s="625"/>
      <c r="AT282" s="625"/>
      <c r="AU282" s="684"/>
      <c r="AV282" s="625"/>
      <c r="AW282" s="625"/>
      <c r="AX282" s="625"/>
      <c r="AY282" s="625"/>
      <c r="AZ282" s="625"/>
      <c r="BA282" s="693"/>
      <c r="BB282" s="631"/>
      <c r="BC282" s="189" t="s">
        <v>695</v>
      </c>
      <c r="BD282" s="186" t="s">
        <v>3303</v>
      </c>
      <c r="BE282" s="179" t="s">
        <v>3304</v>
      </c>
      <c r="BF282" s="179" t="s">
        <v>3305</v>
      </c>
      <c r="BG282" s="179" t="s">
        <v>3306</v>
      </c>
      <c r="BH282" s="179" t="s">
        <v>3307</v>
      </c>
      <c r="BI282" s="179" t="s">
        <v>3308</v>
      </c>
      <c r="BJ282" s="745"/>
      <c r="BK282" s="631"/>
      <c r="BL282" s="745"/>
      <c r="BM282" s="745"/>
      <c r="BN282" s="201"/>
    </row>
    <row r="283" hidden="1">
      <c r="A283" s="426"/>
      <c r="B283" s="186" t="s">
        <v>3737</v>
      </c>
      <c r="C283" s="676" t="s">
        <v>1919</v>
      </c>
      <c r="D283" s="677">
        <v>505.0</v>
      </c>
      <c r="E283" s="632" t="s">
        <v>3738</v>
      </c>
      <c r="F283" s="678">
        <f t="shared" ref="F283:G283" si="708">H283+J283+L283+N283+P283</f>
        <v>3236.27</v>
      </c>
      <c r="G283" s="679">
        <f t="shared" si="708"/>
        <v>700</v>
      </c>
      <c r="H283" s="641">
        <v>203.27</v>
      </c>
      <c r="I283" s="680">
        <v>153.0</v>
      </c>
      <c r="J283" s="641">
        <v>466.0</v>
      </c>
      <c r="K283" s="680">
        <v>71.0</v>
      </c>
      <c r="L283" s="641">
        <v>670.0</v>
      </c>
      <c r="M283" s="680">
        <v>146.0</v>
      </c>
      <c r="N283" s="641">
        <v>1009.0</v>
      </c>
      <c r="O283" s="680">
        <v>171.0</v>
      </c>
      <c r="P283" s="641">
        <v>888.0</v>
      </c>
      <c r="Q283" s="680">
        <v>159.0</v>
      </c>
      <c r="R283" s="681" t="s">
        <v>702</v>
      </c>
      <c r="S283" s="682">
        <f t="shared" si="10"/>
        <v>3236.27</v>
      </c>
      <c r="T283" s="683"/>
      <c r="U283" s="625">
        <f t="shared" si="651"/>
        <v>203.27</v>
      </c>
      <c r="V283" s="625">
        <f t="shared" si="652"/>
        <v>466</v>
      </c>
      <c r="W283" s="625">
        <f t="shared" si="653"/>
        <v>670</v>
      </c>
      <c r="X283" s="625">
        <f t="shared" si="654"/>
        <v>1009</v>
      </c>
      <c r="Y283" s="625">
        <f t="shared" si="655"/>
        <v>888</v>
      </c>
      <c r="Z283" s="656">
        <f t="shared" si="16"/>
        <v>700</v>
      </c>
      <c r="AA283" s="683"/>
      <c r="AB283" s="625">
        <f t="shared" si="656"/>
        <v>153</v>
      </c>
      <c r="AC283" s="625">
        <f t="shared" si="657"/>
        <v>71</v>
      </c>
      <c r="AD283" s="625">
        <f t="shared" si="658"/>
        <v>146</v>
      </c>
      <c r="AE283" s="625">
        <f t="shared" si="659"/>
        <v>171</v>
      </c>
      <c r="AF283" s="625">
        <f t="shared" si="660"/>
        <v>159</v>
      </c>
      <c r="AG283" s="657">
        <f t="shared" si="22"/>
        <v>0.2162983929</v>
      </c>
      <c r="AH283" s="165"/>
      <c r="AI283" s="165">
        <f t="shared" ref="AI283:AM283" si="709">AB283/U283</f>
        <v>0.7526934619</v>
      </c>
      <c r="AJ283" s="165">
        <f t="shared" si="709"/>
        <v>0.152360515</v>
      </c>
      <c r="AK283" s="165">
        <f t="shared" si="709"/>
        <v>0.2179104478</v>
      </c>
      <c r="AL283" s="165">
        <f t="shared" si="709"/>
        <v>0.1694747275</v>
      </c>
      <c r="AM283" s="165">
        <f t="shared" si="709"/>
        <v>0.1790540541</v>
      </c>
      <c r="AN283" s="684">
        <f t="shared" ref="AN283:AN293" si="712">SUM(AP283:AT283)</f>
        <v>1839</v>
      </c>
      <c r="AO283" s="625"/>
      <c r="AP283" s="625">
        <v>25.0</v>
      </c>
      <c r="AQ283" s="625">
        <v>905.0</v>
      </c>
      <c r="AR283" s="625">
        <v>248.0</v>
      </c>
      <c r="AS283" s="625">
        <v>661.0</v>
      </c>
      <c r="AT283" s="641" t="s">
        <v>711</v>
      </c>
      <c r="AU283" s="684">
        <f t="shared" ref="AU283:AU285" si="713">SUM(AW283:BA283)</f>
        <v>2602</v>
      </c>
      <c r="AV283" s="625"/>
      <c r="AW283" s="625">
        <v>571.0</v>
      </c>
      <c r="AX283" s="625">
        <v>558.0</v>
      </c>
      <c r="AY283" s="625">
        <v>533.0</v>
      </c>
      <c r="AZ283" s="625">
        <v>490.0</v>
      </c>
      <c r="BA283" s="693">
        <v>450.0</v>
      </c>
      <c r="BB283" s="631"/>
      <c r="BC283" s="189" t="s">
        <v>695</v>
      </c>
      <c r="BD283" s="688" t="s">
        <v>3303</v>
      </c>
      <c r="BE283" s="179" t="s">
        <v>3304</v>
      </c>
      <c r="BF283" s="179" t="s">
        <v>3305</v>
      </c>
      <c r="BG283" s="179" t="s">
        <v>3306</v>
      </c>
      <c r="BH283" s="179" t="s">
        <v>3307</v>
      </c>
      <c r="BI283" s="179" t="s">
        <v>3308</v>
      </c>
      <c r="BJ283" s="745"/>
      <c r="BK283" s="631"/>
      <c r="BL283" s="745"/>
      <c r="BM283" s="745"/>
      <c r="BN283" s="201"/>
    </row>
    <row r="284" hidden="1">
      <c r="A284" s="689"/>
      <c r="B284" s="186" t="s">
        <v>3739</v>
      </c>
      <c r="C284" s="676" t="s">
        <v>2113</v>
      </c>
      <c r="D284" s="677">
        <v>507.0</v>
      </c>
      <c r="E284" s="632" t="s">
        <v>3740</v>
      </c>
      <c r="F284" s="678">
        <f t="shared" ref="F284:G284" si="710">H284+J284+L284+N284+P284</f>
        <v>1281.4</v>
      </c>
      <c r="G284" s="679">
        <f t="shared" si="710"/>
        <v>261.53</v>
      </c>
      <c r="H284" s="641">
        <v>485.14</v>
      </c>
      <c r="I284" s="680">
        <v>93.94</v>
      </c>
      <c r="J284" s="641">
        <v>296.5</v>
      </c>
      <c r="K284" s="680">
        <v>47.48</v>
      </c>
      <c r="L284" s="641">
        <v>139.35</v>
      </c>
      <c r="M284" s="680">
        <v>67.99</v>
      </c>
      <c r="N284" s="641">
        <v>183.53</v>
      </c>
      <c r="O284" s="680">
        <v>20.3</v>
      </c>
      <c r="P284" s="641">
        <v>176.88</v>
      </c>
      <c r="Q284" s="680">
        <v>31.82</v>
      </c>
      <c r="R284" s="681" t="s">
        <v>693</v>
      </c>
      <c r="S284" s="682">
        <f t="shared" si="10"/>
        <v>1281.4</v>
      </c>
      <c r="T284" s="683"/>
      <c r="U284" s="625">
        <f t="shared" si="651"/>
        <v>485.14</v>
      </c>
      <c r="V284" s="625">
        <f t="shared" si="652"/>
        <v>296.5</v>
      </c>
      <c r="W284" s="625">
        <f t="shared" si="653"/>
        <v>139.35</v>
      </c>
      <c r="X284" s="625">
        <f t="shared" si="654"/>
        <v>183.53</v>
      </c>
      <c r="Y284" s="625">
        <f t="shared" si="655"/>
        <v>176.88</v>
      </c>
      <c r="Z284" s="656">
        <f t="shared" si="16"/>
        <v>261.53</v>
      </c>
      <c r="AA284" s="683"/>
      <c r="AB284" s="625">
        <f t="shared" si="656"/>
        <v>93.94</v>
      </c>
      <c r="AC284" s="625">
        <f t="shared" si="657"/>
        <v>47.48</v>
      </c>
      <c r="AD284" s="625">
        <f t="shared" si="658"/>
        <v>67.99</v>
      </c>
      <c r="AE284" s="625">
        <f t="shared" si="659"/>
        <v>20.3</v>
      </c>
      <c r="AF284" s="625">
        <f t="shared" si="660"/>
        <v>31.82</v>
      </c>
      <c r="AG284" s="657">
        <f t="shared" si="22"/>
        <v>0.2040970813</v>
      </c>
      <c r="AH284" s="165"/>
      <c r="AI284" s="165">
        <f t="shared" ref="AI284:AM284" si="711">AB284/U284</f>
        <v>0.1936348271</v>
      </c>
      <c r="AJ284" s="165">
        <f t="shared" si="711"/>
        <v>0.1601349073</v>
      </c>
      <c r="AK284" s="165">
        <f t="shared" si="711"/>
        <v>0.487908145</v>
      </c>
      <c r="AL284" s="165">
        <f t="shared" si="711"/>
        <v>0.1106086198</v>
      </c>
      <c r="AM284" s="165">
        <f t="shared" si="711"/>
        <v>0.1798959747</v>
      </c>
      <c r="AN284" s="684">
        <f t="shared" si="712"/>
        <v>330.916</v>
      </c>
      <c r="AO284" s="625"/>
      <c r="AP284" s="625">
        <v>93.709</v>
      </c>
      <c r="AQ284" s="625">
        <v>33.596</v>
      </c>
      <c r="AR284" s="625">
        <v>24.865</v>
      </c>
      <c r="AS284" s="625">
        <v>58.188</v>
      </c>
      <c r="AT284" s="625">
        <v>120.558</v>
      </c>
      <c r="AU284" s="684">
        <f t="shared" si="713"/>
        <v>135.8</v>
      </c>
      <c r="AV284" s="641"/>
      <c r="AW284" s="641">
        <v>44.6</v>
      </c>
      <c r="AX284" s="641">
        <v>41.1</v>
      </c>
      <c r="AY284" s="641">
        <v>22.5</v>
      </c>
      <c r="AZ284" s="641">
        <v>18.3</v>
      </c>
      <c r="BA284" s="691">
        <v>9.3</v>
      </c>
      <c r="BB284" s="631"/>
      <c r="BC284" s="689" t="s">
        <v>695</v>
      </c>
      <c r="BD284" s="688" t="s">
        <v>3303</v>
      </c>
      <c r="BE284" s="739"/>
      <c r="BF284" s="739"/>
      <c r="BG284" s="739"/>
      <c r="BH284" s="739"/>
      <c r="BI284" s="739"/>
      <c r="BJ284" s="745"/>
      <c r="BK284" s="631"/>
      <c r="BL284" s="745"/>
      <c r="BM284" s="745"/>
      <c r="BN284" s="201"/>
    </row>
    <row r="285" hidden="1">
      <c r="A285" s="212"/>
      <c r="B285" s="186" t="s">
        <v>3741</v>
      </c>
      <c r="C285" s="676" t="s">
        <v>2113</v>
      </c>
      <c r="D285" s="677">
        <v>510.0</v>
      </c>
      <c r="E285" s="131" t="s">
        <v>3742</v>
      </c>
      <c r="F285" s="678">
        <f t="shared" ref="F285:G285" si="714">H285+J285+L285+N285+P285</f>
        <v>5224</v>
      </c>
      <c r="G285" s="679">
        <f t="shared" si="714"/>
        <v>901</v>
      </c>
      <c r="H285" s="641">
        <v>1049.0</v>
      </c>
      <c r="I285" s="680">
        <v>192.0</v>
      </c>
      <c r="J285" s="641">
        <v>1295.0</v>
      </c>
      <c r="K285" s="680">
        <v>162.0</v>
      </c>
      <c r="L285" s="641">
        <v>973.0</v>
      </c>
      <c r="M285" s="680">
        <v>101.0</v>
      </c>
      <c r="N285" s="641">
        <v>1207.0</v>
      </c>
      <c r="O285" s="680">
        <v>250.0</v>
      </c>
      <c r="P285" s="641">
        <v>700.0</v>
      </c>
      <c r="Q285" s="680">
        <v>196.0</v>
      </c>
      <c r="R285" s="681" t="s">
        <v>707</v>
      </c>
      <c r="S285" s="682">
        <f t="shared" si="10"/>
        <v>5224</v>
      </c>
      <c r="T285" s="683"/>
      <c r="U285" s="625">
        <f t="shared" si="651"/>
        <v>1049</v>
      </c>
      <c r="V285" s="625">
        <f t="shared" si="652"/>
        <v>1295</v>
      </c>
      <c r="W285" s="625">
        <f t="shared" si="653"/>
        <v>973</v>
      </c>
      <c r="X285" s="625">
        <f t="shared" si="654"/>
        <v>1207</v>
      </c>
      <c r="Y285" s="625">
        <f t="shared" si="655"/>
        <v>700</v>
      </c>
      <c r="Z285" s="656">
        <f t="shared" si="16"/>
        <v>901</v>
      </c>
      <c r="AA285" s="683"/>
      <c r="AB285" s="625">
        <f t="shared" si="656"/>
        <v>192</v>
      </c>
      <c r="AC285" s="625">
        <f t="shared" si="657"/>
        <v>162</v>
      </c>
      <c r="AD285" s="625">
        <f t="shared" si="658"/>
        <v>101</v>
      </c>
      <c r="AE285" s="625">
        <f t="shared" si="659"/>
        <v>250</v>
      </c>
      <c r="AF285" s="625">
        <f t="shared" si="660"/>
        <v>196</v>
      </c>
      <c r="AG285" s="657">
        <f t="shared" si="22"/>
        <v>0.1724732006</v>
      </c>
      <c r="AH285" s="165"/>
      <c r="AI285" s="165">
        <f t="shared" ref="AI285:AM285" si="715">AB285/U285</f>
        <v>0.1830314585</v>
      </c>
      <c r="AJ285" s="165">
        <f t="shared" si="715"/>
        <v>0.1250965251</v>
      </c>
      <c r="AK285" s="165">
        <f t="shared" si="715"/>
        <v>0.1038026721</v>
      </c>
      <c r="AL285" s="165">
        <f t="shared" si="715"/>
        <v>0.2071251036</v>
      </c>
      <c r="AM285" s="165">
        <f t="shared" si="715"/>
        <v>0.28</v>
      </c>
      <c r="AN285" s="684">
        <f t="shared" si="712"/>
        <v>336</v>
      </c>
      <c r="AO285" s="641">
        <v>213.0</v>
      </c>
      <c r="AP285" s="641">
        <v>11.0</v>
      </c>
      <c r="AQ285" s="641">
        <v>319.0</v>
      </c>
      <c r="AR285" s="641">
        <v>0.0</v>
      </c>
      <c r="AS285" s="641">
        <v>0.0</v>
      </c>
      <c r="AT285" s="641">
        <v>6.0</v>
      </c>
      <c r="AU285" s="684">
        <f t="shared" si="713"/>
        <v>4759</v>
      </c>
      <c r="AV285" s="641">
        <v>684.0</v>
      </c>
      <c r="AW285" s="641">
        <v>1213.0</v>
      </c>
      <c r="AX285" s="641">
        <v>2374.0</v>
      </c>
      <c r="AY285" s="641">
        <v>334.0</v>
      </c>
      <c r="AZ285" s="641">
        <v>444.0</v>
      </c>
      <c r="BA285" s="691">
        <v>394.0</v>
      </c>
      <c r="BB285" s="631"/>
      <c r="BC285" s="189" t="s">
        <v>695</v>
      </c>
      <c r="BD285" s="186" t="s">
        <v>3303</v>
      </c>
      <c r="BE285" s="179" t="s">
        <v>3304</v>
      </c>
      <c r="BF285" s="179" t="s">
        <v>3305</v>
      </c>
      <c r="BG285" s="179" t="s">
        <v>3306</v>
      </c>
      <c r="BH285" s="179" t="s">
        <v>3307</v>
      </c>
      <c r="BI285" s="179" t="s">
        <v>3308</v>
      </c>
      <c r="BJ285" s="745"/>
      <c r="BK285" s="631"/>
      <c r="BL285" s="745"/>
      <c r="BM285" s="745"/>
      <c r="BN285" s="201"/>
    </row>
    <row r="286" hidden="1">
      <c r="A286" s="689"/>
      <c r="B286" s="186" t="s">
        <v>3743</v>
      </c>
      <c r="C286" s="676" t="s">
        <v>2113</v>
      </c>
      <c r="D286" s="677">
        <v>514.0</v>
      </c>
      <c r="E286" s="632" t="s">
        <v>3744</v>
      </c>
      <c r="F286" s="678">
        <f t="shared" ref="F286:G286" si="716">H286+J286+L286+N286+P286</f>
        <v>5132.7</v>
      </c>
      <c r="G286" s="679">
        <f t="shared" si="716"/>
        <v>997.3</v>
      </c>
      <c r="H286" s="641">
        <v>1277.7</v>
      </c>
      <c r="I286" s="680">
        <v>267.6</v>
      </c>
      <c r="J286" s="641">
        <v>1053.6</v>
      </c>
      <c r="K286" s="680">
        <v>214.3</v>
      </c>
      <c r="L286" s="641">
        <v>999.2</v>
      </c>
      <c r="M286" s="680">
        <v>195.4</v>
      </c>
      <c r="N286" s="641">
        <v>936.0</v>
      </c>
      <c r="O286" s="680">
        <v>177.4</v>
      </c>
      <c r="P286" s="641">
        <v>866.2</v>
      </c>
      <c r="Q286" s="680">
        <v>142.6</v>
      </c>
      <c r="R286" s="681" t="s">
        <v>719</v>
      </c>
      <c r="S286" s="682">
        <f t="shared" si="10"/>
        <v>5132.7</v>
      </c>
      <c r="T286" s="683"/>
      <c r="U286" s="625">
        <f t="shared" si="651"/>
        <v>1277.7</v>
      </c>
      <c r="V286" s="625">
        <f t="shared" si="652"/>
        <v>1053.6</v>
      </c>
      <c r="W286" s="625">
        <f t="shared" si="653"/>
        <v>999.2</v>
      </c>
      <c r="X286" s="625">
        <f t="shared" si="654"/>
        <v>936</v>
      </c>
      <c r="Y286" s="625">
        <f t="shared" si="655"/>
        <v>866.2</v>
      </c>
      <c r="Z286" s="656">
        <f t="shared" si="16"/>
        <v>997.3</v>
      </c>
      <c r="AA286" s="683"/>
      <c r="AB286" s="625">
        <f t="shared" si="656"/>
        <v>267.6</v>
      </c>
      <c r="AC286" s="625">
        <f t="shared" si="657"/>
        <v>214.3</v>
      </c>
      <c r="AD286" s="625">
        <f t="shared" si="658"/>
        <v>195.4</v>
      </c>
      <c r="AE286" s="625">
        <f t="shared" si="659"/>
        <v>177.4</v>
      </c>
      <c r="AF286" s="625">
        <f t="shared" si="660"/>
        <v>142.6</v>
      </c>
      <c r="AG286" s="657">
        <f t="shared" si="22"/>
        <v>0.1943031933</v>
      </c>
      <c r="AH286" s="165"/>
      <c r="AI286" s="165">
        <f t="shared" ref="AI286:AM286" si="717">AB286/U286</f>
        <v>0.2094388354</v>
      </c>
      <c r="AJ286" s="165">
        <f t="shared" si="717"/>
        <v>0.203397874</v>
      </c>
      <c r="AK286" s="165">
        <f t="shared" si="717"/>
        <v>0.1955564452</v>
      </c>
      <c r="AL286" s="165">
        <f t="shared" si="717"/>
        <v>0.1895299145</v>
      </c>
      <c r="AM286" s="165">
        <f t="shared" si="717"/>
        <v>0.1646271069</v>
      </c>
      <c r="AN286" s="684">
        <f t="shared" si="712"/>
        <v>393</v>
      </c>
      <c r="AO286" s="625"/>
      <c r="AP286" s="625">
        <v>238.0</v>
      </c>
      <c r="AQ286" s="625">
        <v>0.0</v>
      </c>
      <c r="AR286" s="625">
        <v>52.0</v>
      </c>
      <c r="AS286" s="625">
        <v>0.0</v>
      </c>
      <c r="AT286" s="625">
        <v>103.0</v>
      </c>
      <c r="AU286" s="684">
        <f>SUM(AW286:BB286)</f>
        <v>3098.9</v>
      </c>
      <c r="AV286" s="625"/>
      <c r="AW286" s="625">
        <v>711.3</v>
      </c>
      <c r="AX286" s="625">
        <v>643.7</v>
      </c>
      <c r="AY286" s="625">
        <v>803.4</v>
      </c>
      <c r="AZ286" s="625">
        <v>498.6</v>
      </c>
      <c r="BA286" s="693">
        <v>441.9</v>
      </c>
      <c r="BB286" s="631"/>
      <c r="BC286" s="189" t="s">
        <v>695</v>
      </c>
      <c r="BD286" s="186" t="s">
        <v>3303</v>
      </c>
      <c r="BE286" s="179" t="s">
        <v>3304</v>
      </c>
      <c r="BF286" s="179" t="s">
        <v>3305</v>
      </c>
      <c r="BG286" s="179" t="s">
        <v>3306</v>
      </c>
      <c r="BH286" s="179" t="s">
        <v>3307</v>
      </c>
      <c r="BI286" s="179" t="s">
        <v>3308</v>
      </c>
      <c r="BJ286" s="745"/>
      <c r="BK286" s="631"/>
      <c r="BL286" s="745"/>
      <c r="BM286" s="745"/>
      <c r="BN286" s="201"/>
    </row>
    <row r="287" hidden="1">
      <c r="A287" s="696" t="s">
        <v>1534</v>
      </c>
      <c r="B287" s="186" t="s">
        <v>3745</v>
      </c>
      <c r="C287" s="676" t="s">
        <v>2113</v>
      </c>
      <c r="D287" s="717">
        <v>515.0</v>
      </c>
      <c r="E287" s="632" t="s">
        <v>75</v>
      </c>
      <c r="F287" s="678">
        <f t="shared" ref="F287:G287" si="718">H287+J287+L287+N287+P287</f>
        <v>2058.89</v>
      </c>
      <c r="G287" s="679">
        <f t="shared" si="718"/>
        <v>113.73</v>
      </c>
      <c r="H287" s="641">
        <v>441.0</v>
      </c>
      <c r="I287" s="680">
        <v>51.0</v>
      </c>
      <c r="J287" s="641">
        <v>455.1</v>
      </c>
      <c r="K287" s="680">
        <v>17.12</v>
      </c>
      <c r="L287" s="641">
        <v>453.62</v>
      </c>
      <c r="M287" s="680">
        <v>65.01</v>
      </c>
      <c r="N287" s="641">
        <v>395.17</v>
      </c>
      <c r="O287" s="680">
        <v>-3.5</v>
      </c>
      <c r="P287" s="641">
        <v>314.0</v>
      </c>
      <c r="Q287" s="680">
        <v>-15.9</v>
      </c>
      <c r="R287" s="681" t="s">
        <v>724</v>
      </c>
      <c r="S287" s="682">
        <f t="shared" si="10"/>
        <v>2058.89</v>
      </c>
      <c r="T287" s="683"/>
      <c r="U287" s="625">
        <f t="shared" si="651"/>
        <v>441</v>
      </c>
      <c r="V287" s="625">
        <f t="shared" si="652"/>
        <v>455.1</v>
      </c>
      <c r="W287" s="625">
        <f t="shared" si="653"/>
        <v>453.62</v>
      </c>
      <c r="X287" s="625">
        <f t="shared" si="654"/>
        <v>395.17</v>
      </c>
      <c r="Y287" s="625">
        <f t="shared" si="655"/>
        <v>314</v>
      </c>
      <c r="Z287" s="656">
        <f t="shared" si="16"/>
        <v>113.73</v>
      </c>
      <c r="AA287" s="683"/>
      <c r="AB287" s="625">
        <f t="shared" si="656"/>
        <v>51</v>
      </c>
      <c r="AC287" s="625">
        <f t="shared" si="657"/>
        <v>17.12</v>
      </c>
      <c r="AD287" s="625">
        <f t="shared" si="658"/>
        <v>65.01</v>
      </c>
      <c r="AE287" s="625">
        <f t="shared" si="659"/>
        <v>-3.5</v>
      </c>
      <c r="AF287" s="625">
        <f t="shared" si="660"/>
        <v>-15.9</v>
      </c>
      <c r="AG287" s="657">
        <f t="shared" si="22"/>
        <v>0.0552385023</v>
      </c>
      <c r="AH287" s="165"/>
      <c r="AI287" s="165">
        <f t="shared" ref="AI287:AM287" si="719">AB287/U287</f>
        <v>0.1156462585</v>
      </c>
      <c r="AJ287" s="165">
        <f t="shared" si="719"/>
        <v>0.03761810591</v>
      </c>
      <c r="AK287" s="165">
        <f t="shared" si="719"/>
        <v>0.1433137869</v>
      </c>
      <c r="AL287" s="165">
        <f t="shared" si="719"/>
        <v>-0.008856947643</v>
      </c>
      <c r="AM287" s="165">
        <f t="shared" si="719"/>
        <v>-0.05063694268</v>
      </c>
      <c r="AN287" s="684">
        <f t="shared" si="712"/>
        <v>19.12</v>
      </c>
      <c r="AO287" s="625"/>
      <c r="AP287" s="625">
        <v>7.399</v>
      </c>
      <c r="AQ287" s="625">
        <v>6.701</v>
      </c>
      <c r="AR287" s="625">
        <v>0.0</v>
      </c>
      <c r="AS287" s="625">
        <v>0.0</v>
      </c>
      <c r="AT287" s="625">
        <v>5.02</v>
      </c>
      <c r="AU287" s="684">
        <f t="shared" ref="AU287:AU293" si="722">SUM(AW287:BA287)</f>
        <v>829.51</v>
      </c>
      <c r="AV287" s="625"/>
      <c r="AW287" s="625">
        <v>176.92</v>
      </c>
      <c r="AX287" s="625">
        <v>171.35</v>
      </c>
      <c r="AY287" s="625">
        <v>166.41</v>
      </c>
      <c r="AZ287" s="625">
        <v>160.26</v>
      </c>
      <c r="BA287" s="693">
        <v>154.57</v>
      </c>
      <c r="BB287" s="631"/>
      <c r="BC287" s="189" t="s">
        <v>695</v>
      </c>
      <c r="BD287" s="688" t="s">
        <v>3303</v>
      </c>
      <c r="BE287" s="179" t="s">
        <v>3304</v>
      </c>
      <c r="BF287" s="179" t="s">
        <v>3305</v>
      </c>
      <c r="BG287" s="179" t="s">
        <v>3306</v>
      </c>
      <c r="BH287" s="179" t="s">
        <v>3307</v>
      </c>
      <c r="BI287" s="179" t="s">
        <v>3308</v>
      </c>
      <c r="BJ287" s="745"/>
      <c r="BK287" s="631"/>
      <c r="BL287" s="745"/>
      <c r="BM287" s="745"/>
      <c r="BN287" s="201"/>
    </row>
    <row r="288" hidden="1">
      <c r="A288" s="696" t="s">
        <v>1534</v>
      </c>
      <c r="B288" s="186" t="s">
        <v>3746</v>
      </c>
      <c r="C288" s="690" t="s">
        <v>1865</v>
      </c>
      <c r="D288" s="677">
        <v>520.0</v>
      </c>
      <c r="E288" s="632" t="s">
        <v>46</v>
      </c>
      <c r="F288" s="678">
        <f t="shared" ref="F288:G288" si="720">H288+J288+L288+N288+P288</f>
        <v>2097</v>
      </c>
      <c r="G288" s="679">
        <f t="shared" si="720"/>
        <v>130</v>
      </c>
      <c r="H288" s="641">
        <v>836.0</v>
      </c>
      <c r="I288" s="680">
        <v>173.0</v>
      </c>
      <c r="J288" s="641">
        <v>859.0</v>
      </c>
      <c r="K288" s="680">
        <v>122.0</v>
      </c>
      <c r="L288" s="641">
        <v>49.0</v>
      </c>
      <c r="M288" s="680">
        <v>5.0</v>
      </c>
      <c r="N288" s="641">
        <v>185.0</v>
      </c>
      <c r="O288" s="680">
        <v>-191.0</v>
      </c>
      <c r="P288" s="641">
        <v>168.0</v>
      </c>
      <c r="Q288" s="680">
        <v>21.0</v>
      </c>
      <c r="R288" s="681" t="s">
        <v>702</v>
      </c>
      <c r="S288" s="682">
        <f t="shared" si="10"/>
        <v>2097</v>
      </c>
      <c r="T288" s="683"/>
      <c r="U288" s="625">
        <f t="shared" si="651"/>
        <v>836</v>
      </c>
      <c r="V288" s="625">
        <f t="shared" si="652"/>
        <v>859</v>
      </c>
      <c r="W288" s="625">
        <f t="shared" si="653"/>
        <v>49</v>
      </c>
      <c r="X288" s="625">
        <f t="shared" si="654"/>
        <v>185</v>
      </c>
      <c r="Y288" s="625">
        <f t="shared" si="655"/>
        <v>168</v>
      </c>
      <c r="Z288" s="656">
        <f t="shared" si="16"/>
        <v>130</v>
      </c>
      <c r="AA288" s="683"/>
      <c r="AB288" s="625">
        <f t="shared" si="656"/>
        <v>173</v>
      </c>
      <c r="AC288" s="625">
        <f t="shared" si="657"/>
        <v>122</v>
      </c>
      <c r="AD288" s="625">
        <f t="shared" si="658"/>
        <v>5</v>
      </c>
      <c r="AE288" s="625">
        <f t="shared" si="659"/>
        <v>-191</v>
      </c>
      <c r="AF288" s="625">
        <f t="shared" si="660"/>
        <v>21</v>
      </c>
      <c r="AG288" s="657">
        <f t="shared" si="22"/>
        <v>0.0619933238</v>
      </c>
      <c r="AH288" s="165"/>
      <c r="AI288" s="165">
        <f t="shared" ref="AI288:AM288" si="721">AB288/U288</f>
        <v>0.206937799</v>
      </c>
      <c r="AJ288" s="165">
        <f t="shared" si="721"/>
        <v>0.1420256112</v>
      </c>
      <c r="AK288" s="165">
        <f t="shared" si="721"/>
        <v>0.1020408163</v>
      </c>
      <c r="AL288" s="165">
        <f t="shared" si="721"/>
        <v>-1.032432432</v>
      </c>
      <c r="AM288" s="165">
        <f t="shared" si="721"/>
        <v>0.125</v>
      </c>
      <c r="AN288" s="684">
        <f t="shared" si="712"/>
        <v>3541</v>
      </c>
      <c r="AO288" s="625"/>
      <c r="AP288" s="625">
        <v>1139.0</v>
      </c>
      <c r="AQ288" s="625">
        <v>788.0</v>
      </c>
      <c r="AR288" s="625">
        <v>469.0</v>
      </c>
      <c r="AS288" s="625">
        <v>723.0</v>
      </c>
      <c r="AT288" s="625">
        <v>422.0</v>
      </c>
      <c r="AU288" s="684">
        <f t="shared" si="722"/>
        <v>1105</v>
      </c>
      <c r="AV288" s="625"/>
      <c r="AW288" s="625">
        <v>250.0</v>
      </c>
      <c r="AX288" s="625">
        <v>236.0</v>
      </c>
      <c r="AY288" s="625">
        <v>222.0</v>
      </c>
      <c r="AZ288" s="625">
        <v>206.0</v>
      </c>
      <c r="BA288" s="693">
        <v>191.0</v>
      </c>
      <c r="BB288" s="631"/>
      <c r="BC288" s="189" t="s">
        <v>695</v>
      </c>
      <c r="BD288" s="688" t="s">
        <v>3303</v>
      </c>
      <c r="BE288" s="179" t="s">
        <v>3304</v>
      </c>
      <c r="BF288" s="179" t="s">
        <v>3305</v>
      </c>
      <c r="BG288" s="179" t="s">
        <v>3306</v>
      </c>
      <c r="BH288" s="179" t="s">
        <v>3307</v>
      </c>
      <c r="BI288" s="179" t="s">
        <v>3308</v>
      </c>
      <c r="BJ288" s="745"/>
      <c r="BK288" s="631"/>
      <c r="BL288" s="745"/>
      <c r="BM288" s="745"/>
      <c r="BN288" s="201"/>
    </row>
    <row r="289" hidden="1">
      <c r="A289" s="675" t="s">
        <v>3301</v>
      </c>
      <c r="B289" s="186" t="s">
        <v>3747</v>
      </c>
      <c r="C289" s="676" t="s">
        <v>2113</v>
      </c>
      <c r="D289" s="677">
        <v>521.0</v>
      </c>
      <c r="E289" s="632" t="s">
        <v>756</v>
      </c>
      <c r="F289" s="678">
        <f t="shared" ref="F289:G289" si="723">H289+J289+L289+N289+P289</f>
        <v>3905</v>
      </c>
      <c r="G289" s="679">
        <f t="shared" si="723"/>
        <v>351</v>
      </c>
      <c r="H289" s="641">
        <v>1071.0</v>
      </c>
      <c r="I289" s="680">
        <v>139.0</v>
      </c>
      <c r="J289" s="641">
        <v>1022.0</v>
      </c>
      <c r="K289" s="680">
        <v>45.0</v>
      </c>
      <c r="L289" s="641">
        <v>661.0</v>
      </c>
      <c r="M289" s="680">
        <v>37.0</v>
      </c>
      <c r="N289" s="641">
        <v>450.0</v>
      </c>
      <c r="O289" s="680">
        <v>99.0</v>
      </c>
      <c r="P289" s="641">
        <v>701.0</v>
      </c>
      <c r="Q289" s="680">
        <v>31.0</v>
      </c>
      <c r="R289" s="681" t="s">
        <v>3499</v>
      </c>
      <c r="S289" s="682">
        <f t="shared" si="10"/>
        <v>3905</v>
      </c>
      <c r="T289" s="683"/>
      <c r="U289" s="625">
        <f t="shared" si="651"/>
        <v>1071</v>
      </c>
      <c r="V289" s="625">
        <f t="shared" si="652"/>
        <v>1022</v>
      </c>
      <c r="W289" s="625">
        <f t="shared" si="653"/>
        <v>661</v>
      </c>
      <c r="X289" s="625">
        <f t="shared" si="654"/>
        <v>450</v>
      </c>
      <c r="Y289" s="625">
        <f t="shared" si="655"/>
        <v>701</v>
      </c>
      <c r="Z289" s="656">
        <f t="shared" si="16"/>
        <v>351</v>
      </c>
      <c r="AA289" s="683"/>
      <c r="AB289" s="625">
        <f t="shared" si="656"/>
        <v>139</v>
      </c>
      <c r="AC289" s="625">
        <f t="shared" si="657"/>
        <v>45</v>
      </c>
      <c r="AD289" s="625">
        <f t="shared" si="658"/>
        <v>37</v>
      </c>
      <c r="AE289" s="625">
        <f t="shared" si="659"/>
        <v>99</v>
      </c>
      <c r="AF289" s="625">
        <f t="shared" si="660"/>
        <v>31</v>
      </c>
      <c r="AG289" s="657">
        <f t="shared" si="22"/>
        <v>0.08988476312</v>
      </c>
      <c r="AH289" s="165"/>
      <c r="AI289" s="165">
        <f t="shared" ref="AI289:AM289" si="724">AB289/U289</f>
        <v>0.1297852474</v>
      </c>
      <c r="AJ289" s="165">
        <f t="shared" si="724"/>
        <v>0.04403131115</v>
      </c>
      <c r="AK289" s="165">
        <f t="shared" si="724"/>
        <v>0.05597579425</v>
      </c>
      <c r="AL289" s="165">
        <f t="shared" si="724"/>
        <v>0.22</v>
      </c>
      <c r="AM289" s="165">
        <f t="shared" si="724"/>
        <v>0.04422253923</v>
      </c>
      <c r="AN289" s="684">
        <f t="shared" si="712"/>
        <v>6235</v>
      </c>
      <c r="AO289" s="625"/>
      <c r="AP289" s="625">
        <v>1200.0</v>
      </c>
      <c r="AQ289" s="625">
        <v>1591.0</v>
      </c>
      <c r="AR289" s="625">
        <v>239.0</v>
      </c>
      <c r="AS289" s="625">
        <v>815.0</v>
      </c>
      <c r="AT289" s="625">
        <v>2390.0</v>
      </c>
      <c r="AU289" s="684">
        <f t="shared" si="722"/>
        <v>2780</v>
      </c>
      <c r="AV289" s="625"/>
      <c r="AW289" s="625">
        <v>649.0</v>
      </c>
      <c r="AX289" s="625">
        <v>592.0</v>
      </c>
      <c r="AY289" s="625">
        <v>566.0</v>
      </c>
      <c r="AZ289" s="625">
        <v>511.0</v>
      </c>
      <c r="BA289" s="693">
        <v>462.0</v>
      </c>
      <c r="BB289" s="631"/>
      <c r="BC289" s="189" t="s">
        <v>695</v>
      </c>
      <c r="BD289" s="186" t="s">
        <v>3303</v>
      </c>
      <c r="BE289" s="179" t="s">
        <v>3304</v>
      </c>
      <c r="BF289" s="179" t="s">
        <v>3305</v>
      </c>
      <c r="BG289" s="179" t="s">
        <v>3306</v>
      </c>
      <c r="BH289" s="179" t="s">
        <v>3307</v>
      </c>
      <c r="BI289" s="179" t="s">
        <v>3308</v>
      </c>
      <c r="BJ289" s="745"/>
      <c r="BK289" s="631"/>
      <c r="BL289" s="745"/>
      <c r="BM289" s="745"/>
      <c r="BN289" s="201"/>
    </row>
    <row r="290" hidden="1">
      <c r="A290" s="689"/>
      <c r="B290" s="186" t="s">
        <v>3748</v>
      </c>
      <c r="C290" s="692" t="s">
        <v>1578</v>
      </c>
      <c r="D290" s="677">
        <v>525.0</v>
      </c>
      <c r="E290" s="632" t="s">
        <v>3749</v>
      </c>
      <c r="F290" s="678">
        <f t="shared" ref="F290:G290" si="725">H290+J290+L290+N290+P290</f>
        <v>7066.4</v>
      </c>
      <c r="G290" s="679">
        <f t="shared" si="725"/>
        <v>555.6</v>
      </c>
      <c r="H290" s="641">
        <v>1931.0</v>
      </c>
      <c r="I290" s="680">
        <v>74.0</v>
      </c>
      <c r="J290" s="641">
        <v>1507.8</v>
      </c>
      <c r="K290" s="680">
        <v>234.9</v>
      </c>
      <c r="L290" s="641">
        <v>1099.1</v>
      </c>
      <c r="M290" s="680">
        <v>71.7</v>
      </c>
      <c r="N290" s="641">
        <v>1254.5</v>
      </c>
      <c r="O290" s="680">
        <v>46.1</v>
      </c>
      <c r="P290" s="641">
        <v>1274.0</v>
      </c>
      <c r="Q290" s="680">
        <v>128.9</v>
      </c>
      <c r="R290" s="681" t="s">
        <v>702</v>
      </c>
      <c r="S290" s="682">
        <f t="shared" si="10"/>
        <v>7066.4</v>
      </c>
      <c r="T290" s="683"/>
      <c r="U290" s="625">
        <f t="shared" si="651"/>
        <v>1931</v>
      </c>
      <c r="V290" s="625">
        <f t="shared" si="652"/>
        <v>1507.8</v>
      </c>
      <c r="W290" s="625">
        <f t="shared" si="653"/>
        <v>1099.1</v>
      </c>
      <c r="X290" s="625">
        <f t="shared" si="654"/>
        <v>1254.5</v>
      </c>
      <c r="Y290" s="625">
        <f t="shared" si="655"/>
        <v>1274</v>
      </c>
      <c r="Z290" s="656">
        <f t="shared" si="16"/>
        <v>555.6</v>
      </c>
      <c r="AA290" s="683"/>
      <c r="AB290" s="625">
        <f t="shared" si="656"/>
        <v>74</v>
      </c>
      <c r="AC290" s="625">
        <f t="shared" si="657"/>
        <v>234.9</v>
      </c>
      <c r="AD290" s="625">
        <f t="shared" si="658"/>
        <v>71.7</v>
      </c>
      <c r="AE290" s="625">
        <f t="shared" si="659"/>
        <v>46.1</v>
      </c>
      <c r="AF290" s="625">
        <f t="shared" si="660"/>
        <v>128.9</v>
      </c>
      <c r="AG290" s="657">
        <f t="shared" si="22"/>
        <v>0.07862560851</v>
      </c>
      <c r="AH290" s="165"/>
      <c r="AI290" s="165">
        <f t="shared" ref="AI290:AM290" si="726">AB290/U290</f>
        <v>0.03832211289</v>
      </c>
      <c r="AJ290" s="165">
        <f t="shared" si="726"/>
        <v>0.1557898926</v>
      </c>
      <c r="AK290" s="165">
        <f t="shared" si="726"/>
        <v>0.06523519243</v>
      </c>
      <c r="AL290" s="165">
        <f t="shared" si="726"/>
        <v>0.03674770825</v>
      </c>
      <c r="AM290" s="165">
        <f t="shared" si="726"/>
        <v>0.101177394</v>
      </c>
      <c r="AN290" s="684">
        <f t="shared" si="712"/>
        <v>790</v>
      </c>
      <c r="AO290" s="625"/>
      <c r="AP290" s="625">
        <v>0.0</v>
      </c>
      <c r="AQ290" s="625">
        <v>150.0</v>
      </c>
      <c r="AR290" s="625">
        <v>100.0</v>
      </c>
      <c r="AS290" s="625">
        <v>190.0</v>
      </c>
      <c r="AT290" s="625">
        <v>350.0</v>
      </c>
      <c r="AU290" s="684">
        <f t="shared" si="722"/>
        <v>1152</v>
      </c>
      <c r="AV290" s="641"/>
      <c r="AW290" s="641">
        <v>348.0</v>
      </c>
      <c r="AX290" s="641">
        <v>254.0</v>
      </c>
      <c r="AY290" s="641">
        <v>197.0</v>
      </c>
      <c r="AZ290" s="641">
        <v>177.0</v>
      </c>
      <c r="BA290" s="691">
        <v>176.0</v>
      </c>
      <c r="BB290" s="631"/>
      <c r="BC290" s="689" t="s">
        <v>695</v>
      </c>
      <c r="BD290" s="688" t="s">
        <v>3303</v>
      </c>
      <c r="BE290" s="179" t="s">
        <v>3304</v>
      </c>
      <c r="BF290" s="179" t="s">
        <v>3305</v>
      </c>
      <c r="BG290" s="179" t="s">
        <v>3306</v>
      </c>
      <c r="BH290" s="179" t="s">
        <v>3307</v>
      </c>
      <c r="BI290" s="179" t="s">
        <v>3308</v>
      </c>
      <c r="BJ290" s="745"/>
      <c r="BK290" s="631"/>
      <c r="BL290" s="745"/>
      <c r="BM290" s="745"/>
      <c r="BN290" s="201"/>
    </row>
    <row r="291" hidden="1">
      <c r="A291" s="426"/>
      <c r="B291" s="186" t="s">
        <v>3750</v>
      </c>
      <c r="C291" s="676" t="s">
        <v>3404</v>
      </c>
      <c r="D291" s="677">
        <v>526.0</v>
      </c>
      <c r="E291" s="632" t="s">
        <v>3751</v>
      </c>
      <c r="F291" s="678">
        <f t="shared" ref="F291:G291" si="727">H291+J291+L291+N291+P291</f>
        <v>1804.41</v>
      </c>
      <c r="G291" s="679">
        <f t="shared" si="727"/>
        <v>288.62</v>
      </c>
      <c r="H291" s="641">
        <v>531.43</v>
      </c>
      <c r="I291" s="680">
        <v>87.53</v>
      </c>
      <c r="J291" s="641">
        <v>323.34</v>
      </c>
      <c r="K291" s="680">
        <v>59.11</v>
      </c>
      <c r="L291" s="641">
        <v>443.51</v>
      </c>
      <c r="M291" s="680">
        <v>59.07</v>
      </c>
      <c r="N291" s="641">
        <v>299.55</v>
      </c>
      <c r="O291" s="680">
        <v>66.49</v>
      </c>
      <c r="P291" s="641">
        <v>206.58</v>
      </c>
      <c r="Q291" s="680">
        <v>16.42</v>
      </c>
      <c r="R291" s="681" t="s">
        <v>707</v>
      </c>
      <c r="S291" s="682">
        <f t="shared" si="10"/>
        <v>1804.41</v>
      </c>
      <c r="T291" s="683"/>
      <c r="U291" s="625">
        <f t="shared" si="651"/>
        <v>531.43</v>
      </c>
      <c r="V291" s="625">
        <f t="shared" si="652"/>
        <v>323.34</v>
      </c>
      <c r="W291" s="625">
        <f t="shared" si="653"/>
        <v>443.51</v>
      </c>
      <c r="X291" s="625">
        <f t="shared" si="654"/>
        <v>299.55</v>
      </c>
      <c r="Y291" s="625">
        <f t="shared" si="655"/>
        <v>206.58</v>
      </c>
      <c r="Z291" s="656">
        <f t="shared" si="16"/>
        <v>288.62</v>
      </c>
      <c r="AA291" s="683"/>
      <c r="AB291" s="625">
        <f t="shared" si="656"/>
        <v>87.53</v>
      </c>
      <c r="AC291" s="625">
        <f t="shared" si="657"/>
        <v>59.11</v>
      </c>
      <c r="AD291" s="625">
        <f t="shared" si="658"/>
        <v>59.07</v>
      </c>
      <c r="AE291" s="625">
        <f t="shared" si="659"/>
        <v>66.49</v>
      </c>
      <c r="AF291" s="625">
        <f t="shared" si="660"/>
        <v>16.42</v>
      </c>
      <c r="AG291" s="657">
        <f t="shared" si="22"/>
        <v>0.1599525607</v>
      </c>
      <c r="AH291" s="165"/>
      <c r="AI291" s="165">
        <f t="shared" ref="AI291:AM291" si="728">AB291/U291</f>
        <v>0.1647065465</v>
      </c>
      <c r="AJ291" s="165">
        <f t="shared" si="728"/>
        <v>0.1828106637</v>
      </c>
      <c r="AK291" s="165">
        <f t="shared" si="728"/>
        <v>0.1331875268</v>
      </c>
      <c r="AL291" s="165">
        <f t="shared" si="728"/>
        <v>0.2219662828</v>
      </c>
      <c r="AM291" s="165">
        <f t="shared" si="728"/>
        <v>0.0794849453</v>
      </c>
      <c r="AN291" s="684">
        <f t="shared" si="712"/>
        <v>501.886</v>
      </c>
      <c r="AO291" s="625"/>
      <c r="AP291" s="625">
        <v>64.049</v>
      </c>
      <c r="AQ291" s="625">
        <v>72.782</v>
      </c>
      <c r="AR291" s="625">
        <v>143.075</v>
      </c>
      <c r="AS291" s="625">
        <v>221.98</v>
      </c>
      <c r="AT291" s="641">
        <v>0.0</v>
      </c>
      <c r="AU291" s="684">
        <f t="shared" si="722"/>
        <v>933.1</v>
      </c>
      <c r="AV291" s="625"/>
      <c r="AW291" s="625">
        <v>204.39</v>
      </c>
      <c r="AX291" s="625">
        <v>194.72</v>
      </c>
      <c r="AY291" s="625">
        <v>185.1</v>
      </c>
      <c r="AZ291" s="625">
        <v>181.41</v>
      </c>
      <c r="BA291" s="693">
        <v>167.48</v>
      </c>
      <c r="BB291" s="631"/>
      <c r="BC291" s="189" t="s">
        <v>695</v>
      </c>
      <c r="BD291" s="688" t="s">
        <v>3303</v>
      </c>
      <c r="BE291" s="201"/>
      <c r="BF291" s="201"/>
      <c r="BG291" s="201"/>
      <c r="BH291" s="201"/>
      <c r="BI291" s="201"/>
      <c r="BJ291" s="745"/>
      <c r="BK291" s="631"/>
      <c r="BL291" s="745"/>
      <c r="BM291" s="745"/>
      <c r="BN291" s="201"/>
    </row>
    <row r="292" hidden="1">
      <c r="A292" s="426"/>
      <c r="B292" s="186" t="s">
        <v>3752</v>
      </c>
      <c r="C292" s="676" t="s">
        <v>2113</v>
      </c>
      <c r="D292" s="677">
        <v>537.0</v>
      </c>
      <c r="E292" s="632" t="s">
        <v>3753</v>
      </c>
      <c r="F292" s="678">
        <f t="shared" ref="F292:G292" si="729">H292+J292+L292+N292+P292</f>
        <v>13349.3</v>
      </c>
      <c r="G292" s="679">
        <f t="shared" si="729"/>
        <v>2841.9</v>
      </c>
      <c r="H292" s="641">
        <v>1995.9</v>
      </c>
      <c r="I292" s="680">
        <v>574.7</v>
      </c>
      <c r="J292" s="641">
        <v>3687.3</v>
      </c>
      <c r="K292" s="680">
        <v>745.0</v>
      </c>
      <c r="L292" s="641">
        <v>2864.8</v>
      </c>
      <c r="M292" s="680">
        <v>547.1</v>
      </c>
      <c r="N292" s="641">
        <v>2600.6</v>
      </c>
      <c r="O292" s="680">
        <v>490.9</v>
      </c>
      <c r="P292" s="641">
        <v>2200.7</v>
      </c>
      <c r="Q292" s="680">
        <v>484.2</v>
      </c>
      <c r="R292" s="681" t="s">
        <v>3547</v>
      </c>
      <c r="S292" s="682">
        <f t="shared" si="10"/>
        <v>13349.3</v>
      </c>
      <c r="T292" s="683"/>
      <c r="U292" s="625">
        <f t="shared" si="651"/>
        <v>1995.9</v>
      </c>
      <c r="V292" s="625">
        <f t="shared" si="652"/>
        <v>3687.3</v>
      </c>
      <c r="W292" s="625">
        <f t="shared" si="653"/>
        <v>2864.8</v>
      </c>
      <c r="X292" s="625">
        <f t="shared" si="654"/>
        <v>2600.6</v>
      </c>
      <c r="Y292" s="625">
        <f t="shared" si="655"/>
        <v>2200.7</v>
      </c>
      <c r="Z292" s="656">
        <f t="shared" si="16"/>
        <v>2841.9</v>
      </c>
      <c r="AA292" s="683"/>
      <c r="AB292" s="625">
        <f t="shared" si="656"/>
        <v>574.7</v>
      </c>
      <c r="AC292" s="625">
        <f t="shared" si="657"/>
        <v>745</v>
      </c>
      <c r="AD292" s="625">
        <f t="shared" si="658"/>
        <v>547.1</v>
      </c>
      <c r="AE292" s="625">
        <f t="shared" si="659"/>
        <v>490.9</v>
      </c>
      <c r="AF292" s="625">
        <f t="shared" si="660"/>
        <v>484.2</v>
      </c>
      <c r="AG292" s="657">
        <f t="shared" si="22"/>
        <v>0.2128875671</v>
      </c>
      <c r="AH292" s="165"/>
      <c r="AI292" s="165">
        <f t="shared" ref="AI292:AM292" si="730">AB292/U292</f>
        <v>0.2879402776</v>
      </c>
      <c r="AJ292" s="165">
        <f t="shared" si="730"/>
        <v>0.2020448567</v>
      </c>
      <c r="AK292" s="165">
        <f t="shared" si="730"/>
        <v>0.1909731918</v>
      </c>
      <c r="AL292" s="165">
        <f t="shared" si="730"/>
        <v>0.1887641314</v>
      </c>
      <c r="AM292" s="165">
        <f t="shared" si="730"/>
        <v>0.2200209024</v>
      </c>
      <c r="AN292" s="684">
        <f t="shared" si="712"/>
        <v>4986.4</v>
      </c>
      <c r="AO292" s="641"/>
      <c r="AP292" s="641">
        <v>849.8</v>
      </c>
      <c r="AQ292" s="641">
        <v>1138.5</v>
      </c>
      <c r="AR292" s="641">
        <v>1201.9</v>
      </c>
      <c r="AS292" s="641">
        <v>705.8</v>
      </c>
      <c r="AT292" s="641">
        <v>1090.4</v>
      </c>
      <c r="AU292" s="684">
        <f t="shared" si="722"/>
        <v>5083.3</v>
      </c>
      <c r="AV292" s="625"/>
      <c r="AW292" s="625">
        <v>1107.4</v>
      </c>
      <c r="AX292" s="625">
        <v>1701.9</v>
      </c>
      <c r="AY292" s="625">
        <v>845.8</v>
      </c>
      <c r="AZ292" s="625">
        <v>733.9</v>
      </c>
      <c r="BA292" s="693">
        <v>694.3</v>
      </c>
      <c r="BB292" s="631"/>
      <c r="BC292" s="189" t="s">
        <v>695</v>
      </c>
      <c r="BD292" s="688" t="s">
        <v>3303</v>
      </c>
      <c r="BE292" s="179" t="s">
        <v>3304</v>
      </c>
      <c r="BF292" s="179" t="s">
        <v>3305</v>
      </c>
      <c r="BG292" s="179" t="s">
        <v>3306</v>
      </c>
      <c r="BH292" s="179" t="s">
        <v>3307</v>
      </c>
      <c r="BI292" s="179" t="s">
        <v>3308</v>
      </c>
      <c r="BJ292" s="745"/>
      <c r="BK292" s="631"/>
      <c r="BL292" s="745"/>
      <c r="BM292" s="745"/>
      <c r="BN292" s="201"/>
    </row>
    <row r="293" hidden="1">
      <c r="A293" s="689"/>
      <c r="B293" s="186" t="s">
        <v>3754</v>
      </c>
      <c r="C293" s="676" t="s">
        <v>2113</v>
      </c>
      <c r="D293" s="717">
        <v>539.0</v>
      </c>
      <c r="E293" s="632" t="s">
        <v>3755</v>
      </c>
      <c r="F293" s="678">
        <f t="shared" ref="F293:G293" si="731">H293+J293+L293+N293+P293</f>
        <v>4023.7</v>
      </c>
      <c r="G293" s="679">
        <f t="shared" si="731"/>
        <v>432.29</v>
      </c>
      <c r="H293" s="641">
        <v>1058.3</v>
      </c>
      <c r="I293" s="680">
        <v>174.9</v>
      </c>
      <c r="J293" s="641">
        <v>829.3</v>
      </c>
      <c r="K293" s="680">
        <v>66.3</v>
      </c>
      <c r="L293" s="641">
        <v>859.4</v>
      </c>
      <c r="M293" s="680">
        <v>91.9</v>
      </c>
      <c r="N293" s="641">
        <v>712.4</v>
      </c>
      <c r="O293" s="680">
        <v>83.9</v>
      </c>
      <c r="P293" s="641">
        <v>564.3</v>
      </c>
      <c r="Q293" s="680">
        <v>15.29</v>
      </c>
      <c r="R293" s="681" t="s">
        <v>715</v>
      </c>
      <c r="S293" s="682">
        <f t="shared" si="10"/>
        <v>4023.7</v>
      </c>
      <c r="T293" s="683"/>
      <c r="U293" s="625">
        <f t="shared" si="651"/>
        <v>1058.3</v>
      </c>
      <c r="V293" s="625">
        <f t="shared" si="652"/>
        <v>829.3</v>
      </c>
      <c r="W293" s="625">
        <f t="shared" si="653"/>
        <v>859.4</v>
      </c>
      <c r="X293" s="625">
        <f t="shared" si="654"/>
        <v>712.4</v>
      </c>
      <c r="Y293" s="625">
        <f t="shared" si="655"/>
        <v>564.3</v>
      </c>
      <c r="Z293" s="656">
        <f t="shared" si="16"/>
        <v>432.29</v>
      </c>
      <c r="AA293" s="683"/>
      <c r="AB293" s="625">
        <f t="shared" si="656"/>
        <v>174.9</v>
      </c>
      <c r="AC293" s="625">
        <f t="shared" si="657"/>
        <v>66.3</v>
      </c>
      <c r="AD293" s="625">
        <f t="shared" si="658"/>
        <v>91.9</v>
      </c>
      <c r="AE293" s="625">
        <f t="shared" si="659"/>
        <v>83.9</v>
      </c>
      <c r="AF293" s="625">
        <f t="shared" si="660"/>
        <v>15.29</v>
      </c>
      <c r="AG293" s="657">
        <f t="shared" si="22"/>
        <v>0.107435942</v>
      </c>
      <c r="AH293" s="165"/>
      <c r="AI293" s="165">
        <f t="shared" ref="AI293:AM293" si="732">AB293/U293</f>
        <v>0.1652650477</v>
      </c>
      <c r="AJ293" s="165">
        <f t="shared" si="732"/>
        <v>0.07994694321</v>
      </c>
      <c r="AK293" s="165">
        <f t="shared" si="732"/>
        <v>0.106935071</v>
      </c>
      <c r="AL293" s="165">
        <f t="shared" si="732"/>
        <v>0.1177709152</v>
      </c>
      <c r="AM293" s="165">
        <f t="shared" si="732"/>
        <v>0.02709551657</v>
      </c>
      <c r="AN293" s="684">
        <f t="shared" si="712"/>
        <v>398</v>
      </c>
      <c r="AO293" s="625"/>
      <c r="AP293" s="625">
        <v>150.0</v>
      </c>
      <c r="AQ293" s="625">
        <v>0.0</v>
      </c>
      <c r="AR293" s="625">
        <v>50.0</v>
      </c>
      <c r="AS293" s="625">
        <v>98.0</v>
      </c>
      <c r="AT293" s="625">
        <v>100.0</v>
      </c>
      <c r="AU293" s="684">
        <f t="shared" si="722"/>
        <v>693.4</v>
      </c>
      <c r="AV293" s="625"/>
      <c r="AW293" s="625">
        <v>159.1</v>
      </c>
      <c r="AX293" s="625">
        <v>147.8</v>
      </c>
      <c r="AY293" s="625">
        <v>140.3</v>
      </c>
      <c r="AZ293" s="625">
        <v>129.8</v>
      </c>
      <c r="BA293" s="693">
        <v>116.4</v>
      </c>
      <c r="BB293" s="631"/>
      <c r="BC293" s="189" t="s">
        <v>695</v>
      </c>
      <c r="BD293" s="688" t="s">
        <v>3303</v>
      </c>
      <c r="BE293" s="179" t="s">
        <v>3304</v>
      </c>
      <c r="BF293" s="179" t="s">
        <v>3305</v>
      </c>
      <c r="BG293" s="179" t="s">
        <v>3306</v>
      </c>
      <c r="BH293" s="179" t="s">
        <v>3307</v>
      </c>
      <c r="BI293" s="179" t="s">
        <v>3308</v>
      </c>
      <c r="BJ293" s="745"/>
      <c r="BK293" s="631"/>
      <c r="BL293" s="745"/>
      <c r="BM293" s="745"/>
      <c r="BN293" s="201"/>
    </row>
    <row r="294" hidden="1">
      <c r="A294" s="212"/>
      <c r="B294" s="186" t="s">
        <v>3756</v>
      </c>
      <c r="C294" s="676" t="s">
        <v>1578</v>
      </c>
      <c r="D294" s="677">
        <v>541.0</v>
      </c>
      <c r="E294" s="131" t="s">
        <v>3757</v>
      </c>
      <c r="F294" s="678">
        <f t="shared" ref="F294:G294" si="733">H294+J294+L294+N294+P294</f>
        <v>1366.66</v>
      </c>
      <c r="G294" s="679">
        <f t="shared" si="733"/>
        <v>236.1</v>
      </c>
      <c r="H294" s="641">
        <v>329.49</v>
      </c>
      <c r="I294" s="680">
        <v>66.4</v>
      </c>
      <c r="J294" s="641">
        <v>302.68</v>
      </c>
      <c r="K294" s="680">
        <v>60.33</v>
      </c>
      <c r="L294" s="641">
        <v>356.44</v>
      </c>
      <c r="M294" s="680">
        <v>63.96</v>
      </c>
      <c r="N294" s="641">
        <v>187.52</v>
      </c>
      <c r="O294" s="680">
        <v>36.09</v>
      </c>
      <c r="P294" s="641">
        <v>190.53</v>
      </c>
      <c r="Q294" s="680">
        <v>9.32</v>
      </c>
      <c r="R294" s="681" t="s">
        <v>723</v>
      </c>
      <c r="S294" s="682">
        <f t="shared" si="10"/>
        <v>1366.66</v>
      </c>
      <c r="T294" s="683"/>
      <c r="U294" s="625">
        <f t="shared" si="651"/>
        <v>329.49</v>
      </c>
      <c r="V294" s="625">
        <f t="shared" si="652"/>
        <v>302.68</v>
      </c>
      <c r="W294" s="625">
        <f t="shared" si="653"/>
        <v>356.44</v>
      </c>
      <c r="X294" s="625">
        <f t="shared" si="654"/>
        <v>187.52</v>
      </c>
      <c r="Y294" s="625">
        <f t="shared" si="655"/>
        <v>190.53</v>
      </c>
      <c r="Z294" s="656">
        <f t="shared" si="16"/>
        <v>236.1</v>
      </c>
      <c r="AA294" s="683"/>
      <c r="AB294" s="625">
        <f t="shared" si="656"/>
        <v>66.4</v>
      </c>
      <c r="AC294" s="625">
        <f t="shared" si="657"/>
        <v>60.33</v>
      </c>
      <c r="AD294" s="625">
        <f t="shared" si="658"/>
        <v>63.96</v>
      </c>
      <c r="AE294" s="625">
        <f t="shared" si="659"/>
        <v>36.09</v>
      </c>
      <c r="AF294" s="625">
        <f t="shared" si="660"/>
        <v>9.32</v>
      </c>
      <c r="AG294" s="657">
        <f t="shared" si="22"/>
        <v>0.1727569403</v>
      </c>
      <c r="AH294" s="165"/>
      <c r="AI294" s="165">
        <f t="shared" ref="AI294:AM294" si="734">AB294/U294</f>
        <v>0.2015235667</v>
      </c>
      <c r="AJ294" s="165">
        <f t="shared" si="734"/>
        <v>0.1993194132</v>
      </c>
      <c r="AK294" s="165">
        <f t="shared" si="734"/>
        <v>0.1794411402</v>
      </c>
      <c r="AL294" s="165">
        <f t="shared" si="734"/>
        <v>0.192459471</v>
      </c>
      <c r="AM294" s="165">
        <f t="shared" si="734"/>
        <v>0.04891618118</v>
      </c>
      <c r="AN294" s="684"/>
      <c r="AO294" s="625"/>
      <c r="AP294" s="625"/>
      <c r="AQ294" s="625"/>
      <c r="AR294" s="625"/>
      <c r="AS294" s="625"/>
      <c r="AT294" s="625"/>
      <c r="AU294" s="684"/>
      <c r="AV294" s="625"/>
      <c r="AW294" s="625"/>
      <c r="AX294" s="625"/>
      <c r="AY294" s="625"/>
      <c r="AZ294" s="625"/>
      <c r="BA294" s="693"/>
      <c r="BB294" s="631"/>
      <c r="BC294" s="689" t="s">
        <v>695</v>
      </c>
      <c r="BD294" s="688" t="s">
        <v>3303</v>
      </c>
      <c r="BE294" s="631"/>
      <c r="BF294" s="631"/>
      <c r="BG294" s="631"/>
      <c r="BH294" s="631"/>
      <c r="BI294" s="631"/>
      <c r="BJ294" s="745"/>
      <c r="BK294" s="631"/>
      <c r="BL294" s="745"/>
      <c r="BM294" s="745"/>
      <c r="BN294" s="201"/>
    </row>
    <row r="295" hidden="1">
      <c r="A295" s="689"/>
      <c r="B295" s="186" t="s">
        <v>3758</v>
      </c>
      <c r="C295" s="744" t="s">
        <v>1854</v>
      </c>
      <c r="D295" s="717">
        <v>548.0</v>
      </c>
      <c r="E295" s="632" t="s">
        <v>3759</v>
      </c>
      <c r="F295" s="678">
        <f t="shared" ref="F295:G295" si="735">H295+J295+L295+N295+P295</f>
        <v>2809</v>
      </c>
      <c r="G295" s="679">
        <f t="shared" si="735"/>
        <v>307.4</v>
      </c>
      <c r="H295" s="641">
        <v>585.9</v>
      </c>
      <c r="I295" s="680">
        <v>62.8</v>
      </c>
      <c r="J295" s="641">
        <v>574.1</v>
      </c>
      <c r="K295" s="680">
        <v>71.7</v>
      </c>
      <c r="L295" s="641">
        <v>609.5</v>
      </c>
      <c r="M295" s="680">
        <v>98.3</v>
      </c>
      <c r="N295" s="641">
        <v>558.3</v>
      </c>
      <c r="O295" s="680">
        <v>52.3</v>
      </c>
      <c r="P295" s="641">
        <v>481.2</v>
      </c>
      <c r="Q295" s="680">
        <v>22.3</v>
      </c>
      <c r="R295" s="681" t="s">
        <v>3547</v>
      </c>
      <c r="S295" s="682">
        <f t="shared" si="10"/>
        <v>2809</v>
      </c>
      <c r="T295" s="683"/>
      <c r="U295" s="625">
        <f t="shared" si="651"/>
        <v>585.9</v>
      </c>
      <c r="V295" s="625">
        <f t="shared" si="652"/>
        <v>574.1</v>
      </c>
      <c r="W295" s="625">
        <f t="shared" si="653"/>
        <v>609.5</v>
      </c>
      <c r="X295" s="625">
        <f t="shared" si="654"/>
        <v>558.3</v>
      </c>
      <c r="Y295" s="625">
        <f t="shared" si="655"/>
        <v>481.2</v>
      </c>
      <c r="Z295" s="656">
        <f t="shared" si="16"/>
        <v>307.4</v>
      </c>
      <c r="AA295" s="683"/>
      <c r="AB295" s="625">
        <f t="shared" si="656"/>
        <v>62.8</v>
      </c>
      <c r="AC295" s="625">
        <f t="shared" si="657"/>
        <v>71.7</v>
      </c>
      <c r="AD295" s="625">
        <f t="shared" si="658"/>
        <v>98.3</v>
      </c>
      <c r="AE295" s="625">
        <f t="shared" si="659"/>
        <v>52.3</v>
      </c>
      <c r="AF295" s="625">
        <f t="shared" si="660"/>
        <v>22.3</v>
      </c>
      <c r="AG295" s="657">
        <f t="shared" si="22"/>
        <v>0.1094339623</v>
      </c>
      <c r="AH295" s="165"/>
      <c r="AI295" s="165">
        <f t="shared" ref="AI295:AM295" si="736">AB295/U295</f>
        <v>0.1071855265</v>
      </c>
      <c r="AJ295" s="165">
        <f t="shared" si="736"/>
        <v>0.1248911339</v>
      </c>
      <c r="AK295" s="165">
        <f t="shared" si="736"/>
        <v>0.1612797375</v>
      </c>
      <c r="AL295" s="165">
        <f t="shared" si="736"/>
        <v>0.09367723446</v>
      </c>
      <c r="AM295" s="165">
        <f t="shared" si="736"/>
        <v>0.04634247714</v>
      </c>
      <c r="AN295" s="684">
        <f>SUM(AP295:AT295)</f>
        <v>252</v>
      </c>
      <c r="AO295" s="625"/>
      <c r="AP295" s="625">
        <v>39.0</v>
      </c>
      <c r="AQ295" s="625">
        <v>9.0</v>
      </c>
      <c r="AR295" s="625">
        <v>47.0</v>
      </c>
      <c r="AS295" s="625">
        <v>95.0</v>
      </c>
      <c r="AT295" s="625">
        <v>62.0</v>
      </c>
      <c r="AU295" s="684">
        <f>SUM(AW295:BA295)</f>
        <v>1665.7</v>
      </c>
      <c r="AV295" s="625"/>
      <c r="AW295" s="625">
        <v>396.7</v>
      </c>
      <c r="AX295" s="625">
        <v>363.3</v>
      </c>
      <c r="AY295" s="625">
        <v>330.1</v>
      </c>
      <c r="AZ295" s="625">
        <v>302.2</v>
      </c>
      <c r="BA295" s="693">
        <v>273.4</v>
      </c>
      <c r="BB295" s="631"/>
      <c r="BC295" s="689" t="s">
        <v>695</v>
      </c>
      <c r="BD295" s="186" t="s">
        <v>3303</v>
      </c>
      <c r="BE295" s="179" t="s">
        <v>3304</v>
      </c>
      <c r="BF295" s="179" t="s">
        <v>3305</v>
      </c>
      <c r="BG295" s="179" t="s">
        <v>3306</v>
      </c>
      <c r="BH295" s="179" t="s">
        <v>3307</v>
      </c>
      <c r="BI295" s="179" t="s">
        <v>3308</v>
      </c>
      <c r="BJ295" s="745"/>
      <c r="BK295" s="631"/>
      <c r="BL295" s="745"/>
      <c r="BM295" s="745"/>
      <c r="BN295" s="201"/>
    </row>
    <row r="296" hidden="1">
      <c r="A296" s="623"/>
      <c r="B296" s="186" t="s">
        <v>3760</v>
      </c>
      <c r="C296" s="676" t="s">
        <v>2113</v>
      </c>
      <c r="D296" s="677">
        <v>552.0</v>
      </c>
      <c r="E296" s="131" t="s">
        <v>3761</v>
      </c>
      <c r="F296" s="678">
        <f t="shared" ref="F296:G296" si="737">H296+J296+L296+N296+P296</f>
        <v>1432.92</v>
      </c>
      <c r="G296" s="679">
        <f t="shared" si="737"/>
        <v>328.77</v>
      </c>
      <c r="H296" s="641">
        <v>208.51</v>
      </c>
      <c r="I296" s="680">
        <v>42.0</v>
      </c>
      <c r="J296" s="641">
        <v>506.53</v>
      </c>
      <c r="K296" s="680">
        <v>99.25</v>
      </c>
      <c r="L296" s="641">
        <v>339.91</v>
      </c>
      <c r="M296" s="680">
        <v>95.63</v>
      </c>
      <c r="N296" s="641">
        <v>196.84</v>
      </c>
      <c r="O296" s="680">
        <v>55.82</v>
      </c>
      <c r="P296" s="641">
        <v>181.13</v>
      </c>
      <c r="Q296" s="680">
        <v>36.07</v>
      </c>
      <c r="R296" s="681" t="s">
        <v>716</v>
      </c>
      <c r="S296" s="682">
        <f t="shared" si="10"/>
        <v>1432.92</v>
      </c>
      <c r="T296" s="683"/>
      <c r="U296" s="625">
        <f t="shared" si="651"/>
        <v>208.51</v>
      </c>
      <c r="V296" s="625">
        <f t="shared" si="652"/>
        <v>506.53</v>
      </c>
      <c r="W296" s="625">
        <f t="shared" si="653"/>
        <v>339.91</v>
      </c>
      <c r="X296" s="625">
        <f t="shared" si="654"/>
        <v>196.84</v>
      </c>
      <c r="Y296" s="625">
        <f t="shared" si="655"/>
        <v>181.13</v>
      </c>
      <c r="Z296" s="656">
        <f t="shared" si="16"/>
        <v>328.77</v>
      </c>
      <c r="AA296" s="683"/>
      <c r="AB296" s="625">
        <f t="shared" si="656"/>
        <v>42</v>
      </c>
      <c r="AC296" s="625">
        <f t="shared" si="657"/>
        <v>99.25</v>
      </c>
      <c r="AD296" s="625">
        <f t="shared" si="658"/>
        <v>95.63</v>
      </c>
      <c r="AE296" s="625">
        <f t="shared" si="659"/>
        <v>55.82</v>
      </c>
      <c r="AF296" s="625">
        <f t="shared" si="660"/>
        <v>36.07</v>
      </c>
      <c r="AG296" s="657">
        <f t="shared" si="22"/>
        <v>0.2294405829</v>
      </c>
      <c r="AH296" s="165"/>
      <c r="AI296" s="165">
        <f t="shared" ref="AI296:AM296" si="738">AB296/U296</f>
        <v>0.201429188</v>
      </c>
      <c r="AJ296" s="165">
        <f t="shared" si="738"/>
        <v>0.1959410104</v>
      </c>
      <c r="AK296" s="165">
        <f t="shared" si="738"/>
        <v>0.281339178</v>
      </c>
      <c r="AL296" s="165">
        <f t="shared" si="738"/>
        <v>0.2835805731</v>
      </c>
      <c r="AM296" s="165">
        <f t="shared" si="738"/>
        <v>0.1991387401</v>
      </c>
      <c r="AN296" s="684"/>
      <c r="AO296" s="625"/>
      <c r="AP296" s="625"/>
      <c r="AQ296" s="625"/>
      <c r="AR296" s="625"/>
      <c r="AS296" s="625"/>
      <c r="AT296" s="625"/>
      <c r="AU296" s="684"/>
      <c r="AV296" s="625"/>
      <c r="AW296" s="625"/>
      <c r="AX296" s="625"/>
      <c r="AY296" s="625"/>
      <c r="AZ296" s="625"/>
      <c r="BA296" s="693"/>
      <c r="BB296" s="631"/>
      <c r="BC296" s="689" t="s">
        <v>695</v>
      </c>
      <c r="BD296" s="688" t="s">
        <v>3303</v>
      </c>
      <c r="BE296" s="641"/>
      <c r="BF296" s="641"/>
      <c r="BG296" s="641"/>
      <c r="BH296" s="631"/>
      <c r="BI296" s="631"/>
      <c r="BJ296" s="745"/>
      <c r="BK296" s="631"/>
      <c r="BL296" s="745"/>
      <c r="BM296" s="745"/>
      <c r="BN296" s="201"/>
    </row>
    <row r="297" hidden="1">
      <c r="A297" s="426"/>
      <c r="B297" s="186" t="s">
        <v>3762</v>
      </c>
      <c r="C297" s="676" t="s">
        <v>2493</v>
      </c>
      <c r="D297" s="677">
        <v>555.0</v>
      </c>
      <c r="E297" s="632" t="s">
        <v>3763</v>
      </c>
      <c r="F297" s="678">
        <f t="shared" ref="F297:G297" si="739">H297+J297+L297+N297+P297</f>
        <v>2304</v>
      </c>
      <c r="G297" s="679">
        <f t="shared" si="739"/>
        <v>442</v>
      </c>
      <c r="H297" s="641">
        <v>381.0</v>
      </c>
      <c r="I297" s="680">
        <v>148.0</v>
      </c>
      <c r="J297" s="641">
        <v>491.0</v>
      </c>
      <c r="K297" s="680">
        <v>186.0</v>
      </c>
      <c r="L297" s="641">
        <v>411.0</v>
      </c>
      <c r="M297" s="680">
        <v>63.0</v>
      </c>
      <c r="N297" s="641">
        <v>370.0</v>
      </c>
      <c r="O297" s="680">
        <v>36.0</v>
      </c>
      <c r="P297" s="641">
        <v>651.0</v>
      </c>
      <c r="Q297" s="680">
        <v>9.0</v>
      </c>
      <c r="R297" s="681" t="s">
        <v>702</v>
      </c>
      <c r="S297" s="682">
        <f t="shared" si="10"/>
        <v>2304</v>
      </c>
      <c r="T297" s="683"/>
      <c r="U297" s="625">
        <f t="shared" si="651"/>
        <v>381</v>
      </c>
      <c r="V297" s="625">
        <f t="shared" si="652"/>
        <v>491</v>
      </c>
      <c r="W297" s="625">
        <f t="shared" si="653"/>
        <v>411</v>
      </c>
      <c r="X297" s="625">
        <f t="shared" si="654"/>
        <v>370</v>
      </c>
      <c r="Y297" s="625">
        <f t="shared" si="655"/>
        <v>651</v>
      </c>
      <c r="Z297" s="656">
        <f t="shared" si="16"/>
        <v>442</v>
      </c>
      <c r="AA297" s="683"/>
      <c r="AB297" s="625">
        <f t="shared" si="656"/>
        <v>148</v>
      </c>
      <c r="AC297" s="625">
        <f t="shared" si="657"/>
        <v>186</v>
      </c>
      <c r="AD297" s="625">
        <f t="shared" si="658"/>
        <v>63</v>
      </c>
      <c r="AE297" s="625">
        <f t="shared" si="659"/>
        <v>36</v>
      </c>
      <c r="AF297" s="625">
        <f t="shared" si="660"/>
        <v>9</v>
      </c>
      <c r="AG297" s="657">
        <f t="shared" si="22"/>
        <v>0.1918402778</v>
      </c>
      <c r="AH297" s="165"/>
      <c r="AI297" s="165">
        <f t="shared" ref="AI297:AM297" si="740">AB297/U297</f>
        <v>0.3884514436</v>
      </c>
      <c r="AJ297" s="165">
        <f t="shared" si="740"/>
        <v>0.3788187373</v>
      </c>
      <c r="AK297" s="165">
        <f t="shared" si="740"/>
        <v>0.1532846715</v>
      </c>
      <c r="AL297" s="165">
        <f t="shared" si="740"/>
        <v>0.0972972973</v>
      </c>
      <c r="AM297" s="165">
        <f t="shared" si="740"/>
        <v>0.01382488479</v>
      </c>
      <c r="AN297" s="684">
        <f t="shared" ref="AN297:AN330" si="743">SUM(AP297:AT297)</f>
        <v>5097</v>
      </c>
      <c r="AO297" s="641"/>
      <c r="AP297" s="641">
        <v>850.0</v>
      </c>
      <c r="AQ297" s="625">
        <v>600.0</v>
      </c>
      <c r="AR297" s="625">
        <v>125.0</v>
      </c>
      <c r="AS297" s="625">
        <v>1411.0</v>
      </c>
      <c r="AT297" s="625">
        <v>2111.0</v>
      </c>
      <c r="AU297" s="684">
        <f t="shared" ref="AU297:AU330" si="744">SUM(AW297:BA297)</f>
        <v>2147</v>
      </c>
      <c r="AV297" s="641"/>
      <c r="AW297" s="641">
        <v>432.0</v>
      </c>
      <c r="AX297" s="625">
        <v>446.0</v>
      </c>
      <c r="AY297" s="625">
        <v>427.0</v>
      </c>
      <c r="AZ297" s="625">
        <v>439.0</v>
      </c>
      <c r="BA297" s="693">
        <v>403.0</v>
      </c>
      <c r="BB297" s="631"/>
      <c r="BC297" s="189" t="s">
        <v>695</v>
      </c>
      <c r="BD297" s="688" t="s">
        <v>3303</v>
      </c>
      <c r="BE297" s="179" t="s">
        <v>3304</v>
      </c>
      <c r="BF297" s="179" t="s">
        <v>3305</v>
      </c>
      <c r="BG297" s="179" t="s">
        <v>3306</v>
      </c>
      <c r="BH297" s="179" t="s">
        <v>3307</v>
      </c>
      <c r="BI297" s="179" t="s">
        <v>3308</v>
      </c>
      <c r="BJ297" s="745"/>
      <c r="BK297" s="631"/>
      <c r="BL297" s="745"/>
      <c r="BM297" s="745"/>
      <c r="BN297" s="201"/>
    </row>
    <row r="298" hidden="1">
      <c r="A298" s="689"/>
      <c r="B298" s="186" t="s">
        <v>3764</v>
      </c>
      <c r="C298" s="676" t="s">
        <v>2113</v>
      </c>
      <c r="D298" s="677">
        <v>556.0</v>
      </c>
      <c r="E298" s="632" t="s">
        <v>3765</v>
      </c>
      <c r="F298" s="678">
        <f t="shared" ref="F298:G298" si="741">H298+J298+L298+N298+P298</f>
        <v>6213.42</v>
      </c>
      <c r="G298" s="679">
        <f t="shared" si="741"/>
        <v>1200.41</v>
      </c>
      <c r="H298" s="641">
        <v>1280.46</v>
      </c>
      <c r="I298" s="680">
        <v>247.0</v>
      </c>
      <c r="J298" s="641">
        <v>1386.81</v>
      </c>
      <c r="K298" s="680">
        <v>273.12</v>
      </c>
      <c r="L298" s="641">
        <v>1330.7</v>
      </c>
      <c r="M298" s="680">
        <v>259.07</v>
      </c>
      <c r="N298" s="641">
        <v>1156.9</v>
      </c>
      <c r="O298" s="680">
        <v>212.07</v>
      </c>
      <c r="P298" s="641">
        <v>1058.55</v>
      </c>
      <c r="Q298" s="680">
        <v>209.15</v>
      </c>
      <c r="R298" s="681" t="s">
        <v>702</v>
      </c>
      <c r="S298" s="682">
        <f t="shared" si="10"/>
        <v>6213.42</v>
      </c>
      <c r="T298" s="683"/>
      <c r="U298" s="625">
        <f t="shared" si="651"/>
        <v>1280.46</v>
      </c>
      <c r="V298" s="625">
        <f t="shared" si="652"/>
        <v>1386.81</v>
      </c>
      <c r="W298" s="625">
        <f t="shared" si="653"/>
        <v>1330.7</v>
      </c>
      <c r="X298" s="625">
        <f t="shared" si="654"/>
        <v>1156.9</v>
      </c>
      <c r="Y298" s="625">
        <f t="shared" si="655"/>
        <v>1058.55</v>
      </c>
      <c r="Z298" s="656">
        <f t="shared" si="16"/>
        <v>1200.41</v>
      </c>
      <c r="AA298" s="683"/>
      <c r="AB298" s="625">
        <f t="shared" si="656"/>
        <v>247</v>
      </c>
      <c r="AC298" s="625">
        <f t="shared" si="657"/>
        <v>273.12</v>
      </c>
      <c r="AD298" s="625">
        <f t="shared" si="658"/>
        <v>259.07</v>
      </c>
      <c r="AE298" s="625">
        <f t="shared" si="659"/>
        <v>212.07</v>
      </c>
      <c r="AF298" s="625">
        <f t="shared" si="660"/>
        <v>209.15</v>
      </c>
      <c r="AG298" s="657">
        <f t="shared" si="22"/>
        <v>0.1931963395</v>
      </c>
      <c r="AH298" s="165"/>
      <c r="AI298" s="165">
        <f t="shared" ref="AI298:AM298" si="742">AB298/U298</f>
        <v>0.1928994268</v>
      </c>
      <c r="AJ298" s="165">
        <f t="shared" si="742"/>
        <v>0.1969411816</v>
      </c>
      <c r="AK298" s="165">
        <f t="shared" si="742"/>
        <v>0.1946870068</v>
      </c>
      <c r="AL298" s="165">
        <f t="shared" si="742"/>
        <v>0.1833088426</v>
      </c>
      <c r="AM298" s="165">
        <f t="shared" si="742"/>
        <v>0.1975815975</v>
      </c>
      <c r="AN298" s="684">
        <f t="shared" si="743"/>
        <v>3430</v>
      </c>
      <c r="AO298" s="625"/>
      <c r="AP298" s="625">
        <v>771.0</v>
      </c>
      <c r="AQ298" s="625">
        <v>14.0</v>
      </c>
      <c r="AR298" s="625">
        <v>596.0</v>
      </c>
      <c r="AS298" s="625">
        <v>707.0</v>
      </c>
      <c r="AT298" s="625">
        <v>1342.0</v>
      </c>
      <c r="AU298" s="684">
        <f t="shared" si="744"/>
        <v>0</v>
      </c>
      <c r="AV298" s="180"/>
      <c r="AW298" s="180">
        <v>0.0</v>
      </c>
      <c r="AX298" s="180">
        <v>0.0</v>
      </c>
      <c r="AY298" s="180">
        <v>0.0</v>
      </c>
      <c r="AZ298" s="180">
        <v>0.0</v>
      </c>
      <c r="BA298" s="686">
        <v>0.0</v>
      </c>
      <c r="BB298" s="631"/>
      <c r="BC298" s="689" t="s">
        <v>695</v>
      </c>
      <c r="BD298" s="688" t="s">
        <v>3303</v>
      </c>
      <c r="BE298" s="179" t="s">
        <v>3304</v>
      </c>
      <c r="BF298" s="179" t="s">
        <v>3305</v>
      </c>
      <c r="BG298" s="179" t="s">
        <v>3306</v>
      </c>
      <c r="BH298" s="179" t="s">
        <v>3307</v>
      </c>
      <c r="BI298" s="179" t="s">
        <v>3308</v>
      </c>
      <c r="BJ298" s="745"/>
      <c r="BK298" s="631"/>
      <c r="BL298" s="745"/>
      <c r="BM298" s="745"/>
      <c r="BN298" s="201"/>
    </row>
    <row r="299" hidden="1">
      <c r="A299" s="689"/>
      <c r="B299" s="186" t="s">
        <v>3766</v>
      </c>
      <c r="C299" s="676" t="s">
        <v>2113</v>
      </c>
      <c r="D299" s="677">
        <v>558.0</v>
      </c>
      <c r="E299" s="632" t="s">
        <v>3767</v>
      </c>
      <c r="F299" s="678">
        <f t="shared" ref="F299:G299" si="745">H299+J299+L299+N299+P299</f>
        <v>5481.88</v>
      </c>
      <c r="G299" s="679">
        <f t="shared" si="745"/>
        <v>1054.45</v>
      </c>
      <c r="H299" s="641">
        <v>1757.74</v>
      </c>
      <c r="I299" s="680">
        <v>318.57</v>
      </c>
      <c r="J299" s="641">
        <v>1317.62</v>
      </c>
      <c r="K299" s="680">
        <v>253.08</v>
      </c>
      <c r="L299" s="641">
        <v>848.14</v>
      </c>
      <c r="M299" s="680">
        <v>216.47</v>
      </c>
      <c r="N299" s="641">
        <v>781.51</v>
      </c>
      <c r="O299" s="680">
        <v>152.84</v>
      </c>
      <c r="P299" s="641">
        <v>776.87</v>
      </c>
      <c r="Q299" s="680">
        <v>113.49</v>
      </c>
      <c r="R299" s="681" t="s">
        <v>715</v>
      </c>
      <c r="S299" s="682">
        <f t="shared" si="10"/>
        <v>5481.88</v>
      </c>
      <c r="T299" s="683"/>
      <c r="U299" s="625">
        <f t="shared" si="651"/>
        <v>1757.74</v>
      </c>
      <c r="V299" s="625">
        <f t="shared" si="652"/>
        <v>1317.62</v>
      </c>
      <c r="W299" s="625">
        <f t="shared" si="653"/>
        <v>848.14</v>
      </c>
      <c r="X299" s="625">
        <f t="shared" si="654"/>
        <v>781.51</v>
      </c>
      <c r="Y299" s="625">
        <f t="shared" si="655"/>
        <v>776.87</v>
      </c>
      <c r="Z299" s="656">
        <f t="shared" si="16"/>
        <v>1054.45</v>
      </c>
      <c r="AA299" s="683"/>
      <c r="AB299" s="625">
        <f t="shared" si="656"/>
        <v>318.57</v>
      </c>
      <c r="AC299" s="625">
        <f t="shared" si="657"/>
        <v>253.08</v>
      </c>
      <c r="AD299" s="625">
        <f t="shared" si="658"/>
        <v>216.47</v>
      </c>
      <c r="AE299" s="625">
        <f t="shared" si="659"/>
        <v>152.84</v>
      </c>
      <c r="AF299" s="625">
        <f t="shared" si="660"/>
        <v>113.49</v>
      </c>
      <c r="AG299" s="657">
        <f t="shared" si="22"/>
        <v>0.1923518939</v>
      </c>
      <c r="AH299" s="165"/>
      <c r="AI299" s="165">
        <f t="shared" ref="AI299:AM299" si="746">AB299/U299</f>
        <v>0.1812384084</v>
      </c>
      <c r="AJ299" s="165">
        <f t="shared" si="746"/>
        <v>0.1920735872</v>
      </c>
      <c r="AK299" s="165">
        <f t="shared" si="746"/>
        <v>0.2552290895</v>
      </c>
      <c r="AL299" s="165">
        <f t="shared" si="746"/>
        <v>0.1955701143</v>
      </c>
      <c r="AM299" s="165">
        <f t="shared" si="746"/>
        <v>0.1460862178</v>
      </c>
      <c r="AN299" s="684">
        <f t="shared" si="743"/>
        <v>2581</v>
      </c>
      <c r="AO299" s="625"/>
      <c r="AP299" s="625">
        <v>1277.0</v>
      </c>
      <c r="AQ299" s="625">
        <v>536.0</v>
      </c>
      <c r="AR299" s="625">
        <v>364.0</v>
      </c>
      <c r="AS299" s="625">
        <v>241.0</v>
      </c>
      <c r="AT299" s="625">
        <v>163.0</v>
      </c>
      <c r="AU299" s="684">
        <f t="shared" si="744"/>
        <v>394.99</v>
      </c>
      <c r="AV299" s="625"/>
      <c r="AW299" s="625">
        <v>134.48</v>
      </c>
      <c r="AX299" s="625">
        <v>92.37</v>
      </c>
      <c r="AY299" s="625">
        <v>71.02</v>
      </c>
      <c r="AZ299" s="625">
        <v>54.55</v>
      </c>
      <c r="BA299" s="693">
        <v>42.57</v>
      </c>
      <c r="BB299" s="631"/>
      <c r="BC299" s="689" t="s">
        <v>695</v>
      </c>
      <c r="BD299" s="688" t="s">
        <v>3303</v>
      </c>
      <c r="BE299" s="179" t="s">
        <v>3304</v>
      </c>
      <c r="BF299" s="179" t="s">
        <v>3305</v>
      </c>
      <c r="BG299" s="179" t="s">
        <v>3306</v>
      </c>
      <c r="BH299" s="179" t="s">
        <v>3307</v>
      </c>
      <c r="BI299" s="179" t="s">
        <v>3308</v>
      </c>
      <c r="BJ299" s="745"/>
      <c r="BK299" s="631"/>
      <c r="BL299" s="745"/>
      <c r="BM299" s="745"/>
      <c r="BN299" s="201"/>
    </row>
    <row r="300" hidden="1">
      <c r="A300" s="689"/>
      <c r="B300" s="186" t="s">
        <v>3768</v>
      </c>
      <c r="C300" s="676" t="s">
        <v>2113</v>
      </c>
      <c r="D300" s="677">
        <v>559.0</v>
      </c>
      <c r="E300" s="632" t="s">
        <v>3769</v>
      </c>
      <c r="F300" s="678">
        <f t="shared" ref="F300:G300" si="747">H300+J300+L300+N300+P300</f>
        <v>4482</v>
      </c>
      <c r="G300" s="679">
        <f t="shared" si="747"/>
        <v>651</v>
      </c>
      <c r="H300" s="641">
        <v>1149.0</v>
      </c>
      <c r="I300" s="680">
        <v>170.0</v>
      </c>
      <c r="J300" s="641">
        <v>1254.0</v>
      </c>
      <c r="K300" s="680">
        <v>144.0</v>
      </c>
      <c r="L300" s="641">
        <v>848.0</v>
      </c>
      <c r="M300" s="680">
        <v>114.0</v>
      </c>
      <c r="N300" s="641">
        <v>651.0</v>
      </c>
      <c r="O300" s="680">
        <v>120.0</v>
      </c>
      <c r="P300" s="641">
        <v>580.0</v>
      </c>
      <c r="Q300" s="680">
        <v>103.0</v>
      </c>
      <c r="R300" s="681" t="s">
        <v>696</v>
      </c>
      <c r="S300" s="682">
        <f t="shared" si="10"/>
        <v>4482</v>
      </c>
      <c r="T300" s="683"/>
      <c r="U300" s="625">
        <f t="shared" si="651"/>
        <v>1149</v>
      </c>
      <c r="V300" s="625">
        <f t="shared" si="652"/>
        <v>1254</v>
      </c>
      <c r="W300" s="625">
        <f t="shared" si="653"/>
        <v>848</v>
      </c>
      <c r="X300" s="625">
        <f t="shared" si="654"/>
        <v>651</v>
      </c>
      <c r="Y300" s="625">
        <f t="shared" si="655"/>
        <v>580</v>
      </c>
      <c r="Z300" s="656">
        <f t="shared" si="16"/>
        <v>651</v>
      </c>
      <c r="AA300" s="683"/>
      <c r="AB300" s="625">
        <f t="shared" si="656"/>
        <v>170</v>
      </c>
      <c r="AC300" s="625">
        <f t="shared" si="657"/>
        <v>144</v>
      </c>
      <c r="AD300" s="625">
        <f t="shared" si="658"/>
        <v>114</v>
      </c>
      <c r="AE300" s="625">
        <f t="shared" si="659"/>
        <v>120</v>
      </c>
      <c r="AF300" s="625">
        <f t="shared" si="660"/>
        <v>103</v>
      </c>
      <c r="AG300" s="657">
        <f t="shared" si="22"/>
        <v>0.1452476573</v>
      </c>
      <c r="AH300" s="165"/>
      <c r="AI300" s="165">
        <f t="shared" ref="AI300:AM300" si="748">AB300/U300</f>
        <v>0.1479547433</v>
      </c>
      <c r="AJ300" s="165">
        <f t="shared" si="748"/>
        <v>0.1148325359</v>
      </c>
      <c r="AK300" s="165">
        <f t="shared" si="748"/>
        <v>0.1344339623</v>
      </c>
      <c r="AL300" s="165">
        <f t="shared" si="748"/>
        <v>0.1843317972</v>
      </c>
      <c r="AM300" s="165">
        <f t="shared" si="748"/>
        <v>0.1775862069</v>
      </c>
      <c r="AN300" s="684">
        <f t="shared" si="743"/>
        <v>1592</v>
      </c>
      <c r="AO300" s="625"/>
      <c r="AP300" s="625">
        <v>308.0</v>
      </c>
      <c r="AQ300" s="625">
        <v>468.0</v>
      </c>
      <c r="AR300" s="625">
        <v>222.0</v>
      </c>
      <c r="AS300" s="625">
        <v>200.0</v>
      </c>
      <c r="AT300" s="625">
        <v>394.0</v>
      </c>
      <c r="AU300" s="684">
        <f t="shared" si="744"/>
        <v>1638</v>
      </c>
      <c r="AV300" s="625"/>
      <c r="AW300" s="625">
        <v>383.0</v>
      </c>
      <c r="AX300" s="625">
        <v>350.0</v>
      </c>
      <c r="AY300" s="625">
        <v>320.0</v>
      </c>
      <c r="AZ300" s="625">
        <v>305.0</v>
      </c>
      <c r="BA300" s="693">
        <v>280.0</v>
      </c>
      <c r="BB300" s="631"/>
      <c r="BC300" s="189" t="s">
        <v>695</v>
      </c>
      <c r="BD300" s="688" t="s">
        <v>3303</v>
      </c>
      <c r="BE300" s="179" t="s">
        <v>3304</v>
      </c>
      <c r="BF300" s="179" t="s">
        <v>3305</v>
      </c>
      <c r="BG300" s="179" t="s">
        <v>3306</v>
      </c>
      <c r="BH300" s="179" t="s">
        <v>3307</v>
      </c>
      <c r="BI300" s="179" t="s">
        <v>3308</v>
      </c>
      <c r="BJ300" s="745"/>
      <c r="BK300" s="631"/>
      <c r="BL300" s="745"/>
      <c r="BM300" s="745"/>
      <c r="BN300" s="201"/>
    </row>
    <row r="301" hidden="1">
      <c r="A301" s="689"/>
      <c r="B301" s="186" t="s">
        <v>3770</v>
      </c>
      <c r="C301" s="676" t="s">
        <v>2113</v>
      </c>
      <c r="D301" s="677">
        <v>560.0</v>
      </c>
      <c r="E301" s="632" t="s">
        <v>3771</v>
      </c>
      <c r="F301" s="678">
        <f t="shared" ref="F301:G301" si="749">H301+J301+L301+N301+P301</f>
        <v>4953</v>
      </c>
      <c r="G301" s="679">
        <f t="shared" si="749"/>
        <v>471.4</v>
      </c>
      <c r="H301" s="641">
        <v>907.5</v>
      </c>
      <c r="I301" s="680">
        <v>275.0</v>
      </c>
      <c r="J301" s="641">
        <v>1281.4</v>
      </c>
      <c r="K301" s="680">
        <v>118.7</v>
      </c>
      <c r="L301" s="641">
        <v>905.3</v>
      </c>
      <c r="M301" s="680">
        <v>4.9</v>
      </c>
      <c r="N301" s="641">
        <v>1027.2</v>
      </c>
      <c r="O301" s="680">
        <v>27.0</v>
      </c>
      <c r="P301" s="641">
        <v>831.6</v>
      </c>
      <c r="Q301" s="680">
        <v>45.8</v>
      </c>
      <c r="R301" s="681" t="s">
        <v>702</v>
      </c>
      <c r="S301" s="682">
        <f t="shared" si="10"/>
        <v>4953</v>
      </c>
      <c r="T301" s="683"/>
      <c r="U301" s="625">
        <f t="shared" si="651"/>
        <v>907.5</v>
      </c>
      <c r="V301" s="625">
        <f t="shared" si="652"/>
        <v>1281.4</v>
      </c>
      <c r="W301" s="625">
        <f t="shared" si="653"/>
        <v>905.3</v>
      </c>
      <c r="X301" s="625">
        <f t="shared" si="654"/>
        <v>1027.2</v>
      </c>
      <c r="Y301" s="625">
        <f t="shared" si="655"/>
        <v>831.6</v>
      </c>
      <c r="Z301" s="656">
        <f t="shared" si="16"/>
        <v>471.4</v>
      </c>
      <c r="AA301" s="683"/>
      <c r="AB301" s="625">
        <f t="shared" si="656"/>
        <v>275</v>
      </c>
      <c r="AC301" s="625">
        <f t="shared" si="657"/>
        <v>118.7</v>
      </c>
      <c r="AD301" s="625">
        <f t="shared" si="658"/>
        <v>4.9</v>
      </c>
      <c r="AE301" s="625">
        <f t="shared" si="659"/>
        <v>27</v>
      </c>
      <c r="AF301" s="625">
        <f t="shared" si="660"/>
        <v>45.8</v>
      </c>
      <c r="AG301" s="657">
        <f t="shared" si="22"/>
        <v>0.09517464163</v>
      </c>
      <c r="AH301" s="165"/>
      <c r="AI301" s="165">
        <f t="shared" ref="AI301:AM301" si="750">AB301/U301</f>
        <v>0.303030303</v>
      </c>
      <c r="AJ301" s="165">
        <f t="shared" si="750"/>
        <v>0.09263305759</v>
      </c>
      <c r="AK301" s="165">
        <f t="shared" si="750"/>
        <v>0.005412570419</v>
      </c>
      <c r="AL301" s="165">
        <f t="shared" si="750"/>
        <v>0.02628504673</v>
      </c>
      <c r="AM301" s="165">
        <f t="shared" si="750"/>
        <v>0.05507455507</v>
      </c>
      <c r="AN301" s="684">
        <f t="shared" si="743"/>
        <v>3011</v>
      </c>
      <c r="AO301" s="625"/>
      <c r="AP301" s="625">
        <v>2607.0</v>
      </c>
      <c r="AQ301" s="625">
        <v>0.0</v>
      </c>
      <c r="AR301" s="625">
        <v>134.0</v>
      </c>
      <c r="AS301" s="625">
        <v>270.0</v>
      </c>
      <c r="AT301" s="625">
        <v>0.0</v>
      </c>
      <c r="AU301" s="684">
        <f t="shared" si="744"/>
        <v>0</v>
      </c>
      <c r="AV301" s="180"/>
      <c r="AW301" s="180">
        <v>0.0</v>
      </c>
      <c r="AX301" s="180">
        <v>0.0</v>
      </c>
      <c r="AY301" s="180">
        <v>0.0</v>
      </c>
      <c r="AZ301" s="180">
        <v>0.0</v>
      </c>
      <c r="BA301" s="686">
        <v>0.0</v>
      </c>
      <c r="BB301" s="631"/>
      <c r="BC301" s="689" t="s">
        <v>695</v>
      </c>
      <c r="BD301" s="688" t="s">
        <v>3303</v>
      </c>
      <c r="BE301" s="179" t="s">
        <v>3304</v>
      </c>
      <c r="BF301" s="179" t="s">
        <v>3305</v>
      </c>
      <c r="BG301" s="179" t="s">
        <v>3306</v>
      </c>
      <c r="BH301" s="179" t="s">
        <v>3307</v>
      </c>
      <c r="BI301" s="179" t="s">
        <v>3308</v>
      </c>
      <c r="BJ301" s="745"/>
      <c r="BK301" s="631"/>
      <c r="BL301" s="745"/>
      <c r="BM301" s="745"/>
      <c r="BN301" s="201"/>
    </row>
    <row r="302" hidden="1">
      <c r="A302" s="689"/>
      <c r="B302" s="186" t="s">
        <v>3772</v>
      </c>
      <c r="C302" s="676" t="s">
        <v>1919</v>
      </c>
      <c r="D302" s="677">
        <v>564.0</v>
      </c>
      <c r="E302" s="632" t="s">
        <v>3773</v>
      </c>
      <c r="F302" s="678">
        <f t="shared" ref="F302:G302" si="751">H302+J302+L302+N302+P302</f>
        <v>1926.46</v>
      </c>
      <c r="G302" s="679">
        <f t="shared" si="751"/>
        <v>240.81</v>
      </c>
      <c r="H302" s="641">
        <v>398.15</v>
      </c>
      <c r="I302" s="680">
        <v>184.04</v>
      </c>
      <c r="J302" s="641">
        <v>420.57</v>
      </c>
      <c r="K302" s="680">
        <v>66.96</v>
      </c>
      <c r="L302" s="641">
        <v>451.75</v>
      </c>
      <c r="M302" s="680">
        <v>-94.14</v>
      </c>
      <c r="N302" s="641">
        <v>364.67</v>
      </c>
      <c r="O302" s="680">
        <v>42.27</v>
      </c>
      <c r="P302" s="641">
        <v>291.32</v>
      </c>
      <c r="Q302" s="680">
        <v>41.68</v>
      </c>
      <c r="R302" s="681" t="s">
        <v>718</v>
      </c>
      <c r="S302" s="682">
        <f t="shared" si="10"/>
        <v>1926.46</v>
      </c>
      <c r="T302" s="683"/>
      <c r="U302" s="625">
        <f t="shared" si="651"/>
        <v>398.15</v>
      </c>
      <c r="V302" s="625">
        <f t="shared" si="652"/>
        <v>420.57</v>
      </c>
      <c r="W302" s="625">
        <f t="shared" si="653"/>
        <v>451.75</v>
      </c>
      <c r="X302" s="625">
        <f t="shared" si="654"/>
        <v>364.67</v>
      </c>
      <c r="Y302" s="625">
        <f t="shared" si="655"/>
        <v>291.32</v>
      </c>
      <c r="Z302" s="656">
        <f t="shared" si="16"/>
        <v>240.81</v>
      </c>
      <c r="AA302" s="683"/>
      <c r="AB302" s="625">
        <f t="shared" si="656"/>
        <v>184.04</v>
      </c>
      <c r="AC302" s="625">
        <f t="shared" si="657"/>
        <v>66.96</v>
      </c>
      <c r="AD302" s="625">
        <f t="shared" si="658"/>
        <v>-94.14</v>
      </c>
      <c r="AE302" s="625">
        <f t="shared" si="659"/>
        <v>42.27</v>
      </c>
      <c r="AF302" s="625">
        <f t="shared" si="660"/>
        <v>41.68</v>
      </c>
      <c r="AG302" s="657">
        <f t="shared" si="22"/>
        <v>0.1250012977</v>
      </c>
      <c r="AH302" s="165"/>
      <c r="AI302" s="165">
        <f t="shared" ref="AI302:AM302" si="752">AB302/U302</f>
        <v>0.4622378501</v>
      </c>
      <c r="AJ302" s="165">
        <f t="shared" si="752"/>
        <v>0.1592124973</v>
      </c>
      <c r="AK302" s="165">
        <f t="shared" si="752"/>
        <v>-0.208389596</v>
      </c>
      <c r="AL302" s="165">
        <f t="shared" si="752"/>
        <v>0.1159130172</v>
      </c>
      <c r="AM302" s="165">
        <f t="shared" si="752"/>
        <v>0.1430729095</v>
      </c>
      <c r="AN302" s="684">
        <f t="shared" si="743"/>
        <v>805.801</v>
      </c>
      <c r="AO302" s="625"/>
      <c r="AP302" s="625">
        <v>273.235</v>
      </c>
      <c r="AQ302" s="625">
        <v>9.785</v>
      </c>
      <c r="AR302" s="625">
        <v>509.137</v>
      </c>
      <c r="AS302" s="625">
        <v>7.806</v>
      </c>
      <c r="AT302" s="625">
        <v>5.838</v>
      </c>
      <c r="AU302" s="684">
        <f t="shared" si="744"/>
        <v>0</v>
      </c>
      <c r="AV302" s="180"/>
      <c r="AW302" s="180">
        <v>0.0</v>
      </c>
      <c r="AX302" s="180">
        <v>0.0</v>
      </c>
      <c r="AY302" s="180">
        <v>0.0</v>
      </c>
      <c r="AZ302" s="180">
        <v>0.0</v>
      </c>
      <c r="BA302" s="686">
        <v>0.0</v>
      </c>
      <c r="BB302" s="631"/>
      <c r="BC302" s="689" t="s">
        <v>695</v>
      </c>
      <c r="BD302" s="688" t="s">
        <v>3303</v>
      </c>
      <c r="BE302" s="144"/>
      <c r="BF302" s="144"/>
      <c r="BG302" s="144"/>
      <c r="BH302" s="144"/>
      <c r="BI302" s="144"/>
      <c r="BJ302" s="745"/>
      <c r="BK302" s="631"/>
      <c r="BL302" s="745"/>
      <c r="BM302" s="745"/>
      <c r="BN302" s="201"/>
    </row>
    <row r="303" hidden="1">
      <c r="A303" s="689"/>
      <c r="B303" s="186" t="s">
        <v>3774</v>
      </c>
      <c r="C303" s="697" t="s">
        <v>2113</v>
      </c>
      <c r="D303" s="717">
        <v>566.0</v>
      </c>
      <c r="E303" s="632" t="s">
        <v>3775</v>
      </c>
      <c r="F303" s="678">
        <f t="shared" ref="F303:G303" si="753">H303+J303+L303+N303+P303</f>
        <v>2529.14</v>
      </c>
      <c r="G303" s="679">
        <f t="shared" si="753"/>
        <v>430.38</v>
      </c>
      <c r="H303" s="641">
        <v>862.0</v>
      </c>
      <c r="I303" s="680">
        <v>164.14</v>
      </c>
      <c r="J303" s="641">
        <v>708.17</v>
      </c>
      <c r="K303" s="680">
        <v>124.38</v>
      </c>
      <c r="L303" s="641">
        <v>408.18</v>
      </c>
      <c r="M303" s="680">
        <v>67.09</v>
      </c>
      <c r="N303" s="641">
        <v>287.09</v>
      </c>
      <c r="O303" s="680">
        <v>35.27</v>
      </c>
      <c r="P303" s="641">
        <v>263.7</v>
      </c>
      <c r="Q303" s="680">
        <v>39.5</v>
      </c>
      <c r="R303" s="681" t="s">
        <v>712</v>
      </c>
      <c r="S303" s="682">
        <f t="shared" si="10"/>
        <v>2529.14</v>
      </c>
      <c r="T303" s="683"/>
      <c r="U303" s="625">
        <f t="shared" si="651"/>
        <v>862</v>
      </c>
      <c r="V303" s="625">
        <f t="shared" si="652"/>
        <v>708.17</v>
      </c>
      <c r="W303" s="625">
        <f t="shared" si="653"/>
        <v>408.18</v>
      </c>
      <c r="X303" s="625">
        <f t="shared" si="654"/>
        <v>287.09</v>
      </c>
      <c r="Y303" s="625">
        <f t="shared" si="655"/>
        <v>263.7</v>
      </c>
      <c r="Z303" s="656">
        <f t="shared" si="16"/>
        <v>430.38</v>
      </c>
      <c r="AA303" s="683"/>
      <c r="AB303" s="625">
        <f t="shared" si="656"/>
        <v>164.14</v>
      </c>
      <c r="AC303" s="625">
        <f t="shared" si="657"/>
        <v>124.38</v>
      </c>
      <c r="AD303" s="625">
        <f t="shared" si="658"/>
        <v>67.09</v>
      </c>
      <c r="AE303" s="625">
        <f t="shared" si="659"/>
        <v>35.27</v>
      </c>
      <c r="AF303" s="625">
        <f t="shared" si="660"/>
        <v>39.5</v>
      </c>
      <c r="AG303" s="657">
        <f t="shared" si="22"/>
        <v>0.1701685158</v>
      </c>
      <c r="AH303" s="165"/>
      <c r="AI303" s="165">
        <f t="shared" ref="AI303:AM303" si="754">AB303/U303</f>
        <v>0.1904176334</v>
      </c>
      <c r="AJ303" s="165">
        <f t="shared" si="754"/>
        <v>0.1756357937</v>
      </c>
      <c r="AK303" s="165">
        <f t="shared" si="754"/>
        <v>0.1643637611</v>
      </c>
      <c r="AL303" s="165">
        <f t="shared" si="754"/>
        <v>0.1228534606</v>
      </c>
      <c r="AM303" s="165">
        <f t="shared" si="754"/>
        <v>0.1497914297</v>
      </c>
      <c r="AN303" s="684">
        <f t="shared" si="743"/>
        <v>896.124</v>
      </c>
      <c r="AO303" s="625"/>
      <c r="AP303" s="625">
        <v>471.229</v>
      </c>
      <c r="AQ303" s="625">
        <v>138.039</v>
      </c>
      <c r="AR303" s="625">
        <v>76.199</v>
      </c>
      <c r="AS303" s="625">
        <v>23.188</v>
      </c>
      <c r="AT303" s="625">
        <v>187.469</v>
      </c>
      <c r="AU303" s="684">
        <f t="shared" si="744"/>
        <v>515.33</v>
      </c>
      <c r="AV303" s="625"/>
      <c r="AW303" s="625">
        <v>150.62</v>
      </c>
      <c r="AX303" s="625">
        <v>119.58</v>
      </c>
      <c r="AY303" s="625">
        <v>91.93</v>
      </c>
      <c r="AZ303" s="625">
        <v>83.77</v>
      </c>
      <c r="BA303" s="693">
        <v>69.43</v>
      </c>
      <c r="BB303" s="631"/>
      <c r="BC303" s="689" t="s">
        <v>695</v>
      </c>
      <c r="BD303" s="688" t="s">
        <v>3303</v>
      </c>
      <c r="BE303" s="179" t="s">
        <v>3304</v>
      </c>
      <c r="BF303" s="179" t="s">
        <v>3305</v>
      </c>
      <c r="BG303" s="179" t="s">
        <v>3306</v>
      </c>
      <c r="BH303" s="179" t="s">
        <v>3307</v>
      </c>
      <c r="BI303" s="179" t="s">
        <v>3308</v>
      </c>
      <c r="BJ303" s="745"/>
      <c r="BK303" s="631"/>
      <c r="BL303" s="745"/>
      <c r="BM303" s="745"/>
      <c r="BN303" s="201"/>
    </row>
    <row r="304" hidden="1">
      <c r="A304" s="689"/>
      <c r="B304" s="186" t="s">
        <v>3776</v>
      </c>
      <c r="C304" s="676" t="s">
        <v>2113</v>
      </c>
      <c r="D304" s="677">
        <v>570.0</v>
      </c>
      <c r="E304" s="632" t="s">
        <v>3777</v>
      </c>
      <c r="F304" s="678">
        <f t="shared" ref="F304:G304" si="755">H304+J304+L304+N304+P304</f>
        <v>3867.44</v>
      </c>
      <c r="G304" s="679">
        <f t="shared" si="755"/>
        <v>713.4</v>
      </c>
      <c r="H304" s="641">
        <v>859.29</v>
      </c>
      <c r="I304" s="680">
        <v>183.62</v>
      </c>
      <c r="J304" s="641">
        <v>941.92</v>
      </c>
      <c r="K304" s="680">
        <v>99.71</v>
      </c>
      <c r="L304" s="641">
        <v>790.91</v>
      </c>
      <c r="M304" s="680">
        <v>126.43</v>
      </c>
      <c r="N304" s="641">
        <v>747.34</v>
      </c>
      <c r="O304" s="680">
        <v>88.53</v>
      </c>
      <c r="P304" s="641">
        <v>527.98</v>
      </c>
      <c r="Q304" s="680">
        <v>215.11</v>
      </c>
      <c r="R304" s="681" t="s">
        <v>716</v>
      </c>
      <c r="S304" s="682">
        <f t="shared" si="10"/>
        <v>3867.44</v>
      </c>
      <c r="T304" s="683"/>
      <c r="U304" s="625">
        <f t="shared" si="651"/>
        <v>859.29</v>
      </c>
      <c r="V304" s="625">
        <f t="shared" si="652"/>
        <v>941.92</v>
      </c>
      <c r="W304" s="625">
        <f t="shared" si="653"/>
        <v>790.91</v>
      </c>
      <c r="X304" s="625">
        <f t="shared" si="654"/>
        <v>747.34</v>
      </c>
      <c r="Y304" s="625">
        <f t="shared" si="655"/>
        <v>527.98</v>
      </c>
      <c r="Z304" s="656">
        <f t="shared" si="16"/>
        <v>713.4</v>
      </c>
      <c r="AA304" s="683"/>
      <c r="AB304" s="625">
        <f t="shared" si="656"/>
        <v>183.62</v>
      </c>
      <c r="AC304" s="625">
        <f t="shared" si="657"/>
        <v>99.71</v>
      </c>
      <c r="AD304" s="625">
        <f t="shared" si="658"/>
        <v>126.43</v>
      </c>
      <c r="AE304" s="625">
        <f t="shared" si="659"/>
        <v>88.53</v>
      </c>
      <c r="AF304" s="625">
        <f t="shared" si="660"/>
        <v>215.11</v>
      </c>
      <c r="AG304" s="657">
        <f t="shared" si="22"/>
        <v>0.1844631074</v>
      </c>
      <c r="AH304" s="165"/>
      <c r="AI304" s="165">
        <f t="shared" ref="AI304:AM304" si="756">AB304/U304</f>
        <v>0.2136880448</v>
      </c>
      <c r="AJ304" s="165">
        <f t="shared" si="756"/>
        <v>0.105858247</v>
      </c>
      <c r="AK304" s="165">
        <f t="shared" si="756"/>
        <v>0.1598538392</v>
      </c>
      <c r="AL304" s="165">
        <f t="shared" si="756"/>
        <v>0.1184601386</v>
      </c>
      <c r="AM304" s="165">
        <f t="shared" si="756"/>
        <v>0.4074207356</v>
      </c>
      <c r="AN304" s="684">
        <f t="shared" si="743"/>
        <v>733</v>
      </c>
      <c r="AO304" s="625"/>
      <c r="AP304" s="625">
        <v>333.0</v>
      </c>
      <c r="AQ304" s="625">
        <v>15.0</v>
      </c>
      <c r="AR304" s="625">
        <v>5.0</v>
      </c>
      <c r="AS304" s="625">
        <v>12.0</v>
      </c>
      <c r="AT304" s="625">
        <v>368.0</v>
      </c>
      <c r="AU304" s="684">
        <f t="shared" si="744"/>
        <v>808.22</v>
      </c>
      <c r="AV304" s="625"/>
      <c r="AW304" s="625">
        <v>202.17</v>
      </c>
      <c r="AX304" s="625">
        <v>184.6</v>
      </c>
      <c r="AY304" s="625">
        <v>165.04</v>
      </c>
      <c r="AZ304" s="625">
        <v>127.5</v>
      </c>
      <c r="BA304" s="693">
        <v>128.91</v>
      </c>
      <c r="BB304" s="631"/>
      <c r="BC304" s="689" t="s">
        <v>695</v>
      </c>
      <c r="BD304" s="688" t="s">
        <v>3303</v>
      </c>
      <c r="BE304" s="179" t="s">
        <v>3304</v>
      </c>
      <c r="BF304" s="179" t="s">
        <v>3305</v>
      </c>
      <c r="BG304" s="179" t="s">
        <v>3306</v>
      </c>
      <c r="BH304" s="179" t="s">
        <v>3307</v>
      </c>
      <c r="BI304" s="179" t="s">
        <v>3308</v>
      </c>
      <c r="BJ304" s="745"/>
      <c r="BK304" s="631"/>
      <c r="BL304" s="745"/>
      <c r="BM304" s="745"/>
      <c r="BN304" s="201"/>
    </row>
    <row r="305" hidden="1">
      <c r="A305" s="696" t="s">
        <v>1534</v>
      </c>
      <c r="B305" s="186" t="s">
        <v>3778</v>
      </c>
      <c r="C305" s="676" t="s">
        <v>2113</v>
      </c>
      <c r="D305" s="677">
        <v>579.0</v>
      </c>
      <c r="E305" s="632" t="s">
        <v>40</v>
      </c>
      <c r="F305" s="678">
        <f t="shared" ref="F305:G305" si="757">H305+J305+L305+N305+P305</f>
        <v>3684</v>
      </c>
      <c r="G305" s="679">
        <f t="shared" si="757"/>
        <v>-295</v>
      </c>
      <c r="H305" s="641">
        <v>508.0</v>
      </c>
      <c r="I305" s="680">
        <v>-5.0</v>
      </c>
      <c r="J305" s="641">
        <v>1997.0</v>
      </c>
      <c r="K305" s="680">
        <v>-463.0</v>
      </c>
      <c r="L305" s="641">
        <v>195.0</v>
      </c>
      <c r="M305" s="680">
        <v>-9.0</v>
      </c>
      <c r="N305" s="641">
        <v>509.0</v>
      </c>
      <c r="O305" s="680">
        <v>126.0</v>
      </c>
      <c r="P305" s="641">
        <v>475.0</v>
      </c>
      <c r="Q305" s="680">
        <v>56.0</v>
      </c>
      <c r="R305" s="681" t="s">
        <v>696</v>
      </c>
      <c r="S305" s="682">
        <f t="shared" si="10"/>
        <v>3684</v>
      </c>
      <c r="T305" s="683"/>
      <c r="U305" s="625">
        <f t="shared" si="651"/>
        <v>508</v>
      </c>
      <c r="V305" s="625">
        <f t="shared" si="652"/>
        <v>1997</v>
      </c>
      <c r="W305" s="625">
        <f t="shared" si="653"/>
        <v>195</v>
      </c>
      <c r="X305" s="625">
        <f t="shared" si="654"/>
        <v>509</v>
      </c>
      <c r="Y305" s="625">
        <f t="shared" si="655"/>
        <v>475</v>
      </c>
      <c r="Z305" s="656">
        <f t="shared" si="16"/>
        <v>-295</v>
      </c>
      <c r="AA305" s="683"/>
      <c r="AB305" s="625">
        <f t="shared" si="656"/>
        <v>-5</v>
      </c>
      <c r="AC305" s="625">
        <f t="shared" si="657"/>
        <v>-463</v>
      </c>
      <c r="AD305" s="625">
        <f t="shared" si="658"/>
        <v>-9</v>
      </c>
      <c r="AE305" s="625">
        <f t="shared" si="659"/>
        <v>126</v>
      </c>
      <c r="AF305" s="625">
        <f t="shared" si="660"/>
        <v>56</v>
      </c>
      <c r="AG305" s="657">
        <f t="shared" si="22"/>
        <v>-0.08007600434</v>
      </c>
      <c r="AH305" s="165"/>
      <c r="AI305" s="165">
        <f t="shared" ref="AI305:AM305" si="758">AB305/U305</f>
        <v>-0.009842519685</v>
      </c>
      <c r="AJ305" s="165">
        <f t="shared" si="758"/>
        <v>-0.2318477717</v>
      </c>
      <c r="AK305" s="165">
        <f t="shared" si="758"/>
        <v>-0.04615384615</v>
      </c>
      <c r="AL305" s="165">
        <f t="shared" si="758"/>
        <v>0.2475442043</v>
      </c>
      <c r="AM305" s="165">
        <f t="shared" si="758"/>
        <v>0.1178947368</v>
      </c>
      <c r="AN305" s="684">
        <f t="shared" si="743"/>
        <v>4540</v>
      </c>
      <c r="AO305" s="625"/>
      <c r="AP305" s="625">
        <v>750.0</v>
      </c>
      <c r="AQ305" s="625">
        <v>1113.0</v>
      </c>
      <c r="AR305" s="625">
        <v>516.0</v>
      </c>
      <c r="AS305" s="625">
        <v>1136.0</v>
      </c>
      <c r="AT305" s="625">
        <v>1025.0</v>
      </c>
      <c r="AU305" s="684">
        <f t="shared" si="744"/>
        <v>425</v>
      </c>
      <c r="AV305" s="641"/>
      <c r="AW305" s="641">
        <v>119.0</v>
      </c>
      <c r="AX305" s="641">
        <v>116.0</v>
      </c>
      <c r="AY305" s="641">
        <v>112.0</v>
      </c>
      <c r="AZ305" s="641">
        <v>72.0</v>
      </c>
      <c r="BA305" s="693">
        <v>6.0</v>
      </c>
      <c r="BB305" s="631"/>
      <c r="BC305" s="189" t="s">
        <v>695</v>
      </c>
      <c r="BD305" s="688" t="s">
        <v>3303</v>
      </c>
      <c r="BE305" s="179" t="s">
        <v>3304</v>
      </c>
      <c r="BF305" s="179" t="s">
        <v>3305</v>
      </c>
      <c r="BG305" s="179" t="s">
        <v>3306</v>
      </c>
      <c r="BH305" s="179" t="s">
        <v>3307</v>
      </c>
      <c r="BI305" s="179" t="s">
        <v>3308</v>
      </c>
      <c r="BJ305" s="745"/>
      <c r="BK305" s="631"/>
      <c r="BL305" s="745"/>
      <c r="BM305" s="745"/>
      <c r="BN305" s="201"/>
    </row>
    <row r="306" hidden="1">
      <c r="A306" s="696" t="s">
        <v>1534</v>
      </c>
      <c r="B306" s="186" t="s">
        <v>3779</v>
      </c>
      <c r="C306" s="676" t="s">
        <v>2113</v>
      </c>
      <c r="D306" s="677">
        <v>584.0</v>
      </c>
      <c r="E306" s="632" t="s">
        <v>39</v>
      </c>
      <c r="F306" s="678">
        <f t="shared" ref="F306:G306" si="759">H306+J306+L306+N306+P306</f>
        <v>3875.5</v>
      </c>
      <c r="G306" s="679">
        <f t="shared" si="759"/>
        <v>-86.1</v>
      </c>
      <c r="H306" s="641">
        <v>797.0</v>
      </c>
      <c r="I306" s="680">
        <v>32.0</v>
      </c>
      <c r="J306" s="641">
        <v>1001.5</v>
      </c>
      <c r="K306" s="680">
        <v>15.6</v>
      </c>
      <c r="L306" s="641">
        <v>721.8</v>
      </c>
      <c r="M306" s="680">
        <v>-26.8</v>
      </c>
      <c r="N306" s="641">
        <v>757.8</v>
      </c>
      <c r="O306" s="680">
        <v>-39.5</v>
      </c>
      <c r="P306" s="641">
        <v>597.4</v>
      </c>
      <c r="Q306" s="680">
        <v>-67.4</v>
      </c>
      <c r="R306" s="681" t="s">
        <v>698</v>
      </c>
      <c r="S306" s="682">
        <f t="shared" si="10"/>
        <v>3875.5</v>
      </c>
      <c r="T306" s="683"/>
      <c r="U306" s="625">
        <f t="shared" si="651"/>
        <v>797</v>
      </c>
      <c r="V306" s="625">
        <f t="shared" si="652"/>
        <v>1001.5</v>
      </c>
      <c r="W306" s="625">
        <f t="shared" si="653"/>
        <v>721.8</v>
      </c>
      <c r="X306" s="625">
        <f t="shared" si="654"/>
        <v>757.8</v>
      </c>
      <c r="Y306" s="625">
        <f t="shared" si="655"/>
        <v>597.4</v>
      </c>
      <c r="Z306" s="656">
        <f t="shared" si="16"/>
        <v>-86.1</v>
      </c>
      <c r="AA306" s="683"/>
      <c r="AB306" s="625">
        <f t="shared" si="656"/>
        <v>32</v>
      </c>
      <c r="AC306" s="625">
        <f t="shared" si="657"/>
        <v>15.6</v>
      </c>
      <c r="AD306" s="625">
        <f t="shared" si="658"/>
        <v>-26.8</v>
      </c>
      <c r="AE306" s="625">
        <f t="shared" si="659"/>
        <v>-39.5</v>
      </c>
      <c r="AF306" s="625">
        <f t="shared" si="660"/>
        <v>-67.4</v>
      </c>
      <c r="AG306" s="657">
        <f t="shared" si="22"/>
        <v>-0.0222164882</v>
      </c>
      <c r="AH306" s="165"/>
      <c r="AI306" s="165">
        <f t="shared" ref="AI306:AM306" si="760">AB306/U306</f>
        <v>0.04015056462</v>
      </c>
      <c r="AJ306" s="165">
        <f t="shared" si="760"/>
        <v>0.01557663505</v>
      </c>
      <c r="AK306" s="165">
        <f t="shared" si="760"/>
        <v>-0.03712939873</v>
      </c>
      <c r="AL306" s="165">
        <f t="shared" si="760"/>
        <v>-0.05212457113</v>
      </c>
      <c r="AM306" s="165">
        <f t="shared" si="760"/>
        <v>-0.1128222297</v>
      </c>
      <c r="AN306" s="684">
        <f t="shared" si="743"/>
        <v>2671</v>
      </c>
      <c r="AO306" s="625"/>
      <c r="AP306" s="625">
        <v>0.0</v>
      </c>
      <c r="AQ306" s="625">
        <v>0.0</v>
      </c>
      <c r="AR306" s="625">
        <v>0.0</v>
      </c>
      <c r="AS306" s="625">
        <v>1629.0</v>
      </c>
      <c r="AT306" s="625">
        <v>1042.0</v>
      </c>
      <c r="AU306" s="684">
        <f t="shared" si="744"/>
        <v>2435.2</v>
      </c>
      <c r="AV306" s="625"/>
      <c r="AW306" s="625">
        <v>534.8</v>
      </c>
      <c r="AX306" s="625">
        <v>497.9</v>
      </c>
      <c r="AY306" s="625">
        <v>465.0</v>
      </c>
      <c r="AZ306" s="625">
        <v>462.5</v>
      </c>
      <c r="BA306" s="693">
        <v>475.0</v>
      </c>
      <c r="BB306" s="631"/>
      <c r="BC306" s="189" t="s">
        <v>695</v>
      </c>
      <c r="BD306" s="688" t="s">
        <v>3303</v>
      </c>
      <c r="BE306" s="179" t="s">
        <v>3304</v>
      </c>
      <c r="BF306" s="179" t="s">
        <v>3305</v>
      </c>
      <c r="BG306" s="179" t="s">
        <v>3306</v>
      </c>
      <c r="BH306" s="179" t="s">
        <v>3307</v>
      </c>
      <c r="BI306" s="179" t="s">
        <v>3308</v>
      </c>
      <c r="BJ306" s="745"/>
      <c r="BK306" s="631"/>
      <c r="BL306" s="745"/>
      <c r="BM306" s="745"/>
      <c r="BN306" s="201"/>
    </row>
    <row r="307" hidden="1">
      <c r="A307" s="689"/>
      <c r="B307" s="186" t="s">
        <v>3780</v>
      </c>
      <c r="C307" s="676" t="s">
        <v>2113</v>
      </c>
      <c r="D307" s="677">
        <v>587.0</v>
      </c>
      <c r="E307" s="632" t="s">
        <v>3781</v>
      </c>
      <c r="F307" s="678">
        <f t="shared" ref="F307:G307" si="761">H307+J307+L307+N307+P307</f>
        <v>3362.1</v>
      </c>
      <c r="G307" s="679">
        <f t="shared" si="761"/>
        <v>242.5</v>
      </c>
      <c r="H307" s="641">
        <v>568.0</v>
      </c>
      <c r="I307" s="680">
        <v>75.4</v>
      </c>
      <c r="J307" s="641">
        <v>359.6</v>
      </c>
      <c r="K307" s="680">
        <v>21.5</v>
      </c>
      <c r="L307" s="641">
        <v>1193.9</v>
      </c>
      <c r="M307" s="680">
        <v>59.4</v>
      </c>
      <c r="N307" s="641">
        <v>560.7</v>
      </c>
      <c r="O307" s="680">
        <v>38.9</v>
      </c>
      <c r="P307" s="641">
        <v>679.9</v>
      </c>
      <c r="Q307" s="680">
        <v>47.3</v>
      </c>
      <c r="R307" s="681" t="s">
        <v>701</v>
      </c>
      <c r="S307" s="682">
        <f t="shared" si="10"/>
        <v>3362.1</v>
      </c>
      <c r="T307" s="683"/>
      <c r="U307" s="625">
        <f t="shared" si="651"/>
        <v>568</v>
      </c>
      <c r="V307" s="625">
        <f t="shared" si="652"/>
        <v>359.6</v>
      </c>
      <c r="W307" s="625">
        <f t="shared" si="653"/>
        <v>1193.9</v>
      </c>
      <c r="X307" s="625">
        <f t="shared" si="654"/>
        <v>560.7</v>
      </c>
      <c r="Y307" s="625">
        <f t="shared" si="655"/>
        <v>679.9</v>
      </c>
      <c r="Z307" s="656">
        <f t="shared" si="16"/>
        <v>242.5</v>
      </c>
      <c r="AA307" s="683"/>
      <c r="AB307" s="625">
        <f t="shared" si="656"/>
        <v>75.4</v>
      </c>
      <c r="AC307" s="625">
        <f t="shared" si="657"/>
        <v>21.5</v>
      </c>
      <c r="AD307" s="625">
        <f t="shared" si="658"/>
        <v>59.4</v>
      </c>
      <c r="AE307" s="625">
        <f t="shared" si="659"/>
        <v>38.9</v>
      </c>
      <c r="AF307" s="625">
        <f t="shared" si="660"/>
        <v>47.3</v>
      </c>
      <c r="AG307" s="657">
        <f t="shared" si="22"/>
        <v>0.07212753934</v>
      </c>
      <c r="AH307" s="165"/>
      <c r="AI307" s="165">
        <f t="shared" ref="AI307:AM307" si="762">AB307/U307</f>
        <v>0.1327464789</v>
      </c>
      <c r="AJ307" s="165">
        <f t="shared" si="762"/>
        <v>0.05978865406</v>
      </c>
      <c r="AK307" s="165">
        <f t="shared" si="762"/>
        <v>0.04975291063</v>
      </c>
      <c r="AL307" s="165">
        <f t="shared" si="762"/>
        <v>0.06937756376</v>
      </c>
      <c r="AM307" s="165">
        <f t="shared" si="762"/>
        <v>0.06956905427</v>
      </c>
      <c r="AN307" s="684">
        <f t="shared" si="743"/>
        <v>443</v>
      </c>
      <c r="AO307" s="641"/>
      <c r="AP307" s="641">
        <v>443.0</v>
      </c>
      <c r="AQ307" s="625">
        <v>0.0</v>
      </c>
      <c r="AR307" s="625">
        <v>0.0</v>
      </c>
      <c r="AS307" s="625">
        <v>0.0</v>
      </c>
      <c r="AT307" s="625">
        <v>0.0</v>
      </c>
      <c r="AU307" s="684">
        <f t="shared" si="744"/>
        <v>689.5</v>
      </c>
      <c r="AV307" s="625"/>
      <c r="AW307" s="625">
        <v>99.5</v>
      </c>
      <c r="AX307" s="641">
        <v>132.0</v>
      </c>
      <c r="AY307" s="641">
        <v>163.0</v>
      </c>
      <c r="AZ307" s="641">
        <v>163.0</v>
      </c>
      <c r="BA307" s="691">
        <v>132.0</v>
      </c>
      <c r="BB307" s="631"/>
      <c r="BC307" s="689" t="s">
        <v>695</v>
      </c>
      <c r="BD307" s="688" t="s">
        <v>3303</v>
      </c>
      <c r="BE307" s="179" t="s">
        <v>3304</v>
      </c>
      <c r="BF307" s="179" t="s">
        <v>3305</v>
      </c>
      <c r="BG307" s="179" t="s">
        <v>3306</v>
      </c>
      <c r="BH307" s="179" t="s">
        <v>3307</v>
      </c>
      <c r="BI307" s="179" t="s">
        <v>3308</v>
      </c>
      <c r="BJ307" s="745"/>
      <c r="BK307" s="631"/>
      <c r="BL307" s="745"/>
      <c r="BM307" s="745"/>
      <c r="BN307" s="201"/>
    </row>
    <row r="308" hidden="1">
      <c r="A308" s="426"/>
      <c r="B308" s="186" t="s">
        <v>3782</v>
      </c>
      <c r="C308" s="676" t="s">
        <v>1919</v>
      </c>
      <c r="D308" s="717">
        <v>596.0</v>
      </c>
      <c r="E308" s="632" t="s">
        <v>3783</v>
      </c>
      <c r="F308" s="678">
        <f t="shared" ref="F308:G308" si="763">H308+J308+L308+N308+P308</f>
        <v>2871.6</v>
      </c>
      <c r="G308" s="679">
        <f t="shared" si="763"/>
        <v>355.3</v>
      </c>
      <c r="H308" s="641">
        <v>684.1</v>
      </c>
      <c r="I308" s="680">
        <v>143.2</v>
      </c>
      <c r="J308" s="641">
        <v>598.2</v>
      </c>
      <c r="K308" s="680">
        <v>25.4</v>
      </c>
      <c r="L308" s="641">
        <v>593.9</v>
      </c>
      <c r="M308" s="680">
        <v>51.2</v>
      </c>
      <c r="N308" s="641">
        <v>484.1</v>
      </c>
      <c r="O308" s="680">
        <v>46.7</v>
      </c>
      <c r="P308" s="641">
        <v>511.3</v>
      </c>
      <c r="Q308" s="680">
        <v>88.8</v>
      </c>
      <c r="R308" s="681" t="s">
        <v>696</v>
      </c>
      <c r="S308" s="682">
        <f t="shared" si="10"/>
        <v>2871.6</v>
      </c>
      <c r="T308" s="683"/>
      <c r="U308" s="625">
        <f t="shared" si="651"/>
        <v>684.1</v>
      </c>
      <c r="V308" s="625">
        <f t="shared" si="652"/>
        <v>598.2</v>
      </c>
      <c r="W308" s="625">
        <f t="shared" si="653"/>
        <v>593.9</v>
      </c>
      <c r="X308" s="625">
        <f t="shared" si="654"/>
        <v>484.1</v>
      </c>
      <c r="Y308" s="625">
        <f t="shared" si="655"/>
        <v>511.3</v>
      </c>
      <c r="Z308" s="656">
        <f t="shared" si="16"/>
        <v>355.3</v>
      </c>
      <c r="AA308" s="683"/>
      <c r="AB308" s="625">
        <f t="shared" si="656"/>
        <v>143.2</v>
      </c>
      <c r="AC308" s="625">
        <f t="shared" si="657"/>
        <v>25.4</v>
      </c>
      <c r="AD308" s="625">
        <f t="shared" si="658"/>
        <v>51.2</v>
      </c>
      <c r="AE308" s="625">
        <f t="shared" si="659"/>
        <v>46.7</v>
      </c>
      <c r="AF308" s="625">
        <f t="shared" si="660"/>
        <v>88.8</v>
      </c>
      <c r="AG308" s="657">
        <f t="shared" si="22"/>
        <v>0.1237289316</v>
      </c>
      <c r="AH308" s="165"/>
      <c r="AI308" s="165">
        <f t="shared" ref="AI308:AM308" si="764">AB308/U308</f>
        <v>0.2093261219</v>
      </c>
      <c r="AJ308" s="165">
        <f t="shared" si="764"/>
        <v>0.04246071548</v>
      </c>
      <c r="AK308" s="165">
        <f t="shared" si="764"/>
        <v>0.08620979963</v>
      </c>
      <c r="AL308" s="165">
        <f t="shared" si="764"/>
        <v>0.09646767197</v>
      </c>
      <c r="AM308" s="165">
        <f t="shared" si="764"/>
        <v>0.1736749462</v>
      </c>
      <c r="AN308" s="684">
        <f t="shared" si="743"/>
        <v>789.1</v>
      </c>
      <c r="AO308" s="625"/>
      <c r="AP308" s="625">
        <v>23.0</v>
      </c>
      <c r="AQ308" s="625">
        <v>22.0</v>
      </c>
      <c r="AR308" s="625">
        <v>69.0</v>
      </c>
      <c r="AS308" s="625">
        <v>398.0</v>
      </c>
      <c r="AT308" s="641">
        <v>277.1</v>
      </c>
      <c r="AU308" s="684">
        <f t="shared" si="744"/>
        <v>1170.4</v>
      </c>
      <c r="AV308" s="625"/>
      <c r="AW308" s="625">
        <v>290.7</v>
      </c>
      <c r="AX308" s="625">
        <v>261.7</v>
      </c>
      <c r="AY308" s="625">
        <v>241.0</v>
      </c>
      <c r="AZ308" s="625">
        <v>211.2</v>
      </c>
      <c r="BA308" s="693">
        <v>165.8</v>
      </c>
      <c r="BB308" s="631"/>
      <c r="BC308" s="189" t="s">
        <v>695</v>
      </c>
      <c r="BD308" s="688" t="s">
        <v>3303</v>
      </c>
      <c r="BE308" s="179" t="s">
        <v>3304</v>
      </c>
      <c r="BF308" s="179" t="s">
        <v>3305</v>
      </c>
      <c r="BG308" s="179" t="s">
        <v>3306</v>
      </c>
      <c r="BH308" s="179" t="s">
        <v>3307</v>
      </c>
      <c r="BI308" s="179" t="s">
        <v>3308</v>
      </c>
      <c r="BJ308" s="745"/>
      <c r="BK308" s="631"/>
      <c r="BL308" s="745"/>
      <c r="BM308" s="745"/>
      <c r="BN308" s="201"/>
    </row>
    <row r="309" hidden="1">
      <c r="A309" s="689"/>
      <c r="B309" s="186" t="s">
        <v>3784</v>
      </c>
      <c r="C309" s="676" t="s">
        <v>2113</v>
      </c>
      <c r="D309" s="677">
        <v>599.0</v>
      </c>
      <c r="E309" s="632" t="s">
        <v>3785</v>
      </c>
      <c r="F309" s="678">
        <f t="shared" ref="F309:G309" si="765">H309+J309+L309+N309+P309</f>
        <v>1220.61</v>
      </c>
      <c r="G309" s="679">
        <f t="shared" si="765"/>
        <v>41</v>
      </c>
      <c r="H309" s="641">
        <v>320.61</v>
      </c>
      <c r="I309" s="680">
        <v>3.0</v>
      </c>
      <c r="J309" s="641">
        <v>30.0</v>
      </c>
      <c r="K309" s="680">
        <v>-9.0</v>
      </c>
      <c r="L309" s="641">
        <v>86.0</v>
      </c>
      <c r="M309" s="680">
        <v>-2.0</v>
      </c>
      <c r="N309" s="641">
        <v>270.0</v>
      </c>
      <c r="O309" s="680">
        <v>4.0</v>
      </c>
      <c r="P309" s="641">
        <v>514.0</v>
      </c>
      <c r="Q309" s="680">
        <v>45.0</v>
      </c>
      <c r="R309" s="681" t="s">
        <v>716</v>
      </c>
      <c r="S309" s="682">
        <f t="shared" si="10"/>
        <v>1220.61</v>
      </c>
      <c r="T309" s="683"/>
      <c r="U309" s="625">
        <f t="shared" si="651"/>
        <v>320.61</v>
      </c>
      <c r="V309" s="625">
        <f t="shared" si="652"/>
        <v>30</v>
      </c>
      <c r="W309" s="625">
        <f t="shared" si="653"/>
        <v>86</v>
      </c>
      <c r="X309" s="625">
        <f t="shared" si="654"/>
        <v>270</v>
      </c>
      <c r="Y309" s="625">
        <f t="shared" si="655"/>
        <v>514</v>
      </c>
      <c r="Z309" s="656">
        <f t="shared" si="16"/>
        <v>41</v>
      </c>
      <c r="AA309" s="683"/>
      <c r="AB309" s="625">
        <f t="shared" si="656"/>
        <v>3</v>
      </c>
      <c r="AC309" s="625">
        <f t="shared" si="657"/>
        <v>-9</v>
      </c>
      <c r="AD309" s="625">
        <f t="shared" si="658"/>
        <v>-2</v>
      </c>
      <c r="AE309" s="625">
        <f t="shared" si="659"/>
        <v>4</v>
      </c>
      <c r="AF309" s="625">
        <f t="shared" si="660"/>
        <v>45</v>
      </c>
      <c r="AG309" s="657">
        <f t="shared" si="22"/>
        <v>0.0335897625</v>
      </c>
      <c r="AH309" s="165"/>
      <c r="AI309" s="165">
        <f t="shared" ref="AI309:AM309" si="766">AB309/U309</f>
        <v>0.009357162908</v>
      </c>
      <c r="AJ309" s="165">
        <f t="shared" si="766"/>
        <v>-0.3</v>
      </c>
      <c r="AK309" s="165">
        <f t="shared" si="766"/>
        <v>-0.02325581395</v>
      </c>
      <c r="AL309" s="165">
        <f t="shared" si="766"/>
        <v>0.01481481481</v>
      </c>
      <c r="AM309" s="165">
        <f t="shared" si="766"/>
        <v>0.08754863813</v>
      </c>
      <c r="AN309" s="684">
        <f t="shared" si="743"/>
        <v>2053</v>
      </c>
      <c r="AO309" s="625"/>
      <c r="AP309" s="625">
        <v>400.0</v>
      </c>
      <c r="AQ309" s="625">
        <v>430.0</v>
      </c>
      <c r="AR309" s="625">
        <v>73.0</v>
      </c>
      <c r="AS309" s="625">
        <v>1150.0</v>
      </c>
      <c r="AT309" s="641">
        <v>0.0</v>
      </c>
      <c r="AU309" s="684">
        <f t="shared" si="744"/>
        <v>250</v>
      </c>
      <c r="AV309" s="625"/>
      <c r="AW309" s="625">
        <v>44.0</v>
      </c>
      <c r="AX309" s="625">
        <v>19.0</v>
      </c>
      <c r="AY309" s="625">
        <v>11.0</v>
      </c>
      <c r="AZ309" s="625">
        <v>57.0</v>
      </c>
      <c r="BA309" s="693">
        <v>119.0</v>
      </c>
      <c r="BB309" s="631"/>
      <c r="BC309" s="689" t="s">
        <v>695</v>
      </c>
      <c r="BD309" s="688" t="s">
        <v>3303</v>
      </c>
      <c r="BE309" s="201"/>
      <c r="BF309" s="201"/>
      <c r="BG309" s="201"/>
      <c r="BH309" s="201"/>
      <c r="BI309" s="201"/>
      <c r="BJ309" s="745"/>
      <c r="BK309" s="631"/>
      <c r="BL309" s="745"/>
      <c r="BM309" s="745"/>
      <c r="BN309" s="201"/>
    </row>
    <row r="310" hidden="1">
      <c r="A310" s="689"/>
      <c r="B310" s="186" t="s">
        <v>3786</v>
      </c>
      <c r="C310" s="676" t="s">
        <v>2113</v>
      </c>
      <c r="D310" s="677">
        <v>600.0</v>
      </c>
      <c r="E310" s="632" t="s">
        <v>3787</v>
      </c>
      <c r="F310" s="678">
        <f t="shared" ref="F310:G310" si="767">H310+J310+L310+N310+P310</f>
        <v>1427</v>
      </c>
      <c r="G310" s="679">
        <f t="shared" si="767"/>
        <v>173.8</v>
      </c>
      <c r="H310" s="641">
        <v>408.0</v>
      </c>
      <c r="I310" s="680">
        <v>137.2</v>
      </c>
      <c r="J310" s="641">
        <v>329.0</v>
      </c>
      <c r="K310" s="680">
        <v>48.8</v>
      </c>
      <c r="L310" s="641">
        <v>322.6</v>
      </c>
      <c r="M310" s="680">
        <v>-38.2</v>
      </c>
      <c r="N310" s="641">
        <v>122.1</v>
      </c>
      <c r="O310" s="680">
        <v>33.3</v>
      </c>
      <c r="P310" s="641">
        <v>245.3</v>
      </c>
      <c r="Q310" s="680">
        <v>-7.3</v>
      </c>
      <c r="R310" s="681" t="s">
        <v>715</v>
      </c>
      <c r="S310" s="682">
        <f t="shared" si="10"/>
        <v>1427</v>
      </c>
      <c r="T310" s="683"/>
      <c r="U310" s="625">
        <f t="shared" si="651"/>
        <v>408</v>
      </c>
      <c r="V310" s="625">
        <f t="shared" si="652"/>
        <v>329</v>
      </c>
      <c r="W310" s="625">
        <f t="shared" si="653"/>
        <v>322.6</v>
      </c>
      <c r="X310" s="625">
        <f t="shared" si="654"/>
        <v>122.1</v>
      </c>
      <c r="Y310" s="625">
        <f t="shared" si="655"/>
        <v>245.3</v>
      </c>
      <c r="Z310" s="656">
        <f t="shared" si="16"/>
        <v>173.8</v>
      </c>
      <c r="AA310" s="683"/>
      <c r="AB310" s="625">
        <f t="shared" si="656"/>
        <v>137.2</v>
      </c>
      <c r="AC310" s="625">
        <f t="shared" si="657"/>
        <v>48.8</v>
      </c>
      <c r="AD310" s="625">
        <f t="shared" si="658"/>
        <v>-38.2</v>
      </c>
      <c r="AE310" s="625">
        <f t="shared" si="659"/>
        <v>33.3</v>
      </c>
      <c r="AF310" s="625">
        <f t="shared" si="660"/>
        <v>-7.3</v>
      </c>
      <c r="AG310" s="657">
        <f t="shared" si="22"/>
        <v>0.1217939734</v>
      </c>
      <c r="AH310" s="165"/>
      <c r="AI310" s="165">
        <f t="shared" ref="AI310:AM310" si="768">AB310/U310</f>
        <v>0.3362745098</v>
      </c>
      <c r="AJ310" s="165">
        <f t="shared" si="768"/>
        <v>0.1483282675</v>
      </c>
      <c r="AK310" s="165">
        <f t="shared" si="768"/>
        <v>-0.1184128952</v>
      </c>
      <c r="AL310" s="165">
        <f t="shared" si="768"/>
        <v>0.2727272727</v>
      </c>
      <c r="AM310" s="165">
        <f t="shared" si="768"/>
        <v>-0.02975947819</v>
      </c>
      <c r="AN310" s="684">
        <f t="shared" si="743"/>
        <v>1366.2</v>
      </c>
      <c r="AO310" s="625"/>
      <c r="AP310" s="625">
        <v>280.2</v>
      </c>
      <c r="AQ310" s="625">
        <v>403.1</v>
      </c>
      <c r="AR310" s="625">
        <v>33.0</v>
      </c>
      <c r="AS310" s="625">
        <v>67.3</v>
      </c>
      <c r="AT310" s="625">
        <v>582.6</v>
      </c>
      <c r="AU310" s="684">
        <f t="shared" si="744"/>
        <v>537.7</v>
      </c>
      <c r="AV310" s="625"/>
      <c r="AW310" s="625">
        <v>118.5</v>
      </c>
      <c r="AX310" s="625">
        <v>115.6</v>
      </c>
      <c r="AY310" s="625">
        <v>100.4</v>
      </c>
      <c r="AZ310" s="625">
        <v>99.1</v>
      </c>
      <c r="BA310" s="693">
        <v>104.1</v>
      </c>
      <c r="BB310" s="631"/>
      <c r="BC310" s="689" t="s">
        <v>695</v>
      </c>
      <c r="BD310" s="688" t="s">
        <v>3303</v>
      </c>
      <c r="BE310" s="201"/>
      <c r="BF310" s="201"/>
      <c r="BG310" s="201"/>
      <c r="BH310" s="201"/>
      <c r="BI310" s="201"/>
      <c r="BJ310" s="745"/>
      <c r="BK310" s="631"/>
      <c r="BL310" s="745"/>
      <c r="BM310" s="745"/>
      <c r="BN310" s="201"/>
    </row>
    <row r="311" hidden="1">
      <c r="A311" s="426"/>
      <c r="B311" s="186" t="s">
        <v>3788</v>
      </c>
      <c r="C311" s="690" t="s">
        <v>2317</v>
      </c>
      <c r="D311" s="677">
        <v>605.0</v>
      </c>
      <c r="E311" s="632" t="s">
        <v>3789</v>
      </c>
      <c r="F311" s="678">
        <f t="shared" ref="F311:G311" si="769">H311+J311+L311+N311+P311</f>
        <v>3042.7</v>
      </c>
      <c r="G311" s="679">
        <f t="shared" si="769"/>
        <v>424.4</v>
      </c>
      <c r="H311" s="641">
        <v>662.9</v>
      </c>
      <c r="I311" s="680">
        <v>18.7</v>
      </c>
      <c r="J311" s="641">
        <v>804.7</v>
      </c>
      <c r="K311" s="680">
        <v>18.5</v>
      </c>
      <c r="L311" s="641">
        <v>435.9</v>
      </c>
      <c r="M311" s="680">
        <v>8.5</v>
      </c>
      <c r="N311" s="641">
        <v>427.3</v>
      </c>
      <c r="O311" s="680">
        <v>31.0</v>
      </c>
      <c r="P311" s="641">
        <v>711.9</v>
      </c>
      <c r="Q311" s="680">
        <v>347.7</v>
      </c>
      <c r="R311" s="681" t="s">
        <v>702</v>
      </c>
      <c r="S311" s="682">
        <f t="shared" si="10"/>
        <v>3042.7</v>
      </c>
      <c r="T311" s="683"/>
      <c r="U311" s="625">
        <f t="shared" si="651"/>
        <v>662.9</v>
      </c>
      <c r="V311" s="625">
        <f t="shared" si="652"/>
        <v>804.7</v>
      </c>
      <c r="W311" s="625">
        <f t="shared" si="653"/>
        <v>435.9</v>
      </c>
      <c r="X311" s="625">
        <f t="shared" si="654"/>
        <v>427.3</v>
      </c>
      <c r="Y311" s="625">
        <f t="shared" si="655"/>
        <v>711.9</v>
      </c>
      <c r="Z311" s="656">
        <f t="shared" si="16"/>
        <v>424.4</v>
      </c>
      <c r="AA311" s="683"/>
      <c r="AB311" s="625">
        <f t="shared" si="656"/>
        <v>18.7</v>
      </c>
      <c r="AC311" s="625">
        <f t="shared" si="657"/>
        <v>18.5</v>
      </c>
      <c r="AD311" s="625">
        <f t="shared" si="658"/>
        <v>8.5</v>
      </c>
      <c r="AE311" s="625">
        <f t="shared" si="659"/>
        <v>31</v>
      </c>
      <c r="AF311" s="625">
        <f t="shared" si="660"/>
        <v>347.7</v>
      </c>
      <c r="AG311" s="657">
        <f t="shared" si="22"/>
        <v>0.1394813817</v>
      </c>
      <c r="AH311" s="165"/>
      <c r="AI311" s="165">
        <f t="shared" ref="AI311:AM311" si="770">AB311/U311</f>
        <v>0.02820938301</v>
      </c>
      <c r="AJ311" s="165">
        <f t="shared" si="770"/>
        <v>0.02298993414</v>
      </c>
      <c r="AK311" s="165">
        <f t="shared" si="770"/>
        <v>0.01949988529</v>
      </c>
      <c r="AL311" s="165">
        <f t="shared" si="770"/>
        <v>0.07254856073</v>
      </c>
      <c r="AM311" s="165">
        <f t="shared" si="770"/>
        <v>0.4884112937</v>
      </c>
      <c r="AN311" s="684">
        <f t="shared" si="743"/>
        <v>3394.5</v>
      </c>
      <c r="AO311" s="625"/>
      <c r="AP311" s="625">
        <v>975.0</v>
      </c>
      <c r="AQ311" s="625">
        <v>251.0</v>
      </c>
      <c r="AR311" s="625">
        <v>681.0</v>
      </c>
      <c r="AS311" s="625">
        <v>680.0</v>
      </c>
      <c r="AT311" s="641">
        <v>807.5</v>
      </c>
      <c r="AU311" s="684">
        <f t="shared" si="744"/>
        <v>1537.8</v>
      </c>
      <c r="AV311" s="625"/>
      <c r="AW311" s="625">
        <v>373.1</v>
      </c>
      <c r="AX311" s="625">
        <v>340.6</v>
      </c>
      <c r="AY311" s="625">
        <v>307.0</v>
      </c>
      <c r="AZ311" s="625">
        <v>273.9</v>
      </c>
      <c r="BA311" s="693">
        <v>243.2</v>
      </c>
      <c r="BB311" s="631"/>
      <c r="BC311" s="189" t="s">
        <v>695</v>
      </c>
      <c r="BD311" s="688" t="s">
        <v>3303</v>
      </c>
      <c r="BE311" s="179" t="s">
        <v>3304</v>
      </c>
      <c r="BF311" s="179" t="s">
        <v>3305</v>
      </c>
      <c r="BG311" s="179" t="s">
        <v>3306</v>
      </c>
      <c r="BH311" s="179" t="s">
        <v>3307</v>
      </c>
      <c r="BI311" s="179" t="s">
        <v>3308</v>
      </c>
      <c r="BJ311" s="745"/>
      <c r="BK311" s="631"/>
      <c r="BL311" s="745"/>
      <c r="BM311" s="745"/>
      <c r="BN311" s="201"/>
    </row>
    <row r="312" hidden="1">
      <c r="A312" s="689"/>
      <c r="B312" s="186" t="s">
        <v>3790</v>
      </c>
      <c r="C312" s="676" t="s">
        <v>2113</v>
      </c>
      <c r="D312" s="677">
        <v>606.0</v>
      </c>
      <c r="E312" s="632" t="s">
        <v>3791</v>
      </c>
      <c r="F312" s="678">
        <f t="shared" ref="F312:G312" si="771">H312+J312+L312+N312+P312</f>
        <v>1187.54</v>
      </c>
      <c r="G312" s="679">
        <f t="shared" si="771"/>
        <v>232.33</v>
      </c>
      <c r="H312" s="641">
        <v>511.71</v>
      </c>
      <c r="I312" s="680">
        <v>102.67</v>
      </c>
      <c r="J312" s="641">
        <v>449.21</v>
      </c>
      <c r="K312" s="680">
        <v>100.54</v>
      </c>
      <c r="L312" s="641">
        <v>95.52</v>
      </c>
      <c r="M312" s="680">
        <v>9.91</v>
      </c>
      <c r="N312" s="641">
        <v>103.91</v>
      </c>
      <c r="O312" s="680">
        <v>24.97</v>
      </c>
      <c r="P312" s="641">
        <v>27.19</v>
      </c>
      <c r="Q312" s="680">
        <v>-5.76</v>
      </c>
      <c r="R312" s="681" t="s">
        <v>693</v>
      </c>
      <c r="S312" s="682">
        <f t="shared" si="10"/>
        <v>1187.54</v>
      </c>
      <c r="T312" s="683"/>
      <c r="U312" s="625">
        <f t="shared" si="651"/>
        <v>511.71</v>
      </c>
      <c r="V312" s="625">
        <f t="shared" si="652"/>
        <v>449.21</v>
      </c>
      <c r="W312" s="625">
        <f t="shared" si="653"/>
        <v>95.52</v>
      </c>
      <c r="X312" s="625">
        <f t="shared" si="654"/>
        <v>103.91</v>
      </c>
      <c r="Y312" s="625">
        <f t="shared" si="655"/>
        <v>27.19</v>
      </c>
      <c r="Z312" s="656">
        <f t="shared" si="16"/>
        <v>232.33</v>
      </c>
      <c r="AA312" s="683"/>
      <c r="AB312" s="625">
        <f t="shared" si="656"/>
        <v>102.67</v>
      </c>
      <c r="AC312" s="625">
        <f t="shared" si="657"/>
        <v>100.54</v>
      </c>
      <c r="AD312" s="625">
        <f t="shared" si="658"/>
        <v>9.91</v>
      </c>
      <c r="AE312" s="625">
        <f t="shared" si="659"/>
        <v>24.97</v>
      </c>
      <c r="AF312" s="625">
        <f t="shared" si="660"/>
        <v>-5.76</v>
      </c>
      <c r="AG312" s="657">
        <f t="shared" si="22"/>
        <v>0.1956397258</v>
      </c>
      <c r="AH312" s="165"/>
      <c r="AI312" s="165">
        <f t="shared" ref="AI312:AM312" si="772">AB312/U312</f>
        <v>0.2006409881</v>
      </c>
      <c r="AJ312" s="165">
        <f t="shared" si="772"/>
        <v>0.2238151421</v>
      </c>
      <c r="AK312" s="165">
        <f t="shared" si="772"/>
        <v>0.1037479062</v>
      </c>
      <c r="AL312" s="165">
        <f t="shared" si="772"/>
        <v>0.2403041093</v>
      </c>
      <c r="AM312" s="165">
        <f t="shared" si="772"/>
        <v>-0.2118425892</v>
      </c>
      <c r="AN312" s="684">
        <f t="shared" si="743"/>
        <v>3336</v>
      </c>
      <c r="AO312" s="625"/>
      <c r="AP312" s="625">
        <v>1044.0</v>
      </c>
      <c r="AQ312" s="625">
        <v>1656.0</v>
      </c>
      <c r="AR312" s="625">
        <v>176.0</v>
      </c>
      <c r="AS312" s="625">
        <v>199.0</v>
      </c>
      <c r="AT312" s="625">
        <v>261.0</v>
      </c>
      <c r="AU312" s="684">
        <f t="shared" si="744"/>
        <v>0</v>
      </c>
      <c r="AV312" s="180"/>
      <c r="AW312" s="180">
        <v>0.0</v>
      </c>
      <c r="AX312" s="180">
        <v>0.0</v>
      </c>
      <c r="AY312" s="180">
        <v>0.0</v>
      </c>
      <c r="AZ312" s="180">
        <v>0.0</v>
      </c>
      <c r="BA312" s="686">
        <v>0.0</v>
      </c>
      <c r="BB312" s="631"/>
      <c r="BC312" s="689" t="s">
        <v>695</v>
      </c>
      <c r="BD312" s="688" t="s">
        <v>3303</v>
      </c>
      <c r="BE312" s="144"/>
      <c r="BF312" s="144"/>
      <c r="BG312" s="144"/>
      <c r="BH312" s="144"/>
      <c r="BI312" s="144"/>
      <c r="BJ312" s="745"/>
      <c r="BK312" s="631"/>
      <c r="BL312" s="745"/>
      <c r="BM312" s="745"/>
      <c r="BN312" s="201"/>
    </row>
    <row r="313" hidden="1">
      <c r="A313" s="689"/>
      <c r="B313" s="186" t="s">
        <v>3792</v>
      </c>
      <c r="C313" s="676" t="s">
        <v>2113</v>
      </c>
      <c r="D313" s="677">
        <v>607.0</v>
      </c>
      <c r="E313" s="632" t="s">
        <v>3793</v>
      </c>
      <c r="F313" s="678">
        <f t="shared" ref="F313:G313" si="773">H313+J313+L313+N313+P313</f>
        <v>5339.4</v>
      </c>
      <c r="G313" s="679">
        <f t="shared" si="773"/>
        <v>1163.67</v>
      </c>
      <c r="H313" s="641">
        <v>945.6</v>
      </c>
      <c r="I313" s="680">
        <v>322.9</v>
      </c>
      <c r="J313" s="641">
        <v>858.5</v>
      </c>
      <c r="K313" s="680">
        <v>130.6</v>
      </c>
      <c r="L313" s="641">
        <v>843.4</v>
      </c>
      <c r="M313" s="680">
        <v>180.8</v>
      </c>
      <c r="N313" s="641">
        <v>1823.9</v>
      </c>
      <c r="O313" s="680">
        <v>387.15</v>
      </c>
      <c r="P313" s="641">
        <v>868.0</v>
      </c>
      <c r="Q313" s="680">
        <v>142.22</v>
      </c>
      <c r="R313" s="681" t="s">
        <v>705</v>
      </c>
      <c r="S313" s="682">
        <f t="shared" si="10"/>
        <v>5339.4</v>
      </c>
      <c r="T313" s="683"/>
      <c r="U313" s="625">
        <f t="shared" si="651"/>
        <v>945.6</v>
      </c>
      <c r="V313" s="625">
        <f t="shared" si="652"/>
        <v>858.5</v>
      </c>
      <c r="W313" s="625">
        <f t="shared" si="653"/>
        <v>843.4</v>
      </c>
      <c r="X313" s="625">
        <f t="shared" si="654"/>
        <v>1823.9</v>
      </c>
      <c r="Y313" s="625">
        <f t="shared" si="655"/>
        <v>868</v>
      </c>
      <c r="Z313" s="656">
        <f t="shared" si="16"/>
        <v>1163.67</v>
      </c>
      <c r="AA313" s="683"/>
      <c r="AB313" s="625">
        <f t="shared" si="656"/>
        <v>322.9</v>
      </c>
      <c r="AC313" s="625">
        <f t="shared" si="657"/>
        <v>130.6</v>
      </c>
      <c r="AD313" s="625">
        <f t="shared" si="658"/>
        <v>180.8</v>
      </c>
      <c r="AE313" s="625">
        <f t="shared" si="659"/>
        <v>387.15</v>
      </c>
      <c r="AF313" s="625">
        <f t="shared" si="660"/>
        <v>142.22</v>
      </c>
      <c r="AG313" s="657">
        <f t="shared" si="22"/>
        <v>0.217940218</v>
      </c>
      <c r="AH313" s="165"/>
      <c r="AI313" s="165">
        <f t="shared" ref="AI313:AM313" si="774">AB313/U313</f>
        <v>0.3414763113</v>
      </c>
      <c r="AJ313" s="165">
        <f t="shared" si="774"/>
        <v>0.1521258008</v>
      </c>
      <c r="AK313" s="165">
        <f t="shared" si="774"/>
        <v>0.2143704055</v>
      </c>
      <c r="AL313" s="165">
        <f t="shared" si="774"/>
        <v>0.2122649268</v>
      </c>
      <c r="AM313" s="165">
        <f t="shared" si="774"/>
        <v>0.1638479263</v>
      </c>
      <c r="AN313" s="684">
        <f t="shared" si="743"/>
        <v>0</v>
      </c>
      <c r="AO313" s="625"/>
      <c r="AP313" s="625">
        <v>0.0</v>
      </c>
      <c r="AQ313" s="625">
        <v>0.0</v>
      </c>
      <c r="AR313" s="625">
        <v>0.0</v>
      </c>
      <c r="AS313" s="625">
        <v>0.0</v>
      </c>
      <c r="AT313" s="625">
        <v>0.0</v>
      </c>
      <c r="AU313" s="684">
        <f t="shared" si="744"/>
        <v>1074.6</v>
      </c>
      <c r="AV313" s="625"/>
      <c r="AW313" s="625">
        <v>262.3</v>
      </c>
      <c r="AX313" s="625">
        <v>236.4</v>
      </c>
      <c r="AY313" s="625">
        <v>214.1</v>
      </c>
      <c r="AZ313" s="625">
        <v>191.7</v>
      </c>
      <c r="BA313" s="693">
        <v>170.1</v>
      </c>
      <c r="BB313" s="631"/>
      <c r="BC313" s="689" t="s">
        <v>695</v>
      </c>
      <c r="BD313" s="688" t="s">
        <v>3303</v>
      </c>
      <c r="BE313" s="179" t="s">
        <v>3304</v>
      </c>
      <c r="BF313" s="179" t="s">
        <v>3305</v>
      </c>
      <c r="BG313" s="179" t="s">
        <v>3306</v>
      </c>
      <c r="BH313" s="179" t="s">
        <v>3307</v>
      </c>
      <c r="BI313" s="179" t="s">
        <v>3308</v>
      </c>
      <c r="BJ313" s="745"/>
      <c r="BK313" s="631"/>
      <c r="BL313" s="745"/>
      <c r="BM313" s="745"/>
      <c r="BN313" s="201"/>
    </row>
    <row r="314" hidden="1">
      <c r="A314" s="689"/>
      <c r="B314" s="186" t="s">
        <v>3794</v>
      </c>
      <c r="C314" s="676" t="s">
        <v>2113</v>
      </c>
      <c r="D314" s="677">
        <v>609.0</v>
      </c>
      <c r="E314" s="632" t="s">
        <v>3795</v>
      </c>
      <c r="F314" s="678">
        <f t="shared" ref="F314:G314" si="775">H314+J314+L314+N314+P314</f>
        <v>5391</v>
      </c>
      <c r="G314" s="679">
        <f t="shared" si="775"/>
        <v>1070</v>
      </c>
      <c r="H314" s="641">
        <v>787.0</v>
      </c>
      <c r="I314" s="680">
        <v>106.0</v>
      </c>
      <c r="J314" s="641">
        <v>1457.0</v>
      </c>
      <c r="K314" s="680">
        <v>404.0</v>
      </c>
      <c r="L314" s="641">
        <v>1281.0</v>
      </c>
      <c r="M314" s="680">
        <v>213.0</v>
      </c>
      <c r="N314" s="641">
        <v>980.0</v>
      </c>
      <c r="O314" s="680">
        <v>179.0</v>
      </c>
      <c r="P314" s="641">
        <v>886.0</v>
      </c>
      <c r="Q314" s="680">
        <v>168.0</v>
      </c>
      <c r="R314" s="681" t="s">
        <v>696</v>
      </c>
      <c r="S314" s="682">
        <f t="shared" si="10"/>
        <v>5391</v>
      </c>
      <c r="T314" s="683"/>
      <c r="U314" s="625">
        <f t="shared" si="651"/>
        <v>787</v>
      </c>
      <c r="V314" s="625">
        <f t="shared" si="652"/>
        <v>1457</v>
      </c>
      <c r="W314" s="625">
        <f t="shared" si="653"/>
        <v>1281</v>
      </c>
      <c r="X314" s="625">
        <f t="shared" si="654"/>
        <v>980</v>
      </c>
      <c r="Y314" s="625">
        <f t="shared" si="655"/>
        <v>886</v>
      </c>
      <c r="Z314" s="656">
        <f t="shared" si="16"/>
        <v>1070</v>
      </c>
      <c r="AA314" s="683"/>
      <c r="AB314" s="625">
        <f t="shared" si="656"/>
        <v>106</v>
      </c>
      <c r="AC314" s="625">
        <f t="shared" si="657"/>
        <v>404</v>
      </c>
      <c r="AD314" s="625">
        <f t="shared" si="658"/>
        <v>213</v>
      </c>
      <c r="AE314" s="625">
        <f t="shared" si="659"/>
        <v>179</v>
      </c>
      <c r="AF314" s="625">
        <f t="shared" si="660"/>
        <v>168</v>
      </c>
      <c r="AG314" s="657">
        <f t="shared" si="22"/>
        <v>0.1984789464</v>
      </c>
      <c r="AH314" s="165"/>
      <c r="AI314" s="165">
        <f t="shared" ref="AI314:AM314" si="776">AB314/U314</f>
        <v>0.1346886912</v>
      </c>
      <c r="AJ314" s="165">
        <f t="shared" si="776"/>
        <v>0.2772820865</v>
      </c>
      <c r="AK314" s="165">
        <f t="shared" si="776"/>
        <v>0.1662763466</v>
      </c>
      <c r="AL314" s="165">
        <f t="shared" si="776"/>
        <v>0.1826530612</v>
      </c>
      <c r="AM314" s="165">
        <f t="shared" si="776"/>
        <v>0.1896162528</v>
      </c>
      <c r="AN314" s="684">
        <f t="shared" si="743"/>
        <v>3843</v>
      </c>
      <c r="AO314" s="625"/>
      <c r="AP314" s="625">
        <v>1070.0</v>
      </c>
      <c r="AQ314" s="625">
        <v>833.0</v>
      </c>
      <c r="AR314" s="625">
        <v>607.0</v>
      </c>
      <c r="AS314" s="625">
        <v>1068.0</v>
      </c>
      <c r="AT314" s="625">
        <v>265.0</v>
      </c>
      <c r="AU314" s="684">
        <f t="shared" si="744"/>
        <v>2113</v>
      </c>
      <c r="AV314" s="625"/>
      <c r="AW314" s="625">
        <v>515.0</v>
      </c>
      <c r="AX314" s="625">
        <v>463.0</v>
      </c>
      <c r="AY314" s="625">
        <v>420.0</v>
      </c>
      <c r="AZ314" s="625">
        <v>378.0</v>
      </c>
      <c r="BA314" s="693">
        <v>337.0</v>
      </c>
      <c r="BB314" s="631"/>
      <c r="BC314" s="689" t="s">
        <v>695</v>
      </c>
      <c r="BD314" s="688" t="s">
        <v>3303</v>
      </c>
      <c r="BE314" s="179" t="s">
        <v>3304</v>
      </c>
      <c r="BF314" s="179" t="s">
        <v>3305</v>
      </c>
      <c r="BG314" s="179" t="s">
        <v>3306</v>
      </c>
      <c r="BH314" s="179" t="s">
        <v>3307</v>
      </c>
      <c r="BI314" s="179" t="s">
        <v>3308</v>
      </c>
      <c r="BJ314" s="745"/>
      <c r="BK314" s="631"/>
      <c r="BL314" s="745"/>
      <c r="BM314" s="745"/>
      <c r="BN314" s="201"/>
    </row>
    <row r="315" hidden="1">
      <c r="A315" s="689"/>
      <c r="B315" s="186" t="s">
        <v>3796</v>
      </c>
      <c r="C315" s="676" t="s">
        <v>1578</v>
      </c>
      <c r="D315" s="677">
        <v>611.0</v>
      </c>
      <c r="E315" s="632" t="s">
        <v>3797</v>
      </c>
      <c r="F315" s="678">
        <f t="shared" ref="F315:G315" si="777">H315+J315+L315+N315+P315</f>
        <v>1392.56</v>
      </c>
      <c r="G315" s="679">
        <f t="shared" si="777"/>
        <v>205.2</v>
      </c>
      <c r="H315" s="641">
        <v>477.75</v>
      </c>
      <c r="I315" s="680">
        <v>47.2</v>
      </c>
      <c r="J315" s="641">
        <v>100.2</v>
      </c>
      <c r="K315" s="680">
        <v>43.0</v>
      </c>
      <c r="L315" s="641">
        <v>287.26</v>
      </c>
      <c r="M315" s="680">
        <v>25.3</v>
      </c>
      <c r="N315" s="641">
        <v>288.82</v>
      </c>
      <c r="O315" s="680">
        <v>66.0</v>
      </c>
      <c r="P315" s="641">
        <v>238.53</v>
      </c>
      <c r="Q315" s="680">
        <v>23.7</v>
      </c>
      <c r="R315" s="681" t="s">
        <v>702</v>
      </c>
      <c r="S315" s="682">
        <f t="shared" si="10"/>
        <v>1392.56</v>
      </c>
      <c r="T315" s="683"/>
      <c r="U315" s="625">
        <f t="shared" si="651"/>
        <v>477.75</v>
      </c>
      <c r="V315" s="625">
        <f t="shared" si="652"/>
        <v>100.2</v>
      </c>
      <c r="W315" s="625">
        <f t="shared" si="653"/>
        <v>287.26</v>
      </c>
      <c r="X315" s="625">
        <f t="shared" si="654"/>
        <v>288.82</v>
      </c>
      <c r="Y315" s="625">
        <f t="shared" si="655"/>
        <v>238.53</v>
      </c>
      <c r="Z315" s="656">
        <f t="shared" si="16"/>
        <v>205.2</v>
      </c>
      <c r="AA315" s="683"/>
      <c r="AB315" s="625">
        <f t="shared" si="656"/>
        <v>47.2</v>
      </c>
      <c r="AC315" s="625">
        <f t="shared" si="657"/>
        <v>43</v>
      </c>
      <c r="AD315" s="625">
        <f t="shared" si="658"/>
        <v>25.3</v>
      </c>
      <c r="AE315" s="625">
        <f t="shared" si="659"/>
        <v>66</v>
      </c>
      <c r="AF315" s="625">
        <f t="shared" si="660"/>
        <v>23.7</v>
      </c>
      <c r="AG315" s="657">
        <f t="shared" si="22"/>
        <v>0.1473545126</v>
      </c>
      <c r="AH315" s="165"/>
      <c r="AI315" s="165">
        <f t="shared" ref="AI315:AM315" si="778">AB315/U315</f>
        <v>0.09879644165</v>
      </c>
      <c r="AJ315" s="165">
        <f t="shared" si="778"/>
        <v>0.4291417166</v>
      </c>
      <c r="AK315" s="165">
        <f t="shared" si="778"/>
        <v>0.08807352224</v>
      </c>
      <c r="AL315" s="165">
        <f t="shared" si="778"/>
        <v>0.2285160307</v>
      </c>
      <c r="AM315" s="165">
        <f t="shared" si="778"/>
        <v>0.09935857125</v>
      </c>
      <c r="AN315" s="684">
        <f t="shared" si="743"/>
        <v>0</v>
      </c>
      <c r="AO315" s="180"/>
      <c r="AP315" s="180">
        <v>0.0</v>
      </c>
      <c r="AQ315" s="180">
        <v>0.0</v>
      </c>
      <c r="AR315" s="180">
        <v>0.0</v>
      </c>
      <c r="AS315" s="180">
        <v>0.0</v>
      </c>
      <c r="AT315" s="180">
        <v>0.0</v>
      </c>
      <c r="AU315" s="684">
        <f t="shared" si="744"/>
        <v>0</v>
      </c>
      <c r="AV315" s="180"/>
      <c r="AW315" s="180">
        <v>0.0</v>
      </c>
      <c r="AX315" s="180">
        <v>0.0</v>
      </c>
      <c r="AY315" s="180">
        <v>0.0</v>
      </c>
      <c r="AZ315" s="180">
        <v>0.0</v>
      </c>
      <c r="BA315" s="686">
        <v>0.0</v>
      </c>
      <c r="BB315" s="631"/>
      <c r="BC315" s="689" t="s">
        <v>695</v>
      </c>
      <c r="BD315" s="688" t="s">
        <v>3303</v>
      </c>
      <c r="BE315" s="144"/>
      <c r="BF315" s="144"/>
      <c r="BG315" s="144"/>
      <c r="BH315" s="144"/>
      <c r="BI315" s="144"/>
      <c r="BJ315" s="745"/>
      <c r="BK315" s="631"/>
      <c r="BL315" s="745"/>
      <c r="BM315" s="745"/>
      <c r="BN315" s="201"/>
    </row>
    <row r="316" hidden="1">
      <c r="A316" s="426"/>
      <c r="B316" s="186" t="s">
        <v>3798</v>
      </c>
      <c r="C316" s="690" t="s">
        <v>2317</v>
      </c>
      <c r="D316" s="677">
        <v>613.0</v>
      </c>
      <c r="E316" s="632" t="s">
        <v>3799</v>
      </c>
      <c r="F316" s="678">
        <f t="shared" ref="F316:G316" si="779">H316+J316+L316+N316+P316</f>
        <v>3667</v>
      </c>
      <c r="G316" s="679">
        <f t="shared" si="779"/>
        <v>437.11</v>
      </c>
      <c r="H316" s="641">
        <v>855.0</v>
      </c>
      <c r="I316" s="680">
        <v>194.0</v>
      </c>
      <c r="J316" s="641">
        <v>502.0</v>
      </c>
      <c r="K316" s="680">
        <v>-30.3</v>
      </c>
      <c r="L316" s="641">
        <v>632.0</v>
      </c>
      <c r="M316" s="680">
        <v>23.04</v>
      </c>
      <c r="N316" s="641">
        <v>863.0</v>
      </c>
      <c r="O316" s="680">
        <v>143.37</v>
      </c>
      <c r="P316" s="641">
        <v>815.0</v>
      </c>
      <c r="Q316" s="680">
        <v>107.0</v>
      </c>
      <c r="R316" s="681" t="s">
        <v>707</v>
      </c>
      <c r="S316" s="682">
        <f t="shared" si="10"/>
        <v>3667</v>
      </c>
      <c r="T316" s="683"/>
      <c r="U316" s="625">
        <f t="shared" si="651"/>
        <v>855</v>
      </c>
      <c r="V316" s="625">
        <f t="shared" si="652"/>
        <v>502</v>
      </c>
      <c r="W316" s="625">
        <f t="shared" si="653"/>
        <v>632</v>
      </c>
      <c r="X316" s="625">
        <f t="shared" si="654"/>
        <v>863</v>
      </c>
      <c r="Y316" s="625">
        <f t="shared" si="655"/>
        <v>815</v>
      </c>
      <c r="Z316" s="656">
        <f t="shared" si="16"/>
        <v>437.11</v>
      </c>
      <c r="AA316" s="683"/>
      <c r="AB316" s="625">
        <f t="shared" si="656"/>
        <v>194</v>
      </c>
      <c r="AC316" s="625">
        <f t="shared" si="657"/>
        <v>-30.3</v>
      </c>
      <c r="AD316" s="625">
        <f t="shared" si="658"/>
        <v>23.04</v>
      </c>
      <c r="AE316" s="625">
        <f t="shared" si="659"/>
        <v>143.37</v>
      </c>
      <c r="AF316" s="625">
        <f t="shared" si="660"/>
        <v>107</v>
      </c>
      <c r="AG316" s="657">
        <f t="shared" si="22"/>
        <v>0.1192009817</v>
      </c>
      <c r="AH316" s="165"/>
      <c r="AI316" s="165">
        <f t="shared" ref="AI316:AM316" si="780">AB316/U316</f>
        <v>0.2269005848</v>
      </c>
      <c r="AJ316" s="165">
        <f t="shared" si="780"/>
        <v>-0.06035856574</v>
      </c>
      <c r="AK316" s="165">
        <f t="shared" si="780"/>
        <v>0.0364556962</v>
      </c>
      <c r="AL316" s="165">
        <f t="shared" si="780"/>
        <v>0.1661297798</v>
      </c>
      <c r="AM316" s="165">
        <f t="shared" si="780"/>
        <v>0.1312883436</v>
      </c>
      <c r="AN316" s="684">
        <f t="shared" si="743"/>
        <v>931</v>
      </c>
      <c r="AO316" s="625"/>
      <c r="AP316" s="625">
        <v>912.0</v>
      </c>
      <c r="AQ316" s="625">
        <v>0.0</v>
      </c>
      <c r="AR316" s="625">
        <v>19.0</v>
      </c>
      <c r="AS316" s="625">
        <v>0.0</v>
      </c>
      <c r="AT316" s="625">
        <v>0.0</v>
      </c>
      <c r="AU316" s="684">
        <f t="shared" si="744"/>
        <v>4860</v>
      </c>
      <c r="AV316" s="625"/>
      <c r="AW316" s="625">
        <v>1091.0</v>
      </c>
      <c r="AX316" s="625">
        <v>73.0</v>
      </c>
      <c r="AY316" s="625">
        <v>1928.0</v>
      </c>
      <c r="AZ316" s="625">
        <v>1712.0</v>
      </c>
      <c r="BA316" s="693">
        <v>56.0</v>
      </c>
      <c r="BB316" s="631"/>
      <c r="BC316" s="189" t="s">
        <v>695</v>
      </c>
      <c r="BD316" s="688" t="s">
        <v>3303</v>
      </c>
      <c r="BE316" s="179" t="s">
        <v>3304</v>
      </c>
      <c r="BF316" s="179" t="s">
        <v>3305</v>
      </c>
      <c r="BG316" s="179" t="s">
        <v>3306</v>
      </c>
      <c r="BH316" s="179" t="s">
        <v>3307</v>
      </c>
      <c r="BI316" s="179" t="s">
        <v>3308</v>
      </c>
      <c r="BJ316" s="745"/>
      <c r="BK316" s="631"/>
      <c r="BL316" s="745"/>
      <c r="BM316" s="745"/>
      <c r="BN316" s="201"/>
    </row>
    <row r="317" hidden="1">
      <c r="A317" s="689"/>
      <c r="B317" s="186" t="s">
        <v>3800</v>
      </c>
      <c r="C317" s="676" t="s">
        <v>2113</v>
      </c>
      <c r="D317" s="677">
        <v>615.0</v>
      </c>
      <c r="E317" s="632" t="s">
        <v>3801</v>
      </c>
      <c r="F317" s="678">
        <f t="shared" ref="F317:G317" si="781">H317+J317+L317+N317+P317</f>
        <v>909</v>
      </c>
      <c r="G317" s="679">
        <f t="shared" si="781"/>
        <v>-147</v>
      </c>
      <c r="H317" s="641">
        <v>110.0</v>
      </c>
      <c r="I317" s="680">
        <v>1.0</v>
      </c>
      <c r="J317" s="641">
        <v>210.0</v>
      </c>
      <c r="K317" s="680">
        <v>2.0</v>
      </c>
      <c r="L317" s="641">
        <v>241.0</v>
      </c>
      <c r="M317" s="680">
        <v>-175.0</v>
      </c>
      <c r="N317" s="641">
        <v>170.0</v>
      </c>
      <c r="O317" s="680">
        <v>15.0</v>
      </c>
      <c r="P317" s="641">
        <v>178.0</v>
      </c>
      <c r="Q317" s="680">
        <v>10.0</v>
      </c>
      <c r="R317" s="681" t="s">
        <v>710</v>
      </c>
      <c r="S317" s="682">
        <f t="shared" si="10"/>
        <v>909</v>
      </c>
      <c r="T317" s="683"/>
      <c r="U317" s="625">
        <f t="shared" si="651"/>
        <v>110</v>
      </c>
      <c r="V317" s="625">
        <f t="shared" si="652"/>
        <v>210</v>
      </c>
      <c r="W317" s="625">
        <f t="shared" si="653"/>
        <v>241</v>
      </c>
      <c r="X317" s="625">
        <f t="shared" si="654"/>
        <v>170</v>
      </c>
      <c r="Y317" s="625">
        <f t="shared" si="655"/>
        <v>178</v>
      </c>
      <c r="Z317" s="656">
        <f t="shared" si="16"/>
        <v>-147</v>
      </c>
      <c r="AA317" s="683"/>
      <c r="AB317" s="625">
        <f t="shared" si="656"/>
        <v>1</v>
      </c>
      <c r="AC317" s="625">
        <f t="shared" si="657"/>
        <v>2</v>
      </c>
      <c r="AD317" s="625">
        <f t="shared" si="658"/>
        <v>-175</v>
      </c>
      <c r="AE317" s="625">
        <f t="shared" si="659"/>
        <v>15</v>
      </c>
      <c r="AF317" s="625">
        <f t="shared" si="660"/>
        <v>10</v>
      </c>
      <c r="AG317" s="657">
        <f t="shared" si="22"/>
        <v>-0.1617161716</v>
      </c>
      <c r="AH317" s="165"/>
      <c r="AI317" s="165">
        <f t="shared" ref="AI317:AM317" si="782">AB317/U317</f>
        <v>0.009090909091</v>
      </c>
      <c r="AJ317" s="165">
        <f t="shared" si="782"/>
        <v>0.009523809524</v>
      </c>
      <c r="AK317" s="165">
        <f t="shared" si="782"/>
        <v>-0.7261410788</v>
      </c>
      <c r="AL317" s="165">
        <f t="shared" si="782"/>
        <v>0.08823529412</v>
      </c>
      <c r="AM317" s="165">
        <f t="shared" si="782"/>
        <v>0.05617977528</v>
      </c>
      <c r="AN317" s="684">
        <f t="shared" si="743"/>
        <v>218</v>
      </c>
      <c r="AO317" s="625"/>
      <c r="AP317" s="625">
        <v>92.0</v>
      </c>
      <c r="AQ317" s="625">
        <v>60.0</v>
      </c>
      <c r="AR317" s="625">
        <v>51.0</v>
      </c>
      <c r="AS317" s="625">
        <v>15.0</v>
      </c>
      <c r="AT317" s="625">
        <v>0.0</v>
      </c>
      <c r="AU317" s="684">
        <f t="shared" si="744"/>
        <v>351</v>
      </c>
      <c r="AV317" s="641"/>
      <c r="AW317" s="641">
        <v>151.0</v>
      </c>
      <c r="AX317" s="641">
        <v>119.0</v>
      </c>
      <c r="AY317" s="641">
        <v>78.0</v>
      </c>
      <c r="AZ317" s="641">
        <v>75.0</v>
      </c>
      <c r="BA317" s="691">
        <v>-72.0</v>
      </c>
      <c r="BB317" s="631"/>
      <c r="BC317" s="689" t="s">
        <v>695</v>
      </c>
      <c r="BD317" s="688" t="s">
        <v>3303</v>
      </c>
      <c r="BE317" s="739"/>
      <c r="BF317" s="739"/>
      <c r="BG317" s="739"/>
      <c r="BH317" s="739"/>
      <c r="BI317" s="739"/>
      <c r="BJ317" s="745"/>
      <c r="BK317" s="631"/>
      <c r="BL317" s="745"/>
      <c r="BM317" s="745"/>
      <c r="BN317" s="201"/>
    </row>
    <row r="318" hidden="1">
      <c r="A318" s="689"/>
      <c r="B318" s="186" t="s">
        <v>3802</v>
      </c>
      <c r="C318" s="676" t="s">
        <v>2113</v>
      </c>
      <c r="D318" s="677">
        <v>617.0</v>
      </c>
      <c r="E318" s="632" t="s">
        <v>3803</v>
      </c>
      <c r="F318" s="678">
        <f t="shared" ref="F318:G318" si="783">H318+J318+L318+N318+P318</f>
        <v>1849.9</v>
      </c>
      <c r="G318" s="679">
        <f t="shared" si="783"/>
        <v>373.6</v>
      </c>
      <c r="H318" s="641">
        <v>573.8</v>
      </c>
      <c r="I318" s="680">
        <v>307.7</v>
      </c>
      <c r="J318" s="641">
        <v>585.8</v>
      </c>
      <c r="K318" s="680">
        <v>68.7</v>
      </c>
      <c r="L318" s="641">
        <v>103.1</v>
      </c>
      <c r="M318" s="680">
        <v>-25.8</v>
      </c>
      <c r="N318" s="641">
        <v>334.7</v>
      </c>
      <c r="O318" s="680">
        <v>-0.7</v>
      </c>
      <c r="P318" s="641">
        <v>252.5</v>
      </c>
      <c r="Q318" s="680">
        <v>23.7</v>
      </c>
      <c r="R318" s="681" t="s">
        <v>702</v>
      </c>
      <c r="S318" s="682">
        <f t="shared" si="10"/>
        <v>1849.9</v>
      </c>
      <c r="T318" s="683"/>
      <c r="U318" s="625">
        <f t="shared" si="651"/>
        <v>573.8</v>
      </c>
      <c r="V318" s="625">
        <f t="shared" si="652"/>
        <v>585.8</v>
      </c>
      <c r="W318" s="625">
        <f t="shared" si="653"/>
        <v>103.1</v>
      </c>
      <c r="X318" s="625">
        <f t="shared" si="654"/>
        <v>334.7</v>
      </c>
      <c r="Y318" s="625">
        <f t="shared" si="655"/>
        <v>252.5</v>
      </c>
      <c r="Z318" s="656">
        <f t="shared" si="16"/>
        <v>373.6</v>
      </c>
      <c r="AA318" s="683"/>
      <c r="AB318" s="625">
        <f t="shared" si="656"/>
        <v>307.7</v>
      </c>
      <c r="AC318" s="625">
        <f t="shared" si="657"/>
        <v>68.7</v>
      </c>
      <c r="AD318" s="625">
        <f t="shared" si="658"/>
        <v>-25.8</v>
      </c>
      <c r="AE318" s="625">
        <f t="shared" si="659"/>
        <v>-0.7</v>
      </c>
      <c r="AF318" s="625">
        <f t="shared" si="660"/>
        <v>23.7</v>
      </c>
      <c r="AG318" s="657">
        <f t="shared" si="22"/>
        <v>0.2019568625</v>
      </c>
      <c r="AH318" s="165"/>
      <c r="AI318" s="165">
        <f t="shared" ref="AI318:AM318" si="784">AB318/U318</f>
        <v>0.5362495643</v>
      </c>
      <c r="AJ318" s="165">
        <f t="shared" si="784"/>
        <v>0.1172755207</v>
      </c>
      <c r="AK318" s="165">
        <f t="shared" si="784"/>
        <v>-0.250242483</v>
      </c>
      <c r="AL318" s="165">
        <f t="shared" si="784"/>
        <v>-0.002091425157</v>
      </c>
      <c r="AM318" s="165">
        <f t="shared" si="784"/>
        <v>0.09386138614</v>
      </c>
      <c r="AN318" s="684">
        <f t="shared" si="743"/>
        <v>3924</v>
      </c>
      <c r="AO318" s="625"/>
      <c r="AP318" s="625">
        <v>1727.0</v>
      </c>
      <c r="AQ318" s="625">
        <v>513.0</v>
      </c>
      <c r="AR318" s="625">
        <v>625.0</v>
      </c>
      <c r="AS318" s="625">
        <v>263.0</v>
      </c>
      <c r="AT318" s="625">
        <v>796.0</v>
      </c>
      <c r="AU318" s="684">
        <f t="shared" si="744"/>
        <v>0</v>
      </c>
      <c r="AV318" s="180"/>
      <c r="AW318" s="180">
        <v>0.0</v>
      </c>
      <c r="AX318" s="180">
        <v>0.0</v>
      </c>
      <c r="AY318" s="180">
        <v>0.0</v>
      </c>
      <c r="AZ318" s="180">
        <v>0.0</v>
      </c>
      <c r="BA318" s="686">
        <v>0.0</v>
      </c>
      <c r="BB318" s="631"/>
      <c r="BC318" s="689" t="s">
        <v>695</v>
      </c>
      <c r="BD318" s="688" t="s">
        <v>3303</v>
      </c>
      <c r="BE318" s="144"/>
      <c r="BF318" s="144"/>
      <c r="BG318" s="144"/>
      <c r="BH318" s="144"/>
      <c r="BI318" s="144"/>
      <c r="BJ318" s="745"/>
      <c r="BK318" s="631"/>
      <c r="BL318" s="745"/>
      <c r="BM318" s="745"/>
      <c r="BN318" s="201"/>
    </row>
    <row r="319" hidden="1">
      <c r="A319" s="689"/>
      <c r="B319" s="186" t="s">
        <v>3804</v>
      </c>
      <c r="C319" s="676" t="s">
        <v>2113</v>
      </c>
      <c r="D319" s="677">
        <v>618.0</v>
      </c>
      <c r="E319" s="632" t="s">
        <v>3805</v>
      </c>
      <c r="F319" s="678">
        <f t="shared" ref="F319:G319" si="785">H319+J319+L319+N319+P319</f>
        <v>3566.5</v>
      </c>
      <c r="G319" s="679">
        <f t="shared" si="785"/>
        <v>627.4</v>
      </c>
      <c r="H319" s="641">
        <v>402.3</v>
      </c>
      <c r="I319" s="680">
        <v>162.0</v>
      </c>
      <c r="J319" s="641">
        <v>924.5</v>
      </c>
      <c r="K319" s="680">
        <v>130.6</v>
      </c>
      <c r="L319" s="641">
        <v>889.5</v>
      </c>
      <c r="M319" s="680">
        <v>114.2</v>
      </c>
      <c r="N319" s="641">
        <v>701.8</v>
      </c>
      <c r="O319" s="680">
        <v>117.2</v>
      </c>
      <c r="P319" s="641">
        <v>648.4</v>
      </c>
      <c r="Q319" s="680">
        <v>103.4</v>
      </c>
      <c r="R319" s="681" t="s">
        <v>706</v>
      </c>
      <c r="S319" s="682">
        <f t="shared" si="10"/>
        <v>3566.5</v>
      </c>
      <c r="T319" s="683"/>
      <c r="U319" s="625">
        <f t="shared" si="651"/>
        <v>402.3</v>
      </c>
      <c r="V319" s="625">
        <f t="shared" si="652"/>
        <v>924.5</v>
      </c>
      <c r="W319" s="625">
        <f t="shared" si="653"/>
        <v>889.5</v>
      </c>
      <c r="X319" s="625">
        <f t="shared" si="654"/>
        <v>701.8</v>
      </c>
      <c r="Y319" s="625">
        <f t="shared" si="655"/>
        <v>648.4</v>
      </c>
      <c r="Z319" s="656">
        <f t="shared" si="16"/>
        <v>627.4</v>
      </c>
      <c r="AA319" s="683"/>
      <c r="AB319" s="625">
        <f t="shared" si="656"/>
        <v>162</v>
      </c>
      <c r="AC319" s="625">
        <f t="shared" si="657"/>
        <v>130.6</v>
      </c>
      <c r="AD319" s="625">
        <f t="shared" si="658"/>
        <v>114.2</v>
      </c>
      <c r="AE319" s="625">
        <f t="shared" si="659"/>
        <v>117.2</v>
      </c>
      <c r="AF319" s="625">
        <f t="shared" si="660"/>
        <v>103.4</v>
      </c>
      <c r="AG319" s="657">
        <f t="shared" si="22"/>
        <v>0.1759147624</v>
      </c>
      <c r="AH319" s="165"/>
      <c r="AI319" s="165">
        <f t="shared" ref="AI319:AM319" si="786">AB319/U319</f>
        <v>0.4026845638</v>
      </c>
      <c r="AJ319" s="165">
        <f t="shared" si="786"/>
        <v>0.1412655489</v>
      </c>
      <c r="AK319" s="165">
        <f t="shared" si="786"/>
        <v>0.1283867341</v>
      </c>
      <c r="AL319" s="165">
        <f t="shared" si="786"/>
        <v>0.1669991451</v>
      </c>
      <c r="AM319" s="165">
        <f t="shared" si="786"/>
        <v>0.1594694633</v>
      </c>
      <c r="AN319" s="684">
        <f t="shared" si="743"/>
        <v>1250</v>
      </c>
      <c r="AO319" s="625"/>
      <c r="AP319" s="625">
        <v>0.0</v>
      </c>
      <c r="AQ319" s="625">
        <v>500.0</v>
      </c>
      <c r="AR319" s="625">
        <v>300.0</v>
      </c>
      <c r="AS319" s="625">
        <v>250.0</v>
      </c>
      <c r="AT319" s="625">
        <v>200.0</v>
      </c>
      <c r="AU319" s="684">
        <f t="shared" si="744"/>
        <v>1177.2</v>
      </c>
      <c r="AV319" s="625"/>
      <c r="AW319" s="625">
        <v>255.0</v>
      </c>
      <c r="AX319" s="625">
        <v>247.5</v>
      </c>
      <c r="AY319" s="625">
        <v>237.3</v>
      </c>
      <c r="AZ319" s="625">
        <v>224.1</v>
      </c>
      <c r="BA319" s="693">
        <v>213.3</v>
      </c>
      <c r="BB319" s="631"/>
      <c r="BC319" s="689" t="s">
        <v>695</v>
      </c>
      <c r="BD319" s="688" t="s">
        <v>3303</v>
      </c>
      <c r="BE319" s="179" t="s">
        <v>3304</v>
      </c>
      <c r="BF319" s="179" t="s">
        <v>3305</v>
      </c>
      <c r="BG319" s="179" t="s">
        <v>3306</v>
      </c>
      <c r="BH319" s="179" t="s">
        <v>3307</v>
      </c>
      <c r="BI319" s="179" t="s">
        <v>3308</v>
      </c>
      <c r="BJ319" s="745"/>
      <c r="BK319" s="631"/>
      <c r="BL319" s="745"/>
      <c r="BM319" s="745"/>
      <c r="BN319" s="201"/>
    </row>
    <row r="320" hidden="1">
      <c r="A320" s="689"/>
      <c r="B320" s="186" t="s">
        <v>3806</v>
      </c>
      <c r="C320" s="676" t="s">
        <v>2113</v>
      </c>
      <c r="D320" s="677">
        <v>623.0</v>
      </c>
      <c r="E320" s="632" t="s">
        <v>3807</v>
      </c>
      <c r="F320" s="678">
        <f t="shared" ref="F320:G320" si="787">H320+J320+L320+N320+P320</f>
        <v>1351.6</v>
      </c>
      <c r="G320" s="679">
        <f t="shared" si="787"/>
        <v>240.5</v>
      </c>
      <c r="H320" s="641">
        <v>485.6</v>
      </c>
      <c r="I320" s="680">
        <v>223.6</v>
      </c>
      <c r="J320" s="641">
        <v>248.7</v>
      </c>
      <c r="K320" s="680">
        <v>63.4</v>
      </c>
      <c r="L320" s="641">
        <v>183.9</v>
      </c>
      <c r="M320" s="680">
        <v>73.4</v>
      </c>
      <c r="N320" s="641">
        <v>281.8</v>
      </c>
      <c r="O320" s="680">
        <v>6.2</v>
      </c>
      <c r="P320" s="641">
        <v>151.6</v>
      </c>
      <c r="Q320" s="680">
        <v>-126.1</v>
      </c>
      <c r="R320" s="681" t="s">
        <v>702</v>
      </c>
      <c r="S320" s="682">
        <f t="shared" si="10"/>
        <v>1351.6</v>
      </c>
      <c r="T320" s="683"/>
      <c r="U320" s="625">
        <f t="shared" si="651"/>
        <v>485.6</v>
      </c>
      <c r="V320" s="625">
        <f t="shared" si="652"/>
        <v>248.7</v>
      </c>
      <c r="W320" s="625">
        <f t="shared" si="653"/>
        <v>183.9</v>
      </c>
      <c r="X320" s="625">
        <f t="shared" si="654"/>
        <v>281.8</v>
      </c>
      <c r="Y320" s="625">
        <f t="shared" si="655"/>
        <v>151.6</v>
      </c>
      <c r="Z320" s="656">
        <f t="shared" si="16"/>
        <v>240.5</v>
      </c>
      <c r="AA320" s="683"/>
      <c r="AB320" s="625">
        <f t="shared" si="656"/>
        <v>223.6</v>
      </c>
      <c r="AC320" s="625">
        <f t="shared" si="657"/>
        <v>63.4</v>
      </c>
      <c r="AD320" s="625">
        <f t="shared" si="658"/>
        <v>73.4</v>
      </c>
      <c r="AE320" s="625">
        <f t="shared" si="659"/>
        <v>6.2</v>
      </c>
      <c r="AF320" s="625">
        <f t="shared" si="660"/>
        <v>-126.1</v>
      </c>
      <c r="AG320" s="657">
        <f t="shared" si="22"/>
        <v>0.1779372595</v>
      </c>
      <c r="AH320" s="165"/>
      <c r="AI320" s="165">
        <f t="shared" ref="AI320:AM320" si="788">AB320/U320</f>
        <v>0.460461285</v>
      </c>
      <c r="AJ320" s="165">
        <f t="shared" si="788"/>
        <v>0.2549256132</v>
      </c>
      <c r="AK320" s="165">
        <f t="shared" si="788"/>
        <v>0.3991299619</v>
      </c>
      <c r="AL320" s="165">
        <f t="shared" si="788"/>
        <v>0.02200141945</v>
      </c>
      <c r="AM320" s="165">
        <f t="shared" si="788"/>
        <v>-0.8317941953</v>
      </c>
      <c r="AN320" s="684">
        <f t="shared" si="743"/>
        <v>2452</v>
      </c>
      <c r="AO320" s="625"/>
      <c r="AP320" s="625">
        <v>315.0</v>
      </c>
      <c r="AQ320" s="625">
        <v>444.0</v>
      </c>
      <c r="AR320" s="625">
        <v>381.0</v>
      </c>
      <c r="AS320" s="625">
        <v>555.0</v>
      </c>
      <c r="AT320" s="625">
        <v>757.0</v>
      </c>
      <c r="AU320" s="684">
        <f t="shared" si="744"/>
        <v>1303</v>
      </c>
      <c r="AV320" s="625"/>
      <c r="AW320" s="625">
        <v>270.4</v>
      </c>
      <c r="AX320" s="625">
        <v>259.1</v>
      </c>
      <c r="AY320" s="625">
        <v>264.1</v>
      </c>
      <c r="AZ320" s="625">
        <v>260.1</v>
      </c>
      <c r="BA320" s="693">
        <v>249.3</v>
      </c>
      <c r="BB320" s="631"/>
      <c r="BC320" s="689" t="s">
        <v>695</v>
      </c>
      <c r="BD320" s="688" t="s">
        <v>3303</v>
      </c>
      <c r="BE320" s="201"/>
      <c r="BF320" s="201"/>
      <c r="BG320" s="201"/>
      <c r="BH320" s="201"/>
      <c r="BI320" s="201"/>
      <c r="BJ320" s="745"/>
      <c r="BK320" s="631"/>
      <c r="BL320" s="745"/>
      <c r="BM320" s="745"/>
      <c r="BN320" s="201"/>
    </row>
    <row r="321" hidden="1">
      <c r="A321" s="689"/>
      <c r="B321" s="186" t="s">
        <v>3808</v>
      </c>
      <c r="C321" s="676" t="s">
        <v>2113</v>
      </c>
      <c r="D321" s="677">
        <v>638.0</v>
      </c>
      <c r="E321" s="632" t="s">
        <v>3809</v>
      </c>
      <c r="F321" s="678">
        <f t="shared" ref="F321:G321" si="789">H321+J321+L321+N321+P321</f>
        <v>828.8</v>
      </c>
      <c r="G321" s="679">
        <f t="shared" si="789"/>
        <v>183.25</v>
      </c>
      <c r="H321" s="641">
        <v>155.7</v>
      </c>
      <c r="I321" s="680">
        <v>45.88</v>
      </c>
      <c r="J321" s="641">
        <v>238.2</v>
      </c>
      <c r="K321" s="680">
        <v>54.39</v>
      </c>
      <c r="L321" s="641">
        <v>100.5</v>
      </c>
      <c r="M321" s="680">
        <v>38.18</v>
      </c>
      <c r="N321" s="641">
        <v>190.2</v>
      </c>
      <c r="O321" s="680">
        <v>25.14</v>
      </c>
      <c r="P321" s="641">
        <v>144.2</v>
      </c>
      <c r="Q321" s="680">
        <v>19.66</v>
      </c>
      <c r="R321" s="681" t="s">
        <v>698</v>
      </c>
      <c r="S321" s="682">
        <f t="shared" si="10"/>
        <v>828.8</v>
      </c>
      <c r="T321" s="683"/>
      <c r="U321" s="625">
        <f t="shared" si="651"/>
        <v>155.7</v>
      </c>
      <c r="V321" s="625">
        <f t="shared" si="652"/>
        <v>238.2</v>
      </c>
      <c r="W321" s="625">
        <f t="shared" si="653"/>
        <v>100.5</v>
      </c>
      <c r="X321" s="625">
        <f t="shared" si="654"/>
        <v>190.2</v>
      </c>
      <c r="Y321" s="625">
        <f t="shared" si="655"/>
        <v>144.2</v>
      </c>
      <c r="Z321" s="656">
        <f t="shared" si="16"/>
        <v>183.25</v>
      </c>
      <c r="AA321" s="683"/>
      <c r="AB321" s="625">
        <f t="shared" si="656"/>
        <v>45.88</v>
      </c>
      <c r="AC321" s="625">
        <f t="shared" si="657"/>
        <v>54.39</v>
      </c>
      <c r="AD321" s="625">
        <f t="shared" si="658"/>
        <v>38.18</v>
      </c>
      <c r="AE321" s="625">
        <f t="shared" si="659"/>
        <v>25.14</v>
      </c>
      <c r="AF321" s="625">
        <f t="shared" si="660"/>
        <v>19.66</v>
      </c>
      <c r="AG321" s="657">
        <f t="shared" si="22"/>
        <v>0.2211027992</v>
      </c>
      <c r="AH321" s="165"/>
      <c r="AI321" s="165">
        <f t="shared" ref="AI321:AM321" si="790">AB321/U321</f>
        <v>0.2946692357</v>
      </c>
      <c r="AJ321" s="165">
        <f t="shared" si="790"/>
        <v>0.2283375315</v>
      </c>
      <c r="AK321" s="165">
        <f t="shared" si="790"/>
        <v>0.3799004975</v>
      </c>
      <c r="AL321" s="165">
        <f t="shared" si="790"/>
        <v>0.1321766562</v>
      </c>
      <c r="AM321" s="165">
        <f t="shared" si="790"/>
        <v>0.1363384189</v>
      </c>
      <c r="AN321" s="684">
        <f t="shared" si="743"/>
        <v>209.5</v>
      </c>
      <c r="AO321" s="641"/>
      <c r="AP321" s="641">
        <v>60.3</v>
      </c>
      <c r="AQ321" s="641">
        <v>9.8</v>
      </c>
      <c r="AR321" s="641">
        <v>10.6</v>
      </c>
      <c r="AS321" s="641">
        <v>16.4</v>
      </c>
      <c r="AT321" s="641">
        <v>112.4</v>
      </c>
      <c r="AU321" s="684">
        <f t="shared" si="744"/>
        <v>1057.3</v>
      </c>
      <c r="AV321" s="625"/>
      <c r="AW321" s="625">
        <v>229.2</v>
      </c>
      <c r="AX321" s="625">
        <v>218.3</v>
      </c>
      <c r="AY321" s="625">
        <v>211.5</v>
      </c>
      <c r="AZ321" s="625">
        <v>204.6</v>
      </c>
      <c r="BA321" s="693">
        <v>193.7</v>
      </c>
      <c r="BB321" s="631"/>
      <c r="BC321" s="689" t="s">
        <v>695</v>
      </c>
      <c r="BD321" s="688" t="s">
        <v>3303</v>
      </c>
      <c r="BE321" s="201"/>
      <c r="BF321" s="201"/>
      <c r="BG321" s="201"/>
      <c r="BH321" s="201"/>
      <c r="BI321" s="201"/>
      <c r="BJ321" s="745"/>
      <c r="BK321" s="631"/>
      <c r="BL321" s="745"/>
      <c r="BM321" s="745"/>
      <c r="BN321" s="201"/>
    </row>
    <row r="322" hidden="1">
      <c r="A322" s="426"/>
      <c r="B322" s="186" t="s">
        <v>3810</v>
      </c>
      <c r="C322" s="676" t="s">
        <v>2113</v>
      </c>
      <c r="D322" s="677">
        <v>646.0</v>
      </c>
      <c r="E322" s="632" t="s">
        <v>3811</v>
      </c>
      <c r="F322" s="678">
        <f t="shared" ref="F322:G322" si="791">H322+J322+L322+N322+P322</f>
        <v>13244</v>
      </c>
      <c r="G322" s="679">
        <f t="shared" si="791"/>
        <v>2562.9</v>
      </c>
      <c r="H322" s="641">
        <v>3115.0</v>
      </c>
      <c r="I322" s="680">
        <v>621.0</v>
      </c>
      <c r="J322" s="641">
        <v>2554.8</v>
      </c>
      <c r="K322" s="680">
        <v>509.2</v>
      </c>
      <c r="L322" s="641">
        <v>2500.6</v>
      </c>
      <c r="M322" s="680">
        <v>488.4</v>
      </c>
      <c r="N322" s="641">
        <v>2511.0</v>
      </c>
      <c r="O322" s="680">
        <v>419.5</v>
      </c>
      <c r="P322" s="641">
        <v>2562.6</v>
      </c>
      <c r="Q322" s="680">
        <v>524.8</v>
      </c>
      <c r="R322" s="681" t="s">
        <v>710</v>
      </c>
      <c r="S322" s="682">
        <f t="shared" si="10"/>
        <v>13244</v>
      </c>
      <c r="T322" s="683"/>
      <c r="U322" s="625">
        <f t="shared" si="651"/>
        <v>3115</v>
      </c>
      <c r="V322" s="625">
        <f t="shared" si="652"/>
        <v>2554.8</v>
      </c>
      <c r="W322" s="625">
        <f t="shared" si="653"/>
        <v>2500.6</v>
      </c>
      <c r="X322" s="625">
        <f t="shared" si="654"/>
        <v>2511</v>
      </c>
      <c r="Y322" s="625">
        <f t="shared" si="655"/>
        <v>2562.6</v>
      </c>
      <c r="Z322" s="656">
        <f t="shared" si="16"/>
        <v>2562.9</v>
      </c>
      <c r="AA322" s="683"/>
      <c r="AB322" s="625">
        <f t="shared" si="656"/>
        <v>621</v>
      </c>
      <c r="AC322" s="625">
        <f t="shared" si="657"/>
        <v>509.2</v>
      </c>
      <c r="AD322" s="625">
        <f t="shared" si="658"/>
        <v>488.4</v>
      </c>
      <c r="AE322" s="625">
        <f t="shared" si="659"/>
        <v>419.5</v>
      </c>
      <c r="AF322" s="625">
        <f t="shared" si="660"/>
        <v>524.8</v>
      </c>
      <c r="AG322" s="657">
        <f t="shared" si="22"/>
        <v>0.1935140441</v>
      </c>
      <c r="AH322" s="165"/>
      <c r="AI322" s="165">
        <f t="shared" ref="AI322:AM322" si="792">AB322/U322</f>
        <v>0.1993579454</v>
      </c>
      <c r="AJ322" s="165">
        <f t="shared" si="792"/>
        <v>0.1993111007</v>
      </c>
      <c r="AK322" s="165">
        <f t="shared" si="792"/>
        <v>0.1953131249</v>
      </c>
      <c r="AL322" s="165">
        <f t="shared" si="792"/>
        <v>0.1670649144</v>
      </c>
      <c r="AM322" s="165">
        <f t="shared" si="792"/>
        <v>0.2047920081</v>
      </c>
      <c r="AN322" s="684">
        <f t="shared" si="743"/>
        <v>0</v>
      </c>
      <c r="AO322" s="180"/>
      <c r="AP322" s="180">
        <v>0.0</v>
      </c>
      <c r="AQ322" s="180">
        <v>0.0</v>
      </c>
      <c r="AR322" s="180">
        <v>0.0</v>
      </c>
      <c r="AS322" s="180">
        <v>0.0</v>
      </c>
      <c r="AT322" s="180">
        <v>0.0</v>
      </c>
      <c r="AU322" s="684">
        <f t="shared" si="744"/>
        <v>10778.6</v>
      </c>
      <c r="AV322" s="625"/>
      <c r="AW322" s="625">
        <v>2633.5</v>
      </c>
      <c r="AX322" s="625">
        <v>2189.3</v>
      </c>
      <c r="AY322" s="625">
        <v>2110.0</v>
      </c>
      <c r="AZ322" s="625">
        <v>1695.9</v>
      </c>
      <c r="BA322" s="693">
        <v>2149.9</v>
      </c>
      <c r="BB322" s="631"/>
      <c r="BC322" s="189" t="s">
        <v>695</v>
      </c>
      <c r="BD322" s="688" t="s">
        <v>3303</v>
      </c>
      <c r="BE322" s="179" t="s">
        <v>3304</v>
      </c>
      <c r="BF322" s="179" t="s">
        <v>3305</v>
      </c>
      <c r="BG322" s="179" t="s">
        <v>3306</v>
      </c>
      <c r="BH322" s="179" t="s">
        <v>3307</v>
      </c>
      <c r="BI322" s="179" t="s">
        <v>3308</v>
      </c>
      <c r="BJ322" s="745"/>
      <c r="BK322" s="631"/>
      <c r="BL322" s="745"/>
      <c r="BM322" s="745"/>
      <c r="BN322" s="201"/>
    </row>
    <row r="323" hidden="1">
      <c r="A323" s="689"/>
      <c r="B323" s="186" t="s">
        <v>3812</v>
      </c>
      <c r="C323" s="676" t="s">
        <v>2113</v>
      </c>
      <c r="D323" s="677">
        <v>651.0</v>
      </c>
      <c r="E323" s="632" t="s">
        <v>3813</v>
      </c>
      <c r="F323" s="678">
        <f t="shared" ref="F323:G323" si="793">H323+J323+L323+N323+P323</f>
        <v>1924.2</v>
      </c>
      <c r="G323" s="679">
        <f t="shared" si="793"/>
        <v>301.6</v>
      </c>
      <c r="H323" s="641">
        <v>504.7</v>
      </c>
      <c r="I323" s="680">
        <v>120.3</v>
      </c>
      <c r="J323" s="641">
        <v>334.5</v>
      </c>
      <c r="K323" s="680">
        <v>43.3</v>
      </c>
      <c r="L323" s="641">
        <v>355.9</v>
      </c>
      <c r="M323" s="680">
        <v>60.7</v>
      </c>
      <c r="N323" s="641">
        <v>390.1</v>
      </c>
      <c r="O323" s="680">
        <v>65.0</v>
      </c>
      <c r="P323" s="641">
        <v>339.0</v>
      </c>
      <c r="Q323" s="680">
        <v>12.3</v>
      </c>
      <c r="R323" s="681" t="s">
        <v>700</v>
      </c>
      <c r="S323" s="682">
        <f t="shared" si="10"/>
        <v>1924.2</v>
      </c>
      <c r="T323" s="683"/>
      <c r="U323" s="625">
        <f t="shared" si="651"/>
        <v>504.7</v>
      </c>
      <c r="V323" s="625">
        <f t="shared" si="652"/>
        <v>334.5</v>
      </c>
      <c r="W323" s="625">
        <f t="shared" si="653"/>
        <v>355.9</v>
      </c>
      <c r="X323" s="625">
        <f t="shared" si="654"/>
        <v>390.1</v>
      </c>
      <c r="Y323" s="625">
        <f t="shared" si="655"/>
        <v>339</v>
      </c>
      <c r="Z323" s="656">
        <f t="shared" si="16"/>
        <v>301.6</v>
      </c>
      <c r="AA323" s="683"/>
      <c r="AB323" s="625">
        <f t="shared" si="656"/>
        <v>120.3</v>
      </c>
      <c r="AC323" s="625">
        <f t="shared" si="657"/>
        <v>43.3</v>
      </c>
      <c r="AD323" s="625">
        <f t="shared" si="658"/>
        <v>60.7</v>
      </c>
      <c r="AE323" s="625">
        <f t="shared" si="659"/>
        <v>65</v>
      </c>
      <c r="AF323" s="625">
        <f t="shared" si="660"/>
        <v>12.3</v>
      </c>
      <c r="AG323" s="657">
        <f t="shared" si="22"/>
        <v>0.1567404636</v>
      </c>
      <c r="AH323" s="165"/>
      <c r="AI323" s="165">
        <f t="shared" ref="AI323:AM323" si="794">AB323/U323</f>
        <v>0.2383594214</v>
      </c>
      <c r="AJ323" s="165">
        <f t="shared" si="794"/>
        <v>0.1294469357</v>
      </c>
      <c r="AK323" s="165">
        <f t="shared" si="794"/>
        <v>0.1705535263</v>
      </c>
      <c r="AL323" s="165">
        <f t="shared" si="794"/>
        <v>0.1666239426</v>
      </c>
      <c r="AM323" s="165">
        <f t="shared" si="794"/>
        <v>0.03628318584</v>
      </c>
      <c r="AN323" s="684">
        <f t="shared" si="743"/>
        <v>309.5</v>
      </c>
      <c r="AO323" s="625"/>
      <c r="AP323" s="625">
        <v>182.0</v>
      </c>
      <c r="AQ323" s="625">
        <v>11.2</v>
      </c>
      <c r="AR323" s="625">
        <v>41.3</v>
      </c>
      <c r="AS323" s="625">
        <v>35.0</v>
      </c>
      <c r="AT323" s="625">
        <v>40.0</v>
      </c>
      <c r="AU323" s="684">
        <f t="shared" si="744"/>
        <v>1006.8</v>
      </c>
      <c r="AV323" s="625"/>
      <c r="AW323" s="625">
        <v>229.6</v>
      </c>
      <c r="AX323" s="625">
        <v>216.9</v>
      </c>
      <c r="AY323" s="625">
        <v>201.4</v>
      </c>
      <c r="AZ323" s="625">
        <v>186.6</v>
      </c>
      <c r="BA323" s="693">
        <v>172.3</v>
      </c>
      <c r="BB323" s="631"/>
      <c r="BC323" s="689" t="s">
        <v>695</v>
      </c>
      <c r="BD323" s="688" t="s">
        <v>3303</v>
      </c>
      <c r="BE323" s="201"/>
      <c r="BF323" s="201"/>
      <c r="BG323" s="201"/>
      <c r="BH323" s="201"/>
      <c r="BI323" s="201"/>
      <c r="BJ323" s="745"/>
      <c r="BK323" s="631"/>
      <c r="BL323" s="745"/>
      <c r="BM323" s="745"/>
      <c r="BN323" s="201"/>
    </row>
    <row r="324" hidden="1">
      <c r="A324" s="689"/>
      <c r="B324" s="186" t="s">
        <v>3814</v>
      </c>
      <c r="C324" s="676" t="s">
        <v>2113</v>
      </c>
      <c r="D324" s="677">
        <v>661.0</v>
      </c>
      <c r="E324" s="632" t="s">
        <v>3815</v>
      </c>
      <c r="F324" s="678">
        <f t="shared" ref="F324:G324" si="795">H324+J324+L324+N324+P324</f>
        <v>3913.07</v>
      </c>
      <c r="G324" s="679">
        <f t="shared" si="795"/>
        <v>703</v>
      </c>
      <c r="H324" s="641">
        <v>964.41</v>
      </c>
      <c r="I324" s="680">
        <v>185.4</v>
      </c>
      <c r="J324" s="641">
        <v>859.58</v>
      </c>
      <c r="K324" s="680">
        <v>152.9</v>
      </c>
      <c r="L324" s="641">
        <v>671.36</v>
      </c>
      <c r="M324" s="680">
        <v>136.8</v>
      </c>
      <c r="N324" s="641">
        <v>723.64</v>
      </c>
      <c r="O324" s="680">
        <v>110.0</v>
      </c>
      <c r="P324" s="641">
        <v>694.08</v>
      </c>
      <c r="Q324" s="680">
        <v>117.9</v>
      </c>
      <c r="R324" s="681" t="s">
        <v>722</v>
      </c>
      <c r="S324" s="682">
        <f t="shared" si="10"/>
        <v>3913.07</v>
      </c>
      <c r="T324" s="683"/>
      <c r="U324" s="625">
        <f t="shared" si="651"/>
        <v>964.41</v>
      </c>
      <c r="V324" s="625">
        <f t="shared" si="652"/>
        <v>859.58</v>
      </c>
      <c r="W324" s="625">
        <f t="shared" si="653"/>
        <v>671.36</v>
      </c>
      <c r="X324" s="625">
        <f t="shared" si="654"/>
        <v>723.64</v>
      </c>
      <c r="Y324" s="625">
        <f t="shared" si="655"/>
        <v>694.08</v>
      </c>
      <c r="Z324" s="656">
        <f t="shared" si="16"/>
        <v>703</v>
      </c>
      <c r="AA324" s="683"/>
      <c r="AB324" s="625">
        <f t="shared" si="656"/>
        <v>185.4</v>
      </c>
      <c r="AC324" s="625">
        <f t="shared" si="657"/>
        <v>152.9</v>
      </c>
      <c r="AD324" s="625">
        <f t="shared" si="658"/>
        <v>136.8</v>
      </c>
      <c r="AE324" s="625">
        <f t="shared" si="659"/>
        <v>110</v>
      </c>
      <c r="AF324" s="625">
        <f t="shared" si="660"/>
        <v>117.9</v>
      </c>
      <c r="AG324" s="657">
        <f t="shared" si="22"/>
        <v>0.1796543379</v>
      </c>
      <c r="AH324" s="165"/>
      <c r="AI324" s="165">
        <f t="shared" ref="AI324:AM324" si="796">AB324/U324</f>
        <v>0.1922418888</v>
      </c>
      <c r="AJ324" s="165">
        <f t="shared" si="796"/>
        <v>0.1778775681</v>
      </c>
      <c r="AK324" s="165">
        <f t="shared" si="796"/>
        <v>0.2037654909</v>
      </c>
      <c r="AL324" s="165">
        <f t="shared" si="796"/>
        <v>0.1520092864</v>
      </c>
      <c r="AM324" s="165">
        <f t="shared" si="796"/>
        <v>0.1698651452</v>
      </c>
      <c r="AN324" s="684">
        <f t="shared" si="743"/>
        <v>1325</v>
      </c>
      <c r="AO324" s="625"/>
      <c r="AP324" s="625">
        <v>198.0</v>
      </c>
      <c r="AQ324" s="625">
        <v>431.0</v>
      </c>
      <c r="AR324" s="625">
        <v>174.0</v>
      </c>
      <c r="AS324" s="625">
        <v>238.0</v>
      </c>
      <c r="AT324" s="625">
        <v>284.0</v>
      </c>
      <c r="AU324" s="684">
        <f t="shared" si="744"/>
        <v>1240.8</v>
      </c>
      <c r="AV324" s="625"/>
      <c r="AW324" s="625">
        <v>313.1</v>
      </c>
      <c r="AX324" s="625">
        <v>275.8</v>
      </c>
      <c r="AY324" s="625">
        <v>243.3</v>
      </c>
      <c r="AZ324" s="625">
        <v>216.6</v>
      </c>
      <c r="BA324" s="693">
        <v>192.0</v>
      </c>
      <c r="BB324" s="631"/>
      <c r="BC324" s="689" t="s">
        <v>695</v>
      </c>
      <c r="BD324" s="688" t="s">
        <v>3303</v>
      </c>
      <c r="BE324" s="179" t="s">
        <v>3304</v>
      </c>
      <c r="BF324" s="179" t="s">
        <v>3305</v>
      </c>
      <c r="BG324" s="179" t="s">
        <v>3306</v>
      </c>
      <c r="BH324" s="179" t="s">
        <v>3307</v>
      </c>
      <c r="BI324" s="179" t="s">
        <v>3308</v>
      </c>
      <c r="BJ324" s="745"/>
      <c r="BK324" s="631"/>
      <c r="BL324" s="745"/>
      <c r="BM324" s="745"/>
      <c r="BN324" s="201"/>
    </row>
    <row r="325" hidden="1">
      <c r="A325" s="426"/>
      <c r="B325" s="186" t="s">
        <v>3816</v>
      </c>
      <c r="C325" s="676" t="s">
        <v>2113</v>
      </c>
      <c r="D325" s="677">
        <v>663.0</v>
      </c>
      <c r="E325" s="632" t="s">
        <v>3817</v>
      </c>
      <c r="F325" s="678">
        <f t="shared" ref="F325:G325" si="797">H325+J325+L325+N325+P325</f>
        <v>385.76</v>
      </c>
      <c r="G325" s="679">
        <f t="shared" si="797"/>
        <v>89.78</v>
      </c>
      <c r="H325" s="641">
        <v>68.45</v>
      </c>
      <c r="I325" s="680">
        <v>20.04</v>
      </c>
      <c r="J325" s="641">
        <v>121.76</v>
      </c>
      <c r="K325" s="680">
        <v>22.74</v>
      </c>
      <c r="L325" s="641">
        <v>93.39</v>
      </c>
      <c r="M325" s="680">
        <v>19.25</v>
      </c>
      <c r="N325" s="641">
        <v>61.76</v>
      </c>
      <c r="O325" s="680">
        <v>16.94</v>
      </c>
      <c r="P325" s="641">
        <v>40.4</v>
      </c>
      <c r="Q325" s="680">
        <v>10.81</v>
      </c>
      <c r="R325" s="681" t="s">
        <v>716</v>
      </c>
      <c r="S325" s="682">
        <f t="shared" si="10"/>
        <v>385.76</v>
      </c>
      <c r="T325" s="683"/>
      <c r="U325" s="625">
        <f t="shared" si="651"/>
        <v>68.45</v>
      </c>
      <c r="V325" s="625">
        <f t="shared" si="652"/>
        <v>121.76</v>
      </c>
      <c r="W325" s="625">
        <f t="shared" si="653"/>
        <v>93.39</v>
      </c>
      <c r="X325" s="625">
        <f t="shared" si="654"/>
        <v>61.76</v>
      </c>
      <c r="Y325" s="625">
        <f t="shared" si="655"/>
        <v>40.4</v>
      </c>
      <c r="Z325" s="656">
        <f t="shared" si="16"/>
        <v>89.78</v>
      </c>
      <c r="AA325" s="683"/>
      <c r="AB325" s="625">
        <f t="shared" si="656"/>
        <v>20.04</v>
      </c>
      <c r="AC325" s="625">
        <f t="shared" si="657"/>
        <v>22.74</v>
      </c>
      <c r="AD325" s="625">
        <f t="shared" si="658"/>
        <v>19.25</v>
      </c>
      <c r="AE325" s="625">
        <f t="shared" si="659"/>
        <v>16.94</v>
      </c>
      <c r="AF325" s="625">
        <f t="shared" si="660"/>
        <v>10.81</v>
      </c>
      <c r="AG325" s="657">
        <f t="shared" si="22"/>
        <v>0.2327353795</v>
      </c>
      <c r="AH325" s="165"/>
      <c r="AI325" s="165">
        <f t="shared" ref="AI325:AM325" si="798">AB325/U325</f>
        <v>0.2927684441</v>
      </c>
      <c r="AJ325" s="165">
        <f t="shared" si="798"/>
        <v>0.186760841</v>
      </c>
      <c r="AK325" s="165">
        <f t="shared" si="798"/>
        <v>0.2061248528</v>
      </c>
      <c r="AL325" s="165">
        <f t="shared" si="798"/>
        <v>0.2742875648</v>
      </c>
      <c r="AM325" s="165">
        <f t="shared" si="798"/>
        <v>0.2675742574</v>
      </c>
      <c r="AN325" s="684">
        <f t="shared" si="743"/>
        <v>0</v>
      </c>
      <c r="AO325" s="180"/>
      <c r="AP325" s="180">
        <v>0.0</v>
      </c>
      <c r="AQ325" s="180">
        <v>0.0</v>
      </c>
      <c r="AR325" s="180">
        <v>0.0</v>
      </c>
      <c r="AS325" s="180">
        <v>0.0</v>
      </c>
      <c r="AT325" s="180">
        <v>0.0</v>
      </c>
      <c r="AU325" s="684">
        <f t="shared" si="744"/>
        <v>0</v>
      </c>
      <c r="AV325" s="180"/>
      <c r="AW325" s="180">
        <v>0.0</v>
      </c>
      <c r="AX325" s="180">
        <v>0.0</v>
      </c>
      <c r="AY325" s="180">
        <v>0.0</v>
      </c>
      <c r="AZ325" s="180">
        <v>0.0</v>
      </c>
      <c r="BA325" s="686">
        <v>0.0</v>
      </c>
      <c r="BB325" s="631"/>
      <c r="BC325" s="189" t="s">
        <v>695</v>
      </c>
      <c r="BD325" s="688" t="s">
        <v>3303</v>
      </c>
      <c r="BE325" s="144"/>
      <c r="BF325" s="144"/>
      <c r="BG325" s="144"/>
      <c r="BH325" s="144"/>
      <c r="BI325" s="144"/>
      <c r="BJ325" s="745"/>
      <c r="BK325" s="631"/>
      <c r="BL325" s="745"/>
      <c r="BM325" s="745"/>
      <c r="BN325" s="201"/>
    </row>
    <row r="326" hidden="1">
      <c r="A326" s="426"/>
      <c r="B326" s="186" t="s">
        <v>3818</v>
      </c>
      <c r="C326" s="676" t="s">
        <v>3404</v>
      </c>
      <c r="D326" s="677">
        <v>681.0</v>
      </c>
      <c r="E326" s="632" t="s">
        <v>3819</v>
      </c>
      <c r="F326" s="678">
        <f t="shared" ref="F326:G326" si="799">H326+J326+L326+N326+P326</f>
        <v>7656.4</v>
      </c>
      <c r="G326" s="679">
        <f t="shared" si="799"/>
        <v>1539.6</v>
      </c>
      <c r="H326" s="641">
        <v>1931.1</v>
      </c>
      <c r="I326" s="680">
        <v>418.1</v>
      </c>
      <c r="J326" s="641">
        <v>1720.1</v>
      </c>
      <c r="K326" s="680">
        <v>326.0</v>
      </c>
      <c r="L326" s="641">
        <v>1348.3</v>
      </c>
      <c r="M326" s="680">
        <v>271.8</v>
      </c>
      <c r="N326" s="641">
        <v>1359.6</v>
      </c>
      <c r="O326" s="680">
        <v>265.5</v>
      </c>
      <c r="P326" s="641">
        <v>1297.3</v>
      </c>
      <c r="Q326" s="680">
        <v>258.2</v>
      </c>
      <c r="R326" s="681" t="s">
        <v>696</v>
      </c>
      <c r="S326" s="682">
        <f t="shared" si="10"/>
        <v>7656.4</v>
      </c>
      <c r="T326" s="683"/>
      <c r="U326" s="625">
        <f t="shared" si="651"/>
        <v>1931.1</v>
      </c>
      <c r="V326" s="625">
        <f t="shared" si="652"/>
        <v>1720.1</v>
      </c>
      <c r="W326" s="625">
        <f t="shared" si="653"/>
        <v>1348.3</v>
      </c>
      <c r="X326" s="625">
        <f t="shared" si="654"/>
        <v>1359.6</v>
      </c>
      <c r="Y326" s="625">
        <f t="shared" si="655"/>
        <v>1297.3</v>
      </c>
      <c r="Z326" s="656">
        <f t="shared" si="16"/>
        <v>1539.6</v>
      </c>
      <c r="AA326" s="683"/>
      <c r="AB326" s="625">
        <f t="shared" si="656"/>
        <v>418.1</v>
      </c>
      <c r="AC326" s="625">
        <f t="shared" si="657"/>
        <v>326</v>
      </c>
      <c r="AD326" s="625">
        <f t="shared" si="658"/>
        <v>271.8</v>
      </c>
      <c r="AE326" s="625">
        <f t="shared" si="659"/>
        <v>265.5</v>
      </c>
      <c r="AF326" s="625">
        <f t="shared" si="660"/>
        <v>258.2</v>
      </c>
      <c r="AG326" s="657">
        <f t="shared" si="22"/>
        <v>0.2010866726</v>
      </c>
      <c r="AH326" s="165"/>
      <c r="AI326" s="165">
        <f t="shared" ref="AI326:AM326" si="800">AB326/U326</f>
        <v>0.2165087256</v>
      </c>
      <c r="AJ326" s="165">
        <f t="shared" si="800"/>
        <v>0.1895238649</v>
      </c>
      <c r="AK326" s="165">
        <f t="shared" si="800"/>
        <v>0.2015871839</v>
      </c>
      <c r="AL326" s="165">
        <f t="shared" si="800"/>
        <v>0.1952780229</v>
      </c>
      <c r="AM326" s="165">
        <f t="shared" si="800"/>
        <v>0.199028752</v>
      </c>
      <c r="AN326" s="684">
        <f t="shared" si="743"/>
        <v>530</v>
      </c>
      <c r="AO326" s="180"/>
      <c r="AP326" s="180">
        <v>0.0</v>
      </c>
      <c r="AQ326" s="625">
        <v>145.0</v>
      </c>
      <c r="AR326" s="625">
        <v>156.0</v>
      </c>
      <c r="AS326" s="625">
        <v>172.0</v>
      </c>
      <c r="AT326" s="625">
        <v>57.0</v>
      </c>
      <c r="AU326" s="684">
        <f t="shared" si="744"/>
        <v>4799.5</v>
      </c>
      <c r="AV326" s="641"/>
      <c r="AW326" s="641">
        <v>1175.0</v>
      </c>
      <c r="AX326" s="625">
        <v>999.6</v>
      </c>
      <c r="AY326" s="625">
        <v>908.7</v>
      </c>
      <c r="AZ326" s="625">
        <v>889.4</v>
      </c>
      <c r="BA326" s="693">
        <v>826.8</v>
      </c>
      <c r="BB326" s="631"/>
      <c r="BC326" s="189" t="s">
        <v>695</v>
      </c>
      <c r="BD326" s="688" t="s">
        <v>3303</v>
      </c>
      <c r="BE326" s="179" t="s">
        <v>3304</v>
      </c>
      <c r="BF326" s="179" t="s">
        <v>3305</v>
      </c>
      <c r="BG326" s="179" t="s">
        <v>3306</v>
      </c>
      <c r="BH326" s="179" t="s">
        <v>3307</v>
      </c>
      <c r="BI326" s="179" t="s">
        <v>3308</v>
      </c>
      <c r="BJ326" s="745"/>
      <c r="BK326" s="631"/>
      <c r="BL326" s="745"/>
      <c r="BM326" s="745"/>
      <c r="BN326" s="201"/>
    </row>
    <row r="327" hidden="1">
      <c r="A327" s="689"/>
      <c r="B327" s="186" t="s">
        <v>3820</v>
      </c>
      <c r="C327" s="676" t="s">
        <v>1578</v>
      </c>
      <c r="D327" s="677">
        <v>682.0</v>
      </c>
      <c r="E327" s="632" t="s">
        <v>3821</v>
      </c>
      <c r="F327" s="678">
        <f t="shared" ref="F327:G327" si="801">H327+J327+L327+N327+P327</f>
        <v>1026.59</v>
      </c>
      <c r="G327" s="679">
        <f t="shared" si="801"/>
        <v>298.3</v>
      </c>
      <c r="H327" s="641">
        <v>298.68</v>
      </c>
      <c r="I327" s="680">
        <v>115.44</v>
      </c>
      <c r="J327" s="641">
        <v>500.32</v>
      </c>
      <c r="K327" s="680">
        <v>150.62</v>
      </c>
      <c r="L327" s="641">
        <v>169.76</v>
      </c>
      <c r="M327" s="680">
        <v>21.26</v>
      </c>
      <c r="N327" s="641">
        <v>25.93</v>
      </c>
      <c r="O327" s="680">
        <v>1.04</v>
      </c>
      <c r="P327" s="641">
        <v>31.9</v>
      </c>
      <c r="Q327" s="680">
        <v>9.94</v>
      </c>
      <c r="R327" s="681" t="s">
        <v>708</v>
      </c>
      <c r="S327" s="682">
        <f t="shared" si="10"/>
        <v>1026.59</v>
      </c>
      <c r="T327" s="683"/>
      <c r="U327" s="625">
        <f t="shared" si="651"/>
        <v>298.68</v>
      </c>
      <c r="V327" s="625">
        <f t="shared" si="652"/>
        <v>500.32</v>
      </c>
      <c r="W327" s="625">
        <f t="shared" si="653"/>
        <v>169.76</v>
      </c>
      <c r="X327" s="625">
        <f t="shared" si="654"/>
        <v>25.93</v>
      </c>
      <c r="Y327" s="625">
        <f t="shared" si="655"/>
        <v>31.9</v>
      </c>
      <c r="Z327" s="656">
        <f t="shared" si="16"/>
        <v>298.3</v>
      </c>
      <c r="AA327" s="683"/>
      <c r="AB327" s="625">
        <f t="shared" si="656"/>
        <v>115.44</v>
      </c>
      <c r="AC327" s="625">
        <f t="shared" si="657"/>
        <v>150.62</v>
      </c>
      <c r="AD327" s="625">
        <f t="shared" si="658"/>
        <v>21.26</v>
      </c>
      <c r="AE327" s="625">
        <f t="shared" si="659"/>
        <v>1.04</v>
      </c>
      <c r="AF327" s="625">
        <f t="shared" si="660"/>
        <v>9.94</v>
      </c>
      <c r="AG327" s="657">
        <f t="shared" si="22"/>
        <v>0.2905736467</v>
      </c>
      <c r="AH327" s="165"/>
      <c r="AI327" s="165">
        <f t="shared" ref="AI327:AM327" si="802">AB327/U327</f>
        <v>0.3865006027</v>
      </c>
      <c r="AJ327" s="165">
        <f t="shared" si="802"/>
        <v>0.3010473297</v>
      </c>
      <c r="AK327" s="165">
        <f t="shared" si="802"/>
        <v>0.1252356268</v>
      </c>
      <c r="AL327" s="165">
        <f t="shared" si="802"/>
        <v>0.04010798303</v>
      </c>
      <c r="AM327" s="165">
        <f t="shared" si="802"/>
        <v>0.3115987461</v>
      </c>
      <c r="AN327" s="684">
        <f t="shared" si="743"/>
        <v>224</v>
      </c>
      <c r="AO327" s="625"/>
      <c r="AP327" s="625">
        <v>81.0</v>
      </c>
      <c r="AQ327" s="625">
        <v>73.0</v>
      </c>
      <c r="AR327" s="625">
        <v>7.0</v>
      </c>
      <c r="AS327" s="625">
        <v>6.0</v>
      </c>
      <c r="AT327" s="625">
        <v>57.0</v>
      </c>
      <c r="AU327" s="684">
        <f t="shared" si="744"/>
        <v>160.99</v>
      </c>
      <c r="AV327" s="625"/>
      <c r="AW327" s="625">
        <v>35.34</v>
      </c>
      <c r="AX327" s="625">
        <v>32.37</v>
      </c>
      <c r="AY327" s="625">
        <v>31.21</v>
      </c>
      <c r="AZ327" s="625">
        <v>31.06</v>
      </c>
      <c r="BA327" s="693">
        <v>31.01</v>
      </c>
      <c r="BB327" s="631"/>
      <c r="BC327" s="689" t="s">
        <v>695</v>
      </c>
      <c r="BD327" s="688" t="s">
        <v>3303</v>
      </c>
      <c r="BE327" s="201"/>
      <c r="BF327" s="201"/>
      <c r="BG327" s="201"/>
      <c r="BH327" s="201"/>
      <c r="BI327" s="201"/>
      <c r="BJ327" s="745"/>
      <c r="BK327" s="631"/>
      <c r="BL327" s="745"/>
      <c r="BM327" s="745"/>
      <c r="BN327" s="201"/>
    </row>
    <row r="328" hidden="1">
      <c r="A328" s="675" t="s">
        <v>3301</v>
      </c>
      <c r="B328" s="186" t="s">
        <v>3822</v>
      </c>
      <c r="C328" s="676" t="s">
        <v>1578</v>
      </c>
      <c r="D328" s="677">
        <v>692.0</v>
      </c>
      <c r="E328" s="632" t="s">
        <v>1239</v>
      </c>
      <c r="F328" s="678">
        <f t="shared" ref="F328:G328" si="803">H328+J328+L328+N328+P328</f>
        <v>2520.54</v>
      </c>
      <c r="G328" s="679">
        <f t="shared" si="803"/>
        <v>254.45</v>
      </c>
      <c r="H328" s="641">
        <v>539.63</v>
      </c>
      <c r="I328" s="680">
        <v>76.55</v>
      </c>
      <c r="J328" s="641">
        <v>594.76</v>
      </c>
      <c r="K328" s="680">
        <v>74.91</v>
      </c>
      <c r="L328" s="641">
        <v>530.87</v>
      </c>
      <c r="M328" s="680">
        <v>19.89</v>
      </c>
      <c r="N328" s="641">
        <v>453.13</v>
      </c>
      <c r="O328" s="680">
        <v>49.54</v>
      </c>
      <c r="P328" s="641">
        <v>402.15</v>
      </c>
      <c r="Q328" s="680">
        <v>33.56</v>
      </c>
      <c r="R328" s="681" t="s">
        <v>703</v>
      </c>
      <c r="S328" s="682">
        <f t="shared" si="10"/>
        <v>2520.54</v>
      </c>
      <c r="T328" s="683"/>
      <c r="U328" s="625">
        <f t="shared" si="651"/>
        <v>539.63</v>
      </c>
      <c r="V328" s="625">
        <f t="shared" si="652"/>
        <v>594.76</v>
      </c>
      <c r="W328" s="625">
        <f t="shared" si="653"/>
        <v>530.87</v>
      </c>
      <c r="X328" s="625">
        <f t="shared" si="654"/>
        <v>453.13</v>
      </c>
      <c r="Y328" s="625">
        <f t="shared" si="655"/>
        <v>402.15</v>
      </c>
      <c r="Z328" s="656">
        <f t="shared" si="16"/>
        <v>254.45</v>
      </c>
      <c r="AA328" s="683"/>
      <c r="AB328" s="625">
        <f t="shared" si="656"/>
        <v>76.55</v>
      </c>
      <c r="AC328" s="625">
        <f t="shared" si="657"/>
        <v>74.91</v>
      </c>
      <c r="AD328" s="625">
        <f t="shared" si="658"/>
        <v>19.89</v>
      </c>
      <c r="AE328" s="625">
        <f t="shared" si="659"/>
        <v>49.54</v>
      </c>
      <c r="AF328" s="625">
        <f t="shared" si="660"/>
        <v>33.56</v>
      </c>
      <c r="AG328" s="657">
        <f t="shared" si="22"/>
        <v>0.10095059</v>
      </c>
      <c r="AH328" s="165"/>
      <c r="AI328" s="165">
        <f t="shared" ref="AI328:AM328" si="804">AB328/U328</f>
        <v>0.1418564572</v>
      </c>
      <c r="AJ328" s="165">
        <f t="shared" si="804"/>
        <v>0.125949963</v>
      </c>
      <c r="AK328" s="165">
        <f t="shared" si="804"/>
        <v>0.03746679978</v>
      </c>
      <c r="AL328" s="165">
        <f t="shared" si="804"/>
        <v>0.1093284488</v>
      </c>
      <c r="AM328" s="165">
        <f t="shared" si="804"/>
        <v>0.08345144846</v>
      </c>
      <c r="AN328" s="684">
        <f t="shared" si="743"/>
        <v>3209.451</v>
      </c>
      <c r="AO328" s="625"/>
      <c r="AP328" s="625">
        <v>293.74</v>
      </c>
      <c r="AQ328" s="625">
        <v>1320.902</v>
      </c>
      <c r="AR328" s="625">
        <v>304.59</v>
      </c>
      <c r="AS328" s="625">
        <v>699.007</v>
      </c>
      <c r="AT328" s="625">
        <v>591.212</v>
      </c>
      <c r="AU328" s="684">
        <f t="shared" si="744"/>
        <v>616.75</v>
      </c>
      <c r="AV328" s="625"/>
      <c r="AW328" s="625">
        <v>157.53</v>
      </c>
      <c r="AX328" s="625">
        <v>139.4</v>
      </c>
      <c r="AY328" s="625">
        <v>121.93</v>
      </c>
      <c r="AZ328" s="625">
        <v>105.72</v>
      </c>
      <c r="BA328" s="693">
        <v>92.17</v>
      </c>
      <c r="BB328" s="631"/>
      <c r="BC328" s="189" t="s">
        <v>695</v>
      </c>
      <c r="BD328" s="688" t="s">
        <v>3303</v>
      </c>
      <c r="BE328" s="179" t="s">
        <v>3304</v>
      </c>
      <c r="BF328" s="179" t="s">
        <v>3305</v>
      </c>
      <c r="BG328" s="179" t="s">
        <v>3306</v>
      </c>
      <c r="BH328" s="179" t="s">
        <v>3307</v>
      </c>
      <c r="BI328" s="179" t="s">
        <v>3308</v>
      </c>
      <c r="BJ328" s="745"/>
      <c r="BK328" s="631"/>
      <c r="BL328" s="745"/>
      <c r="BM328" s="745"/>
      <c r="BN328" s="201"/>
    </row>
    <row r="329" hidden="1">
      <c r="A329" s="689"/>
      <c r="B329" s="186" t="s">
        <v>3823</v>
      </c>
      <c r="C329" s="676" t="s">
        <v>2113</v>
      </c>
      <c r="D329" s="677">
        <v>696.0</v>
      </c>
      <c r="E329" s="632" t="s">
        <v>3824</v>
      </c>
      <c r="F329" s="678">
        <f t="shared" ref="F329:G329" si="805">H329+J329+L329+N329+P329</f>
        <v>715.4</v>
      </c>
      <c r="G329" s="679">
        <f t="shared" si="805"/>
        <v>128.9</v>
      </c>
      <c r="H329" s="641">
        <v>79.3</v>
      </c>
      <c r="I329" s="680">
        <v>11.2</v>
      </c>
      <c r="J329" s="641">
        <v>121.9</v>
      </c>
      <c r="K329" s="680">
        <v>8.1</v>
      </c>
      <c r="L329" s="641">
        <v>136.2</v>
      </c>
      <c r="M329" s="680">
        <v>40.3</v>
      </c>
      <c r="N329" s="641">
        <v>185.9</v>
      </c>
      <c r="O329" s="680">
        <v>20.8</v>
      </c>
      <c r="P329" s="641">
        <v>192.1</v>
      </c>
      <c r="Q329" s="680">
        <v>48.5</v>
      </c>
      <c r="R329" s="681" t="s">
        <v>707</v>
      </c>
      <c r="S329" s="682">
        <f t="shared" si="10"/>
        <v>715.4</v>
      </c>
      <c r="T329" s="683"/>
      <c r="U329" s="625">
        <f t="shared" si="651"/>
        <v>79.3</v>
      </c>
      <c r="V329" s="625">
        <f t="shared" si="652"/>
        <v>121.9</v>
      </c>
      <c r="W329" s="625">
        <f t="shared" si="653"/>
        <v>136.2</v>
      </c>
      <c r="X329" s="625">
        <f t="shared" si="654"/>
        <v>185.9</v>
      </c>
      <c r="Y329" s="625">
        <f t="shared" si="655"/>
        <v>192.1</v>
      </c>
      <c r="Z329" s="656">
        <f t="shared" si="16"/>
        <v>128.9</v>
      </c>
      <c r="AA329" s="683"/>
      <c r="AB329" s="625">
        <f t="shared" si="656"/>
        <v>11.2</v>
      </c>
      <c r="AC329" s="625">
        <f t="shared" si="657"/>
        <v>8.1</v>
      </c>
      <c r="AD329" s="625">
        <f t="shared" si="658"/>
        <v>40.3</v>
      </c>
      <c r="AE329" s="625">
        <f t="shared" si="659"/>
        <v>20.8</v>
      </c>
      <c r="AF329" s="625">
        <f t="shared" si="660"/>
        <v>48.5</v>
      </c>
      <c r="AG329" s="657">
        <f t="shared" si="22"/>
        <v>0.1801789209</v>
      </c>
      <c r="AH329" s="165"/>
      <c r="AI329" s="165">
        <f t="shared" ref="AI329:AM329" si="806">AB329/U329</f>
        <v>0.1412358134</v>
      </c>
      <c r="AJ329" s="165">
        <f t="shared" si="806"/>
        <v>0.06644790812</v>
      </c>
      <c r="AK329" s="165">
        <f t="shared" si="806"/>
        <v>0.2958883994</v>
      </c>
      <c r="AL329" s="165">
        <f t="shared" si="806"/>
        <v>0.1118881119</v>
      </c>
      <c r="AM329" s="165">
        <f t="shared" si="806"/>
        <v>0.2524726705</v>
      </c>
      <c r="AN329" s="684">
        <f t="shared" si="743"/>
        <v>515.1</v>
      </c>
      <c r="AO329" s="641"/>
      <c r="AP329" s="641">
        <v>211.6</v>
      </c>
      <c r="AQ329" s="641">
        <v>93.0</v>
      </c>
      <c r="AR329" s="641">
        <v>49.3</v>
      </c>
      <c r="AS329" s="641">
        <v>62.7</v>
      </c>
      <c r="AT329" s="641">
        <v>98.5</v>
      </c>
      <c r="AU329" s="684">
        <f t="shared" si="744"/>
        <v>441.5</v>
      </c>
      <c r="AV329" s="625"/>
      <c r="AW329" s="625">
        <v>91.7</v>
      </c>
      <c r="AX329" s="625">
        <v>92.2</v>
      </c>
      <c r="AY329" s="625">
        <v>87.0</v>
      </c>
      <c r="AZ329" s="625">
        <v>84.9</v>
      </c>
      <c r="BA329" s="693">
        <v>85.7</v>
      </c>
      <c r="BB329" s="631"/>
      <c r="BC329" s="689" t="s">
        <v>695</v>
      </c>
      <c r="BD329" s="688" t="s">
        <v>3303</v>
      </c>
      <c r="BE329" s="201"/>
      <c r="BF329" s="201"/>
      <c r="BG329" s="201"/>
      <c r="BH329" s="201"/>
      <c r="BI329" s="201"/>
      <c r="BJ329" s="745"/>
      <c r="BK329" s="631"/>
      <c r="BL329" s="745"/>
      <c r="BM329" s="745"/>
      <c r="BN329" s="201"/>
    </row>
    <row r="330" hidden="1">
      <c r="A330" s="689"/>
      <c r="B330" s="186" t="s">
        <v>3825</v>
      </c>
      <c r="C330" s="676" t="s">
        <v>2113</v>
      </c>
      <c r="D330" s="677">
        <v>709.0</v>
      </c>
      <c r="E330" s="632" t="s">
        <v>3826</v>
      </c>
      <c r="F330" s="678">
        <f t="shared" ref="F330:G330" si="807">H330+J330+L330+N330+P330</f>
        <v>3327.5</v>
      </c>
      <c r="G330" s="679">
        <f t="shared" si="807"/>
        <v>633.4</v>
      </c>
      <c r="H330" s="641">
        <v>1184.29</v>
      </c>
      <c r="I330" s="680">
        <v>359.16</v>
      </c>
      <c r="J330" s="641">
        <v>699.14</v>
      </c>
      <c r="K330" s="680">
        <v>137.2</v>
      </c>
      <c r="L330" s="641">
        <v>600.7</v>
      </c>
      <c r="M330" s="680">
        <v>78.84</v>
      </c>
      <c r="N330" s="641">
        <v>708.57</v>
      </c>
      <c r="O330" s="680">
        <v>58.19</v>
      </c>
      <c r="P330" s="641">
        <v>134.8</v>
      </c>
      <c r="Q330" s="680">
        <v>0.01</v>
      </c>
      <c r="R330" s="681" t="s">
        <v>702</v>
      </c>
      <c r="S330" s="682">
        <f t="shared" si="10"/>
        <v>3327.5</v>
      </c>
      <c r="T330" s="683"/>
      <c r="U330" s="625">
        <f t="shared" si="651"/>
        <v>1184.29</v>
      </c>
      <c r="V330" s="625">
        <f t="shared" si="652"/>
        <v>699.14</v>
      </c>
      <c r="W330" s="625">
        <f t="shared" si="653"/>
        <v>600.7</v>
      </c>
      <c r="X330" s="625">
        <f t="shared" si="654"/>
        <v>708.57</v>
      </c>
      <c r="Y330" s="625">
        <f t="shared" si="655"/>
        <v>134.8</v>
      </c>
      <c r="Z330" s="656">
        <f t="shared" si="16"/>
        <v>633.4</v>
      </c>
      <c r="AA330" s="683"/>
      <c r="AB330" s="625">
        <f t="shared" si="656"/>
        <v>359.16</v>
      </c>
      <c r="AC330" s="625">
        <f t="shared" si="657"/>
        <v>137.2</v>
      </c>
      <c r="AD330" s="625">
        <f t="shared" si="658"/>
        <v>78.84</v>
      </c>
      <c r="AE330" s="625">
        <f t="shared" si="659"/>
        <v>58.19</v>
      </c>
      <c r="AF330" s="625">
        <f t="shared" si="660"/>
        <v>0.01</v>
      </c>
      <c r="AG330" s="657">
        <f t="shared" si="22"/>
        <v>0.190353118</v>
      </c>
      <c r="AH330" s="165"/>
      <c r="AI330" s="165">
        <f t="shared" ref="AI330:AM330" si="808">AB330/U330</f>
        <v>0.3032703139</v>
      </c>
      <c r="AJ330" s="165">
        <f t="shared" si="808"/>
        <v>0.1962410962</v>
      </c>
      <c r="AK330" s="165">
        <f t="shared" si="808"/>
        <v>0.1312468786</v>
      </c>
      <c r="AL330" s="165">
        <f t="shared" si="808"/>
        <v>0.08212314944</v>
      </c>
      <c r="AM330" s="165">
        <f t="shared" si="808"/>
        <v>0.00007418397626</v>
      </c>
      <c r="AN330" s="684">
        <f t="shared" si="743"/>
        <v>1743</v>
      </c>
      <c r="AO330" s="625"/>
      <c r="AP330" s="625">
        <v>670.0</v>
      </c>
      <c r="AQ330" s="625">
        <v>412.0</v>
      </c>
      <c r="AR330" s="625">
        <v>395.0</v>
      </c>
      <c r="AS330" s="625">
        <v>266.0</v>
      </c>
      <c r="AT330" s="625">
        <v>0.0</v>
      </c>
      <c r="AU330" s="684">
        <f t="shared" si="744"/>
        <v>0</v>
      </c>
      <c r="AV330" s="180"/>
      <c r="AW330" s="180">
        <v>0.0</v>
      </c>
      <c r="AX330" s="180">
        <v>0.0</v>
      </c>
      <c r="AY330" s="180">
        <v>0.0</v>
      </c>
      <c r="AZ330" s="180">
        <v>0.0</v>
      </c>
      <c r="BA330" s="686">
        <v>0.0</v>
      </c>
      <c r="BB330" s="631"/>
      <c r="BC330" s="689" t="s">
        <v>695</v>
      </c>
      <c r="BD330" s="688" t="s">
        <v>3303</v>
      </c>
      <c r="BE330" s="179" t="s">
        <v>3304</v>
      </c>
      <c r="BF330" s="179" t="s">
        <v>3305</v>
      </c>
      <c r="BG330" s="179" t="s">
        <v>3306</v>
      </c>
      <c r="BH330" s="179" t="s">
        <v>3307</v>
      </c>
      <c r="BI330" s="179" t="s">
        <v>3308</v>
      </c>
      <c r="BJ330" s="745"/>
      <c r="BK330" s="631"/>
      <c r="BL330" s="745"/>
      <c r="BM330" s="745"/>
      <c r="BN330" s="201"/>
    </row>
    <row r="331" hidden="1">
      <c r="A331" s="212"/>
      <c r="B331" s="186" t="s">
        <v>3827</v>
      </c>
      <c r="C331" s="676" t="s">
        <v>2113</v>
      </c>
      <c r="D331" s="717">
        <v>714.0</v>
      </c>
      <c r="E331" s="131" t="s">
        <v>3828</v>
      </c>
      <c r="F331" s="678">
        <f t="shared" ref="F331:G331" si="809">H331+J331+L331+N331+P331</f>
        <v>4385.7</v>
      </c>
      <c r="G331" s="679">
        <f t="shared" si="809"/>
        <v>963.4</v>
      </c>
      <c r="H331" s="641">
        <v>891.0</v>
      </c>
      <c r="I331" s="680">
        <v>280.0</v>
      </c>
      <c r="J331" s="641">
        <v>819.0</v>
      </c>
      <c r="K331" s="680">
        <v>218.0</v>
      </c>
      <c r="L331" s="641">
        <v>1082.1</v>
      </c>
      <c r="M331" s="680">
        <v>209.2</v>
      </c>
      <c r="N331" s="641">
        <v>689.1</v>
      </c>
      <c r="O331" s="680">
        <v>126.0</v>
      </c>
      <c r="P331" s="641">
        <v>904.5</v>
      </c>
      <c r="Q331" s="680">
        <v>130.2</v>
      </c>
      <c r="R331" s="681" t="s">
        <v>707</v>
      </c>
      <c r="S331" s="682">
        <f t="shared" si="10"/>
        <v>4385.7</v>
      </c>
      <c r="T331" s="683"/>
      <c r="U331" s="625">
        <f t="shared" si="651"/>
        <v>891</v>
      </c>
      <c r="V331" s="625">
        <f t="shared" si="652"/>
        <v>819</v>
      </c>
      <c r="W331" s="625">
        <f t="shared" si="653"/>
        <v>1082.1</v>
      </c>
      <c r="X331" s="625">
        <f t="shared" si="654"/>
        <v>689.1</v>
      </c>
      <c r="Y331" s="625">
        <f t="shared" si="655"/>
        <v>904.5</v>
      </c>
      <c r="Z331" s="656">
        <f t="shared" si="16"/>
        <v>963.4</v>
      </c>
      <c r="AA331" s="683"/>
      <c r="AB331" s="625">
        <f t="shared" si="656"/>
        <v>280</v>
      </c>
      <c r="AC331" s="625">
        <f t="shared" si="657"/>
        <v>218</v>
      </c>
      <c r="AD331" s="625">
        <f t="shared" si="658"/>
        <v>209.2</v>
      </c>
      <c r="AE331" s="625">
        <f t="shared" si="659"/>
        <v>126</v>
      </c>
      <c r="AF331" s="625">
        <f t="shared" si="660"/>
        <v>130.2</v>
      </c>
      <c r="AG331" s="657">
        <f t="shared" si="22"/>
        <v>0.219668468</v>
      </c>
      <c r="AH331" s="165"/>
      <c r="AI331" s="165">
        <f t="shared" ref="AI331:AM331" si="810">AB331/U331</f>
        <v>0.3142536476</v>
      </c>
      <c r="AJ331" s="165">
        <f t="shared" si="810"/>
        <v>0.2661782662</v>
      </c>
      <c r="AK331" s="165">
        <f t="shared" si="810"/>
        <v>0.1933277886</v>
      </c>
      <c r="AL331" s="165">
        <f t="shared" si="810"/>
        <v>0.182847192</v>
      </c>
      <c r="AM331" s="165">
        <f t="shared" si="810"/>
        <v>0.143946932</v>
      </c>
      <c r="AN331" s="684"/>
      <c r="AO331" s="625"/>
      <c r="AP331" s="625"/>
      <c r="AQ331" s="625"/>
      <c r="AR331" s="625"/>
      <c r="AS331" s="625"/>
      <c r="AT331" s="625"/>
      <c r="AU331" s="684"/>
      <c r="AV331" s="625"/>
      <c r="AW331" s="625"/>
      <c r="AX331" s="625"/>
      <c r="AY331" s="625"/>
      <c r="AZ331" s="625"/>
      <c r="BA331" s="693"/>
      <c r="BB331" s="631"/>
      <c r="BC331" s="189" t="s">
        <v>695</v>
      </c>
      <c r="BD331" s="186" t="s">
        <v>3303</v>
      </c>
      <c r="BE331" s="179" t="s">
        <v>3304</v>
      </c>
      <c r="BF331" s="179" t="s">
        <v>3305</v>
      </c>
      <c r="BG331" s="179" t="s">
        <v>3306</v>
      </c>
      <c r="BH331" s="179" t="s">
        <v>3307</v>
      </c>
      <c r="BI331" s="179" t="s">
        <v>3308</v>
      </c>
      <c r="BJ331" s="745"/>
      <c r="BK331" s="631"/>
      <c r="BL331" s="745"/>
      <c r="BM331" s="745"/>
      <c r="BN331" s="201"/>
    </row>
    <row r="332" hidden="1">
      <c r="A332" s="696" t="s">
        <v>1534</v>
      </c>
      <c r="B332" s="186" t="s">
        <v>3829</v>
      </c>
      <c r="C332" s="676" t="s">
        <v>2113</v>
      </c>
      <c r="D332" s="677">
        <v>721.0</v>
      </c>
      <c r="E332" s="632" t="s">
        <v>43</v>
      </c>
      <c r="F332" s="678">
        <f t="shared" ref="F332:G332" si="811">H332+J332+L332+N332+P332</f>
        <v>3049</v>
      </c>
      <c r="G332" s="679">
        <f t="shared" si="811"/>
        <v>1.4</v>
      </c>
      <c r="H332" s="641">
        <v>706.0</v>
      </c>
      <c r="I332" s="680">
        <v>7.0</v>
      </c>
      <c r="J332" s="641">
        <v>597.0</v>
      </c>
      <c r="K332" s="680">
        <v>1.0</v>
      </c>
      <c r="L332" s="641">
        <v>559.0</v>
      </c>
      <c r="M332" s="680">
        <v>1.0</v>
      </c>
      <c r="N332" s="641">
        <v>611.9</v>
      </c>
      <c r="O332" s="680">
        <v>-6.6</v>
      </c>
      <c r="P332" s="641">
        <v>575.1</v>
      </c>
      <c r="Q332" s="680">
        <v>-1.0</v>
      </c>
      <c r="R332" s="681" t="s">
        <v>722</v>
      </c>
      <c r="S332" s="682">
        <f t="shared" si="10"/>
        <v>3049</v>
      </c>
      <c r="T332" s="683"/>
      <c r="U332" s="625">
        <f t="shared" si="651"/>
        <v>706</v>
      </c>
      <c r="V332" s="625">
        <f t="shared" si="652"/>
        <v>597</v>
      </c>
      <c r="W332" s="625">
        <f t="shared" si="653"/>
        <v>559</v>
      </c>
      <c r="X332" s="625">
        <f t="shared" si="654"/>
        <v>611.9</v>
      </c>
      <c r="Y332" s="625">
        <f t="shared" si="655"/>
        <v>575.1</v>
      </c>
      <c r="Z332" s="656">
        <f t="shared" si="16"/>
        <v>1.4</v>
      </c>
      <c r="AA332" s="683"/>
      <c r="AB332" s="625">
        <f t="shared" si="656"/>
        <v>7</v>
      </c>
      <c r="AC332" s="625">
        <f t="shared" si="657"/>
        <v>1</v>
      </c>
      <c r="AD332" s="625">
        <f t="shared" si="658"/>
        <v>1</v>
      </c>
      <c r="AE332" s="625">
        <f t="shared" si="659"/>
        <v>-6.6</v>
      </c>
      <c r="AF332" s="625">
        <f t="shared" si="660"/>
        <v>-1</v>
      </c>
      <c r="AG332" s="657">
        <f t="shared" si="22"/>
        <v>0.00045916694</v>
      </c>
      <c r="AH332" s="165"/>
      <c r="AI332" s="165">
        <f t="shared" ref="AI332:AM332" si="812">AB332/U332</f>
        <v>0.009915014164</v>
      </c>
      <c r="AJ332" s="165">
        <f t="shared" si="812"/>
        <v>0.001675041876</v>
      </c>
      <c r="AK332" s="165">
        <f t="shared" si="812"/>
        <v>0.001788908766</v>
      </c>
      <c r="AL332" s="165">
        <f t="shared" si="812"/>
        <v>-0.01078607616</v>
      </c>
      <c r="AM332" s="165">
        <f t="shared" si="812"/>
        <v>-0.00173882803</v>
      </c>
      <c r="AN332" s="684">
        <f t="shared" ref="AN332:AN343" si="815">SUM(AP332:AT332)</f>
        <v>200</v>
      </c>
      <c r="AO332" s="625"/>
      <c r="AP332" s="625">
        <v>0.0</v>
      </c>
      <c r="AQ332" s="641">
        <v>200.0</v>
      </c>
      <c r="AR332" s="625">
        <v>0.0</v>
      </c>
      <c r="AS332" s="625">
        <v>0.0</v>
      </c>
      <c r="AT332" s="625">
        <v>0.0</v>
      </c>
      <c r="AU332" s="684">
        <f t="shared" ref="AU332:AU343" si="816">SUM(AW332:BA332)</f>
        <v>1857</v>
      </c>
      <c r="AV332" s="625"/>
      <c r="AW332" s="625">
        <v>428.0</v>
      </c>
      <c r="AX332" s="625">
        <v>403.0</v>
      </c>
      <c r="AY332" s="625">
        <v>377.0</v>
      </c>
      <c r="AZ332" s="625">
        <v>337.0</v>
      </c>
      <c r="BA332" s="693">
        <v>312.0</v>
      </c>
      <c r="BB332" s="631"/>
      <c r="BC332" s="189" t="s">
        <v>695</v>
      </c>
      <c r="BD332" s="688" t="s">
        <v>3303</v>
      </c>
      <c r="BE332" s="179" t="s">
        <v>3304</v>
      </c>
      <c r="BF332" s="179" t="s">
        <v>3305</v>
      </c>
      <c r="BG332" s="179" t="s">
        <v>3306</v>
      </c>
      <c r="BH332" s="179" t="s">
        <v>3307</v>
      </c>
      <c r="BI332" s="179" t="s">
        <v>3308</v>
      </c>
      <c r="BJ332" s="745"/>
      <c r="BK332" s="631"/>
      <c r="BL332" s="745"/>
      <c r="BM332" s="745"/>
      <c r="BN332" s="201"/>
    </row>
    <row r="333" hidden="1">
      <c r="A333" s="696" t="s">
        <v>1534</v>
      </c>
      <c r="B333" s="186" t="s">
        <v>3830</v>
      </c>
      <c r="C333" s="690" t="s">
        <v>2317</v>
      </c>
      <c r="D333" s="677">
        <v>722.0</v>
      </c>
      <c r="E333" s="632" t="s">
        <v>42</v>
      </c>
      <c r="F333" s="678">
        <f t="shared" ref="F333:G333" si="813">H333+J333+L333+N333+P333</f>
        <v>3617.4</v>
      </c>
      <c r="G333" s="679">
        <f t="shared" si="813"/>
        <v>-7.25</v>
      </c>
      <c r="H333" s="641">
        <v>823.78</v>
      </c>
      <c r="I333" s="680">
        <v>2.85</v>
      </c>
      <c r="J333" s="641">
        <v>819.05</v>
      </c>
      <c r="K333" s="680">
        <v>0.0</v>
      </c>
      <c r="L333" s="641">
        <v>732.6</v>
      </c>
      <c r="M333" s="680">
        <v>0.0</v>
      </c>
      <c r="N333" s="641">
        <v>641.9</v>
      </c>
      <c r="O333" s="680">
        <v>0.0</v>
      </c>
      <c r="P333" s="641">
        <v>600.07</v>
      </c>
      <c r="Q333" s="680">
        <v>-10.1</v>
      </c>
      <c r="R333" s="681" t="s">
        <v>693</v>
      </c>
      <c r="S333" s="682">
        <f t="shared" si="10"/>
        <v>3617.4</v>
      </c>
      <c r="T333" s="683"/>
      <c r="U333" s="625">
        <f t="shared" si="651"/>
        <v>823.78</v>
      </c>
      <c r="V333" s="625">
        <f t="shared" si="652"/>
        <v>819.05</v>
      </c>
      <c r="W333" s="625">
        <f t="shared" si="653"/>
        <v>732.6</v>
      </c>
      <c r="X333" s="625">
        <f t="shared" si="654"/>
        <v>641.9</v>
      </c>
      <c r="Y333" s="625">
        <f t="shared" si="655"/>
        <v>600.07</v>
      </c>
      <c r="Z333" s="656">
        <f t="shared" si="16"/>
        <v>-7.25</v>
      </c>
      <c r="AA333" s="683"/>
      <c r="AB333" s="625">
        <f t="shared" si="656"/>
        <v>2.85</v>
      </c>
      <c r="AC333" s="625">
        <f t="shared" si="657"/>
        <v>0</v>
      </c>
      <c r="AD333" s="625">
        <f t="shared" si="658"/>
        <v>0</v>
      </c>
      <c r="AE333" s="625">
        <f t="shared" si="659"/>
        <v>0</v>
      </c>
      <c r="AF333" s="625">
        <f t="shared" si="660"/>
        <v>-10.1</v>
      </c>
      <c r="AG333" s="657">
        <f t="shared" si="22"/>
        <v>-0.002004201913</v>
      </c>
      <c r="AH333" s="165"/>
      <c r="AI333" s="165">
        <f t="shared" ref="AI333:AM333" si="814">AB333/U333</f>
        <v>0.00345966156</v>
      </c>
      <c r="AJ333" s="165">
        <f t="shared" si="814"/>
        <v>0</v>
      </c>
      <c r="AK333" s="165">
        <f t="shared" si="814"/>
        <v>0</v>
      </c>
      <c r="AL333" s="165">
        <f t="shared" si="814"/>
        <v>0</v>
      </c>
      <c r="AM333" s="165">
        <f t="shared" si="814"/>
        <v>-0.01683136967</v>
      </c>
      <c r="AN333" s="684">
        <f t="shared" si="815"/>
        <v>0</v>
      </c>
      <c r="AO333" s="625"/>
      <c r="AP333" s="625">
        <v>0.0</v>
      </c>
      <c r="AQ333" s="625">
        <v>0.0</v>
      </c>
      <c r="AR333" s="625">
        <v>0.0</v>
      </c>
      <c r="AS333" s="625">
        <v>0.0</v>
      </c>
      <c r="AT333" s="625">
        <v>0.0</v>
      </c>
      <c r="AU333" s="684">
        <f t="shared" si="816"/>
        <v>1442.88</v>
      </c>
      <c r="AV333" s="625"/>
      <c r="AW333" s="625">
        <v>375.91</v>
      </c>
      <c r="AX333" s="625">
        <v>323.9</v>
      </c>
      <c r="AY333" s="625">
        <v>282.44</v>
      </c>
      <c r="AZ333" s="625">
        <v>245.72</v>
      </c>
      <c r="BA333" s="693">
        <v>214.91</v>
      </c>
      <c r="BB333" s="631"/>
      <c r="BC333" s="189" t="s">
        <v>695</v>
      </c>
      <c r="BD333" s="688" t="s">
        <v>3303</v>
      </c>
      <c r="BE333" s="179" t="s">
        <v>3304</v>
      </c>
      <c r="BF333" s="179" t="s">
        <v>3305</v>
      </c>
      <c r="BG333" s="179" t="s">
        <v>3306</v>
      </c>
      <c r="BH333" s="179" t="s">
        <v>3307</v>
      </c>
      <c r="BI333" s="179" t="s">
        <v>3308</v>
      </c>
      <c r="BJ333" s="745"/>
      <c r="BK333" s="631"/>
      <c r="BL333" s="745"/>
      <c r="BM333" s="745"/>
      <c r="BN333" s="201"/>
    </row>
    <row r="334" hidden="1">
      <c r="A334" s="426"/>
      <c r="B334" s="186" t="s">
        <v>3831</v>
      </c>
      <c r="C334" s="676" t="s">
        <v>3404</v>
      </c>
      <c r="D334" s="717">
        <v>733.0</v>
      </c>
      <c r="E334" s="632" t="s">
        <v>3832</v>
      </c>
      <c r="F334" s="678">
        <f t="shared" ref="F334:G334" si="817">H334+J334+L334+N334+P334</f>
        <v>2389.4</v>
      </c>
      <c r="G334" s="679">
        <f t="shared" si="817"/>
        <v>430.6</v>
      </c>
      <c r="H334" s="641">
        <v>768.4</v>
      </c>
      <c r="I334" s="680">
        <v>174.1</v>
      </c>
      <c r="J334" s="641">
        <v>278.4</v>
      </c>
      <c r="K334" s="680">
        <v>45.4</v>
      </c>
      <c r="L334" s="641">
        <v>337.0</v>
      </c>
      <c r="M334" s="680">
        <v>66.2</v>
      </c>
      <c r="N334" s="641">
        <v>448.8</v>
      </c>
      <c r="O334" s="680">
        <v>75.7</v>
      </c>
      <c r="P334" s="641">
        <v>556.8</v>
      </c>
      <c r="Q334" s="680">
        <v>69.2</v>
      </c>
      <c r="R334" s="681" t="s">
        <v>3325</v>
      </c>
      <c r="S334" s="682">
        <f t="shared" si="10"/>
        <v>2389.4</v>
      </c>
      <c r="T334" s="683"/>
      <c r="U334" s="625">
        <f t="shared" si="651"/>
        <v>768.4</v>
      </c>
      <c r="V334" s="625">
        <f t="shared" si="652"/>
        <v>278.4</v>
      </c>
      <c r="W334" s="625">
        <f t="shared" si="653"/>
        <v>337</v>
      </c>
      <c r="X334" s="625">
        <f t="shared" si="654"/>
        <v>448.8</v>
      </c>
      <c r="Y334" s="625">
        <f t="shared" si="655"/>
        <v>556.8</v>
      </c>
      <c r="Z334" s="656">
        <f t="shared" si="16"/>
        <v>430.6</v>
      </c>
      <c r="AA334" s="683"/>
      <c r="AB334" s="625">
        <f t="shared" si="656"/>
        <v>174.1</v>
      </c>
      <c r="AC334" s="625">
        <f t="shared" si="657"/>
        <v>45.4</v>
      </c>
      <c r="AD334" s="625">
        <f t="shared" si="658"/>
        <v>66.2</v>
      </c>
      <c r="AE334" s="625">
        <f t="shared" si="659"/>
        <v>75.7</v>
      </c>
      <c r="AF334" s="625">
        <f t="shared" si="660"/>
        <v>69.2</v>
      </c>
      <c r="AG334" s="657">
        <f t="shared" si="22"/>
        <v>0.1802126057</v>
      </c>
      <c r="AH334" s="165"/>
      <c r="AI334" s="165">
        <f t="shared" ref="AI334:AM334" si="818">AB334/U334</f>
        <v>0.2265747007</v>
      </c>
      <c r="AJ334" s="165">
        <f t="shared" si="818"/>
        <v>0.1630747126</v>
      </c>
      <c r="AK334" s="165">
        <f t="shared" si="818"/>
        <v>0.1964391691</v>
      </c>
      <c r="AL334" s="165">
        <f t="shared" si="818"/>
        <v>0.1686720143</v>
      </c>
      <c r="AM334" s="165">
        <f t="shared" si="818"/>
        <v>0.1242816092</v>
      </c>
      <c r="AN334" s="684">
        <f t="shared" si="815"/>
        <v>262.5</v>
      </c>
      <c r="AO334" s="625"/>
      <c r="AP334" s="625">
        <v>158.4</v>
      </c>
      <c r="AQ334" s="625">
        <v>36.1</v>
      </c>
      <c r="AR334" s="625">
        <v>28.9</v>
      </c>
      <c r="AS334" s="625">
        <v>36.4</v>
      </c>
      <c r="AT334" s="641">
        <v>2.7</v>
      </c>
      <c r="AU334" s="684">
        <f t="shared" si="816"/>
        <v>618.5</v>
      </c>
      <c r="AV334" s="625"/>
      <c r="AW334" s="625">
        <v>138.4</v>
      </c>
      <c r="AX334" s="625">
        <v>135.3</v>
      </c>
      <c r="AY334" s="625">
        <v>121.3</v>
      </c>
      <c r="AZ334" s="625">
        <v>113.3</v>
      </c>
      <c r="BA334" s="693">
        <v>110.2</v>
      </c>
      <c r="BB334" s="631"/>
      <c r="BC334" s="189" t="s">
        <v>695</v>
      </c>
      <c r="BD334" s="688" t="s">
        <v>3303</v>
      </c>
      <c r="BE334" s="179" t="s">
        <v>3304</v>
      </c>
      <c r="BF334" s="179" t="s">
        <v>3305</v>
      </c>
      <c r="BG334" s="179" t="s">
        <v>3306</v>
      </c>
      <c r="BH334" s="179" t="s">
        <v>3307</v>
      </c>
      <c r="BI334" s="179" t="s">
        <v>3308</v>
      </c>
      <c r="BJ334" s="745"/>
      <c r="BK334" s="631"/>
      <c r="BL334" s="745"/>
      <c r="BM334" s="745"/>
      <c r="BN334" s="201"/>
    </row>
    <row r="335" hidden="1">
      <c r="A335" s="689"/>
      <c r="B335" s="186" t="s">
        <v>3833</v>
      </c>
      <c r="C335" s="676" t="s">
        <v>2113</v>
      </c>
      <c r="D335" s="461">
        <v>745.0</v>
      </c>
      <c r="E335" s="632" t="s">
        <v>3834</v>
      </c>
      <c r="F335" s="678">
        <f t="shared" ref="F335:G335" si="819">H335+J335+L335+N335+P335</f>
        <v>785.58</v>
      </c>
      <c r="G335" s="679">
        <f t="shared" si="819"/>
        <v>181.46</v>
      </c>
      <c r="H335" s="641">
        <v>260.29</v>
      </c>
      <c r="I335" s="680">
        <v>75.05</v>
      </c>
      <c r="J335" s="641">
        <v>120.34</v>
      </c>
      <c r="K335" s="680">
        <v>32.73</v>
      </c>
      <c r="L335" s="641">
        <v>220.31</v>
      </c>
      <c r="M335" s="680">
        <v>38.19</v>
      </c>
      <c r="N335" s="641">
        <v>98.41</v>
      </c>
      <c r="O335" s="680">
        <v>18.1</v>
      </c>
      <c r="P335" s="641">
        <v>86.23</v>
      </c>
      <c r="Q335" s="680">
        <v>17.39</v>
      </c>
      <c r="R335" s="681" t="s">
        <v>708</v>
      </c>
      <c r="S335" s="682">
        <f t="shared" si="10"/>
        <v>785.58</v>
      </c>
      <c r="T335" s="683"/>
      <c r="U335" s="625">
        <f t="shared" si="651"/>
        <v>260.29</v>
      </c>
      <c r="V335" s="625">
        <f t="shared" si="652"/>
        <v>120.34</v>
      </c>
      <c r="W335" s="625">
        <f t="shared" si="653"/>
        <v>220.31</v>
      </c>
      <c r="X335" s="625">
        <f t="shared" si="654"/>
        <v>98.41</v>
      </c>
      <c r="Y335" s="625">
        <f t="shared" si="655"/>
        <v>86.23</v>
      </c>
      <c r="Z335" s="656">
        <f t="shared" si="16"/>
        <v>181.46</v>
      </c>
      <c r="AA335" s="683"/>
      <c r="AB335" s="625">
        <f t="shared" si="656"/>
        <v>75.05</v>
      </c>
      <c r="AC335" s="625">
        <f t="shared" si="657"/>
        <v>32.73</v>
      </c>
      <c r="AD335" s="625">
        <f t="shared" si="658"/>
        <v>38.19</v>
      </c>
      <c r="AE335" s="625">
        <f t="shared" si="659"/>
        <v>18.1</v>
      </c>
      <c r="AF335" s="625">
        <f t="shared" si="660"/>
        <v>17.39</v>
      </c>
      <c r="AG335" s="657">
        <f t="shared" si="22"/>
        <v>0.230988569</v>
      </c>
      <c r="AH335" s="165"/>
      <c r="AI335" s="165">
        <f t="shared" ref="AI335:AM335" si="820">AB335/U335</f>
        <v>0.2883322448</v>
      </c>
      <c r="AJ335" s="165">
        <f t="shared" si="820"/>
        <v>0.2719793917</v>
      </c>
      <c r="AK335" s="165">
        <f t="shared" si="820"/>
        <v>0.1733466479</v>
      </c>
      <c r="AL335" s="165">
        <f t="shared" si="820"/>
        <v>0.1839243979</v>
      </c>
      <c r="AM335" s="165">
        <f t="shared" si="820"/>
        <v>0.2016699525</v>
      </c>
      <c r="AN335" s="684">
        <f t="shared" si="815"/>
        <v>135.27</v>
      </c>
      <c r="AO335" s="625"/>
      <c r="AP335" s="625">
        <v>38.651</v>
      </c>
      <c r="AQ335" s="625">
        <v>40.707</v>
      </c>
      <c r="AR335" s="625">
        <v>23.979</v>
      </c>
      <c r="AS335" s="625">
        <v>18.087</v>
      </c>
      <c r="AT335" s="625">
        <v>13.846</v>
      </c>
      <c r="AU335" s="684">
        <f t="shared" si="816"/>
        <v>0</v>
      </c>
      <c r="AV335" s="180"/>
      <c r="AW335" s="180">
        <v>0.0</v>
      </c>
      <c r="AX335" s="180">
        <v>0.0</v>
      </c>
      <c r="AY335" s="180">
        <v>0.0</v>
      </c>
      <c r="AZ335" s="180">
        <v>0.0</v>
      </c>
      <c r="BA335" s="686">
        <v>0.0</v>
      </c>
      <c r="BB335" s="631"/>
      <c r="BC335" s="689" t="s">
        <v>695</v>
      </c>
      <c r="BD335" s="688" t="s">
        <v>3303</v>
      </c>
      <c r="BE335" s="144"/>
      <c r="BF335" s="144"/>
      <c r="BG335" s="144"/>
      <c r="BH335" s="144"/>
      <c r="BI335" s="144"/>
      <c r="BJ335" s="745"/>
      <c r="BK335" s="631"/>
      <c r="BL335" s="745"/>
      <c r="BM335" s="745"/>
      <c r="BN335" s="201"/>
    </row>
    <row r="336" hidden="1">
      <c r="A336" s="689"/>
      <c r="B336" s="186" t="s">
        <v>3835</v>
      </c>
      <c r="C336" s="676" t="s">
        <v>2113</v>
      </c>
      <c r="D336" s="677">
        <v>747.0</v>
      </c>
      <c r="E336" s="632" t="s">
        <v>3836</v>
      </c>
      <c r="F336" s="678">
        <f t="shared" ref="F336:G336" si="821">H336+J336+L336+N336+P336</f>
        <v>2746.81</v>
      </c>
      <c r="G336" s="679">
        <f t="shared" si="821"/>
        <v>726.3</v>
      </c>
      <c r="H336" s="641">
        <v>676.41</v>
      </c>
      <c r="I336" s="680">
        <v>210.4</v>
      </c>
      <c r="J336" s="641">
        <v>630.6</v>
      </c>
      <c r="K336" s="680">
        <v>148.4</v>
      </c>
      <c r="L336" s="641">
        <v>531.4</v>
      </c>
      <c r="M336" s="680">
        <v>143.7</v>
      </c>
      <c r="N336" s="641">
        <v>418.8</v>
      </c>
      <c r="O336" s="680">
        <v>98.7</v>
      </c>
      <c r="P336" s="641">
        <v>489.6</v>
      </c>
      <c r="Q336" s="680">
        <v>125.1</v>
      </c>
      <c r="R336" s="681" t="s">
        <v>710</v>
      </c>
      <c r="S336" s="682">
        <f t="shared" si="10"/>
        <v>2746.81</v>
      </c>
      <c r="T336" s="683"/>
      <c r="U336" s="625">
        <f t="shared" si="651"/>
        <v>676.41</v>
      </c>
      <c r="V336" s="625">
        <f t="shared" si="652"/>
        <v>630.6</v>
      </c>
      <c r="W336" s="625">
        <f t="shared" si="653"/>
        <v>531.4</v>
      </c>
      <c r="X336" s="625">
        <f t="shared" si="654"/>
        <v>418.8</v>
      </c>
      <c r="Y336" s="625">
        <f t="shared" si="655"/>
        <v>489.6</v>
      </c>
      <c r="Z336" s="656">
        <f t="shared" si="16"/>
        <v>726.3</v>
      </c>
      <c r="AA336" s="683"/>
      <c r="AB336" s="625">
        <f t="shared" si="656"/>
        <v>210.4</v>
      </c>
      <c r="AC336" s="625">
        <f t="shared" si="657"/>
        <v>148.4</v>
      </c>
      <c r="AD336" s="625">
        <f t="shared" si="658"/>
        <v>143.7</v>
      </c>
      <c r="AE336" s="625">
        <f t="shared" si="659"/>
        <v>98.7</v>
      </c>
      <c r="AF336" s="625">
        <f t="shared" si="660"/>
        <v>125.1</v>
      </c>
      <c r="AG336" s="657">
        <f t="shared" si="22"/>
        <v>0.2644158133</v>
      </c>
      <c r="AH336" s="165"/>
      <c r="AI336" s="165">
        <f t="shared" ref="AI336:AM336" si="822">AB336/U336</f>
        <v>0.3110539466</v>
      </c>
      <c r="AJ336" s="165">
        <f t="shared" si="822"/>
        <v>0.2353314304</v>
      </c>
      <c r="AK336" s="165">
        <f t="shared" si="822"/>
        <v>0.2704177644</v>
      </c>
      <c r="AL336" s="165">
        <f t="shared" si="822"/>
        <v>0.2356733524</v>
      </c>
      <c r="AM336" s="165">
        <f t="shared" si="822"/>
        <v>0.2555147059</v>
      </c>
      <c r="AN336" s="684">
        <f t="shared" si="815"/>
        <v>879.3</v>
      </c>
      <c r="AO336" s="625"/>
      <c r="AP336" s="625">
        <v>110.4</v>
      </c>
      <c r="AQ336" s="625">
        <v>87.5</v>
      </c>
      <c r="AR336" s="625">
        <v>363.1</v>
      </c>
      <c r="AS336" s="625">
        <v>158.6</v>
      </c>
      <c r="AT336" s="625">
        <v>159.7</v>
      </c>
      <c r="AU336" s="684">
        <f t="shared" si="816"/>
        <v>853.6</v>
      </c>
      <c r="AV336" s="625"/>
      <c r="AW336" s="625">
        <v>209.4</v>
      </c>
      <c r="AX336" s="625">
        <v>193.3</v>
      </c>
      <c r="AY336" s="625">
        <v>170.6</v>
      </c>
      <c r="AZ336" s="625">
        <v>150.0</v>
      </c>
      <c r="BA336" s="693">
        <v>130.3</v>
      </c>
      <c r="BB336" s="631"/>
      <c r="BC336" s="689" t="s">
        <v>695</v>
      </c>
      <c r="BD336" s="688" t="s">
        <v>3303</v>
      </c>
      <c r="BE336" s="179" t="s">
        <v>3304</v>
      </c>
      <c r="BF336" s="179" t="s">
        <v>3305</v>
      </c>
      <c r="BG336" s="179" t="s">
        <v>3306</v>
      </c>
      <c r="BH336" s="179" t="s">
        <v>3307</v>
      </c>
      <c r="BI336" s="179" t="s">
        <v>3308</v>
      </c>
      <c r="BJ336" s="745"/>
      <c r="BK336" s="631"/>
      <c r="BL336" s="745"/>
      <c r="BM336" s="745"/>
      <c r="BN336" s="201"/>
    </row>
    <row r="337" hidden="1">
      <c r="A337" s="689"/>
      <c r="B337" s="186" t="s">
        <v>3837</v>
      </c>
      <c r="C337" s="676" t="s">
        <v>2493</v>
      </c>
      <c r="D337" s="677">
        <v>751.0</v>
      </c>
      <c r="E337" s="632" t="s">
        <v>3838</v>
      </c>
      <c r="F337" s="678">
        <f t="shared" ref="F337:G337" si="823">H337+J337+L337+N337+P337</f>
        <v>4278.84</v>
      </c>
      <c r="G337" s="679">
        <f t="shared" si="823"/>
        <v>714</v>
      </c>
      <c r="H337" s="641">
        <v>855.49</v>
      </c>
      <c r="I337" s="680">
        <v>157.0</v>
      </c>
      <c r="J337" s="641">
        <v>961.35</v>
      </c>
      <c r="K337" s="680">
        <v>205.0</v>
      </c>
      <c r="L337" s="641">
        <v>797.0</v>
      </c>
      <c r="M337" s="680">
        <v>146.0</v>
      </c>
      <c r="N337" s="641">
        <v>830.0</v>
      </c>
      <c r="O337" s="680">
        <v>95.0</v>
      </c>
      <c r="P337" s="641">
        <v>835.0</v>
      </c>
      <c r="Q337" s="680">
        <v>111.0</v>
      </c>
      <c r="R337" s="681" t="s">
        <v>3499</v>
      </c>
      <c r="S337" s="682">
        <f t="shared" si="10"/>
        <v>4278.84</v>
      </c>
      <c r="T337" s="683"/>
      <c r="U337" s="625">
        <f t="shared" si="651"/>
        <v>855.49</v>
      </c>
      <c r="V337" s="625">
        <f t="shared" si="652"/>
        <v>961.35</v>
      </c>
      <c r="W337" s="625">
        <f t="shared" si="653"/>
        <v>797</v>
      </c>
      <c r="X337" s="625">
        <f t="shared" si="654"/>
        <v>830</v>
      </c>
      <c r="Y337" s="625">
        <f t="shared" si="655"/>
        <v>835</v>
      </c>
      <c r="Z337" s="656">
        <f t="shared" si="16"/>
        <v>714</v>
      </c>
      <c r="AA337" s="683"/>
      <c r="AB337" s="625">
        <f t="shared" si="656"/>
        <v>157</v>
      </c>
      <c r="AC337" s="625">
        <f t="shared" si="657"/>
        <v>205</v>
      </c>
      <c r="AD337" s="625">
        <f t="shared" si="658"/>
        <v>146</v>
      </c>
      <c r="AE337" s="625">
        <f t="shared" si="659"/>
        <v>95</v>
      </c>
      <c r="AF337" s="625">
        <f t="shared" si="660"/>
        <v>111</v>
      </c>
      <c r="AG337" s="657">
        <f t="shared" si="22"/>
        <v>0.1668676557</v>
      </c>
      <c r="AH337" s="165"/>
      <c r="AI337" s="165">
        <f t="shared" ref="AI337:AM337" si="824">AB337/U337</f>
        <v>0.1835205555</v>
      </c>
      <c r="AJ337" s="165">
        <f t="shared" si="824"/>
        <v>0.2132417954</v>
      </c>
      <c r="AK337" s="165">
        <f t="shared" si="824"/>
        <v>0.1831869511</v>
      </c>
      <c r="AL337" s="165">
        <f t="shared" si="824"/>
        <v>0.1144578313</v>
      </c>
      <c r="AM337" s="165">
        <f t="shared" si="824"/>
        <v>0.1329341317</v>
      </c>
      <c r="AN337" s="684">
        <f t="shared" si="815"/>
        <v>207</v>
      </c>
      <c r="AO337" s="625"/>
      <c r="AP337" s="625">
        <v>0.0</v>
      </c>
      <c r="AQ337" s="625">
        <v>0.0</v>
      </c>
      <c r="AR337" s="625">
        <v>0.0</v>
      </c>
      <c r="AS337" s="625">
        <v>207.0</v>
      </c>
      <c r="AT337" s="625">
        <v>0.0</v>
      </c>
      <c r="AU337" s="684">
        <f t="shared" si="816"/>
        <v>2577</v>
      </c>
      <c r="AV337" s="625"/>
      <c r="AW337" s="625">
        <v>831.0</v>
      </c>
      <c r="AX337" s="625">
        <v>338.0</v>
      </c>
      <c r="AY337" s="625">
        <v>325.0</v>
      </c>
      <c r="AZ337" s="625">
        <v>310.0</v>
      </c>
      <c r="BA337" s="693">
        <v>773.0</v>
      </c>
      <c r="BB337" s="631"/>
      <c r="BC337" s="189" t="s">
        <v>695</v>
      </c>
      <c r="BD337" s="688" t="s">
        <v>3303</v>
      </c>
      <c r="BE337" s="179" t="s">
        <v>3304</v>
      </c>
      <c r="BF337" s="179" t="s">
        <v>3305</v>
      </c>
      <c r="BG337" s="179" t="s">
        <v>3306</v>
      </c>
      <c r="BH337" s="179" t="s">
        <v>3307</v>
      </c>
      <c r="BI337" s="179" t="s">
        <v>3308</v>
      </c>
      <c r="BJ337" s="745"/>
      <c r="BK337" s="631"/>
      <c r="BL337" s="745"/>
      <c r="BM337" s="745"/>
      <c r="BN337" s="201"/>
    </row>
    <row r="338" hidden="1">
      <c r="A338" s="689"/>
      <c r="B338" s="186" t="s">
        <v>3839</v>
      </c>
      <c r="C338" s="676" t="s">
        <v>2113</v>
      </c>
      <c r="D338" s="677">
        <v>755.0</v>
      </c>
      <c r="E338" s="632" t="s">
        <v>3840</v>
      </c>
      <c r="F338" s="678">
        <f t="shared" ref="F338:G338" si="825">H338+J338+L338+N338+P338</f>
        <v>1600.46</v>
      </c>
      <c r="G338" s="679">
        <f t="shared" si="825"/>
        <v>198.78</v>
      </c>
      <c r="H338" s="641">
        <v>138.24</v>
      </c>
      <c r="I338" s="680">
        <v>37.53</v>
      </c>
      <c r="J338" s="641">
        <v>424.74</v>
      </c>
      <c r="K338" s="680">
        <v>20.81</v>
      </c>
      <c r="L338" s="641">
        <v>395.21</v>
      </c>
      <c r="M338" s="680">
        <v>77.88</v>
      </c>
      <c r="N338" s="641">
        <v>387.2</v>
      </c>
      <c r="O338" s="680">
        <v>16.5</v>
      </c>
      <c r="P338" s="641">
        <v>255.07</v>
      </c>
      <c r="Q338" s="680">
        <v>46.06</v>
      </c>
      <c r="R338" s="681" t="s">
        <v>718</v>
      </c>
      <c r="S338" s="682">
        <f t="shared" si="10"/>
        <v>1600.46</v>
      </c>
      <c r="T338" s="683"/>
      <c r="U338" s="625">
        <f t="shared" si="651"/>
        <v>138.24</v>
      </c>
      <c r="V338" s="625">
        <f t="shared" si="652"/>
        <v>424.74</v>
      </c>
      <c r="W338" s="625">
        <f t="shared" si="653"/>
        <v>395.21</v>
      </c>
      <c r="X338" s="625">
        <f t="shared" si="654"/>
        <v>387.2</v>
      </c>
      <c r="Y338" s="625">
        <f t="shared" si="655"/>
        <v>255.07</v>
      </c>
      <c r="Z338" s="656">
        <f t="shared" si="16"/>
        <v>198.78</v>
      </c>
      <c r="AA338" s="683"/>
      <c r="AB338" s="625">
        <f t="shared" si="656"/>
        <v>37.53</v>
      </c>
      <c r="AC338" s="625">
        <f t="shared" si="657"/>
        <v>20.81</v>
      </c>
      <c r="AD338" s="625">
        <f t="shared" si="658"/>
        <v>77.88</v>
      </c>
      <c r="AE338" s="625">
        <f t="shared" si="659"/>
        <v>16.5</v>
      </c>
      <c r="AF338" s="625">
        <f t="shared" si="660"/>
        <v>46.06</v>
      </c>
      <c r="AG338" s="657">
        <f t="shared" si="22"/>
        <v>0.124201792</v>
      </c>
      <c r="AH338" s="165"/>
      <c r="AI338" s="165">
        <f t="shared" ref="AI338:AM338" si="826">AB338/U338</f>
        <v>0.271484375</v>
      </c>
      <c r="AJ338" s="165">
        <f t="shared" si="826"/>
        <v>0.0489946791</v>
      </c>
      <c r="AK338" s="165">
        <f t="shared" si="826"/>
        <v>0.197059791</v>
      </c>
      <c r="AL338" s="165">
        <f t="shared" si="826"/>
        <v>0.04261363636</v>
      </c>
      <c r="AM338" s="165">
        <f t="shared" si="826"/>
        <v>0.1805778806</v>
      </c>
      <c r="AN338" s="684">
        <f t="shared" si="815"/>
        <v>409.031</v>
      </c>
      <c r="AO338" s="625"/>
      <c r="AP338" s="625">
        <v>71.386</v>
      </c>
      <c r="AQ338" s="625">
        <v>55.683</v>
      </c>
      <c r="AR338" s="625">
        <v>161.829</v>
      </c>
      <c r="AS338" s="625">
        <v>2.103</v>
      </c>
      <c r="AT338" s="625">
        <v>118.03</v>
      </c>
      <c r="AU338" s="684">
        <f t="shared" si="816"/>
        <v>149</v>
      </c>
      <c r="AV338" s="641"/>
      <c r="AW338" s="641">
        <v>30.7</v>
      </c>
      <c r="AX338" s="641">
        <v>30.1</v>
      </c>
      <c r="AY338" s="641">
        <v>30.0</v>
      </c>
      <c r="AZ338" s="641">
        <v>29.6</v>
      </c>
      <c r="BA338" s="691">
        <v>28.6</v>
      </c>
      <c r="BB338" s="631"/>
      <c r="BC338" s="689" t="s">
        <v>695</v>
      </c>
      <c r="BD338" s="688" t="s">
        <v>3303</v>
      </c>
      <c r="BE338" s="739"/>
      <c r="BF338" s="739"/>
      <c r="BG338" s="739"/>
      <c r="BH338" s="739"/>
      <c r="BI338" s="739"/>
      <c r="BJ338" s="745"/>
      <c r="BK338" s="631"/>
      <c r="BL338" s="745"/>
      <c r="BM338" s="745"/>
      <c r="BN338" s="201"/>
    </row>
    <row r="339" hidden="1">
      <c r="A339" s="689"/>
      <c r="B339" s="186" t="s">
        <v>3841</v>
      </c>
      <c r="C339" s="676" t="s">
        <v>2113</v>
      </c>
      <c r="D339" s="461">
        <v>758.0</v>
      </c>
      <c r="E339" s="632" t="s">
        <v>3842</v>
      </c>
      <c r="F339" s="678">
        <f t="shared" ref="F339:G339" si="827">H339+J339+L339+N339+P339</f>
        <v>492.78</v>
      </c>
      <c r="G339" s="679">
        <f t="shared" si="827"/>
        <v>20.8</v>
      </c>
      <c r="H339" s="641">
        <v>139.21</v>
      </c>
      <c r="I339" s="680">
        <v>0.36</v>
      </c>
      <c r="J339" s="641">
        <v>106.25</v>
      </c>
      <c r="K339" s="680">
        <v>7.75</v>
      </c>
      <c r="L339" s="641">
        <v>89.09</v>
      </c>
      <c r="M339" s="680">
        <v>6.24</v>
      </c>
      <c r="N339" s="641">
        <v>103.26</v>
      </c>
      <c r="O339" s="680">
        <v>3.03</v>
      </c>
      <c r="P339" s="641">
        <v>54.97</v>
      </c>
      <c r="Q339" s="680">
        <v>3.42</v>
      </c>
      <c r="R339" s="681" t="s">
        <v>707</v>
      </c>
      <c r="S339" s="682">
        <f t="shared" si="10"/>
        <v>492.78</v>
      </c>
      <c r="T339" s="683"/>
      <c r="U339" s="625">
        <f t="shared" si="651"/>
        <v>139.21</v>
      </c>
      <c r="V339" s="625">
        <f t="shared" si="652"/>
        <v>106.25</v>
      </c>
      <c r="W339" s="625">
        <f t="shared" si="653"/>
        <v>89.09</v>
      </c>
      <c r="X339" s="625">
        <f t="shared" si="654"/>
        <v>103.26</v>
      </c>
      <c r="Y339" s="625">
        <f t="shared" si="655"/>
        <v>54.97</v>
      </c>
      <c r="Z339" s="656">
        <f t="shared" si="16"/>
        <v>20.8</v>
      </c>
      <c r="AA339" s="683"/>
      <c r="AB339" s="625">
        <f t="shared" si="656"/>
        <v>0.36</v>
      </c>
      <c r="AC339" s="625">
        <f t="shared" si="657"/>
        <v>7.75</v>
      </c>
      <c r="AD339" s="625">
        <f t="shared" si="658"/>
        <v>6.24</v>
      </c>
      <c r="AE339" s="625">
        <f t="shared" si="659"/>
        <v>3.03</v>
      </c>
      <c r="AF339" s="625">
        <f t="shared" si="660"/>
        <v>3.42</v>
      </c>
      <c r="AG339" s="657">
        <f t="shared" si="22"/>
        <v>0.04220950526</v>
      </c>
      <c r="AH339" s="165"/>
      <c r="AI339" s="165">
        <f t="shared" ref="AI339:AM339" si="828">AB339/U339</f>
        <v>0.002586021119</v>
      </c>
      <c r="AJ339" s="165">
        <f t="shared" si="828"/>
        <v>0.07294117647</v>
      </c>
      <c r="AK339" s="165">
        <f t="shared" si="828"/>
        <v>0.07004153104</v>
      </c>
      <c r="AL339" s="165">
        <f t="shared" si="828"/>
        <v>0.029343405</v>
      </c>
      <c r="AM339" s="165">
        <f t="shared" si="828"/>
        <v>0.06221575405</v>
      </c>
      <c r="AN339" s="684">
        <f t="shared" si="815"/>
        <v>4125</v>
      </c>
      <c r="AO339" s="625"/>
      <c r="AP339" s="625">
        <v>1100.0</v>
      </c>
      <c r="AQ339" s="625">
        <v>1000.0</v>
      </c>
      <c r="AR339" s="625">
        <v>775.0</v>
      </c>
      <c r="AS339" s="625">
        <v>775.0</v>
      </c>
      <c r="AT339" s="625">
        <v>475.0</v>
      </c>
      <c r="AU339" s="684">
        <f t="shared" si="816"/>
        <v>0</v>
      </c>
      <c r="AV339" s="180"/>
      <c r="AW339" s="180">
        <v>0.0</v>
      </c>
      <c r="AX339" s="180">
        <v>0.0</v>
      </c>
      <c r="AY339" s="180">
        <v>0.0</v>
      </c>
      <c r="AZ339" s="180">
        <v>0.0</v>
      </c>
      <c r="BA339" s="686">
        <v>0.0</v>
      </c>
      <c r="BB339" s="631"/>
      <c r="BC339" s="689" t="s">
        <v>695</v>
      </c>
      <c r="BD339" s="688" t="s">
        <v>3303</v>
      </c>
      <c r="BE339" s="144"/>
      <c r="BF339" s="144"/>
      <c r="BG339" s="144"/>
      <c r="BH339" s="144"/>
      <c r="BI339" s="144"/>
      <c r="BJ339" s="745"/>
      <c r="BK339" s="631"/>
      <c r="BL339" s="745"/>
      <c r="BM339" s="745"/>
      <c r="BN339" s="201"/>
    </row>
    <row r="340" hidden="1">
      <c r="A340" s="696" t="s">
        <v>1534</v>
      </c>
      <c r="B340" s="186" t="s">
        <v>3843</v>
      </c>
      <c r="C340" s="676" t="s">
        <v>2113</v>
      </c>
      <c r="D340" s="677">
        <v>774.0</v>
      </c>
      <c r="E340" s="632" t="s">
        <v>67</v>
      </c>
      <c r="F340" s="678">
        <f t="shared" ref="F340:G340" si="829">H340+J340+L340+N340+P340</f>
        <v>5056</v>
      </c>
      <c r="G340" s="679">
        <f t="shared" si="829"/>
        <v>158</v>
      </c>
      <c r="H340" s="641">
        <v>982.0</v>
      </c>
      <c r="I340" s="680">
        <v>82.0</v>
      </c>
      <c r="J340" s="641">
        <v>1568.0</v>
      </c>
      <c r="K340" s="680">
        <v>75.0</v>
      </c>
      <c r="L340" s="641">
        <v>916.0</v>
      </c>
      <c r="M340" s="680">
        <v>0.0</v>
      </c>
      <c r="N340" s="641">
        <v>829.0</v>
      </c>
      <c r="O340" s="680">
        <v>0.0</v>
      </c>
      <c r="P340" s="641">
        <v>761.0</v>
      </c>
      <c r="Q340" s="680">
        <v>1.0</v>
      </c>
      <c r="R340" s="681" t="s">
        <v>706</v>
      </c>
      <c r="S340" s="682">
        <f t="shared" si="10"/>
        <v>5056</v>
      </c>
      <c r="T340" s="683"/>
      <c r="U340" s="625">
        <f t="shared" si="651"/>
        <v>982</v>
      </c>
      <c r="V340" s="625">
        <f t="shared" si="652"/>
        <v>1568</v>
      </c>
      <c r="W340" s="625">
        <f t="shared" si="653"/>
        <v>916</v>
      </c>
      <c r="X340" s="625">
        <f t="shared" si="654"/>
        <v>829</v>
      </c>
      <c r="Y340" s="625">
        <f t="shared" si="655"/>
        <v>761</v>
      </c>
      <c r="Z340" s="656">
        <f t="shared" si="16"/>
        <v>158</v>
      </c>
      <c r="AA340" s="683"/>
      <c r="AB340" s="625">
        <f t="shared" si="656"/>
        <v>82</v>
      </c>
      <c r="AC340" s="625">
        <f t="shared" si="657"/>
        <v>75</v>
      </c>
      <c r="AD340" s="625">
        <f t="shared" si="658"/>
        <v>0</v>
      </c>
      <c r="AE340" s="625">
        <f t="shared" si="659"/>
        <v>0</v>
      </c>
      <c r="AF340" s="625">
        <f t="shared" si="660"/>
        <v>1</v>
      </c>
      <c r="AG340" s="657">
        <f t="shared" si="22"/>
        <v>0.03125</v>
      </c>
      <c r="AH340" s="165"/>
      <c r="AI340" s="165">
        <f t="shared" ref="AI340:AM340" si="830">AB340/U340</f>
        <v>0.08350305499</v>
      </c>
      <c r="AJ340" s="165">
        <f t="shared" si="830"/>
        <v>0.04783163265</v>
      </c>
      <c r="AK340" s="165">
        <f t="shared" si="830"/>
        <v>0</v>
      </c>
      <c r="AL340" s="165">
        <f t="shared" si="830"/>
        <v>0</v>
      </c>
      <c r="AM340" s="165">
        <f t="shared" si="830"/>
        <v>0.001314060447</v>
      </c>
      <c r="AN340" s="684">
        <f t="shared" si="815"/>
        <v>81</v>
      </c>
      <c r="AO340" s="625"/>
      <c r="AP340" s="625">
        <v>0.0</v>
      </c>
      <c r="AQ340" s="625">
        <v>0.0</v>
      </c>
      <c r="AR340" s="625">
        <v>0.0</v>
      </c>
      <c r="AS340" s="625">
        <v>36.0</v>
      </c>
      <c r="AT340" s="625">
        <v>45.0</v>
      </c>
      <c r="AU340" s="684">
        <f t="shared" si="816"/>
        <v>1956</v>
      </c>
      <c r="AV340" s="625"/>
      <c r="AW340" s="625">
        <v>467.0</v>
      </c>
      <c r="AX340" s="625">
        <v>428.0</v>
      </c>
      <c r="AY340" s="625">
        <v>389.0</v>
      </c>
      <c r="AZ340" s="625">
        <v>353.0</v>
      </c>
      <c r="BA340" s="693">
        <v>319.0</v>
      </c>
      <c r="BB340" s="631"/>
      <c r="BC340" s="189" t="s">
        <v>695</v>
      </c>
      <c r="BD340" s="688" t="s">
        <v>3303</v>
      </c>
      <c r="BE340" s="179" t="s">
        <v>3304</v>
      </c>
      <c r="BF340" s="179" t="s">
        <v>3305</v>
      </c>
      <c r="BG340" s="179" t="s">
        <v>3306</v>
      </c>
      <c r="BH340" s="179" t="s">
        <v>3307</v>
      </c>
      <c r="BI340" s="179" t="s">
        <v>3308</v>
      </c>
      <c r="BJ340" s="745"/>
      <c r="BK340" s="631"/>
      <c r="BL340" s="745"/>
      <c r="BM340" s="745"/>
      <c r="BN340" s="201"/>
    </row>
    <row r="341" hidden="1">
      <c r="A341" s="689"/>
      <c r="B341" s="186" t="s">
        <v>3844</v>
      </c>
      <c r="C341" s="676" t="s">
        <v>2113</v>
      </c>
      <c r="D341" s="677">
        <v>780.0</v>
      </c>
      <c r="E341" s="632" t="s">
        <v>3845</v>
      </c>
      <c r="F341" s="678">
        <f t="shared" ref="F341:G341" si="831">H341+J341+L341+N341+P341</f>
        <v>1629.7</v>
      </c>
      <c r="G341" s="679">
        <f t="shared" si="831"/>
        <v>387.6</v>
      </c>
      <c r="H341" s="641">
        <v>37.3</v>
      </c>
      <c r="I341" s="680">
        <v>101.8</v>
      </c>
      <c r="J341" s="641">
        <v>456.6</v>
      </c>
      <c r="K341" s="680">
        <v>92.2</v>
      </c>
      <c r="L341" s="641">
        <v>389.9</v>
      </c>
      <c r="M341" s="680">
        <v>67.1</v>
      </c>
      <c r="N341" s="641">
        <v>385.5</v>
      </c>
      <c r="O341" s="680">
        <v>66.4</v>
      </c>
      <c r="P341" s="641">
        <v>360.4</v>
      </c>
      <c r="Q341" s="680">
        <v>60.1</v>
      </c>
      <c r="R341" s="681" t="s">
        <v>722</v>
      </c>
      <c r="S341" s="682">
        <f t="shared" si="10"/>
        <v>1629.7</v>
      </c>
      <c r="T341" s="683"/>
      <c r="U341" s="625">
        <f t="shared" si="651"/>
        <v>37.3</v>
      </c>
      <c r="V341" s="625">
        <f t="shared" si="652"/>
        <v>456.6</v>
      </c>
      <c r="W341" s="625">
        <f t="shared" si="653"/>
        <v>389.9</v>
      </c>
      <c r="X341" s="625">
        <f t="shared" si="654"/>
        <v>385.5</v>
      </c>
      <c r="Y341" s="625">
        <f t="shared" si="655"/>
        <v>360.4</v>
      </c>
      <c r="Z341" s="656">
        <f t="shared" si="16"/>
        <v>387.6</v>
      </c>
      <c r="AA341" s="683"/>
      <c r="AB341" s="625">
        <f t="shared" si="656"/>
        <v>101.8</v>
      </c>
      <c r="AC341" s="625">
        <f t="shared" si="657"/>
        <v>92.2</v>
      </c>
      <c r="AD341" s="625">
        <f t="shared" si="658"/>
        <v>67.1</v>
      </c>
      <c r="AE341" s="625">
        <f t="shared" si="659"/>
        <v>66.4</v>
      </c>
      <c r="AF341" s="625">
        <f t="shared" si="660"/>
        <v>60.1</v>
      </c>
      <c r="AG341" s="657">
        <f t="shared" si="22"/>
        <v>0.2378351844</v>
      </c>
      <c r="AH341" s="165"/>
      <c r="AI341" s="165">
        <f t="shared" ref="AI341:AM341" si="832">AB341/U341</f>
        <v>2.72922252</v>
      </c>
      <c r="AJ341" s="165">
        <f t="shared" si="832"/>
        <v>0.2019272887</v>
      </c>
      <c r="AK341" s="165">
        <f t="shared" si="832"/>
        <v>0.1720954091</v>
      </c>
      <c r="AL341" s="165">
        <f t="shared" si="832"/>
        <v>0.1722438392</v>
      </c>
      <c r="AM341" s="165">
        <f t="shared" si="832"/>
        <v>0.1667591565</v>
      </c>
      <c r="AN341" s="684">
        <f t="shared" si="815"/>
        <v>1317</v>
      </c>
      <c r="AO341" s="625"/>
      <c r="AP341" s="625">
        <v>403.5</v>
      </c>
      <c r="AQ341" s="625">
        <v>366.5</v>
      </c>
      <c r="AR341" s="625">
        <v>56.7</v>
      </c>
      <c r="AS341" s="625">
        <v>287.7</v>
      </c>
      <c r="AT341" s="746">
        <v>202.6</v>
      </c>
      <c r="AU341" s="684">
        <f t="shared" si="816"/>
        <v>785.3</v>
      </c>
      <c r="AV341" s="625"/>
      <c r="AW341" s="625">
        <v>177.2</v>
      </c>
      <c r="AX341" s="625">
        <v>170.1</v>
      </c>
      <c r="AY341" s="625">
        <v>158.7</v>
      </c>
      <c r="AZ341" s="625">
        <v>149.2</v>
      </c>
      <c r="BA341" s="693">
        <v>130.1</v>
      </c>
      <c r="BB341" s="631"/>
      <c r="BC341" s="689" t="s">
        <v>695</v>
      </c>
      <c r="BD341" s="688" t="s">
        <v>3303</v>
      </c>
      <c r="BE341" s="201"/>
      <c r="BF341" s="201"/>
      <c r="BG341" s="201"/>
      <c r="BH341" s="201"/>
      <c r="BI341" s="201"/>
      <c r="BJ341" s="745"/>
      <c r="BK341" s="631"/>
      <c r="BL341" s="745"/>
      <c r="BM341" s="745"/>
      <c r="BN341" s="201"/>
    </row>
    <row r="342" hidden="1">
      <c r="A342" s="689"/>
      <c r="B342" s="186" t="s">
        <v>3846</v>
      </c>
      <c r="C342" s="676" t="s">
        <v>2113</v>
      </c>
      <c r="D342" s="677">
        <v>785.0</v>
      </c>
      <c r="E342" s="632" t="s">
        <v>3847</v>
      </c>
      <c r="F342" s="678">
        <f t="shared" ref="F342:G342" si="833">H342+J342+L342+N342+P342</f>
        <v>6312</v>
      </c>
      <c r="G342" s="679">
        <f t="shared" si="833"/>
        <v>1173</v>
      </c>
      <c r="H342" s="641">
        <v>1431.0</v>
      </c>
      <c r="I342" s="680">
        <v>296.0</v>
      </c>
      <c r="J342" s="641">
        <v>1439.0</v>
      </c>
      <c r="K342" s="680">
        <v>212.0</v>
      </c>
      <c r="L342" s="641">
        <v>542.0</v>
      </c>
      <c r="M342" s="680">
        <v>171.0</v>
      </c>
      <c r="N342" s="641">
        <v>1442.0</v>
      </c>
      <c r="O342" s="680">
        <v>267.0</v>
      </c>
      <c r="P342" s="641">
        <v>1458.0</v>
      </c>
      <c r="Q342" s="680">
        <v>227.0</v>
      </c>
      <c r="R342" s="681" t="s">
        <v>693</v>
      </c>
      <c r="S342" s="682">
        <f t="shared" si="10"/>
        <v>6312</v>
      </c>
      <c r="T342" s="683"/>
      <c r="U342" s="625">
        <f t="shared" si="651"/>
        <v>1431</v>
      </c>
      <c r="V342" s="625">
        <f t="shared" si="652"/>
        <v>1439</v>
      </c>
      <c r="W342" s="625">
        <f t="shared" si="653"/>
        <v>542</v>
      </c>
      <c r="X342" s="625">
        <f t="shared" si="654"/>
        <v>1442</v>
      </c>
      <c r="Y342" s="625">
        <f t="shared" si="655"/>
        <v>1458</v>
      </c>
      <c r="Z342" s="656">
        <f t="shared" si="16"/>
        <v>1173</v>
      </c>
      <c r="AA342" s="683"/>
      <c r="AB342" s="625">
        <f t="shared" si="656"/>
        <v>296</v>
      </c>
      <c r="AC342" s="625">
        <f t="shared" si="657"/>
        <v>212</v>
      </c>
      <c r="AD342" s="625">
        <f t="shared" si="658"/>
        <v>171</v>
      </c>
      <c r="AE342" s="625">
        <f t="shared" si="659"/>
        <v>267</v>
      </c>
      <c r="AF342" s="625">
        <f t="shared" si="660"/>
        <v>227</v>
      </c>
      <c r="AG342" s="657">
        <f t="shared" si="22"/>
        <v>0.1858365019</v>
      </c>
      <c r="AH342" s="165"/>
      <c r="AI342" s="165">
        <f t="shared" ref="AI342:AM342" si="834">AB342/U342</f>
        <v>0.2068483578</v>
      </c>
      <c r="AJ342" s="165">
        <f t="shared" si="834"/>
        <v>0.1473245309</v>
      </c>
      <c r="AK342" s="165">
        <f t="shared" si="834"/>
        <v>0.315498155</v>
      </c>
      <c r="AL342" s="165">
        <f t="shared" si="834"/>
        <v>0.1851595007</v>
      </c>
      <c r="AM342" s="165">
        <f t="shared" si="834"/>
        <v>0.1556927298</v>
      </c>
      <c r="AN342" s="684">
        <f t="shared" si="815"/>
        <v>3703</v>
      </c>
      <c r="AO342" s="625"/>
      <c r="AP342" s="625">
        <v>43.0</v>
      </c>
      <c r="AQ342" s="625">
        <v>729.0</v>
      </c>
      <c r="AR342" s="625">
        <v>199.0</v>
      </c>
      <c r="AS342" s="625">
        <v>1394.0</v>
      </c>
      <c r="AT342" s="625">
        <v>1338.0</v>
      </c>
      <c r="AU342" s="684">
        <f t="shared" si="816"/>
        <v>1816</v>
      </c>
      <c r="AV342" s="625"/>
      <c r="AW342" s="625">
        <v>376.0</v>
      </c>
      <c r="AX342" s="625">
        <v>392.0</v>
      </c>
      <c r="AY342" s="625">
        <v>383.0</v>
      </c>
      <c r="AZ342" s="625">
        <v>402.0</v>
      </c>
      <c r="BA342" s="693">
        <v>263.0</v>
      </c>
      <c r="BB342" s="631"/>
      <c r="BC342" s="689" t="s">
        <v>695</v>
      </c>
      <c r="BD342" s="688" t="s">
        <v>3303</v>
      </c>
      <c r="BE342" s="179" t="s">
        <v>3304</v>
      </c>
      <c r="BF342" s="179" t="s">
        <v>3305</v>
      </c>
      <c r="BG342" s="179" t="s">
        <v>3306</v>
      </c>
      <c r="BH342" s="179" t="s">
        <v>3307</v>
      </c>
      <c r="BI342" s="179" t="s">
        <v>3308</v>
      </c>
      <c r="BJ342" s="745"/>
      <c r="BK342" s="631"/>
      <c r="BL342" s="745"/>
      <c r="BM342" s="745"/>
      <c r="BN342" s="201"/>
    </row>
    <row r="343" hidden="1">
      <c r="A343" s="689"/>
      <c r="B343" s="186" t="s">
        <v>3848</v>
      </c>
      <c r="C343" s="676" t="s">
        <v>2113</v>
      </c>
      <c r="D343" s="677">
        <v>786.0</v>
      </c>
      <c r="E343" s="632" t="s">
        <v>3849</v>
      </c>
      <c r="F343" s="678">
        <f t="shared" ref="F343:G343" si="835">H343+J343+L343+N343+P343</f>
        <v>1085.71</v>
      </c>
      <c r="G343" s="679">
        <f t="shared" si="835"/>
        <v>424.36</v>
      </c>
      <c r="H343" s="641">
        <v>233.48</v>
      </c>
      <c r="I343" s="680">
        <v>154.5</v>
      </c>
      <c r="J343" s="641">
        <v>350.11</v>
      </c>
      <c r="K343" s="680">
        <v>132.07</v>
      </c>
      <c r="L343" s="641">
        <v>164.24</v>
      </c>
      <c r="M343" s="680">
        <v>55.29</v>
      </c>
      <c r="N343" s="641">
        <v>175.79</v>
      </c>
      <c r="O343" s="680">
        <v>65.84</v>
      </c>
      <c r="P343" s="641">
        <v>162.09</v>
      </c>
      <c r="Q343" s="680">
        <v>16.66</v>
      </c>
      <c r="R343" s="681" t="s">
        <v>702</v>
      </c>
      <c r="S343" s="682">
        <f t="shared" si="10"/>
        <v>1085.71</v>
      </c>
      <c r="T343" s="683"/>
      <c r="U343" s="625">
        <f t="shared" si="651"/>
        <v>233.48</v>
      </c>
      <c r="V343" s="625">
        <f t="shared" si="652"/>
        <v>350.11</v>
      </c>
      <c r="W343" s="625">
        <f t="shared" si="653"/>
        <v>164.24</v>
      </c>
      <c r="X343" s="625">
        <f t="shared" si="654"/>
        <v>175.79</v>
      </c>
      <c r="Y343" s="625">
        <f t="shared" si="655"/>
        <v>162.09</v>
      </c>
      <c r="Z343" s="656">
        <f t="shared" si="16"/>
        <v>424.36</v>
      </c>
      <c r="AA343" s="683"/>
      <c r="AB343" s="625">
        <f t="shared" si="656"/>
        <v>154.5</v>
      </c>
      <c r="AC343" s="625">
        <f t="shared" si="657"/>
        <v>132.07</v>
      </c>
      <c r="AD343" s="625">
        <f t="shared" si="658"/>
        <v>55.29</v>
      </c>
      <c r="AE343" s="625">
        <f t="shared" si="659"/>
        <v>65.84</v>
      </c>
      <c r="AF343" s="625">
        <f t="shared" si="660"/>
        <v>16.66</v>
      </c>
      <c r="AG343" s="657">
        <f t="shared" si="22"/>
        <v>0.3908594376</v>
      </c>
      <c r="AH343" s="165"/>
      <c r="AI343" s="165">
        <f t="shared" ref="AI343:AM343" si="836">AB343/U343</f>
        <v>0.6617269145</v>
      </c>
      <c r="AJ343" s="165">
        <f t="shared" si="836"/>
        <v>0.3772243009</v>
      </c>
      <c r="AK343" s="165">
        <f t="shared" si="836"/>
        <v>0.3366415002</v>
      </c>
      <c r="AL343" s="165">
        <f t="shared" si="836"/>
        <v>0.3745378008</v>
      </c>
      <c r="AM343" s="165">
        <f t="shared" si="836"/>
        <v>0.1027824048</v>
      </c>
      <c r="AN343" s="684">
        <f t="shared" si="815"/>
        <v>1550</v>
      </c>
      <c r="AO343" s="625"/>
      <c r="AP343" s="625">
        <v>475.0</v>
      </c>
      <c r="AQ343" s="625">
        <v>375.0</v>
      </c>
      <c r="AR343" s="625">
        <v>0.0</v>
      </c>
      <c r="AS343" s="625">
        <v>400.0</v>
      </c>
      <c r="AT343" s="625">
        <v>300.0</v>
      </c>
      <c r="AU343" s="684">
        <f t="shared" si="816"/>
        <v>0</v>
      </c>
      <c r="AV343" s="180"/>
      <c r="AW343" s="180">
        <v>0.0</v>
      </c>
      <c r="AX343" s="180">
        <v>0.0</v>
      </c>
      <c r="AY343" s="180">
        <v>0.0</v>
      </c>
      <c r="AZ343" s="180">
        <v>0.0</v>
      </c>
      <c r="BA343" s="686">
        <v>0.0</v>
      </c>
      <c r="BB343" s="631"/>
      <c r="BC343" s="689" t="s">
        <v>695</v>
      </c>
      <c r="BD343" s="688" t="s">
        <v>3303</v>
      </c>
      <c r="BE343" s="144"/>
      <c r="BF343" s="144"/>
      <c r="BG343" s="144"/>
      <c r="BH343" s="144"/>
      <c r="BI343" s="144"/>
      <c r="BJ343" s="745"/>
      <c r="BK343" s="631"/>
      <c r="BL343" s="745"/>
      <c r="BM343" s="745"/>
      <c r="BN343" s="201"/>
    </row>
    <row r="344" hidden="1">
      <c r="A344" s="212"/>
      <c r="B344" s="186" t="s">
        <v>3850</v>
      </c>
      <c r="C344" s="676" t="s">
        <v>2113</v>
      </c>
      <c r="D344" s="717">
        <v>791.0</v>
      </c>
      <c r="E344" s="733" t="s">
        <v>3851</v>
      </c>
      <c r="F344" s="678">
        <f t="shared" ref="F344:G344" si="837">H344+J344+L344+N344+P344</f>
        <v>325.7</v>
      </c>
      <c r="G344" s="679">
        <f t="shared" si="837"/>
        <v>70.1</v>
      </c>
      <c r="H344" s="641">
        <v>105.1</v>
      </c>
      <c r="I344" s="680">
        <v>98.4</v>
      </c>
      <c r="J344" s="641">
        <v>138.4</v>
      </c>
      <c r="K344" s="680">
        <v>15.0</v>
      </c>
      <c r="L344" s="641">
        <v>23.9</v>
      </c>
      <c r="M344" s="680">
        <v>-19.8</v>
      </c>
      <c r="N344" s="641">
        <v>37.9</v>
      </c>
      <c r="O344" s="680">
        <v>-3.8</v>
      </c>
      <c r="P344" s="641">
        <v>20.4</v>
      </c>
      <c r="Q344" s="680">
        <v>-19.7</v>
      </c>
      <c r="R344" s="681" t="s">
        <v>717</v>
      </c>
      <c r="S344" s="682">
        <f t="shared" si="10"/>
        <v>325.7</v>
      </c>
      <c r="T344" s="683"/>
      <c r="U344" s="625">
        <f t="shared" si="651"/>
        <v>105.1</v>
      </c>
      <c r="V344" s="625">
        <f t="shared" si="652"/>
        <v>138.4</v>
      </c>
      <c r="W344" s="625">
        <f t="shared" si="653"/>
        <v>23.9</v>
      </c>
      <c r="X344" s="625">
        <f t="shared" si="654"/>
        <v>37.9</v>
      </c>
      <c r="Y344" s="625">
        <f t="shared" si="655"/>
        <v>20.4</v>
      </c>
      <c r="Z344" s="656">
        <f t="shared" si="16"/>
        <v>70.1</v>
      </c>
      <c r="AA344" s="683"/>
      <c r="AB344" s="625">
        <f t="shared" si="656"/>
        <v>98.4</v>
      </c>
      <c r="AC344" s="625">
        <f t="shared" si="657"/>
        <v>15</v>
      </c>
      <c r="AD344" s="625">
        <f t="shared" si="658"/>
        <v>-19.8</v>
      </c>
      <c r="AE344" s="625">
        <f t="shared" si="659"/>
        <v>-3.8</v>
      </c>
      <c r="AF344" s="625">
        <f t="shared" si="660"/>
        <v>-19.7</v>
      </c>
      <c r="AG344" s="657">
        <f t="shared" si="22"/>
        <v>0.2152287381</v>
      </c>
      <c r="AH344" s="165"/>
      <c r="AI344" s="165">
        <f t="shared" ref="AI344:AM344" si="838">AB344/U344</f>
        <v>0.9362511893</v>
      </c>
      <c r="AJ344" s="165">
        <f t="shared" si="838"/>
        <v>0.1083815029</v>
      </c>
      <c r="AK344" s="165">
        <f t="shared" si="838"/>
        <v>-0.8284518828</v>
      </c>
      <c r="AL344" s="165">
        <f t="shared" si="838"/>
        <v>-0.1002638522</v>
      </c>
      <c r="AM344" s="165">
        <f t="shared" si="838"/>
        <v>-0.9656862745</v>
      </c>
      <c r="AN344" s="684"/>
      <c r="AO344" s="625"/>
      <c r="AP344" s="625"/>
      <c r="AQ344" s="625"/>
      <c r="AR344" s="625"/>
      <c r="AS344" s="625"/>
      <c r="AT344" s="625"/>
      <c r="AU344" s="684"/>
      <c r="AV344" s="625"/>
      <c r="AW344" s="625"/>
      <c r="AX344" s="625"/>
      <c r="AY344" s="625"/>
      <c r="AZ344" s="625"/>
      <c r="BA344" s="693"/>
      <c r="BB344" s="631"/>
      <c r="BC344" s="689" t="s">
        <v>695</v>
      </c>
      <c r="BD344" s="688" t="s">
        <v>3303</v>
      </c>
      <c r="BE344" s="631"/>
      <c r="BF344" s="631"/>
      <c r="BG344" s="631"/>
      <c r="BH344" s="631"/>
      <c r="BI344" s="631"/>
      <c r="BJ344" s="745"/>
      <c r="BK344" s="631"/>
      <c r="BL344" s="745"/>
      <c r="BM344" s="745"/>
      <c r="BN344" s="201"/>
    </row>
    <row r="345" hidden="1">
      <c r="A345" s="689"/>
      <c r="B345" s="186" t="s">
        <v>3852</v>
      </c>
      <c r="C345" s="676" t="s">
        <v>2113</v>
      </c>
      <c r="D345" s="677">
        <v>807.0</v>
      </c>
      <c r="E345" s="632" t="s">
        <v>3853</v>
      </c>
      <c r="F345" s="678">
        <f t="shared" ref="F345:G345" si="839">H345+J345+L345+N345+P345</f>
        <v>3074.21</v>
      </c>
      <c r="G345" s="679">
        <f t="shared" si="839"/>
        <v>489.28</v>
      </c>
      <c r="H345" s="641">
        <v>832.4</v>
      </c>
      <c r="I345" s="680">
        <v>124.1</v>
      </c>
      <c r="J345" s="641">
        <v>722.86</v>
      </c>
      <c r="K345" s="680">
        <v>106.76</v>
      </c>
      <c r="L345" s="641">
        <v>588.68</v>
      </c>
      <c r="M345" s="680">
        <v>93.62</v>
      </c>
      <c r="N345" s="641">
        <v>494.54</v>
      </c>
      <c r="O345" s="680">
        <v>85.51</v>
      </c>
      <c r="P345" s="641">
        <v>435.73</v>
      </c>
      <c r="Q345" s="680">
        <v>79.29</v>
      </c>
      <c r="R345" s="681" t="s">
        <v>705</v>
      </c>
      <c r="S345" s="682">
        <f t="shared" si="10"/>
        <v>3074.21</v>
      </c>
      <c r="T345" s="683"/>
      <c r="U345" s="625">
        <f t="shared" si="651"/>
        <v>832.4</v>
      </c>
      <c r="V345" s="625">
        <f t="shared" si="652"/>
        <v>722.86</v>
      </c>
      <c r="W345" s="625">
        <f t="shared" si="653"/>
        <v>588.68</v>
      </c>
      <c r="X345" s="625">
        <f t="shared" si="654"/>
        <v>494.54</v>
      </c>
      <c r="Y345" s="625">
        <f t="shared" si="655"/>
        <v>435.73</v>
      </c>
      <c r="Z345" s="656">
        <f t="shared" si="16"/>
        <v>489.28</v>
      </c>
      <c r="AA345" s="683"/>
      <c r="AB345" s="625">
        <f t="shared" si="656"/>
        <v>124.1</v>
      </c>
      <c r="AC345" s="625">
        <f t="shared" si="657"/>
        <v>106.76</v>
      </c>
      <c r="AD345" s="625">
        <f t="shared" si="658"/>
        <v>93.62</v>
      </c>
      <c r="AE345" s="625">
        <f t="shared" si="659"/>
        <v>85.51</v>
      </c>
      <c r="AF345" s="625">
        <f t="shared" si="660"/>
        <v>79.29</v>
      </c>
      <c r="AG345" s="657">
        <f t="shared" si="22"/>
        <v>0.1591563361</v>
      </c>
      <c r="AH345" s="165"/>
      <c r="AI345" s="165">
        <f t="shared" ref="AI345:AM345" si="840">AB345/U345</f>
        <v>0.1490869774</v>
      </c>
      <c r="AJ345" s="165">
        <f t="shared" si="840"/>
        <v>0.1476911158</v>
      </c>
      <c r="AK345" s="165">
        <f t="shared" si="840"/>
        <v>0.1590337705</v>
      </c>
      <c r="AL345" s="165">
        <f t="shared" si="840"/>
        <v>0.1729081571</v>
      </c>
      <c r="AM345" s="165">
        <f t="shared" si="840"/>
        <v>0.1819704863</v>
      </c>
      <c r="AN345" s="684">
        <f t="shared" ref="AN345:AN347" si="843">SUM(AP345:AT345)</f>
        <v>410.48</v>
      </c>
      <c r="AO345" s="625"/>
      <c r="AP345" s="625">
        <v>122.9</v>
      </c>
      <c r="AQ345" s="625">
        <v>82.564</v>
      </c>
      <c r="AR345" s="625">
        <v>55.095</v>
      </c>
      <c r="AS345" s="625">
        <v>58.671</v>
      </c>
      <c r="AT345" s="625">
        <v>91.25</v>
      </c>
      <c r="AU345" s="684">
        <f t="shared" ref="AU345:AU347" si="844">SUM(AW345:BA345)</f>
        <v>503.33</v>
      </c>
      <c r="AV345" s="625"/>
      <c r="AW345" s="625">
        <v>119.5</v>
      </c>
      <c r="AX345" s="625">
        <v>107.2</v>
      </c>
      <c r="AY345" s="625">
        <v>100.6</v>
      </c>
      <c r="AZ345" s="625">
        <v>91.34</v>
      </c>
      <c r="BA345" s="693">
        <v>84.69</v>
      </c>
      <c r="BB345" s="631"/>
      <c r="BC345" s="689" t="s">
        <v>695</v>
      </c>
      <c r="BD345" s="688" t="s">
        <v>3303</v>
      </c>
      <c r="BE345" s="179" t="s">
        <v>3304</v>
      </c>
      <c r="BF345" s="179" t="s">
        <v>3305</v>
      </c>
      <c r="BG345" s="179" t="s">
        <v>3306</v>
      </c>
      <c r="BH345" s="179" t="s">
        <v>3307</v>
      </c>
      <c r="BI345" s="179" t="s">
        <v>3308</v>
      </c>
      <c r="BJ345" s="745"/>
      <c r="BK345" s="631"/>
      <c r="BL345" s="745"/>
      <c r="BM345" s="745"/>
      <c r="BN345" s="201"/>
    </row>
    <row r="346" hidden="1">
      <c r="A346" s="689"/>
      <c r="B346" s="186" t="s">
        <v>3854</v>
      </c>
      <c r="C346" s="676" t="s">
        <v>2113</v>
      </c>
      <c r="D346" s="677">
        <v>809.0</v>
      </c>
      <c r="E346" s="632" t="s">
        <v>3855</v>
      </c>
      <c r="F346" s="678">
        <f t="shared" ref="F346:G346" si="841">H346+J346+L346+N346+P346</f>
        <v>1192.04</v>
      </c>
      <c r="G346" s="679">
        <f t="shared" si="841"/>
        <v>-48.35</v>
      </c>
      <c r="H346" s="641">
        <v>394.8</v>
      </c>
      <c r="I346" s="680">
        <v>79.82</v>
      </c>
      <c r="J346" s="641">
        <v>350.79</v>
      </c>
      <c r="K346" s="680">
        <v>-31.16</v>
      </c>
      <c r="L346" s="641">
        <v>249.63</v>
      </c>
      <c r="M346" s="680">
        <v>-28.53</v>
      </c>
      <c r="N346" s="641">
        <v>136.59</v>
      </c>
      <c r="O346" s="680">
        <v>-41.94</v>
      </c>
      <c r="P346" s="641">
        <v>60.23</v>
      </c>
      <c r="Q346" s="680">
        <v>-26.54</v>
      </c>
      <c r="R346" s="681" t="s">
        <v>702</v>
      </c>
      <c r="S346" s="682">
        <f t="shared" si="10"/>
        <v>1192.04</v>
      </c>
      <c r="T346" s="683"/>
      <c r="U346" s="625">
        <f t="shared" si="651"/>
        <v>394.8</v>
      </c>
      <c r="V346" s="625">
        <f t="shared" si="652"/>
        <v>350.79</v>
      </c>
      <c r="W346" s="625">
        <f t="shared" si="653"/>
        <v>249.63</v>
      </c>
      <c r="X346" s="625">
        <f t="shared" si="654"/>
        <v>136.59</v>
      </c>
      <c r="Y346" s="625">
        <f t="shared" si="655"/>
        <v>60.23</v>
      </c>
      <c r="Z346" s="656">
        <f t="shared" si="16"/>
        <v>-48.35</v>
      </c>
      <c r="AA346" s="683"/>
      <c r="AB346" s="625">
        <f t="shared" si="656"/>
        <v>79.82</v>
      </c>
      <c r="AC346" s="625">
        <f t="shared" si="657"/>
        <v>-31.16</v>
      </c>
      <c r="AD346" s="625">
        <f t="shared" si="658"/>
        <v>-28.53</v>
      </c>
      <c r="AE346" s="625">
        <f t="shared" si="659"/>
        <v>-41.94</v>
      </c>
      <c r="AF346" s="625">
        <f t="shared" si="660"/>
        <v>-26.54</v>
      </c>
      <c r="AG346" s="657">
        <f t="shared" si="22"/>
        <v>-0.04056071944</v>
      </c>
      <c r="AH346" s="165"/>
      <c r="AI346" s="165">
        <f t="shared" ref="AI346:AM346" si="842">AB346/U346</f>
        <v>0.2021783181</v>
      </c>
      <c r="AJ346" s="165">
        <f t="shared" si="842"/>
        <v>-0.08882807378</v>
      </c>
      <c r="AK346" s="165">
        <f t="shared" si="842"/>
        <v>-0.1142891479</v>
      </c>
      <c r="AL346" s="165">
        <f t="shared" si="842"/>
        <v>-0.3070502965</v>
      </c>
      <c r="AM346" s="165">
        <f t="shared" si="842"/>
        <v>-0.4406441972</v>
      </c>
      <c r="AN346" s="684">
        <f t="shared" si="843"/>
        <v>2598</v>
      </c>
      <c r="AO346" s="625"/>
      <c r="AP346" s="625">
        <v>1050.0</v>
      </c>
      <c r="AQ346" s="625">
        <v>612.0</v>
      </c>
      <c r="AR346" s="625">
        <v>380.0</v>
      </c>
      <c r="AS346" s="625">
        <v>306.0</v>
      </c>
      <c r="AT346" s="625">
        <v>250.0</v>
      </c>
      <c r="AU346" s="684">
        <f t="shared" si="844"/>
        <v>0</v>
      </c>
      <c r="AV346" s="180"/>
      <c r="AW346" s="180">
        <v>0.0</v>
      </c>
      <c r="AX346" s="180">
        <v>0.0</v>
      </c>
      <c r="AY346" s="180">
        <v>0.0</v>
      </c>
      <c r="AZ346" s="180">
        <v>0.0</v>
      </c>
      <c r="BA346" s="686">
        <v>0.0</v>
      </c>
      <c r="BB346" s="631"/>
      <c r="BC346" s="689" t="s">
        <v>695</v>
      </c>
      <c r="BD346" s="688" t="s">
        <v>3303</v>
      </c>
      <c r="BE346" s="144"/>
      <c r="BF346" s="144"/>
      <c r="BG346" s="144"/>
      <c r="BH346" s="144"/>
      <c r="BI346" s="144"/>
      <c r="BJ346" s="745"/>
      <c r="BK346" s="631"/>
      <c r="BL346" s="745"/>
      <c r="BM346" s="745"/>
      <c r="BN346" s="201"/>
    </row>
    <row r="347" hidden="1">
      <c r="A347" s="689"/>
      <c r="B347" s="186" t="s">
        <v>3856</v>
      </c>
      <c r="C347" s="690" t="s">
        <v>1980</v>
      </c>
      <c r="D347" s="677">
        <v>820.0</v>
      </c>
      <c r="E347" s="632" t="s">
        <v>3857</v>
      </c>
      <c r="F347" s="678">
        <f t="shared" ref="F347:G347" si="845">H347+J347+L347+N347+P347</f>
        <v>4039.02</v>
      </c>
      <c r="G347" s="679">
        <f t="shared" si="845"/>
        <v>538.65</v>
      </c>
      <c r="H347" s="641">
        <v>1208.1</v>
      </c>
      <c r="I347" s="680">
        <v>179.84</v>
      </c>
      <c r="J347" s="641">
        <v>987.83</v>
      </c>
      <c r="K347" s="680">
        <v>135.22</v>
      </c>
      <c r="L347" s="641">
        <v>728.08</v>
      </c>
      <c r="M347" s="680">
        <v>53.94</v>
      </c>
      <c r="N347" s="641">
        <v>622.15</v>
      </c>
      <c r="O347" s="680">
        <v>59.85</v>
      </c>
      <c r="P347" s="641">
        <v>492.86</v>
      </c>
      <c r="Q347" s="680">
        <v>109.8</v>
      </c>
      <c r="R347" s="681" t="s">
        <v>693</v>
      </c>
      <c r="S347" s="682">
        <f t="shared" si="10"/>
        <v>4039.02</v>
      </c>
      <c r="T347" s="683"/>
      <c r="U347" s="625">
        <f t="shared" si="651"/>
        <v>1208.1</v>
      </c>
      <c r="V347" s="625">
        <f t="shared" si="652"/>
        <v>987.83</v>
      </c>
      <c r="W347" s="625">
        <f t="shared" si="653"/>
        <v>728.08</v>
      </c>
      <c r="X347" s="625">
        <f t="shared" si="654"/>
        <v>622.15</v>
      </c>
      <c r="Y347" s="625">
        <f t="shared" si="655"/>
        <v>492.86</v>
      </c>
      <c r="Z347" s="656">
        <f t="shared" si="16"/>
        <v>538.65</v>
      </c>
      <c r="AA347" s="683"/>
      <c r="AB347" s="625">
        <f t="shared" si="656"/>
        <v>179.84</v>
      </c>
      <c r="AC347" s="625">
        <f t="shared" si="657"/>
        <v>135.22</v>
      </c>
      <c r="AD347" s="625">
        <f t="shared" si="658"/>
        <v>53.94</v>
      </c>
      <c r="AE347" s="625">
        <f t="shared" si="659"/>
        <v>59.85</v>
      </c>
      <c r="AF347" s="625">
        <f t="shared" si="660"/>
        <v>109.8</v>
      </c>
      <c r="AG347" s="657">
        <f t="shared" si="22"/>
        <v>0.133361558</v>
      </c>
      <c r="AH347" s="165"/>
      <c r="AI347" s="165">
        <f t="shared" ref="AI347:AM347" si="846">AB347/U347</f>
        <v>0.1488618492</v>
      </c>
      <c r="AJ347" s="165">
        <f t="shared" si="846"/>
        <v>0.1368859014</v>
      </c>
      <c r="AK347" s="165">
        <f t="shared" si="846"/>
        <v>0.07408526536</v>
      </c>
      <c r="AL347" s="165">
        <f t="shared" si="846"/>
        <v>0.09619866592</v>
      </c>
      <c r="AM347" s="165">
        <f t="shared" si="846"/>
        <v>0.2227813172</v>
      </c>
      <c r="AN347" s="684">
        <f t="shared" si="843"/>
        <v>365</v>
      </c>
      <c r="AO347" s="625"/>
      <c r="AP347" s="625">
        <v>0.0</v>
      </c>
      <c r="AQ347" s="625">
        <v>0.0</v>
      </c>
      <c r="AR347" s="625">
        <v>0.0</v>
      </c>
      <c r="AS347" s="625">
        <v>0.0</v>
      </c>
      <c r="AT347" s="746">
        <v>365.0</v>
      </c>
      <c r="AU347" s="684">
        <f t="shared" si="844"/>
        <v>0</v>
      </c>
      <c r="AV347" s="180"/>
      <c r="AW347" s="180">
        <v>0.0</v>
      </c>
      <c r="AX347" s="180">
        <v>0.0</v>
      </c>
      <c r="AY347" s="180">
        <v>0.0</v>
      </c>
      <c r="AZ347" s="180">
        <v>0.0</v>
      </c>
      <c r="BA347" s="686">
        <v>0.0</v>
      </c>
      <c r="BB347" s="631"/>
      <c r="BC347" s="189" t="s">
        <v>695</v>
      </c>
      <c r="BD347" s="186" t="s">
        <v>3303</v>
      </c>
      <c r="BE347" s="179" t="s">
        <v>3304</v>
      </c>
      <c r="BF347" s="179" t="s">
        <v>3305</v>
      </c>
      <c r="BG347" s="179" t="s">
        <v>3306</v>
      </c>
      <c r="BH347" s="179" t="s">
        <v>3307</v>
      </c>
      <c r="BI347" s="179" t="s">
        <v>3308</v>
      </c>
      <c r="BJ347" s="745"/>
      <c r="BK347" s="631"/>
      <c r="BL347" s="745"/>
      <c r="BM347" s="745"/>
      <c r="BN347" s="201"/>
    </row>
    <row r="348" hidden="1">
      <c r="A348" s="212"/>
      <c r="B348" s="186" t="s">
        <v>3858</v>
      </c>
      <c r="C348" s="676" t="s">
        <v>1919</v>
      </c>
      <c r="D348" s="677">
        <v>828.0</v>
      </c>
      <c r="E348" s="131" t="s">
        <v>3859</v>
      </c>
      <c r="F348" s="678">
        <f t="shared" ref="F348:G348" si="847">H348+J348+L348+N348+P348</f>
        <v>1954.02</v>
      </c>
      <c r="G348" s="679">
        <f t="shared" si="847"/>
        <v>382.19</v>
      </c>
      <c r="H348" s="641">
        <v>428.88</v>
      </c>
      <c r="I348" s="680">
        <v>97.43</v>
      </c>
      <c r="J348" s="641">
        <v>452.96</v>
      </c>
      <c r="K348" s="680">
        <v>121.32</v>
      </c>
      <c r="L348" s="641">
        <v>622.47</v>
      </c>
      <c r="M348" s="680">
        <v>70.4</v>
      </c>
      <c r="N348" s="641">
        <v>72.74</v>
      </c>
      <c r="O348" s="680">
        <v>18.05</v>
      </c>
      <c r="P348" s="641">
        <v>376.97</v>
      </c>
      <c r="Q348" s="680">
        <v>74.99</v>
      </c>
      <c r="R348" s="681" t="s">
        <v>698</v>
      </c>
      <c r="S348" s="682">
        <f t="shared" si="10"/>
        <v>1954.02</v>
      </c>
      <c r="T348" s="683"/>
      <c r="U348" s="625">
        <f t="shared" si="651"/>
        <v>428.88</v>
      </c>
      <c r="V348" s="625">
        <f t="shared" si="652"/>
        <v>452.96</v>
      </c>
      <c r="W348" s="625">
        <f t="shared" si="653"/>
        <v>622.47</v>
      </c>
      <c r="X348" s="625">
        <f t="shared" si="654"/>
        <v>72.74</v>
      </c>
      <c r="Y348" s="625">
        <f t="shared" si="655"/>
        <v>376.97</v>
      </c>
      <c r="Z348" s="656">
        <f t="shared" si="16"/>
        <v>382.19</v>
      </c>
      <c r="AA348" s="683"/>
      <c r="AB348" s="625">
        <f t="shared" si="656"/>
        <v>97.43</v>
      </c>
      <c r="AC348" s="625">
        <f t="shared" si="657"/>
        <v>121.32</v>
      </c>
      <c r="AD348" s="625">
        <f t="shared" si="658"/>
        <v>70.4</v>
      </c>
      <c r="AE348" s="625">
        <f t="shared" si="659"/>
        <v>18.05</v>
      </c>
      <c r="AF348" s="625">
        <f t="shared" si="660"/>
        <v>74.99</v>
      </c>
      <c r="AG348" s="657">
        <f t="shared" si="22"/>
        <v>0.1955916521</v>
      </c>
      <c r="AH348" s="165"/>
      <c r="AI348" s="165">
        <f t="shared" ref="AI348:AM348" si="848">AB348/U348</f>
        <v>0.227173102</v>
      </c>
      <c r="AJ348" s="165">
        <f t="shared" si="848"/>
        <v>0.2678382197</v>
      </c>
      <c r="AK348" s="165">
        <f t="shared" si="848"/>
        <v>0.11309782</v>
      </c>
      <c r="AL348" s="165">
        <f t="shared" si="848"/>
        <v>0.2481440748</v>
      </c>
      <c r="AM348" s="165">
        <f t="shared" si="848"/>
        <v>0.1989282967</v>
      </c>
      <c r="AN348" s="684"/>
      <c r="AO348" s="625"/>
      <c r="AP348" s="625"/>
      <c r="AQ348" s="625"/>
      <c r="AR348" s="625"/>
      <c r="AS348" s="625"/>
      <c r="AT348" s="625"/>
      <c r="AU348" s="684"/>
      <c r="AV348" s="625"/>
      <c r="AW348" s="625"/>
      <c r="AX348" s="625"/>
      <c r="AY348" s="625"/>
      <c r="AZ348" s="625"/>
      <c r="BA348" s="693"/>
      <c r="BB348" s="631"/>
      <c r="BC348" s="215" t="s">
        <v>695</v>
      </c>
      <c r="BD348" s="688" t="s">
        <v>3303</v>
      </c>
      <c r="BE348" s="631"/>
      <c r="BF348" s="631"/>
      <c r="BG348" s="631"/>
      <c r="BH348" s="631"/>
      <c r="BI348" s="631"/>
      <c r="BJ348" s="745"/>
      <c r="BK348" s="631"/>
      <c r="BL348" s="745"/>
      <c r="BM348" s="745"/>
      <c r="BN348" s="201"/>
    </row>
    <row r="349" hidden="1">
      <c r="A349" s="689"/>
      <c r="B349" s="186" t="s">
        <v>3860</v>
      </c>
      <c r="C349" s="676" t="s">
        <v>2113</v>
      </c>
      <c r="D349" s="677">
        <v>831.0</v>
      </c>
      <c r="E349" s="632" t="s">
        <v>3861</v>
      </c>
      <c r="F349" s="678">
        <f t="shared" ref="F349:G349" si="849">H349+J349+L349+N349+P349</f>
        <v>2483.84</v>
      </c>
      <c r="G349" s="679">
        <f t="shared" si="849"/>
        <v>294.68</v>
      </c>
      <c r="H349" s="641">
        <v>471.27</v>
      </c>
      <c r="I349" s="680">
        <v>86.75</v>
      </c>
      <c r="J349" s="641">
        <v>483.37</v>
      </c>
      <c r="K349" s="680">
        <v>46.41</v>
      </c>
      <c r="L349" s="641">
        <v>437.49</v>
      </c>
      <c r="M349" s="680">
        <v>36.13</v>
      </c>
      <c r="N349" s="641">
        <v>495.53</v>
      </c>
      <c r="O349" s="680">
        <v>0.29</v>
      </c>
      <c r="P349" s="641">
        <v>596.18</v>
      </c>
      <c r="Q349" s="680">
        <v>125.1</v>
      </c>
      <c r="R349" s="681" t="s">
        <v>709</v>
      </c>
      <c r="S349" s="682">
        <f t="shared" si="10"/>
        <v>2483.84</v>
      </c>
      <c r="T349" s="683"/>
      <c r="U349" s="625">
        <f t="shared" si="651"/>
        <v>471.27</v>
      </c>
      <c r="V349" s="625">
        <f t="shared" si="652"/>
        <v>483.37</v>
      </c>
      <c r="W349" s="625">
        <f t="shared" si="653"/>
        <v>437.49</v>
      </c>
      <c r="X349" s="625">
        <f t="shared" si="654"/>
        <v>495.53</v>
      </c>
      <c r="Y349" s="625">
        <f t="shared" si="655"/>
        <v>596.18</v>
      </c>
      <c r="Z349" s="656">
        <f t="shared" si="16"/>
        <v>294.68</v>
      </c>
      <c r="AA349" s="683"/>
      <c r="AB349" s="625">
        <f t="shared" si="656"/>
        <v>86.75</v>
      </c>
      <c r="AC349" s="625">
        <f t="shared" si="657"/>
        <v>46.41</v>
      </c>
      <c r="AD349" s="625">
        <f t="shared" si="658"/>
        <v>36.13</v>
      </c>
      <c r="AE349" s="625">
        <f t="shared" si="659"/>
        <v>0.29</v>
      </c>
      <c r="AF349" s="625">
        <f t="shared" si="660"/>
        <v>125.1</v>
      </c>
      <c r="AG349" s="657">
        <f t="shared" si="22"/>
        <v>0.1186388817</v>
      </c>
      <c r="AH349" s="165"/>
      <c r="AI349" s="165">
        <f t="shared" ref="AI349:AM349" si="850">AB349/U349</f>
        <v>0.1840770683</v>
      </c>
      <c r="AJ349" s="165">
        <f t="shared" si="850"/>
        <v>0.09601340588</v>
      </c>
      <c r="AK349" s="165">
        <f t="shared" si="850"/>
        <v>0.08258474479</v>
      </c>
      <c r="AL349" s="165">
        <f t="shared" si="850"/>
        <v>0.0005852319738</v>
      </c>
      <c r="AM349" s="165">
        <f t="shared" si="850"/>
        <v>0.2098359556</v>
      </c>
      <c r="AN349" s="684">
        <f t="shared" ref="AN349:AN355" si="853">SUM(AP349:AT349)</f>
        <v>5265</v>
      </c>
      <c r="AO349" s="625"/>
      <c r="AP349" s="625">
        <v>1405.0</v>
      </c>
      <c r="AQ349" s="625">
        <v>1356.0</v>
      </c>
      <c r="AR349" s="625">
        <v>850.0</v>
      </c>
      <c r="AS349" s="625">
        <v>695.0</v>
      </c>
      <c r="AT349" s="746">
        <v>959.0</v>
      </c>
      <c r="AU349" s="684">
        <f t="shared" ref="AU349:AU355" si="854">SUM(AW349:BA349)</f>
        <v>0</v>
      </c>
      <c r="AV349" s="180"/>
      <c r="AW349" s="180">
        <v>0.0</v>
      </c>
      <c r="AX349" s="180">
        <v>0.0</v>
      </c>
      <c r="AY349" s="180">
        <v>0.0</v>
      </c>
      <c r="AZ349" s="180">
        <v>0.0</v>
      </c>
      <c r="BA349" s="686">
        <v>0.0</v>
      </c>
      <c r="BB349" s="631"/>
      <c r="BC349" s="689" t="s">
        <v>695</v>
      </c>
      <c r="BD349" s="688" t="s">
        <v>3303</v>
      </c>
      <c r="BE349" s="179" t="s">
        <v>3304</v>
      </c>
      <c r="BF349" s="179" t="s">
        <v>3305</v>
      </c>
      <c r="BG349" s="179" t="s">
        <v>3306</v>
      </c>
      <c r="BH349" s="179" t="s">
        <v>3307</v>
      </c>
      <c r="BI349" s="179" t="s">
        <v>3308</v>
      </c>
      <c r="BJ349" s="745"/>
      <c r="BK349" s="631"/>
      <c r="BL349" s="745"/>
      <c r="BM349" s="745"/>
      <c r="BN349" s="201"/>
    </row>
    <row r="350" hidden="1">
      <c r="A350" s="689"/>
      <c r="B350" s="186" t="s">
        <v>3862</v>
      </c>
      <c r="C350" s="676" t="s">
        <v>2113</v>
      </c>
      <c r="D350" s="677">
        <v>835.0</v>
      </c>
      <c r="E350" s="632" t="s">
        <v>3863</v>
      </c>
      <c r="F350" s="678">
        <f t="shared" ref="F350:G350" si="851">H350+J350+L350+N350+P350</f>
        <v>2484.35</v>
      </c>
      <c r="G350" s="679">
        <f t="shared" si="851"/>
        <v>435.15</v>
      </c>
      <c r="H350" s="641">
        <v>654.13</v>
      </c>
      <c r="I350" s="680">
        <v>150.1</v>
      </c>
      <c r="J350" s="641">
        <v>670.85</v>
      </c>
      <c r="K350" s="680">
        <v>112.81</v>
      </c>
      <c r="L350" s="641">
        <v>466.35</v>
      </c>
      <c r="M350" s="680">
        <v>72.92</v>
      </c>
      <c r="N350" s="641">
        <v>366.0</v>
      </c>
      <c r="O350" s="680">
        <v>52.19</v>
      </c>
      <c r="P350" s="641">
        <v>327.02</v>
      </c>
      <c r="Q350" s="680">
        <v>47.13</v>
      </c>
      <c r="R350" s="681" t="s">
        <v>3864</v>
      </c>
      <c r="S350" s="682">
        <f t="shared" si="10"/>
        <v>2484.35</v>
      </c>
      <c r="T350" s="683"/>
      <c r="U350" s="625">
        <f t="shared" si="651"/>
        <v>654.13</v>
      </c>
      <c r="V350" s="625">
        <f t="shared" si="652"/>
        <v>670.85</v>
      </c>
      <c r="W350" s="625">
        <f t="shared" si="653"/>
        <v>466.35</v>
      </c>
      <c r="X350" s="625">
        <f t="shared" si="654"/>
        <v>366</v>
      </c>
      <c r="Y350" s="625">
        <f t="shared" si="655"/>
        <v>327.02</v>
      </c>
      <c r="Z350" s="656">
        <f t="shared" si="16"/>
        <v>435.15</v>
      </c>
      <c r="AA350" s="683"/>
      <c r="AB350" s="625">
        <f t="shared" si="656"/>
        <v>150.1</v>
      </c>
      <c r="AC350" s="625">
        <f t="shared" si="657"/>
        <v>112.81</v>
      </c>
      <c r="AD350" s="625">
        <f t="shared" si="658"/>
        <v>72.92</v>
      </c>
      <c r="AE350" s="625">
        <f t="shared" si="659"/>
        <v>52.19</v>
      </c>
      <c r="AF350" s="625">
        <f t="shared" si="660"/>
        <v>47.13</v>
      </c>
      <c r="AG350" s="657">
        <f t="shared" si="22"/>
        <v>0.1751564796</v>
      </c>
      <c r="AH350" s="165"/>
      <c r="AI350" s="165">
        <f t="shared" ref="AI350:AM350" si="852">AB350/U350</f>
        <v>0.229465091</v>
      </c>
      <c r="AJ350" s="165">
        <f t="shared" si="852"/>
        <v>0.1681597973</v>
      </c>
      <c r="AK350" s="165">
        <f t="shared" si="852"/>
        <v>0.1563632465</v>
      </c>
      <c r="AL350" s="165">
        <f t="shared" si="852"/>
        <v>0.1425956284</v>
      </c>
      <c r="AM350" s="165">
        <f t="shared" si="852"/>
        <v>0.1441196257</v>
      </c>
      <c r="AN350" s="684">
        <f t="shared" si="853"/>
        <v>2420.28</v>
      </c>
      <c r="AO350" s="625"/>
      <c r="AP350" s="625">
        <v>819.711</v>
      </c>
      <c r="AQ350" s="625">
        <v>746.777</v>
      </c>
      <c r="AR350" s="625">
        <v>182.815</v>
      </c>
      <c r="AS350" s="625">
        <v>301.658</v>
      </c>
      <c r="AT350" s="625">
        <v>369.319</v>
      </c>
      <c r="AU350" s="684">
        <f t="shared" si="854"/>
        <v>0</v>
      </c>
      <c r="AV350" s="180"/>
      <c r="AW350" s="180">
        <v>0.0</v>
      </c>
      <c r="AX350" s="180">
        <v>0.0</v>
      </c>
      <c r="AY350" s="180">
        <v>0.0</v>
      </c>
      <c r="AZ350" s="180">
        <v>0.0</v>
      </c>
      <c r="BA350" s="686">
        <v>0.0</v>
      </c>
      <c r="BB350" s="631"/>
      <c r="BC350" s="689" t="s">
        <v>695</v>
      </c>
      <c r="BD350" s="688" t="s">
        <v>3303</v>
      </c>
      <c r="BE350" s="179" t="s">
        <v>3304</v>
      </c>
      <c r="BF350" s="179" t="s">
        <v>3305</v>
      </c>
      <c r="BG350" s="179" t="s">
        <v>3306</v>
      </c>
      <c r="BH350" s="179" t="s">
        <v>3307</v>
      </c>
      <c r="BI350" s="179" t="s">
        <v>3308</v>
      </c>
      <c r="BJ350" s="745"/>
      <c r="BK350" s="631"/>
      <c r="BL350" s="745"/>
      <c r="BM350" s="745"/>
      <c r="BN350" s="201"/>
    </row>
    <row r="351" hidden="1">
      <c r="A351" s="689"/>
      <c r="B351" s="186" t="s">
        <v>3865</v>
      </c>
      <c r="C351" s="676" t="s">
        <v>2113</v>
      </c>
      <c r="D351" s="717">
        <v>845.0</v>
      </c>
      <c r="E351" s="632" t="s">
        <v>3866</v>
      </c>
      <c r="F351" s="678">
        <f t="shared" ref="F351:G351" si="855">H351+J351+L351+N351+P351</f>
        <v>5285</v>
      </c>
      <c r="G351" s="679">
        <f t="shared" si="855"/>
        <v>1024</v>
      </c>
      <c r="H351" s="641">
        <v>1162.0</v>
      </c>
      <c r="I351" s="680">
        <v>236.0</v>
      </c>
      <c r="J351" s="641">
        <v>1127.0</v>
      </c>
      <c r="K351" s="680">
        <v>230.0</v>
      </c>
      <c r="L351" s="641">
        <v>916.0</v>
      </c>
      <c r="M351" s="680">
        <v>153.0</v>
      </c>
      <c r="N351" s="641">
        <v>1009.0</v>
      </c>
      <c r="O351" s="680">
        <v>195.0</v>
      </c>
      <c r="P351" s="641">
        <v>1071.0</v>
      </c>
      <c r="Q351" s="680">
        <v>210.0</v>
      </c>
      <c r="R351" s="681" t="s">
        <v>3867</v>
      </c>
      <c r="S351" s="682">
        <f t="shared" si="10"/>
        <v>5285</v>
      </c>
      <c r="T351" s="683"/>
      <c r="U351" s="625">
        <f t="shared" si="651"/>
        <v>1162</v>
      </c>
      <c r="V351" s="625">
        <f t="shared" si="652"/>
        <v>1127</v>
      </c>
      <c r="W351" s="625">
        <f t="shared" si="653"/>
        <v>916</v>
      </c>
      <c r="X351" s="625">
        <f t="shared" si="654"/>
        <v>1009</v>
      </c>
      <c r="Y351" s="625">
        <f t="shared" si="655"/>
        <v>1071</v>
      </c>
      <c r="Z351" s="656">
        <f t="shared" si="16"/>
        <v>1024</v>
      </c>
      <c r="AA351" s="683"/>
      <c r="AB351" s="625">
        <f t="shared" si="656"/>
        <v>236</v>
      </c>
      <c r="AC351" s="625">
        <f t="shared" si="657"/>
        <v>230</v>
      </c>
      <c r="AD351" s="625">
        <f t="shared" si="658"/>
        <v>153</v>
      </c>
      <c r="AE351" s="625">
        <f t="shared" si="659"/>
        <v>195</v>
      </c>
      <c r="AF351" s="625">
        <f t="shared" si="660"/>
        <v>210</v>
      </c>
      <c r="AG351" s="657">
        <f t="shared" si="22"/>
        <v>0.193755913</v>
      </c>
      <c r="AH351" s="165"/>
      <c r="AI351" s="165">
        <f t="shared" ref="AI351:AM351" si="856">AB351/U351</f>
        <v>0.2030981067</v>
      </c>
      <c r="AJ351" s="165">
        <f t="shared" si="856"/>
        <v>0.2040816327</v>
      </c>
      <c r="AK351" s="165">
        <f t="shared" si="856"/>
        <v>0.1670305677</v>
      </c>
      <c r="AL351" s="165">
        <f t="shared" si="856"/>
        <v>0.1932606541</v>
      </c>
      <c r="AM351" s="165">
        <f t="shared" si="856"/>
        <v>0.1960784314</v>
      </c>
      <c r="AN351" s="684">
        <f t="shared" si="853"/>
        <v>2990</v>
      </c>
      <c r="AO351" s="625"/>
      <c r="AP351" s="625">
        <v>202.0</v>
      </c>
      <c r="AQ351" s="625">
        <v>926.0</v>
      </c>
      <c r="AR351" s="625">
        <v>76.0</v>
      </c>
      <c r="AS351" s="625">
        <v>1102.0</v>
      </c>
      <c r="AT351" s="625">
        <v>684.0</v>
      </c>
      <c r="AU351" s="684">
        <f t="shared" si="854"/>
        <v>1285</v>
      </c>
      <c r="AV351" s="625"/>
      <c r="AW351" s="625">
        <v>269.0</v>
      </c>
      <c r="AX351" s="625">
        <v>261.0</v>
      </c>
      <c r="AY351" s="625">
        <v>259.0</v>
      </c>
      <c r="AZ351" s="625">
        <v>260.0</v>
      </c>
      <c r="BA351" s="693">
        <v>236.0</v>
      </c>
      <c r="BB351" s="631"/>
      <c r="BC351" s="689" t="s">
        <v>695</v>
      </c>
      <c r="BD351" s="688" t="s">
        <v>3303</v>
      </c>
      <c r="BE351" s="179" t="s">
        <v>3304</v>
      </c>
      <c r="BF351" s="179" t="s">
        <v>3305</v>
      </c>
      <c r="BG351" s="179" t="s">
        <v>3306</v>
      </c>
      <c r="BH351" s="179" t="s">
        <v>3307</v>
      </c>
      <c r="BI351" s="179" t="s">
        <v>3308</v>
      </c>
      <c r="BJ351" s="745"/>
      <c r="BK351" s="631"/>
      <c r="BL351" s="745"/>
      <c r="BM351" s="745"/>
      <c r="BN351" s="201"/>
    </row>
    <row r="352" hidden="1">
      <c r="A352" s="696" t="s">
        <v>1534</v>
      </c>
      <c r="B352" s="186" t="s">
        <v>3868</v>
      </c>
      <c r="C352" s="676" t="s">
        <v>2113</v>
      </c>
      <c r="D352" s="677">
        <v>869.0</v>
      </c>
      <c r="E352" s="632" t="s">
        <v>44</v>
      </c>
      <c r="F352" s="678">
        <f t="shared" ref="F352:G352" si="857">H352+J352+L352+N352+P352</f>
        <v>2028.68</v>
      </c>
      <c r="G352" s="679">
        <f t="shared" si="857"/>
        <v>10.31</v>
      </c>
      <c r="H352" s="641">
        <v>649.36</v>
      </c>
      <c r="I352" s="680">
        <v>5.7</v>
      </c>
      <c r="J352" s="641">
        <v>182.81</v>
      </c>
      <c r="K352" s="680">
        <v>0.02</v>
      </c>
      <c r="L352" s="641">
        <v>442.88</v>
      </c>
      <c r="M352" s="680">
        <v>-2.04</v>
      </c>
      <c r="N352" s="641">
        <v>256.57</v>
      </c>
      <c r="O352" s="680">
        <v>0.28</v>
      </c>
      <c r="P352" s="641">
        <v>497.06</v>
      </c>
      <c r="Q352" s="680">
        <v>6.35</v>
      </c>
      <c r="R352" s="681" t="s">
        <v>693</v>
      </c>
      <c r="S352" s="682">
        <f t="shared" si="10"/>
        <v>2028.68</v>
      </c>
      <c r="T352" s="683"/>
      <c r="U352" s="625">
        <f t="shared" si="651"/>
        <v>649.36</v>
      </c>
      <c r="V352" s="625">
        <f t="shared" si="652"/>
        <v>182.81</v>
      </c>
      <c r="W352" s="625">
        <f t="shared" si="653"/>
        <v>442.88</v>
      </c>
      <c r="X352" s="625">
        <f t="shared" si="654"/>
        <v>256.57</v>
      </c>
      <c r="Y352" s="625">
        <f t="shared" si="655"/>
        <v>497.06</v>
      </c>
      <c r="Z352" s="656">
        <f t="shared" si="16"/>
        <v>10.31</v>
      </c>
      <c r="AA352" s="683"/>
      <c r="AB352" s="625">
        <f t="shared" si="656"/>
        <v>5.7</v>
      </c>
      <c r="AC352" s="625">
        <f t="shared" si="657"/>
        <v>0.02</v>
      </c>
      <c r="AD352" s="625">
        <f t="shared" si="658"/>
        <v>-2.04</v>
      </c>
      <c r="AE352" s="625">
        <f t="shared" si="659"/>
        <v>0.28</v>
      </c>
      <c r="AF352" s="625">
        <f t="shared" si="660"/>
        <v>6.35</v>
      </c>
      <c r="AG352" s="657">
        <f t="shared" si="22"/>
        <v>0.005082122365</v>
      </c>
      <c r="AH352" s="165"/>
      <c r="AI352" s="165">
        <f t="shared" ref="AI352:AM352" si="858">AB352/U352</f>
        <v>0.008777873599</v>
      </c>
      <c r="AJ352" s="165">
        <f t="shared" si="858"/>
        <v>0.0001094032055</v>
      </c>
      <c r="AK352" s="165">
        <f t="shared" si="858"/>
        <v>-0.004606213873</v>
      </c>
      <c r="AL352" s="165">
        <f t="shared" si="858"/>
        <v>0.001091320108</v>
      </c>
      <c r="AM352" s="165">
        <f t="shared" si="858"/>
        <v>0.01277511769</v>
      </c>
      <c r="AN352" s="684">
        <f t="shared" si="853"/>
        <v>614.917</v>
      </c>
      <c r="AO352" s="625"/>
      <c r="AP352" s="625">
        <v>482.049</v>
      </c>
      <c r="AQ352" s="625">
        <v>0.0</v>
      </c>
      <c r="AR352" s="625">
        <v>132.868</v>
      </c>
      <c r="AS352" s="625">
        <v>0.0</v>
      </c>
      <c r="AT352" s="625">
        <v>0.0</v>
      </c>
      <c r="AU352" s="684">
        <f t="shared" si="854"/>
        <v>105.13</v>
      </c>
      <c r="AV352" s="625"/>
      <c r="AW352" s="625">
        <v>0.0</v>
      </c>
      <c r="AX352" s="625">
        <v>0.0</v>
      </c>
      <c r="AY352" s="625">
        <v>0.0</v>
      </c>
      <c r="AZ352" s="625">
        <v>0.0</v>
      </c>
      <c r="BA352" s="693">
        <v>105.13</v>
      </c>
      <c r="BB352" s="631"/>
      <c r="BC352" s="189" t="s">
        <v>695</v>
      </c>
      <c r="BD352" s="688" t="s">
        <v>3303</v>
      </c>
      <c r="BE352" s="179" t="s">
        <v>3304</v>
      </c>
      <c r="BF352" s="179" t="s">
        <v>3305</v>
      </c>
      <c r="BG352" s="179" t="s">
        <v>3306</v>
      </c>
      <c r="BH352" s="179" t="s">
        <v>3307</v>
      </c>
      <c r="BI352" s="179" t="s">
        <v>3308</v>
      </c>
      <c r="BJ352" s="745"/>
      <c r="BK352" s="631"/>
      <c r="BL352" s="745"/>
      <c r="BM352" s="745"/>
      <c r="BN352" s="201"/>
    </row>
    <row r="353" hidden="1">
      <c r="A353" s="689"/>
      <c r="B353" s="186" t="s">
        <v>3869</v>
      </c>
      <c r="C353" s="676" t="s">
        <v>2113</v>
      </c>
      <c r="D353" s="677">
        <v>871.0</v>
      </c>
      <c r="E353" s="632" t="s">
        <v>3870</v>
      </c>
      <c r="F353" s="678">
        <f t="shared" ref="F353:G353" si="859">H353+J353+L353+N353+P353</f>
        <v>1850.57</v>
      </c>
      <c r="G353" s="679">
        <f t="shared" si="859"/>
        <v>319.61</v>
      </c>
      <c r="H353" s="641">
        <v>502.0</v>
      </c>
      <c r="I353" s="680">
        <v>100.8</v>
      </c>
      <c r="J353" s="641">
        <v>339.2</v>
      </c>
      <c r="K353" s="680">
        <v>64.3</v>
      </c>
      <c r="L353" s="641">
        <v>291.75</v>
      </c>
      <c r="M353" s="680">
        <v>32.25</v>
      </c>
      <c r="N353" s="641">
        <v>368.09</v>
      </c>
      <c r="O353" s="680">
        <v>53.4</v>
      </c>
      <c r="P353" s="641">
        <v>349.53</v>
      </c>
      <c r="Q353" s="680">
        <v>68.86</v>
      </c>
      <c r="R353" s="681" t="s">
        <v>710</v>
      </c>
      <c r="S353" s="682">
        <f t="shared" si="10"/>
        <v>1850.57</v>
      </c>
      <c r="T353" s="683"/>
      <c r="U353" s="625">
        <f t="shared" si="651"/>
        <v>502</v>
      </c>
      <c r="V353" s="625">
        <f t="shared" si="652"/>
        <v>339.2</v>
      </c>
      <c r="W353" s="625">
        <f t="shared" si="653"/>
        <v>291.75</v>
      </c>
      <c r="X353" s="625">
        <f t="shared" si="654"/>
        <v>368.09</v>
      </c>
      <c r="Y353" s="625">
        <f t="shared" si="655"/>
        <v>349.53</v>
      </c>
      <c r="Z353" s="656">
        <f t="shared" si="16"/>
        <v>319.61</v>
      </c>
      <c r="AA353" s="683"/>
      <c r="AB353" s="625">
        <f t="shared" si="656"/>
        <v>100.8</v>
      </c>
      <c r="AC353" s="625">
        <f t="shared" si="657"/>
        <v>64.3</v>
      </c>
      <c r="AD353" s="625">
        <f t="shared" si="658"/>
        <v>32.25</v>
      </c>
      <c r="AE353" s="625">
        <f t="shared" si="659"/>
        <v>53.4</v>
      </c>
      <c r="AF353" s="625">
        <f t="shared" si="660"/>
        <v>68.86</v>
      </c>
      <c r="AG353" s="657">
        <f t="shared" si="22"/>
        <v>0.1727089491</v>
      </c>
      <c r="AH353" s="165"/>
      <c r="AI353" s="165">
        <f t="shared" ref="AI353:AM353" si="860">AB353/U353</f>
        <v>0.2007968127</v>
      </c>
      <c r="AJ353" s="165">
        <f t="shared" si="860"/>
        <v>0.1895636792</v>
      </c>
      <c r="AK353" s="165">
        <f t="shared" si="860"/>
        <v>0.1105398458</v>
      </c>
      <c r="AL353" s="165">
        <f t="shared" si="860"/>
        <v>0.1450732158</v>
      </c>
      <c r="AM353" s="165">
        <f t="shared" si="860"/>
        <v>0.19700741</v>
      </c>
      <c r="AN353" s="684">
        <f t="shared" si="853"/>
        <v>487.036</v>
      </c>
      <c r="AO353" s="625"/>
      <c r="AP353" s="625">
        <v>148.1</v>
      </c>
      <c r="AQ353" s="625">
        <v>0.0</v>
      </c>
      <c r="AR353" s="625">
        <v>110.342</v>
      </c>
      <c r="AS353" s="625">
        <v>54.668</v>
      </c>
      <c r="AT353" s="625">
        <v>173.926</v>
      </c>
      <c r="AU353" s="684">
        <f t="shared" si="854"/>
        <v>764.98</v>
      </c>
      <c r="AV353" s="625"/>
      <c r="AW353" s="625">
        <v>177.4</v>
      </c>
      <c r="AX353" s="625">
        <v>161.1</v>
      </c>
      <c r="AY353" s="625">
        <v>151.8</v>
      </c>
      <c r="AZ353" s="625">
        <v>147.2</v>
      </c>
      <c r="BA353" s="693">
        <v>127.48</v>
      </c>
      <c r="BB353" s="631"/>
      <c r="BC353" s="689" t="s">
        <v>695</v>
      </c>
      <c r="BD353" s="688" t="s">
        <v>3303</v>
      </c>
      <c r="BE353" s="201"/>
      <c r="BF353" s="201"/>
      <c r="BG353" s="201"/>
      <c r="BH353" s="201"/>
      <c r="BI353" s="201"/>
      <c r="BJ353" s="745"/>
      <c r="BK353" s="631"/>
      <c r="BL353" s="745"/>
      <c r="BM353" s="745"/>
      <c r="BN353" s="201"/>
    </row>
    <row r="354" hidden="1">
      <c r="A354" s="689"/>
      <c r="B354" s="186" t="s">
        <v>3871</v>
      </c>
      <c r="C354" s="676" t="s">
        <v>2113</v>
      </c>
      <c r="D354" s="677">
        <v>872.0</v>
      </c>
      <c r="E354" s="632" t="s">
        <v>3872</v>
      </c>
      <c r="F354" s="678">
        <f t="shared" ref="F354:G354" si="861">H354+J354+L354+N354+P354</f>
        <v>1484.67</v>
      </c>
      <c r="G354" s="679">
        <f t="shared" si="861"/>
        <v>168.62</v>
      </c>
      <c r="H354" s="641">
        <v>383.29</v>
      </c>
      <c r="I354" s="680">
        <v>76.61</v>
      </c>
      <c r="J354" s="641">
        <v>403.15</v>
      </c>
      <c r="K354" s="680">
        <v>51.25</v>
      </c>
      <c r="L354" s="641">
        <v>313.47</v>
      </c>
      <c r="M354" s="680">
        <v>39.76</v>
      </c>
      <c r="N354" s="641">
        <v>196.79</v>
      </c>
      <c r="O354" s="680">
        <v>9.83</v>
      </c>
      <c r="P354" s="641">
        <v>187.97</v>
      </c>
      <c r="Q354" s="680">
        <v>-8.83</v>
      </c>
      <c r="R354" s="681" t="s">
        <v>708</v>
      </c>
      <c r="S354" s="682">
        <f t="shared" si="10"/>
        <v>1484.67</v>
      </c>
      <c r="T354" s="683"/>
      <c r="U354" s="625">
        <f t="shared" si="651"/>
        <v>383.29</v>
      </c>
      <c r="V354" s="625">
        <f t="shared" si="652"/>
        <v>403.15</v>
      </c>
      <c r="W354" s="625">
        <f t="shared" si="653"/>
        <v>313.47</v>
      </c>
      <c r="X354" s="625">
        <f t="shared" si="654"/>
        <v>196.79</v>
      </c>
      <c r="Y354" s="625">
        <f t="shared" si="655"/>
        <v>187.97</v>
      </c>
      <c r="Z354" s="656">
        <f t="shared" si="16"/>
        <v>168.62</v>
      </c>
      <c r="AA354" s="683"/>
      <c r="AB354" s="625">
        <f t="shared" si="656"/>
        <v>76.61</v>
      </c>
      <c r="AC354" s="625">
        <f t="shared" si="657"/>
        <v>51.25</v>
      </c>
      <c r="AD354" s="625">
        <f t="shared" si="658"/>
        <v>39.76</v>
      </c>
      <c r="AE354" s="625">
        <f t="shared" si="659"/>
        <v>9.83</v>
      </c>
      <c r="AF354" s="625">
        <f t="shared" si="660"/>
        <v>-8.83</v>
      </c>
      <c r="AG354" s="657">
        <f t="shared" si="22"/>
        <v>0.1135740602</v>
      </c>
      <c r="AH354" s="165"/>
      <c r="AI354" s="165">
        <f t="shared" ref="AI354:AM354" si="862">AB354/U354</f>
        <v>0.1998747685</v>
      </c>
      <c r="AJ354" s="165">
        <f t="shared" si="862"/>
        <v>0.1271238993</v>
      </c>
      <c r="AK354" s="165">
        <f t="shared" si="862"/>
        <v>0.1268382939</v>
      </c>
      <c r="AL354" s="165">
        <f t="shared" si="862"/>
        <v>0.04995172519</v>
      </c>
      <c r="AM354" s="165">
        <f t="shared" si="862"/>
        <v>-0.04697558121</v>
      </c>
      <c r="AN354" s="684">
        <f t="shared" si="853"/>
        <v>2763</v>
      </c>
      <c r="AO354" s="625"/>
      <c r="AP354" s="625">
        <v>752.0</v>
      </c>
      <c r="AQ354" s="625">
        <v>600.0</v>
      </c>
      <c r="AR354" s="625">
        <v>88.0</v>
      </c>
      <c r="AS354" s="625">
        <v>500.0</v>
      </c>
      <c r="AT354" s="625">
        <v>823.0</v>
      </c>
      <c r="AU354" s="684">
        <f t="shared" si="854"/>
        <v>330.8</v>
      </c>
      <c r="AV354" s="625"/>
      <c r="AW354" s="625">
        <v>69.71</v>
      </c>
      <c r="AX354" s="625">
        <v>65.98</v>
      </c>
      <c r="AY354" s="625">
        <v>66.48</v>
      </c>
      <c r="AZ354" s="625">
        <v>61.31</v>
      </c>
      <c r="BA354" s="693">
        <v>67.32</v>
      </c>
      <c r="BB354" s="631"/>
      <c r="BC354" s="689" t="s">
        <v>695</v>
      </c>
      <c r="BD354" s="688" t="s">
        <v>3303</v>
      </c>
      <c r="BE354" s="201"/>
      <c r="BF354" s="201"/>
      <c r="BG354" s="201"/>
      <c r="BH354" s="201"/>
      <c r="BI354" s="201"/>
      <c r="BJ354" s="745"/>
      <c r="BK354" s="631"/>
      <c r="BL354" s="745"/>
      <c r="BM354" s="745"/>
      <c r="BN354" s="201"/>
    </row>
    <row r="355" hidden="1">
      <c r="A355" s="689"/>
      <c r="B355" s="186" t="s">
        <v>3873</v>
      </c>
      <c r="C355" s="676" t="s">
        <v>2113</v>
      </c>
      <c r="D355" s="677">
        <v>887.0</v>
      </c>
      <c r="E355" s="632" t="s">
        <v>3874</v>
      </c>
      <c r="F355" s="678">
        <f t="shared" ref="F355:G355" si="863">H355+J355+L355+N355+P355</f>
        <v>4018.1</v>
      </c>
      <c r="G355" s="679">
        <f t="shared" si="863"/>
        <v>629</v>
      </c>
      <c r="H355" s="641">
        <v>1212.4</v>
      </c>
      <c r="I355" s="680">
        <v>242.75</v>
      </c>
      <c r="J355" s="641">
        <v>784.2</v>
      </c>
      <c r="K355" s="680">
        <v>96.35</v>
      </c>
      <c r="L355" s="641">
        <v>810.9</v>
      </c>
      <c r="M355" s="680">
        <v>111.0</v>
      </c>
      <c r="N355" s="641">
        <v>532.5</v>
      </c>
      <c r="O355" s="680">
        <v>109.9</v>
      </c>
      <c r="P355" s="641">
        <v>678.1</v>
      </c>
      <c r="Q355" s="680">
        <v>69.0</v>
      </c>
      <c r="R355" s="681" t="s">
        <v>706</v>
      </c>
      <c r="S355" s="682">
        <f t="shared" si="10"/>
        <v>4018.1</v>
      </c>
      <c r="T355" s="683"/>
      <c r="U355" s="625">
        <f t="shared" si="651"/>
        <v>1212.4</v>
      </c>
      <c r="V355" s="625">
        <f t="shared" si="652"/>
        <v>784.2</v>
      </c>
      <c r="W355" s="625">
        <f t="shared" si="653"/>
        <v>810.9</v>
      </c>
      <c r="X355" s="625">
        <f t="shared" si="654"/>
        <v>532.5</v>
      </c>
      <c r="Y355" s="625">
        <f t="shared" si="655"/>
        <v>678.1</v>
      </c>
      <c r="Z355" s="656">
        <f t="shared" si="16"/>
        <v>629</v>
      </c>
      <c r="AA355" s="683"/>
      <c r="AB355" s="625">
        <f t="shared" si="656"/>
        <v>242.75</v>
      </c>
      <c r="AC355" s="625">
        <f t="shared" si="657"/>
        <v>96.35</v>
      </c>
      <c r="AD355" s="625">
        <f t="shared" si="658"/>
        <v>111</v>
      </c>
      <c r="AE355" s="625">
        <f t="shared" si="659"/>
        <v>109.9</v>
      </c>
      <c r="AF355" s="625">
        <f t="shared" si="660"/>
        <v>69</v>
      </c>
      <c r="AG355" s="657">
        <f t="shared" si="22"/>
        <v>0.156541649</v>
      </c>
      <c r="AH355" s="165"/>
      <c r="AI355" s="165">
        <f t="shared" ref="AI355:AM355" si="864">AB355/U355</f>
        <v>0.2002226988</v>
      </c>
      <c r="AJ355" s="165">
        <f t="shared" si="864"/>
        <v>0.1228640653</v>
      </c>
      <c r="AK355" s="165">
        <f t="shared" si="864"/>
        <v>0.1368849427</v>
      </c>
      <c r="AL355" s="165">
        <f t="shared" si="864"/>
        <v>0.2063849765</v>
      </c>
      <c r="AM355" s="165">
        <f t="shared" si="864"/>
        <v>0.1017549034</v>
      </c>
      <c r="AN355" s="684">
        <f t="shared" si="853"/>
        <v>3226</v>
      </c>
      <c r="AO355" s="625"/>
      <c r="AP355" s="625">
        <v>1663.0</v>
      </c>
      <c r="AQ355" s="625">
        <v>475.0</v>
      </c>
      <c r="AR355" s="625">
        <v>349.0</v>
      </c>
      <c r="AS355" s="625">
        <v>300.0</v>
      </c>
      <c r="AT355" s="625">
        <v>439.0</v>
      </c>
      <c r="AU355" s="684">
        <f t="shared" si="854"/>
        <v>722.7</v>
      </c>
      <c r="AV355" s="625"/>
      <c r="AW355" s="625">
        <v>195.2</v>
      </c>
      <c r="AX355" s="625">
        <v>188.2</v>
      </c>
      <c r="AY355" s="625">
        <v>175.8</v>
      </c>
      <c r="AZ355" s="625">
        <v>163.5</v>
      </c>
      <c r="BA355" s="693">
        <v>0.0</v>
      </c>
      <c r="BB355" s="631"/>
      <c r="BC355" s="689" t="s">
        <v>695</v>
      </c>
      <c r="BD355" s="688" t="s">
        <v>3303</v>
      </c>
      <c r="BE355" s="179" t="s">
        <v>3304</v>
      </c>
      <c r="BF355" s="179" t="s">
        <v>3305</v>
      </c>
      <c r="BG355" s="179" t="s">
        <v>3306</v>
      </c>
      <c r="BH355" s="179" t="s">
        <v>3307</v>
      </c>
      <c r="BI355" s="179" t="s">
        <v>3308</v>
      </c>
      <c r="BJ355" s="745"/>
      <c r="BK355" s="631"/>
      <c r="BL355" s="745"/>
      <c r="BM355" s="745"/>
      <c r="BN355" s="201"/>
    </row>
    <row r="356" hidden="1">
      <c r="A356" s="212"/>
      <c r="B356" s="186" t="s">
        <v>3875</v>
      </c>
      <c r="C356" s="676" t="s">
        <v>2113</v>
      </c>
      <c r="D356" s="677">
        <v>897.0</v>
      </c>
      <c r="E356" s="131" t="s">
        <v>3876</v>
      </c>
      <c r="F356" s="678">
        <f t="shared" ref="F356:G356" si="865">H356+J356+L356+N356+P356</f>
        <v>501.25</v>
      </c>
      <c r="G356" s="679">
        <f t="shared" si="865"/>
        <v>75.28</v>
      </c>
      <c r="H356" s="641">
        <v>125.79</v>
      </c>
      <c r="I356" s="680">
        <v>44.34</v>
      </c>
      <c r="J356" s="641">
        <v>140.72</v>
      </c>
      <c r="K356" s="680">
        <v>5.83</v>
      </c>
      <c r="L356" s="641">
        <v>70.95</v>
      </c>
      <c r="M356" s="680">
        <v>15.07</v>
      </c>
      <c r="N356" s="641">
        <v>94.0</v>
      </c>
      <c r="O356" s="680">
        <v>-3.51</v>
      </c>
      <c r="P356" s="641">
        <v>69.79</v>
      </c>
      <c r="Q356" s="680">
        <v>13.55</v>
      </c>
      <c r="R356" s="681" t="s">
        <v>708</v>
      </c>
      <c r="S356" s="682">
        <f t="shared" si="10"/>
        <v>501.25</v>
      </c>
      <c r="T356" s="683"/>
      <c r="U356" s="625">
        <f t="shared" si="651"/>
        <v>125.79</v>
      </c>
      <c r="V356" s="625">
        <f t="shared" si="652"/>
        <v>140.72</v>
      </c>
      <c r="W356" s="625">
        <f t="shared" si="653"/>
        <v>70.95</v>
      </c>
      <c r="X356" s="625">
        <f t="shared" si="654"/>
        <v>94</v>
      </c>
      <c r="Y356" s="625">
        <f t="shared" si="655"/>
        <v>69.79</v>
      </c>
      <c r="Z356" s="656">
        <f t="shared" si="16"/>
        <v>75.28</v>
      </c>
      <c r="AA356" s="683"/>
      <c r="AB356" s="625">
        <f t="shared" si="656"/>
        <v>44.34</v>
      </c>
      <c r="AC356" s="625">
        <f t="shared" si="657"/>
        <v>5.83</v>
      </c>
      <c r="AD356" s="625">
        <f t="shared" si="658"/>
        <v>15.07</v>
      </c>
      <c r="AE356" s="625">
        <f t="shared" si="659"/>
        <v>-3.51</v>
      </c>
      <c r="AF356" s="625">
        <f t="shared" si="660"/>
        <v>13.55</v>
      </c>
      <c r="AG356" s="657">
        <f t="shared" si="22"/>
        <v>0.1501845387</v>
      </c>
      <c r="AH356" s="165"/>
      <c r="AI356" s="165">
        <f t="shared" ref="AI356:AM356" si="866">AB356/U356</f>
        <v>0.352492249</v>
      </c>
      <c r="AJ356" s="165">
        <f t="shared" si="866"/>
        <v>0.04142978965</v>
      </c>
      <c r="AK356" s="165">
        <f t="shared" si="866"/>
        <v>0.2124031008</v>
      </c>
      <c r="AL356" s="165">
        <f t="shared" si="866"/>
        <v>-0.03734042553</v>
      </c>
      <c r="AM356" s="165">
        <f t="shared" si="866"/>
        <v>0.1941538902</v>
      </c>
      <c r="AN356" s="684"/>
      <c r="AO356" s="625"/>
      <c r="AP356" s="625"/>
      <c r="AQ356" s="625"/>
      <c r="AR356" s="625"/>
      <c r="AS356" s="625"/>
      <c r="AT356" s="625"/>
      <c r="AU356" s="684"/>
      <c r="AV356" s="625"/>
      <c r="AW356" s="625"/>
      <c r="AX356" s="625"/>
      <c r="AY356" s="625"/>
      <c r="AZ356" s="625"/>
      <c r="BA356" s="693"/>
      <c r="BB356" s="631"/>
      <c r="BC356" s="689" t="s">
        <v>695</v>
      </c>
      <c r="BD356" s="688" t="s">
        <v>3303</v>
      </c>
      <c r="BE356" s="631"/>
      <c r="BF356" s="631"/>
      <c r="BG356" s="631"/>
      <c r="BH356" s="631"/>
      <c r="BI356" s="631"/>
      <c r="BJ356" s="745"/>
      <c r="BK356" s="631"/>
      <c r="BL356" s="745"/>
      <c r="BM356" s="745"/>
      <c r="BN356" s="201"/>
    </row>
    <row r="357" hidden="1">
      <c r="A357" s="689"/>
      <c r="B357" s="186" t="s">
        <v>3877</v>
      </c>
      <c r="C357" s="676" t="s">
        <v>2113</v>
      </c>
      <c r="D357" s="717">
        <v>908.0</v>
      </c>
      <c r="E357" s="632" t="s">
        <v>3878</v>
      </c>
      <c r="F357" s="678">
        <f t="shared" ref="F357:G357" si="867">H357+J357+L357+N357+P357</f>
        <v>1307.1</v>
      </c>
      <c r="G357" s="679">
        <f t="shared" si="867"/>
        <v>189.8</v>
      </c>
      <c r="H357" s="641">
        <v>386.0</v>
      </c>
      <c r="I357" s="680">
        <v>75.7</v>
      </c>
      <c r="J357" s="641">
        <v>409.1</v>
      </c>
      <c r="K357" s="680">
        <v>64.8</v>
      </c>
      <c r="L357" s="641">
        <v>223.6</v>
      </c>
      <c r="M357" s="680">
        <v>28.9</v>
      </c>
      <c r="N357" s="641">
        <v>158.8</v>
      </c>
      <c r="O357" s="680">
        <v>10.8</v>
      </c>
      <c r="P357" s="641">
        <v>129.6</v>
      </c>
      <c r="Q357" s="680">
        <v>9.6</v>
      </c>
      <c r="R357" s="681" t="s">
        <v>716</v>
      </c>
      <c r="S357" s="682">
        <f t="shared" si="10"/>
        <v>1307.1</v>
      </c>
      <c r="T357" s="683"/>
      <c r="U357" s="625">
        <f t="shared" si="651"/>
        <v>386</v>
      </c>
      <c r="V357" s="625">
        <f t="shared" si="652"/>
        <v>409.1</v>
      </c>
      <c r="W357" s="625">
        <f t="shared" si="653"/>
        <v>223.6</v>
      </c>
      <c r="X357" s="625">
        <f t="shared" si="654"/>
        <v>158.8</v>
      </c>
      <c r="Y357" s="625">
        <f t="shared" si="655"/>
        <v>129.6</v>
      </c>
      <c r="Z357" s="656">
        <f t="shared" si="16"/>
        <v>189.8</v>
      </c>
      <c r="AA357" s="683"/>
      <c r="AB357" s="625">
        <f t="shared" si="656"/>
        <v>75.7</v>
      </c>
      <c r="AC357" s="625">
        <f t="shared" si="657"/>
        <v>64.8</v>
      </c>
      <c r="AD357" s="625">
        <f t="shared" si="658"/>
        <v>28.9</v>
      </c>
      <c r="AE357" s="625">
        <f t="shared" si="659"/>
        <v>10.8</v>
      </c>
      <c r="AF357" s="625">
        <f t="shared" si="660"/>
        <v>9.6</v>
      </c>
      <c r="AG357" s="657">
        <f t="shared" si="22"/>
        <v>0.1452069467</v>
      </c>
      <c r="AH357" s="165"/>
      <c r="AI357" s="165">
        <f t="shared" ref="AI357:AM357" si="868">AB357/U357</f>
        <v>0.1961139896</v>
      </c>
      <c r="AJ357" s="165">
        <f t="shared" si="868"/>
        <v>0.1583964801</v>
      </c>
      <c r="AK357" s="165">
        <f t="shared" si="868"/>
        <v>0.1292486583</v>
      </c>
      <c r="AL357" s="165">
        <f t="shared" si="868"/>
        <v>0.06801007557</v>
      </c>
      <c r="AM357" s="165">
        <f t="shared" si="868"/>
        <v>0.07407407407</v>
      </c>
      <c r="AN357" s="684">
        <f t="shared" ref="AN357:AN364" si="871">SUM(AP357:AT357)</f>
        <v>609.3</v>
      </c>
      <c r="AO357" s="625"/>
      <c r="AP357" s="625">
        <v>202.8</v>
      </c>
      <c r="AQ357" s="625">
        <v>137.1</v>
      </c>
      <c r="AR357" s="625">
        <v>115.5</v>
      </c>
      <c r="AS357" s="625">
        <v>83.1</v>
      </c>
      <c r="AT357" s="625">
        <v>70.8</v>
      </c>
      <c r="AU357" s="684">
        <f t="shared" ref="AU357:AU364" si="872">SUM(AW357:BA357)</f>
        <v>240.5</v>
      </c>
      <c r="AV357" s="625"/>
      <c r="AW357" s="625">
        <v>54.1</v>
      </c>
      <c r="AX357" s="625">
        <v>51.1</v>
      </c>
      <c r="AY357" s="625">
        <v>48.1</v>
      </c>
      <c r="AZ357" s="625">
        <v>45.1</v>
      </c>
      <c r="BA357" s="693">
        <v>42.1</v>
      </c>
      <c r="BB357" s="631"/>
      <c r="BC357" s="689" t="s">
        <v>695</v>
      </c>
      <c r="BD357" s="688" t="s">
        <v>3303</v>
      </c>
      <c r="BE357" s="201"/>
      <c r="BF357" s="201"/>
      <c r="BG357" s="201"/>
      <c r="BH357" s="201"/>
      <c r="BI357" s="201"/>
      <c r="BJ357" s="745"/>
      <c r="BK357" s="631"/>
      <c r="BL357" s="745"/>
      <c r="BM357" s="745"/>
      <c r="BN357" s="201"/>
    </row>
    <row r="358" hidden="1">
      <c r="A358" s="689"/>
      <c r="B358" s="186" t="s">
        <v>3879</v>
      </c>
      <c r="C358" s="676" t="s">
        <v>2113</v>
      </c>
      <c r="D358" s="677">
        <v>921.0</v>
      </c>
      <c r="E358" s="632" t="s">
        <v>3880</v>
      </c>
      <c r="F358" s="678">
        <f t="shared" ref="F358:G358" si="869">H358+J358+L358+N358+P358</f>
        <v>687.62</v>
      </c>
      <c r="G358" s="679">
        <f t="shared" si="869"/>
        <v>196.33</v>
      </c>
      <c r="H358" s="641">
        <v>155.4</v>
      </c>
      <c r="I358" s="680">
        <v>32.8</v>
      </c>
      <c r="J358" s="641">
        <v>192.26</v>
      </c>
      <c r="K358" s="680">
        <v>134.34</v>
      </c>
      <c r="L358" s="641">
        <v>223.39</v>
      </c>
      <c r="M358" s="680">
        <v>11.15</v>
      </c>
      <c r="N358" s="641">
        <v>80.8</v>
      </c>
      <c r="O358" s="680">
        <v>19.37</v>
      </c>
      <c r="P358" s="641">
        <v>35.77</v>
      </c>
      <c r="Q358" s="680">
        <v>-1.33</v>
      </c>
      <c r="R358" s="681" t="s">
        <v>716</v>
      </c>
      <c r="S358" s="682">
        <f t="shared" si="10"/>
        <v>687.62</v>
      </c>
      <c r="T358" s="683"/>
      <c r="U358" s="625">
        <f t="shared" si="651"/>
        <v>155.4</v>
      </c>
      <c r="V358" s="625">
        <f t="shared" si="652"/>
        <v>192.26</v>
      </c>
      <c r="W358" s="625">
        <f t="shared" si="653"/>
        <v>223.39</v>
      </c>
      <c r="X358" s="625">
        <f t="shared" si="654"/>
        <v>80.8</v>
      </c>
      <c r="Y358" s="625">
        <f t="shared" si="655"/>
        <v>35.77</v>
      </c>
      <c r="Z358" s="656">
        <f t="shared" si="16"/>
        <v>196.33</v>
      </c>
      <c r="AA358" s="683"/>
      <c r="AB358" s="625">
        <f t="shared" si="656"/>
        <v>32.8</v>
      </c>
      <c r="AC358" s="625">
        <f t="shared" si="657"/>
        <v>134.34</v>
      </c>
      <c r="AD358" s="625">
        <f t="shared" si="658"/>
        <v>11.15</v>
      </c>
      <c r="AE358" s="625">
        <f t="shared" si="659"/>
        <v>19.37</v>
      </c>
      <c r="AF358" s="625">
        <f t="shared" si="660"/>
        <v>-1.33</v>
      </c>
      <c r="AG358" s="657">
        <f t="shared" si="22"/>
        <v>0.2855210727</v>
      </c>
      <c r="AH358" s="165"/>
      <c r="AI358" s="165">
        <f t="shared" ref="AI358:AM358" si="870">AB358/U358</f>
        <v>0.2110682111</v>
      </c>
      <c r="AJ358" s="165">
        <f t="shared" si="870"/>
        <v>0.6987412878</v>
      </c>
      <c r="AK358" s="165">
        <f t="shared" si="870"/>
        <v>0.04991270872</v>
      </c>
      <c r="AL358" s="165">
        <f t="shared" si="870"/>
        <v>0.2397277228</v>
      </c>
      <c r="AM358" s="165">
        <f t="shared" si="870"/>
        <v>-0.03718199609</v>
      </c>
      <c r="AN358" s="684">
        <f t="shared" si="871"/>
        <v>0</v>
      </c>
      <c r="AO358" s="625"/>
      <c r="AP358" s="625">
        <v>0.0</v>
      </c>
      <c r="AQ358" s="625">
        <v>0.0</v>
      </c>
      <c r="AR358" s="625">
        <v>0.0</v>
      </c>
      <c r="AS358" s="625">
        <v>0.0</v>
      </c>
      <c r="AT358" s="625">
        <v>0.0</v>
      </c>
      <c r="AU358" s="684">
        <f t="shared" si="872"/>
        <v>315.66</v>
      </c>
      <c r="AV358" s="625"/>
      <c r="AW358" s="625">
        <v>63.79</v>
      </c>
      <c r="AX358" s="625">
        <v>63.65</v>
      </c>
      <c r="AY358" s="625">
        <v>63.22</v>
      </c>
      <c r="AZ358" s="625">
        <v>62.83</v>
      </c>
      <c r="BA358" s="693">
        <v>62.17</v>
      </c>
      <c r="BB358" s="631"/>
      <c r="BC358" s="689" t="s">
        <v>695</v>
      </c>
      <c r="BD358" s="688" t="s">
        <v>3303</v>
      </c>
      <c r="BE358" s="201"/>
      <c r="BF358" s="201"/>
      <c r="BG358" s="201"/>
      <c r="BH358" s="201"/>
      <c r="BI358" s="201"/>
      <c r="BJ358" s="745"/>
      <c r="BK358" s="631"/>
      <c r="BL358" s="745"/>
      <c r="BM358" s="745"/>
      <c r="BN358" s="201"/>
    </row>
    <row r="359" hidden="1">
      <c r="A359" s="689"/>
      <c r="B359" s="186" t="s">
        <v>3881</v>
      </c>
      <c r="C359" s="690" t="s">
        <v>2317</v>
      </c>
      <c r="D359" s="717">
        <v>945.0</v>
      </c>
      <c r="E359" s="632" t="s">
        <v>3882</v>
      </c>
      <c r="F359" s="678">
        <f t="shared" ref="F359:G359" si="873">H359+J359+L359+N359+P359</f>
        <v>1365.94</v>
      </c>
      <c r="G359" s="679">
        <f t="shared" si="873"/>
        <v>229.84</v>
      </c>
      <c r="H359" s="641">
        <v>202.73</v>
      </c>
      <c r="I359" s="680">
        <v>35.26</v>
      </c>
      <c r="J359" s="641">
        <v>172.71</v>
      </c>
      <c r="K359" s="680">
        <v>53.11</v>
      </c>
      <c r="L359" s="641">
        <v>212.18</v>
      </c>
      <c r="M359" s="680">
        <v>26.98</v>
      </c>
      <c r="N359" s="641">
        <v>346.78</v>
      </c>
      <c r="O359" s="680">
        <v>43.04</v>
      </c>
      <c r="P359" s="641">
        <v>431.54</v>
      </c>
      <c r="Q359" s="680">
        <v>71.45</v>
      </c>
      <c r="R359" s="681" t="s">
        <v>701</v>
      </c>
      <c r="S359" s="682">
        <f t="shared" si="10"/>
        <v>1365.94</v>
      </c>
      <c r="T359" s="683"/>
      <c r="U359" s="625">
        <f t="shared" si="651"/>
        <v>202.73</v>
      </c>
      <c r="V359" s="625">
        <f t="shared" si="652"/>
        <v>172.71</v>
      </c>
      <c r="W359" s="625">
        <f t="shared" si="653"/>
        <v>212.18</v>
      </c>
      <c r="X359" s="625">
        <f t="shared" si="654"/>
        <v>346.78</v>
      </c>
      <c r="Y359" s="625">
        <f t="shared" si="655"/>
        <v>431.54</v>
      </c>
      <c r="Z359" s="656">
        <f t="shared" si="16"/>
        <v>229.84</v>
      </c>
      <c r="AA359" s="683"/>
      <c r="AB359" s="625">
        <f t="shared" si="656"/>
        <v>35.26</v>
      </c>
      <c r="AC359" s="625">
        <f t="shared" si="657"/>
        <v>53.11</v>
      </c>
      <c r="AD359" s="625">
        <f t="shared" si="658"/>
        <v>26.98</v>
      </c>
      <c r="AE359" s="625">
        <f t="shared" si="659"/>
        <v>43.04</v>
      </c>
      <c r="AF359" s="625">
        <f t="shared" si="660"/>
        <v>71.45</v>
      </c>
      <c r="AG359" s="657">
        <f t="shared" si="22"/>
        <v>0.1682650775</v>
      </c>
      <c r="AH359" s="165"/>
      <c r="AI359" s="165">
        <f t="shared" ref="AI359:AM359" si="874">AB359/U359</f>
        <v>0.1739259113</v>
      </c>
      <c r="AJ359" s="165">
        <f t="shared" si="874"/>
        <v>0.3075096983</v>
      </c>
      <c r="AK359" s="165">
        <f t="shared" si="874"/>
        <v>0.1271561881</v>
      </c>
      <c r="AL359" s="165">
        <f t="shared" si="874"/>
        <v>0.1241132707</v>
      </c>
      <c r="AM359" s="165">
        <f t="shared" si="874"/>
        <v>0.1655698197</v>
      </c>
      <c r="AN359" s="684">
        <f t="shared" si="871"/>
        <v>1651.133</v>
      </c>
      <c r="AO359" s="625"/>
      <c r="AP359" s="625">
        <v>350.049</v>
      </c>
      <c r="AQ359" s="625">
        <v>500.023</v>
      </c>
      <c r="AR359" s="625">
        <v>500.0</v>
      </c>
      <c r="AS359" s="625">
        <v>100.016</v>
      </c>
      <c r="AT359" s="625">
        <v>201.045</v>
      </c>
      <c r="AU359" s="684">
        <f t="shared" si="872"/>
        <v>0</v>
      </c>
      <c r="AV359" s="180"/>
      <c r="AW359" s="180">
        <v>0.0</v>
      </c>
      <c r="AX359" s="180">
        <v>0.0</v>
      </c>
      <c r="AY359" s="180">
        <v>0.0</v>
      </c>
      <c r="AZ359" s="180">
        <v>0.0</v>
      </c>
      <c r="BA359" s="686">
        <v>0.0</v>
      </c>
      <c r="BB359" s="631"/>
      <c r="BC359" s="689" t="s">
        <v>695</v>
      </c>
      <c r="BD359" s="688" t="s">
        <v>3303</v>
      </c>
      <c r="BE359" s="144"/>
      <c r="BF359" s="144"/>
      <c r="BG359" s="144"/>
      <c r="BH359" s="144"/>
      <c r="BI359" s="144"/>
      <c r="BJ359" s="745"/>
      <c r="BK359" s="631"/>
      <c r="BL359" s="745"/>
      <c r="BM359" s="745"/>
      <c r="BN359" s="201"/>
    </row>
    <row r="360" hidden="1">
      <c r="A360" s="689"/>
      <c r="B360" s="186" t="s">
        <v>3883</v>
      </c>
      <c r="C360" s="676" t="s">
        <v>2113</v>
      </c>
      <c r="D360" s="677">
        <v>946.0</v>
      </c>
      <c r="E360" s="632" t="s">
        <v>3884</v>
      </c>
      <c r="F360" s="678">
        <f t="shared" ref="F360:G360" si="875">H360+J360+L360+N360+P360</f>
        <v>1662.03</v>
      </c>
      <c r="G360" s="679">
        <f t="shared" si="875"/>
        <v>341.66</v>
      </c>
      <c r="H360" s="641">
        <v>439.23</v>
      </c>
      <c r="I360" s="680">
        <v>92.79</v>
      </c>
      <c r="J360" s="641">
        <v>418.21</v>
      </c>
      <c r="K360" s="680">
        <v>87.89</v>
      </c>
      <c r="L360" s="641">
        <v>311.04</v>
      </c>
      <c r="M360" s="680">
        <v>67.86</v>
      </c>
      <c r="N360" s="641">
        <v>219.12</v>
      </c>
      <c r="O360" s="680">
        <v>44.44</v>
      </c>
      <c r="P360" s="641">
        <v>274.43</v>
      </c>
      <c r="Q360" s="680">
        <v>48.68</v>
      </c>
      <c r="R360" s="681" t="s">
        <v>709</v>
      </c>
      <c r="S360" s="682">
        <f t="shared" si="10"/>
        <v>1662.03</v>
      </c>
      <c r="T360" s="683"/>
      <c r="U360" s="625">
        <f t="shared" si="651"/>
        <v>439.23</v>
      </c>
      <c r="V360" s="625">
        <f t="shared" si="652"/>
        <v>418.21</v>
      </c>
      <c r="W360" s="625">
        <f t="shared" si="653"/>
        <v>311.04</v>
      </c>
      <c r="X360" s="625">
        <f t="shared" si="654"/>
        <v>219.12</v>
      </c>
      <c r="Y360" s="625">
        <f t="shared" si="655"/>
        <v>274.43</v>
      </c>
      <c r="Z360" s="656">
        <f t="shared" si="16"/>
        <v>341.66</v>
      </c>
      <c r="AA360" s="683"/>
      <c r="AB360" s="625">
        <f t="shared" si="656"/>
        <v>92.79</v>
      </c>
      <c r="AC360" s="625">
        <f t="shared" si="657"/>
        <v>87.89</v>
      </c>
      <c r="AD360" s="625">
        <f t="shared" si="658"/>
        <v>67.86</v>
      </c>
      <c r="AE360" s="625">
        <f t="shared" si="659"/>
        <v>44.44</v>
      </c>
      <c r="AF360" s="625">
        <f t="shared" si="660"/>
        <v>48.68</v>
      </c>
      <c r="AG360" s="657">
        <f t="shared" si="22"/>
        <v>0.2055678899</v>
      </c>
      <c r="AH360" s="165"/>
      <c r="AI360" s="165">
        <f t="shared" ref="AI360:AM360" si="876">AB360/U360</f>
        <v>0.2112560617</v>
      </c>
      <c r="AJ360" s="165">
        <f t="shared" si="876"/>
        <v>0.2101575763</v>
      </c>
      <c r="AK360" s="165">
        <f t="shared" si="876"/>
        <v>0.2181712963</v>
      </c>
      <c r="AL360" s="165">
        <f t="shared" si="876"/>
        <v>0.202811245</v>
      </c>
      <c r="AM360" s="165">
        <f t="shared" si="876"/>
        <v>0.1773858543</v>
      </c>
      <c r="AN360" s="684">
        <f t="shared" si="871"/>
        <v>45.584</v>
      </c>
      <c r="AO360" s="625"/>
      <c r="AP360" s="625">
        <v>7.065</v>
      </c>
      <c r="AQ360" s="625">
        <v>10.694</v>
      </c>
      <c r="AR360" s="625">
        <v>8.275</v>
      </c>
      <c r="AS360" s="625">
        <v>10.009</v>
      </c>
      <c r="AT360" s="625">
        <v>9.541</v>
      </c>
      <c r="AU360" s="684">
        <f t="shared" si="872"/>
        <v>887.35</v>
      </c>
      <c r="AV360" s="625"/>
      <c r="AW360" s="625">
        <v>211.62</v>
      </c>
      <c r="AX360" s="625">
        <v>208.66</v>
      </c>
      <c r="AY360" s="625">
        <v>160.49</v>
      </c>
      <c r="AZ360" s="625">
        <v>153.84</v>
      </c>
      <c r="BA360" s="693">
        <v>152.74</v>
      </c>
      <c r="BB360" s="631"/>
      <c r="BC360" s="689" t="s">
        <v>695</v>
      </c>
      <c r="BD360" s="688" t="s">
        <v>3303</v>
      </c>
      <c r="BE360" s="201"/>
      <c r="BF360" s="201"/>
      <c r="BG360" s="201"/>
      <c r="BH360" s="201"/>
      <c r="BI360" s="201"/>
      <c r="BJ360" s="745"/>
      <c r="BK360" s="631"/>
      <c r="BL360" s="745"/>
      <c r="BM360" s="745"/>
      <c r="BN360" s="201"/>
    </row>
    <row r="361" hidden="1">
      <c r="A361" s="426"/>
      <c r="B361" s="186" t="s">
        <v>3885</v>
      </c>
      <c r="C361" s="690" t="s">
        <v>1865</v>
      </c>
      <c r="D361" s="677">
        <v>969.0</v>
      </c>
      <c r="E361" s="632" t="s">
        <v>3886</v>
      </c>
      <c r="F361" s="678">
        <f t="shared" ref="F361:G361" si="877">H361+J361+L361+N361+P361</f>
        <v>1106.98</v>
      </c>
      <c r="G361" s="679">
        <f t="shared" si="877"/>
        <v>156.21</v>
      </c>
      <c r="H361" s="641">
        <v>295.01</v>
      </c>
      <c r="I361" s="680">
        <v>58.15</v>
      </c>
      <c r="J361" s="641">
        <v>282.98</v>
      </c>
      <c r="K361" s="680">
        <v>39.46</v>
      </c>
      <c r="L361" s="641">
        <v>119.07</v>
      </c>
      <c r="M361" s="680">
        <v>16.34</v>
      </c>
      <c r="N361" s="641">
        <v>219.01</v>
      </c>
      <c r="O361" s="680">
        <v>30.05</v>
      </c>
      <c r="P361" s="641">
        <v>190.91</v>
      </c>
      <c r="Q361" s="680">
        <v>12.21</v>
      </c>
      <c r="R361" s="681" t="s">
        <v>707</v>
      </c>
      <c r="S361" s="682">
        <f t="shared" si="10"/>
        <v>1106.98</v>
      </c>
      <c r="T361" s="683"/>
      <c r="U361" s="625">
        <f t="shared" si="651"/>
        <v>295.01</v>
      </c>
      <c r="V361" s="625">
        <f t="shared" si="652"/>
        <v>282.98</v>
      </c>
      <c r="W361" s="625">
        <f t="shared" si="653"/>
        <v>119.07</v>
      </c>
      <c r="X361" s="625">
        <f t="shared" si="654"/>
        <v>219.01</v>
      </c>
      <c r="Y361" s="625">
        <f t="shared" si="655"/>
        <v>190.91</v>
      </c>
      <c r="Z361" s="656">
        <f t="shared" si="16"/>
        <v>156.21</v>
      </c>
      <c r="AA361" s="683"/>
      <c r="AB361" s="625">
        <f t="shared" si="656"/>
        <v>58.15</v>
      </c>
      <c r="AC361" s="625">
        <f t="shared" si="657"/>
        <v>39.46</v>
      </c>
      <c r="AD361" s="625">
        <f t="shared" si="658"/>
        <v>16.34</v>
      </c>
      <c r="AE361" s="625">
        <f t="shared" si="659"/>
        <v>30.05</v>
      </c>
      <c r="AF361" s="625">
        <f t="shared" si="660"/>
        <v>12.21</v>
      </c>
      <c r="AG361" s="657">
        <f t="shared" si="22"/>
        <v>0.1411136606</v>
      </c>
      <c r="AH361" s="165"/>
      <c r="AI361" s="165">
        <f t="shared" ref="AI361:AM361" si="878">AB361/U361</f>
        <v>0.1971119623</v>
      </c>
      <c r="AJ361" s="165">
        <f t="shared" si="878"/>
        <v>0.1394444837</v>
      </c>
      <c r="AK361" s="165">
        <f t="shared" si="878"/>
        <v>0.1372302007</v>
      </c>
      <c r="AL361" s="165">
        <f t="shared" si="878"/>
        <v>0.1372083467</v>
      </c>
      <c r="AM361" s="165">
        <f t="shared" si="878"/>
        <v>0.0639568383</v>
      </c>
      <c r="AN361" s="684">
        <f t="shared" si="871"/>
        <v>520.975</v>
      </c>
      <c r="AO361" s="625"/>
      <c r="AP361" s="625">
        <v>262.869</v>
      </c>
      <c r="AQ361" s="625">
        <v>60.97</v>
      </c>
      <c r="AR361" s="625">
        <v>52.614</v>
      </c>
      <c r="AS361" s="625">
        <v>120.51</v>
      </c>
      <c r="AT361" s="747">
        <v>24.012</v>
      </c>
      <c r="AU361" s="684">
        <f t="shared" si="872"/>
        <v>466.53</v>
      </c>
      <c r="AV361" s="625"/>
      <c r="AW361" s="625">
        <v>125.91</v>
      </c>
      <c r="AX361" s="625">
        <v>97.68</v>
      </c>
      <c r="AY361" s="625">
        <v>88.35</v>
      </c>
      <c r="AZ361" s="625">
        <v>82.15</v>
      </c>
      <c r="BA361" s="693">
        <v>72.44</v>
      </c>
      <c r="BB361" s="631"/>
      <c r="BC361" s="189" t="s">
        <v>695</v>
      </c>
      <c r="BD361" s="688" t="s">
        <v>3303</v>
      </c>
      <c r="BE361" s="201"/>
      <c r="BF361" s="201"/>
      <c r="BG361" s="201"/>
      <c r="BH361" s="201"/>
      <c r="BI361" s="201"/>
      <c r="BJ361" s="745"/>
      <c r="BK361" s="631"/>
      <c r="BL361" s="745"/>
      <c r="BM361" s="745"/>
      <c r="BN361" s="201"/>
    </row>
    <row r="362" hidden="1">
      <c r="A362" s="689"/>
      <c r="B362" s="186" t="s">
        <v>3887</v>
      </c>
      <c r="C362" s="676" t="s">
        <v>2113</v>
      </c>
      <c r="D362" s="677">
        <v>972.0</v>
      </c>
      <c r="E362" s="632" t="s">
        <v>3888</v>
      </c>
      <c r="F362" s="678">
        <f t="shared" ref="F362:G362" si="879">H362+J362+L362+N362+P362</f>
        <v>724.01</v>
      </c>
      <c r="G362" s="679">
        <f t="shared" si="879"/>
        <v>71.41</v>
      </c>
      <c r="H362" s="641">
        <v>209.65</v>
      </c>
      <c r="I362" s="680">
        <v>46.7</v>
      </c>
      <c r="J362" s="641">
        <v>261.6</v>
      </c>
      <c r="K362" s="680">
        <v>23.12</v>
      </c>
      <c r="L362" s="641">
        <v>202.53</v>
      </c>
      <c r="M362" s="680">
        <v>4.85</v>
      </c>
      <c r="N362" s="641">
        <v>13.49</v>
      </c>
      <c r="O362" s="680">
        <v>-3.97</v>
      </c>
      <c r="P362" s="641">
        <v>36.74</v>
      </c>
      <c r="Q362" s="680">
        <v>0.71</v>
      </c>
      <c r="R362" s="681" t="s">
        <v>696</v>
      </c>
      <c r="S362" s="682">
        <f t="shared" si="10"/>
        <v>724.01</v>
      </c>
      <c r="T362" s="683"/>
      <c r="U362" s="625">
        <f t="shared" si="651"/>
        <v>209.65</v>
      </c>
      <c r="V362" s="625">
        <f t="shared" si="652"/>
        <v>261.6</v>
      </c>
      <c r="W362" s="625">
        <f t="shared" si="653"/>
        <v>202.53</v>
      </c>
      <c r="X362" s="625">
        <f t="shared" si="654"/>
        <v>13.49</v>
      </c>
      <c r="Y362" s="625">
        <f t="shared" si="655"/>
        <v>36.74</v>
      </c>
      <c r="Z362" s="656">
        <f t="shared" si="16"/>
        <v>71.41</v>
      </c>
      <c r="AA362" s="683"/>
      <c r="AB362" s="625">
        <f t="shared" si="656"/>
        <v>46.7</v>
      </c>
      <c r="AC362" s="625">
        <f t="shared" si="657"/>
        <v>23.12</v>
      </c>
      <c r="AD362" s="625">
        <f t="shared" si="658"/>
        <v>4.85</v>
      </c>
      <c r="AE362" s="625">
        <f t="shared" si="659"/>
        <v>-3.97</v>
      </c>
      <c r="AF362" s="625">
        <f t="shared" si="660"/>
        <v>0.71</v>
      </c>
      <c r="AG362" s="657">
        <f t="shared" si="22"/>
        <v>0.09863123438</v>
      </c>
      <c r="AH362" s="165"/>
      <c r="AI362" s="165">
        <f t="shared" ref="AI362:AM362" si="880">AB362/U362</f>
        <v>0.2227522061</v>
      </c>
      <c r="AJ362" s="165">
        <f t="shared" si="880"/>
        <v>0.08837920489</v>
      </c>
      <c r="AK362" s="165">
        <f t="shared" si="880"/>
        <v>0.02394706957</v>
      </c>
      <c r="AL362" s="165">
        <f t="shared" si="880"/>
        <v>-0.2942920682</v>
      </c>
      <c r="AM362" s="165">
        <f t="shared" si="880"/>
        <v>0.01932498639</v>
      </c>
      <c r="AN362" s="684">
        <f t="shared" si="871"/>
        <v>1578.875</v>
      </c>
      <c r="AO362" s="625"/>
      <c r="AP362" s="625">
        <v>425.727</v>
      </c>
      <c r="AQ362" s="625">
        <v>387.774</v>
      </c>
      <c r="AR362" s="625">
        <v>343.338</v>
      </c>
      <c r="AS362" s="625">
        <v>253.165</v>
      </c>
      <c r="AT362" s="625">
        <v>168.871</v>
      </c>
      <c r="AU362" s="684">
        <f t="shared" si="872"/>
        <v>0</v>
      </c>
      <c r="AV362" s="180"/>
      <c r="AW362" s="180">
        <v>0.0</v>
      </c>
      <c r="AX362" s="180">
        <v>0.0</v>
      </c>
      <c r="AY362" s="180">
        <v>0.0</v>
      </c>
      <c r="AZ362" s="180">
        <v>0.0</v>
      </c>
      <c r="BA362" s="686">
        <v>0.0</v>
      </c>
      <c r="BB362" s="631"/>
      <c r="BC362" s="689" t="s">
        <v>695</v>
      </c>
      <c r="BD362" s="688" t="s">
        <v>3303</v>
      </c>
      <c r="BE362" s="144"/>
      <c r="BF362" s="144"/>
      <c r="BG362" s="144"/>
      <c r="BH362" s="144"/>
      <c r="BI362" s="144"/>
      <c r="BJ362" s="745"/>
      <c r="BK362" s="631"/>
      <c r="BL362" s="745"/>
      <c r="BM362" s="745"/>
      <c r="BN362" s="201"/>
    </row>
    <row r="363" hidden="1">
      <c r="A363" s="689"/>
      <c r="B363" s="186" t="s">
        <v>3889</v>
      </c>
      <c r="C363" s="676" t="s">
        <v>2113</v>
      </c>
      <c r="D363" s="461"/>
      <c r="E363" s="632" t="s">
        <v>3890</v>
      </c>
      <c r="F363" s="678">
        <f t="shared" ref="F363:G363" si="881">H363+J363+L363+N363+P363</f>
        <v>2281.23</v>
      </c>
      <c r="G363" s="679">
        <f t="shared" si="881"/>
        <v>276.74</v>
      </c>
      <c r="H363" s="641">
        <v>493.51</v>
      </c>
      <c r="I363" s="680">
        <v>103.01</v>
      </c>
      <c r="J363" s="641">
        <v>453.77</v>
      </c>
      <c r="K363" s="680">
        <v>44.81</v>
      </c>
      <c r="L363" s="641">
        <v>452.64</v>
      </c>
      <c r="M363" s="680">
        <v>26.86</v>
      </c>
      <c r="N363" s="641">
        <v>438.72</v>
      </c>
      <c r="O363" s="680">
        <v>44.82</v>
      </c>
      <c r="P363" s="641">
        <v>442.59</v>
      </c>
      <c r="Q363" s="680">
        <v>57.24</v>
      </c>
      <c r="R363" s="681" t="s">
        <v>716</v>
      </c>
      <c r="S363" s="682">
        <f t="shared" si="10"/>
        <v>2281.23</v>
      </c>
      <c r="T363" s="683"/>
      <c r="U363" s="625">
        <f t="shared" si="651"/>
        <v>493.51</v>
      </c>
      <c r="V363" s="625">
        <f t="shared" si="652"/>
        <v>453.77</v>
      </c>
      <c r="W363" s="625">
        <f t="shared" si="653"/>
        <v>452.64</v>
      </c>
      <c r="X363" s="625">
        <f t="shared" si="654"/>
        <v>438.72</v>
      </c>
      <c r="Y363" s="625">
        <f t="shared" si="655"/>
        <v>442.59</v>
      </c>
      <c r="Z363" s="656">
        <f t="shared" si="16"/>
        <v>276.74</v>
      </c>
      <c r="AA363" s="683"/>
      <c r="AB363" s="625">
        <f t="shared" si="656"/>
        <v>103.01</v>
      </c>
      <c r="AC363" s="625">
        <f t="shared" si="657"/>
        <v>44.81</v>
      </c>
      <c r="AD363" s="625">
        <f t="shared" si="658"/>
        <v>26.86</v>
      </c>
      <c r="AE363" s="625">
        <f t="shared" si="659"/>
        <v>44.82</v>
      </c>
      <c r="AF363" s="625">
        <f t="shared" si="660"/>
        <v>57.24</v>
      </c>
      <c r="AG363" s="657">
        <f t="shared" si="22"/>
        <v>0.1213117485</v>
      </c>
      <c r="AH363" s="165"/>
      <c r="AI363" s="165">
        <f t="shared" ref="AI363:AM363" si="882">AB363/U363</f>
        <v>0.2087293064</v>
      </c>
      <c r="AJ363" s="165">
        <f t="shared" si="882"/>
        <v>0.0987504683</v>
      </c>
      <c r="AK363" s="165">
        <f t="shared" si="882"/>
        <v>0.05934075645</v>
      </c>
      <c r="AL363" s="165">
        <f t="shared" si="882"/>
        <v>0.1021608315</v>
      </c>
      <c r="AM363" s="165">
        <f t="shared" si="882"/>
        <v>0.1293296279</v>
      </c>
      <c r="AN363" s="684">
        <f t="shared" si="871"/>
        <v>830.196</v>
      </c>
      <c r="AO363" s="625"/>
      <c r="AP363" s="625">
        <v>205.571</v>
      </c>
      <c r="AQ363" s="625">
        <v>134.679</v>
      </c>
      <c r="AR363" s="625">
        <v>161.029</v>
      </c>
      <c r="AS363" s="625">
        <v>59.116</v>
      </c>
      <c r="AT363" s="625">
        <v>269.801</v>
      </c>
      <c r="AU363" s="684">
        <f t="shared" si="872"/>
        <v>0</v>
      </c>
      <c r="AV363" s="180"/>
      <c r="AW363" s="180">
        <v>0.0</v>
      </c>
      <c r="AX363" s="180">
        <v>0.0</v>
      </c>
      <c r="AY363" s="180">
        <v>0.0</v>
      </c>
      <c r="AZ363" s="180">
        <v>0.0</v>
      </c>
      <c r="BA363" s="686">
        <v>0.0</v>
      </c>
      <c r="BB363" s="631"/>
      <c r="BC363" s="689" t="s">
        <v>695</v>
      </c>
      <c r="BD363" s="688" t="s">
        <v>3303</v>
      </c>
      <c r="BE363" s="179" t="s">
        <v>3304</v>
      </c>
      <c r="BF363" s="179" t="s">
        <v>3305</v>
      </c>
      <c r="BG363" s="179" t="s">
        <v>3306</v>
      </c>
      <c r="BH363" s="179" t="s">
        <v>3307</v>
      </c>
      <c r="BI363" s="179" t="s">
        <v>3308</v>
      </c>
      <c r="BJ363" s="745"/>
      <c r="BK363" s="631"/>
      <c r="BL363" s="745"/>
      <c r="BM363" s="745"/>
      <c r="BN363" s="201"/>
    </row>
    <row r="364" hidden="1">
      <c r="A364" s="689"/>
      <c r="B364" s="186" t="s">
        <v>3891</v>
      </c>
      <c r="C364" s="676" t="s">
        <v>1919</v>
      </c>
      <c r="D364" s="461"/>
      <c r="E364" s="632" t="s">
        <v>3892</v>
      </c>
      <c r="F364" s="678">
        <f t="shared" ref="F364:G364" si="883">H364+J364+L364+N364+P364</f>
        <v>916.04</v>
      </c>
      <c r="G364" s="679">
        <f t="shared" si="883"/>
        <v>120.14</v>
      </c>
      <c r="H364" s="641">
        <v>275.71</v>
      </c>
      <c r="I364" s="680">
        <v>59.81</v>
      </c>
      <c r="J364" s="641">
        <v>248.46</v>
      </c>
      <c r="K364" s="680">
        <v>10.08</v>
      </c>
      <c r="L364" s="641">
        <v>88.98</v>
      </c>
      <c r="M364" s="680">
        <v>15.18</v>
      </c>
      <c r="N364" s="641">
        <v>239.35</v>
      </c>
      <c r="O364" s="680">
        <v>18.98</v>
      </c>
      <c r="P364" s="641">
        <v>63.54</v>
      </c>
      <c r="Q364" s="680">
        <v>16.09</v>
      </c>
      <c r="R364" s="681" t="s">
        <v>719</v>
      </c>
      <c r="S364" s="682">
        <f t="shared" si="10"/>
        <v>916.04</v>
      </c>
      <c r="T364" s="683"/>
      <c r="U364" s="625">
        <f t="shared" si="651"/>
        <v>275.71</v>
      </c>
      <c r="V364" s="625">
        <f t="shared" si="652"/>
        <v>248.46</v>
      </c>
      <c r="W364" s="625">
        <f t="shared" si="653"/>
        <v>88.98</v>
      </c>
      <c r="X364" s="625">
        <f t="shared" si="654"/>
        <v>239.35</v>
      </c>
      <c r="Y364" s="625">
        <f t="shared" si="655"/>
        <v>63.54</v>
      </c>
      <c r="Z364" s="656">
        <f t="shared" si="16"/>
        <v>120.14</v>
      </c>
      <c r="AA364" s="683"/>
      <c r="AB364" s="625">
        <f t="shared" si="656"/>
        <v>59.81</v>
      </c>
      <c r="AC364" s="625">
        <f t="shared" si="657"/>
        <v>10.08</v>
      </c>
      <c r="AD364" s="625">
        <f t="shared" si="658"/>
        <v>15.18</v>
      </c>
      <c r="AE364" s="625">
        <f t="shared" si="659"/>
        <v>18.98</v>
      </c>
      <c r="AF364" s="625">
        <f t="shared" si="660"/>
        <v>16.09</v>
      </c>
      <c r="AG364" s="657">
        <f t="shared" si="22"/>
        <v>0.1311514781</v>
      </c>
      <c r="AH364" s="165"/>
      <c r="AI364" s="165">
        <f t="shared" ref="AI364:AM364" si="884">AB364/U364</f>
        <v>0.2169308331</v>
      </c>
      <c r="AJ364" s="165">
        <f t="shared" si="884"/>
        <v>0.04056991065</v>
      </c>
      <c r="AK364" s="165">
        <f t="shared" si="884"/>
        <v>0.1706001349</v>
      </c>
      <c r="AL364" s="165">
        <f t="shared" si="884"/>
        <v>0.07929809902</v>
      </c>
      <c r="AM364" s="165">
        <f t="shared" si="884"/>
        <v>0.2532263141</v>
      </c>
      <c r="AN364" s="684">
        <f t="shared" si="871"/>
        <v>144.352</v>
      </c>
      <c r="AO364" s="625"/>
      <c r="AP364" s="625">
        <v>19.562</v>
      </c>
      <c r="AQ364" s="625">
        <v>16.095</v>
      </c>
      <c r="AR364" s="625">
        <v>43.178</v>
      </c>
      <c r="AS364" s="625">
        <v>50.112</v>
      </c>
      <c r="AT364" s="625">
        <v>15.405</v>
      </c>
      <c r="AU364" s="684">
        <f t="shared" si="872"/>
        <v>245.04</v>
      </c>
      <c r="AV364" s="625"/>
      <c r="AW364" s="625">
        <v>50.19</v>
      </c>
      <c r="AX364" s="625">
        <v>49.62</v>
      </c>
      <c r="AY364" s="625">
        <v>48.9</v>
      </c>
      <c r="AZ364" s="625">
        <v>48.36</v>
      </c>
      <c r="BA364" s="693">
        <v>47.97</v>
      </c>
      <c r="BB364" s="631"/>
      <c r="BC364" s="689" t="s">
        <v>695</v>
      </c>
      <c r="BD364" s="688" t="s">
        <v>3303</v>
      </c>
      <c r="BE364" s="201"/>
      <c r="BF364" s="201"/>
      <c r="BG364" s="201"/>
      <c r="BH364" s="201"/>
      <c r="BI364" s="201"/>
      <c r="BJ364" s="745"/>
      <c r="BK364" s="631"/>
      <c r="BL364" s="745"/>
      <c r="BM364" s="745"/>
      <c r="BN364" s="201"/>
    </row>
    <row r="365" hidden="1">
      <c r="A365" s="212"/>
      <c r="B365" s="186" t="s">
        <v>3893</v>
      </c>
      <c r="C365" s="676" t="s">
        <v>2113</v>
      </c>
      <c r="D365" s="461"/>
      <c r="E365" s="131" t="s">
        <v>3894</v>
      </c>
      <c r="F365" s="678">
        <f t="shared" ref="F365:G365" si="885">H365+J365+L365+N365+P365</f>
        <v>1803.46</v>
      </c>
      <c r="G365" s="679">
        <f t="shared" si="885"/>
        <v>310.27</v>
      </c>
      <c r="H365" s="641">
        <v>461.97</v>
      </c>
      <c r="I365" s="680">
        <v>116.31</v>
      </c>
      <c r="J365" s="641">
        <v>384.18</v>
      </c>
      <c r="K365" s="680">
        <v>61.29</v>
      </c>
      <c r="L365" s="641">
        <v>278.87</v>
      </c>
      <c r="M365" s="680">
        <v>43.46</v>
      </c>
      <c r="N365" s="641">
        <v>389.58</v>
      </c>
      <c r="O365" s="680">
        <v>53.04</v>
      </c>
      <c r="P365" s="641">
        <v>288.86</v>
      </c>
      <c r="Q365" s="680">
        <v>36.17</v>
      </c>
      <c r="R365" s="681" t="s">
        <v>3429</v>
      </c>
      <c r="S365" s="682">
        <f t="shared" si="10"/>
        <v>1803.46</v>
      </c>
      <c r="T365" s="683"/>
      <c r="U365" s="625">
        <f t="shared" si="651"/>
        <v>461.97</v>
      </c>
      <c r="V365" s="625">
        <f t="shared" si="652"/>
        <v>384.18</v>
      </c>
      <c r="W365" s="625">
        <f t="shared" si="653"/>
        <v>278.87</v>
      </c>
      <c r="X365" s="625">
        <f t="shared" si="654"/>
        <v>389.58</v>
      </c>
      <c r="Y365" s="625">
        <f t="shared" si="655"/>
        <v>288.86</v>
      </c>
      <c r="Z365" s="656">
        <f t="shared" si="16"/>
        <v>310.27</v>
      </c>
      <c r="AA365" s="683"/>
      <c r="AB365" s="625">
        <f t="shared" si="656"/>
        <v>116.31</v>
      </c>
      <c r="AC365" s="625">
        <f t="shared" si="657"/>
        <v>61.29</v>
      </c>
      <c r="AD365" s="625">
        <f t="shared" si="658"/>
        <v>43.46</v>
      </c>
      <c r="AE365" s="625">
        <f t="shared" si="659"/>
        <v>53.04</v>
      </c>
      <c r="AF365" s="625">
        <f t="shared" si="660"/>
        <v>36.17</v>
      </c>
      <c r="AG365" s="657">
        <f t="shared" si="22"/>
        <v>0.1720415202</v>
      </c>
      <c r="AH365" s="165"/>
      <c r="AI365" s="165">
        <f t="shared" ref="AI365:AM365" si="886">AB365/U365</f>
        <v>0.2517695954</v>
      </c>
      <c r="AJ365" s="165">
        <f t="shared" si="886"/>
        <v>0.1595345932</v>
      </c>
      <c r="AK365" s="165">
        <f t="shared" si="886"/>
        <v>0.1558432244</v>
      </c>
      <c r="AL365" s="165">
        <f t="shared" si="886"/>
        <v>0.1361466194</v>
      </c>
      <c r="AM365" s="165">
        <f t="shared" si="886"/>
        <v>0.1252163678</v>
      </c>
      <c r="AN365" s="684"/>
      <c r="AO365" s="625"/>
      <c r="AP365" s="625"/>
      <c r="AQ365" s="625"/>
      <c r="AR365" s="625"/>
      <c r="AS365" s="625"/>
      <c r="AT365" s="625"/>
      <c r="AU365" s="684"/>
      <c r="AV365" s="625"/>
      <c r="AW365" s="625"/>
      <c r="AX365" s="625"/>
      <c r="AY365" s="625"/>
      <c r="AZ365" s="625"/>
      <c r="BA365" s="693"/>
      <c r="BB365" s="631"/>
      <c r="BC365" s="689" t="s">
        <v>695</v>
      </c>
      <c r="BD365" s="688" t="s">
        <v>3303</v>
      </c>
      <c r="BE365" s="631"/>
      <c r="BF365" s="631"/>
      <c r="BG365" s="631"/>
      <c r="BH365" s="631"/>
      <c r="BI365" s="631"/>
      <c r="BJ365" s="745"/>
      <c r="BK365" s="631"/>
      <c r="BL365" s="745"/>
      <c r="BM365" s="745"/>
      <c r="BN365" s="201"/>
    </row>
    <row r="366" hidden="1">
      <c r="A366" s="689"/>
      <c r="B366" s="186" t="s">
        <v>3895</v>
      </c>
      <c r="C366" s="690" t="s">
        <v>2117</v>
      </c>
      <c r="D366" s="461"/>
      <c r="E366" s="632" t="s">
        <v>3896</v>
      </c>
      <c r="F366" s="678">
        <f t="shared" ref="F366:G366" si="887">H366+J366+L366+N366+P366</f>
        <v>1306.13</v>
      </c>
      <c r="G366" s="679">
        <f t="shared" si="887"/>
        <v>123.56</v>
      </c>
      <c r="H366" s="641">
        <v>271.04</v>
      </c>
      <c r="I366" s="680">
        <v>12.77</v>
      </c>
      <c r="J366" s="641">
        <v>297.87</v>
      </c>
      <c r="K366" s="680">
        <v>26.73</v>
      </c>
      <c r="L366" s="641">
        <v>272.25</v>
      </c>
      <c r="M366" s="680">
        <v>9.33</v>
      </c>
      <c r="N366" s="641">
        <v>270.47</v>
      </c>
      <c r="O366" s="680">
        <v>39.09</v>
      </c>
      <c r="P366" s="641">
        <v>194.5</v>
      </c>
      <c r="Q366" s="680">
        <v>35.64</v>
      </c>
      <c r="R366" s="681" t="s">
        <v>700</v>
      </c>
      <c r="S366" s="682">
        <f t="shared" si="10"/>
        <v>1306.13</v>
      </c>
      <c r="T366" s="683"/>
      <c r="U366" s="625">
        <f t="shared" si="651"/>
        <v>271.04</v>
      </c>
      <c r="V366" s="625">
        <f t="shared" si="652"/>
        <v>297.87</v>
      </c>
      <c r="W366" s="625">
        <f t="shared" si="653"/>
        <v>272.25</v>
      </c>
      <c r="X366" s="625">
        <f t="shared" si="654"/>
        <v>270.47</v>
      </c>
      <c r="Y366" s="625">
        <f t="shared" si="655"/>
        <v>194.5</v>
      </c>
      <c r="Z366" s="656">
        <f t="shared" si="16"/>
        <v>123.56</v>
      </c>
      <c r="AA366" s="683"/>
      <c r="AB366" s="625">
        <f t="shared" si="656"/>
        <v>12.77</v>
      </c>
      <c r="AC366" s="625">
        <f t="shared" si="657"/>
        <v>26.73</v>
      </c>
      <c r="AD366" s="625">
        <f t="shared" si="658"/>
        <v>9.33</v>
      </c>
      <c r="AE366" s="625">
        <f t="shared" si="659"/>
        <v>39.09</v>
      </c>
      <c r="AF366" s="625">
        <f t="shared" si="660"/>
        <v>35.64</v>
      </c>
      <c r="AG366" s="657">
        <f t="shared" si="22"/>
        <v>0.09460007809</v>
      </c>
      <c r="AH366" s="165"/>
      <c r="AI366" s="165">
        <f t="shared" ref="AI366:AM366" si="888">AB366/U366</f>
        <v>0.047114817</v>
      </c>
      <c r="AJ366" s="165">
        <f t="shared" si="888"/>
        <v>0.08973713365</v>
      </c>
      <c r="AK366" s="165">
        <f t="shared" si="888"/>
        <v>0.03426997245</v>
      </c>
      <c r="AL366" s="165">
        <f t="shared" si="888"/>
        <v>0.1445261951</v>
      </c>
      <c r="AM366" s="165">
        <f t="shared" si="888"/>
        <v>0.1832390746</v>
      </c>
      <c r="AN366" s="684">
        <f t="shared" ref="AN366:AN374" si="891">SUM(AP366:AT366)</f>
        <v>1007.293</v>
      </c>
      <c r="AO366" s="625"/>
      <c r="AP366" s="625">
        <v>18.639</v>
      </c>
      <c r="AQ366" s="625">
        <v>264.702</v>
      </c>
      <c r="AR366" s="625">
        <v>199.625</v>
      </c>
      <c r="AS366" s="625">
        <v>220.372</v>
      </c>
      <c r="AT366" s="625">
        <v>303.955</v>
      </c>
      <c r="AU366" s="684">
        <f t="shared" ref="AU366:AU374" si="892">SUM(AW366:BA366)</f>
        <v>543.76</v>
      </c>
      <c r="AV366" s="625"/>
      <c r="AW366" s="625">
        <v>125.93</v>
      </c>
      <c r="AX366" s="625">
        <v>117.93</v>
      </c>
      <c r="AY366" s="625">
        <v>110.44</v>
      </c>
      <c r="AZ366" s="625">
        <v>100.05</v>
      </c>
      <c r="BA366" s="693">
        <v>89.41</v>
      </c>
      <c r="BB366" s="631"/>
      <c r="BC366" s="689" t="s">
        <v>695</v>
      </c>
      <c r="BD366" s="688" t="s">
        <v>3303</v>
      </c>
      <c r="BE366" s="201"/>
      <c r="BF366" s="201"/>
      <c r="BG366" s="201"/>
      <c r="BH366" s="201"/>
      <c r="BI366" s="201"/>
      <c r="BJ366" s="745"/>
      <c r="BK366" s="631"/>
      <c r="BL366" s="745"/>
      <c r="BM366" s="745"/>
      <c r="BN366" s="201"/>
    </row>
    <row r="367" hidden="1">
      <c r="A367" s="689"/>
      <c r="B367" s="186" t="s">
        <v>3897</v>
      </c>
      <c r="C367" s="697" t="s">
        <v>2113</v>
      </c>
      <c r="D367" s="461"/>
      <c r="E367" s="632" t="s">
        <v>3898</v>
      </c>
      <c r="F367" s="678">
        <f t="shared" ref="F367:G367" si="889">H367+J367+L367+N367+P367</f>
        <v>442</v>
      </c>
      <c r="G367" s="679">
        <f t="shared" si="889"/>
        <v>65.7</v>
      </c>
      <c r="H367" s="641">
        <v>131.34</v>
      </c>
      <c r="I367" s="680">
        <v>39.44</v>
      </c>
      <c r="J367" s="641">
        <v>103.71</v>
      </c>
      <c r="K367" s="680">
        <v>13.84</v>
      </c>
      <c r="L367" s="641">
        <v>4.8</v>
      </c>
      <c r="M367" s="680">
        <v>3.87</v>
      </c>
      <c r="N367" s="641">
        <v>57.39</v>
      </c>
      <c r="O367" s="680">
        <v>2.48</v>
      </c>
      <c r="P367" s="641">
        <v>144.76</v>
      </c>
      <c r="Q367" s="680">
        <v>6.07</v>
      </c>
      <c r="R367" s="681" t="s">
        <v>708</v>
      </c>
      <c r="S367" s="682">
        <f t="shared" si="10"/>
        <v>442</v>
      </c>
      <c r="T367" s="683"/>
      <c r="U367" s="625">
        <f t="shared" si="651"/>
        <v>131.34</v>
      </c>
      <c r="V367" s="625">
        <f t="shared" si="652"/>
        <v>103.71</v>
      </c>
      <c r="W367" s="625">
        <f t="shared" si="653"/>
        <v>4.8</v>
      </c>
      <c r="X367" s="625">
        <f t="shared" si="654"/>
        <v>57.39</v>
      </c>
      <c r="Y367" s="625">
        <f t="shared" si="655"/>
        <v>144.76</v>
      </c>
      <c r="Z367" s="656">
        <f t="shared" si="16"/>
        <v>65.7</v>
      </c>
      <c r="AA367" s="683"/>
      <c r="AB367" s="625">
        <f t="shared" si="656"/>
        <v>39.44</v>
      </c>
      <c r="AC367" s="625">
        <f t="shared" si="657"/>
        <v>13.84</v>
      </c>
      <c r="AD367" s="625">
        <f t="shared" si="658"/>
        <v>3.87</v>
      </c>
      <c r="AE367" s="625">
        <f t="shared" si="659"/>
        <v>2.48</v>
      </c>
      <c r="AF367" s="625">
        <f t="shared" si="660"/>
        <v>6.07</v>
      </c>
      <c r="AG367" s="657">
        <f t="shared" si="22"/>
        <v>0.1486425339</v>
      </c>
      <c r="AH367" s="165"/>
      <c r="AI367" s="165">
        <f t="shared" ref="AI367:AM367" si="890">AB367/U367</f>
        <v>0.3002893254</v>
      </c>
      <c r="AJ367" s="165">
        <f t="shared" si="890"/>
        <v>0.1334490406</v>
      </c>
      <c r="AK367" s="165">
        <f t="shared" si="890"/>
        <v>0.80625</v>
      </c>
      <c r="AL367" s="165">
        <f t="shared" si="890"/>
        <v>0.04321310333</v>
      </c>
      <c r="AM367" s="165">
        <f t="shared" si="890"/>
        <v>0.04193147278</v>
      </c>
      <c r="AN367" s="684">
        <f t="shared" si="891"/>
        <v>730.1</v>
      </c>
      <c r="AO367" s="641"/>
      <c r="AP367" s="641">
        <v>499.5</v>
      </c>
      <c r="AQ367" s="641">
        <v>134.9</v>
      </c>
      <c r="AR367" s="641">
        <v>37.9</v>
      </c>
      <c r="AS367" s="641">
        <v>40.7</v>
      </c>
      <c r="AT367" s="641">
        <v>17.1</v>
      </c>
      <c r="AU367" s="684">
        <f t="shared" si="892"/>
        <v>0</v>
      </c>
      <c r="AV367" s="180"/>
      <c r="AW367" s="180">
        <v>0.0</v>
      </c>
      <c r="AX367" s="180">
        <v>0.0</v>
      </c>
      <c r="AY367" s="180">
        <v>0.0</v>
      </c>
      <c r="AZ367" s="180">
        <v>0.0</v>
      </c>
      <c r="BA367" s="686">
        <v>0.0</v>
      </c>
      <c r="BB367" s="631"/>
      <c r="BC367" s="689" t="s">
        <v>695</v>
      </c>
      <c r="BD367" s="688" t="s">
        <v>3303</v>
      </c>
      <c r="BE367" s="144"/>
      <c r="BF367" s="144"/>
      <c r="BG367" s="144"/>
      <c r="BH367" s="144"/>
      <c r="BI367" s="144"/>
      <c r="BJ367" s="745"/>
      <c r="BK367" s="631"/>
      <c r="BL367" s="745"/>
      <c r="BM367" s="745"/>
      <c r="BN367" s="201"/>
    </row>
    <row r="368" hidden="1">
      <c r="A368" s="426"/>
      <c r="B368" s="186" t="s">
        <v>3899</v>
      </c>
      <c r="C368" s="676" t="s">
        <v>1919</v>
      </c>
      <c r="D368" s="461"/>
      <c r="E368" s="632" t="s">
        <v>3900</v>
      </c>
      <c r="F368" s="678">
        <f t="shared" ref="F368:G368" si="893">H368+J368+L368+N368+P368</f>
        <v>1983.76</v>
      </c>
      <c r="G368" s="679">
        <f t="shared" si="893"/>
        <v>341.55</v>
      </c>
      <c r="H368" s="641">
        <v>444.07</v>
      </c>
      <c r="I368" s="680">
        <v>125.62</v>
      </c>
      <c r="J368" s="641">
        <v>454.18</v>
      </c>
      <c r="K368" s="680">
        <v>59.39</v>
      </c>
      <c r="L368" s="641">
        <v>383.83</v>
      </c>
      <c r="M368" s="680">
        <v>55.6</v>
      </c>
      <c r="N368" s="641">
        <v>367.39</v>
      </c>
      <c r="O368" s="680">
        <v>46.14</v>
      </c>
      <c r="P368" s="641">
        <v>334.29</v>
      </c>
      <c r="Q368" s="680">
        <v>54.8</v>
      </c>
      <c r="R368" s="681" t="s">
        <v>698</v>
      </c>
      <c r="S368" s="682">
        <f t="shared" si="10"/>
        <v>1983.76</v>
      </c>
      <c r="T368" s="683"/>
      <c r="U368" s="625">
        <f t="shared" si="651"/>
        <v>444.07</v>
      </c>
      <c r="V368" s="625">
        <f t="shared" si="652"/>
        <v>454.18</v>
      </c>
      <c r="W368" s="625">
        <f t="shared" si="653"/>
        <v>383.83</v>
      </c>
      <c r="X368" s="625">
        <f t="shared" si="654"/>
        <v>367.39</v>
      </c>
      <c r="Y368" s="625">
        <f t="shared" si="655"/>
        <v>334.29</v>
      </c>
      <c r="Z368" s="656">
        <f t="shared" si="16"/>
        <v>341.55</v>
      </c>
      <c r="AA368" s="683"/>
      <c r="AB368" s="625">
        <f t="shared" si="656"/>
        <v>125.62</v>
      </c>
      <c r="AC368" s="625">
        <f t="shared" si="657"/>
        <v>59.39</v>
      </c>
      <c r="AD368" s="625">
        <f t="shared" si="658"/>
        <v>55.6</v>
      </c>
      <c r="AE368" s="625">
        <f t="shared" si="659"/>
        <v>46.14</v>
      </c>
      <c r="AF368" s="625">
        <f t="shared" si="660"/>
        <v>54.8</v>
      </c>
      <c r="AG368" s="657">
        <f t="shared" si="22"/>
        <v>0.1721730451</v>
      </c>
      <c r="AH368" s="165"/>
      <c r="AI368" s="165">
        <f t="shared" ref="AI368:AM368" si="894">AB368/U368</f>
        <v>0.2828833292</v>
      </c>
      <c r="AJ368" s="165">
        <f t="shared" si="894"/>
        <v>0.1307631336</v>
      </c>
      <c r="AK368" s="165">
        <f t="shared" si="894"/>
        <v>0.1448557955</v>
      </c>
      <c r="AL368" s="165">
        <f t="shared" si="894"/>
        <v>0.1255886116</v>
      </c>
      <c r="AM368" s="165">
        <f t="shared" si="894"/>
        <v>0.1639295223</v>
      </c>
      <c r="AN368" s="684">
        <f t="shared" si="891"/>
        <v>800.844</v>
      </c>
      <c r="AO368" s="625"/>
      <c r="AP368" s="625">
        <v>193.916</v>
      </c>
      <c r="AQ368" s="625">
        <v>431.529</v>
      </c>
      <c r="AR368" s="625">
        <v>71.549</v>
      </c>
      <c r="AS368" s="625">
        <v>54.864</v>
      </c>
      <c r="AT368" s="641">
        <v>48.986</v>
      </c>
      <c r="AU368" s="684">
        <f t="shared" si="892"/>
        <v>624.06</v>
      </c>
      <c r="AV368" s="625"/>
      <c r="AW368" s="625">
        <v>139.07</v>
      </c>
      <c r="AX368" s="625">
        <v>133.8</v>
      </c>
      <c r="AY368" s="625">
        <v>127.42</v>
      </c>
      <c r="AZ368" s="625">
        <v>118.75</v>
      </c>
      <c r="BA368" s="693">
        <v>105.02</v>
      </c>
      <c r="BB368" s="631"/>
      <c r="BC368" s="189" t="s">
        <v>695</v>
      </c>
      <c r="BD368" s="688" t="s">
        <v>3303</v>
      </c>
      <c r="BE368" s="201"/>
      <c r="BF368" s="201"/>
      <c r="BG368" s="201"/>
      <c r="BH368" s="201"/>
      <c r="BI368" s="201"/>
      <c r="BJ368" s="745"/>
      <c r="BK368" s="631"/>
      <c r="BL368" s="745"/>
      <c r="BM368" s="745"/>
      <c r="BN368" s="201"/>
    </row>
    <row r="369" hidden="1">
      <c r="A369" s="426"/>
      <c r="B369" s="735" t="s">
        <v>3621</v>
      </c>
      <c r="C369" s="676" t="s">
        <v>2113</v>
      </c>
      <c r="D369" s="461"/>
      <c r="E369" s="632" t="s">
        <v>3901</v>
      </c>
      <c r="F369" s="678">
        <f t="shared" ref="F369:G369" si="895">H369+J369+L369+N369+P369</f>
        <v>1741.2</v>
      </c>
      <c r="G369" s="679">
        <f t="shared" si="895"/>
        <v>115.9</v>
      </c>
      <c r="H369" s="641">
        <v>653.9</v>
      </c>
      <c r="I369" s="680">
        <v>88.3</v>
      </c>
      <c r="J369" s="641">
        <v>145.9</v>
      </c>
      <c r="K369" s="680">
        <v>17.7</v>
      </c>
      <c r="L369" s="641">
        <v>327.4</v>
      </c>
      <c r="M369" s="680">
        <v>12.6</v>
      </c>
      <c r="N369" s="641">
        <v>248.5</v>
      </c>
      <c r="O369" s="680">
        <v>19.6</v>
      </c>
      <c r="P369" s="641">
        <v>365.5</v>
      </c>
      <c r="Q369" s="680">
        <v>-22.3</v>
      </c>
      <c r="R369" s="681" t="s">
        <v>698</v>
      </c>
      <c r="S369" s="682">
        <f t="shared" si="10"/>
        <v>1741.2</v>
      </c>
      <c r="T369" s="683"/>
      <c r="U369" s="625">
        <f t="shared" si="651"/>
        <v>653.9</v>
      </c>
      <c r="V369" s="625">
        <f t="shared" si="652"/>
        <v>145.9</v>
      </c>
      <c r="W369" s="625">
        <f t="shared" si="653"/>
        <v>327.4</v>
      </c>
      <c r="X369" s="625">
        <f t="shared" si="654"/>
        <v>248.5</v>
      </c>
      <c r="Y369" s="625">
        <f t="shared" si="655"/>
        <v>365.5</v>
      </c>
      <c r="Z369" s="656">
        <f t="shared" si="16"/>
        <v>115.9</v>
      </c>
      <c r="AA369" s="683"/>
      <c r="AB369" s="625">
        <f t="shared" si="656"/>
        <v>88.3</v>
      </c>
      <c r="AC369" s="625">
        <f t="shared" si="657"/>
        <v>17.7</v>
      </c>
      <c r="AD369" s="625">
        <f t="shared" si="658"/>
        <v>12.6</v>
      </c>
      <c r="AE369" s="625">
        <f t="shared" si="659"/>
        <v>19.6</v>
      </c>
      <c r="AF369" s="625">
        <f t="shared" si="660"/>
        <v>-22.3</v>
      </c>
      <c r="AG369" s="657">
        <f t="shared" si="22"/>
        <v>0.06656328969</v>
      </c>
      <c r="AH369" s="165"/>
      <c r="AI369" s="165">
        <f t="shared" ref="AI369:AM369" si="896">AB369/U369</f>
        <v>0.1350359382</v>
      </c>
      <c r="AJ369" s="165">
        <f t="shared" si="896"/>
        <v>0.1213159698</v>
      </c>
      <c r="AK369" s="165">
        <f t="shared" si="896"/>
        <v>0.0384850336</v>
      </c>
      <c r="AL369" s="165">
        <f t="shared" si="896"/>
        <v>0.07887323944</v>
      </c>
      <c r="AM369" s="165">
        <f t="shared" si="896"/>
        <v>-0.0610123119</v>
      </c>
      <c r="AN369" s="684">
        <f t="shared" si="891"/>
        <v>1924.9</v>
      </c>
      <c r="AO369" s="625"/>
      <c r="AP369" s="625">
        <v>0.0</v>
      </c>
      <c r="AQ369" s="625">
        <v>0.0</v>
      </c>
      <c r="AR369" s="641">
        <v>888.9</v>
      </c>
      <c r="AS369" s="641">
        <v>792.5</v>
      </c>
      <c r="AT369" s="641">
        <v>243.5</v>
      </c>
      <c r="AU369" s="684">
        <f t="shared" si="892"/>
        <v>1512.1</v>
      </c>
      <c r="AV369" s="641"/>
      <c r="AW369" s="641">
        <v>880.0</v>
      </c>
      <c r="AX369" s="641">
        <v>188.0</v>
      </c>
      <c r="AY369" s="641">
        <v>152.3</v>
      </c>
      <c r="AZ369" s="641">
        <v>144.3</v>
      </c>
      <c r="BA369" s="691">
        <v>147.5</v>
      </c>
      <c r="BB369" s="631"/>
      <c r="BC369" s="189" t="s">
        <v>695</v>
      </c>
      <c r="BD369" s="688" t="s">
        <v>3303</v>
      </c>
      <c r="BE369" s="632"/>
      <c r="BF369" s="632"/>
      <c r="BG369" s="632"/>
      <c r="BH369" s="632"/>
      <c r="BI369" s="632"/>
      <c r="BJ369" s="735"/>
      <c r="BK369" s="631"/>
      <c r="BL369" s="735"/>
      <c r="BM369" s="735"/>
      <c r="BN369" s="201"/>
    </row>
    <row r="370" hidden="1">
      <c r="A370" s="689"/>
      <c r="B370" s="186" t="s">
        <v>3902</v>
      </c>
      <c r="C370" s="676" t="s">
        <v>2113</v>
      </c>
      <c r="D370" s="461"/>
      <c r="E370" s="632" t="s">
        <v>3903</v>
      </c>
      <c r="F370" s="678">
        <f t="shared" ref="F370:G370" si="897">H370+J370+L370+N370+P370</f>
        <v>1047.49</v>
      </c>
      <c r="G370" s="679">
        <f t="shared" si="897"/>
        <v>180.3</v>
      </c>
      <c r="H370" s="641">
        <v>215.68</v>
      </c>
      <c r="I370" s="680">
        <v>52.87</v>
      </c>
      <c r="J370" s="641">
        <v>217.36</v>
      </c>
      <c r="K370" s="680">
        <v>36.66</v>
      </c>
      <c r="L370" s="641">
        <v>269.17</v>
      </c>
      <c r="M370" s="680">
        <v>30.22</v>
      </c>
      <c r="N370" s="641">
        <v>182.71</v>
      </c>
      <c r="O370" s="680">
        <v>28.93</v>
      </c>
      <c r="P370" s="641">
        <v>162.57</v>
      </c>
      <c r="Q370" s="680">
        <v>31.62</v>
      </c>
      <c r="R370" s="681" t="s">
        <v>696</v>
      </c>
      <c r="S370" s="682">
        <f t="shared" si="10"/>
        <v>1047.49</v>
      </c>
      <c r="T370" s="683"/>
      <c r="U370" s="625">
        <f t="shared" si="651"/>
        <v>215.68</v>
      </c>
      <c r="V370" s="625">
        <f t="shared" si="652"/>
        <v>217.36</v>
      </c>
      <c r="W370" s="625">
        <f t="shared" si="653"/>
        <v>269.17</v>
      </c>
      <c r="X370" s="625">
        <f t="shared" si="654"/>
        <v>182.71</v>
      </c>
      <c r="Y370" s="625">
        <f t="shared" si="655"/>
        <v>162.57</v>
      </c>
      <c r="Z370" s="656">
        <f t="shared" si="16"/>
        <v>180.3</v>
      </c>
      <c r="AA370" s="683"/>
      <c r="AB370" s="625">
        <f t="shared" si="656"/>
        <v>52.87</v>
      </c>
      <c r="AC370" s="625">
        <f t="shared" si="657"/>
        <v>36.66</v>
      </c>
      <c r="AD370" s="625">
        <f t="shared" si="658"/>
        <v>30.22</v>
      </c>
      <c r="AE370" s="625">
        <f t="shared" si="659"/>
        <v>28.93</v>
      </c>
      <c r="AF370" s="625">
        <f t="shared" si="660"/>
        <v>31.62</v>
      </c>
      <c r="AG370" s="657">
        <f t="shared" si="22"/>
        <v>0.1721257482</v>
      </c>
      <c r="AH370" s="165"/>
      <c r="AI370" s="165">
        <f t="shared" ref="AI370:AM370" si="898">AB370/U370</f>
        <v>0.2451316766</v>
      </c>
      <c r="AJ370" s="165">
        <f t="shared" si="898"/>
        <v>0.1686602871</v>
      </c>
      <c r="AK370" s="165">
        <f t="shared" si="898"/>
        <v>0.1122710555</v>
      </c>
      <c r="AL370" s="165">
        <f t="shared" si="898"/>
        <v>0.1583383504</v>
      </c>
      <c r="AM370" s="165">
        <f t="shared" si="898"/>
        <v>0.1945008304</v>
      </c>
      <c r="AN370" s="684">
        <f t="shared" si="891"/>
        <v>209.291</v>
      </c>
      <c r="AO370" s="625"/>
      <c r="AP370" s="625">
        <v>87.54</v>
      </c>
      <c r="AQ370" s="625">
        <v>63.189</v>
      </c>
      <c r="AR370" s="625">
        <v>16.135</v>
      </c>
      <c r="AS370" s="625">
        <v>17.256</v>
      </c>
      <c r="AT370" s="625">
        <v>25.171</v>
      </c>
      <c r="AU370" s="684">
        <f t="shared" si="892"/>
        <v>434.96</v>
      </c>
      <c r="AV370" s="625"/>
      <c r="AW370" s="625">
        <v>105.94</v>
      </c>
      <c r="AX370" s="625">
        <v>99.79</v>
      </c>
      <c r="AY370" s="625">
        <v>90.57</v>
      </c>
      <c r="AZ370" s="625">
        <v>76.23</v>
      </c>
      <c r="BA370" s="693">
        <v>62.43</v>
      </c>
      <c r="BB370" s="631"/>
      <c r="BC370" s="689" t="s">
        <v>695</v>
      </c>
      <c r="BD370" s="688" t="s">
        <v>3303</v>
      </c>
      <c r="BE370" s="201"/>
      <c r="BF370" s="201"/>
      <c r="BG370" s="201"/>
      <c r="BH370" s="201"/>
      <c r="BI370" s="201"/>
      <c r="BJ370" s="745"/>
      <c r="BK370" s="631"/>
      <c r="BL370" s="745"/>
      <c r="BM370" s="745"/>
      <c r="BN370" s="201"/>
    </row>
    <row r="371" hidden="1">
      <c r="A371" s="689"/>
      <c r="B371" s="186" t="s">
        <v>3904</v>
      </c>
      <c r="C371" s="676" t="s">
        <v>2113</v>
      </c>
      <c r="D371" s="461"/>
      <c r="E371" s="632" t="s">
        <v>3904</v>
      </c>
      <c r="F371" s="678">
        <f t="shared" ref="F371:G371" si="899">H371+J371+L371+N371+P371</f>
        <v>1913</v>
      </c>
      <c r="G371" s="679">
        <f t="shared" si="899"/>
        <v>309.28</v>
      </c>
      <c r="H371" s="641">
        <v>510.03</v>
      </c>
      <c r="I371" s="680">
        <v>53.52</v>
      </c>
      <c r="J371" s="641">
        <v>368.2</v>
      </c>
      <c r="K371" s="680">
        <v>133.28</v>
      </c>
      <c r="L371" s="641">
        <v>323.11</v>
      </c>
      <c r="M371" s="680">
        <v>39.67</v>
      </c>
      <c r="N371" s="641">
        <v>344.34</v>
      </c>
      <c r="O371" s="680">
        <v>31.49</v>
      </c>
      <c r="P371" s="641">
        <v>367.32</v>
      </c>
      <c r="Q371" s="680">
        <v>51.32</v>
      </c>
      <c r="R371" s="681" t="s">
        <v>696</v>
      </c>
      <c r="S371" s="682">
        <f t="shared" si="10"/>
        <v>1913</v>
      </c>
      <c r="T371" s="683"/>
      <c r="U371" s="625">
        <f t="shared" si="651"/>
        <v>510.03</v>
      </c>
      <c r="V371" s="625">
        <f t="shared" si="652"/>
        <v>368.2</v>
      </c>
      <c r="W371" s="625">
        <f t="shared" si="653"/>
        <v>323.11</v>
      </c>
      <c r="X371" s="625">
        <f t="shared" si="654"/>
        <v>344.34</v>
      </c>
      <c r="Y371" s="625">
        <f t="shared" si="655"/>
        <v>367.32</v>
      </c>
      <c r="Z371" s="656">
        <f t="shared" si="16"/>
        <v>309.28</v>
      </c>
      <c r="AA371" s="683"/>
      <c r="AB371" s="625">
        <f t="shared" si="656"/>
        <v>53.52</v>
      </c>
      <c r="AC371" s="625">
        <f t="shared" si="657"/>
        <v>133.28</v>
      </c>
      <c r="AD371" s="625">
        <f t="shared" si="658"/>
        <v>39.67</v>
      </c>
      <c r="AE371" s="625">
        <f t="shared" si="659"/>
        <v>31.49</v>
      </c>
      <c r="AF371" s="625">
        <f t="shared" si="660"/>
        <v>51.32</v>
      </c>
      <c r="AG371" s="657">
        <f t="shared" si="22"/>
        <v>0.1616727653</v>
      </c>
      <c r="AH371" s="165"/>
      <c r="AI371" s="165">
        <f t="shared" ref="AI371:AM371" si="900">AB371/U371</f>
        <v>0.1049350038</v>
      </c>
      <c r="AJ371" s="165">
        <f t="shared" si="900"/>
        <v>0.3619771863</v>
      </c>
      <c r="AK371" s="165">
        <f t="shared" si="900"/>
        <v>0.1227755254</v>
      </c>
      <c r="AL371" s="165">
        <f t="shared" si="900"/>
        <v>0.09145031074</v>
      </c>
      <c r="AM371" s="165">
        <f t="shared" si="900"/>
        <v>0.1397146902</v>
      </c>
      <c r="AN371" s="684">
        <f t="shared" si="891"/>
        <v>3617</v>
      </c>
      <c r="AO371" s="625"/>
      <c r="AP371" s="625">
        <v>1398.0</v>
      </c>
      <c r="AQ371" s="625">
        <v>198.0</v>
      </c>
      <c r="AR371" s="625">
        <v>779.0</v>
      </c>
      <c r="AS371" s="625">
        <v>292.0</v>
      </c>
      <c r="AT371" s="625">
        <v>950.0</v>
      </c>
      <c r="AU371" s="684">
        <f t="shared" si="892"/>
        <v>1315.67</v>
      </c>
      <c r="AV371" s="625"/>
      <c r="AW371" s="625">
        <v>372.92</v>
      </c>
      <c r="AX371" s="625">
        <v>302.45</v>
      </c>
      <c r="AY371" s="625">
        <v>246.44</v>
      </c>
      <c r="AZ371" s="625">
        <v>222.92</v>
      </c>
      <c r="BA371" s="693">
        <v>170.94</v>
      </c>
      <c r="BB371" s="631"/>
      <c r="BC371" s="689" t="s">
        <v>695</v>
      </c>
      <c r="BD371" s="688" t="s">
        <v>3303</v>
      </c>
      <c r="BE371" s="201"/>
      <c r="BF371" s="201"/>
      <c r="BG371" s="201"/>
      <c r="BH371" s="201"/>
      <c r="BI371" s="201"/>
      <c r="BJ371" s="745"/>
      <c r="BK371" s="631"/>
      <c r="BL371" s="745"/>
      <c r="BM371" s="745"/>
      <c r="BN371" s="201"/>
    </row>
    <row r="372" hidden="1">
      <c r="A372" s="689"/>
      <c r="B372" s="186" t="s">
        <v>3905</v>
      </c>
      <c r="C372" s="676" t="s">
        <v>2113</v>
      </c>
      <c r="D372" s="461"/>
      <c r="E372" s="632" t="s">
        <v>3906</v>
      </c>
      <c r="F372" s="678">
        <f t="shared" ref="F372:G372" si="901">H372+J372+L372+N372+P372</f>
        <v>1174.76</v>
      </c>
      <c r="G372" s="679">
        <f t="shared" si="901"/>
        <v>143.81</v>
      </c>
      <c r="H372" s="641">
        <v>359.95</v>
      </c>
      <c r="I372" s="680">
        <v>81.35</v>
      </c>
      <c r="J372" s="641">
        <v>246.15</v>
      </c>
      <c r="K372" s="680">
        <v>17.56</v>
      </c>
      <c r="L372" s="641">
        <v>178.7</v>
      </c>
      <c r="M372" s="680">
        <v>14.68</v>
      </c>
      <c r="N372" s="641">
        <v>219.4</v>
      </c>
      <c r="O372" s="680">
        <v>17.81</v>
      </c>
      <c r="P372" s="641">
        <v>170.56</v>
      </c>
      <c r="Q372" s="680">
        <v>12.41</v>
      </c>
      <c r="R372" s="681" t="s">
        <v>720</v>
      </c>
      <c r="S372" s="682">
        <f t="shared" si="10"/>
        <v>1174.76</v>
      </c>
      <c r="T372" s="683"/>
      <c r="U372" s="625">
        <f t="shared" si="651"/>
        <v>359.95</v>
      </c>
      <c r="V372" s="625">
        <f t="shared" si="652"/>
        <v>246.15</v>
      </c>
      <c r="W372" s="625">
        <f t="shared" si="653"/>
        <v>178.7</v>
      </c>
      <c r="X372" s="625">
        <f t="shared" si="654"/>
        <v>219.4</v>
      </c>
      <c r="Y372" s="625">
        <f t="shared" si="655"/>
        <v>170.56</v>
      </c>
      <c r="Z372" s="656">
        <f t="shared" si="16"/>
        <v>143.81</v>
      </c>
      <c r="AA372" s="683"/>
      <c r="AB372" s="625">
        <f t="shared" si="656"/>
        <v>81.35</v>
      </c>
      <c r="AC372" s="625">
        <f t="shared" si="657"/>
        <v>17.56</v>
      </c>
      <c r="AD372" s="625">
        <f t="shared" si="658"/>
        <v>14.68</v>
      </c>
      <c r="AE372" s="625">
        <f t="shared" si="659"/>
        <v>17.81</v>
      </c>
      <c r="AF372" s="625">
        <f t="shared" si="660"/>
        <v>12.41</v>
      </c>
      <c r="AG372" s="657">
        <f t="shared" si="22"/>
        <v>0.1224164936</v>
      </c>
      <c r="AH372" s="165"/>
      <c r="AI372" s="165">
        <f t="shared" ref="AI372:AM372" si="902">AB372/U372</f>
        <v>0.2260036116</v>
      </c>
      <c r="AJ372" s="165">
        <f t="shared" si="902"/>
        <v>0.07133861467</v>
      </c>
      <c r="AK372" s="165">
        <f t="shared" si="902"/>
        <v>0.08214885283</v>
      </c>
      <c r="AL372" s="165">
        <f t="shared" si="902"/>
        <v>0.08117593437</v>
      </c>
      <c r="AM372" s="165">
        <f t="shared" si="902"/>
        <v>0.07276031895</v>
      </c>
      <c r="AN372" s="684">
        <f t="shared" si="891"/>
        <v>251.88</v>
      </c>
      <c r="AO372" s="625"/>
      <c r="AP372" s="625">
        <v>94.652</v>
      </c>
      <c r="AQ372" s="625">
        <v>0.0</v>
      </c>
      <c r="AR372" s="625">
        <v>52.04</v>
      </c>
      <c r="AS372" s="625">
        <v>0.0</v>
      </c>
      <c r="AT372" s="625">
        <v>105.188</v>
      </c>
      <c r="AU372" s="684">
        <f t="shared" si="892"/>
        <v>0</v>
      </c>
      <c r="AV372" s="180"/>
      <c r="AW372" s="180">
        <v>0.0</v>
      </c>
      <c r="AX372" s="180">
        <v>0.0</v>
      </c>
      <c r="AY372" s="180">
        <v>0.0</v>
      </c>
      <c r="AZ372" s="180">
        <v>0.0</v>
      </c>
      <c r="BA372" s="686">
        <v>0.0</v>
      </c>
      <c r="BB372" s="631"/>
      <c r="BC372" s="689" t="s">
        <v>695</v>
      </c>
      <c r="BD372" s="688" t="s">
        <v>3303</v>
      </c>
      <c r="BE372" s="201"/>
      <c r="BF372" s="201"/>
      <c r="BG372" s="201"/>
      <c r="BH372" s="201"/>
      <c r="BI372" s="201"/>
      <c r="BJ372" s="745"/>
      <c r="BK372" s="631"/>
      <c r="BL372" s="745"/>
      <c r="BM372" s="745"/>
      <c r="BN372" s="201"/>
    </row>
    <row r="373" hidden="1">
      <c r="A373" s="689"/>
      <c r="B373" s="186" t="s">
        <v>3907</v>
      </c>
      <c r="C373" s="676" t="s">
        <v>2113</v>
      </c>
      <c r="D373" s="461"/>
      <c r="E373" s="632" t="s">
        <v>3908</v>
      </c>
      <c r="F373" s="678">
        <f t="shared" ref="F373:G373" si="903">H373+J373+L373+N373+P373</f>
        <v>798.5</v>
      </c>
      <c r="G373" s="679">
        <f t="shared" si="903"/>
        <v>103.54</v>
      </c>
      <c r="H373" s="641">
        <v>161.62</v>
      </c>
      <c r="I373" s="680">
        <v>84.57</v>
      </c>
      <c r="J373" s="641">
        <v>155.78</v>
      </c>
      <c r="K373" s="680">
        <v>7.59</v>
      </c>
      <c r="L373" s="641">
        <v>176.35</v>
      </c>
      <c r="M373" s="680">
        <v>-10.54</v>
      </c>
      <c r="N373" s="641">
        <v>153.25</v>
      </c>
      <c r="O373" s="680">
        <v>12.81</v>
      </c>
      <c r="P373" s="641">
        <v>151.5</v>
      </c>
      <c r="Q373" s="680">
        <v>9.11</v>
      </c>
      <c r="R373" s="681" t="s">
        <v>693</v>
      </c>
      <c r="S373" s="682">
        <f t="shared" si="10"/>
        <v>798.5</v>
      </c>
      <c r="T373" s="683"/>
      <c r="U373" s="625">
        <f t="shared" si="651"/>
        <v>161.62</v>
      </c>
      <c r="V373" s="625">
        <f t="shared" si="652"/>
        <v>155.78</v>
      </c>
      <c r="W373" s="625">
        <f t="shared" si="653"/>
        <v>176.35</v>
      </c>
      <c r="X373" s="625">
        <f t="shared" si="654"/>
        <v>153.25</v>
      </c>
      <c r="Y373" s="625">
        <f t="shared" si="655"/>
        <v>151.5</v>
      </c>
      <c r="Z373" s="656">
        <f t="shared" si="16"/>
        <v>103.54</v>
      </c>
      <c r="AA373" s="683"/>
      <c r="AB373" s="625">
        <f t="shared" si="656"/>
        <v>84.57</v>
      </c>
      <c r="AC373" s="625">
        <f t="shared" si="657"/>
        <v>7.59</v>
      </c>
      <c r="AD373" s="625">
        <f t="shared" si="658"/>
        <v>-10.54</v>
      </c>
      <c r="AE373" s="625">
        <f t="shared" si="659"/>
        <v>12.81</v>
      </c>
      <c r="AF373" s="625">
        <f t="shared" si="660"/>
        <v>9.11</v>
      </c>
      <c r="AG373" s="657">
        <f t="shared" si="22"/>
        <v>0.1296681277</v>
      </c>
      <c r="AH373" s="165"/>
      <c r="AI373" s="165">
        <f t="shared" ref="AI373:AM373" si="904">AB373/U373</f>
        <v>0.5232644475</v>
      </c>
      <c r="AJ373" s="165">
        <f t="shared" si="904"/>
        <v>0.04872255745</v>
      </c>
      <c r="AK373" s="165">
        <f t="shared" si="904"/>
        <v>-0.0597675078</v>
      </c>
      <c r="AL373" s="165">
        <f t="shared" si="904"/>
        <v>0.08358890701</v>
      </c>
      <c r="AM373" s="165">
        <f t="shared" si="904"/>
        <v>0.0601320132</v>
      </c>
      <c r="AN373" s="684">
        <f t="shared" si="891"/>
        <v>192.8</v>
      </c>
      <c r="AO373" s="625"/>
      <c r="AP373" s="625">
        <v>0.0</v>
      </c>
      <c r="AQ373" s="625">
        <v>12.977</v>
      </c>
      <c r="AR373" s="625">
        <v>15.484</v>
      </c>
      <c r="AS373" s="625">
        <v>17.786</v>
      </c>
      <c r="AT373" s="625">
        <v>146.553</v>
      </c>
      <c r="AU373" s="684">
        <f t="shared" si="892"/>
        <v>0</v>
      </c>
      <c r="AV373" s="180"/>
      <c r="AW373" s="180">
        <v>0.0</v>
      </c>
      <c r="AX373" s="180">
        <v>0.0</v>
      </c>
      <c r="AY373" s="180">
        <v>0.0</v>
      </c>
      <c r="AZ373" s="180">
        <v>0.0</v>
      </c>
      <c r="BA373" s="686">
        <v>0.0</v>
      </c>
      <c r="BB373" s="631"/>
      <c r="BC373" s="689" t="s">
        <v>695</v>
      </c>
      <c r="BD373" s="688" t="s">
        <v>3303</v>
      </c>
      <c r="BE373" s="144"/>
      <c r="BF373" s="144"/>
      <c r="BG373" s="144"/>
      <c r="BH373" s="144"/>
      <c r="BI373" s="144"/>
      <c r="BJ373" s="745"/>
      <c r="BK373" s="631"/>
      <c r="BL373" s="745"/>
      <c r="BM373" s="745"/>
      <c r="BN373" s="201"/>
    </row>
    <row r="374" hidden="1">
      <c r="A374" s="689"/>
      <c r="B374" s="186" t="s">
        <v>3909</v>
      </c>
      <c r="C374" s="676" t="s">
        <v>2113</v>
      </c>
      <c r="D374" s="461"/>
      <c r="E374" s="632" t="s">
        <v>3910</v>
      </c>
      <c r="F374" s="678">
        <f t="shared" ref="F374:G374" si="905">H374+J374+L374+N374+P374</f>
        <v>2291.55</v>
      </c>
      <c r="G374" s="679">
        <f t="shared" si="905"/>
        <v>292</v>
      </c>
      <c r="H374" s="641">
        <v>516.8</v>
      </c>
      <c r="I374" s="680">
        <v>145.1</v>
      </c>
      <c r="J374" s="641">
        <v>457.21</v>
      </c>
      <c r="K374" s="680">
        <v>97.42</v>
      </c>
      <c r="L374" s="641">
        <v>447.31</v>
      </c>
      <c r="M374" s="680">
        <v>-123.93</v>
      </c>
      <c r="N374" s="641">
        <v>450.72</v>
      </c>
      <c r="O374" s="680">
        <v>74.28</v>
      </c>
      <c r="P374" s="641">
        <v>419.51</v>
      </c>
      <c r="Q374" s="680">
        <v>99.13</v>
      </c>
      <c r="R374" s="681" t="s">
        <v>718</v>
      </c>
      <c r="S374" s="682">
        <f t="shared" si="10"/>
        <v>2291.55</v>
      </c>
      <c r="T374" s="683"/>
      <c r="U374" s="625">
        <f t="shared" si="651"/>
        <v>516.8</v>
      </c>
      <c r="V374" s="625">
        <f t="shared" si="652"/>
        <v>457.21</v>
      </c>
      <c r="W374" s="625">
        <f t="shared" si="653"/>
        <v>447.31</v>
      </c>
      <c r="X374" s="625">
        <f t="shared" si="654"/>
        <v>450.72</v>
      </c>
      <c r="Y374" s="625">
        <f t="shared" si="655"/>
        <v>419.51</v>
      </c>
      <c r="Z374" s="656">
        <f t="shared" si="16"/>
        <v>292</v>
      </c>
      <c r="AA374" s="683"/>
      <c r="AB374" s="625">
        <f t="shared" si="656"/>
        <v>145.1</v>
      </c>
      <c r="AC374" s="625">
        <f t="shared" si="657"/>
        <v>97.42</v>
      </c>
      <c r="AD374" s="625">
        <f t="shared" si="658"/>
        <v>-123.93</v>
      </c>
      <c r="AE374" s="625">
        <f t="shared" si="659"/>
        <v>74.28</v>
      </c>
      <c r="AF374" s="625">
        <f t="shared" si="660"/>
        <v>99.13</v>
      </c>
      <c r="AG374" s="657">
        <f t="shared" si="22"/>
        <v>0.1274246689</v>
      </c>
      <c r="AH374" s="165"/>
      <c r="AI374" s="165">
        <f t="shared" ref="AI374:AM374" si="906">AB374/U374</f>
        <v>0.2807662539</v>
      </c>
      <c r="AJ374" s="165">
        <f t="shared" si="906"/>
        <v>0.2130749546</v>
      </c>
      <c r="AK374" s="165">
        <f t="shared" si="906"/>
        <v>-0.2770561803</v>
      </c>
      <c r="AL374" s="165">
        <f t="shared" si="906"/>
        <v>0.1648029819</v>
      </c>
      <c r="AM374" s="165">
        <f t="shared" si="906"/>
        <v>0.2362994923</v>
      </c>
      <c r="AN374" s="684">
        <f t="shared" si="891"/>
        <v>3968.876</v>
      </c>
      <c r="AO374" s="625"/>
      <c r="AP374" s="625">
        <v>1048.1</v>
      </c>
      <c r="AQ374" s="625">
        <v>722.587</v>
      </c>
      <c r="AR374" s="625">
        <v>777.454</v>
      </c>
      <c r="AS374" s="625">
        <v>782.583</v>
      </c>
      <c r="AT374" s="625">
        <v>638.152</v>
      </c>
      <c r="AU374" s="684">
        <f t="shared" si="892"/>
        <v>0</v>
      </c>
      <c r="AV374" s="180"/>
      <c r="AW374" s="180">
        <v>0.0</v>
      </c>
      <c r="AX374" s="180">
        <v>0.0</v>
      </c>
      <c r="AY374" s="180">
        <v>0.0</v>
      </c>
      <c r="AZ374" s="180">
        <v>0.0</v>
      </c>
      <c r="BA374" s="686">
        <v>0.0</v>
      </c>
      <c r="BB374" s="631"/>
      <c r="BC374" s="689" t="s">
        <v>695</v>
      </c>
      <c r="BD374" s="688" t="s">
        <v>3303</v>
      </c>
      <c r="BE374" s="179" t="s">
        <v>3304</v>
      </c>
      <c r="BF374" s="179" t="s">
        <v>3305</v>
      </c>
      <c r="BG374" s="179" t="s">
        <v>3306</v>
      </c>
      <c r="BH374" s="179" t="s">
        <v>3307</v>
      </c>
      <c r="BI374" s="179" t="s">
        <v>3308</v>
      </c>
      <c r="BJ374" s="745"/>
      <c r="BK374" s="631"/>
      <c r="BL374" s="745"/>
      <c r="BM374" s="745"/>
      <c r="BN374" s="201"/>
    </row>
    <row r="375">
      <c r="A375" s="689"/>
      <c r="B375" s="688"/>
      <c r="C375" s="748"/>
      <c r="D375" s="461"/>
      <c r="E375" s="632"/>
      <c r="F375" s="678"/>
      <c r="G375" s="71"/>
      <c r="H375" s="641"/>
      <c r="I375" s="641"/>
      <c r="J375" s="641"/>
      <c r="K375" s="641"/>
      <c r="L375" s="641"/>
      <c r="M375" s="641"/>
      <c r="N375" s="641"/>
      <c r="O375" s="641"/>
      <c r="P375" s="641"/>
      <c r="Q375" s="641"/>
      <c r="R375" s="681"/>
      <c r="S375" s="749"/>
      <c r="T375" s="683"/>
      <c r="U375" s="631"/>
      <c r="V375" s="631"/>
      <c r="W375" s="631"/>
      <c r="X375" s="631"/>
      <c r="Y375" s="631"/>
      <c r="Z375" s="742"/>
      <c r="AA375" s="683"/>
      <c r="AB375" s="625"/>
      <c r="AC375" s="625"/>
      <c r="AD375" s="625"/>
      <c r="AE375" s="625"/>
      <c r="AF375" s="625"/>
      <c r="AG375" s="164"/>
      <c r="AH375" s="165"/>
      <c r="AI375" s="165"/>
      <c r="AJ375" s="165"/>
      <c r="AK375" s="165"/>
      <c r="AL375" s="165"/>
      <c r="AM375" s="165"/>
      <c r="AN375" s="749"/>
      <c r="AO375" s="625"/>
      <c r="AP375" s="625"/>
      <c r="AQ375" s="625"/>
      <c r="AR375" s="625"/>
      <c r="AS375" s="625"/>
      <c r="AT375" s="625"/>
      <c r="AU375" s="749"/>
      <c r="AV375" s="180"/>
      <c r="AW375" s="180"/>
      <c r="AX375" s="180"/>
      <c r="AY375" s="180"/>
      <c r="AZ375" s="180"/>
      <c r="BA375" s="180"/>
      <c r="BB375" s="631"/>
      <c r="BC375" s="689"/>
      <c r="BD375" s="688"/>
      <c r="BE375" s="179"/>
      <c r="BF375" s="179"/>
      <c r="BG375" s="179"/>
      <c r="BH375" s="179"/>
      <c r="BI375" s="179"/>
      <c r="BJ375" s="745"/>
      <c r="BK375" s="631"/>
      <c r="BL375" s="745"/>
      <c r="BM375" s="745"/>
      <c r="BN375" s="201"/>
    </row>
    <row r="376">
      <c r="A376" s="689"/>
      <c r="B376" s="688"/>
      <c r="C376" s="748"/>
      <c r="D376" s="461"/>
      <c r="E376" s="632"/>
      <c r="F376" s="678"/>
      <c r="G376" s="71"/>
      <c r="H376" s="641"/>
      <c r="I376" s="641"/>
      <c r="J376" s="641"/>
      <c r="K376" s="641"/>
      <c r="L376" s="641"/>
      <c r="M376" s="641"/>
      <c r="N376" s="641"/>
      <c r="O376" s="641"/>
      <c r="P376" s="641"/>
      <c r="Q376" s="641"/>
      <c r="R376" s="681"/>
      <c r="S376" s="749"/>
      <c r="T376" s="683"/>
      <c r="U376" s="631"/>
      <c r="V376" s="631"/>
      <c r="W376" s="631"/>
      <c r="X376" s="631"/>
      <c r="Y376" s="631"/>
      <c r="Z376" s="742"/>
      <c r="AA376" s="683"/>
      <c r="AB376" s="625"/>
      <c r="AC376" s="625"/>
      <c r="AD376" s="625"/>
      <c r="AE376" s="625"/>
      <c r="AF376" s="625"/>
      <c r="AG376" s="164"/>
      <c r="AH376" s="165"/>
      <c r="AI376" s="165"/>
      <c r="AJ376" s="165"/>
      <c r="AK376" s="165"/>
      <c r="AL376" s="165"/>
      <c r="AM376" s="165"/>
      <c r="AN376" s="749"/>
      <c r="AO376" s="625"/>
      <c r="AP376" s="625"/>
      <c r="AQ376" s="625"/>
      <c r="AR376" s="625"/>
      <c r="AS376" s="625"/>
      <c r="AT376" s="625"/>
      <c r="AU376" s="749"/>
      <c r="AV376" s="180"/>
      <c r="AW376" s="180"/>
      <c r="AX376" s="180"/>
      <c r="AY376" s="180"/>
      <c r="AZ376" s="180"/>
      <c r="BA376" s="180"/>
      <c r="BB376" s="631"/>
      <c r="BC376" s="689"/>
      <c r="BD376" s="688"/>
      <c r="BE376" s="179"/>
      <c r="BF376" s="179"/>
      <c r="BG376" s="179"/>
      <c r="BH376" s="179"/>
      <c r="BI376" s="179"/>
      <c r="BJ376" s="745"/>
      <c r="BK376" s="631"/>
      <c r="BL376" s="745"/>
      <c r="BM376" s="745"/>
      <c r="BN376" s="201"/>
    </row>
  </sheetData>
  <mergeCells count="16">
    <mergeCell ref="J2:K2"/>
    <mergeCell ref="L2:M2"/>
    <mergeCell ref="N2:O2"/>
    <mergeCell ref="P2:Q2"/>
    <mergeCell ref="S2:Y2"/>
    <mergeCell ref="Z2:AF2"/>
    <mergeCell ref="AG2:AM2"/>
    <mergeCell ref="AN2:AT2"/>
    <mergeCell ref="B1:B3"/>
    <mergeCell ref="C1:C3"/>
    <mergeCell ref="D1:D3"/>
    <mergeCell ref="E1:E3"/>
    <mergeCell ref="BC1:BD2"/>
    <mergeCell ref="F2:G2"/>
    <mergeCell ref="H2:I2"/>
    <mergeCell ref="AU2:BA2"/>
  </mergeCells>
  <conditionalFormatting sqref="S1:AM376">
    <cfRule type="cellIs" dxfId="1" priority="1" operator="lessThan">
      <formula>0.01</formula>
    </cfRule>
  </conditionalFormatting>
  <hyperlinks>
    <hyperlink r:id="rId1" ref="E1"/>
    <hyperlink r:id="rId2" ref="B4"/>
    <hyperlink r:id="rId3" ref="BC4"/>
    <hyperlink r:id="rId4" ref="BD4"/>
    <hyperlink r:id="rId5" ref="BE4"/>
    <hyperlink r:id="rId6" ref="BF4"/>
    <hyperlink r:id="rId7" ref="BG4"/>
    <hyperlink r:id="rId8" ref="B5"/>
    <hyperlink r:id="rId9" ref="BC5"/>
    <hyperlink r:id="rId10" ref="B6"/>
    <hyperlink r:id="rId11" ref="BC6"/>
    <hyperlink r:id="rId12" ref="BD6"/>
    <hyperlink r:id="rId13" ref="B7"/>
    <hyperlink r:id="rId14" ref="BC7"/>
    <hyperlink r:id="rId15" ref="B8"/>
    <hyperlink r:id="rId16" ref="BC8"/>
    <hyperlink r:id="rId17" ref="BD8"/>
    <hyperlink r:id="rId18" ref="B9"/>
    <hyperlink r:id="rId19" ref="BC9"/>
    <hyperlink r:id="rId20" ref="B10"/>
    <hyperlink r:id="rId21" ref="BC10"/>
    <hyperlink r:id="rId22" ref="BD10"/>
    <hyperlink r:id="rId23" ref="B11"/>
    <hyperlink r:id="rId24" ref="BC11"/>
    <hyperlink r:id="rId25" ref="BD11"/>
    <hyperlink r:id="rId26" ref="B12"/>
    <hyperlink r:id="rId27" ref="BC12"/>
    <hyperlink r:id="rId28" ref="BE12"/>
    <hyperlink r:id="rId29" ref="BF12"/>
    <hyperlink r:id="rId30" ref="BG12"/>
    <hyperlink r:id="rId31" ref="BH12"/>
    <hyperlink r:id="rId32" ref="BI12"/>
    <hyperlink r:id="rId33" ref="B13"/>
    <hyperlink r:id="rId34" ref="BC13"/>
    <hyperlink r:id="rId35" ref="BD13"/>
    <hyperlink r:id="rId36" ref="B14"/>
    <hyperlink r:id="rId37" ref="E14"/>
    <hyperlink r:id="rId38" ref="BC14"/>
    <hyperlink r:id="rId39" ref="BD14"/>
    <hyperlink r:id="rId40" ref="BE14"/>
    <hyperlink r:id="rId41" ref="BF14"/>
    <hyperlink r:id="rId42" ref="BG14"/>
    <hyperlink r:id="rId43" ref="BH14"/>
    <hyperlink r:id="rId44" ref="BI14"/>
    <hyperlink r:id="rId45" ref="B15"/>
    <hyperlink r:id="rId46" ref="E15"/>
    <hyperlink r:id="rId47" ref="BC15"/>
    <hyperlink r:id="rId48" ref="BD15"/>
    <hyperlink r:id="rId49" ref="BE15"/>
    <hyperlink r:id="rId50" ref="BF15"/>
    <hyperlink r:id="rId51" ref="BG15"/>
    <hyperlink r:id="rId52" ref="BH15"/>
    <hyperlink r:id="rId53" ref="BI15"/>
    <hyperlink r:id="rId54" ref="B16"/>
    <hyperlink r:id="rId55" ref="BC16"/>
    <hyperlink r:id="rId56" ref="B17"/>
    <hyperlink r:id="rId57" ref="BC17"/>
    <hyperlink r:id="rId58" ref="B18"/>
    <hyperlink r:id="rId59" ref="BC18"/>
    <hyperlink r:id="rId60" ref="BD18"/>
    <hyperlink r:id="rId61" ref="BE18"/>
    <hyperlink r:id="rId62" ref="BF18"/>
    <hyperlink r:id="rId63" ref="BG18"/>
    <hyperlink r:id="rId64" ref="B19"/>
    <hyperlink r:id="rId65" ref="BC19"/>
    <hyperlink r:id="rId66" ref="B20"/>
    <hyperlink r:id="rId67" ref="BC20"/>
    <hyperlink r:id="rId68" ref="BD20"/>
    <hyperlink r:id="rId69" ref="BE20"/>
    <hyperlink r:id="rId70" ref="BF20"/>
    <hyperlink r:id="rId71" ref="BG20"/>
    <hyperlink r:id="rId72" ref="BH20"/>
    <hyperlink r:id="rId73" ref="BI20"/>
    <hyperlink r:id="rId74" ref="B21"/>
    <hyperlink r:id="rId75" ref="BC21"/>
    <hyperlink r:id="rId76" ref="BD21"/>
    <hyperlink r:id="rId77" ref="B22"/>
    <hyperlink r:id="rId78" ref="BC22"/>
    <hyperlink r:id="rId79" ref="BD22"/>
    <hyperlink r:id="rId80" ref="B23"/>
    <hyperlink r:id="rId81" ref="BC23"/>
    <hyperlink r:id="rId82" ref="BD23"/>
    <hyperlink r:id="rId83" ref="B24"/>
    <hyperlink r:id="rId84" ref="BC24"/>
    <hyperlink r:id="rId85" ref="BD24"/>
    <hyperlink r:id="rId86" ref="BE24"/>
    <hyperlink r:id="rId87" ref="BF24"/>
    <hyperlink r:id="rId88" ref="BG24"/>
    <hyperlink r:id="rId89" ref="BH24"/>
    <hyperlink r:id="rId90" ref="BI24"/>
    <hyperlink r:id="rId91" ref="B25"/>
    <hyperlink r:id="rId92" ref="BC25"/>
    <hyperlink r:id="rId93" ref="BE25"/>
    <hyperlink r:id="rId94" ref="BF25"/>
    <hyperlink r:id="rId95" ref="BG25"/>
    <hyperlink r:id="rId96" ref="BH25"/>
    <hyperlink r:id="rId97" ref="BI25"/>
    <hyperlink r:id="rId98" ref="B26"/>
    <hyperlink r:id="rId99" ref="BC26"/>
    <hyperlink r:id="rId100" ref="B27"/>
    <hyperlink r:id="rId101" ref="BC27"/>
    <hyperlink r:id="rId102" ref="B28"/>
    <hyperlink r:id="rId103" ref="BC28"/>
    <hyperlink r:id="rId104" ref="BD28"/>
    <hyperlink r:id="rId105" ref="BE28"/>
    <hyperlink r:id="rId106" ref="BF28"/>
    <hyperlink r:id="rId107" ref="BG28"/>
    <hyperlink r:id="rId108" ref="BH28"/>
    <hyperlink r:id="rId109" ref="B29"/>
    <hyperlink r:id="rId110" ref="BC29"/>
    <hyperlink r:id="rId111" ref="B30"/>
    <hyperlink r:id="rId112" ref="BC30"/>
    <hyperlink r:id="rId113" ref="B31"/>
    <hyperlink r:id="rId114" ref="BC31"/>
    <hyperlink r:id="rId115" ref="BD31"/>
    <hyperlink r:id="rId116" ref="B32"/>
    <hyperlink r:id="rId117" ref="BC32"/>
    <hyperlink r:id="rId118" ref="B33"/>
    <hyperlink r:id="rId119" ref="BC33"/>
    <hyperlink r:id="rId120" ref="BD33"/>
    <hyperlink r:id="rId121" ref="BE33"/>
    <hyperlink r:id="rId122" ref="BF33"/>
    <hyperlink r:id="rId123" ref="BG33"/>
    <hyperlink r:id="rId124" ref="BH33"/>
    <hyperlink r:id="rId125" ref="BI33"/>
    <hyperlink r:id="rId126" ref="B34"/>
    <hyperlink r:id="rId127" ref="BC34"/>
    <hyperlink r:id="rId128" ref="B35"/>
    <hyperlink r:id="rId129" ref="BC35"/>
    <hyperlink r:id="rId130" ref="B36"/>
    <hyperlink r:id="rId131" ref="BC36"/>
    <hyperlink r:id="rId132" ref="BD36"/>
    <hyperlink r:id="rId133" ref="B37"/>
    <hyperlink r:id="rId134" ref="BC37"/>
    <hyperlink r:id="rId135" ref="BE37"/>
    <hyperlink r:id="rId136" ref="BF37"/>
    <hyperlink r:id="rId137" ref="BG37"/>
    <hyperlink r:id="rId138" ref="B38"/>
    <hyperlink r:id="rId139" ref="BC38"/>
    <hyperlink r:id="rId140" ref="BD38"/>
    <hyperlink r:id="rId141" ref="B39"/>
    <hyperlink r:id="rId142" ref="BC39"/>
    <hyperlink r:id="rId143" ref="B40"/>
    <hyperlink r:id="rId144" ref="BC40"/>
    <hyperlink r:id="rId145" ref="BD40"/>
    <hyperlink r:id="rId146" ref="B41"/>
    <hyperlink r:id="rId147" ref="BC41"/>
    <hyperlink r:id="rId148" ref="BD41"/>
    <hyperlink r:id="rId149" ref="B42"/>
    <hyperlink r:id="rId150" ref="BC42"/>
    <hyperlink r:id="rId151" ref="B43"/>
    <hyperlink r:id="rId152" ref="BC43"/>
    <hyperlink r:id="rId153" ref="B44"/>
    <hyperlink r:id="rId154" ref="BC44"/>
    <hyperlink r:id="rId155" ref="B45"/>
    <hyperlink r:id="rId156" ref="BC45"/>
    <hyperlink r:id="rId157" ref="BD45"/>
    <hyperlink r:id="rId158" ref="B46"/>
    <hyperlink r:id="rId159" ref="BC46"/>
    <hyperlink r:id="rId160" ref="BD46"/>
    <hyperlink r:id="rId161" ref="BE46"/>
    <hyperlink r:id="rId162" ref="BF46"/>
    <hyperlink r:id="rId163" ref="BG46"/>
    <hyperlink r:id="rId164" ref="B47"/>
    <hyperlink r:id="rId165" ref="BC47"/>
    <hyperlink r:id="rId166" ref="B48"/>
    <hyperlink r:id="rId167" ref="BC48"/>
    <hyperlink r:id="rId168" ref="BD48"/>
    <hyperlink r:id="rId169" ref="B49"/>
    <hyperlink r:id="rId170" ref="BC49"/>
    <hyperlink r:id="rId171" ref="B50"/>
    <hyperlink r:id="rId172" ref="BC50"/>
    <hyperlink r:id="rId173" ref="BD50"/>
    <hyperlink r:id="rId174" ref="BE50"/>
    <hyperlink r:id="rId175" ref="BF50"/>
    <hyperlink r:id="rId176" ref="BG50"/>
    <hyperlink r:id="rId177" ref="B51"/>
    <hyperlink r:id="rId178" ref="BC51"/>
    <hyperlink r:id="rId179" ref="BD51"/>
    <hyperlink r:id="rId180" ref="B52"/>
    <hyperlink r:id="rId181" ref="BC52"/>
    <hyperlink r:id="rId182" ref="B53"/>
    <hyperlink r:id="rId183" ref="BC53"/>
    <hyperlink r:id="rId184" ref="BD53"/>
    <hyperlink r:id="rId185" ref="BE53"/>
    <hyperlink r:id="rId186" ref="BF53"/>
    <hyperlink r:id="rId187" ref="BG53"/>
    <hyperlink r:id="rId188" ref="BH53"/>
    <hyperlink r:id="rId189" ref="BI53"/>
    <hyperlink r:id="rId190" ref="B54"/>
    <hyperlink r:id="rId191" ref="BC54"/>
    <hyperlink r:id="rId192" ref="BD54"/>
    <hyperlink r:id="rId193" ref="B55"/>
    <hyperlink r:id="rId194" ref="BC55"/>
    <hyperlink r:id="rId195" ref="B56"/>
    <hyperlink r:id="rId196" ref="BC56"/>
    <hyperlink r:id="rId197" ref="BD56"/>
    <hyperlink r:id="rId198" ref="B57"/>
    <hyperlink r:id="rId199" ref="BC57"/>
    <hyperlink r:id="rId200" ref="BD57"/>
    <hyperlink r:id="rId201" ref="BE57"/>
    <hyperlink r:id="rId202" ref="BF57"/>
    <hyperlink r:id="rId203" ref="BG57"/>
    <hyperlink r:id="rId204" ref="B58"/>
    <hyperlink r:id="rId205" ref="BC58"/>
    <hyperlink r:id="rId206" ref="BD58"/>
    <hyperlink r:id="rId207" ref="BE58"/>
    <hyperlink r:id="rId208" ref="BF58"/>
    <hyperlink r:id="rId209" ref="BG58"/>
    <hyperlink r:id="rId210" ref="BH58"/>
    <hyperlink r:id="rId211" ref="BI58"/>
    <hyperlink r:id="rId212" ref="B59"/>
    <hyperlink r:id="rId213" ref="BC59"/>
    <hyperlink r:id="rId214" ref="BD59"/>
    <hyperlink r:id="rId215" ref="B60"/>
    <hyperlink r:id="rId216" ref="BC60"/>
    <hyperlink r:id="rId217" ref="BD60"/>
    <hyperlink r:id="rId218" ref="BE60"/>
    <hyperlink r:id="rId219" ref="BF60"/>
    <hyperlink r:id="rId220" ref="BG60"/>
    <hyperlink r:id="rId221" ref="BH60"/>
    <hyperlink r:id="rId222" ref="BI60"/>
    <hyperlink r:id="rId223" ref="B61"/>
    <hyperlink r:id="rId224" ref="BC61"/>
    <hyperlink r:id="rId225" ref="B62"/>
    <hyperlink r:id="rId226" ref="BC62"/>
    <hyperlink r:id="rId227" ref="BD62"/>
    <hyperlink r:id="rId228" ref="BE62"/>
    <hyperlink r:id="rId229" ref="BF62"/>
    <hyperlink r:id="rId230" ref="BG62"/>
    <hyperlink r:id="rId231" ref="BH62"/>
    <hyperlink r:id="rId232" ref="BI62"/>
    <hyperlink r:id="rId233" ref="B63"/>
    <hyperlink r:id="rId234" ref="BC63"/>
    <hyperlink r:id="rId235" ref="BD63"/>
    <hyperlink r:id="rId236" ref="BE63"/>
    <hyperlink r:id="rId237" ref="BF63"/>
    <hyperlink r:id="rId238" ref="BG63"/>
    <hyperlink r:id="rId239" ref="BH63"/>
    <hyperlink r:id="rId240" ref="BI63"/>
    <hyperlink r:id="rId241" ref="B64"/>
    <hyperlink r:id="rId242" ref="BC64"/>
    <hyperlink r:id="rId243" ref="BD64"/>
    <hyperlink r:id="rId244" ref="B65"/>
    <hyperlink r:id="rId245" ref="BC65"/>
    <hyperlink r:id="rId246" ref="BD65"/>
    <hyperlink r:id="rId247" ref="B66"/>
    <hyperlink r:id="rId248" ref="BC66"/>
    <hyperlink r:id="rId249" ref="B67"/>
    <hyperlink r:id="rId250" ref="BC67"/>
    <hyperlink r:id="rId251" ref="BD67"/>
    <hyperlink r:id="rId252" ref="BE67"/>
    <hyperlink r:id="rId253" ref="BF67"/>
    <hyperlink r:id="rId254" ref="BG67"/>
    <hyperlink r:id="rId255" ref="BH67"/>
    <hyperlink r:id="rId256" ref="BI67"/>
    <hyperlink r:id="rId257" ref="B68"/>
    <hyperlink r:id="rId258" ref="BC68"/>
    <hyperlink r:id="rId259" ref="BD68"/>
    <hyperlink r:id="rId260" ref="BE68"/>
    <hyperlink r:id="rId261" ref="BF68"/>
    <hyperlink r:id="rId262" ref="BG68"/>
    <hyperlink r:id="rId263" ref="BH68"/>
    <hyperlink r:id="rId264" ref="BI68"/>
    <hyperlink r:id="rId265" ref="B69"/>
    <hyperlink r:id="rId266" ref="BC69"/>
    <hyperlink r:id="rId267" ref="BD69"/>
    <hyperlink r:id="rId268" ref="B70"/>
    <hyperlink r:id="rId269" ref="BC70"/>
    <hyperlink r:id="rId270" ref="B71"/>
    <hyperlink r:id="rId271" ref="BC71"/>
    <hyperlink r:id="rId272" ref="BE71"/>
    <hyperlink r:id="rId273" ref="BF71"/>
    <hyperlink r:id="rId274" ref="BG71"/>
    <hyperlink r:id="rId275" ref="B72"/>
    <hyperlink r:id="rId276" ref="BC72"/>
    <hyperlink r:id="rId277" ref="BD72"/>
    <hyperlink r:id="rId278" ref="B73"/>
    <hyperlink r:id="rId279" ref="BC73"/>
    <hyperlink r:id="rId280" ref="BD73"/>
    <hyperlink r:id="rId281" ref="BE73"/>
    <hyperlink r:id="rId282" ref="BF73"/>
    <hyperlink r:id="rId283" ref="BG73"/>
    <hyperlink r:id="rId284" ref="BH73"/>
    <hyperlink r:id="rId285" ref="BI73"/>
    <hyperlink r:id="rId286" ref="B74"/>
    <hyperlink r:id="rId287" ref="BC74"/>
    <hyperlink r:id="rId288" ref="B75"/>
    <hyperlink r:id="rId289" ref="BC75"/>
    <hyperlink r:id="rId290" ref="BD75"/>
    <hyperlink r:id="rId291" ref="B76"/>
    <hyperlink r:id="rId292" ref="BC76"/>
    <hyperlink r:id="rId293" ref="BD76"/>
    <hyperlink r:id="rId294" ref="B77"/>
    <hyperlink r:id="rId295" ref="BC77"/>
    <hyperlink r:id="rId296" ref="BD77"/>
    <hyperlink r:id="rId297" ref="BE77"/>
    <hyperlink r:id="rId298" ref="BF77"/>
    <hyperlink r:id="rId299" ref="BG77"/>
    <hyperlink r:id="rId300" ref="BH77"/>
    <hyperlink r:id="rId301" ref="BI77"/>
    <hyperlink r:id="rId302" ref="B78"/>
    <hyperlink r:id="rId303" ref="BC78"/>
    <hyperlink r:id="rId304" ref="BD78"/>
    <hyperlink r:id="rId305" ref="B79"/>
    <hyperlink r:id="rId306" ref="BC79"/>
    <hyperlink r:id="rId307" ref="BD79"/>
    <hyperlink r:id="rId308" ref="B80"/>
    <hyperlink r:id="rId309" ref="BC80"/>
    <hyperlink r:id="rId310" ref="B81"/>
    <hyperlink r:id="rId311" ref="BC81"/>
    <hyperlink r:id="rId312" ref="BD81"/>
    <hyperlink r:id="rId313" ref="B82"/>
    <hyperlink r:id="rId314" ref="BC82"/>
    <hyperlink r:id="rId315" ref="BD82"/>
    <hyperlink r:id="rId316" ref="BE82"/>
    <hyperlink r:id="rId317" ref="BF82"/>
    <hyperlink r:id="rId318" ref="BG82"/>
    <hyperlink r:id="rId319" ref="B83"/>
    <hyperlink r:id="rId320" ref="BC83"/>
    <hyperlink r:id="rId321" ref="B84"/>
    <hyperlink r:id="rId322" ref="BC84"/>
    <hyperlink r:id="rId323" ref="BD84"/>
    <hyperlink r:id="rId324" ref="B85"/>
    <hyperlink r:id="rId325" ref="BC85"/>
    <hyperlink r:id="rId326" ref="B86"/>
    <hyperlink r:id="rId327" ref="BC86"/>
    <hyperlink r:id="rId328" ref="BE86"/>
    <hyperlink r:id="rId329" ref="BF86"/>
    <hyperlink r:id="rId330" ref="BG86"/>
    <hyperlink r:id="rId331" ref="B87"/>
    <hyperlink r:id="rId332" ref="BC87"/>
    <hyperlink r:id="rId333" ref="B88"/>
    <hyperlink r:id="rId334" ref="BC88"/>
    <hyperlink r:id="rId335" ref="BD88"/>
    <hyperlink r:id="rId336" ref="B89"/>
    <hyperlink r:id="rId337" ref="BC89"/>
    <hyperlink r:id="rId338" ref="BD89"/>
    <hyperlink r:id="rId339" ref="B90"/>
    <hyperlink r:id="rId340" ref="BC90"/>
    <hyperlink r:id="rId341" ref="BD90"/>
    <hyperlink r:id="rId342" ref="BE90"/>
    <hyperlink r:id="rId343" ref="BF90"/>
    <hyperlink r:id="rId344" ref="BG90"/>
    <hyperlink r:id="rId345" ref="B91"/>
    <hyperlink r:id="rId346" ref="BC91"/>
    <hyperlink r:id="rId347" ref="B92"/>
    <hyperlink r:id="rId348" ref="BC92"/>
    <hyperlink r:id="rId349" ref="BD92"/>
    <hyperlink r:id="rId350" ref="B93"/>
    <hyperlink r:id="rId351" ref="BC93"/>
    <hyperlink r:id="rId352" ref="BD93"/>
    <hyperlink r:id="rId353" ref="B94"/>
    <hyperlink r:id="rId354" ref="BC94"/>
    <hyperlink r:id="rId355" ref="BD94"/>
    <hyperlink r:id="rId356" ref="B95"/>
    <hyperlink r:id="rId357" ref="BC95"/>
    <hyperlink r:id="rId358" ref="BD95"/>
    <hyperlink r:id="rId359" ref="BE95"/>
    <hyperlink r:id="rId360" ref="BF95"/>
    <hyperlink r:id="rId361" ref="BG95"/>
    <hyperlink r:id="rId362" ref="BH95"/>
    <hyperlink r:id="rId363" ref="BI95"/>
    <hyperlink r:id="rId364" ref="B96"/>
    <hyperlink r:id="rId365" ref="BC96"/>
    <hyperlink r:id="rId366" ref="B97"/>
    <hyperlink r:id="rId367" ref="BC97"/>
    <hyperlink r:id="rId368" ref="BD97"/>
    <hyperlink r:id="rId369" ref="B98"/>
    <hyperlink r:id="rId370" ref="E98"/>
    <hyperlink r:id="rId371" ref="BC98"/>
    <hyperlink r:id="rId372" ref="BD98"/>
    <hyperlink r:id="rId373" ref="B99"/>
    <hyperlink r:id="rId374" ref="BC99"/>
    <hyperlink r:id="rId375" ref="B100"/>
    <hyperlink r:id="rId376" ref="BC100"/>
    <hyperlink r:id="rId377" ref="BD100"/>
    <hyperlink r:id="rId378" ref="BE100"/>
    <hyperlink r:id="rId379" ref="BF100"/>
    <hyperlink r:id="rId380" ref="BG100"/>
    <hyperlink r:id="rId381" ref="B101"/>
    <hyperlink r:id="rId382" ref="BC101"/>
    <hyperlink r:id="rId383" ref="BD101"/>
    <hyperlink r:id="rId384" ref="B102"/>
    <hyperlink r:id="rId385" ref="BC102"/>
    <hyperlink r:id="rId386" ref="BD102"/>
    <hyperlink r:id="rId387" ref="BE102"/>
    <hyperlink r:id="rId388" ref="BF102"/>
    <hyperlink r:id="rId389" ref="BG102"/>
    <hyperlink r:id="rId390" ref="BH102"/>
    <hyperlink r:id="rId391" ref="BI102"/>
    <hyperlink r:id="rId392" ref="B103"/>
    <hyperlink r:id="rId393" ref="BC103"/>
    <hyperlink r:id="rId394" ref="BE103"/>
    <hyperlink r:id="rId395" ref="BF103"/>
    <hyperlink r:id="rId396" ref="BG103"/>
    <hyperlink r:id="rId397" ref="BH103"/>
    <hyperlink r:id="rId398" ref="BI103"/>
    <hyperlink r:id="rId399" ref="B104"/>
    <hyperlink r:id="rId400" ref="BC104"/>
    <hyperlink r:id="rId401" ref="B105"/>
    <hyperlink r:id="rId402" ref="BC105"/>
    <hyperlink r:id="rId403" ref="BD105"/>
    <hyperlink r:id="rId404" ref="B106"/>
    <hyperlink r:id="rId405" ref="BC106"/>
    <hyperlink r:id="rId406" ref="BD106"/>
    <hyperlink r:id="rId407" ref="B107"/>
    <hyperlink r:id="rId408" ref="BC107"/>
    <hyperlink r:id="rId409" ref="B108"/>
    <hyperlink r:id="rId410" ref="BC108"/>
    <hyperlink r:id="rId411" ref="BD108"/>
    <hyperlink r:id="rId412" ref="BE108"/>
    <hyperlink r:id="rId413" ref="BF108"/>
    <hyperlink r:id="rId414" ref="BG108"/>
    <hyperlink r:id="rId415" ref="BH108"/>
    <hyperlink r:id="rId416" ref="BI108"/>
    <hyperlink r:id="rId417" ref="B109"/>
    <hyperlink r:id="rId418" ref="BC109"/>
    <hyperlink r:id="rId419" ref="B110"/>
    <hyperlink r:id="rId420" ref="BC110"/>
    <hyperlink r:id="rId421" ref="B111"/>
    <hyperlink r:id="rId422" ref="BC111"/>
    <hyperlink r:id="rId423" ref="BD111"/>
    <hyperlink r:id="rId424" ref="B112"/>
    <hyperlink r:id="rId425" ref="BC112"/>
    <hyperlink r:id="rId426" ref="BD112"/>
    <hyperlink r:id="rId427" ref="BE112"/>
    <hyperlink r:id="rId428" ref="BF112"/>
    <hyperlink r:id="rId429" ref="BG112"/>
    <hyperlink r:id="rId430" ref="B113"/>
    <hyperlink r:id="rId431" ref="BC113"/>
    <hyperlink r:id="rId432" ref="B114"/>
    <hyperlink r:id="rId433" ref="BC114"/>
    <hyperlink r:id="rId434" ref="BD114"/>
    <hyperlink r:id="rId435" ref="BE114"/>
    <hyperlink r:id="rId436" ref="BF114"/>
    <hyperlink r:id="rId437" ref="BG114"/>
    <hyperlink r:id="rId438" ref="BH114"/>
    <hyperlink r:id="rId439" ref="BI114"/>
    <hyperlink r:id="rId440" ref="B115"/>
    <hyperlink r:id="rId441" ref="BC115"/>
    <hyperlink r:id="rId442" ref="B116"/>
    <hyperlink r:id="rId443" ref="BC116"/>
    <hyperlink r:id="rId444" ref="BD116"/>
    <hyperlink r:id="rId445" ref="B117"/>
    <hyperlink r:id="rId446" ref="BC117"/>
    <hyperlink r:id="rId447" ref="BD117"/>
    <hyperlink r:id="rId448" ref="B118"/>
    <hyperlink r:id="rId449" ref="BC118"/>
    <hyperlink r:id="rId450" ref="B119"/>
    <hyperlink r:id="rId451" ref="BC119"/>
    <hyperlink r:id="rId452" ref="BD119"/>
    <hyperlink r:id="rId453" ref="B120"/>
    <hyperlink r:id="rId454" ref="BC120"/>
    <hyperlink r:id="rId455" ref="BD120"/>
    <hyperlink r:id="rId456" ref="BE120"/>
    <hyperlink r:id="rId457" ref="BF120"/>
    <hyperlink r:id="rId458" ref="BG120"/>
    <hyperlink r:id="rId459" ref="B121"/>
    <hyperlink r:id="rId460" ref="BC121"/>
    <hyperlink r:id="rId461" ref="B122"/>
    <hyperlink r:id="rId462" ref="BC122"/>
    <hyperlink r:id="rId463" ref="BD122"/>
    <hyperlink r:id="rId464" ref="B123"/>
    <hyperlink r:id="rId465" ref="BC123"/>
    <hyperlink r:id="rId466" ref="BE123"/>
    <hyperlink r:id="rId467" ref="BF123"/>
    <hyperlink r:id="rId468" ref="BG123"/>
    <hyperlink r:id="rId469" ref="BH123"/>
    <hyperlink r:id="rId470" ref="BI123"/>
    <hyperlink r:id="rId471" ref="B124"/>
    <hyperlink r:id="rId472" ref="BC124"/>
    <hyperlink r:id="rId473" ref="BD124"/>
    <hyperlink r:id="rId474" ref="BE124"/>
    <hyperlink r:id="rId475" ref="BF124"/>
    <hyperlink r:id="rId476" ref="BG124"/>
    <hyperlink r:id="rId477" ref="B125"/>
    <hyperlink r:id="rId478" ref="BC125"/>
    <hyperlink r:id="rId479" ref="BD125"/>
    <hyperlink r:id="rId480" ref="B126"/>
    <hyperlink r:id="rId481" ref="BC126"/>
    <hyperlink r:id="rId482" ref="BE126"/>
    <hyperlink r:id="rId483" ref="BF126"/>
    <hyperlink r:id="rId484" ref="BG126"/>
    <hyperlink r:id="rId485" ref="B127"/>
    <hyperlink r:id="rId486" ref="BC127"/>
    <hyperlink r:id="rId487" ref="BD127"/>
    <hyperlink r:id="rId488" ref="BE127"/>
    <hyperlink r:id="rId489" ref="BF127"/>
    <hyperlink r:id="rId490" ref="BG127"/>
    <hyperlink r:id="rId491" ref="BH127"/>
    <hyperlink r:id="rId492" ref="BI127"/>
    <hyperlink r:id="rId493" ref="B128"/>
    <hyperlink r:id="rId494" ref="BC128"/>
    <hyperlink r:id="rId495" ref="BD128"/>
    <hyperlink r:id="rId496" ref="B129"/>
    <hyperlink r:id="rId497" ref="BC129"/>
    <hyperlink r:id="rId498" ref="BD129"/>
    <hyperlink r:id="rId499" ref="B130"/>
    <hyperlink r:id="rId500" ref="BC130"/>
    <hyperlink r:id="rId501" ref="BD130"/>
    <hyperlink r:id="rId502" ref="B131"/>
    <hyperlink r:id="rId503" ref="BC131"/>
    <hyperlink r:id="rId504" ref="BD131"/>
    <hyperlink r:id="rId505" ref="B132"/>
    <hyperlink r:id="rId506" ref="E132"/>
    <hyperlink r:id="rId507" ref="BC132"/>
    <hyperlink r:id="rId508" ref="BD132"/>
    <hyperlink r:id="rId509" ref="BE132"/>
    <hyperlink r:id="rId510" ref="BF132"/>
    <hyperlink r:id="rId511" ref="BG132"/>
    <hyperlink r:id="rId512" ref="BH132"/>
    <hyperlink r:id="rId513" ref="BI132"/>
    <hyperlink r:id="rId514" ref="B133"/>
    <hyperlink r:id="rId515" ref="BC133"/>
    <hyperlink r:id="rId516" ref="BD133"/>
    <hyperlink r:id="rId517" ref="B134"/>
    <hyperlink r:id="rId518" ref="BC134"/>
    <hyperlink r:id="rId519" ref="BD134"/>
    <hyperlink r:id="rId520" ref="B135"/>
    <hyperlink r:id="rId521" ref="BC135"/>
    <hyperlink r:id="rId522" ref="BD135"/>
    <hyperlink r:id="rId523" ref="B136"/>
    <hyperlink r:id="rId524" ref="BC136"/>
    <hyperlink r:id="rId525" ref="B137"/>
    <hyperlink r:id="rId526" ref="BC137"/>
    <hyperlink r:id="rId527" ref="BD137"/>
    <hyperlink r:id="rId528" ref="B138"/>
    <hyperlink r:id="rId529" ref="BC138"/>
    <hyperlink r:id="rId530" ref="B139"/>
    <hyperlink r:id="rId531" ref="BC139"/>
    <hyperlink r:id="rId532" ref="BD139"/>
    <hyperlink r:id="rId533" ref="BE139"/>
    <hyperlink r:id="rId534" ref="BF139"/>
    <hyperlink r:id="rId535" ref="BG139"/>
    <hyperlink r:id="rId536" ref="BH139"/>
    <hyperlink r:id="rId537" ref="B140"/>
    <hyperlink r:id="rId538" ref="BC140"/>
    <hyperlink r:id="rId539" ref="B141"/>
    <hyperlink r:id="rId540" ref="BC141"/>
    <hyperlink r:id="rId541" ref="BD141"/>
    <hyperlink r:id="rId542" ref="B142"/>
    <hyperlink r:id="rId543" ref="BC142"/>
    <hyperlink r:id="rId544" ref="B143"/>
    <hyperlink r:id="rId545" ref="BC143"/>
    <hyperlink r:id="rId546" ref="BD143"/>
    <hyperlink r:id="rId547" ref="B144"/>
    <hyperlink r:id="rId548" ref="BC144"/>
    <hyperlink r:id="rId549" ref="BD144"/>
    <hyperlink r:id="rId550" ref="B145"/>
    <hyperlink r:id="rId551" ref="BC145"/>
    <hyperlink r:id="rId552" ref="B146"/>
    <hyperlink r:id="rId553" ref="BC146"/>
    <hyperlink r:id="rId554" ref="BD146"/>
    <hyperlink r:id="rId555" ref="B147"/>
    <hyperlink r:id="rId556" ref="BC147"/>
    <hyperlink r:id="rId557" ref="B148"/>
    <hyperlink r:id="rId558" ref="BC148"/>
    <hyperlink r:id="rId559" ref="BE148"/>
    <hyperlink r:id="rId560" ref="BF148"/>
    <hyperlink r:id="rId561" ref="BG148"/>
    <hyperlink r:id="rId562" ref="BH148"/>
    <hyperlink r:id="rId563" ref="BI148"/>
    <hyperlink r:id="rId564" ref="B149"/>
    <hyperlink r:id="rId565" ref="BC149"/>
    <hyperlink r:id="rId566" ref="BD149"/>
    <hyperlink r:id="rId567" ref="B150"/>
    <hyperlink r:id="rId568" ref="BC150"/>
    <hyperlink r:id="rId569" ref="B151"/>
    <hyperlink r:id="rId570" ref="BC151"/>
    <hyperlink r:id="rId571" ref="BD151"/>
    <hyperlink r:id="rId572" ref="B152"/>
    <hyperlink r:id="rId573" ref="BC152"/>
    <hyperlink r:id="rId574" ref="BD152"/>
    <hyperlink r:id="rId575" ref="B153"/>
    <hyperlink r:id="rId576" ref="BC153"/>
    <hyperlink r:id="rId577" ref="B154"/>
    <hyperlink r:id="rId578" ref="BC154"/>
    <hyperlink r:id="rId579" ref="BD154"/>
    <hyperlink r:id="rId580" ref="B155"/>
    <hyperlink r:id="rId581" ref="BC155"/>
    <hyperlink r:id="rId582" ref="BD155"/>
    <hyperlink r:id="rId583" ref="BE155"/>
    <hyperlink r:id="rId584" ref="BF155"/>
    <hyperlink r:id="rId585" ref="BG155"/>
    <hyperlink r:id="rId586" ref="BH155"/>
    <hyperlink r:id="rId587" ref="BI155"/>
    <hyperlink r:id="rId588" ref="B156"/>
    <hyperlink r:id="rId589" ref="BC156"/>
    <hyperlink r:id="rId590" ref="BE156"/>
    <hyperlink r:id="rId591" ref="BF156"/>
    <hyperlink r:id="rId592" ref="BG156"/>
    <hyperlink r:id="rId593" ref="BH156"/>
    <hyperlink r:id="rId594" ref="BI156"/>
    <hyperlink r:id="rId595" ref="B157"/>
    <hyperlink r:id="rId596" ref="BC157"/>
    <hyperlink r:id="rId597" ref="B158"/>
    <hyperlink r:id="rId598" ref="BC158"/>
    <hyperlink r:id="rId599" ref="B159"/>
    <hyperlink r:id="rId600" ref="BC159"/>
    <hyperlink r:id="rId601" ref="B160"/>
    <hyperlink r:id="rId602" ref="E160"/>
    <hyperlink r:id="rId603" ref="BC160"/>
    <hyperlink r:id="rId604" ref="BD160"/>
    <hyperlink r:id="rId605" ref="BE160"/>
    <hyperlink r:id="rId606" ref="BF160"/>
    <hyperlink r:id="rId607" ref="BG160"/>
    <hyperlink r:id="rId608" ref="BH160"/>
    <hyperlink r:id="rId609" ref="BI160"/>
    <hyperlink r:id="rId610" ref="B161"/>
    <hyperlink r:id="rId611" ref="BC161"/>
    <hyperlink r:id="rId612" ref="BD161"/>
    <hyperlink r:id="rId613" ref="B162"/>
    <hyperlink r:id="rId614" ref="BC162"/>
    <hyperlink r:id="rId615" ref="BD162"/>
    <hyperlink r:id="rId616" ref="B163"/>
    <hyperlink r:id="rId617" ref="BC163"/>
    <hyperlink r:id="rId618" ref="BD163"/>
    <hyperlink r:id="rId619" ref="B164"/>
    <hyperlink r:id="rId620" ref="BC164"/>
    <hyperlink r:id="rId621" ref="B165"/>
    <hyperlink r:id="rId622" ref="BC165"/>
    <hyperlink r:id="rId623" ref="BD165"/>
    <hyperlink r:id="rId624" ref="B166"/>
    <hyperlink r:id="rId625" ref="BC166"/>
    <hyperlink r:id="rId626" ref="B167"/>
    <hyperlink r:id="rId627" ref="BC167"/>
    <hyperlink r:id="rId628" ref="BD167"/>
    <hyperlink r:id="rId629" ref="BE167"/>
    <hyperlink r:id="rId630" ref="BF167"/>
    <hyperlink r:id="rId631" ref="BG167"/>
    <hyperlink r:id="rId632" ref="BH167"/>
    <hyperlink r:id="rId633" ref="B168"/>
    <hyperlink r:id="rId634" ref="BC168"/>
    <hyperlink r:id="rId635" ref="BD168"/>
    <hyperlink r:id="rId636" ref="BE168"/>
    <hyperlink r:id="rId637" ref="BF168"/>
    <hyperlink r:id="rId638" ref="BG168"/>
    <hyperlink r:id="rId639" ref="BH168"/>
    <hyperlink r:id="rId640" ref="BI168"/>
    <hyperlink r:id="rId641" ref="B169"/>
    <hyperlink r:id="rId642" ref="BC169"/>
    <hyperlink r:id="rId643" ref="BE169"/>
    <hyperlink r:id="rId644" ref="BF169"/>
    <hyperlink r:id="rId645" ref="BG169"/>
    <hyperlink r:id="rId646" ref="BH169"/>
    <hyperlink r:id="rId647" ref="BI169"/>
    <hyperlink r:id="rId648" ref="B170"/>
    <hyperlink r:id="rId649" ref="BC170"/>
    <hyperlink r:id="rId650" ref="BD170"/>
    <hyperlink r:id="rId651" ref="B171"/>
    <hyperlink r:id="rId652" ref="BC171"/>
    <hyperlink r:id="rId653" ref="BD171"/>
    <hyperlink r:id="rId654" ref="B172"/>
    <hyperlink r:id="rId655" ref="BC172"/>
    <hyperlink r:id="rId656" ref="BD172"/>
    <hyperlink r:id="rId657" ref="B173"/>
    <hyperlink r:id="rId658" ref="BC173"/>
    <hyperlink r:id="rId659" ref="BD173"/>
    <hyperlink r:id="rId660" ref="B174"/>
    <hyperlink r:id="rId661" ref="BC174"/>
    <hyperlink r:id="rId662" ref="BD174"/>
    <hyperlink r:id="rId663" ref="BE174"/>
    <hyperlink r:id="rId664" ref="BF174"/>
    <hyperlink r:id="rId665" ref="BG174"/>
    <hyperlink r:id="rId666" ref="B175"/>
    <hyperlink r:id="rId667" ref="BC175"/>
    <hyperlink r:id="rId668" ref="BD175"/>
    <hyperlink r:id="rId669" ref="B176"/>
    <hyperlink r:id="rId670" ref="BC176"/>
    <hyperlink r:id="rId671" ref="BD176"/>
    <hyperlink r:id="rId672" ref="BE176"/>
    <hyperlink r:id="rId673" ref="BF176"/>
    <hyperlink r:id="rId674" ref="BG176"/>
    <hyperlink r:id="rId675" ref="B177"/>
    <hyperlink r:id="rId676" ref="BC177"/>
    <hyperlink r:id="rId677" ref="BD177"/>
    <hyperlink r:id="rId678" ref="B178"/>
    <hyperlink r:id="rId679" ref="BC178"/>
    <hyperlink r:id="rId680" ref="BE178"/>
    <hyperlink r:id="rId681" ref="BF178"/>
    <hyperlink r:id="rId682" ref="BG178"/>
    <hyperlink r:id="rId683" ref="BH178"/>
    <hyperlink r:id="rId684" ref="B179"/>
    <hyperlink r:id="rId685" ref="BC179"/>
    <hyperlink r:id="rId686" ref="BD179"/>
    <hyperlink r:id="rId687" ref="B180"/>
    <hyperlink r:id="rId688" ref="BC180"/>
    <hyperlink r:id="rId689" ref="B181"/>
    <hyperlink r:id="rId690" ref="BC181"/>
    <hyperlink r:id="rId691" ref="BD181"/>
    <hyperlink r:id="rId692" ref="BE181"/>
    <hyperlink r:id="rId693" ref="BF181"/>
    <hyperlink r:id="rId694" ref="BG181"/>
    <hyperlink r:id="rId695" ref="B182"/>
    <hyperlink r:id="rId696" ref="BC182"/>
    <hyperlink r:id="rId697" ref="BD182"/>
    <hyperlink r:id="rId698" ref="B183"/>
    <hyperlink r:id="rId699" ref="BC183"/>
    <hyperlink r:id="rId700" ref="BD183"/>
    <hyperlink r:id="rId701" ref="B184"/>
    <hyperlink r:id="rId702" ref="BC184"/>
    <hyperlink r:id="rId703" ref="B185"/>
    <hyperlink r:id="rId704" ref="BC185"/>
    <hyperlink r:id="rId705" ref="BD185"/>
    <hyperlink r:id="rId706" ref="B186"/>
    <hyperlink r:id="rId707" ref="BC186"/>
    <hyperlink r:id="rId708" ref="B187"/>
    <hyperlink r:id="rId709" ref="BC187"/>
    <hyperlink r:id="rId710" ref="B188"/>
    <hyperlink r:id="rId711" ref="BC188"/>
    <hyperlink r:id="rId712" ref="BD188"/>
    <hyperlink r:id="rId713" ref="B189"/>
    <hyperlink r:id="rId714" ref="BC189"/>
    <hyperlink r:id="rId715" ref="B190"/>
    <hyperlink r:id="rId716" ref="BC190"/>
    <hyperlink r:id="rId717" ref="B191"/>
    <hyperlink r:id="rId718" ref="BC191"/>
    <hyperlink r:id="rId719" ref="BD191"/>
    <hyperlink r:id="rId720" ref="B192"/>
    <hyperlink r:id="rId721" ref="BC192"/>
    <hyperlink r:id="rId722" ref="BD192"/>
    <hyperlink r:id="rId723" ref="B193"/>
    <hyperlink r:id="rId724" ref="BC193"/>
    <hyperlink r:id="rId725" ref="BD193"/>
    <hyperlink r:id="rId726" ref="B194"/>
    <hyperlink r:id="rId727" ref="BC194"/>
    <hyperlink r:id="rId728" ref="B195"/>
    <hyperlink r:id="rId729" ref="BC195"/>
    <hyperlink r:id="rId730" ref="BD195"/>
    <hyperlink r:id="rId731" ref="B196"/>
    <hyperlink r:id="rId732" ref="BC196"/>
    <hyperlink r:id="rId733" ref="B197"/>
    <hyperlink r:id="rId734" ref="BC197"/>
    <hyperlink r:id="rId735" ref="B198"/>
    <hyperlink r:id="rId736" ref="BC198"/>
    <hyperlink r:id="rId737" ref="BD198"/>
    <hyperlink r:id="rId738" ref="BE198"/>
    <hyperlink r:id="rId739" ref="BF198"/>
    <hyperlink r:id="rId740" ref="BG198"/>
    <hyperlink r:id="rId741" ref="BH198"/>
    <hyperlink r:id="rId742" ref="BI198"/>
    <hyperlink r:id="rId743" ref="B199"/>
    <hyperlink r:id="rId744" ref="BC199"/>
    <hyperlink r:id="rId745" ref="BE199"/>
    <hyperlink r:id="rId746" ref="BF199"/>
    <hyperlink r:id="rId747" ref="BG199"/>
    <hyperlink r:id="rId748" ref="BH199"/>
    <hyperlink r:id="rId749" ref="BI199"/>
    <hyperlink r:id="rId750" ref="B200"/>
    <hyperlink r:id="rId751" ref="E200"/>
    <hyperlink r:id="rId752" ref="BC200"/>
    <hyperlink r:id="rId753" ref="B201"/>
    <hyperlink r:id="rId754" ref="BC201"/>
    <hyperlink r:id="rId755" ref="BD201"/>
    <hyperlink r:id="rId756" ref="B202"/>
    <hyperlink r:id="rId757" ref="BC202"/>
    <hyperlink r:id="rId758" ref="BD202"/>
    <hyperlink r:id="rId759" ref="B203"/>
    <hyperlink r:id="rId760" ref="BC203"/>
    <hyperlink r:id="rId761" ref="BD203"/>
    <hyperlink r:id="rId762" ref="B204"/>
    <hyperlink r:id="rId763" ref="BC204"/>
    <hyperlink r:id="rId764" ref="BD204"/>
    <hyperlink r:id="rId765" ref="B205"/>
    <hyperlink r:id="rId766" ref="BC205"/>
    <hyperlink r:id="rId767" ref="BD205"/>
    <hyperlink r:id="rId768" ref="B206"/>
    <hyperlink r:id="rId769" ref="BC206"/>
    <hyperlink r:id="rId770" ref="BE206"/>
    <hyperlink r:id="rId771" ref="BF206"/>
    <hyperlink r:id="rId772" ref="BG206"/>
    <hyperlink r:id="rId773" ref="BH206"/>
    <hyperlink r:id="rId774" ref="BI206"/>
    <hyperlink r:id="rId775" ref="B207"/>
    <hyperlink r:id="rId776" ref="BC207"/>
    <hyperlink r:id="rId777" ref="BD207"/>
    <hyperlink r:id="rId778" ref="BE207"/>
    <hyperlink r:id="rId779" ref="BF207"/>
    <hyperlink r:id="rId780" ref="BG207"/>
    <hyperlink r:id="rId781" ref="BC208"/>
    <hyperlink r:id="rId782" ref="B209"/>
    <hyperlink r:id="rId783" ref="BC209"/>
    <hyperlink r:id="rId784" ref="BD209"/>
    <hyperlink r:id="rId785" ref="B210"/>
    <hyperlink r:id="rId786" ref="BC210"/>
    <hyperlink r:id="rId787" ref="BE210"/>
    <hyperlink r:id="rId788" ref="BF210"/>
    <hyperlink r:id="rId789" ref="BG210"/>
    <hyperlink r:id="rId790" ref="B211"/>
    <hyperlink r:id="rId791" ref="BC211"/>
    <hyperlink r:id="rId792" ref="B212"/>
    <hyperlink r:id="rId793" ref="BC212"/>
    <hyperlink r:id="rId794" ref="BD212"/>
    <hyperlink r:id="rId795" ref="B213"/>
    <hyperlink r:id="rId796" ref="BC213"/>
    <hyperlink r:id="rId797" ref="BD213"/>
    <hyperlink r:id="rId798" ref="B214"/>
    <hyperlink r:id="rId799" ref="BC214"/>
    <hyperlink r:id="rId800" ref="BD214"/>
    <hyperlink r:id="rId801" ref="BE214"/>
    <hyperlink r:id="rId802" ref="BF214"/>
    <hyperlink r:id="rId803" ref="BG214"/>
    <hyperlink r:id="rId804" ref="BH214"/>
    <hyperlink r:id="rId805" ref="BI214"/>
    <hyperlink r:id="rId806" ref="B215"/>
    <hyperlink r:id="rId807" ref="BC215"/>
    <hyperlink r:id="rId808" ref="BD215"/>
    <hyperlink r:id="rId809" ref="B216"/>
    <hyperlink r:id="rId810" ref="BC216"/>
    <hyperlink r:id="rId811" ref="BD216"/>
    <hyperlink r:id="rId812" ref="B217"/>
    <hyperlink r:id="rId813" ref="BC217"/>
    <hyperlink r:id="rId814" ref="B218"/>
    <hyperlink r:id="rId815" ref="BC218"/>
    <hyperlink r:id="rId816" ref="B219"/>
    <hyperlink r:id="rId817" ref="BC219"/>
    <hyperlink r:id="rId818" ref="B220"/>
    <hyperlink r:id="rId819" ref="BC220"/>
    <hyperlink r:id="rId820" ref="BD220"/>
    <hyperlink r:id="rId821" ref="B221"/>
    <hyperlink r:id="rId822" ref="BC221"/>
    <hyperlink r:id="rId823" ref="BD221"/>
    <hyperlink r:id="rId824" ref="B222"/>
    <hyperlink r:id="rId825" ref="BC222"/>
    <hyperlink r:id="rId826" ref="B223"/>
    <hyperlink r:id="rId827" ref="BC223"/>
    <hyperlink r:id="rId828" ref="BD223"/>
    <hyperlink r:id="rId829" ref="B224"/>
    <hyperlink r:id="rId830" ref="BC224"/>
    <hyperlink r:id="rId831" ref="B225"/>
    <hyperlink r:id="rId832" ref="BC225"/>
    <hyperlink r:id="rId833" ref="BD225"/>
    <hyperlink r:id="rId834" ref="B226"/>
    <hyperlink r:id="rId835" ref="BC226"/>
    <hyperlink r:id="rId836" ref="B227"/>
    <hyperlink r:id="rId837" ref="BC227"/>
    <hyperlink r:id="rId838" ref="B228"/>
    <hyperlink r:id="rId839" ref="BC228"/>
    <hyperlink r:id="rId840" ref="BD228"/>
    <hyperlink r:id="rId841" ref="B229"/>
    <hyperlink r:id="rId842" ref="BC229"/>
    <hyperlink r:id="rId843" ref="BD229"/>
    <hyperlink r:id="rId844" ref="B230"/>
    <hyperlink r:id="rId845" ref="BC230"/>
    <hyperlink r:id="rId846" ref="BD230"/>
    <hyperlink r:id="rId847" ref="B231"/>
    <hyperlink r:id="rId848" ref="BC231"/>
    <hyperlink r:id="rId849" ref="BD231"/>
    <hyperlink r:id="rId850" ref="B232"/>
    <hyperlink r:id="rId851" ref="BC232"/>
    <hyperlink r:id="rId852" ref="B233"/>
    <hyperlink r:id="rId853" ref="BC233"/>
    <hyperlink r:id="rId854" ref="BD233"/>
    <hyperlink r:id="rId855" ref="BE233"/>
    <hyperlink r:id="rId856" ref="BF233"/>
    <hyperlink r:id="rId857" ref="BG233"/>
    <hyperlink r:id="rId858" ref="B234"/>
    <hyperlink r:id="rId859" ref="BC234"/>
    <hyperlink r:id="rId860" ref="BD234"/>
    <hyperlink r:id="rId861" ref="B235"/>
    <hyperlink r:id="rId862" ref="BC235"/>
    <hyperlink r:id="rId863" ref="B236"/>
    <hyperlink r:id="rId864" ref="BC236"/>
    <hyperlink r:id="rId865" ref="BE236"/>
    <hyperlink r:id="rId866" ref="BF236"/>
    <hyperlink r:id="rId867" ref="BG236"/>
    <hyperlink r:id="rId868" ref="B237"/>
    <hyperlink r:id="rId869" ref="BC237"/>
    <hyperlink r:id="rId870" ref="B238"/>
    <hyperlink r:id="rId871" ref="BC238"/>
    <hyperlink r:id="rId872" ref="BD238"/>
    <hyperlink r:id="rId873" ref="B239"/>
    <hyperlink r:id="rId874" ref="BC239"/>
    <hyperlink r:id="rId875" ref="BD239"/>
    <hyperlink r:id="rId876" ref="B240"/>
    <hyperlink r:id="rId877" ref="BC240"/>
    <hyperlink r:id="rId878" ref="BE240"/>
    <hyperlink r:id="rId879" ref="BF240"/>
    <hyperlink r:id="rId880" ref="BG240"/>
    <hyperlink r:id="rId881" ref="BH240"/>
    <hyperlink r:id="rId882" ref="BI240"/>
    <hyperlink r:id="rId883" ref="B241"/>
    <hyperlink r:id="rId884" ref="BC241"/>
    <hyperlink r:id="rId885" ref="B242"/>
    <hyperlink r:id="rId886" ref="BC242"/>
    <hyperlink r:id="rId887" ref="BD242"/>
    <hyperlink r:id="rId888" ref="BE242"/>
    <hyperlink r:id="rId889" ref="BF242"/>
    <hyperlink r:id="rId890" ref="BG242"/>
    <hyperlink r:id="rId891" ref="B243"/>
    <hyperlink r:id="rId892" ref="BC243"/>
    <hyperlink r:id="rId893" ref="BD243"/>
    <hyperlink r:id="rId894" ref="B244"/>
    <hyperlink r:id="rId895" ref="BC244"/>
    <hyperlink r:id="rId896" ref="BD244"/>
    <hyperlink r:id="rId897" ref="B245"/>
    <hyperlink r:id="rId898" ref="BC245"/>
    <hyperlink r:id="rId899" ref="BD245"/>
    <hyperlink r:id="rId900" ref="BE245"/>
    <hyperlink r:id="rId901" ref="BF245"/>
    <hyperlink r:id="rId902" ref="BG245"/>
    <hyperlink r:id="rId903" ref="B246"/>
    <hyperlink r:id="rId904" ref="BC246"/>
    <hyperlink r:id="rId905" ref="BD246"/>
    <hyperlink r:id="rId906" ref="B247"/>
    <hyperlink r:id="rId907" ref="BC247"/>
    <hyperlink r:id="rId908" ref="BD247"/>
    <hyperlink r:id="rId909" ref="B248"/>
    <hyperlink r:id="rId910" ref="BC248"/>
    <hyperlink r:id="rId911" ref="BD248"/>
    <hyperlink r:id="rId912" ref="BE248"/>
    <hyperlink r:id="rId913" ref="BF248"/>
    <hyperlink r:id="rId914" ref="BG248"/>
    <hyperlink r:id="rId915" ref="B249"/>
    <hyperlink r:id="rId916" ref="BC249"/>
    <hyperlink r:id="rId917" ref="B250"/>
    <hyperlink r:id="rId918" location="views-exposed-form-widget-sec-filings-table" ref="BC250"/>
    <hyperlink r:id="rId919" ref="BD250"/>
    <hyperlink r:id="rId920" ref="BG250"/>
    <hyperlink r:id="rId921" ref="B251"/>
    <hyperlink r:id="rId922" ref="BC251"/>
    <hyperlink r:id="rId923" ref="B252"/>
    <hyperlink r:id="rId924" ref="BC252"/>
    <hyperlink r:id="rId925" ref="BD252"/>
    <hyperlink r:id="rId926" ref="B253"/>
    <hyperlink r:id="rId927" ref="BC253"/>
    <hyperlink r:id="rId928" ref="B254"/>
    <hyperlink r:id="rId929" ref="BC254"/>
    <hyperlink r:id="rId930" ref="BD254"/>
    <hyperlink r:id="rId931" ref="B255"/>
    <hyperlink r:id="rId932" ref="BC255"/>
    <hyperlink r:id="rId933" ref="BD255"/>
    <hyperlink r:id="rId934" ref="BE255"/>
    <hyperlink r:id="rId935" ref="BF255"/>
    <hyperlink r:id="rId936" ref="BG255"/>
    <hyperlink r:id="rId937" ref="BH255"/>
    <hyperlink r:id="rId938" ref="BI255"/>
    <hyperlink r:id="rId939" ref="B256"/>
    <hyperlink r:id="rId940" ref="BC256"/>
    <hyperlink r:id="rId941" ref="BD256"/>
    <hyperlink r:id="rId942" ref="B257"/>
    <hyperlink r:id="rId943" ref="BC257"/>
    <hyperlink r:id="rId944" ref="BD257"/>
    <hyperlink r:id="rId945" ref="B258"/>
    <hyperlink r:id="rId946" ref="BC258"/>
    <hyperlink r:id="rId947" ref="B259"/>
    <hyperlink r:id="rId948" ref="BC259"/>
    <hyperlink r:id="rId949" ref="BD259"/>
    <hyperlink r:id="rId950" ref="B260"/>
    <hyperlink r:id="rId951" ref="BC260"/>
    <hyperlink r:id="rId952" ref="BD260"/>
    <hyperlink r:id="rId953" ref="B261"/>
    <hyperlink r:id="rId954" ref="BC261"/>
    <hyperlink r:id="rId955" ref="BE261"/>
    <hyperlink r:id="rId956" ref="BF261"/>
    <hyperlink r:id="rId957" ref="BG261"/>
    <hyperlink r:id="rId958" ref="BH261"/>
    <hyperlink r:id="rId959" ref="BI261"/>
    <hyperlink r:id="rId960" ref="B262"/>
    <hyperlink r:id="rId961" ref="BC262"/>
    <hyperlink r:id="rId962" ref="BD262"/>
    <hyperlink r:id="rId963" ref="BE262"/>
    <hyperlink r:id="rId964" ref="BF262"/>
    <hyperlink r:id="rId965" ref="BG262"/>
    <hyperlink r:id="rId966" ref="B263"/>
    <hyperlink r:id="rId967" ref="BC263"/>
    <hyperlink r:id="rId968" ref="BD263"/>
    <hyperlink r:id="rId969" ref="B264"/>
    <hyperlink r:id="rId970" ref="BC264"/>
    <hyperlink r:id="rId971" ref="BD264"/>
    <hyperlink r:id="rId972" ref="B265"/>
    <hyperlink r:id="rId973" ref="BC265"/>
    <hyperlink r:id="rId974" ref="BD265"/>
    <hyperlink r:id="rId975" ref="B266"/>
    <hyperlink r:id="rId976" ref="BC266"/>
    <hyperlink r:id="rId977" ref="BD266"/>
    <hyperlink r:id="rId978" ref="B267"/>
    <hyperlink r:id="rId979" ref="BC267"/>
    <hyperlink r:id="rId980" ref="BD267"/>
    <hyperlink r:id="rId981" ref="B268"/>
    <hyperlink r:id="rId982" ref="BC268"/>
    <hyperlink r:id="rId983" ref="BE268"/>
    <hyperlink r:id="rId984" ref="BF268"/>
    <hyperlink r:id="rId985" ref="BG268"/>
    <hyperlink r:id="rId986" ref="BH268"/>
    <hyperlink r:id="rId987" ref="BI268"/>
    <hyperlink r:id="rId988" ref="B269"/>
    <hyperlink r:id="rId989" ref="BC269"/>
    <hyperlink r:id="rId990" ref="BE269"/>
    <hyperlink r:id="rId991" ref="BF269"/>
    <hyperlink r:id="rId992" ref="BG269"/>
    <hyperlink r:id="rId993" ref="BH269"/>
    <hyperlink r:id="rId994" ref="BI269"/>
    <hyperlink r:id="rId995" ref="B270"/>
    <hyperlink r:id="rId996" ref="BC270"/>
    <hyperlink r:id="rId997" ref="BD270"/>
    <hyperlink r:id="rId998" ref="BE270"/>
    <hyperlink r:id="rId999" ref="BF270"/>
    <hyperlink r:id="rId1000" ref="BG270"/>
    <hyperlink r:id="rId1001" ref="BH270"/>
    <hyperlink r:id="rId1002" ref="B271"/>
    <hyperlink r:id="rId1003" ref="BC271"/>
    <hyperlink r:id="rId1004" ref="BD271"/>
    <hyperlink r:id="rId1005" ref="B272"/>
    <hyperlink r:id="rId1006" ref="BC272"/>
    <hyperlink r:id="rId1007" ref="BD272"/>
    <hyperlink r:id="rId1008" ref="B273"/>
    <hyperlink r:id="rId1009" ref="BC273"/>
    <hyperlink r:id="rId1010" ref="BD273"/>
    <hyperlink r:id="rId1011" ref="B274"/>
    <hyperlink r:id="rId1012" ref="BC274"/>
    <hyperlink r:id="rId1013" ref="B275"/>
    <hyperlink r:id="rId1014" ref="BC275"/>
    <hyperlink r:id="rId1015" ref="BD275"/>
    <hyperlink r:id="rId1016" ref="B276"/>
    <hyperlink r:id="rId1017" ref="BC276"/>
    <hyperlink r:id="rId1018" ref="BD276"/>
    <hyperlink r:id="rId1019" ref="B277"/>
    <hyperlink r:id="rId1020" ref="BC277"/>
    <hyperlink r:id="rId1021" ref="B278"/>
    <hyperlink r:id="rId1022" ref="BC278"/>
    <hyperlink r:id="rId1023" ref="B279"/>
    <hyperlink r:id="rId1024" ref="BC279"/>
    <hyperlink r:id="rId1025" ref="B280"/>
    <hyperlink r:id="rId1026" ref="BC280"/>
    <hyperlink r:id="rId1027" ref="BD280"/>
    <hyperlink r:id="rId1028" ref="B281"/>
    <hyperlink r:id="rId1029" ref="BC281"/>
    <hyperlink r:id="rId1030" ref="BD281"/>
    <hyperlink r:id="rId1031" ref="B282"/>
    <hyperlink r:id="rId1032" ref="BC282"/>
    <hyperlink r:id="rId1033" ref="BD282"/>
    <hyperlink r:id="rId1034" ref="B283"/>
    <hyperlink r:id="rId1035" ref="BC283"/>
    <hyperlink r:id="rId1036" ref="B284"/>
    <hyperlink r:id="rId1037" ref="B285"/>
    <hyperlink r:id="rId1038" ref="BC285"/>
    <hyperlink r:id="rId1039" ref="BD285"/>
    <hyperlink r:id="rId1040" ref="B286"/>
    <hyperlink r:id="rId1041" ref="BC286"/>
    <hyperlink r:id="rId1042" ref="BD286"/>
    <hyperlink r:id="rId1043" ref="B287"/>
    <hyperlink r:id="rId1044" ref="BC287"/>
    <hyperlink r:id="rId1045" ref="B288"/>
    <hyperlink r:id="rId1046" ref="BC288"/>
    <hyperlink r:id="rId1047" ref="B289"/>
    <hyperlink r:id="rId1048" ref="BC289"/>
    <hyperlink r:id="rId1049" ref="BD289"/>
    <hyperlink r:id="rId1050" ref="B290"/>
    <hyperlink r:id="rId1051" ref="B291"/>
    <hyperlink r:id="rId1052" ref="BC291"/>
    <hyperlink r:id="rId1053" ref="B292"/>
    <hyperlink r:id="rId1054" ref="BC292"/>
    <hyperlink r:id="rId1055" ref="B293"/>
    <hyperlink r:id="rId1056" ref="BC293"/>
    <hyperlink r:id="rId1057" ref="B294"/>
    <hyperlink r:id="rId1058" ref="B295"/>
    <hyperlink r:id="rId1059" ref="BD295"/>
    <hyperlink r:id="rId1060" ref="B296"/>
    <hyperlink r:id="rId1061" ref="B297"/>
    <hyperlink r:id="rId1062" ref="BC297"/>
    <hyperlink r:id="rId1063" ref="B298"/>
    <hyperlink r:id="rId1064" ref="B299"/>
    <hyperlink r:id="rId1065" ref="B300"/>
    <hyperlink r:id="rId1066" ref="BC300"/>
    <hyperlink r:id="rId1067" ref="B301"/>
    <hyperlink r:id="rId1068" ref="B302"/>
    <hyperlink r:id="rId1069" ref="B303"/>
    <hyperlink r:id="rId1070" ref="B304"/>
    <hyperlink r:id="rId1071" ref="B305"/>
    <hyperlink r:id="rId1072" ref="BC305"/>
    <hyperlink r:id="rId1073" ref="B306"/>
    <hyperlink r:id="rId1074" ref="BC306"/>
    <hyperlink r:id="rId1075" ref="B307"/>
    <hyperlink r:id="rId1076" ref="B308"/>
    <hyperlink r:id="rId1077" ref="BC308"/>
    <hyperlink r:id="rId1078" ref="B309"/>
    <hyperlink r:id="rId1079" ref="B310"/>
    <hyperlink r:id="rId1080" ref="B311"/>
    <hyperlink r:id="rId1081" ref="BC311"/>
    <hyperlink r:id="rId1082" ref="B312"/>
    <hyperlink r:id="rId1083" ref="B313"/>
    <hyperlink r:id="rId1084" ref="B314"/>
    <hyperlink r:id="rId1085" ref="B315"/>
    <hyperlink r:id="rId1086" ref="B316"/>
    <hyperlink r:id="rId1087" ref="BC316"/>
    <hyperlink r:id="rId1088" ref="B317"/>
    <hyperlink r:id="rId1089" ref="B318"/>
    <hyperlink r:id="rId1090" ref="B319"/>
    <hyperlink r:id="rId1091" ref="B320"/>
    <hyperlink r:id="rId1092" ref="B321"/>
    <hyperlink r:id="rId1093" ref="B322"/>
    <hyperlink r:id="rId1094" ref="BC322"/>
    <hyperlink r:id="rId1095" ref="B323"/>
    <hyperlink r:id="rId1096" ref="B324"/>
    <hyperlink r:id="rId1097" ref="B325"/>
    <hyperlink r:id="rId1098" ref="BC325"/>
    <hyperlink r:id="rId1099" ref="B326"/>
    <hyperlink r:id="rId1100" ref="BC326"/>
    <hyperlink r:id="rId1101" ref="B327"/>
    <hyperlink r:id="rId1102" ref="B328"/>
    <hyperlink r:id="rId1103" ref="BC328"/>
    <hyperlink r:id="rId1104" ref="B329"/>
    <hyperlink r:id="rId1105" ref="B330"/>
    <hyperlink r:id="rId1106" ref="B331"/>
    <hyperlink r:id="rId1107" ref="BC331"/>
    <hyperlink r:id="rId1108" ref="BD331"/>
    <hyperlink r:id="rId1109" ref="B332"/>
    <hyperlink r:id="rId1110" ref="BC332"/>
    <hyperlink r:id="rId1111" ref="B333"/>
    <hyperlink r:id="rId1112" ref="BC333"/>
    <hyperlink r:id="rId1113" ref="B334"/>
    <hyperlink r:id="rId1114" ref="BC334"/>
    <hyperlink r:id="rId1115" ref="B335"/>
    <hyperlink r:id="rId1116" ref="B336"/>
    <hyperlink r:id="rId1117" ref="B337"/>
    <hyperlink r:id="rId1118" ref="BC337"/>
    <hyperlink r:id="rId1119" ref="B338"/>
    <hyperlink r:id="rId1120" ref="B339"/>
    <hyperlink r:id="rId1121" ref="B340"/>
    <hyperlink r:id="rId1122" ref="BC340"/>
    <hyperlink r:id="rId1123" ref="B341"/>
    <hyperlink r:id="rId1124" ref="B342"/>
    <hyperlink r:id="rId1125" ref="B343"/>
    <hyperlink r:id="rId1126" ref="B344"/>
    <hyperlink r:id="rId1127" ref="B345"/>
    <hyperlink r:id="rId1128" ref="B346"/>
    <hyperlink r:id="rId1129" ref="B347"/>
    <hyperlink r:id="rId1130" ref="BC347"/>
    <hyperlink r:id="rId1131" ref="BD347"/>
    <hyperlink r:id="rId1132" ref="B348"/>
    <hyperlink r:id="rId1133" ref="BC348"/>
    <hyperlink r:id="rId1134" ref="B349"/>
    <hyperlink r:id="rId1135" ref="B350"/>
    <hyperlink r:id="rId1136" ref="B351"/>
    <hyperlink r:id="rId1137" ref="B352"/>
    <hyperlink r:id="rId1138" ref="BC352"/>
    <hyperlink r:id="rId1139" ref="B353"/>
    <hyperlink r:id="rId1140" ref="B354"/>
    <hyperlink r:id="rId1141" ref="B355"/>
    <hyperlink r:id="rId1142" ref="B356"/>
    <hyperlink r:id="rId1143" ref="B357"/>
    <hyperlink r:id="rId1144" ref="B358"/>
    <hyperlink r:id="rId1145" ref="B359"/>
    <hyperlink r:id="rId1146" ref="B360"/>
    <hyperlink r:id="rId1147" ref="B361"/>
    <hyperlink r:id="rId1148" ref="BC361"/>
    <hyperlink r:id="rId1149" ref="B362"/>
    <hyperlink r:id="rId1150" ref="B363"/>
    <hyperlink r:id="rId1151" ref="B364"/>
    <hyperlink r:id="rId1152" ref="B365"/>
    <hyperlink r:id="rId1153" ref="B366"/>
    <hyperlink r:id="rId1154" ref="B367"/>
    <hyperlink r:id="rId1155" ref="B368"/>
    <hyperlink r:id="rId1156" ref="BC368"/>
    <hyperlink r:id="rId1157" ref="BC369"/>
    <hyperlink r:id="rId1158" ref="B370"/>
    <hyperlink r:id="rId1159" ref="B371"/>
    <hyperlink r:id="rId1160" ref="B372"/>
    <hyperlink r:id="rId1161" ref="B373"/>
    <hyperlink r:id="rId1162" ref="B374"/>
  </hyperlinks>
  <drawing r:id="rId116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5.13"/>
    <col customWidth="1" min="2" max="2" width="6.38"/>
    <col customWidth="1" min="3" max="3" width="9.5"/>
    <col customWidth="1" min="4" max="4" width="6.38"/>
    <col customWidth="1" min="5" max="5" width="18.88"/>
    <col customWidth="1" min="6" max="17" width="7.63"/>
    <col customWidth="1" min="19" max="19" width="9.5"/>
    <col customWidth="1" hidden="1" min="20" max="20" width="7.63"/>
    <col customWidth="1" min="21" max="25" width="7.63"/>
    <col customWidth="1" min="26" max="26" width="9.5"/>
    <col customWidth="1" hidden="1" min="27" max="27" width="7.63"/>
    <col customWidth="1" min="28" max="32" width="7.63"/>
    <col customWidth="1" min="33" max="33" width="9.5"/>
    <col customWidth="1" hidden="1" min="34" max="39" width="7.63"/>
    <col customWidth="1" min="40" max="40" width="9.5"/>
    <col customWidth="1" hidden="1" min="41" max="41" width="7.63"/>
    <col customWidth="1" min="42" max="46" width="7.63"/>
    <col customWidth="1" min="47" max="47" width="9.5"/>
    <col customWidth="1" hidden="1" min="48" max="48" width="7.63"/>
    <col customWidth="1" min="49" max="57" width="7.63"/>
    <col customWidth="1" hidden="1" min="58" max="62" width="7.63"/>
    <col customWidth="1" min="63" max="65" width="7.63"/>
  </cols>
  <sheetData>
    <row r="1">
      <c r="A1" s="153"/>
      <c r="B1" s="652" t="s">
        <v>3283</v>
      </c>
      <c r="C1" s="212"/>
      <c r="D1" s="652" t="s">
        <v>3285</v>
      </c>
      <c r="E1" s="153" t="s">
        <v>3286</v>
      </c>
      <c r="F1" s="654"/>
      <c r="G1" s="655"/>
      <c r="H1" s="654"/>
      <c r="I1" s="655"/>
      <c r="J1" s="654"/>
      <c r="K1" s="655"/>
      <c r="L1" s="654"/>
      <c r="M1" s="655"/>
      <c r="N1" s="654"/>
      <c r="O1" s="655"/>
      <c r="P1" s="654"/>
      <c r="Q1" s="655"/>
      <c r="R1" s="632"/>
      <c r="S1" s="750"/>
      <c r="T1" s="631"/>
      <c r="U1" s="631"/>
      <c r="V1" s="631"/>
      <c r="W1" s="631"/>
      <c r="X1" s="631"/>
      <c r="Y1" s="631"/>
      <c r="Z1" s="750"/>
      <c r="AA1" s="631"/>
      <c r="AB1" s="631"/>
      <c r="AC1" s="631"/>
      <c r="AD1" s="631"/>
      <c r="AE1" s="631"/>
      <c r="AF1" s="631"/>
      <c r="AG1" s="657"/>
      <c r="AH1" s="165"/>
      <c r="AI1" s="165"/>
      <c r="AJ1" s="165"/>
      <c r="AK1" s="165"/>
      <c r="AL1" s="165"/>
      <c r="AM1" s="165"/>
      <c r="AN1" s="750"/>
      <c r="AO1" s="631"/>
      <c r="AP1" s="631"/>
      <c r="AQ1" s="631"/>
      <c r="AR1" s="631"/>
      <c r="AS1" s="631"/>
      <c r="AT1" s="631"/>
      <c r="AU1" s="750"/>
      <c r="AV1" s="631"/>
      <c r="AW1" s="631"/>
      <c r="AX1" s="631"/>
      <c r="AY1" s="631"/>
      <c r="AZ1" s="631"/>
      <c r="BA1" s="631"/>
      <c r="BB1" s="631"/>
      <c r="BC1" s="631"/>
      <c r="BD1" s="162" t="s">
        <v>3287</v>
      </c>
      <c r="BF1" s="162"/>
      <c r="BG1" s="162"/>
      <c r="BH1" s="162"/>
      <c r="BI1" s="162"/>
      <c r="BJ1" s="162"/>
      <c r="BK1" s="162"/>
      <c r="BL1" s="659"/>
      <c r="BM1" s="748"/>
    </row>
    <row r="2">
      <c r="A2" s="153"/>
      <c r="C2" s="652" t="s">
        <v>3284</v>
      </c>
      <c r="F2" s="751" t="s">
        <v>3288</v>
      </c>
      <c r="G2" s="661"/>
      <c r="H2" s="662">
        <v>2022.0</v>
      </c>
      <c r="I2" s="661"/>
      <c r="J2" s="663">
        <v>2021.0</v>
      </c>
      <c r="K2" s="661"/>
      <c r="L2" s="663">
        <v>2020.0</v>
      </c>
      <c r="M2" s="661"/>
      <c r="N2" s="663">
        <v>2019.0</v>
      </c>
      <c r="O2" s="661"/>
      <c r="P2" s="663">
        <v>2018.0</v>
      </c>
      <c r="Q2" s="661"/>
      <c r="R2" s="632"/>
      <c r="S2" s="664" t="s">
        <v>3289</v>
      </c>
      <c r="Z2" s="664" t="s">
        <v>3290</v>
      </c>
      <c r="AG2" s="664" t="s">
        <v>685</v>
      </c>
      <c r="AN2" s="664" t="s">
        <v>3292</v>
      </c>
      <c r="AU2" s="664" t="s">
        <v>3293</v>
      </c>
      <c r="BB2" s="631"/>
      <c r="BC2" s="631"/>
      <c r="BF2" s="162"/>
      <c r="BG2" s="162"/>
      <c r="BH2" s="162"/>
      <c r="BI2" s="162"/>
      <c r="BJ2" s="162"/>
      <c r="BK2" s="162"/>
      <c r="BL2" s="52"/>
      <c r="BM2" s="665"/>
    </row>
    <row r="3">
      <c r="A3" s="153"/>
      <c r="F3" s="751" t="s">
        <v>3297</v>
      </c>
      <c r="G3" s="666" t="s">
        <v>3298</v>
      </c>
      <c r="H3" s="667" t="s">
        <v>3297</v>
      </c>
      <c r="I3" s="668" t="s">
        <v>3298</v>
      </c>
      <c r="J3" s="663" t="s">
        <v>3297</v>
      </c>
      <c r="K3" s="669" t="s">
        <v>3298</v>
      </c>
      <c r="L3" s="663" t="s">
        <v>3297</v>
      </c>
      <c r="M3" s="669" t="s">
        <v>3298</v>
      </c>
      <c r="N3" s="663" t="s">
        <v>3297</v>
      </c>
      <c r="O3" s="669" t="s">
        <v>3298</v>
      </c>
      <c r="P3" s="663" t="s">
        <v>3297</v>
      </c>
      <c r="Q3" s="669" t="s">
        <v>3298</v>
      </c>
      <c r="R3" s="632"/>
      <c r="S3" s="664" t="s">
        <v>3299</v>
      </c>
      <c r="T3" s="670">
        <v>2023.0</v>
      </c>
      <c r="U3" s="646">
        <v>2022.0</v>
      </c>
      <c r="V3" s="646">
        <v>2021.0</v>
      </c>
      <c r="W3" s="646">
        <v>2020.0</v>
      </c>
      <c r="X3" s="646">
        <v>2019.0</v>
      </c>
      <c r="Y3" s="646">
        <v>2018.0</v>
      </c>
      <c r="Z3" s="664" t="s">
        <v>3299</v>
      </c>
      <c r="AA3" s="670">
        <v>2023.0</v>
      </c>
      <c r="AB3" s="646">
        <v>2022.0</v>
      </c>
      <c r="AC3" s="646">
        <v>2021.0</v>
      </c>
      <c r="AD3" s="646">
        <v>2020.0</v>
      </c>
      <c r="AE3" s="646">
        <v>2019.0</v>
      </c>
      <c r="AF3" s="646">
        <v>2018.0</v>
      </c>
      <c r="AG3" s="658" t="s">
        <v>3299</v>
      </c>
      <c r="AH3" s="670">
        <v>2023.0</v>
      </c>
      <c r="AI3" s="646">
        <v>2022.0</v>
      </c>
      <c r="AJ3" s="646">
        <v>2021.0</v>
      </c>
      <c r="AK3" s="646">
        <v>2020.0</v>
      </c>
      <c r="AL3" s="646">
        <v>2019.0</v>
      </c>
      <c r="AM3" s="646">
        <v>2018.0</v>
      </c>
      <c r="AN3" s="658" t="s">
        <v>3299</v>
      </c>
      <c r="AO3" s="670">
        <v>2023.0</v>
      </c>
      <c r="AP3" s="646">
        <v>2022.0</v>
      </c>
      <c r="AQ3" s="646">
        <v>2021.0</v>
      </c>
      <c r="AR3" s="646">
        <v>2020.0</v>
      </c>
      <c r="AS3" s="646">
        <v>2019.0</v>
      </c>
      <c r="AT3" s="646">
        <v>2018.0</v>
      </c>
      <c r="AU3" s="658" t="s">
        <v>3299</v>
      </c>
      <c r="AV3" s="670">
        <v>2023.0</v>
      </c>
      <c r="AW3" s="646">
        <v>2022.0</v>
      </c>
      <c r="AX3" s="646">
        <v>2021.0</v>
      </c>
      <c r="AY3" s="646">
        <v>2020.0</v>
      </c>
      <c r="AZ3" s="646">
        <v>2019.0</v>
      </c>
      <c r="BA3" s="671">
        <v>2018.0</v>
      </c>
      <c r="BB3" s="631"/>
      <c r="BC3" s="631"/>
      <c r="BD3" s="52" t="s">
        <v>3300</v>
      </c>
      <c r="BE3" s="52">
        <v>2023.0</v>
      </c>
      <c r="BF3" s="672">
        <v>2022.0</v>
      </c>
      <c r="BG3" s="672">
        <v>2021.0</v>
      </c>
      <c r="BH3" s="672">
        <v>2020.0</v>
      </c>
      <c r="BI3" s="672">
        <v>2019.0</v>
      </c>
      <c r="BJ3" s="672">
        <v>2018.0</v>
      </c>
      <c r="BK3" s="752"/>
      <c r="BL3" s="672"/>
      <c r="BM3" s="674"/>
    </row>
    <row r="4">
      <c r="A4" s="675" t="s">
        <v>1534</v>
      </c>
      <c r="B4" s="186" t="s">
        <v>3911</v>
      </c>
      <c r="C4" s="711" t="s">
        <v>1854</v>
      </c>
      <c r="D4" s="677">
        <v>64.0</v>
      </c>
      <c r="E4" s="632" t="s">
        <v>887</v>
      </c>
      <c r="F4" s="71">
        <f t="shared" ref="F4:G4" si="1">H4+J4+L4+N4+P4</f>
        <v>1088.97</v>
      </c>
      <c r="G4" s="679">
        <f t="shared" si="1"/>
        <v>266.45</v>
      </c>
      <c r="H4" s="641">
        <v>300.0</v>
      </c>
      <c r="I4" s="680">
        <v>89.0</v>
      </c>
      <c r="J4" s="641">
        <v>232.4</v>
      </c>
      <c r="K4" s="680">
        <v>-8.84</v>
      </c>
      <c r="L4" s="641">
        <v>192.2</v>
      </c>
      <c r="M4" s="680">
        <v>61.49</v>
      </c>
      <c r="N4" s="641">
        <v>190.23</v>
      </c>
      <c r="O4" s="680">
        <v>71.38</v>
      </c>
      <c r="P4" s="641">
        <v>174.14</v>
      </c>
      <c r="Q4" s="680">
        <v>53.42</v>
      </c>
      <c r="R4" s="632"/>
      <c r="S4" s="682">
        <f t="shared" ref="S4:S18" si="4">SUM(U4:Y4)</f>
        <v>1088.637</v>
      </c>
      <c r="T4" s="683"/>
      <c r="U4" s="683">
        <v>299.67400000000004</v>
      </c>
      <c r="V4" s="683">
        <v>232.395</v>
      </c>
      <c r="W4" s="683">
        <v>192.199</v>
      </c>
      <c r="X4" s="683">
        <v>190.23000000000002</v>
      </c>
      <c r="Y4" s="683">
        <v>174.13899999999998</v>
      </c>
      <c r="Z4" s="656">
        <f t="shared" ref="Z4:Z18" si="5">SUM(AB4:AF4)</f>
        <v>248.781576</v>
      </c>
      <c r="AA4" s="683"/>
      <c r="AB4" s="683">
        <v>87.09074000000001</v>
      </c>
      <c r="AC4" s="683">
        <v>-11.63679</v>
      </c>
      <c r="AD4" s="683">
        <v>59.375873999999996</v>
      </c>
      <c r="AE4" s="683">
        <v>60.532752</v>
      </c>
      <c r="AF4" s="683">
        <v>53.419000000000004</v>
      </c>
      <c r="AG4" s="657">
        <f t="shared" ref="AG4:AG17" si="6">Z4/S4</f>
        <v>0.22852574</v>
      </c>
      <c r="AH4" s="165"/>
      <c r="AI4" s="165">
        <f t="shared" ref="AI4:AM4" si="2">AB4/U4</f>
        <v>0.2906182719</v>
      </c>
      <c r="AJ4" s="165">
        <f t="shared" si="2"/>
        <v>-0.05007332344</v>
      </c>
      <c r="AK4" s="165">
        <f t="shared" si="2"/>
        <v>0.3089291516</v>
      </c>
      <c r="AL4" s="165">
        <f t="shared" si="2"/>
        <v>0.3182082321</v>
      </c>
      <c r="AM4" s="165">
        <f t="shared" si="2"/>
        <v>0.3067606912</v>
      </c>
      <c r="AN4" s="684">
        <f t="shared" ref="AN4:AN17" si="8">SUM(AP4:AT4)</f>
        <v>260.085</v>
      </c>
      <c r="AO4" s="685">
        <f>620.659+18.926</f>
        <v>639.585</v>
      </c>
      <c r="AP4" s="180">
        <f>125.016+11.062</f>
        <v>136.078</v>
      </c>
      <c r="AQ4" s="685">
        <v>9.923</v>
      </c>
      <c r="AR4" s="180">
        <f>3.405+15.184</f>
        <v>18.589</v>
      </c>
      <c r="AS4" s="180">
        <f>15.184+7.911
</f>
        <v>23.095</v>
      </c>
      <c r="AT4" s="180">
        <f>65.987+6.413
</f>
        <v>72.4</v>
      </c>
      <c r="AU4" s="684">
        <f t="shared" ref="AU4:AU17" si="9">SUM(AW4:BA4)</f>
        <v>322.327</v>
      </c>
      <c r="AV4" s="685">
        <v>130.374</v>
      </c>
      <c r="AW4" s="180">
        <v>114.946</v>
      </c>
      <c r="AX4" s="180">
        <v>50.272</v>
      </c>
      <c r="AY4" s="180">
        <v>20.782</v>
      </c>
      <c r="AZ4" s="180">
        <v>76.607</v>
      </c>
      <c r="BA4" s="686">
        <v>59.72</v>
      </c>
      <c r="BB4" s="631"/>
      <c r="BC4" s="631"/>
      <c r="BD4" s="687" t="s">
        <v>695</v>
      </c>
      <c r="BE4" s="186" t="s">
        <v>3303</v>
      </c>
      <c r="BF4" s="186" t="s">
        <v>3304</v>
      </c>
      <c r="BG4" s="186" t="s">
        <v>3305</v>
      </c>
      <c r="BH4" s="186" t="s">
        <v>3306</v>
      </c>
      <c r="BI4" s="179" t="s">
        <v>3307</v>
      </c>
      <c r="BJ4" s="179" t="s">
        <v>3308</v>
      </c>
      <c r="BK4" s="745"/>
      <c r="BL4" s="201"/>
      <c r="BM4" s="753"/>
    </row>
    <row r="5">
      <c r="A5" s="675" t="s">
        <v>1534</v>
      </c>
      <c r="B5" s="186" t="s">
        <v>862</v>
      </c>
      <c r="C5" s="676" t="s">
        <v>1578</v>
      </c>
      <c r="D5" s="677">
        <v>87.0</v>
      </c>
      <c r="E5" s="632" t="s">
        <v>862</v>
      </c>
      <c r="F5" s="71">
        <f t="shared" ref="F5:G5" si="3">H5+J5+L5+N5+P5</f>
        <v>14769.91</v>
      </c>
      <c r="G5" s="679">
        <f t="shared" si="3"/>
        <v>3031.93</v>
      </c>
      <c r="H5" s="641">
        <v>3796.0</v>
      </c>
      <c r="I5" s="680">
        <v>656.0</v>
      </c>
      <c r="J5" s="641">
        <v>3663.67</v>
      </c>
      <c r="K5" s="680">
        <v>766.2</v>
      </c>
      <c r="L5" s="641">
        <v>606.24</v>
      </c>
      <c r="M5" s="680">
        <v>189.85</v>
      </c>
      <c r="N5" s="641">
        <v>3491.4</v>
      </c>
      <c r="O5" s="680">
        <v>708.51</v>
      </c>
      <c r="P5" s="641">
        <v>3212.6</v>
      </c>
      <c r="Q5" s="680">
        <v>711.37</v>
      </c>
      <c r="R5" s="632"/>
      <c r="S5" s="682">
        <f t="shared" si="4"/>
        <v>14769.902</v>
      </c>
      <c r="T5" s="683"/>
      <c r="U5" s="683">
        <v>3796.0</v>
      </c>
      <c r="V5" s="683">
        <v>3663.671</v>
      </c>
      <c r="W5" s="683">
        <v>606.236</v>
      </c>
      <c r="X5" s="683">
        <v>3491.397</v>
      </c>
      <c r="Y5" s="683">
        <v>3212.598</v>
      </c>
      <c r="Z5" s="656">
        <f t="shared" si="5"/>
        <v>3031.931</v>
      </c>
      <c r="AA5" s="683"/>
      <c r="AB5" s="683">
        <v>656.0</v>
      </c>
      <c r="AC5" s="683">
        <v>766.2</v>
      </c>
      <c r="AD5" s="683">
        <v>189.854</v>
      </c>
      <c r="AE5" s="683">
        <v>708.508</v>
      </c>
      <c r="AF5" s="683">
        <v>711.369</v>
      </c>
      <c r="AG5" s="657">
        <f t="shared" si="6"/>
        <v>0.2052776653</v>
      </c>
      <c r="AH5" s="165"/>
      <c r="AI5" s="165">
        <f t="shared" ref="AI5:AM5" si="7">AB5/U5</f>
        <v>0.1728134879</v>
      </c>
      <c r="AJ5" s="165">
        <f t="shared" si="7"/>
        <v>0.2091344992</v>
      </c>
      <c r="AK5" s="165">
        <f t="shared" si="7"/>
        <v>0.313168469</v>
      </c>
      <c r="AL5" s="165">
        <f t="shared" si="7"/>
        <v>0.2029296582</v>
      </c>
      <c r="AM5" s="165">
        <f t="shared" si="7"/>
        <v>0.2214310661</v>
      </c>
      <c r="AN5" s="684">
        <f t="shared" si="8"/>
        <v>8591.989</v>
      </c>
      <c r="AO5" s="180"/>
      <c r="AP5" s="180">
        <v>2255.0</v>
      </c>
      <c r="AQ5" s="180">
        <v>2176.0</v>
      </c>
      <c r="AR5" s="180">
        <v>202.0</v>
      </c>
      <c r="AS5" s="180">
        <v>1551.992</v>
      </c>
      <c r="AT5" s="180">
        <v>2406.997</v>
      </c>
      <c r="AU5" s="684">
        <f t="shared" si="9"/>
        <v>4863.158</v>
      </c>
      <c r="AV5" s="180"/>
      <c r="AW5" s="180">
        <v>1339.0</v>
      </c>
      <c r="AX5" s="180">
        <v>1252.0</v>
      </c>
      <c r="AY5" s="180">
        <v>278.0</v>
      </c>
      <c r="AZ5" s="180">
        <v>1071.562</v>
      </c>
      <c r="BA5" s="686">
        <v>922.596</v>
      </c>
      <c r="BB5" s="631"/>
      <c r="BC5" s="631"/>
      <c r="BD5" s="687" t="s">
        <v>695</v>
      </c>
      <c r="BE5" s="688" t="s">
        <v>3303</v>
      </c>
      <c r="BF5" s="186" t="s">
        <v>3304</v>
      </c>
      <c r="BG5" s="186" t="s">
        <v>3305</v>
      </c>
      <c r="BH5" s="186" t="s">
        <v>3306</v>
      </c>
      <c r="BI5" s="179" t="s">
        <v>3307</v>
      </c>
      <c r="BJ5" s="179" t="s">
        <v>3308</v>
      </c>
      <c r="BK5" s="745"/>
      <c r="BL5" s="201"/>
      <c r="BM5" s="753"/>
    </row>
    <row r="6">
      <c r="A6" s="675" t="s">
        <v>3912</v>
      </c>
      <c r="B6" s="186" t="s">
        <v>3913</v>
      </c>
      <c r="C6" s="676" t="s">
        <v>2113</v>
      </c>
      <c r="D6" s="677">
        <v>47.0</v>
      </c>
      <c r="E6" s="632" t="s">
        <v>767</v>
      </c>
      <c r="F6" s="71">
        <f t="shared" ref="F6:G6" si="10">H6+J6+L6+N6+P6</f>
        <v>97765.52</v>
      </c>
      <c r="G6" s="679">
        <f t="shared" si="10"/>
        <v>14753</v>
      </c>
      <c r="H6" s="641">
        <v>15014.0</v>
      </c>
      <c r="I6" s="680">
        <v>888.0</v>
      </c>
      <c r="J6" s="641">
        <v>21554.0</v>
      </c>
      <c r="K6" s="680">
        <v>5850.0</v>
      </c>
      <c r="L6" s="641">
        <v>10868.0</v>
      </c>
      <c r="M6" s="680">
        <v>389.0</v>
      </c>
      <c r="N6" s="641">
        <v>24611.52</v>
      </c>
      <c r="O6" s="680">
        <v>5244.0</v>
      </c>
      <c r="P6" s="641">
        <v>25718.0</v>
      </c>
      <c r="Q6" s="680">
        <v>2382.0</v>
      </c>
      <c r="R6" s="632"/>
      <c r="S6" s="682">
        <f t="shared" si="4"/>
        <v>97765.52</v>
      </c>
      <c r="T6" s="631"/>
      <c r="U6" s="625">
        <f t="shared" ref="U6:U17" si="13">H6</f>
        <v>15014</v>
      </c>
      <c r="V6" s="625">
        <f t="shared" ref="V6:V17" si="14">J6</f>
        <v>21554</v>
      </c>
      <c r="W6" s="625">
        <f t="shared" ref="W6:W17" si="15">L6</f>
        <v>10868</v>
      </c>
      <c r="X6" s="625">
        <f t="shared" ref="X6:X17" si="16">N6</f>
        <v>24611.52</v>
      </c>
      <c r="Y6" s="625">
        <f t="shared" ref="Y6:Y17" si="17">P6</f>
        <v>25718</v>
      </c>
      <c r="Z6" s="656">
        <f t="shared" si="5"/>
        <v>14753</v>
      </c>
      <c r="AA6" s="625"/>
      <c r="AB6" s="625">
        <f>I6</f>
        <v>888</v>
      </c>
      <c r="AC6" s="625">
        <f t="shared" ref="AC6:AC17" si="18">K6</f>
        <v>5850</v>
      </c>
      <c r="AD6" s="625">
        <f t="shared" ref="AD6:AD17" si="19">M6</f>
        <v>389</v>
      </c>
      <c r="AE6" s="625">
        <f t="shared" ref="AE6:AE17" si="20">O6</f>
        <v>5244</v>
      </c>
      <c r="AF6" s="625">
        <f t="shared" ref="AF6:AF17" si="21">Q6</f>
        <v>2382</v>
      </c>
      <c r="AG6" s="657">
        <f t="shared" si="6"/>
        <v>0.1509018722</v>
      </c>
      <c r="AH6" s="165"/>
      <c r="AI6" s="165">
        <f t="shared" ref="AI6:AM6" si="11">AB6/U6</f>
        <v>0.05914479819</v>
      </c>
      <c r="AJ6" s="165">
        <f t="shared" si="11"/>
        <v>0.271411339</v>
      </c>
      <c r="AK6" s="165">
        <f t="shared" si="11"/>
        <v>0.03579315421</v>
      </c>
      <c r="AL6" s="165">
        <f t="shared" si="11"/>
        <v>0.2130709521</v>
      </c>
      <c r="AM6" s="165">
        <f t="shared" si="11"/>
        <v>0.0926199549</v>
      </c>
      <c r="AN6" s="684">
        <f t="shared" si="8"/>
        <v>69078</v>
      </c>
      <c r="AO6" s="180"/>
      <c r="AP6" s="180">
        <v>6033.0</v>
      </c>
      <c r="AQ6" s="180">
        <v>14464.0</v>
      </c>
      <c r="AR6" s="180">
        <v>3415.0</v>
      </c>
      <c r="AS6" s="180">
        <v>24533.0</v>
      </c>
      <c r="AT6" s="180">
        <v>20633.0</v>
      </c>
      <c r="AU6" s="684">
        <f t="shared" si="9"/>
        <v>33965</v>
      </c>
      <c r="AV6" s="754"/>
      <c r="AW6" s="754">
        <v>5293.0</v>
      </c>
      <c r="AX6" s="754">
        <v>3627.0</v>
      </c>
      <c r="AY6" s="754">
        <v>6142.0</v>
      </c>
      <c r="AZ6" s="754">
        <v>9589.0</v>
      </c>
      <c r="BA6" s="755">
        <v>9314.0</v>
      </c>
      <c r="BB6" s="685"/>
      <c r="BC6" s="685"/>
      <c r="BD6" s="730" t="s">
        <v>695</v>
      </c>
      <c r="BE6" s="728" t="s">
        <v>3303</v>
      </c>
      <c r="BF6" s="186" t="s">
        <v>3304</v>
      </c>
      <c r="BG6" s="186" t="s">
        <v>3305</v>
      </c>
      <c r="BH6" s="186" t="s">
        <v>3306</v>
      </c>
      <c r="BI6" s="186" t="s">
        <v>3307</v>
      </c>
      <c r="BJ6" s="186" t="s">
        <v>3308</v>
      </c>
      <c r="BK6" s="745"/>
      <c r="BL6" s="201"/>
      <c r="BM6" s="753"/>
    </row>
    <row r="7">
      <c r="A7" s="675" t="s">
        <v>3912</v>
      </c>
      <c r="B7" s="186" t="s">
        <v>3914</v>
      </c>
      <c r="C7" s="676" t="s">
        <v>2113</v>
      </c>
      <c r="D7" s="677">
        <v>77.0</v>
      </c>
      <c r="E7" s="632" t="s">
        <v>1461</v>
      </c>
      <c r="F7" s="71">
        <f t="shared" ref="F7:G7" si="12">H7+J7+L7+N7+P7</f>
        <v>34854.44</v>
      </c>
      <c r="G7" s="679">
        <f t="shared" si="12"/>
        <v>5612</v>
      </c>
      <c r="H7" s="641">
        <v>9246.0</v>
      </c>
      <c r="I7" s="680">
        <v>1656.0</v>
      </c>
      <c r="J7" s="641">
        <v>10338.0</v>
      </c>
      <c r="K7" s="680">
        <v>1656.0</v>
      </c>
      <c r="L7" s="641">
        <v>4079.0</v>
      </c>
      <c r="M7" s="680">
        <v>1122.0</v>
      </c>
      <c r="N7" s="641">
        <v>5631.58</v>
      </c>
      <c r="O7" s="680">
        <v>1108.0</v>
      </c>
      <c r="P7" s="641">
        <v>5559.86</v>
      </c>
      <c r="Q7" s="680">
        <v>70.0</v>
      </c>
      <c r="R7" s="632"/>
      <c r="S7" s="682">
        <f t="shared" si="4"/>
        <v>34854.44</v>
      </c>
      <c r="T7" s="631"/>
      <c r="U7" s="625">
        <f t="shared" si="13"/>
        <v>9246</v>
      </c>
      <c r="V7" s="625">
        <f t="shared" si="14"/>
        <v>10338</v>
      </c>
      <c r="W7" s="625">
        <f t="shared" si="15"/>
        <v>4079</v>
      </c>
      <c r="X7" s="625">
        <f t="shared" si="16"/>
        <v>5631.58</v>
      </c>
      <c r="Y7" s="625">
        <f t="shared" si="17"/>
        <v>5559.86</v>
      </c>
      <c r="Z7" s="656">
        <f t="shared" si="5"/>
        <v>6401</v>
      </c>
      <c r="AA7" s="756"/>
      <c r="AB7" s="641">
        <v>2445.0</v>
      </c>
      <c r="AC7" s="625">
        <f t="shared" si="18"/>
        <v>1656</v>
      </c>
      <c r="AD7" s="625">
        <f t="shared" si="19"/>
        <v>1122</v>
      </c>
      <c r="AE7" s="625">
        <f t="shared" si="20"/>
        <v>1108</v>
      </c>
      <c r="AF7" s="625">
        <f t="shared" si="21"/>
        <v>70</v>
      </c>
      <c r="AG7" s="657">
        <f t="shared" si="6"/>
        <v>0.1836494863</v>
      </c>
      <c r="AH7" s="165"/>
      <c r="AI7" s="165">
        <f t="shared" ref="AI7:AM7" si="22">AB7/U7</f>
        <v>0.2644386762</v>
      </c>
      <c r="AJ7" s="165">
        <f t="shared" si="22"/>
        <v>0.1601857226</v>
      </c>
      <c r="AK7" s="165">
        <f t="shared" si="22"/>
        <v>0.2750674185</v>
      </c>
      <c r="AL7" s="165">
        <f t="shared" si="22"/>
        <v>0.1967476268</v>
      </c>
      <c r="AM7" s="165">
        <f t="shared" si="22"/>
        <v>0.01259024508</v>
      </c>
      <c r="AN7" s="684">
        <f t="shared" si="8"/>
        <v>18553</v>
      </c>
      <c r="AO7" s="685">
        <v>3650.0</v>
      </c>
      <c r="AP7" s="180">
        <v>3502.0</v>
      </c>
      <c r="AQ7" s="180">
        <v>7652.0</v>
      </c>
      <c r="AR7" s="180">
        <v>1029.0</v>
      </c>
      <c r="AS7" s="180">
        <v>4685.0</v>
      </c>
      <c r="AT7" s="180">
        <v>1685.0</v>
      </c>
      <c r="AU7" s="684">
        <f t="shared" si="9"/>
        <v>7233</v>
      </c>
      <c r="AV7" s="685">
        <v>1780.0</v>
      </c>
      <c r="AW7" s="180">
        <v>1565.0</v>
      </c>
      <c r="AX7" s="180">
        <v>1448.0</v>
      </c>
      <c r="AY7" s="180">
        <v>1474.0</v>
      </c>
      <c r="AZ7" s="180">
        <v>1422.0</v>
      </c>
      <c r="BA7" s="686">
        <v>1324.0</v>
      </c>
      <c r="BB7" s="685"/>
      <c r="BC7" s="685"/>
      <c r="BD7" s="687" t="s">
        <v>695</v>
      </c>
      <c r="BE7" s="186" t="s">
        <v>3303</v>
      </c>
      <c r="BF7" s="186" t="s">
        <v>3304</v>
      </c>
      <c r="BG7" s="186" t="s">
        <v>3305</v>
      </c>
      <c r="BH7" s="186" t="s">
        <v>3306</v>
      </c>
      <c r="BI7" s="179" t="s">
        <v>3307</v>
      </c>
      <c r="BJ7" s="179" t="s">
        <v>3308</v>
      </c>
      <c r="BK7" s="745"/>
      <c r="BL7" s="201"/>
      <c r="BM7" s="753"/>
    </row>
    <row r="8">
      <c r="A8" s="696" t="s">
        <v>3915</v>
      </c>
      <c r="B8" s="186" t="s">
        <v>3916</v>
      </c>
      <c r="C8" s="690" t="s">
        <v>1865</v>
      </c>
      <c r="D8" s="677">
        <v>155.0</v>
      </c>
      <c r="E8" s="632" t="s">
        <v>3917</v>
      </c>
      <c r="F8" s="71">
        <f t="shared" ref="F8:G8" si="23">H8+J8+L8+N8+P8</f>
        <v>2512</v>
      </c>
      <c r="G8" s="679">
        <f t="shared" si="23"/>
        <v>1522</v>
      </c>
      <c r="H8" s="641">
        <v>1157.0</v>
      </c>
      <c r="I8" s="680">
        <v>590.0</v>
      </c>
      <c r="J8" s="641">
        <v>495.0</v>
      </c>
      <c r="K8" s="680">
        <v>462.0</v>
      </c>
      <c r="L8" s="641">
        <v>92.0</v>
      </c>
      <c r="M8" s="680">
        <v>196.0</v>
      </c>
      <c r="N8" s="641">
        <v>351.0</v>
      </c>
      <c r="O8" s="680">
        <v>240.0</v>
      </c>
      <c r="P8" s="641">
        <v>417.0</v>
      </c>
      <c r="Q8" s="680">
        <v>34.0</v>
      </c>
      <c r="R8" s="632"/>
      <c r="S8" s="682">
        <f t="shared" si="4"/>
        <v>2512</v>
      </c>
      <c r="T8" s="631"/>
      <c r="U8" s="625">
        <f t="shared" si="13"/>
        <v>1157</v>
      </c>
      <c r="V8" s="625">
        <f t="shared" si="14"/>
        <v>495</v>
      </c>
      <c r="W8" s="625">
        <f t="shared" si="15"/>
        <v>92</v>
      </c>
      <c r="X8" s="625">
        <f t="shared" si="16"/>
        <v>351</v>
      </c>
      <c r="Y8" s="625">
        <f t="shared" si="17"/>
        <v>417</v>
      </c>
      <c r="Z8" s="656">
        <f t="shared" si="5"/>
        <v>1522</v>
      </c>
      <c r="AA8" s="625"/>
      <c r="AB8" s="625">
        <f t="shared" ref="AB8:AB17" si="26">I8</f>
        <v>590</v>
      </c>
      <c r="AC8" s="625">
        <f t="shared" si="18"/>
        <v>462</v>
      </c>
      <c r="AD8" s="625">
        <f t="shared" si="19"/>
        <v>196</v>
      </c>
      <c r="AE8" s="625">
        <f t="shared" si="20"/>
        <v>240</v>
      </c>
      <c r="AF8" s="625">
        <f t="shared" si="21"/>
        <v>34</v>
      </c>
      <c r="AG8" s="657">
        <f t="shared" si="6"/>
        <v>0.6058917197</v>
      </c>
      <c r="AH8" s="165"/>
      <c r="AI8" s="165">
        <f t="shared" ref="AI8:AM8" si="24">AB8/U8</f>
        <v>0.5099394987</v>
      </c>
      <c r="AJ8" s="165">
        <f t="shared" si="24"/>
        <v>0.9333333333</v>
      </c>
      <c r="AK8" s="165">
        <f t="shared" si="24"/>
        <v>2.130434783</v>
      </c>
      <c r="AL8" s="165">
        <f t="shared" si="24"/>
        <v>0.6837606838</v>
      </c>
      <c r="AM8" s="165">
        <f t="shared" si="24"/>
        <v>0.08153477218</v>
      </c>
      <c r="AN8" s="684">
        <f t="shared" si="8"/>
        <v>18188</v>
      </c>
      <c r="AO8" s="625"/>
      <c r="AP8" s="625">
        <v>6103.0</v>
      </c>
      <c r="AQ8" s="625">
        <v>3750.0</v>
      </c>
      <c r="AR8" s="625">
        <v>649.0</v>
      </c>
      <c r="AS8" s="625">
        <v>2403.0</v>
      </c>
      <c r="AT8" s="625">
        <v>5283.0</v>
      </c>
      <c r="AU8" s="684">
        <f t="shared" si="9"/>
        <v>3874</v>
      </c>
      <c r="AV8" s="625"/>
      <c r="AW8" s="625">
        <v>873.0</v>
      </c>
      <c r="AX8" s="625">
        <v>838.0</v>
      </c>
      <c r="AY8" s="625">
        <v>787.0</v>
      </c>
      <c r="AZ8" s="625">
        <v>771.0</v>
      </c>
      <c r="BA8" s="693">
        <v>605.0</v>
      </c>
      <c r="BB8" s="685"/>
      <c r="BC8" s="685"/>
      <c r="BD8" s="189" t="s">
        <v>695</v>
      </c>
      <c r="BE8" s="186" t="s">
        <v>3303</v>
      </c>
      <c r="BF8" s="179" t="s">
        <v>3304</v>
      </c>
      <c r="BG8" s="179" t="s">
        <v>3305</v>
      </c>
      <c r="BH8" s="179" t="s">
        <v>3306</v>
      </c>
      <c r="BI8" s="179" t="s">
        <v>3307</v>
      </c>
      <c r="BJ8" s="179" t="s">
        <v>3308</v>
      </c>
      <c r="BK8" s="745"/>
      <c r="BL8" s="201"/>
      <c r="BM8" s="753"/>
    </row>
    <row r="9">
      <c r="A9" s="757" t="s">
        <v>3915</v>
      </c>
      <c r="B9" s="186" t="s">
        <v>3918</v>
      </c>
      <c r="C9" s="676" t="s">
        <v>2113</v>
      </c>
      <c r="D9" s="677">
        <v>167.0</v>
      </c>
      <c r="E9" s="632" t="s">
        <v>1490</v>
      </c>
      <c r="F9" s="71">
        <f t="shared" ref="F9:G9" si="25">H9+J9+L9+N9+P9</f>
        <v>7234</v>
      </c>
      <c r="G9" s="679">
        <f t="shared" si="25"/>
        <v>1302</v>
      </c>
      <c r="H9" s="641">
        <v>2062.0</v>
      </c>
      <c r="I9" s="680">
        <v>1191.0</v>
      </c>
      <c r="J9" s="641">
        <v>3517.0</v>
      </c>
      <c r="K9" s="680">
        <v>112.0</v>
      </c>
      <c r="L9" s="641">
        <v>1208.0</v>
      </c>
      <c r="M9" s="680">
        <v>0.0</v>
      </c>
      <c r="N9" s="641">
        <v>333.0</v>
      </c>
      <c r="O9" s="680">
        <v>-13.0</v>
      </c>
      <c r="P9" s="641">
        <v>114.0</v>
      </c>
      <c r="Q9" s="680">
        <v>12.0</v>
      </c>
      <c r="R9" s="632"/>
      <c r="S9" s="682">
        <f t="shared" si="4"/>
        <v>7234</v>
      </c>
      <c r="T9" s="631"/>
      <c r="U9" s="625">
        <f t="shared" si="13"/>
        <v>2062</v>
      </c>
      <c r="V9" s="625">
        <f t="shared" si="14"/>
        <v>3517</v>
      </c>
      <c r="W9" s="625">
        <f t="shared" si="15"/>
        <v>1208</v>
      </c>
      <c r="X9" s="625">
        <f t="shared" si="16"/>
        <v>333</v>
      </c>
      <c r="Y9" s="625">
        <f t="shared" si="17"/>
        <v>114</v>
      </c>
      <c r="Z9" s="656">
        <f t="shared" si="5"/>
        <v>1302</v>
      </c>
      <c r="AA9" s="625"/>
      <c r="AB9" s="625">
        <f t="shared" si="26"/>
        <v>1191</v>
      </c>
      <c r="AC9" s="625">
        <f t="shared" si="18"/>
        <v>112</v>
      </c>
      <c r="AD9" s="625">
        <f t="shared" si="19"/>
        <v>0</v>
      </c>
      <c r="AE9" s="625">
        <f t="shared" si="20"/>
        <v>-13</v>
      </c>
      <c r="AF9" s="625">
        <f t="shared" si="21"/>
        <v>12</v>
      </c>
      <c r="AG9" s="657">
        <f t="shared" si="6"/>
        <v>0.1799834117</v>
      </c>
      <c r="AH9" s="165"/>
      <c r="AI9" s="165">
        <f t="shared" ref="AI9:AM9" si="27">AB9/U9</f>
        <v>0.5775945684</v>
      </c>
      <c r="AJ9" s="165">
        <f t="shared" si="27"/>
        <v>0.03184532272</v>
      </c>
      <c r="AK9" s="165">
        <f t="shared" si="27"/>
        <v>0</v>
      </c>
      <c r="AL9" s="165">
        <f t="shared" si="27"/>
        <v>-0.03903903904</v>
      </c>
      <c r="AM9" s="165">
        <f t="shared" si="27"/>
        <v>0.1052631579</v>
      </c>
      <c r="AN9" s="684">
        <f t="shared" si="8"/>
        <v>5701</v>
      </c>
      <c r="AO9" s="625"/>
      <c r="AP9" s="625">
        <v>3702.0</v>
      </c>
      <c r="AQ9" s="625">
        <v>1999.0</v>
      </c>
      <c r="AR9" s="625">
        <v>0.0</v>
      </c>
      <c r="AS9" s="625">
        <v>0.0</v>
      </c>
      <c r="AT9" s="625">
        <v>0.0</v>
      </c>
      <c r="AU9" s="684">
        <f t="shared" si="9"/>
        <v>0</v>
      </c>
      <c r="AV9" s="180"/>
      <c r="AW9" s="180">
        <v>0.0</v>
      </c>
      <c r="AX9" s="180">
        <v>0.0</v>
      </c>
      <c r="AY9" s="180">
        <v>0.0</v>
      </c>
      <c r="AZ9" s="180">
        <v>0.0</v>
      </c>
      <c r="BA9" s="686">
        <v>0.0</v>
      </c>
      <c r="BB9" s="685"/>
      <c r="BC9" s="685"/>
      <c r="BD9" s="189" t="s">
        <v>695</v>
      </c>
      <c r="BE9" s="186" t="s">
        <v>3303</v>
      </c>
      <c r="BF9" s="179" t="s">
        <v>3304</v>
      </c>
      <c r="BG9" s="179" t="s">
        <v>3305</v>
      </c>
      <c r="BH9" s="179" t="s">
        <v>3306</v>
      </c>
      <c r="BI9" s="179" t="s">
        <v>3307</v>
      </c>
      <c r="BJ9" s="179" t="s">
        <v>3308</v>
      </c>
      <c r="BK9" s="745"/>
      <c r="BL9" s="201"/>
      <c r="BM9" s="753"/>
    </row>
    <row r="10">
      <c r="A10" s="757" t="s">
        <v>3915</v>
      </c>
      <c r="B10" s="186" t="s">
        <v>3919</v>
      </c>
      <c r="C10" s="697" t="s">
        <v>2113</v>
      </c>
      <c r="D10" s="677">
        <v>230.0</v>
      </c>
      <c r="E10" s="632" t="s">
        <v>1201</v>
      </c>
      <c r="F10" s="71">
        <f t="shared" ref="F10:G10" si="28">H10+J10+L10+N10+P10</f>
        <v>7828</v>
      </c>
      <c r="G10" s="679">
        <f t="shared" si="28"/>
        <v>1369</v>
      </c>
      <c r="H10" s="641">
        <v>2738.0</v>
      </c>
      <c r="I10" s="680">
        <v>802.0</v>
      </c>
      <c r="J10" s="641">
        <v>1528.0</v>
      </c>
      <c r="K10" s="680">
        <v>378.0</v>
      </c>
      <c r="L10" s="641">
        <v>1100.0</v>
      </c>
      <c r="M10" s="680">
        <v>-25.0</v>
      </c>
      <c r="N10" s="641">
        <v>1014.0</v>
      </c>
      <c r="O10" s="680">
        <v>25.0</v>
      </c>
      <c r="P10" s="641">
        <v>1448.0</v>
      </c>
      <c r="Q10" s="680">
        <v>189.0</v>
      </c>
      <c r="R10" s="632"/>
      <c r="S10" s="682">
        <f t="shared" si="4"/>
        <v>7828</v>
      </c>
      <c r="T10" s="631"/>
      <c r="U10" s="625">
        <f t="shared" si="13"/>
        <v>2738</v>
      </c>
      <c r="V10" s="625">
        <f t="shared" si="14"/>
        <v>1528</v>
      </c>
      <c r="W10" s="625">
        <f t="shared" si="15"/>
        <v>1100</v>
      </c>
      <c r="X10" s="625">
        <f t="shared" si="16"/>
        <v>1014</v>
      </c>
      <c r="Y10" s="625">
        <f t="shared" si="17"/>
        <v>1448</v>
      </c>
      <c r="Z10" s="656">
        <f t="shared" si="5"/>
        <v>1369</v>
      </c>
      <c r="AA10" s="625"/>
      <c r="AB10" s="625">
        <f t="shared" si="26"/>
        <v>802</v>
      </c>
      <c r="AC10" s="625">
        <f t="shared" si="18"/>
        <v>378</v>
      </c>
      <c r="AD10" s="625">
        <f t="shared" si="19"/>
        <v>-25</v>
      </c>
      <c r="AE10" s="625">
        <f t="shared" si="20"/>
        <v>25</v>
      </c>
      <c r="AF10" s="625">
        <f t="shared" si="21"/>
        <v>189</v>
      </c>
      <c r="AG10" s="657">
        <f t="shared" si="6"/>
        <v>0.1748850281</v>
      </c>
      <c r="AH10" s="165"/>
      <c r="AI10" s="165">
        <f t="shared" ref="AI10:AM10" si="29">AB10/U10</f>
        <v>0.2929145362</v>
      </c>
      <c r="AJ10" s="165">
        <f t="shared" si="29"/>
        <v>0.247382199</v>
      </c>
      <c r="AK10" s="165">
        <f t="shared" si="29"/>
        <v>-0.02272727273</v>
      </c>
      <c r="AL10" s="165">
        <f t="shared" si="29"/>
        <v>0.02465483235</v>
      </c>
      <c r="AM10" s="165">
        <f t="shared" si="29"/>
        <v>0.1305248619</v>
      </c>
      <c r="AN10" s="684">
        <f t="shared" si="8"/>
        <v>9796</v>
      </c>
      <c r="AO10" s="625"/>
      <c r="AP10" s="625">
        <v>2677.0</v>
      </c>
      <c r="AQ10" s="625">
        <v>2786.0</v>
      </c>
      <c r="AR10" s="625">
        <v>1826.0</v>
      </c>
      <c r="AS10" s="625">
        <v>561.0</v>
      </c>
      <c r="AT10" s="625">
        <v>1946.0</v>
      </c>
      <c r="AU10" s="684">
        <f t="shared" si="9"/>
        <v>0</v>
      </c>
      <c r="AV10" s="180"/>
      <c r="AW10" s="180">
        <v>0.0</v>
      </c>
      <c r="AX10" s="180">
        <v>0.0</v>
      </c>
      <c r="AY10" s="180">
        <v>0.0</v>
      </c>
      <c r="AZ10" s="180">
        <v>0.0</v>
      </c>
      <c r="BA10" s="686">
        <v>0.0</v>
      </c>
      <c r="BB10" s="685"/>
      <c r="BC10" s="685"/>
      <c r="BD10" s="189" t="s">
        <v>695</v>
      </c>
      <c r="BE10" s="688" t="s">
        <v>3303</v>
      </c>
      <c r="BF10" s="179" t="s">
        <v>3304</v>
      </c>
      <c r="BG10" s="179" t="s">
        <v>3305</v>
      </c>
      <c r="BH10" s="179" t="s">
        <v>3306</v>
      </c>
      <c r="BI10" s="179" t="s">
        <v>3307</v>
      </c>
      <c r="BJ10" s="179" t="s">
        <v>3308</v>
      </c>
      <c r="BK10" s="745"/>
      <c r="BL10" s="201"/>
      <c r="BM10" s="753"/>
    </row>
    <row r="11">
      <c r="A11" s="757" t="s">
        <v>3915</v>
      </c>
      <c r="B11" s="186" t="s">
        <v>3920</v>
      </c>
      <c r="C11" s="676" t="s">
        <v>2113</v>
      </c>
      <c r="D11" s="677">
        <v>241.0</v>
      </c>
      <c r="E11" s="632" t="s">
        <v>736</v>
      </c>
      <c r="F11" s="71">
        <f t="shared" ref="F11:G11" si="30">H11+J11+L11+N11+P11</f>
        <v>4957</v>
      </c>
      <c r="G11" s="679">
        <f t="shared" si="30"/>
        <v>-42</v>
      </c>
      <c r="H11" s="641">
        <v>649.0</v>
      </c>
      <c r="I11" s="680">
        <v>2.0</v>
      </c>
      <c r="J11" s="641">
        <v>999.0</v>
      </c>
      <c r="K11" s="680">
        <v>0.0</v>
      </c>
      <c r="L11" s="641">
        <v>588.0</v>
      </c>
      <c r="M11" s="680">
        <v>13.0</v>
      </c>
      <c r="N11" s="641">
        <v>1121.0</v>
      </c>
      <c r="O11" s="680">
        <v>0.0</v>
      </c>
      <c r="P11" s="641">
        <v>1600.0</v>
      </c>
      <c r="Q11" s="680">
        <v>-57.0</v>
      </c>
      <c r="R11" s="632"/>
      <c r="S11" s="682">
        <f t="shared" si="4"/>
        <v>4957</v>
      </c>
      <c r="T11" s="631"/>
      <c r="U11" s="625">
        <f t="shared" si="13"/>
        <v>649</v>
      </c>
      <c r="V11" s="625">
        <f t="shared" si="14"/>
        <v>999</v>
      </c>
      <c r="W11" s="625">
        <f t="shared" si="15"/>
        <v>588</v>
      </c>
      <c r="X11" s="625">
        <f t="shared" si="16"/>
        <v>1121</v>
      </c>
      <c r="Y11" s="625">
        <f t="shared" si="17"/>
        <v>1600</v>
      </c>
      <c r="Z11" s="656">
        <f t="shared" si="5"/>
        <v>-42</v>
      </c>
      <c r="AA11" s="625"/>
      <c r="AB11" s="625">
        <f t="shared" si="26"/>
        <v>2</v>
      </c>
      <c r="AC11" s="625">
        <f t="shared" si="18"/>
        <v>0</v>
      </c>
      <c r="AD11" s="625">
        <f t="shared" si="19"/>
        <v>13</v>
      </c>
      <c r="AE11" s="625">
        <f t="shared" si="20"/>
        <v>0</v>
      </c>
      <c r="AF11" s="625">
        <f t="shared" si="21"/>
        <v>-57</v>
      </c>
      <c r="AG11" s="657">
        <f t="shared" si="6"/>
        <v>-0.008472866653</v>
      </c>
      <c r="AH11" s="165"/>
      <c r="AI11" s="165">
        <f t="shared" ref="AI11:AM11" si="31">AB11/U11</f>
        <v>0.003081664099</v>
      </c>
      <c r="AJ11" s="165">
        <f t="shared" si="31"/>
        <v>0</v>
      </c>
      <c r="AK11" s="165">
        <f t="shared" si="31"/>
        <v>0.02210884354</v>
      </c>
      <c r="AL11" s="165">
        <f t="shared" si="31"/>
        <v>0</v>
      </c>
      <c r="AM11" s="165">
        <f t="shared" si="31"/>
        <v>-0.035625</v>
      </c>
      <c r="AN11" s="684">
        <f t="shared" si="8"/>
        <v>308</v>
      </c>
      <c r="AO11" s="625"/>
      <c r="AP11" s="625">
        <v>0.0</v>
      </c>
      <c r="AQ11" s="625">
        <v>0.0</v>
      </c>
      <c r="AR11" s="625">
        <v>308.0</v>
      </c>
      <c r="AS11" s="625">
        <v>0.0</v>
      </c>
      <c r="AT11" s="625">
        <v>0.0</v>
      </c>
      <c r="AU11" s="684">
        <f t="shared" si="9"/>
        <v>4698</v>
      </c>
      <c r="AV11" s="641"/>
      <c r="AW11" s="641">
        <v>1149.0</v>
      </c>
      <c r="AX11" s="641">
        <v>1023.0</v>
      </c>
      <c r="AY11" s="625">
        <v>928.0</v>
      </c>
      <c r="AZ11" s="625">
        <v>810.0</v>
      </c>
      <c r="BA11" s="693">
        <v>788.0</v>
      </c>
      <c r="BB11" s="685"/>
      <c r="BC11" s="685"/>
      <c r="BD11" s="189" t="s">
        <v>695</v>
      </c>
      <c r="BE11" s="186" t="s">
        <v>3303</v>
      </c>
      <c r="BF11" s="179" t="s">
        <v>3304</v>
      </c>
      <c r="BG11" s="179" t="s">
        <v>3305</v>
      </c>
      <c r="BH11" s="179" t="s">
        <v>3306</v>
      </c>
      <c r="BI11" s="179" t="s">
        <v>3307</v>
      </c>
      <c r="BJ11" s="179" t="s">
        <v>3308</v>
      </c>
      <c r="BK11" s="745"/>
      <c r="BL11" s="201"/>
      <c r="BM11" s="753"/>
    </row>
    <row r="12">
      <c r="A12" s="757" t="s">
        <v>3915</v>
      </c>
      <c r="B12" s="186" t="s">
        <v>3921</v>
      </c>
      <c r="C12" s="676" t="s">
        <v>2113</v>
      </c>
      <c r="D12" s="677">
        <v>462.0</v>
      </c>
      <c r="E12" s="632" t="s">
        <v>3922</v>
      </c>
      <c r="F12" s="71">
        <f t="shared" ref="F12:G12" si="32">H12+J12+L12+N12+P12</f>
        <v>5228</v>
      </c>
      <c r="G12" s="679">
        <f t="shared" si="32"/>
        <v>1055.3</v>
      </c>
      <c r="H12" s="641">
        <v>857.0</v>
      </c>
      <c r="I12" s="680">
        <v>226.0</v>
      </c>
      <c r="J12" s="641">
        <v>1922.1</v>
      </c>
      <c r="K12" s="680">
        <v>238.4</v>
      </c>
      <c r="L12" s="641">
        <v>688.4</v>
      </c>
      <c r="M12" s="680">
        <v>238.4</v>
      </c>
      <c r="N12" s="641">
        <v>1322.4</v>
      </c>
      <c r="O12" s="680">
        <v>238.4</v>
      </c>
      <c r="P12" s="641">
        <v>438.1</v>
      </c>
      <c r="Q12" s="680">
        <v>114.1</v>
      </c>
      <c r="R12" s="632"/>
      <c r="S12" s="682">
        <f t="shared" si="4"/>
        <v>5228</v>
      </c>
      <c r="T12" s="631"/>
      <c r="U12" s="625">
        <f t="shared" si="13"/>
        <v>857</v>
      </c>
      <c r="V12" s="625">
        <f t="shared" si="14"/>
        <v>1922.1</v>
      </c>
      <c r="W12" s="625">
        <f t="shared" si="15"/>
        <v>688.4</v>
      </c>
      <c r="X12" s="625">
        <f t="shared" si="16"/>
        <v>1322.4</v>
      </c>
      <c r="Y12" s="625">
        <f t="shared" si="17"/>
        <v>438.1</v>
      </c>
      <c r="Z12" s="656">
        <f t="shared" si="5"/>
        <v>1055.3</v>
      </c>
      <c r="AA12" s="625"/>
      <c r="AB12" s="625">
        <f t="shared" si="26"/>
        <v>226</v>
      </c>
      <c r="AC12" s="625">
        <f t="shared" si="18"/>
        <v>238.4</v>
      </c>
      <c r="AD12" s="625">
        <f t="shared" si="19"/>
        <v>238.4</v>
      </c>
      <c r="AE12" s="625">
        <f t="shared" si="20"/>
        <v>238.4</v>
      </c>
      <c r="AF12" s="625">
        <f t="shared" si="21"/>
        <v>114.1</v>
      </c>
      <c r="AG12" s="657">
        <f t="shared" si="6"/>
        <v>0.201855394</v>
      </c>
      <c r="AH12" s="165"/>
      <c r="AI12" s="165">
        <f t="shared" ref="AI12:AM12" si="33">AB12/U12</f>
        <v>0.2637106184</v>
      </c>
      <c r="AJ12" s="165">
        <f t="shared" si="33"/>
        <v>0.1240310078</v>
      </c>
      <c r="AK12" s="165">
        <f t="shared" si="33"/>
        <v>0.3463102847</v>
      </c>
      <c r="AL12" s="165">
        <f t="shared" si="33"/>
        <v>0.1802782819</v>
      </c>
      <c r="AM12" s="165">
        <f t="shared" si="33"/>
        <v>0.2604428213</v>
      </c>
      <c r="AN12" s="684">
        <f t="shared" si="8"/>
        <v>381.2</v>
      </c>
      <c r="AO12" s="625"/>
      <c r="AP12" s="625">
        <v>281.2</v>
      </c>
      <c r="AQ12" s="625">
        <v>0.0</v>
      </c>
      <c r="AR12" s="625">
        <v>50.0</v>
      </c>
      <c r="AS12" s="625">
        <v>0.0</v>
      </c>
      <c r="AT12" s="625">
        <v>50.0</v>
      </c>
      <c r="AU12" s="684">
        <f t="shared" si="9"/>
        <v>2886.5</v>
      </c>
      <c r="AV12" s="625"/>
      <c r="AW12" s="625">
        <v>579.7</v>
      </c>
      <c r="AX12" s="625">
        <v>1019.2</v>
      </c>
      <c r="AY12" s="625">
        <v>250.1</v>
      </c>
      <c r="AZ12" s="625">
        <v>538.7</v>
      </c>
      <c r="BA12" s="693">
        <v>498.8</v>
      </c>
      <c r="BB12" s="685"/>
      <c r="BC12" s="685"/>
      <c r="BD12" s="189" t="s">
        <v>695</v>
      </c>
      <c r="BE12" s="688" t="s">
        <v>3303</v>
      </c>
      <c r="BF12" s="179"/>
      <c r="BG12" s="179"/>
      <c r="BH12" s="179"/>
      <c r="BI12" s="179"/>
      <c r="BJ12" s="179"/>
      <c r="BK12" s="745"/>
      <c r="BL12" s="201"/>
      <c r="BM12" s="753"/>
    </row>
    <row r="13">
      <c r="A13" s="757" t="s">
        <v>3915</v>
      </c>
      <c r="B13" s="186" t="s">
        <v>3923</v>
      </c>
      <c r="C13" s="676" t="s">
        <v>2535</v>
      </c>
      <c r="D13" s="677">
        <v>512.0</v>
      </c>
      <c r="E13" s="632" t="s">
        <v>3924</v>
      </c>
      <c r="F13" s="71">
        <f t="shared" ref="F13:G13" si="34">H13+J13+L13+N13+P13</f>
        <v>1172</v>
      </c>
      <c r="G13" s="679">
        <f t="shared" si="34"/>
        <v>1231</v>
      </c>
      <c r="H13" s="641">
        <v>223.0</v>
      </c>
      <c r="I13" s="680">
        <v>570.0</v>
      </c>
      <c r="J13" s="641">
        <v>168.0</v>
      </c>
      <c r="K13" s="680">
        <v>203.0</v>
      </c>
      <c r="L13" s="641">
        <v>275.0</v>
      </c>
      <c r="M13" s="680">
        <v>251.0</v>
      </c>
      <c r="N13" s="641">
        <v>341.0</v>
      </c>
      <c r="O13" s="680">
        <v>178.0</v>
      </c>
      <c r="P13" s="641">
        <v>165.0</v>
      </c>
      <c r="Q13" s="680">
        <v>29.0</v>
      </c>
      <c r="R13" s="632"/>
      <c r="S13" s="682">
        <f t="shared" si="4"/>
        <v>1172</v>
      </c>
      <c r="T13" s="631"/>
      <c r="U13" s="625">
        <f t="shared" si="13"/>
        <v>223</v>
      </c>
      <c r="V13" s="625">
        <f t="shared" si="14"/>
        <v>168</v>
      </c>
      <c r="W13" s="625">
        <f t="shared" si="15"/>
        <v>275</v>
      </c>
      <c r="X13" s="625">
        <f t="shared" si="16"/>
        <v>341</v>
      </c>
      <c r="Y13" s="625">
        <f t="shared" si="17"/>
        <v>165</v>
      </c>
      <c r="Z13" s="656">
        <f t="shared" si="5"/>
        <v>1231</v>
      </c>
      <c r="AA13" s="625"/>
      <c r="AB13" s="625">
        <f t="shared" si="26"/>
        <v>570</v>
      </c>
      <c r="AC13" s="625">
        <f t="shared" si="18"/>
        <v>203</v>
      </c>
      <c r="AD13" s="625">
        <f t="shared" si="19"/>
        <v>251</v>
      </c>
      <c r="AE13" s="625">
        <f t="shared" si="20"/>
        <v>178</v>
      </c>
      <c r="AF13" s="625">
        <f t="shared" si="21"/>
        <v>29</v>
      </c>
      <c r="AG13" s="657">
        <f t="shared" si="6"/>
        <v>1.050341297</v>
      </c>
      <c r="AH13" s="165"/>
      <c r="AI13" s="165">
        <f t="shared" ref="AI13:AM13" si="35">AB13/U13</f>
        <v>2.556053812</v>
      </c>
      <c r="AJ13" s="165">
        <f t="shared" si="35"/>
        <v>1.208333333</v>
      </c>
      <c r="AK13" s="165">
        <f t="shared" si="35"/>
        <v>0.9127272727</v>
      </c>
      <c r="AL13" s="165">
        <f t="shared" si="35"/>
        <v>0.5219941349</v>
      </c>
      <c r="AM13" s="165">
        <f t="shared" si="35"/>
        <v>0.1757575758</v>
      </c>
      <c r="AN13" s="684">
        <f t="shared" si="8"/>
        <v>5723</v>
      </c>
      <c r="AO13" s="625"/>
      <c r="AP13" s="625">
        <v>1295.0</v>
      </c>
      <c r="AQ13" s="625">
        <v>1300.0</v>
      </c>
      <c r="AR13" s="625">
        <v>729.0</v>
      </c>
      <c r="AS13" s="625">
        <v>1207.0</v>
      </c>
      <c r="AT13" s="625">
        <v>1192.0</v>
      </c>
      <c r="AU13" s="684">
        <f t="shared" si="9"/>
        <v>501</v>
      </c>
      <c r="AV13" s="625"/>
      <c r="AW13" s="625">
        <v>210.0</v>
      </c>
      <c r="AX13" s="625">
        <v>193.0</v>
      </c>
      <c r="AY13" s="625">
        <v>98.0</v>
      </c>
      <c r="AZ13" s="625">
        <v>0.0</v>
      </c>
      <c r="BA13" s="693">
        <v>0.0</v>
      </c>
      <c r="BB13" s="685"/>
      <c r="BC13" s="685"/>
      <c r="BD13" s="689" t="s">
        <v>695</v>
      </c>
      <c r="BE13" s="688" t="s">
        <v>3303</v>
      </c>
      <c r="BF13" s="201"/>
      <c r="BG13" s="201"/>
      <c r="BH13" s="201"/>
      <c r="BI13" s="201"/>
      <c r="BJ13" s="201"/>
      <c r="BK13" s="745"/>
      <c r="BL13" s="201"/>
      <c r="BM13" s="753"/>
    </row>
    <row r="14">
      <c r="A14" s="696" t="s">
        <v>3915</v>
      </c>
      <c r="B14" s="186" t="s">
        <v>3925</v>
      </c>
      <c r="C14" s="690" t="s">
        <v>1865</v>
      </c>
      <c r="D14" s="677">
        <v>614.0</v>
      </c>
      <c r="E14" s="632" t="s">
        <v>3926</v>
      </c>
      <c r="F14" s="71">
        <f t="shared" ref="F14:G14" si="36">H14+J14+L14+N14+P14</f>
        <v>464</v>
      </c>
      <c r="G14" s="679">
        <f t="shared" si="36"/>
        <v>141</v>
      </c>
      <c r="H14" s="641">
        <v>222.0</v>
      </c>
      <c r="I14" s="680">
        <v>28.0</v>
      </c>
      <c r="J14" s="641">
        <v>81.0</v>
      </c>
      <c r="K14" s="680">
        <v>71.0</v>
      </c>
      <c r="L14" s="641">
        <v>68.0</v>
      </c>
      <c r="M14" s="680">
        <v>16.0</v>
      </c>
      <c r="N14" s="641">
        <v>68.0</v>
      </c>
      <c r="O14" s="680">
        <v>16.0</v>
      </c>
      <c r="P14" s="641">
        <v>25.0</v>
      </c>
      <c r="Q14" s="680">
        <v>10.0</v>
      </c>
      <c r="R14" s="632"/>
      <c r="S14" s="682">
        <f t="shared" si="4"/>
        <v>464</v>
      </c>
      <c r="T14" s="631"/>
      <c r="U14" s="625">
        <f t="shared" si="13"/>
        <v>222</v>
      </c>
      <c r="V14" s="625">
        <f t="shared" si="14"/>
        <v>81</v>
      </c>
      <c r="W14" s="625">
        <f t="shared" si="15"/>
        <v>68</v>
      </c>
      <c r="X14" s="625">
        <f t="shared" si="16"/>
        <v>68</v>
      </c>
      <c r="Y14" s="625">
        <f t="shared" si="17"/>
        <v>25</v>
      </c>
      <c r="Z14" s="656">
        <f t="shared" si="5"/>
        <v>141</v>
      </c>
      <c r="AA14" s="625"/>
      <c r="AB14" s="625">
        <f t="shared" si="26"/>
        <v>28</v>
      </c>
      <c r="AC14" s="625">
        <f t="shared" si="18"/>
        <v>71</v>
      </c>
      <c r="AD14" s="625">
        <f t="shared" si="19"/>
        <v>16</v>
      </c>
      <c r="AE14" s="625">
        <f t="shared" si="20"/>
        <v>16</v>
      </c>
      <c r="AF14" s="625">
        <f t="shared" si="21"/>
        <v>10</v>
      </c>
      <c r="AG14" s="657">
        <f t="shared" si="6"/>
        <v>0.3038793103</v>
      </c>
      <c r="AH14" s="165"/>
      <c r="AI14" s="165">
        <f t="shared" ref="AI14:AM14" si="37">AB14/U14</f>
        <v>0.1261261261</v>
      </c>
      <c r="AJ14" s="165">
        <f t="shared" si="37"/>
        <v>0.8765432099</v>
      </c>
      <c r="AK14" s="165">
        <f t="shared" si="37"/>
        <v>0.2352941176</v>
      </c>
      <c r="AL14" s="165">
        <f t="shared" si="37"/>
        <v>0.2352941176</v>
      </c>
      <c r="AM14" s="165">
        <f t="shared" si="37"/>
        <v>0.4</v>
      </c>
      <c r="AN14" s="684">
        <f t="shared" si="8"/>
        <v>2212</v>
      </c>
      <c r="AO14" s="625"/>
      <c r="AP14" s="625">
        <v>849.0</v>
      </c>
      <c r="AQ14" s="625">
        <v>673.0</v>
      </c>
      <c r="AR14" s="625">
        <v>411.0</v>
      </c>
      <c r="AS14" s="625">
        <v>159.0</v>
      </c>
      <c r="AT14" s="641">
        <v>120.0</v>
      </c>
      <c r="AU14" s="684">
        <f t="shared" si="9"/>
        <v>0</v>
      </c>
      <c r="AV14" s="180"/>
      <c r="AW14" s="180">
        <v>0.0</v>
      </c>
      <c r="AX14" s="180">
        <v>0.0</v>
      </c>
      <c r="AY14" s="180">
        <v>0.0</v>
      </c>
      <c r="AZ14" s="180">
        <v>0.0</v>
      </c>
      <c r="BA14" s="686">
        <v>0.0</v>
      </c>
      <c r="BB14" s="685"/>
      <c r="BC14" s="685"/>
      <c r="BD14" s="189" t="s">
        <v>695</v>
      </c>
      <c r="BE14" s="688" t="s">
        <v>3303</v>
      </c>
      <c r="BF14" s="144"/>
      <c r="BG14" s="144"/>
      <c r="BH14" s="144"/>
      <c r="BI14" s="144"/>
      <c r="BJ14" s="144"/>
      <c r="BK14" s="745"/>
      <c r="BL14" s="144"/>
      <c r="BM14" s="753"/>
    </row>
    <row r="15">
      <c r="A15" s="757" t="s">
        <v>3915</v>
      </c>
      <c r="B15" s="186" t="s">
        <v>3927</v>
      </c>
      <c r="C15" s="676" t="s">
        <v>2113</v>
      </c>
      <c r="D15" s="717">
        <v>655.0</v>
      </c>
      <c r="E15" s="632" t="s">
        <v>3928</v>
      </c>
      <c r="F15" s="71">
        <f t="shared" ref="F15:G15" si="38">H15+J15+L15+N15+P15</f>
        <v>1441.5</v>
      </c>
      <c r="G15" s="679">
        <f t="shared" si="38"/>
        <v>292.6</v>
      </c>
      <c r="H15" s="641">
        <v>364.2</v>
      </c>
      <c r="I15" s="680">
        <v>85.0</v>
      </c>
      <c r="J15" s="641">
        <v>578.0</v>
      </c>
      <c r="K15" s="680">
        <v>109.9</v>
      </c>
      <c r="L15" s="641">
        <v>302.2</v>
      </c>
      <c r="M15" s="680">
        <v>55.1</v>
      </c>
      <c r="N15" s="641">
        <v>139.0</v>
      </c>
      <c r="O15" s="680">
        <v>50.4</v>
      </c>
      <c r="P15" s="641">
        <v>58.1</v>
      </c>
      <c r="Q15" s="680">
        <v>-7.8</v>
      </c>
      <c r="R15" s="632"/>
      <c r="S15" s="682">
        <f t="shared" si="4"/>
        <v>1441.5</v>
      </c>
      <c r="T15" s="631"/>
      <c r="U15" s="625">
        <f t="shared" si="13"/>
        <v>364.2</v>
      </c>
      <c r="V15" s="625">
        <f t="shared" si="14"/>
        <v>578</v>
      </c>
      <c r="W15" s="625">
        <f t="shared" si="15"/>
        <v>302.2</v>
      </c>
      <c r="X15" s="625">
        <f t="shared" si="16"/>
        <v>139</v>
      </c>
      <c r="Y15" s="625">
        <f t="shared" si="17"/>
        <v>58.1</v>
      </c>
      <c r="Z15" s="656">
        <f t="shared" si="5"/>
        <v>292.6</v>
      </c>
      <c r="AA15" s="625"/>
      <c r="AB15" s="625">
        <f t="shared" si="26"/>
        <v>85</v>
      </c>
      <c r="AC15" s="625">
        <f t="shared" si="18"/>
        <v>109.9</v>
      </c>
      <c r="AD15" s="625">
        <f t="shared" si="19"/>
        <v>55.1</v>
      </c>
      <c r="AE15" s="625">
        <f t="shared" si="20"/>
        <v>50.4</v>
      </c>
      <c r="AF15" s="625">
        <f t="shared" si="21"/>
        <v>-7.8</v>
      </c>
      <c r="AG15" s="657">
        <f t="shared" si="6"/>
        <v>0.2029830038</v>
      </c>
      <c r="AH15" s="165"/>
      <c r="AI15" s="165">
        <f t="shared" ref="AI15:AM15" si="39">AB15/U15</f>
        <v>0.2333882482</v>
      </c>
      <c r="AJ15" s="165">
        <f t="shared" si="39"/>
        <v>0.1901384083</v>
      </c>
      <c r="AK15" s="165">
        <f t="shared" si="39"/>
        <v>0.1823295831</v>
      </c>
      <c r="AL15" s="165">
        <f t="shared" si="39"/>
        <v>0.3625899281</v>
      </c>
      <c r="AM15" s="165">
        <f t="shared" si="39"/>
        <v>-0.1342512909</v>
      </c>
      <c r="AN15" s="684">
        <f t="shared" si="8"/>
        <v>1925.8</v>
      </c>
      <c r="AO15" s="625"/>
      <c r="AP15" s="625">
        <v>667.4</v>
      </c>
      <c r="AQ15" s="625">
        <v>816.3</v>
      </c>
      <c r="AR15" s="625">
        <v>331.8</v>
      </c>
      <c r="AS15" s="625">
        <v>105.7</v>
      </c>
      <c r="AT15" s="625">
        <v>4.6</v>
      </c>
      <c r="AU15" s="684">
        <f t="shared" si="9"/>
        <v>181.1</v>
      </c>
      <c r="AV15" s="625"/>
      <c r="AW15" s="625">
        <v>70.5</v>
      </c>
      <c r="AX15" s="625">
        <v>63.1</v>
      </c>
      <c r="AY15" s="625">
        <v>19.3</v>
      </c>
      <c r="AZ15" s="625">
        <v>13.4</v>
      </c>
      <c r="BA15" s="693">
        <v>14.8</v>
      </c>
      <c r="BB15" s="685"/>
      <c r="BC15" s="685"/>
      <c r="BD15" s="689" t="s">
        <v>695</v>
      </c>
      <c r="BE15" s="688" t="s">
        <v>3303</v>
      </c>
      <c r="BF15" s="201"/>
      <c r="BG15" s="201"/>
      <c r="BH15" s="201"/>
      <c r="BI15" s="201"/>
      <c r="BJ15" s="201"/>
      <c r="BK15" s="745"/>
      <c r="BL15" s="201"/>
      <c r="BM15" s="753"/>
    </row>
    <row r="16">
      <c r="A16" s="757" t="s">
        <v>3915</v>
      </c>
      <c r="B16" s="186" t="s">
        <v>3929</v>
      </c>
      <c r="C16" s="676" t="s">
        <v>1919</v>
      </c>
      <c r="D16" s="677">
        <v>662.0</v>
      </c>
      <c r="E16" s="632" t="s">
        <v>3930</v>
      </c>
      <c r="F16" s="71">
        <f t="shared" ref="F16:G16" si="40">H16+J16+L16+N16+P16</f>
        <v>947.9</v>
      </c>
      <c r="G16" s="679">
        <f t="shared" si="40"/>
        <v>4.6</v>
      </c>
      <c r="H16" s="641">
        <v>235.0</v>
      </c>
      <c r="I16" s="680">
        <v>-8.0</v>
      </c>
      <c r="J16" s="641">
        <v>437.0</v>
      </c>
      <c r="K16" s="680">
        <v>8.0</v>
      </c>
      <c r="L16" s="641">
        <v>120.0</v>
      </c>
      <c r="M16" s="680">
        <v>1.0</v>
      </c>
      <c r="N16" s="641">
        <v>120.1</v>
      </c>
      <c r="O16" s="680">
        <v>1.2</v>
      </c>
      <c r="P16" s="641">
        <v>35.8</v>
      </c>
      <c r="Q16" s="680">
        <v>2.4</v>
      </c>
      <c r="R16" s="632"/>
      <c r="S16" s="682">
        <f t="shared" si="4"/>
        <v>947.9</v>
      </c>
      <c r="T16" s="631"/>
      <c r="U16" s="625">
        <f t="shared" si="13"/>
        <v>235</v>
      </c>
      <c r="V16" s="625">
        <f t="shared" si="14"/>
        <v>437</v>
      </c>
      <c r="W16" s="625">
        <f t="shared" si="15"/>
        <v>120</v>
      </c>
      <c r="X16" s="625">
        <f t="shared" si="16"/>
        <v>120.1</v>
      </c>
      <c r="Y16" s="625">
        <f t="shared" si="17"/>
        <v>35.8</v>
      </c>
      <c r="Z16" s="656">
        <f t="shared" si="5"/>
        <v>4.6</v>
      </c>
      <c r="AA16" s="625"/>
      <c r="AB16" s="625">
        <f t="shared" si="26"/>
        <v>-8</v>
      </c>
      <c r="AC16" s="625">
        <f t="shared" si="18"/>
        <v>8</v>
      </c>
      <c r="AD16" s="625">
        <f t="shared" si="19"/>
        <v>1</v>
      </c>
      <c r="AE16" s="625">
        <f t="shared" si="20"/>
        <v>1.2</v>
      </c>
      <c r="AF16" s="625">
        <f t="shared" si="21"/>
        <v>2.4</v>
      </c>
      <c r="AG16" s="657">
        <f t="shared" si="6"/>
        <v>0.004852832577</v>
      </c>
      <c r="AH16" s="165"/>
      <c r="AI16" s="165">
        <f t="shared" ref="AI16:AM16" si="41">AB16/U16</f>
        <v>-0.03404255319</v>
      </c>
      <c r="AJ16" s="165">
        <f t="shared" si="41"/>
        <v>0.01830663616</v>
      </c>
      <c r="AK16" s="165">
        <f t="shared" si="41"/>
        <v>0.008333333333</v>
      </c>
      <c r="AL16" s="165">
        <f t="shared" si="41"/>
        <v>0.009991673605</v>
      </c>
      <c r="AM16" s="165">
        <f t="shared" si="41"/>
        <v>0.06703910615</v>
      </c>
      <c r="AN16" s="684">
        <f t="shared" si="8"/>
        <v>0</v>
      </c>
      <c r="AO16" s="625"/>
      <c r="AP16" s="625">
        <v>0.0</v>
      </c>
      <c r="AQ16" s="625">
        <v>0.0</v>
      </c>
      <c r="AR16" s="625">
        <v>0.0</v>
      </c>
      <c r="AS16" s="625">
        <v>0.0</v>
      </c>
      <c r="AT16" s="625">
        <v>0.0</v>
      </c>
      <c r="AU16" s="684">
        <f t="shared" si="9"/>
        <v>62.2</v>
      </c>
      <c r="AV16" s="625"/>
      <c r="AW16" s="625">
        <v>4.0</v>
      </c>
      <c r="AX16" s="625">
        <v>22.0</v>
      </c>
      <c r="AY16" s="625">
        <v>36.2</v>
      </c>
      <c r="AZ16" s="625">
        <v>0.0</v>
      </c>
      <c r="BA16" s="693">
        <v>0.0</v>
      </c>
      <c r="BB16" s="685"/>
      <c r="BC16" s="685"/>
      <c r="BD16" s="689" t="s">
        <v>695</v>
      </c>
      <c r="BE16" s="688" t="s">
        <v>3303</v>
      </c>
      <c r="BF16" s="201"/>
      <c r="BG16" s="201"/>
      <c r="BH16" s="201"/>
      <c r="BI16" s="201"/>
      <c r="BJ16" s="201"/>
      <c r="BK16" s="745"/>
      <c r="BL16" s="201"/>
      <c r="BM16" s="753"/>
    </row>
    <row r="17">
      <c r="A17" s="757" t="s">
        <v>3915</v>
      </c>
      <c r="B17" s="186" t="s">
        <v>3931</v>
      </c>
      <c r="C17" s="676" t="s">
        <v>2113</v>
      </c>
      <c r="D17" s="677">
        <v>827.0</v>
      </c>
      <c r="E17" s="632" t="s">
        <v>3932</v>
      </c>
      <c r="F17" s="71">
        <f t="shared" ref="F17:G17" si="42">H17+J17+L17+N17+P17</f>
        <v>1015.26</v>
      </c>
      <c r="G17" s="679">
        <f t="shared" si="42"/>
        <v>217.69</v>
      </c>
      <c r="H17" s="641">
        <v>232.5</v>
      </c>
      <c r="I17" s="680">
        <v>52.5</v>
      </c>
      <c r="J17" s="641">
        <v>303.88</v>
      </c>
      <c r="K17" s="680">
        <v>51.79</v>
      </c>
      <c r="L17" s="641">
        <v>24.23</v>
      </c>
      <c r="M17" s="680">
        <v>18.44</v>
      </c>
      <c r="N17" s="641">
        <v>240.18</v>
      </c>
      <c r="O17" s="680">
        <v>41.15</v>
      </c>
      <c r="P17" s="641">
        <v>214.47</v>
      </c>
      <c r="Q17" s="680">
        <v>53.81</v>
      </c>
      <c r="R17" s="632"/>
      <c r="S17" s="682">
        <f t="shared" si="4"/>
        <v>1015.26</v>
      </c>
      <c r="T17" s="631"/>
      <c r="U17" s="625">
        <f t="shared" si="13"/>
        <v>232.5</v>
      </c>
      <c r="V17" s="625">
        <f t="shared" si="14"/>
        <v>303.88</v>
      </c>
      <c r="W17" s="625">
        <f t="shared" si="15"/>
        <v>24.23</v>
      </c>
      <c r="X17" s="625">
        <f t="shared" si="16"/>
        <v>240.18</v>
      </c>
      <c r="Y17" s="625">
        <f t="shared" si="17"/>
        <v>214.47</v>
      </c>
      <c r="Z17" s="656">
        <f t="shared" si="5"/>
        <v>217.69</v>
      </c>
      <c r="AA17" s="625"/>
      <c r="AB17" s="625">
        <f t="shared" si="26"/>
        <v>52.5</v>
      </c>
      <c r="AC17" s="625">
        <f t="shared" si="18"/>
        <v>51.79</v>
      </c>
      <c r="AD17" s="625">
        <f t="shared" si="19"/>
        <v>18.44</v>
      </c>
      <c r="AE17" s="625">
        <f t="shared" si="20"/>
        <v>41.15</v>
      </c>
      <c r="AF17" s="625">
        <f t="shared" si="21"/>
        <v>53.81</v>
      </c>
      <c r="AG17" s="657">
        <f t="shared" si="6"/>
        <v>0.2144179816</v>
      </c>
      <c r="AH17" s="165"/>
      <c r="AI17" s="165">
        <f t="shared" ref="AI17:AM17" si="43">AB17/U17</f>
        <v>0.2258064516</v>
      </c>
      <c r="AJ17" s="165">
        <f t="shared" si="43"/>
        <v>0.1704291168</v>
      </c>
      <c r="AK17" s="165">
        <f t="shared" si="43"/>
        <v>0.761040033</v>
      </c>
      <c r="AL17" s="165">
        <f t="shared" si="43"/>
        <v>0.171329836</v>
      </c>
      <c r="AM17" s="165">
        <f t="shared" si="43"/>
        <v>0.2508975614</v>
      </c>
      <c r="AN17" s="684">
        <f t="shared" si="8"/>
        <v>909.049</v>
      </c>
      <c r="AO17" s="625"/>
      <c r="AP17" s="625">
        <v>287.443</v>
      </c>
      <c r="AQ17" s="625">
        <v>165.415</v>
      </c>
      <c r="AR17" s="625">
        <v>132.889</v>
      </c>
      <c r="AS17" s="625">
        <v>121.702</v>
      </c>
      <c r="AT17" s="625">
        <v>201.6</v>
      </c>
      <c r="AU17" s="684">
        <f t="shared" si="9"/>
        <v>288.69</v>
      </c>
      <c r="AV17" s="625"/>
      <c r="AW17" s="625">
        <v>75.08</v>
      </c>
      <c r="AX17" s="625">
        <v>68.62</v>
      </c>
      <c r="AY17" s="625">
        <v>17.2</v>
      </c>
      <c r="AZ17" s="625">
        <v>65.13</v>
      </c>
      <c r="BA17" s="693">
        <v>62.66</v>
      </c>
      <c r="BB17" s="685"/>
      <c r="BC17" s="685"/>
      <c r="BD17" s="689" t="s">
        <v>695</v>
      </c>
      <c r="BE17" s="688" t="s">
        <v>3303</v>
      </c>
      <c r="BF17" s="201"/>
      <c r="BG17" s="201"/>
      <c r="BH17" s="201"/>
      <c r="BI17" s="201"/>
      <c r="BJ17" s="201"/>
      <c r="BK17" s="745"/>
      <c r="BL17" s="201"/>
      <c r="BM17" s="753"/>
    </row>
    <row r="18">
      <c r="A18" s="758"/>
      <c r="B18" s="759"/>
      <c r="C18" s="760"/>
      <c r="D18" s="761"/>
      <c r="E18" s="762" t="s">
        <v>14</v>
      </c>
      <c r="F18" s="763"/>
      <c r="G18" s="764"/>
      <c r="H18" s="765"/>
      <c r="I18" s="766"/>
      <c r="J18" s="765"/>
      <c r="K18" s="766"/>
      <c r="L18" s="765"/>
      <c r="M18" s="766"/>
      <c r="N18" s="765"/>
      <c r="O18" s="766"/>
      <c r="P18" s="765"/>
      <c r="Q18" s="766"/>
      <c r="R18" s="767"/>
      <c r="S18" s="768">
        <f t="shared" si="4"/>
        <v>17172.71429</v>
      </c>
      <c r="T18" s="769"/>
      <c r="U18" s="769">
        <f>12432-33/21%</f>
        <v>12274.85714</v>
      </c>
      <c r="V18" s="769">
        <f>9838-37/21%</f>
        <v>9661.809524</v>
      </c>
      <c r="W18" s="769">
        <f>-8396-15/21%</f>
        <v>-8467.428571</v>
      </c>
      <c r="X18" s="769">
        <f>3825-13/21%</f>
        <v>3763.095238</v>
      </c>
      <c r="Y18" s="769">
        <f>-12-10/21%</f>
        <v>-59.61904762</v>
      </c>
      <c r="Z18" s="768">
        <f t="shared" si="5"/>
        <v>-129.2857143</v>
      </c>
      <c r="AA18" s="769"/>
      <c r="AB18" s="769">
        <f>246-33/21%</f>
        <v>88.85714286</v>
      </c>
      <c r="AC18" s="769">
        <f>-216-37/21%</f>
        <v>-392.1904762</v>
      </c>
      <c r="AD18" s="769">
        <f>-57-15/21%</f>
        <v>-128.4285714</v>
      </c>
      <c r="AE18" s="770">
        <f>278-13/21%</f>
        <v>216.0952381</v>
      </c>
      <c r="AF18" s="769">
        <f>134-10/21%</f>
        <v>86.38095238</v>
      </c>
      <c r="AG18" s="771"/>
      <c r="AH18" s="772"/>
      <c r="AI18" s="772"/>
      <c r="AJ18" s="772"/>
      <c r="AK18" s="772"/>
      <c r="AL18" s="772"/>
      <c r="AM18" s="772"/>
      <c r="AN18" s="773"/>
      <c r="AO18" s="774"/>
      <c r="AP18" s="774"/>
      <c r="AQ18" s="774"/>
      <c r="AR18" s="774"/>
      <c r="AS18" s="774"/>
      <c r="AT18" s="774"/>
      <c r="AU18" s="773"/>
      <c r="AV18" s="769"/>
      <c r="AW18" s="769"/>
      <c r="AX18" s="769"/>
      <c r="AY18" s="769"/>
      <c r="AZ18" s="769"/>
      <c r="BA18" s="769"/>
      <c r="BB18" s="770"/>
      <c r="BC18" s="770"/>
      <c r="BD18" s="775"/>
      <c r="BE18" s="776"/>
      <c r="BF18" s="759"/>
      <c r="BG18" s="759"/>
      <c r="BH18" s="759"/>
      <c r="BI18" s="759"/>
      <c r="BJ18" s="759"/>
      <c r="BK18" s="777"/>
      <c r="BL18" s="778"/>
      <c r="BM18" s="779"/>
    </row>
    <row r="19">
      <c r="A19" s="675"/>
      <c r="B19" s="202" t="s">
        <v>3933</v>
      </c>
      <c r="C19" s="780" t="s">
        <v>3934</v>
      </c>
      <c r="D19" s="677">
        <v>5.0</v>
      </c>
      <c r="E19" s="734" t="s">
        <v>2549</v>
      </c>
      <c r="F19" s="71"/>
      <c r="G19" s="679"/>
      <c r="H19" s="641"/>
      <c r="I19" s="680"/>
      <c r="J19" s="641"/>
      <c r="K19" s="680"/>
      <c r="L19" s="641"/>
      <c r="M19" s="680"/>
      <c r="N19" s="641"/>
      <c r="O19" s="680"/>
      <c r="P19" s="641"/>
      <c r="Q19" s="680"/>
      <c r="R19" s="632"/>
      <c r="S19" s="656"/>
      <c r="T19" s="625"/>
      <c r="U19" s="625"/>
      <c r="V19" s="625"/>
      <c r="W19" s="625"/>
      <c r="X19" s="625"/>
      <c r="Y19" s="625"/>
      <c r="Z19" s="656"/>
      <c r="AA19" s="756"/>
      <c r="AB19" s="641"/>
      <c r="AC19" s="625"/>
      <c r="AD19" s="625"/>
      <c r="AE19" s="625"/>
      <c r="AF19" s="625"/>
      <c r="AG19" s="657"/>
      <c r="AH19" s="165"/>
      <c r="AI19" s="165"/>
      <c r="AJ19" s="165"/>
      <c r="AK19" s="165"/>
      <c r="AL19" s="165"/>
      <c r="AM19" s="165"/>
      <c r="AN19" s="684">
        <f t="shared" ref="AN19:AN60" si="44">SUM(AP19:AT19)</f>
        <v>0</v>
      </c>
      <c r="AO19" s="180"/>
      <c r="AP19" s="180"/>
      <c r="AQ19" s="180"/>
      <c r="AR19" s="180"/>
      <c r="AS19" s="180"/>
      <c r="AT19" s="180"/>
      <c r="AU19" s="684">
        <f t="shared" ref="AU19:AU60" si="45">SUM(AW19:BA19)</f>
        <v>0</v>
      </c>
      <c r="AV19" s="180"/>
      <c r="AW19" s="180"/>
      <c r="AX19" s="180"/>
      <c r="AY19" s="180"/>
      <c r="AZ19" s="180"/>
      <c r="BA19" s="686"/>
      <c r="BB19" s="685"/>
      <c r="BC19" s="685"/>
      <c r="BD19" s="712" t="s">
        <v>695</v>
      </c>
      <c r="BE19" s="688" t="s">
        <v>3303</v>
      </c>
      <c r="BF19" s="695" t="s">
        <v>3304</v>
      </c>
      <c r="BG19" s="695" t="s">
        <v>3305</v>
      </c>
      <c r="BH19" s="695" t="s">
        <v>3306</v>
      </c>
      <c r="BI19" s="695" t="s">
        <v>3307</v>
      </c>
      <c r="BJ19" s="695" t="s">
        <v>3308</v>
      </c>
      <c r="BK19" s="781"/>
      <c r="BL19" s="201"/>
      <c r="BM19" s="753"/>
    </row>
    <row r="20">
      <c r="A20" s="675"/>
      <c r="B20" s="202" t="s">
        <v>3935</v>
      </c>
      <c r="C20" s="780" t="s">
        <v>3934</v>
      </c>
      <c r="D20" s="677">
        <v>7.0</v>
      </c>
      <c r="E20" s="734" t="s">
        <v>2564</v>
      </c>
      <c r="F20" s="71"/>
      <c r="G20" s="679"/>
      <c r="H20" s="641"/>
      <c r="I20" s="680"/>
      <c r="J20" s="641"/>
      <c r="K20" s="680"/>
      <c r="L20" s="641"/>
      <c r="M20" s="680"/>
      <c r="N20" s="641"/>
      <c r="O20" s="680"/>
      <c r="P20" s="641"/>
      <c r="Q20" s="680"/>
      <c r="R20" s="632"/>
      <c r="S20" s="656"/>
      <c r="T20" s="625"/>
      <c r="U20" s="625"/>
      <c r="V20" s="625"/>
      <c r="W20" s="625"/>
      <c r="X20" s="625"/>
      <c r="Y20" s="625"/>
      <c r="Z20" s="656"/>
      <c r="AA20" s="756"/>
      <c r="AB20" s="641"/>
      <c r="AC20" s="625"/>
      <c r="AD20" s="625"/>
      <c r="AE20" s="625"/>
      <c r="AF20" s="625"/>
      <c r="AG20" s="657"/>
      <c r="AH20" s="165"/>
      <c r="AI20" s="165"/>
      <c r="AJ20" s="165"/>
      <c r="AK20" s="165"/>
      <c r="AL20" s="165"/>
      <c r="AM20" s="165"/>
      <c r="AN20" s="684">
        <f t="shared" si="44"/>
        <v>0</v>
      </c>
      <c r="AO20" s="180"/>
      <c r="AP20" s="180"/>
      <c r="AQ20" s="180"/>
      <c r="AR20" s="180"/>
      <c r="AS20" s="180"/>
      <c r="AT20" s="180"/>
      <c r="AU20" s="684">
        <f t="shared" si="45"/>
        <v>0</v>
      </c>
      <c r="AV20" s="180"/>
      <c r="AW20" s="180"/>
      <c r="AX20" s="180"/>
      <c r="AY20" s="180"/>
      <c r="AZ20" s="180"/>
      <c r="BA20" s="686"/>
      <c r="BB20" s="685"/>
      <c r="BC20" s="685"/>
      <c r="BD20" s="712" t="s">
        <v>695</v>
      </c>
      <c r="BE20" s="186" t="s">
        <v>3303</v>
      </c>
      <c r="BF20" s="695" t="s">
        <v>3304</v>
      </c>
      <c r="BG20" s="695" t="s">
        <v>3305</v>
      </c>
      <c r="BH20" s="695" t="s">
        <v>3306</v>
      </c>
      <c r="BI20" s="695" t="s">
        <v>3307</v>
      </c>
      <c r="BJ20" s="695" t="s">
        <v>3308</v>
      </c>
      <c r="BK20" s="781"/>
      <c r="BL20" s="201"/>
      <c r="BM20" s="753"/>
    </row>
    <row r="21">
      <c r="A21" s="675"/>
      <c r="B21" s="712" t="s">
        <v>3936</v>
      </c>
      <c r="C21" s="780" t="s">
        <v>3934</v>
      </c>
      <c r="D21" s="713">
        <v>65.0</v>
      </c>
      <c r="E21" s="632" t="s">
        <v>2762</v>
      </c>
      <c r="F21" s="71"/>
      <c r="G21" s="679"/>
      <c r="H21" s="641"/>
      <c r="I21" s="680"/>
      <c r="J21" s="641"/>
      <c r="K21" s="680"/>
      <c r="L21" s="641"/>
      <c r="M21" s="680"/>
      <c r="N21" s="641"/>
      <c r="O21" s="680"/>
      <c r="P21" s="641"/>
      <c r="Q21" s="680"/>
      <c r="R21" s="632"/>
      <c r="S21" s="656"/>
      <c r="T21" s="625"/>
      <c r="U21" s="625"/>
      <c r="V21" s="625"/>
      <c r="W21" s="625"/>
      <c r="X21" s="625"/>
      <c r="Y21" s="625"/>
      <c r="Z21" s="656"/>
      <c r="AA21" s="756"/>
      <c r="AB21" s="641"/>
      <c r="AC21" s="625"/>
      <c r="AD21" s="625"/>
      <c r="AE21" s="625"/>
      <c r="AF21" s="625"/>
      <c r="AG21" s="657"/>
      <c r="AH21" s="165"/>
      <c r="AI21" s="165"/>
      <c r="AJ21" s="165"/>
      <c r="AK21" s="165"/>
      <c r="AL21" s="165"/>
      <c r="AM21" s="165"/>
      <c r="AN21" s="684">
        <f t="shared" si="44"/>
        <v>0</v>
      </c>
      <c r="AO21" s="180"/>
      <c r="AP21" s="180"/>
      <c r="AQ21" s="180"/>
      <c r="AR21" s="180"/>
      <c r="AS21" s="180"/>
      <c r="AT21" s="180"/>
      <c r="AU21" s="684">
        <f t="shared" si="45"/>
        <v>0</v>
      </c>
      <c r="AV21" s="180"/>
      <c r="AW21" s="180"/>
      <c r="AX21" s="180"/>
      <c r="AY21" s="180"/>
      <c r="AZ21" s="180"/>
      <c r="BA21" s="686"/>
      <c r="BB21" s="685"/>
      <c r="BC21" s="685"/>
      <c r="BD21" s="695" t="s">
        <v>695</v>
      </c>
      <c r="BE21" s="688" t="s">
        <v>3303</v>
      </c>
      <c r="BF21" s="695" t="s">
        <v>3304</v>
      </c>
      <c r="BG21" s="695" t="s">
        <v>3305</v>
      </c>
      <c r="BH21" s="695" t="s">
        <v>3306</v>
      </c>
      <c r="BI21" s="695" t="s">
        <v>3307</v>
      </c>
      <c r="BJ21" s="695" t="s">
        <v>3308</v>
      </c>
      <c r="BK21" s="781"/>
      <c r="BL21" s="201"/>
      <c r="BM21" s="753"/>
    </row>
    <row r="22">
      <c r="A22" s="675"/>
      <c r="B22" s="712" t="s">
        <v>3937</v>
      </c>
      <c r="C22" s="780" t="s">
        <v>3934</v>
      </c>
      <c r="D22" s="713">
        <v>67.0</v>
      </c>
      <c r="E22" s="632" t="s">
        <v>2828</v>
      </c>
      <c r="F22" s="71"/>
      <c r="G22" s="679"/>
      <c r="H22" s="641"/>
      <c r="I22" s="680"/>
      <c r="J22" s="641"/>
      <c r="K22" s="680"/>
      <c r="L22" s="641"/>
      <c r="M22" s="680"/>
      <c r="N22" s="641"/>
      <c r="O22" s="680"/>
      <c r="P22" s="641"/>
      <c r="Q22" s="680"/>
      <c r="R22" s="632"/>
      <c r="S22" s="656"/>
      <c r="T22" s="625"/>
      <c r="U22" s="625"/>
      <c r="V22" s="625"/>
      <c r="W22" s="625"/>
      <c r="X22" s="625"/>
      <c r="Y22" s="625"/>
      <c r="Z22" s="656"/>
      <c r="AA22" s="756"/>
      <c r="AB22" s="641"/>
      <c r="AC22" s="625"/>
      <c r="AD22" s="625"/>
      <c r="AE22" s="625"/>
      <c r="AF22" s="625"/>
      <c r="AG22" s="657"/>
      <c r="AH22" s="165"/>
      <c r="AI22" s="165"/>
      <c r="AJ22" s="165"/>
      <c r="AK22" s="165"/>
      <c r="AL22" s="165"/>
      <c r="AM22" s="165"/>
      <c r="AN22" s="684">
        <f t="shared" si="44"/>
        <v>0</v>
      </c>
      <c r="AO22" s="180"/>
      <c r="AP22" s="180"/>
      <c r="AQ22" s="180"/>
      <c r="AR22" s="180"/>
      <c r="AS22" s="180"/>
      <c r="AT22" s="180"/>
      <c r="AU22" s="684">
        <f t="shared" si="45"/>
        <v>0</v>
      </c>
      <c r="AV22" s="180"/>
      <c r="AW22" s="180"/>
      <c r="AX22" s="180"/>
      <c r="AY22" s="180"/>
      <c r="AZ22" s="180"/>
      <c r="BA22" s="686"/>
      <c r="BB22" s="685"/>
      <c r="BC22" s="685"/>
      <c r="BD22" s="695" t="s">
        <v>695</v>
      </c>
      <c r="BE22" s="688" t="s">
        <v>3303</v>
      </c>
      <c r="BF22" s="695" t="s">
        <v>3304</v>
      </c>
      <c r="BG22" s="695" t="s">
        <v>3305</v>
      </c>
      <c r="BH22" s="695" t="s">
        <v>3306</v>
      </c>
      <c r="BI22" s="180" t="s">
        <v>3307</v>
      </c>
      <c r="BJ22" s="180" t="s">
        <v>3308</v>
      </c>
      <c r="BK22" s="781"/>
      <c r="BL22" s="201"/>
      <c r="BM22" s="753"/>
    </row>
    <row r="23">
      <c r="A23" s="675"/>
      <c r="B23" s="712" t="s">
        <v>3938</v>
      </c>
      <c r="C23" s="780" t="s">
        <v>3934</v>
      </c>
      <c r="D23" s="713">
        <v>128.0</v>
      </c>
      <c r="E23" s="632" t="s">
        <v>3153</v>
      </c>
      <c r="F23" s="71"/>
      <c r="G23" s="679"/>
      <c r="H23" s="641"/>
      <c r="I23" s="680"/>
      <c r="J23" s="641"/>
      <c r="K23" s="680"/>
      <c r="L23" s="641"/>
      <c r="M23" s="680"/>
      <c r="N23" s="641"/>
      <c r="O23" s="680"/>
      <c r="P23" s="641"/>
      <c r="Q23" s="680"/>
      <c r="R23" s="632"/>
      <c r="S23" s="656"/>
      <c r="T23" s="625"/>
      <c r="U23" s="625"/>
      <c r="V23" s="625"/>
      <c r="W23" s="625"/>
      <c r="X23" s="625"/>
      <c r="Y23" s="625"/>
      <c r="Z23" s="656"/>
      <c r="AA23" s="756"/>
      <c r="AB23" s="641"/>
      <c r="AC23" s="625"/>
      <c r="AD23" s="625"/>
      <c r="AE23" s="625"/>
      <c r="AF23" s="625"/>
      <c r="AG23" s="657"/>
      <c r="AH23" s="165"/>
      <c r="AI23" s="165"/>
      <c r="AJ23" s="165"/>
      <c r="AK23" s="165"/>
      <c r="AL23" s="165"/>
      <c r="AM23" s="165"/>
      <c r="AN23" s="684">
        <f t="shared" si="44"/>
        <v>0</v>
      </c>
      <c r="AO23" s="180"/>
      <c r="AP23" s="180"/>
      <c r="AQ23" s="180"/>
      <c r="AR23" s="180"/>
      <c r="AS23" s="180"/>
      <c r="AT23" s="180"/>
      <c r="AU23" s="684">
        <f t="shared" si="45"/>
        <v>0</v>
      </c>
      <c r="AV23" s="180"/>
      <c r="AW23" s="180"/>
      <c r="AX23" s="180"/>
      <c r="AY23" s="180"/>
      <c r="AZ23" s="180"/>
      <c r="BA23" s="686"/>
      <c r="BB23" s="685"/>
      <c r="BC23" s="685"/>
      <c r="BD23" s="715" t="s">
        <v>695</v>
      </c>
      <c r="BE23" s="688" t="s">
        <v>3303</v>
      </c>
      <c r="BF23" s="695" t="s">
        <v>3304</v>
      </c>
      <c r="BG23" s="695" t="s">
        <v>3305</v>
      </c>
      <c r="BH23" s="695" t="s">
        <v>3306</v>
      </c>
      <c r="BI23" s="180" t="s">
        <v>3307</v>
      </c>
      <c r="BJ23" s="180" t="s">
        <v>3308</v>
      </c>
      <c r="BK23" s="781"/>
      <c r="BL23" s="201"/>
      <c r="BM23" s="753"/>
    </row>
    <row r="24">
      <c r="A24" s="675"/>
      <c r="B24" s="712" t="s">
        <v>3939</v>
      </c>
      <c r="C24" s="780" t="s">
        <v>3934</v>
      </c>
      <c r="D24" s="713">
        <v>55.0</v>
      </c>
      <c r="E24" s="632" t="s">
        <v>2870</v>
      </c>
      <c r="F24" s="71"/>
      <c r="G24" s="679"/>
      <c r="H24" s="641"/>
      <c r="I24" s="680"/>
      <c r="J24" s="641"/>
      <c r="K24" s="680"/>
      <c r="L24" s="641"/>
      <c r="M24" s="680"/>
      <c r="N24" s="641"/>
      <c r="O24" s="680"/>
      <c r="P24" s="641"/>
      <c r="Q24" s="680"/>
      <c r="R24" s="632"/>
      <c r="S24" s="656"/>
      <c r="T24" s="625"/>
      <c r="U24" s="625"/>
      <c r="V24" s="625"/>
      <c r="W24" s="625"/>
      <c r="X24" s="625"/>
      <c r="Y24" s="625"/>
      <c r="Z24" s="656"/>
      <c r="AA24" s="756"/>
      <c r="AB24" s="641"/>
      <c r="AC24" s="625"/>
      <c r="AD24" s="625"/>
      <c r="AE24" s="625"/>
      <c r="AF24" s="625"/>
      <c r="AG24" s="657"/>
      <c r="AH24" s="165"/>
      <c r="AI24" s="165"/>
      <c r="AJ24" s="165"/>
      <c r="AK24" s="165"/>
      <c r="AL24" s="165"/>
      <c r="AM24" s="165"/>
      <c r="AN24" s="684">
        <f t="shared" si="44"/>
        <v>19257</v>
      </c>
      <c r="AO24" s="180"/>
      <c r="AP24" s="685">
        <v>3500.0</v>
      </c>
      <c r="AQ24" s="685">
        <v>5200.0</v>
      </c>
      <c r="AR24" s="685">
        <v>1928.0</v>
      </c>
      <c r="AS24" s="685">
        <v>5335.0</v>
      </c>
      <c r="AT24" s="685">
        <v>3294.0</v>
      </c>
      <c r="AU24" s="684">
        <f t="shared" si="45"/>
        <v>12657</v>
      </c>
      <c r="AV24" s="180"/>
      <c r="AW24" s="685">
        <v>3682.0</v>
      </c>
      <c r="AX24" s="685">
        <v>2725.0</v>
      </c>
      <c r="AY24" s="685">
        <v>2336.0</v>
      </c>
      <c r="AZ24" s="685">
        <v>2104.0</v>
      </c>
      <c r="BA24" s="710">
        <v>1810.0</v>
      </c>
      <c r="BB24" s="685"/>
      <c r="BC24" s="685"/>
      <c r="BD24" s="782" t="s">
        <v>695</v>
      </c>
      <c r="BE24" s="688" t="s">
        <v>3303</v>
      </c>
      <c r="BF24" s="695" t="s">
        <v>3304</v>
      </c>
      <c r="BG24" s="695" t="s">
        <v>3305</v>
      </c>
      <c r="BH24" s="695" t="s">
        <v>3306</v>
      </c>
      <c r="BI24" s="180" t="s">
        <v>3307</v>
      </c>
      <c r="BJ24" s="180" t="s">
        <v>3308</v>
      </c>
      <c r="BK24" s="781"/>
      <c r="BL24" s="201"/>
      <c r="BM24" s="753"/>
    </row>
    <row r="25">
      <c r="A25" s="675"/>
      <c r="B25" s="712" t="s">
        <v>3940</v>
      </c>
      <c r="C25" s="676" t="s">
        <v>2113</v>
      </c>
      <c r="D25" s="713">
        <v>99.0</v>
      </c>
      <c r="E25" s="632" t="s">
        <v>3081</v>
      </c>
      <c r="F25" s="71" t="str">
        <f t="shared" ref="F25:G25" si="46">H25+J25+L25+N25+P25</f>
        <v>#VALUE!</v>
      </c>
      <c r="G25" s="679" t="str">
        <f t="shared" si="46"/>
        <v>#VALUE!</v>
      </c>
      <c r="H25" s="641" t="s">
        <v>3941</v>
      </c>
      <c r="I25" s="680" t="s">
        <v>3941</v>
      </c>
      <c r="J25" s="641" t="s">
        <v>3941</v>
      </c>
      <c r="K25" s="680" t="s">
        <v>3941</v>
      </c>
      <c r="L25" s="641" t="s">
        <v>3941</v>
      </c>
      <c r="M25" s="680" t="s">
        <v>3941</v>
      </c>
      <c r="N25" s="641" t="s">
        <v>3941</v>
      </c>
      <c r="O25" s="680" t="s">
        <v>3941</v>
      </c>
      <c r="P25" s="641" t="s">
        <v>3941</v>
      </c>
      <c r="Q25" s="680" t="s">
        <v>3941</v>
      </c>
      <c r="R25" s="714"/>
      <c r="S25" s="656"/>
      <c r="T25" s="625"/>
      <c r="U25" s="625"/>
      <c r="V25" s="625"/>
      <c r="W25" s="625"/>
      <c r="X25" s="625"/>
      <c r="Y25" s="625"/>
      <c r="Z25" s="656"/>
      <c r="AA25" s="756"/>
      <c r="AB25" s="641"/>
      <c r="AC25" s="625"/>
      <c r="AD25" s="625"/>
      <c r="AE25" s="625"/>
      <c r="AF25" s="625"/>
      <c r="AG25" s="657"/>
      <c r="AH25" s="165"/>
      <c r="AI25" s="165"/>
      <c r="AJ25" s="165"/>
      <c r="AK25" s="165"/>
      <c r="AL25" s="165"/>
      <c r="AM25" s="165"/>
      <c r="AN25" s="684">
        <f t="shared" si="44"/>
        <v>7453</v>
      </c>
      <c r="AO25" s="180"/>
      <c r="AP25" s="685">
        <v>3795.0</v>
      </c>
      <c r="AQ25" s="685">
        <v>2299.0</v>
      </c>
      <c r="AR25" s="685">
        <v>403.0</v>
      </c>
      <c r="AS25" s="685">
        <v>718.0</v>
      </c>
      <c r="AT25" s="685">
        <v>238.0</v>
      </c>
      <c r="AU25" s="684">
        <f t="shared" si="45"/>
        <v>13315</v>
      </c>
      <c r="AV25" s="180"/>
      <c r="AW25" s="685">
        <v>3309.0</v>
      </c>
      <c r="AX25" s="685">
        <v>3202.0</v>
      </c>
      <c r="AY25" s="685">
        <v>2560.0</v>
      </c>
      <c r="AZ25" s="685">
        <v>2270.0</v>
      </c>
      <c r="BA25" s="710">
        <v>1974.0</v>
      </c>
      <c r="BB25" s="685"/>
      <c r="BC25" s="685"/>
      <c r="BD25" s="715" t="s">
        <v>695</v>
      </c>
      <c r="BE25" s="688" t="s">
        <v>3303</v>
      </c>
      <c r="BF25" s="695" t="s">
        <v>3304</v>
      </c>
      <c r="BG25" s="695" t="s">
        <v>3305</v>
      </c>
      <c r="BH25" s="695" t="s">
        <v>3306</v>
      </c>
      <c r="BI25" s="180" t="s">
        <v>3307</v>
      </c>
      <c r="BJ25" s="180" t="s">
        <v>3308</v>
      </c>
      <c r="BK25" s="781"/>
      <c r="BL25" s="201"/>
      <c r="BM25" s="753"/>
    </row>
    <row r="26">
      <c r="A26" s="675"/>
      <c r="B26" s="712" t="s">
        <v>3942</v>
      </c>
      <c r="C26" s="676" t="s">
        <v>2113</v>
      </c>
      <c r="D26" s="713">
        <v>84.0</v>
      </c>
      <c r="E26" s="632" t="s">
        <v>2938</v>
      </c>
      <c r="F26" s="71" t="str">
        <f t="shared" ref="F26:G26" si="47">H26+J26+L26+N26+P26</f>
        <v>#VALUE!</v>
      </c>
      <c r="G26" s="679" t="str">
        <f t="shared" si="47"/>
        <v>#VALUE!</v>
      </c>
      <c r="H26" s="641" t="s">
        <v>3941</v>
      </c>
      <c r="I26" s="680" t="s">
        <v>3941</v>
      </c>
      <c r="J26" s="641" t="s">
        <v>3941</v>
      </c>
      <c r="K26" s="680" t="s">
        <v>3941</v>
      </c>
      <c r="L26" s="641" t="s">
        <v>3941</v>
      </c>
      <c r="M26" s="680" t="s">
        <v>3941</v>
      </c>
      <c r="N26" s="641" t="s">
        <v>3941</v>
      </c>
      <c r="O26" s="680" t="s">
        <v>3941</v>
      </c>
      <c r="P26" s="641" t="s">
        <v>3941</v>
      </c>
      <c r="Q26" s="680" t="s">
        <v>3941</v>
      </c>
      <c r="R26" s="714"/>
      <c r="S26" s="656"/>
      <c r="T26" s="625"/>
      <c r="U26" s="625"/>
      <c r="V26" s="625"/>
      <c r="W26" s="625"/>
      <c r="X26" s="625"/>
      <c r="Y26" s="625"/>
      <c r="Z26" s="656"/>
      <c r="AA26" s="756"/>
      <c r="AB26" s="641"/>
      <c r="AC26" s="625"/>
      <c r="AD26" s="625"/>
      <c r="AE26" s="625"/>
      <c r="AF26" s="625"/>
      <c r="AG26" s="657"/>
      <c r="AH26" s="165"/>
      <c r="AI26" s="165"/>
      <c r="AJ26" s="165"/>
      <c r="AK26" s="165"/>
      <c r="AL26" s="165"/>
      <c r="AM26" s="165"/>
      <c r="AN26" s="684">
        <f t="shared" si="44"/>
        <v>11415</v>
      </c>
      <c r="AO26" s="180"/>
      <c r="AP26" s="180">
        <v>2520.0</v>
      </c>
      <c r="AQ26" s="180">
        <v>3120.0</v>
      </c>
      <c r="AR26" s="180">
        <v>1737.0</v>
      </c>
      <c r="AS26" s="180">
        <v>1735.0</v>
      </c>
      <c r="AT26" s="180">
        <v>2303.0</v>
      </c>
      <c r="AU26" s="684">
        <f t="shared" si="45"/>
        <v>4361</v>
      </c>
      <c r="AV26" s="180"/>
      <c r="AW26" s="685">
        <v>1031.0</v>
      </c>
      <c r="AX26" s="685">
        <v>999.0</v>
      </c>
      <c r="AY26" s="685">
        <v>796.0</v>
      </c>
      <c r="AZ26" s="685">
        <v>787.0</v>
      </c>
      <c r="BA26" s="710">
        <v>748.0</v>
      </c>
      <c r="BB26" s="685"/>
      <c r="BC26" s="685"/>
      <c r="BD26" s="715" t="s">
        <v>695</v>
      </c>
      <c r="BE26" s="688" t="s">
        <v>3303</v>
      </c>
      <c r="BF26" s="695" t="s">
        <v>3304</v>
      </c>
      <c r="BG26" s="695" t="s">
        <v>3305</v>
      </c>
      <c r="BH26" s="695" t="s">
        <v>3306</v>
      </c>
      <c r="BI26" s="180" t="s">
        <v>3307</v>
      </c>
      <c r="BJ26" s="180" t="s">
        <v>3308</v>
      </c>
      <c r="BK26" s="781"/>
      <c r="BL26" s="201"/>
      <c r="BM26" s="753"/>
    </row>
    <row r="27">
      <c r="A27" s="675"/>
      <c r="B27" s="712" t="s">
        <v>3943</v>
      </c>
      <c r="C27" s="676" t="s">
        <v>2113</v>
      </c>
      <c r="D27" s="713">
        <v>89.0</v>
      </c>
      <c r="E27" s="632" t="s">
        <v>3073</v>
      </c>
      <c r="F27" s="71" t="str">
        <f t="shared" ref="F27:G27" si="48">H27+J27+L27+N27+P27</f>
        <v>#VALUE!</v>
      </c>
      <c r="G27" s="679" t="str">
        <f t="shared" si="48"/>
        <v>#VALUE!</v>
      </c>
      <c r="H27" s="641" t="s">
        <v>3941</v>
      </c>
      <c r="I27" s="680" t="s">
        <v>3941</v>
      </c>
      <c r="J27" s="641" t="s">
        <v>3941</v>
      </c>
      <c r="K27" s="680" t="s">
        <v>3941</v>
      </c>
      <c r="L27" s="641" t="s">
        <v>3941</v>
      </c>
      <c r="M27" s="680" t="s">
        <v>3941</v>
      </c>
      <c r="N27" s="641" t="s">
        <v>3941</v>
      </c>
      <c r="O27" s="680" t="s">
        <v>3941</v>
      </c>
      <c r="P27" s="641" t="s">
        <v>3941</v>
      </c>
      <c r="Q27" s="680" t="s">
        <v>3941</v>
      </c>
      <c r="R27" s="714"/>
      <c r="S27" s="656"/>
      <c r="T27" s="625"/>
      <c r="U27" s="625"/>
      <c r="V27" s="625"/>
      <c r="W27" s="625"/>
      <c r="X27" s="625"/>
      <c r="Y27" s="625"/>
      <c r="Z27" s="656"/>
      <c r="AA27" s="756"/>
      <c r="AB27" s="641"/>
      <c r="AC27" s="625"/>
      <c r="AD27" s="625"/>
      <c r="AE27" s="625"/>
      <c r="AF27" s="625"/>
      <c r="AG27" s="657"/>
      <c r="AH27" s="165"/>
      <c r="AI27" s="165"/>
      <c r="AJ27" s="165"/>
      <c r="AK27" s="165"/>
      <c r="AL27" s="165"/>
      <c r="AM27" s="165"/>
      <c r="AN27" s="684">
        <f t="shared" si="44"/>
        <v>2146</v>
      </c>
      <c r="AO27" s="180"/>
      <c r="AP27" s="685">
        <v>21.0</v>
      </c>
      <c r="AQ27" s="685">
        <v>18.0</v>
      </c>
      <c r="AR27" s="685">
        <v>173.0</v>
      </c>
      <c r="AS27" s="685">
        <v>1097.0</v>
      </c>
      <c r="AT27" s="685">
        <v>837.0</v>
      </c>
      <c r="AU27" s="684">
        <f t="shared" si="45"/>
        <v>407</v>
      </c>
      <c r="AV27" s="180"/>
      <c r="AW27" s="685">
        <v>0.0</v>
      </c>
      <c r="AX27" s="685">
        <v>0.0</v>
      </c>
      <c r="AY27" s="685">
        <v>43.0</v>
      </c>
      <c r="AZ27" s="685">
        <v>178.0</v>
      </c>
      <c r="BA27" s="710">
        <v>186.0</v>
      </c>
      <c r="BB27" s="685"/>
      <c r="BC27" s="685"/>
      <c r="BD27" s="715" t="s">
        <v>695</v>
      </c>
      <c r="BE27" s="688" t="s">
        <v>3303</v>
      </c>
      <c r="BF27" s="695" t="s">
        <v>3304</v>
      </c>
      <c r="BG27" s="695" t="s">
        <v>3305</v>
      </c>
      <c r="BH27" s="695" t="s">
        <v>3306</v>
      </c>
      <c r="BI27" s="180" t="s">
        <v>3307</v>
      </c>
      <c r="BJ27" s="180" t="s">
        <v>3308</v>
      </c>
      <c r="BK27" s="781"/>
      <c r="BL27" s="201"/>
      <c r="BM27" s="753"/>
    </row>
    <row r="28">
      <c r="A28" s="675"/>
      <c r="B28" s="712" t="s">
        <v>3944</v>
      </c>
      <c r="C28" s="676" t="s">
        <v>2113</v>
      </c>
      <c r="D28" s="713">
        <v>95.0</v>
      </c>
      <c r="E28" s="632" t="s">
        <v>3102</v>
      </c>
      <c r="F28" s="71" t="str">
        <f t="shared" ref="F28:G28" si="49">H28+J28+L28+N28+P28</f>
        <v>#VALUE!</v>
      </c>
      <c r="G28" s="679" t="str">
        <f t="shared" si="49"/>
        <v>#VALUE!</v>
      </c>
      <c r="H28" s="641" t="s">
        <v>3941</v>
      </c>
      <c r="I28" s="680" t="s">
        <v>3941</v>
      </c>
      <c r="J28" s="641" t="s">
        <v>3941</v>
      </c>
      <c r="K28" s="680" t="s">
        <v>3941</v>
      </c>
      <c r="L28" s="641" t="s">
        <v>3941</v>
      </c>
      <c r="M28" s="680" t="s">
        <v>3941</v>
      </c>
      <c r="N28" s="641" t="s">
        <v>3941</v>
      </c>
      <c r="O28" s="680" t="s">
        <v>3941</v>
      </c>
      <c r="P28" s="641" t="s">
        <v>3941</v>
      </c>
      <c r="Q28" s="680" t="s">
        <v>3941</v>
      </c>
      <c r="R28" s="714"/>
      <c r="S28" s="783">
        <f>SUM(U28:Y28)</f>
        <v>-5773</v>
      </c>
      <c r="T28" s="784">
        <v>2624.0</v>
      </c>
      <c r="U28" s="784">
        <v>-140.0</v>
      </c>
      <c r="V28" s="784">
        <v>1593.0</v>
      </c>
      <c r="W28" s="784">
        <v>-10106.0</v>
      </c>
      <c r="X28" s="784">
        <v>542.0</v>
      </c>
      <c r="Y28" s="784">
        <v>2338.0</v>
      </c>
      <c r="Z28" s="682">
        <f>SUM(AB28:AF28)</f>
        <v>7709</v>
      </c>
      <c r="AA28" s="785">
        <v>2745.0</v>
      </c>
      <c r="AB28" s="785">
        <v>3017.0</v>
      </c>
      <c r="AC28" s="785">
        <v>1879.0</v>
      </c>
      <c r="AD28" s="785">
        <v>1245.0</v>
      </c>
      <c r="AE28" s="785">
        <v>1002.0</v>
      </c>
      <c r="AF28" s="785">
        <v>566.0</v>
      </c>
      <c r="AG28" s="657">
        <f>Z28/S28</f>
        <v>-1.335354235</v>
      </c>
      <c r="AH28" s="165"/>
      <c r="AI28" s="165">
        <f t="shared" ref="AI28:AM28" si="50">AB28/U28</f>
        <v>-21.55</v>
      </c>
      <c r="AJ28" s="165">
        <f t="shared" si="50"/>
        <v>1.179535468</v>
      </c>
      <c r="AK28" s="165">
        <f t="shared" si="50"/>
        <v>-0.1231941421</v>
      </c>
      <c r="AL28" s="165">
        <f t="shared" si="50"/>
        <v>1.848708487</v>
      </c>
      <c r="AM28" s="165">
        <f t="shared" si="50"/>
        <v>0.2420872541</v>
      </c>
      <c r="AN28" s="684">
        <f t="shared" si="44"/>
        <v>25747</v>
      </c>
      <c r="AO28" s="180"/>
      <c r="AP28" s="685">
        <v>8001.0</v>
      </c>
      <c r="AQ28" s="685">
        <v>6287.0</v>
      </c>
      <c r="AR28" s="685">
        <v>1546.0</v>
      </c>
      <c r="AS28" s="685">
        <v>7300.0</v>
      </c>
      <c r="AT28" s="685">
        <v>2613.0</v>
      </c>
      <c r="AU28" s="684">
        <f t="shared" si="45"/>
        <v>18397</v>
      </c>
      <c r="AV28" s="180"/>
      <c r="AW28" s="685">
        <v>4634.0</v>
      </c>
      <c r="AX28" s="685">
        <v>4396.0</v>
      </c>
      <c r="AY28" s="685">
        <v>4075.0</v>
      </c>
      <c r="AZ28" s="685">
        <v>2679.0</v>
      </c>
      <c r="BA28" s="710">
        <v>2613.0</v>
      </c>
      <c r="BB28" s="685"/>
      <c r="BC28" s="685"/>
      <c r="BD28" s="715" t="s">
        <v>695</v>
      </c>
      <c r="BE28" s="688" t="s">
        <v>3303</v>
      </c>
      <c r="BF28" s="695" t="s">
        <v>3304</v>
      </c>
      <c r="BG28" s="695" t="s">
        <v>3305</v>
      </c>
      <c r="BH28" s="695" t="s">
        <v>3306</v>
      </c>
      <c r="BI28" s="180" t="s">
        <v>3307</v>
      </c>
      <c r="BJ28" s="180" t="s">
        <v>3308</v>
      </c>
      <c r="BK28" s="781"/>
      <c r="BL28" s="201"/>
      <c r="BM28" s="753"/>
    </row>
    <row r="29">
      <c r="A29" s="675"/>
      <c r="B29" s="712" t="s">
        <v>3945</v>
      </c>
      <c r="C29" s="676" t="s">
        <v>2113</v>
      </c>
      <c r="D29" s="713">
        <v>52.0</v>
      </c>
      <c r="E29" s="632" t="s">
        <v>2681</v>
      </c>
      <c r="F29" s="71" t="str">
        <f t="shared" ref="F29:G29" si="51">H29+J29+L29+N29+P29</f>
        <v>#VALUE!</v>
      </c>
      <c r="G29" s="679" t="str">
        <f t="shared" si="51"/>
        <v>#VALUE!</v>
      </c>
      <c r="H29" s="641" t="s">
        <v>3941</v>
      </c>
      <c r="I29" s="680" t="s">
        <v>3941</v>
      </c>
      <c r="J29" s="641" t="s">
        <v>3941</v>
      </c>
      <c r="K29" s="680" t="s">
        <v>3941</v>
      </c>
      <c r="L29" s="641" t="s">
        <v>3941</v>
      </c>
      <c r="M29" s="680" t="s">
        <v>3941</v>
      </c>
      <c r="N29" s="641" t="s">
        <v>3941</v>
      </c>
      <c r="O29" s="680" t="s">
        <v>3941</v>
      </c>
      <c r="P29" s="641" t="s">
        <v>3941</v>
      </c>
      <c r="Q29" s="680" t="s">
        <v>3941</v>
      </c>
      <c r="R29" s="714"/>
      <c r="S29" s="656"/>
      <c r="T29" s="625"/>
      <c r="U29" s="625"/>
      <c r="V29" s="625"/>
      <c r="W29" s="625"/>
      <c r="X29" s="625"/>
      <c r="Y29" s="625"/>
      <c r="Z29" s="656"/>
      <c r="AA29" s="756"/>
      <c r="AB29" s="641"/>
      <c r="AC29" s="625"/>
      <c r="AD29" s="625"/>
      <c r="AE29" s="625"/>
      <c r="AF29" s="625"/>
      <c r="AG29" s="657"/>
      <c r="AH29" s="165"/>
      <c r="AI29" s="165"/>
      <c r="AJ29" s="165"/>
      <c r="AK29" s="165"/>
      <c r="AL29" s="165"/>
      <c r="AM29" s="165"/>
      <c r="AN29" s="684">
        <f t="shared" si="44"/>
        <v>1183</v>
      </c>
      <c r="AO29" s="625">
        <v>0.0</v>
      </c>
      <c r="AP29" s="685">
        <v>1048.0</v>
      </c>
      <c r="AQ29" s="685">
        <v>107.0</v>
      </c>
      <c r="AR29" s="685">
        <v>28.0</v>
      </c>
      <c r="AS29" s="685">
        <v>0.0</v>
      </c>
      <c r="AT29" s="685">
        <v>0.0</v>
      </c>
      <c r="AU29" s="684">
        <f t="shared" si="45"/>
        <v>6985</v>
      </c>
      <c r="AV29" s="685">
        <v>589.0</v>
      </c>
      <c r="AW29" s="685">
        <v>639.0</v>
      </c>
      <c r="AX29" s="685">
        <v>575.0</v>
      </c>
      <c r="AY29" s="685">
        <v>648.0</v>
      </c>
      <c r="AZ29" s="685">
        <v>649.0</v>
      </c>
      <c r="BA29" s="710">
        <v>4474.0</v>
      </c>
      <c r="BB29" s="685"/>
      <c r="BC29" s="685"/>
      <c r="BD29" s="695" t="s">
        <v>695</v>
      </c>
      <c r="BE29" s="186" t="s">
        <v>3303</v>
      </c>
      <c r="BF29" s="695" t="s">
        <v>3304</v>
      </c>
      <c r="BG29" s="695" t="s">
        <v>3305</v>
      </c>
      <c r="BH29" s="695" t="s">
        <v>3306</v>
      </c>
      <c r="BI29" s="695" t="s">
        <v>3307</v>
      </c>
      <c r="BJ29" s="695" t="s">
        <v>3308</v>
      </c>
      <c r="BK29" s="781"/>
      <c r="BL29" s="201"/>
      <c r="BM29" s="753"/>
    </row>
    <row r="30">
      <c r="A30" s="675"/>
      <c r="B30" s="786" t="s">
        <v>3946</v>
      </c>
      <c r="C30" s="676" t="s">
        <v>2113</v>
      </c>
      <c r="D30" s="713">
        <v>107.0</v>
      </c>
      <c r="E30" s="714" t="s">
        <v>3947</v>
      </c>
      <c r="F30" s="71" t="str">
        <f t="shared" ref="F30:G30" si="52">H30+J30+L30+N30+P30</f>
        <v>#VALUE!</v>
      </c>
      <c r="G30" s="679" t="str">
        <f t="shared" si="52"/>
        <v>#VALUE!</v>
      </c>
      <c r="H30" s="641" t="s">
        <v>3941</v>
      </c>
      <c r="I30" s="680" t="s">
        <v>3941</v>
      </c>
      <c r="J30" s="641" t="s">
        <v>3941</v>
      </c>
      <c r="K30" s="680" t="s">
        <v>3941</v>
      </c>
      <c r="L30" s="641" t="s">
        <v>3941</v>
      </c>
      <c r="M30" s="680" t="s">
        <v>3941</v>
      </c>
      <c r="N30" s="641" t="s">
        <v>3941</v>
      </c>
      <c r="O30" s="680" t="s">
        <v>3941</v>
      </c>
      <c r="P30" s="641" t="s">
        <v>3941</v>
      </c>
      <c r="Q30" s="680" t="s">
        <v>3941</v>
      </c>
      <c r="R30" s="714"/>
      <c r="S30" s="656"/>
      <c r="T30" s="625"/>
      <c r="U30" s="625"/>
      <c r="V30" s="625"/>
      <c r="W30" s="625"/>
      <c r="X30" s="625"/>
      <c r="Y30" s="625"/>
      <c r="Z30" s="656"/>
      <c r="AA30" s="756"/>
      <c r="AB30" s="641"/>
      <c r="AC30" s="625"/>
      <c r="AD30" s="625"/>
      <c r="AE30" s="625"/>
      <c r="AF30" s="625"/>
      <c r="AG30" s="657"/>
      <c r="AH30" s="165"/>
      <c r="AI30" s="165"/>
      <c r="AJ30" s="165"/>
      <c r="AK30" s="165"/>
      <c r="AL30" s="165"/>
      <c r="AM30" s="165"/>
      <c r="AN30" s="684">
        <f t="shared" si="44"/>
        <v>2282.92</v>
      </c>
      <c r="AO30" s="685">
        <v>57.663</v>
      </c>
      <c r="AP30" s="685">
        <v>1371.7</v>
      </c>
      <c r="AQ30" s="685">
        <v>7.058</v>
      </c>
      <c r="AR30" s="685">
        <v>7.642</v>
      </c>
      <c r="AS30" s="685">
        <v>533.08</v>
      </c>
      <c r="AT30" s="685">
        <v>363.44</v>
      </c>
      <c r="AU30" s="684">
        <f t="shared" si="45"/>
        <v>1001.591</v>
      </c>
      <c r="AV30" s="685">
        <v>340.736</v>
      </c>
      <c r="AW30" s="685">
        <v>255.928</v>
      </c>
      <c r="AX30" s="685">
        <v>57.663</v>
      </c>
      <c r="AY30" s="685">
        <v>229.0</v>
      </c>
      <c r="AZ30" s="685">
        <v>225.0</v>
      </c>
      <c r="BA30" s="710">
        <v>234.0</v>
      </c>
      <c r="BB30" s="685"/>
      <c r="BC30" s="685"/>
      <c r="BD30" s="715" t="s">
        <v>695</v>
      </c>
      <c r="BE30" s="186" t="s">
        <v>3303</v>
      </c>
      <c r="BF30" s="688"/>
      <c r="BG30" s="688"/>
      <c r="BH30" s="688"/>
      <c r="BI30" s="179"/>
      <c r="BJ30" s="179"/>
      <c r="BK30" s="787"/>
      <c r="BL30" s="201"/>
      <c r="BM30" s="753"/>
    </row>
    <row r="31">
      <c r="A31" s="675"/>
      <c r="B31" s="712" t="s">
        <v>3948</v>
      </c>
      <c r="C31" s="676" t="s">
        <v>2113</v>
      </c>
      <c r="D31" s="713">
        <v>40.0</v>
      </c>
      <c r="E31" s="632" t="s">
        <v>2711</v>
      </c>
      <c r="F31" s="71" t="str">
        <f t="shared" ref="F31:G31" si="53">H31+J31+L31+N31+P31</f>
        <v>#VALUE!</v>
      </c>
      <c r="G31" s="679" t="str">
        <f t="shared" si="53"/>
        <v>#VALUE!</v>
      </c>
      <c r="H31" s="641" t="s">
        <v>3941</v>
      </c>
      <c r="I31" s="680" t="s">
        <v>3941</v>
      </c>
      <c r="J31" s="641" t="s">
        <v>3941</v>
      </c>
      <c r="K31" s="680" t="s">
        <v>3941</v>
      </c>
      <c r="L31" s="641" t="s">
        <v>3941</v>
      </c>
      <c r="M31" s="680" t="s">
        <v>3941</v>
      </c>
      <c r="N31" s="641" t="s">
        <v>3941</v>
      </c>
      <c r="O31" s="680" t="s">
        <v>3941</v>
      </c>
      <c r="P31" s="641" t="s">
        <v>3941</v>
      </c>
      <c r="Q31" s="680" t="s">
        <v>3941</v>
      </c>
      <c r="R31" s="714"/>
      <c r="S31" s="682">
        <f>SUM(U31:Y31)</f>
        <v>25034</v>
      </c>
      <c r="T31" s="785">
        <f>-2033-135</f>
        <v>-2168</v>
      </c>
      <c r="U31" s="785">
        <f>5369-20</f>
        <v>5349</v>
      </c>
      <c r="V31" s="785">
        <f>6110-34</f>
        <v>6076</v>
      </c>
      <c r="W31" s="785">
        <f>4312-56</f>
        <v>4256</v>
      </c>
      <c r="X31" s="785">
        <f>3543--186</f>
        <v>3729</v>
      </c>
      <c r="Y31" s="785">
        <f>5575--49</f>
        <v>5624</v>
      </c>
      <c r="Z31" s="682">
        <f>SUM(AB31:AF31)</f>
        <v>8154</v>
      </c>
      <c r="AA31" s="180">
        <v>2705.0</v>
      </c>
      <c r="AB31" s="180">
        <v>2378.0</v>
      </c>
      <c r="AC31" s="180">
        <v>1525.0</v>
      </c>
      <c r="AD31" s="180">
        <v>1026.0</v>
      </c>
      <c r="AE31" s="180">
        <v>1941.0</v>
      </c>
      <c r="AF31" s="180">
        <f>1081+203</f>
        <v>1284</v>
      </c>
      <c r="AG31" s="657">
        <f>Z31/S31</f>
        <v>0.3257170248</v>
      </c>
      <c r="AH31" s="165"/>
      <c r="AI31" s="165">
        <f t="shared" ref="AI31:AM31" si="54">AB31/U31</f>
        <v>0.4445690783</v>
      </c>
      <c r="AJ31" s="165">
        <f t="shared" si="54"/>
        <v>0.2509874918</v>
      </c>
      <c r="AK31" s="165">
        <f t="shared" si="54"/>
        <v>0.2410714286</v>
      </c>
      <c r="AL31" s="165">
        <f t="shared" si="54"/>
        <v>0.5205148833</v>
      </c>
      <c r="AM31" s="165">
        <f t="shared" si="54"/>
        <v>0.2283072546</v>
      </c>
      <c r="AN31" s="684">
        <f t="shared" si="44"/>
        <v>25326</v>
      </c>
      <c r="AO31" s="180"/>
      <c r="AP31" s="685">
        <v>6035.0</v>
      </c>
      <c r="AQ31" s="685">
        <v>3456.0</v>
      </c>
      <c r="AR31" s="685">
        <v>3221.0</v>
      </c>
      <c r="AS31" s="685">
        <v>6746.0</v>
      </c>
      <c r="AT31" s="685">
        <v>5868.0</v>
      </c>
      <c r="AU31" s="684">
        <f t="shared" si="45"/>
        <v>52606</v>
      </c>
      <c r="AV31" s="180"/>
      <c r="AW31" s="685">
        <v>11682.0</v>
      </c>
      <c r="AX31" s="685">
        <v>11032.0</v>
      </c>
      <c r="AY31" s="685">
        <v>10481.0</v>
      </c>
      <c r="AZ31" s="685">
        <v>9917.0</v>
      </c>
      <c r="BA31" s="710">
        <v>9494.0</v>
      </c>
      <c r="BB31" s="685"/>
      <c r="BC31" s="685"/>
      <c r="BD31" s="788" t="s">
        <v>695</v>
      </c>
      <c r="BE31" s="688" t="s">
        <v>3303</v>
      </c>
      <c r="BF31" s="695" t="s">
        <v>3304</v>
      </c>
      <c r="BG31" s="695" t="s">
        <v>3305</v>
      </c>
      <c r="BH31" s="695" t="s">
        <v>3306</v>
      </c>
      <c r="BI31" s="695" t="s">
        <v>3307</v>
      </c>
      <c r="BJ31" s="695" t="s">
        <v>3308</v>
      </c>
      <c r="BK31" s="781"/>
      <c r="BL31" s="201"/>
      <c r="BM31" s="753"/>
    </row>
    <row r="32">
      <c r="A32" s="675"/>
      <c r="B32" s="712" t="s">
        <v>3949</v>
      </c>
      <c r="C32" s="676" t="s">
        <v>2113</v>
      </c>
      <c r="D32" s="789">
        <v>288.0</v>
      </c>
      <c r="E32" s="714" t="s">
        <v>3950</v>
      </c>
      <c r="F32" s="71" t="str">
        <f t="shared" ref="F32:G32" si="55">H32+J32+L32+N32+P32</f>
        <v>#VALUE!</v>
      </c>
      <c r="G32" s="679" t="str">
        <f t="shared" si="55"/>
        <v>#VALUE!</v>
      </c>
      <c r="H32" s="641" t="s">
        <v>3941</v>
      </c>
      <c r="I32" s="680" t="s">
        <v>3941</v>
      </c>
      <c r="J32" s="641" t="s">
        <v>3941</v>
      </c>
      <c r="K32" s="680" t="s">
        <v>3941</v>
      </c>
      <c r="L32" s="641" t="s">
        <v>3941</v>
      </c>
      <c r="M32" s="680" t="s">
        <v>3941</v>
      </c>
      <c r="N32" s="641" t="s">
        <v>3941</v>
      </c>
      <c r="O32" s="680" t="s">
        <v>3941</v>
      </c>
      <c r="P32" s="641" t="s">
        <v>3941</v>
      </c>
      <c r="Q32" s="680" t="s">
        <v>3941</v>
      </c>
      <c r="R32" s="714"/>
      <c r="S32" s="656"/>
      <c r="T32" s="625"/>
      <c r="U32" s="625"/>
      <c r="V32" s="625"/>
      <c r="W32" s="625"/>
      <c r="X32" s="625"/>
      <c r="Y32" s="625"/>
      <c r="Z32" s="656"/>
      <c r="AA32" s="756"/>
      <c r="AB32" s="641"/>
      <c r="AC32" s="625"/>
      <c r="AD32" s="625"/>
      <c r="AE32" s="625"/>
      <c r="AF32" s="625"/>
      <c r="AG32" s="657"/>
      <c r="AH32" s="165"/>
      <c r="AI32" s="165"/>
      <c r="AJ32" s="165"/>
      <c r="AK32" s="165"/>
      <c r="AL32" s="165"/>
      <c r="AM32" s="165"/>
      <c r="AN32" s="684">
        <f t="shared" si="44"/>
        <v>1241</v>
      </c>
      <c r="AO32" s="685">
        <v>75.0</v>
      </c>
      <c r="AP32" s="685">
        <v>52.0</v>
      </c>
      <c r="AQ32" s="685">
        <v>101.0</v>
      </c>
      <c r="AR32" s="685">
        <v>84.0</v>
      </c>
      <c r="AS32" s="685">
        <v>262.0</v>
      </c>
      <c r="AT32" s="685">
        <v>742.0</v>
      </c>
      <c r="AU32" s="684">
        <f t="shared" si="45"/>
        <v>831</v>
      </c>
      <c r="AV32" s="685">
        <v>200.0</v>
      </c>
      <c r="AW32" s="685">
        <v>192.0</v>
      </c>
      <c r="AX32" s="685">
        <v>186.0</v>
      </c>
      <c r="AY32" s="685">
        <v>172.0</v>
      </c>
      <c r="AZ32" s="685">
        <v>149.0</v>
      </c>
      <c r="BA32" s="710">
        <v>132.0</v>
      </c>
      <c r="BB32" s="685"/>
      <c r="BC32" s="685"/>
      <c r="BD32" s="695" t="s">
        <v>695</v>
      </c>
      <c r="BE32" s="186" t="s">
        <v>3303</v>
      </c>
      <c r="BF32" s="688"/>
      <c r="BG32" s="688"/>
      <c r="BH32" s="688"/>
      <c r="BI32" s="179"/>
      <c r="BJ32" s="179"/>
      <c r="BK32" s="787"/>
      <c r="BL32" s="201"/>
      <c r="BM32" s="753"/>
    </row>
    <row r="33">
      <c r="A33" s="675"/>
      <c r="B33" s="712" t="s">
        <v>3951</v>
      </c>
      <c r="C33" s="790" t="s">
        <v>1919</v>
      </c>
      <c r="D33" s="713">
        <v>56.0</v>
      </c>
      <c r="E33" s="632" t="s">
        <v>2889</v>
      </c>
      <c r="F33" s="71" t="str">
        <f t="shared" ref="F33:G33" si="56">H33+J33+L33+N33+P33</f>
        <v>#VALUE!</v>
      </c>
      <c r="G33" s="679" t="str">
        <f t="shared" si="56"/>
        <v>#VALUE!</v>
      </c>
      <c r="H33" s="641" t="s">
        <v>3941</v>
      </c>
      <c r="I33" s="680" t="s">
        <v>3941</v>
      </c>
      <c r="J33" s="641" t="s">
        <v>3941</v>
      </c>
      <c r="K33" s="680" t="s">
        <v>3941</v>
      </c>
      <c r="L33" s="641" t="s">
        <v>3941</v>
      </c>
      <c r="M33" s="680" t="s">
        <v>3941</v>
      </c>
      <c r="N33" s="641" t="s">
        <v>3941</v>
      </c>
      <c r="O33" s="680" t="s">
        <v>3941</v>
      </c>
      <c r="P33" s="641" t="s">
        <v>3941</v>
      </c>
      <c r="Q33" s="680" t="s">
        <v>3941</v>
      </c>
      <c r="R33" s="714"/>
      <c r="S33" s="656"/>
      <c r="T33" s="625"/>
      <c r="U33" s="625"/>
      <c r="V33" s="625"/>
      <c r="W33" s="625"/>
      <c r="X33" s="625"/>
      <c r="Y33" s="625"/>
      <c r="Z33" s="656"/>
      <c r="AA33" s="756"/>
      <c r="AB33" s="641"/>
      <c r="AC33" s="625"/>
      <c r="AD33" s="625"/>
      <c r="AE33" s="625"/>
      <c r="AF33" s="625"/>
      <c r="AG33" s="657"/>
      <c r="AH33" s="165"/>
      <c r="AI33" s="165"/>
      <c r="AJ33" s="165"/>
      <c r="AK33" s="165"/>
      <c r="AL33" s="165"/>
      <c r="AM33" s="165"/>
      <c r="AN33" s="684">
        <f t="shared" si="44"/>
        <v>3346</v>
      </c>
      <c r="AO33" s="180"/>
      <c r="AP33" s="685">
        <v>500.0</v>
      </c>
      <c r="AQ33" s="685">
        <v>0.0</v>
      </c>
      <c r="AR33" s="685">
        <v>845.0</v>
      </c>
      <c r="AS33" s="685">
        <v>1022.0</v>
      </c>
      <c r="AT33" s="685">
        <v>979.0</v>
      </c>
      <c r="AU33" s="684">
        <f t="shared" si="45"/>
        <v>4230</v>
      </c>
      <c r="AV33" s="180"/>
      <c r="AW33" s="685">
        <v>959.0</v>
      </c>
      <c r="AX33" s="685">
        <v>918.0</v>
      </c>
      <c r="AY33" s="685">
        <v>856.0</v>
      </c>
      <c r="AZ33" s="685">
        <v>775.0</v>
      </c>
      <c r="BA33" s="710">
        <v>722.0</v>
      </c>
      <c r="BB33" s="685"/>
      <c r="BC33" s="685"/>
      <c r="BD33" s="695" t="s">
        <v>695</v>
      </c>
      <c r="BE33" s="688" t="s">
        <v>3303</v>
      </c>
      <c r="BF33" s="695" t="s">
        <v>3304</v>
      </c>
      <c r="BG33" s="695" t="s">
        <v>3305</v>
      </c>
      <c r="BH33" s="695" t="s">
        <v>3306</v>
      </c>
      <c r="BI33" s="180" t="s">
        <v>3307</v>
      </c>
      <c r="BJ33" s="180" t="s">
        <v>3308</v>
      </c>
      <c r="BK33" s="781"/>
      <c r="BL33" s="201"/>
      <c r="BM33" s="753"/>
    </row>
    <row r="34">
      <c r="A34" s="675"/>
      <c r="B34" s="712" t="s">
        <v>3952</v>
      </c>
      <c r="C34" s="711" t="s">
        <v>2317</v>
      </c>
      <c r="D34" s="713">
        <v>80.0</v>
      </c>
      <c r="E34" s="632" t="s">
        <v>2974</v>
      </c>
      <c r="F34" s="71" t="str">
        <f t="shared" ref="F34:G34" si="57">H34+J34+L34+N34+P34</f>
        <v>#VALUE!</v>
      </c>
      <c r="G34" s="679" t="str">
        <f t="shared" si="57"/>
        <v>#VALUE!</v>
      </c>
      <c r="H34" s="641" t="s">
        <v>3941</v>
      </c>
      <c r="I34" s="680" t="s">
        <v>3941</v>
      </c>
      <c r="J34" s="641" t="s">
        <v>3941</v>
      </c>
      <c r="K34" s="680" t="s">
        <v>3941</v>
      </c>
      <c r="L34" s="641" t="s">
        <v>3941</v>
      </c>
      <c r="M34" s="680" t="s">
        <v>3941</v>
      </c>
      <c r="N34" s="641" t="s">
        <v>3941</v>
      </c>
      <c r="O34" s="680" t="s">
        <v>3941</v>
      </c>
      <c r="P34" s="641" t="s">
        <v>3941</v>
      </c>
      <c r="Q34" s="680" t="s">
        <v>3941</v>
      </c>
      <c r="R34" s="714"/>
      <c r="S34" s="656"/>
      <c r="T34" s="625"/>
      <c r="U34" s="625"/>
      <c r="V34" s="625"/>
      <c r="W34" s="625"/>
      <c r="X34" s="625"/>
      <c r="Y34" s="625"/>
      <c r="Z34" s="656"/>
      <c r="AA34" s="756"/>
      <c r="AB34" s="641"/>
      <c r="AC34" s="625"/>
      <c r="AD34" s="625"/>
      <c r="AE34" s="625"/>
      <c r="AF34" s="625"/>
      <c r="AG34" s="657"/>
      <c r="AH34" s="165"/>
      <c r="AI34" s="165"/>
      <c r="AJ34" s="165"/>
      <c r="AK34" s="165"/>
      <c r="AL34" s="165"/>
      <c r="AM34" s="165"/>
      <c r="AN34" s="684">
        <f t="shared" si="44"/>
        <v>1655</v>
      </c>
      <c r="AO34" s="180"/>
      <c r="AP34" s="685">
        <v>702.0</v>
      </c>
      <c r="AQ34" s="685">
        <v>67.0</v>
      </c>
      <c r="AR34" s="685">
        <v>207.0</v>
      </c>
      <c r="AS34" s="685">
        <v>252.0</v>
      </c>
      <c r="AT34" s="685">
        <v>427.0</v>
      </c>
      <c r="AU34" s="684">
        <f t="shared" si="45"/>
        <v>2858</v>
      </c>
      <c r="AV34" s="180"/>
      <c r="AW34" s="685">
        <v>653.0</v>
      </c>
      <c r="AX34" s="685">
        <v>636.0</v>
      </c>
      <c r="AY34" s="685">
        <v>601.0</v>
      </c>
      <c r="AZ34" s="685">
        <v>537.0</v>
      </c>
      <c r="BA34" s="710">
        <v>431.0</v>
      </c>
      <c r="BB34" s="685"/>
      <c r="BC34" s="685"/>
      <c r="BD34" s="715" t="s">
        <v>695</v>
      </c>
      <c r="BE34" s="688" t="s">
        <v>3303</v>
      </c>
      <c r="BF34" s="695" t="s">
        <v>3304</v>
      </c>
      <c r="BG34" s="695" t="s">
        <v>3305</v>
      </c>
      <c r="BH34" s="695" t="s">
        <v>3306</v>
      </c>
      <c r="BI34" s="180" t="s">
        <v>3307</v>
      </c>
      <c r="BJ34" s="180" t="s">
        <v>3308</v>
      </c>
      <c r="BK34" s="781"/>
      <c r="BL34" s="201"/>
      <c r="BM34" s="753"/>
    </row>
    <row r="35">
      <c r="A35" s="148" t="s">
        <v>3384</v>
      </c>
      <c r="B35" s="712" t="s">
        <v>3953</v>
      </c>
      <c r="C35" s="676" t="s">
        <v>2113</v>
      </c>
      <c r="D35" s="713">
        <v>180.0</v>
      </c>
      <c r="E35" s="714" t="s">
        <v>3954</v>
      </c>
      <c r="F35" s="71">
        <f t="shared" ref="F35:G35" si="58">H35+J35+L35+N35+P35</f>
        <v>-20914</v>
      </c>
      <c r="G35" s="679">
        <f t="shared" si="58"/>
        <v>-31</v>
      </c>
      <c r="H35" s="641">
        <v>476.0</v>
      </c>
      <c r="I35" s="680">
        <v>-1.0</v>
      </c>
      <c r="J35" s="641">
        <v>782.0</v>
      </c>
      <c r="K35" s="680">
        <v>0.0</v>
      </c>
      <c r="L35" s="641">
        <v>-908.0</v>
      </c>
      <c r="M35" s="680">
        <v>-26.0</v>
      </c>
      <c r="N35" s="641">
        <v>-11143.0</v>
      </c>
      <c r="O35" s="680">
        <v>1.0</v>
      </c>
      <c r="P35" s="641">
        <v>-10121.0</v>
      </c>
      <c r="Q35" s="680">
        <v>-5.0</v>
      </c>
      <c r="R35" s="714"/>
      <c r="S35" s="682">
        <f t="shared" ref="S35:S60" si="61">SUM(U35:Y35)</f>
        <v>-20914</v>
      </c>
      <c r="T35" s="683"/>
      <c r="U35" s="625">
        <f t="shared" ref="U35:U60" si="62">H35</f>
        <v>476</v>
      </c>
      <c r="V35" s="625">
        <f t="shared" ref="V35:V60" si="63">J35</f>
        <v>782</v>
      </c>
      <c r="W35" s="625">
        <f t="shared" ref="W35:W60" si="64">L35</f>
        <v>-908</v>
      </c>
      <c r="X35" s="625">
        <f t="shared" ref="X35:X60" si="65">N35</f>
        <v>-11143</v>
      </c>
      <c r="Y35" s="625">
        <f t="shared" ref="Y35:Y60" si="66">P35</f>
        <v>-10121</v>
      </c>
      <c r="Z35" s="656">
        <f t="shared" ref="Z35:Z60" si="67">SUM(AB35:AF35)</f>
        <v>-31</v>
      </c>
      <c r="AA35" s="683"/>
      <c r="AB35" s="625">
        <f t="shared" ref="AB35:AB60" si="68">I35</f>
        <v>-1</v>
      </c>
      <c r="AC35" s="625">
        <f t="shared" ref="AC35:AC60" si="69">K35</f>
        <v>0</v>
      </c>
      <c r="AD35" s="625">
        <f t="shared" ref="AD35:AD60" si="70">M35</f>
        <v>-26</v>
      </c>
      <c r="AE35" s="625">
        <f t="shared" ref="AE35:AE60" si="71">O35</f>
        <v>1</v>
      </c>
      <c r="AF35" s="625">
        <f t="shared" ref="AF35:AF60" si="72">Q35</f>
        <v>-5</v>
      </c>
      <c r="AG35" s="791">
        <f t="shared" ref="AG35:AG41" si="73">Z35/S35</f>
        <v>0.001482260687</v>
      </c>
      <c r="AH35" s="165"/>
      <c r="AI35" s="165">
        <f t="shared" ref="AI35:AM35" si="59">AB35/U35</f>
        <v>-0.002100840336</v>
      </c>
      <c r="AJ35" s="165">
        <f t="shared" si="59"/>
        <v>0</v>
      </c>
      <c r="AK35" s="165">
        <f t="shared" si="59"/>
        <v>0.02863436123</v>
      </c>
      <c r="AL35" s="165">
        <f t="shared" si="59"/>
        <v>-0.0000897424392</v>
      </c>
      <c r="AM35" s="165">
        <f t="shared" si="59"/>
        <v>0.0004940223298</v>
      </c>
      <c r="AN35" s="684">
        <f t="shared" si="44"/>
        <v>0</v>
      </c>
      <c r="AO35" s="685">
        <v>0.0</v>
      </c>
      <c r="AP35" s="685">
        <v>0.0</v>
      </c>
      <c r="AQ35" s="685">
        <v>0.0</v>
      </c>
      <c r="AR35" s="685">
        <v>0.0</v>
      </c>
      <c r="AS35" s="685">
        <v>0.0</v>
      </c>
      <c r="AT35" s="685">
        <v>0.0</v>
      </c>
      <c r="AU35" s="684">
        <f t="shared" si="45"/>
        <v>1345</v>
      </c>
      <c r="AV35" s="180">
        <f>14+1175</f>
        <v>1189</v>
      </c>
      <c r="AW35" s="180">
        <f>70+1275</f>
        <v>1345</v>
      </c>
      <c r="AX35" s="180">
        <v>0.0</v>
      </c>
      <c r="AY35" s="180">
        <v>0.0</v>
      </c>
      <c r="AZ35" s="180">
        <v>0.0</v>
      </c>
      <c r="BA35" s="710">
        <v>0.0</v>
      </c>
      <c r="BB35" s="685"/>
      <c r="BC35" s="685"/>
      <c r="BD35" s="715" t="s">
        <v>695</v>
      </c>
      <c r="BE35" s="186" t="s">
        <v>3303</v>
      </c>
      <c r="BF35" s="688"/>
      <c r="BG35" s="688"/>
      <c r="BH35" s="688"/>
      <c r="BI35" s="179"/>
      <c r="BJ35" s="179"/>
      <c r="BK35" s="787"/>
      <c r="BL35" s="201"/>
      <c r="BM35" s="753"/>
    </row>
    <row r="36">
      <c r="A36" s="148" t="s">
        <v>3384</v>
      </c>
      <c r="B36" s="712" t="s">
        <v>3955</v>
      </c>
      <c r="C36" s="676" t="s">
        <v>2113</v>
      </c>
      <c r="D36" s="713">
        <v>127.0</v>
      </c>
      <c r="E36" s="714" t="s">
        <v>3956</v>
      </c>
      <c r="F36" s="71">
        <f t="shared" ref="F36:G36" si="60">H36+J36+L36+N36+P36</f>
        <v>-20078</v>
      </c>
      <c r="G36" s="679">
        <f t="shared" si="60"/>
        <v>22</v>
      </c>
      <c r="H36" s="641">
        <v>-8538.0</v>
      </c>
      <c r="I36" s="680">
        <v>8.0</v>
      </c>
      <c r="J36" s="641">
        <v>-344.0</v>
      </c>
      <c r="K36" s="680">
        <v>0.0</v>
      </c>
      <c r="L36" s="641">
        <v>-3529.0</v>
      </c>
      <c r="M36" s="680">
        <v>0.0</v>
      </c>
      <c r="N36" s="641">
        <v>-4926.0</v>
      </c>
      <c r="O36" s="680">
        <v>1.0</v>
      </c>
      <c r="P36" s="641">
        <v>-2741.0</v>
      </c>
      <c r="Q36" s="680">
        <v>13.0</v>
      </c>
      <c r="R36" s="714"/>
      <c r="S36" s="682">
        <f t="shared" si="61"/>
        <v>-20078</v>
      </c>
      <c r="T36" s="683"/>
      <c r="U36" s="625">
        <f t="shared" si="62"/>
        <v>-8538</v>
      </c>
      <c r="V36" s="625">
        <f t="shared" si="63"/>
        <v>-344</v>
      </c>
      <c r="W36" s="625">
        <f t="shared" si="64"/>
        <v>-3529</v>
      </c>
      <c r="X36" s="625">
        <f t="shared" si="65"/>
        <v>-4926</v>
      </c>
      <c r="Y36" s="625">
        <f t="shared" si="66"/>
        <v>-2741</v>
      </c>
      <c r="Z36" s="656">
        <f t="shared" si="67"/>
        <v>22</v>
      </c>
      <c r="AA36" s="683"/>
      <c r="AB36" s="625">
        <f t="shared" si="68"/>
        <v>8</v>
      </c>
      <c r="AC36" s="625">
        <f t="shared" si="69"/>
        <v>0</v>
      </c>
      <c r="AD36" s="625">
        <f t="shared" si="70"/>
        <v>0</v>
      </c>
      <c r="AE36" s="625">
        <f t="shared" si="71"/>
        <v>1</v>
      </c>
      <c r="AF36" s="625">
        <f t="shared" si="72"/>
        <v>13</v>
      </c>
      <c r="AG36" s="791">
        <f t="shared" si="73"/>
        <v>-0.001095726666</v>
      </c>
      <c r="AH36" s="165"/>
      <c r="AI36" s="165">
        <f t="shared" ref="AI36:AM36" si="74">AB36/U36</f>
        <v>-0.0009369875849</v>
      </c>
      <c r="AJ36" s="165">
        <f t="shared" si="74"/>
        <v>0</v>
      </c>
      <c r="AK36" s="165">
        <f t="shared" si="74"/>
        <v>0</v>
      </c>
      <c r="AL36" s="165">
        <f t="shared" si="74"/>
        <v>-0.0002030044661</v>
      </c>
      <c r="AM36" s="165">
        <f t="shared" si="74"/>
        <v>-0.004742794601</v>
      </c>
      <c r="AN36" s="684">
        <f t="shared" si="44"/>
        <v>0</v>
      </c>
      <c r="AO36" s="685">
        <v>0.0</v>
      </c>
      <c r="AP36" s="685">
        <v>0.0</v>
      </c>
      <c r="AQ36" s="685">
        <v>0.0</v>
      </c>
      <c r="AR36" s="685">
        <v>0.0</v>
      </c>
      <c r="AS36" s="685">
        <v>0.0</v>
      </c>
      <c r="AT36" s="685">
        <v>0.0</v>
      </c>
      <c r="AU36" s="684">
        <f t="shared" si="45"/>
        <v>0</v>
      </c>
      <c r="AV36" s="685">
        <v>0.0</v>
      </c>
      <c r="AW36" s="685">
        <v>0.0</v>
      </c>
      <c r="AX36" s="685">
        <v>0.0</v>
      </c>
      <c r="AY36" s="685">
        <v>0.0</v>
      </c>
      <c r="AZ36" s="685">
        <v>0.0</v>
      </c>
      <c r="BA36" s="710">
        <v>0.0</v>
      </c>
      <c r="BB36" s="685"/>
      <c r="BC36" s="685"/>
      <c r="BD36" s="715" t="s">
        <v>695</v>
      </c>
      <c r="BE36" s="186" t="s">
        <v>3303</v>
      </c>
      <c r="BF36" s="688"/>
      <c r="BG36" s="688"/>
      <c r="BH36" s="688"/>
      <c r="BI36" s="179"/>
      <c r="BJ36" s="179"/>
      <c r="BK36" s="787"/>
      <c r="BL36" s="201"/>
      <c r="BM36" s="753"/>
    </row>
    <row r="37">
      <c r="A37" s="148" t="s">
        <v>3384</v>
      </c>
      <c r="B37" s="712" t="s">
        <v>3957</v>
      </c>
      <c r="C37" s="676" t="s">
        <v>2113</v>
      </c>
      <c r="D37" s="713">
        <v>73.0</v>
      </c>
      <c r="E37" s="632" t="s">
        <v>2958</v>
      </c>
      <c r="F37" s="71">
        <f t="shared" ref="F37:G37" si="75">H37+J37+L37+N37+P37</f>
        <v>-17777</v>
      </c>
      <c r="G37" s="679">
        <f t="shared" si="75"/>
        <v>6236</v>
      </c>
      <c r="H37" s="641">
        <v>-4608.0</v>
      </c>
      <c r="I37" s="680">
        <v>2647.0</v>
      </c>
      <c r="J37" s="641">
        <v>-1644.0</v>
      </c>
      <c r="K37" s="680">
        <v>1987.0</v>
      </c>
      <c r="L37" s="641">
        <v>-4467.0</v>
      </c>
      <c r="M37" s="680">
        <v>907.0</v>
      </c>
      <c r="N37" s="641">
        <v>-2784.0</v>
      </c>
      <c r="O37" s="680">
        <v>102.0</v>
      </c>
      <c r="P37" s="641">
        <v>-4274.0</v>
      </c>
      <c r="Q37" s="680">
        <v>593.0</v>
      </c>
      <c r="R37" s="714"/>
      <c r="S37" s="682">
        <f t="shared" si="61"/>
        <v>-17777</v>
      </c>
      <c r="T37" s="683"/>
      <c r="U37" s="625">
        <f t="shared" si="62"/>
        <v>-4608</v>
      </c>
      <c r="V37" s="625">
        <f t="shared" si="63"/>
        <v>-1644</v>
      </c>
      <c r="W37" s="625">
        <f t="shared" si="64"/>
        <v>-4467</v>
      </c>
      <c r="X37" s="625">
        <f t="shared" si="65"/>
        <v>-2784</v>
      </c>
      <c r="Y37" s="625">
        <f t="shared" si="66"/>
        <v>-4274</v>
      </c>
      <c r="Z37" s="656">
        <f t="shared" si="67"/>
        <v>6236</v>
      </c>
      <c r="AA37" s="683"/>
      <c r="AB37" s="625">
        <f t="shared" si="68"/>
        <v>2647</v>
      </c>
      <c r="AC37" s="625">
        <f t="shared" si="69"/>
        <v>1987</v>
      </c>
      <c r="AD37" s="625">
        <f t="shared" si="70"/>
        <v>907</v>
      </c>
      <c r="AE37" s="625">
        <f t="shared" si="71"/>
        <v>102</v>
      </c>
      <c r="AF37" s="625">
        <f t="shared" si="72"/>
        <v>593</v>
      </c>
      <c r="AG37" s="791">
        <f t="shared" si="73"/>
        <v>-0.3507903471</v>
      </c>
      <c r="AH37" s="165"/>
      <c r="AI37" s="165">
        <f t="shared" ref="AI37:AM37" si="76">AB37/U37</f>
        <v>-0.5744357639</v>
      </c>
      <c r="AJ37" s="165">
        <f t="shared" si="76"/>
        <v>-1.20863747</v>
      </c>
      <c r="AK37" s="165">
        <f t="shared" si="76"/>
        <v>-0.2030445489</v>
      </c>
      <c r="AL37" s="165">
        <f t="shared" si="76"/>
        <v>-0.03663793103</v>
      </c>
      <c r="AM37" s="165">
        <f t="shared" si="76"/>
        <v>-0.1387459055</v>
      </c>
      <c r="AN37" s="684">
        <f t="shared" si="44"/>
        <v>16042</v>
      </c>
      <c r="AO37" s="180"/>
      <c r="AP37" s="685">
        <v>1487.0</v>
      </c>
      <c r="AQ37" s="685">
        <v>934.0</v>
      </c>
      <c r="AR37" s="685">
        <v>978.0</v>
      </c>
      <c r="AS37" s="685">
        <v>629.0</v>
      </c>
      <c r="AT37" s="685">
        <v>12014.0</v>
      </c>
      <c r="AU37" s="684">
        <f t="shared" si="45"/>
        <v>38966</v>
      </c>
      <c r="AV37" s="180"/>
      <c r="AW37" s="685">
        <v>10043.0</v>
      </c>
      <c r="AX37" s="685">
        <v>9261.0</v>
      </c>
      <c r="AY37" s="685">
        <v>7716.0</v>
      </c>
      <c r="AZ37" s="685">
        <v>6366.0</v>
      </c>
      <c r="BA37" s="710">
        <v>5580.0</v>
      </c>
      <c r="BB37" s="685"/>
      <c r="BC37" s="685"/>
      <c r="BD37" s="715" t="s">
        <v>695</v>
      </c>
      <c r="BE37" s="186" t="s">
        <v>3303</v>
      </c>
      <c r="BF37" s="695" t="s">
        <v>3304</v>
      </c>
      <c r="BG37" s="695" t="s">
        <v>3305</v>
      </c>
      <c r="BH37" s="695" t="s">
        <v>3306</v>
      </c>
      <c r="BI37" s="180" t="s">
        <v>3307</v>
      </c>
      <c r="BJ37" s="180" t="s">
        <v>3308</v>
      </c>
      <c r="BK37" s="781"/>
      <c r="BL37" s="201"/>
      <c r="BM37" s="753"/>
    </row>
    <row r="38">
      <c r="A38" s="148" t="s">
        <v>3384</v>
      </c>
      <c r="B38" s="712" t="s">
        <v>3958</v>
      </c>
      <c r="C38" s="676" t="s">
        <v>2113</v>
      </c>
      <c r="D38" s="713">
        <v>148.0</v>
      </c>
      <c r="E38" s="714" t="s">
        <v>3959</v>
      </c>
      <c r="F38" s="71">
        <f t="shared" ref="F38:G38" si="77">H38+J38+L38+N38+P38</f>
        <v>767</v>
      </c>
      <c r="G38" s="679">
        <f t="shared" si="77"/>
        <v>1316</v>
      </c>
      <c r="H38" s="641">
        <v>-259.0</v>
      </c>
      <c r="I38" s="680">
        <v>688.0</v>
      </c>
      <c r="J38" s="641">
        <v>210.0</v>
      </c>
      <c r="K38" s="680">
        <v>6.0</v>
      </c>
      <c r="L38" s="641">
        <v>1361.0</v>
      </c>
      <c r="M38" s="680">
        <v>310.0</v>
      </c>
      <c r="N38" s="641">
        <v>-39.0</v>
      </c>
      <c r="O38" s="680">
        <v>132.0</v>
      </c>
      <c r="P38" s="641">
        <v>-506.0</v>
      </c>
      <c r="Q38" s="680">
        <v>180.0</v>
      </c>
      <c r="R38" s="714"/>
      <c r="S38" s="682">
        <f t="shared" si="61"/>
        <v>767</v>
      </c>
      <c r="T38" s="683"/>
      <c r="U38" s="625">
        <f t="shared" si="62"/>
        <v>-259</v>
      </c>
      <c r="V38" s="625">
        <f t="shared" si="63"/>
        <v>210</v>
      </c>
      <c r="W38" s="625">
        <f t="shared" si="64"/>
        <v>1361</v>
      </c>
      <c r="X38" s="625">
        <f t="shared" si="65"/>
        <v>-39</v>
      </c>
      <c r="Y38" s="625">
        <f t="shared" si="66"/>
        <v>-506</v>
      </c>
      <c r="Z38" s="656">
        <f t="shared" si="67"/>
        <v>1316</v>
      </c>
      <c r="AA38" s="683"/>
      <c r="AB38" s="625">
        <f t="shared" si="68"/>
        <v>688</v>
      </c>
      <c r="AC38" s="625">
        <f t="shared" si="69"/>
        <v>6</v>
      </c>
      <c r="AD38" s="625">
        <f t="shared" si="70"/>
        <v>310</v>
      </c>
      <c r="AE38" s="625">
        <f t="shared" si="71"/>
        <v>132</v>
      </c>
      <c r="AF38" s="625">
        <f t="shared" si="72"/>
        <v>180</v>
      </c>
      <c r="AG38" s="657">
        <f t="shared" si="73"/>
        <v>1.71577575</v>
      </c>
      <c r="AH38" s="165"/>
      <c r="AI38" s="165">
        <f t="shared" ref="AI38:AM38" si="78">AB38/U38</f>
        <v>-2.656370656</v>
      </c>
      <c r="AJ38" s="165">
        <f t="shared" si="78"/>
        <v>0.02857142857</v>
      </c>
      <c r="AK38" s="165">
        <f t="shared" si="78"/>
        <v>0.2277736958</v>
      </c>
      <c r="AL38" s="165">
        <f t="shared" si="78"/>
        <v>-3.384615385</v>
      </c>
      <c r="AM38" s="165">
        <f t="shared" si="78"/>
        <v>-0.3557312253</v>
      </c>
      <c r="AN38" s="684">
        <f t="shared" si="44"/>
        <v>14138</v>
      </c>
      <c r="AO38" s="685">
        <v>5002.0</v>
      </c>
      <c r="AP38" s="685">
        <v>4199.0</v>
      </c>
      <c r="AQ38" s="685">
        <v>3373.0</v>
      </c>
      <c r="AR38" s="685">
        <v>1635.0</v>
      </c>
      <c r="AS38" s="685">
        <v>1411.0</v>
      </c>
      <c r="AT38" s="792">
        <v>3520.0</v>
      </c>
      <c r="AU38" s="749">
        <f t="shared" si="45"/>
        <v>0</v>
      </c>
      <c r="AV38" s="685">
        <v>0.0</v>
      </c>
      <c r="AW38" s="685">
        <v>0.0</v>
      </c>
      <c r="AX38" s="685">
        <v>0.0</v>
      </c>
      <c r="AY38" s="685">
        <v>0.0</v>
      </c>
      <c r="AZ38" s="685">
        <v>0.0</v>
      </c>
      <c r="BA38" s="710">
        <v>0.0</v>
      </c>
      <c r="BB38" s="685"/>
      <c r="BC38" s="685"/>
      <c r="BD38" s="715" t="s">
        <v>695</v>
      </c>
      <c r="BE38" s="186" t="s">
        <v>3303</v>
      </c>
      <c r="BF38" s="688"/>
      <c r="BG38" s="688"/>
      <c r="BH38" s="688"/>
      <c r="BI38" s="179"/>
      <c r="BJ38" s="179"/>
      <c r="BK38" s="787"/>
      <c r="BL38" s="631"/>
      <c r="BM38" s="753"/>
    </row>
    <row r="39">
      <c r="A39" s="148" t="s">
        <v>3384</v>
      </c>
      <c r="B39" s="202" t="s">
        <v>3960</v>
      </c>
      <c r="C39" s="676" t="s">
        <v>2535</v>
      </c>
      <c r="D39" s="677">
        <v>9.0</v>
      </c>
      <c r="E39" s="734" t="s">
        <v>2576</v>
      </c>
      <c r="F39" s="71">
        <f t="shared" ref="F39:G39" si="79">H39+J39+L39+N39+P39</f>
        <v>576</v>
      </c>
      <c r="G39" s="679">
        <f t="shared" si="79"/>
        <v>987</v>
      </c>
      <c r="H39" s="641">
        <v>3182.0</v>
      </c>
      <c r="I39" s="680">
        <v>619.0</v>
      </c>
      <c r="J39" s="641">
        <v>1815.0</v>
      </c>
      <c r="K39" s="680">
        <v>233.0</v>
      </c>
      <c r="L39" s="641">
        <v>-6066.0</v>
      </c>
      <c r="M39" s="680">
        <v>-15.0</v>
      </c>
      <c r="N39" s="641">
        <v>168.0</v>
      </c>
      <c r="O39" s="680">
        <v>170.0</v>
      </c>
      <c r="P39" s="641">
        <v>1477.0</v>
      </c>
      <c r="Q39" s="680">
        <v>-20.0</v>
      </c>
      <c r="R39" s="714"/>
      <c r="S39" s="682">
        <f t="shared" si="61"/>
        <v>576</v>
      </c>
      <c r="T39" s="683"/>
      <c r="U39" s="625">
        <f t="shared" si="62"/>
        <v>3182</v>
      </c>
      <c r="V39" s="625">
        <f t="shared" si="63"/>
        <v>1815</v>
      </c>
      <c r="W39" s="625">
        <f t="shared" si="64"/>
        <v>-6066</v>
      </c>
      <c r="X39" s="625">
        <f t="shared" si="65"/>
        <v>168</v>
      </c>
      <c r="Y39" s="625">
        <f t="shared" si="66"/>
        <v>1477</v>
      </c>
      <c r="Z39" s="656">
        <f t="shared" si="67"/>
        <v>987</v>
      </c>
      <c r="AA39" s="683"/>
      <c r="AB39" s="625">
        <f t="shared" si="68"/>
        <v>619</v>
      </c>
      <c r="AC39" s="625">
        <f t="shared" si="69"/>
        <v>233</v>
      </c>
      <c r="AD39" s="625">
        <f t="shared" si="70"/>
        <v>-15</v>
      </c>
      <c r="AE39" s="625">
        <f t="shared" si="71"/>
        <v>170</v>
      </c>
      <c r="AF39" s="625">
        <f t="shared" si="72"/>
        <v>-20</v>
      </c>
      <c r="AG39" s="657">
        <f t="shared" si="73"/>
        <v>1.713541667</v>
      </c>
      <c r="AH39" s="165"/>
      <c r="AI39" s="165">
        <f t="shared" ref="AI39:AM39" si="80">AB39/U39</f>
        <v>0.194531741</v>
      </c>
      <c r="AJ39" s="165">
        <f t="shared" si="80"/>
        <v>0.1283746556</v>
      </c>
      <c r="AK39" s="165">
        <f t="shared" si="80"/>
        <v>0.002472799209</v>
      </c>
      <c r="AL39" s="165">
        <f t="shared" si="80"/>
        <v>1.011904762</v>
      </c>
      <c r="AM39" s="165">
        <f t="shared" si="80"/>
        <v>-0.01354096141</v>
      </c>
      <c r="AN39" s="684">
        <f t="shared" si="44"/>
        <v>11489</v>
      </c>
      <c r="AO39" s="685"/>
      <c r="AP39" s="685">
        <v>3638.0</v>
      </c>
      <c r="AQ39" s="685">
        <v>3516.0</v>
      </c>
      <c r="AR39" s="685">
        <v>742.0</v>
      </c>
      <c r="AS39" s="685">
        <v>1954.0</v>
      </c>
      <c r="AT39" s="792">
        <v>1639.0</v>
      </c>
      <c r="AU39" s="749">
        <f t="shared" si="45"/>
        <v>1431</v>
      </c>
      <c r="AV39" s="180"/>
      <c r="AW39" s="685">
        <v>292.0</v>
      </c>
      <c r="AX39" s="685">
        <v>277.0</v>
      </c>
      <c r="AY39" s="685">
        <v>276.0</v>
      </c>
      <c r="AZ39" s="685">
        <v>294.0</v>
      </c>
      <c r="BA39" s="710">
        <v>292.0</v>
      </c>
      <c r="BB39" s="685"/>
      <c r="BC39" s="685"/>
      <c r="BD39" s="712" t="s">
        <v>695</v>
      </c>
      <c r="BE39" s="688" t="s">
        <v>3303</v>
      </c>
      <c r="BF39" s="695" t="s">
        <v>3304</v>
      </c>
      <c r="BG39" s="695" t="s">
        <v>3305</v>
      </c>
      <c r="BH39" s="695" t="s">
        <v>3306</v>
      </c>
      <c r="BI39" s="695" t="s">
        <v>3307</v>
      </c>
      <c r="BJ39" s="695" t="s">
        <v>3308</v>
      </c>
      <c r="BK39" s="781"/>
      <c r="BL39" s="631"/>
      <c r="BM39" s="753"/>
    </row>
    <row r="40">
      <c r="A40" s="148" t="s">
        <v>3384</v>
      </c>
      <c r="B40" s="712" t="s">
        <v>3961</v>
      </c>
      <c r="C40" s="676" t="s">
        <v>2113</v>
      </c>
      <c r="D40" s="713">
        <v>69.0</v>
      </c>
      <c r="E40" s="632" t="s">
        <v>2916</v>
      </c>
      <c r="F40" s="71">
        <f t="shared" ref="F40:G40" si="81">H40+J40+L40+N40+P40</f>
        <v>3309</v>
      </c>
      <c r="G40" s="679">
        <f t="shared" si="81"/>
        <v>4351</v>
      </c>
      <c r="H40" s="641">
        <v>954.0</v>
      </c>
      <c r="I40" s="680">
        <v>2265.0</v>
      </c>
      <c r="J40" s="641">
        <v>1867.0</v>
      </c>
      <c r="K40" s="680">
        <v>74.0</v>
      </c>
      <c r="L40" s="641">
        <v>-3545.0</v>
      </c>
      <c r="M40" s="680">
        <v>962.0</v>
      </c>
      <c r="N40" s="641">
        <v>516.0</v>
      </c>
      <c r="O40" s="680">
        <v>514.0</v>
      </c>
      <c r="P40" s="641">
        <v>3517.0</v>
      </c>
      <c r="Q40" s="680">
        <v>536.0</v>
      </c>
      <c r="R40" s="714"/>
      <c r="S40" s="682">
        <f t="shared" si="61"/>
        <v>3309</v>
      </c>
      <c r="T40" s="683"/>
      <c r="U40" s="625">
        <f t="shared" si="62"/>
        <v>954</v>
      </c>
      <c r="V40" s="625">
        <f t="shared" si="63"/>
        <v>1867</v>
      </c>
      <c r="W40" s="625">
        <f t="shared" si="64"/>
        <v>-3545</v>
      </c>
      <c r="X40" s="625">
        <f t="shared" si="65"/>
        <v>516</v>
      </c>
      <c r="Y40" s="625">
        <f t="shared" si="66"/>
        <v>3517</v>
      </c>
      <c r="Z40" s="656">
        <f t="shared" si="67"/>
        <v>4351</v>
      </c>
      <c r="AA40" s="683"/>
      <c r="AB40" s="625">
        <f t="shared" si="68"/>
        <v>2265</v>
      </c>
      <c r="AC40" s="625">
        <f t="shared" si="69"/>
        <v>74</v>
      </c>
      <c r="AD40" s="625">
        <f t="shared" si="70"/>
        <v>962</v>
      </c>
      <c r="AE40" s="625">
        <f t="shared" si="71"/>
        <v>514</v>
      </c>
      <c r="AF40" s="625">
        <f t="shared" si="72"/>
        <v>536</v>
      </c>
      <c r="AG40" s="657">
        <f t="shared" si="73"/>
        <v>1.314898761</v>
      </c>
      <c r="AH40" s="165"/>
      <c r="AI40" s="165">
        <f t="shared" ref="AI40:AM40" si="82">AB40/U40</f>
        <v>2.374213836</v>
      </c>
      <c r="AJ40" s="165">
        <f t="shared" si="82"/>
        <v>0.03963577933</v>
      </c>
      <c r="AK40" s="165">
        <f t="shared" si="82"/>
        <v>-0.2713681241</v>
      </c>
      <c r="AL40" s="165">
        <f t="shared" si="82"/>
        <v>0.996124031</v>
      </c>
      <c r="AM40" s="165">
        <f t="shared" si="82"/>
        <v>0.1524026159</v>
      </c>
      <c r="AN40" s="684">
        <f t="shared" si="44"/>
        <v>15992</v>
      </c>
      <c r="AO40" s="685">
        <v>1346.0</v>
      </c>
      <c r="AP40" s="685">
        <v>0.0</v>
      </c>
      <c r="AQ40" s="685">
        <v>840.0</v>
      </c>
      <c r="AR40" s="685">
        <v>1281.0</v>
      </c>
      <c r="AS40" s="685">
        <v>4780.0</v>
      </c>
      <c r="AT40" s="685">
        <v>9091.0</v>
      </c>
      <c r="AU40" s="684">
        <f t="shared" si="45"/>
        <v>30704</v>
      </c>
      <c r="AV40" s="685">
        <v>7445.0</v>
      </c>
      <c r="AW40" s="685">
        <v>7012.0</v>
      </c>
      <c r="AX40" s="685">
        <v>6610.0</v>
      </c>
      <c r="AY40" s="685">
        <v>6215.0</v>
      </c>
      <c r="AZ40" s="685">
        <v>5695.0</v>
      </c>
      <c r="BA40" s="710">
        <v>5172.0</v>
      </c>
      <c r="BB40" s="685"/>
      <c r="BC40" s="685"/>
      <c r="BD40" s="715" t="s">
        <v>695</v>
      </c>
      <c r="BE40" s="186" t="s">
        <v>3303</v>
      </c>
      <c r="BF40" s="695" t="s">
        <v>3304</v>
      </c>
      <c r="BG40" s="695" t="s">
        <v>3305</v>
      </c>
      <c r="BH40" s="695" t="s">
        <v>3306</v>
      </c>
      <c r="BI40" s="180" t="s">
        <v>3307</v>
      </c>
      <c r="BJ40" s="180" t="s">
        <v>3308</v>
      </c>
      <c r="BK40" s="781"/>
      <c r="BL40" s="631"/>
      <c r="BM40" s="753"/>
    </row>
    <row r="41">
      <c r="A41" s="148" t="s">
        <v>3384</v>
      </c>
      <c r="B41" s="202" t="s">
        <v>3962</v>
      </c>
      <c r="C41" s="727" t="s">
        <v>1578</v>
      </c>
      <c r="D41" s="789">
        <v>158.0</v>
      </c>
      <c r="E41" s="714" t="s">
        <v>3963</v>
      </c>
      <c r="F41" s="71">
        <f t="shared" ref="F41:G41" si="83">H41+J41+L41+N41+P41</f>
        <v>589</v>
      </c>
      <c r="G41" s="679">
        <f t="shared" si="83"/>
        <v>503</v>
      </c>
      <c r="H41" s="641">
        <v>1500.0</v>
      </c>
      <c r="I41" s="680">
        <v>361.0</v>
      </c>
      <c r="J41" s="641">
        <v>1818.0</v>
      </c>
      <c r="K41" s="680">
        <v>369.0</v>
      </c>
      <c r="L41" s="641">
        <v>-4791.0</v>
      </c>
      <c r="M41" s="680">
        <v>-520.0</v>
      </c>
      <c r="N41" s="641">
        <v>695.0</v>
      </c>
      <c r="O41" s="680">
        <v>137.0</v>
      </c>
      <c r="P41" s="641">
        <v>1367.0</v>
      </c>
      <c r="Q41" s="680">
        <v>156.0</v>
      </c>
      <c r="R41" s="714"/>
      <c r="S41" s="682">
        <f t="shared" si="61"/>
        <v>589</v>
      </c>
      <c r="T41" s="683"/>
      <c r="U41" s="625">
        <f t="shared" si="62"/>
        <v>1500</v>
      </c>
      <c r="V41" s="625">
        <f t="shared" si="63"/>
        <v>1818</v>
      </c>
      <c r="W41" s="625">
        <f t="shared" si="64"/>
        <v>-4791</v>
      </c>
      <c r="X41" s="625">
        <f t="shared" si="65"/>
        <v>695</v>
      </c>
      <c r="Y41" s="625">
        <f t="shared" si="66"/>
        <v>1367</v>
      </c>
      <c r="Z41" s="656">
        <f t="shared" si="67"/>
        <v>503</v>
      </c>
      <c r="AA41" s="683"/>
      <c r="AB41" s="625">
        <f t="shared" si="68"/>
        <v>361</v>
      </c>
      <c r="AC41" s="625">
        <f t="shared" si="69"/>
        <v>369</v>
      </c>
      <c r="AD41" s="625">
        <f t="shared" si="70"/>
        <v>-520</v>
      </c>
      <c r="AE41" s="625">
        <f t="shared" si="71"/>
        <v>137</v>
      </c>
      <c r="AF41" s="625">
        <f t="shared" si="72"/>
        <v>156</v>
      </c>
      <c r="AG41" s="657">
        <f t="shared" si="73"/>
        <v>0.8539898132</v>
      </c>
      <c r="AH41" s="165"/>
      <c r="AI41" s="165">
        <f t="shared" ref="AI41:AM41" si="84">AB41/U41</f>
        <v>0.2406666667</v>
      </c>
      <c r="AJ41" s="165">
        <f t="shared" si="84"/>
        <v>0.202970297</v>
      </c>
      <c r="AK41" s="165">
        <f t="shared" si="84"/>
        <v>0.1085368399</v>
      </c>
      <c r="AL41" s="165">
        <f t="shared" si="84"/>
        <v>0.1971223022</v>
      </c>
      <c r="AM41" s="165">
        <f t="shared" si="84"/>
        <v>0.1141185077</v>
      </c>
      <c r="AN41" s="684">
        <f t="shared" si="44"/>
        <v>1103</v>
      </c>
      <c r="AO41" s="180"/>
      <c r="AP41" s="685">
        <v>601.0</v>
      </c>
      <c r="AQ41" s="685">
        <v>500.0</v>
      </c>
      <c r="AR41" s="685">
        <v>1.0</v>
      </c>
      <c r="AS41" s="685">
        <v>1.0</v>
      </c>
      <c r="AT41" s="685">
        <v>0.0</v>
      </c>
      <c r="AU41" s="684">
        <f t="shared" si="45"/>
        <v>1309</v>
      </c>
      <c r="AV41" s="180"/>
      <c r="AW41" s="685">
        <v>173.0</v>
      </c>
      <c r="AX41" s="685">
        <v>90.0</v>
      </c>
      <c r="AY41" s="685">
        <v>117.0</v>
      </c>
      <c r="AZ41" s="685">
        <v>466.0</v>
      </c>
      <c r="BA41" s="710">
        <v>463.0</v>
      </c>
      <c r="BB41" s="685"/>
      <c r="BC41" s="685"/>
      <c r="BD41" s="793" t="s">
        <v>695</v>
      </c>
      <c r="BE41" s="688" t="s">
        <v>3303</v>
      </c>
      <c r="BF41" s="688"/>
      <c r="BG41" s="688"/>
      <c r="BH41" s="688"/>
      <c r="BI41" s="179"/>
      <c r="BJ41" s="179"/>
      <c r="BK41" s="787"/>
      <c r="BL41" s="631"/>
      <c r="BM41" s="753"/>
    </row>
    <row r="42">
      <c r="A42" s="148" t="s">
        <v>3384</v>
      </c>
      <c r="B42" s="712" t="s">
        <v>3964</v>
      </c>
      <c r="C42" s="676" t="s">
        <v>2113</v>
      </c>
      <c r="D42" s="713">
        <v>70.0</v>
      </c>
      <c r="E42" s="632" t="s">
        <v>3063</v>
      </c>
      <c r="F42" s="71">
        <f t="shared" ref="F42:G42" si="85">H42+J42+L42+N42+P42</f>
        <v>-215.2</v>
      </c>
      <c r="G42" s="679">
        <f t="shared" si="85"/>
        <v>22.9</v>
      </c>
      <c r="H42" s="641">
        <v>-92.0</v>
      </c>
      <c r="I42" s="680">
        <v>4.2</v>
      </c>
      <c r="J42" s="641">
        <v>-49.1</v>
      </c>
      <c r="K42" s="680">
        <v>4.4</v>
      </c>
      <c r="L42" s="641">
        <v>48.6</v>
      </c>
      <c r="M42" s="680">
        <v>10.1</v>
      </c>
      <c r="N42" s="641">
        <v>-60.7</v>
      </c>
      <c r="O42" s="680">
        <v>-4.0</v>
      </c>
      <c r="P42" s="641">
        <v>-62.0</v>
      </c>
      <c r="Q42" s="680">
        <v>8.2</v>
      </c>
      <c r="R42" s="714"/>
      <c r="S42" s="682">
        <f t="shared" si="61"/>
        <v>-215.2</v>
      </c>
      <c r="T42" s="683"/>
      <c r="U42" s="625">
        <f t="shared" si="62"/>
        <v>-92</v>
      </c>
      <c r="V42" s="625">
        <f t="shared" si="63"/>
        <v>-49.1</v>
      </c>
      <c r="W42" s="625">
        <f t="shared" si="64"/>
        <v>48.6</v>
      </c>
      <c r="X42" s="625">
        <f t="shared" si="65"/>
        <v>-60.7</v>
      </c>
      <c r="Y42" s="625">
        <f t="shared" si="66"/>
        <v>-62</v>
      </c>
      <c r="Z42" s="656">
        <f t="shared" si="67"/>
        <v>22.9</v>
      </c>
      <c r="AA42" s="683"/>
      <c r="AB42" s="625">
        <f t="shared" si="68"/>
        <v>4.2</v>
      </c>
      <c r="AC42" s="625">
        <f t="shared" si="69"/>
        <v>4.4</v>
      </c>
      <c r="AD42" s="625">
        <f t="shared" si="70"/>
        <v>10.1</v>
      </c>
      <c r="AE42" s="625">
        <f t="shared" si="71"/>
        <v>-4</v>
      </c>
      <c r="AF42" s="625">
        <f t="shared" si="72"/>
        <v>8.2</v>
      </c>
      <c r="AG42" s="794" t="s">
        <v>711</v>
      </c>
      <c r="AH42" s="165"/>
      <c r="AI42" s="165">
        <f t="shared" ref="AI42:AM42" si="86">AB42/U42</f>
        <v>-0.04565217391</v>
      </c>
      <c r="AJ42" s="165">
        <f t="shared" si="86"/>
        <v>-0.08961303462</v>
      </c>
      <c r="AK42" s="165">
        <f t="shared" si="86"/>
        <v>0.20781893</v>
      </c>
      <c r="AL42" s="165">
        <f t="shared" si="86"/>
        <v>0.06589785832</v>
      </c>
      <c r="AM42" s="165">
        <f t="shared" si="86"/>
        <v>-0.1322580645</v>
      </c>
      <c r="AN42" s="684">
        <f t="shared" si="44"/>
        <v>253</v>
      </c>
      <c r="AO42" s="180"/>
      <c r="AP42" s="685">
        <v>49.0</v>
      </c>
      <c r="AQ42" s="685">
        <v>51.0</v>
      </c>
      <c r="AR42" s="685">
        <v>68.0</v>
      </c>
      <c r="AS42" s="685">
        <v>65.0</v>
      </c>
      <c r="AT42" s="685">
        <v>20.0</v>
      </c>
      <c r="AU42" s="684">
        <f t="shared" si="45"/>
        <v>123</v>
      </c>
      <c r="AV42" s="180"/>
      <c r="AW42" s="685">
        <v>31.0</v>
      </c>
      <c r="AX42" s="685">
        <v>29.0</v>
      </c>
      <c r="AY42" s="685">
        <v>26.0</v>
      </c>
      <c r="AZ42" s="685">
        <v>21.0</v>
      </c>
      <c r="BA42" s="710">
        <v>16.0</v>
      </c>
      <c r="BB42" s="685"/>
      <c r="BC42" s="685"/>
      <c r="BD42" s="715" t="s">
        <v>695</v>
      </c>
      <c r="BE42" s="688" t="s">
        <v>3303</v>
      </c>
      <c r="BF42" s="695" t="s">
        <v>3304</v>
      </c>
      <c r="BG42" s="695" t="s">
        <v>3305</v>
      </c>
      <c r="BH42" s="695" t="s">
        <v>3306</v>
      </c>
      <c r="BI42" s="180" t="s">
        <v>3307</v>
      </c>
      <c r="BJ42" s="180" t="s">
        <v>3308</v>
      </c>
      <c r="BK42" s="781"/>
      <c r="BL42" s="631"/>
      <c r="BM42" s="753"/>
    </row>
    <row r="43">
      <c r="A43" s="148" t="s">
        <v>3384</v>
      </c>
      <c r="B43" s="712" t="s">
        <v>3965</v>
      </c>
      <c r="C43" s="676" t="s">
        <v>2113</v>
      </c>
      <c r="D43" s="713">
        <v>227.0</v>
      </c>
      <c r="E43" s="714" t="s">
        <v>3966</v>
      </c>
      <c r="F43" s="71">
        <f t="shared" ref="F43:G43" si="87">H43+J43+L43+N43+P43</f>
        <v>-477.4</v>
      </c>
      <c r="G43" s="679">
        <f t="shared" si="87"/>
        <v>-6.8</v>
      </c>
      <c r="H43" s="641">
        <v>-1233.8</v>
      </c>
      <c r="I43" s="680">
        <v>-79.0</v>
      </c>
      <c r="J43" s="641">
        <v>-31.5</v>
      </c>
      <c r="K43" s="680">
        <v>7.8</v>
      </c>
      <c r="L43" s="641">
        <v>160.6</v>
      </c>
      <c r="M43" s="680">
        <v>62.7</v>
      </c>
      <c r="N43" s="641">
        <v>208.0</v>
      </c>
      <c r="O43" s="680">
        <v>-23.7</v>
      </c>
      <c r="P43" s="641">
        <v>419.3</v>
      </c>
      <c r="Q43" s="680">
        <v>25.4</v>
      </c>
      <c r="R43" s="714"/>
      <c r="S43" s="682">
        <f t="shared" si="61"/>
        <v>-477.4</v>
      </c>
      <c r="T43" s="683"/>
      <c r="U43" s="625">
        <f t="shared" si="62"/>
        <v>-1233.8</v>
      </c>
      <c r="V43" s="625">
        <f t="shared" si="63"/>
        <v>-31.5</v>
      </c>
      <c r="W43" s="625">
        <f t="shared" si="64"/>
        <v>160.6</v>
      </c>
      <c r="X43" s="625">
        <f t="shared" si="65"/>
        <v>208</v>
      </c>
      <c r="Y43" s="625">
        <f t="shared" si="66"/>
        <v>419.3</v>
      </c>
      <c r="Z43" s="656">
        <f t="shared" si="67"/>
        <v>-6.8</v>
      </c>
      <c r="AA43" s="683"/>
      <c r="AB43" s="625">
        <f t="shared" si="68"/>
        <v>-79</v>
      </c>
      <c r="AC43" s="625">
        <f t="shared" si="69"/>
        <v>7.8</v>
      </c>
      <c r="AD43" s="625">
        <f t="shared" si="70"/>
        <v>62.7</v>
      </c>
      <c r="AE43" s="625">
        <f t="shared" si="71"/>
        <v>-23.7</v>
      </c>
      <c r="AF43" s="625">
        <f t="shared" si="72"/>
        <v>25.4</v>
      </c>
      <c r="AG43" s="794" t="s">
        <v>711</v>
      </c>
      <c r="AH43" s="165"/>
      <c r="AI43" s="165">
        <f t="shared" ref="AI43:AM43" si="88">AB43/U43</f>
        <v>0.06402982655</v>
      </c>
      <c r="AJ43" s="165">
        <f t="shared" si="88"/>
        <v>-0.2476190476</v>
      </c>
      <c r="AK43" s="165">
        <f t="shared" si="88"/>
        <v>0.3904109589</v>
      </c>
      <c r="AL43" s="165">
        <f t="shared" si="88"/>
        <v>-0.1139423077</v>
      </c>
      <c r="AM43" s="165">
        <f t="shared" si="88"/>
        <v>0.0605771524</v>
      </c>
      <c r="AN43" s="684">
        <f t="shared" si="44"/>
        <v>2938.1</v>
      </c>
      <c r="AO43" s="685">
        <v>16.1</v>
      </c>
      <c r="AP43" s="685">
        <v>2323.0</v>
      </c>
      <c r="AQ43" s="685">
        <v>34.3</v>
      </c>
      <c r="AR43" s="685">
        <v>26.2</v>
      </c>
      <c r="AS43" s="685">
        <v>27.5</v>
      </c>
      <c r="AT43" s="685">
        <v>527.1</v>
      </c>
      <c r="AU43" s="684">
        <f t="shared" si="45"/>
        <v>2202.8</v>
      </c>
      <c r="AV43" s="180">
        <f>482.6+18.9</f>
        <v>501.5</v>
      </c>
      <c r="AW43" s="685">
        <v>471.6</v>
      </c>
      <c r="AX43" s="685">
        <v>493.7</v>
      </c>
      <c r="AY43" s="685">
        <v>450.6</v>
      </c>
      <c r="AZ43" s="685">
        <v>402.0</v>
      </c>
      <c r="BA43" s="710">
        <v>384.9</v>
      </c>
      <c r="BB43" s="685"/>
      <c r="BC43" s="685"/>
      <c r="BD43" s="715" t="s">
        <v>695</v>
      </c>
      <c r="BE43" s="186" t="s">
        <v>3303</v>
      </c>
      <c r="BF43" s="688"/>
      <c r="BG43" s="688"/>
      <c r="BH43" s="688"/>
      <c r="BI43" s="179"/>
      <c r="BJ43" s="179"/>
      <c r="BK43" s="787"/>
      <c r="BL43" s="631"/>
      <c r="BM43" s="753"/>
    </row>
    <row r="44">
      <c r="A44" s="148" t="s">
        <v>3384</v>
      </c>
      <c r="B44" s="712" t="s">
        <v>3967</v>
      </c>
      <c r="C44" s="676" t="s">
        <v>2113</v>
      </c>
      <c r="D44" s="713">
        <v>110.0</v>
      </c>
      <c r="E44" s="714" t="s">
        <v>3968</v>
      </c>
      <c r="F44" s="71">
        <f t="shared" ref="F44:G44" si="89">H44+J44+L44+N44+P44</f>
        <v>-488</v>
      </c>
      <c r="G44" s="679">
        <f t="shared" si="89"/>
        <v>1329</v>
      </c>
      <c r="H44" s="641">
        <v>11209.0</v>
      </c>
      <c r="I44" s="680">
        <v>1272.0</v>
      </c>
      <c r="J44" s="641">
        <v>1930.0</v>
      </c>
      <c r="K44" s="680">
        <v>173.0</v>
      </c>
      <c r="L44" s="641">
        <v>-15328.0</v>
      </c>
      <c r="M44" s="680">
        <v>-126.0</v>
      </c>
      <c r="N44" s="641">
        <v>-1678.0</v>
      </c>
      <c r="O44" s="680">
        <v>33.0</v>
      </c>
      <c r="P44" s="641">
        <v>3379.0</v>
      </c>
      <c r="Q44" s="680">
        <v>-23.0</v>
      </c>
      <c r="R44" s="714"/>
      <c r="S44" s="682">
        <f t="shared" si="61"/>
        <v>-488</v>
      </c>
      <c r="T44" s="683"/>
      <c r="U44" s="625">
        <f t="shared" si="62"/>
        <v>11209</v>
      </c>
      <c r="V44" s="625">
        <f t="shared" si="63"/>
        <v>1930</v>
      </c>
      <c r="W44" s="625">
        <f t="shared" si="64"/>
        <v>-15328</v>
      </c>
      <c r="X44" s="625">
        <f t="shared" si="65"/>
        <v>-1678</v>
      </c>
      <c r="Y44" s="746">
        <f t="shared" si="66"/>
        <v>3379</v>
      </c>
      <c r="Z44" s="656">
        <f t="shared" si="67"/>
        <v>1329</v>
      </c>
      <c r="AA44" s="683"/>
      <c r="AB44" s="625">
        <f t="shared" si="68"/>
        <v>1272</v>
      </c>
      <c r="AC44" s="625">
        <f t="shared" si="69"/>
        <v>173</v>
      </c>
      <c r="AD44" s="625">
        <f t="shared" si="70"/>
        <v>-126</v>
      </c>
      <c r="AE44" s="625">
        <f t="shared" si="71"/>
        <v>33</v>
      </c>
      <c r="AF44" s="746">
        <f t="shared" si="72"/>
        <v>-23</v>
      </c>
      <c r="AG44" s="794" t="s">
        <v>711</v>
      </c>
      <c r="AH44" s="165"/>
      <c r="AI44" s="165">
        <f t="shared" ref="AI44:AM44" si="90">AB44/U44</f>
        <v>0.1134802391</v>
      </c>
      <c r="AJ44" s="165">
        <f t="shared" si="90"/>
        <v>0.0896373057</v>
      </c>
      <c r="AK44" s="165">
        <f t="shared" si="90"/>
        <v>0.008220250522</v>
      </c>
      <c r="AL44" s="165">
        <f t="shared" si="90"/>
        <v>-0.01966626937</v>
      </c>
      <c r="AM44" s="165">
        <f t="shared" si="90"/>
        <v>-0.006806747558</v>
      </c>
      <c r="AN44" s="684">
        <f t="shared" si="44"/>
        <v>4604</v>
      </c>
      <c r="AO44" s="685">
        <v>1798.0</v>
      </c>
      <c r="AP44" s="685">
        <v>3099.0</v>
      </c>
      <c r="AQ44" s="685">
        <v>8.0</v>
      </c>
      <c r="AR44" s="685">
        <v>12.0</v>
      </c>
      <c r="AS44" s="685">
        <v>237.0</v>
      </c>
      <c r="AT44" s="792">
        <v>1248.0</v>
      </c>
      <c r="AU44" s="749">
        <f t="shared" si="45"/>
        <v>8866</v>
      </c>
      <c r="AV44" s="685">
        <v>1365.0</v>
      </c>
      <c r="AW44" s="685">
        <v>1184.0</v>
      </c>
      <c r="AX44" s="685">
        <v>839.0</v>
      </c>
      <c r="AY44" s="685">
        <v>1845.0</v>
      </c>
      <c r="AZ44" s="685">
        <v>2624.0</v>
      </c>
      <c r="BA44" s="710">
        <v>2374.0</v>
      </c>
      <c r="BB44" s="685"/>
      <c r="BC44" s="685"/>
      <c r="BD44" s="715" t="s">
        <v>695</v>
      </c>
      <c r="BE44" s="186" t="s">
        <v>3303</v>
      </c>
      <c r="BF44" s="688"/>
      <c r="BG44" s="688"/>
      <c r="BH44" s="688"/>
      <c r="BI44" s="179"/>
      <c r="BJ44" s="179"/>
      <c r="BK44" s="787"/>
      <c r="BL44" s="631"/>
      <c r="BM44" s="753"/>
    </row>
    <row r="45">
      <c r="A45" s="148" t="s">
        <v>3384</v>
      </c>
      <c r="B45" s="712" t="s">
        <v>3969</v>
      </c>
      <c r="C45" s="676" t="s">
        <v>2113</v>
      </c>
      <c r="D45" s="713">
        <v>191.0</v>
      </c>
      <c r="E45" s="714" t="s">
        <v>3970</v>
      </c>
      <c r="F45" s="71">
        <f t="shared" ref="F45:G45" si="91">H45+J45+L45+N45+P45</f>
        <v>-716</v>
      </c>
      <c r="G45" s="679">
        <f t="shared" si="91"/>
        <v>-19</v>
      </c>
      <c r="H45" s="641">
        <v>29.0</v>
      </c>
      <c r="I45" s="680">
        <v>0.0</v>
      </c>
      <c r="J45" s="641">
        <v>-139.0</v>
      </c>
      <c r="K45" s="680">
        <v>1.0</v>
      </c>
      <c r="L45" s="641">
        <v>-990.0</v>
      </c>
      <c r="M45" s="680">
        <v>-5.0</v>
      </c>
      <c r="N45" s="641">
        <v>-56.0</v>
      </c>
      <c r="O45" s="680">
        <v>0.0</v>
      </c>
      <c r="P45" s="641">
        <v>440.0</v>
      </c>
      <c r="Q45" s="680">
        <v>-15.0</v>
      </c>
      <c r="R45" s="714"/>
      <c r="S45" s="682">
        <f t="shared" si="61"/>
        <v>-716</v>
      </c>
      <c r="T45" s="683"/>
      <c r="U45" s="625">
        <f t="shared" si="62"/>
        <v>29</v>
      </c>
      <c r="V45" s="625">
        <f t="shared" si="63"/>
        <v>-139</v>
      </c>
      <c r="W45" s="625">
        <f t="shared" si="64"/>
        <v>-990</v>
      </c>
      <c r="X45" s="625">
        <f t="shared" si="65"/>
        <v>-56</v>
      </c>
      <c r="Y45" s="625">
        <f t="shared" si="66"/>
        <v>440</v>
      </c>
      <c r="Z45" s="656">
        <f t="shared" si="67"/>
        <v>-19</v>
      </c>
      <c r="AA45" s="683"/>
      <c r="AB45" s="625">
        <f t="shared" si="68"/>
        <v>0</v>
      </c>
      <c r="AC45" s="625">
        <f t="shared" si="69"/>
        <v>1</v>
      </c>
      <c r="AD45" s="625">
        <f t="shared" si="70"/>
        <v>-5</v>
      </c>
      <c r="AE45" s="625">
        <f t="shared" si="71"/>
        <v>0</v>
      </c>
      <c r="AF45" s="625">
        <f t="shared" si="72"/>
        <v>-15</v>
      </c>
      <c r="AG45" s="794" t="s">
        <v>711</v>
      </c>
      <c r="AH45" s="165"/>
      <c r="AI45" s="165">
        <f t="shared" ref="AI45:AM45" si="92">AB45/U45</f>
        <v>0</v>
      </c>
      <c r="AJ45" s="165">
        <f t="shared" si="92"/>
        <v>-0.007194244604</v>
      </c>
      <c r="AK45" s="165">
        <f t="shared" si="92"/>
        <v>0.005050505051</v>
      </c>
      <c r="AL45" s="165">
        <f t="shared" si="92"/>
        <v>0</v>
      </c>
      <c r="AM45" s="165">
        <f t="shared" si="92"/>
        <v>-0.03409090909</v>
      </c>
      <c r="AN45" s="684">
        <f t="shared" si="44"/>
        <v>220</v>
      </c>
      <c r="AO45" s="685">
        <v>0.0</v>
      </c>
      <c r="AP45" s="685">
        <v>0.0</v>
      </c>
      <c r="AQ45" s="685">
        <v>0.0</v>
      </c>
      <c r="AR45" s="685">
        <v>0.0</v>
      </c>
      <c r="AS45" s="685">
        <v>0.0</v>
      </c>
      <c r="AT45" s="685">
        <v>220.0</v>
      </c>
      <c r="AU45" s="684">
        <f t="shared" si="45"/>
        <v>323</v>
      </c>
      <c r="AV45" s="180">
        <v>0.0</v>
      </c>
      <c r="AW45" s="180">
        <v>0.0</v>
      </c>
      <c r="AX45" s="180">
        <v>0.0</v>
      </c>
      <c r="AY45" s="685">
        <v>37.0</v>
      </c>
      <c r="AZ45" s="685">
        <v>148.0</v>
      </c>
      <c r="BA45" s="710">
        <v>138.0</v>
      </c>
      <c r="BB45" s="685"/>
      <c r="BC45" s="685"/>
      <c r="BD45" s="715" t="s">
        <v>695</v>
      </c>
      <c r="BE45" s="186" t="s">
        <v>3303</v>
      </c>
      <c r="BF45" s="688"/>
      <c r="BG45" s="688"/>
      <c r="BH45" s="688"/>
      <c r="BI45" s="179"/>
      <c r="BJ45" s="179"/>
      <c r="BK45" s="787"/>
      <c r="BL45" s="631"/>
      <c r="BM45" s="753"/>
    </row>
    <row r="46">
      <c r="A46" s="148" t="s">
        <v>3384</v>
      </c>
      <c r="B46" s="712" t="s">
        <v>3971</v>
      </c>
      <c r="C46" s="711" t="s">
        <v>2117</v>
      </c>
      <c r="D46" s="713">
        <v>121.0</v>
      </c>
      <c r="E46" s="714" t="s">
        <v>3972</v>
      </c>
      <c r="F46" s="71">
        <f t="shared" ref="F46:G46" si="93">H46+J46+L46+N46+P46</f>
        <v>-1689.721</v>
      </c>
      <c r="G46" s="679">
        <f t="shared" si="93"/>
        <v>56.351</v>
      </c>
      <c r="H46" s="641">
        <v>-118.0</v>
      </c>
      <c r="I46" s="680">
        <v>7.0</v>
      </c>
      <c r="J46" s="641">
        <v>-274.0</v>
      </c>
      <c r="K46" s="680">
        <v>7.0</v>
      </c>
      <c r="L46" s="641">
        <v>-453.6</v>
      </c>
      <c r="M46" s="680">
        <v>-3.054</v>
      </c>
      <c r="N46" s="641">
        <v>-417.09</v>
      </c>
      <c r="O46" s="680">
        <v>-23.675</v>
      </c>
      <c r="P46" s="641">
        <v>-427.031</v>
      </c>
      <c r="Q46" s="680">
        <v>69.08</v>
      </c>
      <c r="R46" s="714"/>
      <c r="S46" s="682">
        <f t="shared" si="61"/>
        <v>-1689.721</v>
      </c>
      <c r="T46" s="683"/>
      <c r="U46" s="625">
        <f t="shared" si="62"/>
        <v>-118</v>
      </c>
      <c r="V46" s="625">
        <f t="shared" si="63"/>
        <v>-274</v>
      </c>
      <c r="W46" s="625">
        <f t="shared" si="64"/>
        <v>-453.6</v>
      </c>
      <c r="X46" s="625">
        <f t="shared" si="65"/>
        <v>-417.09</v>
      </c>
      <c r="Y46" s="625">
        <f t="shared" si="66"/>
        <v>-427.031</v>
      </c>
      <c r="Z46" s="656">
        <f t="shared" si="67"/>
        <v>56.351</v>
      </c>
      <c r="AA46" s="683"/>
      <c r="AB46" s="625">
        <f t="shared" si="68"/>
        <v>7</v>
      </c>
      <c r="AC46" s="625">
        <f t="shared" si="69"/>
        <v>7</v>
      </c>
      <c r="AD46" s="625">
        <f t="shared" si="70"/>
        <v>-3.054</v>
      </c>
      <c r="AE46" s="625">
        <f t="shared" si="71"/>
        <v>-23.675</v>
      </c>
      <c r="AF46" s="625">
        <f t="shared" si="72"/>
        <v>69.08</v>
      </c>
      <c r="AG46" s="794" t="s">
        <v>711</v>
      </c>
      <c r="AH46" s="165"/>
      <c r="AI46" s="165">
        <f t="shared" ref="AI46:AM46" si="94">AB46/U46</f>
        <v>-0.0593220339</v>
      </c>
      <c r="AJ46" s="165">
        <f t="shared" si="94"/>
        <v>-0.02554744526</v>
      </c>
      <c r="AK46" s="165">
        <f t="shared" si="94"/>
        <v>0.006732804233</v>
      </c>
      <c r="AL46" s="165">
        <f t="shared" si="94"/>
        <v>0.05676232947</v>
      </c>
      <c r="AM46" s="165">
        <f t="shared" si="94"/>
        <v>-0.1617681152</v>
      </c>
      <c r="AN46" s="684">
        <f t="shared" si="44"/>
        <v>2139.152</v>
      </c>
      <c r="AO46" s="685">
        <v>487.0</v>
      </c>
      <c r="AP46" s="685">
        <v>696.0</v>
      </c>
      <c r="AQ46" s="685">
        <v>428.0</v>
      </c>
      <c r="AR46" s="685">
        <v>214.51</v>
      </c>
      <c r="AS46" s="685">
        <v>350.323</v>
      </c>
      <c r="AT46" s="685">
        <v>450.319</v>
      </c>
      <c r="AU46" s="684">
        <f t="shared" si="45"/>
        <v>258.299</v>
      </c>
      <c r="AV46" s="685">
        <v>45.0</v>
      </c>
      <c r="AW46" s="685">
        <v>48.0</v>
      </c>
      <c r="AX46" s="685">
        <v>50.0</v>
      </c>
      <c r="AY46" s="685">
        <v>50.462</v>
      </c>
      <c r="AZ46" s="685">
        <v>52.004</v>
      </c>
      <c r="BA46" s="710">
        <v>57.833</v>
      </c>
      <c r="BB46" s="685"/>
      <c r="BC46" s="685"/>
      <c r="BD46" s="715" t="s">
        <v>695</v>
      </c>
      <c r="BE46" s="186" t="s">
        <v>3303</v>
      </c>
      <c r="BF46" s="688"/>
      <c r="BG46" s="688"/>
      <c r="BH46" s="688"/>
      <c r="BI46" s="179"/>
      <c r="BJ46" s="179"/>
      <c r="BK46" s="787"/>
      <c r="BL46" s="631"/>
      <c r="BM46" s="753"/>
    </row>
    <row r="47">
      <c r="A47" s="148" t="s">
        <v>3384</v>
      </c>
      <c r="B47" s="712" t="s">
        <v>3973</v>
      </c>
      <c r="C47" s="676" t="s">
        <v>2113</v>
      </c>
      <c r="D47" s="713">
        <v>85.0</v>
      </c>
      <c r="E47" s="632" t="s">
        <v>3047</v>
      </c>
      <c r="F47" s="71">
        <f t="shared" ref="F47:G47" si="95">H47+J47+L47+N47+P47</f>
        <v>-2142</v>
      </c>
      <c r="G47" s="679">
        <f t="shared" si="95"/>
        <v>-375</v>
      </c>
      <c r="H47" s="641">
        <v>1897.0</v>
      </c>
      <c r="I47" s="680">
        <v>0.0</v>
      </c>
      <c r="J47" s="641">
        <v>385.0</v>
      </c>
      <c r="K47" s="680">
        <v>0.0</v>
      </c>
      <c r="L47" s="641">
        <v>-15604.0</v>
      </c>
      <c r="M47" s="680">
        <v>-94.0</v>
      </c>
      <c r="N47" s="641">
        <v>6107.0</v>
      </c>
      <c r="O47" s="680">
        <v>-94.0</v>
      </c>
      <c r="P47" s="641">
        <v>5073.0</v>
      </c>
      <c r="Q47" s="680">
        <v>-187.0</v>
      </c>
      <c r="R47" s="714"/>
      <c r="S47" s="682">
        <f t="shared" si="61"/>
        <v>-2142</v>
      </c>
      <c r="T47" s="683"/>
      <c r="U47" s="625">
        <f t="shared" si="62"/>
        <v>1897</v>
      </c>
      <c r="V47" s="625">
        <f t="shared" si="63"/>
        <v>385</v>
      </c>
      <c r="W47" s="625">
        <f t="shared" si="64"/>
        <v>-15604</v>
      </c>
      <c r="X47" s="625">
        <f t="shared" si="65"/>
        <v>6107</v>
      </c>
      <c r="Y47" s="625">
        <f t="shared" si="66"/>
        <v>5073</v>
      </c>
      <c r="Z47" s="656">
        <f t="shared" si="67"/>
        <v>-375</v>
      </c>
      <c r="AA47" s="683"/>
      <c r="AB47" s="625">
        <f t="shared" si="68"/>
        <v>0</v>
      </c>
      <c r="AC47" s="625">
        <f t="shared" si="69"/>
        <v>0</v>
      </c>
      <c r="AD47" s="625">
        <f t="shared" si="70"/>
        <v>-94</v>
      </c>
      <c r="AE47" s="625">
        <f t="shared" si="71"/>
        <v>-94</v>
      </c>
      <c r="AF47" s="625">
        <f t="shared" si="72"/>
        <v>-187</v>
      </c>
      <c r="AG47" s="794" t="s">
        <v>711</v>
      </c>
      <c r="AH47" s="165"/>
      <c r="AI47" s="165">
        <f t="shared" ref="AI47:AM47" si="96">AB47/U47</f>
        <v>0</v>
      </c>
      <c r="AJ47" s="165">
        <f t="shared" si="96"/>
        <v>0</v>
      </c>
      <c r="AK47" s="165">
        <f t="shared" si="96"/>
        <v>0.006024096386</v>
      </c>
      <c r="AL47" s="165">
        <f t="shared" si="96"/>
        <v>-0.01539217292</v>
      </c>
      <c r="AM47" s="165">
        <f t="shared" si="96"/>
        <v>-0.03686181747</v>
      </c>
      <c r="AN47" s="684">
        <f t="shared" si="44"/>
        <v>3946</v>
      </c>
      <c r="AO47" s="180"/>
      <c r="AP47" s="685">
        <v>0.0</v>
      </c>
      <c r="AQ47" s="685">
        <v>0.0</v>
      </c>
      <c r="AR47" s="685">
        <v>344.0</v>
      </c>
      <c r="AS47" s="685">
        <v>2027.0</v>
      </c>
      <c r="AT47" s="685">
        <v>1575.0</v>
      </c>
      <c r="AU47" s="684">
        <f t="shared" si="45"/>
        <v>2149</v>
      </c>
      <c r="AV47" s="180"/>
      <c r="AW47" s="685">
        <v>0.0</v>
      </c>
      <c r="AX47" s="685">
        <v>0.0</v>
      </c>
      <c r="AY47" s="685">
        <v>260.0</v>
      </c>
      <c r="AZ47" s="685">
        <v>980.0</v>
      </c>
      <c r="BA47" s="710">
        <v>909.0</v>
      </c>
      <c r="BB47" s="685"/>
      <c r="BC47" s="685"/>
      <c r="BD47" s="715" t="s">
        <v>695</v>
      </c>
      <c r="BE47" s="688" t="s">
        <v>3303</v>
      </c>
      <c r="BF47" s="695" t="s">
        <v>3304</v>
      </c>
      <c r="BG47" s="695" t="s">
        <v>3305</v>
      </c>
      <c r="BH47" s="695" t="s">
        <v>3306</v>
      </c>
      <c r="BI47" s="180" t="s">
        <v>3307</v>
      </c>
      <c r="BJ47" s="180" t="s">
        <v>3308</v>
      </c>
      <c r="BK47" s="781"/>
      <c r="BL47" s="631"/>
      <c r="BM47" s="753"/>
    </row>
    <row r="48">
      <c r="A48" s="148" t="s">
        <v>3384</v>
      </c>
      <c r="B48" s="712" t="s">
        <v>3974</v>
      </c>
      <c r="C48" s="676" t="s">
        <v>2113</v>
      </c>
      <c r="D48" s="713">
        <v>197.0</v>
      </c>
      <c r="E48" s="714" t="s">
        <v>3975</v>
      </c>
      <c r="F48" s="71">
        <f t="shared" ref="F48:G48" si="97">H48+J48+L48+N48+P48</f>
        <v>-2217</v>
      </c>
      <c r="G48" s="679">
        <f t="shared" si="97"/>
        <v>-41</v>
      </c>
      <c r="H48" s="641">
        <v>981.0</v>
      </c>
      <c r="I48" s="680">
        <v>17.0</v>
      </c>
      <c r="J48" s="641">
        <v>277.0</v>
      </c>
      <c r="K48" s="680">
        <v>-6.0</v>
      </c>
      <c r="L48" s="641">
        <v>-3031.0</v>
      </c>
      <c r="M48" s="680">
        <v>-1.0</v>
      </c>
      <c r="N48" s="641">
        <v>-1526.0</v>
      </c>
      <c r="O48" s="680">
        <v>-32.0</v>
      </c>
      <c r="P48" s="641">
        <v>1082.0</v>
      </c>
      <c r="Q48" s="680">
        <v>-19.0</v>
      </c>
      <c r="R48" s="714"/>
      <c r="S48" s="682">
        <f t="shared" si="61"/>
        <v>-2217</v>
      </c>
      <c r="T48" s="683"/>
      <c r="U48" s="625">
        <f t="shared" si="62"/>
        <v>981</v>
      </c>
      <c r="V48" s="625">
        <f t="shared" si="63"/>
        <v>277</v>
      </c>
      <c r="W48" s="625">
        <f t="shared" si="64"/>
        <v>-3031</v>
      </c>
      <c r="X48" s="625">
        <f t="shared" si="65"/>
        <v>-1526</v>
      </c>
      <c r="Y48" s="625">
        <f t="shared" si="66"/>
        <v>1082</v>
      </c>
      <c r="Z48" s="656">
        <f t="shared" si="67"/>
        <v>-41</v>
      </c>
      <c r="AA48" s="683"/>
      <c r="AB48" s="625">
        <f t="shared" si="68"/>
        <v>17</v>
      </c>
      <c r="AC48" s="625">
        <f t="shared" si="69"/>
        <v>-6</v>
      </c>
      <c r="AD48" s="625">
        <f t="shared" si="70"/>
        <v>-1</v>
      </c>
      <c r="AE48" s="625">
        <f t="shared" si="71"/>
        <v>-32</v>
      </c>
      <c r="AF48" s="625">
        <f t="shared" si="72"/>
        <v>-19</v>
      </c>
      <c r="AG48" s="794" t="s">
        <v>711</v>
      </c>
      <c r="AH48" s="165"/>
      <c r="AI48" s="165">
        <f t="shared" ref="AI48:AM48" si="98">AB48/U48</f>
        <v>0.01732925586</v>
      </c>
      <c r="AJ48" s="165">
        <f t="shared" si="98"/>
        <v>-0.02166064982</v>
      </c>
      <c r="AK48" s="165">
        <f t="shared" si="98"/>
        <v>0.0003299241175</v>
      </c>
      <c r="AL48" s="165">
        <f t="shared" si="98"/>
        <v>0.02096985583</v>
      </c>
      <c r="AM48" s="165">
        <f t="shared" si="98"/>
        <v>-0.01756007394</v>
      </c>
      <c r="AN48" s="684">
        <f t="shared" si="44"/>
        <v>850</v>
      </c>
      <c r="AO48" s="685">
        <v>800.0</v>
      </c>
      <c r="AP48" s="685">
        <v>250.0</v>
      </c>
      <c r="AQ48" s="180">
        <v>0.0</v>
      </c>
      <c r="AR48" s="685">
        <v>100.0</v>
      </c>
      <c r="AS48" s="685">
        <v>100.0</v>
      </c>
      <c r="AT48" s="685">
        <v>400.0</v>
      </c>
      <c r="AU48" s="684">
        <f t="shared" si="45"/>
        <v>2134</v>
      </c>
      <c r="AV48" s="685">
        <v>576.0</v>
      </c>
      <c r="AW48" s="685">
        <v>435.0</v>
      </c>
      <c r="AX48" s="685">
        <v>161.0</v>
      </c>
      <c r="AY48" s="685">
        <v>278.0</v>
      </c>
      <c r="AZ48" s="685">
        <v>630.0</v>
      </c>
      <c r="BA48" s="710">
        <v>630.0</v>
      </c>
      <c r="BB48" s="685"/>
      <c r="BC48" s="685"/>
      <c r="BD48" s="715" t="s">
        <v>695</v>
      </c>
      <c r="BE48" s="186" t="s">
        <v>3303</v>
      </c>
      <c r="BF48" s="688"/>
      <c r="BG48" s="688"/>
      <c r="BH48" s="688"/>
      <c r="BI48" s="179"/>
      <c r="BJ48" s="179"/>
      <c r="BK48" s="787"/>
      <c r="BL48" s="631"/>
      <c r="BM48" s="753"/>
    </row>
    <row r="49">
      <c r="A49" s="148" t="s">
        <v>3384</v>
      </c>
      <c r="B49" s="786" t="s">
        <v>3976</v>
      </c>
      <c r="C49" s="676" t="s">
        <v>2113</v>
      </c>
      <c r="D49" s="713">
        <v>118.0</v>
      </c>
      <c r="E49" s="795" t="s">
        <v>3977</v>
      </c>
      <c r="F49" s="71">
        <f t="shared" ref="F49:G49" si="99">H49+J49+L49+N49+P49</f>
        <v>-2555</v>
      </c>
      <c r="G49" s="679">
        <f t="shared" si="99"/>
        <v>2236</v>
      </c>
      <c r="H49" s="641">
        <v>-8890.0</v>
      </c>
      <c r="I49" s="680">
        <v>629.0</v>
      </c>
      <c r="J49" s="641">
        <v>1468.0</v>
      </c>
      <c r="K49" s="680">
        <v>451.0</v>
      </c>
      <c r="L49" s="641">
        <v>1904.0</v>
      </c>
      <c r="M49" s="680">
        <v>422.0</v>
      </c>
      <c r="N49" s="641">
        <v>1868.0</v>
      </c>
      <c r="O49" s="680">
        <v>411.0</v>
      </c>
      <c r="P49" s="641">
        <v>1095.0</v>
      </c>
      <c r="Q49" s="680">
        <v>323.0</v>
      </c>
      <c r="R49" s="714"/>
      <c r="S49" s="682">
        <f t="shared" si="61"/>
        <v>-2555</v>
      </c>
      <c r="T49" s="683"/>
      <c r="U49" s="625">
        <f t="shared" si="62"/>
        <v>-8890</v>
      </c>
      <c r="V49" s="625">
        <f t="shared" si="63"/>
        <v>1468</v>
      </c>
      <c r="W49" s="625">
        <f t="shared" si="64"/>
        <v>1904</v>
      </c>
      <c r="X49" s="625">
        <f t="shared" si="65"/>
        <v>1868</v>
      </c>
      <c r="Y49" s="625">
        <f t="shared" si="66"/>
        <v>1095</v>
      </c>
      <c r="Z49" s="656">
        <f t="shared" si="67"/>
        <v>2236</v>
      </c>
      <c r="AA49" s="683"/>
      <c r="AB49" s="625">
        <f t="shared" si="68"/>
        <v>629</v>
      </c>
      <c r="AC49" s="625">
        <f t="shared" si="69"/>
        <v>451</v>
      </c>
      <c r="AD49" s="625">
        <f t="shared" si="70"/>
        <v>422</v>
      </c>
      <c r="AE49" s="625">
        <f t="shared" si="71"/>
        <v>411</v>
      </c>
      <c r="AF49" s="625">
        <f t="shared" si="72"/>
        <v>323</v>
      </c>
      <c r="AG49" s="794" t="s">
        <v>711</v>
      </c>
      <c r="AH49" s="165"/>
      <c r="AI49" s="165">
        <f t="shared" ref="AI49:AM49" si="100">AB49/U49</f>
        <v>-0.07075365579</v>
      </c>
      <c r="AJ49" s="165">
        <f t="shared" si="100"/>
        <v>0.3072207084</v>
      </c>
      <c r="AK49" s="165">
        <f t="shared" si="100"/>
        <v>0.2216386555</v>
      </c>
      <c r="AL49" s="165">
        <f t="shared" si="100"/>
        <v>0.2200214133</v>
      </c>
      <c r="AM49" s="165">
        <f t="shared" si="100"/>
        <v>0.2949771689</v>
      </c>
      <c r="AN49" s="684">
        <f t="shared" si="44"/>
        <v>1602</v>
      </c>
      <c r="AO49" s="685">
        <v>0.0</v>
      </c>
      <c r="AP49" s="685">
        <v>0.0</v>
      </c>
      <c r="AQ49" s="685">
        <v>0.0</v>
      </c>
      <c r="AR49" s="685">
        <v>969.0</v>
      </c>
      <c r="AS49" s="685">
        <v>633.0</v>
      </c>
      <c r="AT49" s="685">
        <v>0.0</v>
      </c>
      <c r="AU49" s="684">
        <f t="shared" si="45"/>
        <v>0</v>
      </c>
      <c r="AV49" s="685">
        <v>0.0</v>
      </c>
      <c r="AW49" s="685">
        <v>0.0</v>
      </c>
      <c r="AX49" s="685">
        <v>0.0</v>
      </c>
      <c r="AY49" s="685">
        <v>0.0</v>
      </c>
      <c r="AZ49" s="685">
        <v>0.0</v>
      </c>
      <c r="BA49" s="710">
        <v>0.0</v>
      </c>
      <c r="BB49" s="685"/>
      <c r="BC49" s="685"/>
      <c r="BD49" s="715" t="s">
        <v>695</v>
      </c>
      <c r="BE49" s="186" t="s">
        <v>3303</v>
      </c>
      <c r="BF49" s="688"/>
      <c r="BG49" s="688"/>
      <c r="BH49" s="688"/>
      <c r="BI49" s="179"/>
      <c r="BJ49" s="179"/>
      <c r="BK49" s="787"/>
      <c r="BL49" s="631"/>
      <c r="BM49" s="753"/>
    </row>
    <row r="50">
      <c r="A50" s="148" t="s">
        <v>3384</v>
      </c>
      <c r="B50" s="202" t="s">
        <v>3978</v>
      </c>
      <c r="C50" s="676" t="s">
        <v>1919</v>
      </c>
      <c r="D50" s="677">
        <v>14.0</v>
      </c>
      <c r="E50" s="734" t="s">
        <v>2591</v>
      </c>
      <c r="F50" s="71">
        <f t="shared" ref="F50:G50" si="101">H50+J50+L50+N50+P50</f>
        <v>-3767</v>
      </c>
      <c r="G50" s="679">
        <f t="shared" si="101"/>
        <v>253</v>
      </c>
      <c r="H50" s="641">
        <v>222.0</v>
      </c>
      <c r="I50" s="680">
        <v>254.0</v>
      </c>
      <c r="J50" s="641">
        <v>-1029.0</v>
      </c>
      <c r="K50" s="680">
        <v>34.0</v>
      </c>
      <c r="L50" s="641">
        <v>-139.0</v>
      </c>
      <c r="M50" s="680">
        <v>-989.0</v>
      </c>
      <c r="N50" s="641">
        <v>-4210.0</v>
      </c>
      <c r="O50" s="680">
        <v>659.0</v>
      </c>
      <c r="P50" s="641">
        <v>1389.0</v>
      </c>
      <c r="Q50" s="680">
        <v>295.0</v>
      </c>
      <c r="R50" s="714"/>
      <c r="S50" s="682">
        <f t="shared" si="61"/>
        <v>-3767</v>
      </c>
      <c r="T50" s="683"/>
      <c r="U50" s="625">
        <f t="shared" si="62"/>
        <v>222</v>
      </c>
      <c r="V50" s="625">
        <f t="shared" si="63"/>
        <v>-1029</v>
      </c>
      <c r="W50" s="625">
        <f t="shared" si="64"/>
        <v>-139</v>
      </c>
      <c r="X50" s="625">
        <f t="shared" si="65"/>
        <v>-4210</v>
      </c>
      <c r="Y50" s="625">
        <f t="shared" si="66"/>
        <v>1389</v>
      </c>
      <c r="Z50" s="656">
        <f t="shared" si="67"/>
        <v>253</v>
      </c>
      <c r="AA50" s="683"/>
      <c r="AB50" s="625">
        <f t="shared" si="68"/>
        <v>254</v>
      </c>
      <c r="AC50" s="625">
        <f t="shared" si="69"/>
        <v>34</v>
      </c>
      <c r="AD50" s="625">
        <f t="shared" si="70"/>
        <v>-989</v>
      </c>
      <c r="AE50" s="625">
        <f t="shared" si="71"/>
        <v>659</v>
      </c>
      <c r="AF50" s="625">
        <f t="shared" si="72"/>
        <v>295</v>
      </c>
      <c r="AG50" s="794" t="s">
        <v>711</v>
      </c>
      <c r="AH50" s="165"/>
      <c r="AI50" s="165">
        <f t="shared" ref="AI50:AM50" si="102">AB50/U50</f>
        <v>1.144144144</v>
      </c>
      <c r="AJ50" s="165">
        <f t="shared" si="102"/>
        <v>-0.03304178814</v>
      </c>
      <c r="AK50" s="165">
        <f t="shared" si="102"/>
        <v>7.115107914</v>
      </c>
      <c r="AL50" s="165">
        <f t="shared" si="102"/>
        <v>-0.1565320665</v>
      </c>
      <c r="AM50" s="165">
        <f t="shared" si="102"/>
        <v>0.2123830094</v>
      </c>
      <c r="AN50" s="684">
        <f t="shared" si="44"/>
        <v>4150</v>
      </c>
      <c r="AO50" s="180"/>
      <c r="AP50" s="685">
        <v>2000.0</v>
      </c>
      <c r="AQ50" s="685">
        <v>1000.0</v>
      </c>
      <c r="AR50" s="685">
        <v>200.0</v>
      </c>
      <c r="AS50" s="685">
        <v>350.0</v>
      </c>
      <c r="AT50" s="685">
        <v>600.0</v>
      </c>
      <c r="AU50" s="684">
        <f t="shared" si="45"/>
        <v>2803</v>
      </c>
      <c r="AV50" s="180"/>
      <c r="AW50" s="685">
        <v>525.0</v>
      </c>
      <c r="AX50" s="685">
        <v>559.0</v>
      </c>
      <c r="AY50" s="685">
        <v>573.0</v>
      </c>
      <c r="AZ50" s="685">
        <v>569.0</v>
      </c>
      <c r="BA50" s="710">
        <v>577.0</v>
      </c>
      <c r="BB50" s="685"/>
      <c r="BC50" s="685"/>
      <c r="BD50" s="712" t="s">
        <v>695</v>
      </c>
      <c r="BE50" s="688" t="s">
        <v>3303</v>
      </c>
      <c r="BF50" s="189" t="s">
        <v>3304</v>
      </c>
      <c r="BG50" s="695" t="s">
        <v>3305</v>
      </c>
      <c r="BH50" s="695" t="s">
        <v>3306</v>
      </c>
      <c r="BI50" s="695" t="s">
        <v>3307</v>
      </c>
      <c r="BJ50" s="695" t="s">
        <v>3308</v>
      </c>
      <c r="BK50" s="695"/>
      <c r="BL50" s="631"/>
      <c r="BM50" s="753"/>
    </row>
    <row r="51">
      <c r="A51" s="148" t="s">
        <v>3384</v>
      </c>
      <c r="B51" s="712" t="s">
        <v>3979</v>
      </c>
      <c r="C51" s="676" t="s">
        <v>2113</v>
      </c>
      <c r="D51" s="713">
        <v>96.0</v>
      </c>
      <c r="E51" s="632" t="s">
        <v>3120</v>
      </c>
      <c r="F51" s="71">
        <f t="shared" ref="F51:G51" si="103">H51+J51+L51+N51+P51</f>
        <v>-3868.386</v>
      </c>
      <c r="G51" s="679">
        <f t="shared" si="103"/>
        <v>16.157</v>
      </c>
      <c r="H51" s="641">
        <v>990.0</v>
      </c>
      <c r="I51" s="680">
        <v>5.0</v>
      </c>
      <c r="J51" s="641">
        <v>-2521.0</v>
      </c>
      <c r="K51" s="680">
        <v>-9.427</v>
      </c>
      <c r="L51" s="641">
        <v>-8710.0</v>
      </c>
      <c r="M51" s="680">
        <v>-11.247</v>
      </c>
      <c r="N51" s="641">
        <v>3852.709</v>
      </c>
      <c r="O51" s="680">
        <v>21.391</v>
      </c>
      <c r="P51" s="641">
        <v>2519.905</v>
      </c>
      <c r="Q51" s="680">
        <v>10.44</v>
      </c>
      <c r="R51" s="714"/>
      <c r="S51" s="682">
        <f t="shared" si="61"/>
        <v>-3868.386</v>
      </c>
      <c r="T51" s="683"/>
      <c r="U51" s="625">
        <f t="shared" si="62"/>
        <v>990</v>
      </c>
      <c r="V51" s="625">
        <f t="shared" si="63"/>
        <v>-2521</v>
      </c>
      <c r="W51" s="625">
        <f t="shared" si="64"/>
        <v>-8710</v>
      </c>
      <c r="X51" s="625">
        <f t="shared" si="65"/>
        <v>3852.709</v>
      </c>
      <c r="Y51" s="625">
        <f t="shared" si="66"/>
        <v>2519.905</v>
      </c>
      <c r="Z51" s="656">
        <f t="shared" si="67"/>
        <v>16.157</v>
      </c>
      <c r="AA51" s="683"/>
      <c r="AB51" s="625">
        <f t="shared" si="68"/>
        <v>5</v>
      </c>
      <c r="AC51" s="625">
        <f t="shared" si="69"/>
        <v>-9.427</v>
      </c>
      <c r="AD51" s="625">
        <f t="shared" si="70"/>
        <v>-11.247</v>
      </c>
      <c r="AE51" s="625">
        <f t="shared" si="71"/>
        <v>21.391</v>
      </c>
      <c r="AF51" s="625">
        <f t="shared" si="72"/>
        <v>10.44</v>
      </c>
      <c r="AG51" s="794" t="s">
        <v>711</v>
      </c>
      <c r="AH51" s="165"/>
      <c r="AI51" s="165">
        <f t="shared" ref="AI51:AM51" si="104">AB51/U51</f>
        <v>0.005050505051</v>
      </c>
      <c r="AJ51" s="165">
        <f t="shared" si="104"/>
        <v>0.003739389131</v>
      </c>
      <c r="AK51" s="165">
        <f t="shared" si="104"/>
        <v>0.001291274397</v>
      </c>
      <c r="AL51" s="165">
        <f t="shared" si="104"/>
        <v>0.005552197168</v>
      </c>
      <c r="AM51" s="165">
        <f t="shared" si="104"/>
        <v>0.004143013328</v>
      </c>
      <c r="AN51" s="684">
        <f t="shared" si="44"/>
        <v>3233</v>
      </c>
      <c r="AO51" s="180"/>
      <c r="AP51" s="685">
        <v>0.0</v>
      </c>
      <c r="AQ51" s="685">
        <v>0.0</v>
      </c>
      <c r="AR51" s="685">
        <v>353.0</v>
      </c>
      <c r="AS51" s="685">
        <v>1645.0</v>
      </c>
      <c r="AT51" s="685">
        <v>1235.0</v>
      </c>
      <c r="AU51" s="684">
        <f t="shared" si="45"/>
        <v>0</v>
      </c>
      <c r="AV51" s="180"/>
      <c r="AW51" s="685">
        <v>0.0</v>
      </c>
      <c r="AX51" s="685">
        <v>0.0</v>
      </c>
      <c r="AY51" s="685">
        <v>0.0</v>
      </c>
      <c r="AZ51" s="685">
        <v>0.0</v>
      </c>
      <c r="BA51" s="710">
        <v>0.0</v>
      </c>
      <c r="BB51" s="685"/>
      <c r="BC51" s="685"/>
      <c r="BD51" s="715" t="s">
        <v>695</v>
      </c>
      <c r="BE51" s="688" t="s">
        <v>3303</v>
      </c>
      <c r="BF51" s="695" t="s">
        <v>3304</v>
      </c>
      <c r="BG51" s="695" t="s">
        <v>3305</v>
      </c>
      <c r="BH51" s="695" t="s">
        <v>3306</v>
      </c>
      <c r="BI51" s="180" t="s">
        <v>3307</v>
      </c>
      <c r="BJ51" s="180" t="s">
        <v>3308</v>
      </c>
      <c r="BK51" s="781"/>
      <c r="BL51" s="631"/>
      <c r="BM51" s="753"/>
    </row>
    <row r="52">
      <c r="A52" s="148" t="s">
        <v>3384</v>
      </c>
      <c r="B52" s="712" t="s">
        <v>3980</v>
      </c>
      <c r="C52" s="676" t="s">
        <v>2113</v>
      </c>
      <c r="D52" s="713">
        <v>250.0</v>
      </c>
      <c r="E52" s="796" t="s">
        <v>3981</v>
      </c>
      <c r="F52" s="71">
        <f t="shared" ref="F52:G52" si="105">H52+J52+L52+N52+P52</f>
        <v>-5506</v>
      </c>
      <c r="G52" s="679">
        <f t="shared" si="105"/>
        <v>445</v>
      </c>
      <c r="H52" s="641">
        <v>-315.0</v>
      </c>
      <c r="I52" s="680">
        <v>211.0</v>
      </c>
      <c r="J52" s="641">
        <v>-214.0</v>
      </c>
      <c r="K52" s="680">
        <v>149.0</v>
      </c>
      <c r="L52" s="641">
        <v>-3195.0</v>
      </c>
      <c r="M52" s="680">
        <v>123.0</v>
      </c>
      <c r="N52" s="641">
        <v>-2012.0</v>
      </c>
      <c r="O52" s="680">
        <v>22.0</v>
      </c>
      <c r="P52" s="641">
        <v>230.0</v>
      </c>
      <c r="Q52" s="680">
        <v>-60.0</v>
      </c>
      <c r="R52" s="714"/>
      <c r="S52" s="682">
        <f t="shared" si="61"/>
        <v>-5506</v>
      </c>
      <c r="T52" s="683"/>
      <c r="U52" s="625">
        <f t="shared" si="62"/>
        <v>-315</v>
      </c>
      <c r="V52" s="625">
        <f t="shared" si="63"/>
        <v>-214</v>
      </c>
      <c r="W52" s="625">
        <f t="shared" si="64"/>
        <v>-3195</v>
      </c>
      <c r="X52" s="625">
        <f t="shared" si="65"/>
        <v>-2012</v>
      </c>
      <c r="Y52" s="625">
        <f t="shared" si="66"/>
        <v>230</v>
      </c>
      <c r="Z52" s="656">
        <f t="shared" si="67"/>
        <v>445</v>
      </c>
      <c r="AA52" s="683"/>
      <c r="AB52" s="625">
        <f t="shared" si="68"/>
        <v>211</v>
      </c>
      <c r="AC52" s="625">
        <f t="shared" si="69"/>
        <v>149</v>
      </c>
      <c r="AD52" s="625">
        <f t="shared" si="70"/>
        <v>123</v>
      </c>
      <c r="AE52" s="625">
        <f t="shared" si="71"/>
        <v>22</v>
      </c>
      <c r="AF52" s="625">
        <f t="shared" si="72"/>
        <v>-60</v>
      </c>
      <c r="AG52" s="794" t="s">
        <v>711</v>
      </c>
      <c r="AH52" s="165"/>
      <c r="AI52" s="165">
        <f t="shared" ref="AI52:AM52" si="106">AB52/U52</f>
        <v>-0.6698412698</v>
      </c>
      <c r="AJ52" s="165">
        <f t="shared" si="106"/>
        <v>-0.6962616822</v>
      </c>
      <c r="AK52" s="165">
        <f t="shared" si="106"/>
        <v>-0.03849765258</v>
      </c>
      <c r="AL52" s="165">
        <f t="shared" si="106"/>
        <v>-0.01093439364</v>
      </c>
      <c r="AM52" s="165">
        <f t="shared" si="106"/>
        <v>-0.2608695652</v>
      </c>
      <c r="AN52" s="684">
        <f t="shared" si="44"/>
        <v>13500</v>
      </c>
      <c r="AO52" s="685">
        <v>2000.0</v>
      </c>
      <c r="AP52" s="685">
        <v>4375.0</v>
      </c>
      <c r="AQ52" s="685">
        <v>2143.0</v>
      </c>
      <c r="AR52" s="685">
        <v>232.0</v>
      </c>
      <c r="AS52" s="685">
        <v>2329.0</v>
      </c>
      <c r="AT52" s="685">
        <v>4421.0</v>
      </c>
      <c r="AU52" s="684">
        <f t="shared" si="45"/>
        <v>7266</v>
      </c>
      <c r="AV52" s="685">
        <v>651.0</v>
      </c>
      <c r="AW52" s="685">
        <v>652.0</v>
      </c>
      <c r="AX52" s="685">
        <v>630.0</v>
      </c>
      <c r="AY52" s="685">
        <v>882.0</v>
      </c>
      <c r="AZ52" s="685">
        <v>1611.0</v>
      </c>
      <c r="BA52" s="710">
        <v>3491.0</v>
      </c>
      <c r="BB52" s="685"/>
      <c r="BC52" s="685"/>
      <c r="BD52" s="715" t="s">
        <v>695</v>
      </c>
      <c r="BE52" s="186" t="s">
        <v>3303</v>
      </c>
      <c r="BF52" s="688"/>
      <c r="BG52" s="688"/>
      <c r="BH52" s="688"/>
      <c r="BI52" s="179"/>
      <c r="BJ52" s="179"/>
      <c r="BK52" s="787"/>
      <c r="BL52" s="631"/>
      <c r="BM52" s="753"/>
    </row>
    <row r="53">
      <c r="A53" s="148" t="s">
        <v>3384</v>
      </c>
      <c r="B53" s="712" t="s">
        <v>3982</v>
      </c>
      <c r="C53" s="676" t="s">
        <v>2113</v>
      </c>
      <c r="D53" s="713">
        <v>153.0</v>
      </c>
      <c r="E53" s="714" t="s">
        <v>3983</v>
      </c>
      <c r="F53" s="71">
        <f t="shared" ref="F53:G53" si="107">H53+J53+L53+N53+P53</f>
        <v>-8326</v>
      </c>
      <c r="G53" s="679">
        <f t="shared" si="107"/>
        <v>3585</v>
      </c>
      <c r="H53" s="641">
        <v>1496.0</v>
      </c>
      <c r="I53" s="680">
        <v>620.0</v>
      </c>
      <c r="J53" s="641">
        <v>-335.0</v>
      </c>
      <c r="K53" s="680">
        <v>1421.0</v>
      </c>
      <c r="L53" s="641">
        <v>272.0</v>
      </c>
      <c r="M53" s="680">
        <v>634.0</v>
      </c>
      <c r="N53" s="641">
        <v>680.0</v>
      </c>
      <c r="O53" s="680">
        <v>466.0</v>
      </c>
      <c r="P53" s="641">
        <v>-10439.0</v>
      </c>
      <c r="Q53" s="680">
        <v>444.0</v>
      </c>
      <c r="R53" s="714"/>
      <c r="S53" s="682">
        <f t="shared" si="61"/>
        <v>-8326</v>
      </c>
      <c r="T53" s="683"/>
      <c r="U53" s="625">
        <f t="shared" si="62"/>
        <v>1496</v>
      </c>
      <c r="V53" s="625">
        <f t="shared" si="63"/>
        <v>-335</v>
      </c>
      <c r="W53" s="625">
        <f t="shared" si="64"/>
        <v>272</v>
      </c>
      <c r="X53" s="625">
        <f t="shared" si="65"/>
        <v>680</v>
      </c>
      <c r="Y53" s="625">
        <f t="shared" si="66"/>
        <v>-10439</v>
      </c>
      <c r="Z53" s="656">
        <f t="shared" si="67"/>
        <v>3585</v>
      </c>
      <c r="AA53" s="683"/>
      <c r="AB53" s="625">
        <f t="shared" si="68"/>
        <v>620</v>
      </c>
      <c r="AC53" s="625">
        <f t="shared" si="69"/>
        <v>1421</v>
      </c>
      <c r="AD53" s="625">
        <f t="shared" si="70"/>
        <v>634</v>
      </c>
      <c r="AE53" s="625">
        <f t="shared" si="71"/>
        <v>466</v>
      </c>
      <c r="AF53" s="625">
        <f t="shared" si="72"/>
        <v>444</v>
      </c>
      <c r="AG53" s="794" t="s">
        <v>711</v>
      </c>
      <c r="AH53" s="165"/>
      <c r="AI53" s="165">
        <f t="shared" ref="AI53:AM53" si="108">AB53/U53</f>
        <v>0.4144385027</v>
      </c>
      <c r="AJ53" s="165">
        <f t="shared" si="108"/>
        <v>-4.241791045</v>
      </c>
      <c r="AK53" s="165">
        <f t="shared" si="108"/>
        <v>2.330882353</v>
      </c>
      <c r="AL53" s="165">
        <f t="shared" si="108"/>
        <v>0.6852941176</v>
      </c>
      <c r="AM53" s="165">
        <f t="shared" si="108"/>
        <v>-0.04253280966</v>
      </c>
      <c r="AN53" s="684">
        <f t="shared" si="44"/>
        <v>551</v>
      </c>
      <c r="AO53" s="685">
        <v>455.0</v>
      </c>
      <c r="AP53" s="685">
        <v>280.0</v>
      </c>
      <c r="AQ53" s="685">
        <v>271.0</v>
      </c>
      <c r="AR53" s="180">
        <v>0.0</v>
      </c>
      <c r="AS53" s="180">
        <v>0.0</v>
      </c>
      <c r="AT53" s="180">
        <v>0.0</v>
      </c>
      <c r="AU53" s="684">
        <f t="shared" si="45"/>
        <v>11013</v>
      </c>
      <c r="AV53" s="685">
        <v>1965.0</v>
      </c>
      <c r="AW53" s="685">
        <v>1960.0</v>
      </c>
      <c r="AX53" s="685">
        <v>1959.0</v>
      </c>
      <c r="AY53" s="685">
        <v>1958.0</v>
      </c>
      <c r="AZ53" s="685">
        <v>1953.0</v>
      </c>
      <c r="BA53" s="710">
        <v>3183.0</v>
      </c>
      <c r="BB53" s="685"/>
      <c r="BC53" s="685"/>
      <c r="BD53" s="715" t="s">
        <v>695</v>
      </c>
      <c r="BE53" s="186" t="s">
        <v>3303</v>
      </c>
      <c r="BF53" s="688"/>
      <c r="BG53" s="688"/>
      <c r="BH53" s="688"/>
      <c r="BI53" s="179"/>
      <c r="BJ53" s="179"/>
      <c r="BK53" s="787"/>
      <c r="BL53" s="631"/>
      <c r="BM53" s="753"/>
    </row>
    <row r="54">
      <c r="A54" s="148" t="s">
        <v>3384</v>
      </c>
      <c r="B54" s="712" t="s">
        <v>3984</v>
      </c>
      <c r="C54" s="694" t="s">
        <v>1578</v>
      </c>
      <c r="D54" s="713">
        <v>34.0</v>
      </c>
      <c r="E54" s="734" t="s">
        <v>2667</v>
      </c>
      <c r="F54" s="71">
        <f t="shared" ref="F54:G54" si="109">H54+J54+L54+N54+P54</f>
        <v>-9104</v>
      </c>
      <c r="G54" s="679">
        <f t="shared" si="109"/>
        <v>556</v>
      </c>
      <c r="H54" s="641">
        <v>-1492.0</v>
      </c>
      <c r="I54" s="680">
        <v>605.0</v>
      </c>
      <c r="J54" s="641">
        <v>1338.0</v>
      </c>
      <c r="K54" s="680">
        <v>166.0</v>
      </c>
      <c r="L54" s="641">
        <v>-1095.0</v>
      </c>
      <c r="M54" s="680">
        <v>-526.0</v>
      </c>
      <c r="N54" s="641">
        <v>-3136.0</v>
      </c>
      <c r="O54" s="680">
        <v>-150.0</v>
      </c>
      <c r="P54" s="641">
        <v>-4719.0</v>
      </c>
      <c r="Q54" s="680">
        <v>461.0</v>
      </c>
      <c r="R54" s="714"/>
      <c r="S54" s="682">
        <f t="shared" si="61"/>
        <v>-9104</v>
      </c>
      <c r="T54" s="683"/>
      <c r="U54" s="625">
        <f t="shared" si="62"/>
        <v>-1492</v>
      </c>
      <c r="V54" s="625">
        <f t="shared" si="63"/>
        <v>1338</v>
      </c>
      <c r="W54" s="625">
        <f t="shared" si="64"/>
        <v>-1095</v>
      </c>
      <c r="X54" s="625">
        <f t="shared" si="65"/>
        <v>-3136</v>
      </c>
      <c r="Y54" s="625">
        <f t="shared" si="66"/>
        <v>-4719</v>
      </c>
      <c r="Z54" s="656">
        <f t="shared" si="67"/>
        <v>556</v>
      </c>
      <c r="AA54" s="683"/>
      <c r="AB54" s="625">
        <f t="shared" si="68"/>
        <v>605</v>
      </c>
      <c r="AC54" s="625">
        <f t="shared" si="69"/>
        <v>166</v>
      </c>
      <c r="AD54" s="625">
        <f t="shared" si="70"/>
        <v>-526</v>
      </c>
      <c r="AE54" s="625">
        <f t="shared" si="71"/>
        <v>-150</v>
      </c>
      <c r="AF54" s="625">
        <f t="shared" si="72"/>
        <v>461</v>
      </c>
      <c r="AG54" s="794" t="s">
        <v>711</v>
      </c>
      <c r="AH54" s="165"/>
      <c r="AI54" s="165">
        <f t="shared" ref="AI54:AM54" si="110">AB54/U54</f>
        <v>-0.4054959786</v>
      </c>
      <c r="AJ54" s="165">
        <f t="shared" si="110"/>
        <v>0.1240657698</v>
      </c>
      <c r="AK54" s="165">
        <f t="shared" si="110"/>
        <v>0.4803652968</v>
      </c>
      <c r="AL54" s="165">
        <f t="shared" si="110"/>
        <v>0.04783163265</v>
      </c>
      <c r="AM54" s="165">
        <f t="shared" si="110"/>
        <v>-0.0976901886</v>
      </c>
      <c r="AN54" s="684">
        <f t="shared" si="44"/>
        <v>22514</v>
      </c>
      <c r="AO54" s="180"/>
      <c r="AP54" s="685">
        <v>3276.0</v>
      </c>
      <c r="AQ54" s="685">
        <v>1504.0</v>
      </c>
      <c r="AR54" s="685">
        <v>1152.0</v>
      </c>
      <c r="AS54" s="685">
        <v>2897.0</v>
      </c>
      <c r="AT54" s="685">
        <v>13685.0</v>
      </c>
      <c r="AU54" s="684">
        <f t="shared" si="45"/>
        <v>964</v>
      </c>
      <c r="AV54" s="180"/>
      <c r="AW54" s="685">
        <v>964.0</v>
      </c>
      <c r="AX54" s="685">
        <v>0.0</v>
      </c>
      <c r="AY54" s="685">
        <v>0.0</v>
      </c>
      <c r="AZ54" s="685">
        <v>0.0</v>
      </c>
      <c r="BA54" s="710">
        <v>0.0</v>
      </c>
      <c r="BB54" s="685"/>
      <c r="BC54" s="685"/>
      <c r="BD54" s="695" t="s">
        <v>695</v>
      </c>
      <c r="BE54" s="688" t="s">
        <v>3303</v>
      </c>
      <c r="BF54" s="695" t="s">
        <v>3304</v>
      </c>
      <c r="BG54" s="695" t="s">
        <v>3305</v>
      </c>
      <c r="BH54" s="695" t="s">
        <v>3306</v>
      </c>
      <c r="BI54" s="695" t="s">
        <v>3307</v>
      </c>
      <c r="BJ54" s="695" t="s">
        <v>3308</v>
      </c>
      <c r="BK54" s="781"/>
      <c r="BL54" s="631"/>
      <c r="BM54" s="753"/>
    </row>
    <row r="55">
      <c r="A55" s="148" t="s">
        <v>3384</v>
      </c>
      <c r="B55" s="712" t="s">
        <v>3985</v>
      </c>
      <c r="C55" s="711" t="s">
        <v>1865</v>
      </c>
      <c r="D55" s="713">
        <v>123.0</v>
      </c>
      <c r="E55" s="714" t="s">
        <v>3986</v>
      </c>
      <c r="F55" s="71">
        <f t="shared" ref="F55:G55" si="111">H55+J55+L55+N55+P55</f>
        <v>-14294</v>
      </c>
      <c r="G55" s="679">
        <f t="shared" si="111"/>
        <v>833</v>
      </c>
      <c r="H55" s="641">
        <v>-2068.0</v>
      </c>
      <c r="I55" s="680">
        <v>174.0</v>
      </c>
      <c r="J55" s="641">
        <v>-3149.0</v>
      </c>
      <c r="K55" s="680">
        <v>446.0</v>
      </c>
      <c r="L55" s="641">
        <v>-4272.0</v>
      </c>
      <c r="M55" s="680">
        <v>7.0</v>
      </c>
      <c r="N55" s="641">
        <v>-4100.0</v>
      </c>
      <c r="O55" s="680">
        <v>-49.0</v>
      </c>
      <c r="P55" s="641">
        <v>-705.0</v>
      </c>
      <c r="Q55" s="680">
        <v>255.0</v>
      </c>
      <c r="R55" s="714"/>
      <c r="S55" s="682">
        <f t="shared" si="61"/>
        <v>-14294</v>
      </c>
      <c r="T55" s="683"/>
      <c r="U55" s="625">
        <f t="shared" si="62"/>
        <v>-2068</v>
      </c>
      <c r="V55" s="625">
        <f t="shared" si="63"/>
        <v>-3149</v>
      </c>
      <c r="W55" s="625">
        <f t="shared" si="64"/>
        <v>-4272</v>
      </c>
      <c r="X55" s="625">
        <f t="shared" si="65"/>
        <v>-4100</v>
      </c>
      <c r="Y55" s="625">
        <f t="shared" si="66"/>
        <v>-705</v>
      </c>
      <c r="Z55" s="656">
        <f t="shared" si="67"/>
        <v>833</v>
      </c>
      <c r="AA55" s="683"/>
      <c r="AB55" s="625">
        <f t="shared" si="68"/>
        <v>174</v>
      </c>
      <c r="AC55" s="625">
        <f t="shared" si="69"/>
        <v>446</v>
      </c>
      <c r="AD55" s="625">
        <f t="shared" si="70"/>
        <v>7</v>
      </c>
      <c r="AE55" s="625">
        <f t="shared" si="71"/>
        <v>-49</v>
      </c>
      <c r="AF55" s="625">
        <f t="shared" si="72"/>
        <v>255</v>
      </c>
      <c r="AG55" s="794" t="s">
        <v>711</v>
      </c>
      <c r="AH55" s="165"/>
      <c r="AI55" s="165">
        <f t="shared" ref="AI55:AM55" si="112">AB55/U55</f>
        <v>-0.08413926499</v>
      </c>
      <c r="AJ55" s="165">
        <f t="shared" si="112"/>
        <v>-0.1416322642</v>
      </c>
      <c r="AK55" s="165">
        <f t="shared" si="112"/>
        <v>-0.001638576779</v>
      </c>
      <c r="AL55" s="165">
        <f t="shared" si="112"/>
        <v>0.01195121951</v>
      </c>
      <c r="AM55" s="165">
        <f t="shared" si="112"/>
        <v>-0.3617021277</v>
      </c>
      <c r="AN55" s="684">
        <f t="shared" si="44"/>
        <v>24240</v>
      </c>
      <c r="AO55" s="685">
        <f>5824+1861</f>
        <v>7685</v>
      </c>
      <c r="AP55" s="685">
        <f>7000+1455</f>
        <v>8455</v>
      </c>
      <c r="AQ55" s="685">
        <v>1299.0</v>
      </c>
      <c r="AR55" s="685">
        <v>765.0</v>
      </c>
      <c r="AS55" s="685">
        <f>5435+972</f>
        <v>6407</v>
      </c>
      <c r="AT55" s="685">
        <f>7258+56</f>
        <v>7314</v>
      </c>
      <c r="AU55" s="684">
        <f t="shared" si="45"/>
        <v>26011</v>
      </c>
      <c r="AV55" s="685">
        <v>7645.0</v>
      </c>
      <c r="AW55" s="685">
        <v>7032.0</v>
      </c>
      <c r="AX55" s="685">
        <v>6212.0</v>
      </c>
      <c r="AY55" s="685">
        <v>5534.0</v>
      </c>
      <c r="AZ55" s="685">
        <v>4235.0</v>
      </c>
      <c r="BA55" s="710">
        <v>2998.0</v>
      </c>
      <c r="BB55" s="685"/>
      <c r="BC55" s="685"/>
      <c r="BD55" s="715" t="s">
        <v>695</v>
      </c>
      <c r="BE55" s="186" t="s">
        <v>3303</v>
      </c>
      <c r="BF55" s="688"/>
      <c r="BG55" s="688"/>
      <c r="BH55" s="688"/>
      <c r="BI55" s="179"/>
      <c r="BJ55" s="179"/>
      <c r="BK55" s="787"/>
      <c r="BL55" s="631"/>
      <c r="BM55" s="753"/>
    </row>
    <row r="56">
      <c r="A56" s="148" t="s">
        <v>3384</v>
      </c>
      <c r="B56" s="712" t="s">
        <v>3987</v>
      </c>
      <c r="C56" s="676" t="s">
        <v>2113</v>
      </c>
      <c r="D56" s="713">
        <v>58.0</v>
      </c>
      <c r="E56" s="632" t="s">
        <v>2732</v>
      </c>
      <c r="F56" s="71">
        <f t="shared" ref="F56:G56" si="113">H56+J56+L56+N56+P56</f>
        <v>-17397</v>
      </c>
      <c r="G56" s="679">
        <f t="shared" si="113"/>
        <v>-2550</v>
      </c>
      <c r="H56" s="641">
        <v>-5415.0</v>
      </c>
      <c r="I56" s="680">
        <v>-58.0</v>
      </c>
      <c r="J56" s="641">
        <v>-5517.0</v>
      </c>
      <c r="K56" s="680">
        <v>-89.0</v>
      </c>
      <c r="L56" s="641">
        <v>-14903.0</v>
      </c>
      <c r="M56" s="680">
        <v>-3968.0</v>
      </c>
      <c r="N56" s="641">
        <v>-2631.0</v>
      </c>
      <c r="O56" s="680">
        <v>-308.0</v>
      </c>
      <c r="P56" s="641">
        <v>11069.0</v>
      </c>
      <c r="Q56" s="680">
        <v>1873.0</v>
      </c>
      <c r="R56" s="714"/>
      <c r="S56" s="682">
        <f t="shared" si="61"/>
        <v>-17397</v>
      </c>
      <c r="T56" s="683"/>
      <c r="U56" s="625">
        <f t="shared" si="62"/>
        <v>-5415</v>
      </c>
      <c r="V56" s="625">
        <f t="shared" si="63"/>
        <v>-5517</v>
      </c>
      <c r="W56" s="625">
        <f t="shared" si="64"/>
        <v>-14903</v>
      </c>
      <c r="X56" s="625">
        <f t="shared" si="65"/>
        <v>-2631</v>
      </c>
      <c r="Y56" s="625">
        <f t="shared" si="66"/>
        <v>11069</v>
      </c>
      <c r="Z56" s="656">
        <f t="shared" si="67"/>
        <v>-2550</v>
      </c>
      <c r="AA56" s="683"/>
      <c r="AB56" s="625">
        <f t="shared" si="68"/>
        <v>-58</v>
      </c>
      <c r="AC56" s="625">
        <f t="shared" si="69"/>
        <v>-89</v>
      </c>
      <c r="AD56" s="625">
        <f t="shared" si="70"/>
        <v>-3968</v>
      </c>
      <c r="AE56" s="625">
        <f t="shared" si="71"/>
        <v>-308</v>
      </c>
      <c r="AF56" s="625">
        <f t="shared" si="72"/>
        <v>1873</v>
      </c>
      <c r="AG56" s="794" t="s">
        <v>711</v>
      </c>
      <c r="AH56" s="165"/>
      <c r="AI56" s="165">
        <f t="shared" ref="AI56:AM56" si="114">AB56/U56</f>
        <v>0.010710988</v>
      </c>
      <c r="AJ56" s="165">
        <f t="shared" si="114"/>
        <v>0.01613195577</v>
      </c>
      <c r="AK56" s="165">
        <f t="shared" si="114"/>
        <v>0.2662551164</v>
      </c>
      <c r="AL56" s="165">
        <f t="shared" si="114"/>
        <v>0.1170657545</v>
      </c>
      <c r="AM56" s="165">
        <f t="shared" si="114"/>
        <v>0.1692113109</v>
      </c>
      <c r="AN56" s="684">
        <f t="shared" si="44"/>
        <v>11651</v>
      </c>
      <c r="AO56" s="180"/>
      <c r="AP56" s="685">
        <v>0.0</v>
      </c>
      <c r="AQ56" s="685">
        <v>0.0</v>
      </c>
      <c r="AR56" s="685">
        <v>0.0</v>
      </c>
      <c r="AS56" s="685">
        <v>2651.0</v>
      </c>
      <c r="AT56" s="685">
        <v>9000.0</v>
      </c>
      <c r="AU56" s="684">
        <f t="shared" si="45"/>
        <v>9734</v>
      </c>
      <c r="AV56" s="180"/>
      <c r="AW56" s="685">
        <v>0.0</v>
      </c>
      <c r="AX56" s="685">
        <v>0.0</v>
      </c>
      <c r="AY56" s="685">
        <v>1158.0</v>
      </c>
      <c r="AZ56" s="685">
        <v>4630.0</v>
      </c>
      <c r="BA56" s="710">
        <v>3946.0</v>
      </c>
      <c r="BB56" s="685"/>
      <c r="BC56" s="685"/>
      <c r="BD56" s="695" t="s">
        <v>695</v>
      </c>
      <c r="BE56" s="186" t="s">
        <v>3303</v>
      </c>
      <c r="BF56" s="695" t="s">
        <v>3304</v>
      </c>
      <c r="BG56" s="695" t="s">
        <v>3305</v>
      </c>
      <c r="BH56" s="695" t="s">
        <v>3306</v>
      </c>
      <c r="BI56" s="695" t="s">
        <v>3307</v>
      </c>
      <c r="BJ56" s="695" t="s">
        <v>3308</v>
      </c>
      <c r="BK56" s="781"/>
      <c r="BL56" s="631"/>
      <c r="BM56" s="753"/>
    </row>
    <row r="57">
      <c r="A57" s="148" t="s">
        <v>3384</v>
      </c>
      <c r="B57" s="712" t="s">
        <v>3988</v>
      </c>
      <c r="C57" s="676" t="s">
        <v>2113</v>
      </c>
      <c r="D57" s="713">
        <v>109.0</v>
      </c>
      <c r="E57" s="632" t="s">
        <v>3132</v>
      </c>
      <c r="F57" s="71">
        <f t="shared" ref="F57:G57" si="115">H57+J57+L57+N57+P57</f>
        <v>517.71</v>
      </c>
      <c r="G57" s="679">
        <f t="shared" si="115"/>
        <v>233.505</v>
      </c>
      <c r="H57" s="641">
        <v>489.0</v>
      </c>
      <c r="I57" s="680">
        <v>140.0</v>
      </c>
      <c r="J57" s="641">
        <v>321.582</v>
      </c>
      <c r="K57" s="680">
        <v>68.555</v>
      </c>
      <c r="L57" s="641">
        <v>97.523</v>
      </c>
      <c r="M57" s="680">
        <v>5.085</v>
      </c>
      <c r="N57" s="641">
        <v>-556.931</v>
      </c>
      <c r="O57" s="680">
        <v>3.887</v>
      </c>
      <c r="P57" s="641">
        <v>166.536</v>
      </c>
      <c r="Q57" s="680">
        <v>15.978</v>
      </c>
      <c r="R57" s="714"/>
      <c r="S57" s="682">
        <f t="shared" si="61"/>
        <v>517.71</v>
      </c>
      <c r="T57" s="683"/>
      <c r="U57" s="625">
        <f t="shared" si="62"/>
        <v>489</v>
      </c>
      <c r="V57" s="625">
        <f t="shared" si="63"/>
        <v>321.582</v>
      </c>
      <c r="W57" s="625">
        <f t="shared" si="64"/>
        <v>97.523</v>
      </c>
      <c r="X57" s="625">
        <f t="shared" si="65"/>
        <v>-556.931</v>
      </c>
      <c r="Y57" s="625">
        <f t="shared" si="66"/>
        <v>166.536</v>
      </c>
      <c r="Z57" s="656">
        <f t="shared" si="67"/>
        <v>233.505</v>
      </c>
      <c r="AA57" s="683"/>
      <c r="AB57" s="625">
        <f t="shared" si="68"/>
        <v>140</v>
      </c>
      <c r="AC57" s="625">
        <f t="shared" si="69"/>
        <v>68.555</v>
      </c>
      <c r="AD57" s="625">
        <f t="shared" si="70"/>
        <v>5.085</v>
      </c>
      <c r="AE57" s="625">
        <f t="shared" si="71"/>
        <v>3.887</v>
      </c>
      <c r="AF57" s="625">
        <f t="shared" si="72"/>
        <v>15.978</v>
      </c>
      <c r="AG57" s="657">
        <f t="shared" ref="AG57:AG60" si="118">Z57/S57</f>
        <v>0.4510343629</v>
      </c>
      <c r="AH57" s="165"/>
      <c r="AI57" s="165">
        <f t="shared" ref="AI57:AM57" si="116">AB57/U57</f>
        <v>0.2862985685</v>
      </c>
      <c r="AJ57" s="165">
        <f t="shared" si="116"/>
        <v>0.2131804641</v>
      </c>
      <c r="AK57" s="165">
        <f t="shared" si="116"/>
        <v>0.0521415461</v>
      </c>
      <c r="AL57" s="165">
        <f t="shared" si="116"/>
        <v>-0.006979320598</v>
      </c>
      <c r="AM57" s="165">
        <f t="shared" si="116"/>
        <v>0.09594321948</v>
      </c>
      <c r="AN57" s="684">
        <f t="shared" si="44"/>
        <v>3092.278</v>
      </c>
      <c r="AO57" s="180"/>
      <c r="AP57" s="180">
        <v>1049.487</v>
      </c>
      <c r="AQ57" s="180">
        <v>911.548</v>
      </c>
      <c r="AR57" s="180">
        <v>483.735</v>
      </c>
      <c r="AS57" s="180">
        <v>404.203</v>
      </c>
      <c r="AT57" s="180">
        <v>243.305</v>
      </c>
      <c r="AU57" s="684">
        <f t="shared" si="45"/>
        <v>0</v>
      </c>
      <c r="AV57" s="180"/>
      <c r="AW57" s="685">
        <v>0.0</v>
      </c>
      <c r="AX57" s="685">
        <v>0.0</v>
      </c>
      <c r="AY57" s="685">
        <v>0.0</v>
      </c>
      <c r="AZ57" s="685">
        <v>0.0</v>
      </c>
      <c r="BA57" s="710">
        <v>0.0</v>
      </c>
      <c r="BB57" s="685"/>
      <c r="BC57" s="685"/>
      <c r="BD57" s="715" t="s">
        <v>695</v>
      </c>
      <c r="BE57" s="688" t="s">
        <v>3303</v>
      </c>
      <c r="BF57" s="695" t="s">
        <v>3304</v>
      </c>
      <c r="BG57" s="695" t="s">
        <v>3305</v>
      </c>
      <c r="BH57" s="695" t="s">
        <v>3306</v>
      </c>
      <c r="BI57" s="180" t="s">
        <v>3307</v>
      </c>
      <c r="BJ57" s="180" t="s">
        <v>3308</v>
      </c>
      <c r="BK57" s="781"/>
      <c r="BL57" s="631"/>
      <c r="BM57" s="753"/>
    </row>
    <row r="58">
      <c r="A58" s="148" t="s">
        <v>3384</v>
      </c>
      <c r="B58" s="712" t="s">
        <v>3989</v>
      </c>
      <c r="C58" s="676" t="s">
        <v>2113</v>
      </c>
      <c r="D58" s="713">
        <v>38.0</v>
      </c>
      <c r="E58" s="632" t="s">
        <v>2777</v>
      </c>
      <c r="F58" s="71">
        <f t="shared" ref="F58:G58" si="117">H58+J58+L58+N58+P58</f>
        <v>12221</v>
      </c>
      <c r="G58" s="679">
        <f t="shared" si="117"/>
        <v>5484</v>
      </c>
      <c r="H58" s="641">
        <v>5052.0</v>
      </c>
      <c r="I58" s="680">
        <v>2744.0</v>
      </c>
      <c r="J58" s="641">
        <v>6030.0</v>
      </c>
      <c r="K58" s="680">
        <v>3342.0</v>
      </c>
      <c r="L58" s="641">
        <v>-2546.0</v>
      </c>
      <c r="M58" s="680">
        <v>371.0</v>
      </c>
      <c r="N58" s="641">
        <v>8097.0</v>
      </c>
      <c r="O58" s="680">
        <v>-1641.0</v>
      </c>
      <c r="P58" s="641">
        <v>-4412.0</v>
      </c>
      <c r="Q58" s="680">
        <v>668.0</v>
      </c>
      <c r="R58" s="714"/>
      <c r="S58" s="682">
        <f t="shared" si="61"/>
        <v>12221</v>
      </c>
      <c r="T58" s="683"/>
      <c r="U58" s="625">
        <f t="shared" si="62"/>
        <v>5052</v>
      </c>
      <c r="V58" s="625">
        <f t="shared" si="63"/>
        <v>6030</v>
      </c>
      <c r="W58" s="625">
        <f t="shared" si="64"/>
        <v>-2546</v>
      </c>
      <c r="X58" s="625">
        <f t="shared" si="65"/>
        <v>8097</v>
      </c>
      <c r="Y58" s="625">
        <f t="shared" si="66"/>
        <v>-4412</v>
      </c>
      <c r="Z58" s="656">
        <f t="shared" si="67"/>
        <v>5484</v>
      </c>
      <c r="AA58" s="683"/>
      <c r="AB58" s="625">
        <f t="shared" si="68"/>
        <v>2744</v>
      </c>
      <c r="AC58" s="625">
        <f t="shared" si="69"/>
        <v>3342</v>
      </c>
      <c r="AD58" s="625">
        <f t="shared" si="70"/>
        <v>371</v>
      </c>
      <c r="AE58" s="625">
        <f t="shared" si="71"/>
        <v>-1641</v>
      </c>
      <c r="AF58" s="625">
        <f t="shared" si="72"/>
        <v>668</v>
      </c>
      <c r="AG58" s="657">
        <f t="shared" si="118"/>
        <v>0.4487357827</v>
      </c>
      <c r="AH58" s="165"/>
      <c r="AI58" s="165">
        <f t="shared" ref="AI58:AM58" si="119">AB58/U58</f>
        <v>0.5431512272</v>
      </c>
      <c r="AJ58" s="165">
        <f t="shared" si="119"/>
        <v>0.5542288557</v>
      </c>
      <c r="AK58" s="165">
        <f t="shared" si="119"/>
        <v>-0.1457187745</v>
      </c>
      <c r="AL58" s="165">
        <f t="shared" si="119"/>
        <v>-0.2026676547</v>
      </c>
      <c r="AM58" s="165">
        <f t="shared" si="119"/>
        <v>-0.1514052584</v>
      </c>
      <c r="AN58" s="684">
        <f t="shared" si="44"/>
        <v>10865</v>
      </c>
      <c r="AO58" s="180"/>
      <c r="AP58" s="685">
        <v>2000.0</v>
      </c>
      <c r="AQ58" s="685">
        <v>0.0</v>
      </c>
      <c r="AR58" s="685">
        <v>0.0</v>
      </c>
      <c r="AS58" s="685">
        <v>8865.0</v>
      </c>
      <c r="AT58" s="685">
        <v>0.0</v>
      </c>
      <c r="AU58" s="684">
        <f t="shared" si="45"/>
        <v>42173</v>
      </c>
      <c r="AV58" s="180"/>
      <c r="AW58" s="685">
        <v>8983.0</v>
      </c>
      <c r="AX58" s="685">
        <v>8729.0</v>
      </c>
      <c r="AY58" s="685">
        <v>8440.0</v>
      </c>
      <c r="AZ58" s="685">
        <v>8043.0</v>
      </c>
      <c r="BA58" s="710">
        <v>7978.0</v>
      </c>
      <c r="BB58" s="685"/>
      <c r="BC58" s="685"/>
      <c r="BD58" s="788" t="s">
        <v>695</v>
      </c>
      <c r="BE58" s="688" t="s">
        <v>3303</v>
      </c>
      <c r="BF58" s="695" t="s">
        <v>3304</v>
      </c>
      <c r="BG58" s="695" t="s">
        <v>3305</v>
      </c>
      <c r="BH58" s="695" t="s">
        <v>3306</v>
      </c>
      <c r="BI58" s="695" t="s">
        <v>3307</v>
      </c>
      <c r="BJ58" s="180" t="s">
        <v>3308</v>
      </c>
      <c r="BK58" s="781"/>
      <c r="BL58" s="631"/>
      <c r="BM58" s="753"/>
    </row>
    <row r="59">
      <c r="A59" s="148" t="s">
        <v>3384</v>
      </c>
      <c r="B59" s="712" t="s">
        <v>3990</v>
      </c>
      <c r="C59" s="676" t="s">
        <v>2113</v>
      </c>
      <c r="D59" s="713">
        <v>142.0</v>
      </c>
      <c r="E59" s="714" t="s">
        <v>3991</v>
      </c>
      <c r="F59" s="71">
        <f t="shared" ref="F59:G59" si="120">H59+J59+L59+N59+P59</f>
        <v>9783.421</v>
      </c>
      <c r="G59" s="679">
        <f t="shared" si="120"/>
        <v>3885.6</v>
      </c>
      <c r="H59" s="641">
        <v>2155.112</v>
      </c>
      <c r="I59" s="680">
        <v>2153.6</v>
      </c>
      <c r="J59" s="641">
        <v>1780.34</v>
      </c>
      <c r="K59" s="680">
        <v>938.5</v>
      </c>
      <c r="L59" s="641">
        <v>2914.261</v>
      </c>
      <c r="M59" s="680">
        <v>567.6</v>
      </c>
      <c r="N59" s="641">
        <v>2345.796</v>
      </c>
      <c r="O59" s="680">
        <v>280.2</v>
      </c>
      <c r="P59" s="641">
        <v>587.912</v>
      </c>
      <c r="Q59" s="680">
        <v>-54.3</v>
      </c>
      <c r="R59" s="714"/>
      <c r="S59" s="682">
        <f t="shared" si="61"/>
        <v>9783.421</v>
      </c>
      <c r="T59" s="683"/>
      <c r="U59" s="625">
        <f t="shared" si="62"/>
        <v>2155.112</v>
      </c>
      <c r="V59" s="625">
        <f t="shared" si="63"/>
        <v>1780.34</v>
      </c>
      <c r="W59" s="625">
        <f t="shared" si="64"/>
        <v>2914.261</v>
      </c>
      <c r="X59" s="625">
        <f t="shared" si="65"/>
        <v>2345.796</v>
      </c>
      <c r="Y59" s="625">
        <f t="shared" si="66"/>
        <v>587.912</v>
      </c>
      <c r="Z59" s="656">
        <f t="shared" si="67"/>
        <v>3885.6</v>
      </c>
      <c r="AA59" s="683"/>
      <c r="AB59" s="625">
        <f t="shared" si="68"/>
        <v>2153.6</v>
      </c>
      <c r="AC59" s="625">
        <f t="shared" si="69"/>
        <v>938.5</v>
      </c>
      <c r="AD59" s="625">
        <f t="shared" si="70"/>
        <v>567.6</v>
      </c>
      <c r="AE59" s="625">
        <f t="shared" si="71"/>
        <v>280.2</v>
      </c>
      <c r="AF59" s="625">
        <f t="shared" si="72"/>
        <v>-54.3</v>
      </c>
      <c r="AG59" s="657">
        <f t="shared" si="118"/>
        <v>0.3971616881</v>
      </c>
      <c r="AH59" s="165"/>
      <c r="AI59" s="165">
        <f t="shared" ref="AI59:AM59" si="121">AB59/U59</f>
        <v>0.9992984123</v>
      </c>
      <c r="AJ59" s="165">
        <f t="shared" si="121"/>
        <v>0.5271465001</v>
      </c>
      <c r="AK59" s="165">
        <f t="shared" si="121"/>
        <v>0.1947663576</v>
      </c>
      <c r="AL59" s="165">
        <f t="shared" si="121"/>
        <v>0.1194477269</v>
      </c>
      <c r="AM59" s="165">
        <f t="shared" si="121"/>
        <v>-0.09236076147</v>
      </c>
      <c r="AN59" s="684">
        <f t="shared" si="44"/>
        <v>11800.7</v>
      </c>
      <c r="AO59" s="685">
        <v>750.0</v>
      </c>
      <c r="AP59" s="180">
        <v>1500.0</v>
      </c>
      <c r="AQ59" s="180">
        <v>1250.0</v>
      </c>
      <c r="AR59" s="180">
        <v>500.0</v>
      </c>
      <c r="AS59" s="180">
        <v>4400.0</v>
      </c>
      <c r="AT59" s="180">
        <v>4150.7</v>
      </c>
      <c r="AU59" s="684">
        <f t="shared" si="45"/>
        <v>14032</v>
      </c>
      <c r="AV59" s="685">
        <v>4069.3</v>
      </c>
      <c r="AW59" s="685">
        <v>3536.0</v>
      </c>
      <c r="AX59" s="685">
        <v>3087.0</v>
      </c>
      <c r="AY59" s="685">
        <v>2687.0</v>
      </c>
      <c r="AZ59" s="685">
        <v>2410.0</v>
      </c>
      <c r="BA59" s="710">
        <v>2312.0</v>
      </c>
      <c r="BB59" s="685"/>
      <c r="BC59" s="685"/>
      <c r="BD59" s="788" t="s">
        <v>695</v>
      </c>
      <c r="BE59" s="186" t="s">
        <v>3303</v>
      </c>
      <c r="BF59" s="695"/>
      <c r="BG59" s="695"/>
      <c r="BH59" s="695"/>
      <c r="BI59" s="695"/>
      <c r="BJ59" s="695"/>
      <c r="BK59" s="781"/>
      <c r="BL59" s="631"/>
      <c r="BM59" s="753"/>
    </row>
    <row r="60">
      <c r="A60" s="148" t="s">
        <v>3384</v>
      </c>
      <c r="B60" s="712" t="s">
        <v>3992</v>
      </c>
      <c r="C60" s="694" t="s">
        <v>3404</v>
      </c>
      <c r="D60" s="713">
        <v>101.0</v>
      </c>
      <c r="E60" s="632" t="s">
        <v>3033</v>
      </c>
      <c r="F60" s="71">
        <f t="shared" ref="F60:G60" si="122">H60+J60+L60+N60+P60</f>
        <v>11766</v>
      </c>
      <c r="G60" s="679">
        <f t="shared" si="122"/>
        <v>4445</v>
      </c>
      <c r="H60" s="641">
        <v>1094.0</v>
      </c>
      <c r="I60" s="680">
        <v>625.0</v>
      </c>
      <c r="J60" s="641">
        <v>-815.0</v>
      </c>
      <c r="K60" s="680">
        <v>709.0</v>
      </c>
      <c r="L60" s="641">
        <v>4142.0</v>
      </c>
      <c r="M60" s="680">
        <v>516.0</v>
      </c>
      <c r="N60" s="641">
        <v>3871.0</v>
      </c>
      <c r="O60" s="680">
        <v>1616.0</v>
      </c>
      <c r="P60" s="641">
        <v>3474.0</v>
      </c>
      <c r="Q60" s="680">
        <v>979.0</v>
      </c>
      <c r="R60" s="714"/>
      <c r="S60" s="682">
        <f t="shared" si="61"/>
        <v>11766</v>
      </c>
      <c r="T60" s="683"/>
      <c r="U60" s="625">
        <f t="shared" si="62"/>
        <v>1094</v>
      </c>
      <c r="V60" s="625">
        <f t="shared" si="63"/>
        <v>-815</v>
      </c>
      <c r="W60" s="625">
        <f t="shared" si="64"/>
        <v>4142</v>
      </c>
      <c r="X60" s="625">
        <f t="shared" si="65"/>
        <v>3871</v>
      </c>
      <c r="Y60" s="625">
        <f t="shared" si="66"/>
        <v>3474</v>
      </c>
      <c r="Z60" s="656">
        <f t="shared" si="67"/>
        <v>4445</v>
      </c>
      <c r="AA60" s="683"/>
      <c r="AB60" s="625">
        <f t="shared" si="68"/>
        <v>625</v>
      </c>
      <c r="AC60" s="625">
        <f t="shared" si="69"/>
        <v>709</v>
      </c>
      <c r="AD60" s="625">
        <f t="shared" si="70"/>
        <v>516</v>
      </c>
      <c r="AE60" s="625">
        <f t="shared" si="71"/>
        <v>1616</v>
      </c>
      <c r="AF60" s="625">
        <f t="shared" si="72"/>
        <v>979</v>
      </c>
      <c r="AG60" s="657">
        <f t="shared" si="118"/>
        <v>0.3777834438</v>
      </c>
      <c r="AH60" s="165"/>
      <c r="AI60" s="165">
        <f t="shared" ref="AI60:AM60" si="123">AB60/U60</f>
        <v>0.571297989</v>
      </c>
      <c r="AJ60" s="165">
        <f t="shared" si="123"/>
        <v>-0.8699386503</v>
      </c>
      <c r="AK60" s="165">
        <f t="shared" si="123"/>
        <v>0.1245774988</v>
      </c>
      <c r="AL60" s="165">
        <f t="shared" si="123"/>
        <v>0.4174631878</v>
      </c>
      <c r="AM60" s="165">
        <f t="shared" si="123"/>
        <v>0.2818077145</v>
      </c>
      <c r="AN60" s="684">
        <f t="shared" si="44"/>
        <v>97992</v>
      </c>
      <c r="AO60" s="180"/>
      <c r="AP60" s="685">
        <f>1300+1203</f>
        <v>2503</v>
      </c>
      <c r="AQ60" s="685">
        <f>16248+1093</f>
        <v>17341</v>
      </c>
      <c r="AR60" s="685">
        <f>20934+666</f>
        <v>21600</v>
      </c>
      <c r="AS60" s="685">
        <f>19240+665</f>
        <v>19905</v>
      </c>
      <c r="AT60" s="685">
        <f>36140+503</f>
        <v>36643</v>
      </c>
      <c r="AU60" s="684">
        <f t="shared" si="45"/>
        <v>16190</v>
      </c>
      <c r="AV60" s="180"/>
      <c r="AW60" s="685">
        <v>3668.0</v>
      </c>
      <c r="AX60" s="685">
        <v>3457.0</v>
      </c>
      <c r="AY60" s="685">
        <v>3063.0</v>
      </c>
      <c r="AZ60" s="685">
        <v>3070.0</v>
      </c>
      <c r="BA60" s="710">
        <v>2932.0</v>
      </c>
      <c r="BB60" s="685"/>
      <c r="BC60" s="685"/>
      <c r="BD60" s="715" t="s">
        <v>695</v>
      </c>
      <c r="BE60" s="688" t="s">
        <v>3303</v>
      </c>
      <c r="BF60" s="797" t="s">
        <v>3304</v>
      </c>
      <c r="BG60" s="695" t="s">
        <v>3305</v>
      </c>
      <c r="BH60" s="695" t="s">
        <v>3306</v>
      </c>
      <c r="BI60" s="695" t="s">
        <v>3307</v>
      </c>
      <c r="BJ60" s="180" t="s">
        <v>3308</v>
      </c>
      <c r="BK60" s="180"/>
      <c r="BL60" s="631"/>
      <c r="BM60" s="753"/>
    </row>
  </sheetData>
  <mergeCells count="16">
    <mergeCell ref="J2:K2"/>
    <mergeCell ref="L2:M2"/>
    <mergeCell ref="N2:O2"/>
    <mergeCell ref="P2:Q2"/>
    <mergeCell ref="S2:Y2"/>
    <mergeCell ref="Z2:AF2"/>
    <mergeCell ref="AG2:AM2"/>
    <mergeCell ref="AN2:AT2"/>
    <mergeCell ref="B1:B3"/>
    <mergeCell ref="D1:D3"/>
    <mergeCell ref="E1:E3"/>
    <mergeCell ref="BD1:BE2"/>
    <mergeCell ref="C2:C3"/>
    <mergeCell ref="F2:G2"/>
    <mergeCell ref="H2:I2"/>
    <mergeCell ref="AU2:BA2"/>
  </mergeCells>
  <conditionalFormatting sqref="S57:AM63">
    <cfRule type="cellIs" dxfId="1" priority="1" operator="lessThan">
      <formula>0.01</formula>
    </cfRule>
  </conditionalFormatting>
  <conditionalFormatting sqref="S41:AM56 S61:AM69">
    <cfRule type="cellIs" dxfId="1" priority="2" operator="lessThan">
      <formula>0.01</formula>
    </cfRule>
  </conditionalFormatting>
  <conditionalFormatting sqref="S38:AM40">
    <cfRule type="cellIs" dxfId="1" priority="3" operator="lessThan">
      <formula>0.01</formula>
    </cfRule>
  </conditionalFormatting>
  <hyperlinks>
    <hyperlink r:id="rId1" ref="B4"/>
    <hyperlink r:id="rId2" ref="BD4"/>
    <hyperlink r:id="rId3" location=":~:text=January%2026%2C%202024,Open%20document" ref="BE4"/>
    <hyperlink r:id="rId4" ref="BF4"/>
    <hyperlink r:id="rId5" ref="BG4"/>
    <hyperlink r:id="rId6" ref="BH4"/>
    <hyperlink r:id="rId7" ref="B5"/>
    <hyperlink r:id="rId8" ref="BD5"/>
    <hyperlink r:id="rId9" ref="BF5"/>
    <hyperlink r:id="rId10" ref="BG5"/>
    <hyperlink r:id="rId11" ref="BH5"/>
    <hyperlink r:id="rId12" ref="B6"/>
    <hyperlink r:id="rId13" ref="BD6"/>
    <hyperlink r:id="rId14" ref="BF6"/>
    <hyperlink r:id="rId15" ref="BG6"/>
    <hyperlink r:id="rId16" ref="BH6"/>
    <hyperlink r:id="rId17" ref="BI6"/>
    <hyperlink r:id="rId18" ref="BJ6"/>
    <hyperlink r:id="rId19" ref="B7"/>
    <hyperlink r:id="rId20" ref="BD7"/>
    <hyperlink r:id="rId21" ref="BE7"/>
    <hyperlink r:id="rId22" ref="BF7"/>
    <hyperlink r:id="rId23" ref="BG7"/>
    <hyperlink r:id="rId24" ref="BH7"/>
    <hyperlink r:id="rId25" ref="B8"/>
    <hyperlink r:id="rId26" ref="BD8"/>
    <hyperlink r:id="rId27" ref="BE8"/>
    <hyperlink r:id="rId28" ref="B9"/>
    <hyperlink r:id="rId29" ref="BD9"/>
    <hyperlink r:id="rId30" ref="BE9"/>
    <hyperlink r:id="rId31" ref="B10"/>
    <hyperlink r:id="rId32" ref="BD10"/>
    <hyperlink r:id="rId33" ref="B11"/>
    <hyperlink r:id="rId34" ref="BD11"/>
    <hyperlink r:id="rId35" ref="BE11"/>
    <hyperlink r:id="rId36" ref="B12"/>
    <hyperlink r:id="rId37" ref="BD12"/>
    <hyperlink r:id="rId38" ref="B13"/>
    <hyperlink r:id="rId39" ref="B14"/>
    <hyperlink r:id="rId40" ref="BD14"/>
    <hyperlink r:id="rId41" ref="B15"/>
    <hyperlink r:id="rId42" ref="B16"/>
    <hyperlink r:id="rId43" ref="B17"/>
    <hyperlink r:id="rId44" ref="B19"/>
    <hyperlink r:id="rId45" ref="BD19"/>
    <hyperlink r:id="rId46" ref="BF19"/>
    <hyperlink r:id="rId47" ref="BG19"/>
    <hyperlink r:id="rId48" ref="BH19"/>
    <hyperlink r:id="rId49" ref="BI19"/>
    <hyperlink r:id="rId50" ref="BJ19"/>
    <hyperlink r:id="rId51" ref="B20"/>
    <hyperlink r:id="rId52" ref="BD20"/>
    <hyperlink r:id="rId53" ref="BE20"/>
    <hyperlink r:id="rId54" ref="BF20"/>
    <hyperlink r:id="rId55" ref="BG20"/>
    <hyperlink r:id="rId56" ref="BH20"/>
    <hyperlink r:id="rId57" ref="BI20"/>
    <hyperlink r:id="rId58" ref="BJ20"/>
    <hyperlink r:id="rId59" ref="B21"/>
    <hyperlink r:id="rId60" ref="BD21"/>
    <hyperlink r:id="rId61" ref="BF21"/>
    <hyperlink r:id="rId62" ref="BG21"/>
    <hyperlink r:id="rId63" ref="BH21"/>
    <hyperlink r:id="rId64" ref="BI21"/>
    <hyperlink r:id="rId65" ref="BJ21"/>
    <hyperlink r:id="rId66" ref="B22"/>
    <hyperlink r:id="rId67" ref="BD22"/>
    <hyperlink r:id="rId68" ref="BF22"/>
    <hyperlink r:id="rId69" ref="BG22"/>
    <hyperlink r:id="rId70" ref="BH22"/>
    <hyperlink r:id="rId71" ref="B23"/>
    <hyperlink r:id="rId72" ref="BD23"/>
    <hyperlink r:id="rId73" ref="BF23"/>
    <hyperlink r:id="rId74" ref="BG23"/>
    <hyperlink r:id="rId75" ref="BH23"/>
    <hyperlink r:id="rId76" ref="B24"/>
    <hyperlink r:id="rId77" ref="BD24"/>
    <hyperlink r:id="rId78" ref="BF24"/>
    <hyperlink r:id="rId79" ref="BG24"/>
    <hyperlink r:id="rId80" ref="BH24"/>
    <hyperlink r:id="rId81" ref="B25"/>
    <hyperlink r:id="rId82" ref="BD25"/>
    <hyperlink r:id="rId83" ref="BF25"/>
    <hyperlink r:id="rId84" ref="BG25"/>
    <hyperlink r:id="rId85" ref="BH25"/>
    <hyperlink r:id="rId86" ref="B26"/>
    <hyperlink r:id="rId87" ref="BD26"/>
    <hyperlink r:id="rId88" ref="BF26"/>
    <hyperlink r:id="rId89" ref="BG26"/>
    <hyperlink r:id="rId90" ref="BH26"/>
    <hyperlink r:id="rId91" ref="B27"/>
    <hyperlink r:id="rId92" ref="BD27"/>
    <hyperlink r:id="rId93" ref="BF27"/>
    <hyperlink r:id="rId94" ref="BG27"/>
    <hyperlink r:id="rId95" ref="BH27"/>
    <hyperlink r:id="rId96" ref="B28"/>
    <hyperlink r:id="rId97" ref="BD28"/>
    <hyperlink r:id="rId98" ref="BF28"/>
    <hyperlink r:id="rId99" ref="BG28"/>
    <hyperlink r:id="rId100" ref="BH28"/>
    <hyperlink r:id="rId101" ref="B29"/>
    <hyperlink r:id="rId102" ref="BD29"/>
    <hyperlink r:id="rId103" ref="BE29"/>
    <hyperlink r:id="rId104" ref="BF29"/>
    <hyperlink r:id="rId105" ref="BG29"/>
    <hyperlink r:id="rId106" ref="BH29"/>
    <hyperlink r:id="rId107" ref="BI29"/>
    <hyperlink r:id="rId108" ref="BJ29"/>
    <hyperlink r:id="rId109" ref="B30"/>
    <hyperlink r:id="rId110" ref="BD30"/>
    <hyperlink r:id="rId111" ref="BE30"/>
    <hyperlink r:id="rId112" ref="B31"/>
    <hyperlink r:id="rId113" ref="BD31"/>
    <hyperlink r:id="rId114" ref="BF31"/>
    <hyperlink r:id="rId115" ref="BG31"/>
    <hyperlink r:id="rId116" ref="BH31"/>
    <hyperlink r:id="rId117" ref="BI31"/>
    <hyperlink r:id="rId118" ref="BJ31"/>
    <hyperlink r:id="rId119" ref="B32"/>
    <hyperlink r:id="rId120" ref="BD32"/>
    <hyperlink r:id="rId121" ref="BE32"/>
    <hyperlink r:id="rId122" ref="B33"/>
    <hyperlink r:id="rId123" ref="BD33"/>
    <hyperlink r:id="rId124" ref="BF33"/>
    <hyperlink r:id="rId125" ref="BG33"/>
    <hyperlink r:id="rId126" ref="BH33"/>
    <hyperlink r:id="rId127" ref="B34"/>
    <hyperlink r:id="rId128" ref="BD34"/>
    <hyperlink r:id="rId129" ref="BF34"/>
    <hyperlink r:id="rId130" ref="BG34"/>
    <hyperlink r:id="rId131" ref="BH34"/>
    <hyperlink r:id="rId132" ref="B35"/>
    <hyperlink r:id="rId133" ref="BD35"/>
    <hyperlink r:id="rId134" ref="BE35"/>
    <hyperlink r:id="rId135" ref="B36"/>
    <hyperlink r:id="rId136" ref="BD36"/>
    <hyperlink r:id="rId137" ref="BE36"/>
    <hyperlink r:id="rId138" ref="B37"/>
    <hyperlink r:id="rId139" ref="BD37"/>
    <hyperlink r:id="rId140" ref="BE37"/>
    <hyperlink r:id="rId141" ref="BF37"/>
    <hyperlink r:id="rId142" ref="BG37"/>
    <hyperlink r:id="rId143" ref="BH37"/>
    <hyperlink r:id="rId144" ref="B38"/>
    <hyperlink r:id="rId145" ref="BD38"/>
    <hyperlink r:id="rId146" location="i1f56b845cf89409c91714e0acd7818b5_121" ref="BE38"/>
    <hyperlink r:id="rId147" ref="B39"/>
    <hyperlink r:id="rId148" ref="BD39"/>
    <hyperlink r:id="rId149" ref="BF39"/>
    <hyperlink r:id="rId150" ref="BG39"/>
    <hyperlink r:id="rId151" ref="BH39"/>
    <hyperlink r:id="rId152" ref="BI39"/>
    <hyperlink r:id="rId153" ref="BJ39"/>
    <hyperlink r:id="rId154" ref="B40"/>
    <hyperlink r:id="rId155" ref="BD40"/>
    <hyperlink r:id="rId156" ref="BE40"/>
    <hyperlink r:id="rId157" ref="BF40"/>
    <hyperlink r:id="rId158" ref="BG40"/>
    <hyperlink r:id="rId159" ref="BH40"/>
    <hyperlink r:id="rId160" ref="B41"/>
    <hyperlink r:id="rId161" ref="BD41"/>
    <hyperlink r:id="rId162" ref="B42"/>
    <hyperlink r:id="rId163" ref="BD42"/>
    <hyperlink r:id="rId164" ref="BF42"/>
    <hyperlink r:id="rId165" ref="BG42"/>
    <hyperlink r:id="rId166" ref="BH42"/>
    <hyperlink r:id="rId167" ref="B43"/>
    <hyperlink r:id="rId168" ref="BD43"/>
    <hyperlink r:id="rId169" ref="BE43"/>
    <hyperlink r:id="rId170" ref="B44"/>
    <hyperlink r:id="rId171" ref="BD44"/>
    <hyperlink r:id="rId172" ref="BE44"/>
    <hyperlink r:id="rId173" ref="B45"/>
    <hyperlink r:id="rId174" ref="BD45"/>
    <hyperlink r:id="rId175" ref="BE45"/>
    <hyperlink r:id="rId176" ref="B46"/>
    <hyperlink r:id="rId177" ref="BD46"/>
    <hyperlink r:id="rId178" ref="BE46"/>
    <hyperlink r:id="rId179" ref="B47"/>
    <hyperlink r:id="rId180" ref="BD47"/>
    <hyperlink r:id="rId181" ref="BF47"/>
    <hyperlink r:id="rId182" ref="BG47"/>
    <hyperlink r:id="rId183" ref="BH47"/>
    <hyperlink r:id="rId184" ref="B48"/>
    <hyperlink r:id="rId185" ref="BD48"/>
    <hyperlink r:id="rId186" ref="BE48"/>
    <hyperlink r:id="rId187" ref="B49"/>
    <hyperlink r:id="rId188" ref="BD49"/>
    <hyperlink r:id="rId189" ref="BE49"/>
    <hyperlink r:id="rId190" ref="B50"/>
    <hyperlink r:id="rId191" ref="BD50"/>
    <hyperlink r:id="rId192" ref="BF50"/>
    <hyperlink r:id="rId193" ref="BG50"/>
    <hyperlink r:id="rId194" ref="BH50"/>
    <hyperlink r:id="rId195" ref="BI50"/>
    <hyperlink r:id="rId196" ref="BJ50"/>
    <hyperlink r:id="rId197" ref="B51"/>
    <hyperlink r:id="rId198" ref="BD51"/>
    <hyperlink r:id="rId199" ref="BF51"/>
    <hyperlink r:id="rId200" ref="BG51"/>
    <hyperlink r:id="rId201" ref="BH51"/>
    <hyperlink r:id="rId202" ref="B52"/>
    <hyperlink r:id="rId203" ref="BD52"/>
    <hyperlink r:id="rId204" ref="BE52"/>
    <hyperlink r:id="rId205" ref="B53"/>
    <hyperlink r:id="rId206" ref="BD53"/>
    <hyperlink r:id="rId207" ref="BE53"/>
    <hyperlink r:id="rId208" ref="B54"/>
    <hyperlink r:id="rId209" ref="BD54"/>
    <hyperlink r:id="rId210" ref="BF54"/>
    <hyperlink r:id="rId211" ref="BG54"/>
    <hyperlink r:id="rId212" ref="BH54"/>
    <hyperlink r:id="rId213" ref="BI54"/>
    <hyperlink r:id="rId214" ref="BJ54"/>
    <hyperlink r:id="rId215" ref="B55"/>
    <hyperlink r:id="rId216" ref="BD55"/>
    <hyperlink r:id="rId217" ref="BE55"/>
    <hyperlink r:id="rId218" ref="B56"/>
    <hyperlink r:id="rId219" ref="BD56"/>
    <hyperlink r:id="rId220" ref="BE56"/>
    <hyperlink r:id="rId221" ref="BF56"/>
    <hyperlink r:id="rId222" ref="BG56"/>
    <hyperlink r:id="rId223" ref="BH56"/>
    <hyperlink r:id="rId224" ref="BI56"/>
    <hyperlink r:id="rId225" ref="BJ56"/>
    <hyperlink r:id="rId226" ref="B57"/>
    <hyperlink r:id="rId227" ref="BD57"/>
    <hyperlink r:id="rId228" ref="BF57"/>
    <hyperlink r:id="rId229" ref="BG57"/>
    <hyperlink r:id="rId230" ref="BH57"/>
    <hyperlink r:id="rId231" ref="B58"/>
    <hyperlink r:id="rId232" ref="BD58"/>
    <hyperlink r:id="rId233" ref="BF58"/>
    <hyperlink r:id="rId234" ref="BG58"/>
    <hyperlink r:id="rId235" ref="BH58"/>
    <hyperlink r:id="rId236" ref="BI58"/>
    <hyperlink r:id="rId237" ref="B59"/>
    <hyperlink r:id="rId238" ref="BD59"/>
    <hyperlink r:id="rId239" ref="BE59"/>
    <hyperlink r:id="rId240" ref="B60"/>
    <hyperlink r:id="rId241" ref="BD60"/>
    <hyperlink r:id="rId242" ref="BF60"/>
    <hyperlink r:id="rId243" ref="BG60"/>
    <hyperlink r:id="rId244" ref="BH60"/>
    <hyperlink r:id="rId245" ref="BI60"/>
  </hyperlinks>
  <drawing r:id="rId24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5.13"/>
    <col customWidth="1" min="2" max="2" width="15.13"/>
    <col customWidth="1" min="3" max="3" width="12.63"/>
    <col customWidth="1" min="4" max="8" width="10.13"/>
    <col customWidth="1" min="9" max="9" width="1.38"/>
    <col customWidth="1" min="10" max="22" width="7.63"/>
  </cols>
  <sheetData>
    <row r="1">
      <c r="A1" s="52" t="s">
        <v>678</v>
      </c>
      <c r="B1" s="52" t="s">
        <v>3993</v>
      </c>
      <c r="C1" s="148" t="s">
        <v>681</v>
      </c>
      <c r="I1" s="149"/>
      <c r="J1" s="152" t="s">
        <v>688</v>
      </c>
      <c r="P1" s="152"/>
      <c r="Q1" s="798"/>
      <c r="R1" s="152"/>
      <c r="S1" s="152"/>
      <c r="T1" s="152"/>
      <c r="U1" s="152"/>
      <c r="V1" s="152"/>
    </row>
    <row r="2" ht="15.0" customHeight="1">
      <c r="C2" s="52" t="s">
        <v>690</v>
      </c>
      <c r="D2" s="52">
        <v>2022.0</v>
      </c>
      <c r="E2" s="52">
        <v>2021.0</v>
      </c>
      <c r="F2" s="52">
        <v>2020.0</v>
      </c>
      <c r="G2" s="52">
        <v>2019.0</v>
      </c>
      <c r="H2" s="52">
        <v>2018.0</v>
      </c>
      <c r="I2" s="156"/>
      <c r="J2" s="159" t="s">
        <v>691</v>
      </c>
      <c r="K2" s="52">
        <v>2022.0</v>
      </c>
      <c r="L2" s="52">
        <v>2021.0</v>
      </c>
      <c r="M2" s="52">
        <v>2020.0</v>
      </c>
      <c r="N2" s="52">
        <v>2019.0</v>
      </c>
      <c r="O2" s="52">
        <v>2018.0</v>
      </c>
      <c r="P2" s="52"/>
      <c r="Q2" s="799"/>
      <c r="R2" s="52"/>
      <c r="S2" s="52"/>
      <c r="T2" s="52"/>
      <c r="U2" s="52"/>
      <c r="V2" s="52"/>
    </row>
    <row r="3" ht="15.0" customHeight="1">
      <c r="C3" s="160">
        <f t="shared" ref="C3:H3" si="1">SUM(C4:C120)</f>
        <v>34350508213</v>
      </c>
      <c r="D3" s="161">
        <f t="shared" si="1"/>
        <v>7376210886</v>
      </c>
      <c r="E3" s="161">
        <f t="shared" si="1"/>
        <v>7488883738</v>
      </c>
      <c r="F3" s="161">
        <f t="shared" si="1"/>
        <v>6459031864</v>
      </c>
      <c r="G3" s="161">
        <f t="shared" si="1"/>
        <v>6800540874</v>
      </c>
      <c r="H3" s="161">
        <f t="shared" si="1"/>
        <v>6225840851</v>
      </c>
      <c r="I3" s="149"/>
      <c r="J3" s="166"/>
      <c r="K3" s="176"/>
      <c r="L3" s="176"/>
      <c r="M3" s="176"/>
      <c r="N3" s="176"/>
      <c r="O3" s="176"/>
      <c r="P3" s="167"/>
      <c r="Q3" s="800"/>
      <c r="R3" s="230"/>
      <c r="S3" s="167"/>
      <c r="T3" s="167"/>
      <c r="U3" s="167"/>
      <c r="V3" s="167"/>
    </row>
    <row r="4" ht="15.0" customHeight="1">
      <c r="A4" s="169">
        <f t="array" ref="A4">INDEX('Federal Tax, Stock Buybacks, &amp; '!D:D,match(B4,'Federal Tax, Stock Buybacks, &amp; '!E:E,0))</f>
        <v>1</v>
      </c>
      <c r="B4" s="801" t="s">
        <v>793</v>
      </c>
      <c r="C4" s="160">
        <f>SUMIF('Executive Pay Breakdown'!B:B,$B4,'Executive Pay Breakdown'!M:M)+SUMIF('Executive Pay Breakdown'!B:B,$B4,'Executive Pay Breakdown'!Q:Q)+SUMIF('Executive Pay Breakdown'!B:B,$B4,'Executive Pay Breakdown'!U:U)+SUMIF('Executive Pay Breakdown'!B:B,$B4,'Executive Pay Breakdown'!Y:Y)+SUMIF('Executive Pay Breakdown'!B:B,$B4,'Executive Pay Breakdown'!AC:AC)</f>
        <v>469941188</v>
      </c>
      <c r="D4" s="161">
        <f>SUMIF('Executive Pay Breakdown'!B:B,$B4,'Executive Pay Breakdown'!M:M)</f>
        <v>123116400</v>
      </c>
      <c r="E4" s="161">
        <f>SUMIF('Executive Pay Breakdown'!B:B,$B4,'Executive Pay Breakdown'!Q:Q)</f>
        <v>85981687</v>
      </c>
      <c r="F4" s="161">
        <f>SUMIF('Executive Pay Breakdown'!B:B,$B4,'Executive Pay Breakdown'!U:U)</f>
        <v>79736914</v>
      </c>
      <c r="G4" s="161">
        <f>SUMIF('Executive Pay Breakdown'!B:B,$B4,'Executive Pay Breakdown'!Y:Y)</f>
        <v>112392312</v>
      </c>
      <c r="H4" s="161">
        <f>SUMIF('Executive Pay Breakdown'!B:B,$B4,'Executive Pay Breakdown'!AC:AC)</f>
        <v>68713875</v>
      </c>
      <c r="I4" s="802"/>
      <c r="J4" s="803">
        <f t="shared" ref="J4:J119" si="2">AVERAGE(K4:O4)</f>
        <v>23569.8</v>
      </c>
      <c r="K4" s="176">
        <v>27136.0</v>
      </c>
      <c r="L4" s="176">
        <v>25335.0</v>
      </c>
      <c r="M4" s="176">
        <v>20942.0</v>
      </c>
      <c r="N4" s="176">
        <v>22484.0</v>
      </c>
      <c r="O4" s="176">
        <v>21952.0</v>
      </c>
      <c r="P4" s="167"/>
      <c r="Q4" s="781"/>
      <c r="R4" s="230"/>
      <c r="S4" s="167"/>
      <c r="T4" s="167"/>
      <c r="U4" s="167"/>
      <c r="V4" s="167"/>
    </row>
    <row r="5" ht="15.0" customHeight="1">
      <c r="A5" s="169">
        <f t="array" ref="A5">INDEX('Federal Tax, Stock Buybacks, &amp; '!D:D,match(B5,'Federal Tax, Stock Buybacks, &amp; '!E:E,0))</f>
        <v>2</v>
      </c>
      <c r="B5" s="801" t="s">
        <v>1470</v>
      </c>
      <c r="C5" s="160">
        <f>SUMIF('Executive Pay Breakdown'!B:B,$B5,'Executive Pay Breakdown'!M:M)+SUMIF('Executive Pay Breakdown'!B:B,$B5,'Executive Pay Breakdown'!Q:Q)+SUMIF('Executive Pay Breakdown'!B:B,$B5,'Executive Pay Breakdown'!U:U)+SUMIF('Executive Pay Breakdown'!B:B,$B5,'Executive Pay Breakdown'!Y:Y)+SUMIF('Executive Pay Breakdown'!B:B,$B5,'Executive Pay Breakdown'!AC:AC)</f>
        <v>712747433</v>
      </c>
      <c r="D5" s="161">
        <f>SUMIF('Executive Pay Breakdown'!B:B,$B5,'Executive Pay Breakdown'!M:M)</f>
        <v>123671723</v>
      </c>
      <c r="E5" s="161">
        <f>SUMIF('Executive Pay Breakdown'!B:B,$B5,'Executive Pay Breakdown'!Q:Q)</f>
        <v>352237503</v>
      </c>
      <c r="F5" s="161">
        <f>SUMIF('Executive Pay Breakdown'!B:B,$B5,'Executive Pay Breakdown'!U:U)</f>
        <v>118167330</v>
      </c>
      <c r="G5" s="161">
        <f>SUMIF('Executive Pay Breakdown'!B:B,$B5,'Executive Pay Breakdown'!Y:Y)</f>
        <v>60201313</v>
      </c>
      <c r="H5" s="161">
        <f>SUMIF('Executive Pay Breakdown'!B:B,$B5,'Executive Pay Breakdown'!AC:AC)</f>
        <v>58469564</v>
      </c>
      <c r="I5" s="802"/>
      <c r="J5" s="803">
        <f t="shared" si="2"/>
        <v>30748.2</v>
      </c>
      <c r="K5" s="179">
        <v>34195.0</v>
      </c>
      <c r="L5" s="647">
        <v>32855.0</v>
      </c>
      <c r="M5" s="179">
        <v>29007.0</v>
      </c>
      <c r="N5" s="179">
        <v>28848.0</v>
      </c>
      <c r="O5" s="179">
        <v>28836.0</v>
      </c>
      <c r="P5" s="201"/>
      <c r="Q5" s="781"/>
      <c r="R5" s="230"/>
      <c r="S5" s="201"/>
      <c r="T5" s="201"/>
      <c r="U5" s="201"/>
      <c r="V5" s="201"/>
    </row>
    <row r="6" ht="15.0" customHeight="1">
      <c r="A6" s="169">
        <f t="array" ref="A6">INDEX('Federal Tax, Stock Buybacks, &amp; '!D:D,match(B6,'Federal Tax, Stock Buybacks, &amp; '!E:E,0))</f>
        <v>3</v>
      </c>
      <c r="B6" s="804" t="s">
        <v>1222</v>
      </c>
      <c r="C6" s="160">
        <f>SUMIF('Executive Pay Breakdown'!B:B,$B6,'Executive Pay Breakdown'!M:M)+SUMIF('Executive Pay Breakdown'!B:B,$B6,'Executive Pay Breakdown'!Q:Q)+SUMIF('Executive Pay Breakdown'!B:B,$B6,'Executive Pay Breakdown'!U:U)+SUMIF('Executive Pay Breakdown'!B:B,$B6,'Executive Pay Breakdown'!Y:Y)+SUMIF('Executive Pay Breakdown'!B:B,$B6,'Executive Pay Breakdown'!AC:AC)</f>
        <v>375150149</v>
      </c>
      <c r="D6" s="161">
        <f>SUMIF('Executive Pay Breakdown'!B:B,$B6,'Executive Pay Breakdown'!M:M)</f>
        <v>119285449</v>
      </c>
      <c r="E6" s="161">
        <f>SUMIF('Executive Pay Breakdown'!B:B,$B6,'Executive Pay Breakdown'!Q:Q)</f>
        <v>79958073</v>
      </c>
      <c r="F6" s="161">
        <f>SUMIF('Executive Pay Breakdown'!B:B,$B6,'Executive Pay Breakdown'!U:U)</f>
        <v>48964326</v>
      </c>
      <c r="G6" s="161">
        <f>SUMIF('Executive Pay Breakdown'!B:B,$B6,'Executive Pay Breakdown'!Y:Y)</f>
        <v>69341302</v>
      </c>
      <c r="H6" s="161">
        <f>SUMIF('Executive Pay Breakdown'!B:B,$B6,'Executive Pay Breakdown'!AC:AC)</f>
        <v>57600999</v>
      </c>
      <c r="I6" s="802"/>
      <c r="J6" s="805">
        <f t="shared" si="2"/>
        <v>177797</v>
      </c>
      <c r="K6" s="180">
        <v>171582.0</v>
      </c>
      <c r="L6" s="180">
        <v>189082.0</v>
      </c>
      <c r="M6" s="180">
        <v>183234.0</v>
      </c>
      <c r="N6" s="180">
        <v>173712.0</v>
      </c>
      <c r="O6" s="180">
        <v>171375.0</v>
      </c>
      <c r="P6" s="201"/>
      <c r="Q6" s="781"/>
      <c r="R6" s="230"/>
      <c r="S6" s="201"/>
      <c r="T6" s="201"/>
      <c r="U6" s="201"/>
      <c r="V6" s="201"/>
    </row>
    <row r="7" ht="15.0" customHeight="1">
      <c r="A7" s="169">
        <f t="array" ref="A7">INDEX('Federal Tax, Stock Buybacks, &amp; '!D:D,match(B7,'Federal Tax, Stock Buybacks, &amp; '!E:E,0))</f>
        <v>4</v>
      </c>
      <c r="B7" s="801" t="s">
        <v>1454</v>
      </c>
      <c r="C7" s="160">
        <f>SUMIF('Executive Pay Breakdown'!B:B,$B7,'Executive Pay Breakdown'!M:M)+SUMIF('Executive Pay Breakdown'!B:B,$B7,'Executive Pay Breakdown'!Q:Q)+SUMIF('Executive Pay Breakdown'!B:B,$B7,'Executive Pay Breakdown'!U:U)+SUMIF('Executive Pay Breakdown'!B:B,$B7,'Executive Pay Breakdown'!Y:Y)+SUMIF('Executive Pay Breakdown'!B:B,$B7,'Executive Pay Breakdown'!AC:AC)</f>
        <v>785119858</v>
      </c>
      <c r="D7" s="161">
        <f>SUMIF('Executive Pay Breakdown'!B:B,$B7,'Executive Pay Breakdown'!M:M)</f>
        <v>208021268</v>
      </c>
      <c r="E7" s="161">
        <f>SUMIF('Executive Pay Breakdown'!B:B,$B7,'Executive Pay Breakdown'!Q:Q)</f>
        <v>206684918</v>
      </c>
      <c r="F7" s="161">
        <f>SUMIF('Executive Pay Breakdown'!B:B,$B7,'Executive Pay Breakdown'!U:U)</f>
        <v>119795721</v>
      </c>
      <c r="G7" s="161">
        <f>SUMIF('Executive Pay Breakdown'!B:B,$B7,'Executive Pay Breakdown'!Y:Y)</f>
        <v>128642844</v>
      </c>
      <c r="H7" s="161">
        <f>SUMIF('Executive Pay Breakdown'!B:B,$B7,'Executive Pay Breakdown'!AC:AC)</f>
        <v>121975107</v>
      </c>
      <c r="I7" s="802"/>
      <c r="J7" s="803">
        <f t="shared" si="2"/>
        <v>64710.4</v>
      </c>
      <c r="K7" s="179">
        <v>84493.0</v>
      </c>
      <c r="L7" s="647">
        <v>68254.0</v>
      </c>
      <c r="M7" s="179">
        <v>57783.0</v>
      </c>
      <c r="N7" s="647">
        <v>57596.0</v>
      </c>
      <c r="O7" s="647">
        <v>55426.0</v>
      </c>
      <c r="P7" s="806"/>
      <c r="Q7" s="781"/>
      <c r="R7" s="230"/>
      <c r="S7" s="806"/>
      <c r="T7" s="806"/>
      <c r="U7" s="806"/>
      <c r="V7" s="806"/>
    </row>
    <row r="8" ht="15.0" customHeight="1">
      <c r="A8" s="169">
        <f t="array" ref="A8">INDEX('Federal Tax, Stock Buybacks, &amp; '!D:D,match(B8,'Federal Tax, Stock Buybacks, &amp; '!E:E,0))</f>
        <v>6</v>
      </c>
      <c r="B8" s="801" t="s">
        <v>1288</v>
      </c>
      <c r="C8" s="160">
        <f>SUMIF('Executive Pay Breakdown'!B:B,$B8,'Executive Pay Breakdown'!M:M)+SUMIF('Executive Pay Breakdown'!B:B,$B8,'Executive Pay Breakdown'!Q:Q)+SUMIF('Executive Pay Breakdown'!B:B,$B8,'Executive Pay Breakdown'!U:U)+SUMIF('Executive Pay Breakdown'!B:B,$B8,'Executive Pay Breakdown'!Y:Y)+SUMIF('Executive Pay Breakdown'!B:B,$B8,'Executive Pay Breakdown'!AC:AC)</f>
        <v>386420153</v>
      </c>
      <c r="D8" s="161">
        <f>SUMIF('Executive Pay Breakdown'!B:B,$B8,'Executive Pay Breakdown'!M:M)</f>
        <v>69938594</v>
      </c>
      <c r="E8" s="161">
        <f>SUMIF('Executive Pay Breakdown'!B:B,$B8,'Executive Pay Breakdown'!Q:Q)</f>
        <v>83556809</v>
      </c>
      <c r="F8" s="161">
        <f>SUMIF('Executive Pay Breakdown'!B:B,$B8,'Executive Pay Breakdown'!U:U)</f>
        <v>63746278</v>
      </c>
      <c r="G8" s="161">
        <f>SUMIF('Executive Pay Breakdown'!B:B,$B8,'Executive Pay Breakdown'!Y:Y)</f>
        <v>94845505</v>
      </c>
      <c r="H8" s="161">
        <f>SUMIF('Executive Pay Breakdown'!B:B,$B8,'Executive Pay Breakdown'!AC:AC)</f>
        <v>74332967</v>
      </c>
      <c r="I8" s="802"/>
      <c r="J8" s="803">
        <f t="shared" si="2"/>
        <v>47704.8</v>
      </c>
      <c r="K8" s="179">
        <v>56129.0</v>
      </c>
      <c r="L8" s="647">
        <v>45010.0</v>
      </c>
      <c r="M8" s="179">
        <v>55716.0</v>
      </c>
      <c r="N8" s="179">
        <v>46140.0</v>
      </c>
      <c r="O8" s="179">
        <v>35529.0</v>
      </c>
      <c r="P8" s="201"/>
      <c r="Q8" s="781"/>
      <c r="R8" s="230"/>
      <c r="S8" s="201"/>
      <c r="T8" s="201"/>
      <c r="U8" s="201"/>
      <c r="V8" s="201"/>
    </row>
    <row r="9" ht="15.0" customHeight="1">
      <c r="A9" s="169">
        <f t="array" ref="A9">INDEX('Federal Tax, Stock Buybacks, &amp; '!D:D,match(B9,'Federal Tax, Stock Buybacks, &amp; '!E:E,0))</f>
        <v>8</v>
      </c>
      <c r="B9" s="801" t="s">
        <v>1480</v>
      </c>
      <c r="C9" s="160">
        <f>SUMIF('Executive Pay Breakdown'!B:B,$B9,'Executive Pay Breakdown'!M:M)+SUMIF('Executive Pay Breakdown'!B:B,$B9,'Executive Pay Breakdown'!Q:Q)+SUMIF('Executive Pay Breakdown'!B:B,$B9,'Executive Pay Breakdown'!U:U)+SUMIF('Executive Pay Breakdown'!B:B,$B9,'Executive Pay Breakdown'!Y:Y)+SUMIF('Executive Pay Breakdown'!B:B,$B9,'Executive Pay Breakdown'!AC:AC)</f>
        <v>1052851931</v>
      </c>
      <c r="D9" s="161">
        <f>SUMIF('Executive Pay Breakdown'!B:B,$B9,'Executive Pay Breakdown'!M:M)</f>
        <v>349052313</v>
      </c>
      <c r="E9" s="161">
        <f>SUMIF('Executive Pay Breakdown'!B:B,$B9,'Executive Pay Breakdown'!Q:Q)</f>
        <v>92952829</v>
      </c>
      <c r="F9" s="161">
        <f>SUMIF('Executive Pay Breakdown'!B:B,$B9,'Executive Pay Breakdown'!U:U)</f>
        <v>230833003</v>
      </c>
      <c r="G9" s="161">
        <f>SUMIF('Executive Pay Breakdown'!B:B,$B9,'Executive Pay Breakdown'!Y:Y)</f>
        <v>281946466</v>
      </c>
      <c r="H9" s="161">
        <f>SUMIF('Executive Pay Breakdown'!B:B,$B9,'Executive Pay Breakdown'!AC:AC)</f>
        <v>98067320</v>
      </c>
      <c r="I9" s="802"/>
      <c r="J9" s="803">
        <f t="shared" si="2"/>
        <v>263503</v>
      </c>
      <c r="K9" s="179">
        <v>279802.0</v>
      </c>
      <c r="L9" s="179">
        <v>258708.0</v>
      </c>
      <c r="M9" s="179">
        <v>273493.0</v>
      </c>
      <c r="N9" s="179">
        <v>258708.0</v>
      </c>
      <c r="O9" s="179">
        <v>246804.0</v>
      </c>
      <c r="P9" s="201"/>
      <c r="Q9" s="781"/>
      <c r="R9" s="230"/>
      <c r="S9" s="201"/>
      <c r="T9" s="201"/>
      <c r="U9" s="201"/>
      <c r="V9" s="201"/>
    </row>
    <row r="10" ht="15.0" customHeight="1">
      <c r="A10" s="169">
        <f t="array" ref="A10">INDEX('Federal Tax, Stock Buybacks, &amp; '!D:D,match(B10,'Federal Tax, Stock Buybacks, &amp; '!E:E,0))</f>
        <v>12</v>
      </c>
      <c r="B10" s="801" t="s">
        <v>1300</v>
      </c>
      <c r="C10" s="160">
        <f>SUMIF('Executive Pay Breakdown'!B:B,$B10,'Executive Pay Breakdown'!M:M)+SUMIF('Executive Pay Breakdown'!B:B,$B10,'Executive Pay Breakdown'!Q:Q)+SUMIF('Executive Pay Breakdown'!B:B,$B10,'Executive Pay Breakdown'!U:U)+SUMIF('Executive Pay Breakdown'!B:B,$B10,'Executive Pay Breakdown'!Y:Y)+SUMIF('Executive Pay Breakdown'!B:B,$B10,'Executive Pay Breakdown'!AC:AC)</f>
        <v>152172860</v>
      </c>
      <c r="D10" s="161">
        <f>SUMIF('Executive Pay Breakdown'!B:B,$B10,'Executive Pay Breakdown'!M:M)</f>
        <v>33129160</v>
      </c>
      <c r="E10" s="161">
        <f>SUMIF('Executive Pay Breakdown'!B:B,$B10,'Executive Pay Breakdown'!Q:Q)</f>
        <v>31782557</v>
      </c>
      <c r="F10" s="161">
        <f>SUMIF('Executive Pay Breakdown'!B:B,$B10,'Executive Pay Breakdown'!U:U)</f>
        <v>30865519</v>
      </c>
      <c r="G10" s="161">
        <f>SUMIF('Executive Pay Breakdown'!B:B,$B10,'Executive Pay Breakdown'!Y:Y)</f>
        <v>28715278</v>
      </c>
      <c r="H10" s="161">
        <f>SUMIF('Executive Pay Breakdown'!B:B,$B10,'Executive Pay Breakdown'!AC:AC)</f>
        <v>27680346</v>
      </c>
      <c r="I10" s="802"/>
      <c r="J10" s="803">
        <f t="shared" si="2"/>
        <v>43290.2</v>
      </c>
      <c r="K10" s="647">
        <v>45450.0</v>
      </c>
      <c r="L10" s="647">
        <v>45294.0</v>
      </c>
      <c r="M10" s="179">
        <v>39585.0</v>
      </c>
      <c r="N10" s="647">
        <v>47312.0</v>
      </c>
      <c r="O10" s="647">
        <v>38810.0</v>
      </c>
      <c r="P10" s="806"/>
      <c r="Q10" s="781"/>
      <c r="R10" s="230"/>
      <c r="S10" s="806"/>
      <c r="T10" s="806"/>
      <c r="U10" s="806"/>
      <c r="V10" s="806"/>
    </row>
    <row r="11" ht="15.0" customHeight="1">
      <c r="A11" s="169">
        <f t="array" ref="A11">INDEX('Federal Tax, Stock Buybacks, &amp; '!D:D,match(B11,'Federal Tax, Stock Buybacks, &amp; '!E:E,0))</f>
        <v>13</v>
      </c>
      <c r="B11" s="801" t="s">
        <v>1030</v>
      </c>
      <c r="C11" s="160">
        <f>SUMIF('Executive Pay Breakdown'!B:B,$B11,'Executive Pay Breakdown'!M:M)+SUMIF('Executive Pay Breakdown'!B:B,$B11,'Executive Pay Breakdown'!Q:Q)+SUMIF('Executive Pay Breakdown'!B:B,$B11,'Executive Pay Breakdown'!U:U)+SUMIF('Executive Pay Breakdown'!B:B,$B11,'Executive Pay Breakdown'!Y:Y)+SUMIF('Executive Pay Breakdown'!B:B,$B11,'Executive Pay Breakdown'!AC:AC)</f>
        <v>558661728</v>
      </c>
      <c r="D11" s="161">
        <f>SUMIF('Executive Pay Breakdown'!B:B,$B11,'Executive Pay Breakdown'!M:M)</f>
        <v>135244086</v>
      </c>
      <c r="E11" s="161">
        <f>SUMIF('Executive Pay Breakdown'!B:B,$B11,'Executive Pay Breakdown'!Q:Q)</f>
        <v>139085265</v>
      </c>
      <c r="F11" s="161">
        <f>SUMIF('Executive Pay Breakdown'!B:B,$B11,'Executive Pay Breakdown'!U:U)</f>
        <v>104140521</v>
      </c>
      <c r="G11" s="161">
        <f>SUMIF('Executive Pay Breakdown'!B:B,$B11,'Executive Pay Breakdown'!Y:Y)</f>
        <v>106028249</v>
      </c>
      <c r="H11" s="161">
        <f>SUMIF('Executive Pay Breakdown'!B:B,$B11,'Executive Pay Breakdown'!AC:AC)</f>
        <v>74163607</v>
      </c>
      <c r="I11" s="802"/>
      <c r="J11" s="166">
        <f t="shared" si="2"/>
        <v>175900.6</v>
      </c>
      <c r="K11" s="685">
        <v>190302.0</v>
      </c>
      <c r="L11" s="685">
        <v>176858.0</v>
      </c>
      <c r="M11" s="685">
        <v>172142.0</v>
      </c>
      <c r="N11" s="685">
        <v>172512.0</v>
      </c>
      <c r="O11" s="685">
        <v>167689.0</v>
      </c>
      <c r="P11" s="807"/>
      <c r="Q11" s="781"/>
      <c r="R11" s="230"/>
      <c r="S11" s="807"/>
      <c r="T11" s="807"/>
      <c r="U11" s="807"/>
      <c r="V11" s="807"/>
    </row>
    <row r="12" ht="15.0" customHeight="1">
      <c r="A12" s="169">
        <f t="array" ref="A12">INDEX('Federal Tax, Stock Buybacks, &amp; '!D:D,match(B12,'Federal Tax, Stock Buybacks, &amp; '!E:E,0))</f>
        <v>15</v>
      </c>
      <c r="B12" s="801" t="s">
        <v>1351</v>
      </c>
      <c r="C12" s="160">
        <f>SUMIF('Executive Pay Breakdown'!B:B,$B12,'Executive Pay Breakdown'!M:M)+SUMIF('Executive Pay Breakdown'!B:B,$B12,'Executive Pay Breakdown'!Q:Q)+SUMIF('Executive Pay Breakdown'!B:B,$B12,'Executive Pay Breakdown'!U:U)+SUMIF('Executive Pay Breakdown'!B:B,$B12,'Executive Pay Breakdown'!Y:Y)+SUMIF('Executive Pay Breakdown'!B:B,$B12,'Executive Pay Breakdown'!AC:AC)</f>
        <v>265981031</v>
      </c>
      <c r="D12" s="161">
        <f>SUMIF('Executive Pay Breakdown'!B:B,$B12,'Executive Pay Breakdown'!M:M)</f>
        <v>46351710</v>
      </c>
      <c r="E12" s="161">
        <f>SUMIF('Executive Pay Breakdown'!B:B,$B12,'Executive Pay Breakdown'!Q:Q)</f>
        <v>55693339</v>
      </c>
      <c r="F12" s="161">
        <f>SUMIF('Executive Pay Breakdown'!B:B,$B12,'Executive Pay Breakdown'!U:U)</f>
        <v>48232541</v>
      </c>
      <c r="G12" s="161">
        <f>SUMIF('Executive Pay Breakdown'!B:B,$B12,'Executive Pay Breakdown'!Y:Y)</f>
        <v>64363284</v>
      </c>
      <c r="H12" s="161">
        <f>SUMIF('Executive Pay Breakdown'!B:B,$B12,'Executive Pay Breakdown'!AC:AC)</f>
        <v>51340157</v>
      </c>
      <c r="I12" s="802"/>
      <c r="J12" s="166">
        <f t="shared" si="2"/>
        <v>66907.2</v>
      </c>
      <c r="K12" s="179">
        <v>75627.0</v>
      </c>
      <c r="L12" s="179">
        <v>66917.0</v>
      </c>
      <c r="M12" s="179">
        <v>65520.0</v>
      </c>
      <c r="N12" s="179">
        <v>62946.0</v>
      </c>
      <c r="O12" s="179">
        <v>63526.0</v>
      </c>
      <c r="P12" s="201"/>
      <c r="Q12" s="781"/>
      <c r="R12" s="230"/>
      <c r="S12" s="201"/>
      <c r="T12" s="201"/>
      <c r="U12" s="201"/>
      <c r="V12" s="201"/>
    </row>
    <row r="13" ht="15.0" customHeight="1">
      <c r="A13" s="169">
        <f t="array" ref="A13">INDEX('Federal Tax, Stock Buybacks, &amp; '!D:D,match(B13,'Federal Tax, Stock Buybacks, &amp; '!E:E,0))</f>
        <v>17</v>
      </c>
      <c r="B13" s="808" t="s">
        <v>2635</v>
      </c>
      <c r="C13" s="160">
        <f>SUMIF('Executive Pay Breakdown'!B:B,$B13,'Executive Pay Breakdown'!M:M)+SUMIF('Executive Pay Breakdown'!B:B,$B13,'Executive Pay Breakdown'!Q:Q)+SUMIF('Executive Pay Breakdown'!B:B,$B13,'Executive Pay Breakdown'!U:U)+SUMIF('Executive Pay Breakdown'!B:B,$B13,'Executive Pay Breakdown'!Y:Y)+SUMIF('Executive Pay Breakdown'!B:B,$B13,'Executive Pay Breakdown'!AC:AC)</f>
        <v>243615968</v>
      </c>
      <c r="D13" s="161">
        <f>SUMIF('Executive Pay Breakdown'!B:B,$B13,'Executive Pay Breakdown'!M:M)</f>
        <v>64209414</v>
      </c>
      <c r="E13" s="161">
        <f>SUMIF('Executive Pay Breakdown'!B:B,$B13,'Executive Pay Breakdown'!Q:Q)</f>
        <v>52818597</v>
      </c>
      <c r="F13" s="161">
        <f>SUMIF('Executive Pay Breakdown'!B:B,$B13,'Executive Pay Breakdown'!U:U)</f>
        <v>40241303</v>
      </c>
      <c r="G13" s="161">
        <f>SUMIF('Executive Pay Breakdown'!B:B,$B13,'Executive Pay Breakdown'!Y:Y)</f>
        <v>45996845</v>
      </c>
      <c r="H13" s="161">
        <f>SUMIF('Executive Pay Breakdown'!B:B,$B13,'Executive Pay Breakdown'!AC:AC)</f>
        <v>40349809</v>
      </c>
      <c r="I13" s="192"/>
      <c r="J13" s="195">
        <f t="shared" si="2"/>
        <v>178659</v>
      </c>
      <c r="K13" s="220">
        <v>179184.0</v>
      </c>
      <c r="L13" s="220">
        <v>161584.0</v>
      </c>
      <c r="M13" s="220">
        <v>167382.0</v>
      </c>
      <c r="N13" s="220">
        <v>188738.0</v>
      </c>
      <c r="O13" s="220">
        <v>196407.0</v>
      </c>
      <c r="P13" s="87"/>
      <c r="Q13" s="781"/>
      <c r="R13" s="87"/>
      <c r="S13" s="87"/>
      <c r="T13" s="87"/>
      <c r="U13" s="87"/>
      <c r="V13" s="87"/>
    </row>
    <row r="14" ht="15.0" customHeight="1">
      <c r="A14" s="169">
        <f t="array" ref="A14">INDEX('Federal Tax, Stock Buybacks, &amp; '!D:D,match(B14,'Federal Tax, Stock Buybacks, &amp; '!E:E,0))</f>
        <v>18</v>
      </c>
      <c r="B14" s="808" t="s">
        <v>2649</v>
      </c>
      <c r="C14" s="160">
        <f>SUMIF('Executive Pay Breakdown'!B:B,$B14,'Executive Pay Breakdown'!M:M)+SUMIF('Executive Pay Breakdown'!B:B,$B14,'Executive Pay Breakdown'!Q:Q)+SUMIF('Executive Pay Breakdown'!B:B,$B14,'Executive Pay Breakdown'!U:U)+SUMIF('Executive Pay Breakdown'!B:B,$B14,'Executive Pay Breakdown'!Y:Y)+SUMIF('Executive Pay Breakdown'!B:B,$B14,'Executive Pay Breakdown'!AC:AC)</f>
        <v>242412455</v>
      </c>
      <c r="D14" s="161">
        <f>SUMIF('Executive Pay Breakdown'!B:B,$B14,'Executive Pay Breakdown'!M:M)</f>
        <v>43403894</v>
      </c>
      <c r="E14" s="161">
        <f>SUMIF('Executive Pay Breakdown'!B:B,$B14,'Executive Pay Breakdown'!Q:Q)</f>
        <v>56258137</v>
      </c>
      <c r="F14" s="161">
        <f>SUMIF('Executive Pay Breakdown'!B:B,$B14,'Executive Pay Breakdown'!U:U)</f>
        <v>50158000</v>
      </c>
      <c r="G14" s="161">
        <f>SUMIF('Executive Pay Breakdown'!B:B,$B14,'Executive Pay Breakdown'!Y:Y)</f>
        <v>58594858</v>
      </c>
      <c r="H14" s="161">
        <f>SUMIF('Executive Pay Breakdown'!B:B,$B14,'Executive Pay Breakdown'!AC:AC)</f>
        <v>33997566</v>
      </c>
      <c r="I14" s="192"/>
      <c r="J14" s="195">
        <f t="shared" si="2"/>
        <v>209788.4</v>
      </c>
      <c r="K14" s="220">
        <v>209277.0</v>
      </c>
      <c r="L14" s="220">
        <v>198219.0</v>
      </c>
      <c r="M14" s="220">
        <v>215048.0</v>
      </c>
      <c r="N14" s="220">
        <v>272417.0</v>
      </c>
      <c r="O14" s="220">
        <v>153981.0</v>
      </c>
      <c r="P14" s="87"/>
      <c r="Q14" s="781"/>
      <c r="R14" s="87"/>
      <c r="S14" s="87"/>
      <c r="T14" s="87"/>
      <c r="U14" s="87"/>
      <c r="V14" s="87"/>
    </row>
    <row r="15" ht="15.0" customHeight="1">
      <c r="A15" s="169">
        <f t="array" ref="A15">INDEX('Federal Tax, Stock Buybacks, &amp; '!D:D,match(B15,'Federal Tax, Stock Buybacks, &amp; '!E:E,0))</f>
        <v>20</v>
      </c>
      <c r="B15" s="801" t="s">
        <v>1162</v>
      </c>
      <c r="C15" s="160">
        <f>SUMIF('Executive Pay Breakdown'!B:B,$B15,'Executive Pay Breakdown'!M:M)+SUMIF('Executive Pay Breakdown'!B:B,$B15,'Executive Pay Breakdown'!Q:Q)+SUMIF('Executive Pay Breakdown'!B:B,$B15,'Executive Pay Breakdown'!U:U)+SUMIF('Executive Pay Breakdown'!B:B,$B15,'Executive Pay Breakdown'!Y:Y)+SUMIF('Executive Pay Breakdown'!B:B,$B15,'Executive Pay Breakdown'!AC:AC)</f>
        <v>179465631</v>
      </c>
      <c r="D15" s="161">
        <f>SUMIF('Executive Pay Breakdown'!B:B,$B15,'Executive Pay Breakdown'!M:M)</f>
        <v>41203531</v>
      </c>
      <c r="E15" s="161">
        <f>SUMIF('Executive Pay Breakdown'!B:B,$B15,'Executive Pay Breakdown'!Q:Q)</f>
        <v>35334445</v>
      </c>
      <c r="F15" s="161">
        <f>SUMIF('Executive Pay Breakdown'!B:B,$B15,'Executive Pay Breakdown'!U:U)</f>
        <v>39754822</v>
      </c>
      <c r="G15" s="161">
        <f>SUMIF('Executive Pay Breakdown'!B:B,$B15,'Executive Pay Breakdown'!Y:Y)</f>
        <v>33375481</v>
      </c>
      <c r="H15" s="161">
        <f>SUMIF('Executive Pay Breakdown'!B:B,$B15,'Executive Pay Breakdown'!AC:AC)</f>
        <v>29797352</v>
      </c>
      <c r="I15" s="802"/>
      <c r="J15" s="809">
        <f t="shared" si="2"/>
        <v>26445.4</v>
      </c>
      <c r="K15" s="179">
        <v>30100.0</v>
      </c>
      <c r="L15" s="179">
        <v>28697.0</v>
      </c>
      <c r="M15" s="179">
        <v>27389.0</v>
      </c>
      <c r="N15" s="179">
        <v>22652.0</v>
      </c>
      <c r="O15" s="179">
        <v>23389.0</v>
      </c>
      <c r="P15" s="201"/>
      <c r="Q15" s="781"/>
      <c r="R15" s="230"/>
      <c r="S15" s="201"/>
      <c r="T15" s="201"/>
      <c r="U15" s="201"/>
      <c r="V15" s="201"/>
    </row>
    <row r="16" ht="15.0" customHeight="1">
      <c r="A16" s="169">
        <f t="array" ref="A16">INDEX('Federal Tax, Stock Buybacks, &amp; '!D:D,match(B16,'Federal Tax, Stock Buybacks, &amp; '!E:E,0))</f>
        <v>22</v>
      </c>
      <c r="B16" s="801" t="s">
        <v>1231</v>
      </c>
      <c r="C16" s="160">
        <f>SUMIF('Executive Pay Breakdown'!B:B,$B16,'Executive Pay Breakdown'!M:M)+SUMIF('Executive Pay Breakdown'!B:B,$B16,'Executive Pay Breakdown'!Q:Q)+SUMIF('Executive Pay Breakdown'!B:B,$B16,'Executive Pay Breakdown'!U:U)+SUMIF('Executive Pay Breakdown'!B:B,$B16,'Executive Pay Breakdown'!Y:Y)+SUMIF('Executive Pay Breakdown'!B:B,$B16,'Executive Pay Breakdown'!AC:AC)</f>
        <v>211159632</v>
      </c>
      <c r="D16" s="161">
        <f>SUMIF('Executive Pay Breakdown'!B:B,$B16,'Executive Pay Breakdown'!M:M)</f>
        <v>47774010</v>
      </c>
      <c r="E16" s="161">
        <f>SUMIF('Executive Pay Breakdown'!B:B,$B16,'Executive Pay Breakdown'!Q:Q)</f>
        <v>45135450</v>
      </c>
      <c r="F16" s="161">
        <f>SUMIF('Executive Pay Breakdown'!B:B,$B16,'Executive Pay Breakdown'!U:U)</f>
        <v>38665862</v>
      </c>
      <c r="G16" s="161">
        <f>SUMIF('Executive Pay Breakdown'!B:B,$B16,'Executive Pay Breakdown'!Y:Y)</f>
        <v>38829039</v>
      </c>
      <c r="H16" s="161">
        <f>SUMIF('Executive Pay Breakdown'!B:B,$B16,'Executive Pay Breakdown'!AC:AC)</f>
        <v>40755271</v>
      </c>
      <c r="I16" s="802"/>
      <c r="J16" s="166">
        <f t="shared" si="2"/>
        <v>60434</v>
      </c>
      <c r="K16" s="179">
        <v>54627.0</v>
      </c>
      <c r="L16" s="179">
        <v>51005.0</v>
      </c>
      <c r="M16" s="179">
        <v>61544.0</v>
      </c>
      <c r="N16" s="179">
        <v>62686.0</v>
      </c>
      <c r="O16" s="179">
        <v>72308.0</v>
      </c>
      <c r="P16" s="201"/>
      <c r="Q16" s="781"/>
      <c r="R16" s="230"/>
      <c r="S16" s="201"/>
      <c r="T16" s="201"/>
      <c r="U16" s="201"/>
      <c r="V16" s="201"/>
    </row>
    <row r="17" ht="15.0" customHeight="1">
      <c r="A17" s="169">
        <f t="array" ref="A17">INDEX('Federal Tax, Stock Buybacks, &amp; '!D:D,match(B17,'Federal Tax, Stock Buybacks, &amp; '!E:E,0))</f>
        <v>23</v>
      </c>
      <c r="B17" s="801" t="s">
        <v>1120</v>
      </c>
      <c r="C17" s="160">
        <f>SUMIF('Executive Pay Breakdown'!B:B,$B17,'Executive Pay Breakdown'!M:M)+SUMIF('Executive Pay Breakdown'!B:B,$B17,'Executive Pay Breakdown'!Q:Q)+SUMIF('Executive Pay Breakdown'!B:B,$B17,'Executive Pay Breakdown'!U:U)+SUMIF('Executive Pay Breakdown'!B:B,$B17,'Executive Pay Breakdown'!Y:Y)+SUMIF('Executive Pay Breakdown'!B:B,$B17,'Executive Pay Breakdown'!AC:AC)</f>
        <v>664702375</v>
      </c>
      <c r="D17" s="161">
        <f>SUMIF('Executive Pay Breakdown'!B:B,$B17,'Executive Pay Breakdown'!M:M)</f>
        <v>128674497</v>
      </c>
      <c r="E17" s="161">
        <f>SUMIF('Executive Pay Breakdown'!B:B,$B17,'Executive Pay Breakdown'!Q:Q)</f>
        <v>201789148</v>
      </c>
      <c r="F17" s="161">
        <f>SUMIF('Executive Pay Breakdown'!B:B,$B17,'Executive Pay Breakdown'!U:U)</f>
        <v>108678359</v>
      </c>
      <c r="G17" s="161">
        <f>SUMIF('Executive Pay Breakdown'!B:B,$B17,'Executive Pay Breakdown'!Y:Y)</f>
        <v>119556090</v>
      </c>
      <c r="H17" s="161">
        <f>SUMIF('Executive Pay Breakdown'!B:B,$B17,'Executive Pay Breakdown'!AC:AC)</f>
        <v>106004281</v>
      </c>
      <c r="I17" s="802"/>
      <c r="J17" s="809">
        <f t="shared" si="2"/>
        <v>84059.6</v>
      </c>
      <c r="K17" s="810">
        <v>88730.0</v>
      </c>
      <c r="L17" s="810">
        <v>92112.0</v>
      </c>
      <c r="M17" s="179">
        <v>80102.0</v>
      </c>
      <c r="N17" s="810">
        <v>80431.0</v>
      </c>
      <c r="O17" s="810">
        <v>78923.0</v>
      </c>
      <c r="P17" s="201"/>
      <c r="Q17" s="781"/>
      <c r="R17" s="230"/>
      <c r="S17" s="201"/>
      <c r="T17" s="201"/>
      <c r="U17" s="201"/>
      <c r="V17" s="201"/>
    </row>
    <row r="18" ht="15.0" customHeight="1">
      <c r="A18" s="169">
        <f t="array" ref="A18">INDEX('Federal Tax, Stock Buybacks, &amp; '!D:D,match(B18,'Federal Tax, Stock Buybacks, &amp; '!E:E,0))</f>
        <v>24</v>
      </c>
      <c r="B18" s="801" t="s">
        <v>1110</v>
      </c>
      <c r="C18" s="160">
        <f>SUMIF('Executive Pay Breakdown'!B:B,$B18,'Executive Pay Breakdown'!M:M)+SUMIF('Executive Pay Breakdown'!B:B,$B18,'Executive Pay Breakdown'!Q:Q)+SUMIF('Executive Pay Breakdown'!B:B,$B18,'Executive Pay Breakdown'!U:U)+SUMIF('Executive Pay Breakdown'!B:B,$B18,'Executive Pay Breakdown'!Y:Y)+SUMIF('Executive Pay Breakdown'!B:B,$B18,'Executive Pay Breakdown'!AC:AC)</f>
        <v>215637654</v>
      </c>
      <c r="D18" s="161">
        <f>SUMIF('Executive Pay Breakdown'!B:B,$B18,'Executive Pay Breakdown'!M:M)</f>
        <v>43679533</v>
      </c>
      <c r="E18" s="161">
        <f>SUMIF('Executive Pay Breakdown'!B:B,$B18,'Executive Pay Breakdown'!Q:Q)</f>
        <v>40748558</v>
      </c>
      <c r="F18" s="161">
        <f>SUMIF('Executive Pay Breakdown'!B:B,$B18,'Executive Pay Breakdown'!U:U)</f>
        <v>50123323</v>
      </c>
      <c r="G18" s="161">
        <f>SUMIF('Executive Pay Breakdown'!B:B,$B18,'Executive Pay Breakdown'!Y:Y)</f>
        <v>45365145</v>
      </c>
      <c r="H18" s="161">
        <f>SUMIF('Executive Pay Breakdown'!B:B,$B18,'Executive Pay Breakdown'!AC:AC)</f>
        <v>35721095</v>
      </c>
      <c r="I18" s="802"/>
      <c r="J18" s="811">
        <f t="shared" si="2"/>
        <v>26345.2</v>
      </c>
      <c r="K18" s="812">
        <v>28644.0</v>
      </c>
      <c r="L18" s="812">
        <v>26763.0</v>
      </c>
      <c r="M18" s="179">
        <v>24617.0</v>
      </c>
      <c r="N18" s="812">
        <v>26790.0</v>
      </c>
      <c r="O18" s="812">
        <v>24912.0</v>
      </c>
      <c r="P18" s="201"/>
      <c r="Q18" s="781"/>
      <c r="R18" s="230"/>
      <c r="S18" s="201"/>
      <c r="T18" s="201"/>
      <c r="U18" s="201"/>
      <c r="V18" s="201"/>
    </row>
    <row r="19" ht="15.0" customHeight="1">
      <c r="A19" s="169">
        <f t="array" ref="A19">INDEX('Federal Tax, Stock Buybacks, &amp; '!D:D,match(B19,'Federal Tax, Stock Buybacks, &amp; '!E:E,0))</f>
        <v>25</v>
      </c>
      <c r="B19" s="808" t="s">
        <v>2509</v>
      </c>
      <c r="C19" s="160">
        <f>SUMIF('Executive Pay Breakdown'!B:B,$B19,'Executive Pay Breakdown'!M:M)+SUMIF('Executive Pay Breakdown'!B:B,$B19,'Executive Pay Breakdown'!Q:Q)+SUMIF('Executive Pay Breakdown'!B:B,$B19,'Executive Pay Breakdown'!U:U)+SUMIF('Executive Pay Breakdown'!B:B,$B19,'Executive Pay Breakdown'!Y:Y)+SUMIF('Executive Pay Breakdown'!B:B,$B19,'Executive Pay Breakdown'!AC:AC)</f>
        <v>317602294</v>
      </c>
      <c r="D19" s="161">
        <f>SUMIF('Executive Pay Breakdown'!B:B,$B19,'Executive Pay Breakdown'!M:M)</f>
        <v>60805484</v>
      </c>
      <c r="E19" s="161">
        <f>SUMIF('Executive Pay Breakdown'!B:B,$B19,'Executive Pay Breakdown'!Q:Q)</f>
        <v>80066141</v>
      </c>
      <c r="F19" s="161">
        <f>SUMIF('Executive Pay Breakdown'!B:B,$B19,'Executive Pay Breakdown'!U:U)</f>
        <v>67835148</v>
      </c>
      <c r="G19" s="161">
        <f>SUMIF('Executive Pay Breakdown'!B:B,$B19,'Executive Pay Breakdown'!Y:Y)</f>
        <v>55039099</v>
      </c>
      <c r="H19" s="161">
        <f>SUMIF('Executive Pay Breakdown'!B:B,$B19,'Executive Pay Breakdown'!AC:AC)</f>
        <v>53856422</v>
      </c>
      <c r="I19" s="192"/>
      <c r="J19" s="813">
        <f t="shared" si="2"/>
        <v>70711.8</v>
      </c>
      <c r="K19" s="220">
        <v>78347.0</v>
      </c>
      <c r="L19" s="220">
        <v>71217.0</v>
      </c>
      <c r="M19" s="220">
        <v>68987.0</v>
      </c>
      <c r="N19" s="220">
        <v>68987.0</v>
      </c>
      <c r="O19" s="220">
        <v>66021.0</v>
      </c>
      <c r="P19" s="87"/>
      <c r="Q19" s="781"/>
      <c r="R19" s="87"/>
      <c r="S19" s="87"/>
      <c r="T19" s="87"/>
      <c r="U19" s="87"/>
      <c r="V19" s="87"/>
    </row>
    <row r="20" ht="15.0" customHeight="1">
      <c r="A20" s="169">
        <f t="array" ref="A20">INDEX('Federal Tax, Stock Buybacks, &amp; '!D:D,match(B20,'Federal Tax, Stock Buybacks, &amp; '!E:E,0))</f>
        <v>26</v>
      </c>
      <c r="B20" s="801" t="s">
        <v>809</v>
      </c>
      <c r="C20" s="160">
        <f>SUMIF('Executive Pay Breakdown'!B:B,$B20,'Executive Pay Breakdown'!M:M)+SUMIF('Executive Pay Breakdown'!B:B,$B20,'Executive Pay Breakdown'!Q:Q)+SUMIF('Executive Pay Breakdown'!B:B,$B20,'Executive Pay Breakdown'!U:U)+SUMIF('Executive Pay Breakdown'!B:B,$B20,'Executive Pay Breakdown'!Y:Y)+SUMIF('Executive Pay Breakdown'!B:B,$B20,'Executive Pay Breakdown'!AC:AC)</f>
        <v>352517361</v>
      </c>
      <c r="D20" s="161">
        <f>SUMIF('Executive Pay Breakdown'!B:B,$B20,'Executive Pay Breakdown'!M:M)</f>
        <v>78525597</v>
      </c>
      <c r="E20" s="161">
        <f>SUMIF('Executive Pay Breakdown'!B:B,$B20,'Executive Pay Breakdown'!Q:Q)</f>
        <v>66754433</v>
      </c>
      <c r="F20" s="161">
        <f>SUMIF('Executive Pay Breakdown'!B:B,$B20,'Executive Pay Breakdown'!U:U)</f>
        <v>53282400</v>
      </c>
      <c r="G20" s="161">
        <f>SUMIF('Executive Pay Breakdown'!B:B,$B20,'Executive Pay Breakdown'!Y:Y)</f>
        <v>51094974</v>
      </c>
      <c r="H20" s="161">
        <f>SUMIF('Executive Pay Breakdown'!B:B,$B20,'Executive Pay Breakdown'!AC:AC)</f>
        <v>102859957</v>
      </c>
      <c r="I20" s="802"/>
      <c r="J20" s="811">
        <f t="shared" si="2"/>
        <v>147859</v>
      </c>
      <c r="K20" s="812">
        <v>152899.0</v>
      </c>
      <c r="L20" s="812">
        <v>122492.0</v>
      </c>
      <c r="M20" s="179">
        <v>170288.0</v>
      </c>
      <c r="N20" s="812">
        <v>172971.0</v>
      </c>
      <c r="O20" s="812">
        <v>120645.0</v>
      </c>
      <c r="P20" s="201"/>
      <c r="Q20" s="781"/>
      <c r="R20" s="230"/>
      <c r="S20" s="201"/>
      <c r="T20" s="201"/>
      <c r="U20" s="201"/>
      <c r="V20" s="201"/>
    </row>
    <row r="21" ht="15.0" customHeight="1">
      <c r="A21" s="169">
        <f t="array" ref="A21">INDEX('Federal Tax, Stock Buybacks, &amp; '!D:D,match(B21,'Federal Tax, Stock Buybacks, &amp; '!E:E,0))</f>
        <v>27</v>
      </c>
      <c r="B21" s="808" t="s">
        <v>2614</v>
      </c>
      <c r="C21" s="160">
        <f>SUMIF('Executive Pay Breakdown'!B:B,$B21,'Executive Pay Breakdown'!M:M)+SUMIF('Executive Pay Breakdown'!B:B,$B21,'Executive Pay Breakdown'!Q:Q)+SUMIF('Executive Pay Breakdown'!B:B,$B21,'Executive Pay Breakdown'!U:U)+SUMIF('Executive Pay Breakdown'!B:B,$B21,'Executive Pay Breakdown'!Y:Y)+SUMIF('Executive Pay Breakdown'!B:B,$B21,'Executive Pay Breakdown'!AC:AC)</f>
        <v>271263762</v>
      </c>
      <c r="D21" s="161">
        <f>SUMIF('Executive Pay Breakdown'!B:B,$B21,'Executive Pay Breakdown'!M:M)</f>
        <v>46643850</v>
      </c>
      <c r="E21" s="161">
        <f>SUMIF('Executive Pay Breakdown'!B:B,$B21,'Executive Pay Breakdown'!Q:Q)</f>
        <v>71932627</v>
      </c>
      <c r="F21" s="161">
        <f>SUMIF('Executive Pay Breakdown'!B:B,$B21,'Executive Pay Breakdown'!U:U)</f>
        <v>55148437</v>
      </c>
      <c r="G21" s="161">
        <f>SUMIF('Executive Pay Breakdown'!B:B,$B21,'Executive Pay Breakdown'!Y:Y)</f>
        <v>50599511</v>
      </c>
      <c r="H21" s="161">
        <f>SUMIF('Executive Pay Breakdown'!B:B,$B21,'Executive Pay Breakdown'!AC:AC)</f>
        <v>46939337</v>
      </c>
      <c r="I21" s="192"/>
      <c r="J21" s="813">
        <f t="shared" si="2"/>
        <v>29877.4</v>
      </c>
      <c r="K21" s="219">
        <v>24530.0</v>
      </c>
      <c r="L21" s="219">
        <v>26255.0</v>
      </c>
      <c r="M21" s="219">
        <v>33396.0</v>
      </c>
      <c r="N21" s="219">
        <v>34074.0</v>
      </c>
      <c r="O21" s="219">
        <v>31132.0</v>
      </c>
      <c r="P21" s="87"/>
      <c r="Q21" s="781"/>
      <c r="R21" s="87"/>
      <c r="S21" s="87"/>
      <c r="T21" s="87"/>
      <c r="U21" s="87"/>
      <c r="V21" s="87"/>
    </row>
    <row r="22" ht="15.0" customHeight="1">
      <c r="A22" s="169">
        <f t="array" ref="A22">INDEX('Federal Tax, Stock Buybacks, &amp; '!D:D,match(B22,'Federal Tax, Stock Buybacks, &amp; '!E:E,0))</f>
        <v>29</v>
      </c>
      <c r="B22" s="212" t="s">
        <v>1308</v>
      </c>
      <c r="C22" s="160">
        <f>SUMIF('Executive Pay Breakdown'!B:B,$B22,'Executive Pay Breakdown'!M:M)+SUMIF('Executive Pay Breakdown'!B:B,$B22,'Executive Pay Breakdown'!Q:Q)+SUMIF('Executive Pay Breakdown'!B:B,$B22,'Executive Pay Breakdown'!U:U)+SUMIF('Executive Pay Breakdown'!B:B,$B22,'Executive Pay Breakdown'!Y:Y)+SUMIF('Executive Pay Breakdown'!B:B,$B22,'Executive Pay Breakdown'!AC:AC)</f>
        <v>629113098</v>
      </c>
      <c r="D22" s="161">
        <f>SUMIF('Executive Pay Breakdown'!B:B,$B22,'Executive Pay Breakdown'!M:M)</f>
        <v>130758850</v>
      </c>
      <c r="E22" s="161">
        <f>SUMIF('Executive Pay Breakdown'!B:B,$B22,'Executive Pay Breakdown'!Q:Q)</f>
        <v>121599475</v>
      </c>
      <c r="F22" s="161">
        <f>SUMIF('Executive Pay Breakdown'!B:B,$B22,'Executive Pay Breakdown'!U:U)</f>
        <v>103493410</v>
      </c>
      <c r="G22" s="161">
        <f>SUMIF('Executive Pay Breakdown'!B:B,$B22,'Executive Pay Breakdown'!Y:Y)</f>
        <v>142705967</v>
      </c>
      <c r="H22" s="161">
        <f>SUMIF('Executive Pay Breakdown'!B:B,$B22,'Executive Pay Breakdown'!AC:AC)</f>
        <v>130555396</v>
      </c>
      <c r="I22" s="802"/>
      <c r="J22" s="811">
        <f t="shared" si="2"/>
        <v>82903.8</v>
      </c>
      <c r="K22" s="812">
        <v>83399.0</v>
      </c>
      <c r="L22" s="812">
        <v>83840.0</v>
      </c>
      <c r="M22" s="179">
        <v>86206.0</v>
      </c>
      <c r="N22" s="812">
        <v>78869.0</v>
      </c>
      <c r="O22" s="812">
        <v>82205.0</v>
      </c>
      <c r="P22" s="212"/>
      <c r="Q22" s="781"/>
      <c r="R22" s="230"/>
      <c r="S22" s="212"/>
      <c r="T22" s="212"/>
      <c r="U22" s="212"/>
      <c r="V22" s="212"/>
    </row>
    <row r="23" ht="15.0" customHeight="1">
      <c r="A23" s="169">
        <f t="array" ref="A23">INDEX('Federal Tax, Stock Buybacks, &amp; '!D:D,match(B23,'Federal Tax, Stock Buybacks, &amp; '!E:E,0))</f>
        <v>31</v>
      </c>
      <c r="B23" s="212" t="s">
        <v>1038</v>
      </c>
      <c r="C23" s="160">
        <f>SUMIF('Executive Pay Breakdown'!B:B,$B23,'Executive Pay Breakdown'!M:M)+SUMIF('Executive Pay Breakdown'!B:B,$B23,'Executive Pay Breakdown'!Q:Q)+SUMIF('Executive Pay Breakdown'!B:B,$B23,'Executive Pay Breakdown'!U:U)+SUMIF('Executive Pay Breakdown'!B:B,$B23,'Executive Pay Breakdown'!Y:Y)+SUMIF('Executive Pay Breakdown'!B:B,$B23,'Executive Pay Breakdown'!AC:AC)</f>
        <v>672456266</v>
      </c>
      <c r="D23" s="161">
        <f>SUMIF('Executive Pay Breakdown'!B:B,$B23,'Executive Pay Breakdown'!M:M)</f>
        <v>159970096</v>
      </c>
      <c r="E23" s="161">
        <f>SUMIF('Executive Pay Breakdown'!B:B,$B23,'Executive Pay Breakdown'!Q:Q)</f>
        <v>141891726</v>
      </c>
      <c r="F23" s="161">
        <f>SUMIF('Executive Pay Breakdown'!B:B,$B23,'Executive Pay Breakdown'!U:U)</f>
        <v>151919535</v>
      </c>
      <c r="G23" s="161">
        <f>SUMIF('Executive Pay Breakdown'!B:B,$B23,'Executive Pay Breakdown'!Y:Y)</f>
        <v>113262359</v>
      </c>
      <c r="H23" s="161">
        <f>SUMIF('Executive Pay Breakdown'!B:B,$B23,'Executive Pay Breakdown'!AC:AC)</f>
        <v>105412550</v>
      </c>
      <c r="I23" s="802"/>
      <c r="J23" s="811">
        <f t="shared" si="2"/>
        <v>265654.4</v>
      </c>
      <c r="K23" s="812">
        <v>296320.0</v>
      </c>
      <c r="L23" s="812">
        <v>292785.0</v>
      </c>
      <c r="M23" s="179">
        <v>262633.0</v>
      </c>
      <c r="N23" s="812">
        <v>247883.0</v>
      </c>
      <c r="O23" s="812">
        <v>228651.0</v>
      </c>
      <c r="P23" s="212"/>
      <c r="Q23" s="781"/>
      <c r="R23" s="230"/>
      <c r="S23" s="212"/>
      <c r="T23" s="212"/>
      <c r="U23" s="212"/>
      <c r="V23" s="212"/>
    </row>
    <row r="24" ht="15.0" customHeight="1">
      <c r="A24" s="169">
        <f t="array" ref="A24">INDEX('Federal Tax, Stock Buybacks, &amp; '!D:D,match(B24,'Federal Tax, Stock Buybacks, &amp; '!E:E,0))</f>
        <v>32</v>
      </c>
      <c r="B24" s="212" t="s">
        <v>1432</v>
      </c>
      <c r="C24" s="160">
        <f>SUMIF('Executive Pay Breakdown'!B:B,$B24,'Executive Pay Breakdown'!M:M)+SUMIF('Executive Pay Breakdown'!B:B,$B24,'Executive Pay Breakdown'!Q:Q)+SUMIF('Executive Pay Breakdown'!B:B,$B24,'Executive Pay Breakdown'!U:U)+SUMIF('Executive Pay Breakdown'!B:B,$B24,'Executive Pay Breakdown'!Y:Y)+SUMIF('Executive Pay Breakdown'!B:B,$B24,'Executive Pay Breakdown'!AC:AC)</f>
        <v>503917922</v>
      </c>
      <c r="D24" s="161">
        <f>SUMIF('Executive Pay Breakdown'!B:B,$B24,'Executive Pay Breakdown'!M:M)</f>
        <v>104742551</v>
      </c>
      <c r="E24" s="161">
        <f>SUMIF('Executive Pay Breakdown'!B:B,$B24,'Executive Pay Breakdown'!Q:Q)</f>
        <v>133118507</v>
      </c>
      <c r="F24" s="161">
        <f>SUMIF('Executive Pay Breakdown'!B:B,$B24,'Executive Pay Breakdown'!U:U)</f>
        <v>80621326</v>
      </c>
      <c r="G24" s="161">
        <f>SUMIF('Executive Pay Breakdown'!B:B,$B24,'Executive Pay Breakdown'!Y:Y)</f>
        <v>82213645</v>
      </c>
      <c r="H24" s="161">
        <f>SUMIF('Executive Pay Breakdown'!B:B,$B24,'Executive Pay Breakdown'!AC:AC)</f>
        <v>103221893</v>
      </c>
      <c r="I24" s="802"/>
      <c r="J24" s="811">
        <f t="shared" si="2"/>
        <v>100139.8</v>
      </c>
      <c r="K24" s="812">
        <v>117040.0</v>
      </c>
      <c r="L24" s="812">
        <v>102497.0</v>
      </c>
      <c r="M24" s="179">
        <v>94866.0</v>
      </c>
      <c r="N24" s="812">
        <v>94256.0</v>
      </c>
      <c r="O24" s="812">
        <v>92040.0</v>
      </c>
      <c r="P24" s="212"/>
      <c r="Q24" s="781"/>
      <c r="R24" s="230"/>
      <c r="S24" s="212"/>
      <c r="T24" s="212"/>
      <c r="U24" s="212"/>
      <c r="V24" s="212"/>
    </row>
    <row r="25" ht="15.0" customHeight="1">
      <c r="A25" s="169">
        <f t="array" ref="A25">INDEX('Federal Tax, Stock Buybacks, &amp; '!D:D,match(B25,'Federal Tax, Stock Buybacks, &amp; '!E:E,0))</f>
        <v>33</v>
      </c>
      <c r="B25" s="212" t="s">
        <v>897</v>
      </c>
      <c r="C25" s="160">
        <f>SUMIF('Executive Pay Breakdown'!B:B,$B25,'Executive Pay Breakdown'!M:M)+SUMIF('Executive Pay Breakdown'!B:B,$B25,'Executive Pay Breakdown'!Q:Q)+SUMIF('Executive Pay Breakdown'!B:B,$B25,'Executive Pay Breakdown'!U:U)+SUMIF('Executive Pay Breakdown'!B:B,$B25,'Executive Pay Breakdown'!Y:Y)+SUMIF('Executive Pay Breakdown'!B:B,$B25,'Executive Pay Breakdown'!AC:AC)</f>
        <v>212617780</v>
      </c>
      <c r="D25" s="161">
        <f>SUMIF('Executive Pay Breakdown'!B:B,$B25,'Executive Pay Breakdown'!M:M)</f>
        <v>36902519</v>
      </c>
      <c r="E25" s="161">
        <f>SUMIF('Executive Pay Breakdown'!B:B,$B25,'Executive Pay Breakdown'!Q:Q)</f>
        <v>42891516</v>
      </c>
      <c r="F25" s="161">
        <f>SUMIF('Executive Pay Breakdown'!B:B,$B25,'Executive Pay Breakdown'!U:U)</f>
        <v>45287566</v>
      </c>
      <c r="G25" s="161">
        <f>SUMIF('Executive Pay Breakdown'!B:B,$B25,'Executive Pay Breakdown'!Y:Y)</f>
        <v>46488150</v>
      </c>
      <c r="H25" s="161">
        <f>SUMIF('Executive Pay Breakdown'!B:B,$B25,'Executive Pay Breakdown'!AC:AC)</f>
        <v>41048029</v>
      </c>
      <c r="I25" s="802"/>
      <c r="J25" s="811">
        <f t="shared" si="2"/>
        <v>24309.6</v>
      </c>
      <c r="K25" s="812">
        <v>25993.0</v>
      </c>
      <c r="L25" s="812">
        <v>25501.0</v>
      </c>
      <c r="M25" s="179">
        <v>24535.0</v>
      </c>
      <c r="N25" s="812">
        <v>23080.0</v>
      </c>
      <c r="O25" s="812">
        <v>22439.0</v>
      </c>
      <c r="P25" s="212"/>
      <c r="Q25" s="781"/>
      <c r="R25" s="230"/>
      <c r="S25" s="212"/>
      <c r="T25" s="212"/>
      <c r="U25" s="212"/>
      <c r="V25" s="212"/>
    </row>
    <row r="26" ht="15.0" customHeight="1">
      <c r="A26" s="169">
        <f t="array" ref="A26">INDEX('Federal Tax, Stock Buybacks, &amp; '!D:D,match(B26,'Federal Tax, Stock Buybacks, &amp; '!E:E,0))</f>
        <v>36</v>
      </c>
      <c r="B26" s="212" t="s">
        <v>1327</v>
      </c>
      <c r="C26" s="160">
        <f>SUMIF('Executive Pay Breakdown'!B:B,$B26,'Executive Pay Breakdown'!M:M)+SUMIF('Executive Pay Breakdown'!B:B,$B26,'Executive Pay Breakdown'!Q:Q)+SUMIF('Executive Pay Breakdown'!B:B,$B26,'Executive Pay Breakdown'!U:U)+SUMIF('Executive Pay Breakdown'!B:B,$B26,'Executive Pay Breakdown'!Y:Y)+SUMIF('Executive Pay Breakdown'!B:B,$B26,'Executive Pay Breakdown'!AC:AC)</f>
        <v>435130234</v>
      </c>
      <c r="D26" s="161">
        <f>SUMIF('Executive Pay Breakdown'!B:B,$B26,'Executive Pay Breakdown'!M:M)</f>
        <v>84498981</v>
      </c>
      <c r="E26" s="161">
        <f>SUMIF('Executive Pay Breakdown'!B:B,$B26,'Executive Pay Breakdown'!Q:Q)</f>
        <v>88031675</v>
      </c>
      <c r="F26" s="161">
        <f>SUMIF('Executive Pay Breakdown'!B:B,$B26,'Executive Pay Breakdown'!U:U)</f>
        <v>79009523</v>
      </c>
      <c r="G26" s="161">
        <f>SUMIF('Executive Pay Breakdown'!B:B,$B26,'Executive Pay Breakdown'!Y:Y)</f>
        <v>106186520</v>
      </c>
      <c r="H26" s="161">
        <f>SUMIF('Executive Pay Breakdown'!B:B,$B26,'Executive Pay Breakdown'!AC:AC)</f>
        <v>77403535</v>
      </c>
      <c r="I26" s="802"/>
      <c r="J26" s="811">
        <f t="shared" si="2"/>
        <v>54932</v>
      </c>
      <c r="K26" s="179">
        <v>61903.0</v>
      </c>
      <c r="L26" s="179">
        <v>55285.0</v>
      </c>
      <c r="M26" s="179">
        <v>54718.0</v>
      </c>
      <c r="N26" s="179">
        <v>52988.0</v>
      </c>
      <c r="O26" s="179">
        <v>49766.0</v>
      </c>
      <c r="P26" s="212"/>
      <c r="Q26" s="781"/>
      <c r="R26" s="230"/>
      <c r="S26" s="212"/>
      <c r="T26" s="212"/>
      <c r="U26" s="212"/>
      <c r="V26" s="212"/>
    </row>
    <row r="27" ht="15.0" customHeight="1">
      <c r="A27" s="169">
        <f t="array" ref="A27">INDEX('Federal Tax, Stock Buybacks, &amp; '!D:D,match(B27,'Federal Tax, Stock Buybacks, &amp; '!E:E,0))</f>
        <v>37</v>
      </c>
      <c r="B27" s="212" t="s">
        <v>823</v>
      </c>
      <c r="C27" s="160">
        <f>SUMIF('Executive Pay Breakdown'!B:B,$B27,'Executive Pay Breakdown'!M:M)+SUMIF('Executive Pay Breakdown'!B:B,$B27,'Executive Pay Breakdown'!Q:Q)+SUMIF('Executive Pay Breakdown'!B:B,$B27,'Executive Pay Breakdown'!U:U)+SUMIF('Executive Pay Breakdown'!B:B,$B27,'Executive Pay Breakdown'!Y:Y)+SUMIF('Executive Pay Breakdown'!B:B,$B27,'Executive Pay Breakdown'!AC:AC)</f>
        <v>246118776</v>
      </c>
      <c r="D27" s="161">
        <f>SUMIF('Executive Pay Breakdown'!B:B,$B27,'Executive Pay Breakdown'!M:M)</f>
        <v>45822782</v>
      </c>
      <c r="E27" s="161">
        <f>SUMIF('Executive Pay Breakdown'!B:B,$B27,'Executive Pay Breakdown'!Q:Q)</f>
        <v>69577371</v>
      </c>
      <c r="F27" s="161">
        <f>SUMIF('Executive Pay Breakdown'!B:B,$B27,'Executive Pay Breakdown'!U:U)</f>
        <v>41138070</v>
      </c>
      <c r="G27" s="161">
        <f>SUMIF('Executive Pay Breakdown'!B:B,$B27,'Executive Pay Breakdown'!Y:Y)</f>
        <v>49933891</v>
      </c>
      <c r="H27" s="161">
        <f>SUMIF('Executive Pay Breakdown'!B:B,$B27,'Executive Pay Breakdown'!AC:AC)</f>
        <v>39646662</v>
      </c>
      <c r="I27" s="802"/>
      <c r="J27" s="811">
        <f t="shared" si="2"/>
        <v>55317.8</v>
      </c>
      <c r="K27" s="812">
        <v>52144.0</v>
      </c>
      <c r="L27" s="812">
        <v>50379.0</v>
      </c>
      <c r="M27" s="179">
        <v>44254.0</v>
      </c>
      <c r="N27" s="812">
        <v>74395.0</v>
      </c>
      <c r="O27" s="812">
        <v>55417.0</v>
      </c>
      <c r="P27" s="212"/>
      <c r="Q27" s="781"/>
      <c r="R27" s="230"/>
      <c r="S27" s="212"/>
      <c r="T27" s="212"/>
      <c r="U27" s="212"/>
      <c r="V27" s="212"/>
    </row>
    <row r="28" ht="15.0" customHeight="1">
      <c r="A28" s="169">
        <f t="array" ref="A28">INDEX('Federal Tax, Stock Buybacks, &amp; '!D:D,match(B28,'Federal Tax, Stock Buybacks, &amp; '!E:E,0))</f>
        <v>39</v>
      </c>
      <c r="B28" s="212" t="s">
        <v>1071</v>
      </c>
      <c r="C28" s="160">
        <f>SUMIF('Executive Pay Breakdown'!B:B,$B28,'Executive Pay Breakdown'!M:M)+SUMIF('Executive Pay Breakdown'!B:B,$B28,'Executive Pay Breakdown'!Q:Q)+SUMIF('Executive Pay Breakdown'!B:B,$B28,'Executive Pay Breakdown'!U:U)+SUMIF('Executive Pay Breakdown'!B:B,$B28,'Executive Pay Breakdown'!Y:Y)+SUMIF('Executive Pay Breakdown'!B:B,$B28,'Executive Pay Breakdown'!AC:AC)</f>
        <v>224582417</v>
      </c>
      <c r="D28" s="161">
        <f>SUMIF('Executive Pay Breakdown'!B:B,$B28,'Executive Pay Breakdown'!M:M)</f>
        <v>42349574</v>
      </c>
      <c r="E28" s="161">
        <f>SUMIF('Executive Pay Breakdown'!B:B,$B28,'Executive Pay Breakdown'!Q:Q)</f>
        <v>41690807</v>
      </c>
      <c r="F28" s="161">
        <f>SUMIF('Executive Pay Breakdown'!B:B,$B28,'Executive Pay Breakdown'!U:U)</f>
        <v>61565456</v>
      </c>
      <c r="G28" s="161">
        <f>SUMIF('Executive Pay Breakdown'!B:B,$B28,'Executive Pay Breakdown'!Y:Y)</f>
        <v>29799615</v>
      </c>
      <c r="H28" s="161">
        <f>SUMIF('Executive Pay Breakdown'!B:B,$B28,'Executive Pay Breakdown'!AC:AC)</f>
        <v>49176965</v>
      </c>
      <c r="I28" s="802"/>
      <c r="J28" s="811">
        <f t="shared" si="2"/>
        <v>24500.8</v>
      </c>
      <c r="K28" s="812">
        <v>29584.0</v>
      </c>
      <c r="L28" s="812">
        <v>22697.0</v>
      </c>
      <c r="M28" s="179">
        <v>24554.0</v>
      </c>
      <c r="N28" s="812">
        <v>22748.0</v>
      </c>
      <c r="O28" s="812">
        <v>22921.0</v>
      </c>
      <c r="P28" s="212"/>
      <c r="Q28" s="781"/>
      <c r="R28" s="230"/>
      <c r="S28" s="212"/>
      <c r="T28" s="212"/>
      <c r="U28" s="212"/>
      <c r="V28" s="212"/>
    </row>
    <row r="29" ht="15.0" customHeight="1">
      <c r="A29" s="169">
        <f t="array" ref="A29">INDEX('Federal Tax, Stock Buybacks, &amp; '!D:D,match(B29,'Federal Tax, Stock Buybacks, &amp; '!E:E,0))</f>
        <v>42</v>
      </c>
      <c r="B29" s="212" t="s">
        <v>1152</v>
      </c>
      <c r="C29" s="160">
        <f>SUMIF('Executive Pay Breakdown'!B:B,$B29,'Executive Pay Breakdown'!M:M)+SUMIF('Executive Pay Breakdown'!B:B,$B29,'Executive Pay Breakdown'!Q:Q)+SUMIF('Executive Pay Breakdown'!B:B,$B29,'Executive Pay Breakdown'!U:U)+SUMIF('Executive Pay Breakdown'!B:B,$B29,'Executive Pay Breakdown'!Y:Y)+SUMIF('Executive Pay Breakdown'!B:B,$B29,'Executive Pay Breakdown'!AC:AC)</f>
        <v>167746436</v>
      </c>
      <c r="D29" s="161">
        <f>SUMIF('Executive Pay Breakdown'!B:B,$B29,'Executive Pay Breakdown'!M:M)</f>
        <v>33815347</v>
      </c>
      <c r="E29" s="161">
        <f>SUMIF('Executive Pay Breakdown'!B:B,$B29,'Executive Pay Breakdown'!Q:Q)</f>
        <v>37083293</v>
      </c>
      <c r="F29" s="161">
        <f>SUMIF('Executive Pay Breakdown'!B:B,$B29,'Executive Pay Breakdown'!U:U)</f>
        <v>32899903</v>
      </c>
      <c r="G29" s="161">
        <f>SUMIF('Executive Pay Breakdown'!B:B,$B29,'Executive Pay Breakdown'!Y:Y)</f>
        <v>32955291</v>
      </c>
      <c r="H29" s="161">
        <f>SUMIF('Executive Pay Breakdown'!B:B,$B29,'Executive Pay Breakdown'!AC:AC)</f>
        <v>30992602</v>
      </c>
      <c r="I29" s="802"/>
      <c r="J29" s="811">
        <f t="shared" si="2"/>
        <v>68845.4</v>
      </c>
      <c r="K29" s="812">
        <v>72391.0</v>
      </c>
      <c r="L29" s="812">
        <v>64797.0</v>
      </c>
      <c r="M29" s="812">
        <v>62872.0</v>
      </c>
      <c r="N29" s="812">
        <v>73669.0</v>
      </c>
      <c r="O29" s="812">
        <v>70498.0</v>
      </c>
      <c r="P29" s="212"/>
      <c r="Q29" s="781"/>
      <c r="R29" s="230"/>
      <c r="S29" s="212"/>
      <c r="T29" s="212"/>
      <c r="U29" s="212"/>
      <c r="V29" s="212"/>
    </row>
    <row r="30" ht="15.0" customHeight="1">
      <c r="A30" s="169">
        <f t="array" ref="A30">INDEX('Federal Tax, Stock Buybacks, &amp; '!D:D,match(B30,'Federal Tax, Stock Buybacks, &amp; '!E:E,0))</f>
        <v>46</v>
      </c>
      <c r="B30" s="212" t="s">
        <v>956</v>
      </c>
      <c r="C30" s="160">
        <f>SUMIF('Executive Pay Breakdown'!B:B,$B30,'Executive Pay Breakdown'!M:M)+SUMIF('Executive Pay Breakdown'!B:B,$B30,'Executive Pay Breakdown'!Q:Q)+SUMIF('Executive Pay Breakdown'!B:B,$B30,'Executive Pay Breakdown'!U:U)+SUMIF('Executive Pay Breakdown'!B:B,$B30,'Executive Pay Breakdown'!Y:Y)+SUMIF('Executive Pay Breakdown'!B:B,$B30,'Executive Pay Breakdown'!AC:AC)</f>
        <v>295629587</v>
      </c>
      <c r="D30" s="161">
        <f>SUMIF('Executive Pay Breakdown'!B:B,$B30,'Executive Pay Breakdown'!M:M)</f>
        <v>66028586</v>
      </c>
      <c r="E30" s="161">
        <f>SUMIF('Executive Pay Breakdown'!B:B,$B30,'Executive Pay Breakdown'!Q:Q)</f>
        <v>61892069</v>
      </c>
      <c r="F30" s="161">
        <f>SUMIF('Executive Pay Breakdown'!B:B,$B30,'Executive Pay Breakdown'!U:U)</f>
        <v>55324265</v>
      </c>
      <c r="G30" s="161">
        <f>SUMIF('Executive Pay Breakdown'!B:B,$B30,'Executive Pay Breakdown'!Y:Y)</f>
        <v>46894946</v>
      </c>
      <c r="H30" s="161">
        <f>SUMIF('Executive Pay Breakdown'!B:B,$B30,'Executive Pay Breakdown'!AC:AC)</f>
        <v>65489721</v>
      </c>
      <c r="I30" s="802"/>
      <c r="J30" s="811">
        <f t="shared" si="2"/>
        <v>48405.6</v>
      </c>
      <c r="K30" s="179">
        <v>52315.0</v>
      </c>
      <c r="L30" s="179">
        <v>52297.0</v>
      </c>
      <c r="M30" s="179">
        <v>46546.0</v>
      </c>
      <c r="N30" s="812">
        <v>45896.0</v>
      </c>
      <c r="O30" s="812">
        <v>44974.0</v>
      </c>
      <c r="P30" s="212"/>
      <c r="Q30" s="781"/>
      <c r="R30" s="230"/>
      <c r="S30" s="212"/>
      <c r="T30" s="212"/>
      <c r="U30" s="212"/>
      <c r="V30" s="212"/>
    </row>
    <row r="31" ht="15.0" customHeight="1">
      <c r="A31" s="169">
        <f t="array" ref="A31">INDEX('Federal Tax, Stock Buybacks, &amp; '!D:D,match(B31,'Federal Tax, Stock Buybacks, &amp; '!E:E,0))</f>
        <v>48</v>
      </c>
      <c r="B31" s="212" t="s">
        <v>781</v>
      </c>
      <c r="C31" s="160">
        <f>SUMIF('Executive Pay Breakdown'!B:B,$B31,'Executive Pay Breakdown'!M:M)+SUMIF('Executive Pay Breakdown'!B:B,$B31,'Executive Pay Breakdown'!Q:Q)+SUMIF('Executive Pay Breakdown'!B:B,$B31,'Executive Pay Breakdown'!U:U)+SUMIF('Executive Pay Breakdown'!B:B,$B31,'Executive Pay Breakdown'!Y:Y)+SUMIF('Executive Pay Breakdown'!B:B,$B31,'Executive Pay Breakdown'!AC:AC)</f>
        <v>499122339</v>
      </c>
      <c r="D31" s="161">
        <f>SUMIF('Executive Pay Breakdown'!B:B,$B31,'Executive Pay Breakdown'!M:M)</f>
        <v>94718218</v>
      </c>
      <c r="E31" s="161">
        <f>SUMIF('Executive Pay Breakdown'!B:B,$B31,'Executive Pay Breakdown'!Q:Q)</f>
        <v>132629146</v>
      </c>
      <c r="F31" s="161">
        <f>SUMIF('Executive Pay Breakdown'!B:B,$B31,'Executive Pay Breakdown'!U:U)</f>
        <v>67545831</v>
      </c>
      <c r="G31" s="161">
        <f>SUMIF('Executive Pay Breakdown'!B:B,$B31,'Executive Pay Breakdown'!Y:Y)</f>
        <v>92795450</v>
      </c>
      <c r="H31" s="161">
        <f>SUMIF('Executive Pay Breakdown'!B:B,$B31,'Executive Pay Breakdown'!AC:AC)</f>
        <v>111433694</v>
      </c>
      <c r="I31" s="802"/>
      <c r="J31" s="811">
        <f t="shared" si="2"/>
        <v>50814</v>
      </c>
      <c r="K31" s="179">
        <v>54256.0</v>
      </c>
      <c r="L31" s="179">
        <v>50430.0</v>
      </c>
      <c r="M31" s="179">
        <v>51073.0</v>
      </c>
      <c r="N31" s="179">
        <v>52184.0</v>
      </c>
      <c r="O31" s="179">
        <v>46127.0</v>
      </c>
      <c r="P31" s="212"/>
      <c r="Q31" s="781"/>
      <c r="R31" s="230"/>
      <c r="S31" s="212"/>
      <c r="T31" s="212"/>
      <c r="U31" s="212"/>
      <c r="V31" s="212"/>
    </row>
    <row r="32" ht="15.0" customHeight="1">
      <c r="A32" s="169">
        <f t="array" ref="A32">INDEX('Federal Tax, Stock Buybacks, &amp; '!D:D,match(B32,'Federal Tax, Stock Buybacks, &amp; '!E:E,0))</f>
        <v>49</v>
      </c>
      <c r="B32" s="808" t="s">
        <v>2997</v>
      </c>
      <c r="C32" s="160">
        <f>SUMIF('Executive Pay Breakdown'!B:B,$B32,'Executive Pay Breakdown'!M:M)+SUMIF('Executive Pay Breakdown'!B:B,$B32,'Executive Pay Breakdown'!Q:Q)+SUMIF('Executive Pay Breakdown'!B:B,$B32,'Executive Pay Breakdown'!U:U)+SUMIF('Executive Pay Breakdown'!B:B,$B32,'Executive Pay Breakdown'!Y:Y)+SUMIF('Executive Pay Breakdown'!B:B,$B32,'Executive Pay Breakdown'!AC:AC)</f>
        <v>310132275</v>
      </c>
      <c r="D32" s="161">
        <f>SUMIF('Executive Pay Breakdown'!B:B,$B32,'Executive Pay Breakdown'!M:M)</f>
        <v>50641331</v>
      </c>
      <c r="E32" s="161">
        <f>SUMIF('Executive Pay Breakdown'!B:B,$B32,'Executive Pay Breakdown'!Q:Q)</f>
        <v>60783828</v>
      </c>
      <c r="F32" s="161">
        <f>SUMIF('Executive Pay Breakdown'!B:B,$B32,'Executive Pay Breakdown'!U:U)</f>
        <v>64818237</v>
      </c>
      <c r="G32" s="161">
        <f>SUMIF('Executive Pay Breakdown'!B:B,$B32,'Executive Pay Breakdown'!Y:Y)</f>
        <v>66293902</v>
      </c>
      <c r="H32" s="161">
        <f>SUMIF('Executive Pay Breakdown'!B:B,$B32,'Executive Pay Breakdown'!AC:AC)</f>
        <v>67594977</v>
      </c>
      <c r="I32" s="192"/>
      <c r="J32" s="813">
        <f t="shared" si="2"/>
        <v>173488.8</v>
      </c>
      <c r="K32" s="220">
        <v>177533.0</v>
      </c>
      <c r="L32" s="220">
        <v>179428.0</v>
      </c>
      <c r="M32" s="220">
        <v>160332.0</v>
      </c>
      <c r="N32" s="220">
        <v>186334.0</v>
      </c>
      <c r="O32" s="220">
        <v>163817.0</v>
      </c>
      <c r="P32" s="87"/>
      <c r="Q32" s="781"/>
      <c r="R32" s="87"/>
      <c r="S32" s="87"/>
      <c r="T32" s="87"/>
      <c r="U32" s="87"/>
      <c r="V32" s="87"/>
    </row>
    <row r="33" ht="15.0" customHeight="1">
      <c r="A33" s="169">
        <f t="array" ref="A33">INDEX('Federal Tax, Stock Buybacks, &amp; '!D:D,match(B33,'Federal Tax, Stock Buybacks, &amp; '!E:E,0))</f>
        <v>51</v>
      </c>
      <c r="B33" s="212" t="s">
        <v>936</v>
      </c>
      <c r="C33" s="160">
        <f>SUMIF('Executive Pay Breakdown'!B:B,$B33,'Executive Pay Breakdown'!M:M)+SUMIF('Executive Pay Breakdown'!B:B,$B33,'Executive Pay Breakdown'!Q:Q)+SUMIF('Executive Pay Breakdown'!B:B,$B33,'Executive Pay Breakdown'!U:U)+SUMIF('Executive Pay Breakdown'!B:B,$B33,'Executive Pay Breakdown'!Y:Y)+SUMIF('Executive Pay Breakdown'!B:B,$B33,'Executive Pay Breakdown'!AC:AC)</f>
        <v>275464635</v>
      </c>
      <c r="D33" s="161">
        <f>SUMIF('Executive Pay Breakdown'!B:B,$B33,'Executive Pay Breakdown'!M:M)</f>
        <v>70230112</v>
      </c>
      <c r="E33" s="161">
        <f>SUMIF('Executive Pay Breakdown'!B:B,$B33,'Executive Pay Breakdown'!Q:Q)</f>
        <v>63038422</v>
      </c>
      <c r="F33" s="161">
        <f>SUMIF('Executive Pay Breakdown'!B:B,$B33,'Executive Pay Breakdown'!U:U)</f>
        <v>54018345</v>
      </c>
      <c r="G33" s="161">
        <f>SUMIF('Executive Pay Breakdown'!B:B,$B33,'Executive Pay Breakdown'!Y:Y)</f>
        <v>47089808</v>
      </c>
      <c r="H33" s="161">
        <f>SUMIF('Executive Pay Breakdown'!B:B,$B33,'Executive Pay Breakdown'!AC:AC)</f>
        <v>41087948</v>
      </c>
      <c r="I33" s="802"/>
      <c r="J33" s="811">
        <f t="shared" si="2"/>
        <v>66964.4</v>
      </c>
      <c r="K33" s="179">
        <v>64024.0</v>
      </c>
      <c r="L33" s="179">
        <v>65918.0</v>
      </c>
      <c r="M33" s="179">
        <v>69671.0</v>
      </c>
      <c r="N33" s="812">
        <v>68883.0</v>
      </c>
      <c r="O33" s="812">
        <v>66326.0</v>
      </c>
      <c r="P33" s="212"/>
      <c r="Q33" s="781"/>
      <c r="R33" s="230"/>
      <c r="S33" s="212"/>
      <c r="T33" s="212"/>
      <c r="U33" s="212"/>
      <c r="V33" s="212"/>
    </row>
    <row r="34" ht="15.0" customHeight="1">
      <c r="A34" s="169">
        <f t="array" ref="A34">INDEX('Federal Tax, Stock Buybacks, &amp; '!D:D,match(B34,'Federal Tax, Stock Buybacks, &amp; '!E:E,0))</f>
        <v>53</v>
      </c>
      <c r="B34" s="808" t="s">
        <v>2530</v>
      </c>
      <c r="C34" s="160">
        <f>SUMIF('Executive Pay Breakdown'!B:B,$B34,'Executive Pay Breakdown'!M:M)+SUMIF('Executive Pay Breakdown'!B:B,$B34,'Executive Pay Breakdown'!Q:Q)+SUMIF('Executive Pay Breakdown'!B:B,$B34,'Executive Pay Breakdown'!U:U)+SUMIF('Executive Pay Breakdown'!B:B,$B34,'Executive Pay Breakdown'!Y:Y)+SUMIF('Executive Pay Breakdown'!B:B,$B34,'Executive Pay Breakdown'!AC:AC)</f>
        <v>221387411</v>
      </c>
      <c r="D34" s="161">
        <f>SUMIF('Executive Pay Breakdown'!B:B,$B34,'Executive Pay Breakdown'!M:M)</f>
        <v>40336007</v>
      </c>
      <c r="E34" s="161">
        <f>SUMIF('Executive Pay Breakdown'!B:B,$B34,'Executive Pay Breakdown'!Q:Q)</f>
        <v>50822727</v>
      </c>
      <c r="F34" s="161">
        <f>SUMIF('Executive Pay Breakdown'!B:B,$B34,'Executive Pay Breakdown'!U:U)</f>
        <v>34295176</v>
      </c>
      <c r="G34" s="161">
        <f>SUMIF('Executive Pay Breakdown'!B:B,$B34,'Executive Pay Breakdown'!Y:Y)</f>
        <v>60289830</v>
      </c>
      <c r="H34" s="161">
        <f>SUMIF('Executive Pay Breakdown'!B:B,$B34,'Executive Pay Breakdown'!AC:AC)</f>
        <v>35643671</v>
      </c>
      <c r="I34" s="192"/>
      <c r="J34" s="813">
        <f t="shared" si="2"/>
        <v>31781</v>
      </c>
      <c r="K34" s="220">
        <v>31781.0</v>
      </c>
      <c r="L34" s="220">
        <v>31781.0</v>
      </c>
      <c r="M34" s="213" t="s">
        <v>711</v>
      </c>
      <c r="N34" s="814" t="s">
        <v>711</v>
      </c>
      <c r="O34" s="814" t="s">
        <v>711</v>
      </c>
      <c r="P34" s="87"/>
      <c r="Q34" s="781"/>
      <c r="R34" s="87"/>
      <c r="S34" s="87"/>
      <c r="T34" s="87"/>
      <c r="U34" s="87"/>
      <c r="V34" s="87"/>
    </row>
    <row r="35" ht="15.0" customHeight="1">
      <c r="A35" s="169">
        <f t="array" ref="A35">INDEX('Federal Tax, Stock Buybacks, &amp; '!D:D,match(B35,'Federal Tax, Stock Buybacks, &amp; '!E:E,0))</f>
        <v>57</v>
      </c>
      <c r="B35" s="808" t="s">
        <v>2798</v>
      </c>
      <c r="C35" s="160">
        <f>SUMIF('Executive Pay Breakdown'!B:B,$B35,'Executive Pay Breakdown'!M:M)+SUMIF('Executive Pay Breakdown'!B:B,$B35,'Executive Pay Breakdown'!Q:Q)+SUMIF('Executive Pay Breakdown'!B:B,$B35,'Executive Pay Breakdown'!U:U)+SUMIF('Executive Pay Breakdown'!B:B,$B35,'Executive Pay Breakdown'!Y:Y)+SUMIF('Executive Pay Breakdown'!B:B,$B35,'Executive Pay Breakdown'!AC:AC)</f>
        <v>310608059</v>
      </c>
      <c r="D35" s="161">
        <f>SUMIF('Executive Pay Breakdown'!B:B,$B35,'Executive Pay Breakdown'!M:M)</f>
        <v>52999547</v>
      </c>
      <c r="E35" s="161">
        <f>SUMIF('Executive Pay Breakdown'!B:B,$B35,'Executive Pay Breakdown'!Q:Q)</f>
        <v>81312142</v>
      </c>
      <c r="F35" s="161">
        <f>SUMIF('Executive Pay Breakdown'!B:B,$B35,'Executive Pay Breakdown'!U:U)</f>
        <v>60576347</v>
      </c>
      <c r="G35" s="161">
        <f>SUMIF('Executive Pay Breakdown'!B:B,$B35,'Executive Pay Breakdown'!Y:Y)</f>
        <v>67586949</v>
      </c>
      <c r="H35" s="161">
        <f>SUMIF('Executive Pay Breakdown'!B:B,$B35,'Executive Pay Breakdown'!AC:AC)</f>
        <v>48133074</v>
      </c>
      <c r="I35" s="192"/>
      <c r="J35" s="813">
        <f t="shared" si="2"/>
        <v>97149.6</v>
      </c>
      <c r="K35" s="220">
        <v>116540.0</v>
      </c>
      <c r="L35" s="220">
        <v>112078.0</v>
      </c>
      <c r="M35" s="220">
        <v>108914.0</v>
      </c>
      <c r="N35" s="815">
        <v>76417.0</v>
      </c>
      <c r="O35" s="815">
        <v>71799.0</v>
      </c>
      <c r="P35" s="87"/>
      <c r="Q35" s="781"/>
      <c r="R35" s="87"/>
      <c r="S35" s="87"/>
      <c r="T35" s="87"/>
      <c r="U35" s="87"/>
      <c r="V35" s="87"/>
    </row>
    <row r="36" ht="15.0" customHeight="1">
      <c r="A36" s="169">
        <f t="array" ref="A36">INDEX('Federal Tax, Stock Buybacks, &amp; '!D:D,match(B36,'Federal Tax, Stock Buybacks, &amp; '!E:E,0))</f>
        <v>59</v>
      </c>
      <c r="B36" s="808" t="s">
        <v>3017</v>
      </c>
      <c r="C36" s="160">
        <f>SUMIF('Executive Pay Breakdown'!B:B,$B36,'Executive Pay Breakdown'!M:M)+SUMIF('Executive Pay Breakdown'!B:B,$B36,'Executive Pay Breakdown'!Q:Q)+SUMIF('Executive Pay Breakdown'!B:B,$B36,'Executive Pay Breakdown'!U:U)+SUMIF('Executive Pay Breakdown'!B:B,$B36,'Executive Pay Breakdown'!Y:Y)+SUMIF('Executive Pay Breakdown'!B:B,$B36,'Executive Pay Breakdown'!AC:AC)</f>
        <v>89066527</v>
      </c>
      <c r="D36" s="161">
        <f>SUMIF('Executive Pay Breakdown'!B:B,$B36,'Executive Pay Breakdown'!M:M)</f>
        <v>23108543</v>
      </c>
      <c r="E36" s="161">
        <f>SUMIF('Executive Pay Breakdown'!B:B,$B36,'Executive Pay Breakdown'!Q:Q)</f>
        <v>20678221</v>
      </c>
      <c r="F36" s="161">
        <f>SUMIF('Executive Pay Breakdown'!B:B,$B36,'Executive Pay Breakdown'!U:U)</f>
        <v>17283855</v>
      </c>
      <c r="G36" s="161">
        <f>SUMIF('Executive Pay Breakdown'!B:B,$B36,'Executive Pay Breakdown'!Y:Y)</f>
        <v>18831272</v>
      </c>
      <c r="H36" s="161">
        <f>SUMIF('Executive Pay Breakdown'!B:B,$B36,'Executive Pay Breakdown'!AC:AC)</f>
        <v>9164636</v>
      </c>
      <c r="I36" s="192"/>
      <c r="J36" s="813">
        <f t="shared" si="2"/>
        <v>89591.8</v>
      </c>
      <c r="K36" s="220">
        <v>86220.0</v>
      </c>
      <c r="L36" s="220">
        <v>84188.0</v>
      </c>
      <c r="M36" s="220">
        <v>99312.0</v>
      </c>
      <c r="N36" s="220">
        <v>93086.0</v>
      </c>
      <c r="O36" s="220">
        <v>85153.0</v>
      </c>
      <c r="P36" s="87"/>
      <c r="Q36" s="781"/>
      <c r="R36" s="87"/>
      <c r="S36" s="87"/>
      <c r="T36" s="87"/>
      <c r="U36" s="87"/>
      <c r="V36" s="87"/>
    </row>
    <row r="37" ht="15.0" customHeight="1">
      <c r="A37" s="169">
        <f t="array" ref="A37">INDEX('Federal Tax, Stock Buybacks, &amp; '!D:D,match(B37,'Federal Tax, Stock Buybacks, &amp; '!E:E,0))</f>
        <v>60</v>
      </c>
      <c r="B37" s="801" t="s">
        <v>1085</v>
      </c>
      <c r="C37" s="160">
        <f>SUMIF('Executive Pay Breakdown'!B:B,$B37,'Executive Pay Breakdown'!M:M)+SUMIF('Executive Pay Breakdown'!B:B,$B37,'Executive Pay Breakdown'!Q:Q)+SUMIF('Executive Pay Breakdown'!B:B,$B37,'Executive Pay Breakdown'!U:U)+SUMIF('Executive Pay Breakdown'!B:B,$B37,'Executive Pay Breakdown'!Y:Y)+SUMIF('Executive Pay Breakdown'!B:B,$B37,'Executive Pay Breakdown'!AC:AC)</f>
        <v>360947185</v>
      </c>
      <c r="D37" s="161">
        <f>SUMIF('Executive Pay Breakdown'!B:B,$B37,'Executive Pay Breakdown'!M:M)</f>
        <v>72163445</v>
      </c>
      <c r="E37" s="161">
        <f>SUMIF('Executive Pay Breakdown'!B:B,$B37,'Executive Pay Breakdown'!Q:Q)</f>
        <v>56019479</v>
      </c>
      <c r="F37" s="161">
        <f>SUMIF('Executive Pay Breakdown'!B:B,$B37,'Executive Pay Breakdown'!U:U)</f>
        <v>86007439</v>
      </c>
      <c r="G37" s="161">
        <f>SUMIF('Executive Pay Breakdown'!B:B,$B37,'Executive Pay Breakdown'!Y:Y)</f>
        <v>85342540</v>
      </c>
      <c r="H37" s="161">
        <f>SUMIF('Executive Pay Breakdown'!B:B,$B37,'Executive Pay Breakdown'!AC:AC)</f>
        <v>61414282</v>
      </c>
      <c r="I37" s="802"/>
      <c r="J37" s="811">
        <f t="shared" si="2"/>
        <v>125768.8</v>
      </c>
      <c r="K37" s="179">
        <v>118497.0</v>
      </c>
      <c r="L37" s="179">
        <v>110113.0</v>
      </c>
      <c r="M37" s="179">
        <v>132824.0</v>
      </c>
      <c r="N37" s="816">
        <v>154883.0</v>
      </c>
      <c r="O37" s="812">
        <v>112527.0</v>
      </c>
      <c r="P37" s="87"/>
      <c r="Q37" s="781"/>
      <c r="R37" s="230"/>
      <c r="S37" s="87"/>
      <c r="T37" s="87"/>
      <c r="U37" s="87"/>
      <c r="V37" s="87"/>
    </row>
    <row r="38" ht="15.0" customHeight="1">
      <c r="A38" s="169">
        <f t="array" ref="A38">INDEX('Federal Tax, Stock Buybacks, &amp; '!D:D,match(B38,'Federal Tax, Stock Buybacks, &amp; '!E:E,0))</f>
        <v>61</v>
      </c>
      <c r="B38" s="801" t="s">
        <v>1020</v>
      </c>
      <c r="C38" s="160">
        <f>SUMIF('Executive Pay Breakdown'!B:B,$B38,'Executive Pay Breakdown'!M:M)+SUMIF('Executive Pay Breakdown'!B:B,$B38,'Executive Pay Breakdown'!Q:Q)+SUMIF('Executive Pay Breakdown'!B:B,$B38,'Executive Pay Breakdown'!U:U)+SUMIF('Executive Pay Breakdown'!B:B,$B38,'Executive Pay Breakdown'!Y:Y)+SUMIF('Executive Pay Breakdown'!B:B,$B38,'Executive Pay Breakdown'!AC:AC)</f>
        <v>526719291</v>
      </c>
      <c r="D38" s="161">
        <f>SUMIF('Executive Pay Breakdown'!B:B,$B38,'Executive Pay Breakdown'!M:M)</f>
        <v>120865671</v>
      </c>
      <c r="E38" s="161">
        <f>SUMIF('Executive Pay Breakdown'!B:B,$B38,'Executive Pay Breakdown'!Q:Q)</f>
        <v>122894163</v>
      </c>
      <c r="F38" s="161">
        <f>SUMIF('Executive Pay Breakdown'!B:B,$B38,'Executive Pay Breakdown'!U:U)</f>
        <v>88219193</v>
      </c>
      <c r="G38" s="161">
        <f>SUMIF('Executive Pay Breakdown'!B:B,$B38,'Executive Pay Breakdown'!Y:Y)</f>
        <v>99771824</v>
      </c>
      <c r="H38" s="161">
        <f>SUMIF('Executive Pay Breakdown'!B:B,$B38,'Executive Pay Breakdown'!AC:AC)</f>
        <v>94968440</v>
      </c>
      <c r="I38" s="802"/>
      <c r="J38" s="811">
        <f t="shared" si="2"/>
        <v>135470.2</v>
      </c>
      <c r="K38" s="179">
        <v>143794.0</v>
      </c>
      <c r="L38" s="179">
        <v>137069.0</v>
      </c>
      <c r="M38" s="179">
        <v>126470.0</v>
      </c>
      <c r="N38" s="816">
        <v>127414.0</v>
      </c>
      <c r="O38" s="812">
        <v>142604.0</v>
      </c>
      <c r="P38" s="87"/>
      <c r="Q38" s="781"/>
      <c r="R38" s="230"/>
      <c r="S38" s="87"/>
      <c r="T38" s="87"/>
      <c r="U38" s="87"/>
      <c r="V38" s="87"/>
    </row>
    <row r="39" ht="15.0" customHeight="1">
      <c r="A39" s="169">
        <f t="array" ref="A39">INDEX('Federal Tax, Stock Buybacks, &amp; '!D:D,match(B39,'Federal Tax, Stock Buybacks, &amp; '!E:E,0))</f>
        <v>62</v>
      </c>
      <c r="B39" s="212" t="s">
        <v>1138</v>
      </c>
      <c r="C39" s="160">
        <f>SUMIF('Executive Pay Breakdown'!B:B,$B39,'Executive Pay Breakdown'!M:M)+SUMIF('Executive Pay Breakdown'!B:B,$B39,'Executive Pay Breakdown'!Q:Q)+SUMIF('Executive Pay Breakdown'!B:B,$B39,'Executive Pay Breakdown'!U:U)+SUMIF('Executive Pay Breakdown'!B:B,$B39,'Executive Pay Breakdown'!Y:Y)+SUMIF('Executive Pay Breakdown'!B:B,$B39,'Executive Pay Breakdown'!AC:AC)</f>
        <v>636711900</v>
      </c>
      <c r="D39" s="161">
        <f>SUMIF('Executive Pay Breakdown'!B:B,$B39,'Executive Pay Breakdown'!M:M)</f>
        <v>75676600</v>
      </c>
      <c r="E39" s="161">
        <f>SUMIF('Executive Pay Breakdown'!B:B,$B39,'Executive Pay Breakdown'!Q:Q)</f>
        <v>231889700</v>
      </c>
      <c r="F39" s="161">
        <f>SUMIF('Executive Pay Breakdown'!B:B,$B39,'Executive Pay Breakdown'!U:U)</f>
        <v>76870200</v>
      </c>
      <c r="G39" s="161">
        <f>SUMIF('Executive Pay Breakdown'!B:B,$B39,'Executive Pay Breakdown'!Y:Y)</f>
        <v>177809000</v>
      </c>
      <c r="H39" s="161">
        <f>SUMIF('Executive Pay Breakdown'!B:B,$B39,'Executive Pay Breakdown'!AC:AC)</f>
        <v>74466400</v>
      </c>
      <c r="I39" s="802"/>
      <c r="J39" s="811">
        <f t="shared" si="2"/>
        <v>101460</v>
      </c>
      <c r="K39" s="179">
        <v>96400.0</v>
      </c>
      <c r="L39" s="179">
        <v>104400.0</v>
      </c>
      <c r="M39" s="179">
        <v>103300.0</v>
      </c>
      <c r="N39" s="812">
        <v>96300.0</v>
      </c>
      <c r="O39" s="812">
        <v>106900.0</v>
      </c>
      <c r="P39" s="212"/>
      <c r="Q39" s="781"/>
      <c r="R39" s="230"/>
      <c r="S39" s="212"/>
      <c r="T39" s="212"/>
      <c r="U39" s="212"/>
      <c r="V39" s="212"/>
    </row>
    <row r="40" ht="15.0" customHeight="1">
      <c r="A40" s="169">
        <f t="array" ref="A40">INDEX('Federal Tax, Stock Buybacks, &amp; '!D:D,match(B40,'Federal Tax, Stock Buybacks, &amp; '!E:E,0))</f>
        <v>63</v>
      </c>
      <c r="B40" s="808" t="s">
        <v>2845</v>
      </c>
      <c r="C40" s="160">
        <f>SUMIF('Executive Pay Breakdown'!B:B,$B40,'Executive Pay Breakdown'!M:M)+SUMIF('Executive Pay Breakdown'!B:B,$B40,'Executive Pay Breakdown'!Q:Q)+SUMIF('Executive Pay Breakdown'!B:B,$B40,'Executive Pay Breakdown'!U:U)+SUMIF('Executive Pay Breakdown'!B:B,$B40,'Executive Pay Breakdown'!Y:Y)+SUMIF('Executive Pay Breakdown'!B:B,$B40,'Executive Pay Breakdown'!AC:AC)</f>
        <v>260221254</v>
      </c>
      <c r="D40" s="161">
        <f>SUMIF('Executive Pay Breakdown'!B:B,$B40,'Executive Pay Breakdown'!M:M)</f>
        <v>63590866</v>
      </c>
      <c r="E40" s="161">
        <f>SUMIF('Executive Pay Breakdown'!B:B,$B40,'Executive Pay Breakdown'!Q:Q)</f>
        <v>55546193</v>
      </c>
      <c r="F40" s="161">
        <f>SUMIF('Executive Pay Breakdown'!B:B,$B40,'Executive Pay Breakdown'!U:U)</f>
        <v>38218540</v>
      </c>
      <c r="G40" s="161">
        <f>SUMIF('Executive Pay Breakdown'!B:B,$B40,'Executive Pay Breakdown'!Y:Y)</f>
        <v>43646663</v>
      </c>
      <c r="H40" s="161">
        <f>SUMIF('Executive Pay Breakdown'!B:B,$B40,'Executive Pay Breakdown'!AC:AC)</f>
        <v>59218992</v>
      </c>
      <c r="I40" s="192"/>
      <c r="J40" s="813">
        <f t="shared" si="2"/>
        <v>76151.6</v>
      </c>
      <c r="K40" s="220">
        <v>69911.0</v>
      </c>
      <c r="L40" s="220">
        <v>67667.0</v>
      </c>
      <c r="M40" s="220">
        <v>88448.0</v>
      </c>
      <c r="N40" s="815">
        <v>75013.0</v>
      </c>
      <c r="O40" s="815">
        <v>79719.0</v>
      </c>
      <c r="P40" s="87"/>
      <c r="Q40" s="781"/>
      <c r="R40" s="87"/>
      <c r="S40" s="87"/>
      <c r="T40" s="87"/>
      <c r="U40" s="87"/>
      <c r="V40" s="87"/>
    </row>
    <row r="41" ht="15.0" customHeight="1">
      <c r="A41" s="169">
        <f t="array" ref="A41">INDEX('Federal Tax, Stock Buybacks, &amp; '!D:D,match(B41,'Federal Tax, Stock Buybacks, &amp; '!E:E,0))</f>
        <v>66</v>
      </c>
      <c r="B41" s="817" t="s">
        <v>1171</v>
      </c>
      <c r="C41" s="160">
        <f>SUMIF('Executive Pay Breakdown'!B:B,$B41,'Executive Pay Breakdown'!M:M)+SUMIF('Executive Pay Breakdown'!B:B,$B41,'Executive Pay Breakdown'!Q:Q)+SUMIF('Executive Pay Breakdown'!B:B,$B41,'Executive Pay Breakdown'!U:U)+SUMIF('Executive Pay Breakdown'!B:B,$B41,'Executive Pay Breakdown'!Y:Y)+SUMIF('Executive Pay Breakdown'!B:B,$B41,'Executive Pay Breakdown'!AC:AC)</f>
        <v>243097275</v>
      </c>
      <c r="D41" s="161">
        <f>SUMIF('Executive Pay Breakdown'!B:B,$B41,'Executive Pay Breakdown'!M:M)</f>
        <v>35305699</v>
      </c>
      <c r="E41" s="161">
        <f>SUMIF('Executive Pay Breakdown'!B:B,$B41,'Executive Pay Breakdown'!Q:Q)</f>
        <v>44633514</v>
      </c>
      <c r="F41" s="161">
        <f>SUMIF('Executive Pay Breakdown'!B:B,$B41,'Executive Pay Breakdown'!U:U)</f>
        <v>58563030</v>
      </c>
      <c r="G41" s="161">
        <f>SUMIF('Executive Pay Breakdown'!B:B,$B41,'Executive Pay Breakdown'!Y:Y)</f>
        <v>57685157</v>
      </c>
      <c r="H41" s="161">
        <f>SUMIF('Executive Pay Breakdown'!B:B,$B41,'Executive Pay Breakdown'!AC:AC)</f>
        <v>46909875</v>
      </c>
      <c r="I41" s="802"/>
      <c r="J41" s="811">
        <f t="shared" si="2"/>
        <v>56082.2</v>
      </c>
      <c r="K41" s="179">
        <v>57727.0</v>
      </c>
      <c r="L41" s="179">
        <v>56044.0</v>
      </c>
      <c r="M41" s="179">
        <v>54651.0</v>
      </c>
      <c r="N41" s="188">
        <v>56012.0</v>
      </c>
      <c r="O41" s="179">
        <v>55977.0</v>
      </c>
      <c r="P41" s="87"/>
      <c r="Q41" s="781"/>
      <c r="R41" s="230"/>
      <c r="S41" s="87"/>
      <c r="T41" s="87"/>
      <c r="U41" s="87"/>
      <c r="V41" s="87"/>
    </row>
    <row r="42" ht="15.0" customHeight="1">
      <c r="A42" s="169">
        <f t="array" ref="A42">INDEX('Federal Tax, Stock Buybacks, &amp; '!D:D,match(B42,'Federal Tax, Stock Buybacks, &amp; '!E:E,0))</f>
        <v>68</v>
      </c>
      <c r="B42" s="817" t="s">
        <v>1381</v>
      </c>
      <c r="C42" s="160">
        <f>SUMIF('Executive Pay Breakdown'!B:B,$B42,'Executive Pay Breakdown'!M:M)+SUMIF('Executive Pay Breakdown'!B:B,$B42,'Executive Pay Breakdown'!Q:Q)+SUMIF('Executive Pay Breakdown'!B:B,$B42,'Executive Pay Breakdown'!U:U)+SUMIF('Executive Pay Breakdown'!B:B,$B42,'Executive Pay Breakdown'!Y:Y)+SUMIF('Executive Pay Breakdown'!B:B,$B42,'Executive Pay Breakdown'!AC:AC)</f>
        <v>271512721</v>
      </c>
      <c r="D42" s="161">
        <f>SUMIF('Executive Pay Breakdown'!B:B,$B42,'Executive Pay Breakdown'!M:M)</f>
        <v>47050907</v>
      </c>
      <c r="E42" s="161">
        <f>SUMIF('Executive Pay Breakdown'!B:B,$B42,'Executive Pay Breakdown'!Q:Q)</f>
        <v>54739025</v>
      </c>
      <c r="F42" s="161">
        <f>SUMIF('Executive Pay Breakdown'!B:B,$B42,'Executive Pay Breakdown'!U:U)</f>
        <v>32672959</v>
      </c>
      <c r="G42" s="161">
        <f>SUMIF('Executive Pay Breakdown'!B:B,$B42,'Executive Pay Breakdown'!Y:Y)</f>
        <v>57449581</v>
      </c>
      <c r="H42" s="161">
        <f>SUMIF('Executive Pay Breakdown'!B:B,$B42,'Executive Pay Breakdown'!AC:AC)</f>
        <v>79600249</v>
      </c>
      <c r="I42" s="802"/>
      <c r="J42" s="811">
        <f t="shared" si="2"/>
        <v>59295</v>
      </c>
      <c r="K42" s="188">
        <v>56930.0</v>
      </c>
      <c r="L42" s="188">
        <v>51102.0</v>
      </c>
      <c r="M42" s="188">
        <v>49847.0</v>
      </c>
      <c r="N42" s="188">
        <v>65132.0</v>
      </c>
      <c r="O42" s="188">
        <v>73464.0</v>
      </c>
      <c r="P42" s="87"/>
      <c r="Q42" s="781"/>
      <c r="R42" s="230"/>
      <c r="S42" s="87"/>
      <c r="T42" s="87"/>
      <c r="U42" s="87"/>
      <c r="V42" s="87"/>
    </row>
    <row r="43" ht="15.0" customHeight="1">
      <c r="A43" s="169">
        <f t="array" ref="A43">INDEX('Federal Tax, Stock Buybacks, &amp; '!D:D,match(B43,'Federal Tax, Stock Buybacks, &amp; '!E:E,0))</f>
        <v>81</v>
      </c>
      <c r="B43" s="817" t="s">
        <v>1271</v>
      </c>
      <c r="C43" s="160">
        <f>SUMIF('Executive Pay Breakdown'!B:B,$B43,'Executive Pay Breakdown'!M:M)+SUMIF('Executive Pay Breakdown'!B:B,$B43,'Executive Pay Breakdown'!Q:Q)+SUMIF('Executive Pay Breakdown'!B:B,$B43,'Executive Pay Breakdown'!U:U)+SUMIF('Executive Pay Breakdown'!B:B,$B43,'Executive Pay Breakdown'!Y:Y)+SUMIF('Executive Pay Breakdown'!B:B,$B43,'Executive Pay Breakdown'!AC:AC)</f>
        <v>237672473</v>
      </c>
      <c r="D43" s="161">
        <f>SUMIF('Executive Pay Breakdown'!B:B,$B43,'Executive Pay Breakdown'!M:M)</f>
        <v>51762353</v>
      </c>
      <c r="E43" s="161">
        <f>SUMIF('Executive Pay Breakdown'!B:B,$B43,'Executive Pay Breakdown'!Q:Q)</f>
        <v>52199111</v>
      </c>
      <c r="F43" s="161">
        <f>SUMIF('Executive Pay Breakdown'!B:B,$B43,'Executive Pay Breakdown'!U:U)</f>
        <v>47120054</v>
      </c>
      <c r="G43" s="161">
        <f>SUMIF('Executive Pay Breakdown'!B:B,$B43,'Executive Pay Breakdown'!Y:Y)</f>
        <v>50241082</v>
      </c>
      <c r="H43" s="161">
        <f>SUMIF('Executive Pay Breakdown'!B:B,$B43,'Executive Pay Breakdown'!AC:AC)</f>
        <v>36349873</v>
      </c>
      <c r="I43" s="802"/>
      <c r="J43" s="811">
        <f t="shared" si="2"/>
        <v>86730.8</v>
      </c>
      <c r="K43" s="188">
        <v>124321.0</v>
      </c>
      <c r="L43" s="188">
        <v>82240.0</v>
      </c>
      <c r="M43" s="188">
        <v>70743.0</v>
      </c>
      <c r="N43" s="188">
        <v>80267.0</v>
      </c>
      <c r="O43" s="188">
        <v>76083.0</v>
      </c>
      <c r="P43" s="87"/>
      <c r="Q43" s="781"/>
      <c r="R43" s="230"/>
      <c r="S43" s="87"/>
      <c r="T43" s="87"/>
      <c r="U43" s="87"/>
      <c r="V43" s="87"/>
    </row>
    <row r="44" ht="15.0" customHeight="1">
      <c r="A44" s="169">
        <f t="array" ref="A44">INDEX('Federal Tax, Stock Buybacks, &amp; '!D:D,match(B44,'Federal Tax, Stock Buybacks, &amp; '!E:E,0))</f>
        <v>82</v>
      </c>
      <c r="B44" s="817" t="s">
        <v>1340</v>
      </c>
      <c r="C44" s="160">
        <f>SUMIF('Executive Pay Breakdown'!B:B,$B44,'Executive Pay Breakdown'!M:M)+SUMIF('Executive Pay Breakdown'!B:B,$B44,'Executive Pay Breakdown'!Q:Q)+SUMIF('Executive Pay Breakdown'!B:B,$B44,'Executive Pay Breakdown'!U:U)+SUMIF('Executive Pay Breakdown'!B:B,$B44,'Executive Pay Breakdown'!Y:Y)+SUMIF('Executive Pay Breakdown'!B:B,$B44,'Executive Pay Breakdown'!AC:AC)</f>
        <v>408654594</v>
      </c>
      <c r="D44" s="161">
        <f>SUMIF('Executive Pay Breakdown'!B:B,$B44,'Executive Pay Breakdown'!M:M)</f>
        <v>89897498</v>
      </c>
      <c r="E44" s="161">
        <f>SUMIF('Executive Pay Breakdown'!B:B,$B44,'Executive Pay Breakdown'!Q:Q)</f>
        <v>87239860</v>
      </c>
      <c r="F44" s="161">
        <f>SUMIF('Executive Pay Breakdown'!B:B,$B44,'Executive Pay Breakdown'!U:U)</f>
        <v>71779831</v>
      </c>
      <c r="G44" s="161">
        <f>SUMIF('Executive Pay Breakdown'!B:B,$B44,'Executive Pay Breakdown'!Y:Y)</f>
        <v>79712087</v>
      </c>
      <c r="H44" s="161">
        <f>SUMIF('Executive Pay Breakdown'!B:B,$B44,'Executive Pay Breakdown'!AC:AC)</f>
        <v>80025318</v>
      </c>
      <c r="I44" s="802"/>
      <c r="J44" s="811">
        <f t="shared" si="2"/>
        <v>128959.8</v>
      </c>
      <c r="K44" s="188">
        <v>117400.0</v>
      </c>
      <c r="L44" s="188">
        <v>124806.0</v>
      </c>
      <c r="M44" s="188">
        <v>127236.0</v>
      </c>
      <c r="N44" s="188">
        <v>142593.0</v>
      </c>
      <c r="O44" s="188">
        <v>132764.0</v>
      </c>
      <c r="P44" s="87"/>
      <c r="Q44" s="781"/>
      <c r="R44" s="230"/>
      <c r="S44" s="87"/>
      <c r="T44" s="87"/>
      <c r="U44" s="87"/>
      <c r="V44" s="87"/>
    </row>
    <row r="45" ht="15.0" customHeight="1">
      <c r="A45" s="169">
        <f t="array" ref="A45">INDEX('Federal Tax, Stock Buybacks, &amp; '!D:D,match(B45,'Federal Tax, Stock Buybacks, &amp; '!E:E,0))</f>
        <v>88</v>
      </c>
      <c r="B45" s="817" t="s">
        <v>925</v>
      </c>
      <c r="C45" s="160">
        <f>SUMIF('Executive Pay Breakdown'!B:B,$B45,'Executive Pay Breakdown'!M:M)+SUMIF('Executive Pay Breakdown'!B:B,$B45,'Executive Pay Breakdown'!Q:Q)+SUMIF('Executive Pay Breakdown'!B:B,$B45,'Executive Pay Breakdown'!U:U)+SUMIF('Executive Pay Breakdown'!B:B,$B45,'Executive Pay Breakdown'!Y:Y)+SUMIF('Executive Pay Breakdown'!B:B,$B45,'Executive Pay Breakdown'!AC:AC)</f>
        <v>155695459</v>
      </c>
      <c r="D45" s="161">
        <f>SUMIF('Executive Pay Breakdown'!B:B,$B45,'Executive Pay Breakdown'!M:M)</f>
        <v>25433196</v>
      </c>
      <c r="E45" s="161">
        <f>SUMIF('Executive Pay Breakdown'!B:B,$B45,'Executive Pay Breakdown'!Q:Q)</f>
        <v>33534562</v>
      </c>
      <c r="F45" s="161">
        <f>SUMIF('Executive Pay Breakdown'!B:B,$B45,'Executive Pay Breakdown'!U:U)</f>
        <v>33624803</v>
      </c>
      <c r="G45" s="161">
        <f>SUMIF('Executive Pay Breakdown'!B:B,$B45,'Executive Pay Breakdown'!Y:Y)</f>
        <v>29736275</v>
      </c>
      <c r="H45" s="161">
        <f>SUMIF('Executive Pay Breakdown'!B:B,$B45,'Executive Pay Breakdown'!AC:AC)</f>
        <v>33366623</v>
      </c>
      <c r="I45" s="802"/>
      <c r="J45" s="811">
        <f t="shared" si="2"/>
        <v>66388</v>
      </c>
      <c r="K45" s="188">
        <v>64488.0</v>
      </c>
      <c r="L45" s="188">
        <v>65874.0</v>
      </c>
      <c r="M45" s="188">
        <v>72368.0</v>
      </c>
      <c r="N45" s="188">
        <v>66285.0</v>
      </c>
      <c r="O45" s="188">
        <v>62925.0</v>
      </c>
      <c r="P45" s="87"/>
      <c r="Q45" s="781"/>
      <c r="R45" s="230"/>
      <c r="S45" s="87"/>
      <c r="T45" s="87"/>
      <c r="U45" s="87"/>
      <c r="V45" s="87"/>
    </row>
    <row r="46" ht="15.0" customHeight="1">
      <c r="A46" s="169">
        <f t="array" ref="A46">INDEX('Federal Tax, Stock Buybacks, &amp; '!D:D,match(B46,'Federal Tax, Stock Buybacks, &amp; '!E:E,0))</f>
        <v>93</v>
      </c>
      <c r="B46" s="817" t="s">
        <v>1009</v>
      </c>
      <c r="C46" s="160">
        <f>SUMIF('Executive Pay Breakdown'!B:B,$B46,'Executive Pay Breakdown'!M:M)+SUMIF('Executive Pay Breakdown'!B:B,$B46,'Executive Pay Breakdown'!Q:Q)+SUMIF('Executive Pay Breakdown'!B:B,$B46,'Executive Pay Breakdown'!U:U)+SUMIF('Executive Pay Breakdown'!B:B,$B46,'Executive Pay Breakdown'!Y:Y)+SUMIF('Executive Pay Breakdown'!B:B,$B46,'Executive Pay Breakdown'!AC:AC)</f>
        <v>387646732</v>
      </c>
      <c r="D46" s="161">
        <f>SUMIF('Executive Pay Breakdown'!B:B,$B46,'Executive Pay Breakdown'!M:M)</f>
        <v>73258106</v>
      </c>
      <c r="E46" s="161">
        <f>SUMIF('Executive Pay Breakdown'!B:B,$B46,'Executive Pay Breakdown'!Q:Q)</f>
        <v>65578505</v>
      </c>
      <c r="F46" s="161">
        <f>SUMIF('Executive Pay Breakdown'!B:B,$B46,'Executive Pay Breakdown'!U:U)</f>
        <v>98349966</v>
      </c>
      <c r="G46" s="161">
        <f>SUMIF('Executive Pay Breakdown'!B:B,$B46,'Executive Pay Breakdown'!Y:Y)</f>
        <v>111750794</v>
      </c>
      <c r="H46" s="161">
        <f>SUMIF('Executive Pay Breakdown'!B:B,$B46,'Executive Pay Breakdown'!AC:AC)</f>
        <v>38709361</v>
      </c>
      <c r="I46" s="802"/>
      <c r="J46" s="811">
        <f t="shared" si="2"/>
        <v>30394</v>
      </c>
      <c r="K46" s="188">
        <v>37410.0</v>
      </c>
      <c r="L46" s="188">
        <v>36077.0</v>
      </c>
      <c r="M46" s="188">
        <v>28142.0</v>
      </c>
      <c r="N46" s="188">
        <v>25386.0</v>
      </c>
      <c r="O46" s="188">
        <v>24955.0</v>
      </c>
      <c r="P46" s="87"/>
      <c r="Q46" s="781"/>
      <c r="R46" s="230"/>
      <c r="S46" s="87"/>
      <c r="T46" s="87"/>
      <c r="U46" s="87"/>
      <c r="V46" s="87"/>
    </row>
    <row r="47" ht="15.0" customHeight="1">
      <c r="A47" s="169">
        <f t="array" ref="A47">INDEX('Federal Tax, Stock Buybacks, &amp; '!D:D,match(B47,'Federal Tax, Stock Buybacks, &amp; '!E:E,0))</f>
        <v>94</v>
      </c>
      <c r="B47" s="817" t="s">
        <v>1417</v>
      </c>
      <c r="C47" s="160">
        <f>SUMIF('Executive Pay Breakdown'!B:B,$B47,'Executive Pay Breakdown'!M:M)+SUMIF('Executive Pay Breakdown'!B:B,$B47,'Executive Pay Breakdown'!Q:Q)+SUMIF('Executive Pay Breakdown'!B:B,$B47,'Executive Pay Breakdown'!U:U)+SUMIF('Executive Pay Breakdown'!B:B,$B47,'Executive Pay Breakdown'!Y:Y)+SUMIF('Executive Pay Breakdown'!B:B,$B47,'Executive Pay Breakdown'!AC:AC)</f>
        <v>202361927</v>
      </c>
      <c r="D47" s="161">
        <f>SUMIF('Executive Pay Breakdown'!B:B,$B47,'Executive Pay Breakdown'!M:M)</f>
        <v>24536439</v>
      </c>
      <c r="E47" s="161">
        <f>SUMIF('Executive Pay Breakdown'!B:B,$B47,'Executive Pay Breakdown'!Q:Q)</f>
        <v>40660520</v>
      </c>
      <c r="F47" s="161">
        <f>SUMIF('Executive Pay Breakdown'!B:B,$B47,'Executive Pay Breakdown'!U:U)</f>
        <v>34939297</v>
      </c>
      <c r="G47" s="161">
        <f>SUMIF('Executive Pay Breakdown'!B:B,$B47,'Executive Pay Breakdown'!Y:Y)</f>
        <v>57664818</v>
      </c>
      <c r="H47" s="161">
        <f>SUMIF('Executive Pay Breakdown'!B:B,$B47,'Executive Pay Breakdown'!AC:AC)</f>
        <v>44560853</v>
      </c>
      <c r="I47" s="802"/>
      <c r="J47" s="811">
        <f t="shared" si="2"/>
        <v>29648.6</v>
      </c>
      <c r="K47" s="188">
        <v>32197.0</v>
      </c>
      <c r="L47" s="188">
        <v>29999.0</v>
      </c>
      <c r="M47" s="188">
        <v>30542.0</v>
      </c>
      <c r="N47" s="188">
        <v>27005.0</v>
      </c>
      <c r="O47" s="188">
        <v>28500.0</v>
      </c>
      <c r="P47" s="87"/>
      <c r="Q47" s="781"/>
      <c r="R47" s="230"/>
      <c r="S47" s="87"/>
      <c r="T47" s="87"/>
      <c r="U47" s="87"/>
      <c r="V47" s="87"/>
    </row>
    <row r="48" ht="15.0" customHeight="1">
      <c r="A48" s="169">
        <f t="array" ref="A48">INDEX('Federal Tax, Stock Buybacks, &amp; '!D:D,match(B48,'Federal Tax, Stock Buybacks, &amp; '!E:E,0))</f>
        <v>97</v>
      </c>
      <c r="B48" s="817" t="s">
        <v>868</v>
      </c>
      <c r="C48" s="160">
        <f>SUMIF('Executive Pay Breakdown'!B:B,$B48,'Executive Pay Breakdown'!M:M)+SUMIF('Executive Pay Breakdown'!B:B,$B48,'Executive Pay Breakdown'!Q:Q)+SUMIF('Executive Pay Breakdown'!B:B,$B48,'Executive Pay Breakdown'!U:U)+SUMIF('Executive Pay Breakdown'!B:B,$B48,'Executive Pay Breakdown'!Y:Y)+SUMIF('Executive Pay Breakdown'!B:B,$B48,'Executive Pay Breakdown'!AC:AC)</f>
        <v>261554632</v>
      </c>
      <c r="D48" s="161">
        <f>SUMIF('Executive Pay Breakdown'!B:B,$B48,'Executive Pay Breakdown'!M:M)</f>
        <v>51985060</v>
      </c>
      <c r="E48" s="161">
        <f>SUMIF('Executive Pay Breakdown'!B:B,$B48,'Executive Pay Breakdown'!Q:Q)</f>
        <v>54175830</v>
      </c>
      <c r="F48" s="161">
        <f>SUMIF('Executive Pay Breakdown'!B:B,$B48,'Executive Pay Breakdown'!U:U)</f>
        <v>62314861</v>
      </c>
      <c r="G48" s="161">
        <f>SUMIF('Executive Pay Breakdown'!B:B,$B48,'Executive Pay Breakdown'!Y:Y)</f>
        <v>53021055</v>
      </c>
      <c r="H48" s="161">
        <f>SUMIF('Executive Pay Breakdown'!B:B,$B48,'Executive Pay Breakdown'!AC:AC)</f>
        <v>40057826</v>
      </c>
      <c r="I48" s="802"/>
      <c r="J48" s="811">
        <f t="shared" si="2"/>
        <v>78713.8</v>
      </c>
      <c r="K48" s="188">
        <v>77806.0</v>
      </c>
      <c r="L48" s="188">
        <v>83666.0</v>
      </c>
      <c r="M48" s="188">
        <v>71907.0</v>
      </c>
      <c r="N48" s="188">
        <v>80915.0</v>
      </c>
      <c r="O48" s="188">
        <v>79275.0</v>
      </c>
      <c r="P48" s="87"/>
      <c r="Q48" s="781"/>
      <c r="R48" s="230"/>
      <c r="S48" s="87"/>
      <c r="T48" s="87"/>
      <c r="U48" s="87"/>
      <c r="V48" s="87"/>
    </row>
    <row r="49" ht="15.0" customHeight="1">
      <c r="A49" s="169">
        <f t="array" ref="A49">INDEX('Federal Tax, Stock Buybacks, &amp; '!D:D,match(B49,'Federal Tax, Stock Buybacks, &amp; '!E:E,0))</f>
        <v>98</v>
      </c>
      <c r="B49" s="808" t="s">
        <v>3176</v>
      </c>
      <c r="C49" s="160">
        <f>SUMIF('Executive Pay Breakdown'!B:B,$B49,'Executive Pay Breakdown'!M:M)+SUMIF('Executive Pay Breakdown'!B:B,$B49,'Executive Pay Breakdown'!Q:Q)+SUMIF('Executive Pay Breakdown'!B:B,$B49,'Executive Pay Breakdown'!U:U)+SUMIF('Executive Pay Breakdown'!B:B,$B49,'Executive Pay Breakdown'!Y:Y)+SUMIF('Executive Pay Breakdown'!B:B,$B49,'Executive Pay Breakdown'!AC:AC)</f>
        <v>273025257</v>
      </c>
      <c r="D49" s="161">
        <f>SUMIF('Executive Pay Breakdown'!B:B,$B49,'Executive Pay Breakdown'!M:M)</f>
        <v>22502206</v>
      </c>
      <c r="E49" s="161">
        <f>SUMIF('Executive Pay Breakdown'!B:B,$B49,'Executive Pay Breakdown'!Q:Q)</f>
        <v>60564335</v>
      </c>
      <c r="F49" s="161">
        <f>SUMIF('Executive Pay Breakdown'!B:B,$B49,'Executive Pay Breakdown'!U:U)</f>
        <v>69459866</v>
      </c>
      <c r="G49" s="161">
        <f>SUMIF('Executive Pay Breakdown'!B:B,$B49,'Executive Pay Breakdown'!Y:Y)</f>
        <v>63603032</v>
      </c>
      <c r="H49" s="161">
        <f>SUMIF('Executive Pay Breakdown'!B:B,$B49,'Executive Pay Breakdown'!AC:AC)</f>
        <v>56895818</v>
      </c>
      <c r="I49" s="192"/>
      <c r="J49" s="813">
        <f t="shared" si="2"/>
        <v>94601.8</v>
      </c>
      <c r="K49" s="220">
        <v>102934.0</v>
      </c>
      <c r="L49" s="220">
        <v>98200.0</v>
      </c>
      <c r="M49" s="220">
        <v>96024.0</v>
      </c>
      <c r="N49" s="220">
        <v>90259.0</v>
      </c>
      <c r="O49" s="220">
        <v>85592.0</v>
      </c>
      <c r="P49" s="87"/>
      <c r="Q49" s="781"/>
      <c r="R49" s="87"/>
      <c r="S49" s="87"/>
      <c r="T49" s="87"/>
      <c r="U49" s="87"/>
      <c r="V49" s="87"/>
    </row>
    <row r="50" ht="15.0" customHeight="1">
      <c r="A50" s="169">
        <f t="array" ref="A50">INDEX('Federal Tax, Stock Buybacks, &amp; '!D:D,match(B50,'Federal Tax, Stock Buybacks, &amp; '!E:E,0))</f>
        <v>100</v>
      </c>
      <c r="B50" s="817" t="s">
        <v>1317</v>
      </c>
      <c r="C50" s="160">
        <f>SUMIF('Executive Pay Breakdown'!B:B,$B50,'Executive Pay Breakdown'!M:M)+SUMIF('Executive Pay Breakdown'!B:B,$B50,'Executive Pay Breakdown'!Q:Q)+SUMIF('Executive Pay Breakdown'!B:B,$B50,'Executive Pay Breakdown'!U:U)+SUMIF('Executive Pay Breakdown'!B:B,$B50,'Executive Pay Breakdown'!Y:Y)+SUMIF('Executive Pay Breakdown'!B:B,$B50,'Executive Pay Breakdown'!AC:AC)</f>
        <v>260254537</v>
      </c>
      <c r="D50" s="161">
        <f>SUMIF('Executive Pay Breakdown'!B:B,$B50,'Executive Pay Breakdown'!M:M)</f>
        <v>53750252</v>
      </c>
      <c r="E50" s="161">
        <f>SUMIF('Executive Pay Breakdown'!B:B,$B50,'Executive Pay Breakdown'!Q:Q)</f>
        <v>68226403</v>
      </c>
      <c r="F50" s="161">
        <f>SUMIF('Executive Pay Breakdown'!B:B,$B50,'Executive Pay Breakdown'!U:U)</f>
        <v>42997601</v>
      </c>
      <c r="G50" s="161">
        <f>SUMIF('Executive Pay Breakdown'!B:B,$B50,'Executive Pay Breakdown'!Y:Y)</f>
        <v>51860781</v>
      </c>
      <c r="H50" s="161">
        <f>SUMIF('Executive Pay Breakdown'!B:B,$B50,'Executive Pay Breakdown'!AC:AC)</f>
        <v>43419500</v>
      </c>
      <c r="I50" s="802"/>
      <c r="J50" s="811">
        <f t="shared" si="2"/>
        <v>13016.6</v>
      </c>
      <c r="K50" s="188">
        <v>12122.0</v>
      </c>
      <c r="L50" s="188">
        <v>13894.0</v>
      </c>
      <c r="M50" s="188">
        <v>11342.0</v>
      </c>
      <c r="N50" s="188">
        <v>11285.0</v>
      </c>
      <c r="O50" s="188">
        <v>16440.0</v>
      </c>
      <c r="P50" s="87"/>
      <c r="Q50" s="781"/>
      <c r="R50" s="230"/>
      <c r="S50" s="87"/>
      <c r="T50" s="87"/>
      <c r="U50" s="87"/>
      <c r="V50" s="87"/>
    </row>
    <row r="51" ht="15.0" customHeight="1">
      <c r="A51" s="169">
        <f t="array" ref="A51">INDEX('Federal Tax, Stock Buybacks, &amp; '!D:D,match(B51,'Federal Tax, Stock Buybacks, &amp; '!E:E,0))</f>
        <v>102</v>
      </c>
      <c r="B51" s="632" t="s">
        <v>973</v>
      </c>
      <c r="C51" s="160">
        <f>SUMIF('Executive Pay Breakdown'!B:B,$B51,'Executive Pay Breakdown'!M:M)+SUMIF('Executive Pay Breakdown'!B:B,$B51,'Executive Pay Breakdown'!Q:Q)+SUMIF('Executive Pay Breakdown'!B:B,$B51,'Executive Pay Breakdown'!U:U)+SUMIF('Executive Pay Breakdown'!B:B,$B51,'Executive Pay Breakdown'!Y:Y)+SUMIF('Executive Pay Breakdown'!B:B,$B51,'Executive Pay Breakdown'!AC:AC)</f>
        <v>244939344</v>
      </c>
      <c r="D51" s="161">
        <f>SUMIF('Executive Pay Breakdown'!B:B,$B51,'Executive Pay Breakdown'!M:M)</f>
        <v>62067453</v>
      </c>
      <c r="E51" s="161">
        <f>SUMIF('Executive Pay Breakdown'!B:B,$B51,'Executive Pay Breakdown'!Q:Q)</f>
        <v>32605788</v>
      </c>
      <c r="F51" s="161">
        <f>SUMIF('Executive Pay Breakdown'!B:B,$B51,'Executive Pay Breakdown'!U:U)</f>
        <v>47747172</v>
      </c>
      <c r="G51" s="161">
        <f>SUMIF('Executive Pay Breakdown'!B:B,$B51,'Executive Pay Breakdown'!Y:Y)</f>
        <v>60671721</v>
      </c>
      <c r="H51" s="161">
        <f>SUMIF('Executive Pay Breakdown'!B:B,$B51,'Executive Pay Breakdown'!AC:AC)</f>
        <v>41847210</v>
      </c>
      <c r="I51" s="802"/>
      <c r="J51" s="811">
        <f t="shared" si="2"/>
        <v>110927</v>
      </c>
      <c r="K51" s="179">
        <v>124199.0</v>
      </c>
      <c r="L51" s="179">
        <v>142635.0</v>
      </c>
      <c r="M51" s="179">
        <v>94131.0</v>
      </c>
      <c r="N51" s="179">
        <v>87573.0</v>
      </c>
      <c r="O51" s="179">
        <v>106097.0</v>
      </c>
      <c r="P51" s="212"/>
      <c r="Q51" s="781"/>
      <c r="R51" s="230"/>
      <c r="S51" s="212"/>
      <c r="T51" s="212"/>
      <c r="U51" s="212"/>
      <c r="V51" s="212"/>
    </row>
    <row r="52" ht="15.0" customHeight="1">
      <c r="A52" s="169">
        <f t="array" ref="A52">INDEX('Federal Tax, Stock Buybacks, &amp; '!D:D,match(B52,'Federal Tax, Stock Buybacks, &amp; '!E:E,0))</f>
        <v>105</v>
      </c>
      <c r="B52" s="817" t="s">
        <v>1192</v>
      </c>
      <c r="C52" s="160">
        <f>SUMIF('Executive Pay Breakdown'!B:B,$B52,'Executive Pay Breakdown'!M:M)+SUMIF('Executive Pay Breakdown'!B:B,$B52,'Executive Pay Breakdown'!Q:Q)+SUMIF('Executive Pay Breakdown'!B:B,$B52,'Executive Pay Breakdown'!U:U)+SUMIF('Executive Pay Breakdown'!B:B,$B52,'Executive Pay Breakdown'!Y:Y)+SUMIF('Executive Pay Breakdown'!B:B,$B52,'Executive Pay Breakdown'!AC:AC)</f>
        <v>215734397</v>
      </c>
      <c r="D52" s="161">
        <f>SUMIF('Executive Pay Breakdown'!B:B,$B52,'Executive Pay Breakdown'!M:M)</f>
        <v>46365168</v>
      </c>
      <c r="E52" s="161">
        <f>SUMIF('Executive Pay Breakdown'!B:B,$B52,'Executive Pay Breakdown'!Q:Q)</f>
        <v>49558971</v>
      </c>
      <c r="F52" s="161">
        <f>SUMIF('Executive Pay Breakdown'!B:B,$B52,'Executive Pay Breakdown'!U:U)</f>
        <v>40503887</v>
      </c>
      <c r="G52" s="161">
        <f>SUMIF('Executive Pay Breakdown'!B:B,$B52,'Executive Pay Breakdown'!Y:Y)</f>
        <v>37325163</v>
      </c>
      <c r="H52" s="161">
        <f>SUMIF('Executive Pay Breakdown'!B:B,$B52,'Executive Pay Breakdown'!AC:AC)</f>
        <v>41981208</v>
      </c>
      <c r="I52" s="802"/>
      <c r="J52" s="811">
        <f t="shared" si="2"/>
        <v>99093</v>
      </c>
      <c r="K52" s="188">
        <v>88576.0</v>
      </c>
      <c r="L52" s="188">
        <v>92585.0</v>
      </c>
      <c r="M52" s="188">
        <v>111362.0</v>
      </c>
      <c r="N52" s="188">
        <v>116510.0</v>
      </c>
      <c r="O52" s="188">
        <v>86432.0</v>
      </c>
      <c r="P52" s="87"/>
      <c r="Q52" s="781"/>
      <c r="R52" s="230"/>
      <c r="S52" s="87"/>
      <c r="T52" s="87"/>
      <c r="U52" s="87"/>
      <c r="V52" s="87"/>
    </row>
    <row r="53" ht="15.0" customHeight="1">
      <c r="A53" s="169">
        <f t="array" ref="A53">INDEX('Federal Tax, Stock Buybacks, &amp; '!D:D,match(B53,'Federal Tax, Stock Buybacks, &amp; '!E:E,0))</f>
        <v>106</v>
      </c>
      <c r="B53" s="817" t="s">
        <v>1392</v>
      </c>
      <c r="C53" s="160">
        <f>SUMIF('Executive Pay Breakdown'!B:B,$B53,'Executive Pay Breakdown'!M:M)+SUMIF('Executive Pay Breakdown'!B:B,$B53,'Executive Pay Breakdown'!Q:Q)+SUMIF('Executive Pay Breakdown'!B:B,$B53,'Executive Pay Breakdown'!U:U)+SUMIF('Executive Pay Breakdown'!B:B,$B53,'Executive Pay Breakdown'!Y:Y)+SUMIF('Executive Pay Breakdown'!B:B,$B53,'Executive Pay Breakdown'!AC:AC)</f>
        <v>235343022</v>
      </c>
      <c r="D53" s="161">
        <f>SUMIF('Executive Pay Breakdown'!B:B,$B53,'Executive Pay Breakdown'!M:M)</f>
        <v>73102519</v>
      </c>
      <c r="E53" s="161">
        <f>SUMIF('Executive Pay Breakdown'!B:B,$B53,'Executive Pay Breakdown'!Q:Q)</f>
        <v>47480116</v>
      </c>
      <c r="F53" s="161">
        <f>SUMIF('Executive Pay Breakdown'!B:B,$B53,'Executive Pay Breakdown'!U:U)</f>
        <v>42433778</v>
      </c>
      <c r="G53" s="161">
        <f>SUMIF('Executive Pay Breakdown'!B:B,$B53,'Executive Pay Breakdown'!Y:Y)</f>
        <v>30659307</v>
      </c>
      <c r="H53" s="161">
        <f>SUMIF('Executive Pay Breakdown'!B:B,$B53,'Executive Pay Breakdown'!AC:AC)</f>
        <v>41667302</v>
      </c>
      <c r="I53" s="802"/>
      <c r="J53" s="811">
        <f t="shared" si="2"/>
        <v>78782.4</v>
      </c>
      <c r="K53" s="188">
        <v>93310.0</v>
      </c>
      <c r="L53" s="188">
        <v>81029.0</v>
      </c>
      <c r="M53" s="188">
        <v>83628.0</v>
      </c>
      <c r="N53" s="188">
        <v>68780.0</v>
      </c>
      <c r="O53" s="188">
        <v>67165.0</v>
      </c>
      <c r="P53" s="87"/>
      <c r="Q53" s="781"/>
      <c r="R53" s="230"/>
      <c r="S53" s="87"/>
      <c r="T53" s="87"/>
      <c r="U53" s="87"/>
      <c r="V53" s="87"/>
    </row>
    <row r="54" ht="15.0" customHeight="1">
      <c r="A54" s="169">
        <f t="array" ref="A54">INDEX('Federal Tax, Stock Buybacks, &amp; '!D:D,match(B54,'Federal Tax, Stock Buybacks, &amp; '!E:E,0))</f>
        <v>108</v>
      </c>
      <c r="B54" s="817" t="s">
        <v>1251</v>
      </c>
      <c r="C54" s="160">
        <f>SUMIF('Executive Pay Breakdown'!B:B,$B54,'Executive Pay Breakdown'!M:M)+SUMIF('Executive Pay Breakdown'!B:B,$B54,'Executive Pay Breakdown'!Q:Q)+SUMIF('Executive Pay Breakdown'!B:B,$B54,'Executive Pay Breakdown'!U:U)+SUMIF('Executive Pay Breakdown'!B:B,$B54,'Executive Pay Breakdown'!Y:Y)+SUMIF('Executive Pay Breakdown'!B:B,$B54,'Executive Pay Breakdown'!AC:AC)</f>
        <v>155071719</v>
      </c>
      <c r="D54" s="161">
        <f>SUMIF('Executive Pay Breakdown'!B:B,$B54,'Executive Pay Breakdown'!M:M)</f>
        <v>41703154</v>
      </c>
      <c r="E54" s="161">
        <f>SUMIF('Executive Pay Breakdown'!B:B,$B54,'Executive Pay Breakdown'!Q:Q)</f>
        <v>32185260</v>
      </c>
      <c r="F54" s="161">
        <f>SUMIF('Executive Pay Breakdown'!B:B,$B54,'Executive Pay Breakdown'!U:U)</f>
        <v>36411948</v>
      </c>
      <c r="G54" s="161">
        <f>SUMIF('Executive Pay Breakdown'!B:B,$B54,'Executive Pay Breakdown'!Y:Y)</f>
        <v>23920352</v>
      </c>
      <c r="H54" s="161">
        <f>SUMIF('Executive Pay Breakdown'!B:B,$B54,'Executive Pay Breakdown'!AC:AC)</f>
        <v>20851005</v>
      </c>
      <c r="I54" s="802"/>
      <c r="J54" s="811">
        <f t="shared" si="2"/>
        <v>16231.4</v>
      </c>
      <c r="K54" s="188">
        <v>18352.0</v>
      </c>
      <c r="L54" s="188">
        <v>17773.0</v>
      </c>
      <c r="M54" s="188">
        <v>16688.0</v>
      </c>
      <c r="N54" s="188">
        <v>14571.0</v>
      </c>
      <c r="O54" s="188">
        <v>13773.0</v>
      </c>
      <c r="P54" s="87"/>
      <c r="Q54" s="781"/>
      <c r="R54" s="230"/>
      <c r="S54" s="87"/>
      <c r="T54" s="87"/>
      <c r="U54" s="87"/>
      <c r="V54" s="87"/>
    </row>
    <row r="55" ht="15.0" customHeight="1">
      <c r="A55" s="169">
        <f t="array" ref="A55">INDEX('Federal Tax, Stock Buybacks, &amp; '!D:D,match(B55,'Federal Tax, Stock Buybacks, &amp; '!E:E,0))</f>
        <v>112</v>
      </c>
      <c r="B55" s="817" t="s">
        <v>854</v>
      </c>
      <c r="C55" s="160">
        <f>SUMIF('Executive Pay Breakdown'!B:B,$B55,'Executive Pay Breakdown'!M:M)+SUMIF('Executive Pay Breakdown'!B:B,$B55,'Executive Pay Breakdown'!Q:Q)+SUMIF('Executive Pay Breakdown'!B:B,$B55,'Executive Pay Breakdown'!U:U)+SUMIF('Executive Pay Breakdown'!B:B,$B55,'Executive Pay Breakdown'!Y:Y)+SUMIF('Executive Pay Breakdown'!B:B,$B55,'Executive Pay Breakdown'!AC:AC)</f>
        <v>209550088</v>
      </c>
      <c r="D55" s="161">
        <f>SUMIF('Executive Pay Breakdown'!B:B,$B55,'Executive Pay Breakdown'!M:M)</f>
        <v>46388233</v>
      </c>
      <c r="E55" s="161">
        <f>SUMIF('Executive Pay Breakdown'!B:B,$B55,'Executive Pay Breakdown'!Q:Q)</f>
        <v>43358157</v>
      </c>
      <c r="F55" s="161">
        <f>SUMIF('Executive Pay Breakdown'!B:B,$B55,'Executive Pay Breakdown'!U:U)</f>
        <v>41272120</v>
      </c>
      <c r="G55" s="161">
        <f>SUMIF('Executive Pay Breakdown'!B:B,$B55,'Executive Pay Breakdown'!Y:Y)</f>
        <v>38693605</v>
      </c>
      <c r="H55" s="161">
        <f>SUMIF('Executive Pay Breakdown'!B:B,$B55,'Executive Pay Breakdown'!AC:AC)</f>
        <v>39837973</v>
      </c>
      <c r="I55" s="802"/>
      <c r="J55" s="811">
        <f t="shared" si="2"/>
        <v>107494.6</v>
      </c>
      <c r="K55" s="188">
        <v>108583.0</v>
      </c>
      <c r="L55" s="188">
        <v>109586.0</v>
      </c>
      <c r="M55" s="188">
        <v>112896.0</v>
      </c>
      <c r="N55" s="188">
        <v>111170.0</v>
      </c>
      <c r="O55" s="188">
        <v>95238.0</v>
      </c>
      <c r="P55" s="87"/>
      <c r="Q55" s="781"/>
      <c r="R55" s="230"/>
      <c r="S55" s="87"/>
      <c r="T55" s="87"/>
      <c r="U55" s="87"/>
      <c r="V55" s="87"/>
    </row>
    <row r="56" ht="15.0" customHeight="1">
      <c r="A56" s="169">
        <f t="array" ref="A56">INDEX('Federal Tax, Stock Buybacks, &amp; '!D:D,match(B56,'Federal Tax, Stock Buybacks, &amp; '!E:E,0))</f>
        <v>113</v>
      </c>
      <c r="B56" s="817" t="s">
        <v>988</v>
      </c>
      <c r="C56" s="160">
        <f>SUMIF('Executive Pay Breakdown'!B:B,$B56,'Executive Pay Breakdown'!M:M)+SUMIF('Executive Pay Breakdown'!B:B,$B56,'Executive Pay Breakdown'!Q:Q)+SUMIF('Executive Pay Breakdown'!B:B,$B56,'Executive Pay Breakdown'!U:U)+SUMIF('Executive Pay Breakdown'!B:B,$B56,'Executive Pay Breakdown'!Y:Y)+SUMIF('Executive Pay Breakdown'!B:B,$B56,'Executive Pay Breakdown'!AC:AC)</f>
        <v>247211431</v>
      </c>
      <c r="D56" s="161">
        <f>SUMIF('Executive Pay Breakdown'!B:B,$B56,'Executive Pay Breakdown'!M:M)</f>
        <v>42227747</v>
      </c>
      <c r="E56" s="161">
        <f>SUMIF('Executive Pay Breakdown'!B:B,$B56,'Executive Pay Breakdown'!Q:Q)</f>
        <v>40976657</v>
      </c>
      <c r="F56" s="161">
        <f>SUMIF('Executive Pay Breakdown'!B:B,$B56,'Executive Pay Breakdown'!U:U)</f>
        <v>48439293</v>
      </c>
      <c r="G56" s="161">
        <f>SUMIF('Executive Pay Breakdown'!B:B,$B56,'Executive Pay Breakdown'!Y:Y)</f>
        <v>51987415</v>
      </c>
      <c r="H56" s="161">
        <f>SUMIF('Executive Pay Breakdown'!B:B,$B56,'Executive Pay Breakdown'!AC:AC)</f>
        <v>63580319</v>
      </c>
      <c r="I56" s="802"/>
      <c r="J56" s="811">
        <f t="shared" si="2"/>
        <v>116604.6</v>
      </c>
      <c r="K56" s="188">
        <v>141843.0</v>
      </c>
      <c r="L56" s="188">
        <v>119721.0</v>
      </c>
      <c r="M56" s="188">
        <v>101601.0</v>
      </c>
      <c r="N56" s="188">
        <v>114667.0</v>
      </c>
      <c r="O56" s="188">
        <v>105191.0</v>
      </c>
      <c r="P56" s="87"/>
      <c r="Q56" s="781"/>
      <c r="R56" s="230"/>
      <c r="S56" s="87"/>
      <c r="T56" s="87"/>
      <c r="U56" s="87"/>
      <c r="V56" s="87"/>
    </row>
    <row r="57" ht="15.0" customHeight="1">
      <c r="A57" s="169">
        <f t="array" ref="A57">INDEX('Federal Tax, Stock Buybacks, &amp; '!D:D,match(B57,'Federal Tax, Stock Buybacks, &amp; '!E:E,0))</f>
        <v>116</v>
      </c>
      <c r="B57" s="817" t="s">
        <v>1501</v>
      </c>
      <c r="C57" s="160">
        <f>SUMIF('Executive Pay Breakdown'!B:B,$B57,'Executive Pay Breakdown'!M:M)+SUMIF('Executive Pay Breakdown'!B:B,$B57,'Executive Pay Breakdown'!Q:Q)+SUMIF('Executive Pay Breakdown'!B:B,$B57,'Executive Pay Breakdown'!U:U)+SUMIF('Executive Pay Breakdown'!B:B,$B57,'Executive Pay Breakdown'!Y:Y)+SUMIF('Executive Pay Breakdown'!B:B,$B57,'Executive Pay Breakdown'!AC:AC)</f>
        <v>254244261</v>
      </c>
      <c r="D57" s="161">
        <f>SUMIF('Executive Pay Breakdown'!B:B,$B57,'Executive Pay Breakdown'!M:M)</f>
        <v>40657918</v>
      </c>
      <c r="E57" s="161">
        <f>SUMIF('Executive Pay Breakdown'!B:B,$B57,'Executive Pay Breakdown'!Q:Q)</f>
        <v>40275519</v>
      </c>
      <c r="F57" s="161">
        <f>SUMIF('Executive Pay Breakdown'!B:B,$B57,'Executive Pay Breakdown'!U:U)</f>
        <v>55078086</v>
      </c>
      <c r="G57" s="161">
        <f>SUMIF('Executive Pay Breakdown'!B:B,$B57,'Executive Pay Breakdown'!Y:Y)</f>
        <v>54131752</v>
      </c>
      <c r="H57" s="161">
        <f>SUMIF('Executive Pay Breakdown'!B:B,$B57,'Executive Pay Breakdown'!AC:AC)</f>
        <v>64100986</v>
      </c>
      <c r="I57" s="802"/>
      <c r="J57" s="811">
        <f t="shared" si="2"/>
        <v>64928.4</v>
      </c>
      <c r="K57" s="188">
        <v>70905.0</v>
      </c>
      <c r="L57" s="188">
        <v>71821.0</v>
      </c>
      <c r="M57" s="188">
        <v>67109.0</v>
      </c>
      <c r="N57" s="188">
        <v>57494.0</v>
      </c>
      <c r="O57" s="188">
        <v>57313.0</v>
      </c>
      <c r="P57" s="87"/>
      <c r="Q57" s="781"/>
      <c r="R57" s="230"/>
      <c r="S57" s="87"/>
      <c r="T57" s="87"/>
      <c r="U57" s="87"/>
      <c r="V57" s="87"/>
    </row>
    <row r="58" ht="15.0" customHeight="1">
      <c r="A58" s="169">
        <f t="array" ref="A58">INDEX('Federal Tax, Stock Buybacks, &amp; '!D:D,match(B58,'Federal Tax, Stock Buybacks, &amp; '!E:E,0))</f>
        <v>119</v>
      </c>
      <c r="B58" s="632" t="s">
        <v>1102</v>
      </c>
      <c r="C58" s="160">
        <f>SUMIF('Executive Pay Breakdown'!B:B,$B58,'Executive Pay Breakdown'!M:M)+SUMIF('Executive Pay Breakdown'!B:B,$B58,'Executive Pay Breakdown'!Q:Q)+SUMIF('Executive Pay Breakdown'!B:B,$B58,'Executive Pay Breakdown'!U:U)+SUMIF('Executive Pay Breakdown'!B:B,$B58,'Executive Pay Breakdown'!Y:Y)+SUMIF('Executive Pay Breakdown'!B:B,$B58,'Executive Pay Breakdown'!AC:AC)</f>
        <v>441441696</v>
      </c>
      <c r="D58" s="161">
        <f>SUMIF('Executive Pay Breakdown'!B:B,$B58,'Executive Pay Breakdown'!M:M)</f>
        <v>109630334</v>
      </c>
      <c r="E58" s="161">
        <f>SUMIF('Executive Pay Breakdown'!B:B,$B58,'Executive Pay Breakdown'!Q:Q)</f>
        <v>120207096</v>
      </c>
      <c r="F58" s="161">
        <f>SUMIF('Executive Pay Breakdown'!B:B,$B58,'Executive Pay Breakdown'!U:U)</f>
        <v>77852029</v>
      </c>
      <c r="G58" s="161">
        <f>SUMIF('Executive Pay Breakdown'!B:B,$B58,'Executive Pay Breakdown'!Y:Y)</f>
        <v>65116689</v>
      </c>
      <c r="H58" s="161">
        <f>SUMIF('Executive Pay Breakdown'!B:B,$B58,'Executive Pay Breakdown'!AC:AC)</f>
        <v>68635548</v>
      </c>
      <c r="I58" s="802"/>
      <c r="J58" s="811">
        <f t="shared" si="2"/>
        <v>102371.2</v>
      </c>
      <c r="K58" s="188">
        <v>104556.0</v>
      </c>
      <c r="L58" s="188">
        <v>101561.0</v>
      </c>
      <c r="M58" s="188">
        <v>114665.0</v>
      </c>
      <c r="N58" s="188">
        <v>102830.0</v>
      </c>
      <c r="O58" s="188">
        <v>88244.0</v>
      </c>
      <c r="P58" s="87"/>
      <c r="Q58" s="781"/>
      <c r="R58" s="230"/>
      <c r="S58" s="87"/>
      <c r="T58" s="87"/>
      <c r="U58" s="87"/>
      <c r="V58" s="87"/>
    </row>
    <row r="59" ht="15.0" customHeight="1">
      <c r="A59" s="169">
        <f t="array" ref="A59">INDEX('Federal Tax, Stock Buybacks, &amp; '!D:D,match(B59,'Federal Tax, Stock Buybacks, &amp; '!E:E,0))</f>
        <v>120</v>
      </c>
      <c r="B59" s="632" t="s">
        <v>1282</v>
      </c>
      <c r="C59" s="160">
        <f>SUMIF('Executive Pay Breakdown'!B:B,$B59,'Executive Pay Breakdown'!M:M)+SUMIF('Executive Pay Breakdown'!B:B,$B59,'Executive Pay Breakdown'!Q:Q)+SUMIF('Executive Pay Breakdown'!B:B,$B59,'Executive Pay Breakdown'!U:U)+SUMIF('Executive Pay Breakdown'!B:B,$B59,'Executive Pay Breakdown'!Y:Y)+SUMIF('Executive Pay Breakdown'!B:B,$B59,'Executive Pay Breakdown'!AC:AC)</f>
        <v>359972610</v>
      </c>
      <c r="D59" s="161">
        <f>SUMIF('Executive Pay Breakdown'!B:B,$B59,'Executive Pay Breakdown'!M:M)</f>
        <v>95113409</v>
      </c>
      <c r="E59" s="161">
        <f>SUMIF('Executive Pay Breakdown'!B:B,$B59,'Executive Pay Breakdown'!Q:Q)</f>
        <v>99581778</v>
      </c>
      <c r="F59" s="161">
        <f>SUMIF('Executive Pay Breakdown'!B:B,$B59,'Executive Pay Breakdown'!U:U)</f>
        <v>64416513</v>
      </c>
      <c r="G59" s="161">
        <f>SUMIF('Executive Pay Breakdown'!B:B,$B59,'Executive Pay Breakdown'!Y:Y)</f>
        <v>49399112</v>
      </c>
      <c r="H59" s="161">
        <f>SUMIF('Executive Pay Breakdown'!B:B,$B59,'Executive Pay Breakdown'!AC:AC)</f>
        <v>51461798</v>
      </c>
      <c r="I59" s="802"/>
      <c r="J59" s="811">
        <f t="shared" si="2"/>
        <v>104113.8</v>
      </c>
      <c r="K59" s="188">
        <v>116088.0</v>
      </c>
      <c r="L59" s="188">
        <v>107880.0</v>
      </c>
      <c r="M59" s="188">
        <v>117766.0</v>
      </c>
      <c r="N59" s="188">
        <v>86531.0</v>
      </c>
      <c r="O59" s="188">
        <v>92304.0</v>
      </c>
      <c r="P59" s="87"/>
      <c r="Q59" s="781"/>
      <c r="R59" s="230"/>
      <c r="S59" s="87"/>
      <c r="T59" s="87"/>
      <c r="U59" s="87"/>
      <c r="V59" s="87"/>
    </row>
    <row r="60" ht="15.0" customHeight="1">
      <c r="A60" s="169">
        <f t="array" ref="A60">INDEX('Federal Tax, Stock Buybacks, &amp; '!D:D,match(B60,'Federal Tax, Stock Buybacks, &amp; '!E:E,0))</f>
        <v>125</v>
      </c>
      <c r="B60" s="818" t="s">
        <v>914</v>
      </c>
      <c r="C60" s="160">
        <f>SUMIF('Executive Pay Breakdown'!B:B,$B60,'Executive Pay Breakdown'!M:M)+SUMIF('Executive Pay Breakdown'!B:B,$B60,'Executive Pay Breakdown'!Q:Q)+SUMIF('Executive Pay Breakdown'!B:B,$B60,'Executive Pay Breakdown'!U:U)+SUMIF('Executive Pay Breakdown'!B:B,$B60,'Executive Pay Breakdown'!Y:Y)+SUMIF('Executive Pay Breakdown'!B:B,$B60,'Executive Pay Breakdown'!AC:AC)</f>
        <v>266258713</v>
      </c>
      <c r="D60" s="161">
        <f>SUMIF('Executive Pay Breakdown'!B:B,$B60,'Executive Pay Breakdown'!M:M)</f>
        <v>54396212</v>
      </c>
      <c r="E60" s="161">
        <f>SUMIF('Executive Pay Breakdown'!B:B,$B60,'Executive Pay Breakdown'!Q:Q)</f>
        <v>55835487</v>
      </c>
      <c r="F60" s="161">
        <f>SUMIF('Executive Pay Breakdown'!B:B,$B60,'Executive Pay Breakdown'!U:U)</f>
        <v>37046557</v>
      </c>
      <c r="G60" s="161">
        <f>SUMIF('Executive Pay Breakdown'!B:B,$B60,'Executive Pay Breakdown'!Y:Y)</f>
        <v>50988379</v>
      </c>
      <c r="H60" s="161">
        <f>SUMIF('Executive Pay Breakdown'!B:B,$B60,'Executive Pay Breakdown'!AC:AC)</f>
        <v>67992078</v>
      </c>
      <c r="I60" s="802"/>
      <c r="J60" s="811">
        <f t="shared" si="2"/>
        <v>12309</v>
      </c>
      <c r="K60" s="188">
        <v>12254.0</v>
      </c>
      <c r="L60" s="188">
        <v>12935.0</v>
      </c>
      <c r="M60" s="188">
        <v>12113.0</v>
      </c>
      <c r="N60" s="188">
        <v>11489.0</v>
      </c>
      <c r="O60" s="188">
        <v>12754.0</v>
      </c>
      <c r="P60" s="87"/>
      <c r="Q60" s="781"/>
      <c r="R60" s="230"/>
      <c r="S60" s="87"/>
      <c r="T60" s="87"/>
      <c r="U60" s="87"/>
      <c r="V60" s="87"/>
    </row>
    <row r="61" ht="15.0" customHeight="1">
      <c r="A61" s="169">
        <f t="array" ref="A61">INDEX('Federal Tax, Stock Buybacks, &amp; '!D:D,match(B61,'Federal Tax, Stock Buybacks, &amp; '!E:E,0))</f>
        <v>135</v>
      </c>
      <c r="B61" s="432" t="s">
        <v>1370</v>
      </c>
      <c r="C61" s="160">
        <f>SUMIF('Executive Pay Breakdown'!B:B,$B61,'Executive Pay Breakdown'!M:M)+SUMIF('Executive Pay Breakdown'!B:B,$B61,'Executive Pay Breakdown'!Q:Q)+SUMIF('Executive Pay Breakdown'!B:B,$B61,'Executive Pay Breakdown'!U:U)+SUMIF('Executive Pay Breakdown'!B:B,$B61,'Executive Pay Breakdown'!Y:Y)+SUMIF('Executive Pay Breakdown'!B:B,$B61,'Executive Pay Breakdown'!AC:AC)</f>
        <v>203957386</v>
      </c>
      <c r="D61" s="161">
        <f>SUMIF('Executive Pay Breakdown'!B:B,$B61,'Executive Pay Breakdown'!M:M)</f>
        <v>52210587</v>
      </c>
      <c r="E61" s="161">
        <f>SUMIF('Executive Pay Breakdown'!B:B,$B61,'Executive Pay Breakdown'!Q:Q)</f>
        <v>48223384</v>
      </c>
      <c r="F61" s="161">
        <f>SUMIF('Executive Pay Breakdown'!B:B,$B61,'Executive Pay Breakdown'!U:U)</f>
        <v>26696905</v>
      </c>
      <c r="G61" s="161">
        <f>SUMIF('Executive Pay Breakdown'!B:B,$B61,'Executive Pay Breakdown'!Y:Y)</f>
        <v>40381814</v>
      </c>
      <c r="H61" s="161">
        <f>SUMIF('Executive Pay Breakdown'!B:B,$B61,'Executive Pay Breakdown'!AC:AC)</f>
        <v>36444696</v>
      </c>
      <c r="I61" s="192"/>
      <c r="J61" s="811">
        <f t="shared" si="2"/>
        <v>64315.4</v>
      </c>
      <c r="K61" s="188">
        <v>71748.0</v>
      </c>
      <c r="L61" s="188">
        <v>57349.0</v>
      </c>
      <c r="M61" s="188">
        <v>65509.0</v>
      </c>
      <c r="N61" s="188">
        <v>61122.0</v>
      </c>
      <c r="O61" s="188">
        <v>65849.0</v>
      </c>
      <c r="P61" s="87"/>
      <c r="Q61" s="781"/>
      <c r="R61" s="87"/>
      <c r="S61" s="87"/>
      <c r="T61" s="87"/>
      <c r="U61" s="87"/>
      <c r="V61" s="87"/>
    </row>
    <row r="62" ht="15.0" customHeight="1">
      <c r="A62" s="169">
        <f t="array" ref="A62">INDEX('Federal Tax, Stock Buybacks, &amp; '!D:D,match(B62,'Federal Tax, Stock Buybacks, &amp; '!E:E,0))</f>
        <v>137</v>
      </c>
      <c r="B62" s="632" t="s">
        <v>802</v>
      </c>
      <c r="C62" s="160">
        <f>SUMIF('Executive Pay Breakdown'!B:B,$B62,'Executive Pay Breakdown'!M:M)+SUMIF('Executive Pay Breakdown'!B:B,$B62,'Executive Pay Breakdown'!Q:Q)+SUMIF('Executive Pay Breakdown'!B:B,$B62,'Executive Pay Breakdown'!U:U)+SUMIF('Executive Pay Breakdown'!B:B,$B62,'Executive Pay Breakdown'!Y:Y)+SUMIF('Executive Pay Breakdown'!B:B,$B62,'Executive Pay Breakdown'!AC:AC)</f>
        <v>404597634</v>
      </c>
      <c r="D62" s="161">
        <f>SUMIF('Executive Pay Breakdown'!B:B,$B62,'Executive Pay Breakdown'!M:M)</f>
        <v>85448328</v>
      </c>
      <c r="E62" s="161">
        <f>SUMIF('Executive Pay Breakdown'!B:B,$B62,'Executive Pay Breakdown'!Q:Q)</f>
        <v>89650022</v>
      </c>
      <c r="F62" s="161">
        <f>SUMIF('Executive Pay Breakdown'!B:B,$B62,'Executive Pay Breakdown'!U:U)</f>
        <v>98477698</v>
      </c>
      <c r="G62" s="161">
        <f>SUMIF('Executive Pay Breakdown'!B:B,$B62,'Executive Pay Breakdown'!Y:Y)</f>
        <v>66094540</v>
      </c>
      <c r="H62" s="161">
        <f>SUMIF('Executive Pay Breakdown'!B:B,$B62,'Executive Pay Breakdown'!AC:AC)</f>
        <v>64927046</v>
      </c>
      <c r="I62" s="802"/>
      <c r="J62" s="811">
        <f t="shared" si="2"/>
        <v>111485.6</v>
      </c>
      <c r="K62" s="179">
        <v>114015.0</v>
      </c>
      <c r="L62" s="179">
        <v>99945.0</v>
      </c>
      <c r="M62" s="179">
        <v>102637.0</v>
      </c>
      <c r="N62" s="179">
        <v>108348.0</v>
      </c>
      <c r="O62" s="179">
        <v>132483.0</v>
      </c>
      <c r="P62" s="201"/>
      <c r="Q62" s="781"/>
      <c r="R62" s="230"/>
      <c r="S62" s="201"/>
      <c r="T62" s="201"/>
      <c r="U62" s="201"/>
      <c r="V62" s="201"/>
    </row>
    <row r="63" ht="15.0" customHeight="1">
      <c r="A63" s="169">
        <f t="array" ref="A63">INDEX('Federal Tax, Stock Buybacks, &amp; '!D:D,match(B63,'Federal Tax, Stock Buybacks, &amp; '!E:E,0))</f>
        <v>149</v>
      </c>
      <c r="B63" s="632" t="s">
        <v>846</v>
      </c>
      <c r="C63" s="160">
        <f>SUMIF('Executive Pay Breakdown'!B:B,$B63,'Executive Pay Breakdown'!M:M)+SUMIF('Executive Pay Breakdown'!B:B,$B63,'Executive Pay Breakdown'!Q:Q)+SUMIF('Executive Pay Breakdown'!B:B,$B63,'Executive Pay Breakdown'!U:U)+SUMIF('Executive Pay Breakdown'!B:B,$B63,'Executive Pay Breakdown'!Y:Y)+SUMIF('Executive Pay Breakdown'!B:B,$B63,'Executive Pay Breakdown'!AC:AC)</f>
        <v>200326330</v>
      </c>
      <c r="D63" s="161">
        <f>SUMIF('Executive Pay Breakdown'!B:B,$B63,'Executive Pay Breakdown'!M:M)</f>
        <v>39596039</v>
      </c>
      <c r="E63" s="161">
        <f>SUMIF('Executive Pay Breakdown'!B:B,$B63,'Executive Pay Breakdown'!Q:Q)</f>
        <v>47388226</v>
      </c>
      <c r="F63" s="161">
        <f>SUMIF('Executive Pay Breakdown'!B:B,$B63,'Executive Pay Breakdown'!U:U)</f>
        <v>39476461</v>
      </c>
      <c r="G63" s="161">
        <f>SUMIF('Executive Pay Breakdown'!B:B,$B63,'Executive Pay Breakdown'!Y:Y)</f>
        <v>40426656</v>
      </c>
      <c r="H63" s="161">
        <f>SUMIF('Executive Pay Breakdown'!B:B,$B63,'Executive Pay Breakdown'!AC:AC)</f>
        <v>33438948</v>
      </c>
      <c r="I63" s="802"/>
      <c r="J63" s="811">
        <f t="shared" si="2"/>
        <v>74716.8</v>
      </c>
      <c r="K63" s="179">
        <v>83357.0</v>
      </c>
      <c r="L63" s="179">
        <v>85166.0</v>
      </c>
      <c r="M63" s="179">
        <v>76932.0</v>
      </c>
      <c r="N63" s="179">
        <v>69775.0</v>
      </c>
      <c r="O63" s="179">
        <v>58354.0</v>
      </c>
      <c r="P63" s="212"/>
      <c r="Q63" s="781"/>
      <c r="R63" s="230"/>
      <c r="S63" s="212"/>
      <c r="T63" s="212"/>
      <c r="U63" s="212"/>
      <c r="V63" s="212"/>
    </row>
    <row r="64" ht="15.0" customHeight="1">
      <c r="A64" s="169">
        <f t="array" ref="A64">INDEX('Federal Tax, Stock Buybacks, &amp; '!D:D,match(B64,'Federal Tax, Stock Buybacks, &amp; '!E:E,0))</f>
        <v>150</v>
      </c>
      <c r="B64" s="632" t="s">
        <v>1180</v>
      </c>
      <c r="C64" s="160">
        <f>SUMIF('Executive Pay Breakdown'!B:B,$B64,'Executive Pay Breakdown'!M:M)+SUMIF('Executive Pay Breakdown'!B:B,$B64,'Executive Pay Breakdown'!Q:Q)+SUMIF('Executive Pay Breakdown'!B:B,$B64,'Executive Pay Breakdown'!U:U)+SUMIF('Executive Pay Breakdown'!B:B,$B64,'Executive Pay Breakdown'!Y:Y)+SUMIF('Executive Pay Breakdown'!B:B,$B64,'Executive Pay Breakdown'!AC:AC)</f>
        <v>275970606</v>
      </c>
      <c r="D64" s="161">
        <f>SUMIF('Executive Pay Breakdown'!B:B,$B64,'Executive Pay Breakdown'!M:M)</f>
        <v>53120567</v>
      </c>
      <c r="E64" s="161">
        <f>SUMIF('Executive Pay Breakdown'!B:B,$B64,'Executive Pay Breakdown'!Q:Q)</f>
        <v>44348568</v>
      </c>
      <c r="F64" s="161">
        <f>SUMIF('Executive Pay Breakdown'!B:B,$B64,'Executive Pay Breakdown'!U:U)</f>
        <v>45465167</v>
      </c>
      <c r="G64" s="161">
        <f>SUMIF('Executive Pay Breakdown'!B:B,$B64,'Executive Pay Breakdown'!Y:Y)</f>
        <v>78212141</v>
      </c>
      <c r="H64" s="161">
        <f>SUMIF('Executive Pay Breakdown'!B:B,$B64,'Executive Pay Breakdown'!AC:AC)</f>
        <v>54824163</v>
      </c>
      <c r="I64" s="802"/>
      <c r="J64" s="811">
        <f t="shared" si="2"/>
        <v>208227.4</v>
      </c>
      <c r="K64" s="179">
        <v>242033.0</v>
      </c>
      <c r="L64" s="179">
        <v>211687.0</v>
      </c>
      <c r="M64" s="179">
        <v>250190.0</v>
      </c>
      <c r="N64" s="179">
        <v>173264.0</v>
      </c>
      <c r="O64" s="179">
        <v>163963.0</v>
      </c>
      <c r="P64" s="212"/>
      <c r="Q64" s="781"/>
      <c r="R64" s="230"/>
      <c r="S64" s="212"/>
      <c r="T64" s="212"/>
      <c r="U64" s="212"/>
      <c r="V64" s="212"/>
    </row>
    <row r="65" ht="15.0" customHeight="1">
      <c r="A65" s="169">
        <f t="array" ref="A65">INDEX('Federal Tax, Stock Buybacks, &amp; '!D:D,match(B65,'Federal Tax, Stock Buybacks, &amp; '!E:E,0))</f>
        <v>152</v>
      </c>
      <c r="B65" s="632" t="s">
        <v>967</v>
      </c>
      <c r="C65" s="160">
        <f>SUMIF('Executive Pay Breakdown'!B:B,$B65,'Executive Pay Breakdown'!M:M)+SUMIF('Executive Pay Breakdown'!B:B,$B65,'Executive Pay Breakdown'!Q:Q)+SUMIF('Executive Pay Breakdown'!B:B,$B65,'Executive Pay Breakdown'!U:U)+SUMIF('Executive Pay Breakdown'!B:B,$B65,'Executive Pay Breakdown'!Y:Y)+SUMIF('Executive Pay Breakdown'!B:B,$B65,'Executive Pay Breakdown'!AC:AC)</f>
        <v>227633284</v>
      </c>
      <c r="D65" s="161">
        <f>SUMIF('Executive Pay Breakdown'!B:B,$B65,'Executive Pay Breakdown'!M:M)</f>
        <v>61124274</v>
      </c>
      <c r="E65" s="161">
        <f>SUMIF('Executive Pay Breakdown'!B:B,$B65,'Executive Pay Breakdown'!Q:Q)</f>
        <v>59380868</v>
      </c>
      <c r="F65" s="161">
        <f>SUMIF('Executive Pay Breakdown'!B:B,$B65,'Executive Pay Breakdown'!U:U)</f>
        <v>48212471</v>
      </c>
      <c r="G65" s="161">
        <f>SUMIF('Executive Pay Breakdown'!B:B,$B65,'Executive Pay Breakdown'!Y:Y)</f>
        <v>27196984</v>
      </c>
      <c r="H65" s="161">
        <f>SUMIF('Executive Pay Breakdown'!B:B,$B65,'Executive Pay Breakdown'!AC:AC)</f>
        <v>31718687</v>
      </c>
      <c r="I65" s="802"/>
      <c r="J65" s="811">
        <f t="shared" si="2"/>
        <v>199105.8</v>
      </c>
      <c r="K65" s="188">
        <v>228078.0</v>
      </c>
      <c r="L65" s="188">
        <v>217542.0</v>
      </c>
      <c r="M65" s="188">
        <v>215930.0</v>
      </c>
      <c r="N65" s="188">
        <v>178944.0</v>
      </c>
      <c r="O65" s="188">
        <v>155035.0</v>
      </c>
      <c r="P65" s="87"/>
      <c r="Q65" s="781"/>
      <c r="R65" s="230"/>
      <c r="S65" s="87"/>
      <c r="T65" s="87"/>
      <c r="U65" s="87"/>
      <c r="V65" s="87"/>
    </row>
    <row r="66" ht="15.0" customHeight="1">
      <c r="A66" s="169">
        <f t="array" ref="A66">INDEX('Federal Tax, Stock Buybacks, &amp; '!D:D,match(B66,'Federal Tax, Stock Buybacks, &amp; '!E:E,0))</f>
        <v>159</v>
      </c>
      <c r="B66" s="632" t="s">
        <v>835</v>
      </c>
      <c r="C66" s="160">
        <f>SUMIF('Executive Pay Breakdown'!B:B,$B66,'Executive Pay Breakdown'!M:M)+SUMIF('Executive Pay Breakdown'!B:B,$B66,'Executive Pay Breakdown'!Q:Q)+SUMIF('Executive Pay Breakdown'!B:B,$B66,'Executive Pay Breakdown'!U:U)+SUMIF('Executive Pay Breakdown'!B:B,$B66,'Executive Pay Breakdown'!Y:Y)+SUMIF('Executive Pay Breakdown'!B:B,$B66,'Executive Pay Breakdown'!AC:AC)</f>
        <v>159560378</v>
      </c>
      <c r="D66" s="161">
        <f>SUMIF('Executive Pay Breakdown'!B:B,$B66,'Executive Pay Breakdown'!M:M)</f>
        <v>25089615</v>
      </c>
      <c r="E66" s="161">
        <f>SUMIF('Executive Pay Breakdown'!B:B,$B66,'Executive Pay Breakdown'!Q:Q)</f>
        <v>27276220</v>
      </c>
      <c r="F66" s="161">
        <f>SUMIF('Executive Pay Breakdown'!B:B,$B66,'Executive Pay Breakdown'!U:U)</f>
        <v>35335412</v>
      </c>
      <c r="G66" s="161">
        <f>SUMIF('Executive Pay Breakdown'!B:B,$B66,'Executive Pay Breakdown'!Y:Y)</f>
        <v>39352893</v>
      </c>
      <c r="H66" s="161">
        <f>SUMIF('Executive Pay Breakdown'!B:B,$B66,'Executive Pay Breakdown'!AC:AC)</f>
        <v>32506238</v>
      </c>
      <c r="I66" s="802"/>
      <c r="J66" s="166">
        <f t="shared" si="2"/>
        <v>81016.6</v>
      </c>
      <c r="K66" s="179">
        <v>86778.0</v>
      </c>
      <c r="L66" s="179">
        <v>81179.0</v>
      </c>
      <c r="M66" s="179">
        <v>77778.0</v>
      </c>
      <c r="N66" s="179">
        <v>79446.0</v>
      </c>
      <c r="O66" s="179">
        <v>79902.0</v>
      </c>
      <c r="P66" s="201"/>
      <c r="Q66" s="781"/>
      <c r="R66" s="230"/>
      <c r="S66" s="201"/>
      <c r="T66" s="201"/>
      <c r="U66" s="201"/>
      <c r="V66" s="201"/>
    </row>
    <row r="67" ht="15.0" customHeight="1">
      <c r="A67" s="169">
        <f t="array" ref="A67">INDEX('Federal Tax, Stock Buybacks, &amp; '!D:D,match(B67,'Federal Tax, Stock Buybacks, &amp; '!E:E,0))</f>
        <v>168</v>
      </c>
      <c r="B67" s="632" t="s">
        <v>948</v>
      </c>
      <c r="C67" s="160">
        <f>SUMIF('Executive Pay Breakdown'!B:B,$B67,'Executive Pay Breakdown'!M:M)+SUMIF('Executive Pay Breakdown'!B:B,$B67,'Executive Pay Breakdown'!Q:Q)+SUMIF('Executive Pay Breakdown'!B:B,$B67,'Executive Pay Breakdown'!U:U)+SUMIF('Executive Pay Breakdown'!B:B,$B67,'Executive Pay Breakdown'!Y:Y)+SUMIF('Executive Pay Breakdown'!B:B,$B67,'Executive Pay Breakdown'!AC:AC)</f>
        <v>261359417</v>
      </c>
      <c r="D67" s="161">
        <f>SUMIF('Executive Pay Breakdown'!B:B,$B67,'Executive Pay Breakdown'!M:M)</f>
        <v>81023309</v>
      </c>
      <c r="E67" s="161">
        <f>SUMIF('Executive Pay Breakdown'!B:B,$B67,'Executive Pay Breakdown'!Q:Q)</f>
        <v>49267585</v>
      </c>
      <c r="F67" s="161">
        <f>SUMIF('Executive Pay Breakdown'!B:B,$B67,'Executive Pay Breakdown'!U:U)</f>
        <v>43439620</v>
      </c>
      <c r="G67" s="161">
        <f>SUMIF('Executive Pay Breakdown'!B:B,$B67,'Executive Pay Breakdown'!Y:Y)</f>
        <v>44835516</v>
      </c>
      <c r="H67" s="161">
        <f>SUMIF('Executive Pay Breakdown'!B:B,$B67,'Executive Pay Breakdown'!AC:AC)</f>
        <v>42793387</v>
      </c>
      <c r="I67" s="802"/>
      <c r="J67" s="166">
        <f t="shared" si="2"/>
        <v>74631.4</v>
      </c>
      <c r="K67" s="179">
        <v>70695.0</v>
      </c>
      <c r="L67" s="179">
        <v>78333.0</v>
      </c>
      <c r="M67" s="179">
        <v>80350.0</v>
      </c>
      <c r="N67" s="179">
        <v>76131.0</v>
      </c>
      <c r="O67" s="179">
        <v>67648.0</v>
      </c>
      <c r="P67" s="212"/>
      <c r="Q67" s="781"/>
      <c r="R67" s="230"/>
      <c r="S67" s="212"/>
      <c r="T67" s="212"/>
      <c r="U67" s="212"/>
      <c r="V67" s="212"/>
    </row>
    <row r="68" ht="15.0" customHeight="1">
      <c r="A68" s="169">
        <f t="array" ref="A68">INDEX('Federal Tax, Stock Buybacks, &amp; '!D:D,match(B68,'Federal Tax, Stock Buybacks, &amp; '!E:E,0))</f>
        <v>169</v>
      </c>
      <c r="B68" s="632" t="s">
        <v>1049</v>
      </c>
      <c r="C68" s="160">
        <f>SUMIF('Executive Pay Breakdown'!B:B,$B68,'Executive Pay Breakdown'!M:M)+SUMIF('Executive Pay Breakdown'!B:B,$B68,'Executive Pay Breakdown'!Q:Q)+SUMIF('Executive Pay Breakdown'!B:B,$B68,'Executive Pay Breakdown'!U:U)+SUMIF('Executive Pay Breakdown'!B:B,$B68,'Executive Pay Breakdown'!Y:Y)+SUMIF('Executive Pay Breakdown'!B:B,$B68,'Executive Pay Breakdown'!AC:AC)</f>
        <v>215612988</v>
      </c>
      <c r="D68" s="161">
        <f>SUMIF('Executive Pay Breakdown'!B:B,$B68,'Executive Pay Breakdown'!M:M)</f>
        <v>48148644</v>
      </c>
      <c r="E68" s="161">
        <f>SUMIF('Executive Pay Breakdown'!B:B,$B68,'Executive Pay Breakdown'!Q:Q)</f>
        <v>52147461</v>
      </c>
      <c r="F68" s="161">
        <f>SUMIF('Executive Pay Breakdown'!B:B,$B68,'Executive Pay Breakdown'!U:U)</f>
        <v>36481383</v>
      </c>
      <c r="G68" s="161">
        <f>SUMIF('Executive Pay Breakdown'!B:B,$B68,'Executive Pay Breakdown'!Y:Y)</f>
        <v>42459329</v>
      </c>
      <c r="H68" s="161">
        <f>SUMIF('Executive Pay Breakdown'!B:B,$B68,'Executive Pay Breakdown'!AC:AC)</f>
        <v>36376171</v>
      </c>
      <c r="I68" s="802"/>
      <c r="J68" s="166">
        <f t="shared" si="2"/>
        <v>9861.2</v>
      </c>
      <c r="K68" s="188">
        <v>14521.0</v>
      </c>
      <c r="L68" s="819">
        <v>8897.0</v>
      </c>
      <c r="M68" s="819">
        <v>9124.0</v>
      </c>
      <c r="N68" s="819">
        <v>9291.0</v>
      </c>
      <c r="O68" s="819">
        <v>7473.0</v>
      </c>
      <c r="P68" s="87"/>
      <c r="Q68" s="781"/>
      <c r="R68" s="87"/>
      <c r="S68" s="87"/>
      <c r="T68" s="87"/>
      <c r="U68" s="87"/>
      <c r="V68" s="87"/>
    </row>
    <row r="69" ht="15.0" customHeight="1">
      <c r="A69" s="169">
        <f t="array" ref="A69">INDEX('Federal Tax, Stock Buybacks, &amp; '!D:D,match(B69,'Federal Tax, Stock Buybacks, &amp; '!E:E,0))</f>
        <v>177</v>
      </c>
      <c r="B69" s="632" t="s">
        <v>1061</v>
      </c>
      <c r="C69" s="160">
        <f>SUMIF('Executive Pay Breakdown'!B:B,$B69,'Executive Pay Breakdown'!M:M)+SUMIF('Executive Pay Breakdown'!B:B,$B69,'Executive Pay Breakdown'!Q:Q)+SUMIF('Executive Pay Breakdown'!B:B,$B69,'Executive Pay Breakdown'!U:U)+SUMIF('Executive Pay Breakdown'!B:B,$B69,'Executive Pay Breakdown'!Y:Y)+SUMIF('Executive Pay Breakdown'!B:B,$B69,'Executive Pay Breakdown'!AC:AC)</f>
        <v>274628907</v>
      </c>
      <c r="D69" s="161">
        <f>SUMIF('Executive Pay Breakdown'!B:B,$B69,'Executive Pay Breakdown'!M:M)</f>
        <v>51815143</v>
      </c>
      <c r="E69" s="161">
        <f>SUMIF('Executive Pay Breakdown'!B:B,$B69,'Executive Pay Breakdown'!Q:Q)</f>
        <v>57913501</v>
      </c>
      <c r="F69" s="161">
        <f>SUMIF('Executive Pay Breakdown'!B:B,$B69,'Executive Pay Breakdown'!U:U)</f>
        <v>64364997</v>
      </c>
      <c r="G69" s="161">
        <f>SUMIF('Executive Pay Breakdown'!B:B,$B69,'Executive Pay Breakdown'!Y:Y)</f>
        <v>55115682</v>
      </c>
      <c r="H69" s="161">
        <f>SUMIF('Executive Pay Breakdown'!B:B,$B69,'Executive Pay Breakdown'!AC:AC)</f>
        <v>45419584</v>
      </c>
      <c r="I69" s="802"/>
      <c r="J69" s="166">
        <f t="shared" si="2"/>
        <v>129949.4</v>
      </c>
      <c r="K69" s="188">
        <v>129440.0</v>
      </c>
      <c r="L69" s="188">
        <v>128154.0</v>
      </c>
      <c r="M69" s="188">
        <v>132114.0</v>
      </c>
      <c r="N69" s="188">
        <v>138142.0</v>
      </c>
      <c r="O69" s="188">
        <v>121897.0</v>
      </c>
      <c r="P69" s="87"/>
      <c r="Q69" s="781"/>
      <c r="R69" s="230"/>
      <c r="S69" s="87"/>
      <c r="T69" s="87"/>
      <c r="U69" s="87"/>
      <c r="V69" s="87"/>
    </row>
    <row r="70" ht="15.0" customHeight="1">
      <c r="A70" s="169">
        <f t="array" ref="A70">INDEX('Federal Tax, Stock Buybacks, &amp; '!D:D,match(B70,'Federal Tax, Stock Buybacks, &amp; '!E:E,0))</f>
        <v>200</v>
      </c>
      <c r="B70" s="632" t="s">
        <v>878</v>
      </c>
      <c r="C70" s="160">
        <f>SUMIF('Executive Pay Breakdown'!B:B,$B70,'Executive Pay Breakdown'!M:M)+SUMIF('Executive Pay Breakdown'!B:B,$B70,'Executive Pay Breakdown'!Q:Q)+SUMIF('Executive Pay Breakdown'!B:B,$B70,'Executive Pay Breakdown'!U:U)+SUMIF('Executive Pay Breakdown'!B:B,$B70,'Executive Pay Breakdown'!Y:Y)+SUMIF('Executive Pay Breakdown'!B:B,$B70,'Executive Pay Breakdown'!AC:AC)</f>
        <v>240991665</v>
      </c>
      <c r="D70" s="161">
        <f>SUMIF('Executive Pay Breakdown'!B:B,$B70,'Executive Pay Breakdown'!M:M)</f>
        <v>53466488</v>
      </c>
      <c r="E70" s="161">
        <f>SUMIF('Executive Pay Breakdown'!B:B,$B70,'Executive Pay Breakdown'!Q:Q)</f>
        <v>46808656</v>
      </c>
      <c r="F70" s="161">
        <f>SUMIF('Executive Pay Breakdown'!B:B,$B70,'Executive Pay Breakdown'!U:U)</f>
        <v>48195728</v>
      </c>
      <c r="G70" s="161">
        <f>SUMIF('Executive Pay Breakdown'!B:B,$B70,'Executive Pay Breakdown'!Y:Y)</f>
        <v>42670368</v>
      </c>
      <c r="H70" s="161">
        <f>SUMIF('Executive Pay Breakdown'!B:B,$B70,'Executive Pay Breakdown'!AC:AC)</f>
        <v>49850425</v>
      </c>
      <c r="I70" s="802"/>
      <c r="J70" s="166">
        <f t="shared" si="2"/>
        <v>75318.4</v>
      </c>
      <c r="K70" s="179">
        <v>67144.0</v>
      </c>
      <c r="L70" s="179">
        <v>69407.0</v>
      </c>
      <c r="M70" s="179">
        <v>74102.0</v>
      </c>
      <c r="N70" s="179">
        <v>82034.0</v>
      </c>
      <c r="O70" s="179">
        <v>83905.0</v>
      </c>
      <c r="P70" s="212"/>
      <c r="Q70" s="781"/>
      <c r="R70" s="230"/>
      <c r="S70" s="212"/>
      <c r="T70" s="212"/>
      <c r="U70" s="212"/>
      <c r="V70" s="212"/>
    </row>
    <row r="71" ht="15.0" customHeight="1">
      <c r="A71" s="169">
        <f t="array" ref="A71">INDEX('Federal Tax, Stock Buybacks, &amp; '!D:D,match(B71,'Federal Tax, Stock Buybacks, &amp; '!E:E,0))</f>
        <v>229</v>
      </c>
      <c r="B71" s="632" t="s">
        <v>1410</v>
      </c>
      <c r="C71" s="160">
        <f>SUMIF('Executive Pay Breakdown'!B:B,$B71,'Executive Pay Breakdown'!M:M)+SUMIF('Executive Pay Breakdown'!B:B,$B71,'Executive Pay Breakdown'!Q:Q)+SUMIF('Executive Pay Breakdown'!B:B,$B71,'Executive Pay Breakdown'!U:U)+SUMIF('Executive Pay Breakdown'!B:B,$B71,'Executive Pay Breakdown'!Y:Y)+SUMIF('Executive Pay Breakdown'!B:B,$B71,'Executive Pay Breakdown'!AC:AC)</f>
        <v>397285113</v>
      </c>
      <c r="D71" s="161">
        <f>SUMIF('Executive Pay Breakdown'!B:B,$B71,'Executive Pay Breakdown'!M:M)</f>
        <v>87857749</v>
      </c>
      <c r="E71" s="161">
        <f>SUMIF('Executive Pay Breakdown'!B:B,$B71,'Executive Pay Breakdown'!Q:Q)</f>
        <v>91844712</v>
      </c>
      <c r="F71" s="161">
        <f>SUMIF('Executive Pay Breakdown'!B:B,$B71,'Executive Pay Breakdown'!U:U)</f>
        <v>84265248</v>
      </c>
      <c r="G71" s="161">
        <f>SUMIF('Executive Pay Breakdown'!B:B,$B71,'Executive Pay Breakdown'!Y:Y)</f>
        <v>64545308</v>
      </c>
      <c r="H71" s="161">
        <f>SUMIF('Executive Pay Breakdown'!B:B,$B71,'Executive Pay Breakdown'!AC:AC)</f>
        <v>68772096</v>
      </c>
      <c r="I71" s="802"/>
      <c r="J71" s="166">
        <f t="shared" si="2"/>
        <v>147235.6</v>
      </c>
      <c r="K71" s="179">
        <v>154312.0</v>
      </c>
      <c r="L71" s="179">
        <v>164492.0</v>
      </c>
      <c r="M71" s="179">
        <v>147417.0</v>
      </c>
      <c r="N71" s="188">
        <v>133644.0</v>
      </c>
      <c r="O71" s="647">
        <v>136313.0</v>
      </c>
      <c r="P71" s="87"/>
      <c r="Q71" s="781"/>
      <c r="R71" s="230"/>
      <c r="S71" s="87"/>
      <c r="T71" s="87"/>
      <c r="U71" s="87"/>
      <c r="V71" s="87"/>
    </row>
    <row r="72" ht="15.0" customHeight="1">
      <c r="A72" s="169">
        <f t="array" ref="A72">INDEX('Federal Tax, Stock Buybacks, &amp; '!D:D,match(B72,'Federal Tax, Stock Buybacks, &amp; '!E:E,0))</f>
        <v>235</v>
      </c>
      <c r="B72" s="632" t="s">
        <v>905</v>
      </c>
      <c r="C72" s="160">
        <f>SUMIF('Executive Pay Breakdown'!B:B,$B72,'Executive Pay Breakdown'!M:M)+SUMIF('Executive Pay Breakdown'!B:B,$B72,'Executive Pay Breakdown'!Q:Q)+SUMIF('Executive Pay Breakdown'!B:B,$B72,'Executive Pay Breakdown'!U:U)+SUMIF('Executive Pay Breakdown'!B:B,$B72,'Executive Pay Breakdown'!Y:Y)+SUMIF('Executive Pay Breakdown'!B:B,$B72,'Executive Pay Breakdown'!AC:AC)</f>
        <v>162849367</v>
      </c>
      <c r="D72" s="161">
        <f>SUMIF('Executive Pay Breakdown'!B:B,$B72,'Executive Pay Breakdown'!M:M)</f>
        <v>39766749</v>
      </c>
      <c r="E72" s="161">
        <f>SUMIF('Executive Pay Breakdown'!B:B,$B72,'Executive Pay Breakdown'!Q:Q)</f>
        <v>38880518</v>
      </c>
      <c r="F72" s="161">
        <f>SUMIF('Executive Pay Breakdown'!B:B,$B72,'Executive Pay Breakdown'!U:U)</f>
        <v>29468187</v>
      </c>
      <c r="G72" s="161">
        <f>SUMIF('Executive Pay Breakdown'!B:B,$B72,'Executive Pay Breakdown'!Y:Y)</f>
        <v>28844918</v>
      </c>
      <c r="H72" s="161">
        <f>SUMIF('Executive Pay Breakdown'!B:B,$B72,'Executive Pay Breakdown'!AC:AC)</f>
        <v>25888995</v>
      </c>
      <c r="I72" s="802"/>
      <c r="J72" s="166">
        <f t="shared" si="2"/>
        <v>48591.8</v>
      </c>
      <c r="K72" s="188">
        <v>59325.0</v>
      </c>
      <c r="L72" s="188">
        <v>50316.0</v>
      </c>
      <c r="M72" s="188">
        <v>45978.0</v>
      </c>
      <c r="N72" s="188">
        <v>45407.0</v>
      </c>
      <c r="O72" s="188">
        <v>41933.0</v>
      </c>
      <c r="P72" s="87"/>
      <c r="Q72" s="781"/>
      <c r="R72" s="230"/>
      <c r="S72" s="87"/>
      <c r="T72" s="87"/>
      <c r="U72" s="87"/>
      <c r="V72" s="87"/>
    </row>
    <row r="73" ht="15.0" customHeight="1">
      <c r="A73" s="169">
        <f t="array" ref="A73">INDEX('Federal Tax, Stock Buybacks, &amp; '!D:D,match(B73,'Federal Tax, Stock Buybacks, &amp; '!E:E,0))</f>
        <v>246</v>
      </c>
      <c r="B73" s="161" t="s">
        <v>3191</v>
      </c>
      <c r="C73" s="160">
        <f>SUMIF('Executive Pay Breakdown'!B:B,$B73,'Executive Pay Breakdown'!M:M)+SUMIF('Executive Pay Breakdown'!B:B,$B73,'Executive Pay Breakdown'!Q:Q)+SUMIF('Executive Pay Breakdown'!B:B,$B73,'Executive Pay Breakdown'!U:U)+SUMIF('Executive Pay Breakdown'!B:B,$B73,'Executive Pay Breakdown'!Y:Y)+SUMIF('Executive Pay Breakdown'!B:B,$B73,'Executive Pay Breakdown'!AC:AC)</f>
        <v>216367050</v>
      </c>
      <c r="D73" s="161">
        <f>SUMIF('Executive Pay Breakdown'!B:B,$B73,'Executive Pay Breakdown'!M:M)</f>
        <v>46762949</v>
      </c>
      <c r="E73" s="161">
        <f>SUMIF('Executive Pay Breakdown'!B:B,$B73,'Executive Pay Breakdown'!Q:Q)</f>
        <v>44334281</v>
      </c>
      <c r="F73" s="161">
        <f>SUMIF('Executive Pay Breakdown'!B:B,$B73,'Executive Pay Breakdown'!U:U)</f>
        <v>43885004</v>
      </c>
      <c r="G73" s="161">
        <f>SUMIF('Executive Pay Breakdown'!B:B,$B73,'Executive Pay Breakdown'!Y:Y)</f>
        <v>57793500</v>
      </c>
      <c r="H73" s="161">
        <f>SUMIF('Executive Pay Breakdown'!B:B,$B73,'Executive Pay Breakdown'!AC:AC)</f>
        <v>23591316</v>
      </c>
      <c r="I73" s="192"/>
      <c r="J73" s="813">
        <f t="shared" si="2"/>
        <v>99918.2</v>
      </c>
      <c r="K73" s="220">
        <v>133708.0</v>
      </c>
      <c r="L73" s="220">
        <v>110846.0</v>
      </c>
      <c r="M73" s="220">
        <v>99189.0</v>
      </c>
      <c r="N73" s="220">
        <v>58426.0</v>
      </c>
      <c r="O73" s="220">
        <v>97422.0</v>
      </c>
      <c r="P73" s="87"/>
      <c r="Q73" s="781"/>
      <c r="R73" s="87"/>
      <c r="S73" s="87"/>
      <c r="T73" s="87"/>
      <c r="U73" s="87"/>
      <c r="V73" s="87"/>
    </row>
    <row r="74" ht="15.0" customHeight="1">
      <c r="A74" s="169">
        <f t="array" ref="A74">INDEX('Federal Tax, Stock Buybacks, &amp; '!D:D,match(B74,'Federal Tax, Stock Buybacks, &amp; '!E:E,0))</f>
        <v>251</v>
      </c>
      <c r="B74" s="632" t="s">
        <v>1443</v>
      </c>
      <c r="C74" s="160">
        <f>SUMIF('Executive Pay Breakdown'!B:B,$B74,'Executive Pay Breakdown'!M:M)+SUMIF('Executive Pay Breakdown'!B:B,$B74,'Executive Pay Breakdown'!Q:Q)+SUMIF('Executive Pay Breakdown'!B:B,$B74,'Executive Pay Breakdown'!U:U)+SUMIF('Executive Pay Breakdown'!B:B,$B74,'Executive Pay Breakdown'!Y:Y)+SUMIF('Executive Pay Breakdown'!B:B,$B74,'Executive Pay Breakdown'!AC:AC)</f>
        <v>221149759</v>
      </c>
      <c r="D74" s="161">
        <f>SUMIF('Executive Pay Breakdown'!B:B,$B74,'Executive Pay Breakdown'!M:M)</f>
        <v>57136177</v>
      </c>
      <c r="E74" s="161">
        <f>SUMIF('Executive Pay Breakdown'!B:B,$B74,'Executive Pay Breakdown'!Q:Q)</f>
        <v>50823774</v>
      </c>
      <c r="F74" s="161">
        <f>SUMIF('Executive Pay Breakdown'!B:B,$B74,'Executive Pay Breakdown'!U:U)</f>
        <v>35888366</v>
      </c>
      <c r="G74" s="161">
        <f>SUMIF('Executive Pay Breakdown'!B:B,$B74,'Executive Pay Breakdown'!Y:Y)</f>
        <v>38412138</v>
      </c>
      <c r="H74" s="161">
        <f>SUMIF('Executive Pay Breakdown'!B:B,$B74,'Executive Pay Breakdown'!AC:AC)</f>
        <v>38889304</v>
      </c>
      <c r="I74" s="802"/>
      <c r="J74" s="811">
        <f t="shared" si="2"/>
        <v>63215.8</v>
      </c>
      <c r="K74" s="179">
        <v>64996.0</v>
      </c>
      <c r="L74" s="179">
        <v>62238.0</v>
      </c>
      <c r="M74" s="179">
        <v>64965.0</v>
      </c>
      <c r="N74" s="188">
        <v>60655.0</v>
      </c>
      <c r="O74" s="179">
        <v>63225.0</v>
      </c>
      <c r="P74" s="87"/>
      <c r="Q74" s="781"/>
      <c r="R74" s="87"/>
      <c r="S74" s="87"/>
      <c r="T74" s="87"/>
      <c r="U74" s="87"/>
      <c r="V74" s="87"/>
    </row>
    <row r="75" ht="15.0" customHeight="1">
      <c r="A75" s="169">
        <f t="array" ref="A75">INDEX('Federal Tax, Stock Buybacks, &amp; '!D:D,match(B75,'Federal Tax, Stock Buybacks, &amp; '!E:E,0))</f>
        <v>273</v>
      </c>
      <c r="B75" s="632" t="s">
        <v>1260</v>
      </c>
      <c r="C75" s="160">
        <f>SUMIF('Executive Pay Breakdown'!B:B,$B75,'Executive Pay Breakdown'!M:M)+SUMIF('Executive Pay Breakdown'!B:B,$B75,'Executive Pay Breakdown'!Q:Q)+SUMIF('Executive Pay Breakdown'!B:B,$B75,'Executive Pay Breakdown'!U:U)+SUMIF('Executive Pay Breakdown'!B:B,$B75,'Executive Pay Breakdown'!Y:Y)+SUMIF('Executive Pay Breakdown'!B:B,$B75,'Executive Pay Breakdown'!AC:AC)</f>
        <v>151087290</v>
      </c>
      <c r="D75" s="161">
        <f>SUMIF('Executive Pay Breakdown'!B:B,$B75,'Executive Pay Breakdown'!M:M)</f>
        <v>29735965</v>
      </c>
      <c r="E75" s="161">
        <f>SUMIF('Executive Pay Breakdown'!B:B,$B75,'Executive Pay Breakdown'!Q:Q)</f>
        <v>31246651</v>
      </c>
      <c r="F75" s="161">
        <f>SUMIF('Executive Pay Breakdown'!B:B,$B75,'Executive Pay Breakdown'!U:U)</f>
        <v>26794590</v>
      </c>
      <c r="G75" s="161">
        <f>SUMIF('Executive Pay Breakdown'!B:B,$B75,'Executive Pay Breakdown'!Y:Y)</f>
        <v>32617084</v>
      </c>
      <c r="H75" s="161">
        <f>SUMIF('Executive Pay Breakdown'!B:B,$B75,'Executive Pay Breakdown'!AC:AC)</f>
        <v>30693000</v>
      </c>
      <c r="I75" s="802"/>
      <c r="J75" s="811">
        <f t="shared" si="2"/>
        <v>56067.4</v>
      </c>
      <c r="K75" s="179">
        <v>58324.0</v>
      </c>
      <c r="L75" s="179">
        <v>63770.0</v>
      </c>
      <c r="M75" s="179">
        <v>61430.0</v>
      </c>
      <c r="N75" s="188">
        <v>47096.0</v>
      </c>
      <c r="O75" s="179">
        <v>49717.0</v>
      </c>
      <c r="P75" s="87"/>
      <c r="Q75" s="781"/>
      <c r="R75" s="230"/>
      <c r="S75" s="87"/>
      <c r="T75" s="87"/>
      <c r="U75" s="87"/>
      <c r="V75" s="87"/>
    </row>
    <row r="76" ht="15.0" customHeight="1">
      <c r="A76" s="196">
        <f t="array" ref="A76">INDEX('Federal Tax, Stock Buybacks, &amp; '!D:D,match(B76,'Federal Tax, Stock Buybacks, &amp; '!E:E,0))</f>
        <v>277</v>
      </c>
      <c r="B76" s="130" t="s">
        <v>744</v>
      </c>
      <c r="C76" s="160">
        <f>SUMIF('Executive Pay Breakdown'!B:B,$B76,'Executive Pay Breakdown'!M:M)+SUMIF('Executive Pay Breakdown'!B:B,$B76,'Executive Pay Breakdown'!Q:Q)+SUMIF('Executive Pay Breakdown'!B:B,$B76,'Executive Pay Breakdown'!U:U)+SUMIF('Executive Pay Breakdown'!B:B,$B76,'Executive Pay Breakdown'!Y:Y)+SUMIF('Executive Pay Breakdown'!B:B,$B76,'Executive Pay Breakdown'!AC:AC)</f>
        <v>169829664</v>
      </c>
      <c r="D76" s="161">
        <f>SUMIF('Executive Pay Breakdown'!B:B,$B76,'Executive Pay Breakdown'!M:M)</f>
        <v>35826082</v>
      </c>
      <c r="E76" s="161">
        <f>SUMIF('Executive Pay Breakdown'!B:B,$B76,'Executive Pay Breakdown'!Q:Q)</f>
        <v>42505752</v>
      </c>
      <c r="F76" s="161">
        <f>SUMIF('Executive Pay Breakdown'!B:B,$B76,'Executive Pay Breakdown'!U:U)</f>
        <v>30310564</v>
      </c>
      <c r="G76" s="161">
        <f>SUMIF('Executive Pay Breakdown'!B:B,$B76,'Executive Pay Breakdown'!Y:Y)</f>
        <v>31533545</v>
      </c>
      <c r="H76" s="161">
        <f>SUMIF('Executive Pay Breakdown'!B:B,$B76,'Executive Pay Breakdown'!AC:AC)</f>
        <v>29653721</v>
      </c>
      <c r="I76" s="172"/>
      <c r="J76" s="811">
        <f t="shared" si="2"/>
        <v>84724.8</v>
      </c>
      <c r="K76" s="188">
        <v>83173.0</v>
      </c>
      <c r="L76" s="188">
        <v>91393.0</v>
      </c>
      <c r="M76" s="188">
        <v>86427.0</v>
      </c>
      <c r="N76" s="188">
        <v>79733.0</v>
      </c>
      <c r="O76" s="188">
        <v>82898.0</v>
      </c>
      <c r="P76" s="87"/>
      <c r="Q76" s="781"/>
      <c r="R76" s="87"/>
      <c r="S76" s="87"/>
      <c r="T76" s="87"/>
      <c r="U76" s="87"/>
      <c r="V76" s="87"/>
    </row>
    <row r="77" ht="15.0" customHeight="1">
      <c r="A77" s="169">
        <f t="array" ref="A77">INDEX('Federal Tax, Stock Buybacks, &amp; '!D:D,match(B77,'Federal Tax, Stock Buybacks, &amp; '!E:E,0))</f>
        <v>320</v>
      </c>
      <c r="B77" s="632" t="s">
        <v>1000</v>
      </c>
      <c r="C77" s="160">
        <f>SUMIF('Executive Pay Breakdown'!B:B,$B77,'Executive Pay Breakdown'!M:M)+SUMIF('Executive Pay Breakdown'!B:B,$B77,'Executive Pay Breakdown'!Q:Q)+SUMIF('Executive Pay Breakdown'!B:B,$B77,'Executive Pay Breakdown'!U:U)+SUMIF('Executive Pay Breakdown'!B:B,$B77,'Executive Pay Breakdown'!Y:Y)+SUMIF('Executive Pay Breakdown'!B:B,$B77,'Executive Pay Breakdown'!AC:AC)</f>
        <v>180388620</v>
      </c>
      <c r="D77" s="161">
        <f>SUMIF('Executive Pay Breakdown'!B:B,$B77,'Executive Pay Breakdown'!M:M)</f>
        <v>36343574</v>
      </c>
      <c r="E77" s="161">
        <f>SUMIF('Executive Pay Breakdown'!B:B,$B77,'Executive Pay Breakdown'!Q:Q)</f>
        <v>34317845</v>
      </c>
      <c r="F77" s="161">
        <f>SUMIF('Executive Pay Breakdown'!B:B,$B77,'Executive Pay Breakdown'!U:U)</f>
        <v>40873947</v>
      </c>
      <c r="G77" s="161">
        <f>SUMIF('Executive Pay Breakdown'!B:B,$B77,'Executive Pay Breakdown'!Y:Y)</f>
        <v>38633140</v>
      </c>
      <c r="H77" s="161">
        <f>SUMIF('Executive Pay Breakdown'!B:B,$B77,'Executive Pay Breakdown'!AC:AC)</f>
        <v>30220114</v>
      </c>
      <c r="I77" s="802"/>
      <c r="J77" s="811">
        <f t="shared" si="2"/>
        <v>104684.4</v>
      </c>
      <c r="K77" s="179">
        <v>114015.0</v>
      </c>
      <c r="L77" s="179">
        <v>99945.0</v>
      </c>
      <c r="M77" s="179">
        <v>102637.0</v>
      </c>
      <c r="N77" s="179">
        <v>108348.0</v>
      </c>
      <c r="O77" s="179">
        <v>98477.0</v>
      </c>
      <c r="P77" s="201"/>
      <c r="Q77" s="781"/>
      <c r="R77" s="230"/>
      <c r="S77" s="201"/>
      <c r="T77" s="201"/>
      <c r="U77" s="201"/>
      <c r="V77" s="201"/>
    </row>
    <row r="78" ht="15.0" customHeight="1">
      <c r="A78" s="169">
        <f t="array" ref="A78">INDEX('Federal Tax, Stock Buybacks, &amp; '!D:D,match(B78,'Federal Tax, Stock Buybacks, &amp; '!E:E,0))</f>
        <v>321</v>
      </c>
      <c r="B78" s="632" t="s">
        <v>1128</v>
      </c>
      <c r="C78" s="160">
        <f>SUMIF('Executive Pay Breakdown'!B:B,$B78,'Executive Pay Breakdown'!M:M)+SUMIF('Executive Pay Breakdown'!B:B,$B78,'Executive Pay Breakdown'!Q:Q)+SUMIF('Executive Pay Breakdown'!B:B,$B78,'Executive Pay Breakdown'!U:U)+SUMIF('Executive Pay Breakdown'!B:B,$B78,'Executive Pay Breakdown'!Y:Y)+SUMIF('Executive Pay Breakdown'!B:B,$B78,'Executive Pay Breakdown'!AC:AC)</f>
        <v>360710408</v>
      </c>
      <c r="D78" s="161">
        <f>SUMIF('Executive Pay Breakdown'!B:B,$B78,'Executive Pay Breakdown'!M:M)</f>
        <v>80716846</v>
      </c>
      <c r="E78" s="161">
        <f>SUMIF('Executive Pay Breakdown'!B:B,$B78,'Executive Pay Breakdown'!Q:Q)</f>
        <v>84281684</v>
      </c>
      <c r="F78" s="161">
        <f>SUMIF('Executive Pay Breakdown'!B:B,$B78,'Executive Pay Breakdown'!U:U)</f>
        <v>69408759</v>
      </c>
      <c r="G78" s="161">
        <f>SUMIF('Executive Pay Breakdown'!B:B,$B78,'Executive Pay Breakdown'!Y:Y)</f>
        <v>71080704</v>
      </c>
      <c r="H78" s="161">
        <f>SUMIF('Executive Pay Breakdown'!B:B,$B78,'Executive Pay Breakdown'!AC:AC)</f>
        <v>55222415</v>
      </c>
      <c r="I78" s="802"/>
      <c r="J78" s="811">
        <f t="shared" si="2"/>
        <v>170347.2</v>
      </c>
      <c r="K78" s="188">
        <v>203814.0</v>
      </c>
      <c r="L78" s="819">
        <v>176342.0</v>
      </c>
      <c r="M78" s="819">
        <v>167164.0</v>
      </c>
      <c r="N78" s="819">
        <v>157232.0</v>
      </c>
      <c r="O78" s="819">
        <v>147184.0</v>
      </c>
      <c r="P78" s="87"/>
      <c r="Q78" s="781"/>
      <c r="R78" s="87"/>
      <c r="S78" s="87"/>
      <c r="T78" s="87"/>
      <c r="U78" s="87"/>
      <c r="V78" s="87"/>
    </row>
    <row r="79" ht="15.0" customHeight="1">
      <c r="A79" s="169">
        <f t="array" ref="A79">INDEX('Federal Tax, Stock Buybacks, &amp; '!D:D,match(B79,'Federal Tax, Stock Buybacks, &amp; '!E:E,0))</f>
        <v>365</v>
      </c>
      <c r="B79" s="432" t="s">
        <v>1363</v>
      </c>
      <c r="C79" s="160">
        <f>SUMIF('Executive Pay Breakdown'!B:B,$B79,'Executive Pay Breakdown'!M:M)+SUMIF('Executive Pay Breakdown'!B:B,$B79,'Executive Pay Breakdown'!Q:Q)+SUMIF('Executive Pay Breakdown'!B:B,$B79,'Executive Pay Breakdown'!U:U)+SUMIF('Executive Pay Breakdown'!B:B,$B79,'Executive Pay Breakdown'!Y:Y)+SUMIF('Executive Pay Breakdown'!B:B,$B79,'Executive Pay Breakdown'!AC:AC)</f>
        <v>114375608</v>
      </c>
      <c r="D79" s="161">
        <f>SUMIF('Executive Pay Breakdown'!B:B,$B79,'Executive Pay Breakdown'!M:M)</f>
        <v>28468816</v>
      </c>
      <c r="E79" s="161">
        <f>SUMIF('Executive Pay Breakdown'!B:B,$B79,'Executive Pay Breakdown'!Q:Q)</f>
        <v>23821986</v>
      </c>
      <c r="F79" s="161">
        <f>SUMIF('Executive Pay Breakdown'!B:B,$B79,'Executive Pay Breakdown'!U:U)</f>
        <v>19280053</v>
      </c>
      <c r="G79" s="161">
        <f>SUMIF('Executive Pay Breakdown'!B:B,$B79,'Executive Pay Breakdown'!Y:Y)</f>
        <v>26115072</v>
      </c>
      <c r="H79" s="161">
        <f>SUMIF('Executive Pay Breakdown'!B:B,$B79,'Executive Pay Breakdown'!AC:AC)</f>
        <v>16689681</v>
      </c>
      <c r="I79" s="192"/>
      <c r="J79" s="811">
        <f t="shared" si="2"/>
        <v>121301.8</v>
      </c>
      <c r="K79" s="188">
        <v>133455.0</v>
      </c>
      <c r="L79" s="188">
        <v>128415.0</v>
      </c>
      <c r="M79" s="188">
        <v>116781.0</v>
      </c>
      <c r="N79" s="188">
        <v>119957.0</v>
      </c>
      <c r="O79" s="188">
        <v>107901.0</v>
      </c>
      <c r="P79" s="87"/>
      <c r="Q79" s="781"/>
      <c r="R79" s="87"/>
      <c r="S79" s="87"/>
      <c r="T79" s="87"/>
      <c r="U79" s="87"/>
      <c r="V79" s="87"/>
    </row>
    <row r="80" ht="15.0" customHeight="1">
      <c r="A80" s="169">
        <f t="array" ref="A80">INDEX('Federal Tax, Stock Buybacks, &amp; '!D:D,match(B80,'Federal Tax, Stock Buybacks, &amp; '!E:E,0))</f>
        <v>375</v>
      </c>
      <c r="B80" s="161" t="s">
        <v>3237</v>
      </c>
      <c r="C80" s="160">
        <f>SUMIF('Executive Pay Breakdown'!B:B,$B80,'Executive Pay Breakdown'!M:M)+SUMIF('Executive Pay Breakdown'!B:B,$B80,'Executive Pay Breakdown'!Q:Q)+SUMIF('Executive Pay Breakdown'!B:B,$B80,'Executive Pay Breakdown'!U:U)+SUMIF('Executive Pay Breakdown'!B:B,$B80,'Executive Pay Breakdown'!Y:Y)+SUMIF('Executive Pay Breakdown'!B:B,$B80,'Executive Pay Breakdown'!AC:AC)</f>
        <v>101667750</v>
      </c>
      <c r="D80" s="161">
        <f>SUMIF('Executive Pay Breakdown'!B:B,$B80,'Executive Pay Breakdown'!M:M)</f>
        <v>22035044</v>
      </c>
      <c r="E80" s="161">
        <f>SUMIF('Executive Pay Breakdown'!B:B,$B80,'Executive Pay Breakdown'!Q:Q)</f>
        <v>21562195</v>
      </c>
      <c r="F80" s="161">
        <f>SUMIF('Executive Pay Breakdown'!B:B,$B80,'Executive Pay Breakdown'!U:U)</f>
        <v>18752295</v>
      </c>
      <c r="G80" s="161">
        <f>SUMIF('Executive Pay Breakdown'!B:B,$B80,'Executive Pay Breakdown'!Y:Y)</f>
        <v>23157008</v>
      </c>
      <c r="H80" s="161">
        <f>SUMIF('Executive Pay Breakdown'!B:B,$B80,'Executive Pay Breakdown'!AC:AC)</f>
        <v>16161208</v>
      </c>
      <c r="I80" s="192"/>
      <c r="J80" s="813">
        <f t="shared" si="2"/>
        <v>74720.6</v>
      </c>
      <c r="K80" s="220">
        <v>89990.0</v>
      </c>
      <c r="L80" s="220">
        <v>69551.0</v>
      </c>
      <c r="M80" s="220">
        <v>71130.0</v>
      </c>
      <c r="N80" s="220">
        <v>73108.0</v>
      </c>
      <c r="O80" s="220">
        <v>69824.0</v>
      </c>
      <c r="P80" s="87"/>
      <c r="Q80" s="781"/>
      <c r="R80" s="87"/>
      <c r="S80" s="87"/>
      <c r="T80" s="87"/>
      <c r="U80" s="87"/>
      <c r="V80" s="87"/>
    </row>
    <row r="81" ht="15.0" customHeight="1">
      <c r="A81" s="169">
        <f t="array" ref="A81">INDEX('Federal Tax, Stock Buybacks, &amp; '!D:D,match(B81,'Federal Tax, Stock Buybacks, &amp; '!E:E,0))</f>
        <v>411</v>
      </c>
      <c r="B81" s="632" t="s">
        <v>1211</v>
      </c>
      <c r="C81" s="160">
        <f>SUMIF('Executive Pay Breakdown'!B:B,$B81,'Executive Pay Breakdown'!M:M)+SUMIF('Executive Pay Breakdown'!B:B,$B81,'Executive Pay Breakdown'!Q:Q)+SUMIF('Executive Pay Breakdown'!B:B,$B81,'Executive Pay Breakdown'!U:U)+SUMIF('Executive Pay Breakdown'!B:B,$B81,'Executive Pay Breakdown'!Y:Y)+SUMIF('Executive Pay Breakdown'!B:B,$B81,'Executive Pay Breakdown'!AC:AC)</f>
        <v>126906665</v>
      </c>
      <c r="D81" s="161">
        <f>SUMIF('Executive Pay Breakdown'!B:B,$B81,'Executive Pay Breakdown'!M:M)</f>
        <v>30186028</v>
      </c>
      <c r="E81" s="161">
        <f>SUMIF('Executive Pay Breakdown'!B:B,$B81,'Executive Pay Breakdown'!Q:Q)</f>
        <v>25144342</v>
      </c>
      <c r="F81" s="161">
        <f>SUMIF('Executive Pay Breakdown'!B:B,$B81,'Executive Pay Breakdown'!U:U)</f>
        <v>23750060</v>
      </c>
      <c r="G81" s="161">
        <f>SUMIF('Executive Pay Breakdown'!B:B,$B81,'Executive Pay Breakdown'!Y:Y)</f>
        <v>20204358</v>
      </c>
      <c r="H81" s="161">
        <f>SUMIF('Executive Pay Breakdown'!B:B,$B81,'Executive Pay Breakdown'!AC:AC)</f>
        <v>27621877</v>
      </c>
      <c r="I81" s="802"/>
      <c r="J81" s="811">
        <f t="shared" si="2"/>
        <v>66633.2</v>
      </c>
      <c r="K81" s="188">
        <v>64721.0</v>
      </c>
      <c r="L81" s="188">
        <v>66720.0</v>
      </c>
      <c r="M81" s="188">
        <v>69436.0</v>
      </c>
      <c r="N81" s="188">
        <v>68103.0</v>
      </c>
      <c r="O81" s="188">
        <v>64186.0</v>
      </c>
      <c r="P81" s="87"/>
      <c r="Q81" s="781"/>
      <c r="R81" s="87"/>
      <c r="S81" s="87"/>
      <c r="T81" s="87"/>
      <c r="U81" s="87"/>
      <c r="V81" s="87"/>
    </row>
    <row r="82" ht="15.0" customHeight="1">
      <c r="A82" s="169">
        <f t="array" ref="A82">INDEX('Federal Tax, Stock Buybacks, &amp; '!D:D,match(B82,'Federal Tax, Stock Buybacks, &amp; '!E:E,0))</f>
        <v>428</v>
      </c>
      <c r="B82" s="130" t="s">
        <v>727</v>
      </c>
      <c r="C82" s="160">
        <f>SUMIF('Executive Pay Breakdown'!B:B,$B82,'Executive Pay Breakdown'!M:M)+SUMIF('Executive Pay Breakdown'!B:B,$B82,'Executive Pay Breakdown'!Q:Q)+SUMIF('Executive Pay Breakdown'!B:B,$B82,'Executive Pay Breakdown'!U:U)+SUMIF('Executive Pay Breakdown'!B:B,$B82,'Executive Pay Breakdown'!Y:Y)+SUMIF('Executive Pay Breakdown'!B:B,$B82,'Executive Pay Breakdown'!AC:AC)</f>
        <v>96898191</v>
      </c>
      <c r="D82" s="161">
        <f>SUMIF('Executive Pay Breakdown'!B:B,$B82,'Executive Pay Breakdown'!M:M)</f>
        <v>24048327</v>
      </c>
      <c r="E82" s="161">
        <f>SUMIF('Executive Pay Breakdown'!B:B,$B82,'Executive Pay Breakdown'!Q:Q)</f>
        <v>18482272</v>
      </c>
      <c r="F82" s="161">
        <f>SUMIF('Executive Pay Breakdown'!B:B,$B82,'Executive Pay Breakdown'!U:U)</f>
        <v>18397227</v>
      </c>
      <c r="G82" s="161">
        <f>SUMIF('Executive Pay Breakdown'!B:B,$B82,'Executive Pay Breakdown'!Y:Y)</f>
        <v>17235738</v>
      </c>
      <c r="H82" s="161">
        <f>SUMIF('Executive Pay Breakdown'!B:B,$B82,'Executive Pay Breakdown'!AC:AC)</f>
        <v>18734627</v>
      </c>
      <c r="I82" s="172"/>
      <c r="J82" s="811">
        <f t="shared" si="2"/>
        <v>53218.2</v>
      </c>
      <c r="K82" s="188">
        <v>57580.0</v>
      </c>
      <c r="L82" s="188">
        <v>53132.0</v>
      </c>
      <c r="M82" s="188">
        <v>53355.0</v>
      </c>
      <c r="N82" s="188">
        <v>52872.0</v>
      </c>
      <c r="O82" s="188">
        <v>49152.0</v>
      </c>
      <c r="P82" s="87"/>
      <c r="Q82" s="781"/>
      <c r="R82" s="87"/>
      <c r="S82" s="87"/>
      <c r="T82" s="87"/>
      <c r="U82" s="87"/>
      <c r="V82" s="87"/>
    </row>
    <row r="83" ht="15.0" customHeight="1">
      <c r="A83" s="169">
        <f t="array" ref="A83">INDEX('Federal Tax, Stock Buybacks, &amp; '!D:D,match(B83,'Federal Tax, Stock Buybacks, &amp; '!E:E,0))</f>
        <v>452</v>
      </c>
      <c r="B83" s="432" t="s">
        <v>1401</v>
      </c>
      <c r="C83" s="160">
        <f>SUMIF('Executive Pay Breakdown'!B:B,$B83,'Executive Pay Breakdown'!M:M)+SUMIF('Executive Pay Breakdown'!B:B,$B83,'Executive Pay Breakdown'!Q:Q)+SUMIF('Executive Pay Breakdown'!B:B,$B83,'Executive Pay Breakdown'!U:U)+SUMIF('Executive Pay Breakdown'!B:B,$B83,'Executive Pay Breakdown'!Y:Y)+SUMIF('Executive Pay Breakdown'!B:B,$B83,'Executive Pay Breakdown'!AC:AC)</f>
        <v>119568571</v>
      </c>
      <c r="D83" s="161">
        <f>SUMIF('Executive Pay Breakdown'!B:B,$B83,'Executive Pay Breakdown'!M:M)</f>
        <v>34222060</v>
      </c>
      <c r="E83" s="161">
        <f>SUMIF('Executive Pay Breakdown'!B:B,$B83,'Executive Pay Breakdown'!Q:Q)</f>
        <v>24365707</v>
      </c>
      <c r="F83" s="161">
        <f>SUMIF('Executive Pay Breakdown'!B:B,$B83,'Executive Pay Breakdown'!U:U)</f>
        <v>20945315</v>
      </c>
      <c r="G83" s="161">
        <f>SUMIF('Executive Pay Breakdown'!B:B,$B83,'Executive Pay Breakdown'!Y:Y)</f>
        <v>20117019</v>
      </c>
      <c r="H83" s="161">
        <f>SUMIF('Executive Pay Breakdown'!B:B,$B83,'Executive Pay Breakdown'!AC:AC)</f>
        <v>19918470</v>
      </c>
      <c r="I83" s="192"/>
      <c r="J83" s="811">
        <f t="shared" si="2"/>
        <v>120133.4</v>
      </c>
      <c r="K83" s="188">
        <v>124158.0</v>
      </c>
      <c r="L83" s="188">
        <v>121742.0</v>
      </c>
      <c r="M83" s="188">
        <v>121117.0</v>
      </c>
      <c r="N83" s="188">
        <v>126696.0</v>
      </c>
      <c r="O83" s="188">
        <v>106954.0</v>
      </c>
      <c r="P83" s="87"/>
      <c r="Q83" s="781"/>
      <c r="R83" s="87"/>
      <c r="S83" s="87"/>
      <c r="T83" s="87"/>
      <c r="U83" s="87"/>
      <c r="V83" s="87"/>
    </row>
    <row r="84" ht="15.0" customHeight="1">
      <c r="A84" s="196" t="str">
        <f t="array" ref="A84">INDEX('Federal Tax, Stock Buybacks, &amp; '!D:D,match(B84,'Federal Tax, Stock Buybacks, &amp; '!E:E,0))</f>
        <v>#N/A</v>
      </c>
      <c r="B84" s="817" t="s">
        <v>862</v>
      </c>
      <c r="C84" s="160">
        <f>SUMIF('Executive Pay Breakdown'!B:B,$B84,'Executive Pay Breakdown'!M:M)+SUMIF('Executive Pay Breakdown'!B:B,$B84,'Executive Pay Breakdown'!Q:Q)+SUMIF('Executive Pay Breakdown'!B:B,$B84,'Executive Pay Breakdown'!U:U)+SUMIF('Executive Pay Breakdown'!B:B,$B84,'Executive Pay Breakdown'!Y:Y)+SUMIF('Executive Pay Breakdown'!B:B,$B84,'Executive Pay Breakdown'!AC:AC)</f>
        <v>269271208</v>
      </c>
      <c r="D84" s="161">
        <f>SUMIF('Executive Pay Breakdown'!B:B,$B84,'Executive Pay Breakdown'!M:M)</f>
        <v>51809833</v>
      </c>
      <c r="E84" s="161">
        <f>SUMIF('Executive Pay Breakdown'!B:B,$B84,'Executive Pay Breakdown'!Q:Q)</f>
        <v>81515805</v>
      </c>
      <c r="F84" s="161">
        <f>SUMIF('Executive Pay Breakdown'!B:B,$B84,'Executive Pay Breakdown'!U:U)</f>
        <v>38091420</v>
      </c>
      <c r="G84" s="161">
        <f>SUMIF('Executive Pay Breakdown'!B:B,$B84,'Executive Pay Breakdown'!Y:Y)</f>
        <v>49451222</v>
      </c>
      <c r="H84" s="161">
        <f>SUMIF('Executive Pay Breakdown'!B:B,$B84,'Executive Pay Breakdown'!AC:AC)</f>
        <v>48402928</v>
      </c>
      <c r="I84" s="802"/>
      <c r="J84" s="811">
        <f t="shared" si="2"/>
        <v>12991</v>
      </c>
      <c r="K84" s="188">
        <v>13884.0</v>
      </c>
      <c r="L84" s="188">
        <v>14139.0</v>
      </c>
      <c r="M84" s="188">
        <v>13135.0</v>
      </c>
      <c r="N84" s="188">
        <v>12006.0</v>
      </c>
      <c r="O84" s="188">
        <v>11791.0</v>
      </c>
      <c r="P84" s="87"/>
      <c r="Q84" s="781"/>
      <c r="R84" s="230"/>
      <c r="S84" s="87"/>
      <c r="T84" s="87"/>
      <c r="U84" s="87"/>
      <c r="V84" s="87"/>
    </row>
    <row r="85" ht="15.0" customHeight="1">
      <c r="A85" s="196" t="str">
        <f t="array" ref="A85">INDEX('Federal Tax, Stock Buybacks, &amp; '!D:D,match(B85,'Federal Tax, Stock Buybacks, &amp; '!E:E,0))</f>
        <v>#N/A</v>
      </c>
      <c r="B85" s="817" t="s">
        <v>887</v>
      </c>
      <c r="C85" s="160">
        <f>SUMIF('Executive Pay Breakdown'!B:B,$B85,'Executive Pay Breakdown'!M:M)+SUMIF('Executive Pay Breakdown'!B:B,$B85,'Executive Pay Breakdown'!Q:Q)+SUMIF('Executive Pay Breakdown'!B:B,$B85,'Executive Pay Breakdown'!U:U)+SUMIF('Executive Pay Breakdown'!B:B,$B85,'Executive Pay Breakdown'!Y:Y)+SUMIF('Executive Pay Breakdown'!B:B,$B85,'Executive Pay Breakdown'!AC:AC)</f>
        <v>119754480</v>
      </c>
      <c r="D85" s="161">
        <f>SUMIF('Executive Pay Breakdown'!B:B,$B85,'Executive Pay Breakdown'!M:M)</f>
        <v>19984513</v>
      </c>
      <c r="E85" s="161">
        <f>SUMIF('Executive Pay Breakdown'!B:B,$B85,'Executive Pay Breakdown'!Q:Q)</f>
        <v>49778429</v>
      </c>
      <c r="F85" s="161">
        <f>SUMIF('Executive Pay Breakdown'!B:B,$B85,'Executive Pay Breakdown'!U:U)</f>
        <v>9176217</v>
      </c>
      <c r="G85" s="161">
        <f>SUMIF('Executive Pay Breakdown'!B:B,$B85,'Executive Pay Breakdown'!Y:Y)</f>
        <v>23816588</v>
      </c>
      <c r="H85" s="161">
        <f>SUMIF('Executive Pay Breakdown'!B:B,$B85,'Executive Pay Breakdown'!AC:AC)</f>
        <v>16998733</v>
      </c>
      <c r="I85" s="802"/>
      <c r="J85" s="166">
        <f t="shared" si="2"/>
        <v>52493</v>
      </c>
      <c r="K85" s="188">
        <v>48576.0</v>
      </c>
      <c r="L85" s="188">
        <v>56410.0</v>
      </c>
      <c r="M85" s="213" t="s">
        <v>711</v>
      </c>
      <c r="N85" s="213" t="s">
        <v>711</v>
      </c>
      <c r="O85" s="213" t="s">
        <v>711</v>
      </c>
      <c r="P85" s="87"/>
      <c r="Q85" s="781"/>
      <c r="R85" s="230"/>
      <c r="S85" s="87"/>
      <c r="T85" s="87"/>
      <c r="U85" s="87"/>
      <c r="V85" s="87"/>
    </row>
    <row r="86" ht="15.0" customHeight="1">
      <c r="A86" s="169">
        <f t="array" ref="A86">INDEX('Federal Tax, Stock Buybacks, &amp; '!D:D,match(B86,'Federal Tax, Stock Buybacks, &amp; '!E:E,0))</f>
        <v>521</v>
      </c>
      <c r="B86" s="432" t="s">
        <v>756</v>
      </c>
      <c r="C86" s="160">
        <f>SUMIF('Executive Pay Breakdown'!B:B,$B86,'Executive Pay Breakdown'!M:M)+SUMIF('Executive Pay Breakdown'!B:B,$B86,'Executive Pay Breakdown'!Q:Q)+SUMIF('Executive Pay Breakdown'!B:B,$B86,'Executive Pay Breakdown'!U:U)+SUMIF('Executive Pay Breakdown'!B:B,$B86,'Executive Pay Breakdown'!Y:Y)+SUMIF('Executive Pay Breakdown'!B:B,$B86,'Executive Pay Breakdown'!AC:AC)</f>
        <v>207955643</v>
      </c>
      <c r="D86" s="161">
        <f>SUMIF('Executive Pay Breakdown'!B:B,$B86,'Executive Pay Breakdown'!M:M)</f>
        <v>36607963</v>
      </c>
      <c r="E86" s="161">
        <f>SUMIF('Executive Pay Breakdown'!B:B,$B86,'Executive Pay Breakdown'!Q:Q)</f>
        <v>60802333</v>
      </c>
      <c r="F86" s="161">
        <f>SUMIF('Executive Pay Breakdown'!B:B,$B86,'Executive Pay Breakdown'!U:U)</f>
        <v>31809270</v>
      </c>
      <c r="G86" s="161">
        <f>SUMIF('Executive Pay Breakdown'!B:B,$B86,'Executive Pay Breakdown'!Y:Y)</f>
        <v>51512107</v>
      </c>
      <c r="H86" s="161">
        <f>SUMIF('Executive Pay Breakdown'!B:B,$B86,'Executive Pay Breakdown'!AC:AC)</f>
        <v>27223970</v>
      </c>
      <c r="I86" s="192"/>
      <c r="J86" s="811">
        <f t="shared" si="2"/>
        <v>11661.2</v>
      </c>
      <c r="K86" s="188">
        <v>10398.0</v>
      </c>
      <c r="L86" s="188">
        <v>13082.0</v>
      </c>
      <c r="M86" s="188">
        <v>11377.0</v>
      </c>
      <c r="N86" s="188">
        <v>11584.0</v>
      </c>
      <c r="O86" s="188">
        <v>11865.0</v>
      </c>
      <c r="P86" s="87"/>
      <c r="Q86" s="781"/>
      <c r="R86" s="87"/>
      <c r="S86" s="87"/>
      <c r="T86" s="87"/>
      <c r="U86" s="87"/>
      <c r="V86" s="87"/>
    </row>
    <row r="87" ht="15.0" customHeight="1">
      <c r="A87" s="169">
        <f t="array" ref="A87">INDEX('Federal Tax, Stock Buybacks, &amp; '!D:D,match(B87,'Federal Tax, Stock Buybacks, &amp; '!E:E,0))</f>
        <v>692</v>
      </c>
      <c r="B87" s="130" t="s">
        <v>1239</v>
      </c>
      <c r="C87" s="160">
        <f>SUMIF('Executive Pay Breakdown'!B:B,$B87,'Executive Pay Breakdown'!M:M)+SUMIF('Executive Pay Breakdown'!B:B,$B87,'Executive Pay Breakdown'!Q:Q)+SUMIF('Executive Pay Breakdown'!B:B,$B87,'Executive Pay Breakdown'!U:U)+SUMIF('Executive Pay Breakdown'!B:B,$B87,'Executive Pay Breakdown'!Y:Y)+SUMIF('Executive Pay Breakdown'!B:B,$B87,'Executive Pay Breakdown'!AC:AC)</f>
        <v>100519989</v>
      </c>
      <c r="D87" s="161">
        <f>SUMIF('Executive Pay Breakdown'!B:B,$B87,'Executive Pay Breakdown'!M:M)</f>
        <v>21104470</v>
      </c>
      <c r="E87" s="161">
        <f>SUMIF('Executive Pay Breakdown'!B:B,$B87,'Executive Pay Breakdown'!Q:Q)</f>
        <v>17816194</v>
      </c>
      <c r="F87" s="161">
        <f>SUMIF('Executive Pay Breakdown'!B:B,$B87,'Executive Pay Breakdown'!U:U)</f>
        <v>21594179</v>
      </c>
      <c r="G87" s="161">
        <f>SUMIF('Executive Pay Breakdown'!B:B,$B87,'Executive Pay Breakdown'!Y:Y)</f>
        <v>14662262</v>
      </c>
      <c r="H87" s="161">
        <f>SUMIF('Executive Pay Breakdown'!B:B,$B87,'Executive Pay Breakdown'!AC:AC)</f>
        <v>25342884</v>
      </c>
      <c r="I87" s="820"/>
      <c r="J87" s="811">
        <f t="shared" si="2"/>
        <v>21698.4</v>
      </c>
      <c r="K87" s="188">
        <v>31638.0</v>
      </c>
      <c r="L87" s="188">
        <v>17782.0</v>
      </c>
      <c r="M87" s="188">
        <v>22076.0</v>
      </c>
      <c r="N87" s="188">
        <v>17919.0</v>
      </c>
      <c r="O87" s="188">
        <v>19077.0</v>
      </c>
      <c r="P87" s="87"/>
      <c r="Q87" s="781"/>
      <c r="R87" s="87"/>
      <c r="S87" s="87"/>
      <c r="T87" s="87"/>
      <c r="U87" s="87"/>
      <c r="V87" s="87"/>
    </row>
    <row r="88" ht="15.0" customHeight="1">
      <c r="A88" s="196" t="str">
        <f t="array" ref="A88">INDEX('Federal Tax, Stock Buybacks, &amp; '!D:D,match(B88,'Federal Tax, Stock Buybacks, &amp; '!E:E,0))</f>
        <v>#N/A</v>
      </c>
      <c r="B88" s="808" t="s">
        <v>3033</v>
      </c>
      <c r="C88" s="160">
        <f>SUMIF('Executive Pay Breakdown'!B:B,$B88,'Executive Pay Breakdown'!M:M)+SUMIF('Executive Pay Breakdown'!B:B,$B88,'Executive Pay Breakdown'!Q:Q)+SUMIF('Executive Pay Breakdown'!B:B,$B88,'Executive Pay Breakdown'!U:U)+SUMIF('Executive Pay Breakdown'!B:B,$B88,'Executive Pay Breakdown'!Y:Y)+SUMIF('Executive Pay Breakdown'!B:B,$B88,'Executive Pay Breakdown'!AC:AC)</f>
        <v>850631759</v>
      </c>
      <c r="D88" s="161">
        <f>SUMIF('Executive Pay Breakdown'!B:B,$B88,'Executive Pay Breakdown'!M:M)</f>
        <v>313827025</v>
      </c>
      <c r="E88" s="161">
        <f>SUMIF('Executive Pay Breakdown'!B:B,$B88,'Executive Pay Breakdown'!Q:Q)</f>
        <v>47114919</v>
      </c>
      <c r="F88" s="161">
        <f>SUMIF('Executive Pay Breakdown'!B:B,$B88,'Executive Pay Breakdown'!U:U)</f>
        <v>25896847</v>
      </c>
      <c r="G88" s="161">
        <f>SUMIF('Executive Pay Breakdown'!B:B,$B88,'Executive Pay Breakdown'!Y:Y)</f>
        <v>51493480</v>
      </c>
      <c r="H88" s="161">
        <f>SUMIF('Executive Pay Breakdown'!B:B,$B88,'Executive Pay Breakdown'!AC:AC)</f>
        <v>412299488</v>
      </c>
      <c r="I88" s="192"/>
      <c r="J88" s="813">
        <f t="shared" si="2"/>
        <v>84329.8</v>
      </c>
      <c r="K88" s="220">
        <v>75043.0</v>
      </c>
      <c r="L88" s="220">
        <v>85504.0</v>
      </c>
      <c r="M88" s="220">
        <v>87402.0</v>
      </c>
      <c r="N88" s="220">
        <v>83813.0</v>
      </c>
      <c r="O88" s="220">
        <v>89887.0</v>
      </c>
      <c r="P88" s="87"/>
      <c r="Q88" s="781"/>
      <c r="R88" s="87"/>
      <c r="S88" s="87"/>
      <c r="T88" s="87"/>
      <c r="U88" s="87"/>
      <c r="V88" s="87"/>
    </row>
    <row r="89" ht="15.0" customHeight="1">
      <c r="A89" s="196" t="str">
        <f t="array" ref="A89">INDEX('Federal Tax, Stock Buybacks, &amp; '!D:D,match(B89,'Federal Tax, Stock Buybacks, &amp; '!E:E,0))</f>
        <v>#N/A</v>
      </c>
      <c r="B89" s="808" t="s">
        <v>2870</v>
      </c>
      <c r="C89" s="160">
        <f>SUMIF('Executive Pay Breakdown'!B:B,$B89,'Executive Pay Breakdown'!M:M)+SUMIF('Executive Pay Breakdown'!B:B,$B89,'Executive Pay Breakdown'!Q:Q)+SUMIF('Executive Pay Breakdown'!B:B,$B89,'Executive Pay Breakdown'!U:U)+SUMIF('Executive Pay Breakdown'!B:B,$B89,'Executive Pay Breakdown'!Y:Y)+SUMIF('Executive Pay Breakdown'!B:B,$B89,'Executive Pay Breakdown'!AC:AC)</f>
        <v>548743715</v>
      </c>
      <c r="D89" s="161">
        <f>SUMIF('Executive Pay Breakdown'!B:B,$B89,'Executive Pay Breakdown'!M:M)</f>
        <v>122418981</v>
      </c>
      <c r="E89" s="161">
        <f>SUMIF('Executive Pay Breakdown'!B:B,$B89,'Executive Pay Breakdown'!Q:Q)</f>
        <v>125087244</v>
      </c>
      <c r="F89" s="161">
        <f>SUMIF('Executive Pay Breakdown'!B:B,$B89,'Executive Pay Breakdown'!U:U)</f>
        <v>85508926</v>
      </c>
      <c r="G89" s="161">
        <f>SUMIF('Executive Pay Breakdown'!B:B,$B89,'Executive Pay Breakdown'!Y:Y)</f>
        <v>86488744</v>
      </c>
      <c r="H89" s="161">
        <f>SUMIF('Executive Pay Breakdown'!B:B,$B89,'Executive Pay Breakdown'!AC:AC)</f>
        <v>129239820</v>
      </c>
      <c r="I89" s="192"/>
      <c r="J89" s="813">
        <f t="shared" si="2"/>
        <v>146066.4</v>
      </c>
      <c r="K89" s="220">
        <v>149707.0</v>
      </c>
      <c r="L89" s="220">
        <v>165828.0</v>
      </c>
      <c r="M89" s="220">
        <v>139430.0</v>
      </c>
      <c r="N89" s="220">
        <v>138854.0</v>
      </c>
      <c r="O89" s="220">
        <v>136513.0</v>
      </c>
      <c r="P89" s="87"/>
      <c r="Q89" s="781"/>
      <c r="R89" s="87"/>
      <c r="S89" s="87"/>
      <c r="T89" s="87"/>
      <c r="U89" s="87"/>
      <c r="V89" s="87"/>
    </row>
    <row r="90" ht="15.0" customHeight="1">
      <c r="A90" s="196" t="str">
        <f t="array" ref="A90">INDEX('Federal Tax, Stock Buybacks, &amp; '!D:D,match(B90,'Federal Tax, Stock Buybacks, &amp; '!E:E,0))</f>
        <v>#N/A</v>
      </c>
      <c r="B90" s="808" t="s">
        <v>2681</v>
      </c>
      <c r="C90" s="160">
        <f>SUMIF('Executive Pay Breakdown'!B:B,$B90,'Executive Pay Breakdown'!M:M)+SUMIF('Executive Pay Breakdown'!B:B,$B90,'Executive Pay Breakdown'!Q:Q)+SUMIF('Executive Pay Breakdown'!B:B,$B90,'Executive Pay Breakdown'!U:U)+SUMIF('Executive Pay Breakdown'!B:B,$B90,'Executive Pay Breakdown'!Y:Y)+SUMIF('Executive Pay Breakdown'!B:B,$B90,'Executive Pay Breakdown'!AC:AC)</f>
        <v>421817803</v>
      </c>
      <c r="D90" s="161">
        <f>SUMIF('Executive Pay Breakdown'!B:B,$B90,'Executive Pay Breakdown'!M:M)</f>
        <v>44075296</v>
      </c>
      <c r="E90" s="161">
        <f>SUMIF('Executive Pay Breakdown'!B:B,$B90,'Executive Pay Breakdown'!Q:Q)</f>
        <v>57002073</v>
      </c>
      <c r="F90" s="161">
        <f>SUMIF('Executive Pay Breakdown'!B:B,$B90,'Executive Pay Breakdown'!U:U)</f>
        <v>163195873</v>
      </c>
      <c r="G90" s="161">
        <f>SUMIF('Executive Pay Breakdown'!B:B,$B90,'Executive Pay Breakdown'!Y:Y)</f>
        <v>89772154</v>
      </c>
      <c r="H90" s="161">
        <f>SUMIF('Executive Pay Breakdown'!B:B,$B90,'Executive Pay Breakdown'!AC:AC)</f>
        <v>67772407</v>
      </c>
      <c r="I90" s="192"/>
      <c r="J90" s="813">
        <f t="shared" si="2"/>
        <v>53522.8</v>
      </c>
      <c r="K90" s="220">
        <v>49947.0</v>
      </c>
      <c r="L90" s="220">
        <v>55064.0</v>
      </c>
      <c r="M90" s="220">
        <v>53928.0</v>
      </c>
      <c r="N90" s="220">
        <v>50471.0</v>
      </c>
      <c r="O90" s="220">
        <v>58204.0</v>
      </c>
      <c r="P90" s="87"/>
      <c r="Q90" s="781"/>
      <c r="R90" s="87"/>
      <c r="S90" s="87"/>
      <c r="T90" s="87"/>
      <c r="U90" s="87"/>
      <c r="V90" s="87"/>
    </row>
    <row r="91" ht="15.0" customHeight="1">
      <c r="A91" s="196" t="str">
        <f t="array" ref="A91">INDEX('Federal Tax, Stock Buybacks, &amp; '!D:D,match(B91,'Federal Tax, Stock Buybacks, &amp; '!E:E,0))</f>
        <v>#N/A</v>
      </c>
      <c r="B91" s="817" t="s">
        <v>1461</v>
      </c>
      <c r="C91" s="160">
        <f>SUMIF('Executive Pay Breakdown'!B:B,$B91,'Executive Pay Breakdown'!M:M)+SUMIF('Executive Pay Breakdown'!B:B,$B91,'Executive Pay Breakdown'!Q:Q)+SUMIF('Executive Pay Breakdown'!B:B,$B91,'Executive Pay Breakdown'!U:U)+SUMIF('Executive Pay Breakdown'!B:B,$B91,'Executive Pay Breakdown'!Y:Y)+SUMIF('Executive Pay Breakdown'!B:B,$B91,'Executive Pay Breakdown'!AC:AC)</f>
        <v>410119178</v>
      </c>
      <c r="D91" s="161">
        <f>SUMIF('Executive Pay Breakdown'!B:B,$B91,'Executive Pay Breakdown'!M:M)</f>
        <v>112687998</v>
      </c>
      <c r="E91" s="161">
        <f>SUMIF('Executive Pay Breakdown'!B:B,$B91,'Executive Pay Breakdown'!Q:Q)</f>
        <v>77538619</v>
      </c>
      <c r="F91" s="161">
        <f>SUMIF('Executive Pay Breakdown'!B:B,$B91,'Executive Pay Breakdown'!U:U)</f>
        <v>67892992</v>
      </c>
      <c r="G91" s="161">
        <f>SUMIF('Executive Pay Breakdown'!B:B,$B91,'Executive Pay Breakdown'!Y:Y)</f>
        <v>71254731</v>
      </c>
      <c r="H91" s="161">
        <f>SUMIF('Executive Pay Breakdown'!B:B,$B91,'Executive Pay Breakdown'!AC:AC)</f>
        <v>80744838</v>
      </c>
      <c r="I91" s="802"/>
      <c r="J91" s="811">
        <f t="shared" si="2"/>
        <v>59923.2</v>
      </c>
      <c r="K91" s="188">
        <v>49409.0</v>
      </c>
      <c r="L91" s="188">
        <v>67460.0</v>
      </c>
      <c r="M91" s="188">
        <v>61188.0</v>
      </c>
      <c r="N91" s="188">
        <v>64803.0</v>
      </c>
      <c r="O91" s="188">
        <v>56756.0</v>
      </c>
      <c r="P91" s="87"/>
      <c r="Q91" s="781"/>
      <c r="R91" s="230"/>
      <c r="S91" s="87"/>
      <c r="T91" s="87"/>
      <c r="U91" s="87"/>
      <c r="V91" s="87"/>
    </row>
    <row r="92" ht="15.0" customHeight="1">
      <c r="A92" s="196" t="str">
        <f t="array" ref="A92">INDEX('Federal Tax, Stock Buybacks, &amp; '!D:D,match(B92,'Federal Tax, Stock Buybacks, &amp; '!E:E,0))</f>
        <v>#N/A</v>
      </c>
      <c r="B92" s="212" t="s">
        <v>767</v>
      </c>
      <c r="C92" s="160">
        <f>SUMIF('Executive Pay Breakdown'!B:B,$B92,'Executive Pay Breakdown'!M:M)+SUMIF('Executive Pay Breakdown'!B:B,$B92,'Executive Pay Breakdown'!Q:Q)+SUMIF('Executive Pay Breakdown'!B:B,$B92,'Executive Pay Breakdown'!U:U)+SUMIF('Executive Pay Breakdown'!B:B,$B92,'Executive Pay Breakdown'!Y:Y)+SUMIF('Executive Pay Breakdown'!B:B,$B92,'Executive Pay Breakdown'!AC:AC)</f>
        <v>378828171</v>
      </c>
      <c r="D92" s="161">
        <f>SUMIF('Executive Pay Breakdown'!B:B,$B92,'Executive Pay Breakdown'!M:M)</f>
        <v>73512715</v>
      </c>
      <c r="E92" s="161">
        <f>SUMIF('Executive Pay Breakdown'!B:B,$B92,'Executive Pay Breakdown'!Q:Q)</f>
        <v>68754851</v>
      </c>
      <c r="F92" s="161">
        <f>SUMIF('Executive Pay Breakdown'!B:B,$B92,'Executive Pay Breakdown'!U:U)</f>
        <v>73258340</v>
      </c>
      <c r="G92" s="161">
        <f>SUMIF('Executive Pay Breakdown'!B:B,$B92,'Executive Pay Breakdown'!Y:Y)</f>
        <v>104372226</v>
      </c>
      <c r="H92" s="161">
        <f>SUMIF('Executive Pay Breakdown'!B:B,$B92,'Executive Pay Breakdown'!AC:AC)</f>
        <v>58930039</v>
      </c>
      <c r="I92" s="802"/>
      <c r="J92" s="811">
        <f t="shared" si="2"/>
        <v>71019</v>
      </c>
      <c r="K92" s="179">
        <v>75979.0</v>
      </c>
      <c r="L92" s="179">
        <v>73578.0</v>
      </c>
      <c r="M92" s="179">
        <v>74416.0</v>
      </c>
      <c r="N92" s="179">
        <v>65931.0</v>
      </c>
      <c r="O92" s="179">
        <v>65191.0</v>
      </c>
      <c r="P92" s="236"/>
      <c r="Q92" s="781"/>
      <c r="R92" s="230"/>
      <c r="S92" s="236"/>
      <c r="T92" s="236"/>
      <c r="U92" s="236"/>
      <c r="V92" s="236"/>
    </row>
    <row r="93" ht="15.0" customHeight="1">
      <c r="A93" s="196" t="str">
        <f t="array" ref="A93">INDEX('Federal Tax, Stock Buybacks, &amp; '!D:D,match(B93,'Federal Tax, Stock Buybacks, &amp; '!E:E,0))</f>
        <v>#N/A</v>
      </c>
      <c r="B93" s="808" t="s">
        <v>2549</v>
      </c>
      <c r="C93" s="160">
        <f>SUMIF('Executive Pay Breakdown'!B:B,$B93,'Executive Pay Breakdown'!M:M)+SUMIF('Executive Pay Breakdown'!B:B,$B93,'Executive Pay Breakdown'!Q:Q)+SUMIF('Executive Pay Breakdown'!B:B,$B93,'Executive Pay Breakdown'!U:U)+SUMIF('Executive Pay Breakdown'!B:B,$B93,'Executive Pay Breakdown'!Y:Y)+SUMIF('Executive Pay Breakdown'!B:B,$B93,'Executive Pay Breakdown'!AC:AC)</f>
        <v>369777237</v>
      </c>
      <c r="D93" s="161">
        <f>SUMIF('Executive Pay Breakdown'!B:B,$B93,'Executive Pay Breakdown'!M:M)</f>
        <v>73707999</v>
      </c>
      <c r="E93" s="161">
        <f>SUMIF('Executive Pay Breakdown'!B:B,$B93,'Executive Pay Breakdown'!Q:Q)</f>
        <v>75043791</v>
      </c>
      <c r="F93" s="161">
        <f>SUMIF('Executive Pay Breakdown'!B:B,$B93,'Executive Pay Breakdown'!U:U)</f>
        <v>68562658</v>
      </c>
      <c r="G93" s="161">
        <f>SUMIF('Executive Pay Breakdown'!B:B,$B93,'Executive Pay Breakdown'!Y:Y)</f>
        <v>83419434</v>
      </c>
      <c r="H93" s="161">
        <f>SUMIF('Executive Pay Breakdown'!B:B,$B93,'Executive Pay Breakdown'!AC:AC)</f>
        <v>69043355</v>
      </c>
      <c r="I93" s="192"/>
      <c r="J93" s="813">
        <f t="shared" si="2"/>
        <v>58368.8</v>
      </c>
      <c r="K93" s="821">
        <v>63035.0</v>
      </c>
      <c r="L93" s="821">
        <v>61379.0</v>
      </c>
      <c r="M93" s="821">
        <v>55696.0</v>
      </c>
      <c r="N93" s="821">
        <v>54322.0</v>
      </c>
      <c r="O93" s="821">
        <v>57412.0</v>
      </c>
      <c r="P93" s="87"/>
      <c r="Q93" s="781"/>
      <c r="R93" s="87"/>
      <c r="S93" s="87"/>
      <c r="T93" s="87"/>
      <c r="U93" s="87"/>
      <c r="V93" s="87"/>
    </row>
    <row r="94" ht="15.0" customHeight="1">
      <c r="A94" s="196" t="str">
        <f t="array" ref="A94">INDEX('Federal Tax, Stock Buybacks, &amp; '!D:D,match(B94,'Federal Tax, Stock Buybacks, &amp; '!E:E,0))</f>
        <v>#N/A</v>
      </c>
      <c r="B94" s="808" t="s">
        <v>2777</v>
      </c>
      <c r="C94" s="160">
        <f>SUMIF('Executive Pay Breakdown'!B:B,$B94,'Executive Pay Breakdown'!M:M)+SUMIF('Executive Pay Breakdown'!B:B,$B94,'Executive Pay Breakdown'!Q:Q)+SUMIF('Executive Pay Breakdown'!B:B,$B94,'Executive Pay Breakdown'!U:U)+SUMIF('Executive Pay Breakdown'!B:B,$B94,'Executive Pay Breakdown'!Y:Y)+SUMIF('Executive Pay Breakdown'!B:B,$B94,'Executive Pay Breakdown'!AC:AC)</f>
        <v>352045446</v>
      </c>
      <c r="D94" s="161">
        <f>SUMIF('Executive Pay Breakdown'!B:B,$B94,'Executive Pay Breakdown'!M:M)</f>
        <v>107228894</v>
      </c>
      <c r="E94" s="161">
        <f>SUMIF('Executive Pay Breakdown'!B:B,$B94,'Executive Pay Breakdown'!Q:Q)</f>
        <v>70800523</v>
      </c>
      <c r="F94" s="161">
        <f>SUMIF('Executive Pay Breakdown'!B:B,$B94,'Executive Pay Breakdown'!U:U)</f>
        <v>59431930</v>
      </c>
      <c r="G94" s="161">
        <f>SUMIF('Executive Pay Breakdown'!B:B,$B94,'Executive Pay Breakdown'!Y:Y)</f>
        <v>63848586</v>
      </c>
      <c r="H94" s="161">
        <f>SUMIF('Executive Pay Breakdown'!B:B,$B94,'Executive Pay Breakdown'!AC:AC)</f>
        <v>50735513</v>
      </c>
      <c r="I94" s="192"/>
      <c r="J94" s="813">
        <f t="shared" si="2"/>
        <v>91266.6</v>
      </c>
      <c r="K94" s="220">
        <v>75536.0</v>
      </c>
      <c r="L94" s="220">
        <v>92986.0</v>
      </c>
      <c r="M94" s="220">
        <v>108828.0</v>
      </c>
      <c r="N94" s="220">
        <v>98972.0</v>
      </c>
      <c r="O94" s="220">
        <v>80011.0</v>
      </c>
      <c r="P94" s="87"/>
      <c r="Q94" s="781"/>
      <c r="R94" s="87"/>
      <c r="S94" s="87"/>
      <c r="T94" s="87"/>
      <c r="U94" s="87"/>
      <c r="V94" s="87"/>
    </row>
    <row r="95" ht="15.0" customHeight="1">
      <c r="A95" s="196" t="str">
        <f t="array" ref="A95">INDEX('Federal Tax, Stock Buybacks, &amp; '!D:D,match(B95,'Federal Tax, Stock Buybacks, &amp; '!E:E,0))</f>
        <v>#N/A</v>
      </c>
      <c r="B95" s="808" t="s">
        <v>2958</v>
      </c>
      <c r="C95" s="160">
        <f>SUMIF('Executive Pay Breakdown'!B:B,$B95,'Executive Pay Breakdown'!M:M)+SUMIF('Executive Pay Breakdown'!B:B,$B95,'Executive Pay Breakdown'!Q:Q)+SUMIF('Executive Pay Breakdown'!B:B,$B95,'Executive Pay Breakdown'!U:U)+SUMIF('Executive Pay Breakdown'!B:B,$B95,'Executive Pay Breakdown'!Y:Y)+SUMIF('Executive Pay Breakdown'!B:B,$B95,'Executive Pay Breakdown'!AC:AC)</f>
        <v>349936052</v>
      </c>
      <c r="D95" s="161">
        <f>SUMIF('Executive Pay Breakdown'!B:B,$B95,'Executive Pay Breakdown'!M:M)</f>
        <v>71913444</v>
      </c>
      <c r="E95" s="161">
        <f>SUMIF('Executive Pay Breakdown'!B:B,$B95,'Executive Pay Breakdown'!Q:Q)</f>
        <v>66617367</v>
      </c>
      <c r="F95" s="161">
        <f>SUMIF('Executive Pay Breakdown'!B:B,$B95,'Executive Pay Breakdown'!U:U)</f>
        <v>82982495</v>
      </c>
      <c r="G95" s="161">
        <f>SUMIF('Executive Pay Breakdown'!B:B,$B95,'Executive Pay Breakdown'!Y:Y)</f>
        <v>69440776</v>
      </c>
      <c r="H95" s="161">
        <f>SUMIF('Executive Pay Breakdown'!B:B,$B95,'Executive Pay Breakdown'!AC:AC)</f>
        <v>58981970</v>
      </c>
      <c r="I95" s="192"/>
      <c r="J95" s="195">
        <f t="shared" si="2"/>
        <v>145466.2</v>
      </c>
      <c r="K95" s="220">
        <v>117189.0</v>
      </c>
      <c r="L95" s="220">
        <v>149662.0</v>
      </c>
      <c r="M95" s="220">
        <v>155772.0</v>
      </c>
      <c r="N95" s="220">
        <v>155885.0</v>
      </c>
      <c r="O95" s="220">
        <v>148823.0</v>
      </c>
      <c r="P95" s="87"/>
      <c r="Q95" s="781"/>
      <c r="R95" s="87"/>
      <c r="S95" s="87"/>
      <c r="T95" s="87"/>
      <c r="U95" s="87"/>
      <c r="V95" s="87"/>
    </row>
    <row r="96" ht="15.0" customHeight="1">
      <c r="A96" s="196" t="str">
        <f t="array" ref="A96">INDEX('Federal Tax, Stock Buybacks, &amp; '!D:D,match(B96,'Federal Tax, Stock Buybacks, &amp; '!E:E,0))</f>
        <v>#N/A</v>
      </c>
      <c r="B96" s="432" t="s">
        <v>1490</v>
      </c>
      <c r="C96" s="160">
        <f>SUMIF('Executive Pay Breakdown'!B:B,$B96,'Executive Pay Breakdown'!M:M)+SUMIF('Executive Pay Breakdown'!B:B,$B96,'Executive Pay Breakdown'!Q:Q)+SUMIF('Executive Pay Breakdown'!B:B,$B96,'Executive Pay Breakdown'!U:U)+SUMIF('Executive Pay Breakdown'!B:B,$B96,'Executive Pay Breakdown'!Y:Y)+SUMIF('Executive Pay Breakdown'!B:B,$B96,'Executive Pay Breakdown'!AC:AC)</f>
        <v>337820614</v>
      </c>
      <c r="D96" s="161">
        <f>SUMIF('Executive Pay Breakdown'!B:B,$B96,'Executive Pay Breakdown'!M:M)</f>
        <v>83272421</v>
      </c>
      <c r="E96" s="161">
        <f>SUMIF('Executive Pay Breakdown'!B:B,$B96,'Executive Pay Breakdown'!Q:Q)</f>
        <v>60215534</v>
      </c>
      <c r="F96" s="161">
        <f>SUMIF('Executive Pay Breakdown'!B:B,$B96,'Executive Pay Breakdown'!U:U)</f>
        <v>59255977</v>
      </c>
      <c r="G96" s="161">
        <f>SUMIF('Executive Pay Breakdown'!B:B,$B96,'Executive Pay Breakdown'!Y:Y)</f>
        <v>103912380</v>
      </c>
      <c r="H96" s="161">
        <f>SUMIF('Executive Pay Breakdown'!B:B,$B96,'Executive Pay Breakdown'!AC:AC)</f>
        <v>31164302</v>
      </c>
      <c r="I96" s="192"/>
      <c r="J96" s="811">
        <f t="shared" si="2"/>
        <v>111974</v>
      </c>
      <c r="K96" s="188">
        <v>134843.0</v>
      </c>
      <c r="L96" s="188">
        <v>128263.0</v>
      </c>
      <c r="M96" s="188">
        <v>118959.0</v>
      </c>
      <c r="N96" s="188">
        <v>96874.0</v>
      </c>
      <c r="O96" s="188">
        <v>80931.0</v>
      </c>
      <c r="P96" s="87"/>
      <c r="Q96" s="781"/>
      <c r="R96" s="87"/>
      <c r="S96" s="87"/>
      <c r="T96" s="87"/>
      <c r="U96" s="87"/>
      <c r="V96" s="87"/>
    </row>
    <row r="97" ht="15.0" customHeight="1">
      <c r="A97" s="196" t="str">
        <f t="array" ref="A97">INDEX('Federal Tax, Stock Buybacks, &amp; '!D:D,match(B97,'Federal Tax, Stock Buybacks, &amp; '!E:E,0))</f>
        <v>#N/A</v>
      </c>
      <c r="B97" s="808" t="s">
        <v>2711</v>
      </c>
      <c r="C97" s="160">
        <f>SUMIF('Executive Pay Breakdown'!B:B,$B97,'Executive Pay Breakdown'!M:M)+SUMIF('Executive Pay Breakdown'!B:B,$B97,'Executive Pay Breakdown'!Q:Q)+SUMIF('Executive Pay Breakdown'!B:B,$B97,'Executive Pay Breakdown'!U:U)+SUMIF('Executive Pay Breakdown'!B:B,$B97,'Executive Pay Breakdown'!Y:Y)+SUMIF('Executive Pay Breakdown'!B:B,$B97,'Executive Pay Breakdown'!AC:AC)</f>
        <v>336147476</v>
      </c>
      <c r="D97" s="161">
        <f>SUMIF('Executive Pay Breakdown'!B:B,$B97,'Executive Pay Breakdown'!M:M)</f>
        <v>45186672</v>
      </c>
      <c r="E97" s="161">
        <f>SUMIF('Executive Pay Breakdown'!B:B,$B97,'Executive Pay Breakdown'!Q:Q)</f>
        <v>76734075</v>
      </c>
      <c r="F97" s="161">
        <f>SUMIF('Executive Pay Breakdown'!B:B,$B97,'Executive Pay Breakdown'!U:U)</f>
        <v>81369452</v>
      </c>
      <c r="G97" s="161">
        <f>SUMIF('Executive Pay Breakdown'!B:B,$B97,'Executive Pay Breakdown'!Y:Y)</f>
        <v>67447920</v>
      </c>
      <c r="H97" s="161">
        <f>SUMIF('Executive Pay Breakdown'!B:B,$B97,'Executive Pay Breakdown'!AC:AC)</f>
        <v>65409357</v>
      </c>
      <c r="I97" s="192"/>
      <c r="J97" s="813">
        <f t="shared" si="2"/>
        <v>80400</v>
      </c>
      <c r="K97" s="220">
        <v>80000.0</v>
      </c>
      <c r="L97" s="220">
        <v>90000.0</v>
      </c>
      <c r="M97" s="220">
        <v>81000.0</v>
      </c>
      <c r="N97" s="220">
        <v>76000.0</v>
      </c>
      <c r="O97" s="220">
        <v>75000.0</v>
      </c>
      <c r="P97" s="87"/>
      <c r="Q97" s="781"/>
      <c r="R97" s="87"/>
      <c r="S97" s="87"/>
      <c r="T97" s="87"/>
      <c r="U97" s="87"/>
      <c r="V97" s="87"/>
    </row>
    <row r="98" ht="15.0" customHeight="1">
      <c r="A98" s="196" t="str">
        <f t="array" ref="A98">INDEX('Federal Tax, Stock Buybacks, &amp; '!D:D,match(B98,'Federal Tax, Stock Buybacks, &amp; '!E:E,0))</f>
        <v>#N/A</v>
      </c>
      <c r="B98" s="808" t="s">
        <v>3081</v>
      </c>
      <c r="C98" s="160">
        <f>SUMIF('Executive Pay Breakdown'!B:B,$B98,'Executive Pay Breakdown'!M:M)+SUMIF('Executive Pay Breakdown'!B:B,$B98,'Executive Pay Breakdown'!Q:Q)+SUMIF('Executive Pay Breakdown'!B:B,$B98,'Executive Pay Breakdown'!U:U)+SUMIF('Executive Pay Breakdown'!B:B,$B98,'Executive Pay Breakdown'!Y:Y)+SUMIF('Executive Pay Breakdown'!B:B,$B98,'Executive Pay Breakdown'!AC:AC)</f>
        <v>324962098</v>
      </c>
      <c r="D98" s="161">
        <f>SUMIF('Executive Pay Breakdown'!B:B,$B98,'Executive Pay Breakdown'!M:M)</f>
        <v>51331809</v>
      </c>
      <c r="E98" s="161">
        <f>SUMIF('Executive Pay Breakdown'!B:B,$B98,'Executive Pay Breakdown'!Q:Q)</f>
        <v>71253748</v>
      </c>
      <c r="F98" s="161">
        <f>SUMIF('Executive Pay Breakdown'!B:B,$B98,'Executive Pay Breakdown'!U:U)</f>
        <v>74139346</v>
      </c>
      <c r="G98" s="161">
        <f>SUMIF('Executive Pay Breakdown'!B:B,$B98,'Executive Pay Breakdown'!Y:Y)</f>
        <v>68464535</v>
      </c>
      <c r="H98" s="161">
        <f>SUMIF('Executive Pay Breakdown'!B:B,$B98,'Executive Pay Breakdown'!AC:AC)</f>
        <v>59772660</v>
      </c>
      <c r="I98" s="192"/>
      <c r="J98" s="813">
        <f t="shared" si="2"/>
        <v>88381.8</v>
      </c>
      <c r="K98" s="220">
        <v>101360.0</v>
      </c>
      <c r="L98" s="220">
        <v>97952.0</v>
      </c>
      <c r="M98" s="220">
        <v>77594.0</v>
      </c>
      <c r="N98" s="220">
        <v>84434.0</v>
      </c>
      <c r="O98" s="220">
        <v>80569.0</v>
      </c>
      <c r="P98" s="87"/>
      <c r="Q98" s="781"/>
      <c r="R98" s="87"/>
      <c r="S98" s="87"/>
      <c r="T98" s="87"/>
      <c r="U98" s="87"/>
      <c r="V98" s="87"/>
    </row>
    <row r="99" ht="15.0" customHeight="1">
      <c r="A99" s="196" t="str">
        <f t="array" ref="A99">INDEX('Federal Tax, Stock Buybacks, &amp; '!D:D,match(B99,'Federal Tax, Stock Buybacks, &amp; '!E:E,0))</f>
        <v>#N/A</v>
      </c>
      <c r="B99" s="808" t="s">
        <v>2828</v>
      </c>
      <c r="C99" s="160">
        <f>SUMIF('Executive Pay Breakdown'!B:B,$B99,'Executive Pay Breakdown'!M:M)+SUMIF('Executive Pay Breakdown'!B:B,$B99,'Executive Pay Breakdown'!Q:Q)+SUMIF('Executive Pay Breakdown'!B:B,$B99,'Executive Pay Breakdown'!U:U)+SUMIF('Executive Pay Breakdown'!B:B,$B99,'Executive Pay Breakdown'!Y:Y)+SUMIF('Executive Pay Breakdown'!B:B,$B99,'Executive Pay Breakdown'!AC:AC)</f>
        <v>321591890</v>
      </c>
      <c r="D99" s="161">
        <f>SUMIF('Executive Pay Breakdown'!B:B,$B99,'Executive Pay Breakdown'!M:M)</f>
        <v>57393313</v>
      </c>
      <c r="E99" s="161">
        <f>SUMIF('Executive Pay Breakdown'!B:B,$B99,'Executive Pay Breakdown'!Q:Q)</f>
        <v>59317604</v>
      </c>
      <c r="F99" s="161">
        <f>SUMIF('Executive Pay Breakdown'!B:B,$B99,'Executive Pay Breakdown'!U:U)</f>
        <v>53163829</v>
      </c>
      <c r="G99" s="161">
        <f>SUMIF('Executive Pay Breakdown'!B:B,$B99,'Executive Pay Breakdown'!Y:Y)</f>
        <v>66508632</v>
      </c>
      <c r="H99" s="161">
        <f>SUMIF('Executive Pay Breakdown'!B:B,$B99,'Executive Pay Breakdown'!AC:AC)</f>
        <v>85208512</v>
      </c>
      <c r="I99" s="192"/>
      <c r="J99" s="813">
        <f t="shared" si="2"/>
        <v>114951.4</v>
      </c>
      <c r="K99" s="220">
        <v>135361.0</v>
      </c>
      <c r="L99" s="220">
        <v>114931.0</v>
      </c>
      <c r="M99" s="220">
        <v>108874.0</v>
      </c>
      <c r="N99" s="220">
        <v>111499.0</v>
      </c>
      <c r="O99" s="220">
        <v>104092.0</v>
      </c>
      <c r="P99" s="87"/>
      <c r="Q99" s="781"/>
      <c r="R99" s="87"/>
      <c r="S99" s="87"/>
      <c r="T99" s="87"/>
      <c r="U99" s="87"/>
      <c r="V99" s="87"/>
    </row>
    <row r="100" ht="15.0" customHeight="1">
      <c r="A100" s="196" t="str">
        <f t="array" ref="A100">INDEX('Federal Tax, Stock Buybacks, &amp; '!D:D,match(B100,'Federal Tax, Stock Buybacks, &amp; '!E:E,0))</f>
        <v>#N/A</v>
      </c>
      <c r="B100" s="808" t="s">
        <v>3153</v>
      </c>
      <c r="C100" s="160">
        <f>SUMIF('Executive Pay Breakdown'!B:B,$B100,'Executive Pay Breakdown'!M:M)+SUMIF('Executive Pay Breakdown'!B:B,$B100,'Executive Pay Breakdown'!Q:Q)+SUMIF('Executive Pay Breakdown'!B:B,$B100,'Executive Pay Breakdown'!U:U)+SUMIF('Executive Pay Breakdown'!B:B,$B100,'Executive Pay Breakdown'!Y:Y)+SUMIF('Executive Pay Breakdown'!B:B,$B100,'Executive Pay Breakdown'!AC:AC)</f>
        <v>284777518</v>
      </c>
      <c r="D100" s="161">
        <f>SUMIF('Executive Pay Breakdown'!B:B,$B100,'Executive Pay Breakdown'!M:M)</f>
        <v>37479833</v>
      </c>
      <c r="E100" s="161">
        <f>SUMIF('Executive Pay Breakdown'!B:B,$B100,'Executive Pay Breakdown'!Q:Q)</f>
        <v>58507288</v>
      </c>
      <c r="F100" s="161">
        <f>SUMIF('Executive Pay Breakdown'!B:B,$B100,'Executive Pay Breakdown'!U:U)</f>
        <v>95071144</v>
      </c>
      <c r="G100" s="161">
        <f>SUMIF('Executive Pay Breakdown'!B:B,$B100,'Executive Pay Breakdown'!Y:Y)</f>
        <v>56283232</v>
      </c>
      <c r="H100" s="161">
        <f>SUMIF('Executive Pay Breakdown'!B:B,$B100,'Executive Pay Breakdown'!AC:AC)</f>
        <v>37436021</v>
      </c>
      <c r="I100" s="192"/>
      <c r="J100" s="813">
        <f t="shared" si="2"/>
        <v>18727.6</v>
      </c>
      <c r="K100" s="220">
        <v>19411.0</v>
      </c>
      <c r="L100" s="220">
        <v>18196.0</v>
      </c>
      <c r="M100" s="220">
        <v>18007.0</v>
      </c>
      <c r="N100" s="220">
        <v>19134.0</v>
      </c>
      <c r="O100" s="220">
        <v>18890.0</v>
      </c>
      <c r="P100" s="87"/>
      <c r="Q100" s="781"/>
      <c r="R100" s="87"/>
      <c r="S100" s="87"/>
      <c r="T100" s="87"/>
      <c r="U100" s="87"/>
      <c r="V100" s="87"/>
    </row>
    <row r="101" ht="15.0" customHeight="1">
      <c r="A101" s="196" t="str">
        <f t="array" ref="A101">INDEX('Federal Tax, Stock Buybacks, &amp; '!D:D,match(B101,'Federal Tax, Stock Buybacks, &amp; '!E:E,0))</f>
        <v>#N/A</v>
      </c>
      <c r="B101" s="808" t="s">
        <v>2762</v>
      </c>
      <c r="C101" s="160">
        <f>SUMIF('Executive Pay Breakdown'!B:B,$B101,'Executive Pay Breakdown'!M:M)+SUMIF('Executive Pay Breakdown'!B:B,$B101,'Executive Pay Breakdown'!Q:Q)+SUMIF('Executive Pay Breakdown'!B:B,$B101,'Executive Pay Breakdown'!U:U)+SUMIF('Executive Pay Breakdown'!B:B,$B101,'Executive Pay Breakdown'!Y:Y)+SUMIF('Executive Pay Breakdown'!B:B,$B101,'Executive Pay Breakdown'!AC:AC)</f>
        <v>282939806</v>
      </c>
      <c r="D101" s="161">
        <f>SUMIF('Executive Pay Breakdown'!B:B,$B101,'Executive Pay Breakdown'!M:M)</f>
        <v>49833661</v>
      </c>
      <c r="E101" s="161">
        <f>SUMIF('Executive Pay Breakdown'!B:B,$B101,'Executive Pay Breakdown'!Q:Q)</f>
        <v>52376162</v>
      </c>
      <c r="F101" s="161">
        <f>SUMIF('Executive Pay Breakdown'!B:B,$B101,'Executive Pay Breakdown'!U:U)</f>
        <v>87952008</v>
      </c>
      <c r="G101" s="161">
        <f>SUMIF('Executive Pay Breakdown'!B:B,$B101,'Executive Pay Breakdown'!Y:Y)</f>
        <v>49794622</v>
      </c>
      <c r="H101" s="161">
        <f>SUMIF('Executive Pay Breakdown'!B:B,$B101,'Executive Pay Breakdown'!AC:AC)</f>
        <v>42983353</v>
      </c>
      <c r="I101" s="192"/>
      <c r="J101" s="813">
        <f t="shared" si="2"/>
        <v>58030.6</v>
      </c>
      <c r="K101" s="220">
        <v>61242.0</v>
      </c>
      <c r="L101" s="220">
        <v>67926.0</v>
      </c>
      <c r="M101" s="220">
        <v>49001.0</v>
      </c>
      <c r="N101" s="220">
        <v>56896.0</v>
      </c>
      <c r="O101" s="220">
        <v>55088.0</v>
      </c>
      <c r="P101" s="87"/>
      <c r="Q101" s="781"/>
      <c r="R101" s="87"/>
      <c r="S101" s="87"/>
      <c r="T101" s="87"/>
      <c r="U101" s="87"/>
      <c r="V101" s="87"/>
    </row>
    <row r="102" ht="15.0" customHeight="1">
      <c r="A102" s="196" t="str">
        <f t="array" ref="A102">INDEX('Federal Tax, Stock Buybacks, &amp; '!D:D,match(B102,'Federal Tax, Stock Buybacks, &amp; '!E:E,0))</f>
        <v>#N/A</v>
      </c>
      <c r="B102" s="808" t="s">
        <v>2732</v>
      </c>
      <c r="C102" s="160">
        <f>SUMIF('Executive Pay Breakdown'!B:B,$B102,'Executive Pay Breakdown'!M:M)+SUMIF('Executive Pay Breakdown'!B:B,$B102,'Executive Pay Breakdown'!Q:Q)+SUMIF('Executive Pay Breakdown'!B:B,$B102,'Executive Pay Breakdown'!U:U)+SUMIF('Executive Pay Breakdown'!B:B,$B102,'Executive Pay Breakdown'!Y:Y)+SUMIF('Executive Pay Breakdown'!B:B,$B102,'Executive Pay Breakdown'!AC:AC)</f>
        <v>277828014</v>
      </c>
      <c r="D102" s="161">
        <f>SUMIF('Executive Pay Breakdown'!B:B,$B102,'Executive Pay Breakdown'!M:M)</f>
        <v>58870513</v>
      </c>
      <c r="E102" s="161">
        <f>SUMIF('Executive Pay Breakdown'!B:B,$B102,'Executive Pay Breakdown'!Q:Q)</f>
        <v>57817104</v>
      </c>
      <c r="F102" s="161">
        <f>SUMIF('Executive Pay Breakdown'!B:B,$B102,'Executive Pay Breakdown'!U:U)</f>
        <v>41010095</v>
      </c>
      <c r="G102" s="161">
        <f>SUMIF('Executive Pay Breakdown'!B:B,$B102,'Executive Pay Breakdown'!Y:Y)</f>
        <v>56445231</v>
      </c>
      <c r="H102" s="161">
        <f>SUMIF('Executive Pay Breakdown'!B:B,$B102,'Executive Pay Breakdown'!AC:AC)</f>
        <v>63685071</v>
      </c>
      <c r="I102" s="192"/>
      <c r="J102" s="813">
        <f t="shared" si="2"/>
        <v>138052</v>
      </c>
      <c r="K102" s="220">
        <v>145756.0</v>
      </c>
      <c r="L102" s="220">
        <v>124844.0</v>
      </c>
      <c r="M102" s="220">
        <v>133800.0</v>
      </c>
      <c r="N102" s="220">
        <v>158869.0</v>
      </c>
      <c r="O102" s="220">
        <v>126991.0</v>
      </c>
      <c r="P102" s="87"/>
      <c r="Q102" s="781"/>
      <c r="R102" s="87"/>
      <c r="S102" s="87"/>
      <c r="T102" s="87"/>
      <c r="U102" s="87"/>
      <c r="V102" s="87"/>
    </row>
    <row r="103" ht="15.0" customHeight="1">
      <c r="A103" s="196" t="str">
        <f t="array" ref="A103">INDEX('Federal Tax, Stock Buybacks, &amp; '!D:D,match(B103,'Federal Tax, Stock Buybacks, &amp; '!E:E,0))</f>
        <v>#N/A</v>
      </c>
      <c r="B103" s="808" t="s">
        <v>2667</v>
      </c>
      <c r="C103" s="160">
        <f>SUMIF('Executive Pay Breakdown'!B:B,$B103,'Executive Pay Breakdown'!M:M)+SUMIF('Executive Pay Breakdown'!B:B,$B103,'Executive Pay Breakdown'!Q:Q)+SUMIF('Executive Pay Breakdown'!B:B,$B103,'Executive Pay Breakdown'!U:U)+SUMIF('Executive Pay Breakdown'!B:B,$B103,'Executive Pay Breakdown'!Y:Y)+SUMIF('Executive Pay Breakdown'!B:B,$B103,'Executive Pay Breakdown'!AC:AC)</f>
        <v>272881303</v>
      </c>
      <c r="D103" s="161">
        <f>SUMIF('Executive Pay Breakdown'!B:B,$B103,'Executive Pay Breakdown'!M:M)</f>
        <v>49328555</v>
      </c>
      <c r="E103" s="161">
        <f>SUMIF('Executive Pay Breakdown'!B:B,$B103,'Executive Pay Breakdown'!Q:Q)</f>
        <v>93378869</v>
      </c>
      <c r="F103" s="161">
        <f>SUMIF('Executive Pay Breakdown'!B:B,$B103,'Executive Pay Breakdown'!U:U)</f>
        <v>43956990</v>
      </c>
      <c r="G103" s="161">
        <f>SUMIF('Executive Pay Breakdown'!B:B,$B103,'Executive Pay Breakdown'!Y:Y)</f>
        <v>52003804</v>
      </c>
      <c r="H103" s="161">
        <f>SUMIF('Executive Pay Breakdown'!B:B,$B103,'Executive Pay Breakdown'!AC:AC)</f>
        <v>34213085</v>
      </c>
      <c r="I103" s="192"/>
      <c r="J103" s="813">
        <f t="shared" si="2"/>
        <v>77466.6</v>
      </c>
      <c r="K103" s="220">
        <v>74729.0</v>
      </c>
      <c r="L103" s="220">
        <v>70562.0</v>
      </c>
      <c r="M103" s="220">
        <v>67496.0</v>
      </c>
      <c r="N103" s="220">
        <v>86087.0</v>
      </c>
      <c r="O103" s="220">
        <v>88459.0</v>
      </c>
      <c r="P103" s="87"/>
      <c r="Q103" s="781"/>
      <c r="R103" s="87"/>
      <c r="S103" s="87"/>
      <c r="T103" s="87"/>
      <c r="U103" s="87"/>
      <c r="V103" s="87"/>
    </row>
    <row r="104" ht="15.0" customHeight="1">
      <c r="A104" s="196" t="str">
        <f t="array" ref="A104">INDEX('Federal Tax, Stock Buybacks, &amp; '!D:D,match(B104,'Federal Tax, Stock Buybacks, &amp; '!E:E,0))</f>
        <v>#N/A</v>
      </c>
      <c r="B104" s="808" t="s">
        <v>2916</v>
      </c>
      <c r="C104" s="160">
        <f>SUMIF('Executive Pay Breakdown'!B:B,$B104,'Executive Pay Breakdown'!M:M)+SUMIF('Executive Pay Breakdown'!B:B,$B104,'Executive Pay Breakdown'!Q:Q)+SUMIF('Executive Pay Breakdown'!B:B,$B104,'Executive Pay Breakdown'!U:U)+SUMIF('Executive Pay Breakdown'!B:B,$B104,'Executive Pay Breakdown'!Y:Y)+SUMIF('Executive Pay Breakdown'!B:B,$B104,'Executive Pay Breakdown'!AC:AC)</f>
        <v>268703662</v>
      </c>
      <c r="D104" s="161">
        <f>SUMIF('Executive Pay Breakdown'!B:B,$B104,'Executive Pay Breakdown'!M:M)</f>
        <v>60463107</v>
      </c>
      <c r="E104" s="161">
        <f>SUMIF('Executive Pay Breakdown'!B:B,$B104,'Executive Pay Breakdown'!Q:Q)</f>
        <v>60569230</v>
      </c>
      <c r="F104" s="161">
        <f>SUMIF('Executive Pay Breakdown'!B:B,$B104,'Executive Pay Breakdown'!U:U)</f>
        <v>46255317</v>
      </c>
      <c r="G104" s="161">
        <f>SUMIF('Executive Pay Breakdown'!B:B,$B104,'Executive Pay Breakdown'!Y:Y)</f>
        <v>55063330</v>
      </c>
      <c r="H104" s="161">
        <f>SUMIF('Executive Pay Breakdown'!B:B,$B104,'Executive Pay Breakdown'!AC:AC)</f>
        <v>46352678</v>
      </c>
      <c r="I104" s="192"/>
      <c r="J104" s="813">
        <f t="shared" si="2"/>
        <v>99760.6</v>
      </c>
      <c r="K104" s="220">
        <v>98943.0</v>
      </c>
      <c r="L104" s="220">
        <v>102803.0</v>
      </c>
      <c r="M104" s="220">
        <v>109482.0</v>
      </c>
      <c r="N104" s="220">
        <v>95621.0</v>
      </c>
      <c r="O104" s="220">
        <v>91954.0</v>
      </c>
      <c r="P104" s="87"/>
      <c r="Q104" s="781"/>
      <c r="R104" s="87"/>
      <c r="S104" s="87"/>
      <c r="T104" s="87"/>
      <c r="U104" s="87"/>
      <c r="V104" s="87"/>
    </row>
    <row r="105" ht="15.0" customHeight="1">
      <c r="A105" s="196" t="str">
        <f t="array" ref="A105">INDEX('Federal Tax, Stock Buybacks, &amp; '!D:D,match(B105,'Federal Tax, Stock Buybacks, &amp; '!E:E,0))</f>
        <v>#N/A</v>
      </c>
      <c r="B105" s="432" t="s">
        <v>1201</v>
      </c>
      <c r="C105" s="160">
        <f>SUMIF('Executive Pay Breakdown'!B:B,$B105,'Executive Pay Breakdown'!M:M)+SUMIF('Executive Pay Breakdown'!B:B,$B105,'Executive Pay Breakdown'!Q:Q)+SUMIF('Executive Pay Breakdown'!B:B,$B105,'Executive Pay Breakdown'!U:U)+SUMIF('Executive Pay Breakdown'!B:B,$B105,'Executive Pay Breakdown'!Y:Y)+SUMIF('Executive Pay Breakdown'!B:B,$B105,'Executive Pay Breakdown'!AC:AC)</f>
        <v>267742305</v>
      </c>
      <c r="D105" s="161">
        <f>SUMIF('Executive Pay Breakdown'!B:B,$B105,'Executive Pay Breakdown'!M:M)</f>
        <v>37977489</v>
      </c>
      <c r="E105" s="161">
        <f>SUMIF('Executive Pay Breakdown'!B:B,$B105,'Executive Pay Breakdown'!Q:Q)</f>
        <v>51823810</v>
      </c>
      <c r="F105" s="161">
        <f>SUMIF('Executive Pay Breakdown'!B:B,$B105,'Executive Pay Breakdown'!U:U)</f>
        <v>57805550</v>
      </c>
      <c r="G105" s="161">
        <f>SUMIF('Executive Pay Breakdown'!B:B,$B105,'Executive Pay Breakdown'!Y:Y)</f>
        <v>92239120</v>
      </c>
      <c r="H105" s="161">
        <f>SUMIF('Executive Pay Breakdown'!B:B,$B105,'Executive Pay Breakdown'!AC:AC)</f>
        <v>27896336</v>
      </c>
      <c r="I105" s="192"/>
      <c r="J105" s="811">
        <f t="shared" si="2"/>
        <v>70676.6</v>
      </c>
      <c r="K105" s="188">
        <v>73088.0</v>
      </c>
      <c r="L105" s="188">
        <v>70276.0</v>
      </c>
      <c r="M105" s="188">
        <v>66713.0</v>
      </c>
      <c r="N105" s="188">
        <v>65254.0</v>
      </c>
      <c r="O105" s="188">
        <v>78052.0</v>
      </c>
      <c r="P105" s="87"/>
      <c r="Q105" s="781"/>
      <c r="R105" s="87"/>
      <c r="S105" s="87"/>
      <c r="T105" s="87"/>
      <c r="U105" s="87"/>
      <c r="V105" s="87"/>
    </row>
    <row r="106" ht="15.0" customHeight="1">
      <c r="A106" s="196" t="str">
        <f t="array" ref="A106">INDEX('Federal Tax, Stock Buybacks, &amp; '!D:D,match(B106,'Federal Tax, Stock Buybacks, &amp; '!E:E,0))</f>
        <v>#N/A</v>
      </c>
      <c r="B106" s="808" t="s">
        <v>3102</v>
      </c>
      <c r="C106" s="160">
        <f>SUMIF('Executive Pay Breakdown'!B:B,$B106,'Executive Pay Breakdown'!M:M)+SUMIF('Executive Pay Breakdown'!B:B,$B106,'Executive Pay Breakdown'!Q:Q)+SUMIF('Executive Pay Breakdown'!B:B,$B106,'Executive Pay Breakdown'!U:U)+SUMIF('Executive Pay Breakdown'!B:B,$B106,'Executive Pay Breakdown'!Y:Y)+SUMIF('Executive Pay Breakdown'!B:B,$B106,'Executive Pay Breakdown'!AC:AC)</f>
        <v>247874726</v>
      </c>
      <c r="D106" s="161">
        <f>SUMIF('Executive Pay Breakdown'!B:B,$B106,'Executive Pay Breakdown'!M:M)</f>
        <v>48038921</v>
      </c>
      <c r="E106" s="161">
        <f>SUMIF('Executive Pay Breakdown'!B:B,$B106,'Executive Pay Breakdown'!Q:Q)</f>
        <v>48346590</v>
      </c>
      <c r="F106" s="161">
        <f>SUMIF('Executive Pay Breakdown'!B:B,$B106,'Executive Pay Breakdown'!U:U)</f>
        <v>48354847</v>
      </c>
      <c r="G106" s="161">
        <f>SUMIF('Executive Pay Breakdown'!B:B,$B106,'Executive Pay Breakdown'!Y:Y)</f>
        <v>58455527</v>
      </c>
      <c r="H106" s="161">
        <f>SUMIF('Executive Pay Breakdown'!B:B,$B106,'Executive Pay Breakdown'!AC:AC)</f>
        <v>44678841</v>
      </c>
      <c r="I106" s="192"/>
      <c r="J106" s="813">
        <f t="shared" si="2"/>
        <v>136070.6</v>
      </c>
      <c r="K106" s="220">
        <v>149162.0</v>
      </c>
      <c r="L106" s="220">
        <v>148649.0</v>
      </c>
      <c r="M106" s="220">
        <v>147003.0</v>
      </c>
      <c r="N106" s="220">
        <v>123365.0</v>
      </c>
      <c r="O106" s="220">
        <v>112174.0</v>
      </c>
      <c r="P106" s="87"/>
      <c r="Q106" s="781"/>
      <c r="R106" s="87"/>
      <c r="S106" s="87"/>
      <c r="T106" s="87"/>
      <c r="U106" s="87"/>
      <c r="V106" s="87"/>
    </row>
    <row r="107" ht="15.0" customHeight="1">
      <c r="A107" s="196" t="str">
        <f t="array" ref="A107">INDEX('Federal Tax, Stock Buybacks, &amp; '!D:D,match(B107,'Federal Tax, Stock Buybacks, &amp; '!E:E,0))</f>
        <v>#N/A</v>
      </c>
      <c r="B107" s="808" t="s">
        <v>2974</v>
      </c>
      <c r="C107" s="160">
        <f>SUMIF('Executive Pay Breakdown'!B:B,$B107,'Executive Pay Breakdown'!M:M)+SUMIF('Executive Pay Breakdown'!B:B,$B107,'Executive Pay Breakdown'!Q:Q)+SUMIF('Executive Pay Breakdown'!B:B,$B107,'Executive Pay Breakdown'!U:U)+SUMIF('Executive Pay Breakdown'!B:B,$B107,'Executive Pay Breakdown'!Y:Y)+SUMIF('Executive Pay Breakdown'!B:B,$B107,'Executive Pay Breakdown'!AC:AC)</f>
        <v>230071560</v>
      </c>
      <c r="D107" s="161">
        <f>SUMIF('Executive Pay Breakdown'!B:B,$B107,'Executive Pay Breakdown'!M:M)</f>
        <v>46579010</v>
      </c>
      <c r="E107" s="161">
        <f>SUMIF('Executive Pay Breakdown'!B:B,$B107,'Executive Pay Breakdown'!Q:Q)</f>
        <v>52480315</v>
      </c>
      <c r="F107" s="161">
        <f>SUMIF('Executive Pay Breakdown'!B:B,$B107,'Executive Pay Breakdown'!U:U)</f>
        <v>54475417</v>
      </c>
      <c r="G107" s="161">
        <f>SUMIF('Executive Pay Breakdown'!B:B,$B107,'Executive Pay Breakdown'!Y:Y)</f>
        <v>38524734</v>
      </c>
      <c r="H107" s="161">
        <f>SUMIF('Executive Pay Breakdown'!B:B,$B107,'Executive Pay Breakdown'!AC:AC)</f>
        <v>38012084</v>
      </c>
      <c r="I107" s="192"/>
      <c r="J107" s="813">
        <f t="shared" si="2"/>
        <v>42674.4</v>
      </c>
      <c r="K107" s="220">
        <v>41967.0</v>
      </c>
      <c r="L107" s="220">
        <v>40136.0</v>
      </c>
      <c r="M107" s="220">
        <v>37444.0</v>
      </c>
      <c r="N107" s="220">
        <v>56756.0</v>
      </c>
      <c r="O107" s="220">
        <v>37069.0</v>
      </c>
      <c r="P107" s="87"/>
      <c r="Q107" s="781"/>
      <c r="R107" s="87"/>
      <c r="S107" s="87"/>
      <c r="T107" s="87"/>
      <c r="U107" s="87"/>
      <c r="V107" s="87"/>
    </row>
    <row r="108" ht="15.0" customHeight="1">
      <c r="A108" s="196" t="str">
        <f t="array" ref="A108">INDEX('Federal Tax, Stock Buybacks, &amp; '!D:D,match(B108,'Federal Tax, Stock Buybacks, &amp; '!E:E,0))</f>
        <v>#N/A</v>
      </c>
      <c r="B108" s="808" t="s">
        <v>2938</v>
      </c>
      <c r="C108" s="160">
        <f>SUMIF('Executive Pay Breakdown'!B:B,$B108,'Executive Pay Breakdown'!M:M)+SUMIF('Executive Pay Breakdown'!B:B,$B108,'Executive Pay Breakdown'!Q:Q)+SUMIF('Executive Pay Breakdown'!B:B,$B108,'Executive Pay Breakdown'!U:U)+SUMIF('Executive Pay Breakdown'!B:B,$B108,'Executive Pay Breakdown'!Y:Y)+SUMIF('Executive Pay Breakdown'!B:B,$B108,'Executive Pay Breakdown'!AC:AC)</f>
        <v>215076456</v>
      </c>
      <c r="D108" s="161">
        <f>SUMIF('Executive Pay Breakdown'!B:B,$B108,'Executive Pay Breakdown'!M:M)</f>
        <v>39493145</v>
      </c>
      <c r="E108" s="161">
        <f>SUMIF('Executive Pay Breakdown'!B:B,$B108,'Executive Pay Breakdown'!Q:Q)</f>
        <v>41259756</v>
      </c>
      <c r="F108" s="161">
        <f>SUMIF('Executive Pay Breakdown'!B:B,$B108,'Executive Pay Breakdown'!U:U)</f>
        <v>42042003</v>
      </c>
      <c r="G108" s="161">
        <f>SUMIF('Executive Pay Breakdown'!B:B,$B108,'Executive Pay Breakdown'!Y:Y)</f>
        <v>44794277</v>
      </c>
      <c r="H108" s="161">
        <f>SUMIF('Executive Pay Breakdown'!B:B,$B108,'Executive Pay Breakdown'!AC:AC)</f>
        <v>47487275</v>
      </c>
      <c r="I108" s="192"/>
      <c r="J108" s="813">
        <f t="shared" si="2"/>
        <v>72966.2</v>
      </c>
      <c r="K108" s="220">
        <v>66189.0</v>
      </c>
      <c r="L108" s="220">
        <v>62235.0</v>
      </c>
      <c r="M108" s="220">
        <v>102184.0</v>
      </c>
      <c r="N108" s="220">
        <v>61860.0</v>
      </c>
      <c r="O108" s="220">
        <v>72363.0</v>
      </c>
      <c r="P108" s="87"/>
      <c r="Q108" s="781"/>
      <c r="R108" s="87"/>
      <c r="S108" s="87"/>
      <c r="T108" s="87"/>
      <c r="U108" s="87"/>
      <c r="V108" s="87"/>
    </row>
    <row r="109" ht="15.0" customHeight="1">
      <c r="A109" s="196" t="str">
        <f t="array" ref="A109">INDEX('Federal Tax, Stock Buybacks, &amp; '!D:D,match(B109,'Federal Tax, Stock Buybacks, &amp; '!E:E,0))</f>
        <v>#N/A</v>
      </c>
      <c r="B109" s="808" t="s">
        <v>3047</v>
      </c>
      <c r="C109" s="160">
        <f>SUMIF('Executive Pay Breakdown'!B:B,$B109,'Executive Pay Breakdown'!M:M)+SUMIF('Executive Pay Breakdown'!B:B,$B109,'Executive Pay Breakdown'!Q:Q)+SUMIF('Executive Pay Breakdown'!B:B,$B109,'Executive Pay Breakdown'!U:U)+SUMIF('Executive Pay Breakdown'!B:B,$B109,'Executive Pay Breakdown'!Y:Y)+SUMIF('Executive Pay Breakdown'!B:B,$B109,'Executive Pay Breakdown'!AC:AC)</f>
        <v>212131102</v>
      </c>
      <c r="D109" s="161">
        <f>SUMIF('Executive Pay Breakdown'!B:B,$B109,'Executive Pay Breakdown'!M:M)</f>
        <v>29957713</v>
      </c>
      <c r="E109" s="161">
        <f>SUMIF('Executive Pay Breakdown'!B:B,$B109,'Executive Pay Breakdown'!Q:Q)</f>
        <v>49053345</v>
      </c>
      <c r="F109" s="161">
        <f>SUMIF('Executive Pay Breakdown'!B:B,$B109,'Executive Pay Breakdown'!U:U)</f>
        <v>42913738</v>
      </c>
      <c r="G109" s="161">
        <f>SUMIF('Executive Pay Breakdown'!B:B,$B109,'Executive Pay Breakdown'!Y:Y)</f>
        <v>48450540</v>
      </c>
      <c r="H109" s="161">
        <f>SUMIF('Executive Pay Breakdown'!B:B,$B109,'Executive Pay Breakdown'!AC:AC)</f>
        <v>41755766</v>
      </c>
      <c r="I109" s="192"/>
      <c r="J109" s="813">
        <f t="shared" si="2"/>
        <v>83972.6</v>
      </c>
      <c r="K109" s="220">
        <v>77762.0</v>
      </c>
      <c r="L109" s="220">
        <v>70240.0</v>
      </c>
      <c r="M109" s="220">
        <v>72308.0</v>
      </c>
      <c r="N109" s="220">
        <v>118198.0</v>
      </c>
      <c r="O109" s="220">
        <v>81355.0</v>
      </c>
      <c r="P109" s="87"/>
      <c r="Q109" s="781"/>
      <c r="R109" s="87"/>
      <c r="S109" s="87"/>
      <c r="T109" s="87"/>
      <c r="U109" s="87"/>
      <c r="V109" s="87"/>
    </row>
    <row r="110" ht="15.0" customHeight="1">
      <c r="A110" s="196" t="str">
        <f t="array" ref="A110">INDEX('Federal Tax, Stock Buybacks, &amp; '!D:D,match(B110,'Federal Tax, Stock Buybacks, &amp; '!E:E,0))</f>
        <v>#N/A</v>
      </c>
      <c r="B110" s="808" t="s">
        <v>2889</v>
      </c>
      <c r="C110" s="160">
        <f>SUMIF('Executive Pay Breakdown'!B:B,$B110,'Executive Pay Breakdown'!M:M)+SUMIF('Executive Pay Breakdown'!B:B,$B110,'Executive Pay Breakdown'!Q:Q)+SUMIF('Executive Pay Breakdown'!B:B,$B110,'Executive Pay Breakdown'!U:U)+SUMIF('Executive Pay Breakdown'!B:B,$B110,'Executive Pay Breakdown'!Y:Y)+SUMIF('Executive Pay Breakdown'!B:B,$B110,'Executive Pay Breakdown'!AC:AC)</f>
        <v>211519761</v>
      </c>
      <c r="D110" s="161">
        <f>SUMIF('Executive Pay Breakdown'!B:B,$B110,'Executive Pay Breakdown'!M:M)</f>
        <v>37500332</v>
      </c>
      <c r="E110" s="161">
        <f>SUMIF('Executive Pay Breakdown'!B:B,$B110,'Executive Pay Breakdown'!Q:Q)</f>
        <v>43527694</v>
      </c>
      <c r="F110" s="161">
        <f>SUMIF('Executive Pay Breakdown'!B:B,$B110,'Executive Pay Breakdown'!U:U)</f>
        <v>57941630</v>
      </c>
      <c r="G110" s="161">
        <f>SUMIF('Executive Pay Breakdown'!B:B,$B110,'Executive Pay Breakdown'!Y:Y)</f>
        <v>32072392</v>
      </c>
      <c r="H110" s="161">
        <f>SUMIF('Executive Pay Breakdown'!B:B,$B110,'Executive Pay Breakdown'!AC:AC)</f>
        <v>40477713</v>
      </c>
      <c r="I110" s="192"/>
      <c r="J110" s="813">
        <f t="shared" si="2"/>
        <v>74672.4</v>
      </c>
      <c r="K110" s="220">
        <v>83737.0</v>
      </c>
      <c r="L110" s="220">
        <v>75209.0</v>
      </c>
      <c r="M110" s="220">
        <v>72072.0</v>
      </c>
      <c r="N110" s="220">
        <v>70801.0</v>
      </c>
      <c r="O110" s="220">
        <v>71543.0</v>
      </c>
      <c r="P110" s="87"/>
      <c r="Q110" s="781"/>
      <c r="R110" s="87"/>
      <c r="S110" s="87"/>
      <c r="T110" s="87"/>
      <c r="U110" s="87"/>
      <c r="V110" s="87"/>
    </row>
    <row r="111" ht="15.0" customHeight="1">
      <c r="A111" s="196" t="str">
        <f t="array" ref="A111">INDEX('Federal Tax, Stock Buybacks, &amp; '!D:D,match(B111,'Federal Tax, Stock Buybacks, &amp; '!E:E,0))</f>
        <v>#N/A</v>
      </c>
      <c r="B111" s="808" t="s">
        <v>2564</v>
      </c>
      <c r="C111" s="160">
        <f>SUMIF('Executive Pay Breakdown'!B:B,$B111,'Executive Pay Breakdown'!M:M)+SUMIF('Executive Pay Breakdown'!B:B,$B111,'Executive Pay Breakdown'!Q:Q)+SUMIF('Executive Pay Breakdown'!B:B,$B111,'Executive Pay Breakdown'!U:U)+SUMIF('Executive Pay Breakdown'!B:B,$B111,'Executive Pay Breakdown'!Y:Y)+SUMIF('Executive Pay Breakdown'!B:B,$B111,'Executive Pay Breakdown'!AC:AC)</f>
        <v>206078492</v>
      </c>
      <c r="D111" s="161">
        <f>SUMIF('Executive Pay Breakdown'!B:B,$B111,'Executive Pay Breakdown'!M:M)</f>
        <v>42116719</v>
      </c>
      <c r="E111" s="161">
        <f>SUMIF('Executive Pay Breakdown'!B:B,$B111,'Executive Pay Breakdown'!Q:Q)</f>
        <v>41829204</v>
      </c>
      <c r="F111" s="161">
        <f>SUMIF('Executive Pay Breakdown'!B:B,$B111,'Executive Pay Breakdown'!U:U)</f>
        <v>41773078</v>
      </c>
      <c r="G111" s="161">
        <f>SUMIF('Executive Pay Breakdown'!B:B,$B111,'Executive Pay Breakdown'!Y:Y)</f>
        <v>41579273</v>
      </c>
      <c r="H111" s="161">
        <f>SUMIF('Executive Pay Breakdown'!B:B,$B111,'Executive Pay Breakdown'!AC:AC)</f>
        <v>38780218</v>
      </c>
      <c r="I111" s="192"/>
      <c r="J111" s="813">
        <f t="shared" si="2"/>
        <v>62909.2</v>
      </c>
      <c r="K111" s="219">
        <v>62691.0</v>
      </c>
      <c r="L111" s="220">
        <v>58881.0</v>
      </c>
      <c r="M111" s="219">
        <v>68543.0</v>
      </c>
      <c r="N111" s="219">
        <v>65740.0</v>
      </c>
      <c r="O111" s="219">
        <v>58691.0</v>
      </c>
      <c r="P111" s="87"/>
      <c r="Q111" s="781"/>
      <c r="R111" s="87"/>
      <c r="S111" s="87"/>
      <c r="T111" s="87"/>
      <c r="U111" s="87"/>
      <c r="V111" s="87"/>
    </row>
    <row r="112" ht="15.0" customHeight="1">
      <c r="A112" s="196" t="str">
        <f t="array" ref="A112">INDEX('Federal Tax, Stock Buybacks, &amp; '!D:D,match(B112,'Federal Tax, Stock Buybacks, &amp; '!E:E,0))</f>
        <v>#N/A</v>
      </c>
      <c r="B112" s="808" t="s">
        <v>2576</v>
      </c>
      <c r="C112" s="160">
        <f>SUMIF('Executive Pay Breakdown'!B:B,$B112,'Executive Pay Breakdown'!M:M)+SUMIF('Executive Pay Breakdown'!B:B,$B112,'Executive Pay Breakdown'!Q:Q)+SUMIF('Executive Pay Breakdown'!B:B,$B112,'Executive Pay Breakdown'!U:U)+SUMIF('Executive Pay Breakdown'!B:B,$B112,'Executive Pay Breakdown'!Y:Y)+SUMIF('Executive Pay Breakdown'!B:B,$B112,'Executive Pay Breakdown'!AC:AC)</f>
        <v>199297736</v>
      </c>
      <c r="D112" s="161">
        <f>SUMIF('Executive Pay Breakdown'!B:B,$B112,'Executive Pay Breakdown'!M:M)</f>
        <v>39813358</v>
      </c>
      <c r="E112" s="161">
        <f>SUMIF('Executive Pay Breakdown'!B:B,$B112,'Executive Pay Breakdown'!Q:Q)</f>
        <v>36192078</v>
      </c>
      <c r="F112" s="161">
        <f>SUMIF('Executive Pay Breakdown'!B:B,$B112,'Executive Pay Breakdown'!U:U)</f>
        <v>31908027</v>
      </c>
      <c r="G112" s="161">
        <f>SUMIF('Executive Pay Breakdown'!B:B,$B112,'Executive Pay Breakdown'!Y:Y)</f>
        <v>34126513</v>
      </c>
      <c r="H112" s="161">
        <f>SUMIF('Executive Pay Breakdown'!B:B,$B112,'Executive Pay Breakdown'!AC:AC)</f>
        <v>57257760</v>
      </c>
      <c r="I112" s="192"/>
      <c r="J112" s="813">
        <f t="shared" si="2"/>
        <v>50891</v>
      </c>
      <c r="K112" s="219">
        <v>68844.0</v>
      </c>
      <c r="L112" s="219">
        <v>62610.0</v>
      </c>
      <c r="M112" s="219">
        <v>44374.0</v>
      </c>
      <c r="N112" s="219">
        <v>40601.0</v>
      </c>
      <c r="O112" s="219">
        <v>38026.0</v>
      </c>
      <c r="P112" s="87"/>
      <c r="Q112" s="781"/>
      <c r="R112" s="87"/>
      <c r="S112" s="87"/>
      <c r="T112" s="87"/>
      <c r="U112" s="87"/>
      <c r="V112" s="87"/>
    </row>
    <row r="113" ht="15.0" customHeight="1">
      <c r="A113" s="196" t="str">
        <f t="array" ref="A113">INDEX('Federal Tax, Stock Buybacks, &amp; '!D:D,match(B113,'Federal Tax, Stock Buybacks, &amp; '!E:E,0))</f>
        <v>#N/A</v>
      </c>
      <c r="B113" s="808" t="s">
        <v>2591</v>
      </c>
      <c r="C113" s="160">
        <f>SUMIF('Executive Pay Breakdown'!B:B,$B113,'Executive Pay Breakdown'!M:M)+SUMIF('Executive Pay Breakdown'!B:B,$B113,'Executive Pay Breakdown'!Q:Q)+SUMIF('Executive Pay Breakdown'!B:B,$B113,'Executive Pay Breakdown'!U:U)+SUMIF('Executive Pay Breakdown'!B:B,$B113,'Executive Pay Breakdown'!Y:Y)+SUMIF('Executive Pay Breakdown'!B:B,$B113,'Executive Pay Breakdown'!AC:AC)</f>
        <v>162492488</v>
      </c>
      <c r="D113" s="161">
        <f>SUMIF('Executive Pay Breakdown'!B:B,$B113,'Executive Pay Breakdown'!M:M)</f>
        <v>29905798</v>
      </c>
      <c r="E113" s="161">
        <f>SUMIF('Executive Pay Breakdown'!B:B,$B113,'Executive Pay Breakdown'!Q:Q)</f>
        <v>27344399</v>
      </c>
      <c r="F113" s="161">
        <f>SUMIF('Executive Pay Breakdown'!B:B,$B113,'Executive Pay Breakdown'!U:U)</f>
        <v>31393967</v>
      </c>
      <c r="G113" s="161">
        <f>SUMIF('Executive Pay Breakdown'!B:B,$B113,'Executive Pay Breakdown'!Y:Y)</f>
        <v>35470068</v>
      </c>
      <c r="H113" s="161">
        <f>SUMIF('Executive Pay Breakdown'!B:B,$B113,'Executive Pay Breakdown'!AC:AC)</f>
        <v>38378256</v>
      </c>
      <c r="I113" s="192"/>
      <c r="J113" s="813">
        <f t="shared" si="2"/>
        <v>55102.2</v>
      </c>
      <c r="K113" s="219">
        <v>63906.0</v>
      </c>
      <c r="L113" s="219">
        <v>48291.0</v>
      </c>
      <c r="M113" s="219">
        <v>54619.0</v>
      </c>
      <c r="N113" s="219">
        <v>57261.0</v>
      </c>
      <c r="O113" s="219">
        <v>51434.0</v>
      </c>
      <c r="P113" s="87"/>
      <c r="Q113" s="781"/>
      <c r="R113" s="87"/>
      <c r="S113" s="87"/>
      <c r="T113" s="87"/>
      <c r="U113" s="87"/>
      <c r="V113" s="87"/>
    </row>
    <row r="114" ht="15.0" customHeight="1">
      <c r="A114" s="196" t="str">
        <f t="array" ref="A114">INDEX('Federal Tax, Stock Buybacks, &amp; '!D:D,match(B114,'Federal Tax, Stock Buybacks, &amp; '!E:E,0))</f>
        <v>#N/A</v>
      </c>
      <c r="B114" s="808" t="s">
        <v>3120</v>
      </c>
      <c r="C114" s="160">
        <f>SUMIF('Executive Pay Breakdown'!B:B,$B114,'Executive Pay Breakdown'!M:M)+SUMIF('Executive Pay Breakdown'!B:B,$B114,'Executive Pay Breakdown'!Q:Q)+SUMIF('Executive Pay Breakdown'!B:B,$B114,'Executive Pay Breakdown'!U:U)+SUMIF('Executive Pay Breakdown'!B:B,$B114,'Executive Pay Breakdown'!Y:Y)+SUMIF('Executive Pay Breakdown'!B:B,$B114,'Executive Pay Breakdown'!AC:AC)</f>
        <v>151927015</v>
      </c>
      <c r="D114" s="161">
        <f>SUMIF('Executive Pay Breakdown'!B:B,$B114,'Executive Pay Breakdown'!M:M)</f>
        <v>21566109</v>
      </c>
      <c r="E114" s="161">
        <f>SUMIF('Executive Pay Breakdown'!B:B,$B114,'Executive Pay Breakdown'!Q:Q)</f>
        <v>22728100</v>
      </c>
      <c r="F114" s="161">
        <f>SUMIF('Executive Pay Breakdown'!B:B,$B114,'Executive Pay Breakdown'!U:U)</f>
        <v>39056204</v>
      </c>
      <c r="G114" s="161">
        <f>SUMIF('Executive Pay Breakdown'!B:B,$B114,'Executive Pay Breakdown'!Y:Y)</f>
        <v>41401635</v>
      </c>
      <c r="H114" s="161">
        <f>SUMIF('Executive Pay Breakdown'!B:B,$B114,'Executive Pay Breakdown'!AC:AC)</f>
        <v>27174967</v>
      </c>
      <c r="I114" s="192"/>
      <c r="J114" s="813">
        <f t="shared" si="2"/>
        <v>75594.2</v>
      </c>
      <c r="K114" s="220">
        <v>88556.0</v>
      </c>
      <c r="L114" s="220">
        <v>78245.0</v>
      </c>
      <c r="M114" s="220">
        <v>63496.0</v>
      </c>
      <c r="N114" s="220">
        <v>74750.0</v>
      </c>
      <c r="O114" s="220">
        <v>72924.0</v>
      </c>
      <c r="P114" s="87"/>
      <c r="Q114" s="781"/>
      <c r="R114" s="87"/>
      <c r="S114" s="87"/>
      <c r="T114" s="87"/>
      <c r="U114" s="87"/>
      <c r="V114" s="87"/>
    </row>
    <row r="115" ht="15.0" customHeight="1">
      <c r="A115" s="196" t="str">
        <f t="array" ref="A115">INDEX('Federal Tax, Stock Buybacks, &amp; '!D:D,match(B115,'Federal Tax, Stock Buybacks, &amp; '!E:E,0))</f>
        <v>#N/A</v>
      </c>
      <c r="B115" s="808" t="s">
        <v>3132</v>
      </c>
      <c r="C115" s="160">
        <f>SUMIF('Executive Pay Breakdown'!B:B,$B115,'Executive Pay Breakdown'!M:M)+SUMIF('Executive Pay Breakdown'!B:B,$B115,'Executive Pay Breakdown'!Q:Q)+SUMIF('Executive Pay Breakdown'!B:B,$B115,'Executive Pay Breakdown'!U:U)+SUMIF('Executive Pay Breakdown'!B:B,$B115,'Executive Pay Breakdown'!Y:Y)+SUMIF('Executive Pay Breakdown'!B:B,$B115,'Executive Pay Breakdown'!AC:AC)</f>
        <v>143618321</v>
      </c>
      <c r="D115" s="161">
        <f>SUMIF('Executive Pay Breakdown'!B:B,$B115,'Executive Pay Breakdown'!M:M)</f>
        <v>35437975</v>
      </c>
      <c r="E115" s="161">
        <f>SUMIF('Executive Pay Breakdown'!B:B,$B115,'Executive Pay Breakdown'!Q:Q)</f>
        <v>28366365</v>
      </c>
      <c r="F115" s="161">
        <f>SUMIF('Executive Pay Breakdown'!B:B,$B115,'Executive Pay Breakdown'!U:U)</f>
        <v>26524538</v>
      </c>
      <c r="G115" s="161">
        <f>SUMIF('Executive Pay Breakdown'!B:B,$B115,'Executive Pay Breakdown'!Y:Y)</f>
        <v>24639201</v>
      </c>
      <c r="H115" s="161">
        <f>SUMIF('Executive Pay Breakdown'!B:B,$B115,'Executive Pay Breakdown'!AC:AC)</f>
        <v>28650242</v>
      </c>
      <c r="I115" s="192"/>
      <c r="J115" s="813">
        <f t="shared" si="2"/>
        <v>60921.2</v>
      </c>
      <c r="K115" s="220">
        <v>65432.0</v>
      </c>
      <c r="L115" s="220">
        <v>66172.0</v>
      </c>
      <c r="M115" s="220">
        <v>57569.0</v>
      </c>
      <c r="N115" s="220">
        <v>60819.0</v>
      </c>
      <c r="O115" s="220">
        <v>54614.0</v>
      </c>
      <c r="P115" s="87"/>
      <c r="Q115" s="781"/>
      <c r="R115" s="87"/>
      <c r="S115" s="87"/>
      <c r="T115" s="87"/>
      <c r="U115" s="87"/>
      <c r="V115" s="87"/>
    </row>
    <row r="116" ht="15.0" customHeight="1">
      <c r="A116" s="196" t="str">
        <f t="array" ref="A116">INDEX('Federal Tax, Stock Buybacks, &amp; '!D:D,match(B116,'Federal Tax, Stock Buybacks, &amp; '!E:E,0))</f>
        <v>#N/A</v>
      </c>
      <c r="B116" s="808" t="s">
        <v>3073</v>
      </c>
      <c r="C116" s="160">
        <f>SUMIF('Executive Pay Breakdown'!B:B,$B116,'Executive Pay Breakdown'!M:M)+SUMIF('Executive Pay Breakdown'!B:B,$B116,'Executive Pay Breakdown'!Q:Q)+SUMIF('Executive Pay Breakdown'!B:B,$B116,'Executive Pay Breakdown'!U:U)+SUMIF('Executive Pay Breakdown'!B:B,$B116,'Executive Pay Breakdown'!Y:Y)+SUMIF('Executive Pay Breakdown'!B:B,$B116,'Executive Pay Breakdown'!AC:AC)</f>
        <v>138223028</v>
      </c>
      <c r="D116" s="161">
        <f>SUMIF('Executive Pay Breakdown'!B:B,$B116,'Executive Pay Breakdown'!M:M)</f>
        <v>25027197</v>
      </c>
      <c r="E116" s="161">
        <f>SUMIF('Executive Pay Breakdown'!B:B,$B116,'Executive Pay Breakdown'!Q:Q)</f>
        <v>22809261</v>
      </c>
      <c r="F116" s="161">
        <f>SUMIF('Executive Pay Breakdown'!B:B,$B116,'Executive Pay Breakdown'!U:U)</f>
        <v>27647744</v>
      </c>
      <c r="G116" s="161">
        <f>SUMIF('Executive Pay Breakdown'!B:B,$B116,'Executive Pay Breakdown'!Y:Y)</f>
        <v>31055984</v>
      </c>
      <c r="H116" s="161">
        <f>SUMIF('Executive Pay Breakdown'!B:B,$B116,'Executive Pay Breakdown'!AC:AC)</f>
        <v>31682842</v>
      </c>
      <c r="I116" s="192"/>
      <c r="J116" s="813">
        <f t="shared" si="2"/>
        <v>66160.6</v>
      </c>
      <c r="K116" s="220">
        <v>71665.0</v>
      </c>
      <c r="L116" s="220">
        <v>62765.0</v>
      </c>
      <c r="M116" s="220">
        <v>73703.0</v>
      </c>
      <c r="N116" s="220">
        <v>61143.0</v>
      </c>
      <c r="O116" s="220">
        <v>61527.0</v>
      </c>
      <c r="P116" s="87"/>
      <c r="Q116" s="781"/>
      <c r="R116" s="87"/>
      <c r="S116" s="87"/>
      <c r="T116" s="87"/>
      <c r="U116" s="87"/>
      <c r="V116" s="87"/>
    </row>
    <row r="117" ht="15.0" customHeight="1">
      <c r="A117" s="196" t="str">
        <f t="array" ref="A117">INDEX('Federal Tax, Stock Buybacks, &amp; '!D:D,match(B117,'Federal Tax, Stock Buybacks, &amp; '!E:E,0))</f>
        <v>#N/A</v>
      </c>
      <c r="B117" s="130" t="s">
        <v>736</v>
      </c>
      <c r="C117" s="160">
        <f>SUMIF('Executive Pay Breakdown'!B:B,$B117,'Executive Pay Breakdown'!M:M)+SUMIF('Executive Pay Breakdown'!B:B,$B117,'Executive Pay Breakdown'!Q:Q)+SUMIF('Executive Pay Breakdown'!B:B,$B117,'Executive Pay Breakdown'!U:U)+SUMIF('Executive Pay Breakdown'!B:B,$B117,'Executive Pay Breakdown'!Y:Y)+SUMIF('Executive Pay Breakdown'!B:B,$B117,'Executive Pay Breakdown'!AC:AC)</f>
        <v>126089843</v>
      </c>
      <c r="D117" s="161">
        <f>SUMIF('Executive Pay Breakdown'!B:B,$B117,'Executive Pay Breakdown'!M:M)</f>
        <v>22921137</v>
      </c>
      <c r="E117" s="161">
        <f>SUMIF('Executive Pay Breakdown'!B:B,$B117,'Executive Pay Breakdown'!Q:Q)</f>
        <v>30116513</v>
      </c>
      <c r="F117" s="161">
        <f>SUMIF('Executive Pay Breakdown'!B:B,$B117,'Executive Pay Breakdown'!U:U)</f>
        <v>29862772</v>
      </c>
      <c r="G117" s="161">
        <f>SUMIF('Executive Pay Breakdown'!B:B,$B117,'Executive Pay Breakdown'!Y:Y)</f>
        <v>23700126</v>
      </c>
      <c r="H117" s="161">
        <f>SUMIF('Executive Pay Breakdown'!B:B,$B117,'Executive Pay Breakdown'!AC:AC)</f>
        <v>19489295</v>
      </c>
      <c r="I117" s="172"/>
      <c r="J117" s="166">
        <f t="shared" si="2"/>
        <v>174369.6</v>
      </c>
      <c r="K117" s="188">
        <v>155160.0</v>
      </c>
      <c r="L117" s="188">
        <v>175717.0</v>
      </c>
      <c r="M117" s="188">
        <v>183148.0</v>
      </c>
      <c r="N117" s="188">
        <v>190935.0</v>
      </c>
      <c r="O117" s="188">
        <v>166888.0</v>
      </c>
      <c r="P117" s="87"/>
      <c r="Q117" s="781"/>
      <c r="R117" s="87"/>
      <c r="S117" s="87"/>
      <c r="T117" s="87"/>
      <c r="U117" s="87"/>
      <c r="V117" s="87"/>
    </row>
    <row r="118" ht="15.0" customHeight="1">
      <c r="A118" s="196" t="str">
        <f t="array" ref="A118">INDEX('Federal Tax, Stock Buybacks, &amp; '!D:D,match(B118,'Federal Tax, Stock Buybacks, &amp; '!E:E,0))</f>
        <v>#N/A</v>
      </c>
      <c r="B118" s="808" t="s">
        <v>3063</v>
      </c>
      <c r="C118" s="160">
        <f>SUMIF('Executive Pay Breakdown'!B:B,$B118,'Executive Pay Breakdown'!M:M)+SUMIF('Executive Pay Breakdown'!B:B,$B118,'Executive Pay Breakdown'!Q:Q)+SUMIF('Executive Pay Breakdown'!B:B,$B118,'Executive Pay Breakdown'!U:U)+SUMIF('Executive Pay Breakdown'!B:B,$B118,'Executive Pay Breakdown'!Y:Y)+SUMIF('Executive Pay Breakdown'!B:B,$B118,'Executive Pay Breakdown'!AC:AC)</f>
        <v>87677007</v>
      </c>
      <c r="D118" s="161">
        <f>SUMIF('Executive Pay Breakdown'!B:B,$B118,'Executive Pay Breakdown'!M:M)</f>
        <v>30161532</v>
      </c>
      <c r="E118" s="161">
        <f>SUMIF('Executive Pay Breakdown'!B:B,$B118,'Executive Pay Breakdown'!Q:Q)</f>
        <v>12333224</v>
      </c>
      <c r="F118" s="161">
        <f>SUMIF('Executive Pay Breakdown'!B:B,$B118,'Executive Pay Breakdown'!U:U)</f>
        <v>15051725</v>
      </c>
      <c r="G118" s="161">
        <f>SUMIF('Executive Pay Breakdown'!B:B,$B118,'Executive Pay Breakdown'!Y:Y)</f>
        <v>17580189</v>
      </c>
      <c r="H118" s="161">
        <f>SUMIF('Executive Pay Breakdown'!B:B,$B118,'Executive Pay Breakdown'!AC:AC)</f>
        <v>12550337</v>
      </c>
      <c r="I118" s="192"/>
      <c r="J118" s="195">
        <f t="shared" si="2"/>
        <v>62933</v>
      </c>
      <c r="K118" s="220">
        <v>63557.0</v>
      </c>
      <c r="L118" s="220">
        <v>68408.0</v>
      </c>
      <c r="M118" s="220">
        <v>65000.0</v>
      </c>
      <c r="N118" s="220">
        <v>59716.0</v>
      </c>
      <c r="O118" s="220">
        <v>57984.0</v>
      </c>
      <c r="P118" s="87"/>
      <c r="Q118" s="781"/>
      <c r="R118" s="87"/>
      <c r="S118" s="87"/>
      <c r="T118" s="87"/>
      <c r="U118" s="87"/>
      <c r="V118" s="87"/>
    </row>
    <row r="119" ht="15.0" customHeight="1">
      <c r="A119" s="196" t="str">
        <f t="array" ref="A119">INDEX('Federal Tax, Stock Buybacks, &amp; '!D:D,match(B119,'Federal Tax, Stock Buybacks, &amp; '!E:E,0))</f>
        <v>#N/A</v>
      </c>
      <c r="B119" s="822" t="s">
        <v>3219</v>
      </c>
      <c r="C119" s="160">
        <f>SUMIF('Executive Pay Breakdown'!B:B,$B119,'Executive Pay Breakdown'!M:M)+SUMIF('Executive Pay Breakdown'!B:B,$B119,'Executive Pay Breakdown'!Q:Q)+SUMIF('Executive Pay Breakdown'!B:B,$B119,'Executive Pay Breakdown'!U:U)+SUMIF('Executive Pay Breakdown'!B:B,$B119,'Executive Pay Breakdown'!Y:Y)+SUMIF('Executive Pay Breakdown'!B:B,$B119,'Executive Pay Breakdown'!AC:AC)</f>
        <v>113552917</v>
      </c>
      <c r="D119" s="161">
        <f>SUMIF('Executive Pay Breakdown'!B:B,$B119,'Executive Pay Breakdown'!M:M)</f>
        <v>24442074</v>
      </c>
      <c r="E119" s="161">
        <f>SUMIF('Executive Pay Breakdown'!B:B,$B119,'Executive Pay Breakdown'!Q:Q)</f>
        <v>22837642</v>
      </c>
      <c r="F119" s="161">
        <f>SUMIF('Executive Pay Breakdown'!B:B,$B119,'Executive Pay Breakdown'!U:U)</f>
        <v>24034187</v>
      </c>
      <c r="G119" s="161">
        <f>SUMIF('Executive Pay Breakdown'!B:B,$B119,'Executive Pay Breakdown'!Y:Y)</f>
        <v>23516470</v>
      </c>
      <c r="H119" s="161">
        <f>SUMIF('Executive Pay Breakdown'!B:B,$B119,'Executive Pay Breakdown'!AC:AC)</f>
        <v>18722544</v>
      </c>
      <c r="I119" s="192"/>
      <c r="J119" s="195">
        <f t="shared" si="2"/>
        <v>99470.8</v>
      </c>
      <c r="K119" s="220">
        <v>102238.0</v>
      </c>
      <c r="L119" s="220">
        <v>95935.0</v>
      </c>
      <c r="M119" s="220">
        <v>100524.0</v>
      </c>
      <c r="N119" s="220">
        <v>103657.0</v>
      </c>
      <c r="O119" s="220">
        <v>95000.0</v>
      </c>
      <c r="P119" s="87"/>
      <c r="Q119" s="781"/>
      <c r="R119" s="87"/>
      <c r="S119" s="87"/>
      <c r="T119" s="87"/>
      <c r="U119" s="87"/>
      <c r="V119" s="87"/>
    </row>
    <row r="120" ht="15.0" customHeight="1">
      <c r="A120" s="196"/>
      <c r="B120" s="808"/>
      <c r="C120" s="160"/>
      <c r="D120" s="161"/>
      <c r="E120" s="161"/>
      <c r="F120" s="161"/>
      <c r="G120" s="161"/>
      <c r="H120" s="161"/>
      <c r="I120" s="192"/>
      <c r="J120" s="195"/>
      <c r="K120" s="220"/>
      <c r="L120" s="220"/>
      <c r="M120" s="220"/>
      <c r="N120" s="220"/>
      <c r="O120" s="220"/>
      <c r="P120" s="87"/>
      <c r="Q120" s="781"/>
      <c r="R120" s="87"/>
      <c r="S120" s="87"/>
      <c r="T120" s="87"/>
      <c r="U120" s="87"/>
      <c r="V120" s="87"/>
    </row>
  </sheetData>
  <mergeCells count="4">
    <mergeCell ref="A1:A3"/>
    <mergeCell ref="B1:B3"/>
    <mergeCell ref="C1:H1"/>
    <mergeCell ref="J1:O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3"/>
    <col customWidth="1" hidden="1" min="3" max="3" width="7.63"/>
    <col customWidth="1" min="4" max="8" width="7.63"/>
  </cols>
  <sheetData>
    <row r="1">
      <c r="A1" s="823" t="s">
        <v>3994</v>
      </c>
      <c r="B1" s="148" t="s">
        <v>3995</v>
      </c>
      <c r="C1" s="148">
        <v>2023.0</v>
      </c>
      <c r="D1" s="148">
        <v>2022.0</v>
      </c>
      <c r="E1" s="148">
        <v>2021.0</v>
      </c>
      <c r="F1" s="148">
        <v>2020.0</v>
      </c>
      <c r="G1" s="148">
        <v>2019.0</v>
      </c>
      <c r="H1" s="148">
        <v>2018.0</v>
      </c>
      <c r="I1" s="824"/>
      <c r="J1" s="824"/>
    </row>
    <row r="2">
      <c r="B2" s="780" t="s">
        <v>3996</v>
      </c>
      <c r="I2" s="88"/>
      <c r="J2" s="88"/>
    </row>
    <row r="3">
      <c r="A3" s="825" t="s">
        <v>3997</v>
      </c>
      <c r="B3" s="826">
        <f t="shared" ref="B3:B4" si="1">SUM(D3:H3)</f>
        <v>107258</v>
      </c>
      <c r="C3" s="827">
        <v>45235.0</v>
      </c>
      <c r="D3" s="647">
        <v>40553.0</v>
      </c>
      <c r="E3" s="647">
        <v>23973.0</v>
      </c>
      <c r="F3" s="827">
        <v>15207.0</v>
      </c>
      <c r="G3" s="827">
        <v>12653.0</v>
      </c>
      <c r="H3" s="827">
        <v>14872.0</v>
      </c>
      <c r="I3" s="88"/>
      <c r="J3" s="780"/>
    </row>
    <row r="4">
      <c r="A4" s="828" t="s">
        <v>3998</v>
      </c>
      <c r="B4" s="829">
        <f t="shared" si="1"/>
        <v>212860</v>
      </c>
      <c r="C4" s="827">
        <v>96773.0</v>
      </c>
      <c r="D4" s="827">
        <v>81462.0</v>
      </c>
      <c r="E4" s="827">
        <v>53823.0</v>
      </c>
      <c r="F4" s="827">
        <v>31536.0</v>
      </c>
      <c r="G4" s="827">
        <v>24578.0</v>
      </c>
      <c r="H4" s="827">
        <v>21461.0</v>
      </c>
      <c r="I4" s="88"/>
      <c r="J4" s="88"/>
    </row>
    <row r="5">
      <c r="A5" s="828" t="s">
        <v>3999</v>
      </c>
      <c r="B5" s="830">
        <f>B3/B4</f>
        <v>0.5038898807</v>
      </c>
      <c r="C5" s="88"/>
      <c r="D5" s="88"/>
      <c r="E5" s="88"/>
      <c r="F5" s="88"/>
      <c r="G5" s="88"/>
      <c r="H5" s="88"/>
      <c r="I5" s="88"/>
      <c r="J5" s="88"/>
    </row>
    <row r="6">
      <c r="A6" s="831"/>
      <c r="B6" s="88"/>
      <c r="C6" s="88"/>
      <c r="D6" s="88"/>
      <c r="E6" s="88"/>
      <c r="F6" s="88"/>
      <c r="G6" s="88"/>
      <c r="H6" s="88"/>
      <c r="I6" s="88"/>
      <c r="J6" s="88"/>
    </row>
    <row r="7">
      <c r="A7" s="825" t="s">
        <v>4000</v>
      </c>
      <c r="B7" s="826">
        <f t="shared" ref="B7:B8" si="2">SUM(D7:H7)</f>
        <v>4497</v>
      </c>
      <c r="C7" s="647">
        <v>3196.0</v>
      </c>
      <c r="D7" s="719">
        <v>5524.0</v>
      </c>
      <c r="E7" s="832">
        <v>-130.0</v>
      </c>
      <c r="F7" s="832">
        <v>-198.0</v>
      </c>
      <c r="G7" s="833">
        <v>-287.0</v>
      </c>
      <c r="H7" s="833">
        <v>-412.0</v>
      </c>
      <c r="I7" s="88"/>
      <c r="J7" s="88"/>
    </row>
    <row r="8">
      <c r="A8" s="828" t="s">
        <v>4001</v>
      </c>
      <c r="B8" s="826">
        <f t="shared" si="2"/>
        <v>19546</v>
      </c>
      <c r="C8" s="647">
        <v>9973.0</v>
      </c>
      <c r="D8" s="719">
        <v>13719.0</v>
      </c>
      <c r="E8" s="719">
        <v>6343.0</v>
      </c>
      <c r="F8" s="719">
        <v>1154.0</v>
      </c>
      <c r="G8" s="833">
        <v>-665.0</v>
      </c>
      <c r="H8" s="833">
        <v>-1005.0</v>
      </c>
      <c r="I8" s="88"/>
      <c r="J8" s="88"/>
    </row>
    <row r="9">
      <c r="A9" s="828" t="s">
        <v>3999</v>
      </c>
      <c r="B9" s="830">
        <f t="shared" ref="B9:C9" si="3">B7/B8</f>
        <v>0.2300726491</v>
      </c>
      <c r="C9" s="834">
        <f t="shared" si="3"/>
        <v>0.3204652562</v>
      </c>
      <c r="D9" s="834"/>
      <c r="E9" s="834"/>
      <c r="F9" s="834"/>
      <c r="G9" s="834"/>
      <c r="H9" s="834"/>
      <c r="I9" s="88"/>
      <c r="J9" s="88"/>
    </row>
    <row r="10">
      <c r="A10" s="831"/>
      <c r="B10" s="88"/>
      <c r="C10" s="88"/>
      <c r="D10" s="88"/>
      <c r="E10" s="88"/>
      <c r="F10" s="88"/>
      <c r="G10" s="88"/>
      <c r="H10" s="88"/>
      <c r="I10" s="88"/>
      <c r="J10" s="88"/>
    </row>
    <row r="11">
      <c r="A11" s="831"/>
      <c r="B11" s="824"/>
      <c r="C11" s="827"/>
      <c r="D11" s="647"/>
      <c r="E11" s="647"/>
      <c r="F11" s="88"/>
      <c r="G11" s="88"/>
      <c r="H11" s="88"/>
      <c r="I11" s="88"/>
      <c r="J11" s="88"/>
    </row>
    <row r="12">
      <c r="A12" s="831"/>
      <c r="B12" s="88"/>
      <c r="C12" s="88"/>
      <c r="D12" s="88"/>
      <c r="E12" s="88"/>
      <c r="F12" s="88"/>
      <c r="G12" s="88"/>
      <c r="H12" s="88"/>
      <c r="I12" s="88"/>
      <c r="J12" s="88"/>
    </row>
    <row r="13">
      <c r="A13" s="831"/>
      <c r="B13" s="88"/>
      <c r="C13" s="88"/>
      <c r="D13" s="88"/>
      <c r="E13" s="88"/>
      <c r="F13" s="88"/>
      <c r="G13" s="88"/>
      <c r="H13" s="88"/>
      <c r="I13" s="88"/>
      <c r="J13" s="88"/>
    </row>
    <row r="14">
      <c r="A14" s="831"/>
      <c r="B14" s="88"/>
      <c r="C14" s="88"/>
      <c r="D14" s="88"/>
      <c r="E14" s="88"/>
      <c r="F14" s="88"/>
      <c r="G14" s="88"/>
      <c r="H14" s="88"/>
      <c r="I14" s="88"/>
      <c r="J14" s="88"/>
    </row>
    <row r="15">
      <c r="A15" s="831"/>
      <c r="B15" s="88"/>
      <c r="C15" s="88"/>
      <c r="D15" s="88"/>
      <c r="E15" s="88"/>
      <c r="F15" s="88"/>
      <c r="G15" s="88"/>
      <c r="H15" s="88"/>
      <c r="I15" s="88"/>
      <c r="J15" s="88"/>
    </row>
    <row r="16">
      <c r="A16" s="831"/>
      <c r="B16" s="88"/>
      <c r="C16" s="88"/>
      <c r="D16" s="88"/>
      <c r="E16" s="88"/>
      <c r="F16" s="88"/>
      <c r="G16" s="88"/>
      <c r="H16" s="88"/>
      <c r="I16" s="88"/>
      <c r="J16" s="88"/>
    </row>
    <row r="17">
      <c r="A17" s="831"/>
      <c r="B17" s="88"/>
      <c r="C17" s="88"/>
      <c r="D17" s="88"/>
      <c r="E17" s="88"/>
      <c r="F17" s="88"/>
      <c r="G17" s="88"/>
      <c r="H17" s="88"/>
      <c r="I17" s="88"/>
      <c r="J17" s="88"/>
    </row>
    <row r="18">
      <c r="A18" s="831"/>
      <c r="B18" s="88"/>
      <c r="C18" s="88"/>
      <c r="D18" s="88"/>
      <c r="E18" s="88"/>
      <c r="F18" s="88"/>
      <c r="G18" s="88"/>
      <c r="H18" s="88"/>
      <c r="I18" s="88"/>
      <c r="J18" s="88"/>
    </row>
    <row r="19">
      <c r="A19" s="831"/>
      <c r="B19" s="88"/>
      <c r="C19" s="88"/>
      <c r="D19" s="88"/>
      <c r="E19" s="88"/>
      <c r="F19" s="88"/>
      <c r="G19" s="88"/>
      <c r="H19" s="88"/>
      <c r="I19" s="88"/>
      <c r="J19" s="88"/>
    </row>
    <row r="20">
      <c r="A20" s="831"/>
      <c r="B20" s="88"/>
      <c r="C20" s="88"/>
      <c r="D20" s="88"/>
      <c r="E20" s="88"/>
      <c r="F20" s="88"/>
      <c r="G20" s="88"/>
      <c r="H20" s="88"/>
      <c r="I20" s="88"/>
      <c r="J20" s="88"/>
    </row>
  </sheetData>
  <mergeCells count="2">
    <mergeCell ref="A1:A2"/>
    <mergeCell ref="B2:H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3"/>
    <col customWidth="1" hidden="1" min="3" max="3" width="7.63"/>
    <col customWidth="1" min="4" max="8" width="7.63"/>
  </cols>
  <sheetData>
    <row r="1">
      <c r="A1" s="823" t="s">
        <v>3994</v>
      </c>
      <c r="B1" s="148" t="s">
        <v>3995</v>
      </c>
      <c r="C1" s="148">
        <v>2023.0</v>
      </c>
      <c r="D1" s="148">
        <v>2022.0</v>
      </c>
      <c r="E1" s="148">
        <v>2021.0</v>
      </c>
      <c r="F1" s="148">
        <v>2020.0</v>
      </c>
      <c r="G1" s="148">
        <v>2019.0</v>
      </c>
      <c r="H1" s="148">
        <v>2018.0</v>
      </c>
      <c r="I1" s="824"/>
      <c r="J1" s="824"/>
    </row>
    <row r="2">
      <c r="B2" s="780" t="s">
        <v>3996</v>
      </c>
      <c r="I2" s="88"/>
      <c r="J2" s="88"/>
    </row>
    <row r="3">
      <c r="A3" s="825" t="s">
        <v>3997</v>
      </c>
      <c r="B3" s="826">
        <f t="shared" ref="B3:B4" si="1">SUM(D3:H3)</f>
        <v>471303</v>
      </c>
      <c r="C3" s="647">
        <v>116995.0</v>
      </c>
      <c r="D3" s="647">
        <v>105481.0</v>
      </c>
      <c r="E3" s="647">
        <v>87012.0</v>
      </c>
      <c r="F3" s="647">
        <v>82535.0</v>
      </c>
      <c r="G3" s="647">
        <v>98729.0</v>
      </c>
      <c r="H3" s="647">
        <v>97546.0</v>
      </c>
      <c r="I3" s="88"/>
      <c r="J3" s="780"/>
    </row>
    <row r="4">
      <c r="A4" s="828" t="s">
        <v>3998</v>
      </c>
      <c r="B4" s="826">
        <f t="shared" si="1"/>
        <v>737780</v>
      </c>
      <c r="C4" s="647">
        <v>176191.0</v>
      </c>
      <c r="D4" s="647">
        <v>158057.0</v>
      </c>
      <c r="E4" s="647">
        <v>136341.0</v>
      </c>
      <c r="F4" s="647">
        <v>127144.0</v>
      </c>
      <c r="G4" s="647">
        <v>155900.0</v>
      </c>
      <c r="H4" s="647">
        <v>160338.0</v>
      </c>
      <c r="I4" s="88"/>
      <c r="J4" s="88"/>
    </row>
    <row r="5">
      <c r="A5" s="828" t="s">
        <v>3999</v>
      </c>
      <c r="B5" s="835">
        <f>B3/B4</f>
        <v>0.6388123831</v>
      </c>
      <c r="C5" s="647"/>
      <c r="D5" s="647"/>
      <c r="E5" s="647"/>
      <c r="F5" s="647"/>
      <c r="G5" s="647"/>
      <c r="H5" s="647"/>
      <c r="I5" s="88"/>
      <c r="J5" s="88"/>
    </row>
    <row r="6">
      <c r="A6" s="831"/>
      <c r="B6" s="826"/>
      <c r="C6" s="647"/>
      <c r="D6" s="647"/>
      <c r="E6" s="647"/>
      <c r="F6" s="647"/>
      <c r="G6" s="647"/>
      <c r="H6" s="647"/>
      <c r="I6" s="88"/>
      <c r="J6" s="88"/>
    </row>
    <row r="7">
      <c r="A7" s="825" t="s">
        <v>4002</v>
      </c>
      <c r="B7" s="826">
        <f t="shared" ref="B7:B8" si="2">SUM(D7:H7)</f>
        <v>222930</v>
      </c>
      <c r="C7" s="647">
        <v>42235.0</v>
      </c>
      <c r="D7" s="647">
        <v>41925.0</v>
      </c>
      <c r="E7" s="647">
        <v>44271.0</v>
      </c>
      <c r="F7" s="647">
        <v>45360.0</v>
      </c>
      <c r="G7" s="647">
        <v>44940.0</v>
      </c>
      <c r="H7" s="647">
        <v>46434.0</v>
      </c>
      <c r="I7" s="88"/>
      <c r="J7" s="88"/>
    </row>
    <row r="8">
      <c r="A8" s="828" t="s">
        <v>4003</v>
      </c>
      <c r="B8" s="826">
        <f t="shared" si="2"/>
        <v>319567</v>
      </c>
      <c r="C8" s="647">
        <v>62205.0</v>
      </c>
      <c r="D8" s="647">
        <v>60037.0</v>
      </c>
      <c r="E8" s="647">
        <v>63500.0</v>
      </c>
      <c r="F8" s="647">
        <v>65034.0</v>
      </c>
      <c r="G8" s="647">
        <v>65297.0</v>
      </c>
      <c r="H8" s="647">
        <v>65699.0</v>
      </c>
      <c r="I8" s="88"/>
      <c r="J8" s="88"/>
    </row>
    <row r="9">
      <c r="A9" s="828" t="s">
        <v>3999</v>
      </c>
      <c r="B9" s="835">
        <f>B7/B8</f>
        <v>0.6976001903</v>
      </c>
      <c r="C9" s="647"/>
      <c r="D9" s="647"/>
      <c r="E9" s="647"/>
      <c r="F9" s="647"/>
      <c r="G9" s="647"/>
      <c r="H9" s="647"/>
      <c r="I9" s="88"/>
      <c r="J9" s="88"/>
    </row>
    <row r="10">
      <c r="A10" s="831"/>
      <c r="B10" s="826"/>
      <c r="C10" s="647"/>
      <c r="D10" s="647"/>
      <c r="E10" s="647"/>
      <c r="F10" s="647"/>
      <c r="G10" s="647"/>
      <c r="H10" s="647"/>
      <c r="I10" s="88"/>
      <c r="J10" s="88"/>
    </row>
    <row r="11">
      <c r="A11" s="825" t="s">
        <v>4000</v>
      </c>
      <c r="B11" s="826">
        <f t="shared" ref="B11:B12" si="3">SUM(D11:H11)</f>
        <v>7971</v>
      </c>
      <c r="C11" s="647">
        <v>3395.0</v>
      </c>
      <c r="D11" s="647">
        <v>-6548.0</v>
      </c>
      <c r="E11" s="647">
        <v>10043.0</v>
      </c>
      <c r="F11" s="647">
        <v>-231.0</v>
      </c>
      <c r="G11" s="647">
        <v>2656.0</v>
      </c>
      <c r="H11" s="647">
        <v>2051.0</v>
      </c>
      <c r="I11" s="88"/>
      <c r="J11" s="88"/>
    </row>
    <row r="12">
      <c r="A12" s="828" t="s">
        <v>4001</v>
      </c>
      <c r="B12" s="826">
        <f t="shared" si="3"/>
        <v>17353</v>
      </c>
      <c r="C12" s="647">
        <v>3967.0</v>
      </c>
      <c r="D12" s="647">
        <v>-3016.0</v>
      </c>
      <c r="E12" s="647">
        <v>17780.0</v>
      </c>
      <c r="F12" s="647">
        <v>-1116.0</v>
      </c>
      <c r="G12" s="647">
        <v>-640.0</v>
      </c>
      <c r="H12" s="647">
        <v>4345.0</v>
      </c>
      <c r="I12" s="88"/>
      <c r="J12" s="88"/>
    </row>
    <row r="13">
      <c r="A13" s="828" t="s">
        <v>3999</v>
      </c>
      <c r="B13" s="835">
        <f>B11/B12</f>
        <v>0.4593442056</v>
      </c>
      <c r="C13" s="647"/>
      <c r="D13" s="647"/>
      <c r="E13" s="647"/>
      <c r="F13" s="647"/>
      <c r="G13" s="647"/>
      <c r="H13" s="647"/>
      <c r="I13" s="88"/>
      <c r="J13" s="88"/>
    </row>
    <row r="14">
      <c r="A14" s="831"/>
      <c r="B14" s="826"/>
      <c r="C14" s="647"/>
      <c r="D14" s="647"/>
      <c r="E14" s="647"/>
      <c r="F14" s="647"/>
      <c r="G14" s="647"/>
      <c r="H14" s="647"/>
      <c r="I14" s="88"/>
      <c r="J14" s="88"/>
    </row>
    <row r="15">
      <c r="A15" s="831"/>
      <c r="B15" s="826"/>
      <c r="C15" s="647"/>
      <c r="D15" s="647"/>
      <c r="E15" s="647"/>
      <c r="F15" s="647"/>
      <c r="G15" s="647"/>
      <c r="H15" s="647"/>
      <c r="I15" s="88"/>
      <c r="J15" s="88"/>
    </row>
    <row r="16">
      <c r="A16" s="831"/>
      <c r="B16" s="69"/>
      <c r="C16" s="69"/>
      <c r="D16" s="69"/>
      <c r="E16" s="69"/>
      <c r="F16" s="69"/>
      <c r="G16" s="69"/>
      <c r="H16" s="69"/>
      <c r="I16" s="88"/>
      <c r="J16" s="88"/>
    </row>
    <row r="17">
      <c r="A17" s="831"/>
      <c r="B17" s="69"/>
      <c r="C17" s="69"/>
      <c r="D17" s="69"/>
      <c r="E17" s="69"/>
      <c r="F17" s="69"/>
      <c r="G17" s="69"/>
      <c r="H17" s="69"/>
      <c r="I17" s="88"/>
      <c r="J17" s="88"/>
    </row>
    <row r="18">
      <c r="A18" s="831"/>
      <c r="B18" s="69"/>
      <c r="C18" s="69"/>
      <c r="D18" s="69"/>
      <c r="E18" s="69"/>
      <c r="F18" s="69"/>
      <c r="G18" s="69"/>
      <c r="H18" s="69"/>
      <c r="I18" s="88"/>
      <c r="J18" s="88"/>
    </row>
    <row r="19">
      <c r="A19" s="831"/>
      <c r="B19" s="69"/>
      <c r="C19" s="69"/>
      <c r="D19" s="69"/>
      <c r="E19" s="69"/>
      <c r="F19" s="69"/>
      <c r="G19" s="69"/>
      <c r="H19" s="69"/>
      <c r="I19" s="88"/>
      <c r="J19" s="88"/>
    </row>
    <row r="20">
      <c r="A20" s="831"/>
      <c r="B20" s="69"/>
      <c r="C20" s="69"/>
      <c r="D20" s="69"/>
      <c r="E20" s="69"/>
      <c r="F20" s="69"/>
      <c r="G20" s="69"/>
      <c r="H20" s="69"/>
      <c r="I20" s="88"/>
      <c r="J20" s="88"/>
    </row>
  </sheetData>
  <mergeCells count="2">
    <mergeCell ref="A1:A2"/>
    <mergeCell ref="B2:H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3"/>
    <col customWidth="1" hidden="1" min="3" max="3" width="7.63"/>
    <col customWidth="1" min="4" max="8" width="7.63"/>
  </cols>
  <sheetData>
    <row r="1">
      <c r="A1" s="836" t="s">
        <v>3994</v>
      </c>
      <c r="B1" s="148" t="s">
        <v>3995</v>
      </c>
      <c r="C1" s="148">
        <v>2023.0</v>
      </c>
      <c r="D1" s="148">
        <v>2022.0</v>
      </c>
      <c r="E1" s="148">
        <v>2021.0</v>
      </c>
      <c r="F1" s="148">
        <v>2020.0</v>
      </c>
      <c r="G1" s="148">
        <v>2019.0</v>
      </c>
      <c r="H1" s="148">
        <v>2018.0</v>
      </c>
      <c r="I1" s="837" t="s">
        <v>4004</v>
      </c>
      <c r="J1" s="824"/>
    </row>
    <row r="2">
      <c r="B2" s="780" t="s">
        <v>3996</v>
      </c>
      <c r="I2" s="88"/>
      <c r="J2" s="88"/>
    </row>
    <row r="3">
      <c r="A3" s="838" t="s">
        <v>4005</v>
      </c>
      <c r="B3" s="826">
        <f t="shared" ref="B3:B5" si="1">SUM(D3:H3)</f>
        <v>101834</v>
      </c>
      <c r="C3" s="827"/>
      <c r="D3" s="647">
        <v>26941.0</v>
      </c>
      <c r="E3" s="647">
        <v>26397.0</v>
      </c>
      <c r="F3" s="827">
        <v>23614.0</v>
      </c>
      <c r="G3" s="827">
        <v>13088.0</v>
      </c>
      <c r="H3" s="827">
        <v>11794.0</v>
      </c>
      <c r="I3" s="88"/>
      <c r="J3" s="780"/>
    </row>
    <row r="4">
      <c r="A4" s="839" t="s">
        <v>4006</v>
      </c>
      <c r="B4" s="826">
        <f t="shared" si="1"/>
        <v>44547</v>
      </c>
      <c r="C4" s="827"/>
      <c r="D4" s="647">
        <v>13290.0</v>
      </c>
      <c r="E4" s="647">
        <v>10014.0</v>
      </c>
      <c r="F4" s="647">
        <v>9463.0</v>
      </c>
      <c r="G4" s="647">
        <v>6472.0</v>
      </c>
      <c r="H4" s="647">
        <v>5308.0</v>
      </c>
      <c r="I4" s="88"/>
      <c r="J4" s="88"/>
    </row>
    <row r="5">
      <c r="A5" s="839" t="s">
        <v>4007</v>
      </c>
      <c r="B5" s="826">
        <f t="shared" si="1"/>
        <v>11774</v>
      </c>
      <c r="C5" s="88"/>
      <c r="D5" s="647">
        <v>3161.0</v>
      </c>
      <c r="E5" s="647">
        <v>3362.0</v>
      </c>
      <c r="F5" s="647">
        <v>2730.0</v>
      </c>
      <c r="G5" s="647">
        <v>1135.0</v>
      </c>
      <c r="H5" s="647">
        <v>1386.0</v>
      </c>
      <c r="I5" s="88"/>
      <c r="J5" s="88"/>
    </row>
    <row r="6">
      <c r="A6" s="840"/>
      <c r="B6" s="88"/>
      <c r="C6" s="88"/>
      <c r="D6" s="88"/>
      <c r="E6" s="88"/>
      <c r="F6" s="88"/>
      <c r="G6" s="88"/>
      <c r="H6" s="88"/>
      <c r="I6" s="88"/>
      <c r="J6" s="88"/>
    </row>
    <row r="7">
      <c r="A7" s="841" t="s">
        <v>4008</v>
      </c>
      <c r="B7" s="842">
        <f t="shared" ref="B7:H7" si="2">B5/B3</f>
        <v>0.1156195377</v>
      </c>
      <c r="C7" s="843" t="str">
        <f t="shared" si="2"/>
        <v>#DIV/0!</v>
      </c>
      <c r="D7" s="843">
        <f t="shared" si="2"/>
        <v>0.1173304629</v>
      </c>
      <c r="E7" s="843">
        <f t="shared" si="2"/>
        <v>0.1273629579</v>
      </c>
      <c r="F7" s="843">
        <f t="shared" si="2"/>
        <v>0.1156093843</v>
      </c>
      <c r="G7" s="843">
        <f t="shared" si="2"/>
        <v>0.08672066015</v>
      </c>
      <c r="H7" s="843">
        <f t="shared" si="2"/>
        <v>0.1175173817</v>
      </c>
      <c r="I7" s="88"/>
      <c r="J7" s="88"/>
    </row>
    <row r="8">
      <c r="A8" s="841" t="s">
        <v>4009</v>
      </c>
      <c r="B8" s="842">
        <f t="shared" ref="B8:H8" si="3">B5/B4</f>
        <v>0.2643051159</v>
      </c>
      <c r="C8" s="843" t="str">
        <f t="shared" si="3"/>
        <v>#DIV/0!</v>
      </c>
      <c r="D8" s="843">
        <f t="shared" si="3"/>
        <v>0.237848006</v>
      </c>
      <c r="E8" s="843">
        <f t="shared" si="3"/>
        <v>0.335729978</v>
      </c>
      <c r="F8" s="843">
        <f t="shared" si="3"/>
        <v>0.2884920216</v>
      </c>
      <c r="G8" s="843">
        <f t="shared" si="3"/>
        <v>0.1753708282</v>
      </c>
      <c r="H8" s="843">
        <f t="shared" si="3"/>
        <v>0.2611152977</v>
      </c>
      <c r="I8" s="88"/>
      <c r="J8" s="88"/>
    </row>
    <row r="9">
      <c r="A9" s="838"/>
      <c r="B9" s="824"/>
      <c r="C9" s="647"/>
      <c r="D9" s="719"/>
      <c r="E9" s="832"/>
      <c r="F9" s="832"/>
      <c r="G9" s="833"/>
      <c r="H9" s="833"/>
      <c r="I9" s="88"/>
      <c r="J9" s="88"/>
    </row>
    <row r="10">
      <c r="A10" s="839"/>
      <c r="B10" s="824"/>
      <c r="C10" s="647"/>
      <c r="D10" s="719"/>
      <c r="E10" s="719"/>
      <c r="F10" s="719"/>
      <c r="G10" s="833"/>
      <c r="H10" s="833"/>
      <c r="I10" s="88"/>
      <c r="J10" s="88"/>
    </row>
    <row r="11">
      <c r="A11" s="839"/>
      <c r="B11" s="830"/>
      <c r="C11" s="834"/>
      <c r="D11" s="834"/>
      <c r="E11" s="834"/>
      <c r="F11" s="834"/>
      <c r="G11" s="834"/>
      <c r="H11" s="834"/>
      <c r="I11" s="88"/>
      <c r="J11" s="88"/>
    </row>
    <row r="12">
      <c r="A12" s="840"/>
      <c r="B12" s="824"/>
      <c r="C12" s="827"/>
      <c r="D12" s="647"/>
      <c r="E12" s="647"/>
      <c r="F12" s="88"/>
      <c r="G12" s="88"/>
      <c r="H12" s="88"/>
      <c r="I12" s="88"/>
      <c r="J12" s="88"/>
    </row>
    <row r="13">
      <c r="A13" s="840"/>
      <c r="B13" s="88"/>
      <c r="C13" s="88"/>
      <c r="D13" s="88"/>
      <c r="E13" s="88"/>
      <c r="F13" s="88"/>
      <c r="G13" s="88"/>
      <c r="H13" s="88"/>
      <c r="I13" s="88"/>
      <c r="J13" s="88"/>
    </row>
    <row r="14">
      <c r="A14" s="840"/>
      <c r="B14" s="88"/>
      <c r="C14" s="88"/>
      <c r="D14" s="88"/>
      <c r="E14" s="88"/>
      <c r="F14" s="88"/>
      <c r="G14" s="88"/>
      <c r="H14" s="88"/>
      <c r="I14" s="88"/>
      <c r="J14" s="88"/>
    </row>
    <row r="15">
      <c r="A15" s="840"/>
      <c r="B15" s="88"/>
      <c r="C15" s="88"/>
      <c r="D15" s="88"/>
      <c r="E15" s="88"/>
      <c r="F15" s="88"/>
      <c r="G15" s="88"/>
      <c r="H15" s="88"/>
      <c r="I15" s="88"/>
      <c r="J15" s="88"/>
    </row>
    <row r="16">
      <c r="A16" s="840"/>
      <c r="B16" s="88"/>
      <c r="C16" s="88"/>
      <c r="D16" s="88"/>
      <c r="E16" s="88"/>
      <c r="F16" s="88"/>
      <c r="G16" s="88"/>
      <c r="H16" s="88"/>
      <c r="I16" s="88"/>
      <c r="J16" s="88"/>
    </row>
    <row r="17">
      <c r="A17" s="840"/>
      <c r="B17" s="88"/>
      <c r="C17" s="88"/>
      <c r="D17" s="88"/>
      <c r="E17" s="88"/>
      <c r="F17" s="88"/>
      <c r="G17" s="88"/>
      <c r="H17" s="88"/>
      <c r="I17" s="88"/>
      <c r="J17" s="88"/>
    </row>
    <row r="18">
      <c r="A18" s="840"/>
      <c r="B18" s="88"/>
      <c r="C18" s="88"/>
      <c r="D18" s="88"/>
      <c r="E18" s="88"/>
      <c r="F18" s="88"/>
      <c r="G18" s="88"/>
      <c r="H18" s="88"/>
      <c r="I18" s="88"/>
      <c r="J18" s="88"/>
    </row>
    <row r="19">
      <c r="A19" s="840"/>
      <c r="B19" s="88"/>
      <c r="C19" s="88"/>
      <c r="D19" s="88"/>
      <c r="E19" s="88"/>
      <c r="F19" s="88"/>
      <c r="G19" s="88"/>
      <c r="H19" s="88"/>
      <c r="I19" s="88"/>
      <c r="J19" s="88"/>
    </row>
    <row r="20">
      <c r="A20" s="840"/>
      <c r="B20" s="88"/>
      <c r="C20" s="88"/>
      <c r="D20" s="88"/>
      <c r="E20" s="88"/>
      <c r="F20" s="88"/>
      <c r="G20" s="88"/>
      <c r="H20" s="88"/>
      <c r="I20" s="88"/>
      <c r="J20" s="88"/>
    </row>
  </sheetData>
  <mergeCells count="2">
    <mergeCell ref="A1:A2"/>
    <mergeCell ref="B2:H2"/>
  </mergeCells>
  <hyperlinks>
    <hyperlink r:id="rId1" ref="I1"/>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3"/>
    <col customWidth="1" hidden="1" min="3" max="3" width="7.63"/>
    <col customWidth="1" min="4" max="8" width="7.63"/>
  </cols>
  <sheetData>
    <row r="1">
      <c r="A1" s="836" t="s">
        <v>3994</v>
      </c>
      <c r="B1" s="148" t="s">
        <v>3995</v>
      </c>
      <c r="C1" s="148">
        <v>2023.0</v>
      </c>
      <c r="D1" s="148">
        <v>2022.0</v>
      </c>
      <c r="E1" s="148">
        <v>2021.0</v>
      </c>
      <c r="F1" s="148">
        <v>2020.0</v>
      </c>
      <c r="G1" s="148">
        <v>2019.0</v>
      </c>
      <c r="H1" s="148">
        <v>2018.0</v>
      </c>
      <c r="I1" s="837" t="s">
        <v>4004</v>
      </c>
      <c r="J1" s="824"/>
    </row>
    <row r="2">
      <c r="B2" s="780" t="s">
        <v>3996</v>
      </c>
      <c r="I2" s="88"/>
      <c r="J2" s="88"/>
    </row>
    <row r="3">
      <c r="A3" s="838" t="s">
        <v>4010</v>
      </c>
      <c r="B3" s="826">
        <f t="shared" ref="B3:B4" si="1">SUM(D3:H3)</f>
        <v>618.678</v>
      </c>
      <c r="C3" s="647">
        <v>87.036</v>
      </c>
      <c r="D3" s="647">
        <v>146.615</v>
      </c>
      <c r="E3" s="647">
        <v>82.909</v>
      </c>
      <c r="F3" s="647">
        <v>113.882</v>
      </c>
      <c r="G3" s="647">
        <v>134.523</v>
      </c>
      <c r="H3" s="647">
        <v>140.749</v>
      </c>
      <c r="I3" s="88"/>
      <c r="J3" s="780"/>
    </row>
    <row r="4">
      <c r="A4" s="839" t="s">
        <v>4011</v>
      </c>
      <c r="B4" s="826">
        <f t="shared" si="1"/>
        <v>1045.362</v>
      </c>
      <c r="C4" s="647">
        <v>119.043</v>
      </c>
      <c r="D4" s="647">
        <v>75.211</v>
      </c>
      <c r="E4" s="647">
        <v>290.899</v>
      </c>
      <c r="F4" s="647">
        <v>339.436</v>
      </c>
      <c r="G4" s="647">
        <v>148.693</v>
      </c>
      <c r="H4" s="647">
        <v>191.123</v>
      </c>
      <c r="I4" s="88"/>
      <c r="J4" s="88"/>
    </row>
    <row r="5">
      <c r="A5" s="839"/>
      <c r="B5" s="826"/>
      <c r="C5" s="647"/>
      <c r="D5" s="647"/>
      <c r="E5" s="647"/>
      <c r="F5" s="647"/>
      <c r="G5" s="647"/>
      <c r="H5" s="647"/>
      <c r="I5" s="88"/>
      <c r="J5" s="88"/>
    </row>
    <row r="6">
      <c r="A6" s="840"/>
      <c r="B6" s="69"/>
      <c r="C6" s="69"/>
      <c r="D6" s="69"/>
      <c r="E6" s="69"/>
      <c r="F6" s="69"/>
      <c r="G6" s="69"/>
      <c r="H6" s="69"/>
      <c r="I6" s="88"/>
      <c r="J6" s="88"/>
    </row>
    <row r="7">
      <c r="A7" s="841"/>
      <c r="B7" s="826"/>
      <c r="C7" s="69"/>
      <c r="D7" s="69"/>
      <c r="E7" s="69"/>
      <c r="F7" s="69"/>
      <c r="G7" s="69"/>
      <c r="H7" s="69"/>
      <c r="I7" s="88"/>
      <c r="J7" s="88"/>
    </row>
    <row r="8">
      <c r="A8" s="841"/>
      <c r="B8" s="826"/>
      <c r="C8" s="69"/>
      <c r="D8" s="69"/>
      <c r="E8" s="69"/>
      <c r="F8" s="69"/>
      <c r="G8" s="69"/>
      <c r="H8" s="69"/>
      <c r="I8" s="88"/>
      <c r="J8" s="88"/>
    </row>
    <row r="9">
      <c r="A9" s="134" t="s">
        <v>91</v>
      </c>
      <c r="B9" s="826"/>
      <c r="C9" s="647"/>
      <c r="D9" s="844">
        <v>4.9408182E7</v>
      </c>
      <c r="E9" s="844">
        <v>3.9731118E7</v>
      </c>
      <c r="F9" s="844" t="s">
        <v>4012</v>
      </c>
      <c r="G9" s="827">
        <v>3.7411492E7</v>
      </c>
      <c r="H9" s="827">
        <v>3.5380417E7</v>
      </c>
      <c r="I9" s="88"/>
      <c r="J9" s="845"/>
    </row>
    <row r="10">
      <c r="A10" s="132" t="s">
        <v>93</v>
      </c>
      <c r="B10" s="826"/>
      <c r="C10" s="647"/>
      <c r="D10" s="844">
        <v>2.8512519E7</v>
      </c>
      <c r="E10" s="844">
        <v>1.7119501E7</v>
      </c>
      <c r="F10" s="844">
        <v>1.8304124E7</v>
      </c>
      <c r="G10" s="827">
        <v>1.6575902E7</v>
      </c>
      <c r="H10" s="827">
        <v>1.761522E7</v>
      </c>
      <c r="I10" s="88"/>
      <c r="J10" s="88"/>
    </row>
    <row r="11">
      <c r="A11" s="132" t="s">
        <v>123</v>
      </c>
      <c r="B11" s="826"/>
      <c r="C11" s="69"/>
      <c r="D11" s="827">
        <v>1.1512E7</v>
      </c>
      <c r="E11" s="827">
        <v>8063284.0</v>
      </c>
      <c r="F11" s="827">
        <v>8664337.0</v>
      </c>
      <c r="G11" s="827">
        <v>8287734.0</v>
      </c>
      <c r="H11" s="827">
        <v>7985902.0</v>
      </c>
      <c r="I11" s="88"/>
      <c r="J11" s="88"/>
    </row>
    <row r="12">
      <c r="A12" s="132" t="s">
        <v>367</v>
      </c>
      <c r="B12" s="826"/>
      <c r="C12" s="647"/>
      <c r="D12" s="827">
        <v>1.0022952E7</v>
      </c>
      <c r="E12" s="827">
        <v>6480431.0</v>
      </c>
      <c r="F12" s="827">
        <v>6865017.0</v>
      </c>
      <c r="G12" s="827">
        <v>5272020.0</v>
      </c>
      <c r="H12" s="846"/>
      <c r="I12" s="88"/>
      <c r="J12" s="88"/>
    </row>
    <row r="13">
      <c r="A13" s="132" t="s">
        <v>164</v>
      </c>
      <c r="B13" s="88"/>
      <c r="C13" s="88"/>
      <c r="D13" s="827">
        <v>7237681.0</v>
      </c>
      <c r="E13" s="827">
        <v>5440831.0</v>
      </c>
      <c r="F13" s="827">
        <v>4956023.0</v>
      </c>
      <c r="G13" s="827">
        <v>4643129.0</v>
      </c>
      <c r="H13" s="827">
        <v>3914510.0</v>
      </c>
      <c r="I13" s="88"/>
      <c r="J13" s="88"/>
    </row>
    <row r="14">
      <c r="A14" s="141" t="s">
        <v>492</v>
      </c>
      <c r="B14" s="88"/>
      <c r="C14" s="88"/>
      <c r="D14" s="844">
        <v>1401707.0</v>
      </c>
      <c r="E14" s="844">
        <v>579116.0</v>
      </c>
      <c r="F14" s="844">
        <v>555929.0</v>
      </c>
      <c r="G14" s="846"/>
      <c r="H14" s="846"/>
      <c r="I14" s="88"/>
      <c r="J14" s="88"/>
    </row>
    <row r="15">
      <c r="A15" s="139" t="s">
        <v>513</v>
      </c>
      <c r="B15" s="88"/>
      <c r="C15" s="88"/>
      <c r="D15" s="844"/>
      <c r="E15" s="844"/>
      <c r="F15" s="844"/>
      <c r="G15" s="827">
        <v>702806.0</v>
      </c>
      <c r="H15" s="827">
        <v>1124402.0</v>
      </c>
      <c r="I15" s="88"/>
      <c r="J15" s="88"/>
    </row>
    <row r="16">
      <c r="A16" s="847" t="s">
        <v>563</v>
      </c>
      <c r="B16" s="88"/>
      <c r="C16" s="88"/>
      <c r="D16" s="827"/>
      <c r="E16" s="827"/>
      <c r="F16" s="827"/>
      <c r="G16" s="827">
        <v>260975.0</v>
      </c>
      <c r="H16" s="827">
        <v>3030461.0</v>
      </c>
      <c r="I16" s="88"/>
      <c r="J16" s="88"/>
    </row>
    <row r="17">
      <c r="A17" s="840"/>
      <c r="B17" s="88"/>
      <c r="C17" s="88"/>
      <c r="D17" s="827"/>
      <c r="E17" s="827"/>
      <c r="F17" s="827"/>
      <c r="G17" s="846"/>
      <c r="H17" s="846"/>
      <c r="I17" s="88"/>
      <c r="J17" s="88"/>
    </row>
    <row r="18">
      <c r="A18" s="840"/>
      <c r="B18" s="88"/>
      <c r="C18" s="88"/>
      <c r="D18" s="827"/>
      <c r="E18" s="827"/>
      <c r="F18" s="846"/>
      <c r="G18" s="846"/>
      <c r="H18" s="846"/>
      <c r="I18" s="88"/>
      <c r="J18" s="88"/>
    </row>
    <row r="19">
      <c r="A19" s="840"/>
      <c r="B19" s="88"/>
      <c r="C19" s="88"/>
      <c r="D19" s="844"/>
      <c r="E19" s="844"/>
      <c r="F19" s="844"/>
      <c r="G19" s="846"/>
      <c r="H19" s="846"/>
      <c r="I19" s="88"/>
      <c r="J19" s="88"/>
    </row>
    <row r="20">
      <c r="A20" s="840"/>
      <c r="B20" s="88"/>
      <c r="C20" s="88"/>
      <c r="D20" s="88"/>
      <c r="E20" s="88"/>
      <c r="F20" s="846"/>
      <c r="G20" s="846"/>
      <c r="H20" s="846"/>
      <c r="I20" s="88"/>
      <c r="J20" s="88"/>
    </row>
  </sheetData>
  <mergeCells count="2">
    <mergeCell ref="A1:A2"/>
    <mergeCell ref="B2:H2"/>
  </mergeCells>
  <hyperlinks>
    <hyperlink r:id="rId1" ref="I1"/>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17.63"/>
    <col customWidth="1" min="2" max="2" width="12.63"/>
    <col customWidth="1" min="3" max="7" width="10.13"/>
    <col customWidth="1" min="8" max="8" width="1.38"/>
    <col customWidth="1" min="9" max="14" width="9.5"/>
    <col customWidth="1" min="15" max="15" width="1.38"/>
    <col customWidth="1" min="16" max="16" width="9.5"/>
    <col customWidth="1" min="17" max="21" width="7.63"/>
    <col customWidth="1" min="22" max="22" width="1.38"/>
    <col customWidth="1" min="23" max="23" width="9.5"/>
    <col customWidth="1" min="24" max="28" width="7.63"/>
    <col customWidth="1" min="29" max="29" width="1.38"/>
    <col customWidth="1" min="30" max="30" width="9.5"/>
    <col customWidth="1" min="31" max="35" width="7.63"/>
    <col customWidth="1" min="36" max="36" width="1.38"/>
    <col customWidth="1" min="37" max="37" width="9.5"/>
    <col customWidth="1" min="38" max="42" width="7.63"/>
    <col customWidth="1" min="43" max="43" width="1.38"/>
    <col customWidth="1" min="44" max="44" width="9.5"/>
    <col customWidth="1" min="45" max="49" width="7.63"/>
    <col customWidth="1" min="50" max="50" width="1.38"/>
    <col customWidth="1" min="51" max="55" width="7.63"/>
  </cols>
  <sheetData>
    <row r="1">
      <c r="A1" s="148" t="s">
        <v>4013</v>
      </c>
      <c r="B1" s="148" t="s">
        <v>681</v>
      </c>
      <c r="H1" s="149"/>
      <c r="I1" s="848" t="s">
        <v>4014</v>
      </c>
      <c r="O1" s="149"/>
      <c r="P1" s="849" t="s">
        <v>683</v>
      </c>
      <c r="V1" s="149"/>
      <c r="W1" s="850" t="s">
        <v>684</v>
      </c>
      <c r="AC1" s="149"/>
      <c r="AD1" s="242" t="s">
        <v>685</v>
      </c>
      <c r="AJ1" s="149"/>
      <c r="AK1" s="850" t="s">
        <v>686</v>
      </c>
      <c r="AQ1" s="149"/>
      <c r="AR1" s="850" t="s">
        <v>687</v>
      </c>
      <c r="AX1" s="149"/>
      <c r="AY1" s="850"/>
      <c r="AZ1" s="845"/>
      <c r="BA1" s="850"/>
      <c r="BB1" s="850"/>
      <c r="BC1" s="850"/>
    </row>
    <row r="2" ht="15.0" customHeight="1">
      <c r="B2" s="148" t="s">
        <v>690</v>
      </c>
      <c r="C2" s="148">
        <v>2022.0</v>
      </c>
      <c r="D2" s="148">
        <v>2021.0</v>
      </c>
      <c r="E2" s="148">
        <v>2020.0</v>
      </c>
      <c r="F2" s="148">
        <v>2019.0</v>
      </c>
      <c r="G2" s="148">
        <v>2018.0</v>
      </c>
      <c r="H2" s="851"/>
      <c r="I2" s="148" t="s">
        <v>690</v>
      </c>
      <c r="J2" s="852">
        <v>2022.0</v>
      </c>
      <c r="K2" s="852">
        <v>2021.0</v>
      </c>
      <c r="L2" s="852">
        <v>2020.0</v>
      </c>
      <c r="M2" s="852">
        <v>2019.0</v>
      </c>
      <c r="N2" s="852">
        <v>2018.0</v>
      </c>
      <c r="O2" s="851"/>
      <c r="P2" s="148" t="s">
        <v>690</v>
      </c>
      <c r="Q2" s="157">
        <v>2022.0</v>
      </c>
      <c r="R2" s="157">
        <v>2021.0</v>
      </c>
      <c r="S2" s="157">
        <v>2020.0</v>
      </c>
      <c r="T2" s="157">
        <v>2019.0</v>
      </c>
      <c r="U2" s="157">
        <v>2018.0</v>
      </c>
      <c r="V2" s="851"/>
      <c r="W2" s="148" t="s">
        <v>690</v>
      </c>
      <c r="X2" s="158">
        <v>2022.0</v>
      </c>
      <c r="Y2" s="158">
        <v>2021.0</v>
      </c>
      <c r="Z2" s="158">
        <v>2020.0</v>
      </c>
      <c r="AA2" s="158">
        <v>2019.0</v>
      </c>
      <c r="AB2" s="158">
        <v>2018.0</v>
      </c>
      <c r="AC2" s="149"/>
      <c r="AD2" s="148" t="s">
        <v>690</v>
      </c>
      <c r="AE2" s="157">
        <v>2022.0</v>
      </c>
      <c r="AF2" s="157">
        <v>2021.0</v>
      </c>
      <c r="AG2" s="157">
        <v>2020.0</v>
      </c>
      <c r="AH2" s="157">
        <v>2019.0</v>
      </c>
      <c r="AI2" s="157">
        <v>2018.0</v>
      </c>
      <c r="AJ2" s="851"/>
      <c r="AK2" s="148" t="s">
        <v>690</v>
      </c>
      <c r="AL2" s="157">
        <v>2022.0</v>
      </c>
      <c r="AM2" s="157">
        <v>2021.0</v>
      </c>
      <c r="AN2" s="157">
        <v>2020.0</v>
      </c>
      <c r="AO2" s="157">
        <v>2019.0</v>
      </c>
      <c r="AP2" s="157">
        <v>2018.0</v>
      </c>
      <c r="AQ2" s="851"/>
      <c r="AR2" s="148" t="s">
        <v>690</v>
      </c>
      <c r="AS2" s="157">
        <v>2022.0</v>
      </c>
      <c r="AT2" s="157">
        <v>2021.0</v>
      </c>
      <c r="AU2" s="157">
        <v>2020.0</v>
      </c>
      <c r="AV2" s="157">
        <v>2019.0</v>
      </c>
      <c r="AW2" s="157">
        <v>2018.0</v>
      </c>
      <c r="AX2" s="851"/>
      <c r="AY2" s="148"/>
      <c r="AZ2" s="845"/>
      <c r="BA2" s="148"/>
      <c r="BB2" s="148"/>
      <c r="BC2" s="148"/>
    </row>
    <row r="3" ht="15.0" customHeight="1">
      <c r="B3" s="160">
        <f t="shared" ref="B3:G3" si="1">SUM(B4:B13)</f>
        <v>1417527856</v>
      </c>
      <c r="C3" s="161">
        <f t="shared" si="1"/>
        <v>288332288</v>
      </c>
      <c r="D3" s="161">
        <f t="shared" si="1"/>
        <v>268508269</v>
      </c>
      <c r="E3" s="161">
        <f t="shared" si="1"/>
        <v>281219077</v>
      </c>
      <c r="F3" s="161">
        <f t="shared" si="1"/>
        <v>315047187</v>
      </c>
      <c r="G3" s="161">
        <f t="shared" si="1"/>
        <v>264421035</v>
      </c>
      <c r="H3" s="149"/>
      <c r="I3" s="160">
        <f t="shared" ref="I3:N3" si="2">SUM(I4:I13)</f>
        <v>497749</v>
      </c>
      <c r="J3" s="69">
        <f t="shared" si="2"/>
        <v>92092</v>
      </c>
      <c r="K3" s="69">
        <f t="shared" si="2"/>
        <v>82897</v>
      </c>
      <c r="L3" s="69">
        <f t="shared" si="2"/>
        <v>123800</v>
      </c>
      <c r="M3" s="69">
        <f t="shared" si="2"/>
        <v>106587</v>
      </c>
      <c r="N3" s="69">
        <f t="shared" si="2"/>
        <v>92373</v>
      </c>
      <c r="O3" s="149"/>
      <c r="P3" s="160">
        <f t="shared" ref="P3:U3" si="3">SUM(P4:P13)</f>
        <v>105312.89</v>
      </c>
      <c r="Q3" s="89">
        <f t="shared" si="3"/>
        <v>21307.3</v>
      </c>
      <c r="R3" s="89">
        <f t="shared" si="3"/>
        <v>27410.53</v>
      </c>
      <c r="S3" s="89">
        <f t="shared" si="3"/>
        <v>20791.06</v>
      </c>
      <c r="T3" s="89">
        <f t="shared" si="3"/>
        <v>18565</v>
      </c>
      <c r="U3" s="89">
        <f t="shared" si="3"/>
        <v>17239</v>
      </c>
      <c r="V3" s="149"/>
      <c r="W3" s="163">
        <f t="shared" ref="W3:AB3" si="4">SUM(W4:W13)</f>
        <v>15970</v>
      </c>
      <c r="X3" s="69">
        <f t="shared" si="4"/>
        <v>4980</v>
      </c>
      <c r="Y3" s="69">
        <f t="shared" si="4"/>
        <v>4056</v>
      </c>
      <c r="Z3" s="69">
        <f t="shared" si="4"/>
        <v>2998</v>
      </c>
      <c r="AA3" s="69">
        <f t="shared" si="4"/>
        <v>1996</v>
      </c>
      <c r="AB3" s="69">
        <f t="shared" si="4"/>
        <v>1940</v>
      </c>
      <c r="AC3" s="149"/>
      <c r="AD3" s="853">
        <f t="shared" ref="AD3:AI3" si="5">W3/P3</f>
        <v>0.1516433553</v>
      </c>
      <c r="AE3" s="854">
        <f t="shared" si="5"/>
        <v>0.2337227148</v>
      </c>
      <c r="AF3" s="854">
        <f t="shared" si="5"/>
        <v>0.1479723303</v>
      </c>
      <c r="AG3" s="854">
        <f t="shared" si="5"/>
        <v>0.1441965922</v>
      </c>
      <c r="AH3" s="854">
        <f t="shared" si="5"/>
        <v>0.1075141395</v>
      </c>
      <c r="AI3" s="854">
        <f t="shared" si="5"/>
        <v>0.1125355299</v>
      </c>
      <c r="AJ3" s="149"/>
      <c r="AK3" s="160">
        <f t="shared" ref="AK3:AP3" si="6">SUM(AK4:AK13)</f>
        <v>58976</v>
      </c>
      <c r="AL3" s="69">
        <f t="shared" si="6"/>
        <v>15968</v>
      </c>
      <c r="AM3" s="69">
        <f t="shared" si="6"/>
        <v>16776</v>
      </c>
      <c r="AN3" s="69">
        <f t="shared" si="6"/>
        <v>8265</v>
      </c>
      <c r="AO3" s="69">
        <f t="shared" si="6"/>
        <v>8337</v>
      </c>
      <c r="AP3" s="69">
        <f t="shared" si="6"/>
        <v>9630</v>
      </c>
      <c r="AQ3" s="149"/>
      <c r="AR3" s="160">
        <f t="shared" ref="AR3:AW3" si="7">SUM(AR4:AR13)</f>
        <v>41014</v>
      </c>
      <c r="AS3" s="69">
        <f t="shared" si="7"/>
        <v>9212</v>
      </c>
      <c r="AT3" s="69">
        <f t="shared" si="7"/>
        <v>8867</v>
      </c>
      <c r="AU3" s="69">
        <f t="shared" si="7"/>
        <v>8446</v>
      </c>
      <c r="AV3" s="69">
        <f t="shared" si="7"/>
        <v>7678</v>
      </c>
      <c r="AW3" s="69">
        <f t="shared" si="7"/>
        <v>6811</v>
      </c>
      <c r="AX3" s="149"/>
      <c r="AY3" s="167"/>
      <c r="AZ3" s="845"/>
      <c r="BA3" s="227"/>
      <c r="BB3" s="168"/>
      <c r="BC3" s="167"/>
    </row>
    <row r="4" ht="15.0" customHeight="1">
      <c r="A4" s="855" t="s">
        <v>1085</v>
      </c>
      <c r="B4" s="160">
        <f>SUMIF('Executive Pay Breakdown'!B:B,$A4,'Executive Pay Breakdown'!M:M)+SUMIF('Executive Pay Breakdown'!B:B,$A4,'Executive Pay Breakdown'!Q:Q)+SUMIF('Executive Pay Breakdown'!B:B,$A4,'Executive Pay Breakdown'!U:U)+SUMIF('Executive Pay Breakdown'!B:B,$A4,'Executive Pay Breakdown'!Y:Y)+SUMIF('Executive Pay Breakdown'!B:B,$A4,'Executive Pay Breakdown'!AC:AC)</f>
        <v>360947185</v>
      </c>
      <c r="C4" s="161">
        <f>SUMIF('Executive Pay Breakdown'!B:B,$A4,'Executive Pay Breakdown'!M:M)</f>
        <v>72163445</v>
      </c>
      <c r="D4" s="161">
        <f>SUMIF('Executive Pay Breakdown'!B:B,$A4,'Executive Pay Breakdown'!Q:Q)</f>
        <v>56019479</v>
      </c>
      <c r="E4" s="161">
        <f>SUMIF('Executive Pay Breakdown'!B:B,$A4,'Executive Pay Breakdown'!U:U)</f>
        <v>86007439</v>
      </c>
      <c r="F4" s="161">
        <f>SUMIF('Executive Pay Breakdown'!B:B,$A4,'Executive Pay Breakdown'!Y:Y)</f>
        <v>85342540</v>
      </c>
      <c r="G4" s="161">
        <f>SUMIF('Executive Pay Breakdown'!B:B,$A4,'Executive Pay Breakdown'!AC:AC)</f>
        <v>61414282</v>
      </c>
      <c r="H4" s="172"/>
      <c r="I4" s="856">
        <f t="shared" ref="I4:I9" si="9">SUM(J4:N4)</f>
        <v>249780</v>
      </c>
      <c r="J4" s="219">
        <v>45678.0</v>
      </c>
      <c r="K4" s="219">
        <v>39971.0</v>
      </c>
      <c r="L4" s="219">
        <v>74913.0</v>
      </c>
      <c r="M4" s="219">
        <v>48666.0</v>
      </c>
      <c r="N4" s="219">
        <v>40552.0</v>
      </c>
      <c r="O4" s="172"/>
      <c r="P4" s="175">
        <f t="shared" ref="P4:P9" si="10">SUM(Q4:U4)</f>
        <v>34591</v>
      </c>
      <c r="Q4" s="176">
        <f t="array" ref="Q4">INDEX('Federal Tax, Stock Buybacks, &amp; '!U:U,MATCH($A4,'Federal Tax, Stock Buybacks, &amp; '!$E:$E,0))</f>
        <v>6456</v>
      </c>
      <c r="R4" s="176">
        <f t="array" ref="R4">INDEX('Federal Tax, Stock Buybacks, &amp; '!V:V,MATCH($A4,'Federal Tax, Stock Buybacks, &amp; '!$E:$E,0))</f>
        <v>7373</v>
      </c>
      <c r="S4" s="176">
        <f t="array" ref="S4">INDEX('Federal Tax, Stock Buybacks, &amp; '!W:W,MATCH($A4,'Federal Tax, Stock Buybacks, &amp; '!$E:$E,0))</f>
        <v>8232</v>
      </c>
      <c r="T4" s="176">
        <f t="array" ref="T4">INDEX('Federal Tax, Stock Buybacks, &amp; '!X:X,MATCH($A4,'Federal Tax, Stock Buybacks, &amp; '!$E:$E,0))</f>
        <v>6877</v>
      </c>
      <c r="U4" s="176">
        <f t="array" ref="U4">INDEX('Federal Tax, Stock Buybacks, &amp; '!Y:Y,MATCH($A4,'Federal Tax, Stock Buybacks, &amp; '!$E:$E,0))</f>
        <v>5653</v>
      </c>
      <c r="V4" s="172"/>
      <c r="W4" s="177">
        <f t="shared" ref="W4:W9" si="11">SUM(X4:AB4)</f>
        <v>5908</v>
      </c>
      <c r="X4" s="178">
        <f t="array" ref="X4">INDEX('Federal Tax, Stock Buybacks, &amp; '!AB:AB,MATCH($A4,'Federal Tax, Stock Buybacks, &amp; '!$E:$E,0))</f>
        <v>1618</v>
      </c>
      <c r="Y4" s="178">
        <f t="array" ref="Y4">INDEX('Federal Tax, Stock Buybacks, &amp; '!AC:AC,MATCH($A4,'Federal Tax, Stock Buybacks, &amp; '!$E:$E,0))</f>
        <v>1325</v>
      </c>
      <c r="Z4" s="178">
        <f t="array" ref="Z4">INDEX('Federal Tax, Stock Buybacks, &amp; '!AD:AD,MATCH($A4,'Federal Tax, Stock Buybacks, &amp; '!$E:$E,0))</f>
        <v>1292</v>
      </c>
      <c r="AA4" s="178">
        <f t="array" ref="AA4">INDEX('Federal Tax, Stock Buybacks, &amp; '!AE:AE,MATCH($A4,'Federal Tax, Stock Buybacks, &amp; '!$E:$E,0))</f>
        <v>698</v>
      </c>
      <c r="AB4" s="178">
        <f t="array" ref="AB4">INDEX('Federal Tax, Stock Buybacks, &amp; '!AF:AF,MATCH($A4,'Federal Tax, Stock Buybacks, &amp; '!$E:$E,0))</f>
        <v>975</v>
      </c>
      <c r="AC4" s="172"/>
      <c r="AD4" s="853">
        <f t="shared" ref="AD4:AI4" si="8">W4/P4</f>
        <v>0.1707958718</v>
      </c>
      <c r="AE4" s="854">
        <f t="shared" si="8"/>
        <v>0.2506195787</v>
      </c>
      <c r="AF4" s="854">
        <f t="shared" si="8"/>
        <v>0.1797097518</v>
      </c>
      <c r="AG4" s="854">
        <f t="shared" si="8"/>
        <v>0.1569484937</v>
      </c>
      <c r="AH4" s="854">
        <f t="shared" si="8"/>
        <v>0.1014977461</v>
      </c>
      <c r="AI4" s="854">
        <f t="shared" si="8"/>
        <v>0.1724747921</v>
      </c>
      <c r="AJ4" s="172"/>
      <c r="AK4" s="175">
        <f t="shared" ref="AK4:AK9" si="13">SUM(AL4:AP4)</f>
        <v>15779</v>
      </c>
      <c r="AL4" s="176">
        <f t="array" ref="AL4">INDEX('Federal Tax, Stock Buybacks, &amp; '!AP:AP,MATCH($A4,'Federal Tax, Stock Buybacks, &amp; '!$E:$E,0))</f>
        <v>7900</v>
      </c>
      <c r="AM4" s="176">
        <f t="array" ref="AM4">INDEX('Federal Tax, Stock Buybacks, &amp; '!AQ:AQ,MATCH($A4,'Federal Tax, Stock Buybacks, &amp; '!$E:$E,0))</f>
        <v>4087</v>
      </c>
      <c r="AN4" s="176">
        <f t="array" ref="AN4">INDEX('Federal Tax, Stock Buybacks, &amp; '!AR:AR,MATCH($A4,'Federal Tax, Stock Buybacks, &amp; '!$E:$E,0))</f>
        <v>1100</v>
      </c>
      <c r="AO4" s="176">
        <f t="array" ref="AO4">INDEX('Federal Tax, Stock Buybacks, &amp; '!AS:AS,MATCH($A4,'Federal Tax, Stock Buybacks, &amp; '!$E:$E,0))</f>
        <v>1200</v>
      </c>
      <c r="AP4" s="176">
        <f t="array" ref="AP4">INDEX('Federal Tax, Stock Buybacks, &amp; '!AT:AT,MATCH($A4,'Federal Tax, Stock Buybacks, &amp; '!$E:$E,0))</f>
        <v>1492</v>
      </c>
      <c r="AQ4" s="172"/>
      <c r="AR4" s="175">
        <f t="shared" ref="AR4:AR9" si="14">SUM(AS4:AW4)</f>
        <v>13623</v>
      </c>
      <c r="AS4" s="176">
        <f t="array" ref="AS4">INDEX('Federal Tax, Stock Buybacks, &amp; '!AW:AW,MATCH($A4,'Federal Tax, Stock Buybacks, &amp; '!$E:$E,0))</f>
        <v>3016</v>
      </c>
      <c r="AT4" s="176">
        <f t="array" ref="AT4">INDEX('Federal Tax, Stock Buybacks, &amp; '!AX:AX,MATCH($A4,'Federal Tax, Stock Buybacks, &amp; '!$E:$E,0))</f>
        <v>2940</v>
      </c>
      <c r="AU4" s="176">
        <f t="array" ref="AU4">INDEX('Federal Tax, Stock Buybacks, &amp; '!AY:AY,MATCH($A4,'Federal Tax, Stock Buybacks, &amp; '!$E:$E,0))</f>
        <v>2764</v>
      </c>
      <c r="AV4" s="176">
        <f t="array" ref="AV4">INDEX('Federal Tax, Stock Buybacks, &amp; '!AZ:AZ,MATCH($A4,'Federal Tax, Stock Buybacks, &amp; '!$E:$E,0))</f>
        <v>2556</v>
      </c>
      <c r="AW4" s="176">
        <f t="array" ref="AW4">INDEX('Federal Tax, Stock Buybacks, &amp; '!BA:BA,MATCH($A4,'Federal Tax, Stock Buybacks, &amp; '!$E:$E,0))</f>
        <v>2347</v>
      </c>
      <c r="AX4" s="172"/>
      <c r="AY4" s="806"/>
      <c r="AZ4" s="845"/>
      <c r="BA4" s="227"/>
      <c r="BB4" s="133"/>
      <c r="BC4" s="806"/>
    </row>
    <row r="5" ht="15.0" customHeight="1">
      <c r="A5" s="855" t="s">
        <v>988</v>
      </c>
      <c r="B5" s="160">
        <f>SUMIF('Executive Pay Breakdown'!B:B,$A5,'Executive Pay Breakdown'!M:M)+SUMIF('Executive Pay Breakdown'!B:B,$A5,'Executive Pay Breakdown'!Q:Q)+SUMIF('Executive Pay Breakdown'!B:B,$A5,'Executive Pay Breakdown'!U:U)+SUMIF('Executive Pay Breakdown'!B:B,$A5,'Executive Pay Breakdown'!Y:Y)+SUMIF('Executive Pay Breakdown'!B:B,$A5,'Executive Pay Breakdown'!AC:AC)</f>
        <v>247211431</v>
      </c>
      <c r="C5" s="161">
        <f>SUMIF('Executive Pay Breakdown'!B:B,$A5,'Executive Pay Breakdown'!M:M)</f>
        <v>42227747</v>
      </c>
      <c r="D5" s="161">
        <f>SUMIF('Executive Pay Breakdown'!B:B,$A5,'Executive Pay Breakdown'!Q:Q)</f>
        <v>40976657</v>
      </c>
      <c r="E5" s="161">
        <f>SUMIF('Executive Pay Breakdown'!B:B,$A5,'Executive Pay Breakdown'!U:U)</f>
        <v>48439293</v>
      </c>
      <c r="F5" s="161">
        <f>SUMIF('Executive Pay Breakdown'!B:B,$A5,'Executive Pay Breakdown'!Y:Y)</f>
        <v>51987415</v>
      </c>
      <c r="G5" s="161">
        <f>SUMIF('Executive Pay Breakdown'!B:B,$A5,'Executive Pay Breakdown'!AC:AC)</f>
        <v>63580319</v>
      </c>
      <c r="H5" s="172"/>
      <c r="I5" s="856">
        <f t="shared" si="9"/>
        <v>66074</v>
      </c>
      <c r="J5" s="219">
        <v>13361.0</v>
      </c>
      <c r="K5" s="219">
        <v>12557.0</v>
      </c>
      <c r="L5" s="219">
        <v>12068.0</v>
      </c>
      <c r="M5" s="219">
        <v>16101.0</v>
      </c>
      <c r="N5" s="219">
        <v>11987.0</v>
      </c>
      <c r="O5" s="172"/>
      <c r="P5" s="175">
        <f t="shared" si="10"/>
        <v>25888</v>
      </c>
      <c r="Q5" s="176">
        <f t="array" ref="Q5">INDEX('Federal Tax, Stock Buybacks, &amp; '!U:U,MATCH($A5,'Federal Tax, Stock Buybacks, &amp; '!$E:$E,0))</f>
        <v>5836</v>
      </c>
      <c r="R5" s="176">
        <f t="array" ref="R5">INDEX('Federal Tax, Stock Buybacks, &amp; '!V:V,MATCH($A5,'Federal Tax, Stock Buybacks, &amp; '!$E:$E,0))</f>
        <v>10114</v>
      </c>
      <c r="S5" s="176">
        <f t="array" ref="S5">INDEX('Federal Tax, Stock Buybacks, &amp; '!W:W,MATCH($A5,'Federal Tax, Stock Buybacks, &amp; '!$E:$E,0))</f>
        <v>3716</v>
      </c>
      <c r="T5" s="176">
        <f t="array" ref="T5">INDEX('Federal Tax, Stock Buybacks, &amp; '!X:X,MATCH($A5,'Federal Tax, Stock Buybacks, &amp; '!$E:$E,0))</f>
        <v>2508</v>
      </c>
      <c r="U5" s="176">
        <f t="array" ref="U5">INDEX('Federal Tax, Stock Buybacks, &amp; '!Y:Y,MATCH($A5,'Federal Tax, Stock Buybacks, &amp; '!$E:$E,0))</f>
        <v>3714</v>
      </c>
      <c r="V5" s="172"/>
      <c r="W5" s="177">
        <f t="shared" si="11"/>
        <v>3983</v>
      </c>
      <c r="X5" s="178">
        <f t="array" ref="X5">INDEX('Federal Tax, Stock Buybacks, &amp; '!AB:AB,MATCH($A5,'Federal Tax, Stock Buybacks, &amp; '!$E:$E,0))</f>
        <v>1289</v>
      </c>
      <c r="Y5" s="178">
        <f t="array" ref="Y5">INDEX('Federal Tax, Stock Buybacks, &amp; '!AC:AC,MATCH($A5,'Federal Tax, Stock Buybacks, &amp; '!$E:$E,0))</f>
        <v>1398</v>
      </c>
      <c r="Z5" s="178">
        <f t="array" ref="Z5">INDEX('Federal Tax, Stock Buybacks, &amp; '!AD:AD,MATCH($A5,'Federal Tax, Stock Buybacks, &amp; '!$E:$E,0))</f>
        <v>246</v>
      </c>
      <c r="AA5" s="178">
        <f t="array" ref="AA5">INDEX('Federal Tax, Stock Buybacks, &amp; '!AE:AE,MATCH($A5,'Federal Tax, Stock Buybacks, &amp; '!$E:$E,0))</f>
        <v>758</v>
      </c>
      <c r="AB5" s="178">
        <f t="array" ref="AB5">INDEX('Federal Tax, Stock Buybacks, &amp; '!AF:AF,MATCH($A5,'Federal Tax, Stock Buybacks, &amp; '!$E:$E,0))</f>
        <v>292</v>
      </c>
      <c r="AC5" s="172"/>
      <c r="AD5" s="853">
        <f t="shared" ref="AD5:AI5" si="12">W5/P5</f>
        <v>0.153855068</v>
      </c>
      <c r="AE5" s="854">
        <f t="shared" si="12"/>
        <v>0.2208704592</v>
      </c>
      <c r="AF5" s="854">
        <f t="shared" si="12"/>
        <v>0.1382242436</v>
      </c>
      <c r="AG5" s="854">
        <f t="shared" si="12"/>
        <v>0.06620021529</v>
      </c>
      <c r="AH5" s="854">
        <f t="shared" si="12"/>
        <v>0.3022328549</v>
      </c>
      <c r="AI5" s="854">
        <f t="shared" si="12"/>
        <v>0.07862143242</v>
      </c>
      <c r="AJ5" s="172"/>
      <c r="AK5" s="175">
        <f t="shared" si="13"/>
        <v>7706</v>
      </c>
      <c r="AL5" s="176">
        <f t="array" ref="AL5">INDEX('Federal Tax, Stock Buybacks, &amp; '!AP:AP,MATCH($A5,'Federal Tax, Stock Buybacks, &amp; '!$E:$E,0))</f>
        <v>1504</v>
      </c>
      <c r="AM5" s="176">
        <f t="array" ref="AM5">INDEX('Federal Tax, Stock Buybacks, &amp; '!AQ:AQ,MATCH($A5,'Federal Tax, Stock Buybacks, &amp; '!$E:$E,0))</f>
        <v>3705</v>
      </c>
      <c r="AN5" s="176">
        <f t="array" ref="AN5">INDEX('Federal Tax, Stock Buybacks, &amp; '!AR:AR,MATCH($A5,'Federal Tax, Stock Buybacks, &amp; '!$E:$E,0))</f>
        <v>490</v>
      </c>
      <c r="AO5" s="176">
        <f t="array" ref="AO5">INDEX('Federal Tax, Stock Buybacks, &amp; '!AS:AS,MATCH($A5,'Federal Tax, Stock Buybacks, &amp; '!$E:$E,0))</f>
        <v>744</v>
      </c>
      <c r="AP5" s="176">
        <f t="array" ref="AP5">INDEX('Federal Tax, Stock Buybacks, &amp; '!AT:AT,MATCH($A5,'Federal Tax, Stock Buybacks, &amp; '!$E:$E,0))</f>
        <v>1263</v>
      </c>
      <c r="AQ5" s="172"/>
      <c r="AR5" s="175">
        <f t="shared" si="14"/>
        <v>4689</v>
      </c>
      <c r="AS5" s="176">
        <f t="array" ref="AS5">INDEX('Federal Tax, Stock Buybacks, &amp; '!AW:AW,MATCH($A5,'Federal Tax, Stock Buybacks, &amp; '!$E:$E,0))</f>
        <v>1052</v>
      </c>
      <c r="AT5" s="176">
        <f t="array" ref="AT5">INDEX('Federal Tax, Stock Buybacks, &amp; '!AX:AX,MATCH($A5,'Federal Tax, Stock Buybacks, &amp; '!$E:$E,0))</f>
        <v>983</v>
      </c>
      <c r="AU5" s="176">
        <f t="array" ref="AU5">INDEX('Federal Tax, Stock Buybacks, &amp; '!AY:AY,MATCH($A5,'Federal Tax, Stock Buybacks, &amp; '!$E:$E,0))</f>
        <v>953</v>
      </c>
      <c r="AV5" s="176">
        <f t="array" ref="AV5">INDEX('Federal Tax, Stock Buybacks, &amp; '!AZ:AZ,MATCH($A5,'Federal Tax, Stock Buybacks, &amp; '!$E:$E,0))</f>
        <v>880</v>
      </c>
      <c r="AW5" s="176">
        <f t="array" ref="AW5">INDEX('Federal Tax, Stock Buybacks, &amp; '!BA:BA,MATCH($A5,'Federal Tax, Stock Buybacks, &amp; '!$E:$E,0))</f>
        <v>821</v>
      </c>
      <c r="AX5" s="172"/>
      <c r="AY5" s="133"/>
      <c r="AZ5" s="845"/>
      <c r="BA5" s="227"/>
      <c r="BB5" s="133"/>
      <c r="BC5" s="133"/>
    </row>
    <row r="6" ht="15.0" customHeight="1">
      <c r="A6" s="855" t="s">
        <v>55</v>
      </c>
      <c r="B6" s="160">
        <f>SUMIF('Executive Pay Breakdown'!B:B,$A6,'Executive Pay Breakdown'!M:M)+SUMIF('Executive Pay Breakdown'!B:B,$A6,'Executive Pay Breakdown'!Q:Q)+SUMIF('Executive Pay Breakdown'!B:B,$A6,'Executive Pay Breakdown'!U:U)+SUMIF('Executive Pay Breakdown'!B:B,$A6,'Executive Pay Breakdown'!Y:Y)+SUMIF('Executive Pay Breakdown'!B:B,$A6,'Executive Pay Breakdown'!AC:AC)</f>
        <v>275600043</v>
      </c>
      <c r="C6" s="161">
        <f>SUMIF('Executive Pay Breakdown'!B:B,$A6,'Executive Pay Breakdown'!M:M)</f>
        <v>58777935</v>
      </c>
      <c r="D6" s="161">
        <f>SUMIF('Executive Pay Breakdown'!B:B,$A6,'Executive Pay Breakdown'!Q:Q)</f>
        <v>56056686</v>
      </c>
      <c r="E6" s="161">
        <f>SUMIF('Executive Pay Breakdown'!B:B,$A6,'Executive Pay Breakdown'!U:U)</f>
        <v>43631159</v>
      </c>
      <c r="F6" s="161">
        <f>SUMIF('Executive Pay Breakdown'!B:B,$A6,'Executive Pay Breakdown'!Y:Y)</f>
        <v>59441561</v>
      </c>
      <c r="G6" s="161">
        <f>SUMIF('Executive Pay Breakdown'!B:B,$A6,'Executive Pay Breakdown'!AC:AC)</f>
        <v>57692702</v>
      </c>
      <c r="H6" s="172"/>
      <c r="I6" s="856">
        <f t="shared" si="9"/>
        <v>15260</v>
      </c>
      <c r="J6" s="219">
        <v>966.0</v>
      </c>
      <c r="K6" s="219">
        <v>839.0</v>
      </c>
      <c r="L6" s="219">
        <v>957.0</v>
      </c>
      <c r="M6" s="219">
        <v>6364.0</v>
      </c>
      <c r="N6" s="219">
        <v>6134.0</v>
      </c>
      <c r="O6" s="172"/>
      <c r="P6" s="175">
        <f t="shared" si="10"/>
        <v>17194</v>
      </c>
      <c r="Q6" s="176">
        <f t="array" ref="Q6">INDEX('Federal Tax, Stock Buybacks, &amp; '!U:U,MATCH($A6,'Federal Tax, Stock Buybacks, &amp; '!$E:$E,0))</f>
        <v>3181</v>
      </c>
      <c r="R6" s="176">
        <f t="array" ref="R6">INDEX('Federal Tax, Stock Buybacks, &amp; '!V:V,MATCH($A6,'Federal Tax, Stock Buybacks, &amp; '!$E:$E,0))</f>
        <v>3809</v>
      </c>
      <c r="S6" s="176">
        <f t="array" ref="S6">INDEX('Federal Tax, Stock Buybacks, &amp; '!W:W,MATCH($A6,'Federal Tax, Stock Buybacks, &amp; '!$E:$E,0))</f>
        <v>3239</v>
      </c>
      <c r="T6" s="176">
        <f t="array" ref="T6">INDEX('Federal Tax, Stock Buybacks, &amp; '!X:X,MATCH($A6,'Federal Tax, Stock Buybacks, &amp; '!$E:$E,0))</f>
        <v>4135</v>
      </c>
      <c r="U6" s="176">
        <f t="array" ref="U6">INDEX('Federal Tax, Stock Buybacks, &amp; '!Y:Y,MATCH($A6,'Federal Tax, Stock Buybacks, &amp; '!$E:$E,0))</f>
        <v>2830</v>
      </c>
      <c r="V6" s="172"/>
      <c r="W6" s="177">
        <f t="shared" si="11"/>
        <v>1480</v>
      </c>
      <c r="X6" s="178">
        <f t="array" ref="X6">INDEX('Federal Tax, Stock Buybacks, &amp; '!AB:AB,MATCH($A6,'Federal Tax, Stock Buybacks, &amp; '!$E:$E,0))</f>
        <v>653</v>
      </c>
      <c r="Y6" s="178">
        <f t="array" ref="Y6">INDEX('Federal Tax, Stock Buybacks, &amp; '!AC:AC,MATCH($A6,'Federal Tax, Stock Buybacks, &amp; '!$E:$E,0))</f>
        <v>415</v>
      </c>
      <c r="Z6" s="178">
        <f t="array" ref="Z6">INDEX('Federal Tax, Stock Buybacks, &amp; '!AD:AD,MATCH($A6,'Federal Tax, Stock Buybacks, &amp; '!$E:$E,0))</f>
        <v>475</v>
      </c>
      <c r="AA6" s="178">
        <f t="array" ref="AA6">INDEX('Federal Tax, Stock Buybacks, &amp; '!AE:AE,MATCH($A6,'Federal Tax, Stock Buybacks, &amp; '!$E:$E,0))</f>
        <v>8</v>
      </c>
      <c r="AB6" s="178">
        <f t="array" ref="AB6">INDEX('Federal Tax, Stock Buybacks, &amp; '!AF:AF,MATCH($A6,'Federal Tax, Stock Buybacks, &amp; '!$E:$E,0))</f>
        <v>-71</v>
      </c>
      <c r="AC6" s="172"/>
      <c r="AD6" s="853">
        <f t="shared" ref="AD6:AI6" si="15">W6/P6</f>
        <v>0.08607653833</v>
      </c>
      <c r="AE6" s="854">
        <f t="shared" si="15"/>
        <v>0.2052813581</v>
      </c>
      <c r="AF6" s="854">
        <f t="shared" si="15"/>
        <v>0.108952481</v>
      </c>
      <c r="AG6" s="854">
        <f t="shared" si="15"/>
        <v>0.1466502007</v>
      </c>
      <c r="AH6" s="854">
        <f t="shared" si="15"/>
        <v>0.001934703748</v>
      </c>
      <c r="AI6" s="854">
        <f t="shared" si="15"/>
        <v>-0.02508833922</v>
      </c>
      <c r="AJ6" s="172"/>
      <c r="AK6" s="175">
        <f t="shared" si="13"/>
        <v>19694</v>
      </c>
      <c r="AL6" s="176">
        <f t="array" ref="AL6">INDEX('Federal Tax, Stock Buybacks, &amp; '!AP:AP,MATCH($A6,'Federal Tax, Stock Buybacks, &amp; '!$E:$E,0))</f>
        <v>4200</v>
      </c>
      <c r="AM6" s="176">
        <f t="array" ref="AM6">INDEX('Federal Tax, Stock Buybacks, &amp; '!AQ:AQ,MATCH($A6,'Federal Tax, Stock Buybacks, &amp; '!$E:$E,0))</f>
        <v>3380</v>
      </c>
      <c r="AN6" s="176">
        <f t="array" ref="AN6">INDEX('Federal Tax, Stock Buybacks, &amp; '!AR:AR,MATCH($A6,'Federal Tax, Stock Buybacks, &amp; '!$E:$E,0))</f>
        <v>3714</v>
      </c>
      <c r="AO6" s="176">
        <f t="array" ref="AO6">INDEX('Federal Tax, Stock Buybacks, &amp; '!AS:AS,MATCH($A6,'Federal Tax, Stock Buybacks, &amp; '!$E:$E,0))</f>
        <v>4400</v>
      </c>
      <c r="AP6" s="176">
        <f t="array" ref="AP6">INDEX('Federal Tax, Stock Buybacks, &amp; '!AT:AT,MATCH($A6,'Federal Tax, Stock Buybacks, &amp; '!$E:$E,0))</f>
        <v>4000</v>
      </c>
      <c r="AQ6" s="172"/>
      <c r="AR6" s="175">
        <f t="shared" si="14"/>
        <v>12651</v>
      </c>
      <c r="AS6" s="176">
        <f t="array" ref="AS6">INDEX('Federal Tax, Stock Buybacks, &amp; '!AW:AW,MATCH($A6,'Federal Tax, Stock Buybacks, &amp; '!$E:$E,0))</f>
        <v>2719</v>
      </c>
      <c r="AT6" s="176">
        <f t="array" ref="AT6">INDEX('Federal Tax, Stock Buybacks, &amp; '!AX:AX,MATCH($A6,'Federal Tax, Stock Buybacks, &amp; '!$E:$E,0))</f>
        <v>2626</v>
      </c>
      <c r="AU6" s="176">
        <f t="array" ref="AU6">INDEX('Federal Tax, Stock Buybacks, &amp; '!AY:AY,MATCH($A6,'Federal Tax, Stock Buybacks, &amp; '!$E:$E,0))</f>
        <v>2592</v>
      </c>
      <c r="AV6" s="176">
        <f t="array" ref="AV6">INDEX('Federal Tax, Stock Buybacks, &amp; '!AZ:AZ,MATCH($A6,'Federal Tax, Stock Buybacks, &amp; '!$E:$E,0))</f>
        <v>2442</v>
      </c>
      <c r="AW6" s="176">
        <f t="array" ref="AW6">INDEX('Federal Tax, Stock Buybacks, &amp; '!BA:BA,MATCH($A6,'Federal Tax, Stock Buybacks, &amp; '!$E:$E,0))</f>
        <v>2272</v>
      </c>
      <c r="AX6" s="172"/>
      <c r="AY6" s="133"/>
      <c r="AZ6" s="845"/>
      <c r="BA6" s="227"/>
      <c r="BB6" s="133"/>
      <c r="BC6" s="133"/>
    </row>
    <row r="7" ht="15.0" customHeight="1">
      <c r="A7" s="855" t="s">
        <v>1192</v>
      </c>
      <c r="B7" s="160">
        <f>SUMIF('Executive Pay Breakdown'!B:B,$A7,'Executive Pay Breakdown'!M:M)+SUMIF('Executive Pay Breakdown'!B:B,$A7,'Executive Pay Breakdown'!Q:Q)+SUMIF('Executive Pay Breakdown'!B:B,$A7,'Executive Pay Breakdown'!U:U)+SUMIF('Executive Pay Breakdown'!B:B,$A7,'Executive Pay Breakdown'!Y:Y)+SUMIF('Executive Pay Breakdown'!B:B,$A7,'Executive Pay Breakdown'!AC:AC)</f>
        <v>215734397</v>
      </c>
      <c r="C7" s="161">
        <f>SUMIF('Executive Pay Breakdown'!B:B,$A7,'Executive Pay Breakdown'!M:M)</f>
        <v>46365168</v>
      </c>
      <c r="D7" s="161">
        <f>SUMIF('Executive Pay Breakdown'!B:B,$A7,'Executive Pay Breakdown'!Q:Q)</f>
        <v>49558971</v>
      </c>
      <c r="E7" s="161">
        <f>SUMIF('Executive Pay Breakdown'!B:B,$A7,'Executive Pay Breakdown'!U:U)</f>
        <v>40503887</v>
      </c>
      <c r="F7" s="161">
        <f>SUMIF('Executive Pay Breakdown'!B:B,$A7,'Executive Pay Breakdown'!Y:Y)</f>
        <v>37325163</v>
      </c>
      <c r="G7" s="161">
        <f>SUMIF('Executive Pay Breakdown'!B:B,$A7,'Executive Pay Breakdown'!AC:AC)</f>
        <v>41981208</v>
      </c>
      <c r="H7" s="172"/>
      <c r="I7" s="856">
        <f t="shared" si="9"/>
        <v>98530</v>
      </c>
      <c r="J7" s="219">
        <v>21196.0</v>
      </c>
      <c r="K7" s="219">
        <v>16990.0</v>
      </c>
      <c r="L7" s="219">
        <v>21880.0</v>
      </c>
      <c r="M7" s="219">
        <v>20961.0</v>
      </c>
      <c r="N7" s="219">
        <v>17503.0</v>
      </c>
      <c r="O7" s="172"/>
      <c r="P7" s="175">
        <f t="shared" si="10"/>
        <v>16842</v>
      </c>
      <c r="Q7" s="176">
        <f t="array" ref="Q7">INDEX('Federal Tax, Stock Buybacks, &amp; '!U:U,MATCH($A7,'Federal Tax, Stock Buybacks, &amp; '!$E:$E,0))</f>
        <v>3417</v>
      </c>
      <c r="R7" s="176">
        <f t="array" ref="R7">INDEX('Federal Tax, Stock Buybacks, &amp; '!V:V,MATCH($A7,'Federal Tax, Stock Buybacks, &amp; '!$E:$E,0))</f>
        <v>3255</v>
      </c>
      <c r="S7" s="176">
        <f t="array" ref="S7">INDEX('Federal Tax, Stock Buybacks, &amp; '!W:W,MATCH($A7,'Federal Tax, Stock Buybacks, &amp; '!$E:$E,0))</f>
        <v>3145</v>
      </c>
      <c r="T7" s="176">
        <f t="array" ref="T7">INDEX('Federal Tax, Stock Buybacks, &amp; '!X:X,MATCH($A7,'Federal Tax, Stock Buybacks, &amp; '!$E:$E,0))</f>
        <v>3566</v>
      </c>
      <c r="U7" s="176">
        <f t="array" ref="U7">INDEX('Federal Tax, Stock Buybacks, &amp; '!Y:Y,MATCH($A7,'Federal Tax, Stock Buybacks, &amp; '!$E:$E,0))</f>
        <v>3459</v>
      </c>
      <c r="V7" s="172"/>
      <c r="W7" s="177">
        <f t="shared" si="11"/>
        <v>2780</v>
      </c>
      <c r="X7" s="178">
        <f t="array" ref="X7">INDEX('Federal Tax, Stock Buybacks, &amp; '!AB:AB,MATCH($A7,'Federal Tax, Stock Buybacks, &amp; '!$E:$E,0))</f>
        <v>649</v>
      </c>
      <c r="Y7" s="178">
        <f t="array" ref="Y7">INDEX('Federal Tax, Stock Buybacks, &amp; '!AC:AC,MATCH($A7,'Federal Tax, Stock Buybacks, &amp; '!$E:$E,0))</f>
        <v>515</v>
      </c>
      <c r="Z7" s="178">
        <f t="array" ref="Z7">INDEX('Federal Tax, Stock Buybacks, &amp; '!AD:AD,MATCH($A7,'Federal Tax, Stock Buybacks, &amp; '!$E:$E,0))</f>
        <v>558</v>
      </c>
      <c r="AA7" s="178">
        <f t="array" ref="AA7">INDEX('Federal Tax, Stock Buybacks, &amp; '!AE:AE,MATCH($A7,'Federal Tax, Stock Buybacks, &amp; '!$E:$E,0))</f>
        <v>471</v>
      </c>
      <c r="AB7" s="178">
        <f t="array" ref="AB7">INDEX('Federal Tax, Stock Buybacks, &amp; '!AF:AF,MATCH($A7,'Federal Tax, Stock Buybacks, &amp; '!$E:$E,0))</f>
        <v>587</v>
      </c>
      <c r="AC7" s="172"/>
      <c r="AD7" s="853">
        <f t="shared" ref="AD7:AI7" si="16">W7/P7</f>
        <v>0.1650635316</v>
      </c>
      <c r="AE7" s="854">
        <f t="shared" si="16"/>
        <v>0.1899326895</v>
      </c>
      <c r="AF7" s="854">
        <f t="shared" si="16"/>
        <v>0.158218126</v>
      </c>
      <c r="AG7" s="854">
        <f t="shared" si="16"/>
        <v>0.1774244833</v>
      </c>
      <c r="AH7" s="854">
        <f t="shared" si="16"/>
        <v>0.1320807628</v>
      </c>
      <c r="AI7" s="854">
        <f t="shared" si="16"/>
        <v>0.1697022261</v>
      </c>
      <c r="AJ7" s="172"/>
      <c r="AK7" s="175">
        <f t="shared" si="13"/>
        <v>5644</v>
      </c>
      <c r="AL7" s="176">
        <f t="array" ref="AL7">INDEX('Federal Tax, Stock Buybacks, &amp; '!AP:AP,MATCH($A7,'Federal Tax, Stock Buybacks, &amp; '!$E:$E,0))</f>
        <v>1229</v>
      </c>
      <c r="AM7" s="176">
        <f t="array" ref="AM7">INDEX('Federal Tax, Stock Buybacks, &amp; '!AQ:AQ,MATCH($A7,'Federal Tax, Stock Buybacks, &amp; '!$E:$E,0))</f>
        <v>1828</v>
      </c>
      <c r="AN7" s="176">
        <f t="array" ref="AN7">INDEX('Federal Tax, Stock Buybacks, &amp; '!AR:AR,MATCH($A7,'Federal Tax, Stock Buybacks, &amp; '!$E:$E,0))</f>
        <v>587</v>
      </c>
      <c r="AO7" s="176">
        <f t="array" ref="AO7">INDEX('Federal Tax, Stock Buybacks, &amp; '!AS:AS,MATCH($A7,'Federal Tax, Stock Buybacks, &amp; '!$E:$E,0))</f>
        <v>231</v>
      </c>
      <c r="AP7" s="176">
        <f t="array" ref="AP7">INDEX('Federal Tax, Stock Buybacks, &amp; '!AT:AT,MATCH($A7,'Federal Tax, Stock Buybacks, &amp; '!$E:$E,0))</f>
        <v>1769</v>
      </c>
      <c r="AQ7" s="172"/>
      <c r="AR7" s="175">
        <f t="shared" si="14"/>
        <v>6151</v>
      </c>
      <c r="AS7" s="176">
        <f t="array" ref="AS7">INDEX('Federal Tax, Stock Buybacks, &amp; '!AW:AW,MATCH($A7,'Federal Tax, Stock Buybacks, &amp; '!$E:$E,0))</f>
        <v>1369</v>
      </c>
      <c r="AT7" s="176">
        <f t="array" ref="AT7">INDEX('Federal Tax, Stock Buybacks, &amp; '!AX:AX,MATCH($A7,'Federal Tax, Stock Buybacks, &amp; '!$E:$E,0))</f>
        <v>1315</v>
      </c>
      <c r="AU7" s="176">
        <f t="array" ref="AU7">INDEX('Federal Tax, Stock Buybacks, &amp; '!AY:AY,MATCH($A7,'Federal Tax, Stock Buybacks, &amp; '!$E:$E,0))</f>
        <v>1240</v>
      </c>
      <c r="AV7" s="176">
        <f t="array" ref="AV7">INDEX('Federal Tax, Stock Buybacks, &amp; '!AZ:AZ,MATCH($A7,'Federal Tax, Stock Buybacks, &amp; '!$E:$E,0))</f>
        <v>1152</v>
      </c>
      <c r="AW7" s="176">
        <f t="array" ref="AW7">INDEX('Federal Tax, Stock Buybacks, &amp; '!BA:BA,MATCH($A7,'Federal Tax, Stock Buybacks, &amp; '!$E:$E,0))</f>
        <v>1075</v>
      </c>
      <c r="AX7" s="172"/>
      <c r="AY7" s="133"/>
      <c r="AZ7" s="845"/>
      <c r="BA7" s="227"/>
      <c r="BB7" s="133"/>
      <c r="BC7" s="133"/>
    </row>
    <row r="8" ht="15.0" customHeight="1">
      <c r="A8" s="161" t="s">
        <v>3191</v>
      </c>
      <c r="B8" s="160">
        <f>SUMIF('Executive Pay Breakdown'!B:B,$A8,'Executive Pay Breakdown'!M:M)+SUMIF('Executive Pay Breakdown'!B:B,$A8,'Executive Pay Breakdown'!Q:Q)+SUMIF('Executive Pay Breakdown'!B:B,$A8,'Executive Pay Breakdown'!U:U)+SUMIF('Executive Pay Breakdown'!B:B,$A8,'Executive Pay Breakdown'!Y:Y)+SUMIF('Executive Pay Breakdown'!B:B,$A8,'Executive Pay Breakdown'!AC:AC)</f>
        <v>216367050</v>
      </c>
      <c r="C8" s="161">
        <f>SUMIF('Executive Pay Breakdown'!B:B,$A8,'Executive Pay Breakdown'!M:M)</f>
        <v>46762949</v>
      </c>
      <c r="D8" s="161">
        <f>SUMIF('Executive Pay Breakdown'!B:B,$A8,'Executive Pay Breakdown'!Q:Q)</f>
        <v>44334281</v>
      </c>
      <c r="E8" s="161">
        <f>SUMIF('Executive Pay Breakdown'!B:B,$A8,'Executive Pay Breakdown'!U:U)</f>
        <v>43885004</v>
      </c>
      <c r="F8" s="161">
        <f>SUMIF('Executive Pay Breakdown'!B:B,$A8,'Executive Pay Breakdown'!Y:Y)</f>
        <v>57793500</v>
      </c>
      <c r="G8" s="161">
        <f>SUMIF('Executive Pay Breakdown'!B:B,$A8,'Executive Pay Breakdown'!AC:AC)</f>
        <v>23591316</v>
      </c>
      <c r="H8" s="172"/>
      <c r="I8" s="856">
        <f t="shared" si="9"/>
        <v>34626</v>
      </c>
      <c r="J8" s="219">
        <v>5978.0</v>
      </c>
      <c r="K8" s="219">
        <v>6647.0</v>
      </c>
      <c r="L8" s="219">
        <v>6272.0</v>
      </c>
      <c r="M8" s="219">
        <v>6878.0</v>
      </c>
      <c r="N8" s="857">
        <f>5585+3266</f>
        <v>8851</v>
      </c>
      <c r="O8" s="172"/>
      <c r="P8" s="175">
        <f t="shared" si="10"/>
        <v>6992.89</v>
      </c>
      <c r="Q8" s="176">
        <f t="array" ref="Q8">INDEX('Federal Tax, Stock Buybacks, &amp; '!U:U,MATCH($A8,'Federal Tax, Stock Buybacks, &amp; '!$E:$E,0))</f>
        <v>1698.3</v>
      </c>
      <c r="R8" s="176">
        <f t="array" ref="R8">INDEX('Federal Tax, Stock Buybacks, &amp; '!V:V,MATCH($A8,'Federal Tax, Stock Buybacks, &amp; '!$E:$E,0))</f>
        <v>2237.53</v>
      </c>
      <c r="S8" s="176">
        <f t="array" ref="S8">INDEX('Federal Tax, Stock Buybacks, &amp; '!W:W,MATCH($A8,'Federal Tax, Stock Buybacks, &amp; '!$E:$E,0))</f>
        <v>1649.06</v>
      </c>
      <c r="T8" s="176">
        <f t="array" ref="T8">INDEX('Federal Tax, Stock Buybacks, &amp; '!X:X,MATCH($A8,'Federal Tax, Stock Buybacks, &amp; '!$E:$E,0))</f>
        <v>796</v>
      </c>
      <c r="U8" s="176">
        <f t="array" ref="U8">INDEX('Federal Tax, Stock Buybacks, &amp; '!Y:Y,MATCH($A8,'Federal Tax, Stock Buybacks, &amp; '!$E:$E,0))</f>
        <v>612</v>
      </c>
      <c r="V8" s="172"/>
      <c r="W8" s="177">
        <f t="shared" si="11"/>
        <v>1426</v>
      </c>
      <c r="X8" s="178">
        <f t="array" ref="X8">INDEX('Federal Tax, Stock Buybacks, &amp; '!AB:AB,MATCH($A8,'Federal Tax, Stock Buybacks, &amp; '!$E:$E,0))</f>
        <v>633</v>
      </c>
      <c r="Y8" s="178">
        <f t="array" ref="Y8">INDEX('Federal Tax, Stock Buybacks, &amp; '!AC:AC,MATCH($A8,'Federal Tax, Stock Buybacks, &amp; '!$E:$E,0))</f>
        <v>415</v>
      </c>
      <c r="Z8" s="178">
        <f t="array" ref="Z8">INDEX('Federal Tax, Stock Buybacks, &amp; '!AD:AD,MATCH($A8,'Federal Tax, Stock Buybacks, &amp; '!$E:$E,0))</f>
        <v>337</v>
      </c>
      <c r="AA8" s="178">
        <f t="array" ref="AA8">INDEX('Federal Tax, Stock Buybacks, &amp; '!AE:AE,MATCH($A8,'Federal Tax, Stock Buybacks, &amp; '!$E:$E,0))</f>
        <v>11</v>
      </c>
      <c r="AB8" s="178">
        <f t="array" ref="AB8">INDEX('Federal Tax, Stock Buybacks, &amp; '!AF:AF,MATCH($A8,'Federal Tax, Stock Buybacks, &amp; '!$E:$E,0))</f>
        <v>30</v>
      </c>
      <c r="AC8" s="172"/>
      <c r="AD8" s="853">
        <f t="shared" ref="AD8:AI8" si="17">W8/P8</f>
        <v>0.2039214116</v>
      </c>
      <c r="AE8" s="854">
        <f t="shared" si="17"/>
        <v>0.3727256668</v>
      </c>
      <c r="AF8" s="854">
        <f t="shared" si="17"/>
        <v>0.1854723736</v>
      </c>
      <c r="AG8" s="854">
        <f t="shared" si="17"/>
        <v>0.2043588469</v>
      </c>
      <c r="AH8" s="854">
        <f t="shared" si="17"/>
        <v>0.01381909548</v>
      </c>
      <c r="AI8" s="854">
        <f t="shared" si="17"/>
        <v>0.04901960784</v>
      </c>
      <c r="AJ8" s="172"/>
      <c r="AK8" s="175">
        <f t="shared" si="13"/>
        <v>8912</v>
      </c>
      <c r="AL8" s="176">
        <f t="array" ref="AL8">INDEX('Federal Tax, Stock Buybacks, &amp; '!AP:AP,MATCH($A8,'Federal Tax, Stock Buybacks, &amp; '!$E:$E,0))</f>
        <v>1083</v>
      </c>
      <c r="AM8" s="176">
        <f t="array" ref="AM8">INDEX('Federal Tax, Stock Buybacks, &amp; '!AQ:AQ,MATCH($A8,'Federal Tax, Stock Buybacks, &amp; '!$E:$E,0))</f>
        <v>3675</v>
      </c>
      <c r="AN8" s="176">
        <f t="array" ref="AN8">INDEX('Federal Tax, Stock Buybacks, &amp; '!AR:AR,MATCH($A8,'Federal Tax, Stock Buybacks, &amp; '!$E:$E,0))</f>
        <v>2290</v>
      </c>
      <c r="AO8" s="176">
        <f t="array" ref="AO8">INDEX('Federal Tax, Stock Buybacks, &amp; '!AS:AS,MATCH($A8,'Federal Tax, Stock Buybacks, &amp; '!$E:$E,0))</f>
        <v>1500</v>
      </c>
      <c r="AP8" s="176">
        <f t="array" ref="AP8">INDEX('Federal Tax, Stock Buybacks, &amp; '!AT:AT,MATCH($A8,'Federal Tax, Stock Buybacks, &amp; '!$E:$E,0))</f>
        <v>364</v>
      </c>
      <c r="AQ8" s="172"/>
      <c r="AR8" s="175">
        <f t="shared" si="14"/>
        <v>3069</v>
      </c>
      <c r="AS8" s="176">
        <f t="array" ref="AS8">INDEX('Federal Tax, Stock Buybacks, &amp; '!AW:AW,MATCH($A8,'Federal Tax, Stock Buybacks, &amp; '!$E:$E,0))</f>
        <v>864</v>
      </c>
      <c r="AT8" s="176">
        <f t="array" ref="AT8">INDEX('Federal Tax, Stock Buybacks, &amp; '!AX:AX,MATCH($A8,'Federal Tax, Stock Buybacks, &amp; '!$E:$E,0))</f>
        <v>817</v>
      </c>
      <c r="AU8" s="176">
        <f t="array" ref="AU8">INDEX('Federal Tax, Stock Buybacks, &amp; '!AY:AY,MATCH($A8,'Federal Tax, Stock Buybacks, &amp; '!$E:$E,0))</f>
        <v>725</v>
      </c>
      <c r="AV8" s="176">
        <f t="array" ref="AV8">INDEX('Federal Tax, Stock Buybacks, &amp; '!AZ:AZ,MATCH($A8,'Federal Tax, Stock Buybacks, &amp; '!$E:$E,0))</f>
        <v>499</v>
      </c>
      <c r="AW8" s="176">
        <f t="array" ref="AW8">INDEX('Federal Tax, Stock Buybacks, &amp; '!BA:BA,MATCH($A8,'Federal Tax, Stock Buybacks, &amp; '!$E:$E,0))</f>
        <v>164</v>
      </c>
      <c r="AX8" s="172"/>
      <c r="AY8" s="133"/>
      <c r="AZ8" s="858"/>
      <c r="BA8" s="227"/>
      <c r="BB8" s="133"/>
      <c r="BC8" s="133"/>
    </row>
    <row r="9" ht="15.0" customHeight="1">
      <c r="A9" s="161" t="s">
        <v>3237</v>
      </c>
      <c r="B9" s="160">
        <f>SUMIF('Executive Pay Breakdown'!B:B,$A9,'Executive Pay Breakdown'!M:M)+SUMIF('Executive Pay Breakdown'!B:B,$A9,'Executive Pay Breakdown'!Q:Q)+SUMIF('Executive Pay Breakdown'!B:B,$A9,'Executive Pay Breakdown'!U:U)+SUMIF('Executive Pay Breakdown'!B:B,$A9,'Executive Pay Breakdown'!Y:Y)+SUMIF('Executive Pay Breakdown'!B:B,$A9,'Executive Pay Breakdown'!AC:AC)</f>
        <v>101667750</v>
      </c>
      <c r="C9" s="161">
        <f>SUMIF('Executive Pay Breakdown'!B:B,$A9,'Executive Pay Breakdown'!M:M)</f>
        <v>22035044</v>
      </c>
      <c r="D9" s="161">
        <f>SUMIF('Executive Pay Breakdown'!B:B,$A9,'Executive Pay Breakdown'!Q:Q)</f>
        <v>21562195</v>
      </c>
      <c r="E9" s="161">
        <f>SUMIF('Executive Pay Breakdown'!B:B,$A9,'Executive Pay Breakdown'!U:U)</f>
        <v>18752295</v>
      </c>
      <c r="F9" s="161">
        <f>SUMIF('Executive Pay Breakdown'!B:B,$A9,'Executive Pay Breakdown'!Y:Y)</f>
        <v>23157008</v>
      </c>
      <c r="G9" s="161">
        <f>SUMIF('Executive Pay Breakdown'!B:B,$A9,'Executive Pay Breakdown'!AC:AC)</f>
        <v>16161208</v>
      </c>
      <c r="H9" s="172"/>
      <c r="I9" s="856">
        <f t="shared" si="9"/>
        <v>33479</v>
      </c>
      <c r="J9" s="219">
        <f>3362+1551</f>
        <v>4913</v>
      </c>
      <c r="K9" s="219">
        <v>5893.0</v>
      </c>
      <c r="L9" s="219">
        <v>7710.0</v>
      </c>
      <c r="M9" s="219">
        <v>7617.0</v>
      </c>
      <c r="N9" s="219">
        <v>7346.0</v>
      </c>
      <c r="O9" s="172"/>
      <c r="P9" s="175">
        <f t="shared" si="10"/>
        <v>3805</v>
      </c>
      <c r="Q9" s="176">
        <f t="array" ref="Q9">INDEX('Federal Tax, Stock Buybacks, &amp; '!U:U,MATCH($A9,'Federal Tax, Stock Buybacks, &amp; '!$E:$E,0))</f>
        <v>719</v>
      </c>
      <c r="R9" s="176">
        <f t="array" ref="R9">INDEX('Federal Tax, Stock Buybacks, &amp; '!V:V,MATCH($A9,'Federal Tax, Stock Buybacks, &amp; '!$E:$E,0))</f>
        <v>622</v>
      </c>
      <c r="S9" s="176">
        <f t="array" ref="S9">INDEX('Federal Tax, Stock Buybacks, &amp; '!W:W,MATCH($A9,'Federal Tax, Stock Buybacks, &amp; '!$E:$E,0))</f>
        <v>810</v>
      </c>
      <c r="T9" s="176">
        <f t="array" ref="T9">INDEX('Federal Tax, Stock Buybacks, &amp; '!X:X,MATCH($A9,'Federal Tax, Stock Buybacks, &amp; '!$E:$E,0))</f>
        <v>683</v>
      </c>
      <c r="U9" s="176">
        <f t="array" ref="U9">INDEX('Federal Tax, Stock Buybacks, &amp; '!Y:Y,MATCH($A9,'Federal Tax, Stock Buybacks, &amp; '!$E:$E,0))</f>
        <v>971</v>
      </c>
      <c r="V9" s="172"/>
      <c r="W9" s="177">
        <f t="shared" si="11"/>
        <v>393</v>
      </c>
      <c r="X9" s="178">
        <f t="array" ref="X9">INDEX('Federal Tax, Stock Buybacks, &amp; '!AB:AB,MATCH($A9,'Federal Tax, Stock Buybacks, &amp; '!$E:$E,0))</f>
        <v>138</v>
      </c>
      <c r="Y9" s="178">
        <f t="array" ref="Y9">INDEX('Federal Tax, Stock Buybacks, &amp; '!AC:AC,MATCH($A9,'Federal Tax, Stock Buybacks, &amp; '!$E:$E,0))</f>
        <v>-12</v>
      </c>
      <c r="Z9" s="178">
        <f t="array" ref="Z9">INDEX('Federal Tax, Stock Buybacks, &amp; '!AD:AD,MATCH($A9,'Federal Tax, Stock Buybacks, &amp; '!$E:$E,0))</f>
        <v>90</v>
      </c>
      <c r="AA9" s="178">
        <f t="array" ref="AA9">INDEX('Federal Tax, Stock Buybacks, &amp; '!AE:AE,MATCH($A9,'Federal Tax, Stock Buybacks, &amp; '!$E:$E,0))</f>
        <v>50</v>
      </c>
      <c r="AB9" s="178">
        <f t="array" ref="AB9">INDEX('Federal Tax, Stock Buybacks, &amp; '!AF:AF,MATCH($A9,'Federal Tax, Stock Buybacks, &amp; '!$E:$E,0))</f>
        <v>127</v>
      </c>
      <c r="AC9" s="172"/>
      <c r="AD9" s="853">
        <f t="shared" ref="AD9:AI9" si="18">W9/P9</f>
        <v>0.1032851511</v>
      </c>
      <c r="AE9" s="854">
        <f t="shared" si="18"/>
        <v>0.1919332406</v>
      </c>
      <c r="AF9" s="854">
        <f t="shared" si="18"/>
        <v>-0.0192926045</v>
      </c>
      <c r="AG9" s="854">
        <f t="shared" si="18"/>
        <v>0.1111111111</v>
      </c>
      <c r="AH9" s="854">
        <f t="shared" si="18"/>
        <v>0.07320644217</v>
      </c>
      <c r="AI9" s="854">
        <f t="shared" si="18"/>
        <v>0.1307929969</v>
      </c>
      <c r="AJ9" s="172"/>
      <c r="AK9" s="175">
        <f t="shared" si="13"/>
        <v>1241</v>
      </c>
      <c r="AL9" s="176">
        <f t="array" ref="AL9">INDEX('Federal Tax, Stock Buybacks, &amp; '!AP:AP,MATCH($A9,'Federal Tax, Stock Buybacks, &amp; '!$E:$E,0))</f>
        <v>52</v>
      </c>
      <c r="AM9" s="176">
        <f t="array" ref="AM9">INDEX('Federal Tax, Stock Buybacks, &amp; '!AQ:AQ,MATCH($A9,'Federal Tax, Stock Buybacks, &amp; '!$E:$E,0))</f>
        <v>101</v>
      </c>
      <c r="AN9" s="176">
        <f t="array" ref="AN9">INDEX('Federal Tax, Stock Buybacks, &amp; '!AR:AR,MATCH($A9,'Federal Tax, Stock Buybacks, &amp; '!$E:$E,0))</f>
        <v>84</v>
      </c>
      <c r="AO9" s="176">
        <f t="array" ref="AO9">INDEX('Federal Tax, Stock Buybacks, &amp; '!AS:AS,MATCH($A9,'Federal Tax, Stock Buybacks, &amp; '!$E:$E,0))</f>
        <v>262</v>
      </c>
      <c r="AP9" s="176">
        <f t="array" ref="AP9">INDEX('Federal Tax, Stock Buybacks, &amp; '!AT:AT,MATCH($A9,'Federal Tax, Stock Buybacks, &amp; '!$E:$E,0))</f>
        <v>742</v>
      </c>
      <c r="AQ9" s="172"/>
      <c r="AR9" s="175">
        <f t="shared" si="14"/>
        <v>831</v>
      </c>
      <c r="AS9" s="176">
        <f t="array" ref="AS9">INDEX('Federal Tax, Stock Buybacks, &amp; '!AW:AW,MATCH($A9,'Federal Tax, Stock Buybacks, &amp; '!$E:$E,0))</f>
        <v>192</v>
      </c>
      <c r="AT9" s="176">
        <f t="array" ref="AT9">INDEX('Federal Tax, Stock Buybacks, &amp; '!AX:AX,MATCH($A9,'Federal Tax, Stock Buybacks, &amp; '!$E:$E,0))</f>
        <v>186</v>
      </c>
      <c r="AU9" s="176">
        <f t="array" ref="AU9">INDEX('Federal Tax, Stock Buybacks, &amp; '!AY:AY,MATCH($A9,'Federal Tax, Stock Buybacks, &amp; '!$E:$E,0))</f>
        <v>172</v>
      </c>
      <c r="AV9" s="176">
        <f t="array" ref="AV9">INDEX('Federal Tax, Stock Buybacks, &amp; '!AZ:AZ,MATCH($A9,'Federal Tax, Stock Buybacks, &amp; '!$E:$E,0))</f>
        <v>149</v>
      </c>
      <c r="AW9" s="176">
        <f t="array" ref="AW9">INDEX('Federal Tax, Stock Buybacks, &amp; '!BA:BA,MATCH($A9,'Federal Tax, Stock Buybacks, &amp; '!$E:$E,0))</f>
        <v>132</v>
      </c>
      <c r="AX9" s="172"/>
      <c r="AY9" s="133"/>
      <c r="AZ9" s="845"/>
      <c r="BA9" s="227"/>
      <c r="BB9" s="133"/>
      <c r="BC9" s="133"/>
    </row>
    <row r="10" ht="15.0" customHeight="1">
      <c r="A10" s="859"/>
      <c r="B10" s="160"/>
      <c r="C10" s="161"/>
      <c r="D10" s="161"/>
      <c r="E10" s="161"/>
      <c r="F10" s="161"/>
      <c r="G10" s="161"/>
      <c r="H10" s="192"/>
      <c r="I10" s="175"/>
      <c r="J10" s="175"/>
      <c r="K10" s="175"/>
      <c r="L10" s="175"/>
      <c r="M10" s="175"/>
      <c r="N10" s="175"/>
      <c r="O10" s="192"/>
      <c r="P10" s="175"/>
      <c r="Q10" s="176"/>
      <c r="R10" s="176"/>
      <c r="S10" s="176"/>
      <c r="T10" s="176"/>
      <c r="U10" s="176"/>
      <c r="V10" s="172"/>
      <c r="W10" s="177"/>
      <c r="X10" s="178"/>
      <c r="Y10" s="178"/>
      <c r="Z10" s="178"/>
      <c r="AA10" s="178"/>
      <c r="AB10" s="178"/>
      <c r="AC10" s="172"/>
      <c r="AD10" s="175"/>
      <c r="AE10" s="175"/>
      <c r="AF10" s="175"/>
      <c r="AG10" s="175"/>
      <c r="AH10" s="175"/>
      <c r="AI10" s="175"/>
      <c r="AJ10" s="172"/>
      <c r="AK10" s="175"/>
      <c r="AL10" s="860"/>
      <c r="AM10" s="860"/>
      <c r="AN10" s="860"/>
      <c r="AO10" s="860"/>
      <c r="AP10" s="860"/>
      <c r="AQ10" s="172"/>
      <c r="AR10" s="175"/>
      <c r="AS10" s="860"/>
      <c r="AT10" s="860"/>
      <c r="AU10" s="860"/>
      <c r="AV10" s="860"/>
      <c r="AW10" s="860"/>
      <c r="AX10" s="172"/>
      <c r="AY10" s="133"/>
      <c r="AZ10" s="858"/>
      <c r="BA10" s="133"/>
      <c r="BB10" s="133"/>
      <c r="BC10" s="133"/>
    </row>
    <row r="11" ht="15.0" customHeight="1">
      <c r="A11" s="859"/>
      <c r="B11" s="160"/>
      <c r="C11" s="161"/>
      <c r="D11" s="161"/>
      <c r="E11" s="161"/>
      <c r="F11" s="161"/>
      <c r="G11" s="161"/>
      <c r="H11" s="192"/>
      <c r="I11" s="175"/>
      <c r="J11" s="175"/>
      <c r="K11" s="175"/>
      <c r="L11" s="175"/>
      <c r="M11" s="175"/>
      <c r="N11" s="175"/>
      <c r="O11" s="192"/>
      <c r="P11" s="175"/>
      <c r="Q11" s="176"/>
      <c r="R11" s="176"/>
      <c r="S11" s="176"/>
      <c r="T11" s="176"/>
      <c r="U11" s="176"/>
      <c r="V11" s="172"/>
      <c r="W11" s="177"/>
      <c r="X11" s="178"/>
      <c r="Y11" s="178"/>
      <c r="Z11" s="178"/>
      <c r="AA11" s="178"/>
      <c r="AB11" s="178"/>
      <c r="AC11" s="172"/>
      <c r="AD11" s="175"/>
      <c r="AE11" s="175"/>
      <c r="AF11" s="175"/>
      <c r="AG11" s="175"/>
      <c r="AH11" s="175"/>
      <c r="AI11" s="175"/>
      <c r="AJ11" s="172"/>
      <c r="AK11" s="175"/>
      <c r="AL11" s="860"/>
      <c r="AM11" s="860"/>
      <c r="AN11" s="860"/>
      <c r="AO11" s="860"/>
      <c r="AP11" s="860"/>
      <c r="AQ11" s="172"/>
      <c r="AR11" s="175"/>
      <c r="AS11" s="860"/>
      <c r="AT11" s="860"/>
      <c r="AU11" s="860"/>
      <c r="AV11" s="860"/>
      <c r="AW11" s="860"/>
      <c r="AX11" s="172"/>
      <c r="AY11" s="133"/>
      <c r="AZ11" s="858"/>
      <c r="BA11" s="133"/>
      <c r="BB11" s="133"/>
      <c r="BC11" s="133"/>
    </row>
    <row r="12" ht="15.0" customHeight="1">
      <c r="A12" s="859"/>
      <c r="B12" s="160"/>
      <c r="C12" s="161"/>
      <c r="D12" s="161"/>
      <c r="E12" s="161"/>
      <c r="F12" s="161"/>
      <c r="G12" s="161"/>
      <c r="H12" s="192"/>
      <c r="I12" s="175"/>
      <c r="J12" s="175"/>
      <c r="K12" s="175"/>
      <c r="L12" s="175"/>
      <c r="M12" s="175"/>
      <c r="N12" s="175"/>
      <c r="O12" s="192"/>
      <c r="P12" s="175"/>
      <c r="Q12" s="176"/>
      <c r="R12" s="176"/>
      <c r="S12" s="176"/>
      <c r="T12" s="176"/>
      <c r="U12" s="176"/>
      <c r="V12" s="172"/>
      <c r="W12" s="177"/>
      <c r="X12" s="178"/>
      <c r="Y12" s="178"/>
      <c r="Z12" s="178"/>
      <c r="AA12" s="178"/>
      <c r="AB12" s="178"/>
      <c r="AC12" s="172"/>
      <c r="AD12" s="175"/>
      <c r="AE12" s="175"/>
      <c r="AF12" s="175"/>
      <c r="AG12" s="175"/>
      <c r="AH12" s="175"/>
      <c r="AI12" s="175"/>
      <c r="AJ12" s="172"/>
      <c r="AK12" s="175"/>
      <c r="AL12" s="860"/>
      <c r="AM12" s="860"/>
      <c r="AN12" s="860"/>
      <c r="AO12" s="860"/>
      <c r="AP12" s="860"/>
      <c r="AQ12" s="172"/>
      <c r="AR12" s="175"/>
      <c r="AS12" s="860"/>
      <c r="AT12" s="860"/>
      <c r="AU12" s="860"/>
      <c r="AV12" s="860"/>
      <c r="AW12" s="860"/>
      <c r="AX12" s="172"/>
      <c r="AY12" s="133"/>
      <c r="AZ12" s="858"/>
      <c r="BA12" s="133"/>
      <c r="BB12" s="133"/>
      <c r="BC12" s="133"/>
    </row>
    <row r="13" ht="15.0" customHeight="1">
      <c r="A13" s="859"/>
      <c r="B13" s="160"/>
      <c r="C13" s="161"/>
      <c r="D13" s="161"/>
      <c r="E13" s="161"/>
      <c r="F13" s="161"/>
      <c r="G13" s="161"/>
      <c r="H13" s="192"/>
      <c r="I13" s="175"/>
      <c r="J13" s="175"/>
      <c r="K13" s="175"/>
      <c r="L13" s="175"/>
      <c r="M13" s="175"/>
      <c r="N13" s="175"/>
      <c r="O13" s="192"/>
      <c r="P13" s="175"/>
      <c r="Q13" s="176"/>
      <c r="R13" s="176"/>
      <c r="S13" s="176"/>
      <c r="T13" s="176"/>
      <c r="U13" s="176"/>
      <c r="V13" s="172"/>
      <c r="W13" s="177"/>
      <c r="X13" s="178"/>
      <c r="Y13" s="178"/>
      <c r="Z13" s="178"/>
      <c r="AA13" s="178"/>
      <c r="AB13" s="178"/>
      <c r="AC13" s="172"/>
      <c r="AD13" s="175"/>
      <c r="AE13" s="175"/>
      <c r="AF13" s="175"/>
      <c r="AG13" s="175"/>
      <c r="AH13" s="175"/>
      <c r="AI13" s="175"/>
      <c r="AJ13" s="172"/>
      <c r="AK13" s="175"/>
      <c r="AL13" s="860"/>
      <c r="AM13" s="860"/>
      <c r="AN13" s="860"/>
      <c r="AO13" s="860"/>
      <c r="AP13" s="860"/>
      <c r="AQ13" s="172"/>
      <c r="AR13" s="175"/>
      <c r="AS13" s="860"/>
      <c r="AT13" s="860"/>
      <c r="AU13" s="860"/>
      <c r="AV13" s="860"/>
      <c r="AW13" s="860"/>
      <c r="AX13" s="172"/>
      <c r="AY13" s="133"/>
      <c r="AZ13" s="858"/>
      <c r="BA13" s="133"/>
      <c r="BB13" s="133"/>
      <c r="BC13" s="133"/>
    </row>
  </sheetData>
  <mergeCells count="8">
    <mergeCell ref="A1:A3"/>
    <mergeCell ref="B1:G1"/>
    <mergeCell ref="I1:N1"/>
    <mergeCell ref="P1:U1"/>
    <mergeCell ref="W1:AB1"/>
    <mergeCell ref="AD1:AI1"/>
    <mergeCell ref="AK1:AP1"/>
    <mergeCell ref="AR1:AW1"/>
  </mergeCells>
  <conditionalFormatting sqref="I1 J1:N2 P1:AI13 I4:N13">
    <cfRule type="cellIs" dxfId="0" priority="1" operator="lessThan">
      <formula>0.01</formula>
    </cfRule>
  </conditionalFormatting>
  <hyperlinks>
    <hyperlink r:id="rId1" ref="J2"/>
    <hyperlink r:id="rId2" ref="K2"/>
    <hyperlink r:id="rId3" ref="L2"/>
    <hyperlink r:id="rId4" ref="M2"/>
    <hyperlink r:id="rId5" ref="N2"/>
  </hyperlinks>
  <drawing r:id="rId6"/>
</worksheet>
</file>